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Jose project\"/>
    </mc:Choice>
  </mc:AlternateContent>
  <xr:revisionPtr revIDLastSave="0" documentId="13_ncr:1_{0F61222B-380E-4132-BC49-D65929899E21}" xr6:coauthVersionLast="47" xr6:coauthVersionMax="47" xr10:uidLastSave="{00000000-0000-0000-0000-000000000000}"/>
  <bookViews>
    <workbookView xWindow="28680" yWindow="-10920" windowWidth="29040" windowHeight="17520" xr2:uid="{C50B0343-9184-4CB1-B3A8-F7A879DEC9C0}"/>
  </bookViews>
  <sheets>
    <sheet name="OP" sheetId="9" r:id="rId1"/>
    <sheet name="SEG" sheetId="24" r:id="rId2"/>
    <sheet name="GG" sheetId="3" r:id="rId3"/>
    <sheet name="EST SOTANO" sheetId="15" r:id="rId4"/>
    <sheet name="EST TORRE" sheetId="18" r:id="rId5"/>
    <sheet name="ARQ SOT" sheetId="54" r:id="rId6"/>
    <sheet name="ARQ TORRE" sheetId="55" r:id="rId7"/>
    <sheet name="INSTALACIONES" sheetId="88" r:id="rId8"/>
    <sheet name="ACIySPC" sheetId="87" r:id="rId9"/>
    <sheet name="OBRA CIVIL ASCENSOR" sheetId="45" r:id="rId10"/>
    <sheet name="MECANICAS" sheetId="86" r:id="rId11"/>
    <sheet name="IISS" sheetId="85" r:id="rId12"/>
    <sheet name="IIEE" sheetId="84" r:id="rId13"/>
  </sheets>
  <definedNames>
    <definedName name="__" hidden="1">#REF!</definedName>
    <definedName name="____" hidden="1">#REF!</definedName>
    <definedName name="______" hidden="1">#REF!</definedName>
    <definedName name="________" hidden="1">#REF!</definedName>
    <definedName name="__________" hidden="1">#REF!</definedName>
    <definedName name="_________________________A1" hidden="1">#REF!</definedName>
    <definedName name="_________________________A2" hidden="1">#REF!</definedName>
    <definedName name="_________________________A3" hidden="1">#REF!</definedName>
    <definedName name="_________________________A4" hidden="1">#REF!</definedName>
    <definedName name="_________________________A5" hidden="1">#REF!</definedName>
    <definedName name="_________________________n1" hidden="1">#REF!</definedName>
    <definedName name="_________________________n2" hidden="1">#REF!</definedName>
    <definedName name="_________________________S1" hidden="1">#REF!</definedName>
    <definedName name="_______________________A1" hidden="1">#REF!</definedName>
    <definedName name="_______________________A2" hidden="1">#REF!</definedName>
    <definedName name="_______________________A3" hidden="1">#REF!</definedName>
    <definedName name="_______________________A4" hidden="1">#REF!</definedName>
    <definedName name="_______________________A5" hidden="1">#REF!</definedName>
    <definedName name="_______________________n1" hidden="1">#REF!</definedName>
    <definedName name="_______________________n2" hidden="1">#REF!</definedName>
    <definedName name="_______________________S1" hidden="1">#REF!</definedName>
    <definedName name="_____________________A1" hidden="1">#REF!</definedName>
    <definedName name="_____________________A2" hidden="1">#REF!</definedName>
    <definedName name="_____________________A3" hidden="1">#REF!</definedName>
    <definedName name="_____________________A4" hidden="1">#REF!</definedName>
    <definedName name="_____________________A5" hidden="1">#REF!</definedName>
    <definedName name="_____________________n1" hidden="1">#REF!</definedName>
    <definedName name="_____________________n2" hidden="1">#REF!</definedName>
    <definedName name="_____________________S1" hidden="1">#REF!</definedName>
    <definedName name="___________________A1" hidden="1">#REF!</definedName>
    <definedName name="___________________A2" hidden="1">#REF!</definedName>
    <definedName name="___________________A3" hidden="1">#REF!</definedName>
    <definedName name="___________________A4" hidden="1">#REF!</definedName>
    <definedName name="___________________A5" hidden="1">#REF!</definedName>
    <definedName name="___________________n1" hidden="1">#REF!</definedName>
    <definedName name="___________________n2" hidden="1">#REF!</definedName>
    <definedName name="___________________S1" hidden="1">#REF!</definedName>
    <definedName name="_________________A1" hidden="1">#REF!</definedName>
    <definedName name="_________________A2" hidden="1">#REF!</definedName>
    <definedName name="_________________A3" hidden="1">#REF!</definedName>
    <definedName name="_________________A4" hidden="1">#REF!</definedName>
    <definedName name="_________________A5" hidden="1">#REF!</definedName>
    <definedName name="_________________n1" hidden="1">#REF!</definedName>
    <definedName name="_________________n2" hidden="1">#REF!</definedName>
    <definedName name="_________________S1" hidden="1">#REF!</definedName>
    <definedName name="_______________A1" hidden="1">#REF!</definedName>
    <definedName name="_______________A2" hidden="1">#REF!</definedName>
    <definedName name="_______________A3" hidden="1">#REF!</definedName>
    <definedName name="_______________A4" hidden="1">#REF!</definedName>
    <definedName name="_______________A5" hidden="1">#REF!</definedName>
    <definedName name="_______________n1" hidden="1">#REF!</definedName>
    <definedName name="_______________n2" hidden="1">#REF!</definedName>
    <definedName name="_______________S1" hidden="1">#REF!</definedName>
    <definedName name="_____________A1" hidden="1">#REF!</definedName>
    <definedName name="_____________A2" hidden="1">#REF!</definedName>
    <definedName name="_____________A3" hidden="1">#REF!</definedName>
    <definedName name="_____________A4" hidden="1">#REF!</definedName>
    <definedName name="_____________A5" hidden="1">#REF!</definedName>
    <definedName name="_____________n1" hidden="1">#REF!</definedName>
    <definedName name="_____________n2" hidden="1">#REF!</definedName>
    <definedName name="_____________S1" hidden="1">#REF!</definedName>
    <definedName name="____________A1" hidden="1">#REF!</definedName>
    <definedName name="____________A2" hidden="1">#REF!</definedName>
    <definedName name="____________A3" hidden="1">#REF!</definedName>
    <definedName name="____________A4" hidden="1">#REF!</definedName>
    <definedName name="____________A5" hidden="1">#REF!</definedName>
    <definedName name="____________n1" hidden="1">#REF!</definedName>
    <definedName name="____________n2" hidden="1">#REF!</definedName>
    <definedName name="____________S1" hidden="1">#REF!</definedName>
    <definedName name="___________A1" hidden="1">#REF!</definedName>
    <definedName name="___________A2" hidden="1">#REF!</definedName>
    <definedName name="___________A3" hidden="1">#REF!</definedName>
    <definedName name="___________A4" hidden="1">#REF!</definedName>
    <definedName name="___________A5" hidden="1">#REF!</definedName>
    <definedName name="___________n1" hidden="1">#REF!</definedName>
    <definedName name="___________n2" hidden="1">#REF!</definedName>
    <definedName name="___________S1" hidden="1">#REF!</definedName>
    <definedName name="__________A1" hidden="1">#REF!</definedName>
    <definedName name="__________A2" hidden="1">#REF!</definedName>
    <definedName name="__________A3" hidden="1">#REF!</definedName>
    <definedName name="__________A4" hidden="1">#REF!</definedName>
    <definedName name="__________A5" hidden="1">#REF!</definedName>
    <definedName name="__________n1" hidden="1">#REF!</definedName>
    <definedName name="__________n2" hidden="1">#REF!</definedName>
    <definedName name="__________S1" hidden="1">#REF!</definedName>
    <definedName name="_________A1" hidden="1">#REF!</definedName>
    <definedName name="_________A2" hidden="1">#REF!</definedName>
    <definedName name="_________A3" hidden="1">#REF!</definedName>
    <definedName name="_________A4" hidden="1">#REF!</definedName>
    <definedName name="_________A5" hidden="1">#REF!</definedName>
    <definedName name="_________n1" hidden="1">#REF!</definedName>
    <definedName name="_________n2" hidden="1">#REF!</definedName>
    <definedName name="_________S1" hidden="1">#REF!</definedName>
    <definedName name="________A1" hidden="1">#REF!</definedName>
    <definedName name="________A2" hidden="1">#REF!</definedName>
    <definedName name="________A3" hidden="1">#REF!</definedName>
    <definedName name="________A4" hidden="1">#REF!</definedName>
    <definedName name="________A5" hidden="1">#REF!</definedName>
    <definedName name="________n1" hidden="1">#REF!</definedName>
    <definedName name="________n2" hidden="1">#REF!</definedName>
    <definedName name="________S1" hidden="1">#REF!</definedName>
    <definedName name="_______A1" hidden="1">#REF!</definedName>
    <definedName name="_______A2" hidden="1">#REF!</definedName>
    <definedName name="_______A3" hidden="1">#REF!</definedName>
    <definedName name="_______A4" hidden="1">#REF!</definedName>
    <definedName name="_______A5" hidden="1">#REF!</definedName>
    <definedName name="_______n1" hidden="1">#REF!</definedName>
    <definedName name="_______n2" hidden="1">#REF!</definedName>
    <definedName name="_______S1" hidden="1">#REF!</definedName>
    <definedName name="______A1" hidden="1">#REF!</definedName>
    <definedName name="______A2" hidden="1">#REF!</definedName>
    <definedName name="______A3" hidden="1">#REF!</definedName>
    <definedName name="______A4" hidden="1">#REF!</definedName>
    <definedName name="______A5" hidden="1">#REF!</definedName>
    <definedName name="______n1" hidden="1">#REF!</definedName>
    <definedName name="______n2" hidden="1">#REF!</definedName>
    <definedName name="______S1" hidden="1">#REF!</definedName>
    <definedName name="_____A1" hidden="1">#REF!</definedName>
    <definedName name="_____A2" hidden="1">#REF!</definedName>
    <definedName name="_____A3" hidden="1">#REF!</definedName>
    <definedName name="_____A4" hidden="1">#REF!</definedName>
    <definedName name="_____A5" hidden="1">#REF!</definedName>
    <definedName name="_____n1" hidden="1">#REF!</definedName>
    <definedName name="_____n2" hidden="1">#REF!</definedName>
    <definedName name="_____S1" hidden="1">#REF!</definedName>
    <definedName name="____A1" hidden="1">#REF!</definedName>
    <definedName name="____A2" hidden="1">#REF!</definedName>
    <definedName name="____A3" hidden="1">#REF!</definedName>
    <definedName name="____A4" hidden="1">#REF!</definedName>
    <definedName name="____A5" hidden="1">#REF!</definedName>
    <definedName name="____n1" hidden="1">#REF!</definedName>
    <definedName name="____n2" hidden="1">#REF!</definedName>
    <definedName name="____S1" hidden="1">#REF!</definedName>
    <definedName name="___A1" hidden="1">#REF!</definedName>
    <definedName name="___A2" hidden="1">#REF!</definedName>
    <definedName name="___A3" hidden="1">#REF!</definedName>
    <definedName name="___A4" hidden="1">#REF!</definedName>
    <definedName name="___A5" hidden="1">#REF!</definedName>
    <definedName name="___as1" hidden="1">{#N/A,#N/A,FALSE,"SumD";#N/A,#N/A,FALSE,"ElecD";#N/A,#N/A,FALSE,"MechD";#N/A,#N/A,FALSE,"GeotD";#N/A,#N/A,FALSE,"PrcsD";#N/A,#N/A,FALSE,"TunnD";#N/A,#N/A,FALSE,"CivlD";#N/A,#N/A,FALSE,"NtwkD";#N/A,#N/A,FALSE,"EstgD";#N/A,#N/A,FALSE,"PEngD"}</definedName>
    <definedName name="___n1" hidden="1">#REF!</definedName>
    <definedName name="___n2" hidden="1">#REF!</definedName>
    <definedName name="___S1" hidden="1">#REF!</definedName>
    <definedName name="__123Graph_A" hidden="1">#REF!</definedName>
    <definedName name="__123Graph_AGraph10" hidden="1">#REF!</definedName>
    <definedName name="__123Graph_AGraph11" hidden="1">#REF!</definedName>
    <definedName name="__123Graph_AGraph12" hidden="1">#REF!</definedName>
    <definedName name="__123Graph_AGraph13" hidden="1">#REF!</definedName>
    <definedName name="__123Graph_AGraph14" hidden="1">#REF!</definedName>
    <definedName name="__123Graph_AGraph15" hidden="1">#REF!</definedName>
    <definedName name="__123Graph_AGraph16" hidden="1">#REF!</definedName>
    <definedName name="__123Graph_AGraph17" hidden="1">#REF!</definedName>
    <definedName name="__123Graph_AGraph18" hidden="1">#REF!</definedName>
    <definedName name="__123Graph_AGraph2" hidden="1">#REF!</definedName>
    <definedName name="__123Graph_AGraph3" hidden="1">#REF!</definedName>
    <definedName name="__123Graph_AGraph4" hidden="1">#REF!</definedName>
    <definedName name="__123Graph_AGraph5" hidden="1">#REF!</definedName>
    <definedName name="__123Graph_AGraph6" hidden="1">#REF!</definedName>
    <definedName name="__123Graph_AGraph7" hidden="1">#REF!</definedName>
    <definedName name="__123Graph_AGraph8" hidden="1">#REF!</definedName>
    <definedName name="__123Graph_AGraph9" hidden="1">#REF!</definedName>
    <definedName name="__123Graph_X" hidden="1">#REF!</definedName>
    <definedName name="__123Graph_XGRA1" hidden="1">#REF!</definedName>
    <definedName name="__123Graph_XGRA2" hidden="1">#REF!</definedName>
    <definedName name="__123Graph_XGraph10" hidden="1">#REF!</definedName>
    <definedName name="__123Graph_XGraph11" hidden="1">#REF!</definedName>
    <definedName name="__123Graph_XGraph12" hidden="1">#REF!</definedName>
    <definedName name="__123Graph_XGraph13" hidden="1">#REF!</definedName>
    <definedName name="__123Graph_XGraph14" hidden="1">#REF!</definedName>
    <definedName name="__123Graph_XGraph15" hidden="1">#REF!</definedName>
    <definedName name="__123Graph_XGraph16" hidden="1">#REF!</definedName>
    <definedName name="__123Graph_XGraph17" hidden="1">#REF!</definedName>
    <definedName name="__123Graph_XGraph18" hidden="1">#REF!</definedName>
    <definedName name="__123Graph_XGraph3" hidden="1">#REF!</definedName>
    <definedName name="__123Graph_XGraph4" hidden="1">#REF!</definedName>
    <definedName name="__123Graph_XGraph5" hidden="1">#REF!</definedName>
    <definedName name="__123Graph_XGraph6" hidden="1">#REF!</definedName>
    <definedName name="__123Graph_XGraph7" hidden="1">#REF!</definedName>
    <definedName name="__123Graph_XGraph8" hidden="1">#REF!</definedName>
    <definedName name="__123Graph_XGraph9" hidden="1">#REF!</definedName>
    <definedName name="__A1" hidden="1">#REF!</definedName>
    <definedName name="__A2" hidden="1">#REF!</definedName>
    <definedName name="__A3" hidden="1">#REF!</definedName>
    <definedName name="__A4" hidden="1">#REF!</definedName>
    <definedName name="__A5" hidden="1">#REF!</definedName>
    <definedName name="__as1" hidden="1">{#N/A,#N/A,FALSE,"SumD";#N/A,#N/A,FALSE,"ElecD";#N/A,#N/A,FALSE,"MechD";#N/A,#N/A,FALSE,"GeotD";#N/A,#N/A,FALSE,"PrcsD";#N/A,#N/A,FALSE,"TunnD";#N/A,#N/A,FALSE,"CivlD";#N/A,#N/A,FALSE,"NtwkD";#N/A,#N/A,FALSE,"EstgD";#N/A,#N/A,FALSE,"PEngD"}</definedName>
    <definedName name="__n1" hidden="1">#REF!</definedName>
    <definedName name="__n2" hidden="1">#REF!</definedName>
    <definedName name="__S1" hidden="1">#REF!</definedName>
    <definedName name="_1_0_0_F" hidden="1">#REF!</definedName>
    <definedName name="_36_0_0_F" hidden="1">#REF!</definedName>
    <definedName name="_37_0_0_F" hidden="1">#REF!</definedName>
    <definedName name="_38_0_0_F" hidden="1">#REF!</definedName>
    <definedName name="_58_0_0_F" hidden="1">#REF!</definedName>
    <definedName name="_59_0_0_F" hidden="1">#REF!</definedName>
    <definedName name="_60_0_0_F" hidden="1">#REF!</definedName>
    <definedName name="_64_0_0_F" hidden="1">#REF!</definedName>
    <definedName name="_65_0_0_F" hidden="1">#REF!</definedName>
    <definedName name="_75_0_0_F" hidden="1">#REF!</definedName>
    <definedName name="_76_0_0_F" hidden="1">#REF!</definedName>
    <definedName name="_77_0_0_F" hidden="1">#REF!</definedName>
    <definedName name="_8_0_0_F" hidden="1">#REF!</definedName>
    <definedName name="_A1" hidden="1">#REF!</definedName>
    <definedName name="_A2" hidden="1">#REF!</definedName>
    <definedName name="_A3" hidden="1">#REF!</definedName>
    <definedName name="_A4" hidden="1">#REF!</definedName>
    <definedName name="_A5" hidden="1">#REF!</definedName>
    <definedName name="_as1" hidden="1">{#N/A,#N/A,FALSE,"SumD";#N/A,#N/A,FALSE,"ElecD";#N/A,#N/A,FALSE,"MechD";#N/A,#N/A,FALSE,"GeotD";#N/A,#N/A,FALSE,"PrcsD";#N/A,#N/A,FALSE,"TunnD";#N/A,#N/A,FALSE,"CivlD";#N/A,#N/A,FALSE,"NtwkD";#N/A,#N/A,FALSE,"EstgD";#N/A,#N/A,FALSE,"PEngD"}</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CAJAS" hidden="1">#REF!</definedName>
    <definedName name="_Dist_Bin" hidden="1">#REF!</definedName>
    <definedName name="_Dist_Values" hidden="1">#REF!</definedName>
    <definedName name="_fdel" hidden="1">#REF!</definedName>
    <definedName name="_Fill" hidden="1">#REF!</definedName>
    <definedName name="_xlnm._FilterDatabase" localSheetId="5" hidden="1">'ARQ SOT'!$A$11:$P$273</definedName>
    <definedName name="_xlnm._FilterDatabase" localSheetId="6" hidden="1">'ARQ TORRE'!$A$10:$P$903</definedName>
    <definedName name="_xlnm._FilterDatabase" localSheetId="3" hidden="1">'EST SOTANO'!$A$10:$K$265</definedName>
    <definedName name="_xlnm._FilterDatabase" localSheetId="4" hidden="1">'EST TORRE'!$A$10:$K$176</definedName>
    <definedName name="_xlnm._FilterDatabase" localSheetId="2" hidden="1">GG!$A$11:$VRR$168</definedName>
    <definedName name="_xlnm._FilterDatabase" localSheetId="0" hidden="1">OP!$A$13:$K$166</definedName>
    <definedName name="_xlnm._FilterDatabase" hidden="1">#REF!</definedName>
    <definedName name="_Key1" hidden="1">#REF!</definedName>
    <definedName name="_Key2" hidden="1">#REF!</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mm" hidden="1">{#N/A,#N/A,FALSE,"SumD";#N/A,#N/A,FALSE,"ElecD";#N/A,#N/A,FALSE,"MechD";#N/A,#N/A,FALSE,"GeotD";#N/A,#N/A,FALSE,"PrcsD";#N/A,#N/A,FALSE,"TunnD";#N/A,#N/A,FALSE,"CivlD";#N/A,#N/A,FALSE,"NtwkD";#N/A,#N/A,FALSE,"EstgD";#N/A,#N/A,FALSE,"PEngD"}</definedName>
    <definedName name="_murostrecca" hidden="1">#REF!</definedName>
    <definedName name="_n1" hidden="1">#REF!</definedName>
    <definedName name="_n2" hidden="1">#REF!</definedName>
    <definedName name="_Order1" hidden="1">255</definedName>
    <definedName name="_Order2" hidden="1">255</definedName>
    <definedName name="_Parse_Out" hidden="1">#REF!</definedName>
    <definedName name="_Regression_Int" hidden="1">1</definedName>
    <definedName name="_Regression_Out" hidden="1">#REF!</definedName>
    <definedName name="_Regression_X" hidden="1">#REF!</definedName>
    <definedName name="_Regression_Y" hidden="1">#REF!</definedName>
    <definedName name="_s" hidden="1">#REF!</definedName>
    <definedName name="_S1" hidden="1">#REF!</definedName>
    <definedName name="_Sort" hidden="1">#REF!</definedName>
    <definedName name="´cAE°eE¹" hidden="1">#REF!</definedName>
    <definedName name="￠￥cAE¡ÆeEⓒo" hidden="1">#REF!</definedName>
    <definedName name="aaaa" hidden="1">{"CONCABL1.1",#N/A,FALSE,"1.1.1a1.1.3 ACSR";"AISL1.2",#N/A,FALSE,"1.1.1a1.1.3 ACSR";"torr1.1.3",#N/A,FALSE,"1.1.1a1.1.3 ACSR";"cm1.2",#N/A,FALSE,"1.2 ACSR";"cm2.2",#N/A,FALSE,"1.2 ACSR";#N/A,#N/A,FALSE,"1.3 ACSR";#N/A,#N/A,FALSE,"2.1.1A2.1.3 ACAR";"ac2.1",#N/A,FALSE,"1.2 ACAR";"ac2.2",#N/A,FALSE,"1.2 ACAR";#N/A,#N/A,FALSE,"2.3 ACAR"}</definedName>
    <definedName name="AAAAA" hidden="1">#REF!</definedName>
    <definedName name="AB" hidden="1">{#N/A,#N/A,TRUE,"INGENIERIA";#N/A,#N/A,TRUE,"COMPRAS";#N/A,#N/A,TRUE,"DIRECCION";#N/A,#N/A,TRUE,"RESUMEN"}</definedName>
    <definedName name="ABCDE" hidden="1">#REF!</definedName>
    <definedName name="AccessDatabase" hidden="1">"C:\posec\DATABASE\vlv_list\vlvlist1.mdb"</definedName>
    <definedName name="anscount" hidden="1">1</definedName>
    <definedName name="as" hidden="1">{#N/A,#N/A,FALSE,"SumD";#N/A,#N/A,FALSE,"ElecD";#N/A,#N/A,FALSE,"MechD";#N/A,#N/A,FALSE,"GeotD";#N/A,#N/A,FALSE,"PrcsD";#N/A,#N/A,FALSE,"TunnD";#N/A,#N/A,FALSE,"CivlD";#N/A,#N/A,FALSE,"NtwkD";#N/A,#N/A,FALSE,"EstgD";#N/A,#N/A,FALSE,"PEngD"}</definedName>
    <definedName name="asdd" hidden="1">{#N/A,#N/A,FALSE,"SumD";#N/A,#N/A,FALSE,"ElecD";#N/A,#N/A,FALSE,"MechD";#N/A,#N/A,FALSE,"GeotD";#N/A,#N/A,FALSE,"PrcsD";#N/A,#N/A,FALSE,"TunnD";#N/A,#N/A,FALSE,"CivlD";#N/A,#N/A,FALSE,"NtwkD";#N/A,#N/A,FALSE,"EstgD";#N/A,#N/A,FALSE,"PEngD"}</definedName>
    <definedName name="ased" hidden="1">{#N/A,#N/A,FALSE,"SumG";#N/A,#N/A,FALSE,"ElecG";#N/A,#N/A,FALSE,"MechG";#N/A,#N/A,FALSE,"GeotG";#N/A,#N/A,FALSE,"PrcsG";#N/A,#N/A,FALSE,"TunnG";#N/A,#N/A,FALSE,"CivlG";#N/A,#N/A,FALSE,"NtwkG";#N/A,#N/A,FALSE,"EstgG";#N/A,#N/A,FALSE,"PEngG"}</definedName>
    <definedName name="ASF" hidden="1">#REF!</definedName>
    <definedName name="asssss" hidden="1">{#N/A,#N/A,FALSE,"SumD";#N/A,#N/A,FALSE,"ElecD";#N/A,#N/A,FALSE,"MechD";#N/A,#N/A,FALSE,"GeotD";#N/A,#N/A,FALSE,"PrcsD";#N/A,#N/A,FALSE,"TunnD";#N/A,#N/A,FALSE,"CivlD";#N/A,#N/A,FALSE,"NtwkD";#N/A,#N/A,FALSE,"EstgD";#N/A,#N/A,FALSE,"PEngD"}</definedName>
    <definedName name="bbbbb" hidden="1">{#N/A,#N/A,FALSE,"SumD";#N/A,#N/A,FALSE,"ElecD";#N/A,#N/A,FALSE,"MechD";#N/A,#N/A,FALSE,"GeotD";#N/A,#N/A,FALSE,"PrcsD";#N/A,#N/A,FALSE,"TunnD";#N/A,#N/A,FALSE,"CivlD";#N/A,#N/A,FALSE,"NtwkD";#N/A,#N/A,FALSE,"EstgD";#N/A,#N/A,FALSE,"PEngD"}</definedName>
    <definedName name="bbbbbb" hidden="1">{#N/A,#N/A,FALSE,"SumG";#N/A,#N/A,FALSE,"ElecG";#N/A,#N/A,FALSE,"MechG";#N/A,#N/A,FALSE,"GeotG";#N/A,#N/A,FALSE,"PrcsG";#N/A,#N/A,FALSE,"TunnG";#N/A,#N/A,FALSE,"CivlG";#N/A,#N/A,FALSE,"NtwkG";#N/A,#N/A,FALSE,"EstgG";#N/A,#N/A,FALSE,"PEngG"}</definedName>
    <definedName name="bn" hidden="1">{#N/A,#N/A,TRUE,"1842CWN0"}</definedName>
    <definedName name="CAJAS" hidden="1">#REF!</definedName>
    <definedName name="CCC" hidden="1">#REF!</definedName>
    <definedName name="ccccc" hidden="1">{#N/A,#N/A,FALSE,"SumD";#N/A,#N/A,FALSE,"ElecD";#N/A,#N/A,FALSE,"MechD";#N/A,#N/A,FALSE,"GeotD";#N/A,#N/A,FALSE,"PrcsD";#N/A,#N/A,FALSE,"TunnD";#N/A,#N/A,FALSE,"CivlD";#N/A,#N/A,FALSE,"NtwkD";#N/A,#N/A,FALSE,"EstgD";#N/A,#N/A,FALSE,"PEngD"}</definedName>
    <definedName name="cccccc" hidden="1">{#N/A,#N/A,FALSE,"SumG";#N/A,#N/A,FALSE,"ElecG";#N/A,#N/A,FALSE,"MechG";#N/A,#N/A,FALSE,"GeotG";#N/A,#N/A,FALSE,"PrcsG";#N/A,#N/A,FALSE,"TunnG";#N/A,#N/A,FALSE,"CivlG";#N/A,#N/A,FALSE,"NtwkG";#N/A,#N/A,FALSE,"EstgG";#N/A,#N/A,FALSE,"PEngG"}</definedName>
    <definedName name="CIM" hidden="1">#REF!</definedName>
    <definedName name="Columnetas" hidden="1">#REF!</definedName>
    <definedName name="CY" hidden="1">{#N/A,#N/A,TRUE,"1842CWN0"}</definedName>
    <definedName name="d" hidden="1">#REF!</definedName>
    <definedName name="dddd" hidden="1">{#N/A,#N/A,FALSE,"SumD";#N/A,#N/A,FALSE,"ElecD";#N/A,#N/A,FALSE,"MechD";#N/A,#N/A,FALSE,"GeotD";#N/A,#N/A,FALSE,"PrcsD";#N/A,#N/A,FALSE,"TunnD";#N/A,#N/A,FALSE,"CivlD";#N/A,#N/A,FALSE,"NtwkD";#N/A,#N/A,FALSE,"EstgD";#N/A,#N/A,FALSE,"PEngD"}</definedName>
    <definedName name="ddddd" hidden="1">{#N/A,#N/A,FALSE,"SumD";#N/A,#N/A,FALSE,"ElecD";#N/A,#N/A,FALSE,"MechD";#N/A,#N/A,FALSE,"GeotD";#N/A,#N/A,FALSE,"PrcsD";#N/A,#N/A,FALSE,"TunnD";#N/A,#N/A,FALSE,"CivlD";#N/A,#N/A,FALSE,"NtwkD";#N/A,#N/A,FALSE,"EstgD";#N/A,#N/A,FALSE,"PEngD"}</definedName>
    <definedName name="ddffggs" hidden="1">{#N/A,#N/A,FALSE,"SumD";#N/A,#N/A,FALSE,"ElecD";#N/A,#N/A,FALSE,"MechD";#N/A,#N/A,FALSE,"GeotD";#N/A,#N/A,FALSE,"PrcsD";#N/A,#N/A,FALSE,"TunnD";#N/A,#N/A,FALSE,"CivlD";#N/A,#N/A,FALSE,"NtwkD";#N/A,#N/A,FALSE,"EstgD";#N/A,#N/A,FALSE,"PEngD"}</definedName>
    <definedName name="df" hidden="1">#REF!</definedName>
    <definedName name="dfffff"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SAF" hidden="1">#REF!</definedName>
    <definedName name="dsfd" hidden="1">#REF!</definedName>
    <definedName name="dvbgf" hidden="1">{#N/A,#N/A,FALSE,"SumD";#N/A,#N/A,FALSE,"ElecD";#N/A,#N/A,FALSE,"MechD";#N/A,#N/A,FALSE,"GeotD";#N/A,#N/A,FALSE,"PrcsD";#N/A,#N/A,FALSE,"TunnD";#N/A,#N/A,FALSE,"CivlD";#N/A,#N/A,FALSE,"NtwkD";#N/A,#N/A,FALSE,"EstgD";#N/A,#N/A,FALSE,"PEngD"}</definedName>
    <definedName name="E" hidden="1">#REF!</definedName>
    <definedName name="ED" hidden="1">#REF!</definedName>
    <definedName name="edds" hidden="1">{#N/A,#N/A,FALSE,"SumD";#N/A,#N/A,FALSE,"ElecD";#N/A,#N/A,FALSE,"MechD";#N/A,#N/A,FALSE,"GeotD";#N/A,#N/A,FALSE,"PrcsD";#N/A,#N/A,FALSE,"TunnD";#N/A,#N/A,FALSE,"CivlD";#N/A,#N/A,FALSE,"NtwkD";#N/A,#N/A,FALSE,"EstgD";#N/A,#N/A,FALSE,"PEngD"}</definedName>
    <definedName name="edfr" hidden="1">{#N/A,#N/A,FALSE,"SumG";#N/A,#N/A,FALSE,"ElecG";#N/A,#N/A,FALSE,"MechG";#N/A,#N/A,FALSE,"GeotG";#N/A,#N/A,FALSE,"PrcsG";#N/A,#N/A,FALSE,"TunnG";#N/A,#N/A,FALSE,"CivlG";#N/A,#N/A,FALSE,"NtwkG";#N/A,#N/A,FALSE,"EstgG";#N/A,#N/A,FALSE,"PEngG"}</definedName>
    <definedName name="edfrt" hidden="1">{#N/A,#N/A,FALSE,"SumG";#N/A,#N/A,FALSE,"ElecG";#N/A,#N/A,FALSE,"MechG";#N/A,#N/A,FALSE,"GeotG";#N/A,#N/A,FALSE,"PrcsG";#N/A,#N/A,FALSE,"TunnG";#N/A,#N/A,FALSE,"CivlG";#N/A,#N/A,FALSE,"NtwkG";#N/A,#N/A,FALSE,"EstgG";#N/A,#N/A,FALSE,"PEngG"}</definedName>
    <definedName name="ee" hidden="1">{#N/A,#N/A,FALSE,"SumG";#N/A,#N/A,FALSE,"ElecG";#N/A,#N/A,FALSE,"MechG";#N/A,#N/A,FALSE,"GeotG";#N/A,#N/A,FALSE,"PrcsG";#N/A,#N/A,FALSE,"TunnG";#N/A,#N/A,FALSE,"CivlG";#N/A,#N/A,FALSE,"NtwkG";#N/A,#N/A,FALSE,"EstgG";#N/A,#N/A,FALSE,"PEngG"}</definedName>
    <definedName name="eedd" hidden="1">{#N/A,#N/A,FALSE,"SumG";#N/A,#N/A,FALSE,"ElecG";#N/A,#N/A,FALSE,"MechG";#N/A,#N/A,FALSE,"GeotG";#N/A,#N/A,FALSE,"PrcsG";#N/A,#N/A,FALSE,"TunnG";#N/A,#N/A,FALSE,"CivlG";#N/A,#N/A,FALSE,"NtwkG";#N/A,#N/A,FALSE,"EstgG";#N/A,#N/A,FALSE,"PEngG"}</definedName>
    <definedName name="EEEEEEEEEEEEEEEEEEEEEEEEEEEEEEEEEEEEEEEEEEEEEEEEEEEEEEEEEEEEEEEEEEEEEEEEEEEEEEEEEEEEEEEEEEEEEEEEEEEEEEEEEEEEEEEEEEEEEEEEEEEEEEEEEEEEEEEEEEEEEEEEEEE" hidden="1">#REF!</definedName>
    <definedName name="eeerrt" hidden="1">{#N/A,#N/A,FALSE,"SumG";#N/A,#N/A,FALSE,"ElecG";#N/A,#N/A,FALSE,"MechG";#N/A,#N/A,FALSE,"GeotG";#N/A,#N/A,FALSE,"PrcsG";#N/A,#N/A,FALSE,"TunnG";#N/A,#N/A,FALSE,"CivlG";#N/A,#N/A,FALSE,"NtwkG";#N/A,#N/A,FALSE,"EstgG";#N/A,#N/A,FALSE,"PEngG"}</definedName>
    <definedName name="ele" hidden="1">{"CONCABL1.1",#N/A,FALSE,"1.1.1a1.1.3 ACSR";"AISL1.2",#N/A,FALSE,"1.1.1a1.1.3 ACSR";"torr1.1.3",#N/A,FALSE,"1.1.1a1.1.3 ACSR";"cm1.2",#N/A,FALSE,"1.2 ACSR";"cm2.2",#N/A,FALSE,"1.2 ACSR";#N/A,#N/A,FALSE,"1.3 ACSR";#N/A,#N/A,FALSE,"2.1.1A2.1.3 ACAR";"ac2.1",#N/A,FALSE,"1.2 ACAR";"ac2.2",#N/A,FALSE,"1.2 ACAR";#N/A,#N/A,FALSE,"2.3 ACAR"}</definedName>
    <definedName name="elec" hidden="1">#REF!</definedName>
    <definedName name="elect" hidden="1">{"CONCABL1.1",#N/A,FALSE,"1.1.1a1.1.3 ACSR";"AISL1.2",#N/A,FALSE,"1.1.1a1.1.3 ACSR";"torr1.1.3",#N/A,FALSE,"1.1.1a1.1.3 ACSR";"cm1.2",#N/A,FALSE,"1.2 ACSR";"cm2.2",#N/A,FALSE,"1.2 ACSR";#N/A,#N/A,FALSE,"1.3 ACSR";#N/A,#N/A,FALSE,"2.1.1A2.1.3 ACAR";"ac2.1",#N/A,FALSE,"1.2 ACAR";"ac2.2",#N/A,FALSE,"1.2 ACAR";#N/A,#N/A,FALSE,"2.3 ACAR"}</definedName>
    <definedName name="Electricas1" hidden="1">{"CONCABL1.1",#N/A,FALSE,"1.1.1a1.1.3 ACSR";"AISL1.2",#N/A,FALSE,"1.1.1a1.1.3 ACSR";"torr1.1.3",#N/A,FALSE,"1.1.1a1.1.3 ACSR";"cm1.2",#N/A,FALSE,"1.2 ACSR";"cm2.2",#N/A,FALSE,"1.2 ACSR";#N/A,#N/A,FALSE,"1.3 ACSR";#N/A,#N/A,FALSE,"2.1.1A2.1.3 ACAR";"ac2.1",#N/A,FALSE,"1.2 ACAR";"ac2.2",#N/A,FALSE,"1.2 ACAR";#N/A,#N/A,FALSE,"2.3 ACAR"}</definedName>
    <definedName name="equipamiento" hidden="1">#REF!</definedName>
    <definedName name="fd" hidden="1">#REF!</definedName>
    <definedName name="fdff" hidden="1">{#N/A,#N/A,FALSE,"SumG";#N/A,#N/A,FALSE,"ElecG";#N/A,#N/A,FALSE,"MechG";#N/A,#N/A,FALSE,"GeotG";#N/A,#N/A,FALSE,"PrcsG";#N/A,#N/A,FALSE,"TunnG";#N/A,#N/A,FALSE,"CivlG";#N/A,#N/A,FALSE,"NtwkG";#N/A,#N/A,FALSE,"EstgG";#N/A,#N/A,FALSE,"PEngG"}</definedName>
    <definedName name="FFFF" hidden="1">#REF!</definedName>
    <definedName name="fffff" hidden="1">{#N/A,#N/A,FALSE,"SumG";#N/A,#N/A,FALSE,"ElecG";#N/A,#N/A,FALSE,"MechG";#N/A,#N/A,FALSE,"GeotG";#N/A,#N/A,FALSE,"PrcsG";#N/A,#N/A,FALSE,"TunnG";#N/A,#N/A,FALSE,"CivlG";#N/A,#N/A,FALSE,"NtwkG";#N/A,#N/A,FALSE,"EstgG";#N/A,#N/A,FALSE,"PEngG"}</definedName>
    <definedName name="fffffff" hidden="1">{#N/A,#N/A,FALSE,"SumG";#N/A,#N/A,FALSE,"ElecG";#N/A,#N/A,FALSE,"MechG";#N/A,#N/A,FALSE,"GeotG";#N/A,#N/A,FALSE,"PrcsG";#N/A,#N/A,FALSE,"TunnG";#N/A,#N/A,FALSE,"CivlG";#N/A,#N/A,FALSE,"NtwkG";#N/A,#N/A,FALSE,"EstgG";#N/A,#N/A,FALSE,"PEngG"}</definedName>
    <definedName name="ffffffffff" hidden="1">{#N/A,#N/A,FALSE,"SumG";#N/A,#N/A,FALSE,"ElecG";#N/A,#N/A,FALSE,"MechG";#N/A,#N/A,FALSE,"GeotG";#N/A,#N/A,FALSE,"PrcsG";#N/A,#N/A,FALSE,"TunnG";#N/A,#N/A,FALSE,"CivlG";#N/A,#N/A,FALSE,"NtwkG";#N/A,#N/A,FALSE,"EstgG";#N/A,#N/A,FALSE,"PEngG"}</definedName>
    <definedName name="FFFFFFFFFFFFFFFF" hidden="1">#REF!</definedName>
    <definedName name="FFFFFFFFFFFFFFFFFFFFFFFFFFFFFFFFFFFFFFFFFFFFFFFFFFFFFFFFFFFFFFFFFF" hidden="1">#REF!</definedName>
    <definedName name="fg" hidden="1">{#N/A,#N/A,FALSE,"SumG";#N/A,#N/A,FALSE,"ElecG";#N/A,#N/A,FALSE,"MechG";#N/A,#N/A,FALSE,"GeotG";#N/A,#N/A,FALSE,"PrcsG";#N/A,#N/A,FALSE,"TunnG";#N/A,#N/A,FALSE,"CivlG";#N/A,#N/A,FALSE,"NtwkG";#N/A,#N/A,FALSE,"EstgG";#N/A,#N/A,FALSE,"PEngG"}</definedName>
    <definedName name="fgdfg" hidden="1">{#N/A,#N/A,FALSE,"SumD";#N/A,#N/A,FALSE,"ElecD";#N/A,#N/A,FALSE,"MechD";#N/A,#N/A,FALSE,"GeotD";#N/A,#N/A,FALSE,"PrcsD";#N/A,#N/A,FALSE,"TunnD";#N/A,#N/A,FALSE,"CivlD";#N/A,#N/A,FALSE,"NtwkD";#N/A,#N/A,FALSE,"EstgD";#N/A,#N/A,FALSE,"PEngD"}</definedName>
    <definedName name="fgfdg" hidden="1">{#N/A,#N/A,FALSE,"SumG";#N/A,#N/A,FALSE,"ElecG";#N/A,#N/A,FALSE,"MechG";#N/A,#N/A,FALSE,"GeotG";#N/A,#N/A,FALSE,"PrcsG";#N/A,#N/A,FALSE,"TunnG";#N/A,#N/A,FALSE,"CivlG";#N/A,#N/A,FALSE,"NtwkG";#N/A,#N/A,FALSE,"EstgG";#N/A,#N/A,FALSE,"PEngG"}</definedName>
    <definedName name="fghfg"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hg" hidden="1">{#N/A,#N/A,TRUE,"1842CWN0"}</definedName>
    <definedName name="fill" hidden="1">#REF!</definedName>
    <definedName name="FSD" hidden="1">#REF!</definedName>
    <definedName name="FTDSH" hidden="1">#REF!</definedName>
    <definedName name="FU" hidden="1">#REF!</definedName>
    <definedName name="gbggg" hidden="1">{#N/A,#N/A,FALSE,"SumD";#N/A,#N/A,FALSE,"ElecD";#N/A,#N/A,FALSE,"MechD";#N/A,#N/A,FALSE,"GeotD";#N/A,#N/A,FALSE,"PrcsD";#N/A,#N/A,FALSE,"TunnD";#N/A,#N/A,FALSE,"CivlD";#N/A,#N/A,FALSE,"NtwkD";#N/A,#N/A,FALSE,"EstgD";#N/A,#N/A,FALSE,"PEngD"}</definedName>
    <definedName name="gfd" hidden="1">#REF!</definedName>
    <definedName name="gfdgfdg"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hidden="1">{#N/A,#N/A,FALSE,"SumG";#N/A,#N/A,FALSE,"ElecG";#N/A,#N/A,FALSE,"MechG";#N/A,#N/A,FALSE,"GeotG";#N/A,#N/A,FALSE,"PrcsG";#N/A,#N/A,FALSE,"TunnG";#N/A,#N/A,FALSE,"CivlG";#N/A,#N/A,FALSE,"NtwkG";#N/A,#N/A,FALSE,"EstgG";#N/A,#N/A,FALSE,"PEngG"}</definedName>
    <definedName name="gggg" hidden="1">{#N/A,#N/A,FALSE,"SumD";#N/A,#N/A,FALSE,"ElecD";#N/A,#N/A,FALSE,"MechD";#N/A,#N/A,FALSE,"GeotD";#N/A,#N/A,FALSE,"PrcsD";#N/A,#N/A,FALSE,"TunnD";#N/A,#N/A,FALSE,"CivlD";#N/A,#N/A,FALSE,"NtwkD";#N/A,#N/A,FALSE,"EstgD";#N/A,#N/A,FALSE,"PEngD"}</definedName>
    <definedName name="GGGGG" hidden="1">#REF!</definedName>
    <definedName name="ggggggg" hidden="1">{#N/A,#N/A,FALSE,"SumD";#N/A,#N/A,FALSE,"ElecD";#N/A,#N/A,FALSE,"MechD";#N/A,#N/A,FALSE,"GeotD";#N/A,#N/A,FALSE,"PrcsD";#N/A,#N/A,FALSE,"TunnD";#N/A,#N/A,FALSE,"CivlD";#N/A,#N/A,FALSE,"NtwkD";#N/A,#N/A,FALSE,"EstgD";#N/A,#N/A,FALSE,"PEngD"}</definedName>
    <definedName name="gguu" hidden="1">{#N/A,#N/A,TRUE,"1842CWN0"}</definedName>
    <definedName name="gh" hidden="1">#REF!</definedName>
    <definedName name="ghggg" hidden="1">{#N/A,#N/A,FALSE,"SumG";#N/A,#N/A,FALSE,"ElecG";#N/A,#N/A,FALSE,"MechG";#N/A,#N/A,FALSE,"GeotG";#N/A,#N/A,FALSE,"PrcsG";#N/A,#N/A,FALSE,"TunnG";#N/A,#N/A,FALSE,"CivlG";#N/A,#N/A,FALSE,"NtwkG";#N/A,#N/A,FALSE,"EstgG";#N/A,#N/A,FALSE,"PEngG"}</definedName>
    <definedName name="gjgf" hidden="1">{#N/A,#N/A,TRUE,"INGENIERIA";#N/A,#N/A,TRUE,"COMPRAS";#N/A,#N/A,TRUE,"DIRECCION";#N/A,#N/A,TRUE,"RESUMEN"}</definedName>
    <definedName name="gjhgfj" hidden="1">{#N/A,#N/A,TRUE,"1842CWN0"}</definedName>
    <definedName name="gjjkk" hidden="1">{#N/A,#N/A,TRUE,"1842CWN0"}</definedName>
    <definedName name="graf" hidden="1">#REF!</definedName>
    <definedName name="grafico" hidden="1">#REF!</definedName>
    <definedName name="graph0" hidden="1">#REF!</definedName>
    <definedName name="Graph1" hidden="1">#REF!</definedName>
    <definedName name="hgjkiklj" hidden="1">{#N/A,#N/A,TRUE,"1842CWN0"}</definedName>
    <definedName name="hhhh" hidden="1">{#N/A,#N/A,FALSE,"SumG";#N/A,#N/A,FALSE,"ElecG";#N/A,#N/A,FALSE,"MechG";#N/A,#N/A,FALSE,"GeotG";#N/A,#N/A,FALSE,"PrcsG";#N/A,#N/A,FALSE,"TunnG";#N/A,#N/A,FALSE,"CivlG";#N/A,#N/A,FALSE,"NtwkG";#N/A,#N/A,FALSE,"EstgG";#N/A,#N/A,FALSE,"PEngG"}</definedName>
    <definedName name="hjhhhkkhkhkh" hidden="1">{#N/A,#N/A,FALSE,"SumG";#N/A,#N/A,FALSE,"ElecG";#N/A,#N/A,FALSE,"MechG";#N/A,#N/A,FALSE,"GeotG";#N/A,#N/A,FALSE,"PrcsG";#N/A,#N/A,FALSE,"TunnG";#N/A,#N/A,FALSE,"CivlG";#N/A,#N/A,FALSE,"NtwkG";#N/A,#N/A,FALSE,"EstgG";#N/A,#N/A,FALSE,"PEngG"}</definedName>
    <definedName name="HJHJYUT" hidden="1">{#N/A,#N/A,TRUE,"1842CWN0"}</definedName>
    <definedName name="HTML_CodePage" hidden="1">949</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iiii" hidden="1">{#N/A,#N/A,FALSE,"SumD";#N/A,#N/A,FALSE,"ElecD";#N/A,#N/A,FALSE,"MechD";#N/A,#N/A,FALSE,"GeotD";#N/A,#N/A,FALSE,"PrcsD";#N/A,#N/A,FALSE,"TunnD";#N/A,#N/A,FALSE,"CivlD";#N/A,#N/A,FALSE,"NtwkD";#N/A,#N/A,FALSE,"EstgD";#N/A,#N/A,FALSE,"PEngD"}</definedName>
    <definedName name="iikl" hidden="1">{#N/A,#N/A,FALSE,"SumD";#N/A,#N/A,FALSE,"ElecD";#N/A,#N/A,FALSE,"MechD";#N/A,#N/A,FALSE,"GeotD";#N/A,#N/A,FALSE,"PrcsD";#N/A,#N/A,FALSE,"TunnD";#N/A,#N/A,FALSE,"CivlD";#N/A,#N/A,FALSE,"NtwkD";#N/A,#N/A,FALSE,"EstgD";#N/A,#N/A,FALSE,"PEngD"}</definedName>
    <definedName name="IIMMXX" hidden="1">#REF!</definedName>
    <definedName name="ikkkk" hidden="1">{#N/A,#N/A,FALSE,"SumD";#N/A,#N/A,FALSE,"ElecD";#N/A,#N/A,FALSE,"MechD";#N/A,#N/A,FALSE,"GeotD";#N/A,#N/A,FALSE,"PrcsD";#N/A,#N/A,FALSE,"TunnD";#N/A,#N/A,FALSE,"CivlD";#N/A,#N/A,FALSE,"NtwkD";#N/A,#N/A,FALSE,"EstgD";#N/A,#N/A,FALSE,"PEngD"}</definedName>
    <definedName name="ikkkkk" hidden="1">{#N/A,#N/A,FALSE,"SumD";#N/A,#N/A,FALSE,"ElecD";#N/A,#N/A,FALSE,"MechD";#N/A,#N/A,FALSE,"GeotD";#N/A,#N/A,FALSE,"PrcsD";#N/A,#N/A,FALSE,"TunnD";#N/A,#N/A,FALSE,"CivlD";#N/A,#N/A,FALSE,"NtwkD";#N/A,#N/A,FALSE,"EstgD";#N/A,#N/A,FALSE,"PEngD"}</definedName>
    <definedName name="IKLIULIU"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iklo" hidden="1">{#N/A,#N/A,FALSE,"SumD";#N/A,#N/A,FALSE,"ElecD";#N/A,#N/A,FALSE,"MechD";#N/A,#N/A,FALSE,"GeotD";#N/A,#N/A,FALSE,"PrcsD";#N/A,#N/A,FALSE,"TunnD";#N/A,#N/A,FALSE,"CivlD";#N/A,#N/A,FALSE,"NtwkD";#N/A,#N/A,FALSE,"EstgD";#N/A,#N/A,FALSE,"PEngD"}</definedName>
    <definedName name="ilhgbfh" hidden="1">{#N/A,#N/A,TRUE,"1842CWN0"}</definedName>
    <definedName name="IOIUOUI" hidden="1">{#N/A,#N/A,TRUE,"INGENIERIA";#N/A,#N/A,TRUE,"COMPRAS";#N/A,#N/A,TRUE,"DIRECCION";#N/A,#N/A,TRUE,"RESUMEN"}</definedName>
    <definedName name="iooll" hidden="1">{#N/A,#N/A,TRUE,"INGENIERIA";#N/A,#N/A,TRUE,"COMPRAS";#N/A,#N/A,TRUE,"DIRECCION";#N/A,#N/A,TRUE,"RESUMEN"}</definedName>
    <definedName name="jfxn" hidden="1">#REF!</definedName>
    <definedName name="jh" hidden="1">{#N/A,#N/A,FALSE,"SumG";#N/A,#N/A,FALSE,"ElecG";#N/A,#N/A,FALSE,"MechG";#N/A,#N/A,FALSE,"GeotG";#N/A,#N/A,FALSE,"PrcsG";#N/A,#N/A,FALSE,"TunnG";#N/A,#N/A,FALSE,"CivlG";#N/A,#N/A,FALSE,"NtwkG";#N/A,#N/A,FALSE,"EstgG";#N/A,#N/A,FALSE,"PEngG"}</definedName>
    <definedName name="jjj" hidden="1">{#N/A,#N/A,FALSE,"SumG";#N/A,#N/A,FALSE,"ElecG";#N/A,#N/A,FALSE,"MechG";#N/A,#N/A,FALSE,"GeotG";#N/A,#N/A,FALSE,"PrcsG";#N/A,#N/A,FALSE,"TunnG";#N/A,#N/A,FALSE,"CivlG";#N/A,#N/A,FALSE,"NtwkG";#N/A,#N/A,FALSE,"EstgG";#N/A,#N/A,FALSE,"PEngG"}</definedName>
    <definedName name="jjjjj" hidden="1">{#N/A,#N/A,FALSE,"SumG";#N/A,#N/A,FALSE,"ElecG";#N/A,#N/A,FALSE,"MechG";#N/A,#N/A,FALSE,"GeotG";#N/A,#N/A,FALSE,"PrcsG";#N/A,#N/A,FALSE,"TunnG";#N/A,#N/A,FALSE,"CivlG";#N/A,#N/A,FALSE,"NtwkG";#N/A,#N/A,FALSE,"EstgG";#N/A,#N/A,FALSE,"PEngG"}</definedName>
    <definedName name="jjjjjjj" hidden="1">{#N/A,#N/A,FALSE,"SumG";#N/A,#N/A,FALSE,"ElecG";#N/A,#N/A,FALSE,"MechG";#N/A,#N/A,FALSE,"GeotG";#N/A,#N/A,FALSE,"PrcsG";#N/A,#N/A,FALSE,"TunnG";#N/A,#N/A,FALSE,"CivlG";#N/A,#N/A,FALSE,"NtwkG";#N/A,#N/A,FALSE,"EstgG";#N/A,#N/A,FALSE,"PEngG"}</definedName>
    <definedName name="jjjjuu" hidden="1">{#N/A,#N/A,FALSE,"SumG";#N/A,#N/A,FALSE,"ElecG";#N/A,#N/A,FALSE,"MechG";#N/A,#N/A,FALSE,"GeotG";#N/A,#N/A,FALSE,"PrcsG";#N/A,#N/A,FALSE,"TunnG";#N/A,#N/A,FALSE,"CivlG";#N/A,#N/A,FALSE,"NtwkG";#N/A,#N/A,FALSE,"EstgG";#N/A,#N/A,FALSE,"PEngG"}</definedName>
    <definedName name="KEY" hidden="1">#REF!</definedName>
    <definedName name="kj" hidden="1">#REF!</definedName>
    <definedName name="kjhkj" hidden="1">{#N/A,#N/A,FALSE,"SumG";#N/A,#N/A,FALSE,"ElecG";#N/A,#N/A,FALSE,"MechG";#N/A,#N/A,FALSE,"GeotG";#N/A,#N/A,FALSE,"PrcsG";#N/A,#N/A,FALSE,"TunnG";#N/A,#N/A,FALSE,"CivlG";#N/A,#N/A,FALSE,"NtwkG";#N/A,#N/A,FALSE,"EstgG";#N/A,#N/A,FALSE,"PEngG"}</definedName>
    <definedName name="kjp" hidden="1">#REF!</definedName>
    <definedName name="kk" hidden="1">{#N/A,#N/A,FALSE,"SumD";#N/A,#N/A,FALSE,"ElecD";#N/A,#N/A,FALSE,"MechD";#N/A,#N/A,FALSE,"GeotD";#N/A,#N/A,FALSE,"PrcsD";#N/A,#N/A,FALSE,"TunnD";#N/A,#N/A,FALSE,"CivlD";#N/A,#N/A,FALSE,"NtwkD";#N/A,#N/A,FALSE,"EstgD";#N/A,#N/A,FALSE,"PEngD"}</definedName>
    <definedName name="kkk" hidden="1">{#N/A,#N/A,FALSE,"SumG";#N/A,#N/A,FALSE,"ElecG";#N/A,#N/A,FALSE,"MechG";#N/A,#N/A,FALSE,"GeotG";#N/A,#N/A,FALSE,"PrcsG";#N/A,#N/A,FALSE,"TunnG";#N/A,#N/A,FALSE,"CivlG";#N/A,#N/A,FALSE,"NtwkG";#N/A,#N/A,FALSE,"EstgG";#N/A,#N/A,FALSE,"PEngG"}</definedName>
    <definedName name="kkkk" hidden="1">{#N/A,#N/A,FALSE,"WBS 1.06";#N/A,#N/A,FALSE,"WBS 1.14";#N/A,#N/A,FALSE,"WBS 1.17";#N/A,#N/A,FALSE,"WBS 1.18"}</definedName>
    <definedName name="kkkl" hidden="1">#REF!</definedName>
    <definedName name="limcount" hidden="1">1</definedName>
    <definedName name="lk" hidden="1">#REF!</definedName>
    <definedName name="LKL" hidden="1">{#N/A,#N/A,FALSE,"SumG";#N/A,#N/A,FALSE,"ElecG";#N/A,#N/A,FALSE,"MechG";#N/A,#N/A,FALSE,"GeotG";#N/A,#N/A,FALSE,"PrcsG";#N/A,#N/A,FALSE,"TunnG";#N/A,#N/A,FALSE,"CivlG";#N/A,#N/A,FALSE,"NtwkG";#N/A,#N/A,FALSE,"EstgG";#N/A,#N/A,FALSE,"PEngG"}</definedName>
    <definedName name="ll" hidden="1">{#N/A,#N/A,FALSE,"SumG";#N/A,#N/A,FALSE,"ElecG";#N/A,#N/A,FALSE,"MechG";#N/A,#N/A,FALSE,"GeotG";#N/A,#N/A,FALSE,"PrcsG";#N/A,#N/A,FALSE,"TunnG";#N/A,#N/A,FALSE,"CivlG";#N/A,#N/A,FALSE,"NtwkG";#N/A,#N/A,FALSE,"EstgG";#N/A,#N/A,FALSE,"PEngG"}</definedName>
    <definedName name="llll" hidden="1">{#N/A,#N/A,FALSE,"SumG";#N/A,#N/A,FALSE,"ElecG";#N/A,#N/A,FALSE,"MechG";#N/A,#N/A,FALSE,"GeotG";#N/A,#N/A,FALSE,"PrcsG";#N/A,#N/A,FALSE,"TunnG";#N/A,#N/A,FALSE,"CivlG";#N/A,#N/A,FALSE,"NtwkG";#N/A,#N/A,FALSE,"EstgG";#N/A,#N/A,FALSE,"PEngG"}</definedName>
    <definedName name="llllkk" hidden="1">{#N/A,#N/A,FALSE,"Pricing";#N/A,#N/A,FALSE,"Summary";#N/A,#N/A,FALSE,"CompProd";#N/A,#N/A,FALSE,"CompJobhrs";#N/A,#N/A,FALSE,"Escalation";#N/A,#N/A,FALSE,"Contingency";#N/A,#N/A,FALSE,"GM";#N/A,#N/A,FALSE,"CompWage";#N/A,#N/A,FALSE,"costSum"}</definedName>
    <definedName name="loik" hidden="1">{#N/A,#N/A,FALSE,"SumD";#N/A,#N/A,FALSE,"ElecD";#N/A,#N/A,FALSE,"MechD";#N/A,#N/A,FALSE,"GeotD";#N/A,#N/A,FALSE,"PrcsD";#N/A,#N/A,FALSE,"TunnD";#N/A,#N/A,FALSE,"CivlD";#N/A,#N/A,FALSE,"NtwkD";#N/A,#N/A,FALSE,"EstgD";#N/A,#N/A,FALSE,"PEngD"}</definedName>
    <definedName name="LOSA" hidden="1">#REF!</definedName>
    <definedName name="lpm" hidden="1">#REF!</definedName>
    <definedName name="LRP" hidden="1">{"CONCABL1.1",#N/A,FALSE,"1.1.1a1.1.3 ACSR";"AISL1.2",#N/A,FALSE,"1.1.1a1.1.3 ACSR";"torr1.1.3",#N/A,FALSE,"1.1.1a1.1.3 ACSR";"cm1.2",#N/A,FALSE,"1.2 ACSR";"cm2.2",#N/A,FALSE,"1.2 ACSR";#N/A,#N/A,FALSE,"1.3 ACSR";#N/A,#N/A,FALSE,"2.1.1A2.1.3 ACAR";"ac2.1",#N/A,FALSE,"1.2 ACAR";"ac2.2",#N/A,FALSE,"1.2 ACAR";#N/A,#N/A,FALSE,"2.3 ACAR"}</definedName>
    <definedName name="METRADO_MUEBLES_COCINA" hidden="1">#REF!</definedName>
    <definedName name="mjnhgb" hidden="1">{#N/A,#N/A,FALSE,"Pricing";#N/A,#N/A,FALSE,"Summary";#N/A,#N/A,FALSE,"CompProd";#N/A,#N/A,FALSE,"CompJobhrs";#N/A,#N/A,FALSE,"Escalation";#N/A,#N/A,FALSE,"Contingency";#N/A,#N/A,FALSE,"GM";#N/A,#N/A,FALSE,"CompWage";#N/A,#N/A,FALSE,"costSum"}</definedName>
    <definedName name="mmghg" hidden="1">{#N/A,#N/A,FALSE,"SumD";#N/A,#N/A,FALSE,"ElecD";#N/A,#N/A,FALSE,"MechD";#N/A,#N/A,FALSE,"GeotD";#N/A,#N/A,FALSE,"PrcsD";#N/A,#N/A,FALSE,"TunnD";#N/A,#N/A,FALSE,"CivlD";#N/A,#N/A,FALSE,"NtwkD";#N/A,#N/A,FALSE,"EstgD";#N/A,#N/A,FALSE,"PEngD"}</definedName>
    <definedName name="MMM" hidden="1">#REF!</definedName>
    <definedName name="mmmm" hidden="1">{#N/A,#N/A,FALSE,"SumG";#N/A,#N/A,FALSE,"ElecG";#N/A,#N/A,FALSE,"MechG";#N/A,#N/A,FALSE,"GeotG";#N/A,#N/A,FALSE,"PrcsG";#N/A,#N/A,FALSE,"TunnG";#N/A,#N/A,FALSE,"CivlG";#N/A,#N/A,FALSE,"NtwkG";#N/A,#N/A,FALSE,"EstgG";#N/A,#N/A,FALSE,"PEngG"}</definedName>
    <definedName name="mmmmm" hidden="1">{#N/A,#N/A,FALSE,"SumG";#N/A,#N/A,FALSE,"ElecG";#N/A,#N/A,FALSE,"MechG";#N/A,#N/A,FALSE,"GeotG";#N/A,#N/A,FALSE,"PrcsG";#N/A,#N/A,FALSE,"TunnG";#N/A,#N/A,FALSE,"CivlG";#N/A,#N/A,FALSE,"NtwkG";#N/A,#N/A,FALSE,"EstgG";#N/A,#N/A,FALSE,"PEngG"}</definedName>
    <definedName name="n" hidden="1">#REF!</definedName>
    <definedName name="NGHNJHG" hidden="1">{#N/A,#N/A,TRUE,"INGENIERIA";#N/A,#N/A,TRUE,"COMPRAS";#N/A,#N/A,TRUE,"DIRECCION";#N/A,#N/A,TRUE,"RESUMEN"}</definedName>
    <definedName name="nnn" hidden="1">{#N/A,#N/A,FALSE,"SumD";#N/A,#N/A,FALSE,"ElecD";#N/A,#N/A,FALSE,"MechD";#N/A,#N/A,FALSE,"GeotD";#N/A,#N/A,FALSE,"PrcsD";#N/A,#N/A,FALSE,"TunnD";#N/A,#N/A,FALSE,"CivlD";#N/A,#N/A,FALSE,"NtwkD";#N/A,#N/A,FALSE,"EstgD";#N/A,#N/A,FALSE,"PEngD"}</definedName>
    <definedName name="ññññ" hidden="1">{#N/A,#N/A,FALSE,"SumD";#N/A,#N/A,FALSE,"ElecD";#N/A,#N/A,FALSE,"MechD";#N/A,#N/A,FALSE,"GeotD";#N/A,#N/A,FALSE,"PrcsD";#N/A,#N/A,FALSE,"TunnD";#N/A,#N/A,FALSE,"CivlD";#N/A,#N/A,FALSE,"NtwkD";#N/A,#N/A,FALSE,"EstgD";#N/A,#N/A,FALSE,"PEngD"}</definedName>
    <definedName name="nnnnn" hidden="1">{#N/A,#N/A,FALSE,"SumD";#N/A,#N/A,FALSE,"ElecD";#N/A,#N/A,FALSE,"MechD";#N/A,#N/A,FALSE,"GeotD";#N/A,#N/A,FALSE,"PrcsD";#N/A,#N/A,FALSE,"TunnD";#N/A,#N/A,FALSE,"CivlD";#N/A,#N/A,FALSE,"NtwkD";#N/A,#N/A,FALSE,"EstgD";#N/A,#N/A,FALSE,"PEngD"}</definedName>
    <definedName name="nnnnnnnn" hidden="1">{#N/A,#N/A,FALSE,"SumG";#N/A,#N/A,FALSE,"ElecG";#N/A,#N/A,FALSE,"MechG";#N/A,#N/A,FALSE,"GeotG";#N/A,#N/A,FALSE,"PrcsG";#N/A,#N/A,FALSE,"TunnG";#N/A,#N/A,FALSE,"CivlG";#N/A,#N/A,FALSE,"NtwkG";#N/A,#N/A,FALSE,"EstgG";#N/A,#N/A,FALSE,"PEngG"}</definedName>
    <definedName name="ODH" hidden="1">#REF!</definedName>
    <definedName name="oooo" hidden="1">{#N/A,#N/A,FALSE,"SumG";#N/A,#N/A,FALSE,"ElecG";#N/A,#N/A,FALSE,"MechG";#N/A,#N/A,FALSE,"GeotG";#N/A,#N/A,FALSE,"PrcsG";#N/A,#N/A,FALSE,"TunnG";#N/A,#N/A,FALSE,"CivlG";#N/A,#N/A,FALSE,"NtwkG";#N/A,#N/A,FALSE,"EstgG";#N/A,#N/A,FALSE,"PEngG"}</definedName>
    <definedName name="P.U." hidden="1">{#N/A,#N/A,TRUE,"1842CWN0"}</definedName>
    <definedName name="ppp" hidden="1">{#N/A,#N/A,FALSE,"SumD";#N/A,#N/A,FALSE,"ElecD";#N/A,#N/A,FALSE,"MechD";#N/A,#N/A,FALSE,"GeotD";#N/A,#N/A,FALSE,"PrcsD";#N/A,#N/A,FALSE,"TunnD";#N/A,#N/A,FALSE,"CivlD";#N/A,#N/A,FALSE,"NtwkD";#N/A,#N/A,FALSE,"EstgD";#N/A,#N/A,FALSE,"PEngD"}</definedName>
    <definedName name="qaz" hidden="1">{#N/A,#N/A,FALSE,"WBS 1.06";#N/A,#N/A,FALSE,"WBS 1.14";#N/A,#N/A,FALSE,"WBS 1.17";#N/A,#N/A,FALSE,"WBS 1.18"}</definedName>
    <definedName name="qqaa" hidden="1">{#N/A,#N/A,FALSE,"SumG";#N/A,#N/A,FALSE,"ElecG";#N/A,#N/A,FALSE,"MechG";#N/A,#N/A,FALSE,"GeotG";#N/A,#N/A,FALSE,"PrcsG";#N/A,#N/A,FALSE,"TunnG";#N/A,#N/A,FALSE,"CivlG";#N/A,#N/A,FALSE,"NtwkG";#N/A,#N/A,FALSE,"EstgG";#N/A,#N/A,FALSE,"PEngG"}</definedName>
    <definedName name="qqqq" hidden="1">{#N/A,#N/A,TRUE,"INGENIERIA";#N/A,#N/A,TRUE,"COMPRAS";#N/A,#N/A,TRUE,"DIRECCION";#N/A,#N/A,TRUE,"RESUMEN"}</definedName>
    <definedName name="qwer" hidden="1">#REF!</definedName>
    <definedName name="qwet" hidden="1">#REF!</definedName>
    <definedName name="qwsd" hidden="1">{#N/A,#N/A,FALSE,"SumG";#N/A,#N/A,FALSE,"ElecG";#N/A,#N/A,FALSE,"MechG";#N/A,#N/A,FALSE,"GeotG";#N/A,#N/A,FALSE,"PrcsG";#N/A,#N/A,FALSE,"TunnG";#N/A,#N/A,FALSE,"CivlG";#N/A,#N/A,FALSE,"NtwkG";#N/A,#N/A,FALSE,"EstgG";#N/A,#N/A,FALSE,"PEngG"}</definedName>
    <definedName name="qwsdfcv" hidden="1">{#N/A,#N/A,FALSE,"SumG";#N/A,#N/A,FALSE,"ElecG";#N/A,#N/A,FALSE,"MechG";#N/A,#N/A,FALSE,"GeotG";#N/A,#N/A,FALSE,"PrcsG";#N/A,#N/A,FALSE,"TunnG";#N/A,#N/A,FALSE,"CivlG";#N/A,#N/A,FALSE,"NtwkG";#N/A,#N/A,FALSE,"EstgG";#N/A,#N/A,FALSE,"PEngG"}</definedName>
    <definedName name="rfgb" hidden="1">{#N/A,#N/A,FALSE,"SumG";#N/A,#N/A,FALSE,"ElecG";#N/A,#N/A,FALSE,"MechG";#N/A,#N/A,FALSE,"GeotG";#N/A,#N/A,FALSE,"PrcsG";#N/A,#N/A,FALSE,"TunnG";#N/A,#N/A,FALSE,"CivlG";#N/A,#N/A,FALSE,"NtwkG";#N/A,#N/A,FALSE,"EstgG";#N/A,#N/A,FALSE,"PEngG"}</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OBolsa"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rrff" hidden="1">{#N/A,#N/A,FALSE,"SumG";#N/A,#N/A,FALSE,"ElecG";#N/A,#N/A,FALSE,"MechG";#N/A,#N/A,FALSE,"GeotG";#N/A,#N/A,FALSE,"PrcsG";#N/A,#N/A,FALSE,"TunnG";#N/A,#N/A,FALSE,"CivlG";#N/A,#N/A,FALSE,"NtwkG";#N/A,#N/A,FALSE,"EstgG";#N/A,#N/A,FALSE,"PEngG"}</definedName>
    <definedName name="rrrrrr" hidden="1">{#N/A,#N/A,FALSE,"SumD";#N/A,#N/A,FALSE,"ElecD";#N/A,#N/A,FALSE,"MechD";#N/A,#N/A,FALSE,"GeotD";#N/A,#N/A,FALSE,"PrcsD";#N/A,#N/A,FALSE,"TunnD";#N/A,#N/A,FALSE,"CivlD";#N/A,#N/A,FALSE,"NtwkD";#N/A,#N/A,FALSE,"EstgD";#N/A,#N/A,FALSE,"PEngD"}</definedName>
    <definedName name="rrrrrrr" hidden="1">{#N/A,#N/A,FALSE,"SumD";#N/A,#N/A,FALSE,"ElecD";#N/A,#N/A,FALSE,"MechD";#N/A,#N/A,FALSE,"GeotD";#N/A,#N/A,FALSE,"PrcsD";#N/A,#N/A,FALSE,"TunnD";#N/A,#N/A,FALSE,"CivlD";#N/A,#N/A,FALSE,"NtwkD";#N/A,#N/A,FALSE,"EstgD";#N/A,#N/A,FALSE,"PEngD"}</definedName>
    <definedName name="RRRRRRRRRRRRRRRRRRRRRRRRRRRRRRRRRRRRRR" hidden="1">#REF!</definedName>
    <definedName name="sd" hidden="1">{#N/A,#N/A,FALSE,"SumG";#N/A,#N/A,FALSE,"ElecG";#N/A,#N/A,FALSE,"MechG";#N/A,#N/A,FALSE,"GeotG";#N/A,#N/A,FALSE,"PrcsG";#N/A,#N/A,FALSE,"TunnG";#N/A,#N/A,FALSE,"CivlG";#N/A,#N/A,FALSE,"NtwkG";#N/A,#N/A,FALSE,"EstgG";#N/A,#N/A,FALSE,"PEngG"}</definedName>
    <definedName name="sdfrtg" hidden="1">{#N/A,#N/A,FALSE,"SumG";#N/A,#N/A,FALSE,"ElecG";#N/A,#N/A,FALSE,"MechG";#N/A,#N/A,FALSE,"GeotG";#N/A,#N/A,FALSE,"PrcsG";#N/A,#N/A,FALSE,"TunnG";#N/A,#N/A,FALSE,"CivlG";#N/A,#N/A,FALSE,"NtwkG";#N/A,#N/A,FALSE,"EstgG";#N/A,#N/A,FALSE,"PEngG"}</definedName>
    <definedName name="sdsffg" hidden="1">{#N/A,#N/A,FALSE,"SumG";#N/A,#N/A,FALSE,"ElecG";#N/A,#N/A,FALSE,"MechG";#N/A,#N/A,FALSE,"GeotG";#N/A,#N/A,FALSE,"PrcsG";#N/A,#N/A,FALSE,"TunnG";#N/A,#N/A,FALSE,"CivlG";#N/A,#N/A,FALSE,"NtwkG";#N/A,#N/A,FALSE,"EstgG";#N/A,#N/A,FALSE,"PEngG"}</definedName>
    <definedName name="sencount" hidden="1">1</definedName>
    <definedName name="Services2" hidden="1">{#N/A,#N/A,FALSE,"Pricing";#N/A,#N/A,FALSE,"Summary";#N/A,#N/A,FALSE,"CompProd";#N/A,#N/A,FALSE,"CompJobhrs";#N/A,#N/A,FALSE,"Escalation";#N/A,#N/A,FALSE,"Contingency";#N/A,#N/A,FALSE,"GM";#N/A,#N/A,FALSE,"CompWage";#N/A,#N/A,FALSE,"costSum"}</definedName>
    <definedName name="sffff" hidden="1">{#N/A,#N/A,FALSE,"SumD";#N/A,#N/A,FALSE,"ElecD";#N/A,#N/A,FALSE,"MechD";#N/A,#N/A,FALSE,"GeotD";#N/A,#N/A,FALSE,"PrcsD";#N/A,#N/A,FALSE,"TunnD";#N/A,#N/A,FALSE,"CivlD";#N/A,#N/A,FALSE,"NtwkD";#N/A,#N/A,FALSE,"EstgD";#N/A,#N/A,FALSE,"PEngD"}</definedName>
    <definedName name="SPORT1" hidden="1">#REF!</definedName>
    <definedName name="SS" hidden="1">#REF!</definedName>
    <definedName name="SSS" hidden="1">{"CONCABL1.1",#N/A,FALSE,"1.1.1a1.1.3 ACSR";"AISL1.2",#N/A,FALSE,"1.1.1a1.1.3 ACSR";"torr1.1.3",#N/A,FALSE,"1.1.1a1.1.3 ACSR";"cm1.2",#N/A,FALSE,"1.2 ACSR";"cm2.2",#N/A,FALSE,"1.2 ACSR";#N/A,#N/A,FALSE,"1.3 ACSR";#N/A,#N/A,FALSE,"2.1.1A2.1.3 ACAR";"ac2.1",#N/A,FALSE,"1.2 ACAR";"ac2.2",#N/A,FALSE,"1.2 ACAR";#N/A,#N/A,FALSE,"2.3 ACAR"}</definedName>
    <definedName name="ssshhh" hidden="1">{#N/A,#N/A,FALSE,"SumG";#N/A,#N/A,FALSE,"ElecG";#N/A,#N/A,FALSE,"MechG";#N/A,#N/A,FALSE,"GeotG";#N/A,#N/A,FALSE,"PrcsG";#N/A,#N/A,FALSE,"TunnG";#N/A,#N/A,FALSE,"CivlG";#N/A,#N/A,FALSE,"NtwkG";#N/A,#N/A,FALSE,"EstgG";#N/A,#N/A,FALSE,"PEngG"}</definedName>
    <definedName name="sssss" hidden="1">{#N/A,#N/A,FALSE,"SumD";#N/A,#N/A,FALSE,"ElecD";#N/A,#N/A,FALSE,"MechD";#N/A,#N/A,FALSE,"GeotD";#N/A,#N/A,FALSE,"PrcsD";#N/A,#N/A,FALSE,"TunnD";#N/A,#N/A,FALSE,"CivlD";#N/A,#N/A,FALSE,"NtwkD";#N/A,#N/A,FALSE,"EstgD";#N/A,#N/A,FALSE,"PEngD"}</definedName>
    <definedName name="ssssssss" hidden="1">{"CONCABL1.1",#N/A,FALSE,"1.1.1a1.1.3 ACSR";"AISL1.2",#N/A,FALSE,"1.1.1a1.1.3 ACSR";"torr1.1.3",#N/A,FALSE,"1.1.1a1.1.3 ACSR";"cm1.2",#N/A,FALSE,"1.2 ACSR";"cm2.2",#N/A,FALSE,"1.2 ACSR";#N/A,#N/A,FALSE,"1.3 ACSR";#N/A,#N/A,FALSE,"2.1.1A2.1.3 ACAR";"ac2.1",#N/A,FALSE,"1.2 ACAR";"ac2.2",#N/A,FALSE,"1.2 ACAR";#N/A,#N/A,FALSE,"2.3 ACAR"}</definedName>
    <definedName name="SUM_DEP" hidden="1">{"CONCABL1.1",#N/A,FALSE,"1.1.1a1.1.3 ACSR";"AISL1.2",#N/A,FALSE,"1.1.1a1.1.3 ACSR";"torr1.1.3",#N/A,FALSE,"1.1.1a1.1.3 ACSR";"cm1.2",#N/A,FALSE,"1.2 ACSR";"cm2.2",#N/A,FALSE,"1.2 ACSR";#N/A,#N/A,FALSE,"1.3 ACSR";#N/A,#N/A,FALSE,"2.1.1A2.1.3 ACAR";"ac2.1",#N/A,FALSE,"1.2 ACAR";"ac2.2",#N/A,FALSE,"1.2 ACAR";#N/A,#N/A,FALSE,"2.3 ACAR"}</definedName>
    <definedName name="SWFE" hidden="1">#REF!</definedName>
    <definedName name="Tanques" hidden="1">{#N/A,#N/A,TRUE,"1842CWN0"}</definedName>
    <definedName name="tc">#REF!</definedName>
    <definedName name="test" hidden="1">{#N/A,#N/A,FALSE,"Pricing";#N/A,#N/A,FALSE,"Summary";#N/A,#N/A,FALSE,"CompProd";#N/A,#N/A,FALSE,"CompJobhrs";#N/A,#N/A,FALSE,"Escalation";#N/A,#N/A,FALSE,"Contingency";#N/A,#N/A,FALSE,"GM";#N/A,#N/A,FALSE,"CompWage";#N/A,#N/A,FALSE,"costSum"}</definedName>
    <definedName name="tghy" hidden="1">{#N/A,#N/A,FALSE,"SumG";#N/A,#N/A,FALSE,"ElecG";#N/A,#N/A,FALSE,"MechG";#N/A,#N/A,FALSE,"GeotG";#N/A,#N/A,FALSE,"PrcsG";#N/A,#N/A,FALSE,"TunnG";#N/A,#N/A,FALSE,"CivlG";#N/A,#N/A,FALSE,"NtwkG";#N/A,#N/A,FALSE,"EstgG";#N/A,#N/A,FALSE,"PEngG"}</definedName>
    <definedName name="trecca" hidden="1">#REF!</definedName>
    <definedName name="ttggg" hidden="1">{#N/A,#N/A,FALSE,"SumD";#N/A,#N/A,FALSE,"ElecD";#N/A,#N/A,FALSE,"MechD";#N/A,#N/A,FALSE,"GeotD";#N/A,#N/A,FALSE,"PrcsD";#N/A,#N/A,FALSE,"TunnD";#N/A,#N/A,FALSE,"CivlD";#N/A,#N/A,FALSE,"NtwkD";#N/A,#N/A,FALSE,"EstgD";#N/A,#N/A,FALSE,"PEngD"}</definedName>
    <definedName name="tttggg" hidden="1">{#N/A,#N/A,FALSE,"SumD";#N/A,#N/A,FALSE,"ElecD";#N/A,#N/A,FALSE,"MechD";#N/A,#N/A,FALSE,"GeotD";#N/A,#N/A,FALSE,"PrcsD";#N/A,#N/A,FALSE,"TunnD";#N/A,#N/A,FALSE,"CivlD";#N/A,#N/A,FALSE,"NtwkD";#N/A,#N/A,FALSE,"EstgD";#N/A,#N/A,FALSE,"PEngD"}</definedName>
    <definedName name="tyhhg" hidden="1">{#N/A,#N/A,FALSE,"SumD";#N/A,#N/A,FALSE,"ElecD";#N/A,#N/A,FALSE,"MechD";#N/A,#N/A,FALSE,"GeotD";#N/A,#N/A,FALSE,"PrcsD";#N/A,#N/A,FALSE,"TunnD";#N/A,#N/A,FALSE,"CivlD";#N/A,#N/A,FALSE,"NtwkD";#N/A,#N/A,FALSE,"EstgD";#N/A,#N/A,FALSE,"PEngD"}</definedName>
    <definedName name="uj" hidden="1">{#N/A,#N/A,FALSE,"SumG";#N/A,#N/A,FALSE,"ElecG";#N/A,#N/A,FALSE,"MechG";#N/A,#N/A,FALSE,"GeotG";#N/A,#N/A,FALSE,"PrcsG";#N/A,#N/A,FALSE,"TunnG";#N/A,#N/A,FALSE,"CivlG";#N/A,#N/A,FALSE,"NtwkG";#N/A,#N/A,FALSE,"EstgG";#N/A,#N/A,FALSE,"PEngG"}</definedName>
    <definedName name="ujjj" hidden="1">{#N/A,#N/A,FALSE,"SumD";#N/A,#N/A,FALSE,"ElecD";#N/A,#N/A,FALSE,"MechD";#N/A,#N/A,FALSE,"GeotD";#N/A,#N/A,FALSE,"PrcsD";#N/A,#N/A,FALSE,"TunnD";#N/A,#N/A,FALSE,"CivlD";#N/A,#N/A,FALSE,"NtwkD";#N/A,#N/A,FALSE,"EstgD";#N/A,#N/A,FALSE,"PEngD"}</definedName>
    <definedName name="UOIUOLIU" hidden="1">{#N/A,#N/A,TRUE,"1842CWN0"}</definedName>
    <definedName name="uuii" hidden="1">{#N/A,#N/A,FALSE,"Pricing";#N/A,#N/A,FALSE,"Summary";#N/A,#N/A,FALSE,"CompProd";#N/A,#N/A,FALSE,"CompJobhrs";#N/A,#N/A,FALSE,"Escalation";#N/A,#N/A,FALSE,"Contingency";#N/A,#N/A,FALSE,"GM";#N/A,#N/A,FALSE,"CompWage";#N/A,#N/A,FALSE,"costSum"}</definedName>
    <definedName name="uuj" hidden="1">{#N/A,#N/A,FALSE,"SumG";#N/A,#N/A,FALSE,"ElecG";#N/A,#N/A,FALSE,"MechG";#N/A,#N/A,FALSE,"GeotG";#N/A,#N/A,FALSE,"PrcsG";#N/A,#N/A,FALSE,"TunnG";#N/A,#N/A,FALSE,"CivlG";#N/A,#N/A,FALSE,"NtwkG";#N/A,#N/A,FALSE,"EstgG";#N/A,#N/A,FALSE,"PEngG"}</definedName>
    <definedName name="uuujjj" hidden="1">{#N/A,#N/A,FALSE,"SumD";#N/A,#N/A,FALSE,"ElecD";#N/A,#N/A,FALSE,"MechD";#N/A,#N/A,FALSE,"GeotD";#N/A,#N/A,FALSE,"PrcsD";#N/A,#N/A,FALSE,"TunnD";#N/A,#N/A,FALSE,"CivlD";#N/A,#N/A,FALSE,"NtwkD";#N/A,#N/A,FALSE,"EstgD";#N/A,#N/A,FALSE,"PEngD"}</definedName>
    <definedName name="uuujjk" hidden="1">{#N/A,#N/A,FALSE,"SumD";#N/A,#N/A,FALSE,"ElecD";#N/A,#N/A,FALSE,"MechD";#N/A,#N/A,FALSE,"GeotD";#N/A,#N/A,FALSE,"PrcsD";#N/A,#N/A,FALSE,"TunnD";#N/A,#N/A,FALSE,"CivlD";#N/A,#N/A,FALSE,"NtwkD";#N/A,#N/A,FALSE,"EstgD";#N/A,#N/A,FALSE,"PEngD"}</definedName>
    <definedName name="v" hidden="1">#REF!</definedName>
    <definedName name="viuda" hidden="1">#REF!</definedName>
    <definedName name="vvvv" hidden="1">{#N/A,#N/A,FALSE,"SumD";#N/A,#N/A,FALSE,"ElecD";#N/A,#N/A,FALSE,"MechD";#N/A,#N/A,FALSE,"GeotD";#N/A,#N/A,FALSE,"PrcsD";#N/A,#N/A,FALSE,"TunnD";#N/A,#N/A,FALSE,"CivlD";#N/A,#N/A,FALSE,"NtwkD";#N/A,#N/A,FALSE,"EstgD";#N/A,#N/A,FALSE,"PEngD"}</definedName>
    <definedName name="vvvvvv" hidden="1">{#N/A,#N/A,FALSE,"SumD";#N/A,#N/A,FALSE,"ElecD";#N/A,#N/A,FALSE,"MechD";#N/A,#N/A,FALSE,"GeotD";#N/A,#N/A,FALSE,"PrcsD";#N/A,#N/A,FALSE,"TunnD";#N/A,#N/A,FALSE,"CivlD";#N/A,#N/A,FALSE,"NtwkD";#N/A,#N/A,FALSE,"EstgD";#N/A,#N/A,FALSE,"PEngD"}</definedName>
    <definedName name="w" hidden="1">#REF!</definedName>
    <definedName name="we" hidden="1">{#N/A,#N/A,FALSE,"SumG";#N/A,#N/A,FALSE,"ElecG";#N/A,#N/A,FALSE,"MechG";#N/A,#N/A,FALSE,"GeotG";#N/A,#N/A,FALSE,"PrcsG";#N/A,#N/A,FALSE,"TunnG";#N/A,#N/A,FALSE,"CivlG";#N/A,#N/A,FALSE,"NtwkG";#N/A,#N/A,FALSE,"EstgG";#N/A,#N/A,FALSE,"PEngG"}</definedName>
    <definedName name="wedf" hidden="1">{#N/A,#N/A,FALSE,"SumG";#N/A,#N/A,FALSE,"ElecG";#N/A,#N/A,FALSE,"MechG";#N/A,#N/A,FALSE,"GeotG";#N/A,#N/A,FALSE,"PrcsG";#N/A,#N/A,FALSE,"TunnG";#N/A,#N/A,FALSE,"CivlG";#N/A,#N/A,FALSE,"NtwkG";#N/A,#N/A,FALSE,"EstgG";#N/A,#N/A,FALSE,"PEngG"}</definedName>
    <definedName name="wedrf" hidden="1">{#N/A,#N/A,FALSE,"SumG";#N/A,#N/A,FALSE,"ElecG";#N/A,#N/A,FALSE,"MechG";#N/A,#N/A,FALSE,"GeotG";#N/A,#N/A,FALSE,"PrcsG";#N/A,#N/A,FALSE,"TunnG";#N/A,#N/A,FALSE,"CivlG";#N/A,#N/A,FALSE,"NtwkG";#N/A,#N/A,FALSE,"EstgG";#N/A,#N/A,FALSE,"PEngG"}</definedName>
    <definedName name="weq" hidden="1">{#N/A,#N/A,FALSE,"SumD";#N/A,#N/A,FALSE,"ElecD";#N/A,#N/A,FALSE,"MechD";#N/A,#N/A,FALSE,"GeotD";#N/A,#N/A,FALSE,"PrcsD";#N/A,#N/A,FALSE,"TunnD";#N/A,#N/A,FALSE,"CivlD";#N/A,#N/A,FALSE,"NtwkD";#N/A,#N/A,FALSE,"EstgD";#N/A,#N/A,FALSE,"PEngD"}</definedName>
    <definedName name="wqqqeee" hidden="1">{#N/A,#N/A,FALSE,"SumG";#N/A,#N/A,FALSE,"ElecG";#N/A,#N/A,FALSE,"MechG";#N/A,#N/A,FALSE,"GeotG";#N/A,#N/A,FALSE,"PrcsG";#N/A,#N/A,FALSE,"TunnG";#N/A,#N/A,FALSE,"CivlG";#N/A,#N/A,FALSE,"NtwkG";#N/A,#N/A,FALSE,"EstgG";#N/A,#N/A,FALSE,"PEngG"}</definedName>
    <definedName name="wra" hidden="1">#REF!</definedName>
    <definedName name="wrn.all." hidden="1">{#N/A,#N/A,FALSE,"Pricing";#N/A,#N/A,FALSE,"Summary";#N/A,#N/A,FALSE,"CompProd";#N/A,#N/A,FALSE,"CompJobhrs";#N/A,#N/A,FALSE,"Escalation";#N/A,#N/A,FALSE,"Contingency";#N/A,#N/A,FALSE,"GM";#N/A,#N/A,FALSE,"CompWage";#N/A,#N/A,FALSE,"costSum"}</definedName>
    <definedName name="wrn.civil._.works." hidden="1">{#N/A,#N/A,TRUE,"1842CWN0"}</definedName>
    <definedName name="wrn.COST_SHEETS." hidden="1">{#N/A,#N/A,FALSE,"WBS 1.06";#N/A,#N/A,FALSE,"WBS 1.14";#N/A,#N/A,FALSE,"WBS 1.17";#N/A,#N/A,FALSE,"WBS 1.18"}</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GERENCIA." hidden="1">{#N/A,#N/A,TRUE,"INGENIERIA";#N/A,#N/A,TRUE,"COMPRAS";#N/A,#N/A,TRUE,"DIRECCION";#N/A,#N/A,TRUE,"RESUMEN"}</definedName>
    <definedName name="wrn.INFORME._.No.._.30." hidden="1">{#N/A,#N/A,FALSE,"DET-CAMB.";#N/A,#N/A,FALSE,"PRESUP.";#N/A,#N/A,FALSE,"RESUMEN";#N/A,#N/A,FALSE,"CT";#N/A,#N/A,FALSE,"PD";#N/A,#N/A,FALSE,"PR"}</definedName>
    <definedName name="wrn.precios." hidden="1">{"CONCABL1.1",#N/A,FALSE,"1.1.1a1.1.3 ACSR";"AISL1.2",#N/A,FALSE,"1.1.1a1.1.3 ACSR";"torr1.1.3",#N/A,FALSE,"1.1.1a1.1.3 ACSR";"cm1.2",#N/A,FALSE,"1.2 ACSR";"cm2.2",#N/A,FALSE,"1.2 ACSR";#N/A,#N/A,FALSE,"1.3 ACSR";#N/A,#N/A,FALSE,"2.1.1A2.1.3 ACAR";"ac2.1",#N/A,FALSE,"1.2 ACAR";"ac2.2",#N/A,FALSE,"1.2 ACAR";#N/A,#N/A,FALSE,"2.3 ACAR"}</definedName>
    <definedName name="wrn.PrintallD."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rn.VOLCAN." hidden="1">{#N/A,#N/A,FALSE,"Resumen"}</definedName>
    <definedName name="wsd" hidden="1">{#N/A,#N/A,FALSE,"SumG";#N/A,#N/A,FALSE,"ElecG";#N/A,#N/A,FALSE,"MechG";#N/A,#N/A,FALSE,"GeotG";#N/A,#N/A,FALSE,"PrcsG";#N/A,#N/A,FALSE,"TunnG";#N/A,#N/A,FALSE,"CivlG";#N/A,#N/A,FALSE,"NtwkG";#N/A,#N/A,FALSE,"EstgG";#N/A,#N/A,FALSE,"PEngG"}</definedName>
    <definedName name="WW." hidden="1">#REF!</definedName>
    <definedName name="wwss" hidden="1">{#N/A,#N/A,FALSE,"SumD";#N/A,#N/A,FALSE,"ElecD";#N/A,#N/A,FALSE,"MechD";#N/A,#N/A,FALSE,"GeotD";#N/A,#N/A,FALSE,"PrcsD";#N/A,#N/A,FALSE,"TunnD";#N/A,#N/A,FALSE,"CivlD";#N/A,#N/A,FALSE,"NtwkD";#N/A,#N/A,FALSE,"EstgD";#N/A,#N/A,FALSE,"PEngD"}</definedName>
    <definedName name="wwwww" hidden="1">{#N/A,#N/A,FALSE,"SumD";#N/A,#N/A,FALSE,"ElecD";#N/A,#N/A,FALSE,"MechD";#N/A,#N/A,FALSE,"GeotD";#N/A,#N/A,FALSE,"PrcsD";#N/A,#N/A,FALSE,"TunnD";#N/A,#N/A,FALSE,"CivlD";#N/A,#N/A,FALSE,"NtwkD";#N/A,#N/A,FALSE,"EstgD";#N/A,#N/A,FALSE,"PEngD"}</definedName>
    <definedName name="xc" hidden="1">{#N/A,#N/A,FALSE,"SumD";#N/A,#N/A,FALSE,"ElecD";#N/A,#N/A,FALSE,"MechD";#N/A,#N/A,FALSE,"GeotD";#N/A,#N/A,FALSE,"PrcsD";#N/A,#N/A,FALSE,"TunnD";#N/A,#N/A,FALSE,"CivlD";#N/A,#N/A,FALSE,"NtwkD";#N/A,#N/A,FALSE,"EstgD";#N/A,#N/A,FALSE,"PEngD"}</definedName>
    <definedName name="xGraph11" hidden="1">#REF!</definedName>
    <definedName name="xx"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xxx" hidden="1">#REF!</definedName>
    <definedName name="XXXX" hidden="1">#REF!</definedName>
    <definedName name="xxxxxxxx" hidden="1">{#N/A,#N/A,FALSE,"SumG";#N/A,#N/A,FALSE,"ElecG";#N/A,#N/A,FALSE,"MechG";#N/A,#N/A,FALSE,"GeotG";#N/A,#N/A,FALSE,"PrcsG";#N/A,#N/A,FALSE,"TunnG";#N/A,#N/A,FALSE,"CivlG";#N/A,#N/A,FALSE,"NtwkG";#N/A,#N/A,FALSE,"EstgG";#N/A,#N/A,FALSE,"PEngG"}</definedName>
    <definedName name="YJUYJKUY" hidden="1">{#N/A,#N/A,TRUE,"1842CWN0"}</definedName>
    <definedName name="YUJYIUI" hidden="1">{#N/A,#N/A,TRUE,"1842CWN0"}</definedName>
    <definedName name="yujyiuokj"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yuui" hidden="1">{#N/A,#N/A,FALSE,"SumD";#N/A,#N/A,FALSE,"ElecD";#N/A,#N/A,FALSE,"MechD";#N/A,#N/A,FALSE,"GeotD";#N/A,#N/A,FALSE,"PrcsD";#N/A,#N/A,FALSE,"TunnD";#N/A,#N/A,FALSE,"CivlD";#N/A,#N/A,FALSE,"NtwkD";#N/A,#N/A,FALSE,"EstgD";#N/A,#N/A,FALSE,"PEngD"}</definedName>
    <definedName name="yyhhhh" hidden="1">{#N/A,#N/A,FALSE,"Pricing";#N/A,#N/A,FALSE,"Summary";#N/A,#N/A,FALSE,"CompProd";#N/A,#N/A,FALSE,"CompJobhrs";#N/A,#N/A,FALSE,"Escalation";#N/A,#N/A,FALSE,"Contingency";#N/A,#N/A,FALSE,"GM";#N/A,#N/A,FALSE,"CompWage";#N/A,#N/A,FALSE,"costSum"}</definedName>
    <definedName name="yyyhhh" hidden="1">{#N/A,#N/A,FALSE,"SumG";#N/A,#N/A,FALSE,"ElecG";#N/A,#N/A,FALSE,"MechG";#N/A,#N/A,FALSE,"GeotG";#N/A,#N/A,FALSE,"PrcsG";#N/A,#N/A,FALSE,"TunnG";#N/A,#N/A,FALSE,"CivlG";#N/A,#N/A,FALSE,"NtwkG";#N/A,#N/A,FALSE,"EstgG";#N/A,#N/A,FALSE,"PEngG"}</definedName>
    <definedName name="yyyyyhh" hidden="1">{#N/A,#N/A,FALSE,"SumG";#N/A,#N/A,FALSE,"ElecG";#N/A,#N/A,FALSE,"MechG";#N/A,#N/A,FALSE,"GeotG";#N/A,#N/A,FALSE,"PrcsG";#N/A,#N/A,FALSE,"TunnG";#N/A,#N/A,FALSE,"CivlG";#N/A,#N/A,FALSE,"NtwkG";#N/A,#N/A,FALSE,"EstgG";#N/A,#N/A,FALSE,"PEngG"}</definedName>
    <definedName name="Zapatas" hidden="1">{#N/A,#N/A,TRUE,"INGENIERIA";#N/A,#N/A,TRUE,"COMPRAS";#N/A,#N/A,TRUE,"DIRECCION";#N/A,#N/A,TRUE,"RESUMEN"}</definedName>
    <definedName name="zse" hidden="1">{#N/A,#N/A,FALSE,"SumG";#N/A,#N/A,FALSE,"ElecG";#N/A,#N/A,FALSE,"MechG";#N/A,#N/A,FALSE,"GeotG";#N/A,#N/A,FALSE,"PrcsG";#N/A,#N/A,FALSE,"TunnG";#N/A,#N/A,FALSE,"CivlG";#N/A,#N/A,FALSE,"NtwkG";#N/A,#N/A,FALSE,"EstgG";#N/A,#N/A,FALSE,"PEngG"}</definedName>
    <definedName name="zz" hidden="1">{#N/A,#N/A,FALSE,"SumD";#N/A,#N/A,FALSE,"ElecD";#N/A,#N/A,FALSE,"MechD";#N/A,#N/A,FALSE,"GeotD";#N/A,#N/A,FALSE,"PrcsD";#N/A,#N/A,FALSE,"TunnD";#N/A,#N/A,FALSE,"CivlD";#N/A,#N/A,FALSE,"NtwkD";#N/A,#N/A,FALSE,"EstgD";#N/A,#N/A,FALSE,"PEngD"}</definedName>
    <definedName name="zzzz" hidden="1">{#N/A,#N/A,FALSE,"SumG";#N/A,#N/A,FALSE,"ElecG";#N/A,#N/A,FALSE,"MechG";#N/A,#N/A,FALSE,"GeotG";#N/A,#N/A,FALSE,"PrcsG";#N/A,#N/A,FALSE,"TunnG";#N/A,#N/A,FALSE,"CivlG";#N/A,#N/A,FALSE,"NtwkG";#N/A,#N/A,FALSE,"EstgG";#N/A,#N/A,FALSE,"PEngG"}</definedName>
    <definedName name="zzzzzz" hidden="1">{#N/A,#N/A,FALSE,"SumD";#N/A,#N/A,FALSE,"ElecD";#N/A,#N/A,FALSE,"MechD";#N/A,#N/A,FALSE,"GeotD";#N/A,#N/A,FALSE,"PrcsD";#N/A,#N/A,FALSE,"TunnD";#N/A,#N/A,FALSE,"CivlD";#N/A,#N/A,FALSE,"NtwkD";#N/A,#N/A,FALSE,"EstgD";#N/A,#N/A,FALSE,"PEngD"}</definedName>
    <definedName name="당초계획" hidden="1">#REF!</definedName>
    <definedName name="보충" hidden="1">#REF!</definedName>
    <definedName name="부대공사" hidden="1">#REF!</definedName>
    <definedName name="사업부양식2" hidden="1">#REF!</definedName>
    <definedName name="손익계산서"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54" l="1"/>
  <c r="C6" i="54"/>
  <c r="C4" i="54"/>
  <c r="P803" i="55"/>
  <c r="P804" i="55"/>
  <c r="P805" i="55"/>
  <c r="P806" i="55"/>
  <c r="P807" i="55"/>
  <c r="P808" i="55"/>
  <c r="P809" i="55"/>
  <c r="P810" i="55"/>
  <c r="P811" i="55"/>
  <c r="P812" i="55"/>
  <c r="P813" i="55"/>
  <c r="P814" i="55"/>
  <c r="P815" i="55"/>
  <c r="P816" i="55"/>
  <c r="P817" i="55"/>
  <c r="P818" i="55"/>
  <c r="P819" i="55"/>
  <c r="P820" i="55"/>
  <c r="P821" i="55"/>
  <c r="P822" i="55"/>
  <c r="P823" i="55"/>
  <c r="P824" i="55"/>
  <c r="P731" i="55"/>
  <c r="P732" i="55"/>
  <c r="P733" i="55"/>
  <c r="P734" i="55"/>
  <c r="P735" i="55"/>
  <c r="P736" i="55"/>
  <c r="P737" i="55"/>
  <c r="P738" i="55"/>
  <c r="P739" i="55"/>
  <c r="P740" i="55"/>
  <c r="P741" i="55"/>
  <c r="P742" i="55"/>
  <c r="P743" i="55"/>
  <c r="P744" i="55"/>
  <c r="P745" i="55"/>
  <c r="P746" i="55"/>
  <c r="P747" i="55"/>
  <c r="P748" i="55"/>
  <c r="P749" i="55"/>
  <c r="P751" i="55"/>
  <c r="P753" i="55"/>
  <c r="P756" i="55"/>
  <c r="P757" i="55"/>
  <c r="P759" i="55"/>
  <c r="P760" i="55"/>
  <c r="P761" i="55"/>
  <c r="P762" i="55"/>
  <c r="P763" i="55"/>
  <c r="P764" i="55"/>
  <c r="P765" i="55"/>
  <c r="P766" i="55"/>
  <c r="P767" i="55"/>
  <c r="P768" i="55"/>
  <c r="P769" i="55"/>
  <c r="P770" i="55"/>
  <c r="P771" i="55"/>
  <c r="P772" i="55"/>
  <c r="P773" i="55"/>
  <c r="P774" i="55"/>
  <c r="P775" i="55"/>
  <c r="P776" i="55"/>
  <c r="P777" i="55"/>
  <c r="P778" i="55"/>
  <c r="P779" i="55"/>
  <c r="P780" i="55"/>
  <c r="P781" i="55"/>
  <c r="P782" i="55"/>
  <c r="P783" i="55"/>
  <c r="P784" i="55"/>
  <c r="P785" i="55"/>
  <c r="P786" i="55"/>
  <c r="P787" i="55"/>
  <c r="P788" i="55"/>
  <c r="P789" i="55"/>
  <c r="P791" i="55"/>
  <c r="P792" i="55"/>
  <c r="P793" i="55"/>
  <c r="P794" i="55"/>
  <c r="P795" i="55"/>
  <c r="P796" i="55"/>
  <c r="P797" i="55"/>
  <c r="P798" i="55"/>
  <c r="P799" i="55"/>
  <c r="P800" i="55"/>
  <c r="P801" i="55"/>
  <c r="P802" i="55"/>
  <c r="N731" i="55"/>
  <c r="N732" i="55"/>
  <c r="N733" i="55"/>
  <c r="N734" i="55"/>
  <c r="N735" i="55"/>
  <c r="N736" i="55"/>
  <c r="N737" i="55"/>
  <c r="N738" i="55"/>
  <c r="N739" i="55"/>
  <c r="N740" i="55"/>
  <c r="N741" i="55"/>
  <c r="N742" i="55"/>
  <c r="N743" i="55"/>
  <c r="N744" i="55"/>
  <c r="N745" i="55"/>
  <c r="N746" i="55"/>
  <c r="N747" i="55"/>
  <c r="N748" i="55"/>
  <c r="N749" i="55"/>
  <c r="N751" i="55"/>
  <c r="N753" i="55"/>
  <c r="N756" i="55"/>
  <c r="N757" i="55"/>
  <c r="N759" i="55"/>
  <c r="N760" i="55"/>
  <c r="N761" i="55"/>
  <c r="N762" i="55"/>
  <c r="N763" i="55"/>
  <c r="N764" i="55"/>
  <c r="N765" i="55"/>
  <c r="N766" i="55"/>
  <c r="N767" i="55"/>
  <c r="N768" i="55"/>
  <c r="N769" i="55"/>
  <c r="N770" i="55"/>
  <c r="N771" i="55"/>
  <c r="N772" i="55"/>
  <c r="N773" i="55"/>
  <c r="N774" i="55"/>
  <c r="N775" i="55"/>
  <c r="N776" i="55"/>
  <c r="N777" i="55"/>
  <c r="N778" i="55"/>
  <c r="N779" i="55"/>
  <c r="N780" i="55"/>
  <c r="N781" i="55"/>
  <c r="N782" i="55"/>
  <c r="N783" i="55"/>
  <c r="N784" i="55"/>
  <c r="N785" i="55"/>
  <c r="N786" i="55"/>
  <c r="N787" i="55"/>
  <c r="N788" i="55"/>
  <c r="N789" i="55"/>
  <c r="N791" i="55"/>
  <c r="N792" i="55"/>
  <c r="N793" i="55"/>
  <c r="N794" i="55"/>
  <c r="N795" i="55"/>
  <c r="N796" i="55"/>
  <c r="N797" i="55"/>
  <c r="N798" i="55"/>
  <c r="N799" i="55"/>
  <c r="N800" i="55"/>
  <c r="N801" i="55"/>
  <c r="N802" i="55"/>
  <c r="N730" i="55"/>
  <c r="P730" i="55"/>
  <c r="N133" i="54"/>
  <c r="N134" i="54"/>
  <c r="N137" i="54"/>
  <c r="N132" i="54"/>
  <c r="P128" i="54"/>
  <c r="P129" i="54"/>
  <c r="P130" i="54"/>
  <c r="P131" i="54"/>
  <c r="P132" i="54"/>
  <c r="P133" i="54"/>
  <c r="P134" i="54"/>
  <c r="P135" i="54"/>
  <c r="P137" i="54"/>
  <c r="P127" i="54"/>
  <c r="N359" i="55"/>
  <c r="P359" i="55"/>
  <c r="N360" i="55"/>
  <c r="P360" i="55"/>
  <c r="N361" i="55"/>
  <c r="P361" i="55"/>
  <c r="N362" i="55"/>
  <c r="P362" i="55"/>
  <c r="N363" i="55"/>
  <c r="P363" i="55"/>
  <c r="N364" i="55"/>
  <c r="P364" i="55"/>
  <c r="N365" i="55"/>
  <c r="P365" i="55"/>
  <c r="N366" i="55"/>
  <c r="P366" i="55"/>
  <c r="N367" i="55"/>
  <c r="P367" i="55"/>
  <c r="N368" i="55"/>
  <c r="P368" i="55"/>
  <c r="N369" i="55"/>
  <c r="P369" i="55"/>
  <c r="N370" i="55"/>
  <c r="P370" i="55"/>
  <c r="N371" i="55"/>
  <c r="P371" i="55"/>
  <c r="N372" i="55"/>
  <c r="P372" i="55"/>
  <c r="N373" i="55"/>
  <c r="P373" i="55"/>
  <c r="N374" i="55"/>
  <c r="P374" i="55"/>
  <c r="N375" i="55"/>
  <c r="P375" i="55"/>
  <c r="N377" i="55"/>
  <c r="P377" i="55"/>
  <c r="N378" i="55"/>
  <c r="P378" i="55"/>
  <c r="N379" i="55"/>
  <c r="P379" i="55"/>
  <c r="N380" i="55"/>
  <c r="P380" i="55"/>
  <c r="P358" i="55"/>
  <c r="N358" i="55"/>
  <c r="P349" i="55"/>
  <c r="P350" i="55"/>
  <c r="P351" i="55"/>
  <c r="P352" i="55"/>
  <c r="P353" i="55"/>
  <c r="P354" i="55"/>
  <c r="P355" i="55"/>
  <c r="P348" i="55"/>
  <c r="P637" i="55"/>
  <c r="N630" i="55"/>
  <c r="N636" i="55"/>
  <c r="N637" i="55"/>
  <c r="N645" i="55"/>
  <c r="N629" i="55"/>
  <c r="N631" i="55"/>
  <c r="N632" i="55"/>
  <c r="N633" i="55"/>
  <c r="N634" i="55"/>
  <c r="N635" i="55"/>
  <c r="N638" i="55"/>
  <c r="N639" i="55"/>
  <c r="N640" i="55"/>
  <c r="N641" i="55"/>
  <c r="N642" i="55"/>
  <c r="N643" i="55"/>
  <c r="N644" i="55"/>
  <c r="N512" i="55"/>
  <c r="N513" i="55"/>
  <c r="N514" i="55"/>
  <c r="N515" i="55"/>
  <c r="N516" i="55"/>
  <c r="N517" i="55"/>
  <c r="N518" i="55"/>
  <c r="N519" i="55"/>
  <c r="N520" i="55"/>
  <c r="N521" i="55"/>
  <c r="N522" i="55"/>
  <c r="N523" i="55"/>
  <c r="N524" i="55"/>
  <c r="N525" i="55"/>
  <c r="N526" i="55"/>
  <c r="N527" i="55"/>
  <c r="N528" i="55"/>
  <c r="N529" i="55"/>
  <c r="N530" i="55"/>
  <c r="N531" i="55"/>
  <c r="N532" i="55"/>
  <c r="N533" i="55"/>
  <c r="N534" i="55"/>
  <c r="N535" i="55"/>
  <c r="N536" i="55"/>
  <c r="N537" i="55"/>
  <c r="N538" i="55"/>
  <c r="N539" i="55"/>
  <c r="N540" i="55"/>
  <c r="N541" i="55"/>
  <c r="N542" i="55"/>
  <c r="N543" i="55"/>
  <c r="N544" i="55"/>
  <c r="N545" i="55"/>
  <c r="N546" i="55"/>
  <c r="N547" i="55"/>
  <c r="N548" i="55"/>
  <c r="N549" i="55"/>
  <c r="N550" i="55"/>
  <c r="N551" i="55"/>
  <c r="N552" i="55"/>
  <c r="N553" i="55"/>
  <c r="N554" i="55"/>
  <c r="N555" i="55"/>
  <c r="N556" i="55"/>
  <c r="N557" i="55"/>
  <c r="N558" i="55"/>
  <c r="N559" i="55"/>
  <c r="N560" i="55"/>
  <c r="N561" i="55"/>
  <c r="N562" i="55"/>
  <c r="N563" i="55"/>
  <c r="N564" i="55"/>
  <c r="N565" i="55"/>
  <c r="N566" i="55"/>
  <c r="N567" i="55"/>
  <c r="N568" i="55"/>
  <c r="N569" i="55"/>
  <c r="N570" i="55"/>
  <c r="N571" i="55"/>
  <c r="N572" i="55"/>
  <c r="N573" i="55"/>
  <c r="N574" i="55"/>
  <c r="N575" i="55"/>
  <c r="N576" i="55"/>
  <c r="N577" i="55"/>
  <c r="N578" i="55"/>
  <c r="N579" i="55"/>
  <c r="N580" i="55"/>
  <c r="N581" i="55"/>
  <c r="N582" i="55"/>
  <c r="N583" i="55"/>
  <c r="N584" i="55"/>
  <c r="N585" i="55"/>
  <c r="N586" i="55"/>
  <c r="N587" i="55"/>
  <c r="N588" i="55"/>
  <c r="N589" i="55"/>
  <c r="N590" i="55"/>
  <c r="N591" i="55"/>
  <c r="N592" i="55"/>
  <c r="N593" i="55"/>
  <c r="N594" i="55"/>
  <c r="N595" i="55"/>
  <c r="N596" i="55"/>
  <c r="N597" i="55"/>
  <c r="N598" i="55"/>
  <c r="N599" i="55"/>
  <c r="N511" i="55"/>
  <c r="N475" i="55"/>
  <c r="N476" i="55"/>
  <c r="N477" i="55"/>
  <c r="N478" i="55"/>
  <c r="N479" i="55"/>
  <c r="N480" i="55"/>
  <c r="N481" i="55"/>
  <c r="N482" i="55"/>
  <c r="N483" i="55"/>
  <c r="N484" i="55"/>
  <c r="N485" i="55"/>
  <c r="N486" i="55"/>
  <c r="N487" i="55"/>
  <c r="N488" i="55"/>
  <c r="N489" i="55"/>
  <c r="N490" i="55"/>
  <c r="N491" i="55"/>
  <c r="N492" i="55"/>
  <c r="N493" i="55"/>
  <c r="N494" i="55"/>
  <c r="N495" i="55"/>
  <c r="N496" i="55"/>
  <c r="N497" i="55"/>
  <c r="N498" i="55"/>
  <c r="N499" i="55"/>
  <c r="N500" i="55"/>
  <c r="N501" i="55"/>
  <c r="N502" i="55"/>
  <c r="N463" i="55"/>
  <c r="N464" i="55"/>
  <c r="N465" i="55"/>
  <c r="N466" i="55"/>
  <c r="N467" i="55"/>
  <c r="N468" i="55"/>
  <c r="N469" i="55"/>
  <c r="N470" i="55"/>
  <c r="N471" i="55"/>
  <c r="N472" i="55"/>
  <c r="N473" i="55"/>
  <c r="N474" i="55"/>
  <c r="N462" i="55"/>
  <c r="P459" i="55"/>
  <c r="P460" i="55"/>
  <c r="P461" i="55"/>
  <c r="P462" i="55"/>
  <c r="P463" i="55"/>
  <c r="P464" i="55"/>
  <c r="P465" i="55"/>
  <c r="P466" i="55"/>
  <c r="P467" i="55"/>
  <c r="P468" i="55"/>
  <c r="P469" i="55"/>
  <c r="P470" i="55"/>
  <c r="P471" i="55"/>
  <c r="P472" i="55"/>
  <c r="P473" i="55"/>
  <c r="P474" i="55"/>
  <c r="P475" i="55"/>
  <c r="P476" i="55"/>
  <c r="P477" i="55"/>
  <c r="P478" i="55"/>
  <c r="P479" i="55"/>
  <c r="P480" i="55"/>
  <c r="P481" i="55"/>
  <c r="P482" i="55"/>
  <c r="P483" i="55"/>
  <c r="P484" i="55"/>
  <c r="P485" i="55"/>
  <c r="P486" i="55"/>
  <c r="P487" i="55"/>
  <c r="P488" i="55"/>
  <c r="P489" i="55"/>
  <c r="P490" i="55"/>
  <c r="P491" i="55"/>
  <c r="P492" i="55"/>
  <c r="P493" i="55"/>
  <c r="P494" i="55"/>
  <c r="P495" i="55"/>
  <c r="P496" i="55"/>
  <c r="P497" i="55"/>
  <c r="P498" i="55"/>
  <c r="P499" i="55"/>
  <c r="P500" i="55"/>
  <c r="P501" i="55"/>
  <c r="P502" i="55"/>
  <c r="P417" i="55"/>
  <c r="P418" i="55"/>
  <c r="P419" i="55"/>
  <c r="P420" i="55"/>
  <c r="P421" i="55"/>
  <c r="P422" i="55"/>
  <c r="P423" i="55"/>
  <c r="P424" i="55"/>
  <c r="P425" i="55"/>
  <c r="P426" i="55"/>
  <c r="P427" i="55"/>
  <c r="P428" i="55"/>
  <c r="P429" i="55"/>
  <c r="P430" i="55"/>
  <c r="P431" i="55"/>
  <c r="P432" i="55"/>
  <c r="P433" i="55"/>
  <c r="P434" i="55"/>
  <c r="P435" i="55"/>
  <c r="P436" i="55"/>
  <c r="P437" i="55"/>
  <c r="P438" i="55"/>
  <c r="P439" i="55"/>
  <c r="P440" i="55"/>
  <c r="P441" i="55"/>
  <c r="P442" i="55"/>
  <c r="P443" i="55"/>
  <c r="P444" i="55"/>
  <c r="P445" i="55"/>
  <c r="P446" i="55"/>
  <c r="P447" i="55"/>
  <c r="P448" i="55"/>
  <c r="P449" i="55"/>
  <c r="P450" i="55"/>
  <c r="P451" i="55"/>
  <c r="P452" i="55"/>
  <c r="P453" i="55"/>
  <c r="P454" i="55"/>
  <c r="P455" i="55"/>
  <c r="P456" i="55"/>
  <c r="P457" i="55"/>
  <c r="P458" i="55"/>
  <c r="P401" i="55"/>
  <c r="P402" i="55"/>
  <c r="P403" i="55"/>
  <c r="P404" i="55"/>
  <c r="P405" i="55"/>
  <c r="P406" i="55"/>
  <c r="P407" i="55"/>
  <c r="P408" i="55"/>
  <c r="P409" i="55"/>
  <c r="P410" i="55"/>
  <c r="P411" i="55"/>
  <c r="P412" i="55"/>
  <c r="P413" i="55"/>
  <c r="P414" i="55"/>
  <c r="P415" i="55"/>
  <c r="P416" i="55"/>
  <c r="P400" i="55"/>
  <c r="N163" i="55"/>
  <c r="N149" i="55"/>
  <c r="N150" i="55"/>
  <c r="N151" i="55"/>
  <c r="N152" i="55"/>
  <c r="N153" i="55"/>
  <c r="N154" i="55"/>
  <c r="N155" i="55"/>
  <c r="N142" i="55"/>
  <c r="N141" i="55"/>
  <c r="N656" i="55"/>
  <c r="N657" i="55"/>
  <c r="N658" i="55"/>
  <c r="N659" i="55"/>
  <c r="N660" i="55"/>
  <c r="N661" i="55"/>
  <c r="N662" i="55"/>
  <c r="N663" i="55"/>
  <c r="N664" i="55"/>
  <c r="N665" i="55"/>
  <c r="N666" i="55"/>
  <c r="N667" i="55"/>
  <c r="N668" i="55"/>
  <c r="N669" i="55"/>
  <c r="N670" i="55"/>
  <c r="N671" i="55"/>
  <c r="N672" i="55"/>
  <c r="N673" i="55"/>
  <c r="N674" i="55"/>
  <c r="N675" i="55"/>
  <c r="N676" i="55"/>
  <c r="N677" i="55"/>
  <c r="N678" i="55"/>
  <c r="N679" i="55"/>
  <c r="N680" i="55"/>
  <c r="N681" i="55"/>
  <c r="N682" i="55"/>
  <c r="N683" i="55"/>
  <c r="N684" i="55"/>
  <c r="N685" i="55"/>
  <c r="N686" i="55"/>
  <c r="N687" i="55"/>
  <c r="N688" i="55"/>
  <c r="N689" i="55"/>
  <c r="N690" i="55"/>
  <c r="N691" i="55"/>
  <c r="N692" i="55"/>
  <c r="N693" i="55"/>
  <c r="N694" i="55"/>
  <c r="N695" i="55"/>
  <c r="N696" i="55"/>
  <c r="N697" i="55"/>
  <c r="N698" i="55"/>
  <c r="N699" i="55"/>
  <c r="N700" i="55"/>
  <c r="N701" i="55"/>
  <c r="N702" i="55"/>
  <c r="N703" i="55"/>
  <c r="N704" i="55"/>
  <c r="N705" i="55"/>
  <c r="N706" i="55"/>
  <c r="N707" i="55"/>
  <c r="N708" i="55"/>
  <c r="N709" i="55"/>
  <c r="N710" i="55"/>
  <c r="N711" i="55"/>
  <c r="N712" i="55"/>
  <c r="N713" i="55"/>
  <c r="N714" i="55"/>
  <c r="N715" i="55"/>
  <c r="N716" i="55"/>
  <c r="N717" i="55"/>
  <c r="N718" i="55"/>
  <c r="N719" i="55"/>
  <c r="N720" i="55"/>
  <c r="N721" i="55"/>
  <c r="N722" i="55"/>
  <c r="N723" i="55"/>
  <c r="N724" i="55"/>
  <c r="N725" i="55"/>
  <c r="N726" i="55"/>
  <c r="N655" i="55"/>
  <c r="N159" i="55"/>
  <c r="N122" i="55"/>
  <c r="N123" i="55"/>
  <c r="N59" i="55"/>
  <c r="N62" i="55"/>
  <c r="N50" i="55"/>
  <c r="N53" i="55"/>
  <c r="N23" i="55"/>
  <c r="N30" i="55"/>
  <c r="N41" i="55"/>
  <c r="N48" i="55"/>
  <c r="N43" i="54"/>
  <c r="N42" i="54"/>
  <c r="P40" i="54"/>
  <c r="N16" i="54"/>
  <c r="N17" i="54"/>
  <c r="N18" i="54"/>
  <c r="N19" i="54"/>
  <c r="N20" i="54"/>
  <c r="N21" i="54"/>
  <c r="N22" i="54"/>
  <c r="N23" i="54"/>
  <c r="N24" i="54"/>
  <c r="N25" i="54"/>
  <c r="N26" i="54"/>
  <c r="N27" i="54"/>
  <c r="N28" i="54"/>
  <c r="N29" i="54"/>
  <c r="N30" i="54"/>
  <c r="N31" i="54"/>
  <c r="N32" i="54"/>
  <c r="N33" i="54"/>
  <c r="N34" i="54"/>
  <c r="N35" i="54"/>
  <c r="N36" i="54"/>
  <c r="N37" i="54"/>
  <c r="N38" i="54"/>
  <c r="N15" i="54"/>
  <c r="H41" i="9" l="1"/>
  <c r="I41" i="9"/>
  <c r="N49" i="55" l="1"/>
  <c r="H119" i="88"/>
  <c r="G119" i="88"/>
  <c r="H118" i="88"/>
  <c r="G118" i="88"/>
  <c r="H117" i="88"/>
  <c r="G117" i="88"/>
  <c r="H116" i="88"/>
  <c r="G116" i="88"/>
  <c r="H115" i="88"/>
  <c r="G115" i="88"/>
  <c r="H114" i="88"/>
  <c r="G114" i="88"/>
  <c r="H113" i="88"/>
  <c r="G113" i="88"/>
  <c r="H111" i="88"/>
  <c r="G111" i="88"/>
  <c r="H110" i="88"/>
  <c r="G110" i="88"/>
  <c r="H109" i="88"/>
  <c r="G109" i="88"/>
  <c r="H108" i="88"/>
  <c r="G108" i="88"/>
  <c r="H107" i="88"/>
  <c r="G107" i="88"/>
  <c r="H106" i="88"/>
  <c r="G106" i="88"/>
  <c r="H105" i="88"/>
  <c r="G105" i="88"/>
  <c r="H104" i="88"/>
  <c r="G104" i="88"/>
  <c r="H102" i="88"/>
  <c r="G102" i="88"/>
  <c r="H100" i="88"/>
  <c r="G100" i="88"/>
  <c r="H99" i="88"/>
  <c r="G99" i="88"/>
  <c r="H98" i="88"/>
  <c r="G98" i="88"/>
  <c r="H97" i="88"/>
  <c r="G97" i="88"/>
  <c r="H96" i="88"/>
  <c r="G96" i="88"/>
  <c r="H95" i="88"/>
  <c r="G95" i="88"/>
  <c r="H94" i="88"/>
  <c r="G94" i="88"/>
  <c r="H93" i="88"/>
  <c r="G93" i="88"/>
  <c r="H92" i="88"/>
  <c r="G92" i="88"/>
  <c r="H91" i="88"/>
  <c r="G91" i="88"/>
  <c r="H90" i="88"/>
  <c r="G90" i="88"/>
  <c r="H89" i="88"/>
  <c r="G89" i="88"/>
  <c r="H88" i="88"/>
  <c r="G88" i="88"/>
  <c r="H87" i="88"/>
  <c r="G87" i="88"/>
  <c r="H86" i="88"/>
  <c r="G86" i="88"/>
  <c r="G84" i="88"/>
  <c r="H84" i="88"/>
  <c r="G83" i="88"/>
  <c r="H83" i="88"/>
  <c r="G82" i="88"/>
  <c r="H82" i="88"/>
  <c r="H77" i="88"/>
  <c r="G77" i="88"/>
  <c r="H68" i="88"/>
  <c r="G68" i="88"/>
  <c r="H65" i="88"/>
  <c r="G65" i="88"/>
  <c r="H63" i="88"/>
  <c r="G63" i="88"/>
  <c r="H62" i="88"/>
  <c r="G62" i="88"/>
  <c r="H61" i="88"/>
  <c r="G61" i="88"/>
  <c r="H60" i="88"/>
  <c r="G60" i="88"/>
  <c r="H59" i="88"/>
  <c r="G59" i="88"/>
  <c r="H58" i="88"/>
  <c r="G58" i="88"/>
  <c r="H57" i="88"/>
  <c r="G57" i="88"/>
  <c r="H56" i="88"/>
  <c r="G56" i="88"/>
  <c r="H55" i="88"/>
  <c r="G55" i="88"/>
  <c r="H52" i="88"/>
  <c r="G52" i="88"/>
  <c r="H51" i="88"/>
  <c r="G51" i="88"/>
  <c r="H50" i="88"/>
  <c r="G50" i="88"/>
  <c r="H47" i="88"/>
  <c r="G47" i="88"/>
  <c r="H46" i="88"/>
  <c r="G46" i="88"/>
  <c r="H45" i="88"/>
  <c r="G45" i="88"/>
  <c r="H44" i="88"/>
  <c r="G44" i="88"/>
  <c r="H43" i="88"/>
  <c r="G43" i="88"/>
  <c r="H42" i="88"/>
  <c r="G42" i="88"/>
  <c r="H39" i="88"/>
  <c r="G39" i="88"/>
  <c r="H38" i="88"/>
  <c r="G38" i="88"/>
  <c r="H37" i="88"/>
  <c r="G37" i="88"/>
  <c r="H36" i="88"/>
  <c r="G36" i="88"/>
  <c r="H33" i="88"/>
  <c r="G33" i="88"/>
  <c r="H32" i="88"/>
  <c r="G32" i="88"/>
  <c r="H31" i="88"/>
  <c r="G31" i="88"/>
  <c r="H30" i="88"/>
  <c r="G30" i="88"/>
  <c r="H29" i="88"/>
  <c r="G29" i="88"/>
  <c r="H28" i="88"/>
  <c r="G28" i="88"/>
  <c r="H27" i="88"/>
  <c r="G27" i="88"/>
  <c r="H26" i="88"/>
  <c r="G26" i="88"/>
  <c r="H25" i="88"/>
  <c r="G25" i="88"/>
  <c r="H24" i="88"/>
  <c r="G24" i="88"/>
  <c r="H23" i="88"/>
  <c r="G23" i="88"/>
  <c r="H22" i="88"/>
  <c r="G22" i="88"/>
  <c r="H21" i="88"/>
  <c r="G21" i="88"/>
  <c r="H20" i="88"/>
  <c r="G20" i="88"/>
  <c r="H19" i="88"/>
  <c r="G19" i="88"/>
  <c r="H18" i="88"/>
  <c r="G18" i="88"/>
  <c r="H17" i="88"/>
  <c r="G17" i="88"/>
  <c r="H16" i="88"/>
  <c r="G16" i="88"/>
  <c r="H15" i="88"/>
  <c r="G15" i="88"/>
  <c r="H14" i="88"/>
  <c r="G14" i="88"/>
  <c r="H13" i="88"/>
  <c r="G13" i="88"/>
  <c r="H12" i="88"/>
  <c r="G12" i="88"/>
  <c r="H11" i="88"/>
  <c r="G11" i="88"/>
  <c r="H10" i="88"/>
  <c r="G10" i="88"/>
  <c r="H35" i="87"/>
  <c r="G35" i="87"/>
  <c r="I35" i="87" s="1"/>
  <c r="H34" i="87"/>
  <c r="I34" i="87" s="1"/>
  <c r="G34" i="87"/>
  <c r="H33" i="87"/>
  <c r="I31" i="87" s="1"/>
  <c r="G33" i="87"/>
  <c r="I33" i="87" s="1"/>
  <c r="H30" i="87"/>
  <c r="G30" i="87"/>
  <c r="I30" i="87" s="1"/>
  <c r="H29" i="87"/>
  <c r="G29" i="87"/>
  <c r="I29" i="87" s="1"/>
  <c r="H26" i="87"/>
  <c r="G26" i="87"/>
  <c r="I26" i="87" s="1"/>
  <c r="H25" i="87"/>
  <c r="I25" i="87" s="1"/>
  <c r="G25" i="87"/>
  <c r="H24" i="87"/>
  <c r="G24" i="87"/>
  <c r="I24" i="87" s="1"/>
  <c r="H23" i="87"/>
  <c r="G23" i="87"/>
  <c r="I23" i="87" s="1"/>
  <c r="I22" i="87"/>
  <c r="H22" i="87"/>
  <c r="G22" i="87"/>
  <c r="H19" i="87"/>
  <c r="G19" i="87"/>
  <c r="I19" i="87" s="1"/>
  <c r="H18" i="87"/>
  <c r="I18" i="87" s="1"/>
  <c r="G18" i="87"/>
  <c r="H17" i="87"/>
  <c r="I9" i="87" s="1"/>
  <c r="G17" i="87"/>
  <c r="I17" i="87" s="1"/>
  <c r="H15" i="87"/>
  <c r="G15" i="87"/>
  <c r="I15" i="87" s="1"/>
  <c r="I13" i="87"/>
  <c r="H13" i="87"/>
  <c r="G13" i="87"/>
  <c r="I11" i="87"/>
  <c r="H11" i="87"/>
  <c r="G11" i="87"/>
  <c r="H149" i="86"/>
  <c r="G149" i="86"/>
  <c r="H148" i="86"/>
  <c r="G148" i="86"/>
  <c r="H147" i="86"/>
  <c r="I147" i="86" s="1"/>
  <c r="G147" i="86"/>
  <c r="H146" i="86"/>
  <c r="G146" i="86"/>
  <c r="H144" i="86"/>
  <c r="G144" i="86"/>
  <c r="H143" i="86"/>
  <c r="G143" i="86"/>
  <c r="H142" i="86"/>
  <c r="G142" i="86"/>
  <c r="H141" i="86"/>
  <c r="G141" i="86"/>
  <c r="H140" i="86"/>
  <c r="G140" i="86"/>
  <c r="H139" i="86"/>
  <c r="G139" i="86"/>
  <c r="H138" i="86"/>
  <c r="I138" i="86" s="1"/>
  <c r="G138" i="86"/>
  <c r="H136" i="86"/>
  <c r="G136" i="86"/>
  <c r="H134" i="86"/>
  <c r="G134" i="86"/>
  <c r="H131" i="86"/>
  <c r="G131" i="86"/>
  <c r="I129" i="86"/>
  <c r="H129" i="86"/>
  <c r="G129" i="86"/>
  <c r="H128" i="86"/>
  <c r="G128" i="86"/>
  <c r="I128" i="86" s="1"/>
  <c r="H126" i="86"/>
  <c r="G126" i="86"/>
  <c r="I126" i="86" s="1"/>
  <c r="H125" i="86"/>
  <c r="G125" i="86"/>
  <c r="H124" i="86"/>
  <c r="G124" i="86"/>
  <c r="I124" i="86" s="1"/>
  <c r="H123" i="86"/>
  <c r="G123" i="86"/>
  <c r="H122" i="86"/>
  <c r="G122" i="86"/>
  <c r="H119" i="86"/>
  <c r="G119" i="86"/>
  <c r="H117" i="86"/>
  <c r="G117" i="86"/>
  <c r="I117" i="86" s="1"/>
  <c r="H116" i="86"/>
  <c r="G116" i="86"/>
  <c r="I116" i="86" s="1"/>
  <c r="H115" i="86"/>
  <c r="G115" i="86"/>
  <c r="H114" i="86"/>
  <c r="G114" i="86"/>
  <c r="I114" i="86" s="1"/>
  <c r="H112" i="86"/>
  <c r="G112" i="86"/>
  <c r="I112" i="86" s="1"/>
  <c r="H109" i="86"/>
  <c r="G109" i="86"/>
  <c r="I109" i="86" s="1"/>
  <c r="H106" i="86"/>
  <c r="G106" i="86"/>
  <c r="H104" i="86"/>
  <c r="G104" i="86"/>
  <c r="I104" i="86" s="1"/>
  <c r="H103" i="86"/>
  <c r="G103" i="86"/>
  <c r="H102" i="86"/>
  <c r="G102" i="86"/>
  <c r="H100" i="86"/>
  <c r="G100" i="86"/>
  <c r="I100" i="86" s="1"/>
  <c r="H99" i="86"/>
  <c r="G99" i="86"/>
  <c r="I99" i="86" s="1"/>
  <c r="H96" i="86"/>
  <c r="G96" i="86"/>
  <c r="I96" i="86" s="1"/>
  <c r="H95" i="86"/>
  <c r="G95" i="86"/>
  <c r="H92" i="86"/>
  <c r="G92" i="86"/>
  <c r="H91" i="86"/>
  <c r="G91" i="86"/>
  <c r="I91" i="86" s="1"/>
  <c r="H90" i="86"/>
  <c r="G90" i="86"/>
  <c r="I90" i="86" s="1"/>
  <c r="H89" i="86"/>
  <c r="G89" i="86"/>
  <c r="H88" i="86"/>
  <c r="G88" i="86"/>
  <c r="I88" i="86" s="1"/>
  <c r="H87" i="86"/>
  <c r="G87" i="86"/>
  <c r="H85" i="86"/>
  <c r="G85" i="86"/>
  <c r="H84" i="86"/>
  <c r="G84" i="86"/>
  <c r="H81" i="86"/>
  <c r="G81" i="86"/>
  <c r="H79" i="86"/>
  <c r="G79" i="86"/>
  <c r="H78" i="86"/>
  <c r="G78" i="86"/>
  <c r="I78" i="86" s="1"/>
  <c r="H77" i="86"/>
  <c r="G77" i="86"/>
  <c r="I77" i="86" s="1"/>
  <c r="H76" i="86"/>
  <c r="G76" i="86"/>
  <c r="I76" i="86" s="1"/>
  <c r="H75" i="86"/>
  <c r="G75" i="86"/>
  <c r="H74" i="86"/>
  <c r="G74" i="86"/>
  <c r="I74" i="86" s="1"/>
  <c r="H71" i="86"/>
  <c r="G71" i="86"/>
  <c r="I71" i="86" s="1"/>
  <c r="H70" i="86"/>
  <c r="G70" i="86"/>
  <c r="H69" i="86"/>
  <c r="G69" i="86"/>
  <c r="I69" i="86" s="1"/>
  <c r="H68" i="86"/>
  <c r="G68" i="86"/>
  <c r="H67" i="86"/>
  <c r="G67" i="86"/>
  <c r="I67" i="86" s="1"/>
  <c r="H66" i="86"/>
  <c r="G66" i="86"/>
  <c r="H64" i="86"/>
  <c r="G64" i="86"/>
  <c r="I64" i="86" s="1"/>
  <c r="H63" i="86"/>
  <c r="G63" i="86"/>
  <c r="H62" i="86"/>
  <c r="G62" i="86"/>
  <c r="I62" i="86" s="1"/>
  <c r="H61" i="86"/>
  <c r="G61" i="86"/>
  <c r="H60" i="86"/>
  <c r="G60" i="86"/>
  <c r="I60" i="86" s="1"/>
  <c r="H59" i="86"/>
  <c r="G59" i="86"/>
  <c r="H58" i="86"/>
  <c r="G58" i="86"/>
  <c r="I58" i="86" s="1"/>
  <c r="H57" i="86"/>
  <c r="G57" i="86"/>
  <c r="H56" i="86"/>
  <c r="G56" i="86"/>
  <c r="I56" i="86" s="1"/>
  <c r="H55" i="86"/>
  <c r="G55" i="86"/>
  <c r="H54" i="86"/>
  <c r="G54" i="86"/>
  <c r="I54" i="86" s="1"/>
  <c r="H53" i="86"/>
  <c r="G53" i="86"/>
  <c r="H52" i="86"/>
  <c r="G52" i="86"/>
  <c r="I52" i="86" s="1"/>
  <c r="H51" i="86"/>
  <c r="G51" i="86"/>
  <c r="I51" i="86" s="1"/>
  <c r="H50" i="86"/>
  <c r="G50" i="86"/>
  <c r="H49" i="86"/>
  <c r="G49" i="86"/>
  <c r="I49" i="86" s="1"/>
  <c r="H46" i="86"/>
  <c r="G46" i="86"/>
  <c r="H44" i="86"/>
  <c r="G44" i="86"/>
  <c r="I44" i="86" s="1"/>
  <c r="H43" i="86"/>
  <c r="G43" i="86"/>
  <c r="H42" i="86"/>
  <c r="G42" i="86"/>
  <c r="H41" i="86"/>
  <c r="I41" i="86" s="1"/>
  <c r="G41" i="86"/>
  <c r="H39" i="86"/>
  <c r="G39" i="86"/>
  <c r="H38" i="86"/>
  <c r="G38" i="86"/>
  <c r="H37" i="86"/>
  <c r="G37" i="86"/>
  <c r="H36" i="86"/>
  <c r="G36" i="86"/>
  <c r="H35" i="86"/>
  <c r="G35" i="86"/>
  <c r="H34" i="86"/>
  <c r="G34" i="86"/>
  <c r="H33" i="86"/>
  <c r="G33" i="86"/>
  <c r="H32" i="86"/>
  <c r="G32" i="86"/>
  <c r="H31" i="86"/>
  <c r="G31" i="86"/>
  <c r="H30" i="86"/>
  <c r="G30" i="86"/>
  <c r="H27" i="86"/>
  <c r="G27" i="86"/>
  <c r="H25" i="86"/>
  <c r="G25" i="86"/>
  <c r="H24" i="86"/>
  <c r="G24" i="86"/>
  <c r="H23" i="86"/>
  <c r="G23" i="86"/>
  <c r="H22" i="86"/>
  <c r="G22" i="86"/>
  <c r="H20" i="86"/>
  <c r="G20" i="86"/>
  <c r="H19" i="86"/>
  <c r="G19" i="86"/>
  <c r="H18" i="86"/>
  <c r="G18" i="86"/>
  <c r="I18" i="86" s="1"/>
  <c r="H17" i="86"/>
  <c r="G17" i="86"/>
  <c r="H16" i="86"/>
  <c r="G16" i="86"/>
  <c r="H15" i="86"/>
  <c r="G15" i="86"/>
  <c r="H14" i="86"/>
  <c r="G14" i="86"/>
  <c r="I14" i="86" s="1"/>
  <c r="H13" i="86"/>
  <c r="G13" i="86"/>
  <c r="H12" i="86"/>
  <c r="G12" i="86"/>
  <c r="H127" i="85"/>
  <c r="G127" i="85"/>
  <c r="H126" i="85"/>
  <c r="G126" i="85"/>
  <c r="H125" i="85"/>
  <c r="G125" i="85"/>
  <c r="H124" i="85"/>
  <c r="G124" i="85"/>
  <c r="H123" i="85"/>
  <c r="G123" i="85"/>
  <c r="H122" i="85"/>
  <c r="G122" i="85"/>
  <c r="H121" i="85"/>
  <c r="G121" i="85"/>
  <c r="H120" i="85"/>
  <c r="G120" i="85"/>
  <c r="H119" i="85"/>
  <c r="G119" i="85"/>
  <c r="H118" i="85"/>
  <c r="G118" i="85"/>
  <c r="H117" i="85"/>
  <c r="G117" i="85"/>
  <c r="H116" i="85"/>
  <c r="G116" i="85"/>
  <c r="H115" i="85"/>
  <c r="G115" i="85"/>
  <c r="H114" i="85"/>
  <c r="G114" i="85"/>
  <c r="H113" i="85"/>
  <c r="G113" i="85"/>
  <c r="H112" i="85"/>
  <c r="G112" i="85"/>
  <c r="H111" i="85"/>
  <c r="G111" i="85"/>
  <c r="H110" i="85"/>
  <c r="G110" i="85"/>
  <c r="H109" i="85"/>
  <c r="G109" i="85"/>
  <c r="H108" i="85"/>
  <c r="G108" i="85"/>
  <c r="H107" i="85"/>
  <c r="G107" i="85"/>
  <c r="H106" i="85"/>
  <c r="G106" i="85"/>
  <c r="H105" i="85"/>
  <c r="G105" i="85"/>
  <c r="H104" i="85"/>
  <c r="G104" i="85"/>
  <c r="H103" i="85"/>
  <c r="G103" i="85"/>
  <c r="H102" i="85"/>
  <c r="G102" i="85"/>
  <c r="H101" i="85"/>
  <c r="G101" i="85"/>
  <c r="H100" i="85"/>
  <c r="G100" i="85"/>
  <c r="H99" i="85"/>
  <c r="G99" i="85"/>
  <c r="H98" i="85"/>
  <c r="G98" i="85"/>
  <c r="H97" i="85"/>
  <c r="G97" i="85"/>
  <c r="H96" i="85"/>
  <c r="G96" i="85"/>
  <c r="H95" i="85"/>
  <c r="G95" i="85"/>
  <c r="H94" i="85"/>
  <c r="G94" i="85"/>
  <c r="H93" i="85"/>
  <c r="G93" i="85"/>
  <c r="H92" i="85"/>
  <c r="G92" i="85"/>
  <c r="H91" i="85"/>
  <c r="G91" i="85"/>
  <c r="H90" i="85"/>
  <c r="G90" i="85"/>
  <c r="H89" i="85"/>
  <c r="G89" i="85"/>
  <c r="H88" i="85"/>
  <c r="G88" i="85"/>
  <c r="H87" i="85"/>
  <c r="G87" i="85"/>
  <c r="H86" i="85"/>
  <c r="G86" i="85"/>
  <c r="H85" i="85"/>
  <c r="G85" i="85"/>
  <c r="H84" i="85"/>
  <c r="G84" i="85"/>
  <c r="H83" i="85"/>
  <c r="G83" i="85"/>
  <c r="H82" i="85"/>
  <c r="G82" i="85"/>
  <c r="H81" i="85"/>
  <c r="G81" i="85"/>
  <c r="H80" i="85"/>
  <c r="G80" i="85"/>
  <c r="H79" i="85"/>
  <c r="G79" i="85"/>
  <c r="H78" i="85"/>
  <c r="G78" i="85"/>
  <c r="H77" i="85"/>
  <c r="G77" i="85"/>
  <c r="H76" i="85"/>
  <c r="G76" i="85"/>
  <c r="H75" i="85"/>
  <c r="G75" i="85"/>
  <c r="H74" i="85"/>
  <c r="G74" i="85"/>
  <c r="H73" i="85"/>
  <c r="G73" i="85"/>
  <c r="H72" i="85"/>
  <c r="G72" i="85"/>
  <c r="H71" i="85"/>
  <c r="G71" i="85"/>
  <c r="H70" i="85"/>
  <c r="G70" i="85"/>
  <c r="H69" i="85"/>
  <c r="G69" i="85"/>
  <c r="H68" i="85"/>
  <c r="G68" i="85"/>
  <c r="H67" i="85"/>
  <c r="G67" i="85"/>
  <c r="H66" i="85"/>
  <c r="G66" i="85"/>
  <c r="H65" i="85"/>
  <c r="G65" i="85"/>
  <c r="H64" i="85"/>
  <c r="G64" i="85"/>
  <c r="H63" i="85"/>
  <c r="G63" i="85"/>
  <c r="H62" i="85"/>
  <c r="G62" i="85"/>
  <c r="H61" i="85"/>
  <c r="G61" i="85"/>
  <c r="H60" i="85"/>
  <c r="G60" i="85"/>
  <c r="H59" i="85"/>
  <c r="G59" i="85"/>
  <c r="H58" i="85"/>
  <c r="G58" i="85"/>
  <c r="H57" i="85"/>
  <c r="D57" i="85"/>
  <c r="G57" i="85" s="1"/>
  <c r="H56" i="85"/>
  <c r="G56" i="85"/>
  <c r="H55" i="85"/>
  <c r="G55" i="85"/>
  <c r="D54" i="85"/>
  <c r="H54" i="85" s="1"/>
  <c r="H53" i="85"/>
  <c r="G53" i="85"/>
  <c r="H52" i="85"/>
  <c r="G52" i="85"/>
  <c r="H51" i="85"/>
  <c r="G51" i="85"/>
  <c r="H50" i="85"/>
  <c r="G50" i="85"/>
  <c r="H49" i="85"/>
  <c r="G49" i="85"/>
  <c r="H48" i="85"/>
  <c r="G48" i="85"/>
  <c r="H47" i="85"/>
  <c r="G47" i="85"/>
  <c r="H46" i="85"/>
  <c r="G46" i="85"/>
  <c r="H45" i="85"/>
  <c r="G45" i="85"/>
  <c r="H44" i="85"/>
  <c r="G44" i="85"/>
  <c r="H43" i="85"/>
  <c r="G43" i="85"/>
  <c r="H42" i="85"/>
  <c r="G42" i="85"/>
  <c r="H41" i="85"/>
  <c r="G41" i="85"/>
  <c r="H40" i="85"/>
  <c r="G40" i="85"/>
  <c r="H39" i="85"/>
  <c r="G39" i="85"/>
  <c r="H38" i="85"/>
  <c r="G38" i="85"/>
  <c r="H37" i="85"/>
  <c r="G37" i="85"/>
  <c r="H36" i="85"/>
  <c r="G36" i="85"/>
  <c r="H35" i="85"/>
  <c r="G35" i="85"/>
  <c r="H34" i="85"/>
  <c r="G34" i="85"/>
  <c r="H33" i="85"/>
  <c r="G33" i="85"/>
  <c r="H32" i="85"/>
  <c r="G32" i="85"/>
  <c r="H31" i="85"/>
  <c r="G31" i="85"/>
  <c r="H30" i="85"/>
  <c r="G30" i="85"/>
  <c r="H29" i="85"/>
  <c r="G29" i="85"/>
  <c r="H28" i="85"/>
  <c r="G28" i="85"/>
  <c r="H27" i="85"/>
  <c r="G27" i="85"/>
  <c r="H26" i="85"/>
  <c r="G26" i="85"/>
  <c r="H25" i="85"/>
  <c r="G25" i="85"/>
  <c r="H24" i="85"/>
  <c r="G24" i="85"/>
  <c r="H23" i="85"/>
  <c r="G23" i="85"/>
  <c r="H22" i="85"/>
  <c r="G22" i="85"/>
  <c r="H21" i="85"/>
  <c r="G21" i="85"/>
  <c r="H20" i="85"/>
  <c r="G20" i="85"/>
  <c r="H19" i="85"/>
  <c r="G19" i="85"/>
  <c r="H18" i="85"/>
  <c r="G18" i="85"/>
  <c r="H17" i="85"/>
  <c r="G17" i="85"/>
  <c r="H16" i="85"/>
  <c r="G16" i="85"/>
  <c r="H15" i="85"/>
  <c r="G15" i="85"/>
  <c r="H14" i="85"/>
  <c r="G14" i="85"/>
  <c r="H13" i="85"/>
  <c r="G13" i="85"/>
  <c r="H12" i="85"/>
  <c r="G12" i="85"/>
  <c r="I3" i="85"/>
  <c r="I66" i="85" s="1"/>
  <c r="H194" i="84"/>
  <c r="G194" i="84"/>
  <c r="I194" i="84" s="1"/>
  <c r="H193" i="84"/>
  <c r="G193" i="84"/>
  <c r="I193" i="84" s="1"/>
  <c r="H192" i="84"/>
  <c r="I192" i="84" s="1"/>
  <c r="G192" i="84"/>
  <c r="H191" i="84"/>
  <c r="G191" i="84"/>
  <c r="I191" i="84" s="1"/>
  <c r="H190" i="84"/>
  <c r="G190" i="84"/>
  <c r="I190" i="84" s="1"/>
  <c r="I189" i="84"/>
  <c r="H189" i="84"/>
  <c r="G189" i="84"/>
  <c r="H188" i="84"/>
  <c r="G188" i="84"/>
  <c r="I188" i="84" s="1"/>
  <c r="H187" i="84"/>
  <c r="G187" i="84"/>
  <c r="I187" i="84" s="1"/>
  <c r="H186" i="84"/>
  <c r="G186" i="84"/>
  <c r="I186" i="84" s="1"/>
  <c r="H185" i="84"/>
  <c r="G185" i="84"/>
  <c r="I185" i="84" s="1"/>
  <c r="H184" i="84"/>
  <c r="I184" i="84" s="1"/>
  <c r="G184" i="84"/>
  <c r="H183" i="84"/>
  <c r="G183" i="84"/>
  <c r="I183" i="84" s="1"/>
  <c r="H182" i="84"/>
  <c r="G182" i="84"/>
  <c r="I182" i="84" s="1"/>
  <c r="I181" i="84"/>
  <c r="H181" i="84"/>
  <c r="G181" i="84"/>
  <c r="H180" i="84"/>
  <c r="G180" i="84"/>
  <c r="I180" i="84" s="1"/>
  <c r="H179" i="84"/>
  <c r="G179" i="84"/>
  <c r="I179" i="84" s="1"/>
  <c r="H178" i="84"/>
  <c r="G178" i="84"/>
  <c r="I178" i="84" s="1"/>
  <c r="H177" i="84"/>
  <c r="G177" i="84"/>
  <c r="I177" i="84" s="1"/>
  <c r="H176" i="84"/>
  <c r="I176" i="84" s="1"/>
  <c r="G176" i="84"/>
  <c r="H175" i="84"/>
  <c r="G175" i="84"/>
  <c r="I175" i="84" s="1"/>
  <c r="H174" i="84"/>
  <c r="G174" i="84"/>
  <c r="I174" i="84" s="1"/>
  <c r="I173" i="84"/>
  <c r="H173" i="84"/>
  <c r="G173" i="84"/>
  <c r="H172" i="84"/>
  <c r="G172" i="84"/>
  <c r="I172" i="84" s="1"/>
  <c r="H171" i="84"/>
  <c r="G171" i="84"/>
  <c r="I171" i="84" s="1"/>
  <c r="H170" i="84"/>
  <c r="G170" i="84"/>
  <c r="I170" i="84" s="1"/>
  <c r="H169" i="84"/>
  <c r="I169" i="84" s="1"/>
  <c r="G169" i="84"/>
  <c r="H168" i="84"/>
  <c r="I168" i="84" s="1"/>
  <c r="G168" i="84"/>
  <c r="H167" i="84"/>
  <c r="G167" i="84"/>
  <c r="I167" i="84" s="1"/>
  <c r="H166" i="84"/>
  <c r="G166" i="84"/>
  <c r="I166" i="84" s="1"/>
  <c r="I165" i="84"/>
  <c r="H165" i="84"/>
  <c r="G165" i="84"/>
  <c r="H164" i="84"/>
  <c r="G164" i="84"/>
  <c r="I164" i="84" s="1"/>
  <c r="H163" i="84"/>
  <c r="G163" i="84"/>
  <c r="I163" i="84" s="1"/>
  <c r="H162" i="84"/>
  <c r="G162" i="84"/>
  <c r="I162" i="84" s="1"/>
  <c r="H161" i="84"/>
  <c r="I161" i="84" s="1"/>
  <c r="G161" i="84"/>
  <c r="H160" i="84"/>
  <c r="I160" i="84" s="1"/>
  <c r="G160" i="84"/>
  <c r="H159" i="84"/>
  <c r="G159" i="84"/>
  <c r="I159" i="84" s="1"/>
  <c r="H158" i="84"/>
  <c r="G158" i="84"/>
  <c r="I158" i="84" s="1"/>
  <c r="I157" i="84"/>
  <c r="H157" i="84"/>
  <c r="G157" i="84"/>
  <c r="H156" i="84"/>
  <c r="G156" i="84"/>
  <c r="I156" i="84" s="1"/>
  <c r="H155" i="84"/>
  <c r="G155" i="84"/>
  <c r="I155" i="84" s="1"/>
  <c r="H154" i="84"/>
  <c r="G154" i="84"/>
  <c r="I154" i="84" s="1"/>
  <c r="H153" i="84"/>
  <c r="G153" i="84"/>
  <c r="I153" i="84" s="1"/>
  <c r="H152" i="84"/>
  <c r="I152" i="84" s="1"/>
  <c r="G152" i="84"/>
  <c r="H151" i="84"/>
  <c r="G151" i="84"/>
  <c r="I151" i="84" s="1"/>
  <c r="H150" i="84"/>
  <c r="G150" i="84"/>
  <c r="I150" i="84" s="1"/>
  <c r="I149" i="84"/>
  <c r="H149" i="84"/>
  <c r="G149" i="84"/>
  <c r="H148" i="84"/>
  <c r="G148" i="84"/>
  <c r="I148" i="84" s="1"/>
  <c r="H147" i="84"/>
  <c r="G147" i="84"/>
  <c r="I147" i="84" s="1"/>
  <c r="H146" i="84"/>
  <c r="G146" i="84"/>
  <c r="I146" i="84" s="1"/>
  <c r="H145" i="84"/>
  <c r="G145" i="84"/>
  <c r="I145" i="84" s="1"/>
  <c r="H144" i="84"/>
  <c r="G144" i="84"/>
  <c r="H143" i="84"/>
  <c r="G143" i="84"/>
  <c r="H142" i="84"/>
  <c r="G142" i="84"/>
  <c r="I142" i="84" s="1"/>
  <c r="H141" i="84"/>
  <c r="G141" i="84"/>
  <c r="I141" i="84" s="1"/>
  <c r="H140" i="84"/>
  <c r="G140" i="84"/>
  <c r="I140" i="84" s="1"/>
  <c r="H139" i="84"/>
  <c r="G139" i="84"/>
  <c r="I139" i="84" s="1"/>
  <c r="H138" i="84"/>
  <c r="I138" i="84" s="1"/>
  <c r="G138" i="84"/>
  <c r="H137" i="84"/>
  <c r="G137" i="84"/>
  <c r="I137" i="84" s="1"/>
  <c r="H136" i="84"/>
  <c r="G136" i="84"/>
  <c r="I136" i="84" s="1"/>
  <c r="I135" i="84"/>
  <c r="H135" i="84"/>
  <c r="G135" i="84"/>
  <c r="H134" i="84"/>
  <c r="G134" i="84"/>
  <c r="I134" i="84" s="1"/>
  <c r="H133" i="84"/>
  <c r="G133" i="84"/>
  <c r="I133" i="84" s="1"/>
  <c r="H132" i="84"/>
  <c r="G132" i="84"/>
  <c r="I132" i="84" s="1"/>
  <c r="H131" i="84"/>
  <c r="G131" i="84"/>
  <c r="I131" i="84" s="1"/>
  <c r="H130" i="84"/>
  <c r="I130" i="84" s="1"/>
  <c r="G130" i="84"/>
  <c r="H129" i="84"/>
  <c r="G129" i="84"/>
  <c r="I129" i="84" s="1"/>
  <c r="H128" i="84"/>
  <c r="G128" i="84"/>
  <c r="I128" i="84" s="1"/>
  <c r="I127" i="84"/>
  <c r="H127" i="84"/>
  <c r="G127" i="84"/>
  <c r="H126" i="84"/>
  <c r="G126" i="84"/>
  <c r="I126" i="84" s="1"/>
  <c r="H125" i="84"/>
  <c r="G125" i="84"/>
  <c r="I125" i="84" s="1"/>
  <c r="H124" i="84"/>
  <c r="G124" i="84"/>
  <c r="I124" i="84" s="1"/>
  <c r="H123" i="84"/>
  <c r="G123" i="84"/>
  <c r="I123" i="84" s="1"/>
  <c r="H122" i="84"/>
  <c r="I122" i="84" s="1"/>
  <c r="G122" i="84"/>
  <c r="I121" i="84"/>
  <c r="H121" i="84"/>
  <c r="G121" i="84"/>
  <c r="H120" i="84"/>
  <c r="G120" i="84"/>
  <c r="I120" i="84" s="1"/>
  <c r="I119" i="84"/>
  <c r="H119" i="84"/>
  <c r="G119" i="84"/>
  <c r="H118" i="84"/>
  <c r="G118" i="84"/>
  <c r="I118" i="84" s="1"/>
  <c r="H117" i="84"/>
  <c r="G117" i="84"/>
  <c r="I117" i="84" s="1"/>
  <c r="H116" i="84"/>
  <c r="G116" i="84"/>
  <c r="I116" i="84" s="1"/>
  <c r="H115" i="84"/>
  <c r="G115" i="84"/>
  <c r="I115" i="84" s="1"/>
  <c r="H114" i="84"/>
  <c r="I114" i="84" s="1"/>
  <c r="G114" i="84"/>
  <c r="I113" i="84"/>
  <c r="H113" i="84"/>
  <c r="G113" i="84"/>
  <c r="H112" i="84"/>
  <c r="G112" i="84"/>
  <c r="I112" i="84" s="1"/>
  <c r="I111" i="84"/>
  <c r="H111" i="84"/>
  <c r="G111" i="84"/>
  <c r="H110" i="84"/>
  <c r="G110" i="84"/>
  <c r="I110" i="84" s="1"/>
  <c r="H109" i="84"/>
  <c r="G109" i="84"/>
  <c r="I109" i="84" s="1"/>
  <c r="H108" i="84"/>
  <c r="G108" i="84"/>
  <c r="I108" i="84" s="1"/>
  <c r="H107" i="84"/>
  <c r="G107" i="84"/>
  <c r="I107" i="84" s="1"/>
  <c r="H106" i="84"/>
  <c r="I106" i="84" s="1"/>
  <c r="G106" i="84"/>
  <c r="I105" i="84"/>
  <c r="H105" i="84"/>
  <c r="G105" i="84"/>
  <c r="H104" i="84"/>
  <c r="G104" i="84"/>
  <c r="I104" i="84" s="1"/>
  <c r="I103" i="84"/>
  <c r="H103" i="84"/>
  <c r="G103" i="84"/>
  <c r="H102" i="84"/>
  <c r="G102" i="84"/>
  <c r="I102" i="84" s="1"/>
  <c r="H101" i="84"/>
  <c r="G101" i="84"/>
  <c r="I101" i="84" s="1"/>
  <c r="H100" i="84"/>
  <c r="G100" i="84"/>
  <c r="I100" i="84" s="1"/>
  <c r="H99" i="84"/>
  <c r="G99" i="84"/>
  <c r="I99" i="84" s="1"/>
  <c r="H98" i="84"/>
  <c r="I98" i="84" s="1"/>
  <c r="G98" i="84"/>
  <c r="I97" i="84"/>
  <c r="H97" i="84"/>
  <c r="G97" i="84"/>
  <c r="H96" i="84"/>
  <c r="G96" i="84"/>
  <c r="I96" i="84" s="1"/>
  <c r="I95" i="84"/>
  <c r="H95" i="84"/>
  <c r="G95" i="84"/>
  <c r="H94" i="84"/>
  <c r="G94" i="84"/>
  <c r="I94" i="84" s="1"/>
  <c r="H93" i="84"/>
  <c r="G93" i="84"/>
  <c r="I93" i="84" s="1"/>
  <c r="H92" i="84"/>
  <c r="G92" i="84"/>
  <c r="I92" i="84" s="1"/>
  <c r="H91" i="84"/>
  <c r="G91" i="84"/>
  <c r="I91" i="84" s="1"/>
  <c r="H90" i="84"/>
  <c r="I90" i="84" s="1"/>
  <c r="G90" i="84"/>
  <c r="H89" i="84"/>
  <c r="G89" i="84"/>
  <c r="I89" i="84" s="1"/>
  <c r="H88" i="84"/>
  <c r="G88" i="84"/>
  <c r="I88" i="84" s="1"/>
  <c r="I87" i="84"/>
  <c r="H87" i="84"/>
  <c r="G87" i="84"/>
  <c r="H86" i="84"/>
  <c r="G86" i="84"/>
  <c r="I86" i="84" s="1"/>
  <c r="H85" i="84"/>
  <c r="G85" i="84"/>
  <c r="I85" i="84" s="1"/>
  <c r="H84" i="84"/>
  <c r="G84" i="84"/>
  <c r="I84" i="84" s="1"/>
  <c r="H83" i="84"/>
  <c r="G83" i="84"/>
  <c r="I83" i="84" s="1"/>
  <c r="H82" i="84"/>
  <c r="I82" i="84" s="1"/>
  <c r="G82" i="84"/>
  <c r="H81" i="84"/>
  <c r="G81" i="84"/>
  <c r="I81" i="84" s="1"/>
  <c r="H80" i="84"/>
  <c r="G80" i="84"/>
  <c r="I80" i="84" s="1"/>
  <c r="I79" i="84"/>
  <c r="H79" i="84"/>
  <c r="G79" i="84"/>
  <c r="H78" i="84"/>
  <c r="G78" i="84"/>
  <c r="I78" i="84" s="1"/>
  <c r="H77" i="84"/>
  <c r="G77" i="84"/>
  <c r="I77" i="84" s="1"/>
  <c r="H76" i="84"/>
  <c r="G76" i="84"/>
  <c r="I76" i="84" s="1"/>
  <c r="H75" i="84"/>
  <c r="G75" i="84"/>
  <c r="I75" i="84" s="1"/>
  <c r="H74" i="84"/>
  <c r="I74" i="84" s="1"/>
  <c r="G74" i="84"/>
  <c r="H73" i="84"/>
  <c r="G73" i="84"/>
  <c r="I73" i="84" s="1"/>
  <c r="H72" i="84"/>
  <c r="G72" i="84"/>
  <c r="I72" i="84" s="1"/>
  <c r="I71" i="84"/>
  <c r="H71" i="84"/>
  <c r="G71" i="84"/>
  <c r="H70" i="84"/>
  <c r="G70" i="84"/>
  <c r="I70" i="84" s="1"/>
  <c r="H69" i="84"/>
  <c r="G69" i="84"/>
  <c r="I69" i="84" s="1"/>
  <c r="H68" i="84"/>
  <c r="G68" i="84"/>
  <c r="I68" i="84" s="1"/>
  <c r="H67" i="84"/>
  <c r="G67" i="84"/>
  <c r="I67" i="84" s="1"/>
  <c r="H66" i="84"/>
  <c r="I66" i="84" s="1"/>
  <c r="G66" i="84"/>
  <c r="H65" i="84"/>
  <c r="G65" i="84"/>
  <c r="I65" i="84" s="1"/>
  <c r="H64" i="84"/>
  <c r="G64" i="84"/>
  <c r="I64" i="84" s="1"/>
  <c r="I63" i="84"/>
  <c r="H63" i="84"/>
  <c r="G63" i="84"/>
  <c r="H62" i="84"/>
  <c r="G62" i="84"/>
  <c r="I62" i="84" s="1"/>
  <c r="H61" i="84"/>
  <c r="G61" i="84"/>
  <c r="I61" i="84" s="1"/>
  <c r="H60" i="84"/>
  <c r="G60" i="84"/>
  <c r="I60" i="84" s="1"/>
  <c r="H59" i="84"/>
  <c r="G59" i="84"/>
  <c r="I59" i="84" s="1"/>
  <c r="H58" i="84"/>
  <c r="I58" i="84" s="1"/>
  <c r="G58" i="84"/>
  <c r="H57" i="84"/>
  <c r="G57" i="84"/>
  <c r="I57" i="84" s="1"/>
  <c r="H56" i="84"/>
  <c r="G56" i="84"/>
  <c r="I56" i="84" s="1"/>
  <c r="I55" i="84"/>
  <c r="H55" i="84"/>
  <c r="G55" i="84"/>
  <c r="H54" i="84"/>
  <c r="G54" i="84"/>
  <c r="I54" i="84" s="1"/>
  <c r="H53" i="84"/>
  <c r="G53" i="84"/>
  <c r="I53" i="84" s="1"/>
  <c r="H52" i="84"/>
  <c r="G52" i="84"/>
  <c r="I52" i="84" s="1"/>
  <c r="H51" i="84"/>
  <c r="G51" i="84"/>
  <c r="I51" i="84" s="1"/>
  <c r="H50" i="84"/>
  <c r="I50" i="84" s="1"/>
  <c r="G50" i="84"/>
  <c r="H49" i="84"/>
  <c r="G49" i="84"/>
  <c r="I49" i="84" s="1"/>
  <c r="H48" i="84"/>
  <c r="G48" i="84"/>
  <c r="I48" i="84" s="1"/>
  <c r="I47" i="84"/>
  <c r="H47" i="84"/>
  <c r="G47" i="84"/>
  <c r="H46" i="84"/>
  <c r="G46" i="84"/>
  <c r="I46" i="84" s="1"/>
  <c r="H45" i="84"/>
  <c r="G45" i="84"/>
  <c r="I45" i="84" s="1"/>
  <c r="H44" i="84"/>
  <c r="G44" i="84"/>
  <c r="I44" i="84" s="1"/>
  <c r="H43" i="84"/>
  <c r="G43" i="84"/>
  <c r="I43" i="84" s="1"/>
  <c r="H42" i="84"/>
  <c r="I42" i="84" s="1"/>
  <c r="G42" i="84"/>
  <c r="H41" i="84"/>
  <c r="G41" i="84"/>
  <c r="I41" i="84" s="1"/>
  <c r="H40" i="84"/>
  <c r="G40" i="84"/>
  <c r="I40" i="84" s="1"/>
  <c r="I39" i="84"/>
  <c r="H39" i="84"/>
  <c r="G39" i="84"/>
  <c r="H38" i="84"/>
  <c r="G38" i="84"/>
  <c r="I38" i="84" s="1"/>
  <c r="H37" i="84"/>
  <c r="G37" i="84"/>
  <c r="I37" i="84" s="1"/>
  <c r="H36" i="84"/>
  <c r="G36" i="84"/>
  <c r="I36" i="84" s="1"/>
  <c r="H35" i="84"/>
  <c r="G35" i="84"/>
  <c r="I35" i="84" s="1"/>
  <c r="H34" i="84"/>
  <c r="I34" i="84" s="1"/>
  <c r="G34" i="84"/>
  <c r="H33" i="84"/>
  <c r="G33" i="84"/>
  <c r="I33" i="84" s="1"/>
  <c r="H32" i="84"/>
  <c r="G32" i="84"/>
  <c r="I32" i="84" s="1"/>
  <c r="I31" i="84"/>
  <c r="H31" i="84"/>
  <c r="G31" i="84"/>
  <c r="H30" i="84"/>
  <c r="G30" i="84"/>
  <c r="I30" i="84" s="1"/>
  <c r="H29" i="84"/>
  <c r="G29" i="84"/>
  <c r="H28" i="84"/>
  <c r="G28" i="84"/>
  <c r="H27" i="84"/>
  <c r="G27" i="84"/>
  <c r="I27" i="84" s="1"/>
  <c r="H26" i="84"/>
  <c r="G26" i="84"/>
  <c r="I26" i="84" s="1"/>
  <c r="I25" i="84"/>
  <c r="H25" i="84"/>
  <c r="G25" i="84"/>
  <c r="H24" i="84"/>
  <c r="G24" i="84"/>
  <c r="I24" i="84" s="1"/>
  <c r="H23" i="84"/>
  <c r="G23" i="84"/>
  <c r="I23" i="84" s="1"/>
  <c r="H22" i="84"/>
  <c r="G22" i="84"/>
  <c r="I22" i="84" s="1"/>
  <c r="H21" i="84"/>
  <c r="G21" i="84"/>
  <c r="H20" i="84"/>
  <c r="G20" i="84"/>
  <c r="I20" i="84" s="1"/>
  <c r="H19" i="84"/>
  <c r="G19" i="84"/>
  <c r="I19" i="84" s="1"/>
  <c r="H18" i="84"/>
  <c r="G18" i="84"/>
  <c r="I18" i="84" s="1"/>
  <c r="H17" i="84"/>
  <c r="I17" i="84" s="1"/>
  <c r="G17" i="84"/>
  <c r="H16" i="84"/>
  <c r="G16" i="84"/>
  <c r="I16" i="84" s="1"/>
  <c r="H15" i="84"/>
  <c r="G15" i="84"/>
  <c r="I15" i="84" s="1"/>
  <c r="I14" i="84"/>
  <c r="H14" i="84"/>
  <c r="G14" i="84"/>
  <c r="H13" i="84"/>
  <c r="G13" i="84"/>
  <c r="I13" i="84" s="1"/>
  <c r="H12" i="84"/>
  <c r="H9" i="84" s="1"/>
  <c r="G12" i="84"/>
  <c r="G9" i="84" s="1"/>
  <c r="I38" i="86" l="1"/>
  <c r="I61" i="86"/>
  <c r="I15" i="86"/>
  <c r="I19" i="86"/>
  <c r="I35" i="86"/>
  <c r="I50" i="86"/>
  <c r="I89" i="86"/>
  <c r="I136" i="86"/>
  <c r="I146" i="86"/>
  <c r="I12" i="86"/>
  <c r="I16" i="86"/>
  <c r="I25" i="86"/>
  <c r="I36" i="86"/>
  <c r="I37" i="86"/>
  <c r="I131" i="86"/>
  <c r="I143" i="86"/>
  <c r="I148" i="86"/>
  <c r="I20" i="86"/>
  <c r="I32" i="86"/>
  <c r="I59" i="86"/>
  <c r="I68" i="86"/>
  <c r="I84" i="86"/>
  <c r="I106" i="86"/>
  <c r="I140" i="86"/>
  <c r="I39" i="86"/>
  <c r="I9" i="86"/>
  <c r="I22" i="86"/>
  <c r="I102" i="86"/>
  <c r="I23" i="86"/>
  <c r="I30" i="86"/>
  <c r="I57" i="86"/>
  <c r="I141" i="86"/>
  <c r="I145" i="86"/>
  <c r="I79" i="86"/>
  <c r="I87" i="86"/>
  <c r="I103" i="86"/>
  <c r="I142" i="86"/>
  <c r="I31" i="86"/>
  <c r="I27" i="86"/>
  <c r="I43" i="86"/>
  <c r="I63" i="86"/>
  <c r="I70" i="86"/>
  <c r="I122" i="86"/>
  <c r="I42" i="86"/>
  <c r="I137" i="86"/>
  <c r="I53" i="86"/>
  <c r="I81" i="86"/>
  <c r="I123" i="86"/>
  <c r="I134" i="86"/>
  <c r="I139" i="86"/>
  <c r="I144" i="86"/>
  <c r="I24" i="86"/>
  <c r="I33" i="86"/>
  <c r="I46" i="86"/>
  <c r="I66" i="86"/>
  <c r="I92" i="86"/>
  <c r="I149" i="86"/>
  <c r="I17" i="86"/>
  <c r="I34" i="86"/>
  <c r="I55" i="86"/>
  <c r="I75" i="86"/>
  <c r="I85" i="86"/>
  <c r="I95" i="86"/>
  <c r="I115" i="86"/>
  <c r="I119" i="86"/>
  <c r="I125" i="86"/>
  <c r="I20" i="87"/>
  <c r="I25" i="85"/>
  <c r="I44" i="85"/>
  <c r="I119" i="85"/>
  <c r="I14" i="85"/>
  <c r="I22" i="85"/>
  <c r="I29" i="85"/>
  <c r="I33" i="85"/>
  <c r="I48" i="85"/>
  <c r="I63" i="85"/>
  <c r="I71" i="85"/>
  <c r="I86" i="85"/>
  <c r="I90" i="85"/>
  <c r="I102" i="85"/>
  <c r="I105" i="85"/>
  <c r="I113" i="85"/>
  <c r="I116" i="85"/>
  <c r="I13" i="86"/>
  <c r="I40" i="85"/>
  <c r="I67" i="85"/>
  <c r="I97" i="85"/>
  <c r="I108" i="85"/>
  <c r="I112" i="85"/>
  <c r="I127" i="85"/>
  <c r="I18" i="85"/>
  <c r="I38" i="85"/>
  <c r="I57" i="85"/>
  <c r="I60" i="85"/>
  <c r="I68" i="85"/>
  <c r="I75" i="85"/>
  <c r="I91" i="85"/>
  <c r="I94" i="85"/>
  <c r="I98" i="85"/>
  <c r="I109" i="85"/>
  <c r="I124" i="85"/>
  <c r="I30" i="85"/>
  <c r="I80" i="85"/>
  <c r="I103" i="85"/>
  <c r="I19" i="85"/>
  <c r="I31" i="85"/>
  <c r="I35" i="85"/>
  <c r="I39" i="85"/>
  <c r="I49" i="85"/>
  <c r="I58" i="85"/>
  <c r="I76" i="85"/>
  <c r="I84" i="85"/>
  <c r="I92" i="85"/>
  <c r="I106" i="85"/>
  <c r="I118" i="85"/>
  <c r="I121" i="85"/>
  <c r="I114" i="85"/>
  <c r="I16" i="85"/>
  <c r="I20" i="85"/>
  <c r="I23" i="85"/>
  <c r="I73" i="85"/>
  <c r="I77" i="85"/>
  <c r="I81" i="85"/>
  <c r="I96" i="85"/>
  <c r="I100" i="85"/>
  <c r="I104" i="85"/>
  <c r="I107" i="85"/>
  <c r="I115" i="85"/>
  <c r="I125" i="85"/>
  <c r="I26" i="85"/>
  <c r="I83" i="85"/>
  <c r="I120" i="85"/>
  <c r="I12" i="85"/>
  <c r="I24" i="85"/>
  <c r="I28" i="85"/>
  <c r="I36" i="85"/>
  <c r="I46" i="85"/>
  <c r="I50" i="85"/>
  <c r="I55" i="85"/>
  <c r="I69" i="85"/>
  <c r="I85" i="85"/>
  <c r="I93" i="85"/>
  <c r="I42" i="85"/>
  <c r="I61" i="85"/>
  <c r="I87" i="85"/>
  <c r="I95" i="85"/>
  <c r="I99" i="85"/>
  <c r="I110" i="85"/>
  <c r="I13" i="85"/>
  <c r="I17" i="85"/>
  <c r="I21" i="85"/>
  <c r="I43" i="85"/>
  <c r="I47" i="85"/>
  <c r="I51" i="85"/>
  <c r="I70" i="85"/>
  <c r="I74" i="85"/>
  <c r="I78" i="85"/>
  <c r="I82" i="85"/>
  <c r="I89" i="85"/>
  <c r="I122" i="85"/>
  <c r="I126" i="85"/>
  <c r="G54" i="85"/>
  <c r="I54" i="85" s="1"/>
  <c r="I34" i="85"/>
  <c r="I12" i="84"/>
  <c r="I9" i="84" s="1"/>
  <c r="I9" i="85" l="1"/>
  <c r="O163" i="18" l="1"/>
  <c r="O151" i="18"/>
  <c r="O146" i="18"/>
  <c r="O136" i="18"/>
  <c r="O135" i="18"/>
  <c r="O130" i="18"/>
  <c r="O89" i="18"/>
  <c r="O88" i="18"/>
  <c r="O29" i="18"/>
  <c r="O18" i="18"/>
  <c r="O247" i="15"/>
  <c r="O232" i="15"/>
  <c r="O109" i="15"/>
  <c r="O86" i="15"/>
  <c r="O85" i="15"/>
  <c r="N121" i="55"/>
  <c r="I888" i="55"/>
  <c r="N160" i="55"/>
  <c r="I174" i="18" l="1"/>
  <c r="I173" i="18"/>
  <c r="I323" i="55"/>
  <c r="J323" i="55"/>
  <c r="J324" i="55"/>
  <c r="I175" i="18" l="1"/>
  <c r="I264" i="15"/>
  <c r="I325" i="55"/>
  <c r="I263" i="15"/>
  <c r="I326" i="55" l="1"/>
  <c r="J325" i="55"/>
  <c r="J327" i="55"/>
  <c r="I327" i="55" l="1"/>
  <c r="J326" i="55"/>
  <c r="J58" i="55"/>
  <c r="I380" i="55" l="1"/>
  <c r="J380" i="55"/>
  <c r="H166" i="3"/>
  <c r="H164" i="3"/>
  <c r="H167" i="3"/>
  <c r="H162" i="3"/>
  <c r="H117" i="3"/>
  <c r="H115" i="3"/>
  <c r="H102" i="3"/>
  <c r="H103" i="3"/>
  <c r="H104" i="3"/>
  <c r="H105" i="3"/>
  <c r="H106" i="3"/>
  <c r="H107" i="3"/>
  <c r="H108" i="3"/>
  <c r="H109" i="3"/>
  <c r="H110" i="3"/>
  <c r="H111" i="3"/>
  <c r="H112" i="3"/>
  <c r="H113" i="3"/>
  <c r="H97" i="3"/>
  <c r="H99" i="3"/>
  <c r="H100" i="3"/>
  <c r="H16" i="3"/>
  <c r="H17" i="3"/>
  <c r="H18" i="3"/>
  <c r="H19" i="3"/>
  <c r="H20" i="3"/>
  <c r="H21" i="3"/>
  <c r="H23" i="3"/>
  <c r="H24" i="3"/>
  <c r="H27" i="3"/>
  <c r="H28" i="3"/>
  <c r="H30" i="3"/>
  <c r="H31" i="3"/>
  <c r="H36" i="3"/>
  <c r="H37" i="3"/>
  <c r="H38" i="3"/>
  <c r="H39" i="3"/>
  <c r="H14" i="3"/>
  <c r="H22" i="3"/>
  <c r="H15" i="3"/>
  <c r="H98" i="3"/>
  <c r="J161" i="55"/>
  <c r="I900" i="55"/>
  <c r="J900" i="55"/>
  <c r="I901" i="55"/>
  <c r="J901" i="55"/>
  <c r="J899" i="55"/>
  <c r="I899" i="55"/>
  <c r="J47" i="55"/>
  <c r="J822" i="55"/>
  <c r="I822" i="55"/>
  <c r="J821" i="55"/>
  <c r="I821" i="55"/>
  <c r="J820" i="55"/>
  <c r="I820" i="55"/>
  <c r="J819" i="55"/>
  <c r="I819" i="55"/>
  <c r="J818" i="55"/>
  <c r="I818" i="55"/>
  <c r="J817" i="55"/>
  <c r="I817" i="55"/>
  <c r="J816" i="55"/>
  <c r="I816" i="55"/>
  <c r="J815" i="55"/>
  <c r="I815" i="55"/>
  <c r="J814" i="55"/>
  <c r="I814" i="55"/>
  <c r="J813" i="55"/>
  <c r="I813" i="55"/>
  <c r="J812" i="55"/>
  <c r="I812" i="55"/>
  <c r="J811" i="55"/>
  <c r="I811" i="55"/>
  <c r="J810" i="55"/>
  <c r="I810" i="55"/>
  <c r="J809" i="55"/>
  <c r="I809" i="55"/>
  <c r="J808" i="55"/>
  <c r="I808" i="55"/>
  <c r="J807" i="55"/>
  <c r="I807" i="55"/>
  <c r="J806" i="55"/>
  <c r="I806" i="55"/>
  <c r="J805" i="55"/>
  <c r="I805" i="55"/>
  <c r="J858" i="55"/>
  <c r="I858" i="55"/>
  <c r="J857" i="55"/>
  <c r="I857" i="55"/>
  <c r="J856" i="55"/>
  <c r="I856" i="55"/>
  <c r="J855" i="55"/>
  <c r="I855" i="55"/>
  <c r="J854" i="55"/>
  <c r="I854" i="55"/>
  <c r="J853" i="55"/>
  <c r="I853" i="55"/>
  <c r="J852" i="55"/>
  <c r="I852" i="55"/>
  <c r="J851" i="55"/>
  <c r="I851" i="55"/>
  <c r="J850" i="55"/>
  <c r="I850" i="55"/>
  <c r="J849" i="55"/>
  <c r="I849" i="55"/>
  <c r="J848" i="55"/>
  <c r="I848" i="55"/>
  <c r="J847" i="55"/>
  <c r="I847" i="55"/>
  <c r="J846" i="55"/>
  <c r="I846" i="55"/>
  <c r="J845" i="55"/>
  <c r="I845" i="55"/>
  <c r="J844" i="55"/>
  <c r="I844" i="55"/>
  <c r="J843" i="55"/>
  <c r="I843" i="55"/>
  <c r="J842" i="55"/>
  <c r="I842" i="55"/>
  <c r="J841" i="55"/>
  <c r="I841" i="55"/>
  <c r="J840" i="55"/>
  <c r="I840" i="55"/>
  <c r="J839" i="55"/>
  <c r="I839" i="55"/>
  <c r="J838" i="55"/>
  <c r="I838" i="55"/>
  <c r="J837" i="55"/>
  <c r="I837" i="55"/>
  <c r="J836" i="55"/>
  <c r="I836" i="55"/>
  <c r="J835" i="55"/>
  <c r="I835" i="55"/>
  <c r="J834" i="55"/>
  <c r="I834" i="55"/>
  <c r="J833" i="55"/>
  <c r="I833" i="55"/>
  <c r="J832" i="55"/>
  <c r="I832" i="55"/>
  <c r="J831" i="55"/>
  <c r="I831" i="55"/>
  <c r="J830" i="55"/>
  <c r="I830" i="55"/>
  <c r="J829" i="55"/>
  <c r="I829" i="55"/>
  <c r="J828" i="55"/>
  <c r="I828" i="55"/>
  <c r="J827" i="55"/>
  <c r="I827" i="55"/>
  <c r="J826" i="55"/>
  <c r="I826" i="55"/>
  <c r="J872" i="55"/>
  <c r="I872" i="55"/>
  <c r="J871" i="55"/>
  <c r="I871" i="55"/>
  <c r="J870" i="55"/>
  <c r="I870" i="55"/>
  <c r="J869" i="55"/>
  <c r="I869" i="55"/>
  <c r="J868" i="55"/>
  <c r="I868" i="55"/>
  <c r="J867" i="55"/>
  <c r="I867" i="55"/>
  <c r="J866" i="55"/>
  <c r="I866" i="55"/>
  <c r="J865" i="55"/>
  <c r="I865" i="55"/>
  <c r="J864" i="55"/>
  <c r="I864" i="55"/>
  <c r="J863" i="55"/>
  <c r="I863" i="55"/>
  <c r="J862" i="55"/>
  <c r="I862" i="55"/>
  <c r="J861" i="55"/>
  <c r="I861" i="55"/>
  <c r="J860" i="55"/>
  <c r="I860" i="55"/>
  <c r="J897" i="55"/>
  <c r="I897" i="55"/>
  <c r="J896" i="55"/>
  <c r="I896" i="55"/>
  <c r="J895" i="55"/>
  <c r="I895" i="55"/>
  <c r="J894" i="55"/>
  <c r="J893" i="55"/>
  <c r="I893" i="55"/>
  <c r="J892" i="55"/>
  <c r="I892" i="55"/>
  <c r="J891" i="55"/>
  <c r="I891" i="55"/>
  <c r="J890" i="55"/>
  <c r="I890" i="55"/>
  <c r="J889" i="55"/>
  <c r="I889" i="55"/>
  <c r="J888" i="55"/>
  <c r="J887" i="55"/>
  <c r="I887" i="55"/>
  <c r="J886" i="55"/>
  <c r="I886" i="55"/>
  <c r="J885" i="55"/>
  <c r="I885" i="55"/>
  <c r="J884" i="55"/>
  <c r="I884" i="55"/>
  <c r="J883" i="55"/>
  <c r="I883" i="55"/>
  <c r="J882" i="55"/>
  <c r="I882" i="55"/>
  <c r="I656" i="55"/>
  <c r="J656" i="55"/>
  <c r="I657" i="55"/>
  <c r="J657" i="55"/>
  <c r="I658" i="55"/>
  <c r="J658" i="55"/>
  <c r="I659" i="55"/>
  <c r="J659" i="55"/>
  <c r="I660" i="55"/>
  <c r="J660" i="55"/>
  <c r="I661" i="55"/>
  <c r="J661" i="55"/>
  <c r="I662" i="55"/>
  <c r="J662" i="55"/>
  <c r="I663" i="55"/>
  <c r="J663" i="55"/>
  <c r="I664" i="55"/>
  <c r="J664" i="55"/>
  <c r="I665" i="55"/>
  <c r="J665" i="55"/>
  <c r="I666" i="55"/>
  <c r="J666" i="55"/>
  <c r="I667" i="55"/>
  <c r="J667" i="55"/>
  <c r="I668" i="55"/>
  <c r="J668" i="55"/>
  <c r="I669" i="55"/>
  <c r="J669" i="55"/>
  <c r="I670" i="55"/>
  <c r="J670" i="55"/>
  <c r="I671" i="55"/>
  <c r="J671" i="55"/>
  <c r="I672" i="55"/>
  <c r="J672" i="55"/>
  <c r="I673" i="55"/>
  <c r="J673" i="55"/>
  <c r="I674" i="55"/>
  <c r="J674" i="55"/>
  <c r="I675" i="55"/>
  <c r="J675" i="55"/>
  <c r="I676" i="55"/>
  <c r="J676" i="55"/>
  <c r="I677" i="55"/>
  <c r="J677" i="55"/>
  <c r="I678" i="55"/>
  <c r="J678" i="55"/>
  <c r="I679" i="55"/>
  <c r="J679" i="55"/>
  <c r="I680" i="55"/>
  <c r="J680" i="55"/>
  <c r="I681" i="55"/>
  <c r="J681" i="55"/>
  <c r="I682" i="55"/>
  <c r="J682" i="55"/>
  <c r="I683" i="55"/>
  <c r="J683" i="55"/>
  <c r="I684" i="55"/>
  <c r="J684" i="55"/>
  <c r="I685" i="55"/>
  <c r="J685" i="55"/>
  <c r="I686" i="55"/>
  <c r="J686" i="55"/>
  <c r="J687" i="55"/>
  <c r="I688" i="55"/>
  <c r="J688" i="55"/>
  <c r="I689" i="55"/>
  <c r="J689" i="55"/>
  <c r="I690" i="55"/>
  <c r="J690" i="55"/>
  <c r="I691" i="55"/>
  <c r="J691" i="55"/>
  <c r="I692" i="55"/>
  <c r="J692" i="55"/>
  <c r="I693" i="55"/>
  <c r="J693" i="55"/>
  <c r="I694" i="55"/>
  <c r="J694" i="55"/>
  <c r="I695" i="55"/>
  <c r="J695" i="55"/>
  <c r="I696" i="55"/>
  <c r="J696" i="55"/>
  <c r="I697" i="55"/>
  <c r="J697" i="55"/>
  <c r="I698" i="55"/>
  <c r="J698" i="55"/>
  <c r="I699" i="55"/>
  <c r="J699" i="55"/>
  <c r="I700" i="55"/>
  <c r="J700" i="55"/>
  <c r="I701" i="55"/>
  <c r="J701" i="55"/>
  <c r="I702" i="55"/>
  <c r="J702" i="55"/>
  <c r="I703" i="55"/>
  <c r="J703" i="55"/>
  <c r="I704" i="55"/>
  <c r="J704" i="55"/>
  <c r="I705" i="55"/>
  <c r="J705" i="55"/>
  <c r="I706" i="55"/>
  <c r="J706" i="55"/>
  <c r="I707" i="55"/>
  <c r="J707" i="55"/>
  <c r="I708" i="55"/>
  <c r="J708" i="55"/>
  <c r="I709" i="55"/>
  <c r="J709" i="55"/>
  <c r="I710" i="55"/>
  <c r="J710" i="55"/>
  <c r="I711" i="55"/>
  <c r="J711" i="55"/>
  <c r="I712" i="55"/>
  <c r="J712" i="55"/>
  <c r="I713" i="55"/>
  <c r="J713" i="55"/>
  <c r="I714" i="55"/>
  <c r="J714" i="55"/>
  <c r="J715" i="55"/>
  <c r="J716" i="55"/>
  <c r="I717" i="55"/>
  <c r="J717" i="55"/>
  <c r="I718" i="55"/>
  <c r="J718" i="55"/>
  <c r="I719" i="55"/>
  <c r="J719" i="55"/>
  <c r="I720" i="55"/>
  <c r="J720" i="55"/>
  <c r="I721" i="55"/>
  <c r="J721" i="55"/>
  <c r="I722" i="55"/>
  <c r="J722" i="55"/>
  <c r="I723" i="55"/>
  <c r="J723" i="55"/>
  <c r="I724" i="55"/>
  <c r="J724" i="55"/>
  <c r="I725" i="55"/>
  <c r="J725" i="55"/>
  <c r="I726" i="55"/>
  <c r="J726" i="55"/>
  <c r="J655" i="55"/>
  <c r="I655" i="55"/>
  <c r="J236" i="55"/>
  <c r="I236" i="55"/>
  <c r="J235" i="55"/>
  <c r="I235" i="55"/>
  <c r="I234" i="55"/>
  <c r="J233" i="55"/>
  <c r="I233" i="55"/>
  <c r="J232" i="55"/>
  <c r="I232" i="55"/>
  <c r="J645" i="55"/>
  <c r="I645" i="55"/>
  <c r="J644" i="55"/>
  <c r="I644" i="55"/>
  <c r="J643" i="55"/>
  <c r="I643" i="55"/>
  <c r="J642" i="55"/>
  <c r="I642" i="55"/>
  <c r="J641" i="55"/>
  <c r="I641" i="55"/>
  <c r="J640" i="55"/>
  <c r="I640" i="55"/>
  <c r="J639" i="55"/>
  <c r="I639" i="55"/>
  <c r="J638" i="55"/>
  <c r="I638" i="55"/>
  <c r="J637" i="55"/>
  <c r="I637" i="55"/>
  <c r="J636" i="55"/>
  <c r="I636" i="55"/>
  <c r="J635" i="55"/>
  <c r="I635" i="55"/>
  <c r="J634" i="55"/>
  <c r="I634" i="55"/>
  <c r="J633" i="55"/>
  <c r="I633" i="55"/>
  <c r="J632" i="55"/>
  <c r="I632" i="55"/>
  <c r="J631" i="55"/>
  <c r="I631" i="55"/>
  <c r="J630" i="55"/>
  <c r="I630" i="55"/>
  <c r="J629" i="55"/>
  <c r="I629" i="55"/>
  <c r="J627" i="55"/>
  <c r="I627" i="55"/>
  <c r="J626" i="55"/>
  <c r="I626" i="55"/>
  <c r="J624" i="55"/>
  <c r="I624" i="55"/>
  <c r="J623" i="55"/>
  <c r="I623" i="55"/>
  <c r="J622" i="55"/>
  <c r="I622" i="55"/>
  <c r="J621" i="55"/>
  <c r="I621" i="55"/>
  <c r="J620" i="55"/>
  <c r="I620" i="55"/>
  <c r="J619" i="55"/>
  <c r="I619" i="55"/>
  <c r="J618" i="55"/>
  <c r="I618" i="55"/>
  <c r="J617" i="55"/>
  <c r="I617" i="55"/>
  <c r="J616" i="55"/>
  <c r="I616" i="55"/>
  <c r="J615" i="55"/>
  <c r="I615" i="55"/>
  <c r="J614" i="55"/>
  <c r="I614" i="55"/>
  <c r="J613" i="55"/>
  <c r="I613" i="55"/>
  <c r="J612" i="55"/>
  <c r="I612" i="55"/>
  <c r="J611" i="55"/>
  <c r="I611" i="55"/>
  <c r="J610" i="55"/>
  <c r="I610" i="55"/>
  <c r="J609" i="55"/>
  <c r="I609" i="55"/>
  <c r="J608" i="55"/>
  <c r="I608" i="55"/>
  <c r="J607" i="55"/>
  <c r="I607" i="55"/>
  <c r="J606" i="55"/>
  <c r="I606" i="55"/>
  <c r="J605" i="55"/>
  <c r="I605" i="55"/>
  <c r="J604" i="55"/>
  <c r="I604" i="55"/>
  <c r="J603" i="55"/>
  <c r="I603" i="55"/>
  <c r="J602" i="55"/>
  <c r="I602" i="55"/>
  <c r="J601" i="55"/>
  <c r="I601" i="55"/>
  <c r="J600" i="55"/>
  <c r="I600" i="55"/>
  <c r="J597" i="55"/>
  <c r="I597" i="55"/>
  <c r="J596" i="55"/>
  <c r="I596" i="55"/>
  <c r="J595" i="55"/>
  <c r="J594" i="55"/>
  <c r="J593" i="55"/>
  <c r="J592" i="55"/>
  <c r="J591" i="55"/>
  <c r="J590" i="55"/>
  <c r="J589" i="55"/>
  <c r="J588" i="55"/>
  <c r="J587" i="55"/>
  <c r="J586" i="55"/>
  <c r="J585" i="55"/>
  <c r="J584" i="55"/>
  <c r="J583" i="55"/>
  <c r="J582" i="55"/>
  <c r="J581" i="55"/>
  <c r="J580" i="55"/>
  <c r="J579" i="55"/>
  <c r="J578" i="55"/>
  <c r="J577" i="55"/>
  <c r="J576" i="55"/>
  <c r="J575" i="55"/>
  <c r="J574" i="55"/>
  <c r="J573" i="55"/>
  <c r="J572" i="55"/>
  <c r="J571" i="55"/>
  <c r="J570" i="55"/>
  <c r="J569" i="55"/>
  <c r="J568" i="55"/>
  <c r="J567" i="55"/>
  <c r="J566" i="55"/>
  <c r="J565" i="55"/>
  <c r="J564" i="55"/>
  <c r="J563" i="55"/>
  <c r="J562" i="55"/>
  <c r="J561" i="55"/>
  <c r="J560" i="55"/>
  <c r="J559" i="55"/>
  <c r="J558" i="55"/>
  <c r="J557" i="55"/>
  <c r="J556" i="55"/>
  <c r="J555" i="55"/>
  <c r="J554" i="55"/>
  <c r="J553" i="55"/>
  <c r="J552" i="55"/>
  <c r="J551" i="55"/>
  <c r="J550" i="55"/>
  <c r="J549" i="55"/>
  <c r="J548" i="55"/>
  <c r="J547" i="55"/>
  <c r="J546" i="55"/>
  <c r="J545" i="55"/>
  <c r="J544" i="55"/>
  <c r="J543" i="55"/>
  <c r="J542" i="55"/>
  <c r="J541" i="55"/>
  <c r="J540" i="55"/>
  <c r="J539" i="55"/>
  <c r="J538" i="55"/>
  <c r="J537" i="55"/>
  <c r="J536" i="55"/>
  <c r="J535" i="55"/>
  <c r="J534" i="55"/>
  <c r="J533" i="55"/>
  <c r="J532" i="55"/>
  <c r="J531" i="55"/>
  <c r="J530" i="55"/>
  <c r="J529" i="55"/>
  <c r="J528" i="55"/>
  <c r="J527" i="55"/>
  <c r="J526" i="55"/>
  <c r="J525" i="55"/>
  <c r="J524" i="55"/>
  <c r="J523" i="55"/>
  <c r="J522" i="55"/>
  <c r="J521" i="55"/>
  <c r="J520" i="55"/>
  <c r="J519" i="55"/>
  <c r="J518" i="55"/>
  <c r="J517" i="55"/>
  <c r="J516" i="55"/>
  <c r="J515" i="55"/>
  <c r="J514" i="55"/>
  <c r="J513" i="55"/>
  <c r="J512" i="55"/>
  <c r="J511" i="55"/>
  <c r="J510" i="55"/>
  <c r="I510" i="55"/>
  <c r="J509" i="55"/>
  <c r="I509" i="55"/>
  <c r="J508" i="55"/>
  <c r="I508" i="55"/>
  <c r="J507" i="55"/>
  <c r="I507" i="55"/>
  <c r="J506" i="55"/>
  <c r="I506" i="55"/>
  <c r="J505" i="55"/>
  <c r="I505" i="55"/>
  <c r="J504" i="55"/>
  <c r="J503" i="55"/>
  <c r="I503" i="55"/>
  <c r="J502" i="55"/>
  <c r="I502" i="55"/>
  <c r="J501" i="55"/>
  <c r="I501" i="55"/>
  <c r="J500" i="55"/>
  <c r="I500" i="55"/>
  <c r="J499" i="55"/>
  <c r="I499" i="55"/>
  <c r="J498" i="55"/>
  <c r="I498" i="55"/>
  <c r="J497" i="55"/>
  <c r="I497" i="55"/>
  <c r="J496" i="55"/>
  <c r="I496" i="55"/>
  <c r="J495" i="55"/>
  <c r="I495" i="55"/>
  <c r="J494" i="55"/>
  <c r="I494" i="55"/>
  <c r="J493" i="55"/>
  <c r="I493" i="55"/>
  <c r="J492" i="55"/>
  <c r="I492" i="55"/>
  <c r="J491" i="55"/>
  <c r="I491" i="55"/>
  <c r="J490" i="55"/>
  <c r="I490" i="55"/>
  <c r="J489" i="55"/>
  <c r="I489" i="55"/>
  <c r="J488" i="55"/>
  <c r="I488" i="55"/>
  <c r="J487" i="55"/>
  <c r="I487" i="55"/>
  <c r="J486" i="55"/>
  <c r="I486" i="55"/>
  <c r="J485" i="55"/>
  <c r="I485" i="55"/>
  <c r="J484" i="55"/>
  <c r="I484" i="55"/>
  <c r="J483" i="55"/>
  <c r="I483" i="55"/>
  <c r="J482" i="55"/>
  <c r="I482" i="55"/>
  <c r="J481" i="55"/>
  <c r="I481" i="55"/>
  <c r="J480" i="55"/>
  <c r="I480" i="55"/>
  <c r="J479" i="55"/>
  <c r="I479" i="55"/>
  <c r="J478" i="55"/>
  <c r="I478" i="55"/>
  <c r="J477" i="55"/>
  <c r="I477" i="55"/>
  <c r="J476" i="55"/>
  <c r="I476" i="55"/>
  <c r="J475" i="55"/>
  <c r="I475" i="55"/>
  <c r="J474" i="55"/>
  <c r="I474" i="55"/>
  <c r="J473" i="55"/>
  <c r="I473" i="55"/>
  <c r="J472" i="55"/>
  <c r="I472" i="55"/>
  <c r="J471" i="55"/>
  <c r="I471" i="55"/>
  <c r="J470" i="55"/>
  <c r="I470" i="55"/>
  <c r="J469" i="55"/>
  <c r="I469" i="55"/>
  <c r="J468" i="55"/>
  <c r="I468" i="55"/>
  <c r="J467" i="55"/>
  <c r="I467" i="55"/>
  <c r="J466" i="55"/>
  <c r="I466" i="55"/>
  <c r="J465" i="55"/>
  <c r="I465" i="55"/>
  <c r="J464" i="55"/>
  <c r="I464" i="55"/>
  <c r="J463" i="55"/>
  <c r="I463" i="55"/>
  <c r="J462" i="55"/>
  <c r="I462" i="55"/>
  <c r="J461" i="55"/>
  <c r="I461" i="55"/>
  <c r="J460" i="55"/>
  <c r="I460" i="55"/>
  <c r="J458" i="55"/>
  <c r="I458" i="55"/>
  <c r="J457" i="55"/>
  <c r="I457" i="55"/>
  <c r="J456" i="55"/>
  <c r="I456" i="55"/>
  <c r="J455" i="55"/>
  <c r="I455" i="55"/>
  <c r="J454" i="55"/>
  <c r="I454" i="55"/>
  <c r="J453" i="55"/>
  <c r="I453" i="55"/>
  <c r="J452" i="55"/>
  <c r="I452" i="55"/>
  <c r="J451" i="55"/>
  <c r="I451" i="55"/>
  <c r="J450" i="55"/>
  <c r="I450" i="55"/>
  <c r="J449" i="55"/>
  <c r="I449" i="55"/>
  <c r="J448" i="55"/>
  <c r="I448" i="55"/>
  <c r="J447" i="55"/>
  <c r="I447" i="55"/>
  <c r="J446" i="55"/>
  <c r="I446" i="55"/>
  <c r="J445" i="55"/>
  <c r="I445" i="55"/>
  <c r="J444" i="55"/>
  <c r="I444" i="55"/>
  <c r="J443" i="55"/>
  <c r="I443" i="55"/>
  <c r="J442" i="55"/>
  <c r="I442" i="55"/>
  <c r="I441" i="55"/>
  <c r="J440" i="55"/>
  <c r="I440" i="55"/>
  <c r="J439" i="55"/>
  <c r="I439" i="55"/>
  <c r="J438" i="55"/>
  <c r="I438" i="55"/>
  <c r="J437" i="55"/>
  <c r="I437" i="55"/>
  <c r="J436" i="55"/>
  <c r="I436" i="55"/>
  <c r="J435" i="55"/>
  <c r="I435" i="55"/>
  <c r="J434" i="55"/>
  <c r="I434" i="55"/>
  <c r="J433" i="55"/>
  <c r="I433" i="55"/>
  <c r="J432" i="55"/>
  <c r="I432" i="55"/>
  <c r="J431" i="55"/>
  <c r="I431" i="55"/>
  <c r="J430" i="55"/>
  <c r="I430" i="55"/>
  <c r="J429" i="55"/>
  <c r="I429" i="55"/>
  <c r="J428" i="55"/>
  <c r="I428" i="55"/>
  <c r="J427" i="55"/>
  <c r="I427" i="55"/>
  <c r="J426" i="55"/>
  <c r="I426" i="55"/>
  <c r="J425" i="55"/>
  <c r="I425" i="55"/>
  <c r="J424" i="55"/>
  <c r="I424" i="55"/>
  <c r="J423" i="55"/>
  <c r="I423" i="55"/>
  <c r="J422" i="55"/>
  <c r="I422" i="55"/>
  <c r="J421" i="55"/>
  <c r="I421" i="55"/>
  <c r="J420" i="55"/>
  <c r="I420" i="55"/>
  <c r="I401" i="55"/>
  <c r="J401" i="55"/>
  <c r="I402" i="55"/>
  <c r="J402" i="55"/>
  <c r="I403" i="55"/>
  <c r="J403" i="55"/>
  <c r="I404" i="55"/>
  <c r="J404" i="55"/>
  <c r="I405" i="55"/>
  <c r="J405" i="55"/>
  <c r="I406" i="55"/>
  <c r="J406" i="55"/>
  <c r="I407" i="55"/>
  <c r="J407" i="55"/>
  <c r="I408" i="55"/>
  <c r="J408" i="55"/>
  <c r="I409" i="55"/>
  <c r="J409" i="55"/>
  <c r="I410" i="55"/>
  <c r="J410" i="55"/>
  <c r="I411" i="55"/>
  <c r="J411" i="55"/>
  <c r="I412" i="55"/>
  <c r="J412" i="55"/>
  <c r="I413" i="55"/>
  <c r="J413" i="55"/>
  <c r="I414" i="55"/>
  <c r="J414" i="55"/>
  <c r="I415" i="55"/>
  <c r="J415" i="55"/>
  <c r="I416" i="55"/>
  <c r="J416" i="55"/>
  <c r="J400" i="55"/>
  <c r="I400" i="55"/>
  <c r="J394" i="55"/>
  <c r="I394" i="55"/>
  <c r="J393" i="55"/>
  <c r="I393" i="55"/>
  <c r="J392" i="55"/>
  <c r="I392" i="55"/>
  <c r="J391" i="55"/>
  <c r="I391" i="55"/>
  <c r="J390" i="55"/>
  <c r="I390" i="55"/>
  <c r="J389" i="55"/>
  <c r="I389" i="55"/>
  <c r="J388" i="55"/>
  <c r="I388" i="55"/>
  <c r="J387" i="55"/>
  <c r="I387" i="55"/>
  <c r="J386" i="55"/>
  <c r="I386" i="55"/>
  <c r="J385" i="55"/>
  <c r="I385" i="55"/>
  <c r="J384" i="55"/>
  <c r="I384" i="55"/>
  <c r="J367" i="55"/>
  <c r="J368" i="55"/>
  <c r="J369" i="55"/>
  <c r="J370" i="55"/>
  <c r="J371" i="55"/>
  <c r="J372" i="55"/>
  <c r="J373" i="55"/>
  <c r="I374" i="55"/>
  <c r="J374" i="55"/>
  <c r="J375" i="55"/>
  <c r="J361" i="55"/>
  <c r="J362" i="55"/>
  <c r="J363" i="55"/>
  <c r="J364" i="55"/>
  <c r="J365" i="55"/>
  <c r="J366" i="55"/>
  <c r="I361" i="55"/>
  <c r="I362" i="55"/>
  <c r="I363" i="55"/>
  <c r="I364" i="55"/>
  <c r="I365" i="55"/>
  <c r="I366" i="55"/>
  <c r="J360" i="55"/>
  <c r="J359" i="55"/>
  <c r="I360" i="55"/>
  <c r="I358" i="55"/>
  <c r="J358" i="55"/>
  <c r="I349" i="55"/>
  <c r="I350" i="55"/>
  <c r="I351" i="55"/>
  <c r="I352" i="55"/>
  <c r="I353" i="55"/>
  <c r="I354" i="55"/>
  <c r="I355" i="55"/>
  <c r="I348" i="55"/>
  <c r="I314" i="55"/>
  <c r="J322" i="55"/>
  <c r="I322" i="55"/>
  <c r="J320" i="55"/>
  <c r="I320" i="55"/>
  <c r="J319" i="55"/>
  <c r="I319" i="55"/>
  <c r="J318" i="55"/>
  <c r="I318" i="55"/>
  <c r="J317" i="55"/>
  <c r="J316" i="55"/>
  <c r="J315" i="55"/>
  <c r="J314" i="55"/>
  <c r="J313" i="55"/>
  <c r="J312" i="55"/>
  <c r="I312" i="55"/>
  <c r="J311" i="55"/>
  <c r="J310" i="55"/>
  <c r="J309" i="55"/>
  <c r="J307" i="55"/>
  <c r="J305" i="55"/>
  <c r="J303" i="55"/>
  <c r="J301" i="55"/>
  <c r="J299" i="55"/>
  <c r="J298" i="55"/>
  <c r="I298" i="55"/>
  <c r="J297" i="55"/>
  <c r="I297" i="55"/>
  <c r="J296" i="55"/>
  <c r="J295" i="55"/>
  <c r="I295" i="55"/>
  <c r="J294" i="55"/>
  <c r="I294" i="55"/>
  <c r="J293" i="55"/>
  <c r="I293" i="55"/>
  <c r="J292" i="55"/>
  <c r="I292" i="55"/>
  <c r="J291" i="55"/>
  <c r="I291" i="55"/>
  <c r="J290" i="55"/>
  <c r="I290" i="55"/>
  <c r="J289" i="55"/>
  <c r="J288" i="55"/>
  <c r="I288" i="55"/>
  <c r="J287" i="55"/>
  <c r="J286" i="55"/>
  <c r="I286" i="55"/>
  <c r="J285" i="55"/>
  <c r="J284" i="55"/>
  <c r="I284" i="55"/>
  <c r="J283" i="55"/>
  <c r="J273" i="55"/>
  <c r="J242" i="55"/>
  <c r="I243" i="55"/>
  <c r="J243" i="55"/>
  <c r="J244" i="55"/>
  <c r="I245" i="55"/>
  <c r="J245" i="55"/>
  <c r="I246" i="55"/>
  <c r="J246" i="55"/>
  <c r="J247" i="55"/>
  <c r="I248" i="55"/>
  <c r="J248" i="55"/>
  <c r="I249" i="55"/>
  <c r="J249" i="55"/>
  <c r="J250" i="55"/>
  <c r="J251" i="55"/>
  <c r="J252" i="55"/>
  <c r="J253" i="55"/>
  <c r="I254" i="55"/>
  <c r="J254" i="55"/>
  <c r="I255" i="55"/>
  <c r="J255" i="55"/>
  <c r="I256" i="55"/>
  <c r="J256" i="55"/>
  <c r="I257" i="55"/>
  <c r="J257" i="55"/>
  <c r="I258" i="55"/>
  <c r="J258" i="55"/>
  <c r="I259" i="55"/>
  <c r="J259" i="55"/>
  <c r="I260" i="55"/>
  <c r="J260" i="55"/>
  <c r="I261" i="55"/>
  <c r="J261" i="55"/>
  <c r="I262" i="55"/>
  <c r="J262" i="55"/>
  <c r="J263" i="55"/>
  <c r="J264" i="55"/>
  <c r="J265" i="55"/>
  <c r="J266" i="55"/>
  <c r="J267" i="55"/>
  <c r="J268" i="55"/>
  <c r="J269" i="55"/>
  <c r="J270" i="55"/>
  <c r="I271" i="55"/>
  <c r="J271" i="55"/>
  <c r="I272" i="55"/>
  <c r="J272" i="55"/>
  <c r="J274" i="55"/>
  <c r="J240" i="55"/>
  <c r="J204" i="55"/>
  <c r="J205" i="55"/>
  <c r="J206" i="55"/>
  <c r="J207" i="55"/>
  <c r="J209" i="55"/>
  <c r="J210" i="55"/>
  <c r="J211" i="55"/>
  <c r="J212" i="55"/>
  <c r="J213" i="55"/>
  <c r="J214" i="55"/>
  <c r="J215" i="55"/>
  <c r="J216" i="55"/>
  <c r="J217" i="55"/>
  <c r="J218" i="55"/>
  <c r="J219" i="55"/>
  <c r="J220" i="55"/>
  <c r="J221" i="55"/>
  <c r="J222" i="55"/>
  <c r="J229" i="55"/>
  <c r="J230" i="55"/>
  <c r="J231" i="55"/>
  <c r="J196" i="55"/>
  <c r="I197" i="55"/>
  <c r="J197" i="55"/>
  <c r="J198" i="55"/>
  <c r="I199" i="55"/>
  <c r="J199" i="55"/>
  <c r="J200" i="55"/>
  <c r="J175" i="55"/>
  <c r="I168" i="55"/>
  <c r="J168" i="55"/>
  <c r="I169" i="55"/>
  <c r="J169" i="55"/>
  <c r="I170" i="55"/>
  <c r="J170" i="55"/>
  <c r="I171" i="55"/>
  <c r="J171" i="55"/>
  <c r="J174" i="55"/>
  <c r="J176" i="55"/>
  <c r="J166" i="55"/>
  <c r="J165" i="55"/>
  <c r="J151" i="55"/>
  <c r="J152" i="55"/>
  <c r="I153" i="55"/>
  <c r="J153" i="55"/>
  <c r="I154" i="55"/>
  <c r="J154" i="55"/>
  <c r="I155" i="55"/>
  <c r="J155" i="55"/>
  <c r="J147" i="55"/>
  <c r="J148" i="55"/>
  <c r="I144" i="55"/>
  <c r="J144" i="55"/>
  <c r="I143" i="55"/>
  <c r="J143" i="55"/>
  <c r="J125" i="55"/>
  <c r="J102" i="55"/>
  <c r="J103" i="55"/>
  <c r="J104" i="55"/>
  <c r="J105" i="55"/>
  <c r="J106" i="55"/>
  <c r="J107" i="55"/>
  <c r="J108" i="55"/>
  <c r="J109" i="55"/>
  <c r="J110" i="55"/>
  <c r="J111" i="55"/>
  <c r="J112" i="55"/>
  <c r="J113" i="55"/>
  <c r="I114" i="55"/>
  <c r="J114" i="55"/>
  <c r="I115" i="55"/>
  <c r="J115" i="55"/>
  <c r="I75" i="55"/>
  <c r="J75" i="55"/>
  <c r="I76" i="55"/>
  <c r="J76" i="55"/>
  <c r="I77" i="55"/>
  <c r="J77" i="55"/>
  <c r="I73" i="55"/>
  <c r="J73" i="55"/>
  <c r="J67" i="55"/>
  <c r="J68" i="55"/>
  <c r="J64" i="55"/>
  <c r="J63" i="55"/>
  <c r="J42" i="55"/>
  <c r="J35" i="55"/>
  <c r="J31" i="55"/>
  <c r="J29" i="55"/>
  <c r="J28" i="55"/>
  <c r="J19" i="55"/>
  <c r="J20" i="55"/>
  <c r="J21" i="55"/>
  <c r="I117" i="18"/>
  <c r="I115" i="18"/>
  <c r="I104" i="18"/>
  <c r="I102" i="18"/>
  <c r="I55" i="18"/>
  <c r="I54" i="18"/>
  <c r="I50" i="18"/>
  <c r="I30" i="18"/>
  <c r="I20" i="18"/>
  <c r="I18" i="18"/>
  <c r="I17" i="18"/>
  <c r="I15" i="18"/>
  <c r="I201" i="15"/>
  <c r="I200" i="15"/>
  <c r="I199" i="15"/>
  <c r="I198" i="15"/>
  <c r="I188" i="15"/>
  <c r="I181" i="15"/>
  <c r="I177" i="15"/>
  <c r="I180" i="15"/>
  <c r="I179" i="15"/>
  <c r="I178" i="15"/>
  <c r="I176" i="15"/>
  <c r="I211" i="15"/>
  <c r="I230" i="15"/>
  <c r="I226" i="15"/>
  <c r="I225" i="15"/>
  <c r="I224" i="15"/>
  <c r="I223" i="15"/>
  <c r="I222" i="15"/>
  <c r="I221" i="15"/>
  <c r="I173" i="15"/>
  <c r="I164" i="15"/>
  <c r="I157" i="15"/>
  <c r="I156" i="15"/>
  <c r="I153" i="15"/>
  <c r="I151" i="15"/>
  <c r="I150" i="15"/>
  <c r="I149" i="15"/>
  <c r="I148" i="15"/>
  <c r="H148" i="15"/>
  <c r="J160" i="54"/>
  <c r="I269" i="54"/>
  <c r="J269" i="54"/>
  <c r="E270" i="54"/>
  <c r="I251" i="54"/>
  <c r="J251" i="54"/>
  <c r="I252" i="54"/>
  <c r="J252" i="54"/>
  <c r="I253" i="54"/>
  <c r="J253" i="54"/>
  <c r="I254" i="54"/>
  <c r="J254" i="54"/>
  <c r="I255" i="54"/>
  <c r="J255" i="54"/>
  <c r="I256" i="54"/>
  <c r="J256" i="54"/>
  <c r="I257" i="54"/>
  <c r="J257" i="54"/>
  <c r="I258" i="54"/>
  <c r="J258" i="54"/>
  <c r="I259" i="54"/>
  <c r="J259" i="54"/>
  <c r="I260" i="54"/>
  <c r="J260" i="54"/>
  <c r="I261" i="54"/>
  <c r="J261" i="54"/>
  <c r="I262" i="54"/>
  <c r="J262" i="54"/>
  <c r="I263" i="54"/>
  <c r="J263" i="54"/>
  <c r="I243" i="54"/>
  <c r="J243" i="54"/>
  <c r="I244" i="54"/>
  <c r="J244" i="54"/>
  <c r="I245" i="54"/>
  <c r="J245" i="54"/>
  <c r="I246" i="54"/>
  <c r="J246" i="54"/>
  <c r="I247" i="54"/>
  <c r="J247" i="54"/>
  <c r="I248" i="54"/>
  <c r="J248" i="54"/>
  <c r="I249" i="54"/>
  <c r="J249" i="54"/>
  <c r="H114" i="15"/>
  <c r="I114" i="15"/>
  <c r="I184" i="54"/>
  <c r="J184" i="54"/>
  <c r="I185" i="54"/>
  <c r="J185" i="54"/>
  <c r="I186" i="54"/>
  <c r="J186" i="54"/>
  <c r="I187" i="54"/>
  <c r="J187" i="54"/>
  <c r="I188" i="54"/>
  <c r="J188" i="54"/>
  <c r="I189" i="54"/>
  <c r="J189" i="54"/>
  <c r="I190" i="54"/>
  <c r="J190" i="54"/>
  <c r="I191" i="54"/>
  <c r="J191" i="54"/>
  <c r="I192" i="54"/>
  <c r="J192" i="54"/>
  <c r="I193" i="54"/>
  <c r="J193" i="54"/>
  <c r="I194" i="54"/>
  <c r="J194" i="54"/>
  <c r="I195" i="54"/>
  <c r="J195" i="54"/>
  <c r="I196" i="54"/>
  <c r="J196" i="54"/>
  <c r="I139" i="54"/>
  <c r="J139" i="54"/>
  <c r="I140" i="54"/>
  <c r="J140" i="54"/>
  <c r="I141" i="54"/>
  <c r="J141" i="54"/>
  <c r="I142" i="54"/>
  <c r="J142" i="54"/>
  <c r="I143" i="54"/>
  <c r="J143" i="54"/>
  <c r="I144" i="54"/>
  <c r="J144" i="54"/>
  <c r="I145" i="54"/>
  <c r="J145" i="54"/>
  <c r="I146" i="54"/>
  <c r="J146" i="54"/>
  <c r="I147" i="54"/>
  <c r="J147" i="54"/>
  <c r="I148" i="54"/>
  <c r="J148" i="54"/>
  <c r="I149" i="54"/>
  <c r="J149" i="54"/>
  <c r="I150" i="54"/>
  <c r="J150" i="54"/>
  <c r="I151" i="54"/>
  <c r="J151" i="54"/>
  <c r="I152" i="54"/>
  <c r="J152" i="54"/>
  <c r="I153" i="54"/>
  <c r="J153" i="54"/>
  <c r="I154" i="54"/>
  <c r="J154" i="54"/>
  <c r="I155" i="54"/>
  <c r="J155" i="54"/>
  <c r="I156" i="54"/>
  <c r="J156" i="54"/>
  <c r="I157" i="54"/>
  <c r="J157" i="54"/>
  <c r="I158" i="54"/>
  <c r="J158" i="54"/>
  <c r="I159" i="54"/>
  <c r="J159" i="54"/>
  <c r="I160" i="54"/>
  <c r="I161" i="54"/>
  <c r="J161" i="54"/>
  <c r="I162" i="54"/>
  <c r="J162" i="54"/>
  <c r="I163" i="54"/>
  <c r="J163" i="54"/>
  <c r="I164" i="54"/>
  <c r="J164" i="54"/>
  <c r="I165" i="54"/>
  <c r="J165" i="54"/>
  <c r="I166" i="54"/>
  <c r="J166" i="54"/>
  <c r="I167" i="54"/>
  <c r="J167" i="54"/>
  <c r="I168" i="54"/>
  <c r="J168" i="54"/>
  <c r="I169" i="54"/>
  <c r="J169" i="54"/>
  <c r="I170" i="54"/>
  <c r="J170" i="54"/>
  <c r="I171" i="54"/>
  <c r="J171" i="54"/>
  <c r="I172" i="54"/>
  <c r="J172" i="54"/>
  <c r="I173" i="54"/>
  <c r="J173" i="54"/>
  <c r="I174" i="54"/>
  <c r="J174" i="54"/>
  <c r="I175" i="54"/>
  <c r="J175" i="54"/>
  <c r="I176" i="54"/>
  <c r="J176" i="54"/>
  <c r="I177" i="54"/>
  <c r="J177" i="54"/>
  <c r="I178" i="54"/>
  <c r="J178" i="54"/>
  <c r="I179" i="54"/>
  <c r="J179" i="54"/>
  <c r="E136" i="54"/>
  <c r="I133" i="54"/>
  <c r="I132" i="54"/>
  <c r="J133" i="54"/>
  <c r="J134" i="54"/>
  <c r="I127" i="54"/>
  <c r="I128" i="54"/>
  <c r="I129" i="54"/>
  <c r="I130" i="54"/>
  <c r="J130" i="54"/>
  <c r="I131" i="54"/>
  <c r="J131" i="54"/>
  <c r="I33" i="15"/>
  <c r="I32" i="15"/>
  <c r="I29" i="15"/>
  <c r="I30" i="15"/>
  <c r="I31" i="15"/>
  <c r="J124" i="54"/>
  <c r="J123" i="54"/>
  <c r="J122" i="54"/>
  <c r="J121" i="54"/>
  <c r="J120" i="54"/>
  <c r="J119" i="54"/>
  <c r="J118" i="54"/>
  <c r="B118" i="54"/>
  <c r="B119" i="54" s="1"/>
  <c r="B120" i="54" s="1"/>
  <c r="B121" i="54" s="1"/>
  <c r="B122" i="54" s="1"/>
  <c r="B123" i="54" s="1"/>
  <c r="B124" i="54" s="1"/>
  <c r="I105" i="54"/>
  <c r="J105" i="54"/>
  <c r="I106" i="54"/>
  <c r="J106" i="54"/>
  <c r="J107" i="54"/>
  <c r="I108" i="54"/>
  <c r="J108" i="54"/>
  <c r="J104" i="54"/>
  <c r="I104" i="54"/>
  <c r="J102" i="54"/>
  <c r="J100" i="54"/>
  <c r="I100" i="54"/>
  <c r="J98" i="54"/>
  <c r="I98" i="54"/>
  <c r="J96" i="54"/>
  <c r="I96" i="54"/>
  <c r="J94" i="54"/>
  <c r="I94" i="54"/>
  <c r="J92" i="54"/>
  <c r="I92" i="54"/>
  <c r="J89" i="54"/>
  <c r="J86" i="54"/>
  <c r="J84" i="54"/>
  <c r="J82" i="54"/>
  <c r="H20" i="15"/>
  <c r="J80" i="54"/>
  <c r="J78" i="54"/>
  <c r="J76" i="54"/>
  <c r="J74" i="54"/>
  <c r="J72" i="54"/>
  <c r="J70" i="54"/>
  <c r="H25" i="15"/>
  <c r="I25" i="15"/>
  <c r="J68" i="54"/>
  <c r="J67" i="54"/>
  <c r="J61" i="54"/>
  <c r="J64" i="54"/>
  <c r="I64" i="54"/>
  <c r="J63" i="54"/>
  <c r="J54" i="54"/>
  <c r="I47" i="54"/>
  <c r="J47" i="54"/>
  <c r="J48" i="54"/>
  <c r="I49" i="54"/>
  <c r="J49" i="54"/>
  <c r="J50" i="54"/>
  <c r="J44" i="54"/>
  <c r="I47" i="55"/>
  <c r="J38" i="54"/>
  <c r="J33" i="54"/>
  <c r="J32" i="54"/>
  <c r="J31" i="54"/>
  <c r="J29" i="54"/>
  <c r="J28" i="54"/>
  <c r="J19" i="54"/>
  <c r="J20" i="54"/>
  <c r="J21" i="54"/>
  <c r="J22" i="54"/>
  <c r="J16" i="54"/>
  <c r="E138" i="54" l="1"/>
  <c r="P136" i="54"/>
  <c r="N136" i="54"/>
  <c r="H114" i="3"/>
  <c r="I589" i="55"/>
  <c r="I581" i="55"/>
  <c r="I557" i="55"/>
  <c r="I541" i="55"/>
  <c r="I533" i="55"/>
  <c r="I582" i="55"/>
  <c r="I574" i="55"/>
  <c r="I566" i="55"/>
  <c r="I558" i="55"/>
  <c r="I542" i="55"/>
  <c r="I526" i="55"/>
  <c r="I518" i="55"/>
  <c r="I572" i="55"/>
  <c r="I548" i="55"/>
  <c r="I532" i="55"/>
  <c r="I514" i="55"/>
  <c r="I595" i="55"/>
  <c r="J351" i="55"/>
  <c r="J354" i="55"/>
  <c r="I522" i="55"/>
  <c r="I587" i="55"/>
  <c r="I554" i="55"/>
  <c r="I583" i="55"/>
  <c r="I535" i="55"/>
  <c r="I281" i="55"/>
  <c r="H96" i="3"/>
  <c r="I185" i="15"/>
  <c r="I202" i="15"/>
  <c r="J132" i="54"/>
  <c r="I134" i="54"/>
  <c r="J441" i="55"/>
  <c r="I161" i="55"/>
  <c r="N47" i="55"/>
  <c r="J234" i="55"/>
  <c r="I549" i="55"/>
  <c r="I511" i="55"/>
  <c r="I594" i="55"/>
  <c r="I586" i="55"/>
  <c r="I578" i="55"/>
  <c r="I570" i="55"/>
  <c r="I562" i="55"/>
  <c r="I546" i="55"/>
  <c r="I538" i="55"/>
  <c r="I588" i="55"/>
  <c r="I580" i="55"/>
  <c r="I563" i="55"/>
  <c r="I539" i="55"/>
  <c r="I523" i="55"/>
  <c r="I515" i="55"/>
  <c r="I577" i="55"/>
  <c r="I561" i="55"/>
  <c r="I537" i="55"/>
  <c r="I521" i="55"/>
  <c r="I592" i="55"/>
  <c r="I576" i="55"/>
  <c r="I560" i="55"/>
  <c r="I536" i="55"/>
  <c r="I520" i="55"/>
  <c r="I567" i="55"/>
  <c r="I559" i="55"/>
  <c r="I551" i="55"/>
  <c r="I543" i="55"/>
  <c r="I555" i="55"/>
  <c r="I585" i="55"/>
  <c r="I569" i="55"/>
  <c r="I553" i="55"/>
  <c r="I529" i="55"/>
  <c r="I513" i="55"/>
  <c r="I584" i="55"/>
  <c r="I568" i="55"/>
  <c r="I552" i="55"/>
  <c r="I544" i="55"/>
  <c r="I528" i="55"/>
  <c r="I512" i="55"/>
  <c r="I571" i="55"/>
  <c r="I547" i="55"/>
  <c r="I531" i="55"/>
  <c r="I593" i="55"/>
  <c r="I545" i="55"/>
  <c r="I590" i="55"/>
  <c r="I575" i="55"/>
  <c r="I550" i="55"/>
  <c r="I370" i="55"/>
  <c r="I369" i="55"/>
  <c r="I373" i="55"/>
  <c r="I375" i="55"/>
  <c r="I371" i="55"/>
  <c r="I367" i="55"/>
  <c r="I372" i="55"/>
  <c r="I368" i="55"/>
  <c r="I359" i="55"/>
  <c r="J349" i="55"/>
  <c r="J350" i="55"/>
  <c r="J352" i="55"/>
  <c r="J353" i="55"/>
  <c r="I274" i="55"/>
  <c r="I207" i="15"/>
  <c r="I203" i="15"/>
  <c r="J127" i="54"/>
  <c r="I102" i="54"/>
  <c r="I86" i="54"/>
  <c r="P138" i="54" l="1"/>
  <c r="N138" i="54"/>
  <c r="N273" i="54" s="1"/>
  <c r="I579" i="55"/>
  <c r="I556" i="55"/>
  <c r="I524" i="55"/>
  <c r="I573" i="55"/>
  <c r="I564" i="55"/>
  <c r="I516" i="55"/>
  <c r="I519" i="55"/>
  <c r="I534" i="55"/>
  <c r="I517" i="55"/>
  <c r="J129" i="54"/>
  <c r="J128" i="54"/>
  <c r="I540" i="55"/>
  <c r="I530" i="55"/>
  <c r="I591" i="55"/>
  <c r="I527" i="55"/>
  <c r="J348" i="55"/>
  <c r="I525" i="55"/>
  <c r="I565" i="55"/>
  <c r="J355" i="55"/>
  <c r="I315" i="55"/>
  <c r="I151" i="55"/>
  <c r="P273" i="54" l="1"/>
  <c r="I152" i="55"/>
  <c r="I64" i="15"/>
  <c r="I63" i="15"/>
  <c r="I62" i="15"/>
  <c r="I65" i="15"/>
  <c r="I89" i="9" l="1"/>
  <c r="H89" i="9"/>
  <c r="I80" i="9"/>
  <c r="H80" i="9"/>
  <c r="H79" i="9"/>
  <c r="I79" i="9" l="1"/>
  <c r="J271" i="54" l="1"/>
  <c r="J239" i="54"/>
  <c r="I271" i="54" l="1"/>
  <c r="I824" i="55" l="1"/>
  <c r="I58" i="55" l="1"/>
  <c r="N58" i="55"/>
  <c r="I160" i="55" l="1"/>
  <c r="J160" i="55"/>
  <c r="I16" i="9" l="1"/>
  <c r="I17" i="9"/>
  <c r="I18" i="9"/>
  <c r="I19" i="9"/>
  <c r="I20" i="9"/>
  <c r="I21" i="9"/>
  <c r="H22" i="9"/>
  <c r="I22" i="9"/>
  <c r="I24" i="9"/>
  <c r="H28" i="9"/>
  <c r="I35" i="9"/>
  <c r="I36" i="9"/>
  <c r="H43" i="9"/>
  <c r="I43" i="9"/>
  <c r="I44" i="9"/>
  <c r="H45" i="9"/>
  <c r="I45" i="9"/>
  <c r="I54" i="9"/>
  <c r="H56" i="9"/>
  <c r="I56" i="9"/>
  <c r="I57" i="9"/>
  <c r="I60" i="9"/>
  <c r="H62" i="9"/>
  <c r="H63" i="9"/>
  <c r="I63" i="9"/>
  <c r="H64" i="9"/>
  <c r="I64" i="9"/>
  <c r="H65" i="9"/>
  <c r="I65" i="9"/>
  <c r="H66" i="9"/>
  <c r="I66" i="9"/>
  <c r="H67" i="9"/>
  <c r="I67" i="9"/>
  <c r="H68" i="9"/>
  <c r="I68" i="9"/>
  <c r="H69" i="9"/>
  <c r="I69" i="9"/>
  <c r="H70" i="9"/>
  <c r="I70" i="9"/>
  <c r="H71" i="9"/>
  <c r="I71" i="9"/>
  <c r="H77" i="9"/>
  <c r="I77" i="9"/>
  <c r="H78" i="9"/>
  <c r="I78" i="9"/>
  <c r="H76" i="9"/>
  <c r="H82" i="9"/>
  <c r="I82" i="9"/>
  <c r="H87" i="9"/>
  <c r="H88" i="9"/>
  <c r="H90" i="9"/>
  <c r="I90" i="9"/>
  <c r="I91" i="9"/>
  <c r="I92" i="9"/>
  <c r="H93" i="9"/>
  <c r="I93" i="9"/>
  <c r="I94" i="9"/>
  <c r="I95" i="9"/>
  <c r="H96" i="9"/>
  <c r="I96" i="9"/>
  <c r="I104" i="9"/>
  <c r="I105" i="9"/>
  <c r="H107" i="9"/>
  <c r="I107" i="9"/>
  <c r="H108" i="9"/>
  <c r="I108" i="9"/>
  <c r="H109" i="9"/>
  <c r="I109" i="9"/>
  <c r="H114" i="9"/>
  <c r="I114" i="9"/>
  <c r="H115" i="9"/>
  <c r="I115" i="9"/>
  <c r="H117" i="9"/>
  <c r="I117" i="9"/>
  <c r="H119" i="9"/>
  <c r="I119" i="9"/>
  <c r="H120" i="9"/>
  <c r="I120" i="9"/>
  <c r="H123" i="9"/>
  <c r="I123" i="9"/>
  <c r="H124" i="9"/>
  <c r="I124" i="9"/>
  <c r="H125" i="9"/>
  <c r="I125" i="9"/>
  <c r="I135" i="9"/>
  <c r="I137" i="9"/>
  <c r="H138" i="9"/>
  <c r="I138" i="9"/>
  <c r="H142" i="9"/>
  <c r="I142" i="9"/>
  <c r="I149" i="9"/>
  <c r="H151" i="9"/>
  <c r="H152" i="9"/>
  <c r="H153" i="9"/>
  <c r="H154" i="9"/>
  <c r="I154" i="9"/>
  <c r="I157" i="9"/>
  <c r="I158" i="9"/>
  <c r="I160" i="9"/>
  <c r="I165" i="9"/>
  <c r="I15" i="9"/>
  <c r="H91" i="9"/>
  <c r="I258" i="15"/>
  <c r="I168" i="18"/>
  <c r="O65" i="15" l="1"/>
  <c r="O61" i="15" l="1"/>
  <c r="O173" i="18"/>
  <c r="O30" i="18"/>
  <c r="O15" i="18"/>
  <c r="I159" i="18"/>
  <c r="H256" i="15"/>
  <c r="I255" i="15"/>
  <c r="I252" i="15"/>
  <c r="I160" i="18"/>
  <c r="H160" i="18"/>
  <c r="I157" i="18"/>
  <c r="O177" i="15" l="1"/>
  <c r="O62" i="15"/>
  <c r="I156" i="18"/>
  <c r="I256" i="15"/>
  <c r="H253" i="15"/>
  <c r="I253" i="15"/>
  <c r="H157" i="18"/>
  <c r="O64" i="15" l="1"/>
  <c r="O63" i="15"/>
  <c r="O188" i="15"/>
  <c r="O199" i="15" l="1"/>
  <c r="O210" i="15" l="1"/>
  <c r="O211" i="15" l="1"/>
  <c r="O263" i="15" l="1"/>
  <c r="O222" i="15"/>
  <c r="O174" i="18" l="1"/>
  <c r="I64" i="55" l="1"/>
  <c r="H165" i="9" l="1"/>
  <c r="H55" i="9" l="1"/>
  <c r="I55" i="9"/>
  <c r="I159" i="9"/>
  <c r="H161" i="9"/>
  <c r="I161" i="9"/>
  <c r="I175" i="55" l="1"/>
  <c r="I270" i="55"/>
  <c r="I143" i="9"/>
  <c r="I267" i="55" l="1"/>
  <c r="I264" i="55"/>
  <c r="I140" i="9"/>
  <c r="H135" i="9" l="1"/>
  <c r="H111" i="9" l="1"/>
  <c r="I111" i="9"/>
  <c r="H105" i="9" l="1"/>
  <c r="H104" i="9" l="1"/>
  <c r="H94" i="9" l="1"/>
  <c r="I76" i="9"/>
  <c r="H19" i="9" l="1"/>
  <c r="H21" i="9" l="1"/>
  <c r="H24" i="9" l="1"/>
  <c r="H20" i="9" l="1"/>
  <c r="H18" i="9" l="1"/>
  <c r="H17" i="9"/>
  <c r="H16" i="9"/>
  <c r="H15" i="9"/>
  <c r="J17" i="55" l="1"/>
  <c r="J22" i="55"/>
  <c r="J25" i="55"/>
  <c r="J26" i="55"/>
  <c r="J32" i="55"/>
  <c r="J33" i="55"/>
  <c r="J34" i="55"/>
  <c r="J36" i="55"/>
  <c r="J37" i="55"/>
  <c r="J38" i="55"/>
  <c r="J39" i="55"/>
  <c r="J40" i="55"/>
  <c r="J43" i="55"/>
  <c r="J44" i="55"/>
  <c r="J45" i="55"/>
  <c r="J46" i="55"/>
  <c r="J51" i="55"/>
  <c r="J52" i="55"/>
  <c r="N54" i="55"/>
  <c r="I54" i="55"/>
  <c r="J54" i="55"/>
  <c r="N55" i="55"/>
  <c r="N56" i="55"/>
  <c r="I56" i="55"/>
  <c r="J56" i="55"/>
  <c r="N57" i="55"/>
  <c r="I57" i="55"/>
  <c r="J57" i="55"/>
  <c r="N60" i="55"/>
  <c r="I60" i="55"/>
  <c r="J60" i="55"/>
  <c r="N61" i="55"/>
  <c r="I61" i="55"/>
  <c r="J61" i="55"/>
  <c r="J65" i="55"/>
  <c r="J66" i="55"/>
  <c r="I70" i="55"/>
  <c r="J70" i="55"/>
  <c r="I71" i="55"/>
  <c r="J71" i="55"/>
  <c r="I72" i="55"/>
  <c r="J72" i="55"/>
  <c r="I74" i="55"/>
  <c r="J74" i="55"/>
  <c r="J79" i="55"/>
  <c r="J80" i="55"/>
  <c r="J81" i="55"/>
  <c r="J82" i="55"/>
  <c r="J83" i="55"/>
  <c r="J84" i="55"/>
  <c r="J85" i="55"/>
  <c r="J118" i="55"/>
  <c r="J119" i="55"/>
  <c r="J120" i="55"/>
  <c r="J121" i="55"/>
  <c r="J122" i="55"/>
  <c r="J123" i="55"/>
  <c r="J124" i="55"/>
  <c r="J126" i="55"/>
  <c r="J127" i="55"/>
  <c r="I129" i="55"/>
  <c r="J129" i="55"/>
  <c r="I130" i="55"/>
  <c r="J130" i="55"/>
  <c r="J131" i="55"/>
  <c r="J132" i="55"/>
  <c r="J133" i="55"/>
  <c r="J134" i="55"/>
  <c r="I136" i="55"/>
  <c r="J136" i="55"/>
  <c r="I137" i="55"/>
  <c r="J137" i="55"/>
  <c r="J140" i="55"/>
  <c r="J141" i="55"/>
  <c r="I142" i="55"/>
  <c r="J142" i="55"/>
  <c r="J146" i="55"/>
  <c r="J149" i="55"/>
  <c r="J150" i="55"/>
  <c r="J157" i="55"/>
  <c r="J158" i="55"/>
  <c r="J163" i="55"/>
  <c r="J164" i="55"/>
  <c r="I178" i="55"/>
  <c r="J178" i="55"/>
  <c r="I179" i="55"/>
  <c r="J179" i="55"/>
  <c r="J191" i="55"/>
  <c r="J193" i="55"/>
  <c r="J277" i="55"/>
  <c r="J331" i="55"/>
  <c r="J332" i="55"/>
  <c r="J333" i="55"/>
  <c r="J334" i="55"/>
  <c r="J335" i="55"/>
  <c r="J336" i="55"/>
  <c r="J337" i="55"/>
  <c r="J339" i="55"/>
  <c r="J340" i="55"/>
  <c r="J341" i="55"/>
  <c r="J343" i="55"/>
  <c r="J344" i="55"/>
  <c r="J345" i="55"/>
  <c r="J599" i="55"/>
  <c r="J823" i="55"/>
  <c r="J824" i="55"/>
  <c r="J902" i="55"/>
  <c r="J15" i="55"/>
  <c r="J17" i="54"/>
  <c r="J18" i="54"/>
  <c r="J24" i="54"/>
  <c r="J25" i="54"/>
  <c r="J26" i="54"/>
  <c r="J27" i="54"/>
  <c r="J35" i="54"/>
  <c r="J36" i="54"/>
  <c r="J37" i="54"/>
  <c r="J42" i="54"/>
  <c r="J43" i="54"/>
  <c r="I46" i="54"/>
  <c r="J46" i="54"/>
  <c r="J52" i="54"/>
  <c r="J53" i="54"/>
  <c r="J55" i="54"/>
  <c r="J56" i="54"/>
  <c r="J57" i="54"/>
  <c r="J58" i="54"/>
  <c r="J60" i="54"/>
  <c r="J62" i="54"/>
  <c r="J110" i="54"/>
  <c r="J111" i="54"/>
  <c r="J112" i="54"/>
  <c r="J113" i="54"/>
  <c r="J114" i="54"/>
  <c r="J115" i="54"/>
  <c r="J116" i="54"/>
  <c r="J222" i="54"/>
  <c r="J223" i="54"/>
  <c r="J224" i="54"/>
  <c r="I227" i="54"/>
  <c r="J227" i="54"/>
  <c r="I228" i="54"/>
  <c r="J228" i="54"/>
  <c r="I229" i="54"/>
  <c r="J229" i="54"/>
  <c r="I230" i="54"/>
  <c r="J230" i="54"/>
  <c r="I231" i="54"/>
  <c r="J231" i="54"/>
  <c r="I232" i="54"/>
  <c r="J232" i="54"/>
  <c r="I233" i="54"/>
  <c r="J233" i="54"/>
  <c r="I234" i="54"/>
  <c r="J234" i="54"/>
  <c r="I235" i="54"/>
  <c r="J235" i="54"/>
  <c r="I236" i="54"/>
  <c r="J236" i="54"/>
  <c r="J265" i="54"/>
  <c r="I266" i="54"/>
  <c r="J266" i="54"/>
  <c r="I267" i="54"/>
  <c r="J267" i="54"/>
  <c r="I270" i="54"/>
  <c r="J270" i="54"/>
  <c r="I272" i="54"/>
  <c r="J272" i="54"/>
  <c r="J15" i="54"/>
  <c r="I16" i="18"/>
  <c r="I19" i="18"/>
  <c r="I22" i="18"/>
  <c r="I24" i="18"/>
  <c r="I25" i="18"/>
  <c r="I27" i="18"/>
  <c r="I29" i="18"/>
  <c r="I31" i="18"/>
  <c r="I32" i="18"/>
  <c r="I33" i="18"/>
  <c r="I34" i="18"/>
  <c r="I35" i="18"/>
  <c r="I37" i="18"/>
  <c r="I39" i="18"/>
  <c r="I40" i="18"/>
  <c r="I41" i="18"/>
  <c r="I42" i="18"/>
  <c r="I43" i="18"/>
  <c r="I45" i="18"/>
  <c r="I48" i="18"/>
  <c r="I49" i="18"/>
  <c r="I51" i="18"/>
  <c r="I53" i="18"/>
  <c r="I56" i="18"/>
  <c r="I57" i="18"/>
  <c r="I58" i="18"/>
  <c r="I59" i="18"/>
  <c r="I63" i="18"/>
  <c r="I65" i="18"/>
  <c r="I66" i="18"/>
  <c r="I67" i="18"/>
  <c r="I68" i="18"/>
  <c r="I69" i="18"/>
  <c r="I70" i="18"/>
  <c r="I71" i="18"/>
  <c r="I75" i="18"/>
  <c r="I77" i="18"/>
  <c r="I78" i="18"/>
  <c r="I79" i="18"/>
  <c r="I80" i="18"/>
  <c r="I81" i="18"/>
  <c r="I86" i="18"/>
  <c r="I88" i="18"/>
  <c r="I89" i="18"/>
  <c r="I90" i="18"/>
  <c r="I91" i="18"/>
  <c r="I92" i="18"/>
  <c r="I93" i="18"/>
  <c r="I98" i="18"/>
  <c r="I100" i="18"/>
  <c r="I101" i="18"/>
  <c r="I103" i="18"/>
  <c r="I105" i="18"/>
  <c r="I106" i="18"/>
  <c r="I111" i="18"/>
  <c r="I113" i="18"/>
  <c r="I114" i="18"/>
  <c r="I116" i="18"/>
  <c r="I118" i="18"/>
  <c r="I119" i="18"/>
  <c r="I123" i="18"/>
  <c r="I125" i="18"/>
  <c r="I126" i="18"/>
  <c r="I128" i="18"/>
  <c r="I130" i="18"/>
  <c r="I131" i="18"/>
  <c r="I133" i="18"/>
  <c r="I135" i="18"/>
  <c r="I136" i="18"/>
  <c r="I137" i="18"/>
  <c r="I139" i="18"/>
  <c r="I141" i="18"/>
  <c r="I142" i="18"/>
  <c r="I144" i="18"/>
  <c r="I146" i="18"/>
  <c r="I147" i="18"/>
  <c r="I149" i="18"/>
  <c r="I151" i="18"/>
  <c r="I152" i="18"/>
  <c r="I154" i="18"/>
  <c r="I163" i="18"/>
  <c r="I164" i="18"/>
  <c r="I166" i="18"/>
  <c r="H169" i="18"/>
  <c r="I169" i="18"/>
  <c r="H170" i="18"/>
  <c r="I170" i="18"/>
  <c r="H171" i="18"/>
  <c r="I171" i="18"/>
  <c r="I14" i="18"/>
  <c r="H14" i="15"/>
  <c r="I14" i="15"/>
  <c r="H15" i="15"/>
  <c r="I15" i="15"/>
  <c r="H16" i="15"/>
  <c r="I20" i="15"/>
  <c r="H21" i="15"/>
  <c r="I21" i="15"/>
  <c r="H22" i="15"/>
  <c r="I22" i="15"/>
  <c r="H23" i="15"/>
  <c r="I23" i="15"/>
  <c r="H24" i="15"/>
  <c r="I24" i="15"/>
  <c r="H26" i="15"/>
  <c r="I26" i="15"/>
  <c r="H27" i="15"/>
  <c r="I27" i="15"/>
  <c r="H28" i="15"/>
  <c r="I28" i="15"/>
  <c r="H35" i="15"/>
  <c r="I35" i="15"/>
  <c r="H36" i="15"/>
  <c r="I36" i="15"/>
  <c r="I38" i="15"/>
  <c r="I39" i="15"/>
  <c r="H40" i="15"/>
  <c r="I40" i="15"/>
  <c r="I41" i="15"/>
  <c r="I42" i="15"/>
  <c r="H43" i="15"/>
  <c r="I43" i="15"/>
  <c r="H44" i="15"/>
  <c r="I44" i="15"/>
  <c r="I45" i="15"/>
  <c r="I48" i="15"/>
  <c r="I50" i="15"/>
  <c r="I51" i="15"/>
  <c r="I54" i="15"/>
  <c r="I55" i="15"/>
  <c r="I56" i="15"/>
  <c r="I58" i="15"/>
  <c r="I59" i="15"/>
  <c r="I61" i="15"/>
  <c r="I66" i="15"/>
  <c r="I67" i="15"/>
  <c r="I70" i="15"/>
  <c r="I71" i="15"/>
  <c r="I72" i="15"/>
  <c r="I73" i="15"/>
  <c r="I74" i="15"/>
  <c r="I75" i="15"/>
  <c r="I76" i="15"/>
  <c r="H77" i="15"/>
  <c r="I77" i="15"/>
  <c r="I78" i="15"/>
  <c r="I79" i="15"/>
  <c r="I81" i="15"/>
  <c r="I82" i="15"/>
  <c r="I83" i="15"/>
  <c r="I85" i="15"/>
  <c r="I86" i="15"/>
  <c r="I87" i="15"/>
  <c r="I88" i="15"/>
  <c r="I90" i="15"/>
  <c r="I92" i="15"/>
  <c r="I93" i="15"/>
  <c r="I96" i="15"/>
  <c r="I97" i="15"/>
  <c r="I99" i="15"/>
  <c r="I100" i="15"/>
  <c r="I102" i="15"/>
  <c r="I103" i="15"/>
  <c r="I105" i="15"/>
  <c r="H106" i="15"/>
  <c r="I106" i="15"/>
  <c r="I107" i="15"/>
  <c r="I109" i="15"/>
  <c r="I110" i="15"/>
  <c r="I111" i="15"/>
  <c r="I113" i="15"/>
  <c r="I116" i="15"/>
  <c r="H118" i="15"/>
  <c r="I118" i="15"/>
  <c r="H119" i="15"/>
  <c r="I119" i="15"/>
  <c r="H120" i="15"/>
  <c r="I120" i="15"/>
  <c r="I122" i="15"/>
  <c r="I123" i="15"/>
  <c r="I125" i="15"/>
  <c r="I127" i="15"/>
  <c r="I129" i="15"/>
  <c r="I131" i="15"/>
  <c r="I132" i="15"/>
  <c r="I133" i="15"/>
  <c r="I135" i="15"/>
  <c r="I136" i="15"/>
  <c r="I138" i="15"/>
  <c r="I139" i="15"/>
  <c r="I141" i="15"/>
  <c r="H142" i="15"/>
  <c r="I142" i="15"/>
  <c r="I143" i="15"/>
  <c r="I144" i="15"/>
  <c r="I145" i="15"/>
  <c r="I147" i="15"/>
  <c r="H154" i="15"/>
  <c r="I154" i="15"/>
  <c r="I155" i="15"/>
  <c r="I158" i="15"/>
  <c r="I159" i="15"/>
  <c r="I161" i="15"/>
  <c r="I163" i="15"/>
  <c r="I165" i="15"/>
  <c r="I166" i="15"/>
  <c r="I168" i="15"/>
  <c r="I171" i="15"/>
  <c r="I172" i="15"/>
  <c r="I174" i="15"/>
  <c r="I187" i="15"/>
  <c r="I189" i="15"/>
  <c r="I190" i="15"/>
  <c r="I191" i="15"/>
  <c r="I192" i="15"/>
  <c r="I196" i="15"/>
  <c r="I209" i="15"/>
  <c r="I210" i="15"/>
  <c r="I212" i="15"/>
  <c r="I213" i="15"/>
  <c r="I214" i="15"/>
  <c r="I215" i="15"/>
  <c r="I219" i="15"/>
  <c r="I232" i="15"/>
  <c r="I233" i="15"/>
  <c r="H235" i="15"/>
  <c r="I235" i="15"/>
  <c r="I236" i="15"/>
  <c r="I238" i="15"/>
  <c r="I239" i="15"/>
  <c r="I241" i="15"/>
  <c r="I243" i="15"/>
  <c r="I245" i="15"/>
  <c r="I247" i="15"/>
  <c r="H248" i="15"/>
  <c r="I248" i="15"/>
  <c r="I250" i="15"/>
  <c r="H259" i="15"/>
  <c r="I259" i="15"/>
  <c r="H260" i="15"/>
  <c r="I260" i="15"/>
  <c r="H261" i="15"/>
  <c r="I261" i="15"/>
  <c r="I13" i="15"/>
  <c r="H13" i="15"/>
  <c r="I69" i="15" l="1"/>
  <c r="O132" i="15" l="1"/>
  <c r="I94" i="15"/>
  <c r="H94" i="15"/>
  <c r="H165" i="3" l="1"/>
  <c r="H163" i="3"/>
  <c r="A14" i="9" l="1"/>
  <c r="A46" i="9" s="1"/>
  <c r="A13" i="3"/>
  <c r="A29" i="3" s="1"/>
  <c r="A41" i="3" l="1"/>
  <c r="A42" i="3" s="1"/>
  <c r="A43" i="3" s="1"/>
  <c r="A30" i="3"/>
  <c r="A31" i="3" s="1"/>
  <c r="A32" i="3" s="1"/>
  <c r="A34" i="3" s="1"/>
  <c r="A37" i="3" s="1"/>
  <c r="A39" i="3" s="1"/>
  <c r="A14" i="3"/>
  <c r="A15" i="3" s="1"/>
  <c r="A16" i="3" s="1"/>
  <c r="A17" i="3" s="1"/>
  <c r="A18" i="3" s="1"/>
  <c r="A19" i="3" s="1"/>
  <c r="A21" i="3" s="1"/>
  <c r="A22" i="3" s="1"/>
  <c r="A24" i="3" l="1"/>
  <c r="A27" i="3" s="1"/>
  <c r="A28" i="3" s="1"/>
  <c r="J135" i="55" l="1"/>
  <c r="I135" i="55"/>
  <c r="B136" i="3" l="1"/>
  <c r="B75" i="3"/>
  <c r="B48" i="3" l="1"/>
  <c r="F6" i="45"/>
  <c r="F5" i="45"/>
  <c r="G3" i="45" s="1"/>
  <c r="J874" i="55"/>
  <c r="I823" i="55"/>
  <c r="J27" i="55"/>
  <c r="J24" i="55"/>
  <c r="J18" i="55"/>
  <c r="J16" i="55"/>
  <c r="J14" i="55"/>
  <c r="I14" i="55"/>
  <c r="J13" i="55"/>
  <c r="I13" i="55"/>
  <c r="J12" i="55"/>
  <c r="I12" i="55"/>
  <c r="B12" i="55"/>
  <c r="B116" i="55" s="1"/>
  <c r="B117" i="55" s="1"/>
  <c r="B118" i="55" s="1"/>
  <c r="B119" i="55" s="1"/>
  <c r="B120" i="55" s="1"/>
  <c r="B121" i="55" s="1"/>
  <c r="B122" i="55" s="1"/>
  <c r="B123" i="55" s="1"/>
  <c r="B124" i="55" s="1"/>
  <c r="C11" i="55"/>
  <c r="C8" i="55"/>
  <c r="C5" i="55"/>
  <c r="A264" i="54"/>
  <c r="J240" i="54"/>
  <c r="J238" i="54"/>
  <c r="J14" i="54"/>
  <c r="I14" i="54"/>
  <c r="J13" i="54"/>
  <c r="I13" i="54"/>
  <c r="J12" i="54"/>
  <c r="I12" i="54"/>
  <c r="B12" i="54"/>
  <c r="B13" i="54" s="1"/>
  <c r="C11" i="54"/>
  <c r="C5" i="54"/>
  <c r="I13" i="18"/>
  <c r="H13" i="18"/>
  <c r="A12" i="18"/>
  <c r="A161" i="18" s="1"/>
  <c r="B11" i="18"/>
  <c r="B8" i="18"/>
  <c r="B7" i="18"/>
  <c r="B6" i="18"/>
  <c r="B5" i="18"/>
  <c r="B4" i="18"/>
  <c r="I12" i="15"/>
  <c r="H12" i="15"/>
  <c r="A12" i="15"/>
  <c r="A13" i="15" s="1"/>
  <c r="A14" i="15" s="1"/>
  <c r="A15" i="15" s="1"/>
  <c r="A16" i="15" s="1"/>
  <c r="A17" i="15" s="1"/>
  <c r="B11" i="15"/>
  <c r="B8" i="15"/>
  <c r="B5" i="15"/>
  <c r="B155" i="3"/>
  <c r="B154" i="3"/>
  <c r="B153" i="3"/>
  <c r="B152" i="3"/>
  <c r="B151" i="3"/>
  <c r="B150" i="3"/>
  <c r="B149" i="3"/>
  <c r="B148" i="3"/>
  <c r="B147" i="3"/>
  <c r="B146" i="3"/>
  <c r="B145" i="3"/>
  <c r="B143" i="3"/>
  <c r="B142" i="3"/>
  <c r="B141" i="3"/>
  <c r="B140" i="3"/>
  <c r="B139" i="3"/>
  <c r="B138" i="3"/>
  <c r="B137" i="3"/>
  <c r="B135" i="3"/>
  <c r="B134" i="3"/>
  <c r="B133" i="3"/>
  <c r="B132" i="3"/>
  <c r="B131" i="3"/>
  <c r="H128" i="3"/>
  <c r="H118" i="3"/>
  <c r="H116" i="3"/>
  <c r="B92" i="3"/>
  <c r="B91" i="3"/>
  <c r="B90" i="3"/>
  <c r="B89" i="3"/>
  <c r="B88" i="3"/>
  <c r="B87" i="3"/>
  <c r="B86" i="3"/>
  <c r="B85" i="3"/>
  <c r="B84" i="3"/>
  <c r="B83" i="3"/>
  <c r="B82" i="3"/>
  <c r="B81" i="3"/>
  <c r="B80" i="3"/>
  <c r="B79" i="3"/>
  <c r="B78" i="3"/>
  <c r="B77" i="3"/>
  <c r="B76" i="3"/>
  <c r="B74" i="3"/>
  <c r="B73" i="3"/>
  <c r="B72" i="3"/>
  <c r="B71" i="3"/>
  <c r="B65" i="3"/>
  <c r="B64" i="3"/>
  <c r="B63" i="3"/>
  <c r="B62" i="3"/>
  <c r="B61" i="3"/>
  <c r="B60" i="3"/>
  <c r="B59" i="3"/>
  <c r="B58" i="3"/>
  <c r="B57" i="3"/>
  <c r="B55" i="3"/>
  <c r="B54" i="3"/>
  <c r="B53" i="3"/>
  <c r="B52" i="3"/>
  <c r="B51" i="3"/>
  <c r="B50" i="3"/>
  <c r="B49" i="3"/>
  <c r="B47" i="3"/>
  <c r="B46" i="3"/>
  <c r="B45" i="3"/>
  <c r="B44" i="3"/>
  <c r="H33" i="3"/>
  <c r="B8" i="3"/>
  <c r="B7" i="3"/>
  <c r="B6" i="3"/>
  <c r="B5" i="3"/>
  <c r="B4" i="3"/>
  <c r="A12" i="24"/>
  <c r="A13" i="24" s="1"/>
  <c r="A14" i="24" s="1"/>
  <c r="A15" i="24" s="1"/>
  <c r="A16" i="24" s="1"/>
  <c r="A17" i="24" s="1"/>
  <c r="A18" i="24" s="1"/>
  <c r="A19" i="24" s="1"/>
  <c r="A20" i="24" s="1"/>
  <c r="B8" i="24"/>
  <c r="B7" i="24"/>
  <c r="B6" i="24"/>
  <c r="B5" i="24"/>
  <c r="B4" i="24"/>
  <c r="H160" i="9"/>
  <c r="H159" i="9"/>
  <c r="H158" i="9"/>
  <c r="H157" i="9"/>
  <c r="H95" i="9"/>
  <c r="H92" i="9"/>
  <c r="I87" i="9"/>
  <c r="I62" i="9"/>
  <c r="H60" i="9"/>
  <c r="H54" i="9"/>
  <c r="H44" i="9"/>
  <c r="I37" i="9"/>
  <c r="I28" i="9"/>
  <c r="I14" i="9"/>
  <c r="H14" i="9"/>
  <c r="A15" i="9"/>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B8" i="9"/>
  <c r="B7" i="9"/>
  <c r="B6" i="9"/>
  <c r="B5" i="9"/>
  <c r="B4" i="9"/>
  <c r="A42" i="9" l="1"/>
  <c r="A43" i="9" s="1"/>
  <c r="A44" i="9" s="1"/>
  <c r="A45" i="9" s="1"/>
  <c r="A41" i="9"/>
  <c r="J731" i="55"/>
  <c r="J792" i="55"/>
  <c r="H35" i="3"/>
  <c r="H26" i="3"/>
  <c r="J796" i="55"/>
  <c r="J789" i="55"/>
  <c r="J782" i="55"/>
  <c r="J802" i="55"/>
  <c r="J794" i="55"/>
  <c r="J787" i="55"/>
  <c r="J777" i="55"/>
  <c r="J800" i="55"/>
  <c r="J785" i="55"/>
  <c r="J778" i="55"/>
  <c r="J798" i="55"/>
  <c r="J784" i="55"/>
  <c r="J774" i="55"/>
  <c r="J775" i="55"/>
  <c r="J769" i="55"/>
  <c r="J759" i="55"/>
  <c r="J756" i="55"/>
  <c r="J760" i="55"/>
  <c r="J771" i="55"/>
  <c r="J753" i="55"/>
  <c r="J757" i="55"/>
  <c r="J751" i="55"/>
  <c r="J767" i="55"/>
  <c r="J765" i="55"/>
  <c r="J747" i="55"/>
  <c r="J749" i="55"/>
  <c r="J743" i="55"/>
  <c r="J189" i="55"/>
  <c r="J187" i="55"/>
  <c r="J738" i="55"/>
  <c r="J735" i="55"/>
  <c r="J651" i="55"/>
  <c r="J733" i="55"/>
  <c r="B126" i="55"/>
  <c r="B127" i="55" s="1"/>
  <c r="B125" i="55"/>
  <c r="J214" i="54"/>
  <c r="J216" i="54"/>
  <c r="J218" i="54"/>
  <c r="J220" i="54"/>
  <c r="J203" i="54"/>
  <c r="J205" i="54"/>
  <c r="J207" i="54"/>
  <c r="J209" i="54"/>
  <c r="J201" i="54"/>
  <c r="H25" i="9"/>
  <c r="I88" i="9"/>
  <c r="H58" i="9"/>
  <c r="H57" i="9"/>
  <c r="H126" i="9"/>
  <c r="I126" i="9"/>
  <c r="H127" i="9"/>
  <c r="I127" i="9"/>
  <c r="H61" i="9"/>
  <c r="I61" i="9"/>
  <c r="H49" i="9"/>
  <c r="I50" i="9"/>
  <c r="H50" i="9"/>
  <c r="H59" i="9"/>
  <c r="H141" i="9"/>
  <c r="I141" i="9"/>
  <c r="H53" i="9"/>
  <c r="I53" i="9"/>
  <c r="H137" i="9"/>
  <c r="J200" i="54"/>
  <c r="I150" i="55"/>
  <c r="I379" i="55"/>
  <c r="J379" i="55"/>
  <c r="I55" i="55"/>
  <c r="J55" i="55"/>
  <c r="I396" i="55"/>
  <c r="J396" i="55"/>
  <c r="J397" i="55"/>
  <c r="I397" i="55"/>
  <c r="I141" i="55"/>
  <c r="I398" i="55"/>
  <c r="J398" i="55"/>
  <c r="I378" i="55"/>
  <c r="J378" i="55"/>
  <c r="I377" i="55"/>
  <c r="J377" i="55"/>
  <c r="J136" i="54"/>
  <c r="I136" i="54"/>
  <c r="I137" i="54"/>
  <c r="J137" i="54"/>
  <c r="I138" i="54"/>
  <c r="J138" i="54"/>
  <c r="I182" i="54"/>
  <c r="J182" i="54"/>
  <c r="H17" i="15"/>
  <c r="I17" i="15"/>
  <c r="H69" i="15"/>
  <c r="I16" i="15"/>
  <c r="B4" i="15"/>
  <c r="A21" i="24"/>
  <c r="I59" i="9"/>
  <c r="A51" i="9"/>
  <c r="C4" i="55"/>
  <c r="B6" i="15"/>
  <c r="B7" i="15"/>
  <c r="C6" i="55"/>
  <c r="C7" i="55"/>
  <c r="I75" i="9"/>
  <c r="A18" i="15"/>
  <c r="H126" i="3"/>
  <c r="H124" i="3"/>
  <c r="H123" i="3"/>
  <c r="A162" i="18"/>
  <c r="A163" i="18" s="1"/>
  <c r="A164" i="18" s="1"/>
  <c r="A165" i="18" s="1"/>
  <c r="A166" i="18" s="1"/>
  <c r="A167" i="18"/>
  <c r="A13" i="18"/>
  <c r="A15" i="18" s="1"/>
  <c r="A17" i="18" s="1"/>
  <c r="B14" i="54"/>
  <c r="B51" i="54"/>
  <c r="H34" i="3"/>
  <c r="O163" i="15"/>
  <c r="H122" i="3"/>
  <c r="I40" i="54"/>
  <c r="B13" i="55"/>
  <c r="B69" i="55" s="1"/>
  <c r="B128" i="55"/>
  <c r="B129" i="55" s="1"/>
  <c r="B130" i="55" s="1"/>
  <c r="B131" i="55" s="1"/>
  <c r="B132" i="55" s="1"/>
  <c r="B133" i="55" s="1"/>
  <c r="B134" i="55" s="1"/>
  <c r="B135" i="55" s="1"/>
  <c r="B136" i="55" s="1"/>
  <c r="B137" i="55" s="1"/>
  <c r="B138" i="55"/>
  <c r="J741" i="55" l="1"/>
  <c r="I504" i="55"/>
  <c r="J321" i="55"/>
  <c r="I269" i="55"/>
  <c r="H32" i="3"/>
  <c r="A168" i="18"/>
  <c r="A169" i="18" s="1"/>
  <c r="A170" i="18" s="1"/>
  <c r="A171" i="18" s="1"/>
  <c r="A172" i="18"/>
  <c r="A173" i="18" s="1"/>
  <c r="H25" i="3"/>
  <c r="I774" i="55"/>
  <c r="I787" i="55"/>
  <c r="I794" i="55"/>
  <c r="I802" i="55"/>
  <c r="I796" i="55"/>
  <c r="I800" i="55"/>
  <c r="I798" i="55"/>
  <c r="I756" i="55"/>
  <c r="I743" i="55"/>
  <c r="I738" i="55"/>
  <c r="I739" i="55"/>
  <c r="I651" i="55"/>
  <c r="B78" i="55"/>
  <c r="B79" i="55" s="1"/>
  <c r="B80" i="55" s="1"/>
  <c r="B81" i="55" s="1"/>
  <c r="B82" i="55" s="1"/>
  <c r="B83" i="55" s="1"/>
  <c r="B84" i="55" s="1"/>
  <c r="B85" i="55" s="1"/>
  <c r="B86" i="55" s="1"/>
  <c r="B87" i="55" s="1"/>
  <c r="B88" i="55" s="1"/>
  <c r="B89" i="55" s="1"/>
  <c r="B90" i="55" s="1"/>
  <c r="B91" i="55" s="1"/>
  <c r="B92" i="55" s="1"/>
  <c r="B93" i="55" s="1"/>
  <c r="B94" i="55" s="1"/>
  <c r="B95" i="55" s="1"/>
  <c r="B96" i="55" s="1"/>
  <c r="B97" i="55" s="1"/>
  <c r="B98" i="55" s="1"/>
  <c r="B99" i="55" s="1"/>
  <c r="B100" i="55" s="1"/>
  <c r="B70" i="55"/>
  <c r="B71" i="55" s="1"/>
  <c r="B72" i="55" s="1"/>
  <c r="B73" i="55" s="1"/>
  <c r="B74" i="55" s="1"/>
  <c r="B75" i="55" s="1"/>
  <c r="B76" i="55" s="1"/>
  <c r="B77" i="55" s="1"/>
  <c r="I321" i="55"/>
  <c r="I316" i="55"/>
  <c r="I307" i="55"/>
  <c r="I309" i="55"/>
  <c r="I299" i="55"/>
  <c r="I289" i="55"/>
  <c r="I285" i="55"/>
  <c r="I287" i="55"/>
  <c r="I283" i="55"/>
  <c r="I240" i="55"/>
  <c r="I250" i="55"/>
  <c r="I253" i="55"/>
  <c r="I242" i="55"/>
  <c r="H73" i="18"/>
  <c r="I231" i="55"/>
  <c r="I230" i="55"/>
  <c r="I229" i="55"/>
  <c r="I221" i="55"/>
  <c r="I220" i="55"/>
  <c r="I219" i="55"/>
  <c r="I218" i="55"/>
  <c r="I217" i="55"/>
  <c r="I216" i="55"/>
  <c r="I215" i="55"/>
  <c r="I213" i="55"/>
  <c r="I210" i="55"/>
  <c r="I209" i="55"/>
  <c r="H110" i="18"/>
  <c r="H194" i="15"/>
  <c r="H108" i="18"/>
  <c r="H85" i="18"/>
  <c r="H92" i="15"/>
  <c r="H83" i="18"/>
  <c r="H121" i="18"/>
  <c r="H61" i="18"/>
  <c r="H205" i="15"/>
  <c r="I107" i="54"/>
  <c r="H92" i="18"/>
  <c r="I68" i="54"/>
  <c r="I44" i="54"/>
  <c r="I116" i="9"/>
  <c r="H116" i="9"/>
  <c r="H131" i="9"/>
  <c r="H75" i="9"/>
  <c r="I239" i="54"/>
  <c r="I650" i="55"/>
  <c r="I97" i="9"/>
  <c r="H97" i="9"/>
  <c r="I85" i="9"/>
  <c r="H85" i="9"/>
  <c r="H52" i="9"/>
  <c r="I52" i="9"/>
  <c r="H86" i="9"/>
  <c r="I86" i="9"/>
  <c r="H110" i="9"/>
  <c r="I110" i="9"/>
  <c r="H112" i="9"/>
  <c r="I112" i="9"/>
  <c r="I148" i="9"/>
  <c r="H148" i="9"/>
  <c r="I81" i="9"/>
  <c r="H81" i="9"/>
  <c r="I147" i="9"/>
  <c r="H147" i="9"/>
  <c r="H113" i="9"/>
  <c r="I113" i="9"/>
  <c r="I132" i="9"/>
  <c r="I131" i="9"/>
  <c r="H74" i="9"/>
  <c r="I74" i="9"/>
  <c r="I25" i="9"/>
  <c r="H129" i="9"/>
  <c r="I146" i="9"/>
  <c r="H146" i="9"/>
  <c r="H83" i="9"/>
  <c r="I83" i="9"/>
  <c r="H48" i="9"/>
  <c r="I153" i="9"/>
  <c r="I152" i="9"/>
  <c r="I151" i="9"/>
  <c r="H97" i="15"/>
  <c r="I902" i="55"/>
  <c r="I599" i="55"/>
  <c r="J182" i="55"/>
  <c r="N52" i="55"/>
  <c r="I52" i="55"/>
  <c r="N51" i="55"/>
  <c r="I51" i="55"/>
  <c r="I874" i="55"/>
  <c r="I242" i="54"/>
  <c r="I42" i="54"/>
  <c r="H34" i="18"/>
  <c r="H97" i="18"/>
  <c r="H95" i="18"/>
  <c r="H217" i="15"/>
  <c r="H45" i="15"/>
  <c r="H132" i="15"/>
  <c r="Q152" i="15"/>
  <c r="H125" i="3"/>
  <c r="A22" i="24"/>
  <c r="A23" i="24" s="1"/>
  <c r="A24" i="24" s="1"/>
  <c r="A25" i="24"/>
  <c r="A26" i="24" s="1"/>
  <c r="A27" i="24" s="1"/>
  <c r="F22" i="24"/>
  <c r="A47" i="9"/>
  <c r="A48" i="9" s="1"/>
  <c r="A49" i="9" s="1"/>
  <c r="A50" i="9" s="1"/>
  <c r="A62" i="9"/>
  <c r="A52" i="9"/>
  <c r="A53" i="9" s="1"/>
  <c r="A54" i="9" s="1"/>
  <c r="A55" i="9" s="1"/>
  <c r="A56" i="9" s="1"/>
  <c r="A57" i="9" s="1"/>
  <c r="A58" i="9" s="1"/>
  <c r="A59" i="9" s="1"/>
  <c r="A60" i="9" s="1"/>
  <c r="A61" i="9" s="1"/>
  <c r="H149" i="9"/>
  <c r="A19" i="15"/>
  <c r="A46" i="15"/>
  <c r="F20" i="24"/>
  <c r="F23" i="24"/>
  <c r="F24" i="24"/>
  <c r="H40" i="3"/>
  <c r="H120" i="3"/>
  <c r="I119" i="3" s="1"/>
  <c r="A14" i="18"/>
  <c r="A16" i="18" s="1"/>
  <c r="A23" i="18"/>
  <c r="B52" i="54"/>
  <c r="B53" i="54" s="1"/>
  <c r="B87" i="54" s="1"/>
  <c r="B88" i="54" s="1"/>
  <c r="B89" i="54" s="1"/>
  <c r="B323" i="55" s="1"/>
  <c r="B324" i="55" s="1"/>
  <c r="B325" i="55" s="1"/>
  <c r="B326" i="55" s="1"/>
  <c r="B327" i="55" s="1"/>
  <c r="B328" i="55" s="1"/>
  <c r="B59" i="54"/>
  <c r="B15" i="54"/>
  <c r="B16" i="54" s="1"/>
  <c r="B17" i="54" s="1"/>
  <c r="B18" i="54" s="1"/>
  <c r="B19" i="54" s="1"/>
  <c r="B20" i="54" s="1"/>
  <c r="B21" i="54" s="1"/>
  <c r="B22" i="54" s="1"/>
  <c r="B23" i="54"/>
  <c r="B14" i="55"/>
  <c r="B15" i="55" s="1"/>
  <c r="B16" i="55" s="1"/>
  <c r="B17" i="55" s="1"/>
  <c r="B139" i="55"/>
  <c r="B162" i="55"/>
  <c r="H174" i="18" l="1"/>
  <c r="H263" i="15"/>
  <c r="H173" i="18"/>
  <c r="J281" i="55"/>
  <c r="A175" i="18"/>
  <c r="A174" i="18"/>
  <c r="B101" i="55"/>
  <c r="B102" i="55" s="1"/>
  <c r="B103" i="55" s="1"/>
  <c r="B104" i="55" s="1"/>
  <c r="B105" i="55" s="1"/>
  <c r="B106" i="55" s="1"/>
  <c r="B107" i="55" s="1"/>
  <c r="B108" i="55" s="1"/>
  <c r="B109" i="55" s="1"/>
  <c r="B110" i="55" s="1"/>
  <c r="B111" i="55" s="1"/>
  <c r="B112" i="55" s="1"/>
  <c r="B113" i="55" s="1"/>
  <c r="B114" i="55" s="1"/>
  <c r="B115" i="55" s="1"/>
  <c r="I784" i="55"/>
  <c r="I789" i="55"/>
  <c r="I733" i="55"/>
  <c r="I749" i="55"/>
  <c r="H70" i="18"/>
  <c r="H171" i="15"/>
  <c r="M48" i="18"/>
  <c r="H195" i="15"/>
  <c r="I730" i="55"/>
  <c r="H93" i="15"/>
  <c r="H191" i="15"/>
  <c r="I310" i="55"/>
  <c r="I317" i="55"/>
  <c r="I303" i="55"/>
  <c r="I296" i="55"/>
  <c r="I265" i="55"/>
  <c r="I222" i="55"/>
  <c r="H54" i="18"/>
  <c r="H30" i="18"/>
  <c r="H55" i="18"/>
  <c r="H102" i="18"/>
  <c r="H115" i="18"/>
  <c r="B18" i="55"/>
  <c r="B19" i="55" s="1"/>
  <c r="B20" i="55" s="1"/>
  <c r="B21" i="55" s="1"/>
  <c r="B22" i="55" s="1"/>
  <c r="M92" i="18"/>
  <c r="H164" i="15"/>
  <c r="H184" i="15"/>
  <c r="H183" i="15"/>
  <c r="H188" i="15"/>
  <c r="H177" i="15"/>
  <c r="H199" i="15"/>
  <c r="H15" i="18"/>
  <c r="A19" i="18"/>
  <c r="A18" i="18"/>
  <c r="H206" i="15"/>
  <c r="Q182" i="15"/>
  <c r="H229" i="15"/>
  <c r="H222" i="15"/>
  <c r="M105" i="18"/>
  <c r="M191" i="15"/>
  <c r="H228" i="15"/>
  <c r="I152" i="15"/>
  <c r="H152" i="15"/>
  <c r="B55" i="54"/>
  <c r="B56" i="54" s="1"/>
  <c r="B57" i="54" s="1"/>
  <c r="B58" i="54" s="1"/>
  <c r="B54" i="54"/>
  <c r="H118" i="9"/>
  <c r="I118" i="9"/>
  <c r="H122" i="9"/>
  <c r="I122" i="9"/>
  <c r="H132" i="9"/>
  <c r="H101" i="9"/>
  <c r="I101" i="9"/>
  <c r="I48" i="9"/>
  <c r="J650" i="55"/>
  <c r="H143" i="9"/>
  <c r="Q254" i="15"/>
  <c r="H89" i="15"/>
  <c r="H134" i="15"/>
  <c r="H234" i="15"/>
  <c r="H21" i="18"/>
  <c r="H138" i="18"/>
  <c r="H47" i="18"/>
  <c r="H240" i="15"/>
  <c r="H26" i="18"/>
  <c r="H153" i="18"/>
  <c r="H44" i="18"/>
  <c r="H127" i="18"/>
  <c r="H148" i="18"/>
  <c r="H132" i="18"/>
  <c r="H36" i="18"/>
  <c r="H143" i="18"/>
  <c r="H115" i="15"/>
  <c r="H244" i="15"/>
  <c r="H124" i="15"/>
  <c r="H160" i="15"/>
  <c r="H128" i="15"/>
  <c r="H167" i="15"/>
  <c r="H66" i="15"/>
  <c r="H140" i="9"/>
  <c r="H57" i="15"/>
  <c r="I238" i="54"/>
  <c r="M214" i="15"/>
  <c r="H214" i="15"/>
  <c r="H158" i="15"/>
  <c r="Q138" i="18"/>
  <c r="Q165" i="18"/>
  <c r="A63" i="9"/>
  <c r="A64" i="9" s="1"/>
  <c r="A65" i="9" s="1"/>
  <c r="A66" i="9" s="1"/>
  <c r="A72" i="9"/>
  <c r="A26" i="15"/>
  <c r="A20" i="15"/>
  <c r="A21" i="15" s="1"/>
  <c r="A22" i="15" s="1"/>
  <c r="A23" i="15" s="1"/>
  <c r="A24" i="15" s="1"/>
  <c r="A25" i="15" s="1"/>
  <c r="A52" i="15"/>
  <c r="A257" i="15" s="1"/>
  <c r="A47" i="15"/>
  <c r="G21" i="24"/>
  <c r="H68" i="3"/>
  <c r="H127" i="3"/>
  <c r="H69" i="3"/>
  <c r="A28" i="18"/>
  <c r="A30" i="18" s="1"/>
  <c r="A24" i="18"/>
  <c r="A25" i="18" s="1"/>
  <c r="B34" i="54"/>
  <c r="B24" i="54"/>
  <c r="B25" i="54" s="1"/>
  <c r="B26" i="54" s="1"/>
  <c r="B27" i="54" s="1"/>
  <c r="B65" i="54"/>
  <c r="B66" i="54" s="1"/>
  <c r="B67" i="54" s="1"/>
  <c r="B68" i="54" s="1"/>
  <c r="B69" i="54" s="1"/>
  <c r="B70" i="54" s="1"/>
  <c r="B71" i="54" s="1"/>
  <c r="B72" i="54" s="1"/>
  <c r="B73" i="54" s="1"/>
  <c r="B74" i="54" s="1"/>
  <c r="B75" i="54" s="1"/>
  <c r="B76" i="54" s="1"/>
  <c r="B77" i="54" s="1"/>
  <c r="B78" i="54" s="1"/>
  <c r="B79" i="54" s="1"/>
  <c r="B80" i="54" s="1"/>
  <c r="B60" i="54"/>
  <c r="B61" i="54" s="1"/>
  <c r="B62" i="54" s="1"/>
  <c r="B63" i="54" s="1"/>
  <c r="B64" i="54" s="1"/>
  <c r="B23" i="55"/>
  <c r="B24" i="55" s="1"/>
  <c r="B25" i="55" s="1"/>
  <c r="B26" i="55" s="1"/>
  <c r="B27" i="55" s="1"/>
  <c r="B28" i="55" s="1"/>
  <c r="B29" i="55" s="1"/>
  <c r="B145" i="55"/>
  <c r="B140" i="55"/>
  <c r="B141" i="55" s="1"/>
  <c r="B142" i="55" s="1"/>
  <c r="B143" i="55" s="1"/>
  <c r="B144" i="55" s="1"/>
  <c r="B163" i="55"/>
  <c r="B164" i="55" s="1"/>
  <c r="B165" i="55" s="1"/>
  <c r="B166" i="55" s="1"/>
  <c r="B167" i="55"/>
  <c r="B168" i="55" s="1"/>
  <c r="B169" i="55" s="1"/>
  <c r="B170" i="55" s="1"/>
  <c r="B171" i="55" s="1"/>
  <c r="B172" i="55" s="1"/>
  <c r="B173" i="55" s="1"/>
  <c r="B174" i="55" s="1"/>
  <c r="B175" i="55" s="1"/>
  <c r="B176" i="55" s="1"/>
  <c r="I94" i="18" l="1"/>
  <c r="Q94" i="18"/>
  <c r="I143" i="18"/>
  <c r="Q143" i="18"/>
  <c r="I107" i="18"/>
  <c r="Q107" i="18"/>
  <c r="I148" i="18"/>
  <c r="Q148" i="18"/>
  <c r="I158" i="18"/>
  <c r="Q158" i="18"/>
  <c r="I82" i="18"/>
  <c r="Q82" i="18"/>
  <c r="I132" i="18"/>
  <c r="Q132" i="18"/>
  <c r="I47" i="18"/>
  <c r="Q47" i="18"/>
  <c r="I60" i="18"/>
  <c r="Q60" i="18"/>
  <c r="I44" i="18"/>
  <c r="Q44" i="18"/>
  <c r="I36" i="18"/>
  <c r="Q36" i="18"/>
  <c r="I127" i="18"/>
  <c r="Q127" i="18"/>
  <c r="I120" i="18"/>
  <c r="Q120" i="18"/>
  <c r="I21" i="18"/>
  <c r="Q21" i="18"/>
  <c r="I26" i="18"/>
  <c r="Q26" i="18"/>
  <c r="I153" i="18"/>
  <c r="Q153" i="18"/>
  <c r="I240" i="15"/>
  <c r="Q240" i="15"/>
  <c r="I193" i="15"/>
  <c r="Q193" i="15"/>
  <c r="I146" i="15"/>
  <c r="Q146" i="15"/>
  <c r="I140" i="15"/>
  <c r="Q140" i="15"/>
  <c r="I98" i="15"/>
  <c r="Q98" i="15"/>
  <c r="I128" i="15"/>
  <c r="Q128" i="15"/>
  <c r="I170" i="15"/>
  <c r="Q170" i="15"/>
  <c r="I115" i="15"/>
  <c r="Q115" i="15"/>
  <c r="I204" i="15"/>
  <c r="Q204" i="15"/>
  <c r="I234" i="15"/>
  <c r="Q234" i="15"/>
  <c r="I227" i="15"/>
  <c r="Q227" i="15"/>
  <c r="I89" i="15"/>
  <c r="Q89" i="15"/>
  <c r="I244" i="15"/>
  <c r="Q244" i="15"/>
  <c r="I104" i="15"/>
  <c r="Q104" i="15"/>
  <c r="I249" i="15"/>
  <c r="Q249" i="15"/>
  <c r="I167" i="15"/>
  <c r="Q167" i="15"/>
  <c r="I160" i="15"/>
  <c r="Q160" i="15"/>
  <c r="I216" i="15"/>
  <c r="Q216" i="15"/>
  <c r="I134" i="15"/>
  <c r="Q134" i="15"/>
  <c r="I124" i="15"/>
  <c r="Q124" i="15"/>
  <c r="J97" i="55"/>
  <c r="A258" i="15"/>
  <c r="A259" i="15" s="1"/>
  <c r="A260" i="15" s="1"/>
  <c r="A262" i="15"/>
  <c r="I165" i="18"/>
  <c r="J328" i="55"/>
  <c r="I735" i="55"/>
  <c r="I785" i="55"/>
  <c r="I782" i="55"/>
  <c r="I767" i="55"/>
  <c r="I751" i="55"/>
  <c r="I769" i="55"/>
  <c r="M171" i="15"/>
  <c r="I747" i="55"/>
  <c r="I765" i="55"/>
  <c r="M70" i="18"/>
  <c r="H48" i="18"/>
  <c r="I731" i="55"/>
  <c r="I313" i="55"/>
  <c r="I311" i="55"/>
  <c r="I305" i="55"/>
  <c r="I301" i="55"/>
  <c r="I176" i="55"/>
  <c r="J95" i="55"/>
  <c r="J100" i="55"/>
  <c r="A26" i="18"/>
  <c r="A27" i="18" s="1"/>
  <c r="A21" i="18"/>
  <c r="A22" i="18" s="1"/>
  <c r="A20" i="18"/>
  <c r="H105" i="18"/>
  <c r="Q195" i="15"/>
  <c r="Q184" i="15"/>
  <c r="Q206" i="15"/>
  <c r="Q205" i="15"/>
  <c r="Q183" i="15"/>
  <c r="H180" i="15"/>
  <c r="M180" i="15"/>
  <c r="M80" i="18"/>
  <c r="H80" i="18"/>
  <c r="I182" i="15"/>
  <c r="H182" i="15"/>
  <c r="H204" i="15"/>
  <c r="H227" i="15"/>
  <c r="Q229" i="15"/>
  <c r="Q228" i="15"/>
  <c r="H225" i="15"/>
  <c r="M225" i="15"/>
  <c r="I203" i="54"/>
  <c r="I201" i="54"/>
  <c r="I122" i="54"/>
  <c r="B81" i="54"/>
  <c r="B82" i="54" s="1"/>
  <c r="B83" i="54" s="1"/>
  <c r="B84" i="54" s="1"/>
  <c r="B85" i="54" s="1"/>
  <c r="B86" i="54" s="1"/>
  <c r="B105" i="54"/>
  <c r="I63" i="54"/>
  <c r="I61" i="54"/>
  <c r="B28" i="54"/>
  <c r="B29" i="54" s="1"/>
  <c r="B30" i="54"/>
  <c r="B31" i="54" s="1"/>
  <c r="B32" i="54" s="1"/>
  <c r="B33" i="54" s="1"/>
  <c r="H134" i="9"/>
  <c r="I134" i="9"/>
  <c r="H133" i="9"/>
  <c r="I133" i="9"/>
  <c r="I224" i="54"/>
  <c r="I200" i="54"/>
  <c r="J93" i="55"/>
  <c r="J91" i="55"/>
  <c r="J90" i="55"/>
  <c r="J86" i="55"/>
  <c r="I60" i="54"/>
  <c r="A68" i="9"/>
  <c r="A69" i="9" s="1"/>
  <c r="A70" i="9" s="1"/>
  <c r="A71" i="9" s="1"/>
  <c r="A67" i="9"/>
  <c r="I80" i="15"/>
  <c r="H104" i="15"/>
  <c r="H254" i="15"/>
  <c r="H158" i="18"/>
  <c r="I254" i="15"/>
  <c r="H152" i="18"/>
  <c r="H170" i="15"/>
  <c r="H140" i="15"/>
  <c r="H98" i="15"/>
  <c r="H146" i="15"/>
  <c r="H249" i="15"/>
  <c r="H67" i="18"/>
  <c r="H41" i="18"/>
  <c r="J40" i="54"/>
  <c r="Q57" i="15"/>
  <c r="H82" i="18"/>
  <c r="I138" i="18"/>
  <c r="H74" i="18"/>
  <c r="H94" i="18"/>
  <c r="H109" i="18"/>
  <c r="H72" i="18"/>
  <c r="H120" i="18"/>
  <c r="H84" i="18"/>
  <c r="H96" i="18"/>
  <c r="H122" i="18"/>
  <c r="H107" i="18"/>
  <c r="H62" i="18"/>
  <c r="H60" i="18"/>
  <c r="H193" i="15"/>
  <c r="H216" i="15"/>
  <c r="H68" i="15"/>
  <c r="H218" i="15"/>
  <c r="Q121" i="18"/>
  <c r="Q194" i="15"/>
  <c r="Q83" i="18"/>
  <c r="Q73" i="18"/>
  <c r="Q95" i="18"/>
  <c r="Q217" i="15"/>
  <c r="A102" i="9"/>
  <c r="A73" i="9"/>
  <c r="A49" i="15"/>
  <c r="A50" i="15" s="1"/>
  <c r="A51" i="15" s="1"/>
  <c r="A48" i="15"/>
  <c r="A53" i="15"/>
  <c r="A27" i="15"/>
  <c r="A28" i="15" s="1"/>
  <c r="A29" i="15" s="1"/>
  <c r="A30" i="15" s="1"/>
  <c r="A31" i="15" s="1"/>
  <c r="A34" i="15"/>
  <c r="I101" i="3"/>
  <c r="A29" i="18"/>
  <c r="A31" i="18" s="1"/>
  <c r="A32" i="18" s="1"/>
  <c r="A33" i="18" s="1"/>
  <c r="A34" i="18" s="1"/>
  <c r="A35" i="18" s="1"/>
  <c r="A36" i="18" s="1"/>
  <c r="A37" i="18" s="1"/>
  <c r="A38" i="18"/>
  <c r="B90" i="54"/>
  <c r="B91" i="54" s="1"/>
  <c r="B92" i="54" s="1"/>
  <c r="B93" i="54" s="1"/>
  <c r="B94" i="54" s="1"/>
  <c r="B95" i="54" s="1"/>
  <c r="B96" i="54" s="1"/>
  <c r="B97" i="54" s="1"/>
  <c r="B98" i="54" s="1"/>
  <c r="B99" i="54" s="1"/>
  <c r="B100" i="54" s="1"/>
  <c r="B101" i="54" s="1"/>
  <c r="B102" i="54" s="1"/>
  <c r="B103" i="54" s="1"/>
  <c r="B104" i="54" s="1"/>
  <c r="B39" i="54"/>
  <c r="B35" i="54"/>
  <c r="B36" i="54" s="1"/>
  <c r="B37" i="54" s="1"/>
  <c r="B38" i="54" s="1"/>
  <c r="B30" i="55"/>
  <c r="B177" i="55"/>
  <c r="B146" i="55"/>
  <c r="B147" i="55" s="1"/>
  <c r="B148" i="55" s="1"/>
  <c r="B149" i="55" s="1"/>
  <c r="B150" i="55" s="1"/>
  <c r="B151" i="55" s="1"/>
  <c r="B152" i="55" s="1"/>
  <c r="B153" i="55" s="1"/>
  <c r="B154" i="55" s="1"/>
  <c r="B155" i="55" s="1"/>
  <c r="B156" i="55"/>
  <c r="P49" i="55" l="1"/>
  <c r="B157" i="55"/>
  <c r="B158" i="55" s="1"/>
  <c r="B159" i="55"/>
  <c r="B160" i="55" s="1"/>
  <c r="J89" i="55"/>
  <c r="J98" i="55"/>
  <c r="I62" i="18"/>
  <c r="Q62" i="18"/>
  <c r="I122" i="18"/>
  <c r="Q122" i="18"/>
  <c r="I74" i="18"/>
  <c r="Q74" i="18"/>
  <c r="I72" i="18"/>
  <c r="Q72" i="18"/>
  <c r="I85" i="18"/>
  <c r="Q85" i="18"/>
  <c r="I61" i="18"/>
  <c r="Q61" i="18"/>
  <c r="Q97" i="18"/>
  <c r="I84" i="18"/>
  <c r="Q84" i="18"/>
  <c r="Q110" i="18"/>
  <c r="Q108" i="18"/>
  <c r="I96" i="18"/>
  <c r="Q96" i="18"/>
  <c r="I109" i="18"/>
  <c r="Q109" i="18"/>
  <c r="I68" i="15"/>
  <c r="Q68" i="15"/>
  <c r="I218" i="15"/>
  <c r="Q218" i="15"/>
  <c r="I240" i="54"/>
  <c r="I67" i="55"/>
  <c r="J880" i="55"/>
  <c r="H165" i="18"/>
  <c r="H101" i="18"/>
  <c r="H72" i="15"/>
  <c r="H74" i="15"/>
  <c r="I195" i="15"/>
  <c r="I108" i="18"/>
  <c r="I715" i="55"/>
  <c r="I273" i="55"/>
  <c r="J96" i="55"/>
  <c r="J94" i="55"/>
  <c r="B41" i="55"/>
  <c r="B48" i="55" s="1"/>
  <c r="B50" i="55" s="1"/>
  <c r="B31" i="55"/>
  <c r="B32" i="55" s="1"/>
  <c r="B33" i="55" s="1"/>
  <c r="B34" i="55" s="1"/>
  <c r="B35" i="55" s="1"/>
  <c r="B36" i="55" s="1"/>
  <c r="B37" i="55" s="1"/>
  <c r="B38" i="55" s="1"/>
  <c r="B39" i="55" s="1"/>
  <c r="I183" i="15"/>
  <c r="I205" i="15"/>
  <c r="I206" i="15"/>
  <c r="I184" i="15"/>
  <c r="I228" i="15"/>
  <c r="I229" i="15"/>
  <c r="I205" i="54"/>
  <c r="I333" i="55"/>
  <c r="H78" i="15"/>
  <c r="H76" i="15"/>
  <c r="A33" i="15"/>
  <c r="A32" i="15"/>
  <c r="A74" i="9"/>
  <c r="A75" i="9" s="1"/>
  <c r="A82" i="9"/>
  <c r="A90" i="9" s="1"/>
  <c r="I62" i="54"/>
  <c r="J876" i="55"/>
  <c r="J875" i="55"/>
  <c r="I222" i="54"/>
  <c r="I163" i="55"/>
  <c r="I134" i="55"/>
  <c r="I132" i="55"/>
  <c r="J87" i="55"/>
  <c r="J88" i="55"/>
  <c r="J49" i="55"/>
  <c r="I56" i="54"/>
  <c r="I126" i="55"/>
  <c r="I335" i="55"/>
  <c r="I114" i="54"/>
  <c r="H89" i="18"/>
  <c r="H114" i="18"/>
  <c r="I97" i="18"/>
  <c r="I110" i="18"/>
  <c r="F13" i="24"/>
  <c r="I57" i="15"/>
  <c r="H40" i="18"/>
  <c r="I73" i="18"/>
  <c r="I83" i="18"/>
  <c r="I95" i="18"/>
  <c r="I121" i="18"/>
  <c r="H66" i="18"/>
  <c r="I194" i="15"/>
  <c r="I217" i="15"/>
  <c r="A128" i="9"/>
  <c r="A130" i="9" s="1"/>
  <c r="A103" i="9"/>
  <c r="A114" i="9" s="1"/>
  <c r="A37" i="15"/>
  <c r="A40" i="15" s="1"/>
  <c r="A35" i="15"/>
  <c r="A36" i="15" s="1"/>
  <c r="A54" i="15"/>
  <c r="A55" i="15" s="1"/>
  <c r="A56" i="15" s="1"/>
  <c r="A57" i="15" s="1"/>
  <c r="A60" i="15"/>
  <c r="A61" i="15" s="1"/>
  <c r="A62" i="15" s="1"/>
  <c r="A63" i="15" s="1"/>
  <c r="A64" i="15" s="1"/>
  <c r="A39" i="18"/>
  <c r="A40" i="18" s="1"/>
  <c r="A41" i="18" s="1"/>
  <c r="A42" i="18" s="1"/>
  <c r="A43" i="18" s="1"/>
  <c r="A44" i="18" s="1"/>
  <c r="A45" i="18" s="1"/>
  <c r="A52" i="18"/>
  <c r="A53" i="18" s="1"/>
  <c r="A46" i="18"/>
  <c r="A47" i="18" s="1"/>
  <c r="A48" i="18" s="1"/>
  <c r="B41" i="54"/>
  <c r="B42" i="54" s="1"/>
  <c r="B43" i="54" s="1"/>
  <c r="B44" i="54" s="1"/>
  <c r="B40" i="54"/>
  <c r="B108" i="54"/>
  <c r="B109" i="54" s="1"/>
  <c r="B110" i="54" s="1"/>
  <c r="B111" i="54" s="1"/>
  <c r="B112" i="54" s="1"/>
  <c r="B113" i="54" s="1"/>
  <c r="B114" i="54" s="1"/>
  <c r="B115" i="54" s="1"/>
  <c r="B116" i="54" s="1"/>
  <c r="B178" i="55"/>
  <c r="B179" i="55" s="1"/>
  <c r="B180" i="55"/>
  <c r="P903" i="55" l="1"/>
  <c r="B161" i="55"/>
  <c r="J92" i="55"/>
  <c r="J99" i="55"/>
  <c r="Q176" i="18"/>
  <c r="Q265" i="15"/>
  <c r="I68" i="55"/>
  <c r="I198" i="55"/>
  <c r="I176" i="18"/>
  <c r="I324" i="55"/>
  <c r="I265" i="15"/>
  <c r="I328" i="55"/>
  <c r="A58" i="15"/>
  <c r="A59" i="15" s="1"/>
  <c r="A263" i="15"/>
  <c r="A264" i="15" s="1"/>
  <c r="I716" i="55"/>
  <c r="B181" i="55"/>
  <c r="B183" i="55" s="1"/>
  <c r="B194" i="55" s="1"/>
  <c r="B195" i="55" s="1"/>
  <c r="B196" i="55" s="1"/>
  <c r="B197" i="55" s="1"/>
  <c r="B198" i="55" s="1"/>
  <c r="B199" i="55" s="1"/>
  <c r="B200" i="55" s="1"/>
  <c r="B232" i="55"/>
  <c r="B43" i="55"/>
  <c r="B44" i="55" s="1"/>
  <c r="B45" i="55" s="1"/>
  <c r="B46" i="55" s="1"/>
  <c r="B47" i="55" s="1"/>
  <c r="B49" i="55"/>
  <c r="I115" i="54"/>
  <c r="I331" i="55"/>
  <c r="B40" i="55"/>
  <c r="B42" i="55"/>
  <c r="A56" i="18"/>
  <c r="A57" i="18" s="1"/>
  <c r="A58" i="18" s="1"/>
  <c r="A59" i="18" s="1"/>
  <c r="A60" i="18" s="1"/>
  <c r="A61" i="18" s="1"/>
  <c r="A62" i="18" s="1"/>
  <c r="A63" i="18" s="1"/>
  <c r="A54" i="18"/>
  <c r="A55" i="18" s="1"/>
  <c r="A49" i="18"/>
  <c r="A51" i="18" s="1"/>
  <c r="A50" i="18"/>
  <c r="A64" i="18"/>
  <c r="A65" i="18" s="1"/>
  <c r="A67" i="18" s="1"/>
  <c r="A68" i="18" s="1"/>
  <c r="A69" i="18" s="1"/>
  <c r="A70" i="18" s="1"/>
  <c r="A71" i="18" s="1"/>
  <c r="A72" i="18" s="1"/>
  <c r="A73" i="18" s="1"/>
  <c r="A74" i="18" s="1"/>
  <c r="A75" i="18" s="1"/>
  <c r="I207" i="54"/>
  <c r="I123" i="54"/>
  <c r="I120" i="54"/>
  <c r="I119" i="54"/>
  <c r="H33" i="15"/>
  <c r="I182" i="55"/>
  <c r="A38" i="15"/>
  <c r="A39" i="15" s="1"/>
  <c r="I67" i="54"/>
  <c r="A84" i="15"/>
  <c r="A85" i="15" s="1"/>
  <c r="A86" i="15" s="1"/>
  <c r="A87" i="15" s="1"/>
  <c r="A88" i="15" s="1"/>
  <c r="A89" i="15" s="1"/>
  <c r="A90" i="15" s="1"/>
  <c r="A66" i="15"/>
  <c r="A67" i="15" s="1"/>
  <c r="A68" i="15" s="1"/>
  <c r="A69" i="15" s="1"/>
  <c r="A70" i="15" s="1"/>
  <c r="A71" i="15" s="1"/>
  <c r="A72" i="15" s="1"/>
  <c r="A73" i="15" s="1"/>
  <c r="A74" i="15" s="1"/>
  <c r="A75" i="15" s="1"/>
  <c r="A76" i="15" s="1"/>
  <c r="A77" i="15" s="1"/>
  <c r="A78" i="15" s="1"/>
  <c r="A79" i="15" s="1"/>
  <c r="A80" i="15" s="1"/>
  <c r="A81" i="15" s="1"/>
  <c r="A82" i="15" s="1"/>
  <c r="A83" i="15" s="1"/>
  <c r="A65" i="15"/>
  <c r="A129" i="9"/>
  <c r="A104" i="9"/>
  <c r="A105" i="9" s="1"/>
  <c r="A106" i="9" s="1"/>
  <c r="A107" i="9" s="1"/>
  <c r="A108" i="9" s="1"/>
  <c r="A109" i="9" s="1"/>
  <c r="A110" i="9" s="1"/>
  <c r="A111" i="9" s="1"/>
  <c r="A112" i="9" s="1"/>
  <c r="A113" i="9" s="1"/>
  <c r="A83" i="9"/>
  <c r="A84" i="9" s="1"/>
  <c r="A85" i="9" s="1"/>
  <c r="A86" i="9" s="1"/>
  <c r="A87" i="9" s="1"/>
  <c r="A88" i="9" s="1"/>
  <c r="A89" i="9" s="1"/>
  <c r="B45" i="54"/>
  <c r="I336" i="55"/>
  <c r="B125" i="54"/>
  <c r="B126" i="54" s="1"/>
  <c r="B127" i="54" s="1"/>
  <c r="B128" i="54" s="1"/>
  <c r="B129" i="54" s="1"/>
  <c r="I112" i="54"/>
  <c r="I340" i="55"/>
  <c r="I122" i="55"/>
  <c r="I57" i="54"/>
  <c r="I111" i="54"/>
  <c r="I343" i="55"/>
  <c r="A96" i="9"/>
  <c r="A97" i="9" s="1"/>
  <c r="A98" i="9" s="1"/>
  <c r="A99" i="9" s="1"/>
  <c r="A100" i="9" s="1"/>
  <c r="A101" i="9" s="1"/>
  <c r="A91" i="9"/>
  <c r="A115" i="9"/>
  <c r="A116" i="9" s="1"/>
  <c r="A117" i="9" s="1"/>
  <c r="A118" i="9" s="1"/>
  <c r="A119" i="9"/>
  <c r="A139" i="9"/>
  <c r="A131" i="9"/>
  <c r="A132" i="9" s="1"/>
  <c r="A133" i="9" s="1"/>
  <c r="A134" i="9" s="1"/>
  <c r="A135" i="9" s="1"/>
  <c r="A136" i="9" s="1"/>
  <c r="A137" i="9" s="1"/>
  <c r="A138" i="9" s="1"/>
  <c r="A43" i="15"/>
  <c r="A44" i="15" s="1"/>
  <c r="A45" i="15" s="1"/>
  <c r="A41" i="15"/>
  <c r="A42" i="15" s="1"/>
  <c r="B53" i="55"/>
  <c r="B59" i="55" s="1"/>
  <c r="B51" i="55"/>
  <c r="B52" i="55" s="1"/>
  <c r="I687" i="55" l="1"/>
  <c r="B182" i="55"/>
  <c r="B237" i="55"/>
  <c r="B233" i="55"/>
  <c r="B234" i="55" s="1"/>
  <c r="B235" i="55" s="1"/>
  <c r="B236" i="55" s="1"/>
  <c r="I339" i="55"/>
  <c r="A66" i="18"/>
  <c r="A76" i="18"/>
  <c r="I214" i="54"/>
  <c r="I209" i="54"/>
  <c r="A91" i="15"/>
  <c r="A92" i="15" s="1"/>
  <c r="A93" i="15" s="1"/>
  <c r="A94" i="15" s="1"/>
  <c r="B46" i="54"/>
  <c r="B47" i="54"/>
  <c r="B48" i="54" s="1"/>
  <c r="B49" i="54" s="1"/>
  <c r="B50" i="54" s="1"/>
  <c r="B180" i="54"/>
  <c r="B181" i="54" s="1"/>
  <c r="B182" i="54" s="1"/>
  <c r="I344" i="55"/>
  <c r="A92" i="9"/>
  <c r="A93" i="9" s="1"/>
  <c r="A94" i="9" s="1"/>
  <c r="A95" i="9" s="1"/>
  <c r="A140" i="9"/>
  <c r="A144" i="9"/>
  <c r="A120" i="9"/>
  <c r="A121" i="9" s="1"/>
  <c r="A122" i="9" s="1"/>
  <c r="A123" i="9"/>
  <c r="A124" i="9" s="1"/>
  <c r="A125" i="9" s="1"/>
  <c r="A126" i="9" s="1"/>
  <c r="A127" i="9" s="1"/>
  <c r="B130" i="54"/>
  <c r="B135" i="54" s="1"/>
  <c r="B54" i="55"/>
  <c r="B55" i="55" s="1"/>
  <c r="B56" i="55" s="1"/>
  <c r="B57" i="55" s="1"/>
  <c r="B201" i="55"/>
  <c r="B202" i="55" s="1"/>
  <c r="B203" i="55" s="1"/>
  <c r="B204" i="55" s="1"/>
  <c r="B205" i="55" s="1"/>
  <c r="B206" i="55" s="1"/>
  <c r="B207" i="55" s="1"/>
  <c r="B208" i="55" s="1"/>
  <c r="B209" i="55" s="1"/>
  <c r="B210" i="55" s="1"/>
  <c r="B211" i="55" s="1"/>
  <c r="B212" i="55" s="1"/>
  <c r="B213" i="55" s="1"/>
  <c r="B214" i="55" s="1"/>
  <c r="B215" i="55" s="1"/>
  <c r="B216" i="55" s="1"/>
  <c r="B217" i="55" s="1"/>
  <c r="B218" i="55" s="1"/>
  <c r="B219" i="55" s="1"/>
  <c r="B220" i="55" s="1"/>
  <c r="B221" i="55" s="1"/>
  <c r="B222" i="55" s="1"/>
  <c r="B223" i="55" s="1"/>
  <c r="B224" i="55" s="1"/>
  <c r="B225" i="55" s="1"/>
  <c r="B226" i="55" s="1"/>
  <c r="B227" i="55" s="1"/>
  <c r="B228" i="55" s="1"/>
  <c r="B229" i="55" s="1"/>
  <c r="B230" i="55" s="1"/>
  <c r="B231" i="55" s="1"/>
  <c r="B184" i="55"/>
  <c r="B62" i="55"/>
  <c r="B63" i="55" s="1"/>
  <c r="B64" i="55" s="1"/>
  <c r="B65" i="55" s="1"/>
  <c r="B66" i="55" s="1"/>
  <c r="B67" i="55" s="1"/>
  <c r="B68" i="55" s="1"/>
  <c r="B60" i="55"/>
  <c r="B61" i="55" s="1"/>
  <c r="A95" i="15" l="1"/>
  <c r="A101" i="15" s="1"/>
  <c r="B238" i="55"/>
  <c r="B239" i="55" s="1"/>
  <c r="B240" i="55" s="1"/>
  <c r="B241" i="55" s="1"/>
  <c r="B242" i="55" s="1"/>
  <c r="B243" i="55" s="1"/>
  <c r="B244" i="55" s="1"/>
  <c r="B245" i="55" s="1"/>
  <c r="B246" i="55" s="1"/>
  <c r="B247" i="55" s="1"/>
  <c r="B248" i="55" s="1"/>
  <c r="B249" i="55" s="1"/>
  <c r="B250" i="55" s="1"/>
  <c r="B251" i="55" s="1"/>
  <c r="B252" i="55" s="1"/>
  <c r="B253" i="55" s="1"/>
  <c r="B254" i="55" s="1"/>
  <c r="B255" i="55" s="1"/>
  <c r="B256" i="55" s="1"/>
  <c r="B257" i="55" s="1"/>
  <c r="B258" i="55" s="1"/>
  <c r="B259" i="55" s="1"/>
  <c r="B260" i="55" s="1"/>
  <c r="B261" i="55" s="1"/>
  <c r="B262" i="55" s="1"/>
  <c r="B263" i="55" s="1"/>
  <c r="B264" i="55" s="1"/>
  <c r="B265" i="55" s="1"/>
  <c r="B266" i="55" s="1"/>
  <c r="B267" i="55" s="1"/>
  <c r="B268" i="55" s="1"/>
  <c r="B269" i="55" s="1"/>
  <c r="B270" i="55" s="1"/>
  <c r="B271" i="55" s="1"/>
  <c r="B272" i="55" s="1"/>
  <c r="B274" i="55" s="1"/>
  <c r="B275" i="55"/>
  <c r="I216" i="54"/>
  <c r="B183" i="54"/>
  <c r="B184" i="54" s="1"/>
  <c r="B185" i="54" s="1"/>
  <c r="B186" i="54" s="1"/>
  <c r="B187" i="54" s="1"/>
  <c r="B188" i="54" s="1"/>
  <c r="B189" i="54" s="1"/>
  <c r="B190" i="54" s="1"/>
  <c r="B191" i="54" s="1"/>
  <c r="B192" i="54" s="1"/>
  <c r="B193" i="54" s="1"/>
  <c r="B194" i="54" s="1"/>
  <c r="B195" i="54" s="1"/>
  <c r="B196" i="54" s="1"/>
  <c r="A141" i="9"/>
  <c r="A142" i="9" s="1"/>
  <c r="A143" i="9" s="1"/>
  <c r="A145" i="9"/>
  <c r="A146" i="9" s="1"/>
  <c r="A147" i="9" s="1"/>
  <c r="A148" i="9" s="1"/>
  <c r="A149" i="9" s="1"/>
  <c r="A150" i="9"/>
  <c r="A77" i="18"/>
  <c r="A78" i="18" s="1"/>
  <c r="A79" i="18" s="1"/>
  <c r="A80" i="18" s="1"/>
  <c r="A81" i="18" s="1"/>
  <c r="A82" i="18" s="1"/>
  <c r="A83" i="18" s="1"/>
  <c r="A84" i="18" s="1"/>
  <c r="A85" i="18" s="1"/>
  <c r="A86" i="18" s="1"/>
  <c r="A87" i="18"/>
  <c r="B131" i="54"/>
  <c r="B132" i="54" s="1"/>
  <c r="B133" i="54" s="1"/>
  <c r="B134" i="54" s="1"/>
  <c r="B136" i="54"/>
  <c r="B137" i="54" s="1"/>
  <c r="B138" i="54" s="1"/>
  <c r="B186" i="55"/>
  <c r="B185" i="55"/>
  <c r="A96" i="15" l="1"/>
  <c r="A97" i="15" s="1"/>
  <c r="A98" i="15" s="1"/>
  <c r="A99" i="15" s="1"/>
  <c r="A100" i="15" s="1"/>
  <c r="B278" i="55"/>
  <c r="B329" i="55" s="1"/>
  <c r="B330" i="55" s="1"/>
  <c r="B276" i="55"/>
  <c r="B277" i="55" s="1"/>
  <c r="I218" i="54"/>
  <c r="B197" i="54"/>
  <c r="B226" i="54" s="1"/>
  <c r="A151" i="9"/>
  <c r="A152" i="9" s="1"/>
  <c r="A153" i="9" s="1"/>
  <c r="A154" i="9" s="1"/>
  <c r="A155" i="9"/>
  <c r="A102" i="15"/>
  <c r="A103" i="15" s="1"/>
  <c r="A104" i="15" s="1"/>
  <c r="A105" i="15" s="1"/>
  <c r="A106" i="15" s="1"/>
  <c r="A107" i="15" s="1"/>
  <c r="A108" i="15"/>
  <c r="A99" i="18"/>
  <c r="A88" i="18"/>
  <c r="A89" i="18" s="1"/>
  <c r="A90" i="18" s="1"/>
  <c r="A91" i="18" s="1"/>
  <c r="A92" i="18" s="1"/>
  <c r="A93" i="18" s="1"/>
  <c r="A94" i="18" s="1"/>
  <c r="A95" i="18" s="1"/>
  <c r="A96" i="18" s="1"/>
  <c r="A97" i="18" s="1"/>
  <c r="A98" i="18" s="1"/>
  <c r="B187" i="55"/>
  <c r="B188" i="55"/>
  <c r="B346" i="55" l="1"/>
  <c r="B347" i="55" s="1"/>
  <c r="B348" i="55" s="1"/>
  <c r="B349" i="55" s="1"/>
  <c r="B350" i="55" s="1"/>
  <c r="B351" i="55" s="1"/>
  <c r="B352" i="55" s="1"/>
  <c r="B353" i="55" s="1"/>
  <c r="B354" i="55" s="1"/>
  <c r="B355" i="55" s="1"/>
  <c r="B273" i="55"/>
  <c r="B279" i="55"/>
  <c r="B280" i="55" s="1"/>
  <c r="B281" i="55" s="1"/>
  <c r="B282" i="55" s="1"/>
  <c r="B283" i="55" s="1"/>
  <c r="B284" i="55" s="1"/>
  <c r="B285" i="55" s="1"/>
  <c r="B286" i="55" s="1"/>
  <c r="B287" i="55" s="1"/>
  <c r="B288" i="55" s="1"/>
  <c r="B289" i="55" s="1"/>
  <c r="B290" i="55" s="1"/>
  <c r="B291" i="55" s="1"/>
  <c r="B292" i="55" s="1"/>
  <c r="B293" i="55" s="1"/>
  <c r="B294" i="55" s="1"/>
  <c r="B295" i="55" s="1"/>
  <c r="B296" i="55" s="1"/>
  <c r="B297" i="55" s="1"/>
  <c r="B298" i="55" s="1"/>
  <c r="B299" i="55" s="1"/>
  <c r="B300" i="55" s="1"/>
  <c r="B301" i="55" s="1"/>
  <c r="B302" i="55" s="1"/>
  <c r="B303" i="55" s="1"/>
  <c r="B304" i="55" s="1"/>
  <c r="B305" i="55" s="1"/>
  <c r="B306" i="55" s="1"/>
  <c r="B307" i="55" s="1"/>
  <c r="B308" i="55" s="1"/>
  <c r="B309" i="55" s="1"/>
  <c r="B310" i="55" s="1"/>
  <c r="B311" i="55" s="1"/>
  <c r="B312" i="55" s="1"/>
  <c r="B313" i="55" s="1"/>
  <c r="B314" i="55" s="1"/>
  <c r="B315" i="55" s="1"/>
  <c r="B316" i="55" s="1"/>
  <c r="B317" i="55" s="1"/>
  <c r="B318" i="55" s="1"/>
  <c r="B319" i="55" s="1"/>
  <c r="B320" i="55" s="1"/>
  <c r="B321" i="55" s="1"/>
  <c r="B322" i="55" s="1"/>
  <c r="I220" i="54"/>
  <c r="B198" i="54"/>
  <c r="A162" i="9"/>
  <c r="A163" i="9" s="1"/>
  <c r="A156" i="9"/>
  <c r="A157" i="9" s="1"/>
  <c r="A158" i="9" s="1"/>
  <c r="A159" i="9" s="1"/>
  <c r="A160" i="9" s="1"/>
  <c r="A161" i="9" s="1"/>
  <c r="A109" i="15"/>
  <c r="A110" i="15" s="1"/>
  <c r="A111" i="15" s="1"/>
  <c r="A112" i="15"/>
  <c r="A112" i="18"/>
  <c r="A100" i="18"/>
  <c r="B227" i="54"/>
  <c r="B228" i="54" s="1"/>
  <c r="B229" i="54" s="1"/>
  <c r="B230" i="54" s="1"/>
  <c r="B231" i="54" s="1"/>
  <c r="B232" i="54" s="1"/>
  <c r="B233" i="54" s="1"/>
  <c r="B234" i="54" s="1"/>
  <c r="B235" i="54" s="1"/>
  <c r="B236" i="54" s="1"/>
  <c r="B237" i="54"/>
  <c r="B189" i="55"/>
  <c r="B190" i="55"/>
  <c r="B338" i="55"/>
  <c r="B331" i="55"/>
  <c r="B332" i="55" s="1"/>
  <c r="B333" i="55" s="1"/>
  <c r="B334" i="55" s="1"/>
  <c r="B335" i="55" s="1"/>
  <c r="B336" i="55" s="1"/>
  <c r="B337" i="55" s="1"/>
  <c r="B395" i="55" l="1"/>
  <c r="B399" i="55" s="1"/>
  <c r="B400" i="55" s="1"/>
  <c r="B401" i="55" s="1"/>
  <c r="B402" i="55" s="1"/>
  <c r="B403" i="55" s="1"/>
  <c r="B404" i="55" s="1"/>
  <c r="B405" i="55" s="1"/>
  <c r="B406" i="55" s="1"/>
  <c r="B407" i="55" s="1"/>
  <c r="B408" i="55" s="1"/>
  <c r="B409" i="55" s="1"/>
  <c r="B410" i="55" s="1"/>
  <c r="B411" i="55" s="1"/>
  <c r="B412" i="55" s="1"/>
  <c r="B413" i="55" s="1"/>
  <c r="B414" i="55" s="1"/>
  <c r="B415" i="55" s="1"/>
  <c r="B416" i="55" s="1"/>
  <c r="A101" i="18"/>
  <c r="A103" i="18" s="1"/>
  <c r="A102" i="18"/>
  <c r="B221" i="54"/>
  <c r="B225" i="54" s="1"/>
  <c r="B199" i="54"/>
  <c r="B200" i="54" s="1"/>
  <c r="B201" i="54" s="1"/>
  <c r="B202" i="54" s="1"/>
  <c r="B203" i="54" s="1"/>
  <c r="B204" i="54" s="1"/>
  <c r="B205" i="54" s="1"/>
  <c r="B206" i="54" s="1"/>
  <c r="B207" i="54" s="1"/>
  <c r="B208" i="54" s="1"/>
  <c r="B209" i="54" s="1"/>
  <c r="B210" i="54" s="1"/>
  <c r="B211" i="54" s="1"/>
  <c r="B212" i="54" s="1"/>
  <c r="B213" i="54" s="1"/>
  <c r="B214" i="54" s="1"/>
  <c r="B215" i="54" s="1"/>
  <c r="B216" i="54" s="1"/>
  <c r="B217" i="54" s="1"/>
  <c r="B218" i="54" s="1"/>
  <c r="B219" i="54" s="1"/>
  <c r="B220" i="54" s="1"/>
  <c r="A164" i="9"/>
  <c r="A165" i="9" s="1"/>
  <c r="A113" i="15"/>
  <c r="A115" i="15" s="1"/>
  <c r="A116" i="15" s="1"/>
  <c r="A117" i="15"/>
  <c r="A124" i="18"/>
  <c r="A113" i="18"/>
  <c r="B241" i="54"/>
  <c r="B238" i="54"/>
  <c r="B239" i="54" s="1"/>
  <c r="B240" i="54" s="1"/>
  <c r="B339" i="55"/>
  <c r="B342" i="55"/>
  <c r="B343" i="55"/>
  <c r="B356" i="55"/>
  <c r="B192" i="55"/>
  <c r="B193" i="55" s="1"/>
  <c r="B191" i="55"/>
  <c r="B222" i="54" l="1"/>
  <c r="B223" i="54" s="1"/>
  <c r="B224" i="54" s="1"/>
  <c r="B396" i="55"/>
  <c r="B397" i="55" s="1"/>
  <c r="B398" i="55" s="1"/>
  <c r="A114" i="18"/>
  <c r="A115" i="18" s="1"/>
  <c r="A116" i="18" s="1"/>
  <c r="A117" i="18" s="1"/>
  <c r="A118" i="18" s="1"/>
  <c r="A119" i="18" s="1"/>
  <c r="A120" i="18" s="1"/>
  <c r="A121" i="18" s="1"/>
  <c r="A122" i="18" s="1"/>
  <c r="A123" i="18" s="1"/>
  <c r="A105" i="18"/>
  <c r="A106" i="18" s="1"/>
  <c r="A107" i="18" s="1"/>
  <c r="A108" i="18" s="1"/>
  <c r="A109" i="18" s="1"/>
  <c r="A110" i="18" s="1"/>
  <c r="A111" i="18" s="1"/>
  <c r="A104" i="18"/>
  <c r="A118" i="15"/>
  <c r="A119" i="15" s="1"/>
  <c r="A120" i="15" s="1"/>
  <c r="A121" i="15"/>
  <c r="A125" i="18"/>
  <c r="A126" i="18" s="1"/>
  <c r="A127" i="18" s="1"/>
  <c r="A128" i="18" s="1"/>
  <c r="A129" i="18"/>
  <c r="B243" i="54"/>
  <c r="B244" i="54" s="1"/>
  <c r="B245" i="54" s="1"/>
  <c r="B246" i="54" s="1"/>
  <c r="B247" i="54" s="1"/>
  <c r="B248" i="54" s="1"/>
  <c r="B249" i="54" s="1"/>
  <c r="B242" i="54"/>
  <c r="B357" i="55"/>
  <c r="B376" i="55"/>
  <c r="B417" i="55"/>
  <c r="B340" i="55"/>
  <c r="B344" i="55"/>
  <c r="B418" i="55" l="1"/>
  <c r="B419" i="55" s="1"/>
  <c r="B420" i="55" s="1"/>
  <c r="B421" i="55" s="1"/>
  <c r="B422" i="55" s="1"/>
  <c r="B423" i="55" s="1"/>
  <c r="B424" i="55" s="1"/>
  <c r="B425" i="55" s="1"/>
  <c r="B426" i="55" s="1"/>
  <c r="B427" i="55" s="1"/>
  <c r="B428" i="55" s="1"/>
  <c r="B429" i="55" s="1"/>
  <c r="B430" i="55" s="1"/>
  <c r="B431" i="55" s="1"/>
  <c r="B432" i="55" s="1"/>
  <c r="B433" i="55" s="1"/>
  <c r="B434" i="55" s="1"/>
  <c r="B435" i="55" s="1"/>
  <c r="B436" i="55" s="1"/>
  <c r="B437" i="55" s="1"/>
  <c r="B438" i="55" s="1"/>
  <c r="B439" i="55" s="1"/>
  <c r="B440" i="55" s="1"/>
  <c r="B441" i="55" s="1"/>
  <c r="B442" i="55" s="1"/>
  <c r="B443" i="55" s="1"/>
  <c r="B444" i="55" s="1"/>
  <c r="B445" i="55" s="1"/>
  <c r="B446" i="55" s="1"/>
  <c r="B447" i="55" s="1"/>
  <c r="B448" i="55" s="1"/>
  <c r="B449" i="55" s="1"/>
  <c r="B450" i="55" s="1"/>
  <c r="B451" i="55" s="1"/>
  <c r="B452" i="55" s="1"/>
  <c r="B453" i="55" s="1"/>
  <c r="B454" i="55" s="1"/>
  <c r="B455" i="55" s="1"/>
  <c r="B456" i="55" s="1"/>
  <c r="B457" i="55" s="1"/>
  <c r="B458" i="55" s="1"/>
  <c r="B459" i="55"/>
  <c r="B460" i="55" s="1"/>
  <c r="B461" i="55" s="1"/>
  <c r="B462" i="55" s="1"/>
  <c r="B463" i="55" s="1"/>
  <c r="B464" i="55" s="1"/>
  <c r="B465" i="55" s="1"/>
  <c r="B466" i="55" s="1"/>
  <c r="B467" i="55" s="1"/>
  <c r="B468" i="55" s="1"/>
  <c r="B469" i="55" s="1"/>
  <c r="B470" i="55" s="1"/>
  <c r="B471" i="55" s="1"/>
  <c r="B472" i="55" s="1"/>
  <c r="B473" i="55" s="1"/>
  <c r="B474" i="55" s="1"/>
  <c r="B475" i="55" s="1"/>
  <c r="B476" i="55" s="1"/>
  <c r="B477" i="55" s="1"/>
  <c r="B478" i="55" s="1"/>
  <c r="B479" i="55" s="1"/>
  <c r="B480" i="55" s="1"/>
  <c r="B481" i="55" s="1"/>
  <c r="B482" i="55" s="1"/>
  <c r="B483" i="55" s="1"/>
  <c r="B484" i="55" s="1"/>
  <c r="B485" i="55" s="1"/>
  <c r="B486" i="55" s="1"/>
  <c r="B487" i="55" s="1"/>
  <c r="B488" i="55" s="1"/>
  <c r="B489" i="55" s="1"/>
  <c r="B490" i="55" s="1"/>
  <c r="B491" i="55" s="1"/>
  <c r="B492" i="55" s="1"/>
  <c r="B493" i="55" s="1"/>
  <c r="B494" i="55" s="1"/>
  <c r="B495" i="55" s="1"/>
  <c r="B496" i="55" s="1"/>
  <c r="B497" i="55" s="1"/>
  <c r="B498" i="55" s="1"/>
  <c r="B499" i="55" s="1"/>
  <c r="B500" i="55" s="1"/>
  <c r="B501" i="55" s="1"/>
  <c r="B502" i="55" s="1"/>
  <c r="B503" i="55" s="1"/>
  <c r="B504" i="55" s="1"/>
  <c r="B505" i="55" s="1"/>
  <c r="B506" i="55" s="1"/>
  <c r="B507" i="55" s="1"/>
  <c r="B508" i="55" s="1"/>
  <c r="B367" i="55"/>
  <c r="B368" i="55" s="1"/>
  <c r="B369" i="55" s="1"/>
  <c r="B370" i="55" s="1"/>
  <c r="B371" i="55" s="1"/>
  <c r="B372" i="55" s="1"/>
  <c r="B373" i="55" s="1"/>
  <c r="B374" i="55" s="1"/>
  <c r="B375" i="55" s="1"/>
  <c r="B358" i="55"/>
  <c r="B359" i="55" s="1"/>
  <c r="B360" i="55" s="1"/>
  <c r="B361" i="55" s="1"/>
  <c r="B362" i="55" s="1"/>
  <c r="B363" i="55" s="1"/>
  <c r="B364" i="55" s="1"/>
  <c r="B365" i="55" s="1"/>
  <c r="B366" i="55" s="1"/>
  <c r="A122" i="15"/>
  <c r="A123" i="15" s="1"/>
  <c r="A124" i="15" s="1"/>
  <c r="A125" i="15" s="1"/>
  <c r="A126" i="15"/>
  <c r="A130" i="18"/>
  <c r="A131" i="18" s="1"/>
  <c r="A132" i="18" s="1"/>
  <c r="A133" i="18" s="1"/>
  <c r="A134" i="18"/>
  <c r="B250" i="54"/>
  <c r="B251" i="54" s="1"/>
  <c r="B252" i="54" s="1"/>
  <c r="B253" i="54" s="1"/>
  <c r="B254" i="54" s="1"/>
  <c r="B255" i="54" s="1"/>
  <c r="B256" i="54" s="1"/>
  <c r="B257" i="54" s="1"/>
  <c r="B258" i="54" s="1"/>
  <c r="B259" i="54" s="1"/>
  <c r="B260" i="54" s="1"/>
  <c r="B261" i="54" s="1"/>
  <c r="B262" i="54" s="1"/>
  <c r="B263" i="54" s="1"/>
  <c r="B377" i="55"/>
  <c r="B378" i="55" s="1"/>
  <c r="B379" i="55" s="1"/>
  <c r="B380" i="55" s="1"/>
  <c r="B381" i="55"/>
  <c r="B345" i="55"/>
  <c r="B341" i="55"/>
  <c r="A130" i="15" l="1"/>
  <c r="A127" i="15"/>
  <c r="A128" i="15" s="1"/>
  <c r="A129" i="15" s="1"/>
  <c r="A140" i="18"/>
  <c r="A135" i="18"/>
  <c r="A136" i="18" s="1"/>
  <c r="A137" i="18" s="1"/>
  <c r="A138" i="18" s="1"/>
  <c r="A139" i="18" s="1"/>
  <c r="B264" i="54"/>
  <c r="B509" i="55"/>
  <c r="B510" i="55" l="1"/>
  <c r="B511" i="55" s="1"/>
  <c r="B512" i="55" s="1"/>
  <c r="B513" i="55" s="1"/>
  <c r="B514" i="55" s="1"/>
  <c r="B515" i="55" s="1"/>
  <c r="B516" i="55" s="1"/>
  <c r="B517" i="55" s="1"/>
  <c r="B518" i="55" s="1"/>
  <c r="B519" i="55" s="1"/>
  <c r="B520" i="55" s="1"/>
  <c r="B521" i="55" s="1"/>
  <c r="B522" i="55" s="1"/>
  <c r="B523" i="55" s="1"/>
  <c r="B524" i="55" s="1"/>
  <c r="B525" i="55" s="1"/>
  <c r="B526" i="55" s="1"/>
  <c r="B527" i="55" s="1"/>
  <c r="B528" i="55" s="1"/>
  <c r="B529" i="55" s="1"/>
  <c r="B530" i="55" s="1"/>
  <c r="B531" i="55" s="1"/>
  <c r="B532" i="55" s="1"/>
  <c r="B533" i="55" s="1"/>
  <c r="B534" i="55" s="1"/>
  <c r="B535" i="55" s="1"/>
  <c r="B536" i="55" s="1"/>
  <c r="B537" i="55" s="1"/>
  <c r="B538" i="55" s="1"/>
  <c r="B539" i="55" s="1"/>
  <c r="B540" i="55" s="1"/>
  <c r="B541" i="55" s="1"/>
  <c r="B542" i="55" s="1"/>
  <c r="B543" i="55" s="1"/>
  <c r="B544" i="55" s="1"/>
  <c r="B545" i="55" s="1"/>
  <c r="B546" i="55" s="1"/>
  <c r="B547" i="55" s="1"/>
  <c r="B548" i="55" s="1"/>
  <c r="B549" i="55" s="1"/>
  <c r="B550" i="55" s="1"/>
  <c r="B551" i="55" s="1"/>
  <c r="B552" i="55" s="1"/>
  <c r="B553" i="55" s="1"/>
  <c r="B554" i="55" s="1"/>
  <c r="B555" i="55" s="1"/>
  <c r="B556" i="55" s="1"/>
  <c r="B557" i="55" s="1"/>
  <c r="B558" i="55" s="1"/>
  <c r="B559" i="55" s="1"/>
  <c r="B560" i="55" s="1"/>
  <c r="B561" i="55" s="1"/>
  <c r="B562" i="55" s="1"/>
  <c r="B563" i="55" s="1"/>
  <c r="B564" i="55" s="1"/>
  <c r="B565" i="55" s="1"/>
  <c r="B566" i="55" s="1"/>
  <c r="B567" i="55" s="1"/>
  <c r="B568" i="55" s="1"/>
  <c r="B569" i="55" s="1"/>
  <c r="B570" i="55" s="1"/>
  <c r="B571" i="55" s="1"/>
  <c r="B572" i="55" s="1"/>
  <c r="B573" i="55" s="1"/>
  <c r="B574" i="55" s="1"/>
  <c r="B575" i="55" s="1"/>
  <c r="B576" i="55" s="1"/>
  <c r="B577" i="55" s="1"/>
  <c r="B578" i="55" s="1"/>
  <c r="B579" i="55" s="1"/>
  <c r="B580" i="55" s="1"/>
  <c r="B581" i="55" s="1"/>
  <c r="B582" i="55" s="1"/>
  <c r="B583" i="55" s="1"/>
  <c r="B584" i="55" s="1"/>
  <c r="B585" i="55" s="1"/>
  <c r="B586" i="55" s="1"/>
  <c r="B587" i="55" s="1"/>
  <c r="B588" i="55" s="1"/>
  <c r="B589" i="55" s="1"/>
  <c r="B590" i="55" s="1"/>
  <c r="B591" i="55" s="1"/>
  <c r="B592" i="55" s="1"/>
  <c r="B593" i="55" s="1"/>
  <c r="B594" i="55" s="1"/>
  <c r="B595" i="55" s="1"/>
  <c r="B596" i="55" s="1"/>
  <c r="B597" i="55" s="1"/>
  <c r="B600" i="55" s="1"/>
  <c r="B601" i="55" s="1"/>
  <c r="B602" i="55" s="1"/>
  <c r="B603" i="55" s="1"/>
  <c r="B604" i="55" s="1"/>
  <c r="B605" i="55" s="1"/>
  <c r="B606" i="55" s="1"/>
  <c r="B607" i="55" s="1"/>
  <c r="B608" i="55" s="1"/>
  <c r="B609" i="55" s="1"/>
  <c r="B610" i="55" s="1"/>
  <c r="B611" i="55" s="1"/>
  <c r="B612" i="55" s="1"/>
  <c r="B613" i="55" s="1"/>
  <c r="B614" i="55" s="1"/>
  <c r="B615" i="55" s="1"/>
  <c r="B616" i="55" s="1"/>
  <c r="B617" i="55" s="1"/>
  <c r="B618" i="55" s="1"/>
  <c r="B619" i="55" s="1"/>
  <c r="B620" i="55" s="1"/>
  <c r="B621" i="55" s="1"/>
  <c r="B622" i="55" s="1"/>
  <c r="B623" i="55" s="1"/>
  <c r="B624" i="55" s="1"/>
  <c r="B625" i="55"/>
  <c r="A131" i="15"/>
  <c r="A132" i="15" s="1"/>
  <c r="A133" i="15" s="1"/>
  <c r="A134" i="15" s="1"/>
  <c r="A135" i="15" s="1"/>
  <c r="A136" i="15" s="1"/>
  <c r="A137" i="15"/>
  <c r="A145" i="18"/>
  <c r="A141" i="18"/>
  <c r="A142" i="18" s="1"/>
  <c r="A143" i="18" s="1"/>
  <c r="A144" i="18" s="1"/>
  <c r="B268" i="54"/>
  <c r="B265" i="54"/>
  <c r="B266" i="54" s="1"/>
  <c r="B267" i="54" s="1"/>
  <c r="B269" i="54" l="1"/>
  <c r="B270" i="54" s="1"/>
  <c r="B271" i="54" s="1"/>
  <c r="B272" i="54" s="1"/>
  <c r="B598" i="55"/>
  <c r="B628" i="55"/>
  <c r="B626" i="55"/>
  <c r="B627" i="55" s="1"/>
  <c r="A138" i="15"/>
  <c r="A139" i="15" s="1"/>
  <c r="A140" i="15" s="1"/>
  <c r="A141" i="15" s="1"/>
  <c r="A142" i="15"/>
  <c r="A150" i="18"/>
  <c r="A146" i="18"/>
  <c r="A147" i="18" s="1"/>
  <c r="A148" i="18" s="1"/>
  <c r="A149" i="18" s="1"/>
  <c r="B629" i="55" l="1"/>
  <c r="B630" i="55" s="1"/>
  <c r="B631" i="55" s="1"/>
  <c r="B632" i="55" s="1"/>
  <c r="B633" i="55" s="1"/>
  <c r="B634" i="55" s="1"/>
  <c r="B635" i="55" s="1"/>
  <c r="B636" i="55" s="1"/>
  <c r="B637" i="55" s="1"/>
  <c r="B638" i="55" s="1"/>
  <c r="B639" i="55" s="1"/>
  <c r="B640" i="55" s="1"/>
  <c r="B641" i="55" s="1"/>
  <c r="B642" i="55" s="1"/>
  <c r="B643" i="55" s="1"/>
  <c r="B644" i="55" s="1"/>
  <c r="B645" i="55" s="1"/>
  <c r="B646" i="55"/>
  <c r="A151" i="18"/>
  <c r="A152" i="18" s="1"/>
  <c r="A153" i="18" s="1"/>
  <c r="A154" i="18" s="1"/>
  <c r="A155" i="18"/>
  <c r="A156" i="18" s="1"/>
  <c r="A157" i="18" s="1"/>
  <c r="A158" i="18" s="1"/>
  <c r="A159" i="18" s="1"/>
  <c r="A154" i="15"/>
  <c r="A143" i="15"/>
  <c r="A148" i="15" s="1"/>
  <c r="A149" i="15" s="1"/>
  <c r="A150" i="15" s="1"/>
  <c r="A151" i="15" s="1"/>
  <c r="A152" i="15" s="1"/>
  <c r="A153" i="15" s="1"/>
  <c r="A144" i="15" l="1"/>
  <c r="A145" i="15" s="1"/>
  <c r="A146" i="15" s="1"/>
  <c r="A147" i="15" s="1"/>
  <c r="A162" i="15"/>
  <c r="A155" i="15"/>
  <c r="A158" i="15" l="1"/>
  <c r="A159" i="15" s="1"/>
  <c r="A156" i="15"/>
  <c r="A157" i="15" s="1"/>
  <c r="A163" i="15"/>
  <c r="A169" i="15"/>
  <c r="A175" i="15" s="1"/>
  <c r="B599" i="55"/>
  <c r="A160" i="15" l="1"/>
  <c r="A161" i="15" s="1"/>
  <c r="A176" i="15"/>
  <c r="A165" i="15"/>
  <c r="A166" i="15" s="1"/>
  <c r="A167" i="15" s="1"/>
  <c r="A168" i="15" s="1"/>
  <c r="A164" i="15"/>
  <c r="A170" i="15"/>
  <c r="A171" i="15" s="1"/>
  <c r="A173" i="15" s="1"/>
  <c r="A186" i="15"/>
  <c r="A197" i="15" s="1"/>
  <c r="A198" i="15" s="1"/>
  <c r="A199" i="15" s="1"/>
  <c r="A200" i="15" s="1"/>
  <c r="A202" i="15" l="1"/>
  <c r="A203" i="15" s="1"/>
  <c r="A204" i="15" s="1"/>
  <c r="A205" i="15" s="1"/>
  <c r="A206" i="15" s="1"/>
  <c r="A207" i="15" s="1"/>
  <c r="A201" i="15"/>
  <c r="A178" i="15"/>
  <c r="A179" i="15" s="1"/>
  <c r="A180" i="15" s="1"/>
  <c r="A181" i="15" s="1"/>
  <c r="A182" i="15" s="1"/>
  <c r="A183" i="15" s="1"/>
  <c r="A184" i="15" s="1"/>
  <c r="A185" i="15" s="1"/>
  <c r="A177" i="15"/>
  <c r="A172" i="15"/>
  <c r="A174" i="15" s="1"/>
  <c r="A208" i="15"/>
  <c r="A187" i="15"/>
  <c r="B653" i="55"/>
  <c r="B654" i="55" s="1"/>
  <c r="B655" i="55" s="1"/>
  <c r="B656" i="55" s="1"/>
  <c r="B657" i="55" s="1"/>
  <c r="B658" i="55" s="1"/>
  <c r="B659" i="55" s="1"/>
  <c r="B660" i="55" s="1"/>
  <c r="B661" i="55" s="1"/>
  <c r="B662" i="55" s="1"/>
  <c r="B663" i="55" s="1"/>
  <c r="B664" i="55" s="1"/>
  <c r="B665" i="55" s="1"/>
  <c r="B666" i="55" s="1"/>
  <c r="B667" i="55" s="1"/>
  <c r="B668" i="55" s="1"/>
  <c r="B669" i="55" s="1"/>
  <c r="B670" i="55" s="1"/>
  <c r="B671" i="55" s="1"/>
  <c r="B672" i="55" s="1"/>
  <c r="B673" i="55" s="1"/>
  <c r="B674" i="55" s="1"/>
  <c r="B675" i="55" s="1"/>
  <c r="B676" i="55" s="1"/>
  <c r="B677" i="55" s="1"/>
  <c r="B678" i="55" s="1"/>
  <c r="B679" i="55" s="1"/>
  <c r="B680" i="55" s="1"/>
  <c r="B681" i="55" s="1"/>
  <c r="B682" i="55" s="1"/>
  <c r="B683" i="55" s="1"/>
  <c r="B684" i="55" s="1"/>
  <c r="B685" i="55" s="1"/>
  <c r="B686" i="55" s="1"/>
  <c r="B687" i="55" s="1"/>
  <c r="B688" i="55" s="1"/>
  <c r="B689" i="55" s="1"/>
  <c r="B690" i="55" s="1"/>
  <c r="B691" i="55" s="1"/>
  <c r="B692" i="55" s="1"/>
  <c r="B693" i="55" s="1"/>
  <c r="B694" i="55" s="1"/>
  <c r="B695" i="55" s="1"/>
  <c r="B696" i="55" s="1"/>
  <c r="B697" i="55" s="1"/>
  <c r="B698" i="55" s="1"/>
  <c r="B699" i="55" s="1"/>
  <c r="B700" i="55" s="1"/>
  <c r="B701" i="55" s="1"/>
  <c r="B702" i="55" s="1"/>
  <c r="B703" i="55" s="1"/>
  <c r="B704" i="55" s="1"/>
  <c r="B705" i="55" s="1"/>
  <c r="B706" i="55" s="1"/>
  <c r="B707" i="55" s="1"/>
  <c r="B708" i="55" s="1"/>
  <c r="B709" i="55" s="1"/>
  <c r="B710" i="55" s="1"/>
  <c r="B711" i="55" s="1"/>
  <c r="B712" i="55" s="1"/>
  <c r="B713" i="55" s="1"/>
  <c r="B714" i="55" s="1"/>
  <c r="B715" i="55" s="1"/>
  <c r="B716" i="55" s="1"/>
  <c r="B717" i="55" s="1"/>
  <c r="B718" i="55" s="1"/>
  <c r="B719" i="55" s="1"/>
  <c r="B720" i="55" s="1"/>
  <c r="B721" i="55" s="1"/>
  <c r="B722" i="55" s="1"/>
  <c r="B723" i="55" s="1"/>
  <c r="B724" i="55" s="1"/>
  <c r="B725" i="55" s="1"/>
  <c r="B726" i="55" s="1"/>
  <c r="B647" i="55"/>
  <c r="A189" i="15" l="1"/>
  <c r="A190" i="15" s="1"/>
  <c r="A191" i="15" s="1"/>
  <c r="A192" i="15" s="1"/>
  <c r="A193" i="15" s="1"/>
  <c r="A194" i="15" s="1"/>
  <c r="A195" i="15" s="1"/>
  <c r="A196" i="15" s="1"/>
  <c r="A188" i="15"/>
  <c r="A209" i="15"/>
  <c r="A231" i="15"/>
  <c r="B648" i="55"/>
  <c r="B649" i="55" s="1"/>
  <c r="B727" i="55"/>
  <c r="B728" i="55" s="1"/>
  <c r="B729" i="55" s="1"/>
  <c r="B730" i="55" s="1"/>
  <c r="B731" i="55" s="1"/>
  <c r="B732" i="55" s="1"/>
  <c r="B733" i="55" s="1"/>
  <c r="B734" i="55" s="1"/>
  <c r="B735" i="55" s="1"/>
  <c r="B736" i="55" s="1"/>
  <c r="B737" i="55" s="1"/>
  <c r="B738" i="55" s="1"/>
  <c r="B739" i="55" s="1"/>
  <c r="B740" i="55" s="1"/>
  <c r="B741" i="55" s="1"/>
  <c r="B742" i="55" s="1"/>
  <c r="B743" i="55" s="1"/>
  <c r="B744" i="55" s="1"/>
  <c r="B745" i="55" s="1"/>
  <c r="B746" i="55" s="1"/>
  <c r="B747" i="55" l="1"/>
  <c r="B748" i="55" s="1"/>
  <c r="B749" i="55" s="1"/>
  <c r="B750" i="55" s="1"/>
  <c r="B751" i="55" s="1"/>
  <c r="B752" i="55" s="1"/>
  <c r="B753" i="55" s="1"/>
  <c r="B754" i="55" s="1"/>
  <c r="B755" i="55" s="1"/>
  <c r="A210" i="15"/>
  <c r="A220" i="15"/>
  <c r="A221" i="15" s="1"/>
  <c r="A222" i="15" s="1"/>
  <c r="A223" i="15" s="1"/>
  <c r="A224" i="15" s="1"/>
  <c r="A225" i="15" s="1"/>
  <c r="A226" i="15" s="1"/>
  <c r="A227" i="15" s="1"/>
  <c r="A228" i="15" s="1"/>
  <c r="A229" i="15" s="1"/>
  <c r="A230" i="15" s="1"/>
  <c r="A232" i="15"/>
  <c r="A233" i="15" s="1"/>
  <c r="A234" i="15" s="1"/>
  <c r="A235" i="15" s="1"/>
  <c r="A236" i="15" s="1"/>
  <c r="A237" i="15"/>
  <c r="B803" i="55"/>
  <c r="B804" i="55" s="1"/>
  <c r="B805" i="55" s="1"/>
  <c r="B806" i="55" s="1"/>
  <c r="B807" i="55" s="1"/>
  <c r="B808" i="55" s="1"/>
  <c r="B809" i="55" s="1"/>
  <c r="B650" i="55"/>
  <c r="B651" i="55" s="1"/>
  <c r="B652" i="55" s="1"/>
  <c r="B756" i="55" l="1"/>
  <c r="B757" i="55" s="1"/>
  <c r="B758" i="55" s="1"/>
  <c r="B759" i="55" s="1"/>
  <c r="B760" i="55" s="1"/>
  <c r="B761" i="55" s="1"/>
  <c r="B762" i="55" s="1"/>
  <c r="B763" i="55" s="1"/>
  <c r="B764" i="55" s="1"/>
  <c r="B765" i="55" s="1"/>
  <c r="B766" i="55" s="1"/>
  <c r="B767" i="55" s="1"/>
  <c r="B768" i="55" s="1"/>
  <c r="B769" i="55" s="1"/>
  <c r="B770" i="55" s="1"/>
  <c r="B810" i="55"/>
  <c r="B811" i="55" s="1"/>
  <c r="B812" i="55" s="1"/>
  <c r="B813" i="55" s="1"/>
  <c r="B814" i="55" s="1"/>
  <c r="B815" i="55" s="1"/>
  <c r="B816" i="55" s="1"/>
  <c r="B817" i="55" s="1"/>
  <c r="B818" i="55" s="1"/>
  <c r="B819" i="55" s="1"/>
  <c r="B820" i="55" s="1"/>
  <c r="B821" i="55" s="1"/>
  <c r="B822" i="55"/>
  <c r="B823" i="55" s="1"/>
  <c r="B824" i="55" s="1"/>
  <c r="A212" i="15"/>
  <c r="A213" i="15" s="1"/>
  <c r="A214" i="15" s="1"/>
  <c r="A215" i="15" s="1"/>
  <c r="A216" i="15" s="1"/>
  <c r="A217" i="15" s="1"/>
  <c r="A218" i="15" s="1"/>
  <c r="A219" i="15" s="1"/>
  <c r="A211" i="15"/>
  <c r="A242" i="15"/>
  <c r="A238" i="15"/>
  <c r="A239" i="15" s="1"/>
  <c r="A240" i="15" s="1"/>
  <c r="A241" i="15" s="1"/>
  <c r="B825" i="55"/>
  <c r="B826" i="55" s="1"/>
  <c r="B827" i="55" s="1"/>
  <c r="B828" i="55" s="1"/>
  <c r="B829" i="55" s="1"/>
  <c r="B830" i="55" s="1"/>
  <c r="B831" i="55" s="1"/>
  <c r="B832" i="55" s="1"/>
  <c r="B833" i="55" s="1"/>
  <c r="B834" i="55" s="1"/>
  <c r="B835" i="55" s="1"/>
  <c r="B836" i="55" s="1"/>
  <c r="B837" i="55" s="1"/>
  <c r="B838" i="55" s="1"/>
  <c r="B839" i="55" s="1"/>
  <c r="B840" i="55" s="1"/>
  <c r="B841" i="55" s="1"/>
  <c r="B842" i="55" s="1"/>
  <c r="B843" i="55" s="1"/>
  <c r="B844" i="55" s="1"/>
  <c r="B845" i="55" s="1"/>
  <c r="B846" i="55" s="1"/>
  <c r="B847" i="55" s="1"/>
  <c r="B848" i="55" s="1"/>
  <c r="B849" i="55" s="1"/>
  <c r="B850" i="55" s="1"/>
  <c r="B851" i="55" s="1"/>
  <c r="B852" i="55" s="1"/>
  <c r="B853" i="55" s="1"/>
  <c r="B854" i="55" s="1"/>
  <c r="B855" i="55" s="1"/>
  <c r="B856" i="55" s="1"/>
  <c r="B857" i="55" s="1"/>
  <c r="B858" i="55" s="1"/>
  <c r="B771" i="55" l="1"/>
  <c r="A246" i="15"/>
  <c r="A247" i="15" s="1"/>
  <c r="A243" i="15"/>
  <c r="A244" i="15" s="1"/>
  <c r="A245" i="15" s="1"/>
  <c r="B859" i="55"/>
  <c r="B860" i="55" s="1"/>
  <c r="B861" i="55" s="1"/>
  <c r="B862" i="55" s="1"/>
  <c r="B863" i="55" s="1"/>
  <c r="B864" i="55" s="1"/>
  <c r="B865" i="55" s="1"/>
  <c r="B866" i="55" s="1"/>
  <c r="B867" i="55" s="1"/>
  <c r="B868" i="55" s="1"/>
  <c r="B869" i="55" s="1"/>
  <c r="B870" i="55" s="1"/>
  <c r="B871" i="55" s="1"/>
  <c r="B872" i="55" s="1"/>
  <c r="B772" i="55" l="1"/>
  <c r="B773" i="55" s="1"/>
  <c r="B774" i="55" s="1"/>
  <c r="B775" i="55" s="1"/>
  <c r="B776" i="55" s="1"/>
  <c r="B777" i="55" s="1"/>
  <c r="B778" i="55" s="1"/>
  <c r="B779" i="55" s="1"/>
  <c r="B780" i="55" s="1"/>
  <c r="A248" i="15"/>
  <c r="A249" i="15" s="1"/>
  <c r="A250" i="15" s="1"/>
  <c r="A261" i="15" s="1"/>
  <c r="A251" i="15"/>
  <c r="A252" i="15" s="1"/>
  <c r="A253" i="15" s="1"/>
  <c r="A254" i="15" s="1"/>
  <c r="A255" i="15" s="1"/>
  <c r="A256" i="15" s="1"/>
  <c r="B873" i="55"/>
  <c r="B781" i="55" l="1"/>
  <c r="B782" i="55" s="1"/>
  <c r="B874" i="55"/>
  <c r="B875" i="55" s="1"/>
  <c r="B876" i="55" s="1"/>
  <c r="B877" i="55" s="1"/>
  <c r="B878" i="55" s="1"/>
  <c r="B879" i="55" s="1"/>
  <c r="B880" i="55" s="1"/>
  <c r="B881" i="55"/>
  <c r="B783" i="55" l="1"/>
  <c r="B784" i="55" s="1"/>
  <c r="B785" i="55" s="1"/>
  <c r="B786" i="55" s="1"/>
  <c r="B787" i="55" s="1"/>
  <c r="B788" i="55" s="1"/>
  <c r="B789" i="55" s="1"/>
  <c r="B790" i="55" s="1"/>
  <c r="B893" i="55"/>
  <c r="B894" i="55" s="1"/>
  <c r="B895" i="55" s="1"/>
  <c r="B896" i="55" s="1"/>
  <c r="B897" i="55" s="1"/>
  <c r="B882" i="55"/>
  <c r="B883" i="55" s="1"/>
  <c r="B884" i="55" s="1"/>
  <c r="B885" i="55" s="1"/>
  <c r="B886" i="55" s="1"/>
  <c r="B887" i="55" s="1"/>
  <c r="B888" i="55" s="1"/>
  <c r="B889" i="55" s="1"/>
  <c r="B890" i="55" s="1"/>
  <c r="B891" i="55" s="1"/>
  <c r="B892" i="55" s="1"/>
  <c r="B791" i="55" l="1"/>
  <c r="B792" i="55" s="1"/>
  <c r="B793" i="55" s="1"/>
  <c r="B794" i="55" s="1"/>
  <c r="B795" i="55" s="1"/>
  <c r="B796" i="55" s="1"/>
  <c r="B797" i="55" s="1"/>
  <c r="B798" i="55" s="1"/>
  <c r="B799" i="55" s="1"/>
  <c r="B800" i="55" s="1"/>
  <c r="B801" i="55" s="1"/>
  <c r="B802" i="55" s="1"/>
  <c r="B898" i="55"/>
  <c r="B58" i="55" s="1"/>
  <c r="B899" i="55" s="1"/>
  <c r="B900" i="55" s="1"/>
  <c r="B901" i="55" s="1"/>
  <c r="B902" i="55" s="1"/>
  <c r="J879" i="55"/>
  <c r="J877" i="55"/>
  <c r="N158" i="55"/>
  <c r="N157" i="55"/>
  <c r="I145" i="9"/>
  <c r="I121" i="9"/>
  <c r="H121" i="9"/>
  <c r="I58" i="54"/>
  <c r="J652" i="55"/>
  <c r="O102" i="15"/>
  <c r="O243" i="15"/>
  <c r="O164" i="15"/>
  <c r="O143" i="15"/>
  <c r="O39" i="18"/>
  <c r="F16" i="24"/>
  <c r="F26" i="24"/>
  <c r="I58" i="9"/>
  <c r="I49" i="9"/>
  <c r="I149" i="55"/>
  <c r="N125" i="55" l="1"/>
  <c r="N124" i="55"/>
  <c r="O16" i="18"/>
  <c r="O70" i="15"/>
  <c r="O141" i="18"/>
  <c r="O24" i="18"/>
  <c r="O31" i="18"/>
  <c r="O155" i="15"/>
  <c r="O252" i="15"/>
  <c r="O156" i="18"/>
  <c r="O125" i="18"/>
  <c r="O238" i="15"/>
  <c r="O17" i="18"/>
  <c r="O149" i="15"/>
  <c r="O96" i="15"/>
  <c r="O122" i="15"/>
  <c r="O55" i="15"/>
  <c r="O127" i="15"/>
  <c r="O40" i="18"/>
  <c r="H113" i="15"/>
  <c r="O113" i="15"/>
  <c r="O157" i="15"/>
  <c r="O33" i="18"/>
  <c r="O156" i="15"/>
  <c r="O32" i="18"/>
  <c r="O175" i="18"/>
  <c r="O176" i="15"/>
  <c r="J739" i="55"/>
  <c r="I118" i="55"/>
  <c r="I224" i="55"/>
  <c r="I741" i="55"/>
  <c r="I759" i="55"/>
  <c r="J730" i="55"/>
  <c r="I652" i="55"/>
  <c r="H198" i="15"/>
  <c r="I78" i="54"/>
  <c r="I174" i="55"/>
  <c r="N165" i="55"/>
  <c r="I165" i="55"/>
  <c r="I125" i="55"/>
  <c r="N42" i="55"/>
  <c r="I42" i="55"/>
  <c r="N35" i="55"/>
  <c r="I35" i="55"/>
  <c r="N31" i="55"/>
  <c r="I31" i="55"/>
  <c r="I20" i="54"/>
  <c r="N29" i="55"/>
  <c r="I29" i="55"/>
  <c r="N28" i="55"/>
  <c r="I28" i="55"/>
  <c r="N21" i="55"/>
  <c r="I21" i="55"/>
  <c r="H173" i="15"/>
  <c r="H150" i="15"/>
  <c r="I124" i="54"/>
  <c r="I118" i="54"/>
  <c r="H147" i="18"/>
  <c r="H110" i="15"/>
  <c r="H139" i="15"/>
  <c r="H131" i="18"/>
  <c r="H71" i="15"/>
  <c r="H31" i="18"/>
  <c r="M58" i="18"/>
  <c r="I54" i="54"/>
  <c r="N27" i="55"/>
  <c r="N34" i="55"/>
  <c r="N33" i="55"/>
  <c r="I32" i="55"/>
  <c r="I29" i="54"/>
  <c r="N22" i="55"/>
  <c r="I16" i="55"/>
  <c r="F17" i="24"/>
  <c r="I99" i="9"/>
  <c r="H99" i="9"/>
  <c r="I100" i="9"/>
  <c r="H100" i="9"/>
  <c r="H23" i="9"/>
  <c r="I23" i="9"/>
  <c r="H136" i="9"/>
  <c r="I136" i="9"/>
  <c r="H84" i="9"/>
  <c r="I84" i="9"/>
  <c r="H26" i="9"/>
  <c r="I26" i="9"/>
  <c r="I98" i="9"/>
  <c r="H98" i="9"/>
  <c r="F15" i="24"/>
  <c r="H145" i="9"/>
  <c r="H27" i="9"/>
  <c r="I27" i="9"/>
  <c r="H35" i="9"/>
  <c r="F27" i="24"/>
  <c r="G25" i="24" s="1"/>
  <c r="H47" i="9"/>
  <c r="I106" i="9"/>
  <c r="H106" i="9"/>
  <c r="I29" i="9"/>
  <c r="I163" i="9"/>
  <c r="H163" i="9"/>
  <c r="H38" i="9"/>
  <c r="I38" i="9"/>
  <c r="H164" i="9"/>
  <c r="I164" i="9"/>
  <c r="H29" i="9"/>
  <c r="H136" i="15"/>
  <c r="H258" i="15"/>
  <c r="H168" i="18"/>
  <c r="H73" i="15"/>
  <c r="H75" i="15"/>
  <c r="I52" i="54"/>
  <c r="I39" i="55"/>
  <c r="N39" i="55"/>
  <c r="N37" i="55"/>
  <c r="I37" i="55"/>
  <c r="I53" i="54"/>
  <c r="I24" i="54"/>
  <c r="I123" i="55"/>
  <c r="I124" i="55"/>
  <c r="I43" i="54"/>
  <c r="I157" i="55"/>
  <c r="I158" i="55"/>
  <c r="I185" i="55"/>
  <c r="N40" i="55"/>
  <c r="I40" i="55"/>
  <c r="N38" i="55"/>
  <c r="I38" i="55"/>
  <c r="N46" i="55"/>
  <c r="I46" i="55"/>
  <c r="J185" i="55"/>
  <c r="I36" i="55"/>
  <c r="N36" i="55"/>
  <c r="I133" i="55"/>
  <c r="H175" i="18" l="1"/>
  <c r="N140" i="55"/>
  <c r="H223" i="15"/>
  <c r="O187" i="15"/>
  <c r="O65" i="18"/>
  <c r="O53" i="18"/>
  <c r="O41" i="18"/>
  <c r="O54" i="18"/>
  <c r="O138" i="15"/>
  <c r="O131" i="15"/>
  <c r="N119" i="55"/>
  <c r="N120" i="55"/>
  <c r="I131" i="55"/>
  <c r="I225" i="55"/>
  <c r="H176" i="15"/>
  <c r="H264" i="15"/>
  <c r="I792" i="55"/>
  <c r="I760" i="55"/>
  <c r="I778" i="55"/>
  <c r="I777" i="55"/>
  <c r="I753" i="55"/>
  <c r="I771" i="55"/>
  <c r="I775" i="55"/>
  <c r="I757" i="55"/>
  <c r="I140" i="55"/>
  <c r="H48" i="15"/>
  <c r="H151" i="15"/>
  <c r="H224" i="15"/>
  <c r="H133" i="15"/>
  <c r="I19" i="54"/>
  <c r="N32" i="55"/>
  <c r="H68" i="18"/>
  <c r="I263" i="55"/>
  <c r="I251" i="55"/>
  <c r="I244" i="55"/>
  <c r="I247" i="55"/>
  <c r="I204" i="55"/>
  <c r="I193" i="55"/>
  <c r="N166" i="55"/>
  <c r="I166" i="55"/>
  <c r="N19" i="55"/>
  <c r="I19" i="55"/>
  <c r="N20" i="55"/>
  <c r="I20" i="55"/>
  <c r="H39" i="18"/>
  <c r="H104" i="18"/>
  <c r="H117" i="18"/>
  <c r="H20" i="18"/>
  <c r="H50" i="18"/>
  <c r="I27" i="55"/>
  <c r="H58" i="18"/>
  <c r="N16" i="55"/>
  <c r="M118" i="18"/>
  <c r="M176" i="18" s="1"/>
  <c r="H179" i="15"/>
  <c r="H201" i="15"/>
  <c r="H178" i="15"/>
  <c r="H200" i="15"/>
  <c r="H153" i="15"/>
  <c r="I33" i="55"/>
  <c r="H221" i="15"/>
  <c r="H51" i="15"/>
  <c r="H67" i="15"/>
  <c r="H96" i="15"/>
  <c r="H103" i="15"/>
  <c r="I81" i="55"/>
  <c r="I84" i="55"/>
  <c r="H233" i="15"/>
  <c r="H93" i="18"/>
  <c r="H119" i="18"/>
  <c r="H106" i="18"/>
  <c r="H215" i="15"/>
  <c r="H192" i="15"/>
  <c r="H81" i="18"/>
  <c r="H79" i="15"/>
  <c r="I121" i="54"/>
  <c r="H86" i="15"/>
  <c r="H80" i="15"/>
  <c r="I22" i="55"/>
  <c r="I34" i="55"/>
  <c r="H29" i="15"/>
  <c r="H30" i="15"/>
  <c r="H31" i="15"/>
  <c r="I80" i="54"/>
  <c r="I48" i="54"/>
  <c r="I38" i="54"/>
  <c r="I31" i="54"/>
  <c r="I32" i="54"/>
  <c r="I33" i="54"/>
  <c r="I28" i="54"/>
  <c r="I16" i="54"/>
  <c r="I21" i="54"/>
  <c r="I22" i="54"/>
  <c r="H55" i="15"/>
  <c r="H36" i="9"/>
  <c r="H37" i="9"/>
  <c r="F18" i="24"/>
  <c r="I29" i="3"/>
  <c r="H129" i="3"/>
  <c r="I13" i="3"/>
  <c r="I47" i="9"/>
  <c r="I34" i="9"/>
  <c r="H34" i="9"/>
  <c r="H31" i="9"/>
  <c r="I31" i="9"/>
  <c r="I42" i="9"/>
  <c r="H42" i="9"/>
  <c r="I33" i="9"/>
  <c r="H33" i="9"/>
  <c r="I39" i="9"/>
  <c r="H39" i="9"/>
  <c r="H40" i="9"/>
  <c r="I40" i="9"/>
  <c r="I32" i="9"/>
  <c r="H32" i="9"/>
  <c r="I30" i="9"/>
  <c r="H30" i="9"/>
  <c r="H156" i="9"/>
  <c r="I156" i="9"/>
  <c r="H70" i="15"/>
  <c r="H19" i="18"/>
  <c r="H166" i="15"/>
  <c r="H51" i="18"/>
  <c r="H213" i="15"/>
  <c r="H159" i="15"/>
  <c r="H165" i="15"/>
  <c r="H43" i="18"/>
  <c r="H174" i="15"/>
  <c r="H54" i="15"/>
  <c r="H90" i="18"/>
  <c r="H35" i="18"/>
  <c r="H189" i="15"/>
  <c r="H126" i="18"/>
  <c r="H25" i="18"/>
  <c r="H123" i="15"/>
  <c r="H16" i="18"/>
  <c r="H116" i="18"/>
  <c r="H239" i="15"/>
  <c r="H144" i="15"/>
  <c r="H87" i="15"/>
  <c r="H164" i="18"/>
  <c r="H77" i="18"/>
  <c r="H190" i="15"/>
  <c r="H56" i="15"/>
  <c r="H103" i="18"/>
  <c r="H65" i="18"/>
  <c r="H142" i="18"/>
  <c r="H88" i="18"/>
  <c r="H91" i="18"/>
  <c r="H78" i="18"/>
  <c r="H88" i="15"/>
  <c r="H130" i="18"/>
  <c r="H137" i="18"/>
  <c r="H113" i="18"/>
  <c r="H79" i="18"/>
  <c r="H42" i="18"/>
  <c r="H145" i="15"/>
  <c r="N164" i="55"/>
  <c r="I164" i="55"/>
  <c r="N43" i="55"/>
  <c r="I43" i="55"/>
  <c r="I27" i="54"/>
  <c r="N44" i="55"/>
  <c r="I44" i="55"/>
  <c r="I26" i="54"/>
  <c r="N17" i="55"/>
  <c r="I17" i="55"/>
  <c r="J242" i="54"/>
  <c r="N15" i="55"/>
  <c r="I15" i="55"/>
  <c r="I223" i="54"/>
  <c r="I36" i="54"/>
  <c r="I25" i="55"/>
  <c r="N25" i="55"/>
  <c r="I17" i="54"/>
  <c r="I110" i="54"/>
  <c r="N26" i="55"/>
  <c r="I26" i="55"/>
  <c r="I15" i="54"/>
  <c r="I332" i="55"/>
  <c r="I189" i="55"/>
  <c r="I127" i="55"/>
  <c r="I116" i="54"/>
  <c r="I187" i="55"/>
  <c r="I18" i="54"/>
  <c r="I337" i="55"/>
  <c r="I37" i="54"/>
  <c r="I25" i="54"/>
  <c r="I18" i="55"/>
  <c r="N18" i="55"/>
  <c r="I35" i="54"/>
  <c r="N45" i="55"/>
  <c r="I45" i="55"/>
  <c r="I277" i="55"/>
  <c r="I24" i="55"/>
  <c r="N24" i="55"/>
  <c r="N147" i="55" l="1"/>
  <c r="N146" i="55"/>
  <c r="H100" i="18"/>
  <c r="H212" i="15"/>
  <c r="I119" i="55"/>
  <c r="O66" i="18"/>
  <c r="O55" i="18"/>
  <c r="O67" i="18"/>
  <c r="O77" i="18"/>
  <c r="O198" i="15"/>
  <c r="I120" i="55"/>
  <c r="I97" i="55"/>
  <c r="H122" i="15"/>
  <c r="I226" i="55"/>
  <c r="J224" i="55"/>
  <c r="I227" i="55"/>
  <c r="I228" i="55"/>
  <c r="I877" i="55"/>
  <c r="H59" i="18"/>
  <c r="H56" i="18"/>
  <c r="H42" i="3"/>
  <c r="H82" i="15"/>
  <c r="H69" i="18"/>
  <c r="H85" i="15"/>
  <c r="I146" i="55"/>
  <c r="H172" i="15"/>
  <c r="H57" i="18"/>
  <c r="H49" i="18"/>
  <c r="H247" i="15"/>
  <c r="H243" i="15"/>
  <c r="H71" i="18"/>
  <c r="H53" i="18"/>
  <c r="H118" i="18"/>
  <c r="H209" i="15"/>
  <c r="I82" i="55"/>
  <c r="I80" i="55"/>
  <c r="H226" i="15"/>
  <c r="I79" i="55"/>
  <c r="I196" i="55"/>
  <c r="I266" i="55"/>
  <c r="I252" i="55"/>
  <c r="I211" i="55"/>
  <c r="I205" i="55"/>
  <c r="I200" i="55"/>
  <c r="I99" i="55"/>
  <c r="I98" i="55"/>
  <c r="I66" i="55"/>
  <c r="H29" i="18"/>
  <c r="H18" i="18"/>
  <c r="H211" i="15"/>
  <c r="H202" i="15"/>
  <c r="M202" i="15"/>
  <c r="M265" i="15" s="1"/>
  <c r="H181" i="15"/>
  <c r="H203" i="15"/>
  <c r="H185" i="15"/>
  <c r="H207" i="15"/>
  <c r="H230" i="15"/>
  <c r="H102" i="15"/>
  <c r="H59" i="15"/>
  <c r="H32" i="18"/>
  <c r="H24" i="18"/>
  <c r="H39" i="15"/>
  <c r="H32" i="15"/>
  <c r="H14" i="18"/>
  <c r="I82" i="54"/>
  <c r="I84" i="54"/>
  <c r="I72" i="54"/>
  <c r="I74" i="54"/>
  <c r="I70" i="54"/>
  <c r="I89" i="54"/>
  <c r="I76" i="54"/>
  <c r="I50" i="54"/>
  <c r="F14" i="24"/>
  <c r="F19" i="24"/>
  <c r="G12" i="24" s="1"/>
  <c r="I121" i="3"/>
  <c r="H166" i="9"/>
  <c r="I92" i="55"/>
  <c r="H45" i="18"/>
  <c r="H90" i="15"/>
  <c r="H196" i="15"/>
  <c r="H141" i="15"/>
  <c r="H63" i="18"/>
  <c r="H86" i="18"/>
  <c r="H83" i="15"/>
  <c r="H58" i="15"/>
  <c r="H154" i="18"/>
  <c r="H155" i="15"/>
  <c r="H111" i="15"/>
  <c r="H241" i="15"/>
  <c r="H37" i="18"/>
  <c r="H147" i="15"/>
  <c r="H128" i="18"/>
  <c r="H98" i="18"/>
  <c r="H135" i="15"/>
  <c r="H105" i="15"/>
  <c r="H111" i="18"/>
  <c r="H135" i="18"/>
  <c r="H238" i="15"/>
  <c r="H41" i="15"/>
  <c r="H236" i="15"/>
  <c r="H116" i="15"/>
  <c r="H250" i="15"/>
  <c r="H144" i="18"/>
  <c r="H27" i="18"/>
  <c r="H129" i="15"/>
  <c r="H245" i="15"/>
  <c r="H136" i="18"/>
  <c r="H125" i="18"/>
  <c r="H168" i="15"/>
  <c r="H125" i="15"/>
  <c r="H149" i="18"/>
  <c r="H22" i="18"/>
  <c r="H123" i="18"/>
  <c r="I89" i="55"/>
  <c r="H232" i="15"/>
  <c r="H219" i="15"/>
  <c r="H133" i="18"/>
  <c r="I87" i="55"/>
  <c r="I93" i="55"/>
  <c r="H159" i="18"/>
  <c r="H161" i="15"/>
  <c r="I875" i="55"/>
  <c r="H109" i="15"/>
  <c r="I90" i="55"/>
  <c r="I91" i="55"/>
  <c r="H255" i="15"/>
  <c r="H139" i="18"/>
  <c r="I876" i="55"/>
  <c r="H156" i="18"/>
  <c r="H151" i="18"/>
  <c r="H146" i="18"/>
  <c r="H166" i="18"/>
  <c r="H75" i="18"/>
  <c r="I86" i="55"/>
  <c r="H99" i="15"/>
  <c r="H252" i="15"/>
  <c r="I191" i="55"/>
  <c r="I345" i="55"/>
  <c r="I341" i="55"/>
  <c r="I121" i="55"/>
  <c r="I85" i="55"/>
  <c r="J273" i="54"/>
  <c r="I55" i="54"/>
  <c r="I83" i="55"/>
  <c r="I334" i="55"/>
  <c r="I113" i="54"/>
  <c r="I147" i="55" l="1"/>
  <c r="N148" i="55"/>
  <c r="O209" i="15"/>
  <c r="O113" i="18"/>
  <c r="O100" i="18"/>
  <c r="O102" i="18"/>
  <c r="O115" i="18"/>
  <c r="O101" i="18"/>
  <c r="O114" i="18"/>
  <c r="I880" i="55"/>
  <c r="I96" i="55"/>
  <c r="I95" i="55"/>
  <c r="I94" i="55"/>
  <c r="I879" i="55"/>
  <c r="J225" i="55"/>
  <c r="H50" i="15"/>
  <c r="I148" i="55"/>
  <c r="H38" i="15"/>
  <c r="H141" i="18"/>
  <c r="H100" i="15"/>
  <c r="H156" i="15"/>
  <c r="H149" i="15"/>
  <c r="I268" i="55"/>
  <c r="H42" i="15"/>
  <c r="I212" i="55"/>
  <c r="I206" i="55"/>
  <c r="I207" i="55"/>
  <c r="I113" i="55"/>
  <c r="I105" i="55"/>
  <c r="I107" i="55"/>
  <c r="I106" i="55"/>
  <c r="H17" i="18"/>
  <c r="H157" i="15"/>
  <c r="H33" i="18"/>
  <c r="H187" i="15"/>
  <c r="H163" i="15"/>
  <c r="H81" i="15"/>
  <c r="H210" i="15"/>
  <c r="H143" i="15"/>
  <c r="H107" i="15"/>
  <c r="H163" i="18"/>
  <c r="H131" i="15"/>
  <c r="H138" i="15"/>
  <c r="H127" i="15"/>
  <c r="I65" i="55"/>
  <c r="H61" i="15"/>
  <c r="G28" i="24"/>
  <c r="I41" i="3"/>
  <c r="H168" i="3"/>
  <c r="I88" i="55"/>
  <c r="N903" i="55" l="1"/>
  <c r="O176" i="18"/>
  <c r="O264" i="15"/>
  <c r="O221" i="15"/>
  <c r="I110" i="55"/>
  <c r="I108" i="55"/>
  <c r="I111" i="55"/>
  <c r="I112" i="55"/>
  <c r="I100" i="55"/>
  <c r="J226" i="55"/>
  <c r="H176" i="18"/>
  <c r="I214" i="55"/>
  <c r="I104" i="55"/>
  <c r="I102" i="55"/>
  <c r="I103" i="55"/>
  <c r="I63" i="55"/>
  <c r="H65" i="15"/>
  <c r="H62" i="15"/>
  <c r="I129" i="9"/>
  <c r="I168" i="3"/>
  <c r="O265" i="15" l="1"/>
  <c r="J227" i="55"/>
  <c r="I109" i="55"/>
  <c r="H64" i="15"/>
  <c r="H63" i="15"/>
  <c r="I166" i="9"/>
  <c r="J228" i="55" l="1"/>
  <c r="H265" i="15"/>
  <c r="J903" i="55" l="1"/>
  <c r="A76" i="9" l="1"/>
  <c r="A77" i="9" s="1"/>
  <c r="A78" i="9" s="1"/>
  <c r="A79" i="9" s="1"/>
  <c r="A80" i="9" s="1"/>
  <c r="A81" i="9" s="1"/>
  <c r="I894" i="55" l="1"/>
  <c r="I903" i="55" s="1"/>
  <c r="I273" i="54"/>
  <c r="I265" i="54"/>
</calcChain>
</file>

<file path=xl/sharedStrings.xml><?xml version="1.0" encoding="utf-8"?>
<sst xmlns="http://schemas.openxmlformats.org/spreadsheetml/2006/main" count="5424" uniqueCount="2569">
  <si>
    <t>Presupuesto</t>
  </si>
  <si>
    <t>Cliente</t>
  </si>
  <si>
    <t>Lugar</t>
  </si>
  <si>
    <t>PARTIDAS ABIERTAS</t>
  </si>
  <si>
    <t>ITEM</t>
  </si>
  <si>
    <t>DESCRIPCIÓN</t>
  </si>
  <si>
    <t>OBRAS PROVISIONALES</t>
  </si>
  <si>
    <t xml:space="preserve"> </t>
  </si>
  <si>
    <t>ESTRUCTURAS TORRE</t>
  </si>
  <si>
    <t>ARQUITECTURA TORRE</t>
  </si>
  <si>
    <t>PANELES SOLARES</t>
  </si>
  <si>
    <t>COSTO DIRECTO</t>
  </si>
  <si>
    <t>TOTAL</t>
  </si>
  <si>
    <t>Subpresupuesto</t>
  </si>
  <si>
    <t>Fecha</t>
  </si>
  <si>
    <t>DESCRIPCION</t>
  </si>
  <si>
    <t>UND</t>
  </si>
  <si>
    <t>CANTIDAD</t>
  </si>
  <si>
    <t>P.U. (PEN)</t>
  </si>
  <si>
    <t>P.U. (USD)</t>
  </si>
  <si>
    <t>P.U. (TOTAL)</t>
  </si>
  <si>
    <t>PRECIO PARCIAL (PEN)</t>
  </si>
  <si>
    <t>PRECIO PARCIAL (USD)</t>
  </si>
  <si>
    <t>PRECIO TOTAL (PEN)</t>
  </si>
  <si>
    <t>01</t>
  </si>
  <si>
    <t>OBRAS PROVISIONALES, TRABAJOS PRELIMINARES</t>
  </si>
  <si>
    <t>CONSTRUCCIONES PROVISIONALES</t>
  </si>
  <si>
    <t/>
  </si>
  <si>
    <t>OFICINA DE OBRA PARA CONTRATISTA</t>
  </si>
  <si>
    <t>glb</t>
  </si>
  <si>
    <t>OFICINA DE OBRA PARA SUPERVISIÓN</t>
  </si>
  <si>
    <t>OFICINA SALA DE REUNIONES</t>
  </si>
  <si>
    <t>ALMACEN DE OBRA</t>
  </si>
  <si>
    <t>COMEDOR PERSONAL OBRERO</t>
  </si>
  <si>
    <t>VESTUARIO PARA OBREROS</t>
  </si>
  <si>
    <t>TRASLADO DE CAMPAMENTO PROVISIONAL A SOTANOS</t>
  </si>
  <si>
    <t>und</t>
  </si>
  <si>
    <t>CASETA PARA GUARDIANIA</t>
  </si>
  <si>
    <t>BAÑOS PORTATILES DE OBRA PARA PERSONAL STAFF Y SUPERVISION COMPARTIDOS</t>
  </si>
  <si>
    <t>mes</t>
  </si>
  <si>
    <t xml:space="preserve">CONSTRUCCION DE SSHH (1ER NIVEL) </t>
  </si>
  <si>
    <t>SSHH PORTATILES PARA OBREROS</t>
  </si>
  <si>
    <t>DUCHAS PORTATILES  PARA OBREROS</t>
  </si>
  <si>
    <t>ALQUILER LAVAMANOS PARA OBREROS</t>
  </si>
  <si>
    <t>ESCUADRAS METALICAS PARA LAS OFICINAS EN MUROS ANCLADOS</t>
  </si>
  <si>
    <t>ALQUILER DE ESCUADRAS METÁLICAS</t>
  </si>
  <si>
    <t>ml</t>
  </si>
  <si>
    <t>INSTALACIÓN DE ESCUADRAS METÁLICAS</t>
  </si>
  <si>
    <t xml:space="preserve">PERNOS DE EXPANSIÓN </t>
  </si>
  <si>
    <t>DESISTALACION DE ESCUADRAS METÁLICAS</t>
  </si>
  <si>
    <t>MADERA CACHIMBO 2" X 12" X 10´, SOBRE ESCUADRAS METÁLICAS</t>
  </si>
  <si>
    <t>INSTALACIÓN Y DESISTALACIÓN DE MADERA, SOBRE ESCUADRAS METÁLICAS</t>
  </si>
  <si>
    <t>VENTILACION PROVISIONAL EN SOTANOS</t>
  </si>
  <si>
    <t>PROTECCIÓN DE VECINOS CON MALLA RASCHEL (ENCAPSULADO)</t>
  </si>
  <si>
    <t xml:space="preserve">RENOVACIÓN DE MALLA RACHEL  </t>
  </si>
  <si>
    <t xml:space="preserve">CERCO METALICO DE OBRA </t>
  </si>
  <si>
    <t xml:space="preserve">BASTIDORES METALICOS PARA FIJAR MALLA DE PROTECCION  + MALLA RACHELL </t>
  </si>
  <si>
    <t>MANTENIMIENTO A MITAD DE OBRA DE CERCO PROVISIONAL DE OBRA</t>
  </si>
  <si>
    <t>REUBICACION DE CERCO DE OBRA EXISTENTE</t>
  </si>
  <si>
    <t>DESMONTAJE DE CERCO PROVISIONAL DE OBRA</t>
  </si>
  <si>
    <t>PROTECCION PERIMETRAL INICIAL VERTICAL DE VECINOS</t>
  </si>
  <si>
    <t>PROTECCION HORIZONTAL INICIAL DE VECINOS</t>
  </si>
  <si>
    <t>CARTEL DE OBRA</t>
  </si>
  <si>
    <t xml:space="preserve">CAMPAMENTO Y SALA DE VENTAS CLIENTE - NO SE CONSIDERA </t>
  </si>
  <si>
    <t>ESCUADRAS Y TABLAS PARA CASETA DE VENTAS EN VOLADIZO</t>
  </si>
  <si>
    <t xml:space="preserve">TRASLADO DE CONTENEDOR SALA DE VENTAS CLIENTE (MOVIMIENTO 1 VEZ) </t>
  </si>
  <si>
    <t>ESCALERA METALICA (1-2 PISO) INGRESO DE SALA VENTAS A DEP PILOTO</t>
  </si>
  <si>
    <t xml:space="preserve">PROTECCION A ACCESO VERTICAL (1- PISO) </t>
  </si>
  <si>
    <t>MOVILIZACION DE CAMPAMENTO, MAQUINARIA Y HERRAMIENTAS</t>
  </si>
  <si>
    <t>MOVILIZACION (FLETES DURANTE LA OBRA)</t>
  </si>
  <si>
    <t>ALQUILER DE GRUA TELESCOPICA PARA MONTAJES DE CASETAS</t>
  </si>
  <si>
    <t>hm</t>
  </si>
  <si>
    <t>MOVILIZACION DE CAMPAMENTO, EQUIPOS Y HERRAMIENTAS</t>
  </si>
  <si>
    <t>MOVILIZACION DE ESCALERAS DE ACCESO, ANDAMIOS</t>
  </si>
  <si>
    <t>vje</t>
  </si>
  <si>
    <t>MOVILIZACION DE ENCOFRADOS MURO PANTALLA</t>
  </si>
  <si>
    <t>MOVILIZACION DE ENCOFRADOS CISTERNA</t>
  </si>
  <si>
    <t>MOVILIZACION DE ENCOFRADOS LOSAS Y VIGAS (2 TECHOS Y MEDIO)</t>
  </si>
  <si>
    <t>MOVILIZACION DE ENCOFRADOS PLACAS Y COLUMNAS</t>
  </si>
  <si>
    <t>DESMOVILIZACION DE CAMPAMENTO, EQUIPOS Y HERRAMIENTAS</t>
  </si>
  <si>
    <t>ALQUILER DE GRUA TELESCOPICA PARA DESMONTAJES DE CASETAS</t>
  </si>
  <si>
    <t>MAQUINARIA Y HERRAMIENTAS</t>
  </si>
  <si>
    <t>NIVEL TOPOGRAFICO (INC CUADRILLA TOPOGRAFIA)</t>
  </si>
  <si>
    <t>TEODOLITO ELECTRICO (INC CUADRILLA TOPOGRAFIA)</t>
  </si>
  <si>
    <t>VIBRADOR ELECTRICO (INC EN APU DE CONCRETO)</t>
  </si>
  <si>
    <t>COMPACTADORA TIPO PLANCHA (INC EN APU EST SOT)</t>
  </si>
  <si>
    <t>APISONADOR TIPO CANGURO (INC EN APU EST SOT)</t>
  </si>
  <si>
    <t>MARTILLO ELECTRICO</t>
  </si>
  <si>
    <t>AMOLADORAS Y RADIALES</t>
  </si>
  <si>
    <t>KIT DE SOLAQUEO (ASPIRADORA DE POLVO UNIVERSAL)</t>
  </si>
  <si>
    <t>HIDROLAVADORA</t>
  </si>
  <si>
    <t>TRANSPORTE VERTICAL Y HORIZONTAL</t>
  </si>
  <si>
    <t>ALQUILER GRUA TORRE - TREPADORA</t>
  </si>
  <si>
    <t>OPERADOR DE GRUA X 200 HORAS MENSUALES</t>
  </si>
  <si>
    <t>TRANSPORTE VERTICAL CON GRUA - COSTO DE 02 RIGGER</t>
  </si>
  <si>
    <t>CIMENTACIÓN PARA TORRE GRÚA</t>
  </si>
  <si>
    <t>PATAS DE EMPOTRAMIENTO PARA TORRE GRUA</t>
  </si>
  <si>
    <t xml:space="preserve">CARGA DE TORRE GRUA EN ALMACEN </t>
  </si>
  <si>
    <t>CARGA Y TRANSPORTE DE VIGAS Y MARCOS A OBRA</t>
  </si>
  <si>
    <t>DESMONTAJE DE GRUA</t>
  </si>
  <si>
    <t xml:space="preserve">ALQUILER MENSUAL DE GRUA </t>
  </si>
  <si>
    <t>ALQUILER ELEVADOR VERTICAL</t>
  </si>
  <si>
    <t>ALQUILER DE ELEVADOR DE PERSONAL DE CREMALLERA, CAP. MAX 2 TON</t>
  </si>
  <si>
    <t>REVISIÓN MENSUAL DE ELEVADOR DE PERSONAL DE CREMALLERA</t>
  </si>
  <si>
    <t>ALQUILER DE AUTOTRANSFORMADOR</t>
  </si>
  <si>
    <t>OPERADOR DE ELEVADOR X 200 HORAS</t>
  </si>
  <si>
    <t>MONTAJE DE ELEVADOR DE PERSONAL DE CREMALLERA</t>
  </si>
  <si>
    <t>DESMONTAJE DE ELEVADOR DE PERSONAL DE CREMALLERA</t>
  </si>
  <si>
    <t>RECRECIMIENTO DE MONTACARGA (CADA 2 PISOS)</t>
  </si>
  <si>
    <t>ACCESORIOS PARA ACARREO</t>
  </si>
  <si>
    <t>PULPO DE CADENA, ESTROBO Y ESLINGA</t>
  </si>
  <si>
    <t>PLATAFORMAS PARA DESCARGAS DE PARIHUELAS (COMPRA 100%)</t>
  </si>
  <si>
    <t>STOCKAS PARA TRANSPORTE DE PARIHUELAS (COMPRA 100%)</t>
  </si>
  <si>
    <t>INSTALACION Y DESISTALACION DE PLATAFORMA DESCARGA DE PARIHUELAS</t>
  </si>
  <si>
    <t>ALQUILER GRUA TELESCOPICA PARA ACARREO DE ACERO (1 DIA/SEM) ETAPA EXCAVACION - AJUSTE DE CAMPO</t>
  </si>
  <si>
    <t>día</t>
  </si>
  <si>
    <t>TRASLADO Y ACARREO HORIZONTAL</t>
  </si>
  <si>
    <t>PEON DE MONTACARGA (PISO SUPERIOR) - ACARREO HORIZONTAL</t>
  </si>
  <si>
    <t>TRASLADO Y ACARREO HORIZONTAL (PEONES) ETAPA EXCAV+MP</t>
  </si>
  <si>
    <t>TRASLADO Y ACARREO HORIZONTAL (PEONES) CASCO (SOT+TORRE)</t>
  </si>
  <si>
    <t>TRASLADO Y ACARREO HORIZONTAL (PEONES) ETAPA ACABADOS (desde inicio acabados)</t>
  </si>
  <si>
    <t>ALQUILER DE EQUIPO BOBCAT Y MONTACARGA</t>
  </si>
  <si>
    <t>INSTALACIONES PROVISIONALES, AGUA Y ENERGIA</t>
  </si>
  <si>
    <t>INSTALACIONES PROVISIONALES</t>
  </si>
  <si>
    <t>INSTALACIÓN PROVISIONAL DE AGUA Y DESAGUE PARA LA CONSTRUCCIÓN</t>
  </si>
  <si>
    <t>INSTALACIÓN PROVISIONAL DE ENERGÍA PARA LA CONSTRUCCIÓN (VENTA DEL 60% A ALMACEN)</t>
  </si>
  <si>
    <t>OFICIAL DE IIEE, PARA CABLEADOS, INSTALACIONES PROVISIONALES DURANTE LA OBRA</t>
  </si>
  <si>
    <t>INSTALACIÓN PROVISIONAL TELEFÓNICA Y DE COMUNICACIONES PARA LA CONSTRUCCIÓN</t>
  </si>
  <si>
    <t>POZO A TIERRA PROVISIONAL (NORMATIVA)</t>
  </si>
  <si>
    <t>AMPLIACION DE CARGA</t>
  </si>
  <si>
    <t>CONSUMO DE AGUA PARA LA OBRA</t>
  </si>
  <si>
    <t>AGUA PARA LLENADO DE CISTERNA (PRUEBA HIDRAULICA)</t>
  </si>
  <si>
    <t>CONSUMO DE ELECTRICIDAD PARA LA OBRA (EXCAV+MP)</t>
  </si>
  <si>
    <t>CONSUMO DE ELECTRICIDAD PARA LA OBRA (CASCO+ARQ)</t>
  </si>
  <si>
    <t>GRUPO ELECTROGENO PARA GRUA TORRE</t>
  </si>
  <si>
    <t xml:space="preserve">TRANSPORTE DE GRUPO ELECTROGENO 100KW PARA GRUA </t>
  </si>
  <si>
    <t>vez</t>
  </si>
  <si>
    <t xml:space="preserve">ALQUILER DE GRUPO ELECTROGENO 100KW PARA TORRE GRUA </t>
  </si>
  <si>
    <t>MANTENIMIENTO GRUPO ELECTROGENO 100KW PARA TORRE GRUA</t>
  </si>
  <si>
    <t>COMBUSTIBLE PARA GRUPO ELECTROGENO 100KW GRUA</t>
  </si>
  <si>
    <t>GRUPO ELECTROGENO PARA ELEVADOR VERTICAL</t>
  </si>
  <si>
    <t xml:space="preserve">TRANSPORTE DE GRUPO ELECTROGENO 80KW PARA ELEVADOR </t>
  </si>
  <si>
    <t>ALQUILER DE GRUPO ELECTROGENO 80 KW PARA ELEVADOR (inc mantenimiento)</t>
  </si>
  <si>
    <t>COMBUSTIBLE PARA ELEVADOR DE OBRA 80KW ELEVADOR</t>
  </si>
  <si>
    <t xml:space="preserve">GRUPO ELECTROGENO PARA MAQUINA DE ANCLAJES </t>
  </si>
  <si>
    <t>TRANSPORTE DE GRUPO ELECTROGENO PARA MAQUINA DE ANCLAJES (inc en costo de anclajes)</t>
  </si>
  <si>
    <t>ALQUILER GRUPO ELECTROGENO PARA ANCLAJES (inc en costo de anclajes)</t>
  </si>
  <si>
    <t>MANTENIMIENTO GRUPO ELECTROGENO PARA ANCLAJES (inc en costo de anclajes)</t>
  </si>
  <si>
    <t>COMBUSTIBLE PARA GRUPO ELECTROGENO 60 KV ANCLAJES (inc en costo de anclajes)</t>
  </si>
  <si>
    <t>TRAZOS, NIVELES Y REPLANTEO</t>
  </si>
  <si>
    <t xml:space="preserve">TRAZO Y REPLANTEO DURANTE LA EJECUCIÓN DE OBRA </t>
  </si>
  <si>
    <t>LIMPIEZA DE OBRA</t>
  </si>
  <si>
    <t>LIMPIEZA PERMANENTE DE OBRA (1 PEON) ETAPA EXC+MP</t>
  </si>
  <si>
    <t>LIMPIEZA PERMANENTE DE OBRA (1.5 PEONES)</t>
  </si>
  <si>
    <t>ELIMINACIÓN MATERIAL DE DESMONTE, RESIDUOS,  DURANTE LA OBRA</t>
  </si>
  <si>
    <t>m3</t>
  </si>
  <si>
    <t>ELIMINACIÓN MATERIAL DE DESMONTE, RESIDUOS CON CAJA ECOLOGICA (V= 8 M3),  DURANTE LA OBRA</t>
  </si>
  <si>
    <t>CHUTE PARA ELIMINACION VERTICAL</t>
  </si>
  <si>
    <t xml:space="preserve">PERSONAL DE LIMPIEZA FINAL DEP Y AREAS COMUNES </t>
  </si>
  <si>
    <t>MATERIALES PARA LIMPIEZA FINAL DE DEPARTAMENTOS</t>
  </si>
  <si>
    <t>LIMPIEZA DE VIDRIOS FIJOS EXTERIORES</t>
  </si>
  <si>
    <t>m2</t>
  </si>
  <si>
    <t>PROTECCION DE PISOS Y BARANDAS</t>
  </si>
  <si>
    <t>PROTECCION CON CARTON Y PLASTICO (PISOS, TABLEROS, PCF)</t>
  </si>
  <si>
    <t>PROTECCION DE VENTANA, MAMPARA Y BARANDA DE VIDRIOS (ES A COSTO DEL SUBCONTRATISTA)</t>
  </si>
  <si>
    <r>
      <t xml:space="preserve">PLASTICO DE PROTECCION DE VENTANA, MAMPARA Y BARANDA DE VIDRIOS </t>
    </r>
    <r>
      <rPr>
        <sz val="8"/>
        <color rgb="FF000000"/>
        <rFont val="Arial"/>
        <family val="2"/>
      </rPr>
      <t>EXTERIORES</t>
    </r>
    <r>
      <rPr>
        <sz val="8"/>
        <color indexed="72"/>
        <rFont val="Arial"/>
        <family val="2"/>
      </rPr>
      <t>, PARA EL TARRAJEO ( A COSTO DEL SUBCONTRATISTA)</t>
    </r>
  </si>
  <si>
    <t>PROTECCION DE BARANDAS DE FIERRO ESCALERAS Y FACHADAS</t>
  </si>
  <si>
    <t>ANDAMIOS Y ESCALERAS DE ACCESO</t>
  </si>
  <si>
    <t>ALQUILER DE ESCALERA PARA ACCCESO AL SOTANO</t>
  </si>
  <si>
    <t>ALQUILER  DE ANDAMIO OBRA (EXC+MP)</t>
  </si>
  <si>
    <t>ALQUILER DE ANDAMIO OBRA CASCO (SOT+TORRE)</t>
  </si>
  <si>
    <t>ALQUILER DE ANDAMIO OBRA ETAPA ACABADOS (desde incio acabados hasta 2 mes antes de fin de acabados)</t>
  </si>
  <si>
    <t>ALQUILER Y ARMADO DE ANDAMIO PARA TARRAJEOS DE FACHADAS (INC PRECIO DE ACABADO DE FACHADA)</t>
  </si>
  <si>
    <t>ESTUFAS DE ARCILLA PARA SECADO DE AMBIENTES (INC EN COSTO DE TABIQUERIA)</t>
  </si>
  <si>
    <t xml:space="preserve">Calentador de arcilla (8 brick/ departamento) </t>
  </si>
  <si>
    <t>Bricketa de Carbón vegetal (8 brick/dep x @ 4 horas cada bricke x 2 días)</t>
  </si>
  <si>
    <t>Carbon Vegetal  (8 brick/dep x @ 4 horas cada bricke x 2 días)</t>
  </si>
  <si>
    <t>kg</t>
  </si>
  <si>
    <t>Mano de Obra (Briketas) + Herramientas Manuales</t>
  </si>
  <si>
    <t>ENSAYOS DE CALIDAD, MATERIALES Y  ESTUDIOS EN GENERAL</t>
  </si>
  <si>
    <t>ENSAYOS DE CALIDAD PROBETAS DE CONCRETO</t>
  </si>
  <si>
    <t>muestra</t>
  </si>
  <si>
    <t>ENSAYO DE PROCTOR MODIFICADO</t>
  </si>
  <si>
    <t>ENSAYO ESTANDAR DE CLASIFICACION</t>
  </si>
  <si>
    <t>ENSAYO DE DENSIDAD NATURAL</t>
  </si>
  <si>
    <t>MOVILIDADES Y VITAICOS ENSAYOS DENSIDAD DE CAMPO</t>
  </si>
  <si>
    <t>ENSAYO INYECCION DE LECHADA MUROS ANCLADOS</t>
  </si>
  <si>
    <t>OTROS</t>
  </si>
  <si>
    <t>DEMOLICION Y REPOSICION DE VEREDAS DE ACCESOS</t>
  </si>
  <si>
    <t>SUPERBOARD</t>
  </si>
  <si>
    <t>LLAVEROS (CONTROL)</t>
  </si>
  <si>
    <t>SEGURIDAD Y SALUD</t>
  </si>
  <si>
    <t>PARCIAL</t>
  </si>
  <si>
    <t>02</t>
  </si>
  <si>
    <t>ELABORACIÓN, IMPLEMENTACIÓN Y ADMINISTRACIÓN DEL PLAN DE SEGURIDAD Y SALUD EN EL TRABAJO</t>
  </si>
  <si>
    <t>EQUIPOS DE PROTECCION INDIVIDUAL (STAFF Y OBREROS)</t>
  </si>
  <si>
    <t>EQUIPOS DE PROTECCION COLECTIVA</t>
  </si>
  <si>
    <t xml:space="preserve">MONITOREO DE AIRE Y RUIDO EN LA CONSTRUCCION (@ 6 MESES) </t>
  </si>
  <si>
    <t>CONTROL DE POLVOS EN MOVIMIENTO DE TIERRAS (EXIGENCIA LEED)</t>
  </si>
  <si>
    <t>EXAMEN MÉDICO PRE-OCUPACIONAL</t>
  </si>
  <si>
    <t>MALLA ANTICAIDAS (PERIMETRO EDIFICIO)</t>
  </si>
  <si>
    <t>MALLA ANTICAIDAS (DUCTO DE ASCENSOR)</t>
  </si>
  <si>
    <t xml:space="preserve">      DESVIO DE TRANSITO (02 SEÑALERO x FRENTE)</t>
  </si>
  <si>
    <t xml:space="preserve">PREVENCIONISTAS </t>
  </si>
  <si>
    <t>ASISTENTES DE PDR (01)</t>
  </si>
  <si>
    <t>AYUDANTE DE PDR N°1 (01)</t>
  </si>
  <si>
    <t>AYUDANTE DE PDR N°2 (01)</t>
  </si>
  <si>
    <t>SEGURIDAD POLICIAL</t>
  </si>
  <si>
    <t>CAMARAS DE SEGURIDAD</t>
  </si>
  <si>
    <t>SERVICIO MENSUAL MANTENIMIENTO</t>
  </si>
  <si>
    <t>GASTOS GENERALES</t>
  </si>
  <si>
    <t>MESES</t>
  </si>
  <si>
    <t>PRECIO (PEN)</t>
  </si>
  <si>
    <t>12</t>
  </si>
  <si>
    <t>PERSONAL STAFF</t>
  </si>
  <si>
    <t>SUPERINTENDENCIA</t>
  </si>
  <si>
    <t xml:space="preserve">INGENIERO RESIDENTE </t>
  </si>
  <si>
    <t xml:space="preserve">INGENIERO DE OFICINA TECNICA </t>
  </si>
  <si>
    <t>INGENIERO DE CAMPO</t>
  </si>
  <si>
    <t>SUPERVISOR DE PROYECTOS</t>
  </si>
  <si>
    <t>INGENIERO DE CALIDAD</t>
  </si>
  <si>
    <t>INGENIERO DE CALIDAD JUNIOR</t>
  </si>
  <si>
    <t>INGENIERO ELECTROMECANICO</t>
  </si>
  <si>
    <t xml:space="preserve">ARQUITECTO DE ACABADOS </t>
  </si>
  <si>
    <t xml:space="preserve">ARQUITECTO DE ACABADOS JUNIOR </t>
  </si>
  <si>
    <t xml:space="preserve">PREVENCIONISTA DE RIEGOS - SUBJEFE DE PDR </t>
  </si>
  <si>
    <t xml:space="preserve">      ASISTENTES DE PDR (01)</t>
  </si>
  <si>
    <t xml:space="preserve">      AYUDANTE DE PDR N°1 (01)</t>
  </si>
  <si>
    <t xml:space="preserve">ADMINISTRADOR DE OBRA </t>
  </si>
  <si>
    <t>INGENIERO BIM</t>
  </si>
  <si>
    <t>PERSONAL TECNICO</t>
  </si>
  <si>
    <t>ASISTENTE (CAMPO/CALIDAD/ARQ)</t>
  </si>
  <si>
    <t xml:space="preserve">MAESTRO DE OBRA </t>
  </si>
  <si>
    <t>CAPATAZ DE OBRA ESTRUCTURAS</t>
  </si>
  <si>
    <t>CAPATAZ N°2 EST CASCO</t>
  </si>
  <si>
    <t>CAPATAZ DE OBRA ARQUITECTURA N°1</t>
  </si>
  <si>
    <t>CAPATAZ DE OBRA ARQUITECTURA N°2</t>
  </si>
  <si>
    <t>ASISTENTE DE INSTALACIONES</t>
  </si>
  <si>
    <t>JEFE DE ALMACEN</t>
  </si>
  <si>
    <t>ASISTENTE DE ALMACEN</t>
  </si>
  <si>
    <t>GUARDIAN DE OBRA Y PORTERIA</t>
  </si>
  <si>
    <t>VIGILANTE POLICIAL DE CIVIL (TURNO NOCHE) - SERA COBRADO COMO ADICIONAL</t>
  </si>
  <si>
    <t>EQUIPO DE OFICINA DE LA OBRA</t>
  </si>
  <si>
    <t>COMPUTADORAS</t>
  </si>
  <si>
    <t>DISGREGADO DE COMPUTADORAS</t>
  </si>
  <si>
    <t>12.03.02.01</t>
  </si>
  <si>
    <t>12.03.02.02</t>
  </si>
  <si>
    <t>12.03.02.03</t>
  </si>
  <si>
    <t>12.03.02.05</t>
  </si>
  <si>
    <t>12.03.02.06</t>
  </si>
  <si>
    <t>12.03.02.07</t>
  </si>
  <si>
    <t>12.03.02.09</t>
  </si>
  <si>
    <t>12.03.02.10</t>
  </si>
  <si>
    <t>12.03.02.12</t>
  </si>
  <si>
    <t>12.03.02.13</t>
  </si>
  <si>
    <t>12.03.02.14</t>
  </si>
  <si>
    <t>12.03.02.15</t>
  </si>
  <si>
    <t>12.03.02.16</t>
  </si>
  <si>
    <t>12.03.02.17</t>
  </si>
  <si>
    <t>12.03.02.19</t>
  </si>
  <si>
    <t>12.03.02.20</t>
  </si>
  <si>
    <t>12.03.02.21</t>
  </si>
  <si>
    <t>12.03.02.22</t>
  </si>
  <si>
    <t>12.03.02.23</t>
  </si>
  <si>
    <t>12.03.02.24</t>
  </si>
  <si>
    <t>12.03.02.26</t>
  </si>
  <si>
    <t>12.03.02.27</t>
  </si>
  <si>
    <t>12.03.02.28</t>
  </si>
  <si>
    <t>TOPOGRAFO 1 (cuadrilla 1)</t>
  </si>
  <si>
    <t>12.03.02.29</t>
  </si>
  <si>
    <t>TOPOGRAFO 2 (cuadrilla 2)</t>
  </si>
  <si>
    <t>12.03.03</t>
  </si>
  <si>
    <t>IMPRESORA A3</t>
  </si>
  <si>
    <t>12.03.04</t>
  </si>
  <si>
    <t>COMUNICACION (CELULARES)</t>
  </si>
  <si>
    <t>12.03.05</t>
  </si>
  <si>
    <t>DISGREGADO DE CELULARES</t>
  </si>
  <si>
    <t>12.03.05.01</t>
  </si>
  <si>
    <t>12.03.05.02</t>
  </si>
  <si>
    <t>12.03.05.03</t>
  </si>
  <si>
    <t>12.03.05.05</t>
  </si>
  <si>
    <t>12.03.05.06</t>
  </si>
  <si>
    <t>12.03.05.07</t>
  </si>
  <si>
    <t>12.03.05.09</t>
  </si>
  <si>
    <t>12.03.05.10</t>
  </si>
  <si>
    <t>12.03.05.12</t>
  </si>
  <si>
    <t>12.03.05.13</t>
  </si>
  <si>
    <t>12.03.05.14</t>
  </si>
  <si>
    <t>12.03.05.15</t>
  </si>
  <si>
    <t>12.03.05.16</t>
  </si>
  <si>
    <t>12.03.05.17</t>
  </si>
  <si>
    <t>12.03.05.19</t>
  </si>
  <si>
    <t>12.03.05.20</t>
  </si>
  <si>
    <t>12.03.05.21</t>
  </si>
  <si>
    <t>12.03.05.22</t>
  </si>
  <si>
    <t>12.03.05.23</t>
  </si>
  <si>
    <t>12.03.05.24</t>
  </si>
  <si>
    <t>12.03.05.25</t>
  </si>
  <si>
    <t>12.03.05.26</t>
  </si>
  <si>
    <t>12.03.05.27</t>
  </si>
  <si>
    <t xml:space="preserve">      ASISTENTES DE PDR (01)- ENTRA DESPUES DE LA CIM HASTA EL FINAL</t>
  </si>
  <si>
    <t>12.03.05.28</t>
  </si>
  <si>
    <t>12.03.05.29</t>
  </si>
  <si>
    <t xml:space="preserve">      AYUDANTE DE PDR N°2 (01)</t>
  </si>
  <si>
    <t>12.03.06</t>
  </si>
  <si>
    <t>COMUNICACION (RADIOS)</t>
  </si>
  <si>
    <t>12.03.07</t>
  </si>
  <si>
    <t>COMUNICACION TELEFONO EXTERNO / INTERNET</t>
  </si>
  <si>
    <t>12.03.08</t>
  </si>
  <si>
    <t>ESCRITORIOS Y SILLAS (CONTRATISTA)</t>
  </si>
  <si>
    <t>12.03.09</t>
  </si>
  <si>
    <t>MESAS DE TRABAJO Y DE REUNION</t>
  </si>
  <si>
    <t>12.03.10</t>
  </si>
  <si>
    <t>UTILES DE OFICINA Y ECONOMATO</t>
  </si>
  <si>
    <t>12.04</t>
  </si>
  <si>
    <t>VARIOS</t>
  </si>
  <si>
    <t>12.04.01</t>
  </si>
  <si>
    <t>INSUMOS PARA LIMPIEZA</t>
  </si>
  <si>
    <t>12.04.02</t>
  </si>
  <si>
    <t>PERSONAL DE LIMPIEZA (OFICINAS)</t>
  </si>
  <si>
    <t>12.04.03</t>
  </si>
  <si>
    <t>FOTOCOPIADO</t>
  </si>
  <si>
    <t>12.04.04</t>
  </si>
  <si>
    <t>COPIA DE PLANOS Y PLANOS DE REPLANTEO DE OBRA</t>
  </si>
  <si>
    <t>12.04.05</t>
  </si>
  <si>
    <t>PLANOS Y EXPEDIENTE FIRMA DE CONTRATO (3 COPIAS)</t>
  </si>
  <si>
    <t>12.04.06</t>
  </si>
  <si>
    <t>DOSSIER DE CALIDAD</t>
  </si>
  <si>
    <t>12.04.07</t>
  </si>
  <si>
    <t>GASTOS ADMINISTRATIVOS</t>
  </si>
  <si>
    <t>12.04.08</t>
  </si>
  <si>
    <t>AGUA POTABLE PARA PERSONAL</t>
  </si>
  <si>
    <t>12.04.09</t>
  </si>
  <si>
    <t>BOTIQUIN DE OBRA</t>
  </si>
  <si>
    <t>12.04.10</t>
  </si>
  <si>
    <t>MANTENIMIENTO DE EQUIPOS PROPIO</t>
  </si>
  <si>
    <t>12.04.11</t>
  </si>
  <si>
    <t>MOVILIDAD</t>
  </si>
  <si>
    <t>12.04.12</t>
  </si>
  <si>
    <t xml:space="preserve">CONTRIBUCION OFICINA CENTRAL </t>
  </si>
  <si>
    <t>GASTOS POSTVENTA (0.5% DE CD)</t>
  </si>
  <si>
    <t>12.04.13</t>
  </si>
  <si>
    <t>GASTOS NOTARIALES PARA INSPECCION DE VECINOS</t>
  </si>
  <si>
    <t>12.04.14</t>
  </si>
  <si>
    <t>ATENCION RECLAMO VECINOS (PARTIDA ABIERTA)</t>
  </si>
  <si>
    <t>12.04.15</t>
  </si>
  <si>
    <t>PERMISOS VARIOS (CIERRE DE VIAS, MONTAJE Y DESMONTAJE DE GRUA Y TRAMITES MUNICIPALES)</t>
  </si>
  <si>
    <t>12.04.16</t>
  </si>
  <si>
    <t>GESTION - LUZ DEL SUR, SEDAPAL</t>
  </si>
  <si>
    <t>12.05</t>
  </si>
  <si>
    <t>PAZ SOCIAL</t>
  </si>
  <si>
    <t>12.05.01</t>
  </si>
  <si>
    <t>PAZ SOCIAL - PARTIDA ADMINISTRADA</t>
  </si>
  <si>
    <t>12.06</t>
  </si>
  <si>
    <t>GASTOS FIJOS</t>
  </si>
  <si>
    <t>12.06.01</t>
  </si>
  <si>
    <t>POLIZA CAR+RC</t>
  </si>
  <si>
    <t>12.06.02</t>
  </si>
  <si>
    <t>POLIZA 3D</t>
  </si>
  <si>
    <t>12.06.03</t>
  </si>
  <si>
    <t>CARTA FIANZA POR ADELANTO (TEA 3%)</t>
  </si>
  <si>
    <t>12.06.04</t>
  </si>
  <si>
    <t>CARTA FIANZA POR FIEL CUMPLIMIENTO 10% (Tea 3%)</t>
  </si>
  <si>
    <t>12.06.05</t>
  </si>
  <si>
    <t>CARTA FIANZA POR CALIDAD Y GARANTIA</t>
  </si>
  <si>
    <t>12.06.06</t>
  </si>
  <si>
    <t>COSTO RETENCION FONDO GARANTIA 5 %</t>
  </si>
  <si>
    <t>12.06.07</t>
  </si>
  <si>
    <t>COSTO FINANCIERO DE CAPITAL DE TRABAJO</t>
  </si>
  <si>
    <t>12.06.08</t>
  </si>
  <si>
    <t>SCTR (Pensión y Salud) - Staff Obra</t>
  </si>
  <si>
    <t>12.06.09</t>
  </si>
  <si>
    <t>DISGREGADO DE SCTR</t>
  </si>
  <si>
    <t>12.06.09.01</t>
  </si>
  <si>
    <t>12.06.09.02</t>
  </si>
  <si>
    <t>12.06.09.03</t>
  </si>
  <si>
    <t>12.06.09.04</t>
  </si>
  <si>
    <t>12.06.09.06</t>
  </si>
  <si>
    <t>12.06.09.07</t>
  </si>
  <si>
    <t>12.06.09.08</t>
  </si>
  <si>
    <t>12.06.09.10</t>
  </si>
  <si>
    <t>12.06.09.11</t>
  </si>
  <si>
    <t>12.06.09.13</t>
  </si>
  <si>
    <t>12.06.09.14</t>
  </si>
  <si>
    <t>12.06.09.15</t>
  </si>
  <si>
    <t>12.06.09.16</t>
  </si>
  <si>
    <t>12.06.09.17</t>
  </si>
  <si>
    <t>12.06.09.18</t>
  </si>
  <si>
    <t>12.06.09.20</t>
  </si>
  <si>
    <t>12.06.09.21</t>
  </si>
  <si>
    <t>12.06.09.22</t>
  </si>
  <si>
    <t>12.06.09.23</t>
  </si>
  <si>
    <t>12.06.09.24</t>
  </si>
  <si>
    <t>12.06.09.25</t>
  </si>
  <si>
    <t>12.06.09.26</t>
  </si>
  <si>
    <t>12.06.09.27</t>
  </si>
  <si>
    <t>12.06.09.28</t>
  </si>
  <si>
    <t>12.06.09.29</t>
  </si>
  <si>
    <t>12.06.09.30</t>
  </si>
  <si>
    <t xml:space="preserve">      ASISTENTES DE PDR (01) - ENTRA DESPUES DE LA CIM HASTA EL FINAL</t>
  </si>
  <si>
    <t>12.06.09.31</t>
  </si>
  <si>
    <t>12.06.09.32</t>
  </si>
  <si>
    <t>12.06.09.33</t>
  </si>
  <si>
    <t>12.06.09.34</t>
  </si>
  <si>
    <t>12.06.09.35</t>
  </si>
  <si>
    <t>TOPOGRAFO 3 (cuadrilla 3)</t>
  </si>
  <si>
    <t>12.06.10</t>
  </si>
  <si>
    <t>SCTR (Pensión y Salud) - Personal Obrero</t>
  </si>
  <si>
    <t>12.06.11</t>
  </si>
  <si>
    <t>Seguro de Vida Ley - Staff Obra</t>
  </si>
  <si>
    <t>12.06.12</t>
  </si>
  <si>
    <t>Seguro de Vida Ley - Personal Obrero</t>
  </si>
  <si>
    <t>12.06.13</t>
  </si>
  <si>
    <t>GASTOS FINANCIEROS - ITF - 0.005%</t>
  </si>
  <si>
    <t>12.06.14</t>
  </si>
  <si>
    <t>SENCICO</t>
  </si>
  <si>
    <t>12.06.15</t>
  </si>
  <si>
    <t>LICENCIA SOFTWARE</t>
  </si>
  <si>
    <t>ESTRUCTURAS SÓTANOS</t>
  </si>
  <si>
    <t>METRADO</t>
  </si>
  <si>
    <t>P.U. TOTAL (PEN)</t>
  </si>
  <si>
    <t>03</t>
  </si>
  <si>
    <t>OBRAS PRELIMINARES MOVIMIENTOS DE TIERRA</t>
  </si>
  <si>
    <t>MOVILIZACION Y DESMOVILIZACION DE EQUIPOS MOVIMIENTO TIERRAS</t>
  </si>
  <si>
    <t>EXTRACCION DE EQUIPOS MOVIMIENTO TIERRAS CON GRUAS</t>
  </si>
  <si>
    <t>INSTALACION Y DESISTALACION DE PLATAFORMA</t>
  </si>
  <si>
    <t>EXTRACCION DE EQUIPOS PERFORACION CON GRUAS</t>
  </si>
  <si>
    <t>CONTROL DE POLVOS (AGUA EN CISTERNA)</t>
  </si>
  <si>
    <t>MOVIMIENTO DE TIERRAS</t>
  </si>
  <si>
    <t>EXCAVACIÓN Y ELIMINACIÓN MASIVA POR NIVEL</t>
  </si>
  <si>
    <t>CORTE Y ELIMINACION  DE +0.00 a -3.80 (SOTANO 01)</t>
  </si>
  <si>
    <t>CORTE Y ELIMINACION  DE -3.88 a -6.68 (SOTANO 02)</t>
  </si>
  <si>
    <t>CORTE Y ELIMINACION  DE -6.68 a -9.40 (SOTANO 03)</t>
  </si>
  <si>
    <t>CORTE Y ELIMINACION  DE -9.40 a -12.20 (SOTANO 04)</t>
  </si>
  <si>
    <t>CORTE Y ELIMINACION  DE -12.28 a -15,08 (SOTANO 05)</t>
  </si>
  <si>
    <t>CORTE Y ELIMINACION  DE -15,08 a -18,28 (SOTANO 06) CON BALDE Y GRUA</t>
  </si>
  <si>
    <t>EXCAVACIÓN Y ELIMINACIÓN LOCALIZADA</t>
  </si>
  <si>
    <t>EXCAVACION Y ELIIMINACION DE ZAPATAS Y CIMIENTOS (N -20,87) CON BALDE Y GRUA</t>
  </si>
  <si>
    <t>EXCAVACION Y ELIIMINACION DE CISTERNA Y CUARTO DE BOMBAS (N -20.80) CON BALDE Y GRUA</t>
  </si>
  <si>
    <t>EXCAVACION LOCALIZADA PARA VIGAS DE CIMENTACION</t>
  </si>
  <si>
    <t>EXCAVACION LOCALIZADA PARA CIMIENTOS (BATEA DE CIMENTACION)</t>
  </si>
  <si>
    <t>EXCAVACION LOCALIZADA PARA POZO SUMIDERO Y TRAMPA DE GRASA</t>
  </si>
  <si>
    <t>EXCAVACION LOCALIZADA PARA FALSA ZAPATA</t>
  </si>
  <si>
    <t>ACARREO Y ELIMINACION DE MATERIAL EXCEDENTE</t>
  </si>
  <si>
    <t>ELIMINACIÓN DE CIMENTACIÓN EXISTENTE</t>
  </si>
  <si>
    <t>DEMOLICIÓN DE CIMENTACIÓN DE VECINOS</t>
  </si>
  <si>
    <t>ELIMINACIÓN DE CIMENTACIÓN</t>
  </si>
  <si>
    <t>RELLENO Y COMPACTACIÓN</t>
  </si>
  <si>
    <t>RELLENO COMPACTADO CON MATERIAL PROPIO</t>
  </si>
  <si>
    <t>RELLENO BAJO RAMPA CON MATERIAL PROPIO</t>
  </si>
  <si>
    <t>NIVELACIÓN, APISONADO Y BASE DE AFIRMADO</t>
  </si>
  <si>
    <t>NIVELACION Y COMPACTACION DE SUBRASANTE</t>
  </si>
  <si>
    <t>BASE DE AFIRMADO COMPACTADO, E=20CM (conforme a EMS)</t>
  </si>
  <si>
    <t>ALQUILER DE EXCAVADORA MOVIMIENTO DE DADOS, RAMPA, ETC</t>
  </si>
  <si>
    <t>VIGIA P/MAQ EXCAVADORA DURANTE LA EXCAVACION</t>
  </si>
  <si>
    <t>CONCRETO SIMPLE</t>
  </si>
  <si>
    <t>SOLADOS</t>
  </si>
  <si>
    <t>CONCRETO PREMEZCLADO, CEMENTO TIPO I, SOLADO f'c=100 kg/cm2</t>
  </si>
  <si>
    <t>FALSA ZAPATA</t>
  </si>
  <si>
    <t>CONCRETO PREMEZCLADO, CEMENTO TIPO I, FALZA ZAPATAS 1:12 + 30%P.G.</t>
  </si>
  <si>
    <t>ENCOFRADO DE FALSA ZAPATAS</t>
  </si>
  <si>
    <t>CONCRETO ARMADO</t>
  </si>
  <si>
    <t>CIMIENTOS ARMADOS MURO PANTALLA</t>
  </si>
  <si>
    <t>CONCRETO PREMEZCLADO, CEMENTO TIPO I, CIMIENTOS REFORZADOS f'c=210 kg/cm2</t>
  </si>
  <si>
    <t>CONCRETO PREMEZCLADO, CEMENTO TIPO I, CIMIENTOS REFORZADOS f'c=280 kg/cm2</t>
  </si>
  <si>
    <t>ENCOFRADO Y DESENCOFRADO PARA CIMIENTOS REFORZADOS</t>
  </si>
  <si>
    <t>ACERO DE REFUERZO FY= 4200 kg/cm2, GRADO 60 (MURO PANTALLA)</t>
  </si>
  <si>
    <t>CURADO DE ELEMENTOS ESTRUCTURALES EXPUESTOS</t>
  </si>
  <si>
    <t>PINTURA ASFALTICA EN CIMENTACIONES</t>
  </si>
  <si>
    <t>MURO PANTALLA (ANCLADO)</t>
  </si>
  <si>
    <t>CONCRETO PREMEZCLADO, CEMENTO TIPO I, MURO PANTALLA f'c=210 kg/cm2 (a 3 días)</t>
  </si>
  <si>
    <t>CONCRETO PREMEZCLADO, CEMENTO TIPO I, MURO PANTALLA f'c=245 (columnas embebidas)</t>
  </si>
  <si>
    <t>CONCRETO PREMEZCLADO, CEMENTO TIPO I, MURO PANTALLA f'c=350 (columnas embebidas)</t>
  </si>
  <si>
    <t>CONCRETO PREMEZCLADO, CEMENTO TIPO I, MURO PANTALLA f'c=420 (columnas embebidas)</t>
  </si>
  <si>
    <t>CONCRETO PREMEZCLADO, CEMENTO TIPO I, MURO PANTALLA f'c=280 kg/cm2 , w/c = 0,45 (Cisterna)</t>
  </si>
  <si>
    <t>ENCOFRADO Y DESENCOFRADO PARA MURO PANTALLA</t>
  </si>
  <si>
    <t>ENCOFRADO Y DESENCOFRADO LATERALES</t>
  </si>
  <si>
    <t>RECARGO POR CONSUMO MINIMO DE BOMBA</t>
  </si>
  <si>
    <t>CONCRETO PREMEZCLADO, CEMENTO TIPO I, EN CACHIMBAS f'c=210  kg/cm2 A 3 DIAS</t>
  </si>
  <si>
    <t>ENCOFRADO Y DESENCOFRADO DE CACHIMBAS</t>
  </si>
  <si>
    <t>PICADO DE CACHIMBAS DE MUROS PANTALLAS</t>
  </si>
  <si>
    <t>PICADO DE PESTAÑAS DE ORIFICIO DE ANCLAJE</t>
  </si>
  <si>
    <t>TECNOPOR EN ENCUENTRO DE LOSAS CON MURO PANTALLA</t>
  </si>
  <si>
    <t>RETIRO DE TECNOPOR Y ESCARIFICADO EN ENCUENTRO DE LOSAS CON MURO PANTALLA</t>
  </si>
  <si>
    <t>EPOXICO DE UNION Y ESCARIFICADO ENTRE LOSAS DE TECHO DE SOTANOS Y MURO PANTALLA</t>
  </si>
  <si>
    <t>PERFILADO DE BANQUETAS Y TALUDES</t>
  </si>
  <si>
    <t>PAÑETEO DE MUROS PANTALLA</t>
  </si>
  <si>
    <t>PLASTICO CONTRA TERRENO</t>
  </si>
  <si>
    <t xml:space="preserve">ANCLAJE 1/2", ENCUENTRO DE LOSAS CON MUROS </t>
  </si>
  <si>
    <t>RESANE DE ORIFICIO DE ANCLAJE</t>
  </si>
  <si>
    <t>RESANE DE CACHIMBAS</t>
  </si>
  <si>
    <t>MURO PERIMETRAL (SIN ANCLAJES)</t>
  </si>
  <si>
    <t>CONCRETO PREMEZCLADO, CEMENTO TIPO I, MURO PERIMETRAL f'c=210 kg/cm2</t>
  </si>
  <si>
    <t>CONCRETO PREMEZCLADO, CEMENTO TIPO I, MURO PERIMETRAL f'c=280 kg/cm2</t>
  </si>
  <si>
    <t>ENCOFRADO Y DESENCOFRADO DE MUROS Y PLACAS</t>
  </si>
  <si>
    <t>ENCOFRADO Y DESENCOFRADO DE MUROS Y PLACAS DOBLE ALTURA</t>
  </si>
  <si>
    <t>ACERO DE REFUERZO FY= 4200 kg/cm2, GRADO 60</t>
  </si>
  <si>
    <t>ANCLAJES DE MURO PANTALLA (FLESAN)</t>
  </si>
  <si>
    <t>MOVILIZACIÓN Y DESMOVILIZACIÓN DE ANCLAJES</t>
  </si>
  <si>
    <t>PERFORACIÓN, SUMINISTRO, INSTALACIÓN, INYECCIÓN DE LECHADA DE ANCLAJES POSTENSADOS TEMPORALES</t>
  </si>
  <si>
    <t>BOLSAS DE CEMENTO PARA TENSADO DE ANCLAJES (inc bolsa de cemento)</t>
  </si>
  <si>
    <t>bls</t>
  </si>
  <si>
    <t>ZAPATAS Y CIMIENTOS ARMADO</t>
  </si>
  <si>
    <t>CONCRETO PREMEZCLADO, CEMENTO TIPO I, ZAPATAS f'c=280 kg/cm2</t>
  </si>
  <si>
    <t>ENCOFRADO Y DESENCOFRADO PARA ZAPATAS</t>
  </si>
  <si>
    <t>VIGAS DE CIMENTACION</t>
  </si>
  <si>
    <t xml:space="preserve">CONCRETO PREMEZCLADO, CEMENTO TIPO I, VIGAS DE CIMENTACION f'c=280 kg/cm2 </t>
  </si>
  <si>
    <t>ENCOFRADO Y DESENCOFRADO PARA VIGAS DE CIMENTACION</t>
  </si>
  <si>
    <t>TECNOPOR EN VIGA DE CIMENTACION</t>
  </si>
  <si>
    <t>CIMIENTO Y SOBRECIMIENTO TABIQUERIA</t>
  </si>
  <si>
    <t>ENCOFRADO Y DESENCOFRADO DE SOBRECIMIENTOS</t>
  </si>
  <si>
    <t>LOSA SOBRE TERRENO (E=15 CM)</t>
  </si>
  <si>
    <t>CONCRETO PREMEZCLADO, CEMENTO TIPO I, LOSA DE PISO, H=15CM, f'c=210 kg/cm2</t>
  </si>
  <si>
    <t>ENCOFRADO DE LOSA DE PISO</t>
  </si>
  <si>
    <t>JUNTAS DE LOSA DE PISO</t>
  </si>
  <si>
    <t>JUNTA DE CONSTRUCCION (J.D)</t>
  </si>
  <si>
    <t>JUNTA DE AISLAMIENTO (EN BORDES DE COLUMNAS Y EXTREMOS)</t>
  </si>
  <si>
    <t>JUNTA ASERRADA (J.C)</t>
  </si>
  <si>
    <t>CIMIENTOS DE CISTERNA</t>
  </si>
  <si>
    <t xml:space="preserve">LOSA PISO DE CISTERNA </t>
  </si>
  <si>
    <t>CONCRETO PREMEZCLADO, CEMENTO TIPO I, CISTERNA f'c=280 kg/cm2 (W/C=0.50). Por procedimiento constructivo</t>
  </si>
  <si>
    <t>MUROS DE CISTERNA</t>
  </si>
  <si>
    <t>CONCRETO PREMEZCLADO, CEMENTO TIPO I, CISTERNA f'c=350 kg/cm2 (W/C=0.50). Por procedimiento constructivo</t>
  </si>
  <si>
    <t>ENCOFRADO Y DESENCOFRADO DE CISTERNA DOBLE ALTURA</t>
  </si>
  <si>
    <t>JUNTA DE WATER STOP 6"</t>
  </si>
  <si>
    <t>MUROS CAMARA DE DESAGUE Y POZO SUMIDERO</t>
  </si>
  <si>
    <t>ENCOFRADO Y DESENCOFRADO DE CISTERNA</t>
  </si>
  <si>
    <t>CORTES DE MURO</t>
  </si>
  <si>
    <t>CONCRETO PREMEZCLADO, CEMENTO TIPO I, PLACAS f'c=210 kg/cm2</t>
  </si>
  <si>
    <t>PLACAS</t>
  </si>
  <si>
    <t>CONCRETO PREMEZCLADO, CEMENTO TIPO I, PLACAS f'c=350 kg/cm2</t>
  </si>
  <si>
    <t>COLUMNAS</t>
  </si>
  <si>
    <t>CONCRETO PREMEZCLADO, CEMENTO TIPO I, COLUMNAS f'c=280 kg/cm2</t>
  </si>
  <si>
    <t>CONCRETO PREMEZCLADO, CEMENTO TIPO I, COLUMNAS f'c=350 kg/cm2</t>
  </si>
  <si>
    <t>CONCRETO PREMEZCLADO, CEMENTO TIPO I, COLUMNAS f'c=420 kg/cm2</t>
  </si>
  <si>
    <t>ENCOFRADO Y DESENCOFRADO DE COLUMNAS</t>
  </si>
  <si>
    <t>ENCOFRADO Y DESENCOFRADO DE COLUMNAS DOBLE ALTURA</t>
  </si>
  <si>
    <t>VIGAS PERALTADAS</t>
  </si>
  <si>
    <t>CONCRETO PREMEZCLADO, CEMENTO TIPO I, VIGAS SOTANO f'c=245 kg/cm2</t>
  </si>
  <si>
    <t>CONCRETO PREMEZCLADO, CEMENTO TIPO I, VIGAS TORRE f'c=420 kg/cm2 (NUCLEOS)</t>
  </si>
  <si>
    <t>ENCOFRADO Y DESENCOFRADO DE VIGAS</t>
  </si>
  <si>
    <t>ENCOFRADO Y DESENCOFRADO DE VIGAS DOBLE ALTURA</t>
  </si>
  <si>
    <t>VIGAS CHATAS</t>
  </si>
  <si>
    <t>SUMINISTRO DE PRELOSA MACIZA H=20CM</t>
  </si>
  <si>
    <t>INSTALACIÓN DE PRELOSA E=5CM</t>
  </si>
  <si>
    <t>APUNTALAMIENTO (ENCOFRADO) DE PRELOSA EN VIGAS CHATAS</t>
  </si>
  <si>
    <t>APUNTALAMIENTO (ENCOFRADO) DE PRELOSA EN VIGAS CHATAS DOBLE ALTURA</t>
  </si>
  <si>
    <t>PRELOSA ALIGERADA H=0.20M, UN SENTIDO</t>
  </si>
  <si>
    <t>CONCRETO PREMEZCLADO, CEMENTO TIPO I, LOSA ALIGERADA SOTANO f'c=245 kg/cm2</t>
  </si>
  <si>
    <t>ENCOFRADO Y DESENCOFRADO DE PRELOSA ALIGERADA</t>
  </si>
  <si>
    <t>ENCOFRADO Y DESENCOFRADO DE PRELOSA ALIGERADA DOBLE ALTURA</t>
  </si>
  <si>
    <t>SUMINISTRO DE PRELOSA ALIGERADA EN UNA DIRECCION H=20CM</t>
  </si>
  <si>
    <t>ACERO DE REFUERZO FY= 4200 kg/cm2, GRADO 60 (PUESTO EN OBRA)</t>
  </si>
  <si>
    <t>ACERO DE REFUERZO FY= 4200 kg/cm2, GRADO 60 (EMBEBIDO EN PRELOSA)</t>
  </si>
  <si>
    <t>ACERO DE REFUERZO FY= 4200 kg/cm2, GRADO 60 BASE Y DISTRIBUCIÓN (EMBEBIDO EN PRELOSA)</t>
  </si>
  <si>
    <t>PRELOSA ALIGERADA H=0.25M, UN SENTIDO</t>
  </si>
  <si>
    <t>SUMINISTRO DE PRELOSA ALIGERADA EN UNA DIRECCION H=25CM</t>
  </si>
  <si>
    <t>PRELOSA ALIGERADA H=0.25M, DOS SENTIDOS</t>
  </si>
  <si>
    <t>SUMINISTRO DE PRELOSA ALIGERADA EN DOS DIRECCIONES H=25CM</t>
  </si>
  <si>
    <t>ACERO DE REFUERZO FY= 4200 kg/cm2, GRADO 60 (COSTURA PRELOSA)</t>
  </si>
  <si>
    <t>PRE LOSA MACIZA H=0.20M</t>
  </si>
  <si>
    <t>CONCRETO PREMEZCLADO, CEMENTO TIPO I, LOSA MACIZA SOTANO f'c=245 kg/cm2</t>
  </si>
  <si>
    <t>CONCRETO PREMEZCLADO, CEMENTO TIPO I, LOSA MACIZA SOTANO f'c=245 kg/cm2 (W/C=0.50)</t>
  </si>
  <si>
    <t>ENCOFRADO Y DESENCOFRADO DE PRELOSA MACIZA</t>
  </si>
  <si>
    <t>ENCOFRADO Y DESENCOFRADO DE PRELOSA MACIZA DOBLE ALTURA</t>
  </si>
  <si>
    <t>ACERO DE REFUERZO FY= 4200 kg/cm2, GRADO 60 DE CONTINUIDAD (PUESTO EN OBRA)</t>
  </si>
  <si>
    <t>PRE LOSA MACIZA H=0.25M</t>
  </si>
  <si>
    <t>SUMINISTRO DE PRELOSA MACIZA H=25CM</t>
  </si>
  <si>
    <t>RELLENO LIVIANO EN SOTANOS (SOBRELOSA)</t>
  </si>
  <si>
    <t>CONCRETO PREMEZCLADO, CEMENTO TIPO I, SOBRELOSA, f'c=210 kg/cm2</t>
  </si>
  <si>
    <t>ENCOFRADO EN SOBRELOSA</t>
  </si>
  <si>
    <t>RELLENO DE POLIESTIRENO EXPANDIDO (10 KGR/M3)</t>
  </si>
  <si>
    <t xml:space="preserve">ESCALERA </t>
  </si>
  <si>
    <t>CONCRETO PREMEZCLADO, CEMENTO TIPO I, ESCALERAS f'c=245 kg/cm2</t>
  </si>
  <si>
    <t>ENCOFRADO Y DESENCOFRADO DE ESCALERAS</t>
  </si>
  <si>
    <t>LOSA DE PIT DE ASCENSORES</t>
  </si>
  <si>
    <t>CONCRETO PREMEZCLADO, CEMENTO TIPO I, PIT DE ASCENSOR f'c=210 kg/cm2</t>
  </si>
  <si>
    <t>TAPAS DESMONTABLES</t>
  </si>
  <si>
    <t>CONCRETO PREMEZCLADO, CEMENTO TIPO I, TABLA DESMONTABLE f'c=210 kg/cm2</t>
  </si>
  <si>
    <t>ENCOFRADO Y DESENCOFRADO DE TAPAS DESMONTABLES</t>
  </si>
  <si>
    <t>BASES DE EQUIPOS</t>
  </si>
  <si>
    <t>CONCRETO PREMEZCLADO, CEMENTO TIPO I, BASES DE EQUIPOS f'c=210 kg/cm2</t>
  </si>
  <si>
    <t>ENCOFRADO Y DESENCOFRADO DE BASES DE EQUIPOS</t>
  </si>
  <si>
    <t xml:space="preserve"> PLANCHA DE LANA DE ROCA . E= 2" NEOPRENO Y 100 KG/M3, ANCLAJES A LOSAS, TECNOPORT, OTROS</t>
  </si>
  <si>
    <t>BOLSAS DE CEMENTO PARA LUBRICACION INICIAL DE LA TUBERIA DE BOMBEO</t>
  </si>
  <si>
    <t>PREVENCIONISTA DE SC ENCOFRADOS</t>
  </si>
  <si>
    <t>PREVENCIONISTA DE SC HABILITADO E INSTALACION DE ACERO</t>
  </si>
  <si>
    <t>MOVILIZACIÓN Y DESMOVILIZACIÓN DE ENCOFRADOS</t>
  </si>
  <si>
    <t>PROCEDIMIENTO CONSTRUCTIVO</t>
  </si>
  <si>
    <t>04</t>
  </si>
  <si>
    <t>CONCRETO PREMEZCLADO, CEMENTO TIPO I, PLACAS f'c=245 kg/cm2</t>
  </si>
  <si>
    <t>CONCRETO PREMEZCLADO, CEMENTO TIPO I, PLACAS f'c=280 kg/cm2</t>
  </si>
  <si>
    <t>CONCRETO PREMEZCLADO, CEMENTO TIPO I, PLACAS f'c=420 kg/cm2</t>
  </si>
  <si>
    <t>MUROS P/ JARDINERAS - CORTES TECHO SOTANO 01</t>
  </si>
  <si>
    <t>CONCRETO PREMEZCLADO, CEMENTO TIPO I, PISCINA f'c=280 kg/cm2 (W/C=0.50).Por procedimiento constructivo</t>
  </si>
  <si>
    <t>CONCRETO PREMEZCLADO, CEMENTO TIPO I, COLUMNAS f'c=210 kg/cm2</t>
  </si>
  <si>
    <t>CONCRETO PREMEZCLADO, CEMENTO TIPO I, COLUMNAS f'c=245 kg/cm2</t>
  </si>
  <si>
    <t>VIGAS</t>
  </si>
  <si>
    <t>CONCRETO PREMEZCLADO, CEMENTO TIPO I, VIGAS TORRE f'c=245 kg/cm2</t>
  </si>
  <si>
    <t>CONCRETO PREMEZCLADO, CEMENTO TIPO I, VIGAS TORRE f'c=350 kg/cm2 (NUCLEOS)</t>
  </si>
  <si>
    <t>PRELOSA MACIZA H=0.20M</t>
  </si>
  <si>
    <t>CONCRETO PREMEZCLADO, CEMENTO TIPO I, LOSA MACIZA TORRE f'c=245 kg/cm2</t>
  </si>
  <si>
    <t>PRELOSA MACIZA H=0.25M</t>
  </si>
  <si>
    <t>CONCRETO PREMEZCLADO, CEMENTO TIPO I, LOSA ALIGERADA TORRE f'c=245 kg/cm2</t>
  </si>
  <si>
    <t>PRELOSA ALIGERADA H=0.225M, UN SENTIDO</t>
  </si>
  <si>
    <t>SUMINISTRO DE PRELOSA ALIGERADA EN UNA DIRECCION H=22.5CM</t>
  </si>
  <si>
    <t>ESCALERA</t>
  </si>
  <si>
    <t>COLUMNETAS Y VIGAS DE AMARRE</t>
  </si>
  <si>
    <t>CONCRETO PREMEZCLADO, CEMENTO TIPO I, COLUMNETAS f'c=210 kg/cm2</t>
  </si>
  <si>
    <t>ENCOFRADO Y DESENCOFRADO DE COLUMNETAS Y VIGAS DE AMARRE DOBLE ALTURA</t>
  </si>
  <si>
    <t>MURO PERIMETRAL Y PARAPETOS</t>
  </si>
  <si>
    <t>CONCRETO PREMEZCLADO, CEMENTO TIPO I, PARAPETOS f'c=210 kg/cm2</t>
  </si>
  <si>
    <t>CONCRETO PREMEZCLADO, CEMENTO TIPO I, PARAPETOS f'c=280 kg/cm2</t>
  </si>
  <si>
    <t>PISCINA</t>
  </si>
  <si>
    <t>SOBRELOSA</t>
  </si>
  <si>
    <t>ENCOFRADO Y DESENCOFRADO DE SOBRELOSA</t>
  </si>
  <si>
    <t>BANCAS</t>
  </si>
  <si>
    <t>CONCRETO PREMEZCLADO, CEMENTO TIPO I, BANCAS f'c=210 kg/cm2</t>
  </si>
  <si>
    <t>FACHADA</t>
  </si>
  <si>
    <t>ALEROS EN FACHADA</t>
  </si>
  <si>
    <t>CONCRETO PREMEZCLADO, CEMENTO TIPO I, ALERO FACHADA TORRE f'c=210 kg/cm2</t>
  </si>
  <si>
    <t>ARQUITECTURA SÓTANOS</t>
  </si>
  <si>
    <t>SAN ISIDRO</t>
  </si>
  <si>
    <t xml:space="preserve">Partidas abiertas </t>
  </si>
  <si>
    <t>PARCIAL TOTAL (PEN)</t>
  </si>
  <si>
    <t>05</t>
  </si>
  <si>
    <t>MUROS Y TABIQUES</t>
  </si>
  <si>
    <t>MUROS Y TABIQUES SILICO CALCAREOS</t>
  </si>
  <si>
    <t>ALTURA &lt; 2.60</t>
  </si>
  <si>
    <t>LADRILLO SILICO CALCAREO TIPO P7 H&lt;2.6M</t>
  </si>
  <si>
    <t>LADRILLO SILICO CALCAREO TIPO P10 H&lt;2.6M</t>
  </si>
  <si>
    <t>LADRILLO SILICO CALCAREO TIPO P12 H&lt;2.6M</t>
  </si>
  <si>
    <t>LADRILLO SILICO CALCAREO TIPO P14 H&lt;2.6M</t>
  </si>
  <si>
    <t>LADRILLO SILICO CALCAREO TIPO P20 H&lt;2.6M</t>
  </si>
  <si>
    <t>LADRILLO SILICO CALCAREO TIPO P25 H&lt;2.6M</t>
  </si>
  <si>
    <t>LADRILLO SILICO CALCAREO TIPO P30 H&lt;2.6M</t>
  </si>
  <si>
    <t>LADRILLO SILICO CALCAREO TIPO P40 H&lt;2.6M</t>
  </si>
  <si>
    <t>ALTURA &gt; 2.60</t>
  </si>
  <si>
    <t>LADRILLO SILICO CALCAREO TIPO P7 H&gt;2.6M</t>
  </si>
  <si>
    <t>LADRILLO SILICO CALCAREO TIPO P10 H&gt;2.6M</t>
  </si>
  <si>
    <t>LADRILLO SILICO CALCAREO TIPO P12 H&gt;2.6M</t>
  </si>
  <si>
    <t>LADRILLO SILICO CALCAREO TIPO P14 H&gt;2.6M</t>
  </si>
  <si>
    <t>LADRILLO SILICO CALCAREO TIPO P20 H&gt;2.6M</t>
  </si>
  <si>
    <t>LADRILLO SILICO CALCAREO TIPO P40 H&gt;2.6M</t>
  </si>
  <si>
    <t>CORTAFUEGO &lt; 2.60</t>
  </si>
  <si>
    <t>LADRILLO SILICO CALCAREO TIPO P10 RF:2 HRS H&lt;2.6M (ALVEOLOS COMPLETAMENTE LLENO)</t>
  </si>
  <si>
    <t>LADRILLO SILICO CALCAREO TIPO P12 RF:2 HRS H&lt;2.6M (ALVEOLOS PARCIALMENTE LLENO)</t>
  </si>
  <si>
    <t>LADRILLO SILICO CALCAREO TIPO P14 RF:2 HRS H&lt;2.6M (ALVEOLOS PARCIALMENTE LLENO)</t>
  </si>
  <si>
    <t>CORTAFUEGO &gt; 2.60</t>
  </si>
  <si>
    <t>LADRILLO SILICO CALCAREO TIPO P10 RF:2 HRS H&gt;2.6M (ALVEOLOS COMPLETAMENTE LLENO)</t>
  </si>
  <si>
    <t>LADRILLO SILICO CALCAREO TIPO P12 RF:2 HRS H&gt;2.6M (ALVEOLOS PARCIALMENTE LLENO)</t>
  </si>
  <si>
    <t>LADRILLO SILICO CALCAREO TIPO P14 RF:2 HRS H&gt;2.6M (ALVEOLOS PARCIALMENTE LLENO)</t>
  </si>
  <si>
    <t>LADRILLO SILICO CALCAREO TIPO P30 RF:2 HRS H&gt;2.6M (ALVEOLOS COMPLETAMENTE LLENO)</t>
  </si>
  <si>
    <t>ACERO DE REFUERZO</t>
  </si>
  <si>
    <t>ACERO DE REFUERZO FY= 4200 kg/cm2 GRADO 60 PARA TABIQUERÍA</t>
  </si>
  <si>
    <t>DINTELES</t>
  </si>
  <si>
    <t>DINTELES DE LADRILLOS SILICO CALCAREO</t>
  </si>
  <si>
    <t xml:space="preserve">DINTELES DE LADRILLO SILICO CALCAREO RF </t>
  </si>
  <si>
    <t>DINTELES DE DRYWALL (SOBRE CLOSET DE DEPOSITOS)</t>
  </si>
  <si>
    <t>TRABAJOS COMPLEMENTARIOS DE TABIQUERIA</t>
  </si>
  <si>
    <t xml:space="preserve">PASES DE MANGUERA (0.20x20M) DOBLE PLACA DE ROCA DE YESO </t>
  </si>
  <si>
    <t>PARAPETOS Y SARDINELES</t>
  </si>
  <si>
    <t>SARDINEL EN CUARTO DE ACOPIO H:0.10M (E=10CM)</t>
  </si>
  <si>
    <t>SARDINEL H:0.10M, ACABADO TER-02- SSHH</t>
  </si>
  <si>
    <t>SARDINEL EN CLOSET DE DEPOSITOS H:0.10M (E=10CM)</t>
  </si>
  <si>
    <t>REVOQUES Y ENLUCIDOS</t>
  </si>
  <si>
    <t>SOLAQUEO DE MURO PANTALLA</t>
  </si>
  <si>
    <t>SOLAQUEO EN COLUMNAS Y PLACAS</t>
  </si>
  <si>
    <t>SOLAQUEO EN COLUMNAS Y PLACAS A DOBLE ALTURA</t>
  </si>
  <si>
    <t>SOLAQUEO DE DUCTOS DE ASCENSORES</t>
  </si>
  <si>
    <t>LIMPIEZA DE DUCTOS DE VENTILACION</t>
  </si>
  <si>
    <t xml:space="preserve">SOLAQUEO DE MUROS Y PLACAS DE ESCALERA </t>
  </si>
  <si>
    <t>IMPERMEABILIZACION DE CISTERNAS</t>
  </si>
  <si>
    <t xml:space="preserve">CIELORASOS </t>
  </si>
  <si>
    <t>LIMPIEZA Y RESANE DE PRELOSAS EN SÓTANOS (INC LIMPIEZA DE TECHO DE CISTERNA Y CTO BOMBAS)</t>
  </si>
  <si>
    <t>LIMPIEZA Y RESANE DE PRELOSAS EN SÓTANOS (INC LIMPIEZA DE TECHO DE CISTERNA Y CTO BOMBAS) A DOBLE ALTURA</t>
  </si>
  <si>
    <t>SOLAQUEO DE VIGAS EN SOTANOS (EN FONDO Y COSTADO)</t>
  </si>
  <si>
    <t>SOLAQUEO DE VIGAS EN SOTANOS (EN FONDO Y COSTADO)A DOBLE ALTURA</t>
  </si>
  <si>
    <t>PISOS</t>
  </si>
  <si>
    <t xml:space="preserve">NIVELACIÓN DE PISO </t>
  </si>
  <si>
    <t>NIVELACIÓN DE PISO</t>
  </si>
  <si>
    <t>CONTRAPISO</t>
  </si>
  <si>
    <t xml:space="preserve"> CTO ACOPIO Y RECICLAJE</t>
  </si>
  <si>
    <t>CERAMICO AMERICA BLANCO 45x45CM. CELIMA</t>
  </si>
  <si>
    <t>HALL DE ASCENSORES</t>
  </si>
  <si>
    <t>PISO CEMENTO PULIDO</t>
  </si>
  <si>
    <t>VESTIBULO PREVIO Y ESCALERA</t>
  </si>
  <si>
    <t>DEPOSITOS Y CLOSETS DE ESTACIONAMIENTOS</t>
  </si>
  <si>
    <t>ESTACIONAMIENTOS VEHICULARES</t>
  </si>
  <si>
    <t>CEMENTO FROTACHADO</t>
  </si>
  <si>
    <t>RAMPAS</t>
  </si>
  <si>
    <t>PISO CEMENTO BRUÑADO</t>
  </si>
  <si>
    <t>CTO BOMBAS, CAMARA DESAGUE, CTO GRUPO ELECTROGENO, CTO ACELEROGRAFO, SUBESTACION</t>
  </si>
  <si>
    <t>ESTACIONAMIENTO DE BICICLETAS</t>
  </si>
  <si>
    <t>CISTERNA</t>
  </si>
  <si>
    <t>IMPERMEABILIZACION</t>
  </si>
  <si>
    <t>ZÓCALOS</t>
  </si>
  <si>
    <t>CONTRAZÓCALOS</t>
  </si>
  <si>
    <t>ESCLUSA, CTO BOMBAS,  CTO GRUPO ELECTROGENO, CTO ACELEROGRAFO, SUBESTACION)</t>
  </si>
  <si>
    <t>CZ DE PINTURA DE TRAFICO COLOR GRAFITO H=15CM - CUARTOS TECNICOS</t>
  </si>
  <si>
    <t>CZ DE PINTURA DE TRAFICO COLOR GRAFITO H=15CM</t>
  </si>
  <si>
    <t>CZ CIRCULACION VEHICULAR, ESTACIONAMIENTOS Y RAMPAS</t>
  </si>
  <si>
    <t>CZ DE PINTURA DE TRAFICO COLOR AMARILLO H=15CM</t>
  </si>
  <si>
    <t>CZ BOLEADO EN CEMENTO PULIDO H=10CM</t>
  </si>
  <si>
    <t>ENCHAPES ESPECIALES</t>
  </si>
  <si>
    <t>CTO ACOPIO</t>
  </si>
  <si>
    <t>ENCHAPE DE SARDINEL CUARTO DE ACOPIO (IDEM PISO - 3 CARAS POR METRO)</t>
  </si>
  <si>
    <t>REVESTIMIENTOS DE ESCALERAS</t>
  </si>
  <si>
    <t>ESCALERA DE EVACUACIÓN</t>
  </si>
  <si>
    <t>FORJADO DE DESCANSO (ESCALERA DE EVACUACION)</t>
  </si>
  <si>
    <t>FORJADO DE PASOS Y CONTRAPASOS (ESCALERA DE EVACUACION)</t>
  </si>
  <si>
    <t>ACABADO EN CEMENTO PULIDO DE DESCANSO (ESCALERA DE EVACUACION)</t>
  </si>
  <si>
    <t>ACABADO EN CEMENTO PULIDO DE PASOS Y CONTRAPASOS (ESCALERA DE EVACUACION)</t>
  </si>
  <si>
    <t>CANTONERA DE BRUÑAS (2UND) (ESCALERA DE EVACUACION)</t>
  </si>
  <si>
    <t>SOLAQUEO DE FONDO DE ESCALERA (ESCALERA DE EVACUACION)</t>
  </si>
  <si>
    <t>DERRAME EN COSTADO DE ESCALERA (ESCALERA DE EVACUACION)</t>
  </si>
  <si>
    <t>ESCALERA DE COMERCIO</t>
  </si>
  <si>
    <t>PUERTAS</t>
  </si>
  <si>
    <t xml:space="preserve">PUERTAS CORTAFUEGO </t>
  </si>
  <si>
    <t>PCF-01-(1.00x2.10) - ESCALERA EVACUACIÓN, CTO ACELEROGRAFO, CTO BOMBAS</t>
  </si>
  <si>
    <t>PCF-07-(1.00x2.10) - CTO ACOPIO</t>
  </si>
  <si>
    <t>PCF-08-(1.80x2.10) - CTO GRUPO ELECTROGENO</t>
  </si>
  <si>
    <t>PUERTAS CONTRAPLACADAS</t>
  </si>
  <si>
    <t>DEPOSITOS</t>
  </si>
  <si>
    <t>PA-06a-(0.94x2.10) - DEPOSITOS - INCLUYE 1 REJILLA INFERIORES DE 30x20cm</t>
  </si>
  <si>
    <t>PA-06b-(0.92x2.10) - DEPOSITOS - INCLUYE 1 REJILLA INFERIORES DE 30x20cm</t>
  </si>
  <si>
    <t>PA-06c-(0.90x2.10) - DEPOSITOS - INCLUYE 1 REJILLA INFERIORES DE 30x20cm</t>
  </si>
  <si>
    <t>SELLADO Y PROTECCIÓN DE PUERTAS</t>
  </si>
  <si>
    <t>SELLADO DE PUERTAS CONTRAPLACADAS</t>
  </si>
  <si>
    <t>PROTECCIÓN DE PUERTAS CORTAFUEGO (INC EN OBRAS PROVISIONALES)</t>
  </si>
  <si>
    <t>PROTECCIÓN DE PUERTAS CONTRAPLACADAS</t>
  </si>
  <si>
    <t>PUERTAS DE MELAMINE</t>
  </si>
  <si>
    <t>CL-01-(2.97x2.15)</t>
  </si>
  <si>
    <t>CL-02-(3.27x2.15)</t>
  </si>
  <si>
    <t>ESTACIONAMIENTO 36</t>
  </si>
  <si>
    <t>ESTACIONAMIENTO 68</t>
  </si>
  <si>
    <t>CL-03-(2.70x2.15)</t>
  </si>
  <si>
    <t>CL-04-(2.56x2.15)</t>
  </si>
  <si>
    <t>CL-05-(2.68x2.15)</t>
  </si>
  <si>
    <t>CL-06-(3.15x2.15)</t>
  </si>
  <si>
    <t>CL-07-(3.35x2.15)</t>
  </si>
  <si>
    <t>ESTACIONAMIENTO 30</t>
  </si>
  <si>
    <t>CL-08-(3.00x2.15)</t>
  </si>
  <si>
    <t>ESTACIONAMIENTO 27</t>
  </si>
  <si>
    <t>CL-09-(3.00x2.15)</t>
  </si>
  <si>
    <t>ESTACIONAMIENTO 04</t>
  </si>
  <si>
    <t>ESTACIONAMIENTO 03</t>
  </si>
  <si>
    <t>CL-10-(3.15x2.15)</t>
  </si>
  <si>
    <t>CL-11-(2.83x2.15)</t>
  </si>
  <si>
    <t>CL-12-(2.30x2.15)</t>
  </si>
  <si>
    <t>CL-13-(2.50x2.15)</t>
  </si>
  <si>
    <t>ESTACIONAMIENTO 31</t>
  </si>
  <si>
    <t>CL-14-(2.70x2.15)</t>
  </si>
  <si>
    <t>ESTACIONAMIENTO 26</t>
  </si>
  <si>
    <t>CL-15-(3.03x2.15)</t>
  </si>
  <si>
    <t>CL-16-(2.73x2.15)</t>
  </si>
  <si>
    <t>CL-17-(2.85x2.15)</t>
  </si>
  <si>
    <t>ESTACIONAMIENTO 22</t>
  </si>
  <si>
    <t>CL-18-(2.90x2.15)</t>
  </si>
  <si>
    <t>ESTACIONAMIENTO 21</t>
  </si>
  <si>
    <t>CL-19-(2.60x2.15)</t>
  </si>
  <si>
    <t>CL-20-(2.45x2.15)</t>
  </si>
  <si>
    <t>CL-21-(3.29x2.15)</t>
  </si>
  <si>
    <t>CL-22-(2.20x2.15)</t>
  </si>
  <si>
    <t>ESTACIONAMIENTO 19</t>
  </si>
  <si>
    <t>ESTACIONAMIENTO 02</t>
  </si>
  <si>
    <t>ESTACIONAMIENTO 01</t>
  </si>
  <si>
    <t>CL-23-(3.10x2.15)</t>
  </si>
  <si>
    <t>CL-24-(2.74x2.15)</t>
  </si>
  <si>
    <t>ESTACIONAMIENTO 17</t>
  </si>
  <si>
    <t>CL-25-(1.41x2.15)</t>
  </si>
  <si>
    <t>ESTACIONAMIENTO 47</t>
  </si>
  <si>
    <t>CL-26-(2.45x2.15)</t>
  </si>
  <si>
    <t>CL-27-(1.70x2.15)</t>
  </si>
  <si>
    <t>CL-28-(2.13x2.15)</t>
  </si>
  <si>
    <t>CERRAJERÍA Y ACCESORIOS</t>
  </si>
  <si>
    <t>CERRADURA TIPO POMO</t>
  </si>
  <si>
    <t>CARPINTERÍA METÁLICA</t>
  </si>
  <si>
    <t>TAPA METALICA DE INSPECCION EN CISTERNAS (RA-19)</t>
  </si>
  <si>
    <t>ESCALERA DE GATO DE ACCESO A CISTERNAS</t>
  </si>
  <si>
    <t>REJILLAS PARA REBOSE CISTERNAS a=30cm</t>
  </si>
  <si>
    <t>TAPA DE POZO SUMIDERO</t>
  </si>
  <si>
    <t>ESTACIONAMIENTOS DE BICICLETAS VERTICALES</t>
  </si>
  <si>
    <t>ESTACIONAMIENTOS DE BICICLETAS HORIZONTALES</t>
  </si>
  <si>
    <t>CANALETA DRENAJE A:20CM</t>
  </si>
  <si>
    <t>BARRA DE CONTENCION EN ESCALERA DE EVACUACION</t>
  </si>
  <si>
    <t>PASAMANOS DE ESCALERA DE EVACUACIÓN 1</t>
  </si>
  <si>
    <t>BARANDA METÁLICO EN ESCALERA EVACUACION 1</t>
  </si>
  <si>
    <t>PASAMANOS DE ESCALERA DE EVACUACIÓN 2</t>
  </si>
  <si>
    <t>BARANDA METÁLICO EN ESCALERA EVACUACION 2</t>
  </si>
  <si>
    <t>BARANDA METÁLICO EN ESTAC. BICICLETAS H=1.00m</t>
  </si>
  <si>
    <t>PINTURA</t>
  </si>
  <si>
    <t>MUROS</t>
  </si>
  <si>
    <t>MURO PANTALLA</t>
  </si>
  <si>
    <t>EMPASTE DE CAL+CEMENTO EN MURO PANTALLA</t>
  </si>
  <si>
    <t>EMPORRE ESPECIAL 2 MANOS CON CAL Y CEMENTO (CAL NIEVE) - CUARTOS TECNICOS SOTANO</t>
  </si>
  <si>
    <t>EMPORRE ESPECIAL 2 MANOS CON CAL Y CEMENTO (CAL NIEVE) - DEPOSITOS</t>
  </si>
  <si>
    <t>EMPORRE ESPECIAL 2 MANOS CON CAL Y CEMENTO (CAL NIEVE) - HALL SOT</t>
  </si>
  <si>
    <t>EMPORRE ESPECIAL 2 MANOS CON CAL Y CEMENTO (CAL NIEVE) - CTO ACOPIO</t>
  </si>
  <si>
    <t>EMPORRE ESPECIAL 2 MANOS CON CAL Y CEMENTO (CAL NIEVE) - ESTACIONAMIENTOS BICICLETAS</t>
  </si>
  <si>
    <t>CIELO RASO</t>
  </si>
  <si>
    <t>ESTACIONAMIENTOS, CIRC. VEHICULAR</t>
  </si>
  <si>
    <t>SINACABADO</t>
  </si>
  <si>
    <t>CTO BOMBAS, CTO GRUPO ELECTROGENO, CTO ACELEROGRAFO, SUBESTACION</t>
  </si>
  <si>
    <t>CLOSETS Y DEPOSITOS</t>
  </si>
  <si>
    <t>CTO ACOPIO Y CTO RECICLAJE</t>
  </si>
  <si>
    <t>ESCALERAS</t>
  </si>
  <si>
    <t xml:space="preserve">PINTADO CON CAL CEMENTO EN MUROS DE ESCALERA </t>
  </si>
  <si>
    <t>PINTADO CON CAL CEMENTO EN CIELO RASO DE ESCALERA</t>
  </si>
  <si>
    <t>PINTADO CON CAL CEMENTO EN FONDO DE ESCALERA</t>
  </si>
  <si>
    <t>VIGAS DE SOTANO CAL CEMENTO (NO SE CONSIDERA)</t>
  </si>
  <si>
    <t>PINTURA DE TRÁFICO</t>
  </si>
  <si>
    <t>PINTURA SEPARACION DE CAJON DE ESTACIONAMIENTO COLOR AMARILLO</t>
  </si>
  <si>
    <t>NUMERACION EN PARED PARA ESTACIONAMIENTOS BASE CELTEX NEGRO Y VINIL BLANCO TIPOGRAFÍA: BAHNSCHRIFT (ESTACIONAMIENTOS SOTANOS)</t>
  </si>
  <si>
    <t>FLECHA DIRECCIONAL DE UN SENTIDO COLOR BLANCO (ESTACIONAMIENTO SOT)</t>
  </si>
  <si>
    <t>FLECHA DIRECCIONAL DE GIRO COLOR BLANCO (ESTACIONAMIENTO SOT)</t>
  </si>
  <si>
    <t>LINEA DE PASO PEATONAL DE 1.20x0.20M COLOR AMARILLO</t>
  </si>
  <si>
    <t>PINTURA COLOR NEGRO NUMERACION DE ESTACIONAMIENTO DE BICICLETA EN MURO</t>
  </si>
  <si>
    <t>PINTURA COLOR NEGRO SEPARACION DE ESTACIONAMIENTO DE BICICLETA EN PISO</t>
  </si>
  <si>
    <t>PINTURA PARA NUMERACIÓN DE BICICLETA EN PARED</t>
  </si>
  <si>
    <t>PINTURA EN PARED "BIKE ZONE" (BICICLETARIO)</t>
  </si>
  <si>
    <t>PINTURA COLOR AMARILLO ANCHO=15CM, DOBLE FRANJA, A NIVEL DE PISO Y A ALTURA=95CM</t>
  </si>
  <si>
    <t>SEÑALIZACIÓN</t>
  </si>
  <si>
    <t>PROTECTOR DE COLUMNAS ESQUINERO MODELO DE ALTO IMPACTO 80 CM DE ALTO Y 10 CM DE LADOS</t>
  </si>
  <si>
    <t>ESPEJO CONVEXO 60 CM EXTERIOR</t>
  </si>
  <si>
    <t>TOPELLANTA DE CAUCHO 55x15x10cm</t>
  </si>
  <si>
    <t>APARATOS Y ACCESORIOS SANITARIOS</t>
  </si>
  <si>
    <t>LLAVE TREBOL ECO 1/2"</t>
  </si>
  <si>
    <t>LUMINARIAS</t>
  </si>
  <si>
    <t>L1</t>
  </si>
  <si>
    <t>L2</t>
  </si>
  <si>
    <t>L3</t>
  </si>
  <si>
    <t>L4</t>
  </si>
  <si>
    <t>L5</t>
  </si>
  <si>
    <t>SEÑALÉTICA</t>
  </si>
  <si>
    <t>SEÑAL "SALIDA DE EMERGENCIA" ILUMINADA</t>
  </si>
  <si>
    <t>SEÑAL  "SALIDA" ILUMINADA</t>
  </si>
  <si>
    <t>SEÑAL  "ESTAS PUERTAS DEBERAN PERMANECER CERRADAS DURANTE EL FUNCIONAMIENTO DEL EDIFICIO" ILUMINADA</t>
  </si>
  <si>
    <t>SEÑAL DIRECCIONAL DE RUTA DE EVACUACION - DERECHA</t>
  </si>
  <si>
    <t>SEÑAL DIRECCIONAL DE RUTA DE EVACUACION - IZQUIERDA</t>
  </si>
  <si>
    <t>SEÑAL TIPO BANDERA DIRECCIONAL DE RUTA DE EVACUACION - DERECHA</t>
  </si>
  <si>
    <t>SEÑAL TIPO BANDERA DIRECCIONAL DE RUTA DE EVACUACION - IZQUIERDA</t>
  </si>
  <si>
    <t>SEÑAL  "ZONA SEGURA"</t>
  </si>
  <si>
    <t>SEÑAL "RIESGO ELECTRICO"</t>
  </si>
  <si>
    <t>SEÑAL "NUMERO DE PISO"</t>
  </si>
  <si>
    <t>SEÑAL "ESCALERA DE EMERGENCIA EN CASO DE INCENDIO" - SUBE</t>
  </si>
  <si>
    <t>SEÑAL "ESCALERA DE EMERGENCIA EN CASO DE INCENDIO" - BAJA</t>
  </si>
  <si>
    <t>ROTULO DE RESISTENCI AL FUEGO PARA PUERTA CORTAFUEGO</t>
  </si>
  <si>
    <t>EXTINTORES</t>
  </si>
  <si>
    <t>EXTINTOR TIPO PQS 6 KILOS</t>
  </si>
  <si>
    <t>EXTINTOR TIPO CO2 15 LBS</t>
  </si>
  <si>
    <t>GABINETE PARA EXTINTORES</t>
  </si>
  <si>
    <t>PROTECTORES DE MONTANTES METÁLICOS PINTADOS NEGROS CON FRANJAS AMARILLAS</t>
  </si>
  <si>
    <t>NUMERACION EN PUERTAS DE DEPOSITOS (BASE CELTE4X Y VINIL BLANCO)</t>
  </si>
  <si>
    <t>NUMERACION EN SOTANOS DE PINTURA NEGRA EN PARED</t>
  </si>
  <si>
    <t>NUMERACION EN CUARTO DE BASURA</t>
  </si>
  <si>
    <t>06</t>
  </si>
  <si>
    <t>LADRILLO SILICO CALCAREO TIPO P25 H&gt;2.6M</t>
  </si>
  <si>
    <t>LADRILLO SILICO CALCAREO TIPO P30 H&gt;2.6M</t>
  </si>
  <si>
    <t>LADRILLO SILICO CALCAREO TIPO P7 RF:2 HRS H&lt;2.6M (ALVEOLOS COMPLETAMENTE LLENO)</t>
  </si>
  <si>
    <t>LADRILLO SILICO CALCAREO TIPO P20 RF:2 HRS H&lt;2.6M (ALVEOLOS PARCIALMENTE LLENO)</t>
  </si>
  <si>
    <t>LADRILLO SILICO CALCAREO TIPO P30 RF:2 HRS H&lt;2.6M (ALVEOLOS PARCIALMENTE LLENO)</t>
  </si>
  <si>
    <t>LADRILLO SILICO CALCAREO TIPO P35 RF:2 HRS H&lt;2.6M (ALVEOLOS PARCIALMENTE LLENO)</t>
  </si>
  <si>
    <t>LADRILLO SILICO CALCAREO TIPO P40 RF:2 HRS H&lt;2.6M (ALVEOLOS PARCIALMENTE LLENO)</t>
  </si>
  <si>
    <t>LADRILLO SILICO CALCAREO TIPO P45 RF:2 HRS H&lt;2.6M (ALVEOLOS PARCIALMENTE LLENO)</t>
  </si>
  <si>
    <t>LADRILLO SILICO CALCAREO TIPO P50 RF:2 HRS H&lt;2.6M (ALVEOLOS PARCIALMENTE LLENO)</t>
  </si>
  <si>
    <t>LADRILLO SILICO CALCAREO TIPO P7 RF:2 HRS H&gt;2.6M (ALVEOLOS COMPLETAMENTE LLENO)</t>
  </si>
  <si>
    <t>LADRILLO SILICO CALCAREO TIPO P20 RF:2 HRS H&gt;2.6M (ALVEOLOS COMPLETAMENTE LLENO)</t>
  </si>
  <si>
    <t>FORJADO DE TABLEROS</t>
  </si>
  <si>
    <t>ENCOFRADO DE TUBERIAS DE MONTANTE DE VENTILACIÓN</t>
  </si>
  <si>
    <t>PASES DE MANGUERA (0.20x0.20M)</t>
  </si>
  <si>
    <t>NICHOS PARA EXTRACTOR DE SSHH Y VESTIBULOS PREVIOS</t>
  </si>
  <si>
    <t>NICHOS PARA VALVULAS DE GAS (EN CASO DE CONSIDERARSE GAS)</t>
  </si>
  <si>
    <t>OTROS TABIQUERIA</t>
  </si>
  <si>
    <t>CASETA, ALMACEN DE HERRAMIENTAS, VESTIBULO Y BANCAS-SC TABIQUERIA</t>
  </si>
  <si>
    <t xml:space="preserve">SC PREVENCIONISTA DE RIESGO-SC TABIQUERIA </t>
  </si>
  <si>
    <t>MUROS Y TABIQUES KING KONG</t>
  </si>
  <si>
    <t>MURO DE ALBAÑILERIA KK PERIMETRO H:6.00M E:12CM</t>
  </si>
  <si>
    <t>MURO DE ALBAÑILERIA KK PERIMETRO H:6.00M E:15CM</t>
  </si>
  <si>
    <t>MURO DE ALBAÑILERIA KK E:25CM</t>
  </si>
  <si>
    <t>MURO DE ALBAÑILERIA KK BANCO MEDIDORES H:4.05M E:20CM</t>
  </si>
  <si>
    <t>MURO DE ALBAÑILERIA KK BANCO MEDIDORES H:2.30M E:30CM</t>
  </si>
  <si>
    <t>MURO DE ALBAÑILERIA KK BANCO MEDIDORES H:3.75M E:30CM</t>
  </si>
  <si>
    <t>MUROS Y TABIQUES DRYWALL</t>
  </si>
  <si>
    <t>TABIQUERIA A=0.12M - DRYWALL RF - TORRE (REGISTRO EN DUCTOS)</t>
  </si>
  <si>
    <t>DINTELES DE DRYWALL (SOBRE LAVANDERIAS)</t>
  </si>
  <si>
    <t>DINTEL DE DRYWALL ST (MONTANTES DE DUCTO)</t>
  </si>
  <si>
    <t>DINTELES DE DRYWALL (VENTANAS Y/O FACHADA)</t>
  </si>
  <si>
    <t>SOBRE MURO BAJO  ESP.: 0.10M DRYWALL RH (SSHH Y/O COCINAS)</t>
  </si>
  <si>
    <t>ESTRUCTURA TIPO MARCO PARA PUERTA METALICA DE INGRESO A ESTACIONAMIENTOS PM-02</t>
  </si>
  <si>
    <t>ESTRUCTURA DE DRYWALL PARA CERCO PERIMETRAL</t>
  </si>
  <si>
    <t>ESTRUCTURA PARA SOPORTE DE DRYWALL</t>
  </si>
  <si>
    <t>PARAPETOS EN VENTANAS (E=0.10M, H=VARIADAS)</t>
  </si>
  <si>
    <t>PARAPETO E=0.10M, H=0.40M/0.50M (JARDINERA 1P Y AZOTEA)</t>
  </si>
  <si>
    <t>PARAPETO E=0.10M, H=0.60M (JARDINERA FACHADA INTERNA)</t>
  </si>
  <si>
    <t>PARAPETO E=0.10M, H=0.90M (JARDINERA 1P Y AZOTEA)</t>
  </si>
  <si>
    <t>PARAPETO E=0.12M, H=1.89M (JARDINERA 1P)</t>
  </si>
  <si>
    <t>PARAPETO E=0.10M, H=1.20M/1.30M (AZOTEA - JARDINERA)</t>
  </si>
  <si>
    <t xml:space="preserve">PARAPETO E=0.15M, H=1.30M (AZOTEA -JARDINERA) </t>
  </si>
  <si>
    <t>SARDINELES DUCHAS (A=0.10M) , H=0.15M</t>
  </si>
  <si>
    <t>SARDINEL LAVANDERIAS H=0.10M, E=0.10M</t>
  </si>
  <si>
    <t>SARDINEL TECHO H=0.10M, E=0.10M</t>
  </si>
  <si>
    <t>SARDINEL DUCTOS TECNICOS H=0.10M, E=0.12M</t>
  </si>
  <si>
    <t xml:space="preserve">SARDINEL DUCTOS JARDINES H=0.20M, E=0.10M </t>
  </si>
  <si>
    <t>SARDINEL DUCTOS JARDINES H=0.25M, E=0.10M</t>
  </si>
  <si>
    <t xml:space="preserve">SARDINEL EN VENTANAS H:0.30M (E=10CM) </t>
  </si>
  <si>
    <t>SARDINEL DUCTOS JARDINES H=0.35M, E=0.10M</t>
  </si>
  <si>
    <t>SARDINEL DE JARDINERA h=40cm (TERRAZA P1, AREA PARRILLAS)</t>
  </si>
  <si>
    <t>SARDINEL DE JARDINERA h=45cm (TERRAZA GIMNASIO)</t>
  </si>
  <si>
    <t>SARDINEL DE JARDINERA INCLINADA h=60cm (COWORKING)</t>
  </si>
  <si>
    <t>SARDINEL DE JARDINERA h=72cm  (INGRESO)</t>
  </si>
  <si>
    <t>SARDINEL PARA BARANDA AZOTEA H=10cm (DECK PISCINA)</t>
  </si>
  <si>
    <t>MURETE PARA BARANDA AZOTEA H=30cm (FACAHDA INTERIOR)</t>
  </si>
  <si>
    <t>MURETE PARA BARANDA AZOTEA H=40cm (FACHADA EXTERIOR)</t>
  </si>
  <si>
    <t>ESTRUCTURAS DE CONCRETO (TABLEROS, BANCAS)</t>
  </si>
  <si>
    <t>MESON DE CONCRETO A=60cm (PET SPA)</t>
  </si>
  <si>
    <t>GRADAS 2UND PARA ACCESO MASCOTAS A=45CM, L=66cm (PET SPA)</t>
  </si>
  <si>
    <t>LAVADERO/DUCHA PARA MASCOTAS H=80cm, A=55cm (PET SPA)</t>
  </si>
  <si>
    <t>BANQUETA A=40CM (COW0RKING)</t>
  </si>
  <si>
    <t>BANQUETA A=45CM, MURO SOPORTE H=95CM (TERRAZA COW0RKING)</t>
  </si>
  <si>
    <t>BANCA DE COCNRETO A=70cm (TERRAZA GIMNASIO)</t>
  </si>
  <si>
    <t>BANCA DE COCNRETO A=54cm, (PARRILLAS, TERRAZA P1)</t>
  </si>
  <si>
    <t>GRADAS HACIA JARDIN (TERRAZA SALA NIÑOS, TERRAZA HALL P2)</t>
  </si>
  <si>
    <t>MESON PARA PARRILLAS EN VOLADIZO EN "L" A=60CM, H=30CM ACABADO EN CEMENTO PULIDO</t>
  </si>
  <si>
    <t xml:space="preserve">MESON PARA ISLA EN ZONA DE PARRILLAS EN "T" A=60CM, H=85CM </t>
  </si>
  <si>
    <t>POYO DEBAJO DE MUEBEL DE PARRILLAS e=5cm, A=50CM</t>
  </si>
  <si>
    <t>BANQUETA A=60CM, MURO SOPORTE H=75CM (TERRAZA SALON GORUMET)</t>
  </si>
  <si>
    <t>MURETE H=72cm a=30cm PARA REGULADORES DE GAS</t>
  </si>
  <si>
    <t>TOTEM PARA  INTERCOMUNICADOR Y MEDIDOR GAS</t>
  </si>
  <si>
    <t>REVOQUES Y ENLUCIDOS EN INTERIORES</t>
  </si>
  <si>
    <t>INTERIORES (DPTO) Y AREAS COMUNES</t>
  </si>
  <si>
    <t xml:space="preserve">SOLAQUEO EN MUROS POSTERIORMENTE A PINTAR </t>
  </si>
  <si>
    <t>SOLAQUEO EN MUROS DONDE SE COLOCARA PAPEL MURAL Y ENCHAPES. Costos por: 1. resanes de IIEE e IISS posteriores a la ejeución del muro (% de trabajos históricos que siempre se dan en obra); 2. Muros con demasiadas IISS e IIEE que se tenga que reemplazar con un vaciado de concreto 3. Vanos de ventanas altas o areas de vigas trasnversales menores a 0.5 m2 no se descuentan del área del muro metrado)</t>
  </si>
  <si>
    <t>SOLAQUEO EN AREAS COMUNES . Costos por: 1. resanes de IIEE e IISS posteriores a la ejeución del muro (% de trabajos históricos que siempre se dan en obra); 2. Muros con demasiadas IISS e IIEE que se tenga que reemplazar con un vaciado de concreto 3. Vanos de ventanas altas o areas de vigas trasnversales menores a 0.5 m2 no se descuentan del área del muro metrado)</t>
  </si>
  <si>
    <t>TARRAJEO DE MUROS LADRILLO KK</t>
  </si>
  <si>
    <t>TARRAJEO DE COLUMNAS Y PLACAS</t>
  </si>
  <si>
    <t>TARRAJEO DE MUROS DE BALCONES DE FACHADA EXTERIOR</t>
  </si>
  <si>
    <t>VESTIDURA DE DERRAMES EN VANOS</t>
  </si>
  <si>
    <t>IMPERMEABILIZACIONES</t>
  </si>
  <si>
    <t>IMPERMEABILIZACION DE PISO DE DUCHAS</t>
  </si>
  <si>
    <t xml:space="preserve">IMPERMEABILIZACION DE PARED DE DUCHAS (H=0.30M) </t>
  </si>
  <si>
    <t>PISO PULIDO DE SUPERFICIE PARA IMPERMEABILIZAR - JARDINERAS</t>
  </si>
  <si>
    <t>ACABADO DE PAREDES DE JARDINERAS</t>
  </si>
  <si>
    <t>BOLEADO DE ARISTAS EN JARDINERAS</t>
  </si>
  <si>
    <t>CONTRAPISO PARA PISO DE JARDINERAS</t>
  </si>
  <si>
    <t>IMPERMEABILIZACION DE PISCINA (INC. CUARTO MAQUINA PISCINA)</t>
  </si>
  <si>
    <t>IMPERMEABILIZACION PISO JARDINERAS</t>
  </si>
  <si>
    <t>IMPERMEABILIZACION PARED JARDINERAS</t>
  </si>
  <si>
    <t>REVOQUES Y ENLUCIDOS EN FACHADA</t>
  </si>
  <si>
    <t>FACHADA // EXTERIORES</t>
  </si>
  <si>
    <t>TARRAJEO EN MUROS EXTERIORES</t>
  </si>
  <si>
    <t>PINTURA POR DEFINIR EN FACHADA EXTERIOR (PISO 1,2 , MURETE AZOTEA Y ALERO)</t>
  </si>
  <si>
    <t>ACABADO POR DEFINIR EN FACHADA (DE PISO 3a25- ASEMEJA UN ENCHAPE). SE CONSIDERA PINTURA</t>
  </si>
  <si>
    <t>PINTURA POR DEFINIR EN BORDE DE ALERO</t>
  </si>
  <si>
    <t>DERRAME DE FRISO DE ALERO EN FACAHDA PRINCIPAL</t>
  </si>
  <si>
    <t>FACHADA // INTERIORES</t>
  </si>
  <si>
    <t>TARRAJEO EN FACHADA INTERNA</t>
  </si>
  <si>
    <t>TARRAJEO EN FACHADA DE AZOTEA</t>
  </si>
  <si>
    <t>TARRAJEADO DE CERCO PERIMETRAL</t>
  </si>
  <si>
    <t>EMPASTADO Y PINTADO 02 MANOS COLOR GRIS OSCURO (1)</t>
  </si>
  <si>
    <t>EMPASTADO Y PINTADO 02 MANOS COLOR GRIS OSCURO (2)</t>
  </si>
  <si>
    <t>CAL Y CEMEMTNO 2 MANOS (CAL NIEVE) EMPORRE ESPECIAL EN FACHADA INTERNA</t>
  </si>
  <si>
    <t xml:space="preserve">PINTURA FACHADA TERRACOTA COLOR AP143-4 TERRACOTTA. </t>
  </si>
  <si>
    <t>MICROCEMENTO  COLOR AP53-6. MATURE GREY. PATONE - AZOTEA</t>
  </si>
  <si>
    <t>MICROCEMENTO GRIS COLOR  STONE IVORY AZOTEA</t>
  </si>
  <si>
    <t>ACABADO CONCRETO EXPUESTO NATURAL BRUÑADO  EN CERCO</t>
  </si>
  <si>
    <t xml:space="preserve">FACHADA CIEGA </t>
  </si>
  <si>
    <t>ACABADO SOLAQUEADO EN FACHADA CIEGA</t>
  </si>
  <si>
    <t>PINTADO CON CAL CEMENTO EN FACHADA EXTERIOR</t>
  </si>
  <si>
    <t>ANDAMIOS PARA TRABAJOS EN FACHADA</t>
  </si>
  <si>
    <t>ANDAMIO PARA TRABAJOS DE TARRAJEO, SOLAQUEO Y LIMPIEZA DE FACHADA EXTERIORES, INTERIORES Y CIEGAS</t>
  </si>
  <si>
    <t xml:space="preserve">ANDAMIO PARA MICROCEMENTO </t>
  </si>
  <si>
    <t>CIELORASOS</t>
  </si>
  <si>
    <t>LIMPIEZA Y RESANE DE PRELOSAS + SELLADO DE JUNTAS</t>
  </si>
  <si>
    <t>TARRAJEO DE VIGAS EN TORRE (EN FONDO Y COSTADO)</t>
  </si>
  <si>
    <t>TARRAJEO DE VIGAS EN TORRE (EN FONDO Y COSTADO) A DOBLE ALTURA</t>
  </si>
  <si>
    <t>TARRAJEO DE CIELO RASOS EN BALCON DE FACHADA INTERIOR</t>
  </si>
  <si>
    <t>FALSOS CIELOS Y COBERTURAS</t>
  </si>
  <si>
    <t>FALSO CIELO RASO RANUDADO PLANCHA ST A DOBLE ALTURA LOBBY</t>
  </si>
  <si>
    <t>FALSO CIELO RASO DE DRYWALL ST</t>
  </si>
  <si>
    <t>FALSO CIELO RASO DE DRYWALL RH (SSHH)</t>
  </si>
  <si>
    <t>FALSO CIELO RASO PLANCHA ST (INTERIOR), FIBROCEMENTO (EXTERIOR) a=30cm (EN DORM, SALA Y BALCON HACIA FACHADA)</t>
  </si>
  <si>
    <t>FIBRABLOCK 2" PARA CUBIERTA METÁLICA</t>
  </si>
  <si>
    <t>CERAMICO BLANCO EN TECHOS DE AREAS DE MANTENIMINETO (AZOTEA) - ANTERIORMENTE LADRILLO PASTELERO</t>
  </si>
  <si>
    <t>COBERTURA DE LADRILLO PASTELERO (PLANTA DE TECHOS)</t>
  </si>
  <si>
    <t>LADRILLO PASTELERO ALEROS (SE CAMBIA POR EL CERAMICO GALA COTO PLATA 46 X 46)</t>
  </si>
  <si>
    <t>BORDE DE LADRILLO PASTELERO EN MURO</t>
  </si>
  <si>
    <t>CARPINTERIA DE MADERA</t>
  </si>
  <si>
    <t>SOL Y SOMBRA EN PARRRILLA 4</t>
  </si>
  <si>
    <t>SOL Y SOMBRA EN PISCINAS</t>
  </si>
  <si>
    <t>DEPARTAMENTOS</t>
  </si>
  <si>
    <t>SALA COMEDOR / DORMITORIO / ESTUDIO (PISO LAMINADO 8mm. SE REEMPLAZA POR PISO SPC)</t>
  </si>
  <si>
    <t>OK</t>
  </si>
  <si>
    <t>Piso vinílico Escuadra tipo SPC</t>
  </si>
  <si>
    <t>BAÑO PRINCIPAL Y SECUNDARIO</t>
  </si>
  <si>
    <t xml:space="preserve">CERÁMICO CELIMA CEMENTO GRIS PLATA B2B 45X45CM </t>
  </si>
  <si>
    <t>KITCHENETTE (CERÁMICO CELIMA MOLLE BLANCO 20X60CM (COCINAS). SE REEMPLAZA POR PISO SPC)</t>
  </si>
  <si>
    <t>CENTRO DE LAVADO</t>
  </si>
  <si>
    <t>BALCON Y TERRAZA</t>
  </si>
  <si>
    <t>CERAMICO GALA COTO PLATA 46 X 46</t>
  </si>
  <si>
    <t>PISOS LOCALES COMERCILES</t>
  </si>
  <si>
    <t>PASILLOS</t>
  </si>
  <si>
    <t>LOCAL COMERCIAL</t>
  </si>
  <si>
    <t>CONTRAPISO - LOCAL COMERCIAL</t>
  </si>
  <si>
    <t>BAÑOS</t>
  </si>
  <si>
    <t>CERAMICO BOSTON GRAFITO 60x60CM. SAN LORENZO</t>
  </si>
  <si>
    <t xml:space="preserve">ÁREAS COMUNES </t>
  </si>
  <si>
    <t>ÁREAS COMUNES</t>
  </si>
  <si>
    <t>PISOS DE CEMENTO</t>
  </si>
  <si>
    <t>PISO DE CEMENTO FROTACHADO EN INGRESO VEHICULAR Y BAHIA ESTACIONAMIENTO</t>
  </si>
  <si>
    <t>PISO CEMENTO PULIDO EN CUARTOS TECNICOS, DEPOSITO AZ, ACCESO A TECHO</t>
  </si>
  <si>
    <t>PISO CEMENTO PULIDO BRUÑADO 1.20x0.60m EN CUARTOS ACELEROGRAFO, CUARTO MEDIDORES</t>
  </si>
  <si>
    <t>PISO CEMENTO PULIDO - ESCALERAS Y VESTIBULO PREVIO TORRE</t>
  </si>
  <si>
    <t>PISOS DE CERAMICO</t>
  </si>
  <si>
    <t>PORCELANATO ESMLATADO TEMPO ASH PULIDO 0.75 X 1.50m - HALL ASCENSORES PISO 1, CUSTODIA, LOBBY, SALON GOURMET</t>
  </si>
  <si>
    <t>CERAMICO CELIMA CEMENTO GRIS 60X60CM  - HALL ASCENSORES PISO 2a25</t>
  </si>
  <si>
    <t>CERAMICO SAN LORENZO BOSTON GRAFITO 60X60CM  - HALL ASCENSORES AZOTEA</t>
  </si>
  <si>
    <t>CERAMICO SAN LORENZO BOSTON GRAFITO 60X60CM  - ADMINISTRACION, KITCHENETTE ADMINISTRACION</t>
  </si>
  <si>
    <t>PORCELANATO ESMLATADO TEMPO ASH PULIDO 0.75 X 1.50m - SH LOBBY</t>
  </si>
  <si>
    <t>CERAMICO SAN LORENZO BOSTON GRAFITO 60X60CM  - SH COMUNES</t>
  </si>
  <si>
    <t>PORCELANATO NATURALIA GRIGIO 0,60x1,20m. MARCA MARAZZI - LAVANDERIA</t>
  </si>
  <si>
    <t>PORCELANATO NATURALIA BIANCO 0,60x1,20m. MARCA MARAZZI  - LAVANDERIA</t>
  </si>
  <si>
    <t xml:space="preserve">PORCELANATO STONE SILVER 60x60cm COD: ISTONPP1ZKL. </t>
  </si>
  <si>
    <t>PORCELANATO ESMLATADO OAKLAND BEIGE - PET SPA</t>
  </si>
  <si>
    <t>PORCELANATO ESMALTADO OAKLAND BEIGE 0.192x1.20m- TERRAZA GIMNASIO, PISCINA</t>
  </si>
  <si>
    <t>CERAMICO 1900 ROJIZO G.227. MARCA VIVES - TERRAZA PISCINA</t>
  </si>
  <si>
    <t>PORCELANATO STONE IVORY 60x60cm - PARRILLAS</t>
  </si>
  <si>
    <t>PORCELANATO ANTIDSLIZANTE ITPO MADERA 20x120 MARCA POR DEFINIR ( TERRAZA P1, TERRAZA HALL P2, TERRAZA SALA NIÑOS)</t>
  </si>
  <si>
    <t>LVT MODELO STONE LIGHT GREY NCI-26057. MARCA ECOCLIK. PROVEEDOR GECKO - COWORKING. SE REEMPLAZA A PISO SPC</t>
  </si>
  <si>
    <t>LVT MODELO STONE GREY NCI-26067. MARCA ECOCLIK. PROVEEDOR GECKO - COWORKING. SE REEMPLAZA A PISO SPC</t>
  </si>
  <si>
    <t>LVT ANTIQUE OAK  NCP-40418. MARCA ECOCLICK - SALA NIÑOS. SE REEMPLAZA A PISO SPC</t>
  </si>
  <si>
    <t>LVT CENTURY OAK NATURAL NCP 45404 MARCA ECOCLICK. SE REEMPLAZA A PISO SPC
 (GIMNASIO)</t>
  </si>
  <si>
    <t>LVT MODELO HICKORY GOLDEN NCP-31219. MARCA ECOCLICK. - SALA CINE. SE REEMPLAZA A PISO SPC</t>
  </si>
  <si>
    <t>PISO CAUCHO EN ROLLO MODELO UPFLEX RL COLOR NEGRO (GIMNASIO)</t>
  </si>
  <si>
    <t>PIEDRA TALAMOYE 20x20 - INGRESO EXTERIOR</t>
  </si>
  <si>
    <t>GRASS SINTETITCO (SALA DE NIÑOS)</t>
  </si>
  <si>
    <t>TAPAJUNTAS</t>
  </si>
  <si>
    <t>TAPAJUNTA T DE ALUMINIO</t>
  </si>
  <si>
    <t xml:space="preserve">TAPAJUNTA T DE MDF </t>
  </si>
  <si>
    <t>TAPAJUNTA T DE MAMPARA</t>
  </si>
  <si>
    <t xml:space="preserve">PERFIL DE GRADA PISOPAK PVC NEGRO SÓLIDO 6.5CM X 1.2M X 3.5MM (SALA CINE)
</t>
  </si>
  <si>
    <t>CERAMICO CERABOL ESMALTADO SARA PERLA BRILLO 29.9X60.1CM - (PARED DUCHA SH PRINC, SECUND)</t>
  </si>
  <si>
    <t xml:space="preserve">KITCHENETTE </t>
  </si>
  <si>
    <t>CERÁMICO SAN LORENZO BERLÍN WHITE 30X60CM - (COCINA)</t>
  </si>
  <si>
    <t>LAVANDERIA</t>
  </si>
  <si>
    <t>CERAMICO CEMENTO BLANCO B2B 45x45CM. CELIMA</t>
  </si>
  <si>
    <t>CERAMICO ABSOLUT BLANCO BRILLANTE 30x60CM. CELIMA</t>
  </si>
  <si>
    <t>ZOCALOS DE CERAMICO</t>
  </si>
  <si>
    <t>CERAMICO CELIMA BLANCO KALI BRILLANTE 27X45CM - KITCHENETTE ADMINISTRACION</t>
  </si>
  <si>
    <t>CERÁMICO CELIMA ABSOLUT BLANCO BRILLANTE 30X60CM - SH LOBBY</t>
  </si>
  <si>
    <t>CERÁMICO CELIMA ABSOLUT BLANCO BRILLANTE 30X60CM - SH COMUNES</t>
  </si>
  <si>
    <t>CERÁMICO BRICK WHITE BRILLO 10.7x27cm (PET SPA)</t>
  </si>
  <si>
    <t>VINIL TIPO MADERA MODELO OAK WD115. MARCA INFEEL.  - LOBBY</t>
  </si>
  <si>
    <t>VINIL TIPO MADERA MODELO ANIGRE WD 307. MARCA INFEEL.  - COWORKING</t>
  </si>
  <si>
    <t>VINIL TIPO MADERA MODELO OAK WD115. MARCA INFEEL - SALA NIÑOS</t>
  </si>
  <si>
    <t>VINIL TIPO MADERA MODELO TEAK WD720. MARCA INFEEL</t>
  </si>
  <si>
    <t>VINIL TIPO MADERA MODELO OAK WD114. MARCA INFEEL - GIMNASIO</t>
  </si>
  <si>
    <t>VINIL TIPO MADERA MODELO ACACIA WD 049. MARCA INFEEL. - CINE</t>
  </si>
  <si>
    <t>AREA COMUN</t>
  </si>
  <si>
    <t>PORCELANATO NO ESMALTADO SUPER BLACK NEGRO 60 X 60 A=60CM</t>
  </si>
  <si>
    <t>CERÁMICO WHITE BRILLO 10.7 X 27 - FRISO DE MESON DE CONCRETO PET SPA</t>
  </si>
  <si>
    <t>CERÁMICO BRICK WHITE BRILLO 10.7x27cm - LAVADERO/DUCHA DE MASCOTAS PET SPA</t>
  </si>
  <si>
    <t>PORCELANATO NO ESMALTADO SUPER BLACK NEGRO 60x60cm - FRISO DE LAVADERO/DUCHA DE MASCOTAS PET SPA</t>
  </si>
  <si>
    <t>CERÁMICO BRICK WHITE BRILLO 10.7x27cm H=30CM - ENCHAPE DE CONTRAPASO GRADAS PET SPA</t>
  </si>
  <si>
    <t>PORCELANATO NO ESMALTADO SUPER BLACK NEGRO 60x60cm A=45CM - ENCHAPE DE PASO GRADAS PET SPA</t>
  </si>
  <si>
    <t>ENCHAPE DE PORCELANATO ESMALTADO OAKLAND BEIGE EN BANCA A=70cm - TERRAZA GIMNASIO</t>
  </si>
  <si>
    <t>PORCELANATO ESMALTADO OAKLAND BEIGE .192x1.20m A=50CM EN POYO DEBAJO DE MUEBLE (PARRILLAS)</t>
  </si>
  <si>
    <t>MEMBRANA PVC PREVIA MUESTRA PROVEEDOR: AQUAZUL (PISCINA)</t>
  </si>
  <si>
    <t>LADRILLO REFRACTARIO EN PARRILLAS</t>
  </si>
  <si>
    <t>ENCHAPE DE ZOCALO DE LAVADERO DE BAÑO PRINCIPAL Y SECUNDARIO CERAMICO BLANCO BRILLANTE 30x60cm h=20cm</t>
  </si>
  <si>
    <t>m</t>
  </si>
  <si>
    <t>ENCHAPE DE PIEDRA TALAMOYE 20x20cm EN JARDINERAS</t>
  </si>
  <si>
    <t>ENCHAPE DE SARDINEL BAÑOS PRINCIPALES (IDEM PISO - 3 CARAS POR METRO)</t>
  </si>
  <si>
    <t>SALA, COMEDOR, PASILLO, DORMITORIOS</t>
  </si>
  <si>
    <t>CONTRAZOCALO MDF, MISMO COLOR QUE EL PISO, H=9.0CM</t>
  </si>
  <si>
    <t xml:space="preserve">CONTRAZOCALO CERÁMICO CELIMA CEMENTO GRIS PLATA B2B 45X45CM </t>
  </si>
  <si>
    <t>KITCHENETTE</t>
  </si>
  <si>
    <t>CONTRAZOCALO DE ALUMINIO  H=9CM</t>
  </si>
  <si>
    <t>LAVANDERIA Y CLOSETS DE LAVADO</t>
  </si>
  <si>
    <t>BALCONES</t>
  </si>
  <si>
    <t>CONTRAZOCALO CERAMICO GALA COTO PLATA 46 X 46</t>
  </si>
  <si>
    <t>PINTURA DE TRAFICO COLOR GRAFITO  H=15CM EN HALL ASCENSORES Y PASILLO COMERCIO PISO 1</t>
  </si>
  <si>
    <t>SIN CZ</t>
  </si>
  <si>
    <t>CONTRAZOCALO CERAMICO BOSTON GRAFITO 60x60CM. SAN LORENZO</t>
  </si>
  <si>
    <t>AREAS COMUNES</t>
  </si>
  <si>
    <t>CONTRAZOCALOS DE CERAMICO</t>
  </si>
  <si>
    <t>CZ DE PORCELANATO ESMLATADO TEMPO ASH PULIDO 0.75 X 1.50m H=10CM - HALL ASCENSORES PISO 1, CUSTODIA</t>
  </si>
  <si>
    <t>HALL ASCENSORES AZOTEA</t>
  </si>
  <si>
    <t>SH LOBBY</t>
  </si>
  <si>
    <t xml:space="preserve">CZ DE PORCELANATO ESMLATADO TEMPO ASH PULIDO 0.75 X 1.50m H=10cm </t>
  </si>
  <si>
    <t>SH COMUNES</t>
  </si>
  <si>
    <t>CZ DE PORCELANATO NO ESMALTADO SUPER BLACK NEGRO 60x60cm H=7cm</t>
  </si>
  <si>
    <t>PET SPA, PARRILLAS</t>
  </si>
  <si>
    <t>CZ POR DEFINIR - TERRAZA GIMNASIO</t>
  </si>
  <si>
    <t>CONTRAZOCALO POR DEFINIR - TERRAZA HALL P1 Y TERRAZA SALA NIÑOS</t>
  </si>
  <si>
    <t>CZ POR DEFINIR EN CUARTOS TECNICOS, DEPOSITO AZ, ACCESO A TECHO</t>
  </si>
  <si>
    <t>PINTURA DE TRAFICO COLOR GRAFITO H010CM - EN CUARTOS ACELEROGRAFO, CUARTO MEDIDORES</t>
  </si>
  <si>
    <t>CZ DE PINTURA DE TRAFICO COLOR GRAFITO H=15CM - ESCALERAS Y VESTIBULO PREVIO TORRE</t>
  </si>
  <si>
    <t>CZ DE ALUMINIO H=10CM  - HALL ASCENSORES PISO 2a25</t>
  </si>
  <si>
    <t>CZ DE ALUMINIO H=10CM  - ADMINISTRACION, KITCHENETTE ADMINISTRACION</t>
  </si>
  <si>
    <t>CONTRAZOCALO EPS 5CM MARCA SANTA LUZIA. PROVEEDOR: GECKO - LOBBY, HALL ASCESNORES PISO 1</t>
  </si>
  <si>
    <t>CONTRAZOCALO EPS/ MARCA SANTA LUZIA/ COD. NEGRO - FOOTER 3547 / E: 16MM / FORMATO: 0.10 X 0.24M - COWORKING</t>
  </si>
  <si>
    <t>CONTRAZOCALO EPS 5CM MARCA SANTA LUZIA. PROVEEDOR: GECKO - GIMNASIO</t>
  </si>
  <si>
    <t>ZÓCALO DE MDF PINTADO COLOR ROCK AND ROLL R750.</t>
  </si>
  <si>
    <t>CZ PIEDRA TALAMOYE H=20CM</t>
  </si>
  <si>
    <t>SISTEMA ACUSTICO</t>
  </si>
  <si>
    <t>CONTRAPISO   (AZOTEA)</t>
  </si>
  <si>
    <t xml:space="preserve">LAMINA ANTRACITA </t>
  </si>
  <si>
    <t>CINTA MAXTAPE</t>
  </si>
  <si>
    <t>COLOCACION DE LAMINA ANTRACITA, MAXTAPE</t>
  </si>
  <si>
    <t>ESCALERA DE EMERGENCIA (2 UND)</t>
  </si>
  <si>
    <t>REVESTIMIENTO DE GRADAS DE ACCESO A DECK PISCINA</t>
  </si>
  <si>
    <t>FORJADO DE PASOS Y CONTRAPASOS</t>
  </si>
  <si>
    <t>SOLAQUEO DE FONDO DE ESCALERA</t>
  </si>
  <si>
    <t>DERRAME EN COSTADO DE ESCALERA</t>
  </si>
  <si>
    <t>REVESTIMIENTO DE GRADAS DE TERRAZA PISO 2</t>
  </si>
  <si>
    <t>ACABADO EN "TERRAZO NERGO" DE PASOS Y CONTRAPASOS</t>
  </si>
  <si>
    <t>PCF-01-(1.00x2.10) - VESTIBULO PREVIO PISO 2aAZ</t>
  </si>
  <si>
    <t>PCF-02-(1.00x2.10) - ESCALERA DE EVACUACIÓN PISO 2a AZ</t>
  </si>
  <si>
    <t>PCF-03-(1.00x2.10) - ESCALERA DE EVACUCACION PISO 1</t>
  </si>
  <si>
    <t>PCF-04-(0.90x2.10)  ADMINISTRACION, KITCHENETE ADM</t>
  </si>
  <si>
    <t>PCF-05-(0.80x2.10) - CTO TECNICO, SH LOBBY 1 y 2</t>
  </si>
  <si>
    <t>PCF-06-(0.80x2.10) - CUSTODIA  - INCLUYE 1 REJILLA INFERIORES DE 30x20cm</t>
  </si>
  <si>
    <t>PCF-09-(1.20x2.00) - CLOSET TABLERO PISO 1</t>
  </si>
  <si>
    <t>PCF-10-(1.09x2.00) - DUCTO GAS -  - INCLUYE 1 REJILLA INFERIORES DE 30x20cm</t>
  </si>
  <si>
    <t>P-01a-(0.95x2.10) - INGRESO A DPTOS</t>
  </si>
  <si>
    <t>P-01b-(0.94x2.10) - INGRESO A DPTOS</t>
  </si>
  <si>
    <t>P-01c-(0.92x2.10) - INGRESO A DPTOS</t>
  </si>
  <si>
    <t>P-02a-(0.85x2.10) - DORMITORIOS</t>
  </si>
  <si>
    <t>P-02b-(0.84x2.10) - DORMITORIOS</t>
  </si>
  <si>
    <t>P-02c-(0.82x2.10) - DORMITORIOS</t>
  </si>
  <si>
    <t>P-03a-(0.75x2.10) - BAÑOS</t>
  </si>
  <si>
    <t>P-03b-(0.74x2.10) - BAÑOS</t>
  </si>
  <si>
    <t>P-03c-(0.72x2.10) - BAÑOS</t>
  </si>
  <si>
    <t>PA-01a-(0.84x2.10) - SH MUJERES LOCACL COMERCIAL 1, SH EMPLEADOS LOCACL COMERCIAL 3, SH HOMBRES Y MUJERES AZOTEA</t>
  </si>
  <si>
    <t>PA-01b-(0.82x2.10) - SH EMPLEADOS LOCAL COMERCIAL 1 Y 2</t>
  </si>
  <si>
    <t>PA-02-(0.94x2.10) - SH HOMBRES LOCAL COMERCIAL 1 , SH MIXTO LOCAL COMERCIAL 2,3,4, SH DISCAPACITADOS AZOTEA</t>
  </si>
  <si>
    <t>PA-03-(0.94x2.10) - SH COWORKING, GIMNASIO, DEPOSITOS GIMNASIO</t>
  </si>
  <si>
    <t>PA-04-(1.04x2.10) - CTO ACELEROGRAFO - INCLUYE 1 REJILLA INFERIORES DE 30x20cm</t>
  </si>
  <si>
    <t>PA-05-(1.04x2.10) - SALA CINE</t>
  </si>
  <si>
    <t>PA-10-(0.72x2.10) - SH SALA NIÑOS</t>
  </si>
  <si>
    <t>PA-13-(0.84x2.10) - DEPOSITO - INCLUYE 1 REJILLA INFERIORES DE 30x20cm</t>
  </si>
  <si>
    <t>PROTECCION DE PUERTAS CORTAFUEGO (INC EN OBRAS PROVISIONALES)</t>
  </si>
  <si>
    <t>PROTECCION DE PUERTAS CONTRAPLACADAS</t>
  </si>
  <si>
    <t>PREMARCOS</t>
  </si>
  <si>
    <t>PUERTAS MELAMINE E=18MM</t>
  </si>
  <si>
    <t>LAVANDERIAS</t>
  </si>
  <si>
    <t>P-04-(0.80x2.10) - INCLUYE 2 REJILLAS INFERIORES DE 25x15cm</t>
  </si>
  <si>
    <t>P-05-(1.50x2.00) - INCLUYE 4 REJILLAS INFERIORES DE 25x15cm</t>
  </si>
  <si>
    <t>P-06-(1.50x2.00) - INCLUYE 4 REJILLAS INFERIORES DE 25x15cm</t>
  </si>
  <si>
    <t>P-07-(1.67x2.00) - INCLUYE 4 REJILLAS INFERIORES DE 25x15cm</t>
  </si>
  <si>
    <t>DUCTOS</t>
  </si>
  <si>
    <t>PA-07-(1.27x2.00) - DUCTO IISS PISO 2 A 25</t>
  </si>
  <si>
    <t>PA-08-(1.20x2.00) - DUCTO IISS AZ</t>
  </si>
  <si>
    <t>PA-09-(1.13x2.00)- DUCTO GAS PISO 2 A AZ</t>
  </si>
  <si>
    <t>PA-11-(1.50x2.00) - ACCESO A TECHO</t>
  </si>
  <si>
    <t>PA-12-(0.91x2.00) - ACCESO A TECHO</t>
  </si>
  <si>
    <t>CERRADURA DE EMBUTIR DE 02 GOLPES, CON MANIJA INTERIOR Y EXTERIOR DE ACERO INOXIDABLE O SIMILAR (PUERTAS PRINCIPALES DE DPTOS)</t>
  </si>
  <si>
    <t>CERRADURA DE ACERO INOXIDABLE TIPO POMO CON SEGURO INTERIOR Y LLAVE EXTERIOR. (PUERTAS DE DORMITORIOS Y AREAS COMUNES)</t>
  </si>
  <si>
    <t>CERRADURA DE ACERO INOXIDABLE TIPO POMO CON SEGURO INTERIOR Y RANURA DE EMERGENCIA EXTERIOR. (PUERTAS DE BAÑOS DPTOS)</t>
  </si>
  <si>
    <t>MUEBLES DE COCINA</t>
  </si>
  <si>
    <t>KITCHENETTE DPTO 201</t>
  </si>
  <si>
    <t>KITCHENETTE DPTO 202</t>
  </si>
  <si>
    <t>KITCHENETTE DPTO 203</t>
  </si>
  <si>
    <t>KITCHENETTE DPTO 204</t>
  </si>
  <si>
    <t>KITCHENETTE DPTO 205</t>
  </si>
  <si>
    <t>KITCHENETTE DPTO 206</t>
  </si>
  <si>
    <t>KITCHENETTE DPTO 207</t>
  </si>
  <si>
    <t>KITCHENETTE DPTO X01</t>
  </si>
  <si>
    <t>KITCHENETTE DPTO X02</t>
  </si>
  <si>
    <t>KITCHENETTE DPTO X03</t>
  </si>
  <si>
    <t>KITCHENETTE DPTO X04</t>
  </si>
  <si>
    <t>KITCHENETTE DPTO X05</t>
  </si>
  <si>
    <t>KITCHENETTE DPTO X06</t>
  </si>
  <si>
    <t>KITCHENETTE DPTO X07</t>
  </si>
  <si>
    <t>KITCHENETTE DPTO X08</t>
  </si>
  <si>
    <t>KITCHENETTE DPTO X09</t>
  </si>
  <si>
    <t>KITCHENETTE DPTO X10</t>
  </si>
  <si>
    <t>CLOSETS Y VESTIDORES</t>
  </si>
  <si>
    <t>CLOSET-1</t>
  </si>
  <si>
    <t>CLOSET-2</t>
  </si>
  <si>
    <t>CLOSET-3</t>
  </si>
  <si>
    <t>CLOSET-4</t>
  </si>
  <si>
    <t>CLOSET-5</t>
  </si>
  <si>
    <t>CLOSET-6</t>
  </si>
  <si>
    <t>CLOSET-7</t>
  </si>
  <si>
    <t>CLOSET-8</t>
  </si>
  <si>
    <t>CLOSET-9</t>
  </si>
  <si>
    <t>CLOSET-10</t>
  </si>
  <si>
    <t>CLOSET-11</t>
  </si>
  <si>
    <t>CLOSET-12</t>
  </si>
  <si>
    <t>CLOSET-13</t>
  </si>
  <si>
    <t>CLOSET-14</t>
  </si>
  <si>
    <t>CLOSET-15</t>
  </si>
  <si>
    <t>CLOSET-16</t>
  </si>
  <si>
    <t>CLOSET-17</t>
  </si>
  <si>
    <t>CLOSET-18</t>
  </si>
  <si>
    <t>CLOSET-19</t>
  </si>
  <si>
    <t>CLOSET-20</t>
  </si>
  <si>
    <t>CLOSET-21</t>
  </si>
  <si>
    <t>CLOSET-22</t>
  </si>
  <si>
    <t>CLOSET-23</t>
  </si>
  <si>
    <t>CLOSET-24</t>
  </si>
  <si>
    <t>CLOSET-25</t>
  </si>
  <si>
    <t>CLOSET-26</t>
  </si>
  <si>
    <t>CLOSET-27</t>
  </si>
  <si>
    <t>VESTIDOR-1</t>
  </si>
  <si>
    <t>VESTIDOR-2</t>
  </si>
  <si>
    <t>VESTIDOR-3</t>
  </si>
  <si>
    <t>VESTIDOR-4</t>
  </si>
  <si>
    <t>VESTIDOR-5</t>
  </si>
  <si>
    <t>VESTIDOR-6</t>
  </si>
  <si>
    <t>VESTIDOR-7</t>
  </si>
  <si>
    <t>VESTIDOR-8</t>
  </si>
  <si>
    <t>VESTIDOR-9</t>
  </si>
  <si>
    <t>VESTIDOR-10</t>
  </si>
  <si>
    <t>VESTIDOR-11</t>
  </si>
  <si>
    <t>VESTIDOR-12</t>
  </si>
  <si>
    <t>VESTIDOR-13</t>
  </si>
  <si>
    <t>VESTIDOR-14</t>
  </si>
  <si>
    <t>MUEBLES AREAS COMUNES</t>
  </si>
  <si>
    <t>MUEBLE BAJO: MELAMINE PELIKANO BLANCO e=18mm H=90CM, (KITCHENETTE ADMINISTRACION)</t>
  </si>
  <si>
    <t>MUEBLE ALTO: CON MICROONDAS MELAMINE PELIKANO BLANCO e=18mm H=60CM (KITCHENETTE ADMINISTRACION)</t>
  </si>
  <si>
    <t>MUEBLE CURVO DE COUNTER Long=2.60m (LOBBY 1)</t>
  </si>
  <si>
    <t>MUEBLE CURVO DE COUNTER Long=3.63m (LOBBY 2)</t>
  </si>
  <si>
    <t>REPISA DE MELAMINE COLOR NEGRO A=40CM (LAVANDERIA)</t>
  </si>
  <si>
    <t>SOPORTE PARA TABLERO EN ZONA DE LAVADORAS A0=1.00m (LAVANDERIA)</t>
  </si>
  <si>
    <t>MUEBLE DE MESA CENTRAL 0.90x2.14m 8LAVANDERIA)</t>
  </si>
  <si>
    <t>PANELES DE MELAMINA ESPRESSO PORO RH. e=18mm ADOSADOS CON LISTONES TIPO FALSO MURO (LAVANDERIA)</t>
  </si>
  <si>
    <t>MUEBEL BAJO DE LAVADERO PINTADO EN COLOR ESMERALDA (COWORKING)</t>
  </si>
  <si>
    <t>REPISA SOBRE LAVADERO A=Por definir (COWORKING)</t>
  </si>
  <si>
    <t>REPISA ALTA EN SOBRE BANQUETA EN MDF COLOR ESMERALDA A=60cm (COWORKING)</t>
  </si>
  <si>
    <t>CERRAMIENTO EN "L" SOBRE REPISAS ALTAS EN MDF COLOR ESMERALDA A=60cm, H=45CM (COWORKING)</t>
  </si>
  <si>
    <t>ENCHAPE DE MELAMINE PARA BANQUETA EN ACABADO COLOR ESMERALDA H=50CM (COWORKING)</t>
  </si>
  <si>
    <t>BANQUETA CON DIVISORES @42CM EN ACABADO COLOR ESMERALDA H=50CM (COWORKING)</t>
  </si>
  <si>
    <t>MUEBLE TIPO CASILLERO MDF ENCHAPADO EN VINIL TIPO MADERA MODELO ANIGRE WD 307. MARCA INFEELPROVEEDOR: UNO5 2.65mx1.15m (COROKING)</t>
  </si>
  <si>
    <t>MUEBEL DE IMPRESORA DEISEÑO POR DEFINIR (SALA DE REUNIONES 2 - COWORKING) NO SE CONSIDERA</t>
  </si>
  <si>
    <t>PANEL DE MDF EN ACABADO COLOR ESMERALDA A=70CM H=3M ADOSADO A MURO (COWORKING)</t>
  </si>
  <si>
    <t>PANEL DE MDF EN ACABADO COLOR ESMERALDA A=42CM H=3M ADOSADO A MURO (SALA REUNIONES COWORKING)</t>
  </si>
  <si>
    <t>JARDINERA ARTIFICIAL MELAMINA CENDRA ESCANDINAVO PARA MESA CENTRAL 8COWORKING). NO SE CONSIDERA</t>
  </si>
  <si>
    <t>PANEL DE MDF ACABADO EN PINTURA BARCO VELA E325/PINTURA JACA D027 TIPO TABIQUE DE 1 CARA ADOSADO A ESTRUCTURA METÁLICA TIPO DRYWALL (SALA NIÑOS)</t>
  </si>
  <si>
    <t>PANEL DE MDF ACABADO EN PINTURA BARCO VELA E325/PINTURA JACA D027 TIPO FCR ADOSADO A ESTRUCTURA METÁLICA TIPO DRYWALL H=0.20m, A=1.14m (SALA NIÑOS)</t>
  </si>
  <si>
    <t>PANEL DE MDF ACABADO EN PINTURA BARCO VELA E325/PINTURA JACA D027 TIPO FCR ADOSADO A ESTRUCTURA METÁLICA TIPO DRYWALL H=0.20m, A=0.33m (SALA NIÑOS)</t>
  </si>
  <si>
    <t>APLIQUE DE MADERA H=2.20m EN PINTURA BALA DE LOGURTE C113 EN ARISTAS DE MUROS DE PANEL MDF (SALA NIÑOS)</t>
  </si>
  <si>
    <t>BANQUETA DE MDF H=0.27m, A=0.30m (SALA NIÑOS)</t>
  </si>
  <si>
    <t>ESTRUCTURA MDF REVESTIDO EN TELA LINO PLASTIFICADO COLOR JACA D027. PANTONERA SUVINIL PARA MURO DE PISCINA DE PELOTAS (SALA NIÑOS)</t>
  </si>
  <si>
    <t>MARCO DE MDF CIRCULAR R=57cm ACABADO EN PINTURA JACA D027 ACABADO SATINADO PANTONERA SUVINIL (SALA NIÑOS)</t>
  </si>
  <si>
    <t>MARCO DE MDF CIRCULAR R=35cm ACABADO EN PINTURA VARIAS SATINADO PANTONERA SUVINIL (SALA NIÑOS)</t>
  </si>
  <si>
    <t>MARCO DE MDF CIRCULAR R=25cm ACABADO EN PINTURA VARIAS ACABADO SATINADO PANTONERA SUVINIL (SALA NIÑOS)</t>
  </si>
  <si>
    <t>MARCO DE MDF ELIPTICO ACABADO EN PINTURA BALA DE LOGURTE C113 ACABADO SATINADO PANTONERA SUVINIL (SALA NIÑOS)</t>
  </si>
  <si>
    <t>MARCOS DE MDF RECTANGULARES CON ACABADO EN VINIL TIPO MADERA (SALA NIÑOS)</t>
  </si>
  <si>
    <t>MDF 18MM REVESTIDO EN VINIL MODELO OAK WD115. MARCA INFEEL TIPO RAMA DE ARBOL (SALA NIÑOS)</t>
  </si>
  <si>
    <t>DOBLE MDF 36MM DISEÑO TIPO HOJAS ACABADO EN PINTURA VARIAS ACABADO SATINADO PANTONERA SUVINIL (SALA NIÑOS)</t>
  </si>
  <si>
    <t>PUERTAS DE MDF MATIZADO EN COLOR ROCK'N ROLL EN CASILLEROS (GIMNASIO)</t>
  </si>
  <si>
    <t>JARDINERA FALSA EN MDF MATIZADO EN COLOR ROCK'N ROLL (GIMNASIO)</t>
  </si>
  <si>
    <t>MUEBEL BAJO DE COCINA (SALA GOURMET)</t>
  </si>
  <si>
    <t>TORRE DE HORNOS 0.70x2.04x0.60m (SALA GOURMET)</t>
  </si>
  <si>
    <t>REPISA DE MELAMINA 18MM MODELO COÑAC. MARCA PELIKANO A=0.35M (SALON GOURMET)</t>
  </si>
  <si>
    <t>MESA CENTRAL EN MDF MATIZADO EN COLOR ROCK'N ROLL Y TABLERO DE MDF ENCHAPE LIBRETTI 1936(SALON GORUMET)</t>
  </si>
  <si>
    <t>MUEBEL DE ENCIMERA EN MDF ENCHAPADA EN VINIL TIPO MADERA MODELO WALNUT WD 117. MARCA INFEEL. CON LISTONES DE MDF ENCHAPADA EN VINIL TIPO MADERA MODELO WALNUT WD 117. MARCA INFEEL (SALONG OGURMET)</t>
  </si>
  <si>
    <t>MUEBEL CURVO EN MELAMINA ACABADO TIPO MADERA CENDRA ESCANDINAVO 18MM. (SALON GOURMET)</t>
  </si>
  <si>
    <t>MUEBLE EMPOTRADO DE MDF MATIZADO EN COLOR ROCK'N ROLL (SALA CINE)</t>
  </si>
  <si>
    <t>ACABADOS DE MADERA</t>
  </si>
  <si>
    <t>PANELES .10 X .018m DE MADERA @ 1cm (SALA CINE)</t>
  </si>
  <si>
    <t>PISO ESTRUCTURADO DE MADERA</t>
  </si>
  <si>
    <t>PANELERÍA LISTONES DE MELAMINA ACABADO TIPO MADERA CENDRA ESCANDINAVO 18MM.@5cm</t>
  </si>
  <si>
    <t>PANELERÍA LISTONES DE MELAMINA ACABADO TIPO MADERA CENDRA ESCANDINAVO 18MM.@3cm</t>
  </si>
  <si>
    <t>PANEL DE MDF EN ACABADO COLOR COLOR ROCK AND ROLL R750 A=32.5CM H=2.30M ADOSADO A MURO (CINE)</t>
  </si>
  <si>
    <t>PANEL DE MDF EN ACABADO COLOR COLOR ROCK AND ROLL R750 A=1.05M H=2.30M ADOSADO A MURO (CINE)</t>
  </si>
  <si>
    <t xml:space="preserve">VIDRIOS Y CRISTALES </t>
  </si>
  <si>
    <t>VENTANAS</t>
  </si>
  <si>
    <t>V-01-(2.67/0.1/2.32x2.10)</t>
  </si>
  <si>
    <t>V-02-(2.50/0.1/2.65x2.10)</t>
  </si>
  <si>
    <t>V-03-(2.65/0.1/2.44x2.10)</t>
  </si>
  <si>
    <t>V-04-(2.39/0.1/2.60x2.10)</t>
  </si>
  <si>
    <t>V-05-(2.67/0.1/3.02x2.10)</t>
  </si>
  <si>
    <t>V-06-(2.70/0.1/2.90x2.10)</t>
  </si>
  <si>
    <t>V-07-(0.40x2.10)</t>
  </si>
  <si>
    <t>V-08-(1.98x2.10)</t>
  </si>
  <si>
    <t>V-09-(2.55/0.1/2.94x2.10)</t>
  </si>
  <si>
    <t>V-10-(1.95x1.13)</t>
  </si>
  <si>
    <t>V-11-(1.60x2.10)</t>
  </si>
  <si>
    <t>V-12-(2.25x2.10)</t>
  </si>
  <si>
    <t>V-13-(2.10x2.10)</t>
  </si>
  <si>
    <t>V-14-(1.20x2.10)</t>
  </si>
  <si>
    <t>V-15-(0.40x2.40)</t>
  </si>
  <si>
    <t>V-16-(1.10x2.10)</t>
  </si>
  <si>
    <t>V-17-(0.75x2.10)</t>
  </si>
  <si>
    <t>V-18-(1.20x1.00)</t>
  </si>
  <si>
    <t>V-19-(1.55x1.00)</t>
  </si>
  <si>
    <t>V-20-(2.80x2.10)</t>
  </si>
  <si>
    <t>V-21-(2.30x1.00)</t>
  </si>
  <si>
    <t>V-22-(1.90x1.00)</t>
  </si>
  <si>
    <t>V-23-(3.50x2.10)</t>
  </si>
  <si>
    <t>V-24-(1.90x1.00)</t>
  </si>
  <si>
    <t>V-25-(2.50x2.10)</t>
  </si>
  <si>
    <t>V-26-(1.50x1.00)</t>
  </si>
  <si>
    <t>V-27-(0.80x1.00)</t>
  </si>
  <si>
    <t>V-28-(2.23x2.10)</t>
  </si>
  <si>
    <t>V-29-(1.55x1.00)</t>
  </si>
  <si>
    <t>V-30-(1.55x1.00)</t>
  </si>
  <si>
    <t>VA-01-(1.20x1.00)</t>
  </si>
  <si>
    <t>VA-02-(5.19x1.80)</t>
  </si>
  <si>
    <t>VA-03-(5.55x1.80)</t>
  </si>
  <si>
    <t>VA-04-(3.65x0.60)</t>
  </si>
  <si>
    <t>VA-05-(1.30x0.60)</t>
  </si>
  <si>
    <t>VA-06-(2.83x0.60)</t>
  </si>
  <si>
    <t>VA-07-(0.80x1.80)</t>
  </si>
  <si>
    <t>VA-08-(0.50x0.30)</t>
  </si>
  <si>
    <t>VA-09-(0.30x0.30)</t>
  </si>
  <si>
    <t>VA-10-(5.54x1.13)</t>
  </si>
  <si>
    <t>VA-11-(5.77x2.23)</t>
  </si>
  <si>
    <t>MAMPARAS</t>
  </si>
  <si>
    <t>M-01-(2.80x2.10)</t>
  </si>
  <si>
    <t>M-02-(2.39x2.10)</t>
  </si>
  <si>
    <t>M-03-(2.87x2.10)</t>
  </si>
  <si>
    <t>M-04-(2.10x2.10)</t>
  </si>
  <si>
    <t>M-05-(1.95x2.10)</t>
  </si>
  <si>
    <t>MA-01-(5.21x3.43)</t>
  </si>
  <si>
    <t>MA-02-(1.63x3.43)</t>
  </si>
  <si>
    <t>MA-03-(1.00x3.43)</t>
  </si>
  <si>
    <t>MA-04-(5.25x3.43)</t>
  </si>
  <si>
    <t>MA-05-(5.19x3.43)</t>
  </si>
  <si>
    <t>MA-06-(5.09x3.43)</t>
  </si>
  <si>
    <t>MA-07-(5.79x3.43)</t>
  </si>
  <si>
    <t>MA-08-(5.70x3.43)</t>
  </si>
  <si>
    <t>MA-09-(3.55x3.43)</t>
  </si>
  <si>
    <t>MA-10-(3.25x3.43)</t>
  </si>
  <si>
    <t>MA-11-(5.54x3.43)</t>
  </si>
  <si>
    <t>MA-12-(3.57x3.43)</t>
  </si>
  <si>
    <t>MA-13-(4.19x3.43)</t>
  </si>
  <si>
    <t>MA-14-(5.99x3.43)</t>
  </si>
  <si>
    <t>MA-15-(2.42x3.43)</t>
  </si>
  <si>
    <t>MA-16-(4.57x3.43)</t>
  </si>
  <si>
    <t>MA-17-(1.32x2.23)</t>
  </si>
  <si>
    <t>MA-18-(2.00x2.23)</t>
  </si>
  <si>
    <t>MA-19-(2.46x2.23)</t>
  </si>
  <si>
    <t>MA-20-(3.03x2.23)</t>
  </si>
  <si>
    <t>MA-21-(3.44x2.23)</t>
  </si>
  <si>
    <t>MA-22-(1.60x2.23)</t>
  </si>
  <si>
    <t>MA-23-(2.45x2.23)</t>
  </si>
  <si>
    <t>MA-24-(2.00x2.23)</t>
  </si>
  <si>
    <t>MA-25-(1.00x2.10)</t>
  </si>
  <si>
    <t>MA-26-(1.20x2.10)</t>
  </si>
  <si>
    <t>MA-27-(1.20x2.10)</t>
  </si>
  <si>
    <t>MA-28-(1.55x2.10)</t>
  </si>
  <si>
    <t>MA-29-(2.45x2.10)</t>
  </si>
  <si>
    <t>MAMPARA SALA REUNIONES COWORKING M3 -(1.55x2.70)</t>
  </si>
  <si>
    <t>MAMPARA SALA REUNIONES COWORKING M4 -(2.23x2.70)</t>
  </si>
  <si>
    <t>MAMPARA SALA REUNIONES COWORKING M5 -(2.77x2.70)</t>
  </si>
  <si>
    <t>MAMPARA SALA REUNIONES COWORKING M6 -(3.15x2.70)</t>
  </si>
  <si>
    <t>MAMPARA SALA REUNIONES COWORKING M7 -(2.01x2.70)</t>
  </si>
  <si>
    <t>MAMPARA SALA REUNIONES COWORKING M8 -(3.15x2.40)</t>
  </si>
  <si>
    <t>MAMPARA SALON GOURMET P1 -(2.00x2.10)</t>
  </si>
  <si>
    <t>MAMPARA SALON GOURMET M1 -(0.85x2.10)</t>
  </si>
  <si>
    <t>MAMPARA SALON GOURMET P2 -(1.60x2.10)</t>
  </si>
  <si>
    <t>PUERTAS VENTANAS</t>
  </si>
  <si>
    <t>PV-01-(1.00/1.10x2.23/1.10)</t>
  </si>
  <si>
    <t>PROTECTORES</t>
  </si>
  <si>
    <t>FORRADO DE VIDRIOS Y ALUMINIO CON CARTON, FILM Y CINTA AZUL PARA LAS RIELES</t>
  </si>
  <si>
    <t>ESPEJOS ( NO SE CONSIDERA)</t>
  </si>
  <si>
    <t>ESPEJO 4MM CON LAMINA DE SEGURIDAD 3M (LOBBY)</t>
  </si>
  <si>
    <t>ESPEJO 4MM CON LAMINA DE SEGURIDAD ENMARCADO CON LISTÓN ALUMINIO  NEGRO 1.5x1.5" - GIMNASIO</t>
  </si>
  <si>
    <t>BARANDAS, CELOSÍAS Y OTROS</t>
  </si>
  <si>
    <t>MARCO DE ALUMINIO COLOR NEGRO 32.5 X 150mm (LOBBY 1)</t>
  </si>
  <si>
    <t>PERFIL METALICO VERTICAL 19.05x4.75mm ADOSADO A MURO PARA CELOSIA DE ALUMNIO (LOBBY)</t>
  </si>
  <si>
    <t>PERFIL METALICO VERTICAL 50.80x4.75mm ADOSADO A MURO PARA CELOSIA DE ALUMNIO (LOBBY)</t>
  </si>
  <si>
    <t>PERFIL METALICO HORIZONTAL 11.10x3.18mm ADOSADO A MURO PARA CELOSIA DE ALUMNIO (LOBBY)</t>
  </si>
  <si>
    <t>LISTONES DE ALUMINIO NEGRO ADOSADO 0.5X0.5" (COWORKING)</t>
  </si>
  <si>
    <t>MESA CENTRAL EN ESTRUCTURA DE ALUMINIO COLOR BLANCO 5 X 5cm RECUBIERTO DE FORMICA BLANCO POLAR 2111 (MT) (COWORKING)</t>
  </si>
  <si>
    <t>SOPORTE PARA PELOTAS DE ALUMINIO COLOR NEGRO LONG=2.10m (GIMNASIO)</t>
  </si>
  <si>
    <t xml:space="preserve">LISTÓN ALUMINIO NEGRO ADOSADO 1"x1" H=2.30m (CINE)
</t>
  </si>
  <si>
    <t>LISTON DE ALUMINIO NEGRO 1"X2" EN CELOSIA (DECK PISCINA)</t>
  </si>
  <si>
    <t>LISTON DE ALUMINIO NEGRO 0.5"X2" EN CELOSIA (DECK PISCINA)</t>
  </si>
  <si>
    <t>LISTON DE ALUMINIO NEGRO 2"X4"x314cm PARA SOL Y SOMBRA (DECK PISCINA)</t>
  </si>
  <si>
    <t>VIGA PRINCIPAL ALUMINIO COLOR NEGRO 6"x2.5" PARA SOL Y SOPMBRA (PARRILLAS)</t>
  </si>
  <si>
    <t>PERFILES METALICOS VERTICALES 0.5"X0.5" ADOSADO A MURO (TERRAZA SALON GOURMET, SE ASUMEN DE ALUMINIO SIMILAR A OTROS AMBIENTES)</t>
  </si>
  <si>
    <t>BARANDA DE CRISTAL TEMPLADO e=10mm H=1.05m (TERRAZA LOCAL COMERCIAL 1)</t>
  </si>
  <si>
    <t>BARANDA DE CRISTAL TEMPLADO e=10mm H=1.05m (DECK PISCINA Y FACHADA EXTERIOR AZOTEA)</t>
  </si>
  <si>
    <t>BARANDA DE CRISTAL TEMPLADO e=10mm H=1.10m (FACHADA INTERIOR AZOTEA)</t>
  </si>
  <si>
    <t>BARANDA DE CRISTAL TEMPLADO e=10mm H=1.10m (BALCONES)</t>
  </si>
  <si>
    <t>PANEL DE VIDRIO TEMPLADO e010mm 0.70x2.10m (BALCONES)</t>
  </si>
  <si>
    <t>REJILLA 65cmx15cm SOBRE PUERTA P-04</t>
  </si>
  <si>
    <t>REJILLA 130cmx15cm SOBRE PUERTA P-05</t>
  </si>
  <si>
    <t>REJILLA 152cmx15cm SOBRE PUERTA P-07</t>
  </si>
  <si>
    <t>PUERTA VEHICULAR</t>
  </si>
  <si>
    <t>PUERTA METALICA PM-01</t>
  </si>
  <si>
    <t>CONTROLES REMOTOS</t>
  </si>
  <si>
    <t>CARPINTERIA METÁLICA</t>
  </si>
  <si>
    <t>BARANDA METALICA H01.10m EN CUARTOS TECNICOS</t>
  </si>
  <si>
    <t>TAPA DE INSPECCIÒN EN ESCALERA DE ACCESO A TECHO</t>
  </si>
  <si>
    <t>ESCALERA DE GATO CON CANASTILLA  - ACCESO TECHO</t>
  </si>
  <si>
    <t>PLANCHA METALICA PARA TECHO DE DUCTOS</t>
  </si>
  <si>
    <t xml:space="preserve">PARRILLA DE ACERO INOXIDABLE PARA EMPOTRAR KOOK PROVEEDOR: CASA DE FUEGO 0.90 X 0.60 X 0.20M
</t>
  </si>
  <si>
    <t>PROYECCIÓN COLGADOR PERFIL TUBULAR CUADRADO METÁLICO 1'' PINTADA COLOR NEGRO 8LAVANDERIA)</t>
  </si>
  <si>
    <t>ESTRUCTURA DE FIERRO COLOR NEGRO 1.5x1.5" TIPO CASILLEROS 2.60mx3.40m (GIMNASIO)</t>
  </si>
  <si>
    <t>ENCHAPE DE ACERO INOXIDABLE A=25CM EN TOTEM INTERCOMUNICADOR (ATRIO INGRESO)</t>
  </si>
  <si>
    <t>REJILLA DE VENTILACION PARA SUBESTACION 0.95x.130m</t>
  </si>
  <si>
    <t>TAPA METALICA PARA ACCESO DE PERSONAL A SUBESTACION 0.95x1.45m</t>
  </si>
  <si>
    <t>TAPA METALICA PARA ACCESO DE EQUIPOS A SUBESTACION 1.25x1.70m</t>
  </si>
  <si>
    <t>REJILLAS PARA DUCTOS DE GAS</t>
  </si>
  <si>
    <t xml:space="preserve">PUERTA PARA ACCEOS AC TO BOMBAS PISCINA </t>
  </si>
  <si>
    <t>PAPEL MURAL</t>
  </si>
  <si>
    <t>DORMITORIO, ESTUDIO, SALA, PASADIZO, KITCHENETTE</t>
  </si>
  <si>
    <t>PREPARACIÓN DE PAPEL MURAL - (SALA, COMEDOR, DORMITORIOS)</t>
  </si>
  <si>
    <t>SUMINISTRO E INSTALACION DE PAPEL 240 GR</t>
  </si>
  <si>
    <t>MOLDURA DE POLIESTIRENO COLOR BLANCO</t>
  </si>
  <si>
    <t>PINTURA OLEO MATE BLANCO -(BAÑOS DPTOS)</t>
  </si>
  <si>
    <t>PINTURA LATEX BLANCO - (LAVANDERIA DPTOS)</t>
  </si>
  <si>
    <t>ACABADO POR DEFINIR - BALCONES EXTERIORES</t>
  </si>
  <si>
    <t>SALA,DORMITORIOS, ESTAR, KITCHENETTE</t>
  </si>
  <si>
    <t>PINTURA COLOR BLANCO O SIMILAR</t>
  </si>
  <si>
    <t>PINTURA OLEO</t>
  </si>
  <si>
    <t>LAVANDERÍA</t>
  </si>
  <si>
    <t>BALCON</t>
  </si>
  <si>
    <t>2 MANOS CON CAL Y CEMENTO COLOR CLARO (CAL NIEVE) -  HALL COMERCIO PISO 1</t>
  </si>
  <si>
    <t>EMPASTADO Y PINTADO COLOR BLANCO  - LOCAL COMERCIAL (NO SE CONSIDERA)</t>
  </si>
  <si>
    <t>PINTURA OLEO MATE BLANCO -(BAÑOS LOCAL COMERCIAL)</t>
  </si>
  <si>
    <t>EMPASTADO Y PINTADO COLOR BLANCO -  HALL COMERCIO PISO 1</t>
  </si>
  <si>
    <t>SIN ACABADO  - LOCAL COMERCIAL (NO SE CONSIDERA)</t>
  </si>
  <si>
    <t>ACABADO POR DEFINIR CUARTOS TECNICOS, DEPOSITO AZ, ACCESO A TECHO</t>
  </si>
  <si>
    <t>2 MANOS CON CAL Y CEMENTO (CAL NIEVE) -  CUARTO ACELEROGRAFO, CUARTO MEDIDORES</t>
  </si>
  <si>
    <t>CAL CEMENTO COLOR CONCRETO EXPUESTO REVEAD - INGRESO</t>
  </si>
  <si>
    <t>EMPASTADO Y PINTADO COLOR BLANCO  - HALL TORRE, CUSTODIA</t>
  </si>
  <si>
    <t>EMPASTADO Y PINTADO COLOR BLANCO  MATIZADO - ADMINISTRACION, KITCHENETTE ADMINITRACION</t>
  </si>
  <si>
    <t>EMPASTADO Y PINTADO OLEO MATE BLANCO - SH COMUNES</t>
  </si>
  <si>
    <t>PINTURA COLOR ROCK AND ROLL R750. ACABADO SATINADO. PANTONERA SUVINIL - LOBBY, HALL ASCENSORES PISO 1, COWORKING, PET SPA, GIMNASIO</t>
  </si>
  <si>
    <t>PINTURA AP143-4 TERRACOTTA. ACABADO SATINADO. PANTONERA COLOR CENTRO - LAVANDERIA, COWORKING, GIMNASIO</t>
  </si>
  <si>
    <t>PINTURA COLOR NEGRO SATINADO. AMERICAN COLORS - LAVANDERIA</t>
  </si>
  <si>
    <t>PINTURA ESMERALDA P310. ACABADO SATINADO. PANTONERA SUVINIL - COWORKING</t>
  </si>
  <si>
    <t>PINTURA PALMEIRA E055. ACABADO SATINADO. PANTONERA SUVINIL - PET SPA, CINE</t>
  </si>
  <si>
    <t>PINTURA BARCO VELA E325. ACABADO SATINADO. PANTONERA SUVINIL - SALA NIÑOS</t>
  </si>
  <si>
    <t>PINTURA PARA PIZARRA NEGRA. MARCA CHEMISA.</t>
  </si>
  <si>
    <t xml:space="preserve">PINTURA JACA D027. ACABADO SATINADO. PANTONERA SUVINIL. </t>
  </si>
  <si>
    <t>VINIL TIPO MADERA MODELO WALNUT WD 117. MARCA INFEEL.  - SALONG GOURMET</t>
  </si>
  <si>
    <t>ACABADO TIPO CONCRETO EPUESTO (PARAPETOS DE TERRAZA P2)</t>
  </si>
  <si>
    <t>ACABADO POR DEFINIR EXTERIORES AREA COMUN (TERRAZAS, MUROS EXTERIORES)</t>
  </si>
  <si>
    <t>EMPASTADO Y PINTADO COLOR BLANCO - CUARTOS ACELEROGRAFO, CUARTO MEDIDORES</t>
  </si>
  <si>
    <t>EMPASTADO Y PINTADO COLOR BLANCO  - ADMINISTRACION, KITCHENETTE ADMINISTRACION</t>
  </si>
  <si>
    <t>EMPASTADO Y PINTADO COLOR BLANCO ACABADO SATINADO AMERICAN COLORS - LOBBY, LAVANDERIA, COWORKING, SALA NIÑOS</t>
  </si>
  <si>
    <t>PINTURA COLOR ROCK AND ROLL R750. ACABADO SATINADO. PANTONERA SUVINIL - LOBBY, HALL ASCENSORES PISO 1, PET SPA</t>
  </si>
  <si>
    <t>PINTURA GRIS COLOR AP53-6 MATURE GRAY. PANTONE COLOR CENTRO AMRICAN COLORS - PET SPA</t>
  </si>
  <si>
    <t>EMPASTADO Y PINTADO COLOR NEGRO SATINADO AMERICAN COLORS - TERRAZA GIMNASIO, GIMNASIO</t>
  </si>
  <si>
    <t>ESCALERAS Y VESTÍBULO PREVIO</t>
  </si>
  <si>
    <t>MUROS VESTIBULO PREVIO Y ESCALERA</t>
  </si>
  <si>
    <t>2 MANOS CON CAL Y CEMENTO (CAL NIEVE) -  MUROS ESCALERA TORRE</t>
  </si>
  <si>
    <t>2 MANOS CON CAL Y CEMENTO (CAL NIEVE) -  CIELO RASO ESCALERA TORRE</t>
  </si>
  <si>
    <t>ACABADOS TEXTURADOS</t>
  </si>
  <si>
    <t>MICROCEMENTO GRIS COLOR AP54-2 SILVER COIN. PANTONERA COLOR CENTRO EN MUROS (LOBBY)</t>
  </si>
  <si>
    <t>MICROCEMENTO GRIS COLOR  AP53-6 MATURE GRAY. PANTONE EN MUROS (LAVANDERIA, COWORKING, PET SPA, TERRAZA GIMNASIO)</t>
  </si>
  <si>
    <t>MICROCEMENTO GRIS COLOR  AP53-6 MATURE GRAY EN SARDINELES (DECK PISCINA, TERRAZA SALON GOURMET, HALL EXTERIORES)</t>
  </si>
  <si>
    <t>TERRAZO PREMEZCLADO NEGRO CARBON GRANO 1 EN MUROS (SALA GOURMET)</t>
  </si>
  <si>
    <t>TERRAZO PREMEZCLADO NEGRO CARBON GRANO 1 EN BANCA (TERRAZA COWRKING, TERRAZA GIMNASIO, PARRILLAS, TERRAZA P1)</t>
  </si>
  <si>
    <t>TERRAZO PREMEZCLADO NEGRO CARBON GRANO 1 EN MESA CENTRAL (PARRILLAS)</t>
  </si>
  <si>
    <t>TERRAZO PREMEZCLADO NEGRO CARBON GRANO 1 EN SARDINELES (TERRAZA SALON GOURMET, TERRAZA P1, TERRAZA SALON NIÑOS, TERRAZA HALL P2)</t>
  </si>
  <si>
    <t>TERRAZO PREMEZCLADO BLANCO ONIX. GRANO 1 CASAS ROSELLO EN PISO (PERIMETRO PISCINA)</t>
  </si>
  <si>
    <t>MURO ACABADO MICROCEMENTO GRIS COLOR IDEM PISO STONE IVORY. (PARRILLAS)</t>
  </si>
  <si>
    <t>APARATOS SANITARIOS</t>
  </si>
  <si>
    <t>INODORO CERÁMICO DE UNA PIEZA COLOR BLANCO DE DESCARGA VERTICAL, BOTONERA DOBLE Y ASIENTO DE CAIDA LENTA U10012A. TECSO</t>
  </si>
  <si>
    <t>VANITORIO 2 PUERTAS, MODELO VB24-001. TECSO</t>
  </si>
  <si>
    <t>COCINA</t>
  </si>
  <si>
    <t>LAVADERO 01 POZA DE ACERO INOXIDABLE. D:43x43x18CM. INC SUMIDERO, CANASTA Y TAPA COD LI54. TECSO</t>
  </si>
  <si>
    <t>LAVADERO TREBOL MODELO AMAZONAS COLOR BLANCO O SIMILAR (LAVANDERIA)</t>
  </si>
  <si>
    <t>GRIFERIAS</t>
  </si>
  <si>
    <t>MEZCLADORA DE LAVATORIO, AL MUEBLE, MODELO AHORRADOR CERTIFICADO POR SEDAPAL PARA BONO VERDE, COD ML42AHP TECSO</t>
  </si>
  <si>
    <t>MEZCLADOR DE DUCHA MD41 Y DIFUSOR DE DUCHA CON TUBO DE 150MM Y CANOPLA MOD DD13AHP. TECSO</t>
  </si>
  <si>
    <t>MEZCLADORA DE COCINA, AL MUEBLE, MODELO AHORRADOR CERTIFICADO POR SEDAPAL PARA BONO VERDE, COD MC41AHPP. TECSO</t>
  </si>
  <si>
    <t>INODORO TREBOL ONE PIECE SAVONA LUX BLANCO</t>
  </si>
  <si>
    <t>SH HOMBRES, MUJERES</t>
  </si>
  <si>
    <t>LAVATORIO CON PEDESTAL TREBOL SAVONA LUX COLOR BLANCO</t>
  </si>
  <si>
    <t>SH DISCAPACITADOS</t>
  </si>
  <si>
    <t xml:space="preserve">LAVATORIO TREBOL ANCON COLOR BLANCO - TRAMPA CROMADA </t>
  </si>
  <si>
    <t>SH HOMBRES, SH DISCAPACITADOS</t>
  </si>
  <si>
    <t xml:space="preserve">URINARIO CADET COLOR BLANCO, MARCA TREBOL </t>
  </si>
  <si>
    <t>SH HOMBRES, MUJERES,DISCAPCITADOS</t>
  </si>
  <si>
    <t>LLAVE DE LAVATORIO BAJA ITALGRIF BUZIOS LEVER</t>
  </si>
  <si>
    <t>FLUXOMETRO PARA URINARIO</t>
  </si>
  <si>
    <t>ACCESORIOS SANITARIOS</t>
  </si>
  <si>
    <t>BARRA PARA DISCAPACITADOS L=0.90M (INODORO)</t>
  </si>
  <si>
    <t>BARRA VERTICAL DISAPACITADOS</t>
  </si>
  <si>
    <t>BAÑOS COMUNES</t>
  </si>
  <si>
    <t>SH LOBBY, SH COMUNES, SH DISCAPACITADOS</t>
  </si>
  <si>
    <t>SH LOBBY, SH COMUNES</t>
  </si>
  <si>
    <t>SH COMUNES, SH DISCAPACITADOS</t>
  </si>
  <si>
    <t>AREAS SOCIALES</t>
  </si>
  <si>
    <t>KITCHENETTE ADMINISTRACION</t>
  </si>
  <si>
    <t>COWORKING</t>
  </si>
  <si>
    <t xml:space="preserve">LAVADERO LAVÍNIA CASINELLI </t>
  </si>
  <si>
    <t>SALON GOURMET</t>
  </si>
  <si>
    <t>LAVADERO DE SOBREPONER ZENIT RS15 2 POZAS</t>
  </si>
  <si>
    <t>PARRILLAS</t>
  </si>
  <si>
    <t>PET SPA</t>
  </si>
  <si>
    <t xml:space="preserve">DUCHA BIDET MODELO ASIA CROMADA CON SOPORTE. COD: 406015 MARCA VAINSA </t>
  </si>
  <si>
    <t>GRIFERÍA MONOCOMANDO COLOR NEGRO</t>
  </si>
  <si>
    <t>GRIFERÍA ECO LLAVE MEDIA LAVANDERÍA A LA PARED</t>
  </si>
  <si>
    <t xml:space="preserve">GRIFERÍA FDV TOP PRO 3.0 </t>
  </si>
  <si>
    <t>GRIFERÍA LLAVE PIAVE MARCA TREBOL</t>
  </si>
  <si>
    <t>TABLEROS GRANITO NUEVO BLANCO SERENA</t>
  </si>
  <si>
    <t>TABLERO DE GRANITO BLANCO SERENA, ANCHO=60cm</t>
  </si>
  <si>
    <t>TABLERO DE GRANITO BLANCO SERENA, ANCHO=70cm</t>
  </si>
  <si>
    <t>TABLERO DE GRANITO BLANCO SERENA, ANCHO=80cm</t>
  </si>
  <si>
    <t>TABLERO DE GRANITO BLANCO SERENA, ANCHO=90cm</t>
  </si>
  <si>
    <t>TABLERO DE GRANITO BLANCO SERENA, FALDÓN: 4cm, CONTRAZÓCALO: 10cm., ACABADO LISO EN TODAS SUS (KITCHENETTE ADMINSITRACION)</t>
  </si>
  <si>
    <t>TABLERO PORCELANATO XL ESTATUARIO G5 ACABADO PULIDO A=25CM EN MUEBLE COUNTER (LOBBY)</t>
  </si>
  <si>
    <t>TABLERO PORCELANATO XL ESTATUARIO G5 ACABADO PULIDO A=100CM EN LATERAL DE MUEBLE COUNTER (LOBBY)</t>
  </si>
  <si>
    <t>PANEL DE MDF e=15cm SUJETO A MURO CON LISTONES PARA RECIBIR VINIL (LOBBY)</t>
  </si>
  <si>
    <t>TABLERO TOP CUARZO IMPERIO A=1.00M (LAVANDERIA)</t>
  </si>
  <si>
    <t>TABLERO TOP CUARZO IMPERIO A=0.90M PARA MESA CENTRAL (LAVANDERIA)</t>
  </si>
  <si>
    <t>ENCHAPE STORM GRIS NATURAL 12MM/6MM R4MM A060CM EN MUEBLE COCINA (SALON GOURMET)</t>
  </si>
  <si>
    <t>ENCHAPE STORM GRIS NATURAL 12MM/6MM R4MM A060CM EN ZOCALO DE MUEBLES (SALON GOURMET)</t>
  </si>
  <si>
    <t>MESÓN COCINA STORM GRIS NATURAL 12MM/6MM R4MM FORMA ELIPTICA EN MESA ENCIMERA(SALON GOURMET)</t>
  </si>
  <si>
    <t>TABLERO DE GRANITO BLANCO SERENA. E:2CM. PROVEEDOR: CASA ROSELLO A=60cm, MANDIL=30cm, ZOCALO=25cm EN MUEBEL DE PARRILLAS (PARRILLAS)</t>
  </si>
  <si>
    <t>TABLERO DE GRANITO BLANCO SERENA. E:2CM. PROVEEDOR: CASA ROSELLO A=60cm, MANDIL=8cm EN MESA CENTRAL (PARRILLAS)</t>
  </si>
  <si>
    <t>ENCHAPE GRANITO NEGRO ARACRUZ A=45cm PARA TOTEM INTERCOMUNICADOR (ATRIO INGRESO)</t>
  </si>
  <si>
    <t>PROTECCION Y SELLADO DE TABLEROS</t>
  </si>
  <si>
    <t>PROTECCION DE TABLERO DE GRANITO (INC EN OBRAS PROVISIONALES)</t>
  </si>
  <si>
    <t>SELLADO CON SILICONA</t>
  </si>
  <si>
    <t>L6</t>
  </si>
  <si>
    <t>L7</t>
  </si>
  <si>
    <t>L7S</t>
  </si>
  <si>
    <t>L9</t>
  </si>
  <si>
    <t>L9A</t>
  </si>
  <si>
    <t>L9B</t>
  </si>
  <si>
    <t>L10</t>
  </si>
  <si>
    <t>L11</t>
  </si>
  <si>
    <t>L13</t>
  </si>
  <si>
    <t>L14</t>
  </si>
  <si>
    <t>L15</t>
  </si>
  <si>
    <t>L16A</t>
  </si>
  <si>
    <t>L17</t>
  </si>
  <si>
    <t>L18</t>
  </si>
  <si>
    <t>L22</t>
  </si>
  <si>
    <t>L23</t>
  </si>
  <si>
    <t>L24</t>
  </si>
  <si>
    <t>L26</t>
  </si>
  <si>
    <t>L28</t>
  </si>
  <si>
    <t>L29</t>
  </si>
  <si>
    <t>EMG</t>
  </si>
  <si>
    <t>EMG1</t>
  </si>
  <si>
    <t>SEÑALETICA</t>
  </si>
  <si>
    <t>SELLOS CORTAFUEGO</t>
  </si>
  <si>
    <t>LOSAS</t>
  </si>
  <si>
    <t>PA-09-(1.13x2.00)- DUCTO GAS PISO 2 A AZ (SE CONSIDERA REJILLA)</t>
  </si>
  <si>
    <t>NUMERACIONES EN TORRE</t>
  </si>
  <si>
    <t>SEÑALETICA NUMERACION DE DEPARTAMENTOS</t>
  </si>
  <si>
    <t>NUMERACION DE EDIFICIO</t>
  </si>
  <si>
    <t>VINIL TIPO MADERA MODELO OAK WD115. MARCA INFEEL EN FCR (LOBBY 2)</t>
  </si>
  <si>
    <t>VINIL TIPO MADERA MODELO ANIGRE WD 307. MARCA INFEEL. EN JARDINERA (COWORKING)</t>
  </si>
  <si>
    <t>LETRETO MATERIAL Y ACABADO POR DEFINIR " LAUNDRY ROOM" (LAVANDERIA). NO SE CONSIDERA</t>
  </si>
  <si>
    <t>LETRETO VINIL COLOR ESMERALDA " WORK SAPCE" Y FLECHA (COWORKING). NO SE CONSIDERA</t>
  </si>
  <si>
    <t>LETRETO MDF 18MM PÍNTADO AL ACRILICO ACABADO SATINADO COLOR AZUL - GUACHE D334 PANTONE SUVINIL " Wet nose" (PET SPA). NO SE CONSIDERA</t>
  </si>
  <si>
    <t>LETRETO MDF 18MM PÍNTADO AL ACRILICO ACABADO SATINADO COLOR AMBROSIA D028  PANTONE SUVINIL " warm heart" (PET SPA). NO SE CONSIDERA</t>
  </si>
  <si>
    <t>LETRETO MATERIAL POR DEFINIR ACABADO COLOR BALA DE LOGURTE C113  PANTONE SUVINIL " Let's Play" (SALA NIÑOS). NO SE CONSIDERA</t>
  </si>
  <si>
    <t>LETRETO MATERIAL Y ACABADO POR DEFINIR  " BETTER THAN YESTERDAY" (GIMNASIO). NO SE CONSIDERA</t>
  </si>
  <si>
    <t>LETRETO ACRILICO RETROILUMINADO "# MOIVES TOGETHER" (CINE). NO SE CONSIDERA</t>
  </si>
  <si>
    <t>EXTINTOR PARA FUEGOS ABC TIPO PQS 6kg</t>
  </si>
  <si>
    <t>EXTINTOR PARA FUEGOS BC TIPO CO2 9kg</t>
  </si>
  <si>
    <t>EXTINTOR PARA FUEGOS TIPO "K" 6kg</t>
  </si>
  <si>
    <t>BRUÑAS EN PAREDES Y TECHO DE AREAS COMUNES</t>
  </si>
  <si>
    <t>ROLLO DE PIZARRA WALLTALKERS MAG RITE M248 SUPERFICIE PARA ESCRIBIR E IMANTAR (coworking)</t>
  </si>
  <si>
    <t>PIEDRA DE CANTO RODADO BLANCO ADOSADO A PISO CON CEMENTO BLANCO (TERRAZA SALONG ORUMET)</t>
  </si>
  <si>
    <t>RESANES // TODISTAS</t>
  </si>
  <si>
    <t xml:space="preserve">                                                                </t>
  </si>
  <si>
    <t>INSTALACIONES</t>
  </si>
  <si>
    <t>T.C</t>
  </si>
  <si>
    <t>JUAN DE ALIAGA 750</t>
  </si>
  <si>
    <t xml:space="preserve">INSTALACIONES </t>
  </si>
  <si>
    <t>: V&amp;V Bravo S.A.C</t>
  </si>
  <si>
    <t>P.U (S/.)</t>
  </si>
  <si>
    <t>P.U ($.)</t>
  </si>
  <si>
    <t>PARCIAL (S/.)</t>
  </si>
  <si>
    <t>PARCIAL ($)</t>
  </si>
  <si>
    <t>01.01</t>
  </si>
  <si>
    <t>INTERCOMUNICADORES</t>
  </si>
  <si>
    <t>1.01.01</t>
  </si>
  <si>
    <t>DISPOSITIVOS PRINCIPALES DE COMUNICACIÓN</t>
  </si>
  <si>
    <t>1.01.02</t>
  </si>
  <si>
    <t>Central de conserjería de audio/vídeo con pantalla LCD 7"</t>
  </si>
  <si>
    <t>Und.</t>
  </si>
  <si>
    <t>1.01.03</t>
  </si>
  <si>
    <t>Placa de Calle Digital sólo audio</t>
  </si>
  <si>
    <t>1.01.04</t>
  </si>
  <si>
    <t>Intercomunicador tipo telefono Sprint L2</t>
  </si>
  <si>
    <t>1.01.05</t>
  </si>
  <si>
    <t>COMPLEMENTOS DEL SISTEMA</t>
  </si>
  <si>
    <t>1.01.06</t>
  </si>
  <si>
    <t>Interfaz de expansión de anexos/longitud</t>
  </si>
  <si>
    <t>1.01.07</t>
  </si>
  <si>
    <t>Fuente de poder de 1.2A para sistemas de audio/video</t>
  </si>
  <si>
    <t>1.01.08</t>
  </si>
  <si>
    <t>Configuradores (Paquete de 10 piezas)</t>
  </si>
  <si>
    <t>1.01.09</t>
  </si>
  <si>
    <t>MATERIALES</t>
  </si>
  <si>
    <t>Glb.</t>
  </si>
  <si>
    <t>1.01.10</t>
  </si>
  <si>
    <t>Cable de par trenzado para difusión sonora</t>
  </si>
  <si>
    <t>1.01.11</t>
  </si>
  <si>
    <t>Cable UTP cat. 5e 100% cobre para distribución</t>
  </si>
  <si>
    <t>1.01.12</t>
  </si>
  <si>
    <t>Elementos auxiliares para la adecuacion de sistemas (autorroscantes,
tarugos, cintillos, terminales, etc)</t>
  </si>
  <si>
    <t>1.01.13</t>
  </si>
  <si>
    <t>MANO DE OBRA</t>
  </si>
  <si>
    <t>1.01.14</t>
  </si>
  <si>
    <t>Enrutamiento y verificación de canalizaciones</t>
  </si>
  <si>
    <t>1.01.15</t>
  </si>
  <si>
    <t>Cableado de bus de comunicación</t>
  </si>
  <si>
    <t>1.01.16</t>
  </si>
  <si>
    <t>Instalación de centralitas</t>
  </si>
  <si>
    <t>1.01.17</t>
  </si>
  <si>
    <t>Instalación de portero digital y unidades internas</t>
  </si>
  <si>
    <t>1.01.18</t>
  </si>
  <si>
    <t>Instalación de módulo alimentadores y extensiones.</t>
  </si>
  <si>
    <t>1.01.19</t>
  </si>
  <si>
    <t>Configuración de aplicación en centralita</t>
  </si>
  <si>
    <t>1.01.20</t>
  </si>
  <si>
    <t>Pruebas de funcionamiento y puesta en marcha</t>
  </si>
  <si>
    <t>1.01.21</t>
  </si>
  <si>
    <t>Capacitación y manual de uso</t>
  </si>
  <si>
    <t>1.01.22</t>
  </si>
  <si>
    <t>TRANSPORTE, SEGUROS Y GASTOS GENERALES</t>
  </si>
  <si>
    <t>1.01.23</t>
  </si>
  <si>
    <t>Examen médico ocupacional, SCTR salud - Pensión y EPPs</t>
  </si>
  <si>
    <t>1.01.24</t>
  </si>
  <si>
    <t>Transporte de Personal, Herramientas y Materiales</t>
  </si>
  <si>
    <t>01.02</t>
  </si>
  <si>
    <t>DETECCION CONTRAINCENDIOS</t>
  </si>
  <si>
    <t>1.02.01</t>
  </si>
  <si>
    <t>PANEL DE ALARMA CONTRA INCENDIOS Y COMPLEMENTOS</t>
  </si>
  <si>
    <t>1.02.02</t>
  </si>
  <si>
    <t>Panel de Detección y Alarma Contra Incendio Direccionable con Certificado UL-864, para sistemas DACI en edificios.</t>
  </si>
  <si>
    <t>1.02.03</t>
  </si>
  <si>
    <t>Tarjeta de expasión de direcciones dual 250det/250mod</t>
  </si>
  <si>
    <t>1.02.04</t>
  </si>
  <si>
    <t>Teclado LCD para control remoto</t>
  </si>
  <si>
    <t>1.02.05</t>
  </si>
  <si>
    <t>Batería 12 Voltios 17 Amperios</t>
  </si>
  <si>
    <t>1.02.06</t>
  </si>
  <si>
    <t>1.02.07</t>
  </si>
  <si>
    <t>DISPOSITIVOS DE INICIACIÓN</t>
  </si>
  <si>
    <t>1.02.08</t>
  </si>
  <si>
    <t>Detector de Humo Direccionable UL</t>
  </si>
  <si>
    <t>1.02.09</t>
  </si>
  <si>
    <t>Detector de Temperatura Direccionable UL</t>
  </si>
  <si>
    <t>1.02.10</t>
  </si>
  <si>
    <t>Base estándar para detectores</t>
  </si>
  <si>
    <t>1.02.11</t>
  </si>
  <si>
    <t>Estación Manual convencional. Certificado UL</t>
  </si>
  <si>
    <t>1.02.12</t>
  </si>
  <si>
    <t>Detector de Humo Convencional. Certificado UL</t>
  </si>
  <si>
    <t>1.02.13</t>
  </si>
  <si>
    <t>Sensor de aniego + sonda</t>
  </si>
  <si>
    <t>1.02.14</t>
  </si>
  <si>
    <t>1.02.15</t>
  </si>
  <si>
    <t>DISPOSITIVOS DE NOTIFICACIÓN</t>
  </si>
  <si>
    <t>1.02.16</t>
  </si>
  <si>
    <t>Sirena con luz estroboscópica 12V/24V, certificada UL</t>
  </si>
  <si>
    <t>1.02.17</t>
  </si>
  <si>
    <t>Fuente de alimentación para sirenas -Booster NAC de 10 Amp</t>
  </si>
  <si>
    <t>1.02.18</t>
  </si>
  <si>
    <t>Baterias 9 AH,12 Volt</t>
  </si>
  <si>
    <t>1.02.19</t>
  </si>
  <si>
    <t>1.02.20</t>
  </si>
  <si>
    <t>MÓDULOS</t>
  </si>
  <si>
    <t>1.02.21</t>
  </si>
  <si>
    <t>Módulo de monitoreo dual para válvula de sectorización y sensor de flujo</t>
  </si>
  <si>
    <t>1.02.22</t>
  </si>
  <si>
    <t>Módulo de monitoreo para zonificación de detectores convencionales* 33 zonas (1 zona por cada sótano / 1 zona por área común en pisos)</t>
  </si>
  <si>
    <t>1.02.23</t>
  </si>
  <si>
    <t>Módulo de monitoreo para interconexion en cuarto de bomba
* 1 para cada Valvula de succión/ 1 descarga / 1 prueba</t>
  </si>
  <si>
    <t>1.02.24</t>
  </si>
  <si>
    <t>Módulo de monitoreo para interconexion con Tablero ACI
* 2 en tablero BACI para monitoreo de encendido / falla /
* 1 para monitoreo de sensor de aniego</t>
  </si>
  <si>
    <t>1.02.25</t>
  </si>
  <si>
    <t>Módulo de control para interconexión con Grupo Electrógeno
* 1 en Tablero TC-TTA para el control del sistema</t>
  </si>
  <si>
    <t>1.02.26</t>
  </si>
  <si>
    <t>Módulo de control para interconexión con sistema Extracción de CO
* 1 en Tablero TC-CO para el control del sistema</t>
  </si>
  <si>
    <t>1.02.27</t>
  </si>
  <si>
    <t>Módulo de control para interconexión con sist. De ascensores
* 3 en Tablero de ascensor 1/2 para control de funcion de emergencia 1/2/3
* 3 en Tablero de ascensor 3/4 para control de funcion de emergencia 1/2/3</t>
  </si>
  <si>
    <t>1.02.28</t>
  </si>
  <si>
    <t>Módulo de control para interconexión con sistema presurizado y vest. Previo
* 4 en Tableros de ventilación para control de encendido y apagado</t>
  </si>
  <si>
    <t>1.02.29</t>
  </si>
  <si>
    <t>Módulo de señal para zonificación de sirenas por nivel</t>
  </si>
  <si>
    <t>1.02.30</t>
  </si>
  <si>
    <t>1.02.31</t>
  </si>
  <si>
    <t>1.02.32</t>
  </si>
  <si>
    <t>Cable cobre solido de incendio 2X18 / 2x16 FPL Cajas de 300m. Listado UL</t>
  </si>
  <si>
    <t>1.02.33</t>
  </si>
  <si>
    <t>Elementos auxiliares para la adecuación de Sistemas (autorroscantes, tarugos, cintillos, terminales, etc)</t>
  </si>
  <si>
    <t>1.02.34</t>
  </si>
  <si>
    <t>1.02.35</t>
  </si>
  <si>
    <t>1.02.36</t>
  </si>
  <si>
    <t>Cableado en montante de comunicación y energía</t>
  </si>
  <si>
    <t>1.02.37</t>
  </si>
  <si>
    <t>Cableado horizontal para dispositivosCableado horizontal para dispositivos</t>
  </si>
  <si>
    <t>1.02.38</t>
  </si>
  <si>
    <t>Instalación de equipos de iniciación: Detectores y estaciones manuales</t>
  </si>
  <si>
    <t>1.02.39</t>
  </si>
  <si>
    <t>Instalación de equipos de notificación: Sirenas y módulos.</t>
  </si>
  <si>
    <t>1.02.40</t>
  </si>
  <si>
    <t>Instalación y distribución de Fuente NAC para sirenas</t>
  </si>
  <si>
    <t>1.02.41</t>
  </si>
  <si>
    <t>Instalación de Panel DACI y complementos</t>
  </si>
  <si>
    <t>1.02.42</t>
  </si>
  <si>
    <t>Configuración de panel, pruebas de funcionamiento y puesta en marcha</t>
  </si>
  <si>
    <t>1.02.43</t>
  </si>
  <si>
    <t>1.02.44</t>
  </si>
  <si>
    <t>1.02.45</t>
  </si>
  <si>
    <t>01.03</t>
  </si>
  <si>
    <t>SISTEMA CCTV HIKVISION</t>
  </si>
  <si>
    <t>1.03.01</t>
  </si>
  <si>
    <t>CÁMARAS Y COMPLEMENTO</t>
  </si>
  <si>
    <t>1.03.02</t>
  </si>
  <si>
    <t>NVR 32 CANALES HIKVSION</t>
  </si>
  <si>
    <t>1.03.03</t>
  </si>
  <si>
    <t>NVR 16 CANALES HIKVISION</t>
  </si>
  <si>
    <t>1.03.04</t>
  </si>
  <si>
    <t>DISCO DURO 8TB WESTERN DIGITAL</t>
  </si>
  <si>
    <t>1.03.06</t>
  </si>
  <si>
    <t>EQUIPAMIENTO</t>
  </si>
  <si>
    <t>1.03.07</t>
  </si>
  <si>
    <t>TUBO IR BULLET 2MP LENTE 2.8MM</t>
  </si>
  <si>
    <t>1.03.08</t>
  </si>
  <si>
    <t>DOMO IP CON IR EXTERIOR 2MP 2.8MM</t>
  </si>
  <si>
    <t>1.03.09</t>
  </si>
  <si>
    <t>SWITCH 24PTOS POE</t>
  </si>
  <si>
    <t>1.03.10</t>
  </si>
  <si>
    <t>SWITCH 8PTOS POE</t>
  </si>
  <si>
    <t>1.03.11</t>
  </si>
  <si>
    <t>ORDENADORES DE CABLE</t>
  </si>
  <si>
    <t>1.03.12</t>
  </si>
  <si>
    <t>GABINETE 20 RU</t>
  </si>
  <si>
    <t>1.03.13</t>
  </si>
  <si>
    <t>MONITOR DE 32" LG</t>
  </si>
  <si>
    <t>ESTABILIZADOR 1000W</t>
  </si>
  <si>
    <t>SPLITER HDMI</t>
  </si>
  <si>
    <t>EXTENSOR HDMI</t>
  </si>
  <si>
    <t>REGLETTA DE PODER</t>
  </si>
  <si>
    <t>1.03.15</t>
  </si>
  <si>
    <t>ELEMENTOS AUXILIARES PARA LA ADECUACIÓN DE SISTEMA, AUTORROSCANTES, CINTILLOS, TERMINALES, ETC</t>
  </si>
  <si>
    <t>1.03.16</t>
  </si>
  <si>
    <t>CABLE UTP 4 CAT6 HIKVISION</t>
  </si>
  <si>
    <t>1.03.17</t>
  </si>
  <si>
    <t>1.03.25</t>
  </si>
  <si>
    <t>1.05</t>
  </si>
  <si>
    <t>SISTEMA DE GAS</t>
  </si>
  <si>
    <t>01.01.01.05</t>
  </si>
  <si>
    <t>Sistema de gas 2 puntos (cocina/horno - therma)
237 Departamentos
Redes internas PealPe
Montantes de cobre</t>
  </si>
  <si>
    <t>01.06</t>
  </si>
  <si>
    <t>1.06.01</t>
  </si>
  <si>
    <t>Inversor fotovoltaico de conexión a red 5kW (Huawei
SUN2000-5KTL-L1)</t>
  </si>
  <si>
    <t>1.06.02</t>
  </si>
  <si>
    <t>Módulo solar monocristalino, media celda tipo PERC, 550Wp
(Jinko Solar Tiger Pro 72HC)</t>
  </si>
  <si>
    <t>1.06.03</t>
  </si>
  <si>
    <t>1.06.04</t>
  </si>
  <si>
    <t>Medidor inteligente bidireccional para limitación exportación
de potencia (Huawei Smart Power Sensor DDSU666H)</t>
  </si>
  <si>
    <t>1.06.05</t>
  </si>
  <si>
    <t>Tablero de conexión AC (incl. Protecciones eléctricas)</t>
  </si>
  <si>
    <t>1.06.06</t>
  </si>
  <si>
    <t>Conexiones y accesorios</t>
  </si>
  <si>
    <t>1.06.07</t>
  </si>
  <si>
    <t>Manipulación, embalaje, y despacho.</t>
  </si>
  <si>
    <t>1.06.08</t>
  </si>
  <si>
    <t>Tablero de conexión AC (incl. Protecciones eléctricas)
Conexiones y accesorios
Manipulación, embalaje, y despacho.</t>
  </si>
  <si>
    <t>1.07</t>
  </si>
  <si>
    <t>PISCINAS</t>
  </si>
  <si>
    <t>1.07.01</t>
  </si>
  <si>
    <t>EQUIPO DE FILTRADO</t>
  </si>
  <si>
    <t>1.07.02</t>
  </si>
  <si>
    <t>TABLERO DE CONTROL</t>
  </si>
  <si>
    <t>1.07.03</t>
  </si>
  <si>
    <t>ACCESORIOS EMPOTRADOS</t>
  </si>
  <si>
    <t>1.07.04</t>
  </si>
  <si>
    <t>ILUMINACION</t>
  </si>
  <si>
    <t>1.07.05</t>
  </si>
  <si>
    <t>LAMINA DE PVC</t>
  </si>
  <si>
    <t>1.07.06</t>
  </si>
  <si>
    <t>1.07.07</t>
  </si>
  <si>
    <t>ESCALERA DE 3 PASOS</t>
  </si>
  <si>
    <t>CUARTO DE BOMBAS - ACI</t>
  </si>
  <si>
    <t>EQUIPAMIENTO CUARTO DE BOMBAS</t>
  </si>
  <si>
    <t>Costo al</t>
  </si>
  <si>
    <t>1.00</t>
  </si>
  <si>
    <t>SISTEMA DE PRESION CONSTANTE Y SUMIDEROS</t>
  </si>
  <si>
    <t>1.01</t>
  </si>
  <si>
    <t>SUMINISTRO E INSTALACIÓN SISTEMA DE PRESIÓN CONSTANTE Y VELOCIDAD VARIABLE ALTA PRESIÓN - 03 UND</t>
  </si>
  <si>
    <t>1.02</t>
  </si>
  <si>
    <t>ELECTROBOMBA MULTIETAPICA VERTICAL
MARCA: BARNES
MODELO: VSE 20 6-150
PUNTO DE OPERACIÓN: 6.78 lps // 68.5 m
Potencia: 15 HP
IMPULSOR Y VOLUTA EN INOX 304
TENSION DE TRABAJO : 220 V / TRIFÁSICO / 60 HZ
SUCCION (2 1/2") DESCARGA (2 1/2")
TABLERO VARIADOR 3X15 HP CON PLC 220 V 3F
PLC Marca: Schneider
03 Variadores Marca: LS</t>
  </si>
  <si>
    <t>Glb</t>
  </si>
  <si>
    <t>1.09</t>
  </si>
  <si>
    <t>SUMINISTRO E INSTALACIÓN SISTEMA DE PRESIÓN CONSTANTE Y VELOCIDAD VARIABLE MEDIA PRESIÓN - 03 UND</t>
  </si>
  <si>
    <t>1.10</t>
  </si>
  <si>
    <t>ELECTROBOMBA MULTIETAPICA VERTICAL
MARCA: BARNES
MODELO: VSE 15 8-150
PUNTO DE OPERACIÓN: 4.95 lps // 88.16 m
Potencia: 15 HP
IMPULSOR Y VOLUTA EN INOX 304
TENSION DE TRABAJO : 220 V / TRIFÁSICO / 60 HZ
SUCCION (2 1/2") DESCARGA (2 1/2")
TABLERO VARIADOR 3X15 HP CON PLC 220 V 3F
PLC Marca: Schneider
03 Variadores Marca: LS</t>
  </si>
  <si>
    <t>1.17</t>
  </si>
  <si>
    <t>SUMINISTRO E INSTALACIÓN SISTEMA DE PRESIÓN CONSTANTE Y VELOCIDAD VARIABLE BAJA PRESIÓN - 03 UND</t>
  </si>
  <si>
    <t>1.18</t>
  </si>
  <si>
    <t>ELECTROBOMBA MULTIETAPICA VERTICAL
MARCA: BARNES
MODELO: VSE 15 8-150
PUNTO DE OPERACIÓN: 4.63 lps // 107.8 m
Potencia: 15 HP
IMPULSOR Y VOLUTA EN INOX 304
TENSION DE TRABAJO : 220 V / TRIFÁSICO / 60 HZ
SUCCION (2 1/2") DESCARGA (2 1/2")
TABLERO VARIADOR 3X15 HP CON PLC 220 V 3F
PLC Marca: Schneider
03 Variadores Marca: LS</t>
  </si>
  <si>
    <t>1.25</t>
  </si>
  <si>
    <t>SUMINISTRO E INSTALACIÓN SISTEMA DE BOMBEO DE SUMIDERO - 02 UND</t>
  </si>
  <si>
    <t>1.26</t>
  </si>
  <si>
    <t>BOMBA SUMERGIBLE PARA AGUAS RESIDUALES
MARCA: BARNES
MODELO: NHE 3 30-2
PUNTO DE OPERACIÓN: 4.13 lps // 26.4 m
Potencia: 3 HP
CUERPO, CARCASA, IMPULSOR: Hierro fundido ASTM A-48, Clase 30
CON IMPULSOR DE 5.118"
DESCARGA: 3"</t>
  </si>
  <si>
    <t>1.33</t>
  </si>
  <si>
    <t>Instalación de sistema de presión constante de 09 bombas con succión de
6", descarga de 4"; manifold de succión de 6", manifold de descarga de 4"
- Se considera la succión en Inoxidable 304.
- Manifold en Acero Galvanizado.</t>
  </si>
  <si>
    <t>1.34</t>
  </si>
  <si>
    <t>Instalación en sistema de sumidero de 02 bombas, con descarga de 3"</t>
  </si>
  <si>
    <t>2.00</t>
  </si>
  <si>
    <t>EQUIPAMIENTO DE AGUA CONTRAINCENDIO - ELECTROBOMBA LISTADA</t>
  </si>
  <si>
    <t>2.01</t>
  </si>
  <si>
    <t>Equipo de Bombeo Contraincendios Electrobomba 500GPM @ 245PSI 125HP (LISTADA Y APROBADA)</t>
  </si>
  <si>
    <t>2.02</t>
  </si>
  <si>
    <t>ElectrobombaContraIncendiosTipoSPLITCASEmarcaPATTERSONmodelo5x3DMDseleccionada a 500GPM a 245 PSI de 125HP 230V 3Ø 60HZ</t>
  </si>
  <si>
    <t>2.03</t>
  </si>
  <si>
    <t>TableroEstrellatrianguloFiretrolUL/FMmodeloFTA1300-AM125A para motor 125HP/230V/3Ø/60HZ</t>
  </si>
  <si>
    <t>2.04</t>
  </si>
  <si>
    <t>ElectrobombamultietapicaverticalenaceroinoxtipoJockeymarcaWILOmodeloHelixFIRSTV218de4HP230V 3Ø 60HZ Caudal 5GPM @ 255 PSI</t>
  </si>
  <si>
    <t>2.05</t>
  </si>
  <si>
    <t>TablerodeControldeBombatipoJockeyFIRETROLFTA560F- AG004 A 3Ø/230V</t>
  </si>
  <si>
    <t>2.06</t>
  </si>
  <si>
    <t>MedidordeflujoranuradomarcaGlobalVisionmodelo6-500 de 6” UL/FM</t>
  </si>
  <si>
    <t>2.07</t>
  </si>
  <si>
    <t>2.08</t>
  </si>
  <si>
    <t>Instalación Equipo de Bombeo contraincendio en sala de Bombas succion de 6", descarga de 6" y retorno de pruebas de 4".</t>
  </si>
  <si>
    <t>2.09</t>
  </si>
  <si>
    <t>Suministro de materiales Sala de Bombas</t>
  </si>
  <si>
    <t>2.10</t>
  </si>
  <si>
    <t>MontajeelectromecanicodelEquipodeBombeoSaladebombas</t>
  </si>
  <si>
    <t>3.00</t>
  </si>
  <si>
    <t>SISTEMA DE AGUA CONTRAINCENDIO - ROCIADORES Y GABINETES</t>
  </si>
  <si>
    <t>3.01</t>
  </si>
  <si>
    <t>Suministro e Instalación de Sistema de la Red de Rociadores y Gabinetes</t>
  </si>
  <si>
    <t>3.02</t>
  </si>
  <si>
    <t>Suministro de materiales red de Gabinetes y Rociadores.</t>
  </si>
  <si>
    <t>3.03</t>
  </si>
  <si>
    <t>Montaje mecanico del sistema de Gabinetes y Rociadores</t>
  </si>
  <si>
    <t>3.04</t>
  </si>
  <si>
    <t>Gastos generales</t>
  </si>
  <si>
    <t>PRECIO</t>
  </si>
  <si>
    <t>ASCENSORES</t>
  </si>
  <si>
    <t>OBRAS CIVILES</t>
  </si>
  <si>
    <t>OBRAS CIVILES PARA LA COLOCACIÓN DE ASCENSOR</t>
  </si>
  <si>
    <t>ESTRUCTURAS (DINTELES METÁLICOS/COLUMNAS METÁLICAS)</t>
  </si>
  <si>
    <t>INSTALACIONES MECANICAS</t>
  </si>
  <si>
    <t>INSTALACIONS MECANICAS</t>
  </si>
  <si>
    <t>VENTILACION MECANICA</t>
  </si>
  <si>
    <t>SISTEMA DE EXTRACCION DE MONOXIDO</t>
  </si>
  <si>
    <t>EQUIPOS DE VENTILACION</t>
  </si>
  <si>
    <t>1.1.1</t>
  </si>
  <si>
    <t>EXTRACTOR AXIAL .
Código: EA-01 Marca: SYSTEMAIR
Caudal: 5,700 CFM@0.90" c.a. Tensión: 220 Volt-3F-60Hz</t>
  </si>
  <si>
    <t>Unid.</t>
  </si>
  <si>
    <t>1.1.2</t>
  </si>
  <si>
    <t>EXTRACTOR AXIAL .
Código: EA-02 Marca: SYSTEMAIR
Caudal: 4,700 CFM@0.90" c.a. Tensión: 220 Volt-3F-60Hz</t>
  </si>
  <si>
    <t>1.1.3</t>
  </si>
  <si>
    <t>EXTRACTOR AXIAL .
Código: EA-03 Marca: SYSTEMAIR
Caudal: 4,450 CFM@0.90" c.a. Tensión: 220 Volt-3F-60Hz</t>
  </si>
  <si>
    <t>1.1.4</t>
  </si>
  <si>
    <t>EXTRACTOR AXIAL .
Código: EA-04 Marca: SYSTEMAIR
Caudal: 5,850 CFM@0.90" c.a. Tensión: 220 Volt-3F-60Hz</t>
  </si>
  <si>
    <t>1.1.5</t>
  </si>
  <si>
    <t>INYECTOR AXIAL .
Código: IA-01
Marca:  SYSYTEM AIR
Caudal: 5,700 CFM@0.50" c.a. Tensión: 220 Volt-3F-60Hz</t>
  </si>
  <si>
    <t>1.1.6</t>
  </si>
  <si>
    <t>INYECTOR AXIAL .
Código: IA-02  Marca:  SYSTEMAIR
Caudal: 4,700 CFM@0.50" c.a. Tensión: 220 Volt-3F-60Hz</t>
  </si>
  <si>
    <t>1.1.7</t>
  </si>
  <si>
    <t>INYECTOR AXIAL .
Código: IA-05  Marca:  SYSTEMAIR
Caudal: 4,450 CFM@0.50" c.a. Tensión: 220 Volt-3F-60Hz</t>
  </si>
  <si>
    <t>1.1.8</t>
  </si>
  <si>
    <t>EXTRACTOR TIPO JET FAN
Código: VTI-01 Marca: SYSTEMAIR
Caudal: 4,100 CFM @0.00" C.A.
Tensión: 220 Volt-3F-60Hz 300°F por 2 Horas</t>
  </si>
  <si>
    <t>1.1.9</t>
  </si>
  <si>
    <t>Suministro e instalacion de Sensor de Monoxido, Marca GREYSTONE, CANADA, alimentación 24 VAC/VDC, Señal de 0- 10V/ 4-20mA y Rango lectura 0-200ppm CO, para montaje en pared.</t>
  </si>
  <si>
    <t>DUCTERIA PARA LA VENTILACION</t>
  </si>
  <si>
    <t>1.2.1</t>
  </si>
  <si>
    <t>Suministro e instalación de ductos fabricados en plancha galvanizada, para Extraccion de Monoxido, según norma internacional SMACNA, incluye anclaje y soporteria.</t>
  </si>
  <si>
    <t>Kgrs.</t>
  </si>
  <si>
    <t>1.2.2</t>
  </si>
  <si>
    <t>Suministro e instalación de rejillas de extracción de aire de Fabricación Nacional, fabricada en plancha galvanizada pintado al horno y acabado de color blanco o de acuerdo de arquitectura.</t>
  </si>
  <si>
    <t>Plg2.</t>
  </si>
  <si>
    <t>1.2.3</t>
  </si>
  <si>
    <t>Suministro e instalación de Dampers de Gravedad, de Fabricación Nacional, fabricada en marco de plancha galvanizada y aletas de aluminio.</t>
  </si>
  <si>
    <t>1.2.4</t>
  </si>
  <si>
    <t>Cableado de sensores de monóxido.</t>
  </si>
  <si>
    <t>INSTALACION DE VENTILADORES</t>
  </si>
  <si>
    <t>1.3.1</t>
  </si>
  <si>
    <t>Instalaciòn de equipos de ventilacion.
Montaje de equipo incluye anclajes y soporteria. Tablero de control marca Himell.
Contactores y Relays, marca Schneider Leds, Pulsadores y MOA.
Conexión eléctrica de fuerza ( Punto dejado máx 1 metro del equipo) Pruebas y ajustes.
Puesta en marcha.</t>
  </si>
  <si>
    <t>Globo.</t>
  </si>
  <si>
    <t>SISTEMA DE VESTIBULOS PREVIOS - ESCALERAS</t>
  </si>
  <si>
    <t>2.1.1</t>
  </si>
  <si>
    <t>INYECTOR AXIAL.
Código: IA-05
Marca: SYSYTEM AIR
Caudal: 385 CFM@0.20" c.a. Tensión: 220 Volt-1F-60Hz</t>
  </si>
  <si>
    <t>2.1.2</t>
  </si>
  <si>
    <t>EXTRACTOR AXIAL.
Código: EA-05
Marca: SYSYTEM AIR
Caudal: 580 CFM@0.20" c.a. Tensión: 220 Volt-1F-60Hz</t>
  </si>
  <si>
    <t>2.1.3</t>
  </si>
  <si>
    <t>INYECTOR AXIAL.
Código: IA-06
Marca: SYSYTEM AIR
Caudal: 440 CFM@0.20" c.a. Tensión: 220 Volt-1F-60Hz</t>
  </si>
  <si>
    <t>2.1.4</t>
  </si>
  <si>
    <t>EXTRACTOR AXIAL.
Código: EA-06
Marca: SYSYTEM AIR
Caudal: 330 CFM@0.20" c.a. Tensión: 220 Volt-1F-60Hz</t>
  </si>
  <si>
    <t>2.1.5</t>
  </si>
  <si>
    <t>EXTRACTOR CENTRIFUGO.
Código: EC-02
Marca: SYSYTEM AIR
Caudal: 14,500 CFM@0.70" c.a. Tensión: 220 Volt-3F-60Hz</t>
  </si>
  <si>
    <t>2.1.6</t>
  </si>
  <si>
    <t>EXTRACTOR CENTRIFUGO.
Código: EC-03
Marca: SYSYTEM AIR
Caudal: 16,500 CFM@0.70" c.a. Tensión: 220 Volt-3F-60Hz</t>
  </si>
  <si>
    <t>2.1.7</t>
  </si>
  <si>
    <t>INYECTOR CENTRIFUGO.
Código: IC-02
Marca: SYSYTEM AIR
Caudal: 9,625 CFM@0.50" c.a. Tensión: 220 Volt-3F-60Hz</t>
  </si>
  <si>
    <t>2.1.8</t>
  </si>
  <si>
    <t>INYECTOR CENTRIFUGO.
Código: IC-03
Marca: SYSYTEM AIR
Caudal: 11,000 CFM@0.50" c.a. Tensión: 220 Volt-3F-60Hz</t>
  </si>
  <si>
    <t>2.1.9</t>
  </si>
  <si>
    <t>INYECTOR CENTRIFUGO.
Código: IC-05
Marca: SYSYTEM AIR
Caudal: 5,700 CFM@1.20" c.a. Tensión: 220 Volt-3F-60Hz</t>
  </si>
  <si>
    <t>2.1.10</t>
  </si>
  <si>
    <t>Suministro e instalacion de Detector de humo en ducto, Marca GREYSTONE, modelo SM-501-N, 230VAC/60Hz, con 2 alarmas , reset, con cabeza intercambiable ionizable-fotoeléctrica, compatible con sistemas de alarma conta incendio, (Standars - UL &amp; CUL listed)</t>
  </si>
  <si>
    <t>2.2.1</t>
  </si>
  <si>
    <t>Suministro e instalación de ductos fabricados en plancha galvanizada, para inyeccion de aire fresco, según norma internacional SMACNA, incluye anclaje y soporteria.</t>
  </si>
  <si>
    <t>2.2.2</t>
  </si>
  <si>
    <t>2.2.3</t>
  </si>
  <si>
    <t>Suministro e instalación de Damper barométrico, Marca ENERTECH
O SIMILAR, modelo BR-30, instalación vertical, flujo horizontal, excéntricamente articulado para bajas velocidades, marco galvanizado:
- 19" x 19".</t>
  </si>
  <si>
    <t>2.2.4</t>
  </si>
  <si>
    <t>Suministro e instalación de filtro de malla sintética color azul de 1" de espesor, con marco de plancha galvanizada y refuerzo respectivo.</t>
  </si>
  <si>
    <t>2.3.1</t>
  </si>
  <si>
    <t>SISTEMA DE VENTILACION DE  BAÑOS.</t>
  </si>
  <si>
    <t>EQUIPOS DE VENTILACION DE BAÑOS.</t>
  </si>
  <si>
    <t>3.1.1</t>
  </si>
  <si>
    <t>EXTRACTOR AXIAL
Código: EA-07 Marca: SYSTEMAIR
Caudal: 100 CFM@0.03"c.a.
Tensión: 220 Volt-1F-60Hz</t>
  </si>
  <si>
    <t>3.1.2</t>
  </si>
  <si>
    <t>EXTRACTOR AXIAL
Código: EA-08 Marca: SYSTEMAIR
Caudal: 120 CFM@0.04"c.a.
Tensión: 220 Volt-1F-60Hz</t>
  </si>
  <si>
    <t>3.1.3</t>
  </si>
  <si>
    <t>EXTRACTOR AXIAL
Código: EA-09 Marca: SYSTEMAIR
Caudal: 155 CFM@0.04"c.a.
Tensión: 220 Volt-1F-60Hz</t>
  </si>
  <si>
    <t>3.1.4</t>
  </si>
  <si>
    <t>EXTRACTOR HELICOCENTRIFUGO
Código: EHC-02 Marca: SYSTEMAIR
Caudal: 220 CFM@0.20"c.a.
Tensión: 220 Volt-1F-60Hz</t>
  </si>
  <si>
    <t>3.1.5</t>
  </si>
  <si>
    <t>EXTRACTOR HELICOCENTRIFUGO
Código: EHC-03 Marca: SYSTEMAIR
Caudal: 265 CFM@0.20"c.a.
Tensión: 220 Volt-1F-60Hz</t>
  </si>
  <si>
    <t>3.1.6</t>
  </si>
  <si>
    <t>EXTRACTOR CENTRIFUGO
Código: EC-06 Marca:  SYSTEMAIR
Caudal: 2,985 CFM@0.50"c.a.
Tensión: 220 Volt-3F-60Hz</t>
  </si>
  <si>
    <t>3.1.7</t>
  </si>
  <si>
    <t>EXTRACTOR CENTRIFUGO
Código: EC-07 Marca:  SYSTEMAIR
Caudal: 1,150 CFM@0.50"c.a.
Tensión: 220 Volt-3F-60Hz</t>
  </si>
  <si>
    <t>3.1.8</t>
  </si>
  <si>
    <t>EXTRACTOR CENTRIFUGO
Código: EC-08 Marca:  SYSTEMAIR
Caudal: 3,090 CFM@0.50"c.a.
Tensión: 220 Volt-3F-60Hz</t>
  </si>
  <si>
    <t>3.1.9</t>
  </si>
  <si>
    <t>EXTRACTOR CENTRIFUGO
Código: EC-09 Marca:  SYSTEMAIR
Caudal: 3,170 CFM@0.50"c.a.
Tensión: 220 Volt-3F-60Hz</t>
  </si>
  <si>
    <t>3.1.10</t>
  </si>
  <si>
    <t>EXTRACTOR CENTRIFUGO
Código: EC-10 Marca:  SYSTEMAIR
Caudal: 1,200 CFM@0.50"c.a.
Tensión: 220 Volt-3F-60Hz</t>
  </si>
  <si>
    <t>3.1.11</t>
  </si>
  <si>
    <t>EXTRACTOR CENTRIFUGO
Código: EC-11 Marca:  SYSTEMAIR
Caudal: 1,300 CFM@0.50"c.a.
Tensión: 220 Volt-3F-60Hz</t>
  </si>
  <si>
    <t>3.1.12</t>
  </si>
  <si>
    <t>EXTRACTOR CENTRIFUGO
Código: EC-12 Marca:  SYSTEMAIR
Caudal: 1,320 CFM@0.50"c.a.
Tensión: 220 Volt-3F-60Hz</t>
  </si>
  <si>
    <t>3.1.13</t>
  </si>
  <si>
    <t>EXTRACTOR CENTRIFUGO
Código: EC-13 Marca:  SYSTEMAIR
Caudal: 3,065 CFM@0.50"c.a.
Tensión: 220 Volt-3F-60Hz</t>
  </si>
  <si>
    <t>3.1.14</t>
  </si>
  <si>
    <t>EXTRACTOR CENTRIFUGO
Código: EC-14 Marca:  SYSTEMAIR
Caudal: 2,660 CFM@0.50"c.a.
Tensión: 220 Volt-3F-60Hz</t>
  </si>
  <si>
    <t>3.1.15</t>
  </si>
  <si>
    <t>EXTRACTOR CENTRIFUGO
Código: EC-15 Marca:  SYSTEMAIR
Caudal: 2,490 CFM@0.50"c.a.
Tensión: 220 Volt-3F-60Hz</t>
  </si>
  <si>
    <t>3.1.16</t>
  </si>
  <si>
    <t>EXTRACTOR CENTRIFUGO
Código: EC-16 Marca:  SYSTEMAIR
Caudal: 2,935 CFM@0.50"c.a.
Tensión: 220 Volt-3F-60Hz</t>
  </si>
  <si>
    <t>3.2.1</t>
  </si>
  <si>
    <t>3.2.2</t>
  </si>
  <si>
    <t>3.2.3</t>
  </si>
  <si>
    <t>Suministro e instalación de Dampers de Gravedad, de Fabricación
Nacional, fabricada en marco de plancha galvanizada y aletas de aluminio.</t>
  </si>
  <si>
    <t>3.2.4</t>
  </si>
  <si>
    <t>Suministro e instalación de Damper Cortafuego de fusible, Marca ENERTECH O SIMILAR, , instalación vertical, flujo horizontal, marco galvanizado.</t>
  </si>
  <si>
    <t>3.3.1</t>
  </si>
  <si>
    <t>Instalaciòn de equipos de ventilacion. Montaje de equipo incluye anclajes.
Conexión eléctrica de fuerza ( Punto dejado máx 1 metro del equipo) Pruebas y ajustes.
Puesta en marcha.
Nota: El ventilador axial funcionara con la luminaria.</t>
  </si>
  <si>
    <t>SISTEMA DE VENTILACION DE CUARTO DE BASURA.</t>
  </si>
  <si>
    <t>EQUIPOS DE VENTILACION DE CUARTO DE BASURA.</t>
  </si>
  <si>
    <t>4.1.1</t>
  </si>
  <si>
    <t>EXTRACTOR CENTRIFUGO
Código: EC-05
Marca: SYSYTEM AIR
Caudal: 1,510 CFM@0.50"c.a.
Tensión: 220 Volt-3F-60Hz</t>
  </si>
  <si>
    <t>4.1.2</t>
  </si>
  <si>
    <t>EXTRACTOR HELICOCENTRIFUGO
Código: EHC-01 Marca: SYSYTEM AIR
Caudal: 260 CFM@0.20"c.a.
Tensión: 220 Volt-1F-60Hz</t>
  </si>
  <si>
    <t>4.2.1</t>
  </si>
  <si>
    <t>4.2.2</t>
  </si>
  <si>
    <t>4.2.3</t>
  </si>
  <si>
    <t>Suministro e instalación de Damper Cortafuego de fusible, Marca
ENERTECH O SIMILAR, , instalación vertical, flujo horizontal, marco galvanizado.</t>
  </si>
  <si>
    <t>4.3.1</t>
  </si>
  <si>
    <t>SISTEMA DE VENTILACION DE CUARTO DE BOMBAS</t>
  </si>
  <si>
    <t>EQUIPOS DE VENTILACION DE CUARTO DE BOMBAS.</t>
  </si>
  <si>
    <t>5.1.1</t>
  </si>
  <si>
    <t>EXTRACTOR CENTRIFUGO
Código: EC-01
Marca: SYSYTEM AIR
Caudal: 2,920 CFM@0.70"c.a.
Tensión: 220 Volt-3F-60Hz</t>
  </si>
  <si>
    <t>5.1.2</t>
  </si>
  <si>
    <t>INYECTOR CENTRIFUFO
Código: IC-01
Marca: SYSYTEM AIR
Caudal: 2,950 CFM@0.70"c.a.
Tensión: 220 Volt-3F-60Hz</t>
  </si>
  <si>
    <t>5.2.1</t>
  </si>
  <si>
    <t>5.2.2</t>
  </si>
  <si>
    <t>Suministro e instalación de rejillas de extracción de aire de
Fabricación Nacional, fabricada en plancha galvanizada pintado al horno y acabado de color blanco o de acuerdo de arquitectura.</t>
  </si>
  <si>
    <t>5.2.3</t>
  </si>
  <si>
    <t>5.2.4</t>
  </si>
  <si>
    <t>5.3.1</t>
  </si>
  <si>
    <t>SISTEMA DE VENTILACION DE CUARTOS DE GRUPO ELECTROGENO</t>
  </si>
  <si>
    <t>6.2.1</t>
  </si>
  <si>
    <t>Suministro e instalación de ductos fabricados en plancha galvanizada, para inyeccion de aire fresco, según norma
internacional SMACNA, incluye anclaje y soporteria.</t>
  </si>
  <si>
    <t>6.2.2</t>
  </si>
  <si>
    <t>Suministro e instalación de rejillas de extracción de aire de Fabricación Nacional, fabricada en plancha galvanizada pintado al
horno y acabado de color blanco o de acuerdo de arquitectura.</t>
  </si>
  <si>
    <t>SISTEMA DE VENTILACION DE PASILLOS</t>
  </si>
  <si>
    <t>EQUIPOS DE VENTILACION DE PASILLOS,</t>
  </si>
  <si>
    <t>7.1.1</t>
  </si>
  <si>
    <t>INYECTOR CENTRIFUGO
Código: IC-04 Marca: SYSTEMAIR
Caudal: 6,740 CFM@1.00"c.a.
Tensión: 220 Volt-3F-60Hz</t>
  </si>
  <si>
    <t>7.1.2</t>
  </si>
  <si>
    <t>EXTRACTOR CENTRIFUGO
Código: EC-04 Marca: SYSTEMAIR
Caudal: 6,740 CFM@1.00"c.a.
Tensión: 220 Volt-3F-60Hz</t>
  </si>
  <si>
    <t>7.2.1</t>
  </si>
  <si>
    <t>7.2.2</t>
  </si>
  <si>
    <t>7.2.3</t>
  </si>
  <si>
    <t>7.3.1</t>
  </si>
  <si>
    <t>SISTEMA DE VENTILACION DE COCINA LOCAL COMERCIAL 01</t>
  </si>
  <si>
    <t>8.1.1</t>
  </si>
  <si>
    <t>Suministro e instalación de ductos fabricados en plancha de Fierro Negro, para Cocina, según norma internacional SMACNA, incluye anclaje y soporteria.</t>
  </si>
  <si>
    <t>SISTEMA DE VENTILACION DE LOBBY</t>
  </si>
  <si>
    <t>EQUIPOS DE }VENTILACION DE LOBBY</t>
  </si>
  <si>
    <t>9.1.1</t>
  </si>
  <si>
    <t>EXTRACTOR HELICOCENTRIFUGO
Código: EHC-07 Marca: SYSTEMAIR
Caudal: 700 CFM@0.3"c.a.
Tensión: 220 Volt-1F-60Hz</t>
  </si>
  <si>
    <t>9.2.1</t>
  </si>
  <si>
    <t>9.2.2</t>
  </si>
  <si>
    <t>9.2.3</t>
  </si>
  <si>
    <t>Suministro e instalación de filtro de malla merv 8.</t>
  </si>
  <si>
    <t>9.2.4</t>
  </si>
  <si>
    <t>9.3.1</t>
  </si>
  <si>
    <t>SISTEMA DE VENTILACION DE CINE, COWORKING Y LAVANDERIA</t>
  </si>
  <si>
    <t>EQUIPOS DE VENTILACION DE CINE, COWORKING Y LAVANDERIA</t>
  </si>
  <si>
    <t>10.10.01</t>
  </si>
  <si>
    <t>EXTRACTOR HELICOCENTRIFUGO
Código: EHC-05 Marca: SYSTEMAIR
Caudal: 1,510 CFM@0.50"c.a.
Tensión: 220 Volt-1F-60Hz</t>
  </si>
  <si>
    <t>10.10.02</t>
  </si>
  <si>
    <t>INYECTOR HELICOCENTRIFUGO
Código: IHC-01 Marca: SYSTEMAIR
Caudal: 1,510 CFM@0.50"c.a.
Tensión: 220 Volt-1F-60Hz</t>
  </si>
  <si>
    <t>10.10.03</t>
  </si>
  <si>
    <t>EXTRACTOR HELICOCENTRIFUGO
Código: EHC-06 Marca: SYSTEMAIR
Caudal: 325 CFM@0.20"c.a.
Tensión: 220 Volt-1F-60Hz</t>
  </si>
  <si>
    <t>10.10.04</t>
  </si>
  <si>
    <t>INYECTOR HELICOCENTRIFUGO
Código: IHC-02 Marca: SYSTEMAIR
Caudal: 325 CFM@0.20"c.a.
Tensión: 220 Volt-1F-60Hz</t>
  </si>
  <si>
    <t>10.10.05</t>
  </si>
  <si>
    <t>EXTRACTOR HELICOCENTRIFUGO
Código: EHC-04 Marca: SYSTEMAIR
Caudal: 1,160 CFM@0.50"c.a.
Tensión: 220 Volt-1F-60Hz</t>
  </si>
  <si>
    <t>10.20.01</t>
  </si>
  <si>
    <t>10.20.02</t>
  </si>
  <si>
    <t>10.30.01</t>
  </si>
  <si>
    <t>SISTEMA DE AIRE ACONDICIONADO - TUBERIAS DE COBRE</t>
  </si>
  <si>
    <t>TUBERIAS DE COBRE</t>
  </si>
  <si>
    <t>11.10.01</t>
  </si>
  <si>
    <t>Suministro  e instalación  del sistema de tuberías para expansión directa, de tuberías de cobre Tipo L, según medidas adecuadas para esta instalación.</t>
  </si>
  <si>
    <t>Uso de equipos de protección personal, pólizas de seguro, gastos administrativos, transporte de equipos y personal.</t>
  </si>
  <si>
    <t>GRUPO ELECTROGENO</t>
  </si>
  <si>
    <t xml:space="preserve">GRUPO ELECTRÓGENO CUMMINS STAMFORD - ENCAPSULADO 200kW
Incluye: Comap AMF25,
Cargador de baterias,
Calentador de block,
Resistencia Deshumedecedora,
Tarjeta BIO8,
Visor de nivel de combustible,
Sensor de nivel de combustible,
Main switch,
Baterias (24V),
Aceite y Refrigerante.
</t>
  </si>
  <si>
    <t>ACCESORIOS ADICIONALES
PMG</t>
  </si>
  <si>
    <t>TRANSPORTE Y DESCARGA GE
TRANSPORTE GE, DESARMADO Y ARMADO GE, MANIOBRA DE DESCARGA, ALQUILER MONTACARGAS</t>
  </si>
  <si>
    <t>INSTALACION MECANICA
INSTALACIÓN TUBERÍA DE ESCAPE, DUCTO DE AIRE CALIENTE, ENCHAQUETADO,
ANCLAJE GE, DOSSIER DE CALIDAD</t>
  </si>
  <si>
    <t>INSTALACION ELECTRICA
APOYO CON EL CONEXIONADO ELÉCTRICO</t>
  </si>
  <si>
    <t>SUMINISTRO DE COMBUSTIBLE
COMBUSTIBLE AL 100%</t>
  </si>
  <si>
    <t>PLAN DE MANTENIMIENTO
PRIMER MANTENIMIENTO REGIMEN STAND BY</t>
  </si>
  <si>
    <t>Suministro e instalación de ascensores 1 y 2 . Incluye: 
*MARCA: Powertrech
*MODELO: M300
*CAPACIDAD : 8Pasajeros</t>
  </si>
  <si>
    <t>Suministro e instalación de ascensores 3 y 4 . Incluye: 
*MARCA: Powertrech
*MODELO: M300
*CAPACIDAD : 8Pasajeros</t>
  </si>
  <si>
    <t>Suministro e instalación de ascensore 5 . Incluye: 
*MARCA: Powertrech
*MODELO: M300
*CAPACIDAD : 8Pasajeros</t>
  </si>
  <si>
    <t>VIGAS DIVISORIAS</t>
  </si>
  <si>
    <t>INSTALACIONES SANITARIAS</t>
  </si>
  <si>
    <t>SISTEMA DE AGUA FRÍA</t>
  </si>
  <si>
    <t>01.01.01</t>
  </si>
  <si>
    <t xml:space="preserve">    SALIDAS DE AGUA FRIA (EN POLIPROPILENO)</t>
  </si>
  <si>
    <t>01.01.01.01</t>
  </si>
  <si>
    <t xml:space="preserve">        SALIDA AGUA FRIA PPR 20mm (Ø1/2")</t>
  </si>
  <si>
    <t>pto</t>
  </si>
  <si>
    <t>01.01.01.02</t>
  </si>
  <si>
    <t xml:space="preserve">        SALIDA AGUA FRIA PPR 25mm(3/4")</t>
  </si>
  <si>
    <t>01.01.01.04</t>
  </si>
  <si>
    <t xml:space="preserve">        SALIDA AGUA FRIA PPR 50mm(1.1/2")</t>
  </si>
  <si>
    <t>01.01.02</t>
  </si>
  <si>
    <t xml:space="preserve">    REDES DE DISTRIBUCION DE AGUA (EN POLIPROPILENO)</t>
  </si>
  <si>
    <t>01.01.02.01</t>
  </si>
  <si>
    <t xml:space="preserve">        TUBERIA PPR PN-10 EMPOTRADA DE 1/2"</t>
  </si>
  <si>
    <t>01.01.02.02</t>
  </si>
  <si>
    <t xml:space="preserve">        TUBERIA PPR PN-10 EMPOTRADA DE 3/4"</t>
  </si>
  <si>
    <t>01.01.02.03</t>
  </si>
  <si>
    <t xml:space="preserve">        TUBERIA PPR PN-10 EMPOTRADA DE 1"</t>
  </si>
  <si>
    <t>01.01.02.04</t>
  </si>
  <si>
    <t xml:space="preserve">        TUBERIA PPR PN-10 EMPOTRADA DE 1.1/4"</t>
  </si>
  <si>
    <t>01.01.02.05</t>
  </si>
  <si>
    <t xml:space="preserve">        TUBERIA PPR PN-10 EMPOTRADA DE 1.1/2"</t>
  </si>
  <si>
    <t>01.01.02.06</t>
  </si>
  <si>
    <t xml:space="preserve">        TUBERIA PPR PN-10 EMPOTRADA DE 2"</t>
  </si>
  <si>
    <t>01.01.02.09</t>
  </si>
  <si>
    <t xml:space="preserve">        TUBERIA PPR PN-10 COLGADA DE 1/2"</t>
  </si>
  <si>
    <t>01.01.02.10</t>
  </si>
  <si>
    <t xml:space="preserve">        TUBERIA PPR PN-10 COLGADA DE 3/4"</t>
  </si>
  <si>
    <t>01.01.02.11</t>
  </si>
  <si>
    <t xml:space="preserve">        TUBERIA PPR PN-10 COLGADA DE 1"</t>
  </si>
  <si>
    <t>01.01.02.12</t>
  </si>
  <si>
    <t xml:space="preserve">        TUBERIA PPR PN-10 COLGADA DE 1.1/2"</t>
  </si>
  <si>
    <t>01.01.02.16</t>
  </si>
  <si>
    <t xml:space="preserve">        TUBERIA PPR PN-10 COLGADA DE 4"</t>
  </si>
  <si>
    <t>01.01.03</t>
  </si>
  <si>
    <t xml:space="preserve">    MONTANTE DE AGUA FRIA (EN POLIPROPILENO)</t>
  </si>
  <si>
    <t>01.01.03.02</t>
  </si>
  <si>
    <t xml:space="preserve">        TUBERIA PPR PN-10 ADOSADA DE 1.1/2"</t>
  </si>
  <si>
    <t>01.01.03.04</t>
  </si>
  <si>
    <t xml:space="preserve">        TUBERIA PPR PN-10 ADOSADA DE 2.1/2"</t>
  </si>
  <si>
    <t>01.01.03.05</t>
  </si>
  <si>
    <t xml:space="preserve">        TUBERIA PPR PN-10 ADOSADA DE 3"</t>
  </si>
  <si>
    <t>01.01.03.06</t>
  </si>
  <si>
    <t xml:space="preserve">        TUBERIA PPR PN-10 ADOSADA DE 4"</t>
  </si>
  <si>
    <t>01.01.04</t>
  </si>
  <si>
    <t xml:space="preserve">    LLAVES Y VALVULAS - RED DE DESTRIBUCION (SIST. POLIPROPILENO)</t>
  </si>
  <si>
    <t>01.01.04.01</t>
  </si>
  <si>
    <t xml:space="preserve">        LLAVE DE PASO SIST. POLIPROPILENO 20mm (1/2")</t>
  </si>
  <si>
    <t>01.01.04.02</t>
  </si>
  <si>
    <t xml:space="preserve">        LLAVE DE PASO SIST. POLIPROPILENO 25mm (3/4")</t>
  </si>
  <si>
    <t>01.01.04.03</t>
  </si>
  <si>
    <t xml:space="preserve">        LLAVE DE PASO SIST. POLIPROPILENO 32mm (1")</t>
  </si>
  <si>
    <t>01.01.04.05</t>
  </si>
  <si>
    <t xml:space="preserve">        LLAVE DE PASO SIST. POLIPROPILENO (1.1/2")</t>
  </si>
  <si>
    <t>01.01.05</t>
  </si>
  <si>
    <t xml:space="preserve">    PRUEBAS HIDRAULICAS</t>
  </si>
  <si>
    <t>01.01.05.01</t>
  </si>
  <si>
    <t xml:space="preserve">        PRUEBA HIDRAULICA PARA AGUA FRIA</t>
  </si>
  <si>
    <t>01.01.05.02</t>
  </si>
  <si>
    <t xml:space="preserve">        LIMPIEZA Y DESINFECCION DE TUBERIAS  AGUA FRIA</t>
  </si>
  <si>
    <t>01.01.05.03</t>
  </si>
  <si>
    <t xml:space="preserve">        LIMPIEZA Y DESINFECCION DE CISTERNAS</t>
  </si>
  <si>
    <t>01.01.06</t>
  </si>
  <si>
    <t xml:space="preserve">    VARIOS</t>
  </si>
  <si>
    <t>01.01.06.01</t>
  </si>
  <si>
    <t xml:space="preserve">        MEDIDOR DE AGUA DE 3/4" (INC. BATERIA)</t>
  </si>
  <si>
    <t>01.01.06.02</t>
  </si>
  <si>
    <t xml:space="preserve">        MEDIDOR DE AGUA DE 1" (INC. BATERIA)</t>
  </si>
  <si>
    <t>01.01.06.04</t>
  </si>
  <si>
    <t xml:space="preserve">        GRIFO DE RIEGO 1/2"</t>
  </si>
  <si>
    <t>01.01.07</t>
  </si>
  <si>
    <t xml:space="preserve">    CUARTO DE BOMBAS</t>
  </si>
  <si>
    <t>01.01.07.01</t>
  </si>
  <si>
    <t xml:space="preserve">        BRIDA ROMPEAGUA3"</t>
  </si>
  <si>
    <t>01.01.07.02</t>
  </si>
  <si>
    <t xml:space="preserve">        BRIDA ROMPEAGUA 4"</t>
  </si>
  <si>
    <t>01.01.07.03</t>
  </si>
  <si>
    <t xml:space="preserve">        BRIDA ROMPEAGUA 6"</t>
  </si>
  <si>
    <t>01.01.07.04</t>
  </si>
  <si>
    <t xml:space="preserve">        VALVULA FLOTADORA DE 2"</t>
  </si>
  <si>
    <t>01.01.07.05</t>
  </si>
  <si>
    <t xml:space="preserve">        VALVULA COMPUERTA DE 2"</t>
  </si>
  <si>
    <t>01.01.07.06</t>
  </si>
  <si>
    <t xml:space="preserve">        VALVULA COMPUERTA DE 4"</t>
  </si>
  <si>
    <t>SISTEMA DE AGUA CALIENTE</t>
  </si>
  <si>
    <t>01.02.01</t>
  </si>
  <si>
    <t xml:space="preserve">    SALIDAS DE AGUA CALIENTE (EN POLIPROPILENO)</t>
  </si>
  <si>
    <t>01.02.01.01</t>
  </si>
  <si>
    <t xml:space="preserve">        SALIDA AGUA CALIENTE PPR 20mm (Ø1/2")</t>
  </si>
  <si>
    <t>01.02.01.02</t>
  </si>
  <si>
    <t xml:space="preserve">        SALIDA AGUA CALIENTE PPR 25mm (Ø3/4")</t>
  </si>
  <si>
    <t>01.02.02</t>
  </si>
  <si>
    <t xml:space="preserve">    REDES DE DISTRIBUCION DE AGUA CALIENTE (EN POLIPROPILENO)</t>
  </si>
  <si>
    <t>01.02.02.01</t>
  </si>
  <si>
    <t xml:space="preserve">        TUBERIA PPR PN-16 EMPOTRADA DE 1/2"</t>
  </si>
  <si>
    <t>01.02.02.02</t>
  </si>
  <si>
    <t xml:space="preserve">        TUBERIA PPR PN-16 EMPOTRADA DE 3/4"</t>
  </si>
  <si>
    <t>01.02.03</t>
  </si>
  <si>
    <t>01.02.03.01</t>
  </si>
  <si>
    <t>01.02.03.02</t>
  </si>
  <si>
    <t>01.02.04</t>
  </si>
  <si>
    <t>01.02.04.01</t>
  </si>
  <si>
    <t xml:space="preserve">        PRUEBA HIDRAULICA PARA AGUA CALIENTE Y DESINFECCION</t>
  </si>
  <si>
    <t>SISTEMA DE DESAGUE</t>
  </si>
  <si>
    <t>01.03.01</t>
  </si>
  <si>
    <t xml:space="preserve">    SALIDAS DE DRENAJE, DESAGUE Y VENTILACION</t>
  </si>
  <si>
    <t>01.03.01.01</t>
  </si>
  <si>
    <t xml:space="preserve">        SALIDA DESAGUE DE PVC SAP 2"</t>
  </si>
  <si>
    <t>01.03.01.02</t>
  </si>
  <si>
    <t xml:space="preserve">        SALIDA DESAGUE DE PVC SAP 2" (VALVULA DE ADMISION)</t>
  </si>
  <si>
    <t>01.03.01.04</t>
  </si>
  <si>
    <t xml:space="preserve">        SALIDA DESAGUE DE PVC SAP 3"</t>
  </si>
  <si>
    <t>01.03.01.05</t>
  </si>
  <si>
    <t xml:space="preserve">        SALIDA DESAGUE DE PVC SAP 4"</t>
  </si>
  <si>
    <t>01.03.01.06</t>
  </si>
  <si>
    <t xml:space="preserve">        SALIDA DESAGUE DE PVC SAP 6"</t>
  </si>
  <si>
    <t>01.03.01.07</t>
  </si>
  <si>
    <t xml:space="preserve">        SALIDA VENTILACION DE PVC SAP 2"</t>
  </si>
  <si>
    <t>01.03.02</t>
  </si>
  <si>
    <t xml:space="preserve">    REDES DE DESAGUE Y DRENAJE</t>
  </si>
  <si>
    <t>01.03.02.01</t>
  </si>
  <si>
    <t xml:space="preserve">        TUBERIA PVC SAP EMPOTRADA DE 2"</t>
  </si>
  <si>
    <t>01.03.02.02</t>
  </si>
  <si>
    <t xml:space="preserve">        TUBERIA PVC SAP EMPOTRADA DE 3"</t>
  </si>
  <si>
    <t>01.03.02.03</t>
  </si>
  <si>
    <t xml:space="preserve">        TUBERIA PVC SAP EMPOTRADA DE 4"</t>
  </si>
  <si>
    <t>01.03.02.04</t>
  </si>
  <si>
    <t xml:space="preserve">        TUBERIA VENTILACION PVC SAL EMPOTRADA DE 2"</t>
  </si>
  <si>
    <t>01.03.02.05</t>
  </si>
  <si>
    <t xml:space="preserve">        TUBERIA VENTILACION PVC SAL EMPOTRADA DE 3"</t>
  </si>
  <si>
    <t>01.03.02.06</t>
  </si>
  <si>
    <t xml:space="preserve">        TUBERIA VENTILACION PVC SAL EMPOTRADA DE 4"</t>
  </si>
  <si>
    <t>01.03.03</t>
  </si>
  <si>
    <t xml:space="preserve">    REDES ENTERRADAS</t>
  </si>
  <si>
    <t>01.03.03.02</t>
  </si>
  <si>
    <t xml:space="preserve">        TUBERIA PVC SAP DE 3"</t>
  </si>
  <si>
    <t>01.03.03.03</t>
  </si>
  <si>
    <t xml:space="preserve">        TUBERIA PVC SAP DE 4"</t>
  </si>
  <si>
    <t>01.03.03.04</t>
  </si>
  <si>
    <t xml:space="preserve">        TUBERIA PVC SAP DE 6"</t>
  </si>
  <si>
    <t>01.03.03.05</t>
  </si>
  <si>
    <t xml:space="preserve">        TRAZO Y REPLANTEO PARA IISS</t>
  </si>
  <si>
    <t>01.03.03.06</t>
  </si>
  <si>
    <t xml:space="preserve">        EXCAVACIÓN DE ZANJA  -COLOCACIÓN DE TUBERÍA</t>
  </si>
  <si>
    <t>01.03.03.07</t>
  </si>
  <si>
    <t xml:space="preserve">        CAMA DE ARENA</t>
  </si>
  <si>
    <t>01.03.03.08</t>
  </si>
  <si>
    <t xml:space="preserve">        RELLENO COMPACTADO CON MATERIAL PROPIO</t>
  </si>
  <si>
    <t>01.03.03.09</t>
  </si>
  <si>
    <t xml:space="preserve">        ACARREO DE DESMONTE A PUNTO DE ACOPIO (D=30m.)</t>
  </si>
  <si>
    <t>01.03.04</t>
  </si>
  <si>
    <t xml:space="preserve">    REDES COLGADAS (INC. ACCESORIOS)</t>
  </si>
  <si>
    <t>01.03.04.01</t>
  </si>
  <si>
    <t xml:space="preserve">        TUBERIA PVC SAP COLGADA DE 2"</t>
  </si>
  <si>
    <t>01.03.04.02</t>
  </si>
  <si>
    <t xml:space="preserve">        TUBERIA PVC SAP COLGADA DE 3"</t>
  </si>
  <si>
    <t>01.03.04.03</t>
  </si>
  <si>
    <t xml:space="preserve">        TUBERIA PVC SAP COLGADA DE 4"</t>
  </si>
  <si>
    <t>01.03.04.04</t>
  </si>
  <si>
    <t xml:space="preserve">        TUBERIA PVC SAP COLGADA DE 6"</t>
  </si>
  <si>
    <t>01.03.04.05</t>
  </si>
  <si>
    <t xml:space="preserve">        TUBERIA PPR PN-10 COLGADA DE 3" IMPULSION</t>
  </si>
  <si>
    <t>01.03.04.06</t>
  </si>
  <si>
    <t xml:space="preserve">        REGISTRO COLGADO TIPO DADO, Ø2"</t>
  </si>
  <si>
    <t>01.03.04.07</t>
  </si>
  <si>
    <t xml:space="preserve">        REGISTRO COLGADO TIPO DADO, Ø3"</t>
  </si>
  <si>
    <t>01.03.04.08</t>
  </si>
  <si>
    <t xml:space="preserve">        REGISTRO COLGADO TIPO DADO, Ø4"</t>
  </si>
  <si>
    <t>01.03.04.09</t>
  </si>
  <si>
    <t xml:space="preserve">        REGISTRO COLGADO TIPO DADO, Ø6"</t>
  </si>
  <si>
    <t>01.03.04.10</t>
  </si>
  <si>
    <t xml:space="preserve">        PASES EN VIGA DE 3"</t>
  </si>
  <si>
    <t>01.03.04.11</t>
  </si>
  <si>
    <t xml:space="preserve">        PASES EN VIGA DE 4"</t>
  </si>
  <si>
    <t>01.03.04.12</t>
  </si>
  <si>
    <t xml:space="preserve">        PASES EN VIGA DE 6"</t>
  </si>
  <si>
    <t>01.03.05</t>
  </si>
  <si>
    <t xml:space="preserve">    MONTANTES DE DESAGUE Y VENTILACION</t>
  </si>
  <si>
    <t>01.03.05.01</t>
  </si>
  <si>
    <t xml:space="preserve">        MONTANTE DE VENTILACION PVC, Ø2"</t>
  </si>
  <si>
    <t>01.03.05.02</t>
  </si>
  <si>
    <t xml:space="preserve">        MONTANTE DE VENTILACION PVC, Ø3"</t>
  </si>
  <si>
    <t>01.03.05.03</t>
  </si>
  <si>
    <t xml:space="preserve">        MONTANTE DE VENTILACION PVC, Ø4"</t>
  </si>
  <si>
    <t>01.03.05.04</t>
  </si>
  <si>
    <t xml:space="preserve">        MONTANTE DE DESAGUE PVC, Ø2"</t>
  </si>
  <si>
    <t>01.03.05.05</t>
  </si>
  <si>
    <t xml:space="preserve">        MONTANTE DE DESAGUE PVC, Ø3"</t>
  </si>
  <si>
    <t>01.03.05.06</t>
  </si>
  <si>
    <t xml:space="preserve">        MONTANTE DE DESAGUE PVC, Ø4"</t>
  </si>
  <si>
    <t>01.03.05.08</t>
  </si>
  <si>
    <t xml:space="preserve">        SOMBRERO DE VENTILACION 2"</t>
  </si>
  <si>
    <t>01.03.05.09</t>
  </si>
  <si>
    <t xml:space="preserve">        SOMBRERO DE VENTILACION 3"</t>
  </si>
  <si>
    <t>01.03.05.10</t>
  </si>
  <si>
    <t xml:space="preserve">        SOMBRERO DE VENTILACION 4"</t>
  </si>
  <si>
    <t>01.03.06</t>
  </si>
  <si>
    <t xml:space="preserve">    SUMIDEROS Y REGISTROS</t>
  </si>
  <si>
    <t>01.03.06.01</t>
  </si>
  <si>
    <t xml:space="preserve">        REGISTRO ROSCADO DE BRONCE, Ø2"</t>
  </si>
  <si>
    <t>01.03.06.02</t>
  </si>
  <si>
    <t xml:space="preserve">        REGISTRO ROSCADO DE BRONCE, Ø3"</t>
  </si>
  <si>
    <t>01.03.06.03</t>
  </si>
  <si>
    <t xml:space="preserve">        REGISTRO ROSCADO DE BRONCE, Ø4"</t>
  </si>
  <si>
    <t>01.03.06.05</t>
  </si>
  <si>
    <t xml:space="preserve">        SUMIDERO DE BRONCE, Ø2"</t>
  </si>
  <si>
    <t>01.03.06.06</t>
  </si>
  <si>
    <t xml:space="preserve">        SUMIDERO DE BRONCE, Ø3"</t>
  </si>
  <si>
    <t>01.03.07</t>
  </si>
  <si>
    <t>01.03.07.01</t>
  </si>
  <si>
    <t xml:space="preserve">        PINTURA EN TUBERIAS DE INSTALACIONES</t>
  </si>
  <si>
    <t>01.03.07.02</t>
  </si>
  <si>
    <t xml:space="preserve">        PRUEBA HIDRAULICA PARA TUBERIAS DESAGUE</t>
  </si>
  <si>
    <t>01.03.07.03</t>
  </si>
  <si>
    <t xml:space="preserve">        EMPALME A RED PUBLICA DE AGUA Y DESAGUE</t>
  </si>
  <si>
    <t>01.03.07.04</t>
  </si>
  <si>
    <t xml:space="preserve">        CAJAS DE REGISTRO DE DESAGUE 12" x 24"</t>
  </si>
  <si>
    <t>01.03.07.07</t>
  </si>
  <si>
    <t xml:space="preserve">        VALVULA ANTIRRETORNO</t>
  </si>
  <si>
    <t>01.04</t>
  </si>
  <si>
    <t>INSTALACION DE APARATOS SANITARIOS</t>
  </si>
  <si>
    <t>01.04.01</t>
  </si>
  <si>
    <t xml:space="preserve">    INSTALACION DE INODORO</t>
  </si>
  <si>
    <t>01.04.02</t>
  </si>
  <si>
    <t xml:space="preserve">    INSTALACION DE URINARIO</t>
  </si>
  <si>
    <t>01.04.03</t>
  </si>
  <si>
    <t xml:space="preserve">    INSTALACION DE DUCHAS (MEZCLADORA)</t>
  </si>
  <si>
    <t>01.04.04</t>
  </si>
  <si>
    <t xml:space="preserve">    INSTALACION DE LAVADEROS Y OVALINES (INC. GRIFERIA)</t>
  </si>
  <si>
    <t>INSTALACIONES ELECTRICAS</t>
  </si>
  <si>
    <t>SISTEMA DE ALUMBRADO</t>
  </si>
  <si>
    <t xml:space="preserve">    SALIDAS DE ALUMBRADO</t>
  </si>
  <si>
    <t xml:space="preserve">        SALIDA PARA LUMINARIA EN TECHO</t>
  </si>
  <si>
    <t xml:space="preserve">        SALIDA PARA LUMINARIA EN TECHO DPTO</t>
  </si>
  <si>
    <t>01.01.01.03</t>
  </si>
  <si>
    <t xml:space="preserve">        SALIDA PARA BRAQUETTE  EN DPTO</t>
  </si>
  <si>
    <t xml:space="preserve">        SALIDA PARA LUMINARIA DE EMERGENCIA</t>
  </si>
  <si>
    <t xml:space="preserve">        SALIDA PARA LUMINARIA CINTA LED</t>
  </si>
  <si>
    <t xml:space="preserve">        SALIDA PARA LUMINARIA TIPO ESTACA</t>
  </si>
  <si>
    <t xml:space="preserve">        SALIDA PARA LUMINARIA HERMETICA/FLUORESCENTE</t>
  </si>
  <si>
    <t>01.01.01.06</t>
  </si>
  <si>
    <t xml:space="preserve">        SALIDA PARA BRAQUETTE</t>
  </si>
  <si>
    <t>01.01.01.07</t>
  </si>
  <si>
    <t xml:space="preserve">        SALIDA PARA EXTRACTOR EN BAÑOS/DEPOSITOS</t>
  </si>
  <si>
    <t xml:space="preserve">    SALIDAS DE INTERRUPTORES</t>
  </si>
  <si>
    <t xml:space="preserve">        SALIDA PARA INTERRUPTOR SIMPLE</t>
  </si>
  <si>
    <t xml:space="preserve">        SALIDA PARA INTERRUPTOR DOBLE</t>
  </si>
  <si>
    <t xml:space="preserve">        SALIDA PARA INTERRUPTOR TRIPLE</t>
  </si>
  <si>
    <t xml:space="preserve">        SALIDA PARA INTERRUPTOR DE CONMUTACION SIMPLE</t>
  </si>
  <si>
    <t xml:space="preserve">        SALIDA PARA INTERRUPTOR DE CONMUTACION DOBLE</t>
  </si>
  <si>
    <t xml:space="preserve">        SALIDA PARA INTERRUPTOR DE CONMUTACION TRIPLE</t>
  </si>
  <si>
    <t>TABLEROS ELECTRICOS</t>
  </si>
  <si>
    <t xml:space="preserve">    SUMINISTRO E INSTALACION DE TABLEROS ELÉCTRICOS</t>
  </si>
  <si>
    <t xml:space="preserve">        SUMINISTRO E INSTALACION DE TABLERO DE SERVICIOS GENERALES NORMAL " TSG "</t>
  </si>
  <si>
    <t xml:space="preserve">        SUMINISTRO E INSTALACION DE TABLERO DE TRANSFERENCIA AUTOMATICA " TTA-1 "</t>
  </si>
  <si>
    <t>01.02.01.03</t>
  </si>
  <si>
    <t xml:space="preserve">        SUMINISTRO E INSTALACION DE TABLERO DE SERVICIOS GENERALES DE EMERGENCIA " TGE "</t>
  </si>
  <si>
    <t>01.02.01.04</t>
  </si>
  <si>
    <t xml:space="preserve">        SUMINISTRO E INSTALACION DE TABLERO DE TRANSFERENCIA AUTOMATICA " TTA-2 "</t>
  </si>
  <si>
    <t>01.02.01.05</t>
  </si>
  <si>
    <t xml:space="preserve">        SUMINISTRO E INSTALACION DE TABLERO DE DISTRIBUCION DE SOTANO " TS-1 "</t>
  </si>
  <si>
    <t>01.02.01.06</t>
  </si>
  <si>
    <t xml:space="preserve">        SUMINISTRO E INSTALACION DE TABLERO DE DISTRIBUCION DE SOTANO " TS-2/3/4/5/6 "</t>
  </si>
  <si>
    <t>01.02.01.07</t>
  </si>
  <si>
    <t xml:space="preserve">        SUMINISTRO E INSTALACION DE TABLERO DE FUERZA DE BOMBA CONTRA INCENDIO " TC-BCI "</t>
  </si>
  <si>
    <t>01.02.01.08</t>
  </si>
  <si>
    <t xml:space="preserve">        SUMINISTRO E INSTALACION DE TABLERO DE FUERZA AZOTEA " TF-BA1 "</t>
  </si>
  <si>
    <t>01.02.01.09</t>
  </si>
  <si>
    <t xml:space="preserve">        SUMINISTRO E INSTALACION DE TABLERO DE DISTRIBUCION " TD-HALL-1 "</t>
  </si>
  <si>
    <t>01.02.01.10</t>
  </si>
  <si>
    <t xml:space="preserve">        SUMINISTRO E INSTALACION DE TABLERO DE DISTRIBUCION DE AZOTEA " TD-AZ-1 "</t>
  </si>
  <si>
    <t>01.02.01.11</t>
  </si>
  <si>
    <t xml:space="preserve">        SUMINISTRO E INSTALACION DE TABLERO DE DISTRIBUCION DE CINE " TD-CINE "</t>
  </si>
  <si>
    <t>01.02.01.12</t>
  </si>
  <si>
    <t xml:space="preserve">        SUMINISTRO E INSTALACION DE TABLERO DE DISTRIBUCION " TD-HALL-2 "</t>
  </si>
  <si>
    <t>01.02.01.13</t>
  </si>
  <si>
    <t xml:space="preserve">        SUMINISTRO E INSTALACION DE TABLERO DE DISTRIBUCION SALA DE NIÑOS " TD-SN "</t>
  </si>
  <si>
    <t>01.02.01.14</t>
  </si>
  <si>
    <t xml:space="preserve">        SUMINISTRO E INSTALACION DE TABLERO DE DISTRIBUCION GIMNASIO " TD-GYM "</t>
  </si>
  <si>
    <t>01.02.01.15</t>
  </si>
  <si>
    <t>01.02.01.16</t>
  </si>
  <si>
    <t xml:space="preserve">        SUMINISTRO E INSTALACION DE TABLERO DE DISTRIBUCION SALA GOURMET " TD-GO "</t>
  </si>
  <si>
    <t>01.02.01.17</t>
  </si>
  <si>
    <t xml:space="preserve">        SUMINISTRO E INSTALACION DE TABLERO DE DISTRIBUCION DE PARRILLAS Nº1 " TD-ZP-1/2/3/4/5 "</t>
  </si>
  <si>
    <t>01.02.01.18</t>
  </si>
  <si>
    <t xml:space="preserve">        SUMINISTRO E INSTALACION DE TABLERO DE FUERZA SERVICIOS HIGIENICOS " TF-SH "</t>
  </si>
  <si>
    <t>01.02.01.19</t>
  </si>
  <si>
    <t xml:space="preserve">        SUMINISTRO E INSTALACION DE TABLERO DE LAVANDERIA " TD-LAV "</t>
  </si>
  <si>
    <t>01.02.01.20</t>
  </si>
  <si>
    <t xml:space="preserve">        SUMINISTRO E INSTALACION DE TABLERO DE COWORKING " TD-COW "</t>
  </si>
  <si>
    <t>01.02.01.21</t>
  </si>
  <si>
    <t xml:space="preserve">        SUMINISTRO E INSTALACION DE TABLERO DE FUERZA DE BOMBAS " TF-BA2 "</t>
  </si>
  <si>
    <t>01.02.01.22</t>
  </si>
  <si>
    <t xml:space="preserve">        SUMINISTRO E INSTALACION DE TABLERO DE FUERZA DE MONOXIDO " TF-MO "</t>
  </si>
  <si>
    <t>01.02.01.23</t>
  </si>
  <si>
    <t xml:space="preserve">        SUMINISTRO E INSTALACION DE TABLERO LOCAL COMERCIAL Nº1 " TD-LC1/2/3/4 "</t>
  </si>
  <si>
    <t>01.02.01.24</t>
  </si>
  <si>
    <t xml:space="preserve">        SUMINISTRO E INSTALACION DE TABLERO TD-1</t>
  </si>
  <si>
    <t>01.02.01.25</t>
  </si>
  <si>
    <t xml:space="preserve">        SUMINISTRO E INSTALACION DE TABLERO TD-2</t>
  </si>
  <si>
    <t>SALIDAS DE FUERZA Y ALIMENTADORES</t>
  </si>
  <si>
    <t xml:space="preserve">    SALIDAS DE TOMACORRIENTE Y SALIDAS DE FUERZA</t>
  </si>
  <si>
    <t xml:space="preserve">        SALIDA PARA TOMACORRIENTE BIPOLAR DOBLE CON ESPIGA A TIERRA</t>
  </si>
  <si>
    <t xml:space="preserve">        SALIDA PARA TOMACORRIENTE A PRUEBA DE AGUA</t>
  </si>
  <si>
    <t xml:space="preserve">        SALIDA PARA TIMBRE</t>
  </si>
  <si>
    <t xml:space="preserve">        SALIDA PARA PULSADOR DE TIMBRE</t>
  </si>
  <si>
    <t xml:space="preserve">        SALIDA PARA ASCENSORES</t>
  </si>
  <si>
    <t>01.03.01.09</t>
  </si>
  <si>
    <t xml:space="preserve">        SALIDA DE FUERZA PARA BOMBAS DE AGUA</t>
  </si>
  <si>
    <t>01.03.01.10</t>
  </si>
  <si>
    <t xml:space="preserve">        SALIDA DE FUERZA PARA BOMBAS ACI</t>
  </si>
  <si>
    <t>01.03.01.11</t>
  </si>
  <si>
    <t xml:space="preserve">        SALIDA DE FUERZA PARA BOMBA JOCKEY</t>
  </si>
  <si>
    <t>01.03.01.12</t>
  </si>
  <si>
    <t xml:space="preserve">        SALIDA DE FUERZA PARA BOMBA SUMIDERO</t>
  </si>
  <si>
    <t>01.03.01.13</t>
  </si>
  <si>
    <t xml:space="preserve">        SALIDA PARA CONTROL DE NIVEL</t>
  </si>
  <si>
    <t>01.03.01.14</t>
  </si>
  <si>
    <t xml:space="preserve">        SALIDA DE FUERZA PARA JET FAN</t>
  </si>
  <si>
    <t>01.03.01.15</t>
  </si>
  <si>
    <t xml:space="preserve">        SALIDA DE FUERZA EXTRAC E INYETOR EN VESTIVULO PREVIO</t>
  </si>
  <si>
    <t>01.03.01.16</t>
  </si>
  <si>
    <t xml:space="preserve">        SALIDA DE FUERZA PARA EXTRACTORES E INYECTORES EN NIVELES INFERIORES</t>
  </si>
  <si>
    <t>01.03.01.17</t>
  </si>
  <si>
    <t xml:space="preserve">        SALIDA DE FUERZA PARA EXTRACTORES E INYECTORES EN NIVELES SUPERIORES</t>
  </si>
  <si>
    <t xml:space="preserve">    SUMINISTRO E INSTALACION DE ALIMENTADORES ELECTRICOS</t>
  </si>
  <si>
    <t xml:space="preserve">        ALIMENTADORES EN AREAS COMUNES</t>
  </si>
  <si>
    <t>01.03.02.01.01</t>
  </si>
  <si>
    <t xml:space="preserve">            4(3-1x185mm2LSOH90+1x25/Tmm2LSOH80)</t>
  </si>
  <si>
    <t>01.03.02.01.02</t>
  </si>
  <si>
    <t xml:space="preserve">            2(3-1x240mm2LSOH90+1x35/Tmm2LSOH80)</t>
  </si>
  <si>
    <t>01.03.02.01.03</t>
  </si>
  <si>
    <t xml:space="preserve">            2(3-1x240mm2N2XOH+1x70/Tmm2N2XOH)</t>
  </si>
  <si>
    <t>01.03.02.01.04</t>
  </si>
  <si>
    <t xml:space="preserve">            3-1x240mm2N2XOH+1x70/Tmm2N2XOH</t>
  </si>
  <si>
    <t>01.03.02.01.05</t>
  </si>
  <si>
    <t xml:space="preserve">            2(3-1x240mm2LSOH90+1x16/Tmm2LSOH80)</t>
  </si>
  <si>
    <t>01.03.02.01.06</t>
  </si>
  <si>
    <t xml:space="preserve">            3-1x150mm2LSOH90+1x16/Tmm2LSOH80</t>
  </si>
  <si>
    <t>01.03.02.01.07</t>
  </si>
  <si>
    <t xml:space="preserve">            3-1x120mm2LSOH90+1x25/Tmm2LSOH80</t>
  </si>
  <si>
    <t>01.03.02.01.08</t>
  </si>
  <si>
    <t xml:space="preserve">            3-1x50mm2LSOH90+1x16/Tmm2LSOH80</t>
  </si>
  <si>
    <t>01.03.02.01.09</t>
  </si>
  <si>
    <t xml:space="preserve">            3-1x70mm2LSOH90+1x16/Tmm2LSOH80</t>
  </si>
  <si>
    <t>01.03.02.01.10</t>
  </si>
  <si>
    <t xml:space="preserve">            3-1x95mm2LSOH90+1x16/Tmm2LSOH80</t>
  </si>
  <si>
    <t>01.03.02.01.11</t>
  </si>
  <si>
    <t xml:space="preserve">            3-1x35mm2LSOH90</t>
  </si>
  <si>
    <t>01.03.02.01.12</t>
  </si>
  <si>
    <t xml:space="preserve">            3-1x35mm2LSOH90+1x10/Tmm2LSOH80</t>
  </si>
  <si>
    <t>01.03.02.01.13</t>
  </si>
  <si>
    <t xml:space="preserve">            3-1x25mm2LSOH90+1x10/Tmm2LSOH80</t>
  </si>
  <si>
    <t>01.03.02.01.14</t>
  </si>
  <si>
    <t xml:space="preserve">            3-1x16mm2LSOH90+1x10/Tmm2LSOH80</t>
  </si>
  <si>
    <t>01.03.02.01.15</t>
  </si>
  <si>
    <t xml:space="preserve">            3-1x10mm2LSOH90+1x10/Tmm2LSOH80</t>
  </si>
  <si>
    <t>01.03.02.01.16</t>
  </si>
  <si>
    <t xml:space="preserve">            3-1x6mm2LSOH90+1x4/Tmm2LSOH80</t>
  </si>
  <si>
    <t>01.03.02.01.17</t>
  </si>
  <si>
    <t xml:space="preserve">            3-1x4mm2LSOH90+1x4/Tmm2LSOH80</t>
  </si>
  <si>
    <t xml:space="preserve">        ALIMENTADORES PARA DEPARTAMENTOS</t>
  </si>
  <si>
    <t>01.03.02.02.01</t>
  </si>
  <si>
    <t xml:space="preserve">            2-1x6mm2LSOH90+1x10/Tmm2LSOH80</t>
  </si>
  <si>
    <t>01.03.02.02.02</t>
  </si>
  <si>
    <t xml:space="preserve">            2-1x10mm2LSOH90+1x10/Tmm2LSOH80</t>
  </si>
  <si>
    <t>01.03.02.02.03</t>
  </si>
  <si>
    <t xml:space="preserve">            2-1x16mm2LSOH90+1x10/Tmm2LSOH80</t>
  </si>
  <si>
    <t>01.03.02.02.04</t>
  </si>
  <si>
    <t xml:space="preserve">            2-1x25mm2LSOH90+1x10/Tmm2LSOH80</t>
  </si>
  <si>
    <t xml:space="preserve">    CANALIZACION DE FUERZA Y ALIMENTADORES</t>
  </si>
  <si>
    <t xml:space="preserve">        TUBERIA ELECTRICA Ø65mm EMT</t>
  </si>
  <si>
    <t xml:space="preserve">        TUBERIA ELECTRICA Ø100mm EMT</t>
  </si>
  <si>
    <t xml:space="preserve">        TUBERIA PVC-SAP ELECTRICA DE 25 mm</t>
  </si>
  <si>
    <t xml:space="preserve">        TUBERIA PVC-SAP ELECTRICA DE 35 mm</t>
  </si>
  <si>
    <t xml:space="preserve">        TUBERIA PVC-SAP ELECTRICA DE 40 mm</t>
  </si>
  <si>
    <t>01.03.03.10</t>
  </si>
  <si>
    <t xml:space="preserve">        TUBERIA PVC-SAP ELECTRICA DE 50 mm</t>
  </si>
  <si>
    <t>01.03.03.11</t>
  </si>
  <si>
    <t xml:space="preserve">        TUBERIA PVC-SAP ELECTRICA DE 65 mm</t>
  </si>
  <si>
    <t>01.03.03.12</t>
  </si>
  <si>
    <t xml:space="preserve">        TUBERIA PVC-SAP ELECTRICA DE 80 mm</t>
  </si>
  <si>
    <t>01.03.03.13</t>
  </si>
  <si>
    <t xml:space="preserve">        TUBERIA PVC-SAP ELECTRICA DE 100 mm</t>
  </si>
  <si>
    <t xml:space="preserve">    CAJAS DE PASE</t>
  </si>
  <si>
    <t xml:space="preserve">        CAJA DE PASE OCTOGONAL</t>
  </si>
  <si>
    <t xml:space="preserve">        CAJA DE PASE 100X100X55mm</t>
  </si>
  <si>
    <t xml:space="preserve">        CAJA DE PASE 150X150X100mm</t>
  </si>
  <si>
    <t xml:space="preserve">        CAJA DE PASE 200X200X100mm</t>
  </si>
  <si>
    <t xml:space="preserve">        CAJA DE PASE 250X250X100mm</t>
  </si>
  <si>
    <t xml:space="preserve">        CAJA DE PASE 300X300X100mm</t>
  </si>
  <si>
    <t xml:space="preserve">        CAJA DE PASE 450X450X300mm</t>
  </si>
  <si>
    <t xml:space="preserve">        CAJA DE PASE 600X600X200mm</t>
  </si>
  <si>
    <t xml:space="preserve">        CAJA DE PASE 700X700X200mm</t>
  </si>
  <si>
    <t xml:space="preserve">        CAJA DE PASE 1100X400X400mm</t>
  </si>
  <si>
    <t xml:space="preserve">        CAJA DE PASE 400X900X400mm</t>
  </si>
  <si>
    <t xml:space="preserve">        CAJA DE PASE 300X700X300mm</t>
  </si>
  <si>
    <t>01.03.04.13</t>
  </si>
  <si>
    <t xml:space="preserve">        CAJA DE PASE 350X350X100mm</t>
  </si>
  <si>
    <t>01.03.04.14</t>
  </si>
  <si>
    <t xml:space="preserve">        CAJA DE PASE 300X600X300mm</t>
  </si>
  <si>
    <t>01.03.04.15</t>
  </si>
  <si>
    <t xml:space="preserve">        CAJA DE PASE 400X800X400mm</t>
  </si>
  <si>
    <t>BANDEJAS ELECTRICAS Y DE COMUNICACIONES</t>
  </si>
  <si>
    <t xml:space="preserve">    BANDEJA PORTACABLE TIPO RANURADA DE 350X100X2400MM</t>
  </si>
  <si>
    <t xml:space="preserve">    BANDEJA PORTACABLE TIPO RANURADA DE 450X100X2400MM</t>
  </si>
  <si>
    <t xml:space="preserve">    BANDEJA PORTACABLE TIPO RANURADA DE 700X100X2400MM</t>
  </si>
  <si>
    <t>01.04.05</t>
  </si>
  <si>
    <t xml:space="preserve">    BANDEJA PORTACABLE TIPO RANURADA DE 1000X100X2400MM</t>
  </si>
  <si>
    <t>01.04.06</t>
  </si>
  <si>
    <t xml:space="preserve">    ATERRAMIENTO DE BANDEJA CON CABLE DESNUDO 1x35mm²</t>
  </si>
  <si>
    <t>01.04.07</t>
  </si>
  <si>
    <t xml:space="preserve">    SALIDA PARA CONEXION A BANDEJA</t>
  </si>
  <si>
    <t>01.05</t>
  </si>
  <si>
    <t>ACCESORIOS ELECTRICOS/INSTALACION DE LUMINARIAS</t>
  </si>
  <si>
    <t>01.05.01</t>
  </si>
  <si>
    <t xml:space="preserve">    SUMINISTRO E INSTALACION DE PLACA INTERRUPTOR SIMPLE</t>
  </si>
  <si>
    <t>01.05.02</t>
  </si>
  <si>
    <t xml:space="preserve">    SUMINISTRO E INSTALACION DE PLACA INTERRUPTOR DOBLE</t>
  </si>
  <si>
    <t>01.05.03</t>
  </si>
  <si>
    <t xml:space="preserve">    SUMINISTRO E INSTALACION DE PLACA INTERRUPTOR TRIPLE</t>
  </si>
  <si>
    <t>01.05.04</t>
  </si>
  <si>
    <t xml:space="preserve">    SUMINISTRO E INSTALACION DE PLACA INTERRUPTOR 3 VIAS SIMPLE</t>
  </si>
  <si>
    <t>01.05.05</t>
  </si>
  <si>
    <t xml:space="preserve">    SUMINISTRO E INSTALACION DE PLACA INTERRUPTOR 3 VIAS DOBLE</t>
  </si>
  <si>
    <t>01.05.06</t>
  </si>
  <si>
    <t xml:space="preserve">    SUMINISTRO E INSTALACION DE PLACA INTERRUPTOR 3 VIAS TRIPLE</t>
  </si>
  <si>
    <t>01.05.07</t>
  </si>
  <si>
    <t xml:space="preserve">    SUMINISTRO E INSTALACION DE PLACA TOMACORRIENTE</t>
  </si>
  <si>
    <t>01.05.08</t>
  </si>
  <si>
    <t xml:space="preserve">    SUMINISTRO E INSTALACION DE PLACA TOMACORRIENTE P.A</t>
  </si>
  <si>
    <t>01.05.09</t>
  </si>
  <si>
    <t xml:space="preserve">    SUMINISTRO E INSTALACION DE PLACA TOMACORRIENTE LAVASECA</t>
  </si>
  <si>
    <t>01.05.10</t>
  </si>
  <si>
    <t xml:space="preserve">    SUMINISTRO E INSTALACION DE TIMBRE</t>
  </si>
  <si>
    <t>01.05.11</t>
  </si>
  <si>
    <t xml:space="preserve">    SUMINISTRO E INSTALACION DE PULSADOR TIMBRE</t>
  </si>
  <si>
    <t>01.05.12</t>
  </si>
  <si>
    <t xml:space="preserve">    SUMINISTRO E INSTALACION DE PLACA TE</t>
  </si>
  <si>
    <t>01.05.13</t>
  </si>
  <si>
    <t xml:space="preserve">    SUMINISTRO E INSTALACION DE PLACA TV(TAPA CIEGA)</t>
  </si>
  <si>
    <t>01.05.14</t>
  </si>
  <si>
    <t xml:space="preserve">    INSTALACION DE LUMINARIAS</t>
  </si>
  <si>
    <t>SISTEMA DE PUESTA A TIERRA</t>
  </si>
  <si>
    <t>01.06.01</t>
  </si>
  <si>
    <t xml:space="preserve">    POZOS A TIERRA-CAJAS EQUIPOTENCIALES</t>
  </si>
  <si>
    <t>01.06.01.01</t>
  </si>
  <si>
    <t xml:space="preserve">        POZO DE TIERRA</t>
  </si>
  <si>
    <t>01.06.01.02</t>
  </si>
  <si>
    <t xml:space="preserve">        SOLDADURA EXOTERMICA</t>
  </si>
  <si>
    <t>01.06.01.03</t>
  </si>
  <si>
    <t xml:space="preserve">        TRAZO Y REPLANTEO PARA IIEE</t>
  </si>
  <si>
    <t>01.06.01.04</t>
  </si>
  <si>
    <t xml:space="preserve">        EXCAVACIÓN DE ZANJA</t>
  </si>
  <si>
    <t>01.06.01.05</t>
  </si>
  <si>
    <t xml:space="preserve">        RELLENO COMPACTADO CON MATERIAL DE PRESTAMO</t>
  </si>
  <si>
    <t>01.06.01.06</t>
  </si>
  <si>
    <t>01.06.02</t>
  </si>
  <si>
    <t xml:space="preserve">    CONDUCTORES DEL SISTEMA PUESTA A TIERRA</t>
  </si>
  <si>
    <t>01.06.02.01</t>
  </si>
  <si>
    <t xml:space="preserve">        CONDUCTOR DESNUDO 95 mm2</t>
  </si>
  <si>
    <t>01.06.02.02</t>
  </si>
  <si>
    <t xml:space="preserve">        1x95mm2 LSOH-80</t>
  </si>
  <si>
    <t>01.06.02.03</t>
  </si>
  <si>
    <t xml:space="preserve">        1x70mm2 LSOH-80</t>
  </si>
  <si>
    <t>01.06.02.04</t>
  </si>
  <si>
    <t xml:space="preserve">        1x50mm2 LSOH-80</t>
  </si>
  <si>
    <t>01.06.02.05</t>
  </si>
  <si>
    <t xml:space="preserve">        1x35mm2 LSOH-80</t>
  </si>
  <si>
    <t>01.06.02.06</t>
  </si>
  <si>
    <t xml:space="preserve">        1x16mm2 LSOH-80</t>
  </si>
  <si>
    <t>01.06.02.07</t>
  </si>
  <si>
    <t xml:space="preserve">        1x10mm2 LSOH-80</t>
  </si>
  <si>
    <t>01.06.03</t>
  </si>
  <si>
    <t xml:space="preserve">    CANALIZACION DEL SISTEMA PUESTA A TIERRA</t>
  </si>
  <si>
    <t>01.06.03.01</t>
  </si>
  <si>
    <t>01.06.03.02</t>
  </si>
  <si>
    <t>01.07</t>
  </si>
  <si>
    <t>CONEXIONES Y PRUEBAS ELECTRICAS DE BAJA TENSION</t>
  </si>
  <si>
    <t>01.07.01</t>
  </si>
  <si>
    <t xml:space="preserve">    CONEXION AL BANCO DE MEDIDORES</t>
  </si>
  <si>
    <t>01.07.02</t>
  </si>
  <si>
    <t xml:space="preserve">    PRUEBAS ELECTRICAS DE BAJA TENSION</t>
  </si>
  <si>
    <t>01.08</t>
  </si>
  <si>
    <t>SISTEMA DE CORRIENTES DEBILES</t>
  </si>
  <si>
    <t>01.08.01</t>
  </si>
  <si>
    <t xml:space="preserve">    SALIDAS</t>
  </si>
  <si>
    <t>01.08.01.01</t>
  </si>
  <si>
    <t xml:space="preserve">        SALIDA PARA TELEFONO EXTERNO</t>
  </si>
  <si>
    <t>01.08.01.02</t>
  </si>
  <si>
    <t xml:space="preserve">        SALIDA PARA TELEFONO ASCENSOR</t>
  </si>
  <si>
    <t>01.08.01.03</t>
  </si>
  <si>
    <t xml:space="preserve">        SALIDA PARA TV-CABLE</t>
  </si>
  <si>
    <t>01.08.01.04</t>
  </si>
  <si>
    <t xml:space="preserve">        SALIDA PARA INTERCOMUNICADOR</t>
  </si>
  <si>
    <t>01.08.01.05</t>
  </si>
  <si>
    <t xml:space="preserve">        SALIDA PARA INTERCOMUNICADOR PORTERO</t>
  </si>
  <si>
    <t>01.08.01.06</t>
  </si>
  <si>
    <t xml:space="preserve">        SALIDA PARA CHAPA ELECTRICA / CACI</t>
  </si>
  <si>
    <t>01.08.01.07</t>
  </si>
  <si>
    <t xml:space="preserve">        SALIDA PARA INTERNET</t>
  </si>
  <si>
    <t>01.08.01.08</t>
  </si>
  <si>
    <t xml:space="preserve">        SALIDA PARA CCTV</t>
  </si>
  <si>
    <t>01.08.01.09</t>
  </si>
  <si>
    <t xml:space="preserve">        SALIDA PARA DETECTOR DE HUMO</t>
  </si>
  <si>
    <t>01.08.01.10</t>
  </si>
  <si>
    <t xml:space="preserve">        SALIDA PARA SENSOR DE TEMPERATURA</t>
  </si>
  <si>
    <t>01.08.01.11</t>
  </si>
  <si>
    <t xml:space="preserve">        SALIDA PARA PULSADOR MANUAL</t>
  </si>
  <si>
    <t>01.08.01.12</t>
  </si>
  <si>
    <t xml:space="preserve">        SALIDA PARA LUZ ESTROBOSCOPICA</t>
  </si>
  <si>
    <t>01.08.01.13</t>
  </si>
  <si>
    <t xml:space="preserve">        SALIDA PARA SENSOR DE MONOXIDO</t>
  </si>
  <si>
    <t>01.08.01.14</t>
  </si>
  <si>
    <t xml:space="preserve">        SALIDA PARA SENSOR DE FLUJO</t>
  </si>
  <si>
    <t>01.08.02</t>
  </si>
  <si>
    <t xml:space="preserve">    CAJAS METALICAS</t>
  </si>
  <si>
    <t>01.08.02.01</t>
  </si>
  <si>
    <t>01.08.02.03</t>
  </si>
  <si>
    <t>01.08.02.05</t>
  </si>
  <si>
    <t>01.08.02.06</t>
  </si>
  <si>
    <t>01.08.02.09</t>
  </si>
  <si>
    <t xml:space="preserve">        CAJA DE PASE 650X350X150mm</t>
  </si>
  <si>
    <t>01.08.02.10</t>
  </si>
  <si>
    <t xml:space="preserve">        CAJA DE PASE 1100X700X150MM</t>
  </si>
  <si>
    <t>01.08.03</t>
  </si>
  <si>
    <t xml:space="preserve">    CANALIZACION</t>
  </si>
  <si>
    <t>01.08.03.01</t>
  </si>
  <si>
    <t>01.08.03.02</t>
  </si>
  <si>
    <t>01.08.03.03</t>
  </si>
  <si>
    <t xml:space="preserve">        TUBERIA PVC-SAP ELECTRICA DE 20 mm</t>
  </si>
  <si>
    <t>01.08.03.04</t>
  </si>
  <si>
    <t xml:space="preserve">        TUBERIA ELECTRICA Ø40mm EMT</t>
  </si>
  <si>
    <t>01.08.03.06</t>
  </si>
  <si>
    <t xml:space="preserve">        TUBERIA ELECTRICA Ø80mm EMT</t>
  </si>
  <si>
    <t>01.08.03.07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</si>
</sst>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3">
    <numFmt numFmtId="5" formatCode="&quot;$&quot;#,##0_);\(&quot;$&quot;#,##0\)"/>
    <numFmt numFmtId="42" formatCode="_(&quot;$&quot;* #,##0_);_(&quot;$&quot;* \(#,##0\);_(&quot;$&quot;* &quot;-&quot;_);_(@_)"/>
    <numFmt numFmtId="43" formatCode="_(* #,##0.00_);_(* \(#,##0.00\);_(* &quot;-&quot;??_);_(@_)"/>
    <numFmt numFmtId="164" formatCode="_-&quot;S/&quot;\ * #,##0.00_-;\-&quot;S/&quot;\ * #,##0.00_-;_-&quot;S/&quot;\ * &quot;-&quot;??_-;_-@_-"/>
    <numFmt numFmtId="165" formatCode="_-* #,##0.00_-;\-* #,##0.00_-;_-* &quot;-&quot;??_-;_-@_-"/>
    <numFmt numFmtId="166" formatCode="_-&quot;S.&quot;* #,##0.00_-;\-&quot;S.&quot;* #,##0.00_-;_-&quot;S.&quot;* &quot;-&quot;??_-;_-@_-"/>
    <numFmt numFmtId="167" formatCode="_-* #,##0.00\ &quot;€&quot;_-;\-* #,##0.00\ &quot;€&quot;_-;_-* &quot;-&quot;??\ &quot;€&quot;_-;_-@_-"/>
    <numFmt numFmtId="168" formatCode="###,###,###,##0.00"/>
    <numFmt numFmtId="169" formatCode="&quot;S/.&quot;\ #,##0.00"/>
    <numFmt numFmtId="170" formatCode="[$$-409]#,##0.00"/>
    <numFmt numFmtId="171" formatCode="_ * #,##0.00_ ;_ * \-#,##0.00_ ;_ * &quot;-&quot;??_ ;_ @_ "/>
    <numFmt numFmtId="172" formatCode="[$$-409]#,##0.00_ ;\-[$$-409]#,##0.00\ "/>
    <numFmt numFmtId="173" formatCode="[$$-2C0A]\ #,##0.00"/>
    <numFmt numFmtId="174" formatCode="00.00.00"/>
    <numFmt numFmtId="175" formatCode="00.00.00.00"/>
    <numFmt numFmtId="179" formatCode="_-[$S/-280A]\ * #,##0.00_-;\-[$S/-280A]\ * #,##0.00_-;_-[$S/-280A]\ * &quot;-&quot;??_-;_-@_-"/>
    <numFmt numFmtId="180" formatCode="[$S/.-280A]\ #,##0.00"/>
    <numFmt numFmtId="185" formatCode="_-* #,##0_-;\-* #,##0_-;_-* &quot;-&quot;??_-;_-@_-"/>
    <numFmt numFmtId="186" formatCode="00.00"/>
    <numFmt numFmtId="188" formatCode="_ * #,##0_ ;_ * \-#,##0_ ;_ * &quot;-&quot;_ ;_ @_ "/>
    <numFmt numFmtId="189" formatCode="_ &quot;S/.&quot;\ * #,##0.00_ ;_ &quot;S/.&quot;\ * \-#,##0.00_ ;_ &quot;S/.&quot;\ * &quot;-&quot;??_ ;_ @_ "/>
    <numFmt numFmtId="190" formatCode="_([$€]\ * #,##0.00_);_([$€]\ * \(#,##0.00\);_([$€]\ * &quot;-&quot;??_);_(@_)"/>
    <numFmt numFmtId="191" formatCode="_-[$$-409]* #,##0.00_ ;_-[$$-409]* \-#,##0.00\ ;_-[$$-409]* &quot;-&quot;??_ ;_-@_ "/>
    <numFmt numFmtId="192" formatCode="0.0000000000"/>
    <numFmt numFmtId="193" formatCode="0.0000"/>
    <numFmt numFmtId="194" formatCode="#,##0.0"/>
    <numFmt numFmtId="195" formatCode="mmmm\ d\,\ yyyy"/>
    <numFmt numFmtId="196" formatCode="_-* #,##0.0000\ _P_t_s_-;\-* #,##0.0000\ _P_t_s_-;_-* &quot;-&quot;??\ _P_t_s_-;_-@_-"/>
    <numFmt numFmtId="197" formatCode="[$$-1009]#,##0"/>
    <numFmt numFmtId="198" formatCode="_([$€-2]\ * #,##0.00_);_([$€-2]\ * \(#,##0.00\);_([$€-2]\ * &quot;-&quot;??_)"/>
    <numFmt numFmtId="199" formatCode="#.##000"/>
    <numFmt numFmtId="200" formatCode="_ &quot;$&quot;\ * #,##0_ ;_ &quot;$&quot;\ * \-#,##0_ ;_ &quot;$&quot;\ * &quot;-&quot;_ ;_ @_ "/>
    <numFmt numFmtId="201" formatCode="_(&quot;Solel&quot;\ * #,##0.00_);_(&quot;Solel&quot;\ * \(#,##0.00\);_(&quot;Solel&quot;\ * &quot;-&quot;??_);_(@_)"/>
    <numFmt numFmtId="202" formatCode="_-* #,##0.00\ [$€]_-;\-* #,##0.00\ [$€]_-;_-* &quot;-&quot;??\ [$€]_-;_-@_-"/>
    <numFmt numFmtId="203" formatCode="0.00000000"/>
    <numFmt numFmtId="204" formatCode="#,##0.0000_);\-#,##0.0000"/>
    <numFmt numFmtId="205" formatCode="0.0000000"/>
    <numFmt numFmtId="206" formatCode="_-* #,##0\ \-;\-* #,##0\ _-;_-* &quot;-&quot;\ _-;_-@_-"/>
    <numFmt numFmtId="207" formatCode="\$#,#00"/>
    <numFmt numFmtId="208" formatCode="&quot;$&quot;#,##0\ ;\(&quot;$&quot;#,##0\)"/>
    <numFmt numFmtId="209" formatCode="_-* #,##0.00\ _€_-;\-* #,##0.00\ _€_-;_-* &quot;-&quot;??\ _€_-;_-@_-"/>
    <numFmt numFmtId="210" formatCode="m\o\n\th\ d\,\ \y\y\y\y"/>
    <numFmt numFmtId="211" formatCode="0.00_)"/>
    <numFmt numFmtId="212" formatCode="[$-280A]General"/>
    <numFmt numFmtId="213" formatCode="#,#00"/>
    <numFmt numFmtId="214" formatCode="_(* #,##0.00_);_(* \(#,##0.00\);_(* \-??_);_(@_)"/>
    <numFmt numFmtId="215" formatCode="0.00000000000"/>
    <numFmt numFmtId="216" formatCode="_ * #,##0.00_ ;_ * \-#,##0.00_ ;_ * \-??_ ;_ @_ "/>
    <numFmt numFmtId="217" formatCode="&quot;S.&quot;\ #,##0;[Red]&quot;S.&quot;\ \-#,##0"/>
    <numFmt numFmtId="218" formatCode="_(&quot;S/.&quot;\ * #,##0.00_);_(&quot;S/.&quot;\ * \(#,##0.00\);_(&quot;S/.&quot;\ * &quot;-&quot;??_);_(@_)"/>
    <numFmt numFmtId="219" formatCode="&quot;S/.&quot;\ #,##0"/>
    <numFmt numFmtId="220" formatCode="&quot;$&quot;#,##0.00;[Red]\-&quot;$&quot;#,##0.00"/>
    <numFmt numFmtId="221" formatCode="#.#####"/>
    <numFmt numFmtId="222" formatCode="#,"/>
    <numFmt numFmtId="223" formatCode="#,##0.00\ ;&quot; -&quot;#,##0.00\ ;&quot; -&quot;#\ ;@\ "/>
    <numFmt numFmtId="224" formatCode="_ * #.##0.00_ ;_ * \-#.##0.00_ ;_ * &quot;-&quot;??_ ;_ @_ "/>
    <numFmt numFmtId="225" formatCode="#,###.00\ &quot;M2&quot;"/>
    <numFmt numFmtId="226" formatCode="00.00.00.00.00"/>
    <numFmt numFmtId="227" formatCode="_-&quot;S/&quot;\ * #,##0.0000_-;\-&quot;S/&quot;\ * #,##0.0000_-;_-&quot;S/&quot;\ * &quot;-&quot;??_-;_-@_-"/>
    <numFmt numFmtId="228" formatCode="00.00.00.00.00.00"/>
    <numFmt numFmtId="229" formatCode="_-&quot;S/&quot;\ * #,##0.000_-;\-&quot;S/&quot;\ * #,##0.000_-;_-&quot;S/&quot;\ * &quot;-&quot;??_-;_-@_-"/>
    <numFmt numFmtId="230" formatCode="_-[$$-540A]* #,##0.00_ ;_-[$$-540A]* \-#,##0.00\ ;_-[$$-540A]* &quot;-&quot;??_ ;_-@_ "/>
    <numFmt numFmtId="231" formatCode="_-* #,##0.00_-;\-* #,##0.00_-;_-* &quot;-&quot;??_-;_-@"/>
    <numFmt numFmtId="232" formatCode="###,###,###,##0.00000"/>
    <numFmt numFmtId="233" formatCode="_-* #,##0.0000_-;\-* #,##0.0000_-;_-* &quot;-&quot;??_-;_-@_-"/>
    <numFmt numFmtId="234" formatCode="###,###,###,##0.000"/>
    <numFmt numFmtId="235" formatCode="[$$-409]#,##0.0000_ ;\-[$$-409]#,##0.0000\ "/>
    <numFmt numFmtId="236" formatCode="[$$-409]#,##0.0000"/>
    <numFmt numFmtId="237" formatCode="[$$-409]#,##0.00000"/>
    <numFmt numFmtId="238" formatCode="_-&quot;S/&quot;\ * #,##0.00000_-;\-&quot;S/&quot;\ * #,##0.00000_-;_-&quot;S/&quot;\ * &quot;-&quot;??_-;_-@_-"/>
    <numFmt numFmtId="241" formatCode="[$$-409]#,##0.000"/>
    <numFmt numFmtId="242" formatCode="[$$-409]#,##0.000000"/>
    <numFmt numFmtId="243" formatCode="_ [$$-300A]* #,##0.00_ ;_ [$$-300A]* \-#,##0.00_ ;_ [$$-300A]* &quot;-&quot;??_ ;_ @_ "/>
  </numFmts>
  <fonts count="113">
    <font>
      <sz val="11"/>
      <color theme="1"/>
      <name val="Calibri"/>
      <family val="2"/>
      <scheme val="minor"/>
    </font>
    <font>
      <sz val="11"/>
      <color theme="1"/>
      <name val="Calibri"/>
      <family val="2"/>
      <scheme val="minor"/>
    </font>
    <font>
      <sz val="10"/>
      <name val="Arial"/>
      <family val="2"/>
    </font>
    <font>
      <sz val="8"/>
      <name val="Arial"/>
      <family val="2"/>
    </font>
    <font>
      <b/>
      <sz val="11"/>
      <color indexed="8"/>
      <name val="Arial"/>
      <family val="2"/>
    </font>
    <font>
      <sz val="8"/>
      <color indexed="72"/>
      <name val="Arial"/>
      <family val="2"/>
    </font>
    <font>
      <b/>
      <sz val="8"/>
      <color indexed="8"/>
      <name val="Arial Narrow"/>
      <family val="2"/>
    </font>
    <font>
      <b/>
      <sz val="8"/>
      <color theme="0"/>
      <name val="Arial"/>
      <family val="2"/>
    </font>
    <font>
      <b/>
      <sz val="8"/>
      <color indexed="12"/>
      <name val="Arial"/>
      <family val="2"/>
    </font>
    <font>
      <sz val="8"/>
      <color theme="1"/>
      <name val="Arial"/>
      <family val="2"/>
    </font>
    <font>
      <b/>
      <sz val="7"/>
      <color indexed="8"/>
      <name val="Arial Narrow"/>
      <family val="2"/>
    </font>
    <font>
      <b/>
      <sz val="8"/>
      <name val="Arial"/>
      <family val="2"/>
    </font>
    <font>
      <b/>
      <sz val="11"/>
      <color theme="1"/>
      <name val="Calibri"/>
      <family val="2"/>
      <scheme val="minor"/>
    </font>
    <font>
      <sz val="8"/>
      <name val="Calibri"/>
      <family val="2"/>
      <scheme val="minor"/>
    </font>
    <font>
      <sz val="11"/>
      <name val="Arial"/>
      <family val="2"/>
    </font>
    <font>
      <b/>
      <sz val="7"/>
      <color theme="0"/>
      <name val="Arial Narrow"/>
      <family val="2"/>
    </font>
    <font>
      <b/>
      <sz val="8"/>
      <color theme="1"/>
      <name val="Arial"/>
      <family val="2"/>
    </font>
    <font>
      <sz val="10"/>
      <color indexed="8"/>
      <name val="MS Sans Serif"/>
    </font>
    <font>
      <b/>
      <sz val="8"/>
      <color indexed="8"/>
      <name val="Arial"/>
      <family val="2"/>
    </font>
    <font>
      <b/>
      <sz val="8"/>
      <color rgb="FF0000CC"/>
      <name val="Arial"/>
      <family val="2"/>
    </font>
    <font>
      <b/>
      <sz val="8"/>
      <color indexed="52"/>
      <name val="Arial"/>
      <family val="2"/>
    </font>
    <font>
      <b/>
      <sz val="8"/>
      <color rgb="FFFF0000"/>
      <name val="Arial"/>
      <family val="2"/>
    </font>
    <font>
      <sz val="8"/>
      <color rgb="FF0000CC"/>
      <name val="Arial"/>
      <family val="2"/>
    </font>
    <font>
      <sz val="8"/>
      <color rgb="FFFF0000"/>
      <name val="Arial"/>
      <family val="2"/>
    </font>
    <font>
      <sz val="10"/>
      <color indexed="8"/>
      <name val="Arial"/>
      <family val="2"/>
    </font>
    <font>
      <b/>
      <i/>
      <u/>
      <sz val="8"/>
      <name val="Arial"/>
      <family val="2"/>
    </font>
    <font>
      <b/>
      <sz val="12"/>
      <name val="Arial"/>
      <family val="2"/>
    </font>
    <font>
      <b/>
      <sz val="10"/>
      <name val="Arial"/>
      <family val="2"/>
    </font>
    <font>
      <sz val="9"/>
      <color indexed="10"/>
      <name val="Geneva"/>
    </font>
    <font>
      <b/>
      <sz val="9"/>
      <name val="Arial"/>
      <family val="2"/>
    </font>
    <font>
      <sz val="11"/>
      <color theme="1"/>
      <name val="Arial"/>
      <family val="2"/>
    </font>
    <font>
      <sz val="8"/>
      <color rgb="FF808080"/>
      <name val="Arial"/>
      <family val="2"/>
    </font>
    <font>
      <sz val="8"/>
      <color theme="2" tint="-0.499984740745262"/>
      <name val="Arial"/>
      <family val="2"/>
    </font>
    <font>
      <sz val="8"/>
      <color rgb="FF000000"/>
      <name val="Arial"/>
      <family val="2"/>
    </font>
    <font>
      <i/>
      <sz val="8"/>
      <color theme="1"/>
      <name val="Arial"/>
      <family val="2"/>
    </font>
    <font>
      <i/>
      <u/>
      <sz val="8"/>
      <name val="Arial"/>
      <family val="2"/>
    </font>
    <font>
      <sz val="10"/>
      <color theme="0" tint="-0.249977111117893"/>
      <name val="Arial"/>
      <family val="2"/>
    </font>
    <font>
      <b/>
      <sz val="8"/>
      <color indexed="72"/>
      <name val="Arial"/>
      <family val="2"/>
    </font>
    <font>
      <sz val="10"/>
      <name val="Arial"/>
      <family val="2"/>
    </font>
    <font>
      <sz val="1"/>
      <color indexed="8"/>
      <name val="Courier"/>
      <family val="3"/>
    </font>
    <font>
      <b/>
      <sz val="18"/>
      <name val="Arial"/>
      <family val="2"/>
    </font>
    <font>
      <b/>
      <sz val="1"/>
      <color indexed="8"/>
      <name val="Courier"/>
      <family val="3"/>
    </font>
    <font>
      <sz val="11"/>
      <color indexed="8"/>
      <name val="Calibri"/>
      <family val="2"/>
    </font>
    <font>
      <sz val="9"/>
      <color indexed="10"/>
      <name val="Geneva"/>
      <family val="2"/>
    </font>
    <font>
      <sz val="10"/>
      <name val="Book Antiqua"/>
      <family val="1"/>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sz val="10"/>
      <color indexed="8"/>
      <name val="MS Sans Serif"/>
      <family val="2"/>
    </font>
    <font>
      <b/>
      <sz val="11"/>
      <color indexed="63"/>
      <name val="Calibri"/>
      <family val="2"/>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u/>
      <sz val="8"/>
      <color indexed="12"/>
      <name val="Arial"/>
      <family val="2"/>
    </font>
    <font>
      <sz val="10"/>
      <name val="Helv"/>
      <family val="2"/>
    </font>
    <font>
      <sz val="10"/>
      <name val="Helv"/>
      <charset val="204"/>
    </font>
    <font>
      <sz val="10"/>
      <name val="Courier"/>
      <family val="3"/>
    </font>
    <font>
      <b/>
      <sz val="11"/>
      <color indexed="10"/>
      <name val="Calibri"/>
      <family val="2"/>
    </font>
    <font>
      <b/>
      <sz val="11"/>
      <color indexed="62"/>
      <name val="Calibri"/>
      <family val="2"/>
    </font>
    <font>
      <u/>
      <sz val="9"/>
      <color indexed="12"/>
      <name val="Times New Roman"/>
      <family val="1"/>
    </font>
    <font>
      <sz val="12"/>
      <name val="Helv"/>
    </font>
    <font>
      <sz val="11"/>
      <color indexed="19"/>
      <name val="Calibri"/>
      <family val="2"/>
    </font>
    <font>
      <b/>
      <sz val="15"/>
      <color indexed="62"/>
      <name val="Calibri"/>
      <family val="2"/>
    </font>
    <font>
      <b/>
      <sz val="18"/>
      <color indexed="62"/>
      <name val="Cambria"/>
      <family val="2"/>
    </font>
    <font>
      <b/>
      <sz val="13"/>
      <color indexed="62"/>
      <name val="Calibri"/>
      <family val="2"/>
    </font>
    <font>
      <sz val="12"/>
      <name val="Arial"/>
      <family val="2"/>
    </font>
    <font>
      <sz val="11"/>
      <color rgb="FF000000"/>
      <name val="Calibri"/>
      <family val="2"/>
      <charset val="204"/>
    </font>
    <font>
      <sz val="11"/>
      <color indexed="8"/>
      <name val="Calibri"/>
      <family val="2"/>
      <charset val="1"/>
    </font>
    <font>
      <sz val="10"/>
      <name val="Helv"/>
    </font>
    <font>
      <sz val="10"/>
      <name val="BERNHARD"/>
    </font>
    <font>
      <sz val="12"/>
      <color indexed="24"/>
      <name val="Times New Roman"/>
      <family val="1"/>
    </font>
    <font>
      <sz val="11"/>
      <color rgb="FF000000"/>
      <name val="Calibri"/>
      <family val="2"/>
    </font>
    <font>
      <b/>
      <sz val="10"/>
      <name val="BERNHARD"/>
    </font>
    <font>
      <sz val="1"/>
      <color indexed="16"/>
      <name val="Courier"/>
      <family val="3"/>
    </font>
    <font>
      <i/>
      <sz val="1"/>
      <color indexed="16"/>
      <name val="Courier"/>
      <family val="3"/>
    </font>
    <font>
      <i/>
      <sz val="1"/>
      <color indexed="8"/>
      <name val="Courier"/>
      <family val="3"/>
    </font>
    <font>
      <b/>
      <sz val="14"/>
      <name val="BERNHARD"/>
    </font>
    <font>
      <b/>
      <sz val="14"/>
      <name val="Arial"/>
      <family val="2"/>
    </font>
    <font>
      <sz val="8"/>
      <name val="BERNHARD"/>
    </font>
    <font>
      <sz val="18"/>
      <name val="Times New Roman"/>
      <family val="1"/>
    </font>
    <font>
      <u/>
      <sz val="10"/>
      <color indexed="14"/>
      <name val="MS Sans Serif"/>
      <family val="2"/>
    </font>
    <font>
      <sz val="10"/>
      <color indexed="24"/>
      <name val="Arial"/>
      <family val="2"/>
    </font>
    <font>
      <sz val="8"/>
      <color indexed="24"/>
      <name val="Times New Roman"/>
      <family val="1"/>
    </font>
    <font>
      <i/>
      <sz val="10"/>
      <name val="Arial"/>
      <family val="2"/>
    </font>
    <font>
      <u/>
      <sz val="10"/>
      <color indexed="12"/>
      <name val="MS Sans Serif"/>
      <family val="2"/>
    </font>
    <font>
      <sz val="10"/>
      <color indexed="8"/>
      <name val="ARIAL"/>
      <family val="2"/>
      <charset val="1"/>
    </font>
    <font>
      <sz val="8"/>
      <name val="Helv"/>
    </font>
    <font>
      <sz val="1"/>
      <color indexed="8"/>
      <name val="Courier New"/>
      <family val="3"/>
    </font>
    <font>
      <sz val="10"/>
      <name val="Mangal"/>
      <family val="2"/>
    </font>
    <font>
      <b/>
      <sz val="1"/>
      <color indexed="8"/>
      <name val="Courier New"/>
      <family val="3"/>
    </font>
    <font>
      <b/>
      <sz val="8"/>
      <color indexed="9"/>
      <name val="Arial"/>
      <family val="2"/>
    </font>
    <font>
      <sz val="8"/>
      <color indexed="12"/>
      <name val="Arial"/>
      <family val="2"/>
    </font>
    <font>
      <b/>
      <sz val="8"/>
      <color rgb="FFFF0000"/>
      <name val="Calibri"/>
      <family val="2"/>
    </font>
    <font>
      <sz val="8"/>
      <name val="Calibri"/>
      <family val="2"/>
    </font>
    <font>
      <sz val="8"/>
      <color rgb="FF000000"/>
      <name val="Calibri"/>
      <family val="2"/>
    </font>
    <font>
      <b/>
      <u/>
      <sz val="8"/>
      <color theme="2" tint="-0.499984740745262"/>
      <name val="Arial"/>
      <family val="2"/>
    </font>
    <font>
      <b/>
      <sz val="8"/>
      <color theme="4" tint="-0.249977111117893"/>
      <name val="Arial"/>
      <family val="2"/>
    </font>
    <font>
      <sz val="8"/>
      <color rgb="FF080000"/>
      <name val="Arial"/>
      <family val="2"/>
    </font>
    <font>
      <sz val="8"/>
      <color rgb="FF0000FF"/>
      <name val="Arial"/>
      <family val="2"/>
    </font>
    <font>
      <b/>
      <sz val="8"/>
      <color rgb="FF080000"/>
      <name val="Arial"/>
      <family val="2"/>
    </font>
    <font>
      <b/>
      <sz val="8"/>
      <color theme="5" tint="-0.249977111117893"/>
      <name val="Arial"/>
      <family val="2"/>
    </font>
    <font>
      <b/>
      <u/>
      <sz val="8"/>
      <color theme="1"/>
      <name val="Arial"/>
      <family val="2"/>
    </font>
    <font>
      <sz val="11"/>
      <color rgb="FF000000"/>
      <name val="Calibri"/>
      <family val="2"/>
      <scheme val="minor"/>
    </font>
    <font>
      <b/>
      <sz val="8"/>
      <color rgb="FF0000FF"/>
      <name val="Arial"/>
      <family val="2"/>
    </font>
  </fonts>
  <fills count="62">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rgb="FFC00000"/>
        <bgColor indexed="64"/>
      </patternFill>
    </fill>
    <fill>
      <patternFill patternType="solid">
        <fgColor theme="0" tint="-0.499984740745262"/>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FFC000"/>
        <bgColor indexed="64"/>
      </patternFill>
    </fill>
    <fill>
      <patternFill patternType="solid">
        <fgColor indexed="26"/>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9"/>
      </patternFill>
    </fill>
    <fill>
      <patternFill patternType="solid">
        <fgColor indexed="56"/>
      </patternFill>
    </fill>
    <fill>
      <patternFill patternType="solid">
        <fgColor indexed="54"/>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15"/>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38"/>
      </patternFill>
    </fill>
    <fill>
      <patternFill patternType="solid">
        <fgColor indexed="10"/>
        <bgColor indexed="60"/>
      </patternFill>
    </fill>
    <fill>
      <patternFill patternType="solid">
        <fgColor indexed="57"/>
        <bgColor indexed="54"/>
      </patternFill>
    </fill>
    <fill>
      <patternFill patternType="solid">
        <fgColor indexed="53"/>
        <bgColor indexed="52"/>
      </patternFill>
    </fill>
    <fill>
      <patternFill patternType="solid">
        <fgColor indexed="22"/>
        <bgColor indexed="50"/>
      </patternFill>
    </fill>
    <fill>
      <patternFill patternType="solid">
        <fgColor indexed="55"/>
        <bgColor indexed="23"/>
      </patternFill>
    </fill>
    <fill>
      <patternFill patternType="solid">
        <fgColor indexed="26"/>
        <bgColor indexed="9"/>
      </patternFill>
    </fill>
    <fill>
      <patternFill patternType="solid">
        <fgColor rgb="FF92D050"/>
        <bgColor indexed="64"/>
      </patternFill>
    </fill>
    <fill>
      <patternFill patternType="solid">
        <fgColor indexed="23"/>
        <bgColor indexed="64"/>
      </patternFill>
    </fill>
    <fill>
      <patternFill patternType="solid">
        <fgColor theme="1" tint="0.499984740745262"/>
        <bgColor indexed="64"/>
      </patternFill>
    </fill>
  </fills>
  <borders count="9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style="thin">
        <color indexed="64"/>
      </left>
      <right style="double">
        <color indexed="64"/>
      </right>
      <top style="double">
        <color indexed="64"/>
      </top>
      <bottom/>
      <diagonal/>
    </border>
    <border>
      <left style="double">
        <color indexed="64"/>
      </left>
      <right style="thin">
        <color indexed="64"/>
      </right>
      <top/>
      <bottom/>
      <diagonal/>
    </border>
    <border>
      <left style="thin">
        <color indexed="64"/>
      </left>
      <right style="double">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double">
        <color indexed="64"/>
      </top>
      <bottom/>
      <diagonal/>
    </border>
    <border>
      <left style="double">
        <color indexed="64"/>
      </left>
      <right style="thin">
        <color indexed="64"/>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right/>
      <top style="medium">
        <color indexed="64"/>
      </top>
      <bottom style="medium">
        <color indexed="64"/>
      </bottom>
      <diagonal/>
    </border>
    <border>
      <left style="thin">
        <color indexed="64"/>
      </left>
      <right style="thin">
        <color indexed="64"/>
      </right>
      <top style="hair">
        <color indexed="64"/>
      </top>
      <bottom/>
      <diagonal/>
    </border>
    <border>
      <left style="medium">
        <color auto="1"/>
      </left>
      <right style="thin">
        <color auto="1"/>
      </right>
      <top/>
      <bottom/>
      <diagonal/>
    </border>
    <border>
      <left style="thin">
        <color indexed="64"/>
      </left>
      <right style="double">
        <color indexed="64"/>
      </right>
      <top style="double">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double">
        <color indexed="64"/>
      </right>
      <top style="hair">
        <color indexed="64"/>
      </top>
      <bottom style="double">
        <color indexed="64"/>
      </bottom>
      <diagonal/>
    </border>
    <border>
      <left style="thin">
        <color indexed="64"/>
      </left>
      <right style="double">
        <color indexed="64"/>
      </right>
      <top style="hair">
        <color indexed="64"/>
      </top>
      <bottom/>
      <diagonal/>
    </border>
    <border>
      <left style="thin">
        <color indexed="22"/>
      </left>
      <right style="thin">
        <color indexed="22"/>
      </right>
      <top style="thin">
        <color indexed="22"/>
      </top>
      <bottom style="thin">
        <color indexed="22"/>
      </bottom>
      <diagonal/>
    </border>
    <border>
      <left/>
      <right/>
      <top style="double">
        <color indexed="8"/>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double">
        <color indexed="10"/>
      </bottom>
      <diagonal/>
    </border>
    <border>
      <left/>
      <right style="thin">
        <color indexed="8"/>
      </right>
      <top/>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right/>
      <top/>
      <bottom style="hair">
        <color indexed="12"/>
      </bottom>
      <diagonal/>
    </border>
    <border>
      <left/>
      <right/>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style="double">
        <color indexed="64"/>
      </right>
      <top style="double">
        <color indexed="64"/>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double">
        <color indexed="64"/>
      </left>
      <right/>
      <top style="thin">
        <color rgb="FF000000"/>
      </top>
      <bottom style="thin">
        <color rgb="FF000000"/>
      </bottom>
      <diagonal/>
    </border>
    <border>
      <left style="double">
        <color indexed="64"/>
      </left>
      <right/>
      <top style="thin">
        <color rgb="FF000000"/>
      </top>
      <bottom style="double">
        <color indexed="64"/>
      </bottom>
      <diagonal/>
    </border>
    <border>
      <left style="thin">
        <color rgb="FF000000"/>
      </left>
      <right/>
      <top style="thin">
        <color rgb="FF000000"/>
      </top>
      <bottom style="double">
        <color indexed="64"/>
      </bottom>
      <diagonal/>
    </border>
    <border>
      <left style="thin">
        <color rgb="FF000000"/>
      </left>
      <right style="thin">
        <color rgb="FF000000"/>
      </right>
      <top style="thin">
        <color rgb="FF000000"/>
      </top>
      <bottom style="double">
        <color indexed="64"/>
      </bottom>
      <diagonal/>
    </border>
    <border>
      <left style="double">
        <color indexed="64"/>
      </left>
      <right style="double">
        <color indexed="64"/>
      </right>
      <top style="double">
        <color indexed="64"/>
      </top>
      <bottom style="thin">
        <color indexed="64"/>
      </bottom>
      <diagonal/>
    </border>
    <border>
      <left style="double">
        <color indexed="64"/>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rgb="FF000000"/>
      </left>
      <right style="double">
        <color indexed="64"/>
      </right>
      <top/>
      <bottom style="thin">
        <color rgb="FF000000"/>
      </bottom>
      <diagonal/>
    </border>
    <border>
      <left style="thin">
        <color rgb="FF000000"/>
      </left>
      <right style="double">
        <color indexed="64"/>
      </right>
      <top style="thin">
        <color rgb="FF000000"/>
      </top>
      <bottom style="thin">
        <color rgb="FF000000"/>
      </bottom>
      <diagonal/>
    </border>
    <border>
      <left style="thin">
        <color rgb="FF000000"/>
      </left>
      <right style="double">
        <color indexed="64"/>
      </right>
      <top style="thin">
        <color rgb="FF000000"/>
      </top>
      <bottom style="double">
        <color indexed="64"/>
      </bottom>
      <diagonal/>
    </border>
    <border>
      <left style="double">
        <color indexed="64"/>
      </left>
      <right style="double">
        <color indexed="64"/>
      </right>
      <top/>
      <bottom style="double">
        <color indexed="64"/>
      </bottom>
      <diagonal/>
    </border>
    <border>
      <left/>
      <right/>
      <top/>
      <bottom style="medium">
        <color indexed="64"/>
      </bottom>
      <diagonal/>
    </border>
    <border>
      <left style="thin">
        <color indexed="64"/>
      </left>
      <right/>
      <top style="double">
        <color indexed="64"/>
      </top>
      <bottom style="double">
        <color indexed="64"/>
      </bottom>
      <diagonal/>
    </border>
    <border>
      <left style="thin">
        <color indexed="64"/>
      </left>
      <right style="thin">
        <color indexed="64"/>
      </right>
      <top/>
      <bottom style="hair">
        <color theme="0" tint="-0.24994659260841701"/>
      </bottom>
      <diagonal/>
    </border>
    <border>
      <left style="thin">
        <color indexed="64"/>
      </left>
      <right style="thin">
        <color indexed="64"/>
      </right>
      <top style="hair">
        <color theme="0" tint="-0.24994659260841701"/>
      </top>
      <bottom/>
      <diagonal/>
    </border>
    <border>
      <left style="double">
        <color indexed="64"/>
      </left>
      <right/>
      <top style="double">
        <color indexed="64"/>
      </top>
      <bottom/>
      <diagonal/>
    </border>
    <border>
      <left style="thin">
        <color indexed="64"/>
      </left>
      <right/>
      <top style="hair">
        <color indexed="64"/>
      </top>
      <bottom style="hair">
        <color indexed="64"/>
      </bottom>
      <diagonal/>
    </border>
    <border>
      <left style="thin">
        <color indexed="64"/>
      </left>
      <right style="thin">
        <color indexed="64"/>
      </right>
      <top/>
      <bottom style="hair">
        <color auto="1"/>
      </bottom>
      <diagonal/>
    </border>
    <border>
      <left/>
      <right/>
      <top style="medium">
        <color indexed="64"/>
      </top>
      <bottom/>
      <diagonal/>
    </border>
    <border>
      <left style="medium">
        <color indexed="64"/>
      </left>
      <right style="thin">
        <color indexed="64"/>
      </right>
      <top style="hair">
        <color indexed="64"/>
      </top>
      <bottom style="hair">
        <color indexed="64"/>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style="medium">
        <color indexed="64"/>
      </right>
      <top style="hair">
        <color indexed="64"/>
      </top>
      <bottom style="hair">
        <color indexed="64"/>
      </bottom>
      <diagonal/>
    </border>
  </borders>
  <cellStyleXfs count="58386">
    <xf numFmtId="0" fontId="0" fillId="0" borderId="0"/>
    <xf numFmtId="165" fontId="1" fillId="0" borderId="0" applyFont="0" applyFill="0" applyBorder="0" applyAlignment="0" applyProtection="0"/>
    <xf numFmtId="0" fontId="2" fillId="0" borderId="0"/>
    <xf numFmtId="0" fontId="3" fillId="0" borderId="0">
      <alignment vertical="center"/>
    </xf>
    <xf numFmtId="0" fontId="3" fillId="0" borderId="0">
      <alignment vertical="center"/>
    </xf>
    <xf numFmtId="165" fontId="2" fillId="0" borderId="0" applyFont="0" applyFill="0" applyBorder="0" applyAlignment="0" applyProtection="0"/>
    <xf numFmtId="9" fontId="1" fillId="0" borderId="0" applyFont="0" applyFill="0" applyBorder="0" applyAlignment="0" applyProtection="0"/>
    <xf numFmtId="0" fontId="2" fillId="0" borderId="0"/>
    <xf numFmtId="0" fontId="3" fillId="0" borderId="0">
      <alignment vertical="center"/>
    </xf>
    <xf numFmtId="0" fontId="17" fillId="0" borderId="0"/>
    <xf numFmtId="171" fontId="1" fillId="0" borderId="0" applyFont="0" applyFill="0" applyBorder="0" applyAlignment="0" applyProtection="0"/>
    <xf numFmtId="43" fontId="2" fillId="0" borderId="0" applyFont="0" applyFill="0" applyBorder="0" applyAlignment="0" applyProtection="0"/>
    <xf numFmtId="0" fontId="1" fillId="0" borderId="0"/>
    <xf numFmtId="165" fontId="1" fillId="0" borderId="0" applyFont="0" applyFill="0" applyBorder="0" applyAlignment="0" applyProtection="0"/>
    <xf numFmtId="0" fontId="2" fillId="0" borderId="0"/>
    <xf numFmtId="0" fontId="2" fillId="0" borderId="0"/>
    <xf numFmtId="0" fontId="1" fillId="0" borderId="0"/>
    <xf numFmtId="165" fontId="1" fillId="0" borderId="0" applyFont="0" applyFill="0" applyBorder="0" applyAlignment="0" applyProtection="0"/>
    <xf numFmtId="0" fontId="1" fillId="0" borderId="0"/>
    <xf numFmtId="0" fontId="2" fillId="0" borderId="0"/>
    <xf numFmtId="0" fontId="1" fillId="0" borderId="0"/>
    <xf numFmtId="0" fontId="1" fillId="0" borderId="0"/>
    <xf numFmtId="0" fontId="2" fillId="0" borderId="0"/>
    <xf numFmtId="0" fontId="2" fillId="0" borderId="0"/>
    <xf numFmtId="173" fontId="1" fillId="0" borderId="0"/>
    <xf numFmtId="0" fontId="24" fillId="0" borderId="0">
      <alignment vertical="top"/>
    </xf>
    <xf numFmtId="43" fontId="2" fillId="0" borderId="0" applyFont="0" applyFill="0" applyBorder="0" applyAlignment="0" applyProtection="0">
      <alignment vertical="center"/>
    </xf>
    <xf numFmtId="0" fontId="2" fillId="0" borderId="0"/>
    <xf numFmtId="9" fontId="2" fillId="0" borderId="0" applyFont="0" applyFill="0" applyBorder="0" applyAlignment="0" applyProtection="0"/>
    <xf numFmtId="171" fontId="2" fillId="0" borderId="0" applyFont="0" applyFill="0" applyBorder="0" applyAlignment="0" applyProtection="0"/>
    <xf numFmtId="171" fontId="1" fillId="0" borderId="0" applyFont="0" applyFill="0" applyBorder="0" applyAlignment="0" applyProtection="0"/>
    <xf numFmtId="0" fontId="1" fillId="0" borderId="0"/>
    <xf numFmtId="165" fontId="1" fillId="0" borderId="0" applyFont="0" applyFill="0" applyBorder="0" applyAlignment="0" applyProtection="0"/>
    <xf numFmtId="0" fontId="2" fillId="0" borderId="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2"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0" fontId="38" fillId="0" borderId="0"/>
    <xf numFmtId="0" fontId="42" fillId="0" borderId="0"/>
    <xf numFmtId="0" fontId="40" fillId="0" borderId="0" applyNumberFormat="0" applyFill="0" applyBorder="0" applyAlignment="0" applyProtection="0"/>
    <xf numFmtId="0" fontId="26" fillId="0" borderId="0" applyNumberFormat="0" applyFill="0" applyBorder="0" applyAlignment="0" applyProtection="0"/>
    <xf numFmtId="0" fontId="43" fillId="0" borderId="0"/>
    <xf numFmtId="190" fontId="2" fillId="0" borderId="0" applyFont="0" applyFill="0" applyBorder="0" applyAlignment="0" applyProtection="0"/>
    <xf numFmtId="193" fontId="2" fillId="0" borderId="0" applyFont="0" applyFill="0" applyBorder="0" applyAlignment="0" applyProtection="0"/>
    <xf numFmtId="190" fontId="2" fillId="0" borderId="0" applyFont="0" applyFill="0" applyBorder="0" applyAlignment="0" applyProtection="0"/>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2" fillId="0" borderId="0" applyFont="0" applyFill="0" applyBorder="0" applyAlignment="0" applyProtection="0"/>
    <xf numFmtId="2" fontId="2" fillId="0" borderId="0" applyFont="0" applyFill="0" applyBorder="0" applyAlignment="0" applyProtection="0"/>
    <xf numFmtId="191" fontId="2" fillId="0" borderId="0">
      <protection locked="0"/>
    </xf>
    <xf numFmtId="0" fontId="41" fillId="0" borderId="0">
      <protection locked="0"/>
    </xf>
    <xf numFmtId="0" fontId="41" fillId="0" borderId="0">
      <protection locked="0"/>
    </xf>
    <xf numFmtId="191" fontId="2" fillId="0" borderId="0" applyFont="0" applyFill="0" applyBorder="0" applyAlignment="0" applyProtection="0"/>
    <xf numFmtId="171" fontId="4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5" fontId="2" fillId="0" borderId="0" applyFont="0" applyFill="0" applyBorder="0" applyAlignment="0" applyProtection="0"/>
    <xf numFmtId="0" fontId="1" fillId="0" borderId="0"/>
    <xf numFmtId="0" fontId="2" fillId="0" borderId="0"/>
    <xf numFmtId="0" fontId="42" fillId="0" borderId="0"/>
    <xf numFmtId="0" fontId="42" fillId="0" borderId="0"/>
    <xf numFmtId="0" fontId="42" fillId="13" borderId="37" applyNumberFormat="0" applyFont="0" applyAlignment="0" applyProtection="0"/>
    <xf numFmtId="0" fontId="42" fillId="13" borderId="37" applyNumberFormat="0" applyFont="0" applyAlignment="0" applyProtection="0"/>
    <xf numFmtId="9" fontId="2" fillId="0" borderId="0" applyFont="0" applyFill="0" applyBorder="0" applyAlignment="0" applyProtection="0"/>
    <xf numFmtId="9" fontId="42" fillId="0" borderId="0" applyFont="0" applyFill="0" applyBorder="0" applyAlignment="0" applyProtection="0"/>
    <xf numFmtId="3" fontId="2" fillId="0" borderId="0" applyFont="0" applyFill="0" applyBorder="0" applyAlignment="0" applyProtection="0"/>
    <xf numFmtId="0" fontId="2" fillId="0" borderId="38" applyNumberFormat="0" applyFont="0" applyFill="0" applyAlignment="0" applyProtection="0"/>
    <xf numFmtId="165" fontId="2" fillId="0" borderId="0" applyFont="0" applyFill="0" applyBorder="0" applyAlignment="0" applyProtection="0"/>
    <xf numFmtId="0" fontId="2" fillId="0" borderId="0"/>
    <xf numFmtId="0" fontId="2" fillId="0" borderId="0"/>
    <xf numFmtId="165" fontId="2" fillId="0" borderId="0" applyFont="0" applyFill="0" applyBorder="0" applyAlignment="0" applyProtection="0"/>
    <xf numFmtId="0" fontId="2" fillId="0" borderId="0"/>
    <xf numFmtId="0" fontId="3" fillId="0" borderId="0">
      <alignment vertical="center"/>
    </xf>
    <xf numFmtId="0" fontId="3" fillId="0" borderId="0">
      <alignment vertical="center"/>
    </xf>
    <xf numFmtId="165" fontId="2" fillId="0" borderId="0" applyFont="0" applyFill="0" applyBorder="0" applyAlignment="0" applyProtection="0"/>
    <xf numFmtId="0" fontId="42" fillId="14" borderId="0" applyNumberFormat="0" applyBorder="0" applyAlignment="0" applyProtection="0"/>
    <xf numFmtId="0" fontId="42" fillId="15" borderId="0" applyNumberFormat="0" applyBorder="0" applyAlignment="0" applyProtection="0"/>
    <xf numFmtId="0" fontId="42" fillId="16" borderId="0" applyNumberFormat="0" applyBorder="0" applyAlignment="0" applyProtection="0"/>
    <xf numFmtId="0" fontId="42" fillId="17" borderId="0" applyNumberFormat="0" applyBorder="0" applyAlignment="0" applyProtection="0"/>
    <xf numFmtId="0" fontId="42" fillId="18" borderId="0" applyNumberFormat="0" applyBorder="0" applyAlignment="0" applyProtection="0"/>
    <xf numFmtId="0" fontId="42" fillId="19" borderId="0" applyNumberFormat="0" applyBorder="0" applyAlignment="0" applyProtection="0"/>
    <xf numFmtId="0" fontId="42" fillId="20" borderId="0" applyNumberFormat="0" applyBorder="0" applyAlignment="0" applyProtection="0"/>
    <xf numFmtId="0" fontId="42" fillId="21" borderId="0" applyNumberFormat="0" applyBorder="0" applyAlignment="0" applyProtection="0"/>
    <xf numFmtId="0" fontId="42" fillId="22" borderId="0" applyNumberFormat="0" applyBorder="0" applyAlignment="0" applyProtection="0"/>
    <xf numFmtId="0" fontId="42" fillId="17" borderId="0" applyNumberFormat="0" applyBorder="0" applyAlignment="0" applyProtection="0"/>
    <xf numFmtId="0" fontId="42" fillId="20" borderId="0" applyNumberFormat="0" applyBorder="0" applyAlignment="0" applyProtection="0"/>
    <xf numFmtId="0" fontId="42" fillId="23" borderId="0" applyNumberFormat="0" applyBorder="0" applyAlignment="0" applyProtection="0"/>
    <xf numFmtId="0" fontId="45" fillId="24" borderId="0" applyNumberFormat="0" applyBorder="0" applyAlignment="0" applyProtection="0"/>
    <xf numFmtId="0" fontId="45" fillId="21" borderId="0" applyNumberFormat="0" applyBorder="0" applyAlignment="0" applyProtection="0"/>
    <xf numFmtId="0" fontId="45" fillId="22" borderId="0" applyNumberFormat="0" applyBorder="0" applyAlignment="0" applyProtection="0"/>
    <xf numFmtId="0" fontId="45" fillId="25" borderId="0" applyNumberFormat="0" applyBorder="0" applyAlignment="0" applyProtection="0"/>
    <xf numFmtId="0" fontId="45" fillId="26" borderId="0" applyNumberFormat="0" applyBorder="0" applyAlignment="0" applyProtection="0"/>
    <xf numFmtId="0" fontId="45" fillId="27" borderId="0" applyNumberFormat="0" applyBorder="0" applyAlignment="0" applyProtection="0"/>
    <xf numFmtId="0" fontId="46" fillId="16" borderId="0" applyNumberFormat="0" applyBorder="0" applyAlignment="0" applyProtection="0"/>
    <xf numFmtId="0" fontId="47" fillId="28" borderId="39" applyNumberFormat="0" applyAlignment="0" applyProtection="0"/>
    <xf numFmtId="0" fontId="48" fillId="29" borderId="40" applyNumberFormat="0" applyAlignment="0" applyProtection="0"/>
    <xf numFmtId="0" fontId="49" fillId="0" borderId="41" applyNumberFormat="0" applyFill="0" applyAlignment="0" applyProtection="0"/>
    <xf numFmtId="194"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190" fontId="2" fillId="0" borderId="0">
      <protection locked="0"/>
    </xf>
    <xf numFmtId="190" fontId="2" fillId="0" borderId="0">
      <protection locked="0"/>
    </xf>
    <xf numFmtId="190" fontId="2" fillId="0" borderId="0">
      <protection locked="0"/>
    </xf>
    <xf numFmtId="5" fontId="2" fillId="0" borderId="0" applyFill="0" applyBorder="0" applyAlignment="0" applyProtection="0"/>
    <xf numFmtId="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0" fontId="50" fillId="0" borderId="0" applyNumberFormat="0" applyFill="0" applyBorder="0" applyAlignment="0" applyProtection="0"/>
    <xf numFmtId="0" fontId="45" fillId="30"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25" borderId="0" applyNumberFormat="0" applyBorder="0" applyAlignment="0" applyProtection="0"/>
    <xf numFmtId="0" fontId="45" fillId="26" borderId="0" applyNumberFormat="0" applyBorder="0" applyAlignment="0" applyProtection="0"/>
    <xf numFmtId="0" fontId="45" fillId="33" borderId="0" applyNumberFormat="0" applyBorder="0" applyAlignment="0" applyProtection="0"/>
    <xf numFmtId="0" fontId="51" fillId="19" borderId="39" applyNumberFormat="0" applyAlignment="0" applyProtection="0"/>
    <xf numFmtId="193"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191" fontId="2" fillId="0" borderId="0">
      <protection locked="0"/>
    </xf>
    <xf numFmtId="191" fontId="2" fillId="0" borderId="0">
      <protection locked="0"/>
    </xf>
    <xf numFmtId="191" fontId="2" fillId="0" borderId="0">
      <protection locked="0"/>
    </xf>
    <xf numFmtId="191" fontId="2" fillId="0" borderId="0">
      <protection locked="0"/>
    </xf>
    <xf numFmtId="0" fontId="40" fillId="0" borderId="0" applyNumberFormat="0" applyFill="0" applyBorder="0" applyAlignment="0" applyProtection="0"/>
    <xf numFmtId="0" fontId="26" fillId="0" borderId="0" applyNumberFormat="0" applyFill="0" applyBorder="0" applyAlignment="0" applyProtection="0"/>
    <xf numFmtId="0" fontId="52" fillId="15" borderId="0" applyNumberFormat="0" applyBorder="0" applyAlignment="0" applyProtection="0"/>
    <xf numFmtId="0"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0" fontId="53" fillId="34" borderId="0" applyNumberFormat="0" applyBorder="0" applyAlignment="0" applyProtection="0"/>
    <xf numFmtId="0" fontId="2" fillId="0" borderId="0"/>
    <xf numFmtId="0" fontId="2" fillId="0" borderId="0"/>
    <xf numFmtId="0" fontId="3" fillId="0" borderId="0">
      <alignment vertical="center"/>
    </xf>
    <xf numFmtId="0" fontId="3" fillId="0" borderId="0">
      <alignment vertical="center"/>
    </xf>
    <xf numFmtId="0" fontId="2" fillId="0" borderId="0"/>
    <xf numFmtId="0" fontId="54" fillId="0" borderId="0"/>
    <xf numFmtId="192" fontId="2" fillId="0" borderId="0">
      <protection locked="0"/>
    </xf>
    <xf numFmtId="192" fontId="2" fillId="0" borderId="0">
      <protection locked="0"/>
    </xf>
    <xf numFmtId="192" fontId="2" fillId="0" borderId="0">
      <protection locked="0"/>
    </xf>
    <xf numFmtId="192" fontId="2" fillId="0" borderId="0">
      <protection locked="0"/>
    </xf>
    <xf numFmtId="9" fontId="2" fillId="0" borderId="0" applyFont="0" applyFill="0" applyBorder="0" applyAlignment="0" applyProtection="0"/>
    <xf numFmtId="9"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0" fontId="55" fillId="28" borderId="42" applyNumberFormat="0" applyAlignment="0" applyProtection="0"/>
    <xf numFmtId="0" fontId="56" fillId="0" borderId="0" applyNumberFormat="0" applyFill="0" applyBorder="0" applyAlignment="0" applyProtection="0"/>
    <xf numFmtId="0" fontId="57" fillId="0" borderId="0" applyNumberFormat="0" applyFill="0" applyBorder="0" applyAlignment="0" applyProtection="0"/>
    <xf numFmtId="0" fontId="58" fillId="0" borderId="43" applyNumberFormat="0" applyFill="0" applyAlignment="0" applyProtection="0"/>
    <xf numFmtId="0" fontId="59" fillId="0" borderId="44" applyNumberFormat="0" applyFill="0" applyAlignment="0" applyProtection="0"/>
    <xf numFmtId="0" fontId="50" fillId="0" borderId="45" applyNumberFormat="0" applyFill="0" applyAlignment="0" applyProtection="0"/>
    <xf numFmtId="0" fontId="60" fillId="0" borderId="0" applyNumberFormat="0" applyFill="0" applyBorder="0" applyAlignment="0" applyProtection="0"/>
    <xf numFmtId="0" fontId="61" fillId="0" borderId="46" applyNumberFormat="0" applyFill="0" applyAlignment="0" applyProtection="0"/>
    <xf numFmtId="0" fontId="2" fillId="0" borderId="38" applyNumberFormat="0" applyFont="0" applyFill="0" applyAlignment="0" applyProtection="0"/>
    <xf numFmtId="165" fontId="2" fillId="0" borderId="0" applyFont="0" applyFill="0" applyBorder="0" applyAlignment="0" applyProtection="0"/>
    <xf numFmtId="0" fontId="2" fillId="0" borderId="0"/>
    <xf numFmtId="0" fontId="2" fillId="0" borderId="0"/>
    <xf numFmtId="0" fontId="3" fillId="0" borderId="0"/>
    <xf numFmtId="196" fontId="42" fillId="0" borderId="0" applyFont="0" applyFill="0" applyBorder="0" applyAlignment="0" applyProtection="0"/>
    <xf numFmtId="188" fontId="2" fillId="0" borderId="0" applyFont="0" applyFill="0" applyBorder="0" applyAlignment="0" applyProtection="0"/>
    <xf numFmtId="197" fontId="42" fillId="0" borderId="0" applyFont="0" applyFill="0" applyBorder="0" applyAlignment="0" applyProtection="0"/>
    <xf numFmtId="171" fontId="2" fillId="0" borderId="0" applyFont="0" applyFill="0" applyBorder="0" applyAlignment="0" applyProtection="0"/>
    <xf numFmtId="0" fontId="62" fillId="0" borderId="0" applyNumberFormat="0" applyFill="0" applyBorder="0" applyAlignment="0" applyProtection="0">
      <alignment vertical="top"/>
      <protection locked="0"/>
    </xf>
    <xf numFmtId="0" fontId="28" fillId="0" borderId="0"/>
    <xf numFmtId="165" fontId="2" fillId="0" borderId="0" applyFont="0" applyFill="0" applyBorder="0" applyAlignment="0" applyProtection="0"/>
    <xf numFmtId="165"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0" fontId="1" fillId="0" borderId="0"/>
    <xf numFmtId="0" fontId="3" fillId="13" borderId="37" applyNumberFormat="0" applyFont="0" applyAlignment="0" applyProtection="0"/>
    <xf numFmtId="193" fontId="2" fillId="0" borderId="0" applyFont="0" applyFill="0" applyBorder="0" applyAlignment="0" applyProtection="0"/>
    <xf numFmtId="191" fontId="2" fillId="0" borderId="0" applyFont="0" applyFill="0" applyBorder="0" applyAlignment="0" applyProtection="0"/>
    <xf numFmtId="171" fontId="42" fillId="0" borderId="0" applyFont="0" applyFill="0" applyBorder="0" applyAlignment="0" applyProtection="0"/>
    <xf numFmtId="165" fontId="2" fillId="0" borderId="0" applyFont="0" applyFill="0" applyBorder="0" applyAlignment="0" applyProtection="0"/>
    <xf numFmtId="0" fontId="1" fillId="0" borderId="0"/>
    <xf numFmtId="0" fontId="2" fillId="0" borderId="0"/>
    <xf numFmtId="0" fontId="42" fillId="13" borderId="37" applyNumberFormat="0" applyFont="0" applyAlignment="0" applyProtection="0"/>
    <xf numFmtId="9"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165" fontId="2" fillId="0" borderId="0" applyFont="0" applyFill="0" applyBorder="0" applyAlignment="0" applyProtection="0"/>
    <xf numFmtId="0" fontId="2" fillId="0" borderId="0"/>
    <xf numFmtId="0" fontId="63" fillId="0" borderId="0"/>
    <xf numFmtId="0" fontId="43" fillId="0" borderId="0"/>
    <xf numFmtId="0" fontId="64" fillId="0" borderId="0"/>
    <xf numFmtId="0" fontId="63" fillId="0" borderId="0"/>
    <xf numFmtId="0" fontId="63" fillId="0" borderId="0"/>
    <xf numFmtId="0" fontId="63" fillId="0" borderId="0"/>
    <xf numFmtId="0" fontId="64" fillId="0" borderId="0"/>
    <xf numFmtId="0" fontId="63" fillId="0" borderId="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5"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18"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45" fillId="21" borderId="0" applyNumberFormat="0" applyBorder="0" applyAlignment="0" applyProtection="0"/>
    <xf numFmtId="0" fontId="65" fillId="0" borderId="1"/>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46" fillId="18" borderId="0" applyNumberFormat="0" applyBorder="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66" fillId="35" borderId="39" applyNumberFormat="0" applyAlignment="0" applyProtection="0"/>
    <xf numFmtId="0" fontId="2" fillId="0" borderId="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48" fillId="29" borderId="40" applyNumberFormat="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56" fillId="0" borderId="47" applyNumberFormat="0" applyFill="0" applyAlignment="0" applyProtection="0"/>
    <xf numFmtId="0" fontId="39" fillId="0" borderId="0">
      <protection locked="0"/>
    </xf>
    <xf numFmtId="0" fontId="41" fillId="0" borderId="0">
      <protection locked="0"/>
    </xf>
    <xf numFmtId="0" fontId="41" fillId="0" borderId="0">
      <protection locked="0"/>
    </xf>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23"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26"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51" fillId="34" borderId="39" applyNumberFormat="0" applyAlignment="0" applyProtection="0"/>
    <xf numFmtId="0" fontId="28" fillId="0" borderId="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9" fontId="39" fillId="0" borderId="0">
      <protection locked="0"/>
    </xf>
    <xf numFmtId="0" fontId="68" fillId="0" borderId="0" applyNumberFormat="0" applyFill="0" applyBorder="0" applyAlignment="0" applyProtection="0">
      <alignment vertical="top"/>
      <protection locked="0"/>
    </xf>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200" fontId="2" fillId="0" borderId="0" applyFont="0" applyFill="0" applyBorder="0" applyAlignment="0" applyProtection="0"/>
    <xf numFmtId="171"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201" fontId="2" fillId="0" borderId="0" applyFont="0" applyFill="0" applyBorder="0" applyAlignment="0" applyProtection="0"/>
    <xf numFmtId="0" fontId="2" fillId="0" borderId="0" applyFont="0" applyFill="0" applyBorder="0" applyAlignment="0" applyProtection="0">
      <alignment vertical="center"/>
    </xf>
    <xf numFmtId="173" fontId="2" fillId="0" borderId="0" applyFont="0" applyFill="0" applyBorder="0" applyAlignment="0" applyProtection="0"/>
    <xf numFmtId="202" fontId="2" fillId="0" borderId="0" applyFont="0" applyFill="0" applyBorder="0" applyAlignment="0" applyProtection="0">
      <alignment vertical="center"/>
    </xf>
    <xf numFmtId="203" fontId="2" fillId="0" borderId="0" applyFont="0" applyFill="0" applyBorder="0" applyAlignment="0" applyProtection="0"/>
    <xf numFmtId="204" fontId="2" fillId="0" borderId="0" applyFont="0" applyFill="0" applyBorder="0" applyAlignment="0" applyProtection="0"/>
    <xf numFmtId="203" fontId="2" fillId="0" borderId="0" applyFont="0" applyFill="0" applyBorder="0" applyAlignment="0" applyProtection="0"/>
    <xf numFmtId="200" fontId="2" fillId="0" borderId="0" applyFont="0" applyFill="0" applyBorder="0" applyAlignment="0" applyProtection="0"/>
    <xf numFmtId="205" fontId="2" fillId="0" borderId="0" applyFont="0" applyFill="0" applyBorder="0" applyAlignment="0" applyProtection="0"/>
    <xf numFmtId="206" fontId="69" fillId="0" borderId="48" applyFont="0" applyBorder="0" applyAlignment="0"/>
    <xf numFmtId="207" fontId="39" fillId="0" borderId="0">
      <protection locked="0"/>
    </xf>
    <xf numFmtId="208" fontId="2" fillId="0" borderId="0" applyFont="0" applyFill="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44" fillId="0" borderId="0"/>
    <xf numFmtId="0" fontId="2" fillId="0" borderId="0"/>
    <xf numFmtId="0" fontId="42" fillId="0" borderId="0"/>
    <xf numFmtId="0" fontId="42" fillId="0" borderId="0"/>
    <xf numFmtId="0" fontId="2" fillId="0" borderId="0"/>
    <xf numFmtId="0" fontId="2" fillId="0" borderId="0"/>
    <xf numFmtId="0" fontId="2" fillId="0" borderId="0"/>
    <xf numFmtId="0" fontId="42" fillId="0" borderId="0"/>
    <xf numFmtId="0" fontId="3" fillId="0" borderId="0">
      <alignment vertical="center"/>
    </xf>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2" fillId="0" borderId="0"/>
    <xf numFmtId="0" fontId="4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alignment vertical="center"/>
    </xf>
    <xf numFmtId="0" fontId="3"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42" fillId="0" borderId="0"/>
    <xf numFmtId="0" fontId="2" fillId="0" borderId="0"/>
    <xf numFmtId="0" fontId="42" fillId="0" borderId="0"/>
    <xf numFmtId="0" fontId="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2" fillId="0" borderId="0"/>
    <xf numFmtId="0" fontId="42" fillId="0" borderId="0"/>
    <xf numFmtId="0" fontId="2" fillId="0" borderId="0"/>
    <xf numFmtId="0" fontId="4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4" fillId="0" borderId="0">
      <alignment vertical="top"/>
    </xf>
    <xf numFmtId="0" fontId="1" fillId="0" borderId="0"/>
    <xf numFmtId="0" fontId="3" fillId="0" borderId="0">
      <alignment vertical="center"/>
    </xf>
    <xf numFmtId="0" fontId="3" fillId="0" borderId="0">
      <alignment vertical="center"/>
    </xf>
    <xf numFmtId="0" fontId="3"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0" fontId="2" fillId="13" borderId="37" applyNumberFormat="0" applyFont="0" applyAlignment="0" applyProtection="0"/>
    <xf numFmtId="9" fontId="42" fillId="0" borderId="0" applyFont="0" applyFill="0" applyBorder="0" applyAlignment="0" applyProtection="0"/>
    <xf numFmtId="9" fontId="42" fillId="0" borderId="0" applyFont="0" applyFill="0" applyBorder="0" applyAlignment="0" applyProtection="0"/>
    <xf numFmtId="9" fontId="2" fillId="0" borderId="0" applyFont="0" applyFill="0" applyBorder="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1" fillId="0" borderId="49" applyNumberFormat="0" applyFill="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3" fillId="0" borderId="50" applyNumberFormat="0" applyFill="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67" fillId="0" borderId="51" applyNumberFormat="0" applyFill="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61" fillId="0" borderId="52" applyNumberFormat="0" applyFill="0" applyAlignment="0" applyProtection="0"/>
    <xf numFmtId="0" fontId="1" fillId="0" borderId="0"/>
    <xf numFmtId="171" fontId="1" fillId="0" borderId="0" applyFont="0" applyFill="0" applyBorder="0" applyAlignment="0" applyProtection="0"/>
    <xf numFmtId="0" fontId="1" fillId="0" borderId="0"/>
    <xf numFmtId="0" fontId="2" fillId="0" borderId="0"/>
    <xf numFmtId="171" fontId="1" fillId="0" borderId="0" applyFont="0" applyFill="0" applyBorder="0" applyAlignment="0" applyProtection="0"/>
    <xf numFmtId="171" fontId="75" fillId="0" borderId="0" applyFont="0" applyFill="0" applyBorder="0" applyAlignment="0" applyProtection="0"/>
    <xf numFmtId="0" fontId="75" fillId="0" borderId="0"/>
    <xf numFmtId="0" fontId="2" fillId="0" borderId="0"/>
    <xf numFmtId="0" fontId="43" fillId="0" borderId="0"/>
    <xf numFmtId="0" fontId="43" fillId="0" borderId="0"/>
    <xf numFmtId="0" fontId="65" fillId="0" borderId="1"/>
    <xf numFmtId="0" fontId="76" fillId="0" borderId="0"/>
    <xf numFmtId="0" fontId="2" fillId="0" borderId="0"/>
    <xf numFmtId="0" fontId="28" fillId="0" borderId="0"/>
    <xf numFmtId="0" fontId="2" fillId="0" borderId="0"/>
    <xf numFmtId="0" fontId="28" fillId="0" borderId="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209" fontId="2" fillId="0" borderId="0" applyFont="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9" fontId="39" fillId="0" borderId="0">
      <protection locked="0"/>
    </xf>
    <xf numFmtId="194" fontId="2" fillId="0" borderId="0" applyFill="0" applyBorder="0" applyAlignment="0" applyProtection="0"/>
    <xf numFmtId="194" fontId="2" fillId="0" borderId="0" applyFill="0" applyBorder="0" applyAlignment="0" applyProtection="0"/>
    <xf numFmtId="199" fontId="39" fillId="0" borderId="0">
      <protection locked="0"/>
    </xf>
    <xf numFmtId="199" fontId="39" fillId="0" borderId="0">
      <protection locked="0"/>
    </xf>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4" fontId="2" fillId="0" borderId="0" applyFill="0" applyBorder="0" applyAlignment="0" applyProtection="0"/>
    <xf numFmtId="199" fontId="39" fillId="0" borderId="0">
      <protection locked="0"/>
    </xf>
    <xf numFmtId="194" fontId="2" fillId="0" borderId="0" applyFill="0" applyBorder="0" applyAlignment="0" applyProtection="0"/>
    <xf numFmtId="194" fontId="2" fillId="0" borderId="0" applyFill="0" applyBorder="0" applyAlignment="0" applyProtection="0"/>
    <xf numFmtId="0" fontId="77" fillId="0" borderId="0"/>
    <xf numFmtId="0" fontId="78" fillId="0" borderId="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79" fillId="0" borderId="0" applyFont="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79" fillId="0" borderId="0" applyFont="0" applyFill="0" applyBorder="0" applyAlignment="0" applyProtection="0"/>
    <xf numFmtId="3" fontId="2" fillId="0" borderId="0" applyFill="0" applyBorder="0" applyAlignment="0" applyProtection="0"/>
    <xf numFmtId="3" fontId="2" fillId="0" borderId="0" applyFill="0" applyBorder="0" applyAlignment="0" applyProtection="0"/>
    <xf numFmtId="3" fontId="79" fillId="0" borderId="0" applyFont="0" applyFill="0" applyBorder="0" applyAlignment="0" applyProtection="0"/>
    <xf numFmtId="3" fontId="79" fillId="0" borderId="0" applyFont="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79" fillId="0" borderId="0" applyFont="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0" fontId="78" fillId="0" borderId="0"/>
    <xf numFmtId="0" fontId="77" fillId="0" borderId="0"/>
    <xf numFmtId="5" fontId="2" fillId="0" borderId="0" applyFill="0" applyBorder="0" applyAlignment="0" applyProtection="0"/>
    <xf numFmtId="210" fontId="39" fillId="0" borderId="0">
      <protection locked="0"/>
    </xf>
    <xf numFmtId="211" fontId="2" fillId="0" borderId="0" applyFill="0" applyBorder="0" applyAlignment="0" applyProtection="0"/>
    <xf numFmtId="195" fontId="2" fillId="0" borderId="0" applyFill="0" applyBorder="0" applyAlignment="0" applyProtection="0"/>
    <xf numFmtId="0" fontId="74" fillId="0" borderId="0" applyProtection="0"/>
    <xf numFmtId="0" fontId="39" fillId="0" borderId="0">
      <protection locked="0"/>
    </xf>
    <xf numFmtId="0" fontId="39" fillId="0" borderId="0">
      <protection locked="0"/>
    </xf>
    <xf numFmtId="0" fontId="39" fillId="0" borderId="0">
      <protection locked="0"/>
    </xf>
    <xf numFmtId="0" fontId="74" fillId="0" borderId="0" applyProtection="0"/>
    <xf numFmtId="0" fontId="74" fillId="0" borderId="0" applyProtection="0"/>
    <xf numFmtId="0" fontId="74" fillId="0" borderId="0" applyProtection="0"/>
    <xf numFmtId="0" fontId="74" fillId="0" borderId="0" applyProtection="0"/>
    <xf numFmtId="0" fontId="74" fillId="0" borderId="0" applyProtection="0"/>
    <xf numFmtId="0" fontId="74" fillId="0" borderId="0" applyProtection="0"/>
    <xf numFmtId="0" fontId="74" fillId="0" borderId="0" applyProtection="0"/>
    <xf numFmtId="0" fontId="40" fillId="0" borderId="0" applyProtection="0"/>
    <xf numFmtId="0" fontId="41" fillId="0" borderId="0">
      <protection locked="0"/>
    </xf>
    <xf numFmtId="0" fontId="41" fillId="0" borderId="0">
      <protection locked="0"/>
    </xf>
    <xf numFmtId="0" fontId="41" fillId="0" borderId="0">
      <protection locked="0"/>
    </xf>
    <xf numFmtId="0" fontId="40" fillId="0" borderId="0" applyProtection="0"/>
    <xf numFmtId="0" fontId="40" fillId="0" borderId="0" applyProtection="0"/>
    <xf numFmtId="0" fontId="40" fillId="0" borderId="0" applyProtection="0"/>
    <xf numFmtId="0" fontId="40" fillId="0" borderId="0" applyProtection="0"/>
    <xf numFmtId="0" fontId="40" fillId="0" borderId="0" applyProtection="0"/>
    <xf numFmtId="0" fontId="40" fillId="0" borderId="0" applyProtection="0"/>
    <xf numFmtId="0" fontId="40" fillId="0" borderId="0" applyProtection="0"/>
    <xf numFmtId="0" fontId="26" fillId="0" borderId="0" applyProtection="0"/>
    <xf numFmtId="0" fontId="41" fillId="0" borderId="0">
      <protection locked="0"/>
    </xf>
    <xf numFmtId="0" fontId="41" fillId="0" borderId="0">
      <protection locked="0"/>
    </xf>
    <xf numFmtId="0" fontId="41" fillId="0" borderId="0">
      <protection locked="0"/>
    </xf>
    <xf numFmtId="0" fontId="26" fillId="0" borderId="0" applyProtection="0"/>
    <xf numFmtId="0" fontId="26" fillId="0" borderId="0" applyProtection="0"/>
    <xf numFmtId="0" fontId="26" fillId="0" borderId="0" applyProtection="0"/>
    <xf numFmtId="0" fontId="26" fillId="0" borderId="0" applyProtection="0"/>
    <xf numFmtId="0" fontId="26" fillId="0" borderId="0" applyProtection="0"/>
    <xf numFmtId="0" fontId="26" fillId="0" borderId="0" applyProtection="0"/>
    <xf numFmtId="0" fontId="26" fillId="0" borderId="0" applyProtection="0"/>
    <xf numFmtId="0" fontId="2" fillId="0" borderId="0"/>
    <xf numFmtId="0" fontId="28" fillId="0" borderId="0"/>
    <xf numFmtId="212" fontId="80" fillId="0" borderId="0"/>
    <xf numFmtId="0" fontId="42" fillId="0" borderId="0"/>
    <xf numFmtId="0" fontId="81" fillId="0" borderId="0"/>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82"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82" fillId="0" borderId="0">
      <protection locked="0"/>
    </xf>
    <xf numFmtId="0" fontId="39" fillId="0" borderId="0">
      <protection locked="0"/>
    </xf>
    <xf numFmtId="0" fontId="39" fillId="0" borderId="0">
      <protection locked="0"/>
    </xf>
    <xf numFmtId="0" fontId="82" fillId="0" borderId="0">
      <protection locked="0"/>
    </xf>
    <xf numFmtId="0" fontId="82"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82" fillId="0" borderId="0">
      <protection locked="0"/>
    </xf>
    <xf numFmtId="0" fontId="39" fillId="0" borderId="0">
      <protection locked="0"/>
    </xf>
    <xf numFmtId="0" fontId="39" fillId="0" borderId="0">
      <protection locked="0"/>
    </xf>
    <xf numFmtId="0" fontId="27" fillId="0" borderId="0" applyNumberFormat="0" applyFill="0" applyBorder="0" applyAlignment="0" applyProtection="0"/>
    <xf numFmtId="0" fontId="69" fillId="0" borderId="0"/>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82"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82" fillId="0" borderId="0">
      <protection locked="0"/>
    </xf>
    <xf numFmtId="0" fontId="39" fillId="0" borderId="0">
      <protection locked="0"/>
    </xf>
    <xf numFmtId="0" fontId="39" fillId="0" borderId="0">
      <protection locked="0"/>
    </xf>
    <xf numFmtId="0" fontId="82" fillId="0" borderId="0">
      <protection locked="0"/>
    </xf>
    <xf numFmtId="0" fontId="82"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82" fillId="0" borderId="0">
      <protection locked="0"/>
    </xf>
    <xf numFmtId="0" fontId="39" fillId="0" borderId="0">
      <protection locked="0"/>
    </xf>
    <xf numFmtId="0" fontId="39" fillId="0" borderId="0">
      <protection locked="0"/>
    </xf>
    <xf numFmtId="0" fontId="3" fillId="0" borderId="0" applyProtection="0"/>
    <xf numFmtId="0" fontId="83" fillId="0" borderId="0">
      <protection locked="0"/>
    </xf>
    <xf numFmtId="0" fontId="84" fillId="0" borderId="0">
      <protection locked="0"/>
    </xf>
    <xf numFmtId="0" fontId="85" fillId="0" borderId="0"/>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82"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82" fillId="0" borderId="0">
      <protection locked="0"/>
    </xf>
    <xf numFmtId="0" fontId="39" fillId="0" borderId="0">
      <protection locked="0"/>
    </xf>
    <xf numFmtId="0" fontId="39" fillId="0" borderId="0">
      <protection locked="0"/>
    </xf>
    <xf numFmtId="0" fontId="82" fillId="0" borderId="0">
      <protection locked="0"/>
    </xf>
    <xf numFmtId="0" fontId="82"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82" fillId="0" borderId="0">
      <protection locked="0"/>
    </xf>
    <xf numFmtId="0" fontId="39" fillId="0" borderId="0">
      <protection locked="0"/>
    </xf>
    <xf numFmtId="0" fontId="39" fillId="0" borderId="0">
      <protection locked="0"/>
    </xf>
    <xf numFmtId="0" fontId="86" fillId="0" borderId="0" applyNumberFormat="0" applyFill="0" applyBorder="0" applyAlignment="0" applyProtection="0"/>
    <xf numFmtId="0" fontId="87" fillId="0" borderId="0"/>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82"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82" fillId="0" borderId="0">
      <protection locked="0"/>
    </xf>
    <xf numFmtId="0" fontId="39" fillId="0" borderId="0">
      <protection locked="0"/>
    </xf>
    <xf numFmtId="0" fontId="39" fillId="0" borderId="0">
      <protection locked="0"/>
    </xf>
    <xf numFmtId="0" fontId="82" fillId="0" borderId="0">
      <protection locked="0"/>
    </xf>
    <xf numFmtId="0" fontId="82"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82" fillId="0" borderId="0">
      <protection locked="0"/>
    </xf>
    <xf numFmtId="0" fontId="39" fillId="0" borderId="0">
      <protection locked="0"/>
    </xf>
    <xf numFmtId="0" fontId="39" fillId="0" borderId="0">
      <protection locked="0"/>
    </xf>
    <xf numFmtId="0" fontId="88" fillId="0" borderId="0" applyProtection="0"/>
    <xf numFmtId="0" fontId="82" fillId="0" borderId="0">
      <protection locked="0"/>
    </xf>
    <xf numFmtId="0" fontId="39" fillId="0" borderId="0">
      <protection locked="0"/>
    </xf>
    <xf numFmtId="0" fontId="83" fillId="0" borderId="0">
      <protection locked="0"/>
    </xf>
    <xf numFmtId="0" fontId="84" fillId="0" borderId="0">
      <protection locked="0"/>
    </xf>
    <xf numFmtId="2" fontId="74" fillId="0" borderId="0" applyProtection="0"/>
    <xf numFmtId="213" fontId="39" fillId="0" borderId="0">
      <protection locked="0"/>
    </xf>
    <xf numFmtId="213" fontId="39" fillId="0" borderId="0">
      <protection locked="0"/>
    </xf>
    <xf numFmtId="2" fontId="74" fillId="0" borderId="0" applyProtection="0"/>
    <xf numFmtId="2" fontId="74" fillId="0" borderId="0" applyProtection="0"/>
    <xf numFmtId="2" fontId="74" fillId="0" borderId="0" applyProtection="0"/>
    <xf numFmtId="2" fontId="74" fillId="0" borderId="0" applyProtection="0"/>
    <xf numFmtId="2" fontId="74" fillId="0" borderId="0" applyProtection="0"/>
    <xf numFmtId="2" fontId="74" fillId="0" borderId="0" applyProtection="0"/>
    <xf numFmtId="4" fontId="74" fillId="0" borderId="0" applyProtection="0"/>
    <xf numFmtId="199" fontId="39" fillId="0" borderId="0">
      <protection locked="0"/>
    </xf>
    <xf numFmtId="199" fontId="39" fillId="0" borderId="0">
      <protection locked="0"/>
    </xf>
    <xf numFmtId="199" fontId="39" fillId="0" borderId="0">
      <protection locked="0"/>
    </xf>
    <xf numFmtId="4" fontId="74" fillId="0" borderId="0" applyProtection="0"/>
    <xf numFmtId="4" fontId="74" fillId="0" borderId="0" applyProtection="0"/>
    <xf numFmtId="4" fontId="74" fillId="0" borderId="0" applyProtection="0"/>
    <xf numFmtId="4" fontId="74" fillId="0" borderId="0" applyProtection="0"/>
    <xf numFmtId="4" fontId="74" fillId="0" borderId="0" applyProtection="0"/>
    <xf numFmtId="4" fontId="74" fillId="0" borderId="0" applyProtection="0"/>
    <xf numFmtId="4" fontId="74" fillId="0" borderId="0" applyProtection="0"/>
    <xf numFmtId="0" fontId="89" fillId="0" borderId="0" applyNumberFormat="0" applyFill="0" applyBorder="0" applyAlignment="0" applyProtection="0"/>
    <xf numFmtId="0" fontId="90" fillId="0" borderId="0" applyNumberFormat="0" applyFill="0" applyBorder="0" applyAlignment="0" applyProtection="0"/>
    <xf numFmtId="0" fontId="40" fillId="0" borderId="0" applyNumberFormat="0" applyFill="0" applyBorder="0" applyAlignment="0" applyProtection="0"/>
    <xf numFmtId="0" fontId="91" fillId="0" borderId="0" applyNumberFormat="0" applyFill="0" applyBorder="0" applyAlignment="0" applyProtection="0"/>
    <xf numFmtId="0" fontId="26" fillId="0" borderId="0" applyNumberFormat="0" applyFill="0" applyBorder="0" applyAlignment="0" applyProtection="0"/>
    <xf numFmtId="49" fontId="2" fillId="0" borderId="53" applyNumberFormat="0" applyProtection="0">
      <alignment horizontal="left" vertical="top"/>
    </xf>
    <xf numFmtId="49" fontId="92" fillId="0" borderId="53" applyNumberFormat="0" applyProtection="0">
      <alignment horizontal="left" vertical="top"/>
    </xf>
    <xf numFmtId="0" fontId="93" fillId="0" borderId="0" applyNumberFormat="0" applyFill="0" applyBorder="0" applyAlignment="0" applyProtection="0"/>
    <xf numFmtId="214" fontId="2" fillId="0" borderId="0" applyFill="0" applyBorder="0" applyAlignment="0" applyProtection="0"/>
    <xf numFmtId="214" fontId="2" fillId="0" borderId="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215" fontId="2"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216" fontId="94" fillId="0" borderId="0" applyFill="0" applyBorder="0" applyProtection="0">
      <alignment vertical="top"/>
    </xf>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0"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217" fontId="42"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167"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9"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189" fontId="2" fillId="0" borderId="0" applyFont="0" applyFill="0" applyBorder="0" applyAlignment="0" applyProtection="0"/>
    <xf numFmtId="220" fontId="2" fillId="0" borderId="0" applyProtection="0"/>
    <xf numFmtId="207" fontId="39" fillId="0" borderId="0">
      <protection locked="0"/>
    </xf>
    <xf numFmtId="207" fontId="39" fillId="0" borderId="0">
      <protection locked="0"/>
    </xf>
    <xf numFmtId="207" fontId="39" fillId="0" borderId="0">
      <protection locked="0"/>
    </xf>
    <xf numFmtId="220" fontId="2" fillId="0" borderId="0" applyProtection="0"/>
    <xf numFmtId="220" fontId="2" fillId="0" borderId="0" applyProtection="0"/>
    <xf numFmtId="220" fontId="2" fillId="0" borderId="0" applyProtection="0"/>
    <xf numFmtId="220" fontId="2" fillId="0" borderId="0" applyProtection="0"/>
    <xf numFmtId="220" fontId="2" fillId="0" borderId="0" applyProtection="0"/>
    <xf numFmtId="220" fontId="2" fillId="0" borderId="0" applyProtection="0"/>
    <xf numFmtId="220" fontId="2" fillId="0" borderId="0" applyProtection="0"/>
    <xf numFmtId="0" fontId="24" fillId="0" borderId="0">
      <alignment vertical="top"/>
    </xf>
    <xf numFmtId="0" fontId="1" fillId="0" borderId="0"/>
    <xf numFmtId="0" fontId="1" fillId="0" borderId="0"/>
    <xf numFmtId="0" fontId="1" fillId="0" borderId="0"/>
    <xf numFmtId="0" fontId="1" fillId="0" borderId="0"/>
    <xf numFmtId="0" fontId="24" fillId="0" borderId="0">
      <alignment vertical="top"/>
    </xf>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24" fillId="0" borderId="0">
      <alignment vertical="top"/>
    </xf>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alignment vertical="center"/>
    </xf>
    <xf numFmtId="0" fontId="2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1" fillId="0" borderId="0"/>
    <xf numFmtId="0" fontId="1" fillId="0" borderId="0"/>
    <xf numFmtId="0" fontId="1" fillId="0" borderId="0"/>
    <xf numFmtId="0" fontId="1" fillId="0" borderId="0"/>
    <xf numFmtId="0" fontId="3" fillId="0" borderId="0">
      <alignment vertical="center"/>
    </xf>
    <xf numFmtId="0" fontId="54" fillId="0" borderId="0"/>
    <xf numFmtId="0" fontId="4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1" fillId="0" borderId="0"/>
    <xf numFmtId="0" fontId="1" fillId="0" borderId="0"/>
    <xf numFmtId="0" fontId="1" fillId="0" borderId="0"/>
    <xf numFmtId="0" fontId="1" fillId="0" borderId="0"/>
    <xf numFmtId="0" fontId="3" fillId="0" borderId="0">
      <alignment vertical="center"/>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38" fontId="95" fillId="0" borderId="0"/>
    <xf numFmtId="49" fontId="29" fillId="0" borderId="54">
      <alignment horizontal="center" vertical="center"/>
    </xf>
    <xf numFmtId="0" fontId="2" fillId="0" borderId="0"/>
    <xf numFmtId="0" fontId="1" fillId="0" borderId="0"/>
    <xf numFmtId="171" fontId="1" fillId="0" borderId="0" applyFont="0" applyFill="0" applyBorder="0" applyAlignment="0" applyProtection="0"/>
    <xf numFmtId="0" fontId="74" fillId="0" borderId="0"/>
    <xf numFmtId="0" fontId="42" fillId="0" borderId="0"/>
    <xf numFmtId="0" fontId="1" fillId="0" borderId="0"/>
    <xf numFmtId="0" fontId="1" fillId="0" borderId="0"/>
    <xf numFmtId="9" fontId="42" fillId="0" borderId="0" applyFont="0" applyFill="0" applyBorder="0" applyAlignment="0" applyProtection="0"/>
    <xf numFmtId="0" fontId="1" fillId="0" borderId="0"/>
    <xf numFmtId="171" fontId="1" fillId="0" borderId="0" applyFont="0" applyFill="0" applyBorder="0" applyAlignment="0" applyProtection="0"/>
    <xf numFmtId="0" fontId="24" fillId="0" borderId="0">
      <alignment vertical="top"/>
    </xf>
    <xf numFmtId="0" fontId="2" fillId="0" borderId="0"/>
    <xf numFmtId="0" fontId="61" fillId="0" borderId="52" applyNumberFormat="0" applyFill="0" applyAlignment="0" applyProtection="0"/>
    <xf numFmtId="0" fontId="1" fillId="0" borderId="0"/>
    <xf numFmtId="171" fontId="1" fillId="0" borderId="0" applyFont="0" applyFill="0" applyBorder="0" applyAlignment="0" applyProtection="0"/>
    <xf numFmtId="173" fontId="2" fillId="0" borderId="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3" fillId="0" borderId="0">
      <alignment vertical="center"/>
    </xf>
    <xf numFmtId="0" fontId="42" fillId="38" borderId="0" applyNumberFormat="0" applyBorder="0" applyAlignment="0" applyProtection="0"/>
    <xf numFmtId="0" fontId="42" fillId="39" borderId="0" applyNumberFormat="0" applyBorder="0" applyAlignment="0" applyProtection="0"/>
    <xf numFmtId="0" fontId="42" fillId="40" borderId="0" applyNumberFormat="0" applyBorder="0" applyAlignment="0" applyProtection="0"/>
    <xf numFmtId="0" fontId="42" fillId="41" borderId="0" applyNumberFormat="0" applyBorder="0" applyAlignment="0" applyProtection="0"/>
    <xf numFmtId="0" fontId="42" fillId="42"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5" borderId="0" applyNumberFormat="0" applyBorder="0" applyAlignment="0" applyProtection="0"/>
    <xf numFmtId="0" fontId="42" fillId="46" borderId="0" applyNumberFormat="0" applyBorder="0" applyAlignment="0" applyProtection="0"/>
    <xf numFmtId="0" fontId="42" fillId="41" borderId="0" applyNumberFormat="0" applyBorder="0" applyAlignment="0" applyProtection="0"/>
    <xf numFmtId="0" fontId="42" fillId="44" borderId="0" applyNumberFormat="0" applyBorder="0" applyAlignment="0" applyProtection="0"/>
    <xf numFmtId="0" fontId="42" fillId="47" borderId="0" applyNumberFormat="0" applyBorder="0" applyAlignment="0" applyProtection="0"/>
    <xf numFmtId="0" fontId="45" fillId="48" borderId="0" applyNumberFormat="0" applyBorder="0" applyAlignment="0" applyProtection="0"/>
    <xf numFmtId="0" fontId="45" fillId="45" borderId="0" applyNumberFormat="0" applyBorder="0" applyAlignment="0" applyProtection="0"/>
    <xf numFmtId="0" fontId="45" fillId="46" borderId="0" applyNumberFormat="0" applyBorder="0" applyAlignment="0" applyProtection="0"/>
    <xf numFmtId="0" fontId="45" fillId="49"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2" borderId="0" applyNumberFormat="0" applyBorder="0" applyAlignment="0" applyProtection="0"/>
    <xf numFmtId="0" fontId="45" fillId="53" borderId="0" applyNumberFormat="0" applyBorder="0" applyAlignment="0" applyProtection="0"/>
    <xf numFmtId="0" fontId="45" fillId="54" borderId="0" applyNumberFormat="0" applyBorder="0" applyAlignment="0" applyProtection="0"/>
    <xf numFmtId="0" fontId="45" fillId="49" borderId="0" applyNumberFormat="0" applyBorder="0" applyAlignment="0" applyProtection="0"/>
    <xf numFmtId="0" fontId="45" fillId="50" borderId="0" applyNumberFormat="0" applyBorder="0" applyAlignment="0" applyProtection="0"/>
    <xf numFmtId="0" fontId="45" fillId="55" borderId="0" applyNumberFormat="0" applyBorder="0" applyAlignment="0" applyProtection="0"/>
    <xf numFmtId="0" fontId="52" fillId="39" borderId="0" applyNumberFormat="0" applyBorder="0" applyAlignment="0" applyProtection="0"/>
    <xf numFmtId="0" fontId="47" fillId="56" borderId="39" applyNumberFormat="0" applyAlignment="0" applyProtection="0"/>
    <xf numFmtId="0" fontId="48" fillId="57" borderId="40" applyNumberFormat="0" applyAlignment="0" applyProtection="0"/>
    <xf numFmtId="0" fontId="43" fillId="0" borderId="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0" fontId="42" fillId="0" borderId="0"/>
    <xf numFmtId="0" fontId="57" fillId="0" borderId="0" applyNumberFormat="0" applyFill="0" applyBorder="0" applyAlignment="0" applyProtection="0"/>
    <xf numFmtId="0" fontId="46" fillId="40" borderId="0" applyNumberFormat="0" applyBorder="0" applyAlignment="0" applyProtection="0"/>
    <xf numFmtId="222" fontId="98" fillId="0" borderId="0">
      <protection locked="0"/>
    </xf>
    <xf numFmtId="0" fontId="51" fillId="43" borderId="39" applyNumberFormat="0" applyAlignment="0" applyProtection="0"/>
    <xf numFmtId="0" fontId="49" fillId="0" borderId="41" applyNumberFormat="0" applyFill="0" applyAlignment="0" applyProtection="0"/>
    <xf numFmtId="0" fontId="2" fillId="0" borderId="0" applyFont="0" applyFill="0" applyBorder="0" applyAlignment="0" applyProtection="0"/>
    <xf numFmtId="223" fontId="97" fillId="0" borderId="0" applyFill="0" applyBorder="0" applyAlignment="0" applyProtection="0"/>
    <xf numFmtId="167" fontId="2" fillId="0" borderId="0" applyFont="0" applyFill="0" applyBorder="0" applyAlignment="0" applyProtection="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alignment vertical="center"/>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1" fillId="0" borderId="0"/>
    <xf numFmtId="0" fontId="97" fillId="58" borderId="37" applyNumberFormat="0" applyAlignment="0" applyProtection="0"/>
    <xf numFmtId="0" fontId="55" fillId="56" borderId="42" applyNumberFormat="0" applyAlignment="0" applyProtection="0"/>
    <xf numFmtId="9" fontId="1" fillId="0" borderId="0" applyFont="0" applyFill="0" applyBorder="0" applyAlignment="0" applyProtection="0"/>
    <xf numFmtId="9" fontId="1" fillId="0" borderId="0" applyFont="0" applyFill="0" applyBorder="0" applyAlignment="0" applyProtection="0"/>
    <xf numFmtId="0" fontId="56" fillId="0" borderId="0" applyNumberFormat="0" applyFill="0" applyBorder="0" applyAlignment="0" applyProtection="0"/>
    <xf numFmtId="171" fontId="1" fillId="0" borderId="0" applyFont="0" applyFill="0" applyBorder="0" applyAlignment="0" applyProtection="0"/>
    <xf numFmtId="0" fontId="1" fillId="0" borderId="0"/>
    <xf numFmtId="0" fontId="2" fillId="0" borderId="0"/>
    <xf numFmtId="165" fontId="2" fillId="0" borderId="0" applyFont="0" applyFill="0" applyBorder="0" applyAlignment="0" applyProtection="0"/>
    <xf numFmtId="0" fontId="1" fillId="0" borderId="0"/>
    <xf numFmtId="0" fontId="2" fillId="0" borderId="38" applyNumberFormat="0" applyFont="0" applyFill="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9" fontId="2" fillId="0" borderId="0" applyFont="0" applyFill="0" applyBorder="0" applyAlignment="0" applyProtection="0"/>
    <xf numFmtId="0" fontId="1" fillId="0" borderId="0"/>
    <xf numFmtId="0" fontId="3" fillId="0" borderId="0">
      <alignment vertical="center"/>
    </xf>
    <xf numFmtId="180" fontId="24" fillId="0" borderId="0">
      <alignment vertical="top"/>
    </xf>
    <xf numFmtId="224" fontId="24" fillId="0" borderId="0" applyFont="0" applyFill="0" applyBorder="0" applyAlignment="0" applyProtection="0">
      <alignment vertical="top"/>
    </xf>
    <xf numFmtId="180" fontId="2" fillId="0" borderId="0"/>
    <xf numFmtId="180" fontId="1" fillId="0" borderId="0"/>
    <xf numFmtId="224" fontId="2" fillId="0" borderId="0" applyFont="0" applyFill="0" applyBorder="0" applyAlignment="0" applyProtection="0"/>
    <xf numFmtId="0" fontId="1" fillId="0" borderId="0"/>
    <xf numFmtId="0" fontId="1" fillId="0" borderId="0"/>
    <xf numFmtId="0" fontId="2" fillId="0" borderId="0"/>
    <xf numFmtId="165" fontId="2" fillId="0" borderId="0" applyFont="0" applyFill="0" applyBorder="0" applyAlignment="0" applyProtection="0"/>
    <xf numFmtId="0" fontId="1" fillId="0" borderId="0"/>
    <xf numFmtId="0" fontId="2" fillId="0" borderId="38" applyNumberFormat="0" applyFont="0" applyFill="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80" fontId="1" fillId="0" borderId="0"/>
    <xf numFmtId="0" fontId="1" fillId="0" borderId="0"/>
    <xf numFmtId="0" fontId="1" fillId="0" borderId="0"/>
    <xf numFmtId="0" fontId="2" fillId="0" borderId="0"/>
    <xf numFmtId="165" fontId="2" fillId="0" borderId="0" applyFont="0" applyFill="0" applyBorder="0" applyAlignment="0" applyProtection="0"/>
    <xf numFmtId="0" fontId="1" fillId="0" borderId="0"/>
    <xf numFmtId="0" fontId="2" fillId="0" borderId="38" applyNumberFormat="0" applyFont="0" applyFill="0" applyAlignment="0" applyProtection="0"/>
    <xf numFmtId="0" fontId="1" fillId="0" borderId="0"/>
    <xf numFmtId="0" fontId="1" fillId="0" borderId="0"/>
    <xf numFmtId="0" fontId="2" fillId="0" borderId="0"/>
    <xf numFmtId="165" fontId="2" fillId="0" borderId="0" applyFont="0" applyFill="0" applyBorder="0" applyAlignment="0" applyProtection="0"/>
    <xf numFmtId="0" fontId="2" fillId="0" borderId="38" applyNumberFormat="0" applyFont="0" applyFill="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8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8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2" fillId="0" borderId="0"/>
    <xf numFmtId="165" fontId="2" fillId="0" borderId="0" applyFont="0" applyFill="0" applyBorder="0" applyAlignment="0" applyProtection="0"/>
    <xf numFmtId="0" fontId="1" fillId="0" borderId="0"/>
    <xf numFmtId="0" fontId="2" fillId="0" borderId="38" applyNumberFormat="0" applyFont="0" applyFill="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8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8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8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80" fontId="1" fillId="0" borderId="0"/>
    <xf numFmtId="0" fontId="1" fillId="0" borderId="0"/>
    <xf numFmtId="0" fontId="1" fillId="0" borderId="0"/>
    <xf numFmtId="0" fontId="1" fillId="0" borderId="0"/>
    <xf numFmtId="0" fontId="1" fillId="0" borderId="0"/>
    <xf numFmtId="0" fontId="1" fillId="0" borderId="0"/>
    <xf numFmtId="0" fontId="2" fillId="0" borderId="0"/>
    <xf numFmtId="180" fontId="2" fillId="0" borderId="0"/>
    <xf numFmtId="180" fontId="1" fillId="0" borderId="0"/>
    <xf numFmtId="224" fontId="2" fillId="0" borderId="0" applyFont="0" applyFill="0" applyBorder="0" applyAlignment="0" applyProtection="0"/>
    <xf numFmtId="224" fontId="2" fillId="0" borderId="0" applyFont="0" applyFill="0" applyBorder="0" applyAlignment="0" applyProtection="0"/>
    <xf numFmtId="171" fontId="24" fillId="0" borderId="0" applyFont="0" applyFill="0" applyBorder="0" applyAlignment="0" applyProtection="0">
      <alignment vertical="top"/>
    </xf>
    <xf numFmtId="224" fontId="24" fillId="0" borderId="0" applyFont="0" applyFill="0" applyBorder="0" applyAlignment="0" applyProtection="0">
      <alignment vertical="top"/>
    </xf>
    <xf numFmtId="9" fontId="24" fillId="0" borderId="0" applyFont="0" applyFill="0" applyBorder="0" applyAlignment="0" applyProtection="0"/>
    <xf numFmtId="0" fontId="78" fillId="0" borderId="0"/>
    <xf numFmtId="0" fontId="78" fillId="0" borderId="0"/>
    <xf numFmtId="165"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2" fillId="0" borderId="0" applyFont="0" applyFill="0" applyBorder="0" applyAlignment="0" applyProtection="0">
      <alignment vertical="center"/>
    </xf>
    <xf numFmtId="0" fontId="65"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3" fillId="0" borderId="0">
      <alignment vertical="center"/>
    </xf>
    <xf numFmtId="0" fontId="3" fillId="0" borderId="0">
      <alignment vertical="center"/>
    </xf>
    <xf numFmtId="0" fontId="1" fillId="0" borderId="0"/>
    <xf numFmtId="0" fontId="2" fillId="0" borderId="0"/>
    <xf numFmtId="165" fontId="2" fillId="0" borderId="0" applyFont="0" applyFill="0" applyBorder="0" applyAlignment="0" applyProtection="0"/>
    <xf numFmtId="165" fontId="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171" fontId="3" fillId="0" borderId="0" applyFont="0" applyFill="0" applyBorder="0" applyAlignment="0" applyProtection="0"/>
    <xf numFmtId="0" fontId="1" fillId="0" borderId="0"/>
    <xf numFmtId="0" fontId="17" fillId="0" borderId="0"/>
    <xf numFmtId="166" fontId="1" fillId="0" borderId="0" applyFont="0" applyFill="0" applyBorder="0" applyAlignment="0" applyProtection="0"/>
    <xf numFmtId="165" fontId="2" fillId="0" borderId="0" applyFont="0" applyFill="0" applyBorder="0" applyAlignment="0" applyProtection="0">
      <alignment vertical="center"/>
    </xf>
    <xf numFmtId="0" fontId="2" fillId="0" borderId="0"/>
    <xf numFmtId="165" fontId="2" fillId="0" borderId="0" applyFont="0" applyFill="0" applyBorder="0" applyAlignment="0" applyProtection="0"/>
    <xf numFmtId="166" fontId="1" fillId="0" borderId="0" applyFont="0" applyFill="0" applyBorder="0" applyAlignment="0" applyProtection="0"/>
  </cellStyleXfs>
  <cellXfs count="699">
    <xf numFmtId="0" fontId="0" fillId="0" borderId="0" xfId="0"/>
    <xf numFmtId="0" fontId="4" fillId="6" borderId="0" xfId="3" applyFont="1" applyFill="1" applyAlignment="1">
      <alignment horizontal="center" vertical="center" wrapText="1" readingOrder="1"/>
    </xf>
    <xf numFmtId="0" fontId="3" fillId="0" borderId="0" xfId="3">
      <alignment vertical="center"/>
    </xf>
    <xf numFmtId="0" fontId="3" fillId="0" borderId="0" xfId="3" applyAlignment="1">
      <alignment horizontal="center" vertical="center"/>
    </xf>
    <xf numFmtId="0" fontId="3" fillId="0" borderId="0" xfId="4">
      <alignment vertical="center"/>
    </xf>
    <xf numFmtId="0" fontId="5" fillId="0" borderId="0" xfId="3" applyFont="1" applyProtection="1">
      <alignment vertical="center"/>
      <protection locked="0"/>
    </xf>
    <xf numFmtId="165" fontId="3" fillId="0" borderId="0" xfId="5" applyFont="1" applyAlignment="1">
      <alignment vertical="center"/>
    </xf>
    <xf numFmtId="15" fontId="6" fillId="0" borderId="0" xfId="3" applyNumberFormat="1" applyFont="1" applyAlignment="1">
      <alignment horizontal="center" vertical="top"/>
    </xf>
    <xf numFmtId="15" fontId="6" fillId="0" borderId="0" xfId="3" applyNumberFormat="1" applyFont="1" applyAlignment="1">
      <alignment horizontal="left" vertical="top"/>
    </xf>
    <xf numFmtId="0" fontId="3" fillId="0" borderId="0" xfId="4" applyAlignment="1">
      <alignment horizontal="center" vertical="center"/>
    </xf>
    <xf numFmtId="0" fontId="7" fillId="7" borderId="4" xfId="3" applyFont="1" applyFill="1" applyBorder="1" applyAlignment="1" applyProtection="1">
      <alignment horizontal="center" vertical="center"/>
      <protection locked="0"/>
    </xf>
    <xf numFmtId="0" fontId="7" fillId="7" borderId="5" xfId="3" applyFont="1" applyFill="1" applyBorder="1" applyAlignment="1" applyProtection="1">
      <alignment horizontal="center" vertical="center"/>
      <protection locked="0"/>
    </xf>
    <xf numFmtId="168" fontId="7" fillId="7" borderId="5" xfId="3" applyNumberFormat="1" applyFont="1" applyFill="1" applyBorder="1" applyAlignment="1" applyProtection="1">
      <alignment horizontal="center" vertical="center"/>
      <protection locked="0"/>
    </xf>
    <xf numFmtId="168" fontId="7" fillId="7" borderId="6" xfId="3" applyNumberFormat="1" applyFont="1" applyFill="1" applyBorder="1" applyAlignment="1" applyProtection="1">
      <alignment horizontal="center" vertical="center"/>
      <protection locked="0"/>
    </xf>
    <xf numFmtId="49" fontId="7" fillId="8" borderId="4" xfId="3" applyNumberFormat="1" applyFont="1" applyFill="1" applyBorder="1" applyProtection="1">
      <alignment vertical="center"/>
      <protection locked="0"/>
    </xf>
    <xf numFmtId="0" fontId="7" fillId="8" borderId="5" xfId="3" applyFont="1" applyFill="1" applyBorder="1" applyProtection="1">
      <alignment vertical="center"/>
      <protection locked="0"/>
    </xf>
    <xf numFmtId="0" fontId="7" fillId="8" borderId="5" xfId="3" applyFont="1" applyFill="1" applyBorder="1" applyAlignment="1" applyProtection="1">
      <alignment horizontal="center" vertical="center"/>
      <protection locked="0"/>
    </xf>
    <xf numFmtId="168" fontId="7" fillId="8" borderId="5" xfId="3" applyNumberFormat="1" applyFont="1" applyFill="1" applyBorder="1" applyProtection="1">
      <alignment vertical="center"/>
      <protection locked="0"/>
    </xf>
    <xf numFmtId="168" fontId="7" fillId="8" borderId="6" xfId="3" applyNumberFormat="1" applyFont="1" applyFill="1" applyBorder="1" applyProtection="1">
      <alignment vertical="center"/>
      <protection locked="0"/>
    </xf>
    <xf numFmtId="0" fontId="8" fillId="0" borderId="8" xfId="4" applyFont="1" applyBorder="1" applyAlignment="1" applyProtection="1">
      <alignment horizontal="left" vertical="center" indent="1"/>
      <protection locked="0"/>
    </xf>
    <xf numFmtId="0" fontId="8" fillId="0" borderId="8" xfId="4" applyFont="1" applyBorder="1" applyAlignment="1" applyProtection="1">
      <alignment horizontal="center" vertical="center"/>
      <protection locked="0"/>
    </xf>
    <xf numFmtId="165" fontId="3" fillId="0" borderId="0" xfId="3" applyNumberFormat="1">
      <alignment vertical="center"/>
    </xf>
    <xf numFmtId="0" fontId="5" fillId="0" borderId="2" xfId="4" applyFont="1" applyBorder="1" applyAlignment="1" applyProtection="1">
      <alignment horizontal="left" vertical="center" indent="2"/>
      <protection locked="0"/>
    </xf>
    <xf numFmtId="0" fontId="5" fillId="0" borderId="2" xfId="4" applyFont="1" applyBorder="1" applyAlignment="1" applyProtection="1">
      <alignment horizontal="center" vertical="center"/>
      <protection locked="0"/>
    </xf>
    <xf numFmtId="0" fontId="3" fillId="0" borderId="0" xfId="3" applyAlignment="1">
      <alignment horizontal="right" vertical="center"/>
    </xf>
    <xf numFmtId="0" fontId="3" fillId="0" borderId="0" xfId="3" applyAlignment="1">
      <alignment horizontal="left" vertical="center"/>
    </xf>
    <xf numFmtId="0" fontId="14" fillId="4" borderId="0" xfId="7" applyFont="1" applyFill="1" applyAlignment="1">
      <alignment horizontal="left"/>
    </xf>
    <xf numFmtId="4" fontId="14" fillId="4" borderId="0" xfId="7" applyNumberFormat="1" applyFont="1" applyFill="1" applyAlignment="1">
      <alignment horizontal="center" vertical="center"/>
    </xf>
    <xf numFmtId="0" fontId="3" fillId="0" borderId="17" xfId="3" applyBorder="1">
      <alignment vertical="center"/>
    </xf>
    <xf numFmtId="0" fontId="10" fillId="0" borderId="17" xfId="3" applyFont="1" applyBorder="1" applyAlignment="1">
      <alignment wrapText="1"/>
    </xf>
    <xf numFmtId="169" fontId="15" fillId="7" borderId="5" xfId="3" applyNumberFormat="1" applyFont="1" applyFill="1" applyBorder="1" applyAlignment="1"/>
    <xf numFmtId="169" fontId="7" fillId="7" borderId="6" xfId="3" applyNumberFormat="1" applyFont="1" applyFill="1" applyBorder="1">
      <alignment vertical="center"/>
    </xf>
    <xf numFmtId="0" fontId="14" fillId="4" borderId="0" xfId="7" applyFont="1" applyFill="1" applyAlignment="1">
      <alignment horizontal="center"/>
    </xf>
    <xf numFmtId="4" fontId="14" fillId="4" borderId="0" xfId="7" applyNumberFormat="1" applyFont="1" applyFill="1" applyAlignment="1">
      <alignment horizontal="center"/>
    </xf>
    <xf numFmtId="0" fontId="5" fillId="4" borderId="21" xfId="3" applyFont="1" applyFill="1" applyBorder="1" applyAlignment="1" applyProtection="1">
      <alignment horizontal="center" vertical="center"/>
      <protection locked="0"/>
    </xf>
    <xf numFmtId="168" fontId="5" fillId="4" borderId="21" xfId="3" applyNumberFormat="1" applyFont="1" applyFill="1" applyBorder="1" applyProtection="1">
      <alignment vertical="center"/>
      <protection locked="0"/>
    </xf>
    <xf numFmtId="0" fontId="5" fillId="0" borderId="21" xfId="3" applyFont="1" applyBorder="1" applyAlignment="1" applyProtection="1">
      <alignment horizontal="center" vertical="center"/>
      <protection locked="0"/>
    </xf>
    <xf numFmtId="168" fontId="5" fillId="0" borderId="21" xfId="3" applyNumberFormat="1" applyFont="1" applyBorder="1" applyProtection="1">
      <alignment vertical="center"/>
      <protection locked="0"/>
    </xf>
    <xf numFmtId="0" fontId="5" fillId="0" borderId="21" xfId="3" applyFont="1" applyBorder="1" applyAlignment="1" applyProtection="1">
      <alignment vertical="center" wrapText="1"/>
      <protection locked="0"/>
    </xf>
    <xf numFmtId="168" fontId="3" fillId="0" borderId="21" xfId="3" applyNumberFormat="1" applyBorder="1" applyProtection="1">
      <alignment vertical="center"/>
      <protection locked="0"/>
    </xf>
    <xf numFmtId="0" fontId="9" fillId="0" borderId="0" xfId="0" applyFont="1"/>
    <xf numFmtId="0" fontId="9" fillId="0" borderId="0" xfId="0" applyFont="1" applyAlignment="1">
      <alignment horizontal="left" vertical="center"/>
    </xf>
    <xf numFmtId="0" fontId="9" fillId="0" borderId="0" xfId="0" applyFont="1" applyAlignment="1">
      <alignment horizontal="left" vertical="center" wrapText="1"/>
    </xf>
    <xf numFmtId="0" fontId="3" fillId="0" borderId="0" xfId="0" applyFont="1"/>
    <xf numFmtId="0" fontId="9" fillId="0" borderId="0" xfId="0" applyFont="1" applyAlignment="1">
      <alignment vertical="center" wrapText="1"/>
    </xf>
    <xf numFmtId="0" fontId="3" fillId="0" borderId="0" xfId="3" applyAlignment="1">
      <alignment vertical="center" wrapText="1"/>
    </xf>
    <xf numFmtId="0" fontId="3" fillId="0" borderId="0" xfId="4" applyAlignment="1">
      <alignment horizontal="left" vertical="center"/>
    </xf>
    <xf numFmtId="0" fontId="3" fillId="0" borderId="0" xfId="4" applyAlignment="1">
      <alignment vertical="center" wrapText="1"/>
    </xf>
    <xf numFmtId="0" fontId="7" fillId="7" borderId="5" xfId="3" applyFont="1" applyFill="1" applyBorder="1" applyAlignment="1" applyProtection="1">
      <alignment horizontal="center" vertical="center" wrapText="1"/>
      <protection locked="0"/>
    </xf>
    <xf numFmtId="49" fontId="7" fillId="8" borderId="4" xfId="3" applyNumberFormat="1" applyFont="1" applyFill="1" applyBorder="1" applyAlignment="1" applyProtection="1">
      <alignment horizontal="left" vertical="center"/>
      <protection locked="0"/>
    </xf>
    <xf numFmtId="0" fontId="3" fillId="4" borderId="0" xfId="4" applyFill="1">
      <alignment vertical="center"/>
    </xf>
    <xf numFmtId="0" fontId="3" fillId="0" borderId="24" xfId="4" applyBorder="1">
      <alignment vertical="center"/>
    </xf>
    <xf numFmtId="0" fontId="3" fillId="0" borderId="2" xfId="8" applyBorder="1">
      <alignment vertical="center"/>
    </xf>
    <xf numFmtId="168" fontId="7" fillId="7" borderId="29" xfId="3" applyNumberFormat="1" applyFont="1" applyFill="1" applyBorder="1" applyAlignment="1" applyProtection="1">
      <alignment horizontal="center" vertical="center"/>
      <protection locked="0"/>
    </xf>
    <xf numFmtId="168" fontId="7" fillId="8" borderId="27" xfId="3" applyNumberFormat="1" applyFont="1" applyFill="1" applyBorder="1" applyProtection="1">
      <alignment vertical="center"/>
      <protection locked="0"/>
    </xf>
    <xf numFmtId="168" fontId="7" fillId="8" borderId="28" xfId="3" applyNumberFormat="1" applyFont="1" applyFill="1" applyBorder="1" applyProtection="1">
      <alignment vertical="center"/>
      <protection locked="0"/>
    </xf>
    <xf numFmtId="168" fontId="7" fillId="7" borderId="5" xfId="3" applyNumberFormat="1" applyFont="1" applyFill="1" applyBorder="1" applyAlignment="1" applyProtection="1">
      <alignment horizontal="center" vertical="center" wrapText="1"/>
      <protection locked="0"/>
    </xf>
    <xf numFmtId="0" fontId="3" fillId="0" borderId="0" xfId="0" applyFont="1" applyAlignment="1">
      <alignment wrapText="1"/>
    </xf>
    <xf numFmtId="0" fontId="6" fillId="0" borderId="0" xfId="3" applyFont="1" applyAlignment="1">
      <alignment horizontal="left" vertical="center"/>
    </xf>
    <xf numFmtId="0" fontId="6" fillId="0" borderId="0" xfId="3" applyFont="1">
      <alignment vertical="center"/>
    </xf>
    <xf numFmtId="15" fontId="6" fillId="0" borderId="0" xfId="3" applyNumberFormat="1" applyFont="1" applyAlignment="1">
      <alignment horizontal="left" vertical="center"/>
    </xf>
    <xf numFmtId="0" fontId="7" fillId="8" borderId="5" xfId="3" applyFont="1" applyFill="1" applyBorder="1" applyAlignment="1" applyProtection="1">
      <alignment horizontal="left" vertical="center" wrapText="1"/>
      <protection locked="0"/>
    </xf>
    <xf numFmtId="0" fontId="8" fillId="10" borderId="19" xfId="0" applyFont="1" applyFill="1" applyBorder="1" applyAlignment="1" applyProtection="1">
      <alignment horizontal="center" vertical="center"/>
      <protection locked="0"/>
    </xf>
    <xf numFmtId="168" fontId="8" fillId="10" borderId="19" xfId="0" applyNumberFormat="1" applyFont="1" applyFill="1" applyBorder="1" applyAlignment="1" applyProtection="1">
      <alignment vertical="center"/>
      <protection locked="0"/>
    </xf>
    <xf numFmtId="0" fontId="5" fillId="0" borderId="21" xfId="0" applyFont="1" applyBorder="1" applyAlignment="1" applyProtection="1">
      <alignment horizontal="center" vertical="center"/>
      <protection locked="0"/>
    </xf>
    <xf numFmtId="168" fontId="5" fillId="0" borderId="21" xfId="0" applyNumberFormat="1" applyFont="1" applyBorder="1" applyAlignment="1" applyProtection="1">
      <alignment vertical="center"/>
      <protection locked="0"/>
    </xf>
    <xf numFmtId="0" fontId="8" fillId="10" borderId="21" xfId="0" applyFont="1" applyFill="1" applyBorder="1" applyAlignment="1" applyProtection="1">
      <alignment horizontal="center" vertical="center"/>
      <protection locked="0"/>
    </xf>
    <xf numFmtId="168" fontId="8" fillId="10" borderId="21" xfId="0" applyNumberFormat="1" applyFont="1" applyFill="1" applyBorder="1" applyAlignment="1" applyProtection="1">
      <alignment vertical="center"/>
      <protection locked="0"/>
    </xf>
    <xf numFmtId="0" fontId="20" fillId="0" borderId="21" xfId="0" applyFont="1" applyBorder="1" applyAlignment="1" applyProtection="1">
      <alignment horizontal="center" vertical="center"/>
      <protection locked="0"/>
    </xf>
    <xf numFmtId="168" fontId="5" fillId="10" borderId="21" xfId="0" applyNumberFormat="1" applyFont="1" applyFill="1" applyBorder="1" applyAlignment="1" applyProtection="1">
      <alignment vertical="center"/>
      <protection locked="0"/>
    </xf>
    <xf numFmtId="0" fontId="5" fillId="0" borderId="21" xfId="20" applyFont="1" applyBorder="1" applyAlignment="1" applyProtection="1">
      <alignment horizontal="left" vertical="center" wrapText="1"/>
      <protection locked="0"/>
    </xf>
    <xf numFmtId="0" fontId="5" fillId="0" borderId="21" xfId="20" applyFont="1" applyBorder="1" applyAlignment="1" applyProtection="1">
      <alignment horizontal="center" vertical="center"/>
      <protection locked="0"/>
    </xf>
    <xf numFmtId="0" fontId="5" fillId="0" borderId="22" xfId="20" applyFont="1" applyBorder="1" applyAlignment="1" applyProtection="1">
      <alignment horizontal="center" vertical="center"/>
      <protection locked="0"/>
    </xf>
    <xf numFmtId="164" fontId="5" fillId="0" borderId="21" xfId="0" applyNumberFormat="1" applyFont="1" applyBorder="1" applyAlignment="1" applyProtection="1">
      <alignment vertical="center"/>
      <protection locked="0"/>
    </xf>
    <xf numFmtId="164" fontId="5" fillId="4" borderId="21" xfId="3" applyNumberFormat="1" applyFont="1" applyFill="1" applyBorder="1" applyProtection="1">
      <alignment vertical="center"/>
      <protection locked="0"/>
    </xf>
    <xf numFmtId="164" fontId="5" fillId="0" borderId="21" xfId="3" applyNumberFormat="1" applyFont="1" applyBorder="1" applyProtection="1">
      <alignment vertical="center"/>
      <protection locked="0"/>
    </xf>
    <xf numFmtId="169" fontId="15" fillId="7" borderId="4" xfId="3" applyNumberFormat="1" applyFont="1" applyFill="1" applyBorder="1">
      <alignment vertical="center"/>
    </xf>
    <xf numFmtId="164" fontId="15" fillId="7" borderId="5" xfId="3" applyNumberFormat="1" applyFont="1" applyFill="1" applyBorder="1">
      <alignment vertical="center"/>
    </xf>
    <xf numFmtId="172" fontId="15" fillId="7" borderId="5" xfId="3" applyNumberFormat="1" applyFont="1" applyFill="1" applyBorder="1">
      <alignment vertical="center"/>
    </xf>
    <xf numFmtId="170" fontId="5" fillId="10" borderId="21" xfId="3" applyNumberFormat="1" applyFont="1" applyFill="1" applyBorder="1" applyProtection="1">
      <alignment vertical="center"/>
      <protection locked="0"/>
    </xf>
    <xf numFmtId="170" fontId="5" fillId="4" borderId="21" xfId="3" applyNumberFormat="1" applyFont="1" applyFill="1" applyBorder="1" applyProtection="1">
      <alignment vertical="center"/>
      <protection locked="0"/>
    </xf>
    <xf numFmtId="170" fontId="5" fillId="0" borderId="21" xfId="0" applyNumberFormat="1" applyFont="1" applyBorder="1" applyAlignment="1" applyProtection="1">
      <alignment vertical="center"/>
      <protection locked="0"/>
    </xf>
    <xf numFmtId="164" fontId="15" fillId="7" borderId="6" xfId="3" applyNumberFormat="1" applyFont="1" applyFill="1" applyBorder="1">
      <alignment vertical="center"/>
    </xf>
    <xf numFmtId="164" fontId="22" fillId="0" borderId="21" xfId="0" applyNumberFormat="1" applyFont="1" applyBorder="1" applyAlignment="1" applyProtection="1">
      <alignment vertical="center"/>
      <protection locked="0"/>
    </xf>
    <xf numFmtId="0" fontId="5" fillId="0" borderId="21" xfId="20" applyFont="1" applyBorder="1" applyAlignment="1" applyProtection="1">
      <alignment vertical="center"/>
      <protection locked="0"/>
    </xf>
    <xf numFmtId="0" fontId="5" fillId="0" borderId="21" xfId="20" applyFont="1" applyBorder="1" applyAlignment="1" applyProtection="1">
      <alignment vertical="center" wrapText="1"/>
      <protection locked="0"/>
    </xf>
    <xf numFmtId="0" fontId="5" fillId="0" borderId="22" xfId="20" applyFont="1" applyBorder="1" applyAlignment="1" applyProtection="1">
      <alignment vertical="center"/>
      <protection locked="0"/>
    </xf>
    <xf numFmtId="171" fontId="5" fillId="0" borderId="21" xfId="20" applyNumberFormat="1" applyFont="1" applyBorder="1" applyAlignment="1" applyProtection="1">
      <alignment horizontal="center" vertical="center"/>
      <protection locked="0"/>
    </xf>
    <xf numFmtId="170" fontId="5" fillId="0" borderId="21" xfId="3" applyNumberFormat="1" applyFont="1" applyBorder="1" applyProtection="1">
      <alignment vertical="center"/>
      <protection locked="0"/>
    </xf>
    <xf numFmtId="0" fontId="3" fillId="0" borderId="17" xfId="4" applyBorder="1" applyAlignment="1">
      <alignment horizontal="left" vertical="center"/>
    </xf>
    <xf numFmtId="0" fontId="3" fillId="0" borderId="17" xfId="4" applyBorder="1" applyAlignment="1">
      <alignment vertical="center" wrapText="1"/>
    </xf>
    <xf numFmtId="0" fontId="10" fillId="0" borderId="17" xfId="3" applyFont="1" applyBorder="1" applyAlignment="1">
      <alignment horizontal="center" wrapText="1"/>
    </xf>
    <xf numFmtId="171" fontId="5" fillId="10" borderId="21" xfId="20" applyNumberFormat="1" applyFont="1" applyFill="1" applyBorder="1" applyAlignment="1" applyProtection="1">
      <alignment horizontal="center" vertical="center"/>
      <protection locked="0"/>
    </xf>
    <xf numFmtId="164" fontId="5" fillId="10" borderId="21" xfId="0" applyNumberFormat="1" applyFont="1" applyFill="1" applyBorder="1" applyAlignment="1" applyProtection="1">
      <alignment vertical="center"/>
      <protection locked="0"/>
    </xf>
    <xf numFmtId="164" fontId="3" fillId="0" borderId="0" xfId="4" applyNumberFormat="1">
      <alignment vertical="center"/>
    </xf>
    <xf numFmtId="170" fontId="5" fillId="10" borderId="21" xfId="0" applyNumberFormat="1" applyFont="1" applyFill="1" applyBorder="1" applyAlignment="1" applyProtection="1">
      <alignment vertical="center"/>
      <protection locked="0"/>
    </xf>
    <xf numFmtId="0" fontId="3" fillId="0" borderId="15" xfId="4" applyBorder="1">
      <alignment vertical="center"/>
    </xf>
    <xf numFmtId="0" fontId="21" fillId="10" borderId="19" xfId="3" applyFont="1" applyFill="1" applyBorder="1" applyAlignment="1" applyProtection="1">
      <alignment vertical="center" wrapText="1"/>
      <protection locked="0"/>
    </xf>
    <xf numFmtId="0" fontId="21" fillId="10" borderId="21" xfId="0" applyFont="1" applyFill="1" applyBorder="1" applyAlignment="1" applyProtection="1">
      <alignment horizontal="left" vertical="center" wrapText="1"/>
      <protection locked="0"/>
    </xf>
    <xf numFmtId="0" fontId="19" fillId="0" borderId="21" xfId="0" applyFont="1" applyBorder="1" applyAlignment="1" applyProtection="1">
      <alignment horizontal="left" vertical="center" wrapText="1"/>
      <protection locked="0"/>
    </xf>
    <xf numFmtId="0" fontId="21" fillId="10" borderId="21" xfId="20" applyFont="1" applyFill="1" applyBorder="1" applyAlignment="1" applyProtection="1">
      <alignment vertical="center"/>
      <protection locked="0"/>
    </xf>
    <xf numFmtId="174" fontId="19" fillId="4" borderId="20" xfId="16" quotePrefix="1" applyNumberFormat="1" applyFont="1" applyFill="1" applyBorder="1" applyAlignment="1">
      <alignment horizontal="left" vertical="center"/>
    </xf>
    <xf numFmtId="174" fontId="9" fillId="4" borderId="20" xfId="16" quotePrefix="1" applyNumberFormat="1" applyFont="1" applyFill="1" applyBorder="1" applyAlignment="1">
      <alignment horizontal="left" vertical="center"/>
    </xf>
    <xf numFmtId="175" fontId="9" fillId="4" borderId="20" xfId="16" quotePrefix="1" applyNumberFormat="1" applyFont="1" applyFill="1" applyBorder="1" applyAlignment="1">
      <alignment horizontal="left" vertical="center"/>
    </xf>
    <xf numFmtId="175" fontId="9" fillId="0" borderId="20" xfId="16" quotePrefix="1" applyNumberFormat="1" applyFont="1" applyBorder="1" applyAlignment="1">
      <alignment horizontal="left" vertical="center"/>
    </xf>
    <xf numFmtId="170" fontId="22" fillId="0" borderId="21" xfId="0" applyNumberFormat="1" applyFont="1" applyBorder="1" applyAlignment="1" applyProtection="1">
      <alignment vertical="center"/>
      <protection locked="0"/>
    </xf>
    <xf numFmtId="165" fontId="5" fillId="0" borderId="2" xfId="5" applyFont="1" applyFill="1" applyBorder="1" applyAlignment="1" applyProtection="1">
      <alignment vertical="center"/>
      <protection locked="0"/>
    </xf>
    <xf numFmtId="165" fontId="3" fillId="0" borderId="0" xfId="5" applyFont="1" applyAlignment="1">
      <alignment horizontal="center" vertical="center"/>
    </xf>
    <xf numFmtId="0" fontId="3" fillId="0" borderId="0" xfId="3" applyAlignment="1" applyProtection="1">
      <alignment horizontal="left" vertical="center"/>
      <protection locked="0"/>
    </xf>
    <xf numFmtId="14" fontId="3" fillId="0" borderId="0" xfId="4" applyNumberFormat="1" applyAlignment="1">
      <alignment horizontal="left" vertical="center"/>
    </xf>
    <xf numFmtId="165" fontId="7" fillId="7" borderId="5" xfId="5" applyFont="1" applyFill="1" applyBorder="1" applyAlignment="1" applyProtection="1">
      <alignment horizontal="center" vertical="center"/>
      <protection locked="0"/>
    </xf>
    <xf numFmtId="165" fontId="7" fillId="7" borderId="6" xfId="5" applyFont="1" applyFill="1" applyBorder="1" applyAlignment="1" applyProtection="1">
      <alignment horizontal="center" vertical="center"/>
      <protection locked="0"/>
    </xf>
    <xf numFmtId="165" fontId="7" fillId="8" borderId="5" xfId="5" applyFont="1" applyFill="1" applyBorder="1" applyAlignment="1" applyProtection="1">
      <alignment horizontal="center" vertical="center"/>
      <protection locked="0"/>
    </xf>
    <xf numFmtId="165" fontId="7" fillId="8" borderId="5" xfId="5" applyFont="1" applyFill="1" applyBorder="1" applyAlignment="1" applyProtection="1">
      <alignment vertical="center"/>
      <protection locked="0"/>
    </xf>
    <xf numFmtId="165" fontId="7" fillId="8" borderId="6" xfId="5" applyFont="1" applyFill="1" applyBorder="1" applyAlignment="1" applyProtection="1">
      <alignment vertical="center"/>
      <protection locked="0"/>
    </xf>
    <xf numFmtId="168" fontId="7" fillId="8" borderId="0" xfId="3" applyNumberFormat="1" applyFont="1" applyFill="1" applyProtection="1">
      <alignment vertical="center"/>
      <protection locked="0"/>
    </xf>
    <xf numFmtId="165" fontId="8" fillId="0" borderId="8" xfId="5" applyFont="1" applyFill="1" applyBorder="1" applyAlignment="1" applyProtection="1">
      <alignment horizontal="center" vertical="center"/>
      <protection locked="0"/>
    </xf>
    <xf numFmtId="165" fontId="8" fillId="0" borderId="8" xfId="5" applyFont="1" applyFill="1" applyBorder="1" applyAlignment="1" applyProtection="1">
      <alignment vertical="center"/>
      <protection locked="0"/>
    </xf>
    <xf numFmtId="165" fontId="5" fillId="0" borderId="2" xfId="5" applyFont="1" applyFill="1" applyBorder="1" applyAlignment="1" applyProtection="1">
      <alignment horizontal="center"/>
      <protection locked="0"/>
    </xf>
    <xf numFmtId="165" fontId="5" fillId="0" borderId="2" xfId="5" applyFont="1" applyFill="1" applyBorder="1" applyAlignment="1" applyProtection="1">
      <alignment horizontal="center" vertical="center"/>
      <protection locked="0"/>
    </xf>
    <xf numFmtId="165" fontId="8" fillId="0" borderId="2" xfId="5" applyFont="1" applyFill="1" applyBorder="1" applyAlignment="1" applyProtection="1">
      <alignment vertical="center"/>
      <protection locked="0"/>
    </xf>
    <xf numFmtId="165" fontId="31" fillId="0" borderId="2" xfId="5" applyFont="1" applyFill="1" applyBorder="1" applyAlignment="1" applyProtection="1">
      <alignment horizontal="center" vertical="center"/>
      <protection locked="0"/>
    </xf>
    <xf numFmtId="165" fontId="31" fillId="0" borderId="2" xfId="5" applyFont="1" applyFill="1" applyBorder="1" applyAlignment="1" applyProtection="1">
      <alignment vertical="center"/>
      <protection locked="0"/>
    </xf>
    <xf numFmtId="165" fontId="8" fillId="0" borderId="2" xfId="5" applyFont="1" applyFill="1" applyBorder="1" applyAlignment="1" applyProtection="1">
      <alignment horizontal="center" vertical="center"/>
      <protection locked="0"/>
    </xf>
    <xf numFmtId="49" fontId="5" fillId="4" borderId="11" xfId="4" applyNumberFormat="1" applyFont="1" applyFill="1" applyBorder="1" applyProtection="1">
      <alignment vertical="center"/>
      <protection locked="0"/>
    </xf>
    <xf numFmtId="165" fontId="5" fillId="0" borderId="2" xfId="5" applyFont="1" applyBorder="1" applyAlignment="1" applyProtection="1">
      <alignment vertical="center"/>
      <protection locked="0"/>
    </xf>
    <xf numFmtId="165" fontId="32" fillId="0" borderId="2" xfId="5" applyFont="1" applyFill="1" applyBorder="1" applyAlignment="1" applyProtection="1">
      <alignment horizontal="center"/>
      <protection locked="0"/>
    </xf>
    <xf numFmtId="165" fontId="32" fillId="0" borderId="2" xfId="5" applyFont="1" applyFill="1" applyBorder="1" applyAlignment="1" applyProtection="1">
      <alignment vertical="center"/>
      <protection locked="0"/>
    </xf>
    <xf numFmtId="0" fontId="3" fillId="0" borderId="17" xfId="4" applyBorder="1">
      <alignment vertical="center"/>
    </xf>
    <xf numFmtId="165" fontId="10" fillId="0" borderId="17" xfId="5" applyFont="1" applyBorder="1" applyAlignment="1">
      <alignment wrapText="1"/>
    </xf>
    <xf numFmtId="165" fontId="3" fillId="0" borderId="0" xfId="5" applyFont="1" applyFill="1" applyAlignment="1">
      <alignment horizontal="center" vertical="center"/>
    </xf>
    <xf numFmtId="169" fontId="7" fillId="7" borderId="5" xfId="3" applyNumberFormat="1" applyFont="1" applyFill="1" applyBorder="1">
      <alignment vertical="center"/>
    </xf>
    <xf numFmtId="0" fontId="8" fillId="0" borderId="19" xfId="3" applyFont="1" applyBorder="1" applyProtection="1">
      <alignment vertical="center"/>
      <protection locked="0"/>
    </xf>
    <xf numFmtId="0" fontId="8" fillId="0" borderId="19" xfId="3" applyFont="1" applyBorder="1" applyAlignment="1" applyProtection="1">
      <alignment horizontal="center" vertical="center"/>
      <protection locked="0"/>
    </xf>
    <xf numFmtId="168" fontId="8" fillId="0" borderId="19" xfId="3" applyNumberFormat="1" applyFont="1" applyBorder="1" applyProtection="1">
      <alignment vertical="center"/>
      <protection locked="0"/>
    </xf>
    <xf numFmtId="0" fontId="5" fillId="4" borderId="21" xfId="3" applyFont="1" applyFill="1" applyBorder="1" applyProtection="1">
      <alignment vertical="center"/>
      <protection locked="0"/>
    </xf>
    <xf numFmtId="0" fontId="5" fillId="0" borderId="21" xfId="3" applyFont="1" applyBorder="1" applyProtection="1">
      <alignment vertical="center"/>
      <protection locked="0"/>
    </xf>
    <xf numFmtId="0" fontId="35" fillId="0" borderId="21" xfId="3" applyFont="1" applyBorder="1" applyProtection="1">
      <alignment vertical="center"/>
      <protection locked="0"/>
    </xf>
    <xf numFmtId="0" fontId="5" fillId="0" borderId="21" xfId="3" applyFont="1" applyBorder="1" applyAlignment="1" applyProtection="1">
      <alignment horizontal="left" vertical="center" indent="1"/>
      <protection locked="0"/>
    </xf>
    <xf numFmtId="0" fontId="5" fillId="0" borderId="21" xfId="3" applyFont="1" applyBorder="1" applyAlignment="1" applyProtection="1">
      <alignment horizontal="left" vertical="center"/>
      <protection locked="0"/>
    </xf>
    <xf numFmtId="0" fontId="8" fillId="0" borderId="21" xfId="3" applyFont="1" applyBorder="1" applyAlignment="1" applyProtection="1">
      <alignment horizontal="center" vertical="center"/>
      <protection locked="0"/>
    </xf>
    <xf numFmtId="168" fontId="8" fillId="0" borderId="21" xfId="3" applyNumberFormat="1" applyFont="1" applyBorder="1" applyProtection="1">
      <alignment vertical="center"/>
      <protection locked="0"/>
    </xf>
    <xf numFmtId="185" fontId="3" fillId="0" borderId="0" xfId="3" applyNumberFormat="1" applyAlignment="1">
      <alignment horizontal="left" vertical="center" indent="2"/>
    </xf>
    <xf numFmtId="0" fontId="5" fillId="0" borderId="21" xfId="3" applyFont="1" applyBorder="1" applyAlignment="1" applyProtection="1">
      <alignment horizontal="left" vertical="center" wrapText="1" indent="1"/>
      <protection locked="0"/>
    </xf>
    <xf numFmtId="168" fontId="5" fillId="3" borderId="21" xfId="3" applyNumberFormat="1" applyFont="1" applyFill="1" applyBorder="1" applyProtection="1">
      <alignment vertical="center"/>
      <protection locked="0"/>
    </xf>
    <xf numFmtId="0" fontId="8" fillId="0" borderId="21" xfId="3" applyFont="1" applyBorder="1" applyProtection="1">
      <alignment vertical="center"/>
      <protection locked="0"/>
    </xf>
    <xf numFmtId="0" fontId="11" fillId="0" borderId="21" xfId="3" applyFont="1" applyBorder="1" applyProtection="1">
      <alignment vertical="center"/>
      <protection locked="0"/>
    </xf>
    <xf numFmtId="0" fontId="3" fillId="0" borderId="21" xfId="3" applyBorder="1" applyProtection="1">
      <alignment vertical="center"/>
      <protection locked="0"/>
    </xf>
    <xf numFmtId="0" fontId="11" fillId="0" borderId="21" xfId="3" applyFont="1" applyBorder="1" applyAlignment="1" applyProtection="1">
      <alignment vertical="center" wrapText="1"/>
      <protection locked="0"/>
    </xf>
    <xf numFmtId="172" fontId="5" fillId="0" borderId="19" xfId="5" applyNumberFormat="1" applyFont="1" applyBorder="1" applyAlignment="1" applyProtection="1">
      <alignment vertical="center"/>
      <protection locked="0"/>
    </xf>
    <xf numFmtId="172" fontId="5" fillId="0" borderId="21" xfId="5" applyNumberFormat="1" applyFont="1" applyBorder="1" applyAlignment="1" applyProtection="1">
      <alignment vertical="center"/>
      <protection locked="0"/>
    </xf>
    <xf numFmtId="170" fontId="7" fillId="7" borderId="5" xfId="3" applyNumberFormat="1" applyFont="1" applyFill="1" applyBorder="1">
      <alignment vertical="center"/>
    </xf>
    <xf numFmtId="170" fontId="8" fillId="0" borderId="19" xfId="3" applyNumberFormat="1" applyFont="1" applyBorder="1" applyProtection="1">
      <alignment vertical="center"/>
      <protection locked="0"/>
    </xf>
    <xf numFmtId="0" fontId="3" fillId="0" borderId="21" xfId="3" applyBorder="1" applyAlignment="1" applyProtection="1">
      <alignment horizontal="center" vertical="center"/>
      <protection locked="0"/>
    </xf>
    <xf numFmtId="164" fontId="8" fillId="0" borderId="33" xfId="3" applyNumberFormat="1" applyFont="1" applyBorder="1" applyProtection="1">
      <alignment vertical="center"/>
      <protection locked="0"/>
    </xf>
    <xf numFmtId="164" fontId="5" fillId="0" borderId="34" xfId="3" applyNumberFormat="1" applyFont="1" applyBorder="1" applyProtection="1">
      <alignment vertical="center"/>
      <protection locked="0"/>
    </xf>
    <xf numFmtId="164" fontId="5" fillId="0" borderId="36" xfId="3" applyNumberFormat="1" applyFont="1" applyBorder="1" applyProtection="1">
      <alignment vertical="center"/>
      <protection locked="0"/>
    </xf>
    <xf numFmtId="164" fontId="8" fillId="0" borderId="34" xfId="3" applyNumberFormat="1" applyFont="1" applyBorder="1" applyProtection="1">
      <alignment vertical="center"/>
      <protection locked="0"/>
    </xf>
    <xf numFmtId="164" fontId="7" fillId="7" borderId="6" xfId="3" applyNumberFormat="1" applyFont="1" applyFill="1" applyBorder="1">
      <alignment vertical="center"/>
    </xf>
    <xf numFmtId="164" fontId="5" fillId="0" borderId="19" xfId="5" applyNumberFormat="1" applyFont="1" applyBorder="1" applyAlignment="1" applyProtection="1">
      <alignment vertical="center"/>
      <protection locked="0"/>
    </xf>
    <xf numFmtId="164" fontId="5" fillId="0" borderId="21" xfId="5" applyNumberFormat="1" applyFont="1" applyBorder="1" applyAlignment="1" applyProtection="1">
      <alignment vertical="center"/>
      <protection locked="0"/>
    </xf>
    <xf numFmtId="164" fontId="7" fillId="7" borderId="5" xfId="3" applyNumberFormat="1" applyFont="1" applyFill="1" applyBorder="1">
      <alignment vertical="center"/>
    </xf>
    <xf numFmtId="164" fontId="15" fillId="7" borderId="5" xfId="3" applyNumberFormat="1" applyFont="1" applyFill="1" applyBorder="1" applyAlignment="1"/>
    <xf numFmtId="186" fontId="21" fillId="10" borderId="18" xfId="16" applyNumberFormat="1" applyFont="1" applyFill="1" applyBorder="1" applyAlignment="1">
      <alignment horizontal="left" vertical="center"/>
    </xf>
    <xf numFmtId="186" fontId="21" fillId="10" borderId="20" xfId="16" applyNumberFormat="1" applyFont="1" applyFill="1" applyBorder="1" applyAlignment="1">
      <alignment horizontal="left" vertical="center"/>
    </xf>
    <xf numFmtId="186" fontId="8" fillId="0" borderId="18" xfId="3" applyNumberFormat="1" applyFont="1" applyBorder="1" applyAlignment="1" applyProtection="1">
      <alignment horizontal="left" vertical="center"/>
      <protection locked="0"/>
    </xf>
    <xf numFmtId="186" fontId="8" fillId="0" borderId="20" xfId="3" quotePrefix="1" applyNumberFormat="1" applyFont="1" applyBorder="1" applyAlignment="1" applyProtection="1">
      <alignment horizontal="left" vertical="center"/>
      <protection locked="0"/>
    </xf>
    <xf numFmtId="174" fontId="5" fillId="0" borderId="20" xfId="3" applyNumberFormat="1" applyFont="1" applyBorder="1" applyAlignment="1" applyProtection="1">
      <alignment horizontal="left" vertical="center"/>
      <protection locked="0"/>
    </xf>
    <xf numFmtId="175" fontId="5" fillId="0" borderId="20" xfId="3" applyNumberFormat="1" applyFont="1" applyBorder="1" applyAlignment="1" applyProtection="1">
      <alignment horizontal="left" vertical="center"/>
      <protection locked="0"/>
    </xf>
    <xf numFmtId="174" fontId="37" fillId="0" borderId="20" xfId="3" applyNumberFormat="1" applyFont="1" applyBorder="1" applyAlignment="1" applyProtection="1">
      <alignment horizontal="left" vertical="center"/>
      <protection locked="0"/>
    </xf>
    <xf numFmtId="0" fontId="8" fillId="0" borderId="19" xfId="3" applyFont="1" applyBorder="1" applyAlignment="1" applyProtection="1">
      <alignment vertical="center" wrapText="1"/>
      <protection locked="0"/>
    </xf>
    <xf numFmtId="164" fontId="8" fillId="0" borderId="19" xfId="3" applyNumberFormat="1" applyFont="1" applyBorder="1" applyProtection="1">
      <alignment vertical="center"/>
      <protection locked="0"/>
    </xf>
    <xf numFmtId="164" fontId="3" fillId="0" borderId="21" xfId="3" applyNumberFormat="1" applyBorder="1" applyProtection="1">
      <alignment vertical="center"/>
      <protection locked="0"/>
    </xf>
    <xf numFmtId="164" fontId="8" fillId="0" borderId="21" xfId="3" applyNumberFormat="1" applyFont="1" applyBorder="1" applyProtection="1">
      <alignment vertical="center"/>
      <protection locked="0"/>
    </xf>
    <xf numFmtId="169" fontId="15" fillId="7" borderId="5" xfId="3" applyNumberFormat="1" applyFont="1" applyFill="1" applyBorder="1">
      <alignment vertical="center"/>
    </xf>
    <xf numFmtId="174" fontId="5" fillId="3" borderId="20" xfId="3" applyNumberFormat="1" applyFont="1" applyFill="1" applyBorder="1" applyAlignment="1" applyProtection="1">
      <alignment horizontal="left" vertical="center"/>
      <protection locked="0"/>
    </xf>
    <xf numFmtId="0" fontId="3" fillId="3" borderId="21" xfId="3" applyFill="1" applyBorder="1" applyAlignment="1" applyProtection="1">
      <alignment horizontal="left" vertical="center"/>
      <protection locked="0"/>
    </xf>
    <xf numFmtId="0" fontId="3" fillId="3" borderId="21" xfId="3" applyFill="1" applyBorder="1" applyAlignment="1" applyProtection="1">
      <alignment horizontal="center" vertical="center"/>
      <protection locked="0"/>
    </xf>
    <xf numFmtId="168" fontId="3" fillId="3" borderId="21" xfId="3" applyNumberFormat="1" applyFill="1" applyBorder="1" applyProtection="1">
      <alignment vertical="center"/>
      <protection locked="0"/>
    </xf>
    <xf numFmtId="170" fontId="3" fillId="3" borderId="21" xfId="3" applyNumberFormat="1" applyFill="1" applyBorder="1" applyProtection="1">
      <alignment vertical="center"/>
      <protection locked="0"/>
    </xf>
    <xf numFmtId="164" fontId="3" fillId="3" borderId="34" xfId="3" applyNumberFormat="1" applyFill="1" applyBorder="1" applyProtection="1">
      <alignment vertical="center"/>
      <protection locked="0"/>
    </xf>
    <xf numFmtId="174" fontId="3" fillId="3" borderId="20" xfId="3" applyNumberFormat="1" applyFill="1" applyBorder="1" applyAlignment="1" applyProtection="1">
      <alignment horizontal="left" vertical="center"/>
      <protection locked="0"/>
    </xf>
    <xf numFmtId="0" fontId="3" fillId="3" borderId="21" xfId="3" applyFill="1" applyBorder="1" applyProtection="1">
      <alignment vertical="center"/>
      <protection locked="0"/>
    </xf>
    <xf numFmtId="0" fontId="5" fillId="3" borderId="21" xfId="3" applyFont="1" applyFill="1" applyBorder="1" applyAlignment="1" applyProtection="1">
      <alignment vertical="center" wrapText="1"/>
      <protection locked="0"/>
    </xf>
    <xf numFmtId="0" fontId="5" fillId="3" borderId="21" xfId="3" applyFont="1" applyFill="1" applyBorder="1" applyAlignment="1" applyProtection="1">
      <alignment horizontal="center" vertical="center"/>
      <protection locked="0"/>
    </xf>
    <xf numFmtId="170" fontId="5" fillId="3" borderId="21" xfId="3" applyNumberFormat="1" applyFont="1" applyFill="1" applyBorder="1" applyProtection="1">
      <alignment vertical="center"/>
      <protection locked="0"/>
    </xf>
    <xf numFmtId="164" fontId="5" fillId="3" borderId="21" xfId="5" applyNumberFormat="1" applyFont="1" applyFill="1" applyBorder="1" applyAlignment="1" applyProtection="1">
      <alignment vertical="center"/>
      <protection locked="0"/>
    </xf>
    <xf numFmtId="164" fontId="5" fillId="3" borderId="34" xfId="3" applyNumberFormat="1" applyFont="1" applyFill="1" applyBorder="1" applyProtection="1">
      <alignment vertical="center"/>
      <protection locked="0"/>
    </xf>
    <xf numFmtId="0" fontId="11" fillId="4" borderId="21" xfId="3" applyFont="1" applyFill="1" applyBorder="1" applyAlignment="1" applyProtection="1">
      <alignment horizontal="left" vertical="center" wrapText="1"/>
      <protection locked="0"/>
    </xf>
    <xf numFmtId="174" fontId="11" fillId="0" borderId="20" xfId="3" applyNumberFormat="1" applyFont="1" applyBorder="1" applyAlignment="1" applyProtection="1">
      <alignment horizontal="left" vertical="center"/>
      <protection locked="0"/>
    </xf>
    <xf numFmtId="0" fontId="5" fillId="4" borderId="21" xfId="3" applyFont="1" applyFill="1" applyBorder="1" applyAlignment="1" applyProtection="1">
      <alignment vertical="center" wrapText="1"/>
      <protection locked="0"/>
    </xf>
    <xf numFmtId="175" fontId="5" fillId="3" borderId="20" xfId="3" applyNumberFormat="1" applyFont="1" applyFill="1" applyBorder="1" applyAlignment="1" applyProtection="1">
      <alignment horizontal="left" vertical="center"/>
      <protection locked="0"/>
    </xf>
    <xf numFmtId="164" fontId="5" fillId="3" borderId="21" xfId="3" applyNumberFormat="1" applyFont="1" applyFill="1" applyBorder="1" applyProtection="1">
      <alignment vertical="center"/>
      <protection locked="0"/>
    </xf>
    <xf numFmtId="164" fontId="3" fillId="3" borderId="21" xfId="3" applyNumberFormat="1" applyFill="1" applyBorder="1" applyProtection="1">
      <alignment vertical="center"/>
      <protection locked="0"/>
    </xf>
    <xf numFmtId="0" fontId="0" fillId="0" borderId="0" xfId="0" applyAlignment="1">
      <alignment vertical="center"/>
    </xf>
    <xf numFmtId="0" fontId="5" fillId="3" borderId="21" xfId="3" applyFont="1" applyFill="1" applyBorder="1" applyProtection="1">
      <alignment vertical="center"/>
      <protection locked="0"/>
    </xf>
    <xf numFmtId="0" fontId="3" fillId="0" borderId="0" xfId="0" applyFont="1" applyAlignment="1">
      <alignment vertical="center" wrapText="1"/>
    </xf>
    <xf numFmtId="168" fontId="7" fillId="7" borderId="57" xfId="3" applyNumberFormat="1" applyFont="1" applyFill="1" applyBorder="1" applyAlignment="1" applyProtection="1">
      <alignment horizontal="center" vertical="center"/>
      <protection locked="0"/>
    </xf>
    <xf numFmtId="0" fontId="7" fillId="7" borderId="4" xfId="3" applyFont="1" applyFill="1" applyBorder="1" applyAlignment="1" applyProtection="1">
      <alignment horizontal="left" vertical="center" wrapText="1"/>
      <protection locked="0"/>
    </xf>
    <xf numFmtId="0" fontId="8" fillId="59" borderId="69" xfId="3" applyFont="1" applyFill="1" applyBorder="1" applyAlignment="1" applyProtection="1">
      <alignment horizontal="center" vertical="center"/>
      <protection locked="0"/>
    </xf>
    <xf numFmtId="43" fontId="100" fillId="59" borderId="69" xfId="26" applyFont="1" applyFill="1" applyBorder="1" applyAlignment="1" applyProtection="1">
      <alignment horizontal="center" vertical="center"/>
      <protection locked="0"/>
    </xf>
    <xf numFmtId="43" fontId="8" fillId="59" borderId="69" xfId="26" applyFont="1" applyFill="1" applyBorder="1" applyAlignment="1" applyProtection="1">
      <alignment horizontal="right" vertical="center"/>
      <protection locked="0"/>
    </xf>
    <xf numFmtId="0" fontId="101" fillId="0" borderId="65" xfId="2657" applyFont="1" applyBorder="1" applyAlignment="1">
      <alignment horizontal="left" vertical="center" wrapText="1"/>
    </xf>
    <xf numFmtId="0" fontId="8" fillId="59" borderId="68" xfId="3" applyFont="1" applyFill="1" applyBorder="1" applyProtection="1">
      <alignment vertical="center"/>
      <protection locked="0"/>
    </xf>
    <xf numFmtId="164" fontId="8" fillId="59" borderId="64" xfId="26" applyNumberFormat="1" applyFont="1" applyFill="1" applyBorder="1" applyAlignment="1" applyProtection="1">
      <alignment vertical="center"/>
      <protection locked="0"/>
    </xf>
    <xf numFmtId="0" fontId="102" fillId="0" borderId="66" xfId="2655" applyFont="1" applyBorder="1" applyAlignment="1">
      <alignment horizontal="center" vertical="center" wrapText="1"/>
    </xf>
    <xf numFmtId="43" fontId="102" fillId="0" borderId="67" xfId="26" applyFont="1" applyBorder="1" applyAlignment="1">
      <alignment horizontal="center" vertical="center" shrinkToFit="1"/>
    </xf>
    <xf numFmtId="43" fontId="103" fillId="0" borderId="67" xfId="26" applyFont="1" applyBorder="1" applyAlignment="1">
      <alignment vertical="center" shrinkToFit="1"/>
    </xf>
    <xf numFmtId="164" fontId="8" fillId="59" borderId="70" xfId="26" applyNumberFormat="1" applyFont="1" applyFill="1" applyBorder="1" applyAlignment="1" applyProtection="1">
      <alignment horizontal="right" vertical="center"/>
      <protection locked="0"/>
    </xf>
    <xf numFmtId="164" fontId="103" fillId="0" borderId="71" xfId="26" applyNumberFormat="1" applyFont="1" applyBorder="1" applyAlignment="1">
      <alignment vertical="center" shrinkToFit="1"/>
    </xf>
    <xf numFmtId="164" fontId="99" fillId="0" borderId="14" xfId="26" applyNumberFormat="1" applyFont="1" applyBorder="1" applyAlignment="1" applyProtection="1">
      <alignment vertical="center"/>
      <protection locked="0"/>
    </xf>
    <xf numFmtId="164" fontId="99" fillId="0" borderId="74" xfId="26" applyNumberFormat="1" applyFont="1" applyBorder="1" applyAlignment="1" applyProtection="1">
      <alignment vertical="center"/>
      <protection locked="0"/>
    </xf>
    <xf numFmtId="0" fontId="5" fillId="0" borderId="21" xfId="3" applyFont="1" applyBorder="1" applyAlignment="1" applyProtection="1">
      <alignment horizontal="left" vertical="center" indent="2"/>
      <protection locked="0"/>
    </xf>
    <xf numFmtId="0" fontId="102" fillId="0" borderId="60" xfId="2657" applyFont="1" applyBorder="1" applyAlignment="1">
      <alignment horizontal="left" vertical="center" wrapText="1"/>
    </xf>
    <xf numFmtId="0" fontId="102" fillId="0" borderId="58" xfId="2655" applyFont="1" applyBorder="1" applyAlignment="1">
      <alignment horizontal="center" vertical="center" wrapText="1"/>
    </xf>
    <xf numFmtId="43" fontId="102" fillId="0" borderId="59" xfId="26" applyFont="1" applyFill="1" applyBorder="1" applyAlignment="1">
      <alignment horizontal="center" vertical="center" shrinkToFit="1"/>
    </xf>
    <xf numFmtId="164" fontId="103" fillId="0" borderId="59" xfId="26" applyNumberFormat="1" applyFont="1" applyFill="1" applyBorder="1" applyAlignment="1">
      <alignment vertical="center" shrinkToFit="1"/>
    </xf>
    <xf numFmtId="164" fontId="103" fillId="0" borderId="72" xfId="26" applyNumberFormat="1" applyFont="1" applyFill="1" applyBorder="1" applyAlignment="1">
      <alignment vertical="center" shrinkToFit="1"/>
    </xf>
    <xf numFmtId="0" fontId="102" fillId="0" borderId="61" xfId="2657" applyFont="1" applyBorder="1" applyAlignment="1">
      <alignment horizontal="left" vertical="center" wrapText="1"/>
    </xf>
    <xf numFmtId="0" fontId="102" fillId="0" borderId="62" xfId="2655" applyFont="1" applyBorder="1" applyAlignment="1">
      <alignment horizontal="center" vertical="center" wrapText="1"/>
    </xf>
    <xf numFmtId="43" fontId="102" fillId="0" borderId="63" xfId="26" applyFont="1" applyFill="1" applyBorder="1" applyAlignment="1">
      <alignment horizontal="center" vertical="center" shrinkToFit="1"/>
    </xf>
    <xf numFmtId="164" fontId="103" fillId="0" borderId="63" xfId="26" applyNumberFormat="1" applyFont="1" applyFill="1" applyBorder="1" applyAlignment="1">
      <alignment vertical="center" shrinkToFit="1"/>
    </xf>
    <xf numFmtId="164" fontId="103" fillId="0" borderId="73" xfId="26" applyNumberFormat="1" applyFont="1" applyFill="1" applyBorder="1" applyAlignment="1">
      <alignment vertical="center" shrinkToFit="1"/>
    </xf>
    <xf numFmtId="225" fontId="3" fillId="0" borderId="0" xfId="3" applyNumberFormat="1" applyAlignment="1">
      <alignment horizontal="center" vertical="center"/>
    </xf>
    <xf numFmtId="165" fontId="10" fillId="0" borderId="17" xfId="3" applyNumberFormat="1" applyFont="1" applyBorder="1" applyAlignment="1">
      <alignment horizontal="center" wrapText="1"/>
    </xf>
    <xf numFmtId="0" fontId="5" fillId="0" borderId="31" xfId="20" applyFont="1" applyBorder="1" applyAlignment="1" applyProtection="1">
      <alignment vertical="center"/>
      <protection locked="0"/>
    </xf>
    <xf numFmtId="0" fontId="5" fillId="0" borderId="31" xfId="20" applyFont="1" applyBorder="1" applyAlignment="1" applyProtection="1">
      <alignment horizontal="center" vertical="center"/>
      <protection locked="0"/>
    </xf>
    <xf numFmtId="4" fontId="3" fillId="0" borderId="0" xfId="3" applyNumberFormat="1" applyAlignment="1">
      <alignment horizontal="right" vertical="center"/>
    </xf>
    <xf numFmtId="0" fontId="0" fillId="0" borderId="0" xfId="0" applyAlignment="1">
      <alignment horizontal="center" vertical="center"/>
    </xf>
    <xf numFmtId="2" fontId="3" fillId="0" borderId="0" xfId="3" applyNumberFormat="1" applyAlignment="1">
      <alignment horizontal="left" vertical="center"/>
    </xf>
    <xf numFmtId="0" fontId="3" fillId="3" borderId="0" xfId="0" applyFont="1" applyFill="1"/>
    <xf numFmtId="164" fontId="5" fillId="3" borderId="21" xfId="0" applyNumberFormat="1" applyFont="1" applyFill="1" applyBorder="1" applyAlignment="1" applyProtection="1">
      <alignment vertical="center"/>
      <protection locked="0"/>
    </xf>
    <xf numFmtId="168" fontId="7" fillId="8" borderId="76" xfId="3" applyNumberFormat="1" applyFont="1" applyFill="1" applyBorder="1" applyProtection="1">
      <alignment vertical="center"/>
      <protection locked="0"/>
    </xf>
    <xf numFmtId="165" fontId="3" fillId="0" borderId="0" xfId="4" applyNumberFormat="1">
      <alignment vertical="center"/>
    </xf>
    <xf numFmtId="0" fontId="36" fillId="0" borderId="0" xfId="0" applyFont="1"/>
    <xf numFmtId="164" fontId="3" fillId="4" borderId="21" xfId="3" applyNumberFormat="1" applyFill="1" applyBorder="1" applyProtection="1">
      <alignment vertical="center"/>
      <protection locked="0"/>
    </xf>
    <xf numFmtId="164" fontId="8" fillId="0" borderId="9" xfId="5" applyNumberFormat="1" applyFont="1" applyFill="1" applyBorder="1" applyAlignment="1" applyProtection="1">
      <alignment vertical="center"/>
      <protection locked="0"/>
    </xf>
    <xf numFmtId="164" fontId="8" fillId="0" borderId="10" xfId="4" applyNumberFormat="1" applyFont="1" applyBorder="1" applyProtection="1">
      <alignment vertical="center"/>
      <protection locked="0"/>
    </xf>
    <xf numFmtId="164" fontId="8" fillId="0" borderId="13" xfId="5" applyNumberFormat="1" applyFont="1" applyFill="1" applyBorder="1" applyAlignment="1" applyProtection="1">
      <alignment vertical="center"/>
      <protection locked="0"/>
    </xf>
    <xf numFmtId="164" fontId="8" fillId="0" borderId="13" xfId="4" applyNumberFormat="1" applyFont="1" applyBorder="1" applyProtection="1">
      <alignment vertical="center"/>
      <protection locked="0"/>
    </xf>
    <xf numFmtId="164" fontId="5" fillId="0" borderId="3" xfId="5" applyNumberFormat="1" applyFont="1" applyFill="1" applyBorder="1" applyAlignment="1" applyProtection="1">
      <alignment vertical="center"/>
      <protection locked="0"/>
    </xf>
    <xf numFmtId="164" fontId="5" fillId="0" borderId="12" xfId="4" applyNumberFormat="1" applyFont="1" applyBorder="1" applyProtection="1">
      <alignment vertical="center"/>
      <protection locked="0"/>
    </xf>
    <xf numFmtId="164" fontId="5" fillId="0" borderId="14" xfId="5" applyNumberFormat="1" applyFont="1" applyFill="1" applyBorder="1" applyAlignment="1" applyProtection="1">
      <alignment vertical="center"/>
      <protection locked="0"/>
    </xf>
    <xf numFmtId="164" fontId="32" fillId="0" borderId="3" xfId="5" applyNumberFormat="1" applyFont="1" applyFill="1" applyBorder="1" applyAlignment="1" applyProtection="1">
      <alignment vertical="center"/>
      <protection locked="0"/>
    </xf>
    <xf numFmtId="164" fontId="8" fillId="0" borderId="3" xfId="5" applyNumberFormat="1" applyFont="1" applyFill="1" applyBorder="1" applyAlignment="1" applyProtection="1">
      <alignment vertical="center"/>
      <protection locked="0"/>
    </xf>
    <xf numFmtId="164" fontId="31" fillId="0" borderId="3" xfId="5" applyNumberFormat="1" applyFont="1" applyFill="1" applyBorder="1" applyAlignment="1" applyProtection="1">
      <alignment vertical="center"/>
      <protection locked="0"/>
    </xf>
    <xf numFmtId="164" fontId="5" fillId="0" borderId="12" xfId="5" applyNumberFormat="1" applyFont="1" applyFill="1" applyBorder="1" applyAlignment="1" applyProtection="1">
      <alignment vertical="center"/>
      <protection locked="0"/>
    </xf>
    <xf numFmtId="164" fontId="5" fillId="0" borderId="2" xfId="5" applyNumberFormat="1" applyFont="1" applyFill="1" applyBorder="1" applyAlignment="1" applyProtection="1">
      <alignment horizontal="center" vertical="center"/>
      <protection locked="0"/>
    </xf>
    <xf numFmtId="164" fontId="5" fillId="0" borderId="3" xfId="5" applyNumberFormat="1" applyFont="1" applyFill="1" applyBorder="1" applyAlignment="1" applyProtection="1">
      <alignment horizontal="center" vertical="center"/>
      <protection locked="0"/>
    </xf>
    <xf numFmtId="0" fontId="3" fillId="0" borderId="21" xfId="3" applyBorder="1" applyAlignment="1" applyProtection="1">
      <alignment horizontal="left" vertical="center"/>
      <protection locked="0"/>
    </xf>
    <xf numFmtId="170" fontId="3" fillId="0" borderId="21" xfId="3" applyNumberFormat="1" applyBorder="1" applyProtection="1">
      <alignment vertical="center"/>
      <protection locked="0"/>
    </xf>
    <xf numFmtId="164" fontId="5" fillId="0" borderId="21" xfId="5" applyNumberFormat="1" applyFont="1" applyFill="1" applyBorder="1" applyAlignment="1" applyProtection="1">
      <alignment vertical="center"/>
      <protection locked="0"/>
    </xf>
    <xf numFmtId="172" fontId="5" fillId="0" borderId="21" xfId="5" applyNumberFormat="1" applyFont="1" applyFill="1" applyBorder="1" applyAlignment="1" applyProtection="1">
      <alignment vertical="center"/>
      <protection locked="0"/>
    </xf>
    <xf numFmtId="164" fontId="3" fillId="0" borderId="34" xfId="3" applyNumberFormat="1" applyBorder="1" applyProtection="1">
      <alignment vertical="center"/>
      <protection locked="0"/>
    </xf>
    <xf numFmtId="0" fontId="3" fillId="0" borderId="21" xfId="3" applyBorder="1" applyAlignment="1" applyProtection="1">
      <alignment horizontal="left" vertical="center" wrapText="1"/>
      <protection locked="0"/>
    </xf>
    <xf numFmtId="0" fontId="9" fillId="0" borderId="55" xfId="0" applyFont="1" applyBorder="1"/>
    <xf numFmtId="0" fontId="3" fillId="0" borderId="77" xfId="8" applyBorder="1">
      <alignment vertical="center"/>
    </xf>
    <xf numFmtId="0" fontId="3" fillId="0" borderId="78" xfId="8" applyBorder="1">
      <alignment vertical="center"/>
    </xf>
    <xf numFmtId="0" fontId="3" fillId="0" borderId="2" xfId="8" applyBorder="1" applyAlignment="1">
      <alignment horizontal="left" vertical="center" wrapText="1"/>
    </xf>
    <xf numFmtId="171" fontId="3" fillId="0" borderId="0" xfId="4" applyNumberFormat="1">
      <alignment vertical="center"/>
    </xf>
    <xf numFmtId="0" fontId="7" fillId="8" borderId="5" xfId="3" applyFont="1" applyFill="1" applyBorder="1" applyAlignment="1" applyProtection="1">
      <alignment horizontal="left" vertical="center"/>
      <protection locked="0"/>
    </xf>
    <xf numFmtId="0" fontId="21" fillId="10" borderId="19" xfId="16" applyFont="1" applyFill="1" applyBorder="1" applyAlignment="1">
      <alignment horizontal="left" vertical="center"/>
    </xf>
    <xf numFmtId="0" fontId="5" fillId="10" borderId="19" xfId="0" applyFont="1" applyFill="1" applyBorder="1" applyAlignment="1" applyProtection="1">
      <alignment horizontal="center" vertical="center"/>
      <protection locked="0"/>
    </xf>
    <xf numFmtId="164" fontId="5" fillId="10" borderId="19" xfId="0" applyNumberFormat="1" applyFont="1" applyFill="1" applyBorder="1" applyAlignment="1" applyProtection="1">
      <alignment vertical="center"/>
      <protection locked="0"/>
    </xf>
    <xf numFmtId="168" fontId="5" fillId="10" borderId="19" xfId="0" applyNumberFormat="1" applyFont="1" applyFill="1" applyBorder="1" applyAlignment="1" applyProtection="1">
      <alignment vertical="center"/>
      <protection locked="0"/>
    </xf>
    <xf numFmtId="164" fontId="5" fillId="10" borderId="19" xfId="3" applyNumberFormat="1" applyFont="1" applyFill="1" applyBorder="1" applyProtection="1">
      <alignment vertical="center"/>
      <protection locked="0"/>
    </xf>
    <xf numFmtId="170" fontId="5" fillId="10" borderId="19" xfId="3" applyNumberFormat="1" applyFont="1" applyFill="1" applyBorder="1" applyProtection="1">
      <alignment vertical="center"/>
      <protection locked="0"/>
    </xf>
    <xf numFmtId="0" fontId="19" fillId="0" borderId="21" xfId="16" applyFont="1" applyBorder="1" applyAlignment="1">
      <alignment horizontal="left" vertical="center"/>
    </xf>
    <xf numFmtId="175" fontId="16" fillId="0" borderId="20" xfId="16" quotePrefix="1" applyNumberFormat="1" applyFont="1" applyBorder="1" applyAlignment="1">
      <alignment horizontal="left" vertical="center"/>
    </xf>
    <xf numFmtId="0" fontId="11" fillId="4" borderId="21" xfId="22" applyFont="1" applyFill="1" applyBorder="1" applyAlignment="1" applyProtection="1">
      <alignment horizontal="left" vertical="center"/>
      <protection locked="0"/>
    </xf>
    <xf numFmtId="226" fontId="9" fillId="0" borderId="20" xfId="16" quotePrefix="1" applyNumberFormat="1" applyFont="1" applyBorder="1" applyAlignment="1">
      <alignment horizontal="left" vertical="center"/>
    </xf>
    <xf numFmtId="0" fontId="3" fillId="4" borderId="21" xfId="22" applyFont="1" applyFill="1" applyBorder="1" applyAlignment="1" applyProtection="1">
      <alignment horizontal="left" vertical="center"/>
      <protection locked="0"/>
    </xf>
    <xf numFmtId="0" fontId="3" fillId="0" borderId="21" xfId="22" applyFont="1" applyBorder="1" applyAlignment="1" applyProtection="1">
      <alignment horizontal="left" vertical="center"/>
      <protection locked="0"/>
    </xf>
    <xf numFmtId="0" fontId="3" fillId="4" borderId="21" xfId="16" applyFont="1" applyFill="1" applyBorder="1" applyAlignment="1">
      <alignment horizontal="left" vertical="center"/>
    </xf>
    <xf numFmtId="0" fontId="22" fillId="0" borderId="21" xfId="0" applyFont="1" applyBorder="1" applyAlignment="1" applyProtection="1">
      <alignment horizontal="center" vertical="center"/>
      <protection locked="0"/>
    </xf>
    <xf numFmtId="171" fontId="22" fillId="0" borderId="21" xfId="20" applyNumberFormat="1" applyFont="1" applyBorder="1" applyAlignment="1" applyProtection="1">
      <alignment horizontal="center" vertical="center"/>
      <protection locked="0"/>
    </xf>
    <xf numFmtId="168" fontId="22" fillId="0" borderId="21" xfId="0" applyNumberFormat="1" applyFont="1" applyBorder="1" applyAlignment="1" applyProtection="1">
      <alignment vertical="center"/>
      <protection locked="0"/>
    </xf>
    <xf numFmtId="0" fontId="22" fillId="0" borderId="0" xfId="4" applyFont="1">
      <alignment vertical="center"/>
    </xf>
    <xf numFmtId="0" fontId="11" fillId="0" borderId="21" xfId="22" applyFont="1" applyBorder="1" applyAlignment="1" applyProtection="1">
      <alignment horizontal="left" vertical="center"/>
      <protection locked="0"/>
    </xf>
    <xf numFmtId="0" fontId="21" fillId="10" borderId="21" xfId="16" applyFont="1" applyFill="1" applyBorder="1" applyAlignment="1">
      <alignment horizontal="left" vertical="center"/>
    </xf>
    <xf numFmtId="0" fontId="5" fillId="10" borderId="21" xfId="0" applyFont="1" applyFill="1" applyBorder="1" applyAlignment="1" applyProtection="1">
      <alignment horizontal="center" vertical="center"/>
      <protection locked="0"/>
    </xf>
    <xf numFmtId="0" fontId="19" fillId="4" borderId="21" xfId="22" applyFont="1" applyFill="1" applyBorder="1" applyAlignment="1" applyProtection="1">
      <alignment horizontal="left" vertical="center"/>
      <protection locked="0"/>
    </xf>
    <xf numFmtId="0" fontId="19" fillId="0" borderId="21" xfId="22" applyFont="1" applyBorder="1" applyAlignment="1" applyProtection="1">
      <alignment horizontal="left" vertical="center"/>
      <protection locked="0"/>
    </xf>
    <xf numFmtId="171" fontId="5" fillId="3" borderId="21" xfId="20" applyNumberFormat="1" applyFont="1" applyFill="1" applyBorder="1" applyAlignment="1" applyProtection="1">
      <alignment horizontal="center" vertical="center"/>
      <protection locked="0"/>
    </xf>
    <xf numFmtId="174" fontId="9" fillId="0" borderId="20" xfId="16" quotePrefix="1" applyNumberFormat="1" applyFont="1" applyBorder="1" applyAlignment="1">
      <alignment horizontal="left" vertical="center"/>
    </xf>
    <xf numFmtId="174" fontId="19" fillId="0" borderId="20" xfId="16" quotePrefix="1" applyNumberFormat="1" applyFont="1" applyBorder="1" applyAlignment="1">
      <alignment horizontal="left" vertical="center"/>
    </xf>
    <xf numFmtId="0" fontId="11" fillId="0" borderId="21" xfId="23" applyFont="1" applyBorder="1" applyAlignment="1" applyProtection="1">
      <alignment horizontal="left" vertical="center"/>
      <protection locked="0"/>
    </xf>
    <xf numFmtId="0" fontId="3" fillId="0" borderId="21" xfId="16" applyFont="1" applyBorder="1" applyAlignment="1">
      <alignment horizontal="left" vertical="center" wrapText="1"/>
    </xf>
    <xf numFmtId="0" fontId="19" fillId="4" borderId="21" xfId="16" applyFont="1" applyFill="1" applyBorder="1" applyAlignment="1">
      <alignment horizontal="left" vertical="center"/>
    </xf>
    <xf numFmtId="0" fontId="3" fillId="0" borderId="21" xfId="16" applyFont="1" applyBorder="1" applyAlignment="1">
      <alignment horizontal="left" vertical="center"/>
    </xf>
    <xf numFmtId="226" fontId="104" fillId="0" borderId="20" xfId="16" quotePrefix="1" applyNumberFormat="1" applyFont="1" applyBorder="1" applyAlignment="1">
      <alignment horizontal="left" vertical="center"/>
    </xf>
    <xf numFmtId="0" fontId="104" fillId="0" borderId="21" xfId="23" applyFont="1" applyBorder="1" applyAlignment="1" applyProtection="1">
      <alignment horizontal="left" vertical="center"/>
      <protection locked="0"/>
    </xf>
    <xf numFmtId="228" fontId="9" fillId="0" borderId="20" xfId="16" quotePrefix="1" applyNumberFormat="1" applyFont="1" applyBorder="1" applyAlignment="1">
      <alignment horizontal="left" vertical="center"/>
    </xf>
    <xf numFmtId="0" fontId="104" fillId="0" borderId="21" xfId="23" applyFont="1" applyBorder="1" applyAlignment="1" applyProtection="1">
      <alignment horizontal="left" vertical="center" wrapText="1"/>
      <protection locked="0"/>
    </xf>
    <xf numFmtId="174" fontId="3" fillId="0" borderId="20" xfId="16" quotePrefix="1" applyNumberFormat="1" applyFont="1" applyBorder="1" applyAlignment="1">
      <alignment horizontal="left" vertical="center"/>
    </xf>
    <xf numFmtId="0" fontId="3" fillId="4" borderId="21" xfId="16" applyFont="1" applyFill="1" applyBorder="1" applyAlignment="1">
      <alignment horizontal="left" vertical="center" wrapText="1"/>
    </xf>
    <xf numFmtId="175" fontId="3" fillId="0" borderId="20" xfId="16" quotePrefix="1" applyNumberFormat="1" applyFont="1" applyBorder="1" applyAlignment="1">
      <alignment horizontal="left" vertical="center"/>
    </xf>
    <xf numFmtId="0" fontId="3" fillId="0" borderId="21" xfId="22" applyFont="1" applyBorder="1" applyAlignment="1" applyProtection="1">
      <alignment horizontal="left" vertical="center" wrapText="1"/>
      <protection locked="0"/>
    </xf>
    <xf numFmtId="170" fontId="3" fillId="0" borderId="21" xfId="0" applyNumberFormat="1" applyFont="1" applyBorder="1" applyAlignment="1" applyProtection="1">
      <alignment vertical="center"/>
      <protection locked="0"/>
    </xf>
    <xf numFmtId="174" fontId="3" fillId="4" borderId="20" xfId="16" quotePrefix="1" applyNumberFormat="1" applyFont="1" applyFill="1" applyBorder="1" applyAlignment="1">
      <alignment horizontal="left" vertical="center"/>
    </xf>
    <xf numFmtId="0" fontId="3" fillId="0" borderId="21" xfId="0" applyFont="1" applyBorder="1" applyAlignment="1" applyProtection="1">
      <alignment horizontal="center" vertical="center"/>
      <protection locked="0"/>
    </xf>
    <xf numFmtId="0" fontId="21" fillId="10" borderId="19" xfId="16" applyFont="1" applyFill="1" applyBorder="1" applyAlignment="1">
      <alignment horizontal="left" vertical="center" wrapText="1"/>
    </xf>
    <xf numFmtId="174" fontId="11" fillId="4" borderId="20" xfId="16" quotePrefix="1" applyNumberFormat="1" applyFont="1" applyFill="1" applyBorder="1" applyAlignment="1">
      <alignment horizontal="left" vertical="center"/>
    </xf>
    <xf numFmtId="168" fontId="3" fillId="0" borderId="21" xfId="0" applyNumberFormat="1" applyFont="1" applyBorder="1" applyAlignment="1" applyProtection="1">
      <alignment vertical="center"/>
      <protection locked="0"/>
    </xf>
    <xf numFmtId="0" fontId="21" fillId="10" borderId="21" xfId="16" applyFont="1" applyFill="1" applyBorder="1" applyAlignment="1">
      <alignment horizontal="left" vertical="center" wrapText="1"/>
    </xf>
    <xf numFmtId="175" fontId="16" fillId="4" borderId="20" xfId="16" quotePrefix="1" applyNumberFormat="1" applyFont="1" applyFill="1" applyBorder="1" applyAlignment="1">
      <alignment horizontal="left" vertical="center"/>
    </xf>
    <xf numFmtId="0" fontId="19" fillId="4" borderId="21" xfId="16" applyFont="1" applyFill="1" applyBorder="1" applyAlignment="1">
      <alignment horizontal="left" vertical="center" wrapText="1"/>
    </xf>
    <xf numFmtId="0" fontId="3" fillId="4" borderId="31" xfId="16" applyFont="1" applyFill="1" applyBorder="1" applyAlignment="1">
      <alignment horizontal="left" vertical="center"/>
    </xf>
    <xf numFmtId="229" fontId="3" fillId="0" borderId="0" xfId="4" applyNumberFormat="1">
      <alignment vertical="center"/>
    </xf>
    <xf numFmtId="0" fontId="3" fillId="0" borderId="0" xfId="3" applyAlignment="1">
      <alignment horizontal="left" vertical="center" wrapText="1"/>
    </xf>
    <xf numFmtId="179" fontId="3" fillId="0" borderId="0" xfId="3" applyNumberFormat="1">
      <alignment vertical="center"/>
    </xf>
    <xf numFmtId="230" fontId="3" fillId="0" borderId="0" xfId="3" applyNumberFormat="1">
      <alignment vertical="center"/>
    </xf>
    <xf numFmtId="179" fontId="9" fillId="0" borderId="0" xfId="0" applyNumberFormat="1" applyFont="1"/>
    <xf numFmtId="230" fontId="3" fillId="3" borderId="0" xfId="3" applyNumberFormat="1" applyFill="1">
      <alignment vertical="center"/>
    </xf>
    <xf numFmtId="179" fontId="9" fillId="3" borderId="0" xfId="0" applyNumberFormat="1" applyFont="1" applyFill="1"/>
    <xf numFmtId="0" fontId="18" fillId="0" borderId="0" xfId="3" applyFont="1" applyAlignment="1">
      <alignment horizontal="left" vertical="top" wrapText="1"/>
    </xf>
    <xf numFmtId="14" fontId="18" fillId="0" borderId="0" xfId="1" applyNumberFormat="1" applyFont="1" applyBorder="1" applyAlignment="1">
      <alignment horizontal="center" vertical="top"/>
    </xf>
    <xf numFmtId="230" fontId="18" fillId="0" borderId="0" xfId="3" applyNumberFormat="1" applyFont="1" applyAlignment="1">
      <alignment horizontal="center" vertical="top"/>
    </xf>
    <xf numFmtId="179" fontId="0" fillId="0" borderId="0" xfId="0" applyNumberFormat="1"/>
    <xf numFmtId="0" fontId="7" fillId="7" borderId="79" xfId="3" applyFont="1" applyFill="1" applyBorder="1" applyAlignment="1" applyProtection="1">
      <alignment horizontal="left" vertical="center"/>
      <protection locked="0"/>
    </xf>
    <xf numFmtId="0" fontId="7" fillId="7" borderId="17" xfId="3" applyFont="1" applyFill="1" applyBorder="1" applyAlignment="1" applyProtection="1">
      <alignment horizontal="left" vertical="center" wrapText="1"/>
      <protection locked="0"/>
    </xf>
    <xf numFmtId="0" fontId="7" fillId="7" borderId="17" xfId="3" applyFont="1" applyFill="1" applyBorder="1" applyAlignment="1" applyProtection="1">
      <alignment horizontal="center" vertical="center" wrapText="1"/>
      <protection locked="0"/>
    </xf>
    <xf numFmtId="165" fontId="7" fillId="7" borderId="17" xfId="1" applyFont="1" applyFill="1" applyBorder="1" applyAlignment="1" applyProtection="1">
      <alignment horizontal="center" vertical="center" wrapText="1"/>
      <protection locked="0"/>
    </xf>
    <xf numFmtId="179" fontId="7" fillId="7" borderId="17" xfId="1" applyNumberFormat="1" applyFont="1" applyFill="1" applyBorder="1" applyAlignment="1" applyProtection="1">
      <alignment horizontal="center" vertical="center" wrapText="1"/>
      <protection locked="0"/>
    </xf>
    <xf numFmtId="230" fontId="7" fillId="7" borderId="17" xfId="1" applyNumberFormat="1" applyFont="1" applyFill="1" applyBorder="1" applyAlignment="1" applyProtection="1">
      <alignment horizontal="center" vertical="center" wrapText="1"/>
      <protection locked="0"/>
    </xf>
    <xf numFmtId="179" fontId="7" fillId="7" borderId="57" xfId="1" applyNumberFormat="1" applyFont="1" applyFill="1" applyBorder="1" applyAlignment="1" applyProtection="1">
      <alignment horizontal="center" vertical="center"/>
      <protection locked="0"/>
    </xf>
    <xf numFmtId="49" fontId="99" fillId="60" borderId="55" xfId="3" applyNumberFormat="1" applyFont="1" applyFill="1" applyBorder="1" applyAlignment="1" applyProtection="1">
      <alignment horizontal="left" vertical="center"/>
      <protection locked="0"/>
    </xf>
    <xf numFmtId="0" fontId="99" fillId="60" borderId="55" xfId="3" applyFont="1" applyFill="1" applyBorder="1" applyAlignment="1" applyProtection="1">
      <alignment horizontal="left" vertical="center"/>
      <protection locked="0"/>
    </xf>
    <xf numFmtId="171" fontId="99" fillId="61" borderId="55" xfId="58378" applyFont="1" applyFill="1" applyBorder="1" applyAlignment="1" applyProtection="1">
      <alignment horizontal="center" vertical="center"/>
      <protection locked="0"/>
    </xf>
    <xf numFmtId="179" fontId="7" fillId="8" borderId="55" xfId="3" applyNumberFormat="1" applyFont="1" applyFill="1" applyBorder="1" applyAlignment="1" applyProtection="1">
      <alignment horizontal="right" vertical="center"/>
      <protection locked="0"/>
    </xf>
    <xf numFmtId="230" fontId="7" fillId="8" borderId="55" xfId="3" applyNumberFormat="1" applyFont="1" applyFill="1" applyBorder="1" applyAlignment="1" applyProtection="1">
      <alignment horizontal="right" vertical="center"/>
      <protection locked="0"/>
    </xf>
    <xf numFmtId="165" fontId="0" fillId="0" borderId="0" xfId="1" applyFont="1"/>
    <xf numFmtId="49" fontId="105" fillId="0" borderId="55" xfId="0" applyNumberFormat="1" applyFont="1" applyBorder="1"/>
    <xf numFmtId="0" fontId="0" fillId="0" borderId="55" xfId="0" applyBorder="1"/>
    <xf numFmtId="49" fontId="106" fillId="0" borderId="55" xfId="0" applyNumberFormat="1" applyFont="1" applyBorder="1"/>
    <xf numFmtId="168" fontId="106" fillId="0" borderId="55" xfId="0" applyNumberFormat="1" applyFont="1" applyBorder="1"/>
    <xf numFmtId="179" fontId="9" fillId="0" borderId="55" xfId="1" applyNumberFormat="1" applyFont="1" applyFill="1" applyBorder="1"/>
    <xf numFmtId="230" fontId="9" fillId="0" borderId="55" xfId="1" applyNumberFormat="1" applyFont="1" applyFill="1" applyBorder="1"/>
    <xf numFmtId="0" fontId="0" fillId="0" borderId="55" xfId="0" applyBorder="1" applyAlignment="1">
      <alignment horizontal="center"/>
    </xf>
    <xf numFmtId="0" fontId="0" fillId="0" borderId="0" xfId="0" applyAlignment="1">
      <alignment horizontal="center"/>
    </xf>
    <xf numFmtId="230" fontId="3" fillId="0" borderId="0" xfId="3" applyNumberFormat="1" applyAlignment="1" applyProtection="1">
      <alignment horizontal="center" vertical="center"/>
      <protection locked="0"/>
    </xf>
    <xf numFmtId="179" fontId="7" fillId="8" borderId="55" xfId="3" applyNumberFormat="1" applyFont="1" applyFill="1" applyBorder="1" applyAlignment="1" applyProtection="1">
      <alignment horizontal="center" vertical="center"/>
      <protection locked="0"/>
    </xf>
    <xf numFmtId="230" fontId="0" fillId="0" borderId="0" xfId="0" applyNumberFormat="1"/>
    <xf numFmtId="0" fontId="0" fillId="0" borderId="55" xfId="0" applyBorder="1" applyAlignment="1">
      <alignment horizontal="center" vertical="center"/>
    </xf>
    <xf numFmtId="179" fontId="0" fillId="0" borderId="55" xfId="0" applyNumberFormat="1" applyBorder="1"/>
    <xf numFmtId="230" fontId="0" fillId="0" borderId="55" xfId="0" applyNumberFormat="1" applyBorder="1"/>
    <xf numFmtId="179" fontId="107" fillId="0" borderId="55" xfId="0" applyNumberFormat="1" applyFont="1" applyBorder="1"/>
    <xf numFmtId="49" fontId="9" fillId="0" borderId="55" xfId="0" applyNumberFormat="1" applyFont="1" applyBorder="1" applyAlignment="1">
      <alignment vertical="center" wrapText="1"/>
    </xf>
    <xf numFmtId="49" fontId="106" fillId="0" borderId="55" xfId="0" applyNumberFormat="1" applyFont="1" applyBorder="1" applyAlignment="1">
      <alignment horizontal="center" vertical="center"/>
    </xf>
    <xf numFmtId="179" fontId="0" fillId="0" borderId="55" xfId="0" applyNumberFormat="1" applyBorder="1" applyAlignment="1">
      <alignment vertical="center"/>
    </xf>
    <xf numFmtId="230" fontId="9" fillId="0" borderId="55" xfId="0" applyNumberFormat="1" applyFont="1" applyBorder="1" applyAlignment="1">
      <alignment vertical="center"/>
    </xf>
    <xf numFmtId="179" fontId="9" fillId="0" borderId="55" xfId="1" applyNumberFormat="1" applyFont="1" applyFill="1" applyBorder="1" applyAlignment="1">
      <alignment vertical="center"/>
    </xf>
    <xf numFmtId="230" fontId="9" fillId="0" borderId="55" xfId="1" applyNumberFormat="1" applyFont="1" applyFill="1" applyBorder="1" applyAlignment="1">
      <alignment vertical="center"/>
    </xf>
    <xf numFmtId="230" fontId="0" fillId="0" borderId="0" xfId="0" applyNumberFormat="1" applyAlignment="1">
      <alignment vertical="center"/>
    </xf>
    <xf numFmtId="49" fontId="106" fillId="0" borderId="55" xfId="0" applyNumberFormat="1" applyFont="1" applyBorder="1" applyAlignment="1">
      <alignment wrapText="1"/>
    </xf>
    <xf numFmtId="49" fontId="108" fillId="0" borderId="55" xfId="0" applyNumberFormat="1" applyFont="1" applyBorder="1" applyAlignment="1">
      <alignment wrapText="1"/>
    </xf>
    <xf numFmtId="168" fontId="106" fillId="0" borderId="55" xfId="0" applyNumberFormat="1" applyFont="1" applyBorder="1" applyAlignment="1">
      <alignment horizontal="center"/>
    </xf>
    <xf numFmtId="179" fontId="106" fillId="0" borderId="55" xfId="0" applyNumberFormat="1" applyFont="1" applyBorder="1"/>
    <xf numFmtId="230" fontId="106" fillId="0" borderId="55" xfId="0" applyNumberFormat="1" applyFont="1" applyBorder="1"/>
    <xf numFmtId="179" fontId="106" fillId="0" borderId="55" xfId="0" applyNumberFormat="1" applyFont="1" applyBorder="1" applyAlignment="1">
      <alignment vertical="center"/>
    </xf>
    <xf numFmtId="230" fontId="106" fillId="0" borderId="55" xfId="0" applyNumberFormat="1" applyFont="1" applyBorder="1" applyAlignment="1">
      <alignment vertical="center"/>
    </xf>
    <xf numFmtId="168" fontId="106" fillId="0" borderId="55" xfId="0" applyNumberFormat="1" applyFont="1" applyBorder="1" applyAlignment="1">
      <alignment vertical="center"/>
    </xf>
    <xf numFmtId="0" fontId="9" fillId="0" borderId="55" xfId="0" applyFont="1" applyBorder="1" applyAlignment="1">
      <alignment horizontal="left" vertical="center" wrapText="1"/>
    </xf>
    <xf numFmtId="49" fontId="106" fillId="0" borderId="55" xfId="0" applyNumberFormat="1" applyFont="1" applyBorder="1" applyAlignment="1">
      <alignment vertical="center" wrapText="1"/>
    </xf>
    <xf numFmtId="49" fontId="108" fillId="0" borderId="55" xfId="0" applyNumberFormat="1" applyFont="1" applyBorder="1"/>
    <xf numFmtId="179" fontId="9" fillId="0" borderId="55" xfId="1" applyNumberFormat="1" applyFont="1" applyFill="1" applyBorder="1" applyAlignment="1">
      <alignment horizontal="left" vertical="center"/>
    </xf>
    <xf numFmtId="230" fontId="9" fillId="0" borderId="55" xfId="1" applyNumberFormat="1" applyFont="1" applyFill="1" applyBorder="1" applyAlignment="1">
      <alignment horizontal="left" vertical="center"/>
    </xf>
    <xf numFmtId="0" fontId="30" fillId="0" borderId="55" xfId="0" applyFont="1" applyBorder="1" applyAlignment="1">
      <alignment vertical="center"/>
    </xf>
    <xf numFmtId="0" fontId="9" fillId="0" borderId="55" xfId="0" applyFont="1" applyBorder="1" applyAlignment="1">
      <alignment horizontal="center" vertical="center"/>
    </xf>
    <xf numFmtId="0" fontId="3" fillId="0" borderId="55" xfId="177" applyFont="1" applyBorder="1" applyAlignment="1">
      <alignment horizontal="left" wrapText="1"/>
    </xf>
    <xf numFmtId="2" fontId="9" fillId="0" borderId="55" xfId="0" applyNumberFormat="1" applyFont="1" applyBorder="1" applyAlignment="1">
      <alignment horizontal="left" vertical="center" indent="3"/>
    </xf>
    <xf numFmtId="230" fontId="7" fillId="11" borderId="56" xfId="3" applyNumberFormat="1" applyFont="1" applyFill="1" applyBorder="1" applyAlignment="1" applyProtection="1">
      <alignment horizontal="left" vertical="center"/>
      <protection locked="0"/>
    </xf>
    <xf numFmtId="179" fontId="7" fillId="11" borderId="56" xfId="3" applyNumberFormat="1" applyFont="1" applyFill="1" applyBorder="1" applyAlignment="1" applyProtection="1">
      <alignment horizontal="left" vertical="center"/>
      <protection locked="0"/>
    </xf>
    <xf numFmtId="171" fontId="99" fillId="11" borderId="56" xfId="58378" applyFont="1" applyFill="1" applyBorder="1" applyAlignment="1" applyProtection="1">
      <alignment horizontal="center" vertical="center"/>
      <protection locked="0"/>
    </xf>
    <xf numFmtId="0" fontId="11" fillId="11" borderId="56" xfId="3" applyFont="1" applyFill="1" applyBorder="1" applyAlignment="1" applyProtection="1">
      <alignment horizontal="left" vertical="center" wrapText="1"/>
      <protection locked="0"/>
    </xf>
    <xf numFmtId="2" fontId="109" fillId="11" borderId="55" xfId="0" applyNumberFormat="1" applyFont="1" applyFill="1" applyBorder="1" applyAlignment="1">
      <alignment horizontal="left" vertical="center" indent="1"/>
    </xf>
    <xf numFmtId="230" fontId="9" fillId="0" borderId="55" xfId="0" applyNumberFormat="1" applyFont="1" applyBorder="1" applyAlignment="1">
      <alignment horizontal="left" vertical="center"/>
    </xf>
    <xf numFmtId="0" fontId="30" fillId="0" borderId="55" xfId="0" applyFont="1" applyBorder="1" applyAlignment="1">
      <alignment horizontal="left" vertical="center"/>
    </xf>
    <xf numFmtId="0" fontId="3" fillId="0" borderId="55" xfId="177" applyFont="1" applyBorder="1" applyAlignment="1">
      <alignment horizontal="left" vertical="center" wrapText="1"/>
    </xf>
    <xf numFmtId="230" fontId="7" fillId="11" borderId="55" xfId="3" applyNumberFormat="1" applyFont="1" applyFill="1" applyBorder="1" applyAlignment="1" applyProtection="1">
      <alignment horizontal="left" vertical="center"/>
      <protection locked="0"/>
    </xf>
    <xf numFmtId="179" fontId="7" fillId="11" borderId="55" xfId="3" applyNumberFormat="1" applyFont="1" applyFill="1" applyBorder="1" applyAlignment="1" applyProtection="1">
      <alignment horizontal="left" vertical="center"/>
      <protection locked="0"/>
    </xf>
    <xf numFmtId="171" fontId="99" fillId="11" borderId="55" xfId="58378" applyFont="1" applyFill="1" applyBorder="1" applyAlignment="1" applyProtection="1">
      <alignment horizontal="center" vertical="center"/>
      <protection locked="0"/>
    </xf>
    <xf numFmtId="0" fontId="11" fillId="11" borderId="55" xfId="3" applyFont="1" applyFill="1" applyBorder="1" applyAlignment="1" applyProtection="1">
      <alignment horizontal="left" vertical="center" wrapText="1"/>
      <protection locked="0"/>
    </xf>
    <xf numFmtId="165" fontId="9" fillId="0" borderId="55" xfId="1" applyFont="1" applyFill="1" applyBorder="1" applyAlignment="1">
      <alignment horizontal="left" vertical="center"/>
    </xf>
    <xf numFmtId="231" fontId="9" fillId="0" borderId="55" xfId="0" applyNumberFormat="1" applyFont="1" applyBorder="1" applyAlignment="1">
      <alignment horizontal="center" vertical="center"/>
    </xf>
    <xf numFmtId="165" fontId="7" fillId="8" borderId="55" xfId="1" applyFont="1" applyFill="1" applyBorder="1" applyAlignment="1" applyProtection="1">
      <alignment horizontal="left" vertical="center"/>
      <protection locked="0"/>
    </xf>
    <xf numFmtId="0" fontId="99" fillId="60" borderId="55" xfId="3" applyFont="1" applyFill="1" applyBorder="1" applyAlignment="1" applyProtection="1">
      <alignment horizontal="left" vertical="center" wrapText="1"/>
      <protection locked="0"/>
    </xf>
    <xf numFmtId="165" fontId="7" fillId="7" borderId="17" xfId="1" applyFont="1" applyFill="1" applyBorder="1" applyAlignment="1" applyProtection="1">
      <alignment horizontal="left" vertical="center" wrapText="1"/>
      <protection locked="0"/>
    </xf>
    <xf numFmtId="165" fontId="3" fillId="0" borderId="0" xfId="1" applyFont="1" applyAlignment="1">
      <alignment horizontal="left" vertical="center"/>
    </xf>
    <xf numFmtId="165" fontId="3" fillId="0" borderId="0" xfId="1" applyFont="1" applyAlignment="1" applyProtection="1">
      <alignment horizontal="left" vertical="center"/>
      <protection locked="0"/>
    </xf>
    <xf numFmtId="4" fontId="3" fillId="0" borderId="0" xfId="3" applyNumberFormat="1" applyAlignment="1">
      <alignment horizontal="center" vertical="center"/>
    </xf>
    <xf numFmtId="0" fontId="22" fillId="0" borderId="0" xfId="4" applyFont="1" applyAlignment="1">
      <alignment horizontal="center" vertical="center"/>
    </xf>
    <xf numFmtId="0" fontId="3" fillId="4" borderId="0" xfId="4" applyFill="1" applyAlignment="1">
      <alignment horizontal="center" vertical="center"/>
    </xf>
    <xf numFmtId="186" fontId="8" fillId="0" borderId="7" xfId="3" applyNumberFormat="1" applyFont="1" applyBorder="1" applyAlignment="1" applyProtection="1">
      <alignment horizontal="left" vertical="center"/>
      <protection locked="0"/>
    </xf>
    <xf numFmtId="171" fontId="5" fillId="10" borderId="21" xfId="0" applyNumberFormat="1" applyFont="1" applyFill="1" applyBorder="1" applyAlignment="1" applyProtection="1">
      <alignment vertical="center"/>
      <protection locked="0"/>
    </xf>
    <xf numFmtId="168" fontId="9" fillId="0" borderId="21" xfId="0" applyNumberFormat="1" applyFont="1" applyBorder="1" applyAlignment="1" applyProtection="1">
      <alignment vertical="center"/>
      <protection locked="0"/>
    </xf>
    <xf numFmtId="165" fontId="3" fillId="0" borderId="0" xfId="1" applyFont="1" applyAlignment="1">
      <alignment horizontal="center" vertical="center"/>
    </xf>
    <xf numFmtId="168" fontId="3" fillId="0" borderId="0" xfId="3" applyNumberFormat="1">
      <alignment vertical="center"/>
    </xf>
    <xf numFmtId="168" fontId="3" fillId="0" borderId="0" xfId="4" applyNumberFormat="1">
      <alignment vertical="center"/>
    </xf>
    <xf numFmtId="168" fontId="3" fillId="0" borderId="0" xfId="3" applyNumberFormat="1" applyAlignment="1">
      <alignment horizontal="right" vertical="center"/>
    </xf>
    <xf numFmtId="168" fontId="15" fillId="7" borderId="4" xfId="3" applyNumberFormat="1" applyFont="1" applyFill="1" applyBorder="1">
      <alignment vertical="center"/>
    </xf>
    <xf numFmtId="168" fontId="5" fillId="2" borderId="21" xfId="3" applyNumberFormat="1" applyFont="1" applyFill="1" applyBorder="1" applyProtection="1">
      <alignment vertical="center"/>
      <protection locked="0"/>
    </xf>
    <xf numFmtId="164" fontId="5" fillId="2" borderId="21" xfId="3" applyNumberFormat="1" applyFont="1" applyFill="1" applyBorder="1" applyProtection="1">
      <alignment vertical="center"/>
      <protection locked="0"/>
    </xf>
    <xf numFmtId="170" fontId="5" fillId="2" borderId="21" xfId="3" applyNumberFormat="1" applyFont="1" applyFill="1" applyBorder="1" applyProtection="1">
      <alignment vertical="center"/>
      <protection locked="0"/>
    </xf>
    <xf numFmtId="164" fontId="5" fillId="2" borderId="21" xfId="5" applyNumberFormat="1" applyFont="1" applyFill="1" applyBorder="1" applyAlignment="1" applyProtection="1">
      <alignment vertical="center"/>
      <protection locked="0"/>
    </xf>
    <xf numFmtId="0" fontId="12" fillId="0" borderId="0" xfId="0" applyFont="1"/>
    <xf numFmtId="0" fontId="5" fillId="5" borderId="21" xfId="20" applyFont="1" applyFill="1" applyBorder="1" applyAlignment="1" applyProtection="1">
      <alignment vertical="center"/>
      <protection locked="0"/>
    </xf>
    <xf numFmtId="164" fontId="5" fillId="12" borderId="21" xfId="0" applyNumberFormat="1" applyFont="1" applyFill="1" applyBorder="1" applyAlignment="1" applyProtection="1">
      <alignment vertical="center"/>
      <protection locked="0"/>
    </xf>
    <xf numFmtId="0" fontId="5" fillId="0" borderId="2" xfId="3" applyFont="1" applyBorder="1" applyProtection="1">
      <alignment vertical="center"/>
      <protection locked="0"/>
    </xf>
    <xf numFmtId="0" fontId="5" fillId="0" borderId="22" xfId="3" applyFont="1" applyBorder="1" applyAlignment="1" applyProtection="1">
      <alignment horizontal="left" vertical="center" indent="2"/>
      <protection locked="0"/>
    </xf>
    <xf numFmtId="0" fontId="5" fillId="0" borderId="22" xfId="3" applyFont="1" applyBorder="1" applyAlignment="1" applyProtection="1">
      <alignment horizontal="center" vertical="center"/>
      <protection locked="0"/>
    </xf>
    <xf numFmtId="168" fontId="5" fillId="0" borderId="22" xfId="3" applyNumberFormat="1" applyFont="1" applyBorder="1" applyProtection="1">
      <alignment vertical="center"/>
      <protection locked="0"/>
    </xf>
    <xf numFmtId="164" fontId="5" fillId="0" borderId="22" xfId="3" applyNumberFormat="1" applyFont="1" applyBorder="1" applyProtection="1">
      <alignment vertical="center"/>
      <protection locked="0"/>
    </xf>
    <xf numFmtId="164" fontId="3" fillId="0" borderId="22" xfId="3" applyNumberFormat="1" applyBorder="1" applyProtection="1">
      <alignment vertical="center"/>
      <protection locked="0"/>
    </xf>
    <xf numFmtId="164" fontId="5" fillId="0" borderId="35" xfId="3" applyNumberFormat="1" applyFont="1" applyBorder="1" applyProtection="1">
      <alignment vertical="center"/>
      <protection locked="0"/>
    </xf>
    <xf numFmtId="172" fontId="5" fillId="3" borderId="21" xfId="5" applyNumberFormat="1" applyFont="1" applyFill="1" applyBorder="1" applyAlignment="1" applyProtection="1">
      <alignment vertical="center"/>
      <protection locked="0"/>
    </xf>
    <xf numFmtId="0" fontId="11" fillId="0" borderId="21" xfId="0" applyFont="1" applyBorder="1" applyAlignment="1" applyProtection="1">
      <alignment horizontal="left" vertical="center"/>
      <protection locked="0"/>
    </xf>
    <xf numFmtId="165" fontId="5" fillId="0" borderId="21" xfId="1" applyFont="1" applyBorder="1" applyAlignment="1" applyProtection="1">
      <alignment horizontal="center" vertical="center"/>
      <protection locked="0"/>
    </xf>
    <xf numFmtId="186" fontId="21" fillId="0" borderId="20" xfId="16" applyNumberFormat="1" applyFont="1" applyBorder="1" applyAlignment="1">
      <alignment horizontal="left" vertical="center"/>
    </xf>
    <xf numFmtId="175" fontId="9" fillId="4" borderId="20" xfId="16" applyNumberFormat="1" applyFont="1" applyFill="1" applyBorder="1" applyAlignment="1">
      <alignment horizontal="left" vertical="center"/>
    </xf>
    <xf numFmtId="165" fontId="7" fillId="7" borderId="5" xfId="1" applyFont="1" applyFill="1" applyBorder="1" applyAlignment="1" applyProtection="1">
      <alignment horizontal="center" vertical="center" wrapText="1"/>
      <protection locked="0"/>
    </xf>
    <xf numFmtId="165" fontId="7" fillId="8" borderId="5" xfId="1" applyFont="1" applyFill="1" applyBorder="1" applyAlignment="1" applyProtection="1">
      <alignment horizontal="center" vertical="center"/>
      <protection locked="0"/>
    </xf>
    <xf numFmtId="165" fontId="5" fillId="10" borderId="19" xfId="1" applyFont="1" applyFill="1" applyBorder="1" applyAlignment="1" applyProtection="1">
      <alignment horizontal="center" vertical="center"/>
      <protection locked="0"/>
    </xf>
    <xf numFmtId="165" fontId="3" fillId="0" borderId="21" xfId="1" applyFont="1" applyFill="1" applyBorder="1" applyAlignment="1" applyProtection="1">
      <alignment horizontal="center" vertical="center"/>
      <protection locked="0"/>
    </xf>
    <xf numFmtId="165" fontId="5" fillId="0" borderId="21" xfId="1" applyFont="1" applyFill="1" applyBorder="1" applyAlignment="1" applyProtection="1">
      <alignment horizontal="center" vertical="center"/>
      <protection locked="0"/>
    </xf>
    <xf numFmtId="165" fontId="3" fillId="0" borderId="21" xfId="1" applyFont="1" applyBorder="1" applyAlignment="1" applyProtection="1">
      <alignment horizontal="left" vertical="center"/>
      <protection locked="0"/>
    </xf>
    <xf numFmtId="165" fontId="5" fillId="0" borderId="21" xfId="1" applyFont="1" applyFill="1" applyBorder="1" applyAlignment="1" applyProtection="1">
      <alignment vertical="center"/>
      <protection locked="0"/>
    </xf>
    <xf numFmtId="165" fontId="3" fillId="0" borderId="17" xfId="1" applyFont="1" applyBorder="1" applyAlignment="1">
      <alignment vertical="center" wrapText="1"/>
    </xf>
    <xf numFmtId="0" fontId="3" fillId="3" borderId="83" xfId="16" applyFont="1" applyFill="1" applyBorder="1" applyAlignment="1">
      <alignment horizontal="left" vertical="center" wrapText="1"/>
    </xf>
    <xf numFmtId="0" fontId="5" fillId="3" borderId="21" xfId="0" applyFont="1" applyFill="1" applyBorder="1" applyAlignment="1" applyProtection="1">
      <alignment horizontal="left" vertical="center"/>
      <protection locked="0"/>
    </xf>
    <xf numFmtId="165" fontId="5" fillId="3" borderId="21" xfId="1" applyFont="1" applyFill="1" applyBorder="1" applyAlignment="1" applyProtection="1">
      <alignment horizontal="center" vertical="center"/>
      <protection locked="0"/>
    </xf>
    <xf numFmtId="0" fontId="3" fillId="0" borderId="83" xfId="16" applyFont="1" applyBorder="1" applyAlignment="1">
      <alignment horizontal="left" vertical="center" wrapText="1"/>
    </xf>
    <xf numFmtId="0" fontId="5" fillId="0" borderId="21" xfId="0" applyFont="1" applyBorder="1" applyAlignment="1" applyProtection="1">
      <alignment horizontal="left" vertical="center"/>
      <protection locked="0"/>
    </xf>
    <xf numFmtId="175" fontId="16" fillId="4" borderId="20" xfId="16" applyNumberFormat="1" applyFont="1" applyFill="1" applyBorder="1" applyAlignment="1">
      <alignment horizontal="left" vertical="center"/>
    </xf>
    <xf numFmtId="226" fontId="9" fillId="0" borderId="20" xfId="16" applyNumberFormat="1" applyFont="1" applyBorder="1" applyAlignment="1">
      <alignment horizontal="left" vertical="center"/>
    </xf>
    <xf numFmtId="234" fontId="5" fillId="0" borderId="21" xfId="0" applyNumberFormat="1" applyFont="1" applyBorder="1" applyAlignment="1" applyProtection="1">
      <alignment vertical="center"/>
      <protection locked="0"/>
    </xf>
    <xf numFmtId="174" fontId="9" fillId="4" borderId="20" xfId="16" applyNumberFormat="1" applyFont="1" applyFill="1" applyBorder="1" applyAlignment="1">
      <alignment horizontal="left" vertical="center"/>
    </xf>
    <xf numFmtId="0" fontId="9" fillId="0" borderId="21" xfId="0" applyFont="1" applyBorder="1" applyAlignment="1" applyProtection="1">
      <alignment horizontal="center" vertical="center"/>
      <protection locked="0"/>
    </xf>
    <xf numFmtId="165" fontId="9" fillId="0" borderId="21" xfId="1" applyFont="1" applyFill="1" applyBorder="1" applyAlignment="1" applyProtection="1">
      <alignment horizontal="center" vertical="center"/>
      <protection locked="0"/>
    </xf>
    <xf numFmtId="164" fontId="9" fillId="0" borderId="21" xfId="0" applyNumberFormat="1" applyFont="1" applyBorder="1" applyAlignment="1" applyProtection="1">
      <alignment vertical="center"/>
      <protection locked="0"/>
    </xf>
    <xf numFmtId="0" fontId="9" fillId="0" borderId="21" xfId="16" applyFont="1" applyBorder="1" applyAlignment="1">
      <alignment horizontal="left" vertical="center" wrapText="1"/>
    </xf>
    <xf numFmtId="232" fontId="5" fillId="0" borderId="21" xfId="0" applyNumberFormat="1" applyFont="1" applyBorder="1" applyAlignment="1" applyProtection="1">
      <alignment vertical="center"/>
      <protection locked="0"/>
    </xf>
    <xf numFmtId="171" fontId="9" fillId="0" borderId="21" xfId="20" applyNumberFormat="1" applyFont="1" applyBorder="1" applyAlignment="1" applyProtection="1">
      <alignment horizontal="center" vertical="center"/>
      <protection locked="0"/>
    </xf>
    <xf numFmtId="0" fontId="9" fillId="4" borderId="21" xfId="16" applyFont="1" applyFill="1" applyBorder="1" applyAlignment="1">
      <alignment horizontal="left" vertical="center"/>
    </xf>
    <xf numFmtId="0" fontId="19" fillId="0" borderId="81" xfId="16" applyFont="1" applyBorder="1" applyAlignment="1">
      <alignment horizontal="left" vertical="center" wrapText="1"/>
    </xf>
    <xf numFmtId="0" fontId="5" fillId="0" borderId="81" xfId="0" applyFont="1" applyBorder="1" applyAlignment="1" applyProtection="1">
      <alignment horizontal="center" vertical="center"/>
      <protection locked="0"/>
    </xf>
    <xf numFmtId="165" fontId="5" fillId="0" borderId="81" xfId="1" applyFont="1" applyBorder="1" applyAlignment="1" applyProtection="1">
      <alignment horizontal="center" vertical="center"/>
      <protection locked="0"/>
    </xf>
    <xf numFmtId="168" fontId="5" fillId="0" borderId="81" xfId="0" applyNumberFormat="1" applyFont="1" applyBorder="1" applyAlignment="1" applyProtection="1">
      <alignment vertical="center"/>
      <protection locked="0"/>
    </xf>
    <xf numFmtId="174" fontId="9" fillId="0" borderId="20" xfId="16" applyNumberFormat="1" applyFont="1" applyBorder="1" applyAlignment="1">
      <alignment horizontal="left" vertical="center"/>
    </xf>
    <xf numFmtId="0" fontId="9" fillId="0" borderId="21" xfId="16" applyFont="1" applyBorder="1" applyAlignment="1">
      <alignment horizontal="left" vertical="center"/>
    </xf>
    <xf numFmtId="175" fontId="16" fillId="0" borderId="20" xfId="16" applyNumberFormat="1" applyFont="1" applyBorder="1" applyAlignment="1">
      <alignment horizontal="left" vertical="center"/>
    </xf>
    <xf numFmtId="0" fontId="11" fillId="0" borderId="21" xfId="8" applyFont="1" applyBorder="1">
      <alignment vertical="center"/>
    </xf>
    <xf numFmtId="0" fontId="16" fillId="0" borderId="21" xfId="22" applyFont="1" applyBorder="1" applyAlignment="1" applyProtection="1">
      <alignment horizontal="left" vertical="center"/>
      <protection locked="0"/>
    </xf>
    <xf numFmtId="0" fontId="9" fillId="0" borderId="21" xfId="8" applyFont="1" applyBorder="1">
      <alignment vertical="center"/>
    </xf>
    <xf numFmtId="0" fontId="9" fillId="0" borderId="21" xfId="22" applyFont="1" applyBorder="1" applyAlignment="1" applyProtection="1">
      <alignment horizontal="left" vertical="center"/>
      <protection locked="0"/>
    </xf>
    <xf numFmtId="0" fontId="9" fillId="3" borderId="21" xfId="8" applyFont="1" applyFill="1" applyBorder="1">
      <alignment vertical="center"/>
    </xf>
    <xf numFmtId="0" fontId="9" fillId="4" borderId="21" xfId="8" applyFont="1" applyFill="1" applyBorder="1" applyAlignment="1">
      <alignment vertical="center" wrapText="1"/>
    </xf>
    <xf numFmtId="0" fontId="9" fillId="3" borderId="21" xfId="22" applyFont="1" applyFill="1" applyBorder="1" applyAlignment="1" applyProtection="1">
      <alignment horizontal="left" vertical="center"/>
      <protection locked="0"/>
    </xf>
    <xf numFmtId="0" fontId="9" fillId="3" borderId="21" xfId="0" applyFont="1" applyFill="1" applyBorder="1" applyAlignment="1" applyProtection="1">
      <alignment horizontal="center" vertical="center"/>
      <protection locked="0"/>
    </xf>
    <xf numFmtId="171" fontId="9" fillId="3" borderId="21" xfId="20" applyNumberFormat="1" applyFont="1" applyFill="1" applyBorder="1" applyAlignment="1" applyProtection="1">
      <alignment horizontal="center" vertical="center"/>
      <protection locked="0"/>
    </xf>
    <xf numFmtId="168" fontId="5" fillId="3" borderId="21" xfId="0" applyNumberFormat="1" applyFont="1" applyFill="1" applyBorder="1" applyAlignment="1" applyProtection="1">
      <alignment vertical="center"/>
      <protection locked="0"/>
    </xf>
    <xf numFmtId="164" fontId="22" fillId="12" borderId="21" xfId="0" applyNumberFormat="1" applyFont="1" applyFill="1" applyBorder="1" applyAlignment="1" applyProtection="1">
      <alignment vertical="center"/>
      <protection locked="0"/>
    </xf>
    <xf numFmtId="0" fontId="19" fillId="0" borderId="21" xfId="16" applyFont="1" applyBorder="1" applyAlignment="1">
      <alignment horizontal="left" vertical="center" wrapText="1"/>
    </xf>
    <xf numFmtId="0" fontId="3" fillId="0" borderId="21" xfId="23" applyFont="1" applyBorder="1" applyAlignment="1" applyProtection="1">
      <alignment horizontal="left" vertical="center"/>
      <protection locked="0"/>
    </xf>
    <xf numFmtId="164" fontId="11" fillId="0" borderId="21" xfId="0" applyNumberFormat="1" applyFont="1" applyBorder="1" applyAlignment="1" applyProtection="1">
      <alignment vertical="center"/>
      <protection locked="0"/>
    </xf>
    <xf numFmtId="170" fontId="37" fillId="0" borderId="21" xfId="0" applyNumberFormat="1" applyFont="1" applyBorder="1" applyAlignment="1" applyProtection="1">
      <alignment vertical="center"/>
      <protection locked="0"/>
    </xf>
    <xf numFmtId="0" fontId="9" fillId="0" borderId="21" xfId="22" applyFont="1" applyBorder="1" applyAlignment="1" applyProtection="1">
      <alignment horizontal="left" vertical="center" wrapText="1"/>
      <protection locked="0"/>
    </xf>
    <xf numFmtId="0" fontId="16" fillId="0" borderId="21" xfId="16" applyFont="1" applyBorder="1" applyAlignment="1">
      <alignment horizontal="left" vertical="center"/>
    </xf>
    <xf numFmtId="174" fontId="3" fillId="3" borderId="20" xfId="16" quotePrefix="1" applyNumberFormat="1" applyFont="1" applyFill="1" applyBorder="1" applyAlignment="1">
      <alignment horizontal="left" vertical="center"/>
    </xf>
    <xf numFmtId="0" fontId="16" fillId="3" borderId="21" xfId="16" applyFont="1" applyFill="1" applyBorder="1" applyAlignment="1">
      <alignment horizontal="left" vertical="center"/>
    </xf>
    <xf numFmtId="164" fontId="9" fillId="3" borderId="21" xfId="0" applyNumberFormat="1" applyFont="1" applyFill="1" applyBorder="1" applyAlignment="1" applyProtection="1">
      <alignment vertical="center"/>
      <protection locked="0"/>
    </xf>
    <xf numFmtId="170" fontId="5" fillId="3" borderId="21" xfId="0" applyNumberFormat="1" applyFont="1" applyFill="1" applyBorder="1" applyAlignment="1" applyProtection="1">
      <alignment vertical="center"/>
      <protection locked="0"/>
    </xf>
    <xf numFmtId="0" fontId="9" fillId="3" borderId="21" xfId="16" applyFont="1" applyFill="1" applyBorder="1" applyAlignment="1">
      <alignment horizontal="left" vertical="center"/>
    </xf>
    <xf numFmtId="0" fontId="21" fillId="0" borderId="21" xfId="16" applyFont="1" applyBorder="1" applyAlignment="1">
      <alignment horizontal="left" vertical="center" wrapText="1"/>
    </xf>
    <xf numFmtId="0" fontId="104" fillId="0" borderId="31" xfId="23" applyFont="1" applyBorder="1" applyAlignment="1" applyProtection="1">
      <alignment horizontal="left" vertical="center" wrapText="1"/>
      <protection locked="0"/>
    </xf>
    <xf numFmtId="0" fontId="11" fillId="0" borderId="21" xfId="16" applyFont="1" applyBorder="1" applyAlignment="1">
      <alignment horizontal="left" vertical="center" wrapText="1"/>
    </xf>
    <xf numFmtId="227" fontId="5" fillId="0" borderId="21" xfId="0" applyNumberFormat="1" applyFont="1" applyBorder="1" applyAlignment="1" applyProtection="1">
      <alignment vertical="center"/>
      <protection locked="0"/>
    </xf>
    <xf numFmtId="235" fontId="5" fillId="0" borderId="21" xfId="5" applyNumberFormat="1" applyFont="1" applyBorder="1" applyAlignment="1" applyProtection="1">
      <alignment vertical="center"/>
      <protection locked="0"/>
    </xf>
    <xf numFmtId="175" fontId="9" fillId="3" borderId="20" xfId="16" quotePrefix="1" applyNumberFormat="1" applyFont="1" applyFill="1" applyBorder="1" applyAlignment="1">
      <alignment horizontal="left" vertical="center"/>
    </xf>
    <xf numFmtId="0" fontId="104" fillId="3" borderId="21" xfId="23" applyFont="1" applyFill="1" applyBorder="1" applyAlignment="1" applyProtection="1">
      <alignment horizontal="left" vertical="center"/>
      <protection locked="0"/>
    </xf>
    <xf numFmtId="236" fontId="5" fillId="0" borderId="21" xfId="0" applyNumberFormat="1" applyFont="1" applyBorder="1" applyAlignment="1" applyProtection="1">
      <alignment vertical="center"/>
      <protection locked="0"/>
    </xf>
    <xf numFmtId="237" fontId="5" fillId="0" borderId="21" xfId="0" applyNumberFormat="1" applyFont="1" applyBorder="1" applyAlignment="1" applyProtection="1">
      <alignment vertical="center"/>
      <protection locked="0"/>
    </xf>
    <xf numFmtId="227" fontId="5" fillId="0" borderId="21" xfId="5" applyNumberFormat="1" applyFont="1" applyBorder="1" applyAlignment="1" applyProtection="1">
      <alignment vertical="center"/>
      <protection locked="0"/>
    </xf>
    <xf numFmtId="238" fontId="5" fillId="0" borderId="21" xfId="5" applyNumberFormat="1" applyFont="1" applyBorder="1" applyAlignment="1" applyProtection="1">
      <alignment vertical="center"/>
      <protection locked="0"/>
    </xf>
    <xf numFmtId="233" fontId="5" fillId="0" borderId="21" xfId="1" applyNumberFormat="1" applyFont="1" applyBorder="1" applyAlignment="1" applyProtection="1">
      <alignment horizontal="center" vertical="center"/>
      <protection locked="0"/>
    </xf>
    <xf numFmtId="0" fontId="110" fillId="0" borderId="21" xfId="23" applyFont="1" applyBorder="1" applyAlignment="1" applyProtection="1">
      <alignment horizontal="left" vertical="center"/>
      <protection locked="0"/>
    </xf>
    <xf numFmtId="191" fontId="3" fillId="0" borderId="0" xfId="3" applyNumberFormat="1">
      <alignment vertical="center"/>
    </xf>
    <xf numFmtId="179" fontId="34" fillId="0" borderId="0" xfId="0" applyNumberFormat="1" applyFont="1"/>
    <xf numFmtId="191" fontId="3" fillId="0" borderId="0" xfId="3" applyNumberFormat="1" applyAlignment="1" applyProtection="1">
      <alignment horizontal="center" vertical="center"/>
      <protection locked="0"/>
    </xf>
    <xf numFmtId="191" fontId="7" fillId="7" borderId="17" xfId="1" applyNumberFormat="1" applyFont="1" applyFill="1" applyBorder="1" applyAlignment="1" applyProtection="1">
      <alignment horizontal="center" vertical="center" wrapText="1"/>
      <protection locked="0"/>
    </xf>
    <xf numFmtId="191" fontId="7" fillId="8" borderId="55" xfId="3" applyNumberFormat="1" applyFont="1" applyFill="1" applyBorder="1" applyAlignment="1" applyProtection="1">
      <alignment horizontal="right" vertical="center"/>
      <protection locked="0"/>
    </xf>
    <xf numFmtId="0" fontId="111" fillId="0" borderId="55" xfId="0" applyFont="1" applyBorder="1"/>
    <xf numFmtId="49" fontId="16" fillId="0" borderId="55" xfId="0" applyNumberFormat="1" applyFont="1" applyBorder="1"/>
    <xf numFmtId="179" fontId="111" fillId="0" borderId="55" xfId="0" applyNumberFormat="1" applyFont="1" applyBorder="1"/>
    <xf numFmtId="168" fontId="0" fillId="0" borderId="0" xfId="0" applyNumberFormat="1"/>
    <xf numFmtId="49" fontId="9" fillId="0" borderId="55" xfId="0" applyNumberFormat="1" applyFont="1" applyBorder="1" applyAlignment="1">
      <alignment wrapText="1"/>
    </xf>
    <xf numFmtId="49" fontId="16" fillId="0" borderId="55" xfId="0" applyNumberFormat="1" applyFont="1" applyBorder="1" applyAlignment="1">
      <alignment wrapText="1"/>
    </xf>
    <xf numFmtId="165" fontId="106" fillId="0" borderId="55" xfId="1" applyFont="1" applyFill="1" applyBorder="1" applyAlignment="1">
      <alignment horizontal="center" vertical="center"/>
    </xf>
    <xf numFmtId="165" fontId="9" fillId="0" borderId="55" xfId="1" applyFont="1" applyFill="1" applyBorder="1" applyAlignment="1">
      <alignment horizontal="center" vertical="center"/>
    </xf>
    <xf numFmtId="230" fontId="9" fillId="0" borderId="55" xfId="0" applyNumberFormat="1" applyFont="1" applyBorder="1"/>
    <xf numFmtId="49" fontId="106" fillId="0" borderId="55" xfId="0" applyNumberFormat="1" applyFont="1" applyBorder="1" applyAlignment="1">
      <alignment vertical="center"/>
    </xf>
    <xf numFmtId="168" fontId="9" fillId="0" borderId="55" xfId="0" applyNumberFormat="1" applyFont="1" applyBorder="1" applyAlignment="1">
      <alignment vertical="center"/>
    </xf>
    <xf numFmtId="230" fontId="106" fillId="0" borderId="55" xfId="1" applyNumberFormat="1" applyFont="1" applyFill="1" applyBorder="1" applyAlignment="1">
      <alignment vertical="center"/>
    </xf>
    <xf numFmtId="179" fontId="106" fillId="0" borderId="55" xfId="1" applyNumberFormat="1" applyFont="1" applyFill="1" applyBorder="1" applyAlignment="1">
      <alignment vertical="center"/>
    </xf>
    <xf numFmtId="2" fontId="9" fillId="0" borderId="83" xfId="0" applyNumberFormat="1" applyFont="1" applyBorder="1" applyAlignment="1">
      <alignment horizontal="left" vertical="center" indent="1"/>
    </xf>
    <xf numFmtId="0" fontId="21" fillId="0" borderId="80" xfId="0" applyFont="1" applyBorder="1" applyAlignment="1">
      <alignment horizontal="left" vertical="center" indent="1"/>
    </xf>
    <xf numFmtId="0" fontId="3" fillId="0" borderId="55" xfId="0" applyFont="1" applyBorder="1" applyAlignment="1">
      <alignment horizontal="left" vertical="center" wrapText="1" indent="2"/>
    </xf>
    <xf numFmtId="191" fontId="9" fillId="0" borderId="55" xfId="58385" applyNumberFormat="1" applyFont="1" applyFill="1" applyBorder="1" applyAlignment="1">
      <alignment vertical="center"/>
    </xf>
    <xf numFmtId="165" fontId="9" fillId="0" borderId="55" xfId="1" applyFont="1" applyFill="1" applyBorder="1" applyAlignment="1">
      <alignment vertical="center"/>
    </xf>
    <xf numFmtId="0" fontId="5" fillId="3" borderId="21" xfId="0" applyFont="1" applyFill="1" applyBorder="1" applyAlignment="1" applyProtection="1">
      <alignment horizontal="center" vertical="center"/>
      <protection locked="0"/>
    </xf>
    <xf numFmtId="226" fontId="9" fillId="3" borderId="20" xfId="16" applyNumberFormat="1" applyFont="1" applyFill="1" applyBorder="1" applyAlignment="1">
      <alignment horizontal="left" vertical="center"/>
    </xf>
    <xf numFmtId="168" fontId="9" fillId="3" borderId="21" xfId="0" applyNumberFormat="1" applyFont="1" applyFill="1" applyBorder="1" applyAlignment="1" applyProtection="1">
      <alignment vertical="center"/>
      <protection locked="0"/>
    </xf>
    <xf numFmtId="229" fontId="3" fillId="0" borderId="21" xfId="3" applyNumberFormat="1" applyBorder="1" applyProtection="1">
      <alignment vertical="center"/>
      <protection locked="0"/>
    </xf>
    <xf numFmtId="229" fontId="3" fillId="0" borderId="0" xfId="3" applyNumberFormat="1">
      <alignment vertical="center"/>
    </xf>
    <xf numFmtId="229" fontId="7" fillId="7" borderId="5" xfId="3" applyNumberFormat="1" applyFont="1" applyFill="1" applyBorder="1" applyAlignment="1" applyProtection="1">
      <alignment horizontal="center" vertical="center"/>
      <protection locked="0"/>
    </xf>
    <xf numFmtId="229" fontId="7" fillId="8" borderId="5" xfId="3" applyNumberFormat="1" applyFont="1" applyFill="1" applyBorder="1" applyProtection="1">
      <alignment vertical="center"/>
      <protection locked="0"/>
    </xf>
    <xf numFmtId="229" fontId="5" fillId="10" borderId="19" xfId="0" applyNumberFormat="1" applyFont="1" applyFill="1" applyBorder="1" applyAlignment="1" applyProtection="1">
      <alignment vertical="center"/>
      <protection locked="0"/>
    </xf>
    <xf numFmtId="229" fontId="5" fillId="0" borderId="21" xfId="0" applyNumberFormat="1" applyFont="1" applyBorder="1" applyAlignment="1" applyProtection="1">
      <alignment vertical="center"/>
      <protection locked="0"/>
    </xf>
    <xf numFmtId="229" fontId="22" fillId="0" borderId="21" xfId="0" applyNumberFormat="1" applyFont="1" applyBorder="1" applyAlignment="1" applyProtection="1">
      <alignment vertical="center"/>
      <protection locked="0"/>
    </xf>
    <xf numFmtId="229" fontId="5" fillId="10" borderId="21" xfId="0" applyNumberFormat="1" applyFont="1" applyFill="1" applyBorder="1" applyAlignment="1" applyProtection="1">
      <alignment vertical="center"/>
      <protection locked="0"/>
    </xf>
    <xf numFmtId="229" fontId="9" fillId="0" borderId="21" xfId="0" applyNumberFormat="1" applyFont="1" applyBorder="1" applyAlignment="1" applyProtection="1">
      <alignment vertical="center"/>
      <protection locked="0"/>
    </xf>
    <xf numFmtId="229" fontId="15" fillId="7" borderId="4" xfId="3" applyNumberFormat="1" applyFont="1" applyFill="1" applyBorder="1">
      <alignment vertical="center"/>
    </xf>
    <xf numFmtId="241" fontId="5" fillId="0" borderId="21" xfId="0" applyNumberFormat="1" applyFont="1" applyBorder="1" applyAlignment="1" applyProtection="1">
      <alignment vertical="center"/>
      <protection locked="0"/>
    </xf>
    <xf numFmtId="242" fontId="5" fillId="0" borderId="21" xfId="0" applyNumberFormat="1" applyFont="1" applyBorder="1" applyAlignment="1" applyProtection="1">
      <alignment vertical="center"/>
      <protection locked="0"/>
    </xf>
    <xf numFmtId="0" fontId="3" fillId="0" borderId="32" xfId="23" applyFont="1" applyBorder="1" applyAlignment="1" applyProtection="1">
      <alignment horizontal="left" vertical="center" wrapText="1"/>
      <protection locked="0"/>
    </xf>
    <xf numFmtId="0" fontId="11" fillId="0" borderId="21" xfId="22" applyFont="1" applyBorder="1" applyAlignment="1" applyProtection="1">
      <alignment horizontal="left" vertical="center" wrapText="1"/>
      <protection locked="0"/>
    </xf>
    <xf numFmtId="0" fontId="3" fillId="3" borderId="0" xfId="4" applyFill="1" applyAlignment="1">
      <alignment horizontal="center" vertical="center"/>
    </xf>
    <xf numFmtId="0" fontId="3" fillId="3" borderId="21" xfId="16" applyFont="1" applyFill="1" applyBorder="1" applyAlignment="1">
      <alignment horizontal="left" vertical="center"/>
    </xf>
    <xf numFmtId="164" fontId="3" fillId="3" borderId="0" xfId="4" applyNumberFormat="1" applyFill="1">
      <alignment vertical="center"/>
    </xf>
    <xf numFmtId="0" fontId="3" fillId="3" borderId="0" xfId="4" applyFill="1">
      <alignment vertical="center"/>
    </xf>
    <xf numFmtId="227" fontId="9" fillId="0" borderId="21" xfId="0" applyNumberFormat="1" applyFont="1" applyBorder="1" applyAlignment="1" applyProtection="1">
      <alignment vertical="center"/>
      <protection locked="0"/>
    </xf>
    <xf numFmtId="186" fontId="21" fillId="10" borderId="20" xfId="16" quotePrefix="1" applyNumberFormat="1" applyFont="1" applyFill="1" applyBorder="1" applyAlignment="1">
      <alignment horizontal="left" vertical="center"/>
    </xf>
    <xf numFmtId="174" fontId="19" fillId="0" borderId="20" xfId="16" applyNumberFormat="1" applyFont="1" applyBorder="1" applyAlignment="1">
      <alignment horizontal="left" vertical="center"/>
    </xf>
    <xf numFmtId="175" fontId="16" fillId="3" borderId="20" xfId="16" applyNumberFormat="1" applyFont="1" applyFill="1" applyBorder="1" applyAlignment="1">
      <alignment horizontal="left" vertical="center"/>
    </xf>
    <xf numFmtId="0" fontId="16" fillId="3" borderId="21" xfId="22" applyFont="1" applyFill="1" applyBorder="1" applyAlignment="1" applyProtection="1">
      <alignment horizontal="left" vertical="center"/>
      <protection locked="0"/>
    </xf>
    <xf numFmtId="164" fontId="21" fillId="10" borderId="9" xfId="3" applyNumberFormat="1" applyFont="1" applyFill="1" applyBorder="1" applyProtection="1">
      <alignment vertical="center"/>
      <protection locked="0"/>
    </xf>
    <xf numFmtId="164" fontId="3" fillId="0" borderId="3" xfId="4" applyNumberFormat="1" applyBorder="1">
      <alignment vertical="center"/>
    </xf>
    <xf numFmtId="164" fontId="21" fillId="10" borderId="3" xfId="3" applyNumberFormat="1" applyFont="1" applyFill="1" applyBorder="1" applyProtection="1">
      <alignment vertical="center"/>
      <protection locked="0"/>
    </xf>
    <xf numFmtId="0" fontId="3" fillId="0" borderId="3" xfId="4" applyBorder="1">
      <alignment vertical="center"/>
    </xf>
    <xf numFmtId="168" fontId="7" fillId="7" borderId="85" xfId="3" applyNumberFormat="1" applyFont="1" applyFill="1" applyBorder="1" applyAlignment="1" applyProtection="1">
      <alignment horizontal="center" vertical="center"/>
      <protection locked="0"/>
    </xf>
    <xf numFmtId="168" fontId="7" fillId="7" borderId="82" xfId="3" applyNumberFormat="1" applyFont="1" applyFill="1" applyBorder="1" applyAlignment="1" applyProtection="1">
      <alignment horizontal="center" vertical="center" wrapText="1"/>
      <protection locked="0"/>
    </xf>
    <xf numFmtId="168" fontId="7" fillId="7" borderId="82" xfId="3" applyNumberFormat="1" applyFont="1" applyFill="1" applyBorder="1" applyAlignment="1" applyProtection="1">
      <alignment horizontal="center" vertical="center"/>
      <protection locked="0"/>
    </xf>
    <xf numFmtId="0" fontId="3" fillId="0" borderId="85" xfId="4" applyBorder="1">
      <alignment vertical="center"/>
    </xf>
    <xf numFmtId="0" fontId="3" fillId="0" borderId="82" xfId="4" applyBorder="1">
      <alignment vertical="center"/>
    </xf>
    <xf numFmtId="0" fontId="3" fillId="0" borderId="86" xfId="4" applyBorder="1">
      <alignment vertical="center"/>
    </xf>
    <xf numFmtId="0" fontId="3" fillId="0" borderId="23" xfId="4" applyBorder="1">
      <alignment vertical="center"/>
    </xf>
    <xf numFmtId="0" fontId="3" fillId="0" borderId="75" xfId="4" applyBorder="1">
      <alignment vertical="center"/>
    </xf>
    <xf numFmtId="0" fontId="3" fillId="0" borderId="16" xfId="4" applyBorder="1">
      <alignment vertical="center"/>
    </xf>
    <xf numFmtId="168" fontId="7" fillId="7" borderId="86" xfId="3" applyNumberFormat="1" applyFont="1" applyFill="1" applyBorder="1" applyAlignment="1" applyProtection="1">
      <alignment horizontal="center" vertical="center" wrapText="1"/>
      <protection locked="0"/>
    </xf>
    <xf numFmtId="165" fontId="3" fillId="0" borderId="23" xfId="4" applyNumberFormat="1" applyBorder="1">
      <alignment vertical="center"/>
    </xf>
    <xf numFmtId="164" fontId="3" fillId="0" borderId="24" xfId="4" applyNumberFormat="1" applyBorder="1">
      <alignment vertical="center"/>
    </xf>
    <xf numFmtId="2" fontId="9" fillId="0" borderId="55" xfId="0" applyNumberFormat="1" applyFont="1" applyBorder="1" applyAlignment="1">
      <alignment horizontal="left" vertical="center" indent="1"/>
    </xf>
    <xf numFmtId="0" fontId="12" fillId="0" borderId="55" xfId="0" applyFont="1" applyBorder="1" applyAlignment="1">
      <alignment horizontal="center" vertical="center"/>
    </xf>
    <xf numFmtId="0" fontId="12" fillId="0" borderId="55" xfId="0" applyFont="1" applyBorder="1" applyAlignment="1">
      <alignment horizontal="center"/>
    </xf>
    <xf numFmtId="179" fontId="12" fillId="0" borderId="55" xfId="0" applyNumberFormat="1" applyFont="1" applyBorder="1"/>
    <xf numFmtId="230" fontId="12" fillId="0" borderId="55" xfId="0" applyNumberFormat="1" applyFont="1" applyBorder="1"/>
    <xf numFmtId="179" fontId="112" fillId="0" borderId="55" xfId="0" applyNumberFormat="1" applyFont="1" applyBorder="1"/>
    <xf numFmtId="49" fontId="16" fillId="0" borderId="55" xfId="0" applyNumberFormat="1" applyFont="1" applyBorder="1" applyAlignment="1">
      <alignment vertical="center" wrapText="1"/>
    </xf>
    <xf numFmtId="165" fontId="108" fillId="0" borderId="55" xfId="1" applyFont="1" applyFill="1" applyBorder="1" applyAlignment="1">
      <alignment horizontal="center" vertical="center"/>
    </xf>
    <xf numFmtId="165" fontId="16" fillId="0" borderId="55" xfId="1" applyFont="1" applyFill="1" applyBorder="1" applyAlignment="1">
      <alignment horizontal="center" vertical="center"/>
    </xf>
    <xf numFmtId="179" fontId="12" fillId="0" borderId="55" xfId="0" applyNumberFormat="1" applyFont="1" applyBorder="1" applyAlignment="1">
      <alignment vertical="center"/>
    </xf>
    <xf numFmtId="230" fontId="16" fillId="0" borderId="55" xfId="0" applyNumberFormat="1" applyFont="1" applyBorder="1" applyAlignment="1">
      <alignment vertical="center"/>
    </xf>
    <xf numFmtId="179" fontId="16" fillId="0" borderId="55" xfId="1" applyNumberFormat="1" applyFont="1" applyFill="1" applyBorder="1" applyAlignment="1">
      <alignment vertical="center"/>
    </xf>
    <xf numFmtId="230" fontId="16" fillId="0" borderId="55" xfId="1" applyNumberFormat="1" applyFont="1" applyFill="1" applyBorder="1" applyAlignment="1">
      <alignment vertical="center"/>
    </xf>
    <xf numFmtId="230" fontId="12" fillId="0" borderId="0" xfId="0" applyNumberFormat="1" applyFont="1" applyAlignment="1">
      <alignment vertical="center"/>
    </xf>
    <xf numFmtId="179" fontId="9" fillId="0" borderId="55" xfId="0" applyNumberFormat="1" applyFont="1" applyBorder="1"/>
    <xf numFmtId="179" fontId="9" fillId="0" borderId="55" xfId="1" applyNumberFormat="1" applyFont="1" applyBorder="1"/>
    <xf numFmtId="230" fontId="9" fillId="0" borderId="55" xfId="1" applyNumberFormat="1" applyFont="1" applyBorder="1"/>
    <xf numFmtId="0" fontId="3" fillId="3" borderId="21" xfId="22" applyFont="1" applyFill="1" applyBorder="1" applyAlignment="1" applyProtection="1">
      <alignment horizontal="left" vertical="center"/>
      <protection locked="0"/>
    </xf>
    <xf numFmtId="0" fontId="4" fillId="6" borderId="0" xfId="3" applyFont="1" applyFill="1" applyAlignment="1">
      <alignment horizontal="center" vertical="center" wrapText="1" readingOrder="1"/>
    </xf>
    <xf numFmtId="164" fontId="21" fillId="0" borderId="0" xfId="3" applyNumberFormat="1" applyFont="1" applyProtection="1">
      <alignment vertical="center"/>
      <protection locked="0"/>
    </xf>
    <xf numFmtId="164" fontId="21" fillId="10" borderId="0" xfId="3" applyNumberFormat="1" applyFont="1" applyFill="1" applyProtection="1">
      <alignment vertical="center"/>
      <protection locked="0"/>
    </xf>
    <xf numFmtId="164" fontId="15" fillId="7" borderId="0" xfId="3" applyNumberFormat="1" applyFont="1" applyFill="1">
      <alignment vertical="center"/>
    </xf>
    <xf numFmtId="168" fontId="7" fillId="7" borderId="76" xfId="3" applyNumberFormat="1" applyFont="1" applyFill="1" applyBorder="1" applyAlignment="1" applyProtection="1">
      <alignment horizontal="center" vertical="center"/>
      <protection locked="0"/>
    </xf>
    <xf numFmtId="227" fontId="21" fillId="10" borderId="9" xfId="3" applyNumberFormat="1" applyFont="1" applyFill="1" applyBorder="1" applyProtection="1">
      <alignment vertical="center"/>
      <protection locked="0"/>
    </xf>
    <xf numFmtId="164" fontId="21" fillId="0" borderId="3" xfId="3" applyNumberFormat="1" applyFont="1" applyBorder="1" applyProtection="1">
      <alignment vertical="center"/>
      <protection locked="0"/>
    </xf>
    <xf numFmtId="227" fontId="21" fillId="10" borderId="3" xfId="3" applyNumberFormat="1" applyFont="1" applyFill="1" applyBorder="1" applyProtection="1">
      <alignment vertical="center"/>
      <protection locked="0"/>
    </xf>
    <xf numFmtId="227" fontId="21" fillId="0" borderId="3" xfId="3" applyNumberFormat="1" applyFont="1" applyBorder="1" applyProtection="1">
      <alignment vertical="center"/>
      <protection locked="0"/>
    </xf>
    <xf numFmtId="229" fontId="7" fillId="7" borderId="87" xfId="3" applyNumberFormat="1" applyFont="1" applyFill="1" applyBorder="1" applyAlignment="1" applyProtection="1">
      <alignment horizontal="center" vertical="center"/>
      <protection locked="0"/>
    </xf>
    <xf numFmtId="168" fontId="7" fillId="7" borderId="88" xfId="3" applyNumberFormat="1" applyFont="1" applyFill="1" applyBorder="1" applyAlignment="1" applyProtection="1">
      <alignment horizontal="center" vertical="center" wrapText="1"/>
      <protection locked="0"/>
    </xf>
    <xf numFmtId="168" fontId="7" fillId="7" borderId="88" xfId="3" applyNumberFormat="1" applyFont="1" applyFill="1" applyBorder="1" applyAlignment="1" applyProtection="1">
      <alignment horizontal="center" vertical="center"/>
      <protection locked="0"/>
    </xf>
    <xf numFmtId="168" fontId="7" fillId="7" borderId="89" xfId="3" applyNumberFormat="1" applyFont="1" applyFill="1" applyBorder="1" applyAlignment="1" applyProtection="1">
      <alignment horizontal="center" vertical="center" wrapText="1"/>
      <protection locked="0"/>
    </xf>
    <xf numFmtId="168" fontId="7" fillId="8" borderId="24" xfId="3" applyNumberFormat="1" applyFont="1" applyFill="1" applyBorder="1" applyProtection="1">
      <alignment vertical="center"/>
      <protection locked="0"/>
    </xf>
    <xf numFmtId="168" fontId="7" fillId="8" borderId="23" xfId="3" applyNumberFormat="1" applyFont="1" applyFill="1" applyBorder="1" applyProtection="1">
      <alignment vertical="center"/>
      <protection locked="0"/>
    </xf>
    <xf numFmtId="227" fontId="21" fillId="10" borderId="24" xfId="3" applyNumberFormat="1" applyFont="1" applyFill="1" applyBorder="1" applyProtection="1">
      <alignment vertical="center"/>
      <protection locked="0"/>
    </xf>
    <xf numFmtId="227" fontId="21" fillId="10" borderId="23" xfId="3" applyNumberFormat="1" applyFont="1" applyFill="1" applyBorder="1" applyProtection="1">
      <alignment vertical="center"/>
      <protection locked="0"/>
    </xf>
    <xf numFmtId="164" fontId="21" fillId="0" borderId="24" xfId="3" applyNumberFormat="1" applyFont="1" applyBorder="1" applyProtection="1">
      <alignment vertical="center"/>
      <protection locked="0"/>
    </xf>
    <xf numFmtId="164" fontId="21" fillId="0" borderId="23" xfId="3" applyNumberFormat="1" applyFont="1" applyBorder="1" applyProtection="1">
      <alignment vertical="center"/>
      <protection locked="0"/>
    </xf>
    <xf numFmtId="164" fontId="3" fillId="0" borderId="23" xfId="4" applyNumberFormat="1" applyBorder="1">
      <alignment vertical="center"/>
    </xf>
    <xf numFmtId="227" fontId="21" fillId="0" borderId="24" xfId="3" applyNumberFormat="1" applyFont="1" applyBorder="1" applyProtection="1">
      <alignment vertical="center"/>
      <protection locked="0"/>
    </xf>
    <xf numFmtId="227" fontId="21" fillId="0" borderId="23" xfId="3" applyNumberFormat="1" applyFont="1" applyBorder="1" applyProtection="1">
      <alignment vertical="center"/>
      <protection locked="0"/>
    </xf>
    <xf numFmtId="164" fontId="21" fillId="10" borderId="24" xfId="3" applyNumberFormat="1" applyFont="1" applyFill="1" applyBorder="1" applyProtection="1">
      <alignment vertical="center"/>
      <protection locked="0"/>
    </xf>
    <xf numFmtId="164" fontId="21" fillId="10" borderId="23" xfId="3" applyNumberFormat="1" applyFont="1" applyFill="1" applyBorder="1" applyProtection="1">
      <alignment vertical="center"/>
      <protection locked="0"/>
    </xf>
    <xf numFmtId="164" fontId="19" fillId="0" borderId="0" xfId="3" applyNumberFormat="1" applyFont="1" applyProtection="1">
      <alignment vertical="center"/>
      <protection locked="0"/>
    </xf>
    <xf numFmtId="164" fontId="21" fillId="3" borderId="0" xfId="3" applyNumberFormat="1" applyFont="1" applyFill="1" applyProtection="1">
      <alignment vertical="center"/>
      <protection locked="0"/>
    </xf>
    <xf numFmtId="164" fontId="19" fillId="0" borderId="3" xfId="3" applyNumberFormat="1" applyFont="1" applyBorder="1" applyProtection="1">
      <alignment vertical="center"/>
      <protection locked="0"/>
    </xf>
    <xf numFmtId="164" fontId="3" fillId="3" borderId="3" xfId="4" applyNumberFormat="1" applyFill="1" applyBorder="1">
      <alignment vertical="center"/>
    </xf>
    <xf numFmtId="0" fontId="11" fillId="0" borderId="80" xfId="22" applyFont="1" applyBorder="1" applyAlignment="1" applyProtection="1">
      <alignment horizontal="left" vertical="center"/>
      <protection locked="0"/>
    </xf>
    <xf numFmtId="164" fontId="21" fillId="3" borderId="3" xfId="3" applyNumberFormat="1" applyFont="1" applyFill="1" applyBorder="1" applyProtection="1">
      <alignment vertical="center"/>
      <protection locked="0"/>
    </xf>
    <xf numFmtId="172" fontId="5" fillId="0" borderId="90" xfId="5" applyNumberFormat="1" applyFont="1" applyBorder="1" applyAlignment="1" applyProtection="1">
      <alignment vertical="center"/>
      <protection locked="0"/>
    </xf>
    <xf numFmtId="164" fontId="19" fillId="0" borderId="24" xfId="3" applyNumberFormat="1" applyFont="1" applyBorder="1" applyProtection="1">
      <alignment vertical="center"/>
      <protection locked="0"/>
    </xf>
    <xf numFmtId="164" fontId="19" fillId="0" borderId="23" xfId="3" applyNumberFormat="1" applyFont="1" applyBorder="1" applyProtection="1">
      <alignment vertical="center"/>
      <protection locked="0"/>
    </xf>
    <xf numFmtId="164" fontId="3" fillId="3" borderId="24" xfId="4" applyNumberFormat="1" applyFill="1" applyBorder="1">
      <alignment vertical="center"/>
    </xf>
    <xf numFmtId="164" fontId="3" fillId="3" borderId="23" xfId="4" applyNumberFormat="1" applyFill="1" applyBorder="1">
      <alignment vertical="center"/>
    </xf>
    <xf numFmtId="0" fontId="11" fillId="0" borderId="83" xfId="22" applyFont="1" applyBorder="1" applyAlignment="1" applyProtection="1">
      <alignment horizontal="left" vertical="center"/>
      <protection locked="0"/>
    </xf>
    <xf numFmtId="0" fontId="11" fillId="0" borderId="90" xfId="22" applyFont="1" applyBorder="1" applyAlignment="1" applyProtection="1">
      <alignment horizontal="left" vertical="center"/>
      <protection locked="0"/>
    </xf>
    <xf numFmtId="164" fontId="21" fillId="3" borderId="24" xfId="3" applyNumberFormat="1" applyFont="1" applyFill="1" applyBorder="1" applyProtection="1">
      <alignment vertical="center"/>
      <protection locked="0"/>
    </xf>
    <xf numFmtId="164" fontId="21" fillId="3" borderId="23" xfId="3" applyNumberFormat="1" applyFont="1" applyFill="1" applyBorder="1" applyProtection="1">
      <alignment vertical="center"/>
      <protection locked="0"/>
    </xf>
    <xf numFmtId="164" fontId="9" fillId="0" borderId="24" xfId="3" applyNumberFormat="1" applyFont="1" applyBorder="1" applyProtection="1">
      <alignment vertical="center"/>
      <protection locked="0"/>
    </xf>
    <xf numFmtId="164" fontId="9" fillId="0" borderId="0" xfId="3" applyNumberFormat="1" applyFont="1" applyProtection="1">
      <alignment vertical="center"/>
      <protection locked="0"/>
    </xf>
    <xf numFmtId="243" fontId="9" fillId="0" borderId="0" xfId="3" applyNumberFormat="1" applyFont="1" applyProtection="1">
      <alignment vertical="center"/>
      <protection locked="0"/>
    </xf>
    <xf numFmtId="243" fontId="9" fillId="0" borderId="23" xfId="3" applyNumberFormat="1" applyFont="1" applyBorder="1" applyProtection="1">
      <alignment vertical="center"/>
      <protection locked="0"/>
    </xf>
    <xf numFmtId="191" fontId="9" fillId="0" borderId="0" xfId="3" applyNumberFormat="1" applyFont="1" applyProtection="1">
      <alignment vertical="center"/>
      <protection locked="0"/>
    </xf>
    <xf numFmtId="191" fontId="9" fillId="0" borderId="23" xfId="3" applyNumberFormat="1" applyFont="1" applyBorder="1" applyProtection="1">
      <alignment vertical="center"/>
      <protection locked="0"/>
    </xf>
    <xf numFmtId="236" fontId="3" fillId="0" borderId="0" xfId="4" applyNumberFormat="1">
      <alignment vertical="center"/>
    </xf>
    <xf numFmtId="230" fontId="9" fillId="0" borderId="0" xfId="3" applyNumberFormat="1" applyFont="1" applyProtection="1">
      <alignment vertical="center"/>
      <protection locked="0"/>
    </xf>
    <xf numFmtId="230" fontId="9" fillId="0" borderId="23" xfId="3" applyNumberFormat="1" applyFont="1" applyBorder="1" applyProtection="1">
      <alignment vertical="center"/>
      <protection locked="0"/>
    </xf>
    <xf numFmtId="164" fontId="9" fillId="10" borderId="24" xfId="3" applyNumberFormat="1" applyFont="1" applyFill="1" applyBorder="1" applyProtection="1">
      <alignment vertical="center"/>
      <protection locked="0"/>
    </xf>
    <xf numFmtId="172" fontId="15" fillId="7" borderId="54" xfId="3" applyNumberFormat="1" applyFont="1" applyFill="1" applyBorder="1">
      <alignment vertical="center"/>
    </xf>
    <xf numFmtId="241" fontId="5" fillId="0" borderId="0" xfId="0" applyNumberFormat="1" applyFont="1" applyAlignment="1" applyProtection="1">
      <alignment vertical="center"/>
      <protection locked="0"/>
    </xf>
    <xf numFmtId="227" fontId="21" fillId="10" borderId="0" xfId="3" applyNumberFormat="1" applyFont="1" applyFill="1" applyProtection="1">
      <alignment vertical="center"/>
      <protection locked="0"/>
    </xf>
    <xf numFmtId="227" fontId="21" fillId="0" borderId="0" xfId="3" applyNumberFormat="1" applyFont="1" applyProtection="1">
      <alignment vertical="center"/>
      <protection locked="0"/>
    </xf>
    <xf numFmtId="242" fontId="3" fillId="0" borderId="0" xfId="4" applyNumberFormat="1">
      <alignment vertical="center"/>
    </xf>
    <xf numFmtId="227" fontId="21" fillId="10" borderId="85" xfId="3" applyNumberFormat="1" applyFont="1" applyFill="1" applyBorder="1" applyProtection="1">
      <alignment vertical="center"/>
      <protection locked="0"/>
    </xf>
    <xf numFmtId="227" fontId="21" fillId="10" borderId="82" xfId="3" applyNumberFormat="1" applyFont="1" applyFill="1" applyBorder="1" applyProtection="1">
      <alignment vertical="center"/>
      <protection locked="0"/>
    </xf>
    <xf numFmtId="227" fontId="21" fillId="10" borderId="86" xfId="3" applyNumberFormat="1" applyFont="1" applyFill="1" applyBorder="1" applyProtection="1">
      <alignment vertical="center"/>
      <protection locked="0"/>
    </xf>
    <xf numFmtId="172" fontId="5" fillId="0" borderId="23" xfId="5" applyNumberFormat="1" applyFont="1" applyBorder="1" applyAlignment="1" applyProtection="1">
      <alignment vertical="center"/>
      <protection locked="0"/>
    </xf>
    <xf numFmtId="164" fontId="9" fillId="10" borderId="0" xfId="3" applyNumberFormat="1" applyFont="1" applyFill="1" applyProtection="1">
      <alignment vertical="center"/>
      <protection locked="0"/>
    </xf>
    <xf numFmtId="0" fontId="11" fillId="0" borderId="21" xfId="3" applyFont="1" applyBorder="1" applyAlignment="1" applyProtection="1">
      <alignment horizontal="left" vertical="center" wrapText="1"/>
      <protection locked="0"/>
    </xf>
    <xf numFmtId="0" fontId="11" fillId="0" borderId="21" xfId="3" applyFont="1" applyBorder="1" applyAlignment="1" applyProtection="1">
      <alignment horizontal="left" vertical="center"/>
      <protection locked="0"/>
    </xf>
    <xf numFmtId="168" fontId="5" fillId="0" borderId="2" xfId="3" applyNumberFormat="1" applyFont="1" applyBorder="1" applyProtection="1">
      <alignment vertical="center"/>
      <protection locked="0"/>
    </xf>
    <xf numFmtId="0" fontId="5" fillId="0" borderId="21" xfId="3" applyFont="1" applyBorder="1" applyAlignment="1" applyProtection="1">
      <alignment horizontal="left" vertical="center" wrapText="1"/>
      <protection locked="0"/>
    </xf>
    <xf numFmtId="4" fontId="14" fillId="0" borderId="21" xfId="7" applyNumberFormat="1" applyFont="1" applyBorder="1" applyAlignment="1">
      <alignment horizontal="center"/>
    </xf>
    <xf numFmtId="0" fontId="21" fillId="0" borderId="21" xfId="0" applyFont="1" applyBorder="1" applyAlignment="1" applyProtection="1">
      <alignment horizontal="left" vertical="center" wrapText="1"/>
      <protection locked="0"/>
    </xf>
    <xf numFmtId="0" fontId="8" fillId="0" borderId="21" xfId="0" applyFont="1" applyBorder="1" applyAlignment="1" applyProtection="1">
      <alignment horizontal="center" vertical="center"/>
      <protection locked="0"/>
    </xf>
    <xf numFmtId="171" fontId="8" fillId="0" borderId="21" xfId="0" applyNumberFormat="1" applyFont="1" applyBorder="1" applyAlignment="1" applyProtection="1">
      <alignment horizontal="center" vertical="center"/>
      <protection locked="0"/>
    </xf>
    <xf numFmtId="168" fontId="8" fillId="0" borderId="21" xfId="0" applyNumberFormat="1" applyFont="1" applyBorder="1" applyAlignment="1" applyProtection="1">
      <alignment vertical="center"/>
      <protection locked="0"/>
    </xf>
    <xf numFmtId="171" fontId="5" fillId="0" borderId="21" xfId="0" applyNumberFormat="1" applyFont="1" applyBorder="1" applyAlignment="1" applyProtection="1">
      <alignment vertical="center"/>
      <protection locked="0"/>
    </xf>
    <xf numFmtId="168" fontId="20" fillId="0" borderId="21" xfId="0" applyNumberFormat="1" applyFont="1" applyBorder="1" applyAlignment="1" applyProtection="1">
      <alignment vertical="center"/>
      <protection locked="0"/>
    </xf>
    <xf numFmtId="175" fontId="9" fillId="0" borderId="20" xfId="16" applyNumberFormat="1" applyFont="1" applyBorder="1" applyAlignment="1">
      <alignment horizontal="left" vertical="center"/>
    </xf>
    <xf numFmtId="168" fontId="23" fillId="0" borderId="21" xfId="0" applyNumberFormat="1" applyFont="1" applyBorder="1" applyAlignment="1" applyProtection="1">
      <alignment vertical="center"/>
      <protection locked="0"/>
    </xf>
    <xf numFmtId="0" fontId="5" fillId="0" borderId="21" xfId="0" applyFont="1" applyBorder="1" applyAlignment="1" applyProtection="1">
      <alignment horizontal="left" vertical="center" wrapText="1"/>
      <protection locked="0"/>
    </xf>
    <xf numFmtId="0" fontId="5" fillId="0" borderId="21" xfId="0" applyFont="1" applyBorder="1" applyAlignment="1" applyProtection="1">
      <alignment vertical="center" wrapText="1"/>
      <protection locked="0"/>
    </xf>
    <xf numFmtId="0" fontId="9" fillId="0" borderId="0" xfId="0" applyFont="1" applyAlignment="1">
      <alignment vertical="center"/>
    </xf>
    <xf numFmtId="165" fontId="3" fillId="0" borderId="3" xfId="4" applyNumberFormat="1" applyBorder="1">
      <alignment vertical="center"/>
    </xf>
    <xf numFmtId="0" fontId="19" fillId="0" borderId="21" xfId="20" applyFont="1" applyBorder="1" applyAlignment="1" applyProtection="1">
      <alignment vertical="center" wrapText="1"/>
      <protection locked="0"/>
    </xf>
    <xf numFmtId="0" fontId="3" fillId="0" borderId="21" xfId="20" applyFont="1" applyBorder="1" applyAlignment="1" applyProtection="1">
      <alignment horizontal="left" vertical="center" wrapText="1"/>
      <protection locked="0"/>
    </xf>
    <xf numFmtId="0" fontId="19" fillId="0" borderId="21" xfId="20" applyFont="1" applyBorder="1" applyAlignment="1" applyProtection="1">
      <alignment horizontal="left" vertical="center" wrapText="1"/>
      <protection locked="0"/>
    </xf>
    <xf numFmtId="0" fontId="20" fillId="0" borderId="21" xfId="20" applyFont="1" applyBorder="1" applyAlignment="1" applyProtection="1">
      <alignment horizontal="center" vertical="center"/>
      <protection locked="0"/>
    </xf>
    <xf numFmtId="168" fontId="5" fillId="0" borderId="2" xfId="0" applyNumberFormat="1" applyFont="1" applyBorder="1" applyAlignment="1" applyProtection="1">
      <alignment vertical="center"/>
      <protection locked="0"/>
    </xf>
    <xf numFmtId="0" fontId="5" fillId="0" borderId="2" xfId="0" applyFont="1" applyBorder="1" applyAlignment="1" applyProtection="1">
      <alignment vertical="center"/>
      <protection locked="0"/>
    </xf>
    <xf numFmtId="0" fontId="5" fillId="0" borderId="2" xfId="0" applyFont="1" applyBorder="1" applyAlignment="1" applyProtection="1">
      <alignment horizontal="center" vertical="center"/>
      <protection locked="0"/>
    </xf>
    <xf numFmtId="0" fontId="21" fillId="0" borderId="21" xfId="20" applyFont="1" applyBorder="1" applyAlignment="1" applyProtection="1">
      <alignment vertical="center"/>
      <protection locked="0"/>
    </xf>
    <xf numFmtId="186" fontId="21" fillId="0" borderId="18" xfId="16" applyNumberFormat="1" applyFont="1" applyBorder="1" applyAlignment="1">
      <alignment horizontal="left" vertical="center"/>
    </xf>
    <xf numFmtId="0" fontId="21" fillId="0" borderId="19" xfId="20" applyFont="1" applyBorder="1" applyAlignment="1" applyProtection="1">
      <alignment vertical="center"/>
      <protection locked="0"/>
    </xf>
    <xf numFmtId="0" fontId="8" fillId="0" borderId="19" xfId="20" applyFont="1" applyBorder="1" applyAlignment="1" applyProtection="1">
      <alignment horizontal="center" vertical="center"/>
      <protection locked="0"/>
    </xf>
    <xf numFmtId="171" fontId="5" fillId="0" borderId="19" xfId="20" applyNumberFormat="1" applyFont="1" applyBorder="1" applyAlignment="1" applyProtection="1">
      <alignment horizontal="center" vertical="center"/>
      <protection locked="0"/>
    </xf>
    <xf numFmtId="168" fontId="8" fillId="0" borderId="19" xfId="0" applyNumberFormat="1" applyFont="1" applyBorder="1" applyAlignment="1" applyProtection="1">
      <alignment vertical="center"/>
      <protection locked="0"/>
    </xf>
    <xf numFmtId="164" fontId="21" fillId="0" borderId="9" xfId="3" applyNumberFormat="1" applyFont="1" applyBorder="1" applyProtection="1">
      <alignment vertical="center"/>
      <protection locked="0"/>
    </xf>
    <xf numFmtId="0" fontId="19" fillId="0" borderId="21" xfId="20" applyFont="1" applyBorder="1" applyAlignment="1" applyProtection="1">
      <alignment vertical="center"/>
      <protection locked="0"/>
    </xf>
    <xf numFmtId="170" fontId="3" fillId="0" borderId="0" xfId="4" applyNumberFormat="1">
      <alignment vertical="center"/>
    </xf>
    <xf numFmtId="0" fontId="3" fillId="0" borderId="21" xfId="20" applyFont="1" applyBorder="1" applyAlignment="1" applyProtection="1">
      <alignment vertical="center" wrapText="1"/>
      <protection locked="0"/>
    </xf>
    <xf numFmtId="0" fontId="3" fillId="0" borderId="21" xfId="20" applyFont="1" applyBorder="1" applyAlignment="1" applyProtection="1">
      <alignment horizontal="center" vertical="center"/>
      <protection locked="0"/>
    </xf>
    <xf numFmtId="164" fontId="3" fillId="0" borderId="21" xfId="0" applyNumberFormat="1" applyFont="1" applyBorder="1" applyAlignment="1" applyProtection="1">
      <alignment vertical="center"/>
      <protection locked="0"/>
    </xf>
    <xf numFmtId="164" fontId="8" fillId="0" borderId="3" xfId="3" applyNumberFormat="1" applyFont="1" applyBorder="1" applyProtection="1">
      <alignment vertical="center"/>
      <protection locked="0"/>
    </xf>
    <xf numFmtId="0" fontId="5" fillId="0" borderId="21" xfId="20" applyFont="1" applyBorder="1" applyAlignment="1" applyProtection="1">
      <alignment horizontal="left" vertical="center"/>
      <protection locked="0"/>
    </xf>
    <xf numFmtId="0" fontId="3" fillId="0" borderId="21" xfId="20" applyFont="1" applyBorder="1" applyAlignment="1" applyProtection="1">
      <alignment vertical="center"/>
      <protection locked="0"/>
    </xf>
    <xf numFmtId="164" fontId="23" fillId="0" borderId="21" xfId="0" applyNumberFormat="1" applyFont="1" applyBorder="1" applyAlignment="1" applyProtection="1">
      <alignment vertical="center"/>
      <protection locked="0"/>
    </xf>
    <xf numFmtId="0" fontId="8" fillId="0" borderId="21" xfId="20" applyFont="1" applyBorder="1" applyAlignment="1" applyProtection="1">
      <alignment horizontal="center" vertical="center"/>
      <protection locked="0"/>
    </xf>
    <xf numFmtId="165" fontId="3" fillId="0" borderId="75" xfId="4" applyNumberFormat="1" applyBorder="1">
      <alignment vertical="center"/>
    </xf>
    <xf numFmtId="174" fontId="5" fillId="0" borderId="11" xfId="3" applyNumberFormat="1" applyFont="1" applyBorder="1" applyAlignment="1" applyProtection="1">
      <alignment horizontal="left" vertical="center"/>
      <protection locked="0"/>
    </xf>
    <xf numFmtId="0" fontId="5" fillId="0" borderId="2" xfId="4" applyFont="1" applyBorder="1" applyAlignment="1" applyProtection="1">
      <alignment horizontal="left" vertical="center" wrapText="1" indent="2"/>
      <protection locked="0"/>
    </xf>
    <xf numFmtId="0" fontId="5" fillId="0" borderId="2" xfId="3" applyFont="1" applyBorder="1" applyAlignment="1" applyProtection="1">
      <alignment horizontal="left" vertical="center" indent="2"/>
      <protection locked="0"/>
    </xf>
    <xf numFmtId="0" fontId="5" fillId="0" borderId="2" xfId="3" applyFont="1" applyBorder="1" applyAlignment="1" applyProtection="1">
      <alignment horizontal="center" vertical="center"/>
      <protection locked="0"/>
    </xf>
    <xf numFmtId="0" fontId="32" fillId="0" borderId="2" xfId="3" applyFont="1" applyBorder="1" applyAlignment="1" applyProtection="1">
      <alignment horizontal="left" vertical="center" indent="2"/>
      <protection locked="0"/>
    </xf>
    <xf numFmtId="0" fontId="32" fillId="0" borderId="2" xfId="3" applyFont="1" applyBorder="1" applyAlignment="1" applyProtection="1">
      <alignment horizontal="center" vertical="center"/>
      <protection locked="0"/>
    </xf>
    <xf numFmtId="186" fontId="8" fillId="0" borderId="11" xfId="3" applyNumberFormat="1" applyFont="1" applyBorder="1" applyAlignment="1" applyProtection="1">
      <alignment horizontal="left" vertical="center"/>
      <protection locked="0"/>
    </xf>
    <xf numFmtId="0" fontId="8" fillId="0" borderId="2" xfId="4" applyFont="1" applyBorder="1" applyAlignment="1" applyProtection="1">
      <alignment horizontal="left" vertical="center" indent="1"/>
      <protection locked="0"/>
    </xf>
    <xf numFmtId="0" fontId="8" fillId="0" borderId="2" xfId="4" applyFont="1" applyBorder="1" applyAlignment="1" applyProtection="1">
      <alignment horizontal="center" vertical="center"/>
      <protection locked="0"/>
    </xf>
    <xf numFmtId="164" fontId="8" fillId="0" borderId="12" xfId="4" applyNumberFormat="1" applyFont="1" applyBorder="1" applyProtection="1">
      <alignment vertical="center"/>
      <protection locked="0"/>
    </xf>
    <xf numFmtId="0" fontId="31" fillId="0" borderId="2" xfId="4" applyFont="1" applyBorder="1" applyAlignment="1" applyProtection="1">
      <alignment horizontal="left" vertical="center" indent="2"/>
      <protection locked="0"/>
    </xf>
    <xf numFmtId="0" fontId="31" fillId="0" borderId="2" xfId="4" applyFont="1" applyBorder="1" applyAlignment="1" applyProtection="1">
      <alignment horizontal="center" vertical="center"/>
      <protection locked="0"/>
    </xf>
    <xf numFmtId="164" fontId="31" fillId="0" borderId="12" xfId="4" applyNumberFormat="1" applyFont="1" applyBorder="1" applyProtection="1">
      <alignment vertical="center"/>
      <protection locked="0"/>
    </xf>
    <xf numFmtId="0" fontId="31" fillId="0" borderId="2" xfId="4" applyFont="1" applyBorder="1" applyAlignment="1" applyProtection="1">
      <alignment horizontal="left" vertical="center" wrapText="1" indent="2"/>
      <protection locked="0"/>
    </xf>
    <xf numFmtId="0" fontId="25" fillId="0" borderId="2" xfId="4" applyFont="1" applyBorder="1" applyAlignment="1" applyProtection="1">
      <alignment horizontal="left" vertical="center" indent="2"/>
      <protection locked="0"/>
    </xf>
    <xf numFmtId="49" fontId="5" fillId="0" borderId="11" xfId="4" applyNumberFormat="1" applyFont="1" applyBorder="1" applyProtection="1">
      <alignment vertical="center"/>
      <protection locked="0"/>
    </xf>
    <xf numFmtId="0" fontId="3" fillId="0" borderId="2" xfId="3" applyBorder="1" applyAlignment="1" applyProtection="1">
      <alignment vertical="center" wrapText="1"/>
      <protection locked="0"/>
    </xf>
    <xf numFmtId="0" fontId="3" fillId="0" borderId="2" xfId="3" applyBorder="1" applyProtection="1">
      <alignment vertical="center"/>
      <protection locked="0"/>
    </xf>
    <xf numFmtId="49" fontId="8" fillId="0" borderId="11" xfId="4" applyNumberFormat="1" applyFont="1" applyBorder="1" applyProtection="1">
      <alignment vertical="center"/>
      <protection locked="0"/>
    </xf>
    <xf numFmtId="0" fontId="33" fillId="0" borderId="2" xfId="0" applyFont="1" applyBorder="1" applyAlignment="1">
      <alignment horizontal="left" indent="2"/>
    </xf>
    <xf numFmtId="0" fontId="33" fillId="0" borderId="84" xfId="0" applyFont="1" applyBorder="1"/>
    <xf numFmtId="10" fontId="5" fillId="0" borderId="2" xfId="5" applyNumberFormat="1" applyFont="1" applyFill="1" applyBorder="1" applyAlignment="1" applyProtection="1">
      <alignment vertical="center"/>
      <protection locked="0"/>
    </xf>
    <xf numFmtId="0" fontId="3" fillId="9" borderId="25" xfId="4" applyFill="1" applyBorder="1" applyAlignment="1">
      <alignment horizontal="center" vertical="center"/>
    </xf>
    <xf numFmtId="0" fontId="3" fillId="9" borderId="30" xfId="4" applyFill="1" applyBorder="1" applyAlignment="1">
      <alignment horizontal="center" vertical="center"/>
    </xf>
    <xf numFmtId="0" fontId="3" fillId="9" borderId="26" xfId="4" applyFill="1" applyBorder="1" applyAlignment="1">
      <alignment horizontal="center" vertical="center"/>
    </xf>
    <xf numFmtId="0" fontId="11" fillId="0" borderId="25" xfId="4" applyFont="1" applyBorder="1" applyAlignment="1">
      <alignment horizontal="center" vertical="center"/>
    </xf>
    <xf numFmtId="0" fontId="11" fillId="0" borderId="30" xfId="4" applyFont="1" applyBorder="1" applyAlignment="1">
      <alignment horizontal="center" vertical="center"/>
    </xf>
    <xf numFmtId="0" fontId="11" fillId="0" borderId="26" xfId="4" applyFont="1" applyBorder="1" applyAlignment="1">
      <alignment horizontal="center" vertical="center"/>
    </xf>
    <xf numFmtId="0" fontId="18" fillId="0" borderId="0" xfId="3" applyFont="1" applyAlignment="1">
      <alignment horizontal="center" vertical="top" wrapText="1" readingOrder="1"/>
    </xf>
  </cellXfs>
  <cellStyles count="58386">
    <cellStyle name="%" xfId="3427" xr:uid="{00000000-0005-0000-0000-000000000000}"/>
    <cellStyle name="_01 Itemizado Tottus La Polvora Lima rev@1" xfId="204" xr:uid="{00000000-0005-0000-0000-000001000000}"/>
    <cellStyle name="_5. Formato Propuesta Tottus Naciones Unidas-comerc.Rev.1" xfId="205" xr:uid="{00000000-0005-0000-0000-000002000000}"/>
    <cellStyle name="_5. Formato Propuesta Tottus Naciones Unidas-comerc.Rev.1_Estructura Presupuesto Huacho 160511" xfId="3428" xr:uid="{00000000-0005-0000-0000-000003000000}"/>
    <cellStyle name="_5. Formato Propuesta Tottus Naciones Unidas-comerc.Rev.1_formato de metrado arquitectura" xfId="3429" xr:uid="{00000000-0005-0000-0000-000004000000}"/>
    <cellStyle name="_ADICIONAL ADO -ATI- V3-Jumbo Los Andes 29-06-06-mm" xfId="206" xr:uid="{00000000-0005-0000-0000-000005000000}"/>
    <cellStyle name="_Analisis%20de%20PU(1)" xfId="176" xr:uid="{00000000-0005-0000-0000-000006000000}"/>
    <cellStyle name="_comparativo SISA OSORNO-CURAUMA PTO MONTT" xfId="207" xr:uid="{00000000-0005-0000-0000-000007000000}"/>
    <cellStyle name="_Equipamiento Comprado por Obras Cencosud" xfId="208" xr:uid="{00000000-0005-0000-0000-000008000000}"/>
    <cellStyle name="_ITEMIZADO JUMBO SAN ANTONIO" xfId="209" xr:uid="{00000000-0005-0000-0000-000009000000}"/>
    <cellStyle name="_Presupuesto Estimado Jumbo Easy Portal Maipu SALFA REV2- 21-06-06" xfId="210" xr:uid="{00000000-0005-0000-0000-00000A000000}"/>
    <cellStyle name="_Presupuesto Portal Maipu FINAL-CSC-SALFA 17.07.06" xfId="211" xr:uid="{00000000-0005-0000-0000-00000B000000}"/>
    <cellStyle name="_PTTO CAMBIO TRANSF SET STA ROSA NUEVA1" xfId="3430" xr:uid="{00000000-0005-0000-0000-00000C000000}"/>
    <cellStyle name="_x0004_¥" xfId="43" xr:uid="{00000000-0005-0000-0000-00000D000000}"/>
    <cellStyle name="_x0004_¥ 2" xfId="177" xr:uid="{00000000-0005-0000-0000-00000E000000}"/>
    <cellStyle name="_x0004_¥ 2 2" xfId="7300" xr:uid="{00000000-0005-0000-0000-00000F000000}"/>
    <cellStyle name="_x0004_¥ 2 3" xfId="7311" xr:uid="{00000000-0005-0000-0000-000010000000}"/>
    <cellStyle name="_x0004_¥ 3" xfId="3431" xr:uid="{00000000-0005-0000-0000-000011000000}"/>
    <cellStyle name="_x0004_¥ 4" xfId="7312" xr:uid="{00000000-0005-0000-0000-000012000000}"/>
    <cellStyle name="_x0004_¥_COMPARATIVO BALTA" xfId="3432" xr:uid="{00000000-0005-0000-0000-000013000000}"/>
    <cellStyle name="20% - Accent1" xfId="7325" xr:uid="{00000000-0005-0000-0000-000014000000}"/>
    <cellStyle name="20% - Accent2" xfId="7326" xr:uid="{00000000-0005-0000-0000-000015000000}"/>
    <cellStyle name="20% - Accent3" xfId="7327" xr:uid="{00000000-0005-0000-0000-000016000000}"/>
    <cellStyle name="20% - Accent4" xfId="7328" xr:uid="{00000000-0005-0000-0000-000017000000}"/>
    <cellStyle name="20% - Accent5" xfId="7329" xr:uid="{00000000-0005-0000-0000-000018000000}"/>
    <cellStyle name="20% - Accent6" xfId="7330" xr:uid="{00000000-0005-0000-0000-000019000000}"/>
    <cellStyle name="20% - Énfasis1 10" xfId="212" xr:uid="{00000000-0005-0000-0000-00001A000000}"/>
    <cellStyle name="20% - Énfasis1 11" xfId="213" xr:uid="{00000000-0005-0000-0000-00001B000000}"/>
    <cellStyle name="20% - Énfasis1 12" xfId="214" xr:uid="{00000000-0005-0000-0000-00001C000000}"/>
    <cellStyle name="20% - Énfasis1 13" xfId="215" xr:uid="{00000000-0005-0000-0000-00001D000000}"/>
    <cellStyle name="20% - Énfasis1 14" xfId="216" xr:uid="{00000000-0005-0000-0000-00001E000000}"/>
    <cellStyle name="20% - Énfasis1 15" xfId="217" xr:uid="{00000000-0005-0000-0000-00001F000000}"/>
    <cellStyle name="20% - Énfasis1 16" xfId="218" xr:uid="{00000000-0005-0000-0000-000020000000}"/>
    <cellStyle name="20% - Énfasis1 17" xfId="219" xr:uid="{00000000-0005-0000-0000-000021000000}"/>
    <cellStyle name="20% - Énfasis1 18" xfId="220" xr:uid="{00000000-0005-0000-0000-000022000000}"/>
    <cellStyle name="20% - Énfasis1 19" xfId="221" xr:uid="{00000000-0005-0000-0000-000023000000}"/>
    <cellStyle name="20% - Énfasis1 2" xfId="85" xr:uid="{00000000-0005-0000-0000-000024000000}"/>
    <cellStyle name="20% - Énfasis1 2 2" xfId="222" xr:uid="{00000000-0005-0000-0000-000025000000}"/>
    <cellStyle name="20% - Énfasis1 2 3" xfId="223" xr:uid="{00000000-0005-0000-0000-000026000000}"/>
    <cellStyle name="20% - Énfasis1 2 4" xfId="224" xr:uid="{00000000-0005-0000-0000-000027000000}"/>
    <cellStyle name="20% - Énfasis1 2 5" xfId="225" xr:uid="{00000000-0005-0000-0000-000028000000}"/>
    <cellStyle name="20% - Énfasis1 20" xfId="226" xr:uid="{00000000-0005-0000-0000-000029000000}"/>
    <cellStyle name="20% - Énfasis1 21" xfId="227" xr:uid="{00000000-0005-0000-0000-00002A000000}"/>
    <cellStyle name="20% - Énfasis1 22" xfId="228" xr:uid="{00000000-0005-0000-0000-00002B000000}"/>
    <cellStyle name="20% - Énfasis1 23" xfId="229" xr:uid="{00000000-0005-0000-0000-00002C000000}"/>
    <cellStyle name="20% - Énfasis1 24" xfId="230" xr:uid="{00000000-0005-0000-0000-00002D000000}"/>
    <cellStyle name="20% - Énfasis1 25" xfId="231" xr:uid="{00000000-0005-0000-0000-00002E000000}"/>
    <cellStyle name="20% - Énfasis1 26" xfId="232" xr:uid="{00000000-0005-0000-0000-00002F000000}"/>
    <cellStyle name="20% - Énfasis1 27" xfId="233" xr:uid="{00000000-0005-0000-0000-000030000000}"/>
    <cellStyle name="20% - Énfasis1 28" xfId="234" xr:uid="{00000000-0005-0000-0000-000031000000}"/>
    <cellStyle name="20% - Énfasis1 29" xfId="235" xr:uid="{00000000-0005-0000-0000-000032000000}"/>
    <cellStyle name="20% - Énfasis1 3" xfId="236" xr:uid="{00000000-0005-0000-0000-000033000000}"/>
    <cellStyle name="20% - Énfasis1 30" xfId="237" xr:uid="{00000000-0005-0000-0000-000034000000}"/>
    <cellStyle name="20% - Énfasis1 31" xfId="238" xr:uid="{00000000-0005-0000-0000-000035000000}"/>
    <cellStyle name="20% - Énfasis1 32" xfId="239" xr:uid="{00000000-0005-0000-0000-000036000000}"/>
    <cellStyle name="20% - Énfasis1 33" xfId="240" xr:uid="{00000000-0005-0000-0000-000037000000}"/>
    <cellStyle name="20% - Énfasis1 34" xfId="241" xr:uid="{00000000-0005-0000-0000-000038000000}"/>
    <cellStyle name="20% - Énfasis1 35" xfId="242" xr:uid="{00000000-0005-0000-0000-000039000000}"/>
    <cellStyle name="20% - Énfasis1 36" xfId="243" xr:uid="{00000000-0005-0000-0000-00003A000000}"/>
    <cellStyle name="20% - Énfasis1 37" xfId="244" xr:uid="{00000000-0005-0000-0000-00003B000000}"/>
    <cellStyle name="20% - Énfasis1 38" xfId="245" xr:uid="{00000000-0005-0000-0000-00003C000000}"/>
    <cellStyle name="20% - Énfasis1 39" xfId="246" xr:uid="{00000000-0005-0000-0000-00003D000000}"/>
    <cellStyle name="20% - Énfasis1 4" xfId="247" xr:uid="{00000000-0005-0000-0000-00003E000000}"/>
    <cellStyle name="20% - Énfasis1 40" xfId="248" xr:uid="{00000000-0005-0000-0000-00003F000000}"/>
    <cellStyle name="20% - Énfasis1 41" xfId="249" xr:uid="{00000000-0005-0000-0000-000040000000}"/>
    <cellStyle name="20% - Énfasis1 42" xfId="250" xr:uid="{00000000-0005-0000-0000-000041000000}"/>
    <cellStyle name="20% - Énfasis1 43" xfId="251" xr:uid="{00000000-0005-0000-0000-000042000000}"/>
    <cellStyle name="20% - Énfasis1 44" xfId="252" xr:uid="{00000000-0005-0000-0000-000043000000}"/>
    <cellStyle name="20% - Énfasis1 45" xfId="253" xr:uid="{00000000-0005-0000-0000-000044000000}"/>
    <cellStyle name="20% - Énfasis1 46" xfId="254" xr:uid="{00000000-0005-0000-0000-000045000000}"/>
    <cellStyle name="20% - Énfasis1 47" xfId="255" xr:uid="{00000000-0005-0000-0000-000046000000}"/>
    <cellStyle name="20% - Énfasis1 48" xfId="256" xr:uid="{00000000-0005-0000-0000-000047000000}"/>
    <cellStyle name="20% - Énfasis1 49" xfId="257" xr:uid="{00000000-0005-0000-0000-000048000000}"/>
    <cellStyle name="20% - Énfasis1 5" xfId="258" xr:uid="{00000000-0005-0000-0000-000049000000}"/>
    <cellStyle name="20% - Énfasis1 50" xfId="259" xr:uid="{00000000-0005-0000-0000-00004A000000}"/>
    <cellStyle name="20% - Énfasis1 51" xfId="260" xr:uid="{00000000-0005-0000-0000-00004B000000}"/>
    <cellStyle name="20% - Énfasis1 52" xfId="261" xr:uid="{00000000-0005-0000-0000-00004C000000}"/>
    <cellStyle name="20% - Énfasis1 53" xfId="262" xr:uid="{00000000-0005-0000-0000-00004D000000}"/>
    <cellStyle name="20% - Énfasis1 54" xfId="263" xr:uid="{00000000-0005-0000-0000-00004E000000}"/>
    <cellStyle name="20% - Énfasis1 55" xfId="264" xr:uid="{00000000-0005-0000-0000-00004F000000}"/>
    <cellStyle name="20% - Énfasis1 56" xfId="265" xr:uid="{00000000-0005-0000-0000-000050000000}"/>
    <cellStyle name="20% - Énfasis1 57" xfId="266" xr:uid="{00000000-0005-0000-0000-000051000000}"/>
    <cellStyle name="20% - Énfasis1 58" xfId="267" xr:uid="{00000000-0005-0000-0000-000052000000}"/>
    <cellStyle name="20% - Énfasis1 59" xfId="268" xr:uid="{00000000-0005-0000-0000-000053000000}"/>
    <cellStyle name="20% - Énfasis1 6" xfId="269" xr:uid="{00000000-0005-0000-0000-000054000000}"/>
    <cellStyle name="20% - Énfasis1 60" xfId="270" xr:uid="{00000000-0005-0000-0000-000055000000}"/>
    <cellStyle name="20% - Énfasis1 61" xfId="271" xr:uid="{00000000-0005-0000-0000-000056000000}"/>
    <cellStyle name="20% - Énfasis1 62" xfId="272" xr:uid="{00000000-0005-0000-0000-000057000000}"/>
    <cellStyle name="20% - Énfasis1 63" xfId="273" xr:uid="{00000000-0005-0000-0000-000058000000}"/>
    <cellStyle name="20% - Énfasis1 64" xfId="274" xr:uid="{00000000-0005-0000-0000-000059000000}"/>
    <cellStyle name="20% - Énfasis1 65" xfId="275" xr:uid="{00000000-0005-0000-0000-00005A000000}"/>
    <cellStyle name="20% - Énfasis1 66" xfId="276" xr:uid="{00000000-0005-0000-0000-00005B000000}"/>
    <cellStyle name="20% - Énfasis1 67" xfId="277" xr:uid="{00000000-0005-0000-0000-00005C000000}"/>
    <cellStyle name="20% - Énfasis1 7" xfId="278" xr:uid="{00000000-0005-0000-0000-00005D000000}"/>
    <cellStyle name="20% - Énfasis1 8" xfId="279" xr:uid="{00000000-0005-0000-0000-00005E000000}"/>
    <cellStyle name="20% - Énfasis1 9" xfId="280" xr:uid="{00000000-0005-0000-0000-00005F000000}"/>
    <cellStyle name="20% - Énfasis2 10" xfId="281" xr:uid="{00000000-0005-0000-0000-000060000000}"/>
    <cellStyle name="20% - Énfasis2 11" xfId="282" xr:uid="{00000000-0005-0000-0000-000061000000}"/>
    <cellStyle name="20% - Énfasis2 12" xfId="283" xr:uid="{00000000-0005-0000-0000-000062000000}"/>
    <cellStyle name="20% - Énfasis2 13" xfId="284" xr:uid="{00000000-0005-0000-0000-000063000000}"/>
    <cellStyle name="20% - Énfasis2 14" xfId="285" xr:uid="{00000000-0005-0000-0000-000064000000}"/>
    <cellStyle name="20% - Énfasis2 15" xfId="286" xr:uid="{00000000-0005-0000-0000-000065000000}"/>
    <cellStyle name="20% - Énfasis2 16" xfId="287" xr:uid="{00000000-0005-0000-0000-000066000000}"/>
    <cellStyle name="20% - Énfasis2 17" xfId="288" xr:uid="{00000000-0005-0000-0000-000067000000}"/>
    <cellStyle name="20% - Énfasis2 18" xfId="289" xr:uid="{00000000-0005-0000-0000-000068000000}"/>
    <cellStyle name="20% - Énfasis2 19" xfId="290" xr:uid="{00000000-0005-0000-0000-000069000000}"/>
    <cellStyle name="20% - Énfasis2 2" xfId="86" xr:uid="{00000000-0005-0000-0000-00006A000000}"/>
    <cellStyle name="20% - Énfasis2 2 2" xfId="291" xr:uid="{00000000-0005-0000-0000-00006B000000}"/>
    <cellStyle name="20% - Énfasis2 2 3" xfId="292" xr:uid="{00000000-0005-0000-0000-00006C000000}"/>
    <cellStyle name="20% - Énfasis2 2 4" xfId="293" xr:uid="{00000000-0005-0000-0000-00006D000000}"/>
    <cellStyle name="20% - Énfasis2 2 5" xfId="294" xr:uid="{00000000-0005-0000-0000-00006E000000}"/>
    <cellStyle name="20% - Énfasis2 20" xfId="295" xr:uid="{00000000-0005-0000-0000-00006F000000}"/>
    <cellStyle name="20% - Énfasis2 21" xfId="296" xr:uid="{00000000-0005-0000-0000-000070000000}"/>
    <cellStyle name="20% - Énfasis2 22" xfId="297" xr:uid="{00000000-0005-0000-0000-000071000000}"/>
    <cellStyle name="20% - Énfasis2 23" xfId="298" xr:uid="{00000000-0005-0000-0000-000072000000}"/>
    <cellStyle name="20% - Énfasis2 24" xfId="299" xr:uid="{00000000-0005-0000-0000-000073000000}"/>
    <cellStyle name="20% - Énfasis2 25" xfId="300" xr:uid="{00000000-0005-0000-0000-000074000000}"/>
    <cellStyle name="20% - Énfasis2 26" xfId="301" xr:uid="{00000000-0005-0000-0000-000075000000}"/>
    <cellStyle name="20% - Énfasis2 27" xfId="302" xr:uid="{00000000-0005-0000-0000-000076000000}"/>
    <cellStyle name="20% - Énfasis2 28" xfId="303" xr:uid="{00000000-0005-0000-0000-000077000000}"/>
    <cellStyle name="20% - Énfasis2 29" xfId="304" xr:uid="{00000000-0005-0000-0000-000078000000}"/>
    <cellStyle name="20% - Énfasis2 3" xfId="305" xr:uid="{00000000-0005-0000-0000-000079000000}"/>
    <cellStyle name="20% - Énfasis2 30" xfId="306" xr:uid="{00000000-0005-0000-0000-00007A000000}"/>
    <cellStyle name="20% - Énfasis2 31" xfId="307" xr:uid="{00000000-0005-0000-0000-00007B000000}"/>
    <cellStyle name="20% - Énfasis2 32" xfId="308" xr:uid="{00000000-0005-0000-0000-00007C000000}"/>
    <cellStyle name="20% - Énfasis2 33" xfId="309" xr:uid="{00000000-0005-0000-0000-00007D000000}"/>
    <cellStyle name="20% - Énfasis2 34" xfId="310" xr:uid="{00000000-0005-0000-0000-00007E000000}"/>
    <cellStyle name="20% - Énfasis2 35" xfId="311" xr:uid="{00000000-0005-0000-0000-00007F000000}"/>
    <cellStyle name="20% - Énfasis2 36" xfId="312" xr:uid="{00000000-0005-0000-0000-000080000000}"/>
    <cellStyle name="20% - Énfasis2 37" xfId="313" xr:uid="{00000000-0005-0000-0000-000081000000}"/>
    <cellStyle name="20% - Énfasis2 38" xfId="314" xr:uid="{00000000-0005-0000-0000-000082000000}"/>
    <cellStyle name="20% - Énfasis2 39" xfId="315" xr:uid="{00000000-0005-0000-0000-000083000000}"/>
    <cellStyle name="20% - Énfasis2 4" xfId="316" xr:uid="{00000000-0005-0000-0000-000084000000}"/>
    <cellStyle name="20% - Énfasis2 40" xfId="317" xr:uid="{00000000-0005-0000-0000-000085000000}"/>
    <cellStyle name="20% - Énfasis2 41" xfId="318" xr:uid="{00000000-0005-0000-0000-000086000000}"/>
    <cellStyle name="20% - Énfasis2 42" xfId="319" xr:uid="{00000000-0005-0000-0000-000087000000}"/>
    <cellStyle name="20% - Énfasis2 43" xfId="320" xr:uid="{00000000-0005-0000-0000-000088000000}"/>
    <cellStyle name="20% - Énfasis2 44" xfId="321" xr:uid="{00000000-0005-0000-0000-000089000000}"/>
    <cellStyle name="20% - Énfasis2 45" xfId="322" xr:uid="{00000000-0005-0000-0000-00008A000000}"/>
    <cellStyle name="20% - Énfasis2 46" xfId="323" xr:uid="{00000000-0005-0000-0000-00008B000000}"/>
    <cellStyle name="20% - Énfasis2 47" xfId="324" xr:uid="{00000000-0005-0000-0000-00008C000000}"/>
    <cellStyle name="20% - Énfasis2 48" xfId="325" xr:uid="{00000000-0005-0000-0000-00008D000000}"/>
    <cellStyle name="20% - Énfasis2 49" xfId="326" xr:uid="{00000000-0005-0000-0000-00008E000000}"/>
    <cellStyle name="20% - Énfasis2 5" xfId="327" xr:uid="{00000000-0005-0000-0000-00008F000000}"/>
    <cellStyle name="20% - Énfasis2 50" xfId="328" xr:uid="{00000000-0005-0000-0000-000090000000}"/>
    <cellStyle name="20% - Énfasis2 51" xfId="329" xr:uid="{00000000-0005-0000-0000-000091000000}"/>
    <cellStyle name="20% - Énfasis2 52" xfId="330" xr:uid="{00000000-0005-0000-0000-000092000000}"/>
    <cellStyle name="20% - Énfasis2 53" xfId="331" xr:uid="{00000000-0005-0000-0000-000093000000}"/>
    <cellStyle name="20% - Énfasis2 54" xfId="332" xr:uid="{00000000-0005-0000-0000-000094000000}"/>
    <cellStyle name="20% - Énfasis2 55" xfId="333" xr:uid="{00000000-0005-0000-0000-000095000000}"/>
    <cellStyle name="20% - Énfasis2 56" xfId="334" xr:uid="{00000000-0005-0000-0000-000096000000}"/>
    <cellStyle name="20% - Énfasis2 57" xfId="335" xr:uid="{00000000-0005-0000-0000-000097000000}"/>
    <cellStyle name="20% - Énfasis2 58" xfId="336" xr:uid="{00000000-0005-0000-0000-000098000000}"/>
    <cellStyle name="20% - Énfasis2 59" xfId="337" xr:uid="{00000000-0005-0000-0000-000099000000}"/>
    <cellStyle name="20% - Énfasis2 6" xfId="338" xr:uid="{00000000-0005-0000-0000-00009A000000}"/>
    <cellStyle name="20% - Énfasis2 60" xfId="339" xr:uid="{00000000-0005-0000-0000-00009B000000}"/>
    <cellStyle name="20% - Énfasis2 61" xfId="340" xr:uid="{00000000-0005-0000-0000-00009C000000}"/>
    <cellStyle name="20% - Énfasis2 62" xfId="341" xr:uid="{00000000-0005-0000-0000-00009D000000}"/>
    <cellStyle name="20% - Énfasis2 63" xfId="342" xr:uid="{00000000-0005-0000-0000-00009E000000}"/>
    <cellStyle name="20% - Énfasis2 64" xfId="343" xr:uid="{00000000-0005-0000-0000-00009F000000}"/>
    <cellStyle name="20% - Énfasis2 65" xfId="344" xr:uid="{00000000-0005-0000-0000-0000A0000000}"/>
    <cellStyle name="20% - Énfasis2 66" xfId="345" xr:uid="{00000000-0005-0000-0000-0000A1000000}"/>
    <cellStyle name="20% - Énfasis2 67" xfId="346" xr:uid="{00000000-0005-0000-0000-0000A2000000}"/>
    <cellStyle name="20% - Énfasis2 7" xfId="347" xr:uid="{00000000-0005-0000-0000-0000A3000000}"/>
    <cellStyle name="20% - Énfasis2 8" xfId="348" xr:uid="{00000000-0005-0000-0000-0000A4000000}"/>
    <cellStyle name="20% - Énfasis2 9" xfId="349" xr:uid="{00000000-0005-0000-0000-0000A5000000}"/>
    <cellStyle name="20% - Énfasis3 10" xfId="350" xr:uid="{00000000-0005-0000-0000-0000A6000000}"/>
    <cellStyle name="20% - Énfasis3 11" xfId="351" xr:uid="{00000000-0005-0000-0000-0000A7000000}"/>
    <cellStyle name="20% - Énfasis3 12" xfId="352" xr:uid="{00000000-0005-0000-0000-0000A8000000}"/>
    <cellStyle name="20% - Énfasis3 13" xfId="353" xr:uid="{00000000-0005-0000-0000-0000A9000000}"/>
    <cellStyle name="20% - Énfasis3 14" xfId="354" xr:uid="{00000000-0005-0000-0000-0000AA000000}"/>
    <cellStyle name="20% - Énfasis3 15" xfId="355" xr:uid="{00000000-0005-0000-0000-0000AB000000}"/>
    <cellStyle name="20% - Énfasis3 16" xfId="356" xr:uid="{00000000-0005-0000-0000-0000AC000000}"/>
    <cellStyle name="20% - Énfasis3 17" xfId="357" xr:uid="{00000000-0005-0000-0000-0000AD000000}"/>
    <cellStyle name="20% - Énfasis3 18" xfId="358" xr:uid="{00000000-0005-0000-0000-0000AE000000}"/>
    <cellStyle name="20% - Énfasis3 19" xfId="359" xr:uid="{00000000-0005-0000-0000-0000AF000000}"/>
    <cellStyle name="20% - Énfasis3 2" xfId="87" xr:uid="{00000000-0005-0000-0000-0000B0000000}"/>
    <cellStyle name="20% - Énfasis3 2 2" xfId="360" xr:uid="{00000000-0005-0000-0000-0000B1000000}"/>
    <cellStyle name="20% - Énfasis3 2 3" xfId="361" xr:uid="{00000000-0005-0000-0000-0000B2000000}"/>
    <cellStyle name="20% - Énfasis3 2 4" xfId="362" xr:uid="{00000000-0005-0000-0000-0000B3000000}"/>
    <cellStyle name="20% - Énfasis3 2 5" xfId="363" xr:uid="{00000000-0005-0000-0000-0000B4000000}"/>
    <cellStyle name="20% - Énfasis3 20" xfId="364" xr:uid="{00000000-0005-0000-0000-0000B5000000}"/>
    <cellStyle name="20% - Énfasis3 21" xfId="365" xr:uid="{00000000-0005-0000-0000-0000B6000000}"/>
    <cellStyle name="20% - Énfasis3 22" xfId="366" xr:uid="{00000000-0005-0000-0000-0000B7000000}"/>
    <cellStyle name="20% - Énfasis3 23" xfId="367" xr:uid="{00000000-0005-0000-0000-0000B8000000}"/>
    <cellStyle name="20% - Énfasis3 24" xfId="368" xr:uid="{00000000-0005-0000-0000-0000B9000000}"/>
    <cellStyle name="20% - Énfasis3 25" xfId="369" xr:uid="{00000000-0005-0000-0000-0000BA000000}"/>
    <cellStyle name="20% - Énfasis3 26" xfId="370" xr:uid="{00000000-0005-0000-0000-0000BB000000}"/>
    <cellStyle name="20% - Énfasis3 27" xfId="371" xr:uid="{00000000-0005-0000-0000-0000BC000000}"/>
    <cellStyle name="20% - Énfasis3 28" xfId="372" xr:uid="{00000000-0005-0000-0000-0000BD000000}"/>
    <cellStyle name="20% - Énfasis3 29" xfId="373" xr:uid="{00000000-0005-0000-0000-0000BE000000}"/>
    <cellStyle name="20% - Énfasis3 3" xfId="374" xr:uid="{00000000-0005-0000-0000-0000BF000000}"/>
    <cellStyle name="20% - Énfasis3 30" xfId="375" xr:uid="{00000000-0005-0000-0000-0000C0000000}"/>
    <cellStyle name="20% - Énfasis3 31" xfId="376" xr:uid="{00000000-0005-0000-0000-0000C1000000}"/>
    <cellStyle name="20% - Énfasis3 32" xfId="377" xr:uid="{00000000-0005-0000-0000-0000C2000000}"/>
    <cellStyle name="20% - Énfasis3 33" xfId="378" xr:uid="{00000000-0005-0000-0000-0000C3000000}"/>
    <cellStyle name="20% - Énfasis3 34" xfId="379" xr:uid="{00000000-0005-0000-0000-0000C4000000}"/>
    <cellStyle name="20% - Énfasis3 35" xfId="380" xr:uid="{00000000-0005-0000-0000-0000C5000000}"/>
    <cellStyle name="20% - Énfasis3 36" xfId="381" xr:uid="{00000000-0005-0000-0000-0000C6000000}"/>
    <cellStyle name="20% - Énfasis3 37" xfId="382" xr:uid="{00000000-0005-0000-0000-0000C7000000}"/>
    <cellStyle name="20% - Énfasis3 38" xfId="383" xr:uid="{00000000-0005-0000-0000-0000C8000000}"/>
    <cellStyle name="20% - Énfasis3 39" xfId="384" xr:uid="{00000000-0005-0000-0000-0000C9000000}"/>
    <cellStyle name="20% - Énfasis3 4" xfId="385" xr:uid="{00000000-0005-0000-0000-0000CA000000}"/>
    <cellStyle name="20% - Énfasis3 40" xfId="386" xr:uid="{00000000-0005-0000-0000-0000CB000000}"/>
    <cellStyle name="20% - Énfasis3 41" xfId="387" xr:uid="{00000000-0005-0000-0000-0000CC000000}"/>
    <cellStyle name="20% - Énfasis3 42" xfId="388" xr:uid="{00000000-0005-0000-0000-0000CD000000}"/>
    <cellStyle name="20% - Énfasis3 43" xfId="389" xr:uid="{00000000-0005-0000-0000-0000CE000000}"/>
    <cellStyle name="20% - Énfasis3 44" xfId="390" xr:uid="{00000000-0005-0000-0000-0000CF000000}"/>
    <cellStyle name="20% - Énfasis3 45" xfId="391" xr:uid="{00000000-0005-0000-0000-0000D0000000}"/>
    <cellStyle name="20% - Énfasis3 46" xfId="392" xr:uid="{00000000-0005-0000-0000-0000D1000000}"/>
    <cellStyle name="20% - Énfasis3 47" xfId="393" xr:uid="{00000000-0005-0000-0000-0000D2000000}"/>
    <cellStyle name="20% - Énfasis3 48" xfId="394" xr:uid="{00000000-0005-0000-0000-0000D3000000}"/>
    <cellStyle name="20% - Énfasis3 49" xfId="395" xr:uid="{00000000-0005-0000-0000-0000D4000000}"/>
    <cellStyle name="20% - Énfasis3 5" xfId="396" xr:uid="{00000000-0005-0000-0000-0000D5000000}"/>
    <cellStyle name="20% - Énfasis3 50" xfId="397" xr:uid="{00000000-0005-0000-0000-0000D6000000}"/>
    <cellStyle name="20% - Énfasis3 51" xfId="398" xr:uid="{00000000-0005-0000-0000-0000D7000000}"/>
    <cellStyle name="20% - Énfasis3 52" xfId="399" xr:uid="{00000000-0005-0000-0000-0000D8000000}"/>
    <cellStyle name="20% - Énfasis3 53" xfId="400" xr:uid="{00000000-0005-0000-0000-0000D9000000}"/>
    <cellStyle name="20% - Énfasis3 54" xfId="401" xr:uid="{00000000-0005-0000-0000-0000DA000000}"/>
    <cellStyle name="20% - Énfasis3 55" xfId="402" xr:uid="{00000000-0005-0000-0000-0000DB000000}"/>
    <cellStyle name="20% - Énfasis3 56" xfId="403" xr:uid="{00000000-0005-0000-0000-0000DC000000}"/>
    <cellStyle name="20% - Énfasis3 57" xfId="404" xr:uid="{00000000-0005-0000-0000-0000DD000000}"/>
    <cellStyle name="20% - Énfasis3 58" xfId="405" xr:uid="{00000000-0005-0000-0000-0000DE000000}"/>
    <cellStyle name="20% - Énfasis3 59" xfId="406" xr:uid="{00000000-0005-0000-0000-0000DF000000}"/>
    <cellStyle name="20% - Énfasis3 6" xfId="407" xr:uid="{00000000-0005-0000-0000-0000E0000000}"/>
    <cellStyle name="20% - Énfasis3 60" xfId="408" xr:uid="{00000000-0005-0000-0000-0000E1000000}"/>
    <cellStyle name="20% - Énfasis3 61" xfId="409" xr:uid="{00000000-0005-0000-0000-0000E2000000}"/>
    <cellStyle name="20% - Énfasis3 62" xfId="410" xr:uid="{00000000-0005-0000-0000-0000E3000000}"/>
    <cellStyle name="20% - Énfasis3 63" xfId="411" xr:uid="{00000000-0005-0000-0000-0000E4000000}"/>
    <cellStyle name="20% - Énfasis3 64" xfId="412" xr:uid="{00000000-0005-0000-0000-0000E5000000}"/>
    <cellStyle name="20% - Énfasis3 65" xfId="413" xr:uid="{00000000-0005-0000-0000-0000E6000000}"/>
    <cellStyle name="20% - Énfasis3 66" xfId="414" xr:uid="{00000000-0005-0000-0000-0000E7000000}"/>
    <cellStyle name="20% - Énfasis3 67" xfId="415" xr:uid="{00000000-0005-0000-0000-0000E8000000}"/>
    <cellStyle name="20% - Énfasis3 7" xfId="416" xr:uid="{00000000-0005-0000-0000-0000E9000000}"/>
    <cellStyle name="20% - Énfasis3 8" xfId="417" xr:uid="{00000000-0005-0000-0000-0000EA000000}"/>
    <cellStyle name="20% - Énfasis3 9" xfId="418" xr:uid="{00000000-0005-0000-0000-0000EB000000}"/>
    <cellStyle name="20% - Énfasis4 10" xfId="419" xr:uid="{00000000-0005-0000-0000-0000EC000000}"/>
    <cellStyle name="20% - Énfasis4 11" xfId="420" xr:uid="{00000000-0005-0000-0000-0000ED000000}"/>
    <cellStyle name="20% - Énfasis4 12" xfId="421" xr:uid="{00000000-0005-0000-0000-0000EE000000}"/>
    <cellStyle name="20% - Énfasis4 13" xfId="422" xr:uid="{00000000-0005-0000-0000-0000EF000000}"/>
    <cellStyle name="20% - Énfasis4 14" xfId="423" xr:uid="{00000000-0005-0000-0000-0000F0000000}"/>
    <cellStyle name="20% - Énfasis4 15" xfId="424" xr:uid="{00000000-0005-0000-0000-0000F1000000}"/>
    <cellStyle name="20% - Énfasis4 16" xfId="425" xr:uid="{00000000-0005-0000-0000-0000F2000000}"/>
    <cellStyle name="20% - Énfasis4 17" xfId="426" xr:uid="{00000000-0005-0000-0000-0000F3000000}"/>
    <cellStyle name="20% - Énfasis4 18" xfId="427" xr:uid="{00000000-0005-0000-0000-0000F4000000}"/>
    <cellStyle name="20% - Énfasis4 19" xfId="428" xr:uid="{00000000-0005-0000-0000-0000F5000000}"/>
    <cellStyle name="20% - Énfasis4 2" xfId="88" xr:uid="{00000000-0005-0000-0000-0000F6000000}"/>
    <cellStyle name="20% - Énfasis4 2 2" xfId="429" xr:uid="{00000000-0005-0000-0000-0000F7000000}"/>
    <cellStyle name="20% - Énfasis4 2 3" xfId="430" xr:uid="{00000000-0005-0000-0000-0000F8000000}"/>
    <cellStyle name="20% - Énfasis4 2 4" xfId="431" xr:uid="{00000000-0005-0000-0000-0000F9000000}"/>
    <cellStyle name="20% - Énfasis4 2 5" xfId="432" xr:uid="{00000000-0005-0000-0000-0000FA000000}"/>
    <cellStyle name="20% - Énfasis4 20" xfId="433" xr:uid="{00000000-0005-0000-0000-0000FB000000}"/>
    <cellStyle name="20% - Énfasis4 21" xfId="434" xr:uid="{00000000-0005-0000-0000-0000FC000000}"/>
    <cellStyle name="20% - Énfasis4 22" xfId="435" xr:uid="{00000000-0005-0000-0000-0000FD000000}"/>
    <cellStyle name="20% - Énfasis4 23" xfId="436" xr:uid="{00000000-0005-0000-0000-0000FE000000}"/>
    <cellStyle name="20% - Énfasis4 24" xfId="437" xr:uid="{00000000-0005-0000-0000-0000FF000000}"/>
    <cellStyle name="20% - Énfasis4 25" xfId="438" xr:uid="{00000000-0005-0000-0000-000000010000}"/>
    <cellStyle name="20% - Énfasis4 26" xfId="439" xr:uid="{00000000-0005-0000-0000-000001010000}"/>
    <cellStyle name="20% - Énfasis4 27" xfId="440" xr:uid="{00000000-0005-0000-0000-000002010000}"/>
    <cellStyle name="20% - Énfasis4 28" xfId="441" xr:uid="{00000000-0005-0000-0000-000003010000}"/>
    <cellStyle name="20% - Énfasis4 29" xfId="442" xr:uid="{00000000-0005-0000-0000-000004010000}"/>
    <cellStyle name="20% - Énfasis4 3" xfId="443" xr:uid="{00000000-0005-0000-0000-000005010000}"/>
    <cellStyle name="20% - Énfasis4 30" xfId="444" xr:uid="{00000000-0005-0000-0000-000006010000}"/>
    <cellStyle name="20% - Énfasis4 31" xfId="445" xr:uid="{00000000-0005-0000-0000-000007010000}"/>
    <cellStyle name="20% - Énfasis4 32" xfId="446" xr:uid="{00000000-0005-0000-0000-000008010000}"/>
    <cellStyle name="20% - Énfasis4 33" xfId="447" xr:uid="{00000000-0005-0000-0000-000009010000}"/>
    <cellStyle name="20% - Énfasis4 34" xfId="448" xr:uid="{00000000-0005-0000-0000-00000A010000}"/>
    <cellStyle name="20% - Énfasis4 35" xfId="449" xr:uid="{00000000-0005-0000-0000-00000B010000}"/>
    <cellStyle name="20% - Énfasis4 36" xfId="450" xr:uid="{00000000-0005-0000-0000-00000C010000}"/>
    <cellStyle name="20% - Énfasis4 37" xfId="451" xr:uid="{00000000-0005-0000-0000-00000D010000}"/>
    <cellStyle name="20% - Énfasis4 38" xfId="452" xr:uid="{00000000-0005-0000-0000-00000E010000}"/>
    <cellStyle name="20% - Énfasis4 39" xfId="453" xr:uid="{00000000-0005-0000-0000-00000F010000}"/>
    <cellStyle name="20% - Énfasis4 4" xfId="454" xr:uid="{00000000-0005-0000-0000-000010010000}"/>
    <cellStyle name="20% - Énfasis4 40" xfId="455" xr:uid="{00000000-0005-0000-0000-000011010000}"/>
    <cellStyle name="20% - Énfasis4 41" xfId="456" xr:uid="{00000000-0005-0000-0000-000012010000}"/>
    <cellStyle name="20% - Énfasis4 42" xfId="457" xr:uid="{00000000-0005-0000-0000-000013010000}"/>
    <cellStyle name="20% - Énfasis4 43" xfId="458" xr:uid="{00000000-0005-0000-0000-000014010000}"/>
    <cellStyle name="20% - Énfasis4 44" xfId="459" xr:uid="{00000000-0005-0000-0000-000015010000}"/>
    <cellStyle name="20% - Énfasis4 45" xfId="460" xr:uid="{00000000-0005-0000-0000-000016010000}"/>
    <cellStyle name="20% - Énfasis4 46" xfId="461" xr:uid="{00000000-0005-0000-0000-000017010000}"/>
    <cellStyle name="20% - Énfasis4 47" xfId="462" xr:uid="{00000000-0005-0000-0000-000018010000}"/>
    <cellStyle name="20% - Énfasis4 48" xfId="463" xr:uid="{00000000-0005-0000-0000-000019010000}"/>
    <cellStyle name="20% - Énfasis4 49" xfId="464" xr:uid="{00000000-0005-0000-0000-00001A010000}"/>
    <cellStyle name="20% - Énfasis4 5" xfId="465" xr:uid="{00000000-0005-0000-0000-00001B010000}"/>
    <cellStyle name="20% - Énfasis4 50" xfId="466" xr:uid="{00000000-0005-0000-0000-00001C010000}"/>
    <cellStyle name="20% - Énfasis4 51" xfId="467" xr:uid="{00000000-0005-0000-0000-00001D010000}"/>
    <cellStyle name="20% - Énfasis4 52" xfId="468" xr:uid="{00000000-0005-0000-0000-00001E010000}"/>
    <cellStyle name="20% - Énfasis4 53" xfId="469" xr:uid="{00000000-0005-0000-0000-00001F010000}"/>
    <cellStyle name="20% - Énfasis4 54" xfId="470" xr:uid="{00000000-0005-0000-0000-000020010000}"/>
    <cellStyle name="20% - Énfasis4 55" xfId="471" xr:uid="{00000000-0005-0000-0000-000021010000}"/>
    <cellStyle name="20% - Énfasis4 56" xfId="472" xr:uid="{00000000-0005-0000-0000-000022010000}"/>
    <cellStyle name="20% - Énfasis4 57" xfId="473" xr:uid="{00000000-0005-0000-0000-000023010000}"/>
    <cellStyle name="20% - Énfasis4 58" xfId="474" xr:uid="{00000000-0005-0000-0000-000024010000}"/>
    <cellStyle name="20% - Énfasis4 59" xfId="475" xr:uid="{00000000-0005-0000-0000-000025010000}"/>
    <cellStyle name="20% - Énfasis4 6" xfId="476" xr:uid="{00000000-0005-0000-0000-000026010000}"/>
    <cellStyle name="20% - Énfasis4 60" xfId="477" xr:uid="{00000000-0005-0000-0000-000027010000}"/>
    <cellStyle name="20% - Énfasis4 61" xfId="478" xr:uid="{00000000-0005-0000-0000-000028010000}"/>
    <cellStyle name="20% - Énfasis4 62" xfId="479" xr:uid="{00000000-0005-0000-0000-000029010000}"/>
    <cellStyle name="20% - Énfasis4 63" xfId="480" xr:uid="{00000000-0005-0000-0000-00002A010000}"/>
    <cellStyle name="20% - Énfasis4 64" xfId="481" xr:uid="{00000000-0005-0000-0000-00002B010000}"/>
    <cellStyle name="20% - Énfasis4 65" xfId="482" xr:uid="{00000000-0005-0000-0000-00002C010000}"/>
    <cellStyle name="20% - Énfasis4 66" xfId="483" xr:uid="{00000000-0005-0000-0000-00002D010000}"/>
    <cellStyle name="20% - Énfasis4 67" xfId="484" xr:uid="{00000000-0005-0000-0000-00002E010000}"/>
    <cellStyle name="20% - Énfasis4 7" xfId="485" xr:uid="{00000000-0005-0000-0000-00002F010000}"/>
    <cellStyle name="20% - Énfasis4 8" xfId="486" xr:uid="{00000000-0005-0000-0000-000030010000}"/>
    <cellStyle name="20% - Énfasis4 9" xfId="487" xr:uid="{00000000-0005-0000-0000-000031010000}"/>
    <cellStyle name="20% - Énfasis5 10" xfId="488" xr:uid="{00000000-0005-0000-0000-000032010000}"/>
    <cellStyle name="20% - Énfasis5 11" xfId="489" xr:uid="{00000000-0005-0000-0000-000033010000}"/>
    <cellStyle name="20% - Énfasis5 12" xfId="490" xr:uid="{00000000-0005-0000-0000-000034010000}"/>
    <cellStyle name="20% - Énfasis5 13" xfId="491" xr:uid="{00000000-0005-0000-0000-000035010000}"/>
    <cellStyle name="20% - Énfasis5 14" xfId="492" xr:uid="{00000000-0005-0000-0000-000036010000}"/>
    <cellStyle name="20% - Énfasis5 15" xfId="493" xr:uid="{00000000-0005-0000-0000-000037010000}"/>
    <cellStyle name="20% - Énfasis5 16" xfId="494" xr:uid="{00000000-0005-0000-0000-000038010000}"/>
    <cellStyle name="20% - Énfasis5 17" xfId="495" xr:uid="{00000000-0005-0000-0000-000039010000}"/>
    <cellStyle name="20% - Énfasis5 18" xfId="496" xr:uid="{00000000-0005-0000-0000-00003A010000}"/>
    <cellStyle name="20% - Énfasis5 19" xfId="497" xr:uid="{00000000-0005-0000-0000-00003B010000}"/>
    <cellStyle name="20% - Énfasis5 2" xfId="89" xr:uid="{00000000-0005-0000-0000-00003C010000}"/>
    <cellStyle name="20% - Énfasis5 2 2" xfId="498" xr:uid="{00000000-0005-0000-0000-00003D010000}"/>
    <cellStyle name="20% - Énfasis5 2 3" xfId="499" xr:uid="{00000000-0005-0000-0000-00003E010000}"/>
    <cellStyle name="20% - Énfasis5 2 4" xfId="500" xr:uid="{00000000-0005-0000-0000-00003F010000}"/>
    <cellStyle name="20% - Énfasis5 2 5" xfId="501" xr:uid="{00000000-0005-0000-0000-000040010000}"/>
    <cellStyle name="20% - Énfasis5 20" xfId="502" xr:uid="{00000000-0005-0000-0000-000041010000}"/>
    <cellStyle name="20% - Énfasis5 21" xfId="503" xr:uid="{00000000-0005-0000-0000-000042010000}"/>
    <cellStyle name="20% - Énfasis5 22" xfId="504" xr:uid="{00000000-0005-0000-0000-000043010000}"/>
    <cellStyle name="20% - Énfasis5 23" xfId="505" xr:uid="{00000000-0005-0000-0000-000044010000}"/>
    <cellStyle name="20% - Énfasis5 24" xfId="506" xr:uid="{00000000-0005-0000-0000-000045010000}"/>
    <cellStyle name="20% - Énfasis5 25" xfId="507" xr:uid="{00000000-0005-0000-0000-000046010000}"/>
    <cellStyle name="20% - Énfasis5 26" xfId="508" xr:uid="{00000000-0005-0000-0000-000047010000}"/>
    <cellStyle name="20% - Énfasis5 27" xfId="509" xr:uid="{00000000-0005-0000-0000-000048010000}"/>
    <cellStyle name="20% - Énfasis5 28" xfId="510" xr:uid="{00000000-0005-0000-0000-000049010000}"/>
    <cellStyle name="20% - Énfasis5 29" xfId="511" xr:uid="{00000000-0005-0000-0000-00004A010000}"/>
    <cellStyle name="20% - Énfasis5 3" xfId="512" xr:uid="{00000000-0005-0000-0000-00004B010000}"/>
    <cellStyle name="20% - Énfasis5 30" xfId="513" xr:uid="{00000000-0005-0000-0000-00004C010000}"/>
    <cellStyle name="20% - Énfasis5 31" xfId="514" xr:uid="{00000000-0005-0000-0000-00004D010000}"/>
    <cellStyle name="20% - Énfasis5 32" xfId="515" xr:uid="{00000000-0005-0000-0000-00004E010000}"/>
    <cellStyle name="20% - Énfasis5 33" xfId="516" xr:uid="{00000000-0005-0000-0000-00004F010000}"/>
    <cellStyle name="20% - Énfasis5 34" xfId="517" xr:uid="{00000000-0005-0000-0000-000050010000}"/>
    <cellStyle name="20% - Énfasis5 35" xfId="518" xr:uid="{00000000-0005-0000-0000-000051010000}"/>
    <cellStyle name="20% - Énfasis5 36" xfId="519" xr:uid="{00000000-0005-0000-0000-000052010000}"/>
    <cellStyle name="20% - Énfasis5 37" xfId="520" xr:uid="{00000000-0005-0000-0000-000053010000}"/>
    <cellStyle name="20% - Énfasis5 38" xfId="521" xr:uid="{00000000-0005-0000-0000-000054010000}"/>
    <cellStyle name="20% - Énfasis5 39" xfId="522" xr:uid="{00000000-0005-0000-0000-000055010000}"/>
    <cellStyle name="20% - Énfasis5 4" xfId="523" xr:uid="{00000000-0005-0000-0000-000056010000}"/>
    <cellStyle name="20% - Énfasis5 40" xfId="524" xr:uid="{00000000-0005-0000-0000-000057010000}"/>
    <cellStyle name="20% - Énfasis5 41" xfId="525" xr:uid="{00000000-0005-0000-0000-000058010000}"/>
    <cellStyle name="20% - Énfasis5 42" xfId="526" xr:uid="{00000000-0005-0000-0000-000059010000}"/>
    <cellStyle name="20% - Énfasis5 43" xfId="527" xr:uid="{00000000-0005-0000-0000-00005A010000}"/>
    <cellStyle name="20% - Énfasis5 44" xfId="528" xr:uid="{00000000-0005-0000-0000-00005B010000}"/>
    <cellStyle name="20% - Énfasis5 45" xfId="529" xr:uid="{00000000-0005-0000-0000-00005C010000}"/>
    <cellStyle name="20% - Énfasis5 46" xfId="530" xr:uid="{00000000-0005-0000-0000-00005D010000}"/>
    <cellStyle name="20% - Énfasis5 47" xfId="531" xr:uid="{00000000-0005-0000-0000-00005E010000}"/>
    <cellStyle name="20% - Énfasis5 48" xfId="532" xr:uid="{00000000-0005-0000-0000-00005F010000}"/>
    <cellStyle name="20% - Énfasis5 49" xfId="533" xr:uid="{00000000-0005-0000-0000-000060010000}"/>
    <cellStyle name="20% - Énfasis5 5" xfId="534" xr:uid="{00000000-0005-0000-0000-000061010000}"/>
    <cellStyle name="20% - Énfasis5 50" xfId="535" xr:uid="{00000000-0005-0000-0000-000062010000}"/>
    <cellStyle name="20% - Énfasis5 51" xfId="536" xr:uid="{00000000-0005-0000-0000-000063010000}"/>
    <cellStyle name="20% - Énfasis5 52" xfId="537" xr:uid="{00000000-0005-0000-0000-000064010000}"/>
    <cellStyle name="20% - Énfasis5 53" xfId="538" xr:uid="{00000000-0005-0000-0000-000065010000}"/>
    <cellStyle name="20% - Énfasis5 54" xfId="539" xr:uid="{00000000-0005-0000-0000-000066010000}"/>
    <cellStyle name="20% - Énfasis5 55" xfId="540" xr:uid="{00000000-0005-0000-0000-000067010000}"/>
    <cellStyle name="20% - Énfasis5 56" xfId="541" xr:uid="{00000000-0005-0000-0000-000068010000}"/>
    <cellStyle name="20% - Énfasis5 57" xfId="542" xr:uid="{00000000-0005-0000-0000-000069010000}"/>
    <cellStyle name="20% - Énfasis5 58" xfId="543" xr:uid="{00000000-0005-0000-0000-00006A010000}"/>
    <cellStyle name="20% - Énfasis5 59" xfId="544" xr:uid="{00000000-0005-0000-0000-00006B010000}"/>
    <cellStyle name="20% - Énfasis5 6" xfId="545" xr:uid="{00000000-0005-0000-0000-00006C010000}"/>
    <cellStyle name="20% - Énfasis5 60" xfId="546" xr:uid="{00000000-0005-0000-0000-00006D010000}"/>
    <cellStyle name="20% - Énfasis5 61" xfId="547" xr:uid="{00000000-0005-0000-0000-00006E010000}"/>
    <cellStyle name="20% - Énfasis5 62" xfId="548" xr:uid="{00000000-0005-0000-0000-00006F010000}"/>
    <cellStyle name="20% - Énfasis5 63" xfId="549" xr:uid="{00000000-0005-0000-0000-000070010000}"/>
    <cellStyle name="20% - Énfasis5 64" xfId="550" xr:uid="{00000000-0005-0000-0000-000071010000}"/>
    <cellStyle name="20% - Énfasis5 65" xfId="551" xr:uid="{00000000-0005-0000-0000-000072010000}"/>
    <cellStyle name="20% - Énfasis5 66" xfId="552" xr:uid="{00000000-0005-0000-0000-000073010000}"/>
    <cellStyle name="20% - Énfasis5 67" xfId="553" xr:uid="{00000000-0005-0000-0000-000074010000}"/>
    <cellStyle name="20% - Énfasis5 7" xfId="554" xr:uid="{00000000-0005-0000-0000-000075010000}"/>
    <cellStyle name="20% - Énfasis5 8" xfId="555" xr:uid="{00000000-0005-0000-0000-000076010000}"/>
    <cellStyle name="20% - Énfasis5 9" xfId="556" xr:uid="{00000000-0005-0000-0000-000077010000}"/>
    <cellStyle name="20% - Énfasis6 10" xfId="557" xr:uid="{00000000-0005-0000-0000-000078010000}"/>
    <cellStyle name="20% - Énfasis6 11" xfId="558" xr:uid="{00000000-0005-0000-0000-000079010000}"/>
    <cellStyle name="20% - Énfasis6 12" xfId="559" xr:uid="{00000000-0005-0000-0000-00007A010000}"/>
    <cellStyle name="20% - Énfasis6 13" xfId="560" xr:uid="{00000000-0005-0000-0000-00007B010000}"/>
    <cellStyle name="20% - Énfasis6 14" xfId="561" xr:uid="{00000000-0005-0000-0000-00007C010000}"/>
    <cellStyle name="20% - Énfasis6 15" xfId="562" xr:uid="{00000000-0005-0000-0000-00007D010000}"/>
    <cellStyle name="20% - Énfasis6 16" xfId="563" xr:uid="{00000000-0005-0000-0000-00007E010000}"/>
    <cellStyle name="20% - Énfasis6 17" xfId="564" xr:uid="{00000000-0005-0000-0000-00007F010000}"/>
    <cellStyle name="20% - Énfasis6 18" xfId="565" xr:uid="{00000000-0005-0000-0000-000080010000}"/>
    <cellStyle name="20% - Énfasis6 19" xfId="566" xr:uid="{00000000-0005-0000-0000-000081010000}"/>
    <cellStyle name="20% - Énfasis6 2" xfId="90" xr:uid="{00000000-0005-0000-0000-000082010000}"/>
    <cellStyle name="20% - Énfasis6 2 2" xfId="567" xr:uid="{00000000-0005-0000-0000-000083010000}"/>
    <cellStyle name="20% - Énfasis6 2 3" xfId="568" xr:uid="{00000000-0005-0000-0000-000084010000}"/>
    <cellStyle name="20% - Énfasis6 2 4" xfId="569" xr:uid="{00000000-0005-0000-0000-000085010000}"/>
    <cellStyle name="20% - Énfasis6 2 5" xfId="570" xr:uid="{00000000-0005-0000-0000-000086010000}"/>
    <cellStyle name="20% - Énfasis6 20" xfId="571" xr:uid="{00000000-0005-0000-0000-000087010000}"/>
    <cellStyle name="20% - Énfasis6 21" xfId="572" xr:uid="{00000000-0005-0000-0000-000088010000}"/>
    <cellStyle name="20% - Énfasis6 22" xfId="573" xr:uid="{00000000-0005-0000-0000-000089010000}"/>
    <cellStyle name="20% - Énfasis6 23" xfId="574" xr:uid="{00000000-0005-0000-0000-00008A010000}"/>
    <cellStyle name="20% - Énfasis6 24" xfId="575" xr:uid="{00000000-0005-0000-0000-00008B010000}"/>
    <cellStyle name="20% - Énfasis6 25" xfId="576" xr:uid="{00000000-0005-0000-0000-00008C010000}"/>
    <cellStyle name="20% - Énfasis6 26" xfId="577" xr:uid="{00000000-0005-0000-0000-00008D010000}"/>
    <cellStyle name="20% - Énfasis6 27" xfId="578" xr:uid="{00000000-0005-0000-0000-00008E010000}"/>
    <cellStyle name="20% - Énfasis6 28" xfId="579" xr:uid="{00000000-0005-0000-0000-00008F010000}"/>
    <cellStyle name="20% - Énfasis6 29" xfId="580" xr:uid="{00000000-0005-0000-0000-000090010000}"/>
    <cellStyle name="20% - Énfasis6 3" xfId="581" xr:uid="{00000000-0005-0000-0000-000091010000}"/>
    <cellStyle name="20% - Énfasis6 30" xfId="582" xr:uid="{00000000-0005-0000-0000-000092010000}"/>
    <cellStyle name="20% - Énfasis6 31" xfId="583" xr:uid="{00000000-0005-0000-0000-000093010000}"/>
    <cellStyle name="20% - Énfasis6 32" xfId="584" xr:uid="{00000000-0005-0000-0000-000094010000}"/>
    <cellStyle name="20% - Énfasis6 33" xfId="585" xr:uid="{00000000-0005-0000-0000-000095010000}"/>
    <cellStyle name="20% - Énfasis6 34" xfId="586" xr:uid="{00000000-0005-0000-0000-000096010000}"/>
    <cellStyle name="20% - Énfasis6 35" xfId="587" xr:uid="{00000000-0005-0000-0000-000097010000}"/>
    <cellStyle name="20% - Énfasis6 36" xfId="588" xr:uid="{00000000-0005-0000-0000-000098010000}"/>
    <cellStyle name="20% - Énfasis6 37" xfId="589" xr:uid="{00000000-0005-0000-0000-000099010000}"/>
    <cellStyle name="20% - Énfasis6 38" xfId="590" xr:uid="{00000000-0005-0000-0000-00009A010000}"/>
    <cellStyle name="20% - Énfasis6 39" xfId="591" xr:uid="{00000000-0005-0000-0000-00009B010000}"/>
    <cellStyle name="20% - Énfasis6 4" xfId="592" xr:uid="{00000000-0005-0000-0000-00009C010000}"/>
    <cellStyle name="20% - Énfasis6 40" xfId="593" xr:uid="{00000000-0005-0000-0000-00009D010000}"/>
    <cellStyle name="20% - Énfasis6 41" xfId="594" xr:uid="{00000000-0005-0000-0000-00009E010000}"/>
    <cellStyle name="20% - Énfasis6 42" xfId="595" xr:uid="{00000000-0005-0000-0000-00009F010000}"/>
    <cellStyle name="20% - Énfasis6 43" xfId="596" xr:uid="{00000000-0005-0000-0000-0000A0010000}"/>
    <cellStyle name="20% - Énfasis6 44" xfId="597" xr:uid="{00000000-0005-0000-0000-0000A1010000}"/>
    <cellStyle name="20% - Énfasis6 45" xfId="598" xr:uid="{00000000-0005-0000-0000-0000A2010000}"/>
    <cellStyle name="20% - Énfasis6 46" xfId="599" xr:uid="{00000000-0005-0000-0000-0000A3010000}"/>
    <cellStyle name="20% - Énfasis6 47" xfId="600" xr:uid="{00000000-0005-0000-0000-0000A4010000}"/>
    <cellStyle name="20% - Énfasis6 48" xfId="601" xr:uid="{00000000-0005-0000-0000-0000A5010000}"/>
    <cellStyle name="20% - Énfasis6 49" xfId="602" xr:uid="{00000000-0005-0000-0000-0000A6010000}"/>
    <cellStyle name="20% - Énfasis6 5" xfId="603" xr:uid="{00000000-0005-0000-0000-0000A7010000}"/>
    <cellStyle name="20% - Énfasis6 50" xfId="604" xr:uid="{00000000-0005-0000-0000-0000A8010000}"/>
    <cellStyle name="20% - Énfasis6 51" xfId="605" xr:uid="{00000000-0005-0000-0000-0000A9010000}"/>
    <cellStyle name="20% - Énfasis6 52" xfId="606" xr:uid="{00000000-0005-0000-0000-0000AA010000}"/>
    <cellStyle name="20% - Énfasis6 53" xfId="607" xr:uid="{00000000-0005-0000-0000-0000AB010000}"/>
    <cellStyle name="20% - Énfasis6 54" xfId="608" xr:uid="{00000000-0005-0000-0000-0000AC010000}"/>
    <cellStyle name="20% - Énfasis6 55" xfId="609" xr:uid="{00000000-0005-0000-0000-0000AD010000}"/>
    <cellStyle name="20% - Énfasis6 56" xfId="610" xr:uid="{00000000-0005-0000-0000-0000AE010000}"/>
    <cellStyle name="20% - Énfasis6 57" xfId="611" xr:uid="{00000000-0005-0000-0000-0000AF010000}"/>
    <cellStyle name="20% - Énfasis6 58" xfId="612" xr:uid="{00000000-0005-0000-0000-0000B0010000}"/>
    <cellStyle name="20% - Énfasis6 59" xfId="613" xr:uid="{00000000-0005-0000-0000-0000B1010000}"/>
    <cellStyle name="20% - Énfasis6 6" xfId="614" xr:uid="{00000000-0005-0000-0000-0000B2010000}"/>
    <cellStyle name="20% - Énfasis6 60" xfId="615" xr:uid="{00000000-0005-0000-0000-0000B3010000}"/>
    <cellStyle name="20% - Énfasis6 61" xfId="616" xr:uid="{00000000-0005-0000-0000-0000B4010000}"/>
    <cellStyle name="20% - Énfasis6 62" xfId="617" xr:uid="{00000000-0005-0000-0000-0000B5010000}"/>
    <cellStyle name="20% - Énfasis6 63" xfId="618" xr:uid="{00000000-0005-0000-0000-0000B6010000}"/>
    <cellStyle name="20% - Énfasis6 64" xfId="619" xr:uid="{00000000-0005-0000-0000-0000B7010000}"/>
    <cellStyle name="20% - Énfasis6 65" xfId="620" xr:uid="{00000000-0005-0000-0000-0000B8010000}"/>
    <cellStyle name="20% - Énfasis6 66" xfId="621" xr:uid="{00000000-0005-0000-0000-0000B9010000}"/>
    <cellStyle name="20% - Énfasis6 67" xfId="622" xr:uid="{00000000-0005-0000-0000-0000BA010000}"/>
    <cellStyle name="20% - Énfasis6 7" xfId="623" xr:uid="{00000000-0005-0000-0000-0000BB010000}"/>
    <cellStyle name="20% - Énfasis6 8" xfId="624" xr:uid="{00000000-0005-0000-0000-0000BC010000}"/>
    <cellStyle name="20% - Énfasis6 9" xfId="625" xr:uid="{00000000-0005-0000-0000-0000BD010000}"/>
    <cellStyle name="40% - Accent1" xfId="7331" xr:uid="{00000000-0005-0000-0000-0000BE010000}"/>
    <cellStyle name="40% - Accent2" xfId="7332" xr:uid="{00000000-0005-0000-0000-0000BF010000}"/>
    <cellStyle name="40% - Accent3" xfId="7333" xr:uid="{00000000-0005-0000-0000-0000C0010000}"/>
    <cellStyle name="40% - Accent4" xfId="7334" xr:uid="{00000000-0005-0000-0000-0000C1010000}"/>
    <cellStyle name="40% - Accent5" xfId="7335" xr:uid="{00000000-0005-0000-0000-0000C2010000}"/>
    <cellStyle name="40% - Accent6" xfId="7336" xr:uid="{00000000-0005-0000-0000-0000C3010000}"/>
    <cellStyle name="40% - Énfasis1 10" xfId="626" xr:uid="{00000000-0005-0000-0000-0000C4010000}"/>
    <cellStyle name="40% - Énfasis1 11" xfId="627" xr:uid="{00000000-0005-0000-0000-0000C5010000}"/>
    <cellStyle name="40% - Énfasis1 12" xfId="628" xr:uid="{00000000-0005-0000-0000-0000C6010000}"/>
    <cellStyle name="40% - Énfasis1 13" xfId="629" xr:uid="{00000000-0005-0000-0000-0000C7010000}"/>
    <cellStyle name="40% - Énfasis1 14" xfId="630" xr:uid="{00000000-0005-0000-0000-0000C8010000}"/>
    <cellStyle name="40% - Énfasis1 15" xfId="631" xr:uid="{00000000-0005-0000-0000-0000C9010000}"/>
    <cellStyle name="40% - Énfasis1 16" xfId="632" xr:uid="{00000000-0005-0000-0000-0000CA010000}"/>
    <cellStyle name="40% - Énfasis1 17" xfId="633" xr:uid="{00000000-0005-0000-0000-0000CB010000}"/>
    <cellStyle name="40% - Énfasis1 18" xfId="634" xr:uid="{00000000-0005-0000-0000-0000CC010000}"/>
    <cellStyle name="40% - Énfasis1 19" xfId="635" xr:uid="{00000000-0005-0000-0000-0000CD010000}"/>
    <cellStyle name="40% - Énfasis1 2" xfId="91" xr:uid="{00000000-0005-0000-0000-0000CE010000}"/>
    <cellStyle name="40% - Énfasis1 2 2" xfId="636" xr:uid="{00000000-0005-0000-0000-0000CF010000}"/>
    <cellStyle name="40% - Énfasis1 2 3" xfId="637" xr:uid="{00000000-0005-0000-0000-0000D0010000}"/>
    <cellStyle name="40% - Énfasis1 2 4" xfId="638" xr:uid="{00000000-0005-0000-0000-0000D1010000}"/>
    <cellStyle name="40% - Énfasis1 2 5" xfId="639" xr:uid="{00000000-0005-0000-0000-0000D2010000}"/>
    <cellStyle name="40% - Énfasis1 20" xfId="640" xr:uid="{00000000-0005-0000-0000-0000D3010000}"/>
    <cellStyle name="40% - Énfasis1 21" xfId="641" xr:uid="{00000000-0005-0000-0000-0000D4010000}"/>
    <cellStyle name="40% - Énfasis1 22" xfId="642" xr:uid="{00000000-0005-0000-0000-0000D5010000}"/>
    <cellStyle name="40% - Énfasis1 23" xfId="643" xr:uid="{00000000-0005-0000-0000-0000D6010000}"/>
    <cellStyle name="40% - Énfasis1 24" xfId="644" xr:uid="{00000000-0005-0000-0000-0000D7010000}"/>
    <cellStyle name="40% - Énfasis1 25" xfId="645" xr:uid="{00000000-0005-0000-0000-0000D8010000}"/>
    <cellStyle name="40% - Énfasis1 26" xfId="646" xr:uid="{00000000-0005-0000-0000-0000D9010000}"/>
    <cellStyle name="40% - Énfasis1 27" xfId="647" xr:uid="{00000000-0005-0000-0000-0000DA010000}"/>
    <cellStyle name="40% - Énfasis1 28" xfId="648" xr:uid="{00000000-0005-0000-0000-0000DB010000}"/>
    <cellStyle name="40% - Énfasis1 29" xfId="649" xr:uid="{00000000-0005-0000-0000-0000DC010000}"/>
    <cellStyle name="40% - Énfasis1 3" xfId="650" xr:uid="{00000000-0005-0000-0000-0000DD010000}"/>
    <cellStyle name="40% - Énfasis1 30" xfId="651" xr:uid="{00000000-0005-0000-0000-0000DE010000}"/>
    <cellStyle name="40% - Énfasis1 31" xfId="652" xr:uid="{00000000-0005-0000-0000-0000DF010000}"/>
    <cellStyle name="40% - Énfasis1 32" xfId="653" xr:uid="{00000000-0005-0000-0000-0000E0010000}"/>
    <cellStyle name="40% - Énfasis1 33" xfId="654" xr:uid="{00000000-0005-0000-0000-0000E1010000}"/>
    <cellStyle name="40% - Énfasis1 34" xfId="655" xr:uid="{00000000-0005-0000-0000-0000E2010000}"/>
    <cellStyle name="40% - Énfasis1 35" xfId="656" xr:uid="{00000000-0005-0000-0000-0000E3010000}"/>
    <cellStyle name="40% - Énfasis1 36" xfId="657" xr:uid="{00000000-0005-0000-0000-0000E4010000}"/>
    <cellStyle name="40% - Énfasis1 37" xfId="658" xr:uid="{00000000-0005-0000-0000-0000E5010000}"/>
    <cellStyle name="40% - Énfasis1 38" xfId="659" xr:uid="{00000000-0005-0000-0000-0000E6010000}"/>
    <cellStyle name="40% - Énfasis1 39" xfId="660" xr:uid="{00000000-0005-0000-0000-0000E7010000}"/>
    <cellStyle name="40% - Énfasis1 4" xfId="661" xr:uid="{00000000-0005-0000-0000-0000E8010000}"/>
    <cellStyle name="40% - Énfasis1 40" xfId="662" xr:uid="{00000000-0005-0000-0000-0000E9010000}"/>
    <cellStyle name="40% - Énfasis1 41" xfId="663" xr:uid="{00000000-0005-0000-0000-0000EA010000}"/>
    <cellStyle name="40% - Énfasis1 42" xfId="664" xr:uid="{00000000-0005-0000-0000-0000EB010000}"/>
    <cellStyle name="40% - Énfasis1 43" xfId="665" xr:uid="{00000000-0005-0000-0000-0000EC010000}"/>
    <cellStyle name="40% - Énfasis1 44" xfId="666" xr:uid="{00000000-0005-0000-0000-0000ED010000}"/>
    <cellStyle name="40% - Énfasis1 45" xfId="667" xr:uid="{00000000-0005-0000-0000-0000EE010000}"/>
    <cellStyle name="40% - Énfasis1 46" xfId="668" xr:uid="{00000000-0005-0000-0000-0000EF010000}"/>
    <cellStyle name="40% - Énfasis1 47" xfId="669" xr:uid="{00000000-0005-0000-0000-0000F0010000}"/>
    <cellStyle name="40% - Énfasis1 48" xfId="670" xr:uid="{00000000-0005-0000-0000-0000F1010000}"/>
    <cellStyle name="40% - Énfasis1 49" xfId="671" xr:uid="{00000000-0005-0000-0000-0000F2010000}"/>
    <cellStyle name="40% - Énfasis1 5" xfId="672" xr:uid="{00000000-0005-0000-0000-0000F3010000}"/>
    <cellStyle name="40% - Énfasis1 50" xfId="673" xr:uid="{00000000-0005-0000-0000-0000F4010000}"/>
    <cellStyle name="40% - Énfasis1 51" xfId="674" xr:uid="{00000000-0005-0000-0000-0000F5010000}"/>
    <cellStyle name="40% - Énfasis1 52" xfId="675" xr:uid="{00000000-0005-0000-0000-0000F6010000}"/>
    <cellStyle name="40% - Énfasis1 53" xfId="676" xr:uid="{00000000-0005-0000-0000-0000F7010000}"/>
    <cellStyle name="40% - Énfasis1 54" xfId="677" xr:uid="{00000000-0005-0000-0000-0000F8010000}"/>
    <cellStyle name="40% - Énfasis1 55" xfId="678" xr:uid="{00000000-0005-0000-0000-0000F9010000}"/>
    <cellStyle name="40% - Énfasis1 56" xfId="679" xr:uid="{00000000-0005-0000-0000-0000FA010000}"/>
    <cellStyle name="40% - Énfasis1 57" xfId="680" xr:uid="{00000000-0005-0000-0000-0000FB010000}"/>
    <cellStyle name="40% - Énfasis1 58" xfId="681" xr:uid="{00000000-0005-0000-0000-0000FC010000}"/>
    <cellStyle name="40% - Énfasis1 59" xfId="682" xr:uid="{00000000-0005-0000-0000-0000FD010000}"/>
    <cellStyle name="40% - Énfasis1 6" xfId="683" xr:uid="{00000000-0005-0000-0000-0000FE010000}"/>
    <cellStyle name="40% - Énfasis1 60" xfId="684" xr:uid="{00000000-0005-0000-0000-0000FF010000}"/>
    <cellStyle name="40% - Énfasis1 61" xfId="685" xr:uid="{00000000-0005-0000-0000-000000020000}"/>
    <cellStyle name="40% - Énfasis1 62" xfId="686" xr:uid="{00000000-0005-0000-0000-000001020000}"/>
    <cellStyle name="40% - Énfasis1 63" xfId="687" xr:uid="{00000000-0005-0000-0000-000002020000}"/>
    <cellStyle name="40% - Énfasis1 64" xfId="688" xr:uid="{00000000-0005-0000-0000-000003020000}"/>
    <cellStyle name="40% - Énfasis1 65" xfId="689" xr:uid="{00000000-0005-0000-0000-000004020000}"/>
    <cellStyle name="40% - Énfasis1 66" xfId="690" xr:uid="{00000000-0005-0000-0000-000005020000}"/>
    <cellStyle name="40% - Énfasis1 67" xfId="691" xr:uid="{00000000-0005-0000-0000-000006020000}"/>
    <cellStyle name="40% - Énfasis1 7" xfId="692" xr:uid="{00000000-0005-0000-0000-000007020000}"/>
    <cellStyle name="40% - Énfasis1 8" xfId="693" xr:uid="{00000000-0005-0000-0000-000008020000}"/>
    <cellStyle name="40% - Énfasis1 9" xfId="694" xr:uid="{00000000-0005-0000-0000-000009020000}"/>
    <cellStyle name="40% - Énfasis2 10" xfId="695" xr:uid="{00000000-0005-0000-0000-00000A020000}"/>
    <cellStyle name="40% - Énfasis2 11" xfId="696" xr:uid="{00000000-0005-0000-0000-00000B020000}"/>
    <cellStyle name="40% - Énfasis2 12" xfId="697" xr:uid="{00000000-0005-0000-0000-00000C020000}"/>
    <cellStyle name="40% - Énfasis2 13" xfId="698" xr:uid="{00000000-0005-0000-0000-00000D020000}"/>
    <cellStyle name="40% - Énfasis2 14" xfId="699" xr:uid="{00000000-0005-0000-0000-00000E020000}"/>
    <cellStyle name="40% - Énfasis2 15" xfId="700" xr:uid="{00000000-0005-0000-0000-00000F020000}"/>
    <cellStyle name="40% - Énfasis2 16" xfId="701" xr:uid="{00000000-0005-0000-0000-000010020000}"/>
    <cellStyle name="40% - Énfasis2 17" xfId="702" xr:uid="{00000000-0005-0000-0000-000011020000}"/>
    <cellStyle name="40% - Énfasis2 18" xfId="703" xr:uid="{00000000-0005-0000-0000-000012020000}"/>
    <cellStyle name="40% - Énfasis2 19" xfId="704" xr:uid="{00000000-0005-0000-0000-000013020000}"/>
    <cellStyle name="40% - Énfasis2 2" xfId="92" xr:uid="{00000000-0005-0000-0000-000014020000}"/>
    <cellStyle name="40% - Énfasis2 2 2" xfId="705" xr:uid="{00000000-0005-0000-0000-000015020000}"/>
    <cellStyle name="40% - Énfasis2 2 3" xfId="706" xr:uid="{00000000-0005-0000-0000-000016020000}"/>
    <cellStyle name="40% - Énfasis2 2 4" xfId="707" xr:uid="{00000000-0005-0000-0000-000017020000}"/>
    <cellStyle name="40% - Énfasis2 2 5" xfId="708" xr:uid="{00000000-0005-0000-0000-000018020000}"/>
    <cellStyle name="40% - Énfasis2 20" xfId="709" xr:uid="{00000000-0005-0000-0000-000019020000}"/>
    <cellStyle name="40% - Énfasis2 21" xfId="710" xr:uid="{00000000-0005-0000-0000-00001A020000}"/>
    <cellStyle name="40% - Énfasis2 22" xfId="711" xr:uid="{00000000-0005-0000-0000-00001B020000}"/>
    <cellStyle name="40% - Énfasis2 23" xfId="712" xr:uid="{00000000-0005-0000-0000-00001C020000}"/>
    <cellStyle name="40% - Énfasis2 24" xfId="713" xr:uid="{00000000-0005-0000-0000-00001D020000}"/>
    <cellStyle name="40% - Énfasis2 25" xfId="714" xr:uid="{00000000-0005-0000-0000-00001E020000}"/>
    <cellStyle name="40% - Énfasis2 26" xfId="715" xr:uid="{00000000-0005-0000-0000-00001F020000}"/>
    <cellStyle name="40% - Énfasis2 27" xfId="716" xr:uid="{00000000-0005-0000-0000-000020020000}"/>
    <cellStyle name="40% - Énfasis2 28" xfId="717" xr:uid="{00000000-0005-0000-0000-000021020000}"/>
    <cellStyle name="40% - Énfasis2 29" xfId="718" xr:uid="{00000000-0005-0000-0000-000022020000}"/>
    <cellStyle name="40% - Énfasis2 3" xfId="719" xr:uid="{00000000-0005-0000-0000-000023020000}"/>
    <cellStyle name="40% - Énfasis2 30" xfId="720" xr:uid="{00000000-0005-0000-0000-000024020000}"/>
    <cellStyle name="40% - Énfasis2 31" xfId="721" xr:uid="{00000000-0005-0000-0000-000025020000}"/>
    <cellStyle name="40% - Énfasis2 32" xfId="722" xr:uid="{00000000-0005-0000-0000-000026020000}"/>
    <cellStyle name="40% - Énfasis2 33" xfId="723" xr:uid="{00000000-0005-0000-0000-000027020000}"/>
    <cellStyle name="40% - Énfasis2 34" xfId="724" xr:uid="{00000000-0005-0000-0000-000028020000}"/>
    <cellStyle name="40% - Énfasis2 35" xfId="725" xr:uid="{00000000-0005-0000-0000-000029020000}"/>
    <cellStyle name="40% - Énfasis2 36" xfId="726" xr:uid="{00000000-0005-0000-0000-00002A020000}"/>
    <cellStyle name="40% - Énfasis2 37" xfId="727" xr:uid="{00000000-0005-0000-0000-00002B020000}"/>
    <cellStyle name="40% - Énfasis2 38" xfId="728" xr:uid="{00000000-0005-0000-0000-00002C020000}"/>
    <cellStyle name="40% - Énfasis2 39" xfId="729" xr:uid="{00000000-0005-0000-0000-00002D020000}"/>
    <cellStyle name="40% - Énfasis2 4" xfId="730" xr:uid="{00000000-0005-0000-0000-00002E020000}"/>
    <cellStyle name="40% - Énfasis2 40" xfId="731" xr:uid="{00000000-0005-0000-0000-00002F020000}"/>
    <cellStyle name="40% - Énfasis2 41" xfId="732" xr:uid="{00000000-0005-0000-0000-000030020000}"/>
    <cellStyle name="40% - Énfasis2 42" xfId="733" xr:uid="{00000000-0005-0000-0000-000031020000}"/>
    <cellStyle name="40% - Énfasis2 43" xfId="734" xr:uid="{00000000-0005-0000-0000-000032020000}"/>
    <cellStyle name="40% - Énfasis2 44" xfId="735" xr:uid="{00000000-0005-0000-0000-000033020000}"/>
    <cellStyle name="40% - Énfasis2 45" xfId="736" xr:uid="{00000000-0005-0000-0000-000034020000}"/>
    <cellStyle name="40% - Énfasis2 46" xfId="737" xr:uid="{00000000-0005-0000-0000-000035020000}"/>
    <cellStyle name="40% - Énfasis2 47" xfId="738" xr:uid="{00000000-0005-0000-0000-000036020000}"/>
    <cellStyle name="40% - Énfasis2 48" xfId="739" xr:uid="{00000000-0005-0000-0000-000037020000}"/>
    <cellStyle name="40% - Énfasis2 49" xfId="740" xr:uid="{00000000-0005-0000-0000-000038020000}"/>
    <cellStyle name="40% - Énfasis2 5" xfId="741" xr:uid="{00000000-0005-0000-0000-000039020000}"/>
    <cellStyle name="40% - Énfasis2 50" xfId="742" xr:uid="{00000000-0005-0000-0000-00003A020000}"/>
    <cellStyle name="40% - Énfasis2 51" xfId="743" xr:uid="{00000000-0005-0000-0000-00003B020000}"/>
    <cellStyle name="40% - Énfasis2 52" xfId="744" xr:uid="{00000000-0005-0000-0000-00003C020000}"/>
    <cellStyle name="40% - Énfasis2 53" xfId="745" xr:uid="{00000000-0005-0000-0000-00003D020000}"/>
    <cellStyle name="40% - Énfasis2 54" xfId="746" xr:uid="{00000000-0005-0000-0000-00003E020000}"/>
    <cellStyle name="40% - Énfasis2 55" xfId="747" xr:uid="{00000000-0005-0000-0000-00003F020000}"/>
    <cellStyle name="40% - Énfasis2 56" xfId="748" xr:uid="{00000000-0005-0000-0000-000040020000}"/>
    <cellStyle name="40% - Énfasis2 57" xfId="749" xr:uid="{00000000-0005-0000-0000-000041020000}"/>
    <cellStyle name="40% - Énfasis2 58" xfId="750" xr:uid="{00000000-0005-0000-0000-000042020000}"/>
    <cellStyle name="40% - Énfasis2 59" xfId="751" xr:uid="{00000000-0005-0000-0000-000043020000}"/>
    <cellStyle name="40% - Énfasis2 6" xfId="752" xr:uid="{00000000-0005-0000-0000-000044020000}"/>
    <cellStyle name="40% - Énfasis2 60" xfId="753" xr:uid="{00000000-0005-0000-0000-000045020000}"/>
    <cellStyle name="40% - Énfasis2 61" xfId="754" xr:uid="{00000000-0005-0000-0000-000046020000}"/>
    <cellStyle name="40% - Énfasis2 62" xfId="755" xr:uid="{00000000-0005-0000-0000-000047020000}"/>
    <cellStyle name="40% - Énfasis2 63" xfId="756" xr:uid="{00000000-0005-0000-0000-000048020000}"/>
    <cellStyle name="40% - Énfasis2 64" xfId="757" xr:uid="{00000000-0005-0000-0000-000049020000}"/>
    <cellStyle name="40% - Énfasis2 65" xfId="758" xr:uid="{00000000-0005-0000-0000-00004A020000}"/>
    <cellStyle name="40% - Énfasis2 66" xfId="759" xr:uid="{00000000-0005-0000-0000-00004B020000}"/>
    <cellStyle name="40% - Énfasis2 67" xfId="760" xr:uid="{00000000-0005-0000-0000-00004C020000}"/>
    <cellStyle name="40% - Énfasis2 7" xfId="761" xr:uid="{00000000-0005-0000-0000-00004D020000}"/>
    <cellStyle name="40% - Énfasis2 8" xfId="762" xr:uid="{00000000-0005-0000-0000-00004E020000}"/>
    <cellStyle name="40% - Énfasis2 9" xfId="763" xr:uid="{00000000-0005-0000-0000-00004F020000}"/>
    <cellStyle name="40% - Énfasis3 10" xfId="764" xr:uid="{00000000-0005-0000-0000-000050020000}"/>
    <cellStyle name="40% - Énfasis3 11" xfId="765" xr:uid="{00000000-0005-0000-0000-000051020000}"/>
    <cellStyle name="40% - Énfasis3 12" xfId="766" xr:uid="{00000000-0005-0000-0000-000052020000}"/>
    <cellStyle name="40% - Énfasis3 13" xfId="767" xr:uid="{00000000-0005-0000-0000-000053020000}"/>
    <cellStyle name="40% - Énfasis3 14" xfId="768" xr:uid="{00000000-0005-0000-0000-000054020000}"/>
    <cellStyle name="40% - Énfasis3 15" xfId="769" xr:uid="{00000000-0005-0000-0000-000055020000}"/>
    <cellStyle name="40% - Énfasis3 16" xfId="770" xr:uid="{00000000-0005-0000-0000-000056020000}"/>
    <cellStyle name="40% - Énfasis3 17" xfId="771" xr:uid="{00000000-0005-0000-0000-000057020000}"/>
    <cellStyle name="40% - Énfasis3 18" xfId="772" xr:uid="{00000000-0005-0000-0000-000058020000}"/>
    <cellStyle name="40% - Énfasis3 19" xfId="773" xr:uid="{00000000-0005-0000-0000-000059020000}"/>
    <cellStyle name="40% - Énfasis3 2" xfId="93" xr:uid="{00000000-0005-0000-0000-00005A020000}"/>
    <cellStyle name="40% - Énfasis3 2 2" xfId="774" xr:uid="{00000000-0005-0000-0000-00005B020000}"/>
    <cellStyle name="40% - Énfasis3 2 3" xfId="775" xr:uid="{00000000-0005-0000-0000-00005C020000}"/>
    <cellStyle name="40% - Énfasis3 2 4" xfId="776" xr:uid="{00000000-0005-0000-0000-00005D020000}"/>
    <cellStyle name="40% - Énfasis3 2 5" xfId="777" xr:uid="{00000000-0005-0000-0000-00005E020000}"/>
    <cellStyle name="40% - Énfasis3 20" xfId="778" xr:uid="{00000000-0005-0000-0000-00005F020000}"/>
    <cellStyle name="40% - Énfasis3 21" xfId="779" xr:uid="{00000000-0005-0000-0000-000060020000}"/>
    <cellStyle name="40% - Énfasis3 22" xfId="780" xr:uid="{00000000-0005-0000-0000-000061020000}"/>
    <cellStyle name="40% - Énfasis3 23" xfId="781" xr:uid="{00000000-0005-0000-0000-000062020000}"/>
    <cellStyle name="40% - Énfasis3 24" xfId="782" xr:uid="{00000000-0005-0000-0000-000063020000}"/>
    <cellStyle name="40% - Énfasis3 25" xfId="783" xr:uid="{00000000-0005-0000-0000-000064020000}"/>
    <cellStyle name="40% - Énfasis3 26" xfId="784" xr:uid="{00000000-0005-0000-0000-000065020000}"/>
    <cellStyle name="40% - Énfasis3 27" xfId="785" xr:uid="{00000000-0005-0000-0000-000066020000}"/>
    <cellStyle name="40% - Énfasis3 28" xfId="786" xr:uid="{00000000-0005-0000-0000-000067020000}"/>
    <cellStyle name="40% - Énfasis3 29" xfId="787" xr:uid="{00000000-0005-0000-0000-000068020000}"/>
    <cellStyle name="40% - Énfasis3 3" xfId="788" xr:uid="{00000000-0005-0000-0000-000069020000}"/>
    <cellStyle name="40% - Énfasis3 30" xfId="789" xr:uid="{00000000-0005-0000-0000-00006A020000}"/>
    <cellStyle name="40% - Énfasis3 31" xfId="790" xr:uid="{00000000-0005-0000-0000-00006B020000}"/>
    <cellStyle name="40% - Énfasis3 32" xfId="791" xr:uid="{00000000-0005-0000-0000-00006C020000}"/>
    <cellStyle name="40% - Énfasis3 33" xfId="792" xr:uid="{00000000-0005-0000-0000-00006D020000}"/>
    <cellStyle name="40% - Énfasis3 34" xfId="793" xr:uid="{00000000-0005-0000-0000-00006E020000}"/>
    <cellStyle name="40% - Énfasis3 35" xfId="794" xr:uid="{00000000-0005-0000-0000-00006F020000}"/>
    <cellStyle name="40% - Énfasis3 36" xfId="795" xr:uid="{00000000-0005-0000-0000-000070020000}"/>
    <cellStyle name="40% - Énfasis3 37" xfId="796" xr:uid="{00000000-0005-0000-0000-000071020000}"/>
    <cellStyle name="40% - Énfasis3 38" xfId="797" xr:uid="{00000000-0005-0000-0000-000072020000}"/>
    <cellStyle name="40% - Énfasis3 39" xfId="798" xr:uid="{00000000-0005-0000-0000-000073020000}"/>
    <cellStyle name="40% - Énfasis3 4" xfId="799" xr:uid="{00000000-0005-0000-0000-000074020000}"/>
    <cellStyle name="40% - Énfasis3 40" xfId="800" xr:uid="{00000000-0005-0000-0000-000075020000}"/>
    <cellStyle name="40% - Énfasis3 41" xfId="801" xr:uid="{00000000-0005-0000-0000-000076020000}"/>
    <cellStyle name="40% - Énfasis3 42" xfId="802" xr:uid="{00000000-0005-0000-0000-000077020000}"/>
    <cellStyle name="40% - Énfasis3 43" xfId="803" xr:uid="{00000000-0005-0000-0000-000078020000}"/>
    <cellStyle name="40% - Énfasis3 44" xfId="804" xr:uid="{00000000-0005-0000-0000-000079020000}"/>
    <cellStyle name="40% - Énfasis3 45" xfId="805" xr:uid="{00000000-0005-0000-0000-00007A020000}"/>
    <cellStyle name="40% - Énfasis3 46" xfId="806" xr:uid="{00000000-0005-0000-0000-00007B020000}"/>
    <cellStyle name="40% - Énfasis3 47" xfId="807" xr:uid="{00000000-0005-0000-0000-00007C020000}"/>
    <cellStyle name="40% - Énfasis3 48" xfId="808" xr:uid="{00000000-0005-0000-0000-00007D020000}"/>
    <cellStyle name="40% - Énfasis3 49" xfId="809" xr:uid="{00000000-0005-0000-0000-00007E020000}"/>
    <cellStyle name="40% - Énfasis3 5" xfId="810" xr:uid="{00000000-0005-0000-0000-00007F020000}"/>
    <cellStyle name="40% - Énfasis3 50" xfId="811" xr:uid="{00000000-0005-0000-0000-000080020000}"/>
    <cellStyle name="40% - Énfasis3 51" xfId="812" xr:uid="{00000000-0005-0000-0000-000081020000}"/>
    <cellStyle name="40% - Énfasis3 52" xfId="813" xr:uid="{00000000-0005-0000-0000-000082020000}"/>
    <cellStyle name="40% - Énfasis3 53" xfId="814" xr:uid="{00000000-0005-0000-0000-000083020000}"/>
    <cellStyle name="40% - Énfasis3 54" xfId="815" xr:uid="{00000000-0005-0000-0000-000084020000}"/>
    <cellStyle name="40% - Énfasis3 55" xfId="816" xr:uid="{00000000-0005-0000-0000-000085020000}"/>
    <cellStyle name="40% - Énfasis3 56" xfId="817" xr:uid="{00000000-0005-0000-0000-000086020000}"/>
    <cellStyle name="40% - Énfasis3 57" xfId="818" xr:uid="{00000000-0005-0000-0000-000087020000}"/>
    <cellStyle name="40% - Énfasis3 58" xfId="819" xr:uid="{00000000-0005-0000-0000-000088020000}"/>
    <cellStyle name="40% - Énfasis3 59" xfId="820" xr:uid="{00000000-0005-0000-0000-000089020000}"/>
    <cellStyle name="40% - Énfasis3 6" xfId="821" xr:uid="{00000000-0005-0000-0000-00008A020000}"/>
    <cellStyle name="40% - Énfasis3 60" xfId="822" xr:uid="{00000000-0005-0000-0000-00008B020000}"/>
    <cellStyle name="40% - Énfasis3 61" xfId="823" xr:uid="{00000000-0005-0000-0000-00008C020000}"/>
    <cellStyle name="40% - Énfasis3 62" xfId="824" xr:uid="{00000000-0005-0000-0000-00008D020000}"/>
    <cellStyle name="40% - Énfasis3 63" xfId="825" xr:uid="{00000000-0005-0000-0000-00008E020000}"/>
    <cellStyle name="40% - Énfasis3 64" xfId="826" xr:uid="{00000000-0005-0000-0000-00008F020000}"/>
    <cellStyle name="40% - Énfasis3 65" xfId="827" xr:uid="{00000000-0005-0000-0000-000090020000}"/>
    <cellStyle name="40% - Énfasis3 66" xfId="828" xr:uid="{00000000-0005-0000-0000-000091020000}"/>
    <cellStyle name="40% - Énfasis3 67" xfId="829" xr:uid="{00000000-0005-0000-0000-000092020000}"/>
    <cellStyle name="40% - Énfasis3 7" xfId="830" xr:uid="{00000000-0005-0000-0000-000093020000}"/>
    <cellStyle name="40% - Énfasis3 8" xfId="831" xr:uid="{00000000-0005-0000-0000-000094020000}"/>
    <cellStyle name="40% - Énfasis3 9" xfId="832" xr:uid="{00000000-0005-0000-0000-000095020000}"/>
    <cellStyle name="40% - Énfasis4 10" xfId="833" xr:uid="{00000000-0005-0000-0000-000096020000}"/>
    <cellStyle name="40% - Énfasis4 11" xfId="834" xr:uid="{00000000-0005-0000-0000-000097020000}"/>
    <cellStyle name="40% - Énfasis4 12" xfId="835" xr:uid="{00000000-0005-0000-0000-000098020000}"/>
    <cellStyle name="40% - Énfasis4 13" xfId="836" xr:uid="{00000000-0005-0000-0000-000099020000}"/>
    <cellStyle name="40% - Énfasis4 14" xfId="837" xr:uid="{00000000-0005-0000-0000-00009A020000}"/>
    <cellStyle name="40% - Énfasis4 15" xfId="838" xr:uid="{00000000-0005-0000-0000-00009B020000}"/>
    <cellStyle name="40% - Énfasis4 16" xfId="839" xr:uid="{00000000-0005-0000-0000-00009C020000}"/>
    <cellStyle name="40% - Énfasis4 17" xfId="840" xr:uid="{00000000-0005-0000-0000-00009D020000}"/>
    <cellStyle name="40% - Énfasis4 18" xfId="841" xr:uid="{00000000-0005-0000-0000-00009E020000}"/>
    <cellStyle name="40% - Énfasis4 19" xfId="842" xr:uid="{00000000-0005-0000-0000-00009F020000}"/>
    <cellStyle name="40% - Énfasis4 2" xfId="94" xr:uid="{00000000-0005-0000-0000-0000A0020000}"/>
    <cellStyle name="40% - Énfasis4 2 2" xfId="843" xr:uid="{00000000-0005-0000-0000-0000A1020000}"/>
    <cellStyle name="40% - Énfasis4 2 3" xfId="844" xr:uid="{00000000-0005-0000-0000-0000A2020000}"/>
    <cellStyle name="40% - Énfasis4 2 4" xfId="845" xr:uid="{00000000-0005-0000-0000-0000A3020000}"/>
    <cellStyle name="40% - Énfasis4 2 5" xfId="846" xr:uid="{00000000-0005-0000-0000-0000A4020000}"/>
    <cellStyle name="40% - Énfasis4 20" xfId="847" xr:uid="{00000000-0005-0000-0000-0000A5020000}"/>
    <cellStyle name="40% - Énfasis4 21" xfId="848" xr:uid="{00000000-0005-0000-0000-0000A6020000}"/>
    <cellStyle name="40% - Énfasis4 22" xfId="849" xr:uid="{00000000-0005-0000-0000-0000A7020000}"/>
    <cellStyle name="40% - Énfasis4 23" xfId="850" xr:uid="{00000000-0005-0000-0000-0000A8020000}"/>
    <cellStyle name="40% - Énfasis4 24" xfId="851" xr:uid="{00000000-0005-0000-0000-0000A9020000}"/>
    <cellStyle name="40% - Énfasis4 25" xfId="852" xr:uid="{00000000-0005-0000-0000-0000AA020000}"/>
    <cellStyle name="40% - Énfasis4 26" xfId="853" xr:uid="{00000000-0005-0000-0000-0000AB020000}"/>
    <cellStyle name="40% - Énfasis4 27" xfId="854" xr:uid="{00000000-0005-0000-0000-0000AC020000}"/>
    <cellStyle name="40% - Énfasis4 28" xfId="855" xr:uid="{00000000-0005-0000-0000-0000AD020000}"/>
    <cellStyle name="40% - Énfasis4 29" xfId="856" xr:uid="{00000000-0005-0000-0000-0000AE020000}"/>
    <cellStyle name="40% - Énfasis4 3" xfId="857" xr:uid="{00000000-0005-0000-0000-0000AF020000}"/>
    <cellStyle name="40% - Énfasis4 30" xfId="858" xr:uid="{00000000-0005-0000-0000-0000B0020000}"/>
    <cellStyle name="40% - Énfasis4 31" xfId="859" xr:uid="{00000000-0005-0000-0000-0000B1020000}"/>
    <cellStyle name="40% - Énfasis4 32" xfId="860" xr:uid="{00000000-0005-0000-0000-0000B2020000}"/>
    <cellStyle name="40% - Énfasis4 33" xfId="861" xr:uid="{00000000-0005-0000-0000-0000B3020000}"/>
    <cellStyle name="40% - Énfasis4 34" xfId="862" xr:uid="{00000000-0005-0000-0000-0000B4020000}"/>
    <cellStyle name="40% - Énfasis4 35" xfId="863" xr:uid="{00000000-0005-0000-0000-0000B5020000}"/>
    <cellStyle name="40% - Énfasis4 36" xfId="864" xr:uid="{00000000-0005-0000-0000-0000B6020000}"/>
    <cellStyle name="40% - Énfasis4 37" xfId="865" xr:uid="{00000000-0005-0000-0000-0000B7020000}"/>
    <cellStyle name="40% - Énfasis4 38" xfId="866" xr:uid="{00000000-0005-0000-0000-0000B8020000}"/>
    <cellStyle name="40% - Énfasis4 39" xfId="867" xr:uid="{00000000-0005-0000-0000-0000B9020000}"/>
    <cellStyle name="40% - Énfasis4 4" xfId="868" xr:uid="{00000000-0005-0000-0000-0000BA020000}"/>
    <cellStyle name="40% - Énfasis4 40" xfId="869" xr:uid="{00000000-0005-0000-0000-0000BB020000}"/>
    <cellStyle name="40% - Énfasis4 41" xfId="870" xr:uid="{00000000-0005-0000-0000-0000BC020000}"/>
    <cellStyle name="40% - Énfasis4 42" xfId="871" xr:uid="{00000000-0005-0000-0000-0000BD020000}"/>
    <cellStyle name="40% - Énfasis4 43" xfId="872" xr:uid="{00000000-0005-0000-0000-0000BE020000}"/>
    <cellStyle name="40% - Énfasis4 44" xfId="873" xr:uid="{00000000-0005-0000-0000-0000BF020000}"/>
    <cellStyle name="40% - Énfasis4 45" xfId="874" xr:uid="{00000000-0005-0000-0000-0000C0020000}"/>
    <cellStyle name="40% - Énfasis4 46" xfId="875" xr:uid="{00000000-0005-0000-0000-0000C1020000}"/>
    <cellStyle name="40% - Énfasis4 47" xfId="876" xr:uid="{00000000-0005-0000-0000-0000C2020000}"/>
    <cellStyle name="40% - Énfasis4 48" xfId="877" xr:uid="{00000000-0005-0000-0000-0000C3020000}"/>
    <cellStyle name="40% - Énfasis4 49" xfId="878" xr:uid="{00000000-0005-0000-0000-0000C4020000}"/>
    <cellStyle name="40% - Énfasis4 5" xfId="879" xr:uid="{00000000-0005-0000-0000-0000C5020000}"/>
    <cellStyle name="40% - Énfasis4 50" xfId="880" xr:uid="{00000000-0005-0000-0000-0000C6020000}"/>
    <cellStyle name="40% - Énfasis4 51" xfId="881" xr:uid="{00000000-0005-0000-0000-0000C7020000}"/>
    <cellStyle name="40% - Énfasis4 52" xfId="882" xr:uid="{00000000-0005-0000-0000-0000C8020000}"/>
    <cellStyle name="40% - Énfasis4 53" xfId="883" xr:uid="{00000000-0005-0000-0000-0000C9020000}"/>
    <cellStyle name="40% - Énfasis4 54" xfId="884" xr:uid="{00000000-0005-0000-0000-0000CA020000}"/>
    <cellStyle name="40% - Énfasis4 55" xfId="885" xr:uid="{00000000-0005-0000-0000-0000CB020000}"/>
    <cellStyle name="40% - Énfasis4 56" xfId="886" xr:uid="{00000000-0005-0000-0000-0000CC020000}"/>
    <cellStyle name="40% - Énfasis4 57" xfId="887" xr:uid="{00000000-0005-0000-0000-0000CD020000}"/>
    <cellStyle name="40% - Énfasis4 58" xfId="888" xr:uid="{00000000-0005-0000-0000-0000CE020000}"/>
    <cellStyle name="40% - Énfasis4 59" xfId="889" xr:uid="{00000000-0005-0000-0000-0000CF020000}"/>
    <cellStyle name="40% - Énfasis4 6" xfId="890" xr:uid="{00000000-0005-0000-0000-0000D0020000}"/>
    <cellStyle name="40% - Énfasis4 60" xfId="891" xr:uid="{00000000-0005-0000-0000-0000D1020000}"/>
    <cellStyle name="40% - Énfasis4 61" xfId="892" xr:uid="{00000000-0005-0000-0000-0000D2020000}"/>
    <cellStyle name="40% - Énfasis4 62" xfId="893" xr:uid="{00000000-0005-0000-0000-0000D3020000}"/>
    <cellStyle name="40% - Énfasis4 63" xfId="894" xr:uid="{00000000-0005-0000-0000-0000D4020000}"/>
    <cellStyle name="40% - Énfasis4 64" xfId="895" xr:uid="{00000000-0005-0000-0000-0000D5020000}"/>
    <cellStyle name="40% - Énfasis4 65" xfId="896" xr:uid="{00000000-0005-0000-0000-0000D6020000}"/>
    <cellStyle name="40% - Énfasis4 66" xfId="897" xr:uid="{00000000-0005-0000-0000-0000D7020000}"/>
    <cellStyle name="40% - Énfasis4 67" xfId="898" xr:uid="{00000000-0005-0000-0000-0000D8020000}"/>
    <cellStyle name="40% - Énfasis4 7" xfId="899" xr:uid="{00000000-0005-0000-0000-0000D9020000}"/>
    <cellStyle name="40% - Énfasis4 8" xfId="900" xr:uid="{00000000-0005-0000-0000-0000DA020000}"/>
    <cellStyle name="40% - Énfasis4 9" xfId="901" xr:uid="{00000000-0005-0000-0000-0000DB020000}"/>
    <cellStyle name="40% - Énfasis5 10" xfId="902" xr:uid="{00000000-0005-0000-0000-0000DC020000}"/>
    <cellStyle name="40% - Énfasis5 11" xfId="903" xr:uid="{00000000-0005-0000-0000-0000DD020000}"/>
    <cellStyle name="40% - Énfasis5 12" xfId="904" xr:uid="{00000000-0005-0000-0000-0000DE020000}"/>
    <cellStyle name="40% - Énfasis5 13" xfId="905" xr:uid="{00000000-0005-0000-0000-0000DF020000}"/>
    <cellStyle name="40% - Énfasis5 14" xfId="906" xr:uid="{00000000-0005-0000-0000-0000E0020000}"/>
    <cellStyle name="40% - Énfasis5 15" xfId="907" xr:uid="{00000000-0005-0000-0000-0000E1020000}"/>
    <cellStyle name="40% - Énfasis5 16" xfId="908" xr:uid="{00000000-0005-0000-0000-0000E2020000}"/>
    <cellStyle name="40% - Énfasis5 17" xfId="909" xr:uid="{00000000-0005-0000-0000-0000E3020000}"/>
    <cellStyle name="40% - Énfasis5 18" xfId="910" xr:uid="{00000000-0005-0000-0000-0000E4020000}"/>
    <cellStyle name="40% - Énfasis5 19" xfId="911" xr:uid="{00000000-0005-0000-0000-0000E5020000}"/>
    <cellStyle name="40% - Énfasis5 2" xfId="95" xr:uid="{00000000-0005-0000-0000-0000E6020000}"/>
    <cellStyle name="40% - Énfasis5 2 2" xfId="912" xr:uid="{00000000-0005-0000-0000-0000E7020000}"/>
    <cellStyle name="40% - Énfasis5 2 3" xfId="913" xr:uid="{00000000-0005-0000-0000-0000E8020000}"/>
    <cellStyle name="40% - Énfasis5 2 4" xfId="914" xr:uid="{00000000-0005-0000-0000-0000E9020000}"/>
    <cellStyle name="40% - Énfasis5 2 5" xfId="915" xr:uid="{00000000-0005-0000-0000-0000EA020000}"/>
    <cellStyle name="40% - Énfasis5 20" xfId="916" xr:uid="{00000000-0005-0000-0000-0000EB020000}"/>
    <cellStyle name="40% - Énfasis5 21" xfId="917" xr:uid="{00000000-0005-0000-0000-0000EC020000}"/>
    <cellStyle name="40% - Énfasis5 22" xfId="918" xr:uid="{00000000-0005-0000-0000-0000ED020000}"/>
    <cellStyle name="40% - Énfasis5 23" xfId="919" xr:uid="{00000000-0005-0000-0000-0000EE020000}"/>
    <cellStyle name="40% - Énfasis5 24" xfId="920" xr:uid="{00000000-0005-0000-0000-0000EF020000}"/>
    <cellStyle name="40% - Énfasis5 25" xfId="921" xr:uid="{00000000-0005-0000-0000-0000F0020000}"/>
    <cellStyle name="40% - Énfasis5 26" xfId="922" xr:uid="{00000000-0005-0000-0000-0000F1020000}"/>
    <cellStyle name="40% - Énfasis5 27" xfId="923" xr:uid="{00000000-0005-0000-0000-0000F2020000}"/>
    <cellStyle name="40% - Énfasis5 28" xfId="924" xr:uid="{00000000-0005-0000-0000-0000F3020000}"/>
    <cellStyle name="40% - Énfasis5 29" xfId="925" xr:uid="{00000000-0005-0000-0000-0000F4020000}"/>
    <cellStyle name="40% - Énfasis5 3" xfId="926" xr:uid="{00000000-0005-0000-0000-0000F5020000}"/>
    <cellStyle name="40% - Énfasis5 30" xfId="927" xr:uid="{00000000-0005-0000-0000-0000F6020000}"/>
    <cellStyle name="40% - Énfasis5 31" xfId="928" xr:uid="{00000000-0005-0000-0000-0000F7020000}"/>
    <cellStyle name="40% - Énfasis5 32" xfId="929" xr:uid="{00000000-0005-0000-0000-0000F8020000}"/>
    <cellStyle name="40% - Énfasis5 33" xfId="930" xr:uid="{00000000-0005-0000-0000-0000F9020000}"/>
    <cellStyle name="40% - Énfasis5 34" xfId="931" xr:uid="{00000000-0005-0000-0000-0000FA020000}"/>
    <cellStyle name="40% - Énfasis5 35" xfId="932" xr:uid="{00000000-0005-0000-0000-0000FB020000}"/>
    <cellStyle name="40% - Énfasis5 36" xfId="933" xr:uid="{00000000-0005-0000-0000-0000FC020000}"/>
    <cellStyle name="40% - Énfasis5 37" xfId="934" xr:uid="{00000000-0005-0000-0000-0000FD020000}"/>
    <cellStyle name="40% - Énfasis5 38" xfId="935" xr:uid="{00000000-0005-0000-0000-0000FE020000}"/>
    <cellStyle name="40% - Énfasis5 39" xfId="936" xr:uid="{00000000-0005-0000-0000-0000FF020000}"/>
    <cellStyle name="40% - Énfasis5 4" xfId="937" xr:uid="{00000000-0005-0000-0000-000000030000}"/>
    <cellStyle name="40% - Énfasis5 40" xfId="938" xr:uid="{00000000-0005-0000-0000-000001030000}"/>
    <cellStyle name="40% - Énfasis5 41" xfId="939" xr:uid="{00000000-0005-0000-0000-000002030000}"/>
    <cellStyle name="40% - Énfasis5 42" xfId="940" xr:uid="{00000000-0005-0000-0000-000003030000}"/>
    <cellStyle name="40% - Énfasis5 43" xfId="941" xr:uid="{00000000-0005-0000-0000-000004030000}"/>
    <cellStyle name="40% - Énfasis5 44" xfId="942" xr:uid="{00000000-0005-0000-0000-000005030000}"/>
    <cellStyle name="40% - Énfasis5 45" xfId="943" xr:uid="{00000000-0005-0000-0000-000006030000}"/>
    <cellStyle name="40% - Énfasis5 46" xfId="944" xr:uid="{00000000-0005-0000-0000-000007030000}"/>
    <cellStyle name="40% - Énfasis5 47" xfId="945" xr:uid="{00000000-0005-0000-0000-000008030000}"/>
    <cellStyle name="40% - Énfasis5 48" xfId="946" xr:uid="{00000000-0005-0000-0000-000009030000}"/>
    <cellStyle name="40% - Énfasis5 49" xfId="947" xr:uid="{00000000-0005-0000-0000-00000A030000}"/>
    <cellStyle name="40% - Énfasis5 5" xfId="948" xr:uid="{00000000-0005-0000-0000-00000B030000}"/>
    <cellStyle name="40% - Énfasis5 50" xfId="949" xr:uid="{00000000-0005-0000-0000-00000C030000}"/>
    <cellStyle name="40% - Énfasis5 51" xfId="950" xr:uid="{00000000-0005-0000-0000-00000D030000}"/>
    <cellStyle name="40% - Énfasis5 52" xfId="951" xr:uid="{00000000-0005-0000-0000-00000E030000}"/>
    <cellStyle name="40% - Énfasis5 53" xfId="952" xr:uid="{00000000-0005-0000-0000-00000F030000}"/>
    <cellStyle name="40% - Énfasis5 54" xfId="953" xr:uid="{00000000-0005-0000-0000-000010030000}"/>
    <cellStyle name="40% - Énfasis5 55" xfId="954" xr:uid="{00000000-0005-0000-0000-000011030000}"/>
    <cellStyle name="40% - Énfasis5 56" xfId="955" xr:uid="{00000000-0005-0000-0000-000012030000}"/>
    <cellStyle name="40% - Énfasis5 57" xfId="956" xr:uid="{00000000-0005-0000-0000-000013030000}"/>
    <cellStyle name="40% - Énfasis5 58" xfId="957" xr:uid="{00000000-0005-0000-0000-000014030000}"/>
    <cellStyle name="40% - Énfasis5 59" xfId="958" xr:uid="{00000000-0005-0000-0000-000015030000}"/>
    <cellStyle name="40% - Énfasis5 6" xfId="959" xr:uid="{00000000-0005-0000-0000-000016030000}"/>
    <cellStyle name="40% - Énfasis5 60" xfId="960" xr:uid="{00000000-0005-0000-0000-000017030000}"/>
    <cellStyle name="40% - Énfasis5 61" xfId="961" xr:uid="{00000000-0005-0000-0000-000018030000}"/>
    <cellStyle name="40% - Énfasis5 62" xfId="962" xr:uid="{00000000-0005-0000-0000-000019030000}"/>
    <cellStyle name="40% - Énfasis5 63" xfId="963" xr:uid="{00000000-0005-0000-0000-00001A030000}"/>
    <cellStyle name="40% - Énfasis5 64" xfId="964" xr:uid="{00000000-0005-0000-0000-00001B030000}"/>
    <cellStyle name="40% - Énfasis5 65" xfId="965" xr:uid="{00000000-0005-0000-0000-00001C030000}"/>
    <cellStyle name="40% - Énfasis5 66" xfId="966" xr:uid="{00000000-0005-0000-0000-00001D030000}"/>
    <cellStyle name="40% - Énfasis5 67" xfId="967" xr:uid="{00000000-0005-0000-0000-00001E030000}"/>
    <cellStyle name="40% - Énfasis5 7" xfId="968" xr:uid="{00000000-0005-0000-0000-00001F030000}"/>
    <cellStyle name="40% - Énfasis5 8" xfId="969" xr:uid="{00000000-0005-0000-0000-000020030000}"/>
    <cellStyle name="40% - Énfasis5 9" xfId="970" xr:uid="{00000000-0005-0000-0000-000021030000}"/>
    <cellStyle name="40% - Énfasis6 10" xfId="971" xr:uid="{00000000-0005-0000-0000-000022030000}"/>
    <cellStyle name="40% - Énfasis6 11" xfId="972" xr:uid="{00000000-0005-0000-0000-000023030000}"/>
    <cellStyle name="40% - Énfasis6 12" xfId="973" xr:uid="{00000000-0005-0000-0000-000024030000}"/>
    <cellStyle name="40% - Énfasis6 13" xfId="974" xr:uid="{00000000-0005-0000-0000-000025030000}"/>
    <cellStyle name="40% - Énfasis6 14" xfId="975" xr:uid="{00000000-0005-0000-0000-000026030000}"/>
    <cellStyle name="40% - Énfasis6 15" xfId="976" xr:uid="{00000000-0005-0000-0000-000027030000}"/>
    <cellStyle name="40% - Énfasis6 16" xfId="977" xr:uid="{00000000-0005-0000-0000-000028030000}"/>
    <cellStyle name="40% - Énfasis6 17" xfId="978" xr:uid="{00000000-0005-0000-0000-000029030000}"/>
    <cellStyle name="40% - Énfasis6 18" xfId="979" xr:uid="{00000000-0005-0000-0000-00002A030000}"/>
    <cellStyle name="40% - Énfasis6 19" xfId="980" xr:uid="{00000000-0005-0000-0000-00002B030000}"/>
    <cellStyle name="40% - Énfasis6 2" xfId="96" xr:uid="{00000000-0005-0000-0000-00002C030000}"/>
    <cellStyle name="40% - Énfasis6 2 2" xfId="981" xr:uid="{00000000-0005-0000-0000-00002D030000}"/>
    <cellStyle name="40% - Énfasis6 2 3" xfId="982" xr:uid="{00000000-0005-0000-0000-00002E030000}"/>
    <cellStyle name="40% - Énfasis6 2 4" xfId="983" xr:uid="{00000000-0005-0000-0000-00002F030000}"/>
    <cellStyle name="40% - Énfasis6 2 5" xfId="984" xr:uid="{00000000-0005-0000-0000-000030030000}"/>
    <cellStyle name="40% - Énfasis6 20" xfId="985" xr:uid="{00000000-0005-0000-0000-000031030000}"/>
    <cellStyle name="40% - Énfasis6 21" xfId="986" xr:uid="{00000000-0005-0000-0000-000032030000}"/>
    <cellStyle name="40% - Énfasis6 22" xfId="987" xr:uid="{00000000-0005-0000-0000-000033030000}"/>
    <cellStyle name="40% - Énfasis6 23" xfId="988" xr:uid="{00000000-0005-0000-0000-000034030000}"/>
    <cellStyle name="40% - Énfasis6 24" xfId="989" xr:uid="{00000000-0005-0000-0000-000035030000}"/>
    <cellStyle name="40% - Énfasis6 25" xfId="990" xr:uid="{00000000-0005-0000-0000-000036030000}"/>
    <cellStyle name="40% - Énfasis6 26" xfId="991" xr:uid="{00000000-0005-0000-0000-000037030000}"/>
    <cellStyle name="40% - Énfasis6 27" xfId="992" xr:uid="{00000000-0005-0000-0000-000038030000}"/>
    <cellStyle name="40% - Énfasis6 28" xfId="993" xr:uid="{00000000-0005-0000-0000-000039030000}"/>
    <cellStyle name="40% - Énfasis6 29" xfId="994" xr:uid="{00000000-0005-0000-0000-00003A030000}"/>
    <cellStyle name="40% - Énfasis6 3" xfId="995" xr:uid="{00000000-0005-0000-0000-00003B030000}"/>
    <cellStyle name="40% - Énfasis6 30" xfId="996" xr:uid="{00000000-0005-0000-0000-00003C030000}"/>
    <cellStyle name="40% - Énfasis6 31" xfId="997" xr:uid="{00000000-0005-0000-0000-00003D030000}"/>
    <cellStyle name="40% - Énfasis6 32" xfId="998" xr:uid="{00000000-0005-0000-0000-00003E030000}"/>
    <cellStyle name="40% - Énfasis6 33" xfId="999" xr:uid="{00000000-0005-0000-0000-00003F030000}"/>
    <cellStyle name="40% - Énfasis6 34" xfId="1000" xr:uid="{00000000-0005-0000-0000-000040030000}"/>
    <cellStyle name="40% - Énfasis6 35" xfId="1001" xr:uid="{00000000-0005-0000-0000-000041030000}"/>
    <cellStyle name="40% - Énfasis6 36" xfId="1002" xr:uid="{00000000-0005-0000-0000-000042030000}"/>
    <cellStyle name="40% - Énfasis6 37" xfId="1003" xr:uid="{00000000-0005-0000-0000-000043030000}"/>
    <cellStyle name="40% - Énfasis6 38" xfId="1004" xr:uid="{00000000-0005-0000-0000-000044030000}"/>
    <cellStyle name="40% - Énfasis6 39" xfId="1005" xr:uid="{00000000-0005-0000-0000-000045030000}"/>
    <cellStyle name="40% - Énfasis6 4" xfId="1006" xr:uid="{00000000-0005-0000-0000-000046030000}"/>
    <cellStyle name="40% - Énfasis6 40" xfId="1007" xr:uid="{00000000-0005-0000-0000-000047030000}"/>
    <cellStyle name="40% - Énfasis6 41" xfId="1008" xr:uid="{00000000-0005-0000-0000-000048030000}"/>
    <cellStyle name="40% - Énfasis6 42" xfId="1009" xr:uid="{00000000-0005-0000-0000-000049030000}"/>
    <cellStyle name="40% - Énfasis6 43" xfId="1010" xr:uid="{00000000-0005-0000-0000-00004A030000}"/>
    <cellStyle name="40% - Énfasis6 44" xfId="1011" xr:uid="{00000000-0005-0000-0000-00004B030000}"/>
    <cellStyle name="40% - Énfasis6 45" xfId="1012" xr:uid="{00000000-0005-0000-0000-00004C030000}"/>
    <cellStyle name="40% - Énfasis6 46" xfId="1013" xr:uid="{00000000-0005-0000-0000-00004D030000}"/>
    <cellStyle name="40% - Énfasis6 47" xfId="1014" xr:uid="{00000000-0005-0000-0000-00004E030000}"/>
    <cellStyle name="40% - Énfasis6 48" xfId="1015" xr:uid="{00000000-0005-0000-0000-00004F030000}"/>
    <cellStyle name="40% - Énfasis6 49" xfId="1016" xr:uid="{00000000-0005-0000-0000-000050030000}"/>
    <cellStyle name="40% - Énfasis6 5" xfId="1017" xr:uid="{00000000-0005-0000-0000-000051030000}"/>
    <cellStyle name="40% - Énfasis6 50" xfId="1018" xr:uid="{00000000-0005-0000-0000-000052030000}"/>
    <cellStyle name="40% - Énfasis6 51" xfId="1019" xr:uid="{00000000-0005-0000-0000-000053030000}"/>
    <cellStyle name="40% - Énfasis6 52" xfId="1020" xr:uid="{00000000-0005-0000-0000-000054030000}"/>
    <cellStyle name="40% - Énfasis6 53" xfId="1021" xr:uid="{00000000-0005-0000-0000-000055030000}"/>
    <cellStyle name="40% - Énfasis6 54" xfId="1022" xr:uid="{00000000-0005-0000-0000-000056030000}"/>
    <cellStyle name="40% - Énfasis6 55" xfId="1023" xr:uid="{00000000-0005-0000-0000-000057030000}"/>
    <cellStyle name="40% - Énfasis6 56" xfId="1024" xr:uid="{00000000-0005-0000-0000-000058030000}"/>
    <cellStyle name="40% - Énfasis6 57" xfId="1025" xr:uid="{00000000-0005-0000-0000-000059030000}"/>
    <cellStyle name="40% - Énfasis6 58" xfId="1026" xr:uid="{00000000-0005-0000-0000-00005A030000}"/>
    <cellStyle name="40% - Énfasis6 59" xfId="1027" xr:uid="{00000000-0005-0000-0000-00005B030000}"/>
    <cellStyle name="40% - Énfasis6 6" xfId="1028" xr:uid="{00000000-0005-0000-0000-00005C030000}"/>
    <cellStyle name="40% - Énfasis6 60" xfId="1029" xr:uid="{00000000-0005-0000-0000-00005D030000}"/>
    <cellStyle name="40% - Énfasis6 61" xfId="1030" xr:uid="{00000000-0005-0000-0000-00005E030000}"/>
    <cellStyle name="40% - Énfasis6 62" xfId="1031" xr:uid="{00000000-0005-0000-0000-00005F030000}"/>
    <cellStyle name="40% - Énfasis6 63" xfId="1032" xr:uid="{00000000-0005-0000-0000-000060030000}"/>
    <cellStyle name="40% - Énfasis6 64" xfId="1033" xr:uid="{00000000-0005-0000-0000-000061030000}"/>
    <cellStyle name="40% - Énfasis6 65" xfId="1034" xr:uid="{00000000-0005-0000-0000-000062030000}"/>
    <cellStyle name="40% - Énfasis6 66" xfId="1035" xr:uid="{00000000-0005-0000-0000-000063030000}"/>
    <cellStyle name="40% - Énfasis6 67" xfId="1036" xr:uid="{00000000-0005-0000-0000-000064030000}"/>
    <cellStyle name="40% - Énfasis6 7" xfId="1037" xr:uid="{00000000-0005-0000-0000-000065030000}"/>
    <cellStyle name="40% - Énfasis6 8" xfId="1038" xr:uid="{00000000-0005-0000-0000-000066030000}"/>
    <cellStyle name="40% - Énfasis6 9" xfId="1039" xr:uid="{00000000-0005-0000-0000-000067030000}"/>
    <cellStyle name="60% - Accent1" xfId="7337" xr:uid="{00000000-0005-0000-0000-000068030000}"/>
    <cellStyle name="60% - Accent2" xfId="7338" xr:uid="{00000000-0005-0000-0000-000069030000}"/>
    <cellStyle name="60% - Accent3" xfId="7339" xr:uid="{00000000-0005-0000-0000-00006A030000}"/>
    <cellStyle name="60% - Accent4" xfId="7340" xr:uid="{00000000-0005-0000-0000-00006B030000}"/>
    <cellStyle name="60% - Accent5" xfId="7341" xr:uid="{00000000-0005-0000-0000-00006C030000}"/>
    <cellStyle name="60% - Accent6" xfId="7342" xr:uid="{00000000-0005-0000-0000-00006D030000}"/>
    <cellStyle name="60% - Énfasis1 10" xfId="1040" xr:uid="{00000000-0005-0000-0000-00006E030000}"/>
    <cellStyle name="60% - Énfasis1 11" xfId="1041" xr:uid="{00000000-0005-0000-0000-00006F030000}"/>
    <cellStyle name="60% - Énfasis1 12" xfId="1042" xr:uid="{00000000-0005-0000-0000-000070030000}"/>
    <cellStyle name="60% - Énfasis1 13" xfId="1043" xr:uid="{00000000-0005-0000-0000-000071030000}"/>
    <cellStyle name="60% - Énfasis1 14" xfId="1044" xr:uid="{00000000-0005-0000-0000-000072030000}"/>
    <cellStyle name="60% - Énfasis1 15" xfId="1045" xr:uid="{00000000-0005-0000-0000-000073030000}"/>
    <cellStyle name="60% - Énfasis1 16" xfId="1046" xr:uid="{00000000-0005-0000-0000-000074030000}"/>
    <cellStyle name="60% - Énfasis1 17" xfId="1047" xr:uid="{00000000-0005-0000-0000-000075030000}"/>
    <cellStyle name="60% - Énfasis1 18" xfId="1048" xr:uid="{00000000-0005-0000-0000-000076030000}"/>
    <cellStyle name="60% - Énfasis1 19" xfId="1049" xr:uid="{00000000-0005-0000-0000-000077030000}"/>
    <cellStyle name="60% - Énfasis1 2" xfId="97" xr:uid="{00000000-0005-0000-0000-000078030000}"/>
    <cellStyle name="60% - Énfasis1 2 2" xfId="1050" xr:uid="{00000000-0005-0000-0000-000079030000}"/>
    <cellStyle name="60% - Énfasis1 2 3" xfId="1051" xr:uid="{00000000-0005-0000-0000-00007A030000}"/>
    <cellStyle name="60% - Énfasis1 2 4" xfId="1052" xr:uid="{00000000-0005-0000-0000-00007B030000}"/>
    <cellStyle name="60% - Énfasis1 2 5" xfId="1053" xr:uid="{00000000-0005-0000-0000-00007C030000}"/>
    <cellStyle name="60% - Énfasis1 20" xfId="1054" xr:uid="{00000000-0005-0000-0000-00007D030000}"/>
    <cellStyle name="60% - Énfasis1 21" xfId="1055" xr:uid="{00000000-0005-0000-0000-00007E030000}"/>
    <cellStyle name="60% - Énfasis1 22" xfId="1056" xr:uid="{00000000-0005-0000-0000-00007F030000}"/>
    <cellStyle name="60% - Énfasis1 23" xfId="1057" xr:uid="{00000000-0005-0000-0000-000080030000}"/>
    <cellStyle name="60% - Énfasis1 24" xfId="1058" xr:uid="{00000000-0005-0000-0000-000081030000}"/>
    <cellStyle name="60% - Énfasis1 25" xfId="1059" xr:uid="{00000000-0005-0000-0000-000082030000}"/>
    <cellStyle name="60% - Énfasis1 26" xfId="1060" xr:uid="{00000000-0005-0000-0000-000083030000}"/>
    <cellStyle name="60% - Énfasis1 27" xfId="1061" xr:uid="{00000000-0005-0000-0000-000084030000}"/>
    <cellStyle name="60% - Énfasis1 28" xfId="1062" xr:uid="{00000000-0005-0000-0000-000085030000}"/>
    <cellStyle name="60% - Énfasis1 29" xfId="1063" xr:uid="{00000000-0005-0000-0000-000086030000}"/>
    <cellStyle name="60% - Énfasis1 3" xfId="1064" xr:uid="{00000000-0005-0000-0000-000087030000}"/>
    <cellStyle name="60% - Énfasis1 30" xfId="1065" xr:uid="{00000000-0005-0000-0000-000088030000}"/>
    <cellStyle name="60% - Énfasis1 31" xfId="1066" xr:uid="{00000000-0005-0000-0000-000089030000}"/>
    <cellStyle name="60% - Énfasis1 32" xfId="1067" xr:uid="{00000000-0005-0000-0000-00008A030000}"/>
    <cellStyle name="60% - Énfasis1 33" xfId="1068" xr:uid="{00000000-0005-0000-0000-00008B030000}"/>
    <cellStyle name="60% - Énfasis1 34" xfId="1069" xr:uid="{00000000-0005-0000-0000-00008C030000}"/>
    <cellStyle name="60% - Énfasis1 35" xfId="1070" xr:uid="{00000000-0005-0000-0000-00008D030000}"/>
    <cellStyle name="60% - Énfasis1 36" xfId="1071" xr:uid="{00000000-0005-0000-0000-00008E030000}"/>
    <cellStyle name="60% - Énfasis1 37" xfId="1072" xr:uid="{00000000-0005-0000-0000-00008F030000}"/>
    <cellStyle name="60% - Énfasis1 38" xfId="1073" xr:uid="{00000000-0005-0000-0000-000090030000}"/>
    <cellStyle name="60% - Énfasis1 39" xfId="1074" xr:uid="{00000000-0005-0000-0000-000091030000}"/>
    <cellStyle name="60% - Énfasis1 4" xfId="1075" xr:uid="{00000000-0005-0000-0000-000092030000}"/>
    <cellStyle name="60% - Énfasis1 40" xfId="1076" xr:uid="{00000000-0005-0000-0000-000093030000}"/>
    <cellStyle name="60% - Énfasis1 41" xfId="1077" xr:uid="{00000000-0005-0000-0000-000094030000}"/>
    <cellStyle name="60% - Énfasis1 42" xfId="1078" xr:uid="{00000000-0005-0000-0000-000095030000}"/>
    <cellStyle name="60% - Énfasis1 43" xfId="1079" xr:uid="{00000000-0005-0000-0000-000096030000}"/>
    <cellStyle name="60% - Énfasis1 44" xfId="1080" xr:uid="{00000000-0005-0000-0000-000097030000}"/>
    <cellStyle name="60% - Énfasis1 45" xfId="1081" xr:uid="{00000000-0005-0000-0000-000098030000}"/>
    <cellStyle name="60% - Énfasis1 46" xfId="1082" xr:uid="{00000000-0005-0000-0000-000099030000}"/>
    <cellStyle name="60% - Énfasis1 47" xfId="1083" xr:uid="{00000000-0005-0000-0000-00009A030000}"/>
    <cellStyle name="60% - Énfasis1 48" xfId="1084" xr:uid="{00000000-0005-0000-0000-00009B030000}"/>
    <cellStyle name="60% - Énfasis1 49" xfId="1085" xr:uid="{00000000-0005-0000-0000-00009C030000}"/>
    <cellStyle name="60% - Énfasis1 5" xfId="1086" xr:uid="{00000000-0005-0000-0000-00009D030000}"/>
    <cellStyle name="60% - Énfasis1 50" xfId="1087" xr:uid="{00000000-0005-0000-0000-00009E030000}"/>
    <cellStyle name="60% - Énfasis1 51" xfId="1088" xr:uid="{00000000-0005-0000-0000-00009F030000}"/>
    <cellStyle name="60% - Énfasis1 52" xfId="1089" xr:uid="{00000000-0005-0000-0000-0000A0030000}"/>
    <cellStyle name="60% - Énfasis1 53" xfId="1090" xr:uid="{00000000-0005-0000-0000-0000A1030000}"/>
    <cellStyle name="60% - Énfasis1 54" xfId="1091" xr:uid="{00000000-0005-0000-0000-0000A2030000}"/>
    <cellStyle name="60% - Énfasis1 55" xfId="1092" xr:uid="{00000000-0005-0000-0000-0000A3030000}"/>
    <cellStyle name="60% - Énfasis1 56" xfId="1093" xr:uid="{00000000-0005-0000-0000-0000A4030000}"/>
    <cellStyle name="60% - Énfasis1 57" xfId="1094" xr:uid="{00000000-0005-0000-0000-0000A5030000}"/>
    <cellStyle name="60% - Énfasis1 58" xfId="1095" xr:uid="{00000000-0005-0000-0000-0000A6030000}"/>
    <cellStyle name="60% - Énfasis1 59" xfId="1096" xr:uid="{00000000-0005-0000-0000-0000A7030000}"/>
    <cellStyle name="60% - Énfasis1 6" xfId="1097" xr:uid="{00000000-0005-0000-0000-0000A8030000}"/>
    <cellStyle name="60% - Énfasis1 60" xfId="1098" xr:uid="{00000000-0005-0000-0000-0000A9030000}"/>
    <cellStyle name="60% - Énfasis1 61" xfId="1099" xr:uid="{00000000-0005-0000-0000-0000AA030000}"/>
    <cellStyle name="60% - Énfasis1 62" xfId="1100" xr:uid="{00000000-0005-0000-0000-0000AB030000}"/>
    <cellStyle name="60% - Énfasis1 63" xfId="1101" xr:uid="{00000000-0005-0000-0000-0000AC030000}"/>
    <cellStyle name="60% - Énfasis1 64" xfId="1102" xr:uid="{00000000-0005-0000-0000-0000AD030000}"/>
    <cellStyle name="60% - Énfasis1 65" xfId="1103" xr:uid="{00000000-0005-0000-0000-0000AE030000}"/>
    <cellStyle name="60% - Énfasis1 66" xfId="1104" xr:uid="{00000000-0005-0000-0000-0000AF030000}"/>
    <cellStyle name="60% - Énfasis1 67" xfId="1105" xr:uid="{00000000-0005-0000-0000-0000B0030000}"/>
    <cellStyle name="60% - Énfasis1 7" xfId="1106" xr:uid="{00000000-0005-0000-0000-0000B1030000}"/>
    <cellStyle name="60% - Énfasis1 8" xfId="1107" xr:uid="{00000000-0005-0000-0000-0000B2030000}"/>
    <cellStyle name="60% - Énfasis1 9" xfId="1108" xr:uid="{00000000-0005-0000-0000-0000B3030000}"/>
    <cellStyle name="60% - Énfasis2 10" xfId="1109" xr:uid="{00000000-0005-0000-0000-0000B4030000}"/>
    <cellStyle name="60% - Énfasis2 11" xfId="1110" xr:uid="{00000000-0005-0000-0000-0000B5030000}"/>
    <cellStyle name="60% - Énfasis2 12" xfId="1111" xr:uid="{00000000-0005-0000-0000-0000B6030000}"/>
    <cellStyle name="60% - Énfasis2 13" xfId="1112" xr:uid="{00000000-0005-0000-0000-0000B7030000}"/>
    <cellStyle name="60% - Énfasis2 14" xfId="1113" xr:uid="{00000000-0005-0000-0000-0000B8030000}"/>
    <cellStyle name="60% - Énfasis2 15" xfId="1114" xr:uid="{00000000-0005-0000-0000-0000B9030000}"/>
    <cellStyle name="60% - Énfasis2 16" xfId="1115" xr:uid="{00000000-0005-0000-0000-0000BA030000}"/>
    <cellStyle name="60% - Énfasis2 17" xfId="1116" xr:uid="{00000000-0005-0000-0000-0000BB030000}"/>
    <cellStyle name="60% - Énfasis2 18" xfId="1117" xr:uid="{00000000-0005-0000-0000-0000BC030000}"/>
    <cellStyle name="60% - Énfasis2 19" xfId="1118" xr:uid="{00000000-0005-0000-0000-0000BD030000}"/>
    <cellStyle name="60% - Énfasis2 2" xfId="98" xr:uid="{00000000-0005-0000-0000-0000BE030000}"/>
    <cellStyle name="60% - Énfasis2 2 2" xfId="1119" xr:uid="{00000000-0005-0000-0000-0000BF030000}"/>
    <cellStyle name="60% - Énfasis2 2 3" xfId="1120" xr:uid="{00000000-0005-0000-0000-0000C0030000}"/>
    <cellStyle name="60% - Énfasis2 2 4" xfId="1121" xr:uid="{00000000-0005-0000-0000-0000C1030000}"/>
    <cellStyle name="60% - Énfasis2 2 5" xfId="1122" xr:uid="{00000000-0005-0000-0000-0000C2030000}"/>
    <cellStyle name="60% - Énfasis2 20" xfId="1123" xr:uid="{00000000-0005-0000-0000-0000C3030000}"/>
    <cellStyle name="60% - Énfasis2 21" xfId="1124" xr:uid="{00000000-0005-0000-0000-0000C4030000}"/>
    <cellStyle name="60% - Énfasis2 22" xfId="1125" xr:uid="{00000000-0005-0000-0000-0000C5030000}"/>
    <cellStyle name="60% - Énfasis2 23" xfId="1126" xr:uid="{00000000-0005-0000-0000-0000C6030000}"/>
    <cellStyle name="60% - Énfasis2 24" xfId="1127" xr:uid="{00000000-0005-0000-0000-0000C7030000}"/>
    <cellStyle name="60% - Énfasis2 25" xfId="1128" xr:uid="{00000000-0005-0000-0000-0000C8030000}"/>
    <cellStyle name="60% - Énfasis2 26" xfId="1129" xr:uid="{00000000-0005-0000-0000-0000C9030000}"/>
    <cellStyle name="60% - Énfasis2 27" xfId="1130" xr:uid="{00000000-0005-0000-0000-0000CA030000}"/>
    <cellStyle name="60% - Énfasis2 28" xfId="1131" xr:uid="{00000000-0005-0000-0000-0000CB030000}"/>
    <cellStyle name="60% - Énfasis2 29" xfId="1132" xr:uid="{00000000-0005-0000-0000-0000CC030000}"/>
    <cellStyle name="60% - Énfasis2 3" xfId="1133" xr:uid="{00000000-0005-0000-0000-0000CD030000}"/>
    <cellStyle name="60% - Énfasis2 30" xfId="1134" xr:uid="{00000000-0005-0000-0000-0000CE030000}"/>
    <cellStyle name="60% - Énfasis2 31" xfId="1135" xr:uid="{00000000-0005-0000-0000-0000CF030000}"/>
    <cellStyle name="60% - Énfasis2 32" xfId="1136" xr:uid="{00000000-0005-0000-0000-0000D0030000}"/>
    <cellStyle name="60% - Énfasis2 33" xfId="1137" xr:uid="{00000000-0005-0000-0000-0000D1030000}"/>
    <cellStyle name="60% - Énfasis2 34" xfId="1138" xr:uid="{00000000-0005-0000-0000-0000D2030000}"/>
    <cellStyle name="60% - Énfasis2 35" xfId="1139" xr:uid="{00000000-0005-0000-0000-0000D3030000}"/>
    <cellStyle name="60% - Énfasis2 36" xfId="1140" xr:uid="{00000000-0005-0000-0000-0000D4030000}"/>
    <cellStyle name="60% - Énfasis2 37" xfId="1141" xr:uid="{00000000-0005-0000-0000-0000D5030000}"/>
    <cellStyle name="60% - Énfasis2 38" xfId="1142" xr:uid="{00000000-0005-0000-0000-0000D6030000}"/>
    <cellStyle name="60% - Énfasis2 39" xfId="1143" xr:uid="{00000000-0005-0000-0000-0000D7030000}"/>
    <cellStyle name="60% - Énfasis2 4" xfId="1144" xr:uid="{00000000-0005-0000-0000-0000D8030000}"/>
    <cellStyle name="60% - Énfasis2 40" xfId="1145" xr:uid="{00000000-0005-0000-0000-0000D9030000}"/>
    <cellStyle name="60% - Énfasis2 41" xfId="1146" xr:uid="{00000000-0005-0000-0000-0000DA030000}"/>
    <cellStyle name="60% - Énfasis2 42" xfId="1147" xr:uid="{00000000-0005-0000-0000-0000DB030000}"/>
    <cellStyle name="60% - Énfasis2 43" xfId="1148" xr:uid="{00000000-0005-0000-0000-0000DC030000}"/>
    <cellStyle name="60% - Énfasis2 44" xfId="1149" xr:uid="{00000000-0005-0000-0000-0000DD030000}"/>
    <cellStyle name="60% - Énfasis2 45" xfId="1150" xr:uid="{00000000-0005-0000-0000-0000DE030000}"/>
    <cellStyle name="60% - Énfasis2 46" xfId="1151" xr:uid="{00000000-0005-0000-0000-0000DF030000}"/>
    <cellStyle name="60% - Énfasis2 47" xfId="1152" xr:uid="{00000000-0005-0000-0000-0000E0030000}"/>
    <cellStyle name="60% - Énfasis2 48" xfId="1153" xr:uid="{00000000-0005-0000-0000-0000E1030000}"/>
    <cellStyle name="60% - Énfasis2 49" xfId="1154" xr:uid="{00000000-0005-0000-0000-0000E2030000}"/>
    <cellStyle name="60% - Énfasis2 5" xfId="1155" xr:uid="{00000000-0005-0000-0000-0000E3030000}"/>
    <cellStyle name="60% - Énfasis2 50" xfId="1156" xr:uid="{00000000-0005-0000-0000-0000E4030000}"/>
    <cellStyle name="60% - Énfasis2 51" xfId="1157" xr:uid="{00000000-0005-0000-0000-0000E5030000}"/>
    <cellStyle name="60% - Énfasis2 52" xfId="1158" xr:uid="{00000000-0005-0000-0000-0000E6030000}"/>
    <cellStyle name="60% - Énfasis2 53" xfId="1159" xr:uid="{00000000-0005-0000-0000-0000E7030000}"/>
    <cellStyle name="60% - Énfasis2 54" xfId="1160" xr:uid="{00000000-0005-0000-0000-0000E8030000}"/>
    <cellStyle name="60% - Énfasis2 55" xfId="1161" xr:uid="{00000000-0005-0000-0000-0000E9030000}"/>
    <cellStyle name="60% - Énfasis2 56" xfId="1162" xr:uid="{00000000-0005-0000-0000-0000EA030000}"/>
    <cellStyle name="60% - Énfasis2 57" xfId="1163" xr:uid="{00000000-0005-0000-0000-0000EB030000}"/>
    <cellStyle name="60% - Énfasis2 58" xfId="1164" xr:uid="{00000000-0005-0000-0000-0000EC030000}"/>
    <cellStyle name="60% - Énfasis2 59" xfId="1165" xr:uid="{00000000-0005-0000-0000-0000ED030000}"/>
    <cellStyle name="60% - Énfasis2 6" xfId="1166" xr:uid="{00000000-0005-0000-0000-0000EE030000}"/>
    <cellStyle name="60% - Énfasis2 60" xfId="1167" xr:uid="{00000000-0005-0000-0000-0000EF030000}"/>
    <cellStyle name="60% - Énfasis2 61" xfId="1168" xr:uid="{00000000-0005-0000-0000-0000F0030000}"/>
    <cellStyle name="60% - Énfasis2 62" xfId="1169" xr:uid="{00000000-0005-0000-0000-0000F1030000}"/>
    <cellStyle name="60% - Énfasis2 63" xfId="1170" xr:uid="{00000000-0005-0000-0000-0000F2030000}"/>
    <cellStyle name="60% - Énfasis2 64" xfId="1171" xr:uid="{00000000-0005-0000-0000-0000F3030000}"/>
    <cellStyle name="60% - Énfasis2 65" xfId="1172" xr:uid="{00000000-0005-0000-0000-0000F4030000}"/>
    <cellStyle name="60% - Énfasis2 66" xfId="1173" xr:uid="{00000000-0005-0000-0000-0000F5030000}"/>
    <cellStyle name="60% - Énfasis2 67" xfId="1174" xr:uid="{00000000-0005-0000-0000-0000F6030000}"/>
    <cellStyle name="60% - Énfasis2 7" xfId="1175" xr:uid="{00000000-0005-0000-0000-0000F7030000}"/>
    <cellStyle name="60% - Énfasis2 8" xfId="1176" xr:uid="{00000000-0005-0000-0000-0000F8030000}"/>
    <cellStyle name="60% - Énfasis2 9" xfId="1177" xr:uid="{00000000-0005-0000-0000-0000F9030000}"/>
    <cellStyle name="60% - Énfasis3 10" xfId="1178" xr:uid="{00000000-0005-0000-0000-0000FA030000}"/>
    <cellStyle name="60% - Énfasis3 11" xfId="1179" xr:uid="{00000000-0005-0000-0000-0000FB030000}"/>
    <cellStyle name="60% - Énfasis3 12" xfId="1180" xr:uid="{00000000-0005-0000-0000-0000FC030000}"/>
    <cellStyle name="60% - Énfasis3 13" xfId="1181" xr:uid="{00000000-0005-0000-0000-0000FD030000}"/>
    <cellStyle name="60% - Énfasis3 14" xfId="1182" xr:uid="{00000000-0005-0000-0000-0000FE030000}"/>
    <cellStyle name="60% - Énfasis3 15" xfId="1183" xr:uid="{00000000-0005-0000-0000-0000FF030000}"/>
    <cellStyle name="60% - Énfasis3 16" xfId="1184" xr:uid="{00000000-0005-0000-0000-000000040000}"/>
    <cellStyle name="60% - Énfasis3 17" xfId="1185" xr:uid="{00000000-0005-0000-0000-000001040000}"/>
    <cellStyle name="60% - Énfasis3 18" xfId="1186" xr:uid="{00000000-0005-0000-0000-000002040000}"/>
    <cellStyle name="60% - Énfasis3 19" xfId="1187" xr:uid="{00000000-0005-0000-0000-000003040000}"/>
    <cellStyle name="60% - Énfasis3 2" xfId="99" xr:uid="{00000000-0005-0000-0000-000004040000}"/>
    <cellStyle name="60% - Énfasis3 2 2" xfId="1188" xr:uid="{00000000-0005-0000-0000-000005040000}"/>
    <cellStyle name="60% - Énfasis3 2 3" xfId="1189" xr:uid="{00000000-0005-0000-0000-000006040000}"/>
    <cellStyle name="60% - Énfasis3 2 4" xfId="1190" xr:uid="{00000000-0005-0000-0000-000007040000}"/>
    <cellStyle name="60% - Énfasis3 2 5" xfId="1191" xr:uid="{00000000-0005-0000-0000-000008040000}"/>
    <cellStyle name="60% - Énfasis3 20" xfId="1192" xr:uid="{00000000-0005-0000-0000-000009040000}"/>
    <cellStyle name="60% - Énfasis3 21" xfId="1193" xr:uid="{00000000-0005-0000-0000-00000A040000}"/>
    <cellStyle name="60% - Énfasis3 22" xfId="1194" xr:uid="{00000000-0005-0000-0000-00000B040000}"/>
    <cellStyle name="60% - Énfasis3 23" xfId="1195" xr:uid="{00000000-0005-0000-0000-00000C040000}"/>
    <cellStyle name="60% - Énfasis3 24" xfId="1196" xr:uid="{00000000-0005-0000-0000-00000D040000}"/>
    <cellStyle name="60% - Énfasis3 25" xfId="1197" xr:uid="{00000000-0005-0000-0000-00000E040000}"/>
    <cellStyle name="60% - Énfasis3 26" xfId="1198" xr:uid="{00000000-0005-0000-0000-00000F040000}"/>
    <cellStyle name="60% - Énfasis3 27" xfId="1199" xr:uid="{00000000-0005-0000-0000-000010040000}"/>
    <cellStyle name="60% - Énfasis3 28" xfId="1200" xr:uid="{00000000-0005-0000-0000-000011040000}"/>
    <cellStyle name="60% - Énfasis3 29" xfId="1201" xr:uid="{00000000-0005-0000-0000-000012040000}"/>
    <cellStyle name="60% - Énfasis3 3" xfId="1202" xr:uid="{00000000-0005-0000-0000-000013040000}"/>
    <cellStyle name="60% - Énfasis3 30" xfId="1203" xr:uid="{00000000-0005-0000-0000-000014040000}"/>
    <cellStyle name="60% - Énfasis3 31" xfId="1204" xr:uid="{00000000-0005-0000-0000-000015040000}"/>
    <cellStyle name="60% - Énfasis3 32" xfId="1205" xr:uid="{00000000-0005-0000-0000-000016040000}"/>
    <cellStyle name="60% - Énfasis3 33" xfId="1206" xr:uid="{00000000-0005-0000-0000-000017040000}"/>
    <cellStyle name="60% - Énfasis3 34" xfId="1207" xr:uid="{00000000-0005-0000-0000-000018040000}"/>
    <cellStyle name="60% - Énfasis3 35" xfId="1208" xr:uid="{00000000-0005-0000-0000-000019040000}"/>
    <cellStyle name="60% - Énfasis3 36" xfId="1209" xr:uid="{00000000-0005-0000-0000-00001A040000}"/>
    <cellStyle name="60% - Énfasis3 37" xfId="1210" xr:uid="{00000000-0005-0000-0000-00001B040000}"/>
    <cellStyle name="60% - Énfasis3 38" xfId="1211" xr:uid="{00000000-0005-0000-0000-00001C040000}"/>
    <cellStyle name="60% - Énfasis3 39" xfId="1212" xr:uid="{00000000-0005-0000-0000-00001D040000}"/>
    <cellStyle name="60% - Énfasis3 4" xfId="1213" xr:uid="{00000000-0005-0000-0000-00001E040000}"/>
    <cellStyle name="60% - Énfasis3 40" xfId="1214" xr:uid="{00000000-0005-0000-0000-00001F040000}"/>
    <cellStyle name="60% - Énfasis3 41" xfId="1215" xr:uid="{00000000-0005-0000-0000-000020040000}"/>
    <cellStyle name="60% - Énfasis3 42" xfId="1216" xr:uid="{00000000-0005-0000-0000-000021040000}"/>
    <cellStyle name="60% - Énfasis3 43" xfId="1217" xr:uid="{00000000-0005-0000-0000-000022040000}"/>
    <cellStyle name="60% - Énfasis3 44" xfId="1218" xr:uid="{00000000-0005-0000-0000-000023040000}"/>
    <cellStyle name="60% - Énfasis3 45" xfId="1219" xr:uid="{00000000-0005-0000-0000-000024040000}"/>
    <cellStyle name="60% - Énfasis3 46" xfId="1220" xr:uid="{00000000-0005-0000-0000-000025040000}"/>
    <cellStyle name="60% - Énfasis3 47" xfId="1221" xr:uid="{00000000-0005-0000-0000-000026040000}"/>
    <cellStyle name="60% - Énfasis3 48" xfId="1222" xr:uid="{00000000-0005-0000-0000-000027040000}"/>
    <cellStyle name="60% - Énfasis3 49" xfId="1223" xr:uid="{00000000-0005-0000-0000-000028040000}"/>
    <cellStyle name="60% - Énfasis3 5" xfId="1224" xr:uid="{00000000-0005-0000-0000-000029040000}"/>
    <cellStyle name="60% - Énfasis3 50" xfId="1225" xr:uid="{00000000-0005-0000-0000-00002A040000}"/>
    <cellStyle name="60% - Énfasis3 51" xfId="1226" xr:uid="{00000000-0005-0000-0000-00002B040000}"/>
    <cellStyle name="60% - Énfasis3 52" xfId="1227" xr:uid="{00000000-0005-0000-0000-00002C040000}"/>
    <cellStyle name="60% - Énfasis3 53" xfId="1228" xr:uid="{00000000-0005-0000-0000-00002D040000}"/>
    <cellStyle name="60% - Énfasis3 54" xfId="1229" xr:uid="{00000000-0005-0000-0000-00002E040000}"/>
    <cellStyle name="60% - Énfasis3 55" xfId="1230" xr:uid="{00000000-0005-0000-0000-00002F040000}"/>
    <cellStyle name="60% - Énfasis3 56" xfId="1231" xr:uid="{00000000-0005-0000-0000-000030040000}"/>
    <cellStyle name="60% - Énfasis3 57" xfId="1232" xr:uid="{00000000-0005-0000-0000-000031040000}"/>
    <cellStyle name="60% - Énfasis3 58" xfId="1233" xr:uid="{00000000-0005-0000-0000-000032040000}"/>
    <cellStyle name="60% - Énfasis3 59" xfId="1234" xr:uid="{00000000-0005-0000-0000-000033040000}"/>
    <cellStyle name="60% - Énfasis3 6" xfId="1235" xr:uid="{00000000-0005-0000-0000-000034040000}"/>
    <cellStyle name="60% - Énfasis3 60" xfId="1236" xr:uid="{00000000-0005-0000-0000-000035040000}"/>
    <cellStyle name="60% - Énfasis3 61" xfId="1237" xr:uid="{00000000-0005-0000-0000-000036040000}"/>
    <cellStyle name="60% - Énfasis3 62" xfId="1238" xr:uid="{00000000-0005-0000-0000-000037040000}"/>
    <cellStyle name="60% - Énfasis3 63" xfId="1239" xr:uid="{00000000-0005-0000-0000-000038040000}"/>
    <cellStyle name="60% - Énfasis3 64" xfId="1240" xr:uid="{00000000-0005-0000-0000-000039040000}"/>
    <cellStyle name="60% - Énfasis3 65" xfId="1241" xr:uid="{00000000-0005-0000-0000-00003A040000}"/>
    <cellStyle name="60% - Énfasis3 66" xfId="1242" xr:uid="{00000000-0005-0000-0000-00003B040000}"/>
    <cellStyle name="60% - Énfasis3 67" xfId="1243" xr:uid="{00000000-0005-0000-0000-00003C040000}"/>
    <cellStyle name="60% - Énfasis3 7" xfId="1244" xr:uid="{00000000-0005-0000-0000-00003D040000}"/>
    <cellStyle name="60% - Énfasis3 8" xfId="1245" xr:uid="{00000000-0005-0000-0000-00003E040000}"/>
    <cellStyle name="60% - Énfasis3 9" xfId="1246" xr:uid="{00000000-0005-0000-0000-00003F040000}"/>
    <cellStyle name="60% - Énfasis4 10" xfId="1247" xr:uid="{00000000-0005-0000-0000-000040040000}"/>
    <cellStyle name="60% - Énfasis4 11" xfId="1248" xr:uid="{00000000-0005-0000-0000-000041040000}"/>
    <cellStyle name="60% - Énfasis4 12" xfId="1249" xr:uid="{00000000-0005-0000-0000-000042040000}"/>
    <cellStyle name="60% - Énfasis4 13" xfId="1250" xr:uid="{00000000-0005-0000-0000-000043040000}"/>
    <cellStyle name="60% - Énfasis4 14" xfId="1251" xr:uid="{00000000-0005-0000-0000-000044040000}"/>
    <cellStyle name="60% - Énfasis4 15" xfId="1252" xr:uid="{00000000-0005-0000-0000-000045040000}"/>
    <cellStyle name="60% - Énfasis4 16" xfId="1253" xr:uid="{00000000-0005-0000-0000-000046040000}"/>
    <cellStyle name="60% - Énfasis4 17" xfId="1254" xr:uid="{00000000-0005-0000-0000-000047040000}"/>
    <cellStyle name="60% - Énfasis4 18" xfId="1255" xr:uid="{00000000-0005-0000-0000-000048040000}"/>
    <cellStyle name="60% - Énfasis4 19" xfId="1256" xr:uid="{00000000-0005-0000-0000-000049040000}"/>
    <cellStyle name="60% - Énfasis4 2" xfId="100" xr:uid="{00000000-0005-0000-0000-00004A040000}"/>
    <cellStyle name="60% - Énfasis4 2 2" xfId="1257" xr:uid="{00000000-0005-0000-0000-00004B040000}"/>
    <cellStyle name="60% - Énfasis4 2 3" xfId="1258" xr:uid="{00000000-0005-0000-0000-00004C040000}"/>
    <cellStyle name="60% - Énfasis4 2 4" xfId="1259" xr:uid="{00000000-0005-0000-0000-00004D040000}"/>
    <cellStyle name="60% - Énfasis4 2 5" xfId="1260" xr:uid="{00000000-0005-0000-0000-00004E040000}"/>
    <cellStyle name="60% - Énfasis4 20" xfId="1261" xr:uid="{00000000-0005-0000-0000-00004F040000}"/>
    <cellStyle name="60% - Énfasis4 21" xfId="1262" xr:uid="{00000000-0005-0000-0000-000050040000}"/>
    <cellStyle name="60% - Énfasis4 22" xfId="1263" xr:uid="{00000000-0005-0000-0000-000051040000}"/>
    <cellStyle name="60% - Énfasis4 23" xfId="1264" xr:uid="{00000000-0005-0000-0000-000052040000}"/>
    <cellStyle name="60% - Énfasis4 24" xfId="1265" xr:uid="{00000000-0005-0000-0000-000053040000}"/>
    <cellStyle name="60% - Énfasis4 25" xfId="1266" xr:uid="{00000000-0005-0000-0000-000054040000}"/>
    <cellStyle name="60% - Énfasis4 26" xfId="1267" xr:uid="{00000000-0005-0000-0000-000055040000}"/>
    <cellStyle name="60% - Énfasis4 27" xfId="1268" xr:uid="{00000000-0005-0000-0000-000056040000}"/>
    <cellStyle name="60% - Énfasis4 28" xfId="1269" xr:uid="{00000000-0005-0000-0000-000057040000}"/>
    <cellStyle name="60% - Énfasis4 29" xfId="1270" xr:uid="{00000000-0005-0000-0000-000058040000}"/>
    <cellStyle name="60% - Énfasis4 3" xfId="1271" xr:uid="{00000000-0005-0000-0000-000059040000}"/>
    <cellStyle name="60% - Énfasis4 30" xfId="1272" xr:uid="{00000000-0005-0000-0000-00005A040000}"/>
    <cellStyle name="60% - Énfasis4 31" xfId="1273" xr:uid="{00000000-0005-0000-0000-00005B040000}"/>
    <cellStyle name="60% - Énfasis4 32" xfId="1274" xr:uid="{00000000-0005-0000-0000-00005C040000}"/>
    <cellStyle name="60% - Énfasis4 33" xfId="1275" xr:uid="{00000000-0005-0000-0000-00005D040000}"/>
    <cellStyle name="60% - Énfasis4 34" xfId="1276" xr:uid="{00000000-0005-0000-0000-00005E040000}"/>
    <cellStyle name="60% - Énfasis4 35" xfId="1277" xr:uid="{00000000-0005-0000-0000-00005F040000}"/>
    <cellStyle name="60% - Énfasis4 36" xfId="1278" xr:uid="{00000000-0005-0000-0000-000060040000}"/>
    <cellStyle name="60% - Énfasis4 37" xfId="1279" xr:uid="{00000000-0005-0000-0000-000061040000}"/>
    <cellStyle name="60% - Énfasis4 38" xfId="1280" xr:uid="{00000000-0005-0000-0000-000062040000}"/>
    <cellStyle name="60% - Énfasis4 39" xfId="1281" xr:uid="{00000000-0005-0000-0000-000063040000}"/>
    <cellStyle name="60% - Énfasis4 4" xfId="1282" xr:uid="{00000000-0005-0000-0000-000064040000}"/>
    <cellStyle name="60% - Énfasis4 40" xfId="1283" xr:uid="{00000000-0005-0000-0000-000065040000}"/>
    <cellStyle name="60% - Énfasis4 41" xfId="1284" xr:uid="{00000000-0005-0000-0000-000066040000}"/>
    <cellStyle name="60% - Énfasis4 42" xfId="1285" xr:uid="{00000000-0005-0000-0000-000067040000}"/>
    <cellStyle name="60% - Énfasis4 43" xfId="1286" xr:uid="{00000000-0005-0000-0000-000068040000}"/>
    <cellStyle name="60% - Énfasis4 44" xfId="1287" xr:uid="{00000000-0005-0000-0000-000069040000}"/>
    <cellStyle name="60% - Énfasis4 45" xfId="1288" xr:uid="{00000000-0005-0000-0000-00006A040000}"/>
    <cellStyle name="60% - Énfasis4 46" xfId="1289" xr:uid="{00000000-0005-0000-0000-00006B040000}"/>
    <cellStyle name="60% - Énfasis4 47" xfId="1290" xr:uid="{00000000-0005-0000-0000-00006C040000}"/>
    <cellStyle name="60% - Énfasis4 48" xfId="1291" xr:uid="{00000000-0005-0000-0000-00006D040000}"/>
    <cellStyle name="60% - Énfasis4 49" xfId="1292" xr:uid="{00000000-0005-0000-0000-00006E040000}"/>
    <cellStyle name="60% - Énfasis4 5" xfId="1293" xr:uid="{00000000-0005-0000-0000-00006F040000}"/>
    <cellStyle name="60% - Énfasis4 50" xfId="1294" xr:uid="{00000000-0005-0000-0000-000070040000}"/>
    <cellStyle name="60% - Énfasis4 51" xfId="1295" xr:uid="{00000000-0005-0000-0000-000071040000}"/>
    <cellStyle name="60% - Énfasis4 52" xfId="1296" xr:uid="{00000000-0005-0000-0000-000072040000}"/>
    <cellStyle name="60% - Énfasis4 53" xfId="1297" xr:uid="{00000000-0005-0000-0000-000073040000}"/>
    <cellStyle name="60% - Énfasis4 54" xfId="1298" xr:uid="{00000000-0005-0000-0000-000074040000}"/>
    <cellStyle name="60% - Énfasis4 55" xfId="1299" xr:uid="{00000000-0005-0000-0000-000075040000}"/>
    <cellStyle name="60% - Énfasis4 56" xfId="1300" xr:uid="{00000000-0005-0000-0000-000076040000}"/>
    <cellStyle name="60% - Énfasis4 57" xfId="1301" xr:uid="{00000000-0005-0000-0000-000077040000}"/>
    <cellStyle name="60% - Énfasis4 58" xfId="1302" xr:uid="{00000000-0005-0000-0000-000078040000}"/>
    <cellStyle name="60% - Énfasis4 59" xfId="1303" xr:uid="{00000000-0005-0000-0000-000079040000}"/>
    <cellStyle name="60% - Énfasis4 6" xfId="1304" xr:uid="{00000000-0005-0000-0000-00007A040000}"/>
    <cellStyle name="60% - Énfasis4 60" xfId="1305" xr:uid="{00000000-0005-0000-0000-00007B040000}"/>
    <cellStyle name="60% - Énfasis4 61" xfId="1306" xr:uid="{00000000-0005-0000-0000-00007C040000}"/>
    <cellStyle name="60% - Énfasis4 62" xfId="1307" xr:uid="{00000000-0005-0000-0000-00007D040000}"/>
    <cellStyle name="60% - Énfasis4 63" xfId="1308" xr:uid="{00000000-0005-0000-0000-00007E040000}"/>
    <cellStyle name="60% - Énfasis4 64" xfId="1309" xr:uid="{00000000-0005-0000-0000-00007F040000}"/>
    <cellStyle name="60% - Énfasis4 65" xfId="1310" xr:uid="{00000000-0005-0000-0000-000080040000}"/>
    <cellStyle name="60% - Énfasis4 66" xfId="1311" xr:uid="{00000000-0005-0000-0000-000081040000}"/>
    <cellStyle name="60% - Énfasis4 67" xfId="1312" xr:uid="{00000000-0005-0000-0000-000082040000}"/>
    <cellStyle name="60% - Énfasis4 7" xfId="1313" xr:uid="{00000000-0005-0000-0000-000083040000}"/>
    <cellStyle name="60% - Énfasis4 8" xfId="1314" xr:uid="{00000000-0005-0000-0000-000084040000}"/>
    <cellStyle name="60% - Énfasis4 9" xfId="1315" xr:uid="{00000000-0005-0000-0000-000085040000}"/>
    <cellStyle name="60% - Énfasis5 10" xfId="1316" xr:uid="{00000000-0005-0000-0000-000086040000}"/>
    <cellStyle name="60% - Énfasis5 11" xfId="1317" xr:uid="{00000000-0005-0000-0000-000087040000}"/>
    <cellStyle name="60% - Énfasis5 12" xfId="1318" xr:uid="{00000000-0005-0000-0000-000088040000}"/>
    <cellStyle name="60% - Énfasis5 13" xfId="1319" xr:uid="{00000000-0005-0000-0000-000089040000}"/>
    <cellStyle name="60% - Énfasis5 14" xfId="1320" xr:uid="{00000000-0005-0000-0000-00008A040000}"/>
    <cellStyle name="60% - Énfasis5 15" xfId="1321" xr:uid="{00000000-0005-0000-0000-00008B040000}"/>
    <cellStyle name="60% - Énfasis5 16" xfId="1322" xr:uid="{00000000-0005-0000-0000-00008C040000}"/>
    <cellStyle name="60% - Énfasis5 17" xfId="1323" xr:uid="{00000000-0005-0000-0000-00008D040000}"/>
    <cellStyle name="60% - Énfasis5 18" xfId="1324" xr:uid="{00000000-0005-0000-0000-00008E040000}"/>
    <cellStyle name="60% - Énfasis5 19" xfId="1325" xr:uid="{00000000-0005-0000-0000-00008F040000}"/>
    <cellStyle name="60% - Énfasis5 2" xfId="101" xr:uid="{00000000-0005-0000-0000-000090040000}"/>
    <cellStyle name="60% - Énfasis5 2 2" xfId="1326" xr:uid="{00000000-0005-0000-0000-000091040000}"/>
    <cellStyle name="60% - Énfasis5 2 3" xfId="1327" xr:uid="{00000000-0005-0000-0000-000092040000}"/>
    <cellStyle name="60% - Énfasis5 2 4" xfId="1328" xr:uid="{00000000-0005-0000-0000-000093040000}"/>
    <cellStyle name="60% - Énfasis5 2 5" xfId="1329" xr:uid="{00000000-0005-0000-0000-000094040000}"/>
    <cellStyle name="60% - Énfasis5 20" xfId="1330" xr:uid="{00000000-0005-0000-0000-000095040000}"/>
    <cellStyle name="60% - Énfasis5 21" xfId="1331" xr:uid="{00000000-0005-0000-0000-000096040000}"/>
    <cellStyle name="60% - Énfasis5 22" xfId="1332" xr:uid="{00000000-0005-0000-0000-000097040000}"/>
    <cellStyle name="60% - Énfasis5 23" xfId="1333" xr:uid="{00000000-0005-0000-0000-000098040000}"/>
    <cellStyle name="60% - Énfasis5 24" xfId="1334" xr:uid="{00000000-0005-0000-0000-000099040000}"/>
    <cellStyle name="60% - Énfasis5 25" xfId="1335" xr:uid="{00000000-0005-0000-0000-00009A040000}"/>
    <cellStyle name="60% - Énfasis5 26" xfId="1336" xr:uid="{00000000-0005-0000-0000-00009B040000}"/>
    <cellStyle name="60% - Énfasis5 27" xfId="1337" xr:uid="{00000000-0005-0000-0000-00009C040000}"/>
    <cellStyle name="60% - Énfasis5 28" xfId="1338" xr:uid="{00000000-0005-0000-0000-00009D040000}"/>
    <cellStyle name="60% - Énfasis5 29" xfId="1339" xr:uid="{00000000-0005-0000-0000-00009E040000}"/>
    <cellStyle name="60% - Énfasis5 3" xfId="1340" xr:uid="{00000000-0005-0000-0000-00009F040000}"/>
    <cellStyle name="60% - Énfasis5 30" xfId="1341" xr:uid="{00000000-0005-0000-0000-0000A0040000}"/>
    <cellStyle name="60% - Énfasis5 31" xfId="1342" xr:uid="{00000000-0005-0000-0000-0000A1040000}"/>
    <cellStyle name="60% - Énfasis5 32" xfId="1343" xr:uid="{00000000-0005-0000-0000-0000A2040000}"/>
    <cellStyle name="60% - Énfasis5 33" xfId="1344" xr:uid="{00000000-0005-0000-0000-0000A3040000}"/>
    <cellStyle name="60% - Énfasis5 34" xfId="1345" xr:uid="{00000000-0005-0000-0000-0000A4040000}"/>
    <cellStyle name="60% - Énfasis5 35" xfId="1346" xr:uid="{00000000-0005-0000-0000-0000A5040000}"/>
    <cellStyle name="60% - Énfasis5 36" xfId="1347" xr:uid="{00000000-0005-0000-0000-0000A6040000}"/>
    <cellStyle name="60% - Énfasis5 37" xfId="1348" xr:uid="{00000000-0005-0000-0000-0000A7040000}"/>
    <cellStyle name="60% - Énfasis5 38" xfId="1349" xr:uid="{00000000-0005-0000-0000-0000A8040000}"/>
    <cellStyle name="60% - Énfasis5 39" xfId="1350" xr:uid="{00000000-0005-0000-0000-0000A9040000}"/>
    <cellStyle name="60% - Énfasis5 4" xfId="1351" xr:uid="{00000000-0005-0000-0000-0000AA040000}"/>
    <cellStyle name="60% - Énfasis5 40" xfId="1352" xr:uid="{00000000-0005-0000-0000-0000AB040000}"/>
    <cellStyle name="60% - Énfasis5 41" xfId="1353" xr:uid="{00000000-0005-0000-0000-0000AC040000}"/>
    <cellStyle name="60% - Énfasis5 42" xfId="1354" xr:uid="{00000000-0005-0000-0000-0000AD040000}"/>
    <cellStyle name="60% - Énfasis5 43" xfId="1355" xr:uid="{00000000-0005-0000-0000-0000AE040000}"/>
    <cellStyle name="60% - Énfasis5 44" xfId="1356" xr:uid="{00000000-0005-0000-0000-0000AF040000}"/>
    <cellStyle name="60% - Énfasis5 45" xfId="1357" xr:uid="{00000000-0005-0000-0000-0000B0040000}"/>
    <cellStyle name="60% - Énfasis5 46" xfId="1358" xr:uid="{00000000-0005-0000-0000-0000B1040000}"/>
    <cellStyle name="60% - Énfasis5 47" xfId="1359" xr:uid="{00000000-0005-0000-0000-0000B2040000}"/>
    <cellStyle name="60% - Énfasis5 48" xfId="1360" xr:uid="{00000000-0005-0000-0000-0000B3040000}"/>
    <cellStyle name="60% - Énfasis5 49" xfId="1361" xr:uid="{00000000-0005-0000-0000-0000B4040000}"/>
    <cellStyle name="60% - Énfasis5 5" xfId="1362" xr:uid="{00000000-0005-0000-0000-0000B5040000}"/>
    <cellStyle name="60% - Énfasis5 50" xfId="1363" xr:uid="{00000000-0005-0000-0000-0000B6040000}"/>
    <cellStyle name="60% - Énfasis5 51" xfId="1364" xr:uid="{00000000-0005-0000-0000-0000B7040000}"/>
    <cellStyle name="60% - Énfasis5 52" xfId="1365" xr:uid="{00000000-0005-0000-0000-0000B8040000}"/>
    <cellStyle name="60% - Énfasis5 53" xfId="1366" xr:uid="{00000000-0005-0000-0000-0000B9040000}"/>
    <cellStyle name="60% - Énfasis5 54" xfId="1367" xr:uid="{00000000-0005-0000-0000-0000BA040000}"/>
    <cellStyle name="60% - Énfasis5 55" xfId="1368" xr:uid="{00000000-0005-0000-0000-0000BB040000}"/>
    <cellStyle name="60% - Énfasis5 56" xfId="1369" xr:uid="{00000000-0005-0000-0000-0000BC040000}"/>
    <cellStyle name="60% - Énfasis5 57" xfId="1370" xr:uid="{00000000-0005-0000-0000-0000BD040000}"/>
    <cellStyle name="60% - Énfasis5 58" xfId="1371" xr:uid="{00000000-0005-0000-0000-0000BE040000}"/>
    <cellStyle name="60% - Énfasis5 59" xfId="1372" xr:uid="{00000000-0005-0000-0000-0000BF040000}"/>
    <cellStyle name="60% - Énfasis5 6" xfId="1373" xr:uid="{00000000-0005-0000-0000-0000C0040000}"/>
    <cellStyle name="60% - Énfasis5 60" xfId="1374" xr:uid="{00000000-0005-0000-0000-0000C1040000}"/>
    <cellStyle name="60% - Énfasis5 61" xfId="1375" xr:uid="{00000000-0005-0000-0000-0000C2040000}"/>
    <cellStyle name="60% - Énfasis5 62" xfId="1376" xr:uid="{00000000-0005-0000-0000-0000C3040000}"/>
    <cellStyle name="60% - Énfasis5 63" xfId="1377" xr:uid="{00000000-0005-0000-0000-0000C4040000}"/>
    <cellStyle name="60% - Énfasis5 64" xfId="1378" xr:uid="{00000000-0005-0000-0000-0000C5040000}"/>
    <cellStyle name="60% - Énfasis5 65" xfId="1379" xr:uid="{00000000-0005-0000-0000-0000C6040000}"/>
    <cellStyle name="60% - Énfasis5 66" xfId="1380" xr:uid="{00000000-0005-0000-0000-0000C7040000}"/>
    <cellStyle name="60% - Énfasis5 67" xfId="1381" xr:uid="{00000000-0005-0000-0000-0000C8040000}"/>
    <cellStyle name="60% - Énfasis5 7" xfId="1382" xr:uid="{00000000-0005-0000-0000-0000C9040000}"/>
    <cellStyle name="60% - Énfasis5 8" xfId="1383" xr:uid="{00000000-0005-0000-0000-0000CA040000}"/>
    <cellStyle name="60% - Énfasis5 9" xfId="1384" xr:uid="{00000000-0005-0000-0000-0000CB040000}"/>
    <cellStyle name="60% - Énfasis6 10" xfId="1385" xr:uid="{00000000-0005-0000-0000-0000CC040000}"/>
    <cellStyle name="60% - Énfasis6 11" xfId="1386" xr:uid="{00000000-0005-0000-0000-0000CD040000}"/>
    <cellStyle name="60% - Énfasis6 12" xfId="1387" xr:uid="{00000000-0005-0000-0000-0000CE040000}"/>
    <cellStyle name="60% - Énfasis6 13" xfId="1388" xr:uid="{00000000-0005-0000-0000-0000CF040000}"/>
    <cellStyle name="60% - Énfasis6 14" xfId="1389" xr:uid="{00000000-0005-0000-0000-0000D0040000}"/>
    <cellStyle name="60% - Énfasis6 15" xfId="1390" xr:uid="{00000000-0005-0000-0000-0000D1040000}"/>
    <cellStyle name="60% - Énfasis6 16" xfId="1391" xr:uid="{00000000-0005-0000-0000-0000D2040000}"/>
    <cellStyle name="60% - Énfasis6 17" xfId="1392" xr:uid="{00000000-0005-0000-0000-0000D3040000}"/>
    <cellStyle name="60% - Énfasis6 18" xfId="1393" xr:uid="{00000000-0005-0000-0000-0000D4040000}"/>
    <cellStyle name="60% - Énfasis6 19" xfId="1394" xr:uid="{00000000-0005-0000-0000-0000D5040000}"/>
    <cellStyle name="60% - Énfasis6 2" xfId="102" xr:uid="{00000000-0005-0000-0000-0000D6040000}"/>
    <cellStyle name="60% - Énfasis6 2 2" xfId="1395" xr:uid="{00000000-0005-0000-0000-0000D7040000}"/>
    <cellStyle name="60% - Énfasis6 2 3" xfId="1396" xr:uid="{00000000-0005-0000-0000-0000D8040000}"/>
    <cellStyle name="60% - Énfasis6 2 4" xfId="1397" xr:uid="{00000000-0005-0000-0000-0000D9040000}"/>
    <cellStyle name="60% - Énfasis6 2 5" xfId="1398" xr:uid="{00000000-0005-0000-0000-0000DA040000}"/>
    <cellStyle name="60% - Énfasis6 20" xfId="1399" xr:uid="{00000000-0005-0000-0000-0000DB040000}"/>
    <cellStyle name="60% - Énfasis6 21" xfId="1400" xr:uid="{00000000-0005-0000-0000-0000DC040000}"/>
    <cellStyle name="60% - Énfasis6 22" xfId="1401" xr:uid="{00000000-0005-0000-0000-0000DD040000}"/>
    <cellStyle name="60% - Énfasis6 23" xfId="1402" xr:uid="{00000000-0005-0000-0000-0000DE040000}"/>
    <cellStyle name="60% - Énfasis6 24" xfId="1403" xr:uid="{00000000-0005-0000-0000-0000DF040000}"/>
    <cellStyle name="60% - Énfasis6 25" xfId="1404" xr:uid="{00000000-0005-0000-0000-0000E0040000}"/>
    <cellStyle name="60% - Énfasis6 26" xfId="1405" xr:uid="{00000000-0005-0000-0000-0000E1040000}"/>
    <cellStyle name="60% - Énfasis6 27" xfId="1406" xr:uid="{00000000-0005-0000-0000-0000E2040000}"/>
    <cellStyle name="60% - Énfasis6 28" xfId="1407" xr:uid="{00000000-0005-0000-0000-0000E3040000}"/>
    <cellStyle name="60% - Énfasis6 29" xfId="1408" xr:uid="{00000000-0005-0000-0000-0000E4040000}"/>
    <cellStyle name="60% - Énfasis6 3" xfId="1409" xr:uid="{00000000-0005-0000-0000-0000E5040000}"/>
    <cellStyle name="60% - Énfasis6 30" xfId="1410" xr:uid="{00000000-0005-0000-0000-0000E6040000}"/>
    <cellStyle name="60% - Énfasis6 31" xfId="1411" xr:uid="{00000000-0005-0000-0000-0000E7040000}"/>
    <cellStyle name="60% - Énfasis6 32" xfId="1412" xr:uid="{00000000-0005-0000-0000-0000E8040000}"/>
    <cellStyle name="60% - Énfasis6 33" xfId="1413" xr:uid="{00000000-0005-0000-0000-0000E9040000}"/>
    <cellStyle name="60% - Énfasis6 34" xfId="1414" xr:uid="{00000000-0005-0000-0000-0000EA040000}"/>
    <cellStyle name="60% - Énfasis6 35" xfId="1415" xr:uid="{00000000-0005-0000-0000-0000EB040000}"/>
    <cellStyle name="60% - Énfasis6 36" xfId="1416" xr:uid="{00000000-0005-0000-0000-0000EC040000}"/>
    <cellStyle name="60% - Énfasis6 37" xfId="1417" xr:uid="{00000000-0005-0000-0000-0000ED040000}"/>
    <cellStyle name="60% - Énfasis6 38" xfId="1418" xr:uid="{00000000-0005-0000-0000-0000EE040000}"/>
    <cellStyle name="60% - Énfasis6 39" xfId="1419" xr:uid="{00000000-0005-0000-0000-0000EF040000}"/>
    <cellStyle name="60% - Énfasis6 4" xfId="1420" xr:uid="{00000000-0005-0000-0000-0000F0040000}"/>
    <cellStyle name="60% - Énfasis6 40" xfId="1421" xr:uid="{00000000-0005-0000-0000-0000F1040000}"/>
    <cellStyle name="60% - Énfasis6 41" xfId="1422" xr:uid="{00000000-0005-0000-0000-0000F2040000}"/>
    <cellStyle name="60% - Énfasis6 42" xfId="1423" xr:uid="{00000000-0005-0000-0000-0000F3040000}"/>
    <cellStyle name="60% - Énfasis6 43" xfId="1424" xr:uid="{00000000-0005-0000-0000-0000F4040000}"/>
    <cellStyle name="60% - Énfasis6 44" xfId="1425" xr:uid="{00000000-0005-0000-0000-0000F5040000}"/>
    <cellStyle name="60% - Énfasis6 45" xfId="1426" xr:uid="{00000000-0005-0000-0000-0000F6040000}"/>
    <cellStyle name="60% - Énfasis6 46" xfId="1427" xr:uid="{00000000-0005-0000-0000-0000F7040000}"/>
    <cellStyle name="60% - Énfasis6 47" xfId="1428" xr:uid="{00000000-0005-0000-0000-0000F8040000}"/>
    <cellStyle name="60% - Énfasis6 48" xfId="1429" xr:uid="{00000000-0005-0000-0000-0000F9040000}"/>
    <cellStyle name="60% - Énfasis6 49" xfId="1430" xr:uid="{00000000-0005-0000-0000-0000FA040000}"/>
    <cellStyle name="60% - Énfasis6 5" xfId="1431" xr:uid="{00000000-0005-0000-0000-0000FB040000}"/>
    <cellStyle name="60% - Énfasis6 50" xfId="1432" xr:uid="{00000000-0005-0000-0000-0000FC040000}"/>
    <cellStyle name="60% - Énfasis6 51" xfId="1433" xr:uid="{00000000-0005-0000-0000-0000FD040000}"/>
    <cellStyle name="60% - Énfasis6 52" xfId="1434" xr:uid="{00000000-0005-0000-0000-0000FE040000}"/>
    <cellStyle name="60% - Énfasis6 53" xfId="1435" xr:uid="{00000000-0005-0000-0000-0000FF040000}"/>
    <cellStyle name="60% - Énfasis6 54" xfId="1436" xr:uid="{00000000-0005-0000-0000-000000050000}"/>
    <cellStyle name="60% - Énfasis6 55" xfId="1437" xr:uid="{00000000-0005-0000-0000-000001050000}"/>
    <cellStyle name="60% - Énfasis6 56" xfId="1438" xr:uid="{00000000-0005-0000-0000-000002050000}"/>
    <cellStyle name="60% - Énfasis6 57" xfId="1439" xr:uid="{00000000-0005-0000-0000-000003050000}"/>
    <cellStyle name="60% - Énfasis6 58" xfId="1440" xr:uid="{00000000-0005-0000-0000-000004050000}"/>
    <cellStyle name="60% - Énfasis6 59" xfId="1441" xr:uid="{00000000-0005-0000-0000-000005050000}"/>
    <cellStyle name="60% - Énfasis6 6" xfId="1442" xr:uid="{00000000-0005-0000-0000-000006050000}"/>
    <cellStyle name="60% - Énfasis6 60" xfId="1443" xr:uid="{00000000-0005-0000-0000-000007050000}"/>
    <cellStyle name="60% - Énfasis6 61" xfId="1444" xr:uid="{00000000-0005-0000-0000-000008050000}"/>
    <cellStyle name="60% - Énfasis6 62" xfId="1445" xr:uid="{00000000-0005-0000-0000-000009050000}"/>
    <cellStyle name="60% - Énfasis6 63" xfId="1446" xr:uid="{00000000-0005-0000-0000-00000A050000}"/>
    <cellStyle name="60% - Énfasis6 64" xfId="1447" xr:uid="{00000000-0005-0000-0000-00000B050000}"/>
    <cellStyle name="60% - Énfasis6 65" xfId="1448" xr:uid="{00000000-0005-0000-0000-00000C050000}"/>
    <cellStyle name="60% - Énfasis6 66" xfId="1449" xr:uid="{00000000-0005-0000-0000-00000D050000}"/>
    <cellStyle name="60% - Énfasis6 67" xfId="1450" xr:uid="{00000000-0005-0000-0000-00000E050000}"/>
    <cellStyle name="60% - Énfasis6 7" xfId="1451" xr:uid="{00000000-0005-0000-0000-00000F050000}"/>
    <cellStyle name="60% - Énfasis6 8" xfId="1452" xr:uid="{00000000-0005-0000-0000-000010050000}"/>
    <cellStyle name="60% - Énfasis6 9" xfId="1453" xr:uid="{00000000-0005-0000-0000-000011050000}"/>
    <cellStyle name="A3 297 x 420 mm" xfId="1454" xr:uid="{00000000-0005-0000-0000-000012050000}"/>
    <cellStyle name="Accent1" xfId="7343" xr:uid="{00000000-0005-0000-0000-000013050000}"/>
    <cellStyle name="Accent2" xfId="7344" xr:uid="{00000000-0005-0000-0000-000014050000}"/>
    <cellStyle name="Accent3" xfId="7345" xr:uid="{00000000-0005-0000-0000-000015050000}"/>
    <cellStyle name="Accent4" xfId="7346" xr:uid="{00000000-0005-0000-0000-000016050000}"/>
    <cellStyle name="Accent5" xfId="7347" xr:uid="{00000000-0005-0000-0000-000017050000}"/>
    <cellStyle name="Accent6" xfId="7348" xr:uid="{00000000-0005-0000-0000-000018050000}"/>
    <cellStyle name="Bad" xfId="7349" xr:uid="{00000000-0005-0000-0000-000019050000}"/>
    <cellStyle name="Buena 10" xfId="1455" xr:uid="{00000000-0005-0000-0000-00001A050000}"/>
    <cellStyle name="Buena 11" xfId="1456" xr:uid="{00000000-0005-0000-0000-00001B050000}"/>
    <cellStyle name="Buena 12" xfId="1457" xr:uid="{00000000-0005-0000-0000-00001C050000}"/>
    <cellStyle name="Buena 13" xfId="1458" xr:uid="{00000000-0005-0000-0000-00001D050000}"/>
    <cellStyle name="Buena 14" xfId="1459" xr:uid="{00000000-0005-0000-0000-00001E050000}"/>
    <cellStyle name="Buena 15" xfId="1460" xr:uid="{00000000-0005-0000-0000-00001F050000}"/>
    <cellStyle name="Buena 16" xfId="1461" xr:uid="{00000000-0005-0000-0000-000020050000}"/>
    <cellStyle name="Buena 17" xfId="1462" xr:uid="{00000000-0005-0000-0000-000021050000}"/>
    <cellStyle name="Buena 18" xfId="1463" xr:uid="{00000000-0005-0000-0000-000022050000}"/>
    <cellStyle name="Buena 19" xfId="1464" xr:uid="{00000000-0005-0000-0000-000023050000}"/>
    <cellStyle name="Buena 2" xfId="103" xr:uid="{00000000-0005-0000-0000-000024050000}"/>
    <cellStyle name="Buena 2 2" xfId="1465" xr:uid="{00000000-0005-0000-0000-000025050000}"/>
    <cellStyle name="Buena 2 3" xfId="1466" xr:uid="{00000000-0005-0000-0000-000026050000}"/>
    <cellStyle name="Buena 2 4" xfId="1467" xr:uid="{00000000-0005-0000-0000-000027050000}"/>
    <cellStyle name="Buena 2 5" xfId="1468" xr:uid="{00000000-0005-0000-0000-000028050000}"/>
    <cellStyle name="Buena 20" xfId="1469" xr:uid="{00000000-0005-0000-0000-000029050000}"/>
    <cellStyle name="Buena 21" xfId="1470" xr:uid="{00000000-0005-0000-0000-00002A050000}"/>
    <cellStyle name="Buena 22" xfId="1471" xr:uid="{00000000-0005-0000-0000-00002B050000}"/>
    <cellStyle name="Buena 23" xfId="1472" xr:uid="{00000000-0005-0000-0000-00002C050000}"/>
    <cellStyle name="Buena 24" xfId="1473" xr:uid="{00000000-0005-0000-0000-00002D050000}"/>
    <cellStyle name="Buena 25" xfId="1474" xr:uid="{00000000-0005-0000-0000-00002E050000}"/>
    <cellStyle name="Buena 26" xfId="1475" xr:uid="{00000000-0005-0000-0000-00002F050000}"/>
    <cellStyle name="Buena 27" xfId="1476" xr:uid="{00000000-0005-0000-0000-000030050000}"/>
    <cellStyle name="Buena 28" xfId="1477" xr:uid="{00000000-0005-0000-0000-000031050000}"/>
    <cellStyle name="Buena 29" xfId="1478" xr:uid="{00000000-0005-0000-0000-000032050000}"/>
    <cellStyle name="Buena 3" xfId="1479" xr:uid="{00000000-0005-0000-0000-000033050000}"/>
    <cellStyle name="Buena 30" xfId="1480" xr:uid="{00000000-0005-0000-0000-000034050000}"/>
    <cellStyle name="Buena 31" xfId="1481" xr:uid="{00000000-0005-0000-0000-000035050000}"/>
    <cellStyle name="Buena 32" xfId="1482" xr:uid="{00000000-0005-0000-0000-000036050000}"/>
    <cellStyle name="Buena 33" xfId="1483" xr:uid="{00000000-0005-0000-0000-000037050000}"/>
    <cellStyle name="Buena 34" xfId="1484" xr:uid="{00000000-0005-0000-0000-000038050000}"/>
    <cellStyle name="Buena 35" xfId="1485" xr:uid="{00000000-0005-0000-0000-000039050000}"/>
    <cellStyle name="Buena 36" xfId="1486" xr:uid="{00000000-0005-0000-0000-00003A050000}"/>
    <cellStyle name="Buena 37" xfId="1487" xr:uid="{00000000-0005-0000-0000-00003B050000}"/>
    <cellStyle name="Buena 38" xfId="1488" xr:uid="{00000000-0005-0000-0000-00003C050000}"/>
    <cellStyle name="Buena 39" xfId="1489" xr:uid="{00000000-0005-0000-0000-00003D050000}"/>
    <cellStyle name="Buena 4" xfId="1490" xr:uid="{00000000-0005-0000-0000-00003E050000}"/>
    <cellStyle name="Buena 40" xfId="1491" xr:uid="{00000000-0005-0000-0000-00003F050000}"/>
    <cellStyle name="Buena 41" xfId="1492" xr:uid="{00000000-0005-0000-0000-000040050000}"/>
    <cellStyle name="Buena 42" xfId="1493" xr:uid="{00000000-0005-0000-0000-000041050000}"/>
    <cellStyle name="Buena 43" xfId="1494" xr:uid="{00000000-0005-0000-0000-000042050000}"/>
    <cellStyle name="Buena 44" xfId="1495" xr:uid="{00000000-0005-0000-0000-000043050000}"/>
    <cellStyle name="Buena 45" xfId="1496" xr:uid="{00000000-0005-0000-0000-000044050000}"/>
    <cellStyle name="Buena 46" xfId="1497" xr:uid="{00000000-0005-0000-0000-000045050000}"/>
    <cellStyle name="Buena 47" xfId="1498" xr:uid="{00000000-0005-0000-0000-000046050000}"/>
    <cellStyle name="Buena 48" xfId="1499" xr:uid="{00000000-0005-0000-0000-000047050000}"/>
    <cellStyle name="Buena 49" xfId="1500" xr:uid="{00000000-0005-0000-0000-000048050000}"/>
    <cellStyle name="Buena 5" xfId="1501" xr:uid="{00000000-0005-0000-0000-000049050000}"/>
    <cellStyle name="Buena 50" xfId="1502" xr:uid="{00000000-0005-0000-0000-00004A050000}"/>
    <cellStyle name="Buena 51" xfId="1503" xr:uid="{00000000-0005-0000-0000-00004B050000}"/>
    <cellStyle name="Buena 52" xfId="1504" xr:uid="{00000000-0005-0000-0000-00004C050000}"/>
    <cellStyle name="Buena 53" xfId="1505" xr:uid="{00000000-0005-0000-0000-00004D050000}"/>
    <cellStyle name="Buena 54" xfId="1506" xr:uid="{00000000-0005-0000-0000-00004E050000}"/>
    <cellStyle name="Buena 55" xfId="1507" xr:uid="{00000000-0005-0000-0000-00004F050000}"/>
    <cellStyle name="Buena 56" xfId="1508" xr:uid="{00000000-0005-0000-0000-000050050000}"/>
    <cellStyle name="Buena 57" xfId="1509" xr:uid="{00000000-0005-0000-0000-000051050000}"/>
    <cellStyle name="Buena 58" xfId="1510" xr:uid="{00000000-0005-0000-0000-000052050000}"/>
    <cellStyle name="Buena 59" xfId="1511" xr:uid="{00000000-0005-0000-0000-000053050000}"/>
    <cellStyle name="Buena 6" xfId="1512" xr:uid="{00000000-0005-0000-0000-000054050000}"/>
    <cellStyle name="Buena 60" xfId="1513" xr:uid="{00000000-0005-0000-0000-000055050000}"/>
    <cellStyle name="Buena 61" xfId="1514" xr:uid="{00000000-0005-0000-0000-000056050000}"/>
    <cellStyle name="Buena 62" xfId="1515" xr:uid="{00000000-0005-0000-0000-000057050000}"/>
    <cellStyle name="Buena 63" xfId="1516" xr:uid="{00000000-0005-0000-0000-000058050000}"/>
    <cellStyle name="Buena 64" xfId="1517" xr:uid="{00000000-0005-0000-0000-000059050000}"/>
    <cellStyle name="Buena 65" xfId="1518" xr:uid="{00000000-0005-0000-0000-00005A050000}"/>
    <cellStyle name="Buena 66" xfId="1519" xr:uid="{00000000-0005-0000-0000-00005B050000}"/>
    <cellStyle name="Buena 67" xfId="1520" xr:uid="{00000000-0005-0000-0000-00005C050000}"/>
    <cellStyle name="Buena 7" xfId="1521" xr:uid="{00000000-0005-0000-0000-00005D050000}"/>
    <cellStyle name="Buena 8" xfId="1522" xr:uid="{00000000-0005-0000-0000-00005E050000}"/>
    <cellStyle name="Buena 9" xfId="1523" xr:uid="{00000000-0005-0000-0000-00005F050000}"/>
    <cellStyle name="Calculation" xfId="7350" xr:uid="{00000000-0005-0000-0000-000060050000}"/>
    <cellStyle name="Cálculo 10" xfId="1524" xr:uid="{00000000-0005-0000-0000-000061050000}"/>
    <cellStyle name="Cálculo 11" xfId="1525" xr:uid="{00000000-0005-0000-0000-000062050000}"/>
    <cellStyle name="Cálculo 12" xfId="1526" xr:uid="{00000000-0005-0000-0000-000063050000}"/>
    <cellStyle name="Cálculo 13" xfId="1527" xr:uid="{00000000-0005-0000-0000-000064050000}"/>
    <cellStyle name="Cálculo 14" xfId="1528" xr:uid="{00000000-0005-0000-0000-000065050000}"/>
    <cellStyle name="Cálculo 15" xfId="1529" xr:uid="{00000000-0005-0000-0000-000066050000}"/>
    <cellStyle name="Cálculo 16" xfId="1530" xr:uid="{00000000-0005-0000-0000-000067050000}"/>
    <cellStyle name="Cálculo 17" xfId="1531" xr:uid="{00000000-0005-0000-0000-000068050000}"/>
    <cellStyle name="Cálculo 18" xfId="1532" xr:uid="{00000000-0005-0000-0000-000069050000}"/>
    <cellStyle name="Cálculo 19" xfId="1533" xr:uid="{00000000-0005-0000-0000-00006A050000}"/>
    <cellStyle name="Cálculo 2" xfId="104" xr:uid="{00000000-0005-0000-0000-00006B050000}"/>
    <cellStyle name="Cálculo 2 2" xfId="1534" xr:uid="{00000000-0005-0000-0000-00006C050000}"/>
    <cellStyle name="Cálculo 2 3" xfId="1535" xr:uid="{00000000-0005-0000-0000-00006D050000}"/>
    <cellStyle name="Cálculo 2 4" xfId="1536" xr:uid="{00000000-0005-0000-0000-00006E050000}"/>
    <cellStyle name="Cálculo 2 5" xfId="1537" xr:uid="{00000000-0005-0000-0000-00006F050000}"/>
    <cellStyle name="Cálculo 20" xfId="1538" xr:uid="{00000000-0005-0000-0000-000070050000}"/>
    <cellStyle name="Cálculo 21" xfId="1539" xr:uid="{00000000-0005-0000-0000-000071050000}"/>
    <cellStyle name="Cálculo 22" xfId="1540" xr:uid="{00000000-0005-0000-0000-000072050000}"/>
    <cellStyle name="Cálculo 23" xfId="1541" xr:uid="{00000000-0005-0000-0000-000073050000}"/>
    <cellStyle name="Cálculo 24" xfId="1542" xr:uid="{00000000-0005-0000-0000-000074050000}"/>
    <cellStyle name="Cálculo 25" xfId="1543" xr:uid="{00000000-0005-0000-0000-000075050000}"/>
    <cellStyle name="Cálculo 26" xfId="1544" xr:uid="{00000000-0005-0000-0000-000076050000}"/>
    <cellStyle name="Cálculo 27" xfId="1545" xr:uid="{00000000-0005-0000-0000-000077050000}"/>
    <cellStyle name="Cálculo 28" xfId="1546" xr:uid="{00000000-0005-0000-0000-000078050000}"/>
    <cellStyle name="Cálculo 29" xfId="1547" xr:uid="{00000000-0005-0000-0000-000079050000}"/>
    <cellStyle name="Cálculo 3" xfId="1548" xr:uid="{00000000-0005-0000-0000-00007A050000}"/>
    <cellStyle name="Cálculo 30" xfId="1549" xr:uid="{00000000-0005-0000-0000-00007B050000}"/>
    <cellStyle name="Cálculo 31" xfId="1550" xr:uid="{00000000-0005-0000-0000-00007C050000}"/>
    <cellStyle name="Cálculo 32" xfId="1551" xr:uid="{00000000-0005-0000-0000-00007D050000}"/>
    <cellStyle name="Cálculo 33" xfId="1552" xr:uid="{00000000-0005-0000-0000-00007E050000}"/>
    <cellStyle name="Cálculo 34" xfId="1553" xr:uid="{00000000-0005-0000-0000-00007F050000}"/>
    <cellStyle name="Cálculo 35" xfId="1554" xr:uid="{00000000-0005-0000-0000-000080050000}"/>
    <cellStyle name="Cálculo 36" xfId="1555" xr:uid="{00000000-0005-0000-0000-000081050000}"/>
    <cellStyle name="Cálculo 37" xfId="1556" xr:uid="{00000000-0005-0000-0000-000082050000}"/>
    <cellStyle name="Cálculo 38" xfId="1557" xr:uid="{00000000-0005-0000-0000-000083050000}"/>
    <cellStyle name="Cálculo 39" xfId="1558" xr:uid="{00000000-0005-0000-0000-000084050000}"/>
    <cellStyle name="Cálculo 4" xfId="1559" xr:uid="{00000000-0005-0000-0000-000085050000}"/>
    <cellStyle name="Cálculo 40" xfId="1560" xr:uid="{00000000-0005-0000-0000-000086050000}"/>
    <cellStyle name="Cálculo 41" xfId="1561" xr:uid="{00000000-0005-0000-0000-000087050000}"/>
    <cellStyle name="Cálculo 42" xfId="1562" xr:uid="{00000000-0005-0000-0000-000088050000}"/>
    <cellStyle name="Cálculo 43" xfId="1563" xr:uid="{00000000-0005-0000-0000-000089050000}"/>
    <cellStyle name="Cálculo 44" xfId="1564" xr:uid="{00000000-0005-0000-0000-00008A050000}"/>
    <cellStyle name="Cálculo 45" xfId="1565" xr:uid="{00000000-0005-0000-0000-00008B050000}"/>
    <cellStyle name="Cálculo 46" xfId="1566" xr:uid="{00000000-0005-0000-0000-00008C050000}"/>
    <cellStyle name="Cálculo 47" xfId="1567" xr:uid="{00000000-0005-0000-0000-00008D050000}"/>
    <cellStyle name="Cálculo 48" xfId="1568" xr:uid="{00000000-0005-0000-0000-00008E050000}"/>
    <cellStyle name="Cálculo 49" xfId="1569" xr:uid="{00000000-0005-0000-0000-00008F050000}"/>
    <cellStyle name="Cálculo 5" xfId="1570" xr:uid="{00000000-0005-0000-0000-000090050000}"/>
    <cellStyle name="Cálculo 50" xfId="1571" xr:uid="{00000000-0005-0000-0000-000091050000}"/>
    <cellStyle name="Cálculo 51" xfId="1572" xr:uid="{00000000-0005-0000-0000-000092050000}"/>
    <cellStyle name="Cálculo 52" xfId="1573" xr:uid="{00000000-0005-0000-0000-000093050000}"/>
    <cellStyle name="Cálculo 53" xfId="1574" xr:uid="{00000000-0005-0000-0000-000094050000}"/>
    <cellStyle name="Cálculo 54" xfId="1575" xr:uid="{00000000-0005-0000-0000-000095050000}"/>
    <cellStyle name="Cálculo 55" xfId="1576" xr:uid="{00000000-0005-0000-0000-000096050000}"/>
    <cellStyle name="Cálculo 56" xfId="1577" xr:uid="{00000000-0005-0000-0000-000097050000}"/>
    <cellStyle name="Cálculo 57" xfId="1578" xr:uid="{00000000-0005-0000-0000-000098050000}"/>
    <cellStyle name="Cálculo 58" xfId="1579" xr:uid="{00000000-0005-0000-0000-000099050000}"/>
    <cellStyle name="Cálculo 59" xfId="1580" xr:uid="{00000000-0005-0000-0000-00009A050000}"/>
    <cellStyle name="Cálculo 6" xfId="1581" xr:uid="{00000000-0005-0000-0000-00009B050000}"/>
    <cellStyle name="Cálculo 60" xfId="1582" xr:uid="{00000000-0005-0000-0000-00009C050000}"/>
    <cellStyle name="Cálculo 61" xfId="1583" xr:uid="{00000000-0005-0000-0000-00009D050000}"/>
    <cellStyle name="Cálculo 62" xfId="1584" xr:uid="{00000000-0005-0000-0000-00009E050000}"/>
    <cellStyle name="Cálculo 63" xfId="1585" xr:uid="{00000000-0005-0000-0000-00009F050000}"/>
    <cellStyle name="Cálculo 64" xfId="1586" xr:uid="{00000000-0005-0000-0000-0000A0050000}"/>
    <cellStyle name="Cálculo 65" xfId="1587" xr:uid="{00000000-0005-0000-0000-0000A1050000}"/>
    <cellStyle name="Cálculo 66" xfId="1588" xr:uid="{00000000-0005-0000-0000-0000A2050000}"/>
    <cellStyle name="Cálculo 67" xfId="1589" xr:uid="{00000000-0005-0000-0000-0000A3050000}"/>
    <cellStyle name="Cálculo 7" xfId="1590" xr:uid="{00000000-0005-0000-0000-0000A4050000}"/>
    <cellStyle name="Cálculo 8" xfId="1591" xr:uid="{00000000-0005-0000-0000-0000A5050000}"/>
    <cellStyle name="Cálculo 9" xfId="1592" xr:uid="{00000000-0005-0000-0000-0000A6050000}"/>
    <cellStyle name="Cancel" xfId="178" xr:uid="{00000000-0005-0000-0000-0000A7050000}"/>
    <cellStyle name="Cancel 2" xfId="1593" xr:uid="{00000000-0005-0000-0000-0000A8050000}"/>
    <cellStyle name="Cancel 2 2" xfId="3433" xr:uid="{00000000-0005-0000-0000-0000A9050000}"/>
    <cellStyle name="Cancel 2_MPCAD MALECON BALTA - IISS ACI - revisado" xfId="3434" xr:uid="{00000000-0005-0000-0000-0000AA050000}"/>
    <cellStyle name="Cancel_COMPARATIVO BALTA" xfId="3435" xr:uid="{00000000-0005-0000-0000-0000AB050000}"/>
    <cellStyle name="Celda de comprobación 10" xfId="1594" xr:uid="{00000000-0005-0000-0000-0000AC050000}"/>
    <cellStyle name="Celda de comprobación 11" xfId="1595" xr:uid="{00000000-0005-0000-0000-0000AD050000}"/>
    <cellStyle name="Celda de comprobación 12" xfId="1596" xr:uid="{00000000-0005-0000-0000-0000AE050000}"/>
    <cellStyle name="Celda de comprobación 13" xfId="1597" xr:uid="{00000000-0005-0000-0000-0000AF050000}"/>
    <cellStyle name="Celda de comprobación 14" xfId="1598" xr:uid="{00000000-0005-0000-0000-0000B0050000}"/>
    <cellStyle name="Celda de comprobación 15" xfId="1599" xr:uid="{00000000-0005-0000-0000-0000B1050000}"/>
    <cellStyle name="Celda de comprobación 16" xfId="1600" xr:uid="{00000000-0005-0000-0000-0000B2050000}"/>
    <cellStyle name="Celda de comprobación 17" xfId="1601" xr:uid="{00000000-0005-0000-0000-0000B3050000}"/>
    <cellStyle name="Celda de comprobación 18" xfId="1602" xr:uid="{00000000-0005-0000-0000-0000B4050000}"/>
    <cellStyle name="Celda de comprobación 19" xfId="1603" xr:uid="{00000000-0005-0000-0000-0000B5050000}"/>
    <cellStyle name="Celda de comprobación 2" xfId="105" xr:uid="{00000000-0005-0000-0000-0000B6050000}"/>
    <cellStyle name="Celda de comprobación 2 2" xfId="1604" xr:uid="{00000000-0005-0000-0000-0000B7050000}"/>
    <cellStyle name="Celda de comprobación 2 3" xfId="1605" xr:uid="{00000000-0005-0000-0000-0000B8050000}"/>
    <cellStyle name="Celda de comprobación 2 4" xfId="1606" xr:uid="{00000000-0005-0000-0000-0000B9050000}"/>
    <cellStyle name="Celda de comprobación 2 5" xfId="1607" xr:uid="{00000000-0005-0000-0000-0000BA050000}"/>
    <cellStyle name="Celda de comprobación 20" xfId="1608" xr:uid="{00000000-0005-0000-0000-0000BB050000}"/>
    <cellStyle name="Celda de comprobación 21" xfId="1609" xr:uid="{00000000-0005-0000-0000-0000BC050000}"/>
    <cellStyle name="Celda de comprobación 22" xfId="1610" xr:uid="{00000000-0005-0000-0000-0000BD050000}"/>
    <cellStyle name="Celda de comprobación 23" xfId="1611" xr:uid="{00000000-0005-0000-0000-0000BE050000}"/>
    <cellStyle name="Celda de comprobación 24" xfId="1612" xr:uid="{00000000-0005-0000-0000-0000BF050000}"/>
    <cellStyle name="Celda de comprobación 25" xfId="1613" xr:uid="{00000000-0005-0000-0000-0000C0050000}"/>
    <cellStyle name="Celda de comprobación 26" xfId="1614" xr:uid="{00000000-0005-0000-0000-0000C1050000}"/>
    <cellStyle name="Celda de comprobación 27" xfId="1615" xr:uid="{00000000-0005-0000-0000-0000C2050000}"/>
    <cellStyle name="Celda de comprobación 28" xfId="1616" xr:uid="{00000000-0005-0000-0000-0000C3050000}"/>
    <cellStyle name="Celda de comprobación 29" xfId="1617" xr:uid="{00000000-0005-0000-0000-0000C4050000}"/>
    <cellStyle name="Celda de comprobación 3" xfId="1618" xr:uid="{00000000-0005-0000-0000-0000C5050000}"/>
    <cellStyle name="Celda de comprobación 30" xfId="1619" xr:uid="{00000000-0005-0000-0000-0000C6050000}"/>
    <cellStyle name="Celda de comprobación 31" xfId="1620" xr:uid="{00000000-0005-0000-0000-0000C7050000}"/>
    <cellStyle name="Celda de comprobación 32" xfId="1621" xr:uid="{00000000-0005-0000-0000-0000C8050000}"/>
    <cellStyle name="Celda de comprobación 33" xfId="1622" xr:uid="{00000000-0005-0000-0000-0000C9050000}"/>
    <cellStyle name="Celda de comprobación 34" xfId="1623" xr:uid="{00000000-0005-0000-0000-0000CA050000}"/>
    <cellStyle name="Celda de comprobación 35" xfId="1624" xr:uid="{00000000-0005-0000-0000-0000CB050000}"/>
    <cellStyle name="Celda de comprobación 36" xfId="1625" xr:uid="{00000000-0005-0000-0000-0000CC050000}"/>
    <cellStyle name="Celda de comprobación 37" xfId="1626" xr:uid="{00000000-0005-0000-0000-0000CD050000}"/>
    <cellStyle name="Celda de comprobación 38" xfId="1627" xr:uid="{00000000-0005-0000-0000-0000CE050000}"/>
    <cellStyle name="Celda de comprobación 39" xfId="1628" xr:uid="{00000000-0005-0000-0000-0000CF050000}"/>
    <cellStyle name="Celda de comprobación 4" xfId="1629" xr:uid="{00000000-0005-0000-0000-0000D0050000}"/>
    <cellStyle name="Celda de comprobación 40" xfId="1630" xr:uid="{00000000-0005-0000-0000-0000D1050000}"/>
    <cellStyle name="Celda de comprobación 41" xfId="1631" xr:uid="{00000000-0005-0000-0000-0000D2050000}"/>
    <cellStyle name="Celda de comprobación 42" xfId="1632" xr:uid="{00000000-0005-0000-0000-0000D3050000}"/>
    <cellStyle name="Celda de comprobación 43" xfId="1633" xr:uid="{00000000-0005-0000-0000-0000D4050000}"/>
    <cellStyle name="Celda de comprobación 44" xfId="1634" xr:uid="{00000000-0005-0000-0000-0000D5050000}"/>
    <cellStyle name="Celda de comprobación 45" xfId="1635" xr:uid="{00000000-0005-0000-0000-0000D6050000}"/>
    <cellStyle name="Celda de comprobación 46" xfId="1636" xr:uid="{00000000-0005-0000-0000-0000D7050000}"/>
    <cellStyle name="Celda de comprobación 47" xfId="1637" xr:uid="{00000000-0005-0000-0000-0000D8050000}"/>
    <cellStyle name="Celda de comprobación 48" xfId="1638" xr:uid="{00000000-0005-0000-0000-0000D9050000}"/>
    <cellStyle name="Celda de comprobación 49" xfId="1639" xr:uid="{00000000-0005-0000-0000-0000DA050000}"/>
    <cellStyle name="Celda de comprobación 5" xfId="1640" xr:uid="{00000000-0005-0000-0000-0000DB050000}"/>
    <cellStyle name="Celda de comprobación 50" xfId="1641" xr:uid="{00000000-0005-0000-0000-0000DC050000}"/>
    <cellStyle name="Celda de comprobación 51" xfId="1642" xr:uid="{00000000-0005-0000-0000-0000DD050000}"/>
    <cellStyle name="Celda de comprobación 52" xfId="1643" xr:uid="{00000000-0005-0000-0000-0000DE050000}"/>
    <cellStyle name="Celda de comprobación 53" xfId="1644" xr:uid="{00000000-0005-0000-0000-0000DF050000}"/>
    <cellStyle name="Celda de comprobación 54" xfId="1645" xr:uid="{00000000-0005-0000-0000-0000E0050000}"/>
    <cellStyle name="Celda de comprobación 55" xfId="1646" xr:uid="{00000000-0005-0000-0000-0000E1050000}"/>
    <cellStyle name="Celda de comprobación 56" xfId="1647" xr:uid="{00000000-0005-0000-0000-0000E2050000}"/>
    <cellStyle name="Celda de comprobación 57" xfId="1648" xr:uid="{00000000-0005-0000-0000-0000E3050000}"/>
    <cellStyle name="Celda de comprobación 58" xfId="1649" xr:uid="{00000000-0005-0000-0000-0000E4050000}"/>
    <cellStyle name="Celda de comprobación 59" xfId="1650" xr:uid="{00000000-0005-0000-0000-0000E5050000}"/>
    <cellStyle name="Celda de comprobación 6" xfId="1651" xr:uid="{00000000-0005-0000-0000-0000E6050000}"/>
    <cellStyle name="Celda de comprobación 60" xfId="1652" xr:uid="{00000000-0005-0000-0000-0000E7050000}"/>
    <cellStyle name="Celda de comprobación 61" xfId="1653" xr:uid="{00000000-0005-0000-0000-0000E8050000}"/>
    <cellStyle name="Celda de comprobación 62" xfId="1654" xr:uid="{00000000-0005-0000-0000-0000E9050000}"/>
    <cellStyle name="Celda de comprobación 63" xfId="1655" xr:uid="{00000000-0005-0000-0000-0000EA050000}"/>
    <cellStyle name="Celda de comprobación 64" xfId="1656" xr:uid="{00000000-0005-0000-0000-0000EB050000}"/>
    <cellStyle name="Celda de comprobación 65" xfId="1657" xr:uid="{00000000-0005-0000-0000-0000EC050000}"/>
    <cellStyle name="Celda de comprobación 66" xfId="1658" xr:uid="{00000000-0005-0000-0000-0000ED050000}"/>
    <cellStyle name="Celda de comprobación 67" xfId="1659" xr:uid="{00000000-0005-0000-0000-0000EE050000}"/>
    <cellStyle name="Celda de comprobación 7" xfId="1660" xr:uid="{00000000-0005-0000-0000-0000EF050000}"/>
    <cellStyle name="Celda de comprobación 8" xfId="1661" xr:uid="{00000000-0005-0000-0000-0000F0050000}"/>
    <cellStyle name="Celda de comprobación 9" xfId="1662" xr:uid="{00000000-0005-0000-0000-0000F1050000}"/>
    <cellStyle name="Celda vinculada 10" xfId="1663" xr:uid="{00000000-0005-0000-0000-0000F2050000}"/>
    <cellStyle name="Celda vinculada 11" xfId="1664" xr:uid="{00000000-0005-0000-0000-0000F3050000}"/>
    <cellStyle name="Celda vinculada 12" xfId="1665" xr:uid="{00000000-0005-0000-0000-0000F4050000}"/>
    <cellStyle name="Celda vinculada 13" xfId="1666" xr:uid="{00000000-0005-0000-0000-0000F5050000}"/>
    <cellStyle name="Celda vinculada 14" xfId="1667" xr:uid="{00000000-0005-0000-0000-0000F6050000}"/>
    <cellStyle name="Celda vinculada 15" xfId="1668" xr:uid="{00000000-0005-0000-0000-0000F7050000}"/>
    <cellStyle name="Celda vinculada 16" xfId="1669" xr:uid="{00000000-0005-0000-0000-0000F8050000}"/>
    <cellStyle name="Celda vinculada 17" xfId="1670" xr:uid="{00000000-0005-0000-0000-0000F9050000}"/>
    <cellStyle name="Celda vinculada 18" xfId="1671" xr:uid="{00000000-0005-0000-0000-0000FA050000}"/>
    <cellStyle name="Celda vinculada 19" xfId="1672" xr:uid="{00000000-0005-0000-0000-0000FB050000}"/>
    <cellStyle name="Celda vinculada 2" xfId="106" xr:uid="{00000000-0005-0000-0000-0000FC050000}"/>
    <cellStyle name="Celda vinculada 2 2" xfId="1673" xr:uid="{00000000-0005-0000-0000-0000FD050000}"/>
    <cellStyle name="Celda vinculada 2 3" xfId="1674" xr:uid="{00000000-0005-0000-0000-0000FE050000}"/>
    <cellStyle name="Celda vinculada 2 4" xfId="1675" xr:uid="{00000000-0005-0000-0000-0000FF050000}"/>
    <cellStyle name="Celda vinculada 2 5" xfId="1676" xr:uid="{00000000-0005-0000-0000-000000060000}"/>
    <cellStyle name="Celda vinculada 20" xfId="1677" xr:uid="{00000000-0005-0000-0000-000001060000}"/>
    <cellStyle name="Celda vinculada 21" xfId="1678" xr:uid="{00000000-0005-0000-0000-000002060000}"/>
    <cellStyle name="Celda vinculada 22" xfId="1679" xr:uid="{00000000-0005-0000-0000-000003060000}"/>
    <cellStyle name="Celda vinculada 23" xfId="1680" xr:uid="{00000000-0005-0000-0000-000004060000}"/>
    <cellStyle name="Celda vinculada 24" xfId="1681" xr:uid="{00000000-0005-0000-0000-000005060000}"/>
    <cellStyle name="Celda vinculada 25" xfId="1682" xr:uid="{00000000-0005-0000-0000-000006060000}"/>
    <cellStyle name="Celda vinculada 26" xfId="1683" xr:uid="{00000000-0005-0000-0000-000007060000}"/>
    <cellStyle name="Celda vinculada 27" xfId="1684" xr:uid="{00000000-0005-0000-0000-000008060000}"/>
    <cellStyle name="Celda vinculada 28" xfId="1685" xr:uid="{00000000-0005-0000-0000-000009060000}"/>
    <cellStyle name="Celda vinculada 29" xfId="1686" xr:uid="{00000000-0005-0000-0000-00000A060000}"/>
    <cellStyle name="Celda vinculada 3" xfId="1687" xr:uid="{00000000-0005-0000-0000-00000B060000}"/>
    <cellStyle name="Celda vinculada 30" xfId="1688" xr:uid="{00000000-0005-0000-0000-00000C060000}"/>
    <cellStyle name="Celda vinculada 31" xfId="1689" xr:uid="{00000000-0005-0000-0000-00000D060000}"/>
    <cellStyle name="Celda vinculada 32" xfId="1690" xr:uid="{00000000-0005-0000-0000-00000E060000}"/>
    <cellStyle name="Celda vinculada 33" xfId="1691" xr:uid="{00000000-0005-0000-0000-00000F060000}"/>
    <cellStyle name="Celda vinculada 34" xfId="1692" xr:uid="{00000000-0005-0000-0000-000010060000}"/>
    <cellStyle name="Celda vinculada 35" xfId="1693" xr:uid="{00000000-0005-0000-0000-000011060000}"/>
    <cellStyle name="Celda vinculada 36" xfId="1694" xr:uid="{00000000-0005-0000-0000-000012060000}"/>
    <cellStyle name="Celda vinculada 37" xfId="1695" xr:uid="{00000000-0005-0000-0000-000013060000}"/>
    <cellStyle name="Celda vinculada 38" xfId="1696" xr:uid="{00000000-0005-0000-0000-000014060000}"/>
    <cellStyle name="Celda vinculada 39" xfId="1697" xr:uid="{00000000-0005-0000-0000-000015060000}"/>
    <cellStyle name="Celda vinculada 4" xfId="1698" xr:uid="{00000000-0005-0000-0000-000016060000}"/>
    <cellStyle name="Celda vinculada 40" xfId="1699" xr:uid="{00000000-0005-0000-0000-000017060000}"/>
    <cellStyle name="Celda vinculada 41" xfId="1700" xr:uid="{00000000-0005-0000-0000-000018060000}"/>
    <cellStyle name="Celda vinculada 42" xfId="1701" xr:uid="{00000000-0005-0000-0000-000019060000}"/>
    <cellStyle name="Celda vinculada 43" xfId="1702" xr:uid="{00000000-0005-0000-0000-00001A060000}"/>
    <cellStyle name="Celda vinculada 44" xfId="1703" xr:uid="{00000000-0005-0000-0000-00001B060000}"/>
    <cellStyle name="Celda vinculada 45" xfId="1704" xr:uid="{00000000-0005-0000-0000-00001C060000}"/>
    <cellStyle name="Celda vinculada 46" xfId="1705" xr:uid="{00000000-0005-0000-0000-00001D060000}"/>
    <cellStyle name="Celda vinculada 47" xfId="1706" xr:uid="{00000000-0005-0000-0000-00001E060000}"/>
    <cellStyle name="Celda vinculada 48" xfId="1707" xr:uid="{00000000-0005-0000-0000-00001F060000}"/>
    <cellStyle name="Celda vinculada 49" xfId="1708" xr:uid="{00000000-0005-0000-0000-000020060000}"/>
    <cellStyle name="Celda vinculada 5" xfId="1709" xr:uid="{00000000-0005-0000-0000-000021060000}"/>
    <cellStyle name="Celda vinculada 50" xfId="1710" xr:uid="{00000000-0005-0000-0000-000022060000}"/>
    <cellStyle name="Celda vinculada 51" xfId="1711" xr:uid="{00000000-0005-0000-0000-000023060000}"/>
    <cellStyle name="Celda vinculada 52" xfId="1712" xr:uid="{00000000-0005-0000-0000-000024060000}"/>
    <cellStyle name="Celda vinculada 53" xfId="1713" xr:uid="{00000000-0005-0000-0000-000025060000}"/>
    <cellStyle name="Celda vinculada 54" xfId="1714" xr:uid="{00000000-0005-0000-0000-000026060000}"/>
    <cellStyle name="Celda vinculada 55" xfId="1715" xr:uid="{00000000-0005-0000-0000-000027060000}"/>
    <cellStyle name="Celda vinculada 56" xfId="1716" xr:uid="{00000000-0005-0000-0000-000028060000}"/>
    <cellStyle name="Celda vinculada 57" xfId="1717" xr:uid="{00000000-0005-0000-0000-000029060000}"/>
    <cellStyle name="Celda vinculada 58" xfId="1718" xr:uid="{00000000-0005-0000-0000-00002A060000}"/>
    <cellStyle name="Celda vinculada 59" xfId="1719" xr:uid="{00000000-0005-0000-0000-00002B060000}"/>
    <cellStyle name="Celda vinculada 6" xfId="1720" xr:uid="{00000000-0005-0000-0000-00002C060000}"/>
    <cellStyle name="Celda vinculada 60" xfId="1721" xr:uid="{00000000-0005-0000-0000-00002D060000}"/>
    <cellStyle name="Celda vinculada 61" xfId="1722" xr:uid="{00000000-0005-0000-0000-00002E060000}"/>
    <cellStyle name="Celda vinculada 62" xfId="1723" xr:uid="{00000000-0005-0000-0000-00002F060000}"/>
    <cellStyle name="Celda vinculada 63" xfId="1724" xr:uid="{00000000-0005-0000-0000-000030060000}"/>
    <cellStyle name="Celda vinculada 64" xfId="1725" xr:uid="{00000000-0005-0000-0000-000031060000}"/>
    <cellStyle name="Celda vinculada 65" xfId="1726" xr:uid="{00000000-0005-0000-0000-000032060000}"/>
    <cellStyle name="Celda vinculada 66" xfId="1727" xr:uid="{00000000-0005-0000-0000-000033060000}"/>
    <cellStyle name="Celda vinculada 67" xfId="1728" xr:uid="{00000000-0005-0000-0000-000034060000}"/>
    <cellStyle name="Celda vinculada 7" xfId="1729" xr:uid="{00000000-0005-0000-0000-000035060000}"/>
    <cellStyle name="Celda vinculada 8" xfId="1730" xr:uid="{00000000-0005-0000-0000-000036060000}"/>
    <cellStyle name="Celda vinculada 9" xfId="1731" xr:uid="{00000000-0005-0000-0000-000037060000}"/>
    <cellStyle name="Check Cell" xfId="7351" xr:uid="{00000000-0005-0000-0000-000038060000}"/>
    <cellStyle name="Comma" xfId="1" xr:uid="{00000000-0005-0000-0000-000039060000}"/>
    <cellStyle name="Comma [0] 2" xfId="179" xr:uid="{00000000-0005-0000-0000-00003A060000}"/>
    <cellStyle name="Comma [0] 3" xfId="180" xr:uid="{00000000-0005-0000-0000-00003B060000}"/>
    <cellStyle name="Comma 10" xfId="3436" xr:uid="{00000000-0005-0000-0000-00003D060000}"/>
    <cellStyle name="Comma 11" xfId="3437" xr:uid="{00000000-0005-0000-0000-00003E060000}"/>
    <cellStyle name="Comma 12" xfId="3438" xr:uid="{00000000-0005-0000-0000-00003F060000}"/>
    <cellStyle name="Comma 13" xfId="3439" xr:uid="{00000000-0005-0000-0000-000040060000}"/>
    <cellStyle name="Comma 14" xfId="3440" xr:uid="{00000000-0005-0000-0000-000041060000}"/>
    <cellStyle name="Comma 15" xfId="3441" xr:uid="{00000000-0005-0000-0000-000042060000}"/>
    <cellStyle name="Comma 16" xfId="3442" xr:uid="{00000000-0005-0000-0000-000043060000}"/>
    <cellStyle name="Comma 17" xfId="3443" xr:uid="{00000000-0005-0000-0000-000044060000}"/>
    <cellStyle name="Comma 18" xfId="3444" xr:uid="{00000000-0005-0000-0000-000045060000}"/>
    <cellStyle name="Comma 19" xfId="3445" xr:uid="{00000000-0005-0000-0000-000046060000}"/>
    <cellStyle name="Comma 2" xfId="107" xr:uid="{00000000-0005-0000-0000-000047060000}"/>
    <cellStyle name="Comma 2 2" xfId="3446" xr:uid="{00000000-0005-0000-0000-000048060000}"/>
    <cellStyle name="Comma 20" xfId="3447" xr:uid="{00000000-0005-0000-0000-000049060000}"/>
    <cellStyle name="Comma 21" xfId="3448" xr:uid="{00000000-0005-0000-0000-00004A060000}"/>
    <cellStyle name="Comma 22" xfId="3449" xr:uid="{00000000-0005-0000-0000-00004B060000}"/>
    <cellStyle name="Comma 23" xfId="3450" xr:uid="{00000000-0005-0000-0000-00004C060000}"/>
    <cellStyle name="Comma 24" xfId="3451" xr:uid="{00000000-0005-0000-0000-00004D060000}"/>
    <cellStyle name="Comma 25" xfId="3452" xr:uid="{00000000-0005-0000-0000-00004E060000}"/>
    <cellStyle name="Comma 26" xfId="3453" xr:uid="{00000000-0005-0000-0000-00004F060000}"/>
    <cellStyle name="Comma 27" xfId="3454" xr:uid="{00000000-0005-0000-0000-000050060000}"/>
    <cellStyle name="Comma 28" xfId="3455" xr:uid="{00000000-0005-0000-0000-000051060000}"/>
    <cellStyle name="Comma 29" xfId="3456" xr:uid="{00000000-0005-0000-0000-000052060000}"/>
    <cellStyle name="Comma 3" xfId="181" xr:uid="{00000000-0005-0000-0000-000053060000}"/>
    <cellStyle name="Comma 30" xfId="3457" xr:uid="{00000000-0005-0000-0000-000054060000}"/>
    <cellStyle name="Comma 31" xfId="3458" xr:uid="{00000000-0005-0000-0000-000055060000}"/>
    <cellStyle name="Comma 32" xfId="3459" xr:uid="{00000000-0005-0000-0000-000056060000}"/>
    <cellStyle name="Comma 33" xfId="3460" xr:uid="{00000000-0005-0000-0000-000057060000}"/>
    <cellStyle name="Comma 34" xfId="3461" xr:uid="{00000000-0005-0000-0000-000058060000}"/>
    <cellStyle name="Comma 35" xfId="3462" xr:uid="{00000000-0005-0000-0000-000059060000}"/>
    <cellStyle name="Comma 36" xfId="3463" xr:uid="{00000000-0005-0000-0000-00005A060000}"/>
    <cellStyle name="Comma 37" xfId="3464" xr:uid="{00000000-0005-0000-0000-00005B060000}"/>
    <cellStyle name="Comma 38" xfId="3465" xr:uid="{00000000-0005-0000-0000-00005C060000}"/>
    <cellStyle name="Comma 39" xfId="3466" xr:uid="{00000000-0005-0000-0000-00005D060000}"/>
    <cellStyle name="Comma 4" xfId="182" xr:uid="{00000000-0005-0000-0000-00005E060000}"/>
    <cellStyle name="Comma 40" xfId="3467" xr:uid="{00000000-0005-0000-0000-00005F060000}"/>
    <cellStyle name="Comma 41" xfId="3468" xr:uid="{00000000-0005-0000-0000-000060060000}"/>
    <cellStyle name="Comma 42" xfId="3469" xr:uid="{00000000-0005-0000-0000-000061060000}"/>
    <cellStyle name="Comma 43" xfId="3470" xr:uid="{00000000-0005-0000-0000-000062060000}"/>
    <cellStyle name="Comma 44" xfId="3471" xr:uid="{00000000-0005-0000-0000-000063060000}"/>
    <cellStyle name="Comma 45" xfId="3472" xr:uid="{00000000-0005-0000-0000-000064060000}"/>
    <cellStyle name="Comma 46" xfId="3473" xr:uid="{00000000-0005-0000-0000-000065060000}"/>
    <cellStyle name="Comma 47" xfId="3474" xr:uid="{00000000-0005-0000-0000-000066060000}"/>
    <cellStyle name="Comma 48" xfId="3475" xr:uid="{00000000-0005-0000-0000-000067060000}"/>
    <cellStyle name="Comma 49" xfId="3476" xr:uid="{00000000-0005-0000-0000-000068060000}"/>
    <cellStyle name="Comma 5" xfId="3477" xr:uid="{00000000-0005-0000-0000-000069060000}"/>
    <cellStyle name="Comma 50" xfId="3478" xr:uid="{00000000-0005-0000-0000-00006A060000}"/>
    <cellStyle name="Comma 51" xfId="3479" xr:uid="{00000000-0005-0000-0000-00006B060000}"/>
    <cellStyle name="Comma 52" xfId="3480" xr:uid="{00000000-0005-0000-0000-00006C060000}"/>
    <cellStyle name="Comma 53" xfId="3481" xr:uid="{00000000-0005-0000-0000-00006D060000}"/>
    <cellStyle name="Comma 54" xfId="3482" xr:uid="{00000000-0005-0000-0000-00006E060000}"/>
    <cellStyle name="Comma 55" xfId="3483" xr:uid="{00000000-0005-0000-0000-00006F060000}"/>
    <cellStyle name="Comma 56" xfId="3484" xr:uid="{00000000-0005-0000-0000-000070060000}"/>
    <cellStyle name="Comma 57" xfId="3485" xr:uid="{00000000-0005-0000-0000-000071060000}"/>
    <cellStyle name="Comma 58" xfId="3486" xr:uid="{00000000-0005-0000-0000-000072060000}"/>
    <cellStyle name="Comma 59" xfId="3487" xr:uid="{00000000-0005-0000-0000-000073060000}"/>
    <cellStyle name="Comma 6" xfId="3488" xr:uid="{00000000-0005-0000-0000-000074060000}"/>
    <cellStyle name="Comma 60" xfId="3489" xr:uid="{00000000-0005-0000-0000-000075060000}"/>
    <cellStyle name="Comma 61" xfId="3490" xr:uid="{00000000-0005-0000-0000-000076060000}"/>
    <cellStyle name="Comma 62" xfId="3491" xr:uid="{00000000-0005-0000-0000-000077060000}"/>
    <cellStyle name="Comma 63" xfId="3492" xr:uid="{00000000-0005-0000-0000-000078060000}"/>
    <cellStyle name="Comma 64" xfId="3493" xr:uid="{00000000-0005-0000-0000-000079060000}"/>
    <cellStyle name="Comma 65" xfId="3494" xr:uid="{00000000-0005-0000-0000-00007A060000}"/>
    <cellStyle name="Comma 66" xfId="3495" xr:uid="{00000000-0005-0000-0000-00007B060000}"/>
    <cellStyle name="Comma 67" xfId="3496" xr:uid="{00000000-0005-0000-0000-00007C060000}"/>
    <cellStyle name="Comma 68" xfId="3497" xr:uid="{00000000-0005-0000-0000-00007D060000}"/>
    <cellStyle name="Comma 69" xfId="3498" xr:uid="{00000000-0005-0000-0000-00007E060000}"/>
    <cellStyle name="Comma 7" xfId="3499" xr:uid="{00000000-0005-0000-0000-00007F060000}"/>
    <cellStyle name="Comma 70" xfId="3500" xr:uid="{00000000-0005-0000-0000-000080060000}"/>
    <cellStyle name="Comma 71" xfId="3501" xr:uid="{00000000-0005-0000-0000-000081060000}"/>
    <cellStyle name="Comma 72" xfId="3502" xr:uid="{00000000-0005-0000-0000-000082060000}"/>
    <cellStyle name="Comma 73" xfId="3503" xr:uid="{00000000-0005-0000-0000-000083060000}"/>
    <cellStyle name="Comma 74" xfId="3504" xr:uid="{00000000-0005-0000-0000-000084060000}"/>
    <cellStyle name="Comma 75" xfId="3505" xr:uid="{00000000-0005-0000-0000-000085060000}"/>
    <cellStyle name="Comma 76" xfId="3506" xr:uid="{00000000-0005-0000-0000-000086060000}"/>
    <cellStyle name="Comma 77" xfId="3507" xr:uid="{00000000-0005-0000-0000-000087060000}"/>
    <cellStyle name="Comma 8" xfId="3508" xr:uid="{00000000-0005-0000-0000-000088060000}"/>
    <cellStyle name="Comma 9" xfId="3509" xr:uid="{00000000-0005-0000-0000-000089060000}"/>
    <cellStyle name="Comma0" xfId="108" xr:uid="{00000000-0005-0000-0000-00008B060000}"/>
    <cellStyle name="Comma0 - Modelo1" xfId="58353" xr:uid="{00000000-0005-0000-0000-00008C060000}"/>
    <cellStyle name="Comma0 - Style1" xfId="3510" xr:uid="{00000000-0005-0000-0000-00008D060000}"/>
    <cellStyle name="Comma0 - Style2" xfId="3511" xr:uid="{00000000-0005-0000-0000-00008E060000}"/>
    <cellStyle name="Comma0 10" xfId="3512" xr:uid="{00000000-0005-0000-0000-00008F060000}"/>
    <cellStyle name="Comma0 11" xfId="3513" xr:uid="{00000000-0005-0000-0000-000090060000}"/>
    <cellStyle name="Comma0 12" xfId="3514" xr:uid="{00000000-0005-0000-0000-000091060000}"/>
    <cellStyle name="Comma0 13" xfId="3515" xr:uid="{00000000-0005-0000-0000-000092060000}"/>
    <cellStyle name="Comma0 14" xfId="3516" xr:uid="{00000000-0005-0000-0000-000093060000}"/>
    <cellStyle name="Comma0 15" xfId="3517" xr:uid="{00000000-0005-0000-0000-000094060000}"/>
    <cellStyle name="Comma0 16" xfId="3518" xr:uid="{00000000-0005-0000-0000-000095060000}"/>
    <cellStyle name="Comma0 17" xfId="3519" xr:uid="{00000000-0005-0000-0000-000096060000}"/>
    <cellStyle name="Comma0 18" xfId="3520" xr:uid="{00000000-0005-0000-0000-000097060000}"/>
    <cellStyle name="Comma0 19" xfId="3521" xr:uid="{00000000-0005-0000-0000-000098060000}"/>
    <cellStyle name="Comma0 2" xfId="109" xr:uid="{00000000-0005-0000-0000-000099060000}"/>
    <cellStyle name="Comma0 20" xfId="3522" xr:uid="{00000000-0005-0000-0000-00009A060000}"/>
    <cellStyle name="Comma0 21" xfId="3523" xr:uid="{00000000-0005-0000-0000-00009B060000}"/>
    <cellStyle name="Comma0 22" xfId="3524" xr:uid="{00000000-0005-0000-0000-00009C060000}"/>
    <cellStyle name="Comma0 23" xfId="3525" xr:uid="{00000000-0005-0000-0000-00009D060000}"/>
    <cellStyle name="Comma0 24" xfId="3526" xr:uid="{00000000-0005-0000-0000-00009E060000}"/>
    <cellStyle name="Comma0 25" xfId="3527" xr:uid="{00000000-0005-0000-0000-00009F060000}"/>
    <cellStyle name="Comma0 26" xfId="3528" xr:uid="{00000000-0005-0000-0000-0000A0060000}"/>
    <cellStyle name="Comma0 27" xfId="3529" xr:uid="{00000000-0005-0000-0000-0000A1060000}"/>
    <cellStyle name="Comma0 28" xfId="3530" xr:uid="{00000000-0005-0000-0000-0000A2060000}"/>
    <cellStyle name="Comma0 29" xfId="3531" xr:uid="{00000000-0005-0000-0000-0000A3060000}"/>
    <cellStyle name="Comma0 3" xfId="3532" xr:uid="{00000000-0005-0000-0000-0000A4060000}"/>
    <cellStyle name="Comma0 30" xfId="3533" xr:uid="{00000000-0005-0000-0000-0000A5060000}"/>
    <cellStyle name="Comma0 31" xfId="3534" xr:uid="{00000000-0005-0000-0000-0000A6060000}"/>
    <cellStyle name="Comma0 32" xfId="3535" xr:uid="{00000000-0005-0000-0000-0000A7060000}"/>
    <cellStyle name="Comma0 33" xfId="3536" xr:uid="{00000000-0005-0000-0000-0000A8060000}"/>
    <cellStyle name="Comma0 34" xfId="3537" xr:uid="{00000000-0005-0000-0000-0000A9060000}"/>
    <cellStyle name="Comma0 35" xfId="3538" xr:uid="{00000000-0005-0000-0000-0000AA060000}"/>
    <cellStyle name="Comma0 36" xfId="3539" xr:uid="{00000000-0005-0000-0000-0000AB060000}"/>
    <cellStyle name="Comma0 37" xfId="3540" xr:uid="{00000000-0005-0000-0000-0000AC060000}"/>
    <cellStyle name="Comma0 38" xfId="3541" xr:uid="{00000000-0005-0000-0000-0000AD060000}"/>
    <cellStyle name="Comma0 39" xfId="3542" xr:uid="{00000000-0005-0000-0000-0000AE060000}"/>
    <cellStyle name="Comma0 4" xfId="3543" xr:uid="{00000000-0005-0000-0000-0000AF060000}"/>
    <cellStyle name="Comma0 40" xfId="3544" xr:uid="{00000000-0005-0000-0000-0000B0060000}"/>
    <cellStyle name="Comma0 41" xfId="3545" xr:uid="{00000000-0005-0000-0000-0000B1060000}"/>
    <cellStyle name="Comma0 42" xfId="3546" xr:uid="{00000000-0005-0000-0000-0000B2060000}"/>
    <cellStyle name="Comma0 43" xfId="3547" xr:uid="{00000000-0005-0000-0000-0000B3060000}"/>
    <cellStyle name="Comma0 44" xfId="3548" xr:uid="{00000000-0005-0000-0000-0000B4060000}"/>
    <cellStyle name="Comma0 45" xfId="3549" xr:uid="{00000000-0005-0000-0000-0000B5060000}"/>
    <cellStyle name="Comma0 46" xfId="3550" xr:uid="{00000000-0005-0000-0000-0000B6060000}"/>
    <cellStyle name="Comma0 47" xfId="3551" xr:uid="{00000000-0005-0000-0000-0000B7060000}"/>
    <cellStyle name="Comma0 48" xfId="3552" xr:uid="{00000000-0005-0000-0000-0000B8060000}"/>
    <cellStyle name="Comma0 49" xfId="3553" xr:uid="{00000000-0005-0000-0000-0000B9060000}"/>
    <cellStyle name="Comma0 5" xfId="3554" xr:uid="{00000000-0005-0000-0000-0000BA060000}"/>
    <cellStyle name="Comma0 50" xfId="3555" xr:uid="{00000000-0005-0000-0000-0000BB060000}"/>
    <cellStyle name="Comma0 51" xfId="3556" xr:uid="{00000000-0005-0000-0000-0000BC060000}"/>
    <cellStyle name="Comma0 52" xfId="3557" xr:uid="{00000000-0005-0000-0000-0000BD060000}"/>
    <cellStyle name="Comma0 53" xfId="3558" xr:uid="{00000000-0005-0000-0000-0000BE060000}"/>
    <cellStyle name="Comma0 54" xfId="3559" xr:uid="{00000000-0005-0000-0000-0000BF060000}"/>
    <cellStyle name="Comma0 55" xfId="3560" xr:uid="{00000000-0005-0000-0000-0000C0060000}"/>
    <cellStyle name="Comma0 56" xfId="3561" xr:uid="{00000000-0005-0000-0000-0000C1060000}"/>
    <cellStyle name="Comma0 57" xfId="3562" xr:uid="{00000000-0005-0000-0000-0000C2060000}"/>
    <cellStyle name="Comma0 58" xfId="3563" xr:uid="{00000000-0005-0000-0000-0000C3060000}"/>
    <cellStyle name="Comma0 59" xfId="3564" xr:uid="{00000000-0005-0000-0000-0000C4060000}"/>
    <cellStyle name="Comma0 6" xfId="3565" xr:uid="{00000000-0005-0000-0000-0000C5060000}"/>
    <cellStyle name="Comma0 60" xfId="3566" xr:uid="{00000000-0005-0000-0000-0000C6060000}"/>
    <cellStyle name="Comma0 61" xfId="3567" xr:uid="{00000000-0005-0000-0000-0000C7060000}"/>
    <cellStyle name="Comma0 62" xfId="3568" xr:uid="{00000000-0005-0000-0000-0000C8060000}"/>
    <cellStyle name="Comma0 63" xfId="3569" xr:uid="{00000000-0005-0000-0000-0000C9060000}"/>
    <cellStyle name="Comma0 64" xfId="3570" xr:uid="{00000000-0005-0000-0000-0000CA060000}"/>
    <cellStyle name="Comma0 65" xfId="3571" xr:uid="{00000000-0005-0000-0000-0000CB060000}"/>
    <cellStyle name="Comma0 66" xfId="3572" xr:uid="{00000000-0005-0000-0000-0000CC060000}"/>
    <cellStyle name="Comma0 67" xfId="3573" xr:uid="{00000000-0005-0000-0000-0000CD060000}"/>
    <cellStyle name="Comma0 68" xfId="3574" xr:uid="{00000000-0005-0000-0000-0000CE060000}"/>
    <cellStyle name="Comma0 69" xfId="3575" xr:uid="{00000000-0005-0000-0000-0000CF060000}"/>
    <cellStyle name="Comma0 7" xfId="3576" xr:uid="{00000000-0005-0000-0000-0000D0060000}"/>
    <cellStyle name="Comma0 70" xfId="3577" xr:uid="{00000000-0005-0000-0000-0000D1060000}"/>
    <cellStyle name="Comma0 71" xfId="3578" xr:uid="{00000000-0005-0000-0000-0000D2060000}"/>
    <cellStyle name="Comma0 72" xfId="3579" xr:uid="{00000000-0005-0000-0000-0000D3060000}"/>
    <cellStyle name="Comma0 73" xfId="3580" xr:uid="{00000000-0005-0000-0000-0000D4060000}"/>
    <cellStyle name="Comma0 74" xfId="3581" xr:uid="{00000000-0005-0000-0000-0000D5060000}"/>
    <cellStyle name="Comma0 75" xfId="3582" xr:uid="{00000000-0005-0000-0000-0000D6060000}"/>
    <cellStyle name="Comma0 76" xfId="3583" xr:uid="{00000000-0005-0000-0000-0000D7060000}"/>
    <cellStyle name="Comma0 8" xfId="3584" xr:uid="{00000000-0005-0000-0000-0000D8060000}"/>
    <cellStyle name="Comma0 9" xfId="3585" xr:uid="{00000000-0005-0000-0000-0000D9060000}"/>
    <cellStyle name="Comma0_FIBRA-Edif. EUREKA-Listado de Partidas" xfId="3586" xr:uid="{00000000-0005-0000-0000-0000DA060000}"/>
    <cellStyle name="Comma1 - Modelo2" xfId="58354" xr:uid="{00000000-0005-0000-0000-0000DB060000}"/>
    <cellStyle name="Comma1 - Style1" xfId="3587" xr:uid="{00000000-0005-0000-0000-0000DC060000}"/>
    <cellStyle name="Comma1 - Style2" xfId="3588" xr:uid="{00000000-0005-0000-0000-0000DD060000}"/>
    <cellStyle name="Currency" xfId="58385" xr:uid="{00000000-0005-0000-0000-0000DE060000}"/>
    <cellStyle name="Currency 2" xfId="110" xr:uid="{00000000-0005-0000-0000-0000E0060000}"/>
    <cellStyle name="Currency 2 2" xfId="111" xr:uid="{00000000-0005-0000-0000-0000E1060000}"/>
    <cellStyle name="Currency 3" xfId="112" xr:uid="{00000000-0005-0000-0000-0000E2060000}"/>
    <cellStyle name="Currency0" xfId="113" xr:uid="{00000000-0005-0000-0000-0000E4060000}"/>
    <cellStyle name="Currency0 2" xfId="114" xr:uid="{00000000-0005-0000-0000-0000E5060000}"/>
    <cellStyle name="Currency0_FIBRA-Edif. EUREKA-Listado de Partidas" xfId="3589" xr:uid="{00000000-0005-0000-0000-0000E6060000}"/>
    <cellStyle name="Date" xfId="115" xr:uid="{00000000-0005-0000-0000-0000E7060000}"/>
    <cellStyle name="Date 2" xfId="116" xr:uid="{00000000-0005-0000-0000-0000E8060000}"/>
    <cellStyle name="Date 3" xfId="3590" xr:uid="{00000000-0005-0000-0000-0000E9060000}"/>
    <cellStyle name="Date 4" xfId="3591" xr:uid="{00000000-0005-0000-0000-0000EA060000}"/>
    <cellStyle name="Date_FIBRA-Edif. EUREKA-Listado de Partidas" xfId="3592" xr:uid="{00000000-0005-0000-0000-0000EB060000}"/>
    <cellStyle name="Dia" xfId="1732" xr:uid="{00000000-0005-0000-0000-0000EC060000}"/>
    <cellStyle name="DIA 10" xfId="3593" xr:uid="{00000000-0005-0000-0000-0000ED060000}"/>
    <cellStyle name="Dia 11" xfId="3594" xr:uid="{00000000-0005-0000-0000-0000EE060000}"/>
    <cellStyle name="Dia 12" xfId="3595" xr:uid="{00000000-0005-0000-0000-0000EF060000}"/>
    <cellStyle name="Dia 2" xfId="3596" xr:uid="{00000000-0005-0000-0000-0000F0060000}"/>
    <cellStyle name="DIA 3" xfId="3597" xr:uid="{00000000-0005-0000-0000-0000F1060000}"/>
    <cellStyle name="DIA 4" xfId="3598" xr:uid="{00000000-0005-0000-0000-0000F2060000}"/>
    <cellStyle name="DIA 5" xfId="3599" xr:uid="{00000000-0005-0000-0000-0000F3060000}"/>
    <cellStyle name="DIA 6" xfId="3600" xr:uid="{00000000-0005-0000-0000-0000F4060000}"/>
    <cellStyle name="DIA 7" xfId="3601" xr:uid="{00000000-0005-0000-0000-0000F5060000}"/>
    <cellStyle name="DIA 8" xfId="3602" xr:uid="{00000000-0005-0000-0000-0000F6060000}"/>
    <cellStyle name="DIA 9" xfId="3603" xr:uid="{00000000-0005-0000-0000-0000F7060000}"/>
    <cellStyle name="Encabez1" xfId="1733" xr:uid="{00000000-0005-0000-0000-0000F8060000}"/>
    <cellStyle name="ENCABEZ1 10" xfId="3604" xr:uid="{00000000-0005-0000-0000-0000F9060000}"/>
    <cellStyle name="Encabez1 11" xfId="3605" xr:uid="{00000000-0005-0000-0000-0000FA060000}"/>
    <cellStyle name="Encabez1 12" xfId="3606" xr:uid="{00000000-0005-0000-0000-0000FB060000}"/>
    <cellStyle name="Encabez1 2" xfId="3607" xr:uid="{00000000-0005-0000-0000-0000FC060000}"/>
    <cellStyle name="ENCABEZ1 3" xfId="3608" xr:uid="{00000000-0005-0000-0000-0000FD060000}"/>
    <cellStyle name="ENCABEZ1 4" xfId="3609" xr:uid="{00000000-0005-0000-0000-0000FE060000}"/>
    <cellStyle name="ENCABEZ1 5" xfId="3610" xr:uid="{00000000-0005-0000-0000-0000FF060000}"/>
    <cellStyle name="ENCABEZ1 6" xfId="3611" xr:uid="{00000000-0005-0000-0000-000000070000}"/>
    <cellStyle name="ENCABEZ1 7" xfId="3612" xr:uid="{00000000-0005-0000-0000-000001070000}"/>
    <cellStyle name="ENCABEZ1 8" xfId="3613" xr:uid="{00000000-0005-0000-0000-000002070000}"/>
    <cellStyle name="ENCABEZ1 9" xfId="3614" xr:uid="{00000000-0005-0000-0000-000003070000}"/>
    <cellStyle name="Encabez2" xfId="1734" xr:uid="{00000000-0005-0000-0000-000004070000}"/>
    <cellStyle name="ENCABEZ2 10" xfId="3615" xr:uid="{00000000-0005-0000-0000-000005070000}"/>
    <cellStyle name="Encabez2 11" xfId="3616" xr:uid="{00000000-0005-0000-0000-000006070000}"/>
    <cellStyle name="Encabez2 12" xfId="3617" xr:uid="{00000000-0005-0000-0000-000007070000}"/>
    <cellStyle name="Encabez2 2" xfId="3618" xr:uid="{00000000-0005-0000-0000-000008070000}"/>
    <cellStyle name="ENCABEZ2 3" xfId="3619" xr:uid="{00000000-0005-0000-0000-000009070000}"/>
    <cellStyle name="ENCABEZ2 4" xfId="3620" xr:uid="{00000000-0005-0000-0000-00000A070000}"/>
    <cellStyle name="ENCABEZ2 5" xfId="3621" xr:uid="{00000000-0005-0000-0000-00000B070000}"/>
    <cellStyle name="ENCABEZ2 6" xfId="3622" xr:uid="{00000000-0005-0000-0000-00000C070000}"/>
    <cellStyle name="ENCABEZ2 7" xfId="3623" xr:uid="{00000000-0005-0000-0000-00000D070000}"/>
    <cellStyle name="ENCABEZ2 8" xfId="3624" xr:uid="{00000000-0005-0000-0000-00000E070000}"/>
    <cellStyle name="ENCABEZ2 9" xfId="3625" xr:uid="{00000000-0005-0000-0000-00000F070000}"/>
    <cellStyle name="Encabezado 1 2" xfId="44" xr:uid="{00000000-0005-0000-0000-000010070000}"/>
    <cellStyle name="Encabezado 2" xfId="45" xr:uid="{00000000-0005-0000-0000-000011070000}"/>
    <cellStyle name="Encabezado 4 10" xfId="1735" xr:uid="{00000000-0005-0000-0000-000012070000}"/>
    <cellStyle name="Encabezado 4 11" xfId="1736" xr:uid="{00000000-0005-0000-0000-000013070000}"/>
    <cellStyle name="Encabezado 4 12" xfId="1737" xr:uid="{00000000-0005-0000-0000-000014070000}"/>
    <cellStyle name="Encabezado 4 13" xfId="1738" xr:uid="{00000000-0005-0000-0000-000015070000}"/>
    <cellStyle name="Encabezado 4 14" xfId="1739" xr:uid="{00000000-0005-0000-0000-000016070000}"/>
    <cellStyle name="Encabezado 4 15" xfId="1740" xr:uid="{00000000-0005-0000-0000-000017070000}"/>
    <cellStyle name="Encabezado 4 16" xfId="1741" xr:uid="{00000000-0005-0000-0000-000018070000}"/>
    <cellStyle name="Encabezado 4 17" xfId="1742" xr:uid="{00000000-0005-0000-0000-000019070000}"/>
    <cellStyle name="Encabezado 4 18" xfId="1743" xr:uid="{00000000-0005-0000-0000-00001A070000}"/>
    <cellStyle name="Encabezado 4 19" xfId="1744" xr:uid="{00000000-0005-0000-0000-00001B070000}"/>
    <cellStyle name="Encabezado 4 2" xfId="117" xr:uid="{00000000-0005-0000-0000-00001C070000}"/>
    <cellStyle name="Encabezado 4 2 2" xfId="1745" xr:uid="{00000000-0005-0000-0000-00001D070000}"/>
    <cellStyle name="Encabezado 4 2 3" xfId="1746" xr:uid="{00000000-0005-0000-0000-00001E070000}"/>
    <cellStyle name="Encabezado 4 2 4" xfId="1747" xr:uid="{00000000-0005-0000-0000-00001F070000}"/>
    <cellStyle name="Encabezado 4 2 5" xfId="1748" xr:uid="{00000000-0005-0000-0000-000020070000}"/>
    <cellStyle name="Encabezado 4 20" xfId="1749" xr:uid="{00000000-0005-0000-0000-000021070000}"/>
    <cellStyle name="Encabezado 4 21" xfId="1750" xr:uid="{00000000-0005-0000-0000-000022070000}"/>
    <cellStyle name="Encabezado 4 22" xfId="1751" xr:uid="{00000000-0005-0000-0000-000023070000}"/>
    <cellStyle name="Encabezado 4 23" xfId="1752" xr:uid="{00000000-0005-0000-0000-000024070000}"/>
    <cellStyle name="Encabezado 4 24" xfId="1753" xr:uid="{00000000-0005-0000-0000-000025070000}"/>
    <cellStyle name="Encabezado 4 25" xfId="1754" xr:uid="{00000000-0005-0000-0000-000026070000}"/>
    <cellStyle name="Encabezado 4 26" xfId="1755" xr:uid="{00000000-0005-0000-0000-000027070000}"/>
    <cellStyle name="Encabezado 4 27" xfId="1756" xr:uid="{00000000-0005-0000-0000-000028070000}"/>
    <cellStyle name="Encabezado 4 28" xfId="1757" xr:uid="{00000000-0005-0000-0000-000029070000}"/>
    <cellStyle name="Encabezado 4 29" xfId="1758" xr:uid="{00000000-0005-0000-0000-00002A070000}"/>
    <cellStyle name="Encabezado 4 3" xfId="1759" xr:uid="{00000000-0005-0000-0000-00002B070000}"/>
    <cellStyle name="Encabezado 4 30" xfId="1760" xr:uid="{00000000-0005-0000-0000-00002C070000}"/>
    <cellStyle name="Encabezado 4 31" xfId="1761" xr:uid="{00000000-0005-0000-0000-00002D070000}"/>
    <cellStyle name="Encabezado 4 32" xfId="1762" xr:uid="{00000000-0005-0000-0000-00002E070000}"/>
    <cellStyle name="Encabezado 4 33" xfId="1763" xr:uid="{00000000-0005-0000-0000-00002F070000}"/>
    <cellStyle name="Encabezado 4 34" xfId="1764" xr:uid="{00000000-0005-0000-0000-000030070000}"/>
    <cellStyle name="Encabezado 4 35" xfId="1765" xr:uid="{00000000-0005-0000-0000-000031070000}"/>
    <cellStyle name="Encabezado 4 36" xfId="1766" xr:uid="{00000000-0005-0000-0000-000032070000}"/>
    <cellStyle name="Encabezado 4 37" xfId="1767" xr:uid="{00000000-0005-0000-0000-000033070000}"/>
    <cellStyle name="Encabezado 4 38" xfId="1768" xr:uid="{00000000-0005-0000-0000-000034070000}"/>
    <cellStyle name="Encabezado 4 39" xfId="1769" xr:uid="{00000000-0005-0000-0000-000035070000}"/>
    <cellStyle name="Encabezado 4 4" xfId="1770" xr:uid="{00000000-0005-0000-0000-000036070000}"/>
    <cellStyle name="Encabezado 4 40" xfId="1771" xr:uid="{00000000-0005-0000-0000-000037070000}"/>
    <cellStyle name="Encabezado 4 41" xfId="1772" xr:uid="{00000000-0005-0000-0000-000038070000}"/>
    <cellStyle name="Encabezado 4 42" xfId="1773" xr:uid="{00000000-0005-0000-0000-000039070000}"/>
    <cellStyle name="Encabezado 4 43" xfId="1774" xr:uid="{00000000-0005-0000-0000-00003A070000}"/>
    <cellStyle name="Encabezado 4 44" xfId="1775" xr:uid="{00000000-0005-0000-0000-00003B070000}"/>
    <cellStyle name="Encabezado 4 45" xfId="1776" xr:uid="{00000000-0005-0000-0000-00003C070000}"/>
    <cellStyle name="Encabezado 4 46" xfId="1777" xr:uid="{00000000-0005-0000-0000-00003D070000}"/>
    <cellStyle name="Encabezado 4 47" xfId="1778" xr:uid="{00000000-0005-0000-0000-00003E070000}"/>
    <cellStyle name="Encabezado 4 48" xfId="1779" xr:uid="{00000000-0005-0000-0000-00003F070000}"/>
    <cellStyle name="Encabezado 4 49" xfId="1780" xr:uid="{00000000-0005-0000-0000-000040070000}"/>
    <cellStyle name="Encabezado 4 5" xfId="1781" xr:uid="{00000000-0005-0000-0000-000041070000}"/>
    <cellStyle name="Encabezado 4 50" xfId="1782" xr:uid="{00000000-0005-0000-0000-000042070000}"/>
    <cellStyle name="Encabezado 4 51" xfId="1783" xr:uid="{00000000-0005-0000-0000-000043070000}"/>
    <cellStyle name="Encabezado 4 52" xfId="1784" xr:uid="{00000000-0005-0000-0000-000044070000}"/>
    <cellStyle name="Encabezado 4 53" xfId="1785" xr:uid="{00000000-0005-0000-0000-000045070000}"/>
    <cellStyle name="Encabezado 4 54" xfId="1786" xr:uid="{00000000-0005-0000-0000-000046070000}"/>
    <cellStyle name="Encabezado 4 55" xfId="1787" xr:uid="{00000000-0005-0000-0000-000047070000}"/>
    <cellStyle name="Encabezado 4 56" xfId="1788" xr:uid="{00000000-0005-0000-0000-000048070000}"/>
    <cellStyle name="Encabezado 4 57" xfId="1789" xr:uid="{00000000-0005-0000-0000-000049070000}"/>
    <cellStyle name="Encabezado 4 58" xfId="1790" xr:uid="{00000000-0005-0000-0000-00004A070000}"/>
    <cellStyle name="Encabezado 4 59" xfId="1791" xr:uid="{00000000-0005-0000-0000-00004B070000}"/>
    <cellStyle name="Encabezado 4 6" xfId="1792" xr:uid="{00000000-0005-0000-0000-00004C070000}"/>
    <cellStyle name="Encabezado 4 60" xfId="1793" xr:uid="{00000000-0005-0000-0000-00004D070000}"/>
    <cellStyle name="Encabezado 4 61" xfId="1794" xr:uid="{00000000-0005-0000-0000-00004E070000}"/>
    <cellStyle name="Encabezado 4 62" xfId="1795" xr:uid="{00000000-0005-0000-0000-00004F070000}"/>
    <cellStyle name="Encabezado 4 63" xfId="1796" xr:uid="{00000000-0005-0000-0000-000050070000}"/>
    <cellStyle name="Encabezado 4 64" xfId="1797" xr:uid="{00000000-0005-0000-0000-000051070000}"/>
    <cellStyle name="Encabezado 4 65" xfId="1798" xr:uid="{00000000-0005-0000-0000-000052070000}"/>
    <cellStyle name="Encabezado 4 66" xfId="1799" xr:uid="{00000000-0005-0000-0000-000053070000}"/>
    <cellStyle name="Encabezado 4 67" xfId="1800" xr:uid="{00000000-0005-0000-0000-000054070000}"/>
    <cellStyle name="Encabezado 4 7" xfId="1801" xr:uid="{00000000-0005-0000-0000-000055070000}"/>
    <cellStyle name="Encabezado 4 8" xfId="1802" xr:uid="{00000000-0005-0000-0000-000056070000}"/>
    <cellStyle name="Encabezado 4 9" xfId="1803" xr:uid="{00000000-0005-0000-0000-000057070000}"/>
    <cellStyle name="Énfasis1 10" xfId="1804" xr:uid="{00000000-0005-0000-0000-000058070000}"/>
    <cellStyle name="Énfasis1 11" xfId="1805" xr:uid="{00000000-0005-0000-0000-000059070000}"/>
    <cellStyle name="Énfasis1 12" xfId="1806" xr:uid="{00000000-0005-0000-0000-00005A070000}"/>
    <cellStyle name="Énfasis1 13" xfId="1807" xr:uid="{00000000-0005-0000-0000-00005B070000}"/>
    <cellStyle name="Énfasis1 14" xfId="1808" xr:uid="{00000000-0005-0000-0000-00005C070000}"/>
    <cellStyle name="Énfasis1 15" xfId="1809" xr:uid="{00000000-0005-0000-0000-00005D070000}"/>
    <cellStyle name="Énfasis1 16" xfId="1810" xr:uid="{00000000-0005-0000-0000-00005E070000}"/>
    <cellStyle name="Énfasis1 17" xfId="1811" xr:uid="{00000000-0005-0000-0000-00005F070000}"/>
    <cellStyle name="Énfasis1 18" xfId="1812" xr:uid="{00000000-0005-0000-0000-000060070000}"/>
    <cellStyle name="Énfasis1 19" xfId="1813" xr:uid="{00000000-0005-0000-0000-000061070000}"/>
    <cellStyle name="Énfasis1 2" xfId="118" xr:uid="{00000000-0005-0000-0000-000062070000}"/>
    <cellStyle name="Énfasis1 2 2" xfId="1814" xr:uid="{00000000-0005-0000-0000-000063070000}"/>
    <cellStyle name="Énfasis1 2 3" xfId="1815" xr:uid="{00000000-0005-0000-0000-000064070000}"/>
    <cellStyle name="Énfasis1 2 4" xfId="1816" xr:uid="{00000000-0005-0000-0000-000065070000}"/>
    <cellStyle name="Énfasis1 2 5" xfId="1817" xr:uid="{00000000-0005-0000-0000-000066070000}"/>
    <cellStyle name="Énfasis1 20" xfId="1818" xr:uid="{00000000-0005-0000-0000-000067070000}"/>
    <cellStyle name="Énfasis1 21" xfId="1819" xr:uid="{00000000-0005-0000-0000-000068070000}"/>
    <cellStyle name="Énfasis1 22" xfId="1820" xr:uid="{00000000-0005-0000-0000-000069070000}"/>
    <cellStyle name="Énfasis1 23" xfId="1821" xr:uid="{00000000-0005-0000-0000-00006A070000}"/>
    <cellStyle name="Énfasis1 24" xfId="1822" xr:uid="{00000000-0005-0000-0000-00006B070000}"/>
    <cellStyle name="Énfasis1 25" xfId="1823" xr:uid="{00000000-0005-0000-0000-00006C070000}"/>
    <cellStyle name="Énfasis1 26" xfId="1824" xr:uid="{00000000-0005-0000-0000-00006D070000}"/>
    <cellStyle name="Énfasis1 27" xfId="1825" xr:uid="{00000000-0005-0000-0000-00006E070000}"/>
    <cellStyle name="Énfasis1 28" xfId="1826" xr:uid="{00000000-0005-0000-0000-00006F070000}"/>
    <cellStyle name="Énfasis1 29" xfId="1827" xr:uid="{00000000-0005-0000-0000-000070070000}"/>
    <cellStyle name="Énfasis1 3" xfId="1828" xr:uid="{00000000-0005-0000-0000-000071070000}"/>
    <cellStyle name="Énfasis1 30" xfId="1829" xr:uid="{00000000-0005-0000-0000-000072070000}"/>
    <cellStyle name="Énfasis1 31" xfId="1830" xr:uid="{00000000-0005-0000-0000-000073070000}"/>
    <cellStyle name="Énfasis1 32" xfId="1831" xr:uid="{00000000-0005-0000-0000-000074070000}"/>
    <cellStyle name="Énfasis1 33" xfId="1832" xr:uid="{00000000-0005-0000-0000-000075070000}"/>
    <cellStyle name="Énfasis1 34" xfId="1833" xr:uid="{00000000-0005-0000-0000-000076070000}"/>
    <cellStyle name="Énfasis1 35" xfId="1834" xr:uid="{00000000-0005-0000-0000-000077070000}"/>
    <cellStyle name="Énfasis1 36" xfId="1835" xr:uid="{00000000-0005-0000-0000-000078070000}"/>
    <cellStyle name="Énfasis1 37" xfId="1836" xr:uid="{00000000-0005-0000-0000-000079070000}"/>
    <cellStyle name="Énfasis1 38" xfId="1837" xr:uid="{00000000-0005-0000-0000-00007A070000}"/>
    <cellStyle name="Énfasis1 39" xfId="1838" xr:uid="{00000000-0005-0000-0000-00007B070000}"/>
    <cellStyle name="Énfasis1 4" xfId="1839" xr:uid="{00000000-0005-0000-0000-00007C070000}"/>
    <cellStyle name="Énfasis1 40" xfId="1840" xr:uid="{00000000-0005-0000-0000-00007D070000}"/>
    <cellStyle name="Énfasis1 41" xfId="1841" xr:uid="{00000000-0005-0000-0000-00007E070000}"/>
    <cellStyle name="Énfasis1 42" xfId="1842" xr:uid="{00000000-0005-0000-0000-00007F070000}"/>
    <cellStyle name="Énfasis1 43" xfId="1843" xr:uid="{00000000-0005-0000-0000-000080070000}"/>
    <cellStyle name="Énfasis1 44" xfId="1844" xr:uid="{00000000-0005-0000-0000-000081070000}"/>
    <cellStyle name="Énfasis1 45" xfId="1845" xr:uid="{00000000-0005-0000-0000-000082070000}"/>
    <cellStyle name="Énfasis1 46" xfId="1846" xr:uid="{00000000-0005-0000-0000-000083070000}"/>
    <cellStyle name="Énfasis1 47" xfId="1847" xr:uid="{00000000-0005-0000-0000-000084070000}"/>
    <cellStyle name="Énfasis1 48" xfId="1848" xr:uid="{00000000-0005-0000-0000-000085070000}"/>
    <cellStyle name="Énfasis1 49" xfId="1849" xr:uid="{00000000-0005-0000-0000-000086070000}"/>
    <cellStyle name="Énfasis1 5" xfId="1850" xr:uid="{00000000-0005-0000-0000-000087070000}"/>
    <cellStyle name="Énfasis1 50" xfId="1851" xr:uid="{00000000-0005-0000-0000-000088070000}"/>
    <cellStyle name="Énfasis1 51" xfId="1852" xr:uid="{00000000-0005-0000-0000-000089070000}"/>
    <cellStyle name="Énfasis1 52" xfId="1853" xr:uid="{00000000-0005-0000-0000-00008A070000}"/>
    <cellStyle name="Énfasis1 53" xfId="1854" xr:uid="{00000000-0005-0000-0000-00008B070000}"/>
    <cellStyle name="Énfasis1 54" xfId="1855" xr:uid="{00000000-0005-0000-0000-00008C070000}"/>
    <cellStyle name="Énfasis1 55" xfId="1856" xr:uid="{00000000-0005-0000-0000-00008D070000}"/>
    <cellStyle name="Énfasis1 56" xfId="1857" xr:uid="{00000000-0005-0000-0000-00008E070000}"/>
    <cellStyle name="Énfasis1 57" xfId="1858" xr:uid="{00000000-0005-0000-0000-00008F070000}"/>
    <cellStyle name="Énfasis1 58" xfId="1859" xr:uid="{00000000-0005-0000-0000-000090070000}"/>
    <cellStyle name="Énfasis1 59" xfId="1860" xr:uid="{00000000-0005-0000-0000-000091070000}"/>
    <cellStyle name="Énfasis1 6" xfId="1861" xr:uid="{00000000-0005-0000-0000-000092070000}"/>
    <cellStyle name="Énfasis1 60" xfId="1862" xr:uid="{00000000-0005-0000-0000-000093070000}"/>
    <cellStyle name="Énfasis1 61" xfId="1863" xr:uid="{00000000-0005-0000-0000-000094070000}"/>
    <cellStyle name="Énfasis1 62" xfId="1864" xr:uid="{00000000-0005-0000-0000-000095070000}"/>
    <cellStyle name="Énfasis1 63" xfId="1865" xr:uid="{00000000-0005-0000-0000-000096070000}"/>
    <cellStyle name="Énfasis1 64" xfId="1866" xr:uid="{00000000-0005-0000-0000-000097070000}"/>
    <cellStyle name="Énfasis1 65" xfId="1867" xr:uid="{00000000-0005-0000-0000-000098070000}"/>
    <cellStyle name="Énfasis1 66" xfId="1868" xr:uid="{00000000-0005-0000-0000-000099070000}"/>
    <cellStyle name="Énfasis1 67" xfId="1869" xr:uid="{00000000-0005-0000-0000-00009A070000}"/>
    <cellStyle name="Énfasis1 7" xfId="1870" xr:uid="{00000000-0005-0000-0000-00009B070000}"/>
    <cellStyle name="Énfasis1 8" xfId="1871" xr:uid="{00000000-0005-0000-0000-00009C070000}"/>
    <cellStyle name="Énfasis1 9" xfId="1872" xr:uid="{00000000-0005-0000-0000-00009D070000}"/>
    <cellStyle name="Énfasis2 10" xfId="1873" xr:uid="{00000000-0005-0000-0000-00009E070000}"/>
    <cellStyle name="Énfasis2 11" xfId="1874" xr:uid="{00000000-0005-0000-0000-00009F070000}"/>
    <cellStyle name="Énfasis2 12" xfId="1875" xr:uid="{00000000-0005-0000-0000-0000A0070000}"/>
    <cellStyle name="Énfasis2 13" xfId="1876" xr:uid="{00000000-0005-0000-0000-0000A1070000}"/>
    <cellStyle name="Énfasis2 14" xfId="1877" xr:uid="{00000000-0005-0000-0000-0000A2070000}"/>
    <cellStyle name="Énfasis2 15" xfId="1878" xr:uid="{00000000-0005-0000-0000-0000A3070000}"/>
    <cellStyle name="Énfasis2 16" xfId="1879" xr:uid="{00000000-0005-0000-0000-0000A4070000}"/>
    <cellStyle name="Énfasis2 17" xfId="1880" xr:uid="{00000000-0005-0000-0000-0000A5070000}"/>
    <cellStyle name="Énfasis2 18" xfId="1881" xr:uid="{00000000-0005-0000-0000-0000A6070000}"/>
    <cellStyle name="Énfasis2 19" xfId="1882" xr:uid="{00000000-0005-0000-0000-0000A7070000}"/>
    <cellStyle name="Énfasis2 2" xfId="119" xr:uid="{00000000-0005-0000-0000-0000A8070000}"/>
    <cellStyle name="Énfasis2 2 2" xfId="1883" xr:uid="{00000000-0005-0000-0000-0000A9070000}"/>
    <cellStyle name="Énfasis2 2 3" xfId="1884" xr:uid="{00000000-0005-0000-0000-0000AA070000}"/>
    <cellStyle name="Énfasis2 2 4" xfId="1885" xr:uid="{00000000-0005-0000-0000-0000AB070000}"/>
    <cellStyle name="Énfasis2 2 5" xfId="1886" xr:uid="{00000000-0005-0000-0000-0000AC070000}"/>
    <cellStyle name="Énfasis2 20" xfId="1887" xr:uid="{00000000-0005-0000-0000-0000AD070000}"/>
    <cellStyle name="Énfasis2 21" xfId="1888" xr:uid="{00000000-0005-0000-0000-0000AE070000}"/>
    <cellStyle name="Énfasis2 22" xfId="1889" xr:uid="{00000000-0005-0000-0000-0000AF070000}"/>
    <cellStyle name="Énfasis2 23" xfId="1890" xr:uid="{00000000-0005-0000-0000-0000B0070000}"/>
    <cellStyle name="Énfasis2 24" xfId="1891" xr:uid="{00000000-0005-0000-0000-0000B1070000}"/>
    <cellStyle name="Énfasis2 25" xfId="1892" xr:uid="{00000000-0005-0000-0000-0000B2070000}"/>
    <cellStyle name="Énfasis2 26" xfId="1893" xr:uid="{00000000-0005-0000-0000-0000B3070000}"/>
    <cellStyle name="Énfasis2 27" xfId="1894" xr:uid="{00000000-0005-0000-0000-0000B4070000}"/>
    <cellStyle name="Énfasis2 28" xfId="1895" xr:uid="{00000000-0005-0000-0000-0000B5070000}"/>
    <cellStyle name="Énfasis2 29" xfId="1896" xr:uid="{00000000-0005-0000-0000-0000B6070000}"/>
    <cellStyle name="Énfasis2 3" xfId="1897" xr:uid="{00000000-0005-0000-0000-0000B7070000}"/>
    <cellStyle name="Énfasis2 30" xfId="1898" xr:uid="{00000000-0005-0000-0000-0000B8070000}"/>
    <cellStyle name="Énfasis2 31" xfId="1899" xr:uid="{00000000-0005-0000-0000-0000B9070000}"/>
    <cellStyle name="Énfasis2 32" xfId="1900" xr:uid="{00000000-0005-0000-0000-0000BA070000}"/>
    <cellStyle name="Énfasis2 33" xfId="1901" xr:uid="{00000000-0005-0000-0000-0000BB070000}"/>
    <cellStyle name="Énfasis2 34" xfId="1902" xr:uid="{00000000-0005-0000-0000-0000BC070000}"/>
    <cellStyle name="Énfasis2 35" xfId="1903" xr:uid="{00000000-0005-0000-0000-0000BD070000}"/>
    <cellStyle name="Énfasis2 36" xfId="1904" xr:uid="{00000000-0005-0000-0000-0000BE070000}"/>
    <cellStyle name="Énfasis2 37" xfId="1905" xr:uid="{00000000-0005-0000-0000-0000BF070000}"/>
    <cellStyle name="Énfasis2 38" xfId="1906" xr:uid="{00000000-0005-0000-0000-0000C0070000}"/>
    <cellStyle name="Énfasis2 39" xfId="1907" xr:uid="{00000000-0005-0000-0000-0000C1070000}"/>
    <cellStyle name="Énfasis2 4" xfId="1908" xr:uid="{00000000-0005-0000-0000-0000C2070000}"/>
    <cellStyle name="Énfasis2 40" xfId="1909" xr:uid="{00000000-0005-0000-0000-0000C3070000}"/>
    <cellStyle name="Énfasis2 41" xfId="1910" xr:uid="{00000000-0005-0000-0000-0000C4070000}"/>
    <cellStyle name="Énfasis2 42" xfId="1911" xr:uid="{00000000-0005-0000-0000-0000C5070000}"/>
    <cellStyle name="Énfasis2 43" xfId="1912" xr:uid="{00000000-0005-0000-0000-0000C6070000}"/>
    <cellStyle name="Énfasis2 44" xfId="1913" xr:uid="{00000000-0005-0000-0000-0000C7070000}"/>
    <cellStyle name="Énfasis2 45" xfId="1914" xr:uid="{00000000-0005-0000-0000-0000C8070000}"/>
    <cellStyle name="Énfasis2 46" xfId="1915" xr:uid="{00000000-0005-0000-0000-0000C9070000}"/>
    <cellStyle name="Énfasis2 47" xfId="1916" xr:uid="{00000000-0005-0000-0000-0000CA070000}"/>
    <cellStyle name="Énfasis2 48" xfId="1917" xr:uid="{00000000-0005-0000-0000-0000CB070000}"/>
    <cellStyle name="Énfasis2 49" xfId="1918" xr:uid="{00000000-0005-0000-0000-0000CC070000}"/>
    <cellStyle name="Énfasis2 5" xfId="1919" xr:uid="{00000000-0005-0000-0000-0000CD070000}"/>
    <cellStyle name="Énfasis2 50" xfId="1920" xr:uid="{00000000-0005-0000-0000-0000CE070000}"/>
    <cellStyle name="Énfasis2 51" xfId="1921" xr:uid="{00000000-0005-0000-0000-0000CF070000}"/>
    <cellStyle name="Énfasis2 52" xfId="1922" xr:uid="{00000000-0005-0000-0000-0000D0070000}"/>
    <cellStyle name="Énfasis2 53" xfId="1923" xr:uid="{00000000-0005-0000-0000-0000D1070000}"/>
    <cellStyle name="Énfasis2 54" xfId="1924" xr:uid="{00000000-0005-0000-0000-0000D2070000}"/>
    <cellStyle name="Énfasis2 55" xfId="1925" xr:uid="{00000000-0005-0000-0000-0000D3070000}"/>
    <cellStyle name="Énfasis2 56" xfId="1926" xr:uid="{00000000-0005-0000-0000-0000D4070000}"/>
    <cellStyle name="Énfasis2 57" xfId="1927" xr:uid="{00000000-0005-0000-0000-0000D5070000}"/>
    <cellStyle name="Énfasis2 58" xfId="1928" xr:uid="{00000000-0005-0000-0000-0000D6070000}"/>
    <cellStyle name="Énfasis2 59" xfId="1929" xr:uid="{00000000-0005-0000-0000-0000D7070000}"/>
    <cellStyle name="Énfasis2 6" xfId="1930" xr:uid="{00000000-0005-0000-0000-0000D8070000}"/>
    <cellStyle name="Énfasis2 60" xfId="1931" xr:uid="{00000000-0005-0000-0000-0000D9070000}"/>
    <cellStyle name="Énfasis2 61" xfId="1932" xr:uid="{00000000-0005-0000-0000-0000DA070000}"/>
    <cellStyle name="Énfasis2 62" xfId="1933" xr:uid="{00000000-0005-0000-0000-0000DB070000}"/>
    <cellStyle name="Énfasis2 63" xfId="1934" xr:uid="{00000000-0005-0000-0000-0000DC070000}"/>
    <cellStyle name="Énfasis2 64" xfId="1935" xr:uid="{00000000-0005-0000-0000-0000DD070000}"/>
    <cellStyle name="Énfasis2 65" xfId="1936" xr:uid="{00000000-0005-0000-0000-0000DE070000}"/>
    <cellStyle name="Énfasis2 66" xfId="1937" xr:uid="{00000000-0005-0000-0000-0000DF070000}"/>
    <cellStyle name="Énfasis2 67" xfId="1938" xr:uid="{00000000-0005-0000-0000-0000E0070000}"/>
    <cellStyle name="Énfasis2 7" xfId="1939" xr:uid="{00000000-0005-0000-0000-0000E1070000}"/>
    <cellStyle name="Énfasis2 8" xfId="1940" xr:uid="{00000000-0005-0000-0000-0000E2070000}"/>
    <cellStyle name="Énfasis2 9" xfId="1941" xr:uid="{00000000-0005-0000-0000-0000E3070000}"/>
    <cellStyle name="Énfasis3 10" xfId="1942" xr:uid="{00000000-0005-0000-0000-0000E4070000}"/>
    <cellStyle name="Énfasis3 11" xfId="1943" xr:uid="{00000000-0005-0000-0000-0000E5070000}"/>
    <cellStyle name="Énfasis3 12" xfId="1944" xr:uid="{00000000-0005-0000-0000-0000E6070000}"/>
    <cellStyle name="Énfasis3 13" xfId="1945" xr:uid="{00000000-0005-0000-0000-0000E7070000}"/>
    <cellStyle name="Énfasis3 14" xfId="1946" xr:uid="{00000000-0005-0000-0000-0000E8070000}"/>
    <cellStyle name="Énfasis3 15" xfId="1947" xr:uid="{00000000-0005-0000-0000-0000E9070000}"/>
    <cellStyle name="Énfasis3 16" xfId="1948" xr:uid="{00000000-0005-0000-0000-0000EA070000}"/>
    <cellStyle name="Énfasis3 17" xfId="1949" xr:uid="{00000000-0005-0000-0000-0000EB070000}"/>
    <cellStyle name="Énfasis3 18" xfId="1950" xr:uid="{00000000-0005-0000-0000-0000EC070000}"/>
    <cellStyle name="Énfasis3 19" xfId="1951" xr:uid="{00000000-0005-0000-0000-0000ED070000}"/>
    <cellStyle name="Énfasis3 2" xfId="120" xr:uid="{00000000-0005-0000-0000-0000EE070000}"/>
    <cellStyle name="Énfasis3 2 2" xfId="1952" xr:uid="{00000000-0005-0000-0000-0000EF070000}"/>
    <cellStyle name="Énfasis3 2 3" xfId="1953" xr:uid="{00000000-0005-0000-0000-0000F0070000}"/>
    <cellStyle name="Énfasis3 2 4" xfId="1954" xr:uid="{00000000-0005-0000-0000-0000F1070000}"/>
    <cellStyle name="Énfasis3 2 5" xfId="1955" xr:uid="{00000000-0005-0000-0000-0000F2070000}"/>
    <cellStyle name="Énfasis3 20" xfId="1956" xr:uid="{00000000-0005-0000-0000-0000F3070000}"/>
    <cellStyle name="Énfasis3 21" xfId="1957" xr:uid="{00000000-0005-0000-0000-0000F4070000}"/>
    <cellStyle name="Énfasis3 22" xfId="1958" xr:uid="{00000000-0005-0000-0000-0000F5070000}"/>
    <cellStyle name="Énfasis3 23" xfId="1959" xr:uid="{00000000-0005-0000-0000-0000F6070000}"/>
    <cellStyle name="Énfasis3 24" xfId="1960" xr:uid="{00000000-0005-0000-0000-0000F7070000}"/>
    <cellStyle name="Énfasis3 25" xfId="1961" xr:uid="{00000000-0005-0000-0000-0000F8070000}"/>
    <cellStyle name="Énfasis3 26" xfId="1962" xr:uid="{00000000-0005-0000-0000-0000F9070000}"/>
    <cellStyle name="Énfasis3 27" xfId="1963" xr:uid="{00000000-0005-0000-0000-0000FA070000}"/>
    <cellStyle name="Énfasis3 28" xfId="1964" xr:uid="{00000000-0005-0000-0000-0000FB070000}"/>
    <cellStyle name="Énfasis3 29" xfId="1965" xr:uid="{00000000-0005-0000-0000-0000FC070000}"/>
    <cellStyle name="Énfasis3 3" xfId="1966" xr:uid="{00000000-0005-0000-0000-0000FD070000}"/>
    <cellStyle name="Énfasis3 30" xfId="1967" xr:uid="{00000000-0005-0000-0000-0000FE070000}"/>
    <cellStyle name="Énfasis3 31" xfId="1968" xr:uid="{00000000-0005-0000-0000-0000FF070000}"/>
    <cellStyle name="Énfasis3 32" xfId="1969" xr:uid="{00000000-0005-0000-0000-000000080000}"/>
    <cellStyle name="Énfasis3 33" xfId="1970" xr:uid="{00000000-0005-0000-0000-000001080000}"/>
    <cellStyle name="Énfasis3 34" xfId="1971" xr:uid="{00000000-0005-0000-0000-000002080000}"/>
    <cellStyle name="Énfasis3 35" xfId="1972" xr:uid="{00000000-0005-0000-0000-000003080000}"/>
    <cellStyle name="Énfasis3 36" xfId="1973" xr:uid="{00000000-0005-0000-0000-000004080000}"/>
    <cellStyle name="Énfasis3 37" xfId="1974" xr:uid="{00000000-0005-0000-0000-000005080000}"/>
    <cellStyle name="Énfasis3 38" xfId="1975" xr:uid="{00000000-0005-0000-0000-000006080000}"/>
    <cellStyle name="Énfasis3 39" xfId="1976" xr:uid="{00000000-0005-0000-0000-000007080000}"/>
    <cellStyle name="Énfasis3 4" xfId="1977" xr:uid="{00000000-0005-0000-0000-000008080000}"/>
    <cellStyle name="Énfasis3 40" xfId="1978" xr:uid="{00000000-0005-0000-0000-000009080000}"/>
    <cellStyle name="Énfasis3 41" xfId="1979" xr:uid="{00000000-0005-0000-0000-00000A080000}"/>
    <cellStyle name="Énfasis3 42" xfId="1980" xr:uid="{00000000-0005-0000-0000-00000B080000}"/>
    <cellStyle name="Énfasis3 43" xfId="1981" xr:uid="{00000000-0005-0000-0000-00000C080000}"/>
    <cellStyle name="Énfasis3 44" xfId="1982" xr:uid="{00000000-0005-0000-0000-00000D080000}"/>
    <cellStyle name="Énfasis3 45" xfId="1983" xr:uid="{00000000-0005-0000-0000-00000E080000}"/>
    <cellStyle name="Énfasis3 46" xfId="1984" xr:uid="{00000000-0005-0000-0000-00000F080000}"/>
    <cellStyle name="Énfasis3 47" xfId="1985" xr:uid="{00000000-0005-0000-0000-000010080000}"/>
    <cellStyle name="Énfasis3 48" xfId="1986" xr:uid="{00000000-0005-0000-0000-000011080000}"/>
    <cellStyle name="Énfasis3 49" xfId="1987" xr:uid="{00000000-0005-0000-0000-000012080000}"/>
    <cellStyle name="Énfasis3 5" xfId="1988" xr:uid="{00000000-0005-0000-0000-000013080000}"/>
    <cellStyle name="Énfasis3 50" xfId="1989" xr:uid="{00000000-0005-0000-0000-000014080000}"/>
    <cellStyle name="Énfasis3 51" xfId="1990" xr:uid="{00000000-0005-0000-0000-000015080000}"/>
    <cellStyle name="Énfasis3 52" xfId="1991" xr:uid="{00000000-0005-0000-0000-000016080000}"/>
    <cellStyle name="Énfasis3 53" xfId="1992" xr:uid="{00000000-0005-0000-0000-000017080000}"/>
    <cellStyle name="Énfasis3 54" xfId="1993" xr:uid="{00000000-0005-0000-0000-000018080000}"/>
    <cellStyle name="Énfasis3 55" xfId="1994" xr:uid="{00000000-0005-0000-0000-000019080000}"/>
    <cellStyle name="Énfasis3 56" xfId="1995" xr:uid="{00000000-0005-0000-0000-00001A080000}"/>
    <cellStyle name="Énfasis3 57" xfId="1996" xr:uid="{00000000-0005-0000-0000-00001B080000}"/>
    <cellStyle name="Énfasis3 58" xfId="1997" xr:uid="{00000000-0005-0000-0000-00001C080000}"/>
    <cellStyle name="Énfasis3 59" xfId="1998" xr:uid="{00000000-0005-0000-0000-00001D080000}"/>
    <cellStyle name="Énfasis3 6" xfId="1999" xr:uid="{00000000-0005-0000-0000-00001E080000}"/>
    <cellStyle name="Énfasis3 60" xfId="2000" xr:uid="{00000000-0005-0000-0000-00001F080000}"/>
    <cellStyle name="Énfasis3 61" xfId="2001" xr:uid="{00000000-0005-0000-0000-000020080000}"/>
    <cellStyle name="Énfasis3 62" xfId="2002" xr:uid="{00000000-0005-0000-0000-000021080000}"/>
    <cellStyle name="Énfasis3 63" xfId="2003" xr:uid="{00000000-0005-0000-0000-000022080000}"/>
    <cellStyle name="Énfasis3 64" xfId="2004" xr:uid="{00000000-0005-0000-0000-000023080000}"/>
    <cellStyle name="Énfasis3 65" xfId="2005" xr:uid="{00000000-0005-0000-0000-000024080000}"/>
    <cellStyle name="Énfasis3 66" xfId="2006" xr:uid="{00000000-0005-0000-0000-000025080000}"/>
    <cellStyle name="Énfasis3 67" xfId="2007" xr:uid="{00000000-0005-0000-0000-000026080000}"/>
    <cellStyle name="Énfasis3 7" xfId="2008" xr:uid="{00000000-0005-0000-0000-000027080000}"/>
    <cellStyle name="Énfasis3 8" xfId="2009" xr:uid="{00000000-0005-0000-0000-000028080000}"/>
    <cellStyle name="Énfasis3 9" xfId="2010" xr:uid="{00000000-0005-0000-0000-000029080000}"/>
    <cellStyle name="Énfasis4 10" xfId="2011" xr:uid="{00000000-0005-0000-0000-00002A080000}"/>
    <cellStyle name="Énfasis4 11" xfId="2012" xr:uid="{00000000-0005-0000-0000-00002B080000}"/>
    <cellStyle name="Énfasis4 12" xfId="2013" xr:uid="{00000000-0005-0000-0000-00002C080000}"/>
    <cellStyle name="Énfasis4 13" xfId="2014" xr:uid="{00000000-0005-0000-0000-00002D080000}"/>
    <cellStyle name="Énfasis4 14" xfId="2015" xr:uid="{00000000-0005-0000-0000-00002E080000}"/>
    <cellStyle name="Énfasis4 15" xfId="2016" xr:uid="{00000000-0005-0000-0000-00002F080000}"/>
    <cellStyle name="Énfasis4 16" xfId="2017" xr:uid="{00000000-0005-0000-0000-000030080000}"/>
    <cellStyle name="Énfasis4 17" xfId="2018" xr:uid="{00000000-0005-0000-0000-000031080000}"/>
    <cellStyle name="Énfasis4 18" xfId="2019" xr:uid="{00000000-0005-0000-0000-000032080000}"/>
    <cellStyle name="Énfasis4 19" xfId="2020" xr:uid="{00000000-0005-0000-0000-000033080000}"/>
    <cellStyle name="Énfasis4 2" xfId="121" xr:uid="{00000000-0005-0000-0000-000034080000}"/>
    <cellStyle name="Énfasis4 2 2" xfId="2021" xr:uid="{00000000-0005-0000-0000-000035080000}"/>
    <cellStyle name="Énfasis4 2 3" xfId="2022" xr:uid="{00000000-0005-0000-0000-000036080000}"/>
    <cellStyle name="Énfasis4 2 4" xfId="2023" xr:uid="{00000000-0005-0000-0000-000037080000}"/>
    <cellStyle name="Énfasis4 2 5" xfId="2024" xr:uid="{00000000-0005-0000-0000-000038080000}"/>
    <cellStyle name="Énfasis4 20" xfId="2025" xr:uid="{00000000-0005-0000-0000-000039080000}"/>
    <cellStyle name="Énfasis4 21" xfId="2026" xr:uid="{00000000-0005-0000-0000-00003A080000}"/>
    <cellStyle name="Énfasis4 22" xfId="2027" xr:uid="{00000000-0005-0000-0000-00003B080000}"/>
    <cellStyle name="Énfasis4 23" xfId="2028" xr:uid="{00000000-0005-0000-0000-00003C080000}"/>
    <cellStyle name="Énfasis4 24" xfId="2029" xr:uid="{00000000-0005-0000-0000-00003D080000}"/>
    <cellStyle name="Énfasis4 25" xfId="2030" xr:uid="{00000000-0005-0000-0000-00003E080000}"/>
    <cellStyle name="Énfasis4 26" xfId="2031" xr:uid="{00000000-0005-0000-0000-00003F080000}"/>
    <cellStyle name="Énfasis4 27" xfId="2032" xr:uid="{00000000-0005-0000-0000-000040080000}"/>
    <cellStyle name="Énfasis4 28" xfId="2033" xr:uid="{00000000-0005-0000-0000-000041080000}"/>
    <cellStyle name="Énfasis4 29" xfId="2034" xr:uid="{00000000-0005-0000-0000-000042080000}"/>
    <cellStyle name="Énfasis4 3" xfId="2035" xr:uid="{00000000-0005-0000-0000-000043080000}"/>
    <cellStyle name="Énfasis4 30" xfId="2036" xr:uid="{00000000-0005-0000-0000-000044080000}"/>
    <cellStyle name="Énfasis4 31" xfId="2037" xr:uid="{00000000-0005-0000-0000-000045080000}"/>
    <cellStyle name="Énfasis4 32" xfId="2038" xr:uid="{00000000-0005-0000-0000-000046080000}"/>
    <cellStyle name="Énfasis4 33" xfId="2039" xr:uid="{00000000-0005-0000-0000-000047080000}"/>
    <cellStyle name="Énfasis4 34" xfId="2040" xr:uid="{00000000-0005-0000-0000-000048080000}"/>
    <cellStyle name="Énfasis4 35" xfId="2041" xr:uid="{00000000-0005-0000-0000-000049080000}"/>
    <cellStyle name="Énfasis4 36" xfId="2042" xr:uid="{00000000-0005-0000-0000-00004A080000}"/>
    <cellStyle name="Énfasis4 37" xfId="2043" xr:uid="{00000000-0005-0000-0000-00004B080000}"/>
    <cellStyle name="Énfasis4 38" xfId="2044" xr:uid="{00000000-0005-0000-0000-00004C080000}"/>
    <cellStyle name="Énfasis4 39" xfId="2045" xr:uid="{00000000-0005-0000-0000-00004D080000}"/>
    <cellStyle name="Énfasis4 4" xfId="2046" xr:uid="{00000000-0005-0000-0000-00004E080000}"/>
    <cellStyle name="Énfasis4 40" xfId="2047" xr:uid="{00000000-0005-0000-0000-00004F080000}"/>
    <cellStyle name="Énfasis4 41" xfId="2048" xr:uid="{00000000-0005-0000-0000-000050080000}"/>
    <cellStyle name="Énfasis4 42" xfId="2049" xr:uid="{00000000-0005-0000-0000-000051080000}"/>
    <cellStyle name="Énfasis4 43" xfId="2050" xr:uid="{00000000-0005-0000-0000-000052080000}"/>
    <cellStyle name="Énfasis4 44" xfId="2051" xr:uid="{00000000-0005-0000-0000-000053080000}"/>
    <cellStyle name="Énfasis4 45" xfId="2052" xr:uid="{00000000-0005-0000-0000-000054080000}"/>
    <cellStyle name="Énfasis4 46" xfId="2053" xr:uid="{00000000-0005-0000-0000-000055080000}"/>
    <cellStyle name="Énfasis4 47" xfId="2054" xr:uid="{00000000-0005-0000-0000-000056080000}"/>
    <cellStyle name="Énfasis4 48" xfId="2055" xr:uid="{00000000-0005-0000-0000-000057080000}"/>
    <cellStyle name="Énfasis4 49" xfId="2056" xr:uid="{00000000-0005-0000-0000-000058080000}"/>
    <cellStyle name="Énfasis4 5" xfId="2057" xr:uid="{00000000-0005-0000-0000-000059080000}"/>
    <cellStyle name="Énfasis4 50" xfId="2058" xr:uid="{00000000-0005-0000-0000-00005A080000}"/>
    <cellStyle name="Énfasis4 51" xfId="2059" xr:uid="{00000000-0005-0000-0000-00005B080000}"/>
    <cellStyle name="Énfasis4 52" xfId="2060" xr:uid="{00000000-0005-0000-0000-00005C080000}"/>
    <cellStyle name="Énfasis4 53" xfId="2061" xr:uid="{00000000-0005-0000-0000-00005D080000}"/>
    <cellStyle name="Énfasis4 54" xfId="2062" xr:uid="{00000000-0005-0000-0000-00005E080000}"/>
    <cellStyle name="Énfasis4 55" xfId="2063" xr:uid="{00000000-0005-0000-0000-00005F080000}"/>
    <cellStyle name="Énfasis4 56" xfId="2064" xr:uid="{00000000-0005-0000-0000-000060080000}"/>
    <cellStyle name="Énfasis4 57" xfId="2065" xr:uid="{00000000-0005-0000-0000-000061080000}"/>
    <cellStyle name="Énfasis4 58" xfId="2066" xr:uid="{00000000-0005-0000-0000-000062080000}"/>
    <cellStyle name="Énfasis4 59" xfId="2067" xr:uid="{00000000-0005-0000-0000-000063080000}"/>
    <cellStyle name="Énfasis4 6" xfId="2068" xr:uid="{00000000-0005-0000-0000-000064080000}"/>
    <cellStyle name="Énfasis4 60" xfId="2069" xr:uid="{00000000-0005-0000-0000-000065080000}"/>
    <cellStyle name="Énfasis4 61" xfId="2070" xr:uid="{00000000-0005-0000-0000-000066080000}"/>
    <cellStyle name="Énfasis4 62" xfId="2071" xr:uid="{00000000-0005-0000-0000-000067080000}"/>
    <cellStyle name="Énfasis4 63" xfId="2072" xr:uid="{00000000-0005-0000-0000-000068080000}"/>
    <cellStyle name="Énfasis4 64" xfId="2073" xr:uid="{00000000-0005-0000-0000-000069080000}"/>
    <cellStyle name="Énfasis4 65" xfId="2074" xr:uid="{00000000-0005-0000-0000-00006A080000}"/>
    <cellStyle name="Énfasis4 66" xfId="2075" xr:uid="{00000000-0005-0000-0000-00006B080000}"/>
    <cellStyle name="Énfasis4 67" xfId="2076" xr:uid="{00000000-0005-0000-0000-00006C080000}"/>
    <cellStyle name="Énfasis4 7" xfId="2077" xr:uid="{00000000-0005-0000-0000-00006D080000}"/>
    <cellStyle name="Énfasis4 8" xfId="2078" xr:uid="{00000000-0005-0000-0000-00006E080000}"/>
    <cellStyle name="Énfasis4 9" xfId="2079" xr:uid="{00000000-0005-0000-0000-00006F080000}"/>
    <cellStyle name="Énfasis5 10" xfId="2080" xr:uid="{00000000-0005-0000-0000-000070080000}"/>
    <cellStyle name="Énfasis5 11" xfId="2081" xr:uid="{00000000-0005-0000-0000-000071080000}"/>
    <cellStyle name="Énfasis5 12" xfId="2082" xr:uid="{00000000-0005-0000-0000-000072080000}"/>
    <cellStyle name="Énfasis5 13" xfId="2083" xr:uid="{00000000-0005-0000-0000-000073080000}"/>
    <cellStyle name="Énfasis5 14" xfId="2084" xr:uid="{00000000-0005-0000-0000-000074080000}"/>
    <cellStyle name="Énfasis5 15" xfId="2085" xr:uid="{00000000-0005-0000-0000-000075080000}"/>
    <cellStyle name="Énfasis5 16" xfId="2086" xr:uid="{00000000-0005-0000-0000-000076080000}"/>
    <cellStyle name="Énfasis5 17" xfId="2087" xr:uid="{00000000-0005-0000-0000-000077080000}"/>
    <cellStyle name="Énfasis5 18" xfId="2088" xr:uid="{00000000-0005-0000-0000-000078080000}"/>
    <cellStyle name="Énfasis5 19" xfId="2089" xr:uid="{00000000-0005-0000-0000-000079080000}"/>
    <cellStyle name="Énfasis5 2" xfId="122" xr:uid="{00000000-0005-0000-0000-00007A080000}"/>
    <cellStyle name="Énfasis5 2 2" xfId="2090" xr:uid="{00000000-0005-0000-0000-00007B080000}"/>
    <cellStyle name="Énfasis5 2 3" xfId="2091" xr:uid="{00000000-0005-0000-0000-00007C080000}"/>
    <cellStyle name="Énfasis5 2 4" xfId="2092" xr:uid="{00000000-0005-0000-0000-00007D080000}"/>
    <cellStyle name="Énfasis5 2 5" xfId="2093" xr:uid="{00000000-0005-0000-0000-00007E080000}"/>
    <cellStyle name="Énfasis5 20" xfId="2094" xr:uid="{00000000-0005-0000-0000-00007F080000}"/>
    <cellStyle name="Énfasis5 21" xfId="2095" xr:uid="{00000000-0005-0000-0000-000080080000}"/>
    <cellStyle name="Énfasis5 22" xfId="2096" xr:uid="{00000000-0005-0000-0000-000081080000}"/>
    <cellStyle name="Énfasis5 23" xfId="2097" xr:uid="{00000000-0005-0000-0000-000082080000}"/>
    <cellStyle name="Énfasis5 24" xfId="2098" xr:uid="{00000000-0005-0000-0000-000083080000}"/>
    <cellStyle name="Énfasis5 25" xfId="2099" xr:uid="{00000000-0005-0000-0000-000084080000}"/>
    <cellStyle name="Énfasis5 26" xfId="2100" xr:uid="{00000000-0005-0000-0000-000085080000}"/>
    <cellStyle name="Énfasis5 27" xfId="2101" xr:uid="{00000000-0005-0000-0000-000086080000}"/>
    <cellStyle name="Énfasis5 28" xfId="2102" xr:uid="{00000000-0005-0000-0000-000087080000}"/>
    <cellStyle name="Énfasis5 29" xfId="2103" xr:uid="{00000000-0005-0000-0000-000088080000}"/>
    <cellStyle name="Énfasis5 3" xfId="2104" xr:uid="{00000000-0005-0000-0000-000089080000}"/>
    <cellStyle name="Énfasis5 30" xfId="2105" xr:uid="{00000000-0005-0000-0000-00008A080000}"/>
    <cellStyle name="Énfasis5 31" xfId="2106" xr:uid="{00000000-0005-0000-0000-00008B080000}"/>
    <cellStyle name="Énfasis5 32" xfId="2107" xr:uid="{00000000-0005-0000-0000-00008C080000}"/>
    <cellStyle name="Énfasis5 33" xfId="2108" xr:uid="{00000000-0005-0000-0000-00008D080000}"/>
    <cellStyle name="Énfasis5 34" xfId="2109" xr:uid="{00000000-0005-0000-0000-00008E080000}"/>
    <cellStyle name="Énfasis5 35" xfId="2110" xr:uid="{00000000-0005-0000-0000-00008F080000}"/>
    <cellStyle name="Énfasis5 36" xfId="2111" xr:uid="{00000000-0005-0000-0000-000090080000}"/>
    <cellStyle name="Énfasis5 37" xfId="2112" xr:uid="{00000000-0005-0000-0000-000091080000}"/>
    <cellStyle name="Énfasis5 38" xfId="2113" xr:uid="{00000000-0005-0000-0000-000092080000}"/>
    <cellStyle name="Énfasis5 39" xfId="2114" xr:uid="{00000000-0005-0000-0000-000093080000}"/>
    <cellStyle name="Énfasis5 4" xfId="2115" xr:uid="{00000000-0005-0000-0000-000094080000}"/>
    <cellStyle name="Énfasis5 40" xfId="2116" xr:uid="{00000000-0005-0000-0000-000095080000}"/>
    <cellStyle name="Énfasis5 41" xfId="2117" xr:uid="{00000000-0005-0000-0000-000096080000}"/>
    <cellStyle name="Énfasis5 42" xfId="2118" xr:uid="{00000000-0005-0000-0000-000097080000}"/>
    <cellStyle name="Énfasis5 43" xfId="2119" xr:uid="{00000000-0005-0000-0000-000098080000}"/>
    <cellStyle name="Énfasis5 44" xfId="2120" xr:uid="{00000000-0005-0000-0000-000099080000}"/>
    <cellStyle name="Énfasis5 45" xfId="2121" xr:uid="{00000000-0005-0000-0000-00009A080000}"/>
    <cellStyle name="Énfasis5 46" xfId="2122" xr:uid="{00000000-0005-0000-0000-00009B080000}"/>
    <cellStyle name="Énfasis5 47" xfId="2123" xr:uid="{00000000-0005-0000-0000-00009C080000}"/>
    <cellStyle name="Énfasis5 48" xfId="2124" xr:uid="{00000000-0005-0000-0000-00009D080000}"/>
    <cellStyle name="Énfasis5 49" xfId="2125" xr:uid="{00000000-0005-0000-0000-00009E080000}"/>
    <cellStyle name="Énfasis5 5" xfId="2126" xr:uid="{00000000-0005-0000-0000-00009F080000}"/>
    <cellStyle name="Énfasis5 50" xfId="2127" xr:uid="{00000000-0005-0000-0000-0000A0080000}"/>
    <cellStyle name="Énfasis5 51" xfId="2128" xr:uid="{00000000-0005-0000-0000-0000A1080000}"/>
    <cellStyle name="Énfasis5 52" xfId="2129" xr:uid="{00000000-0005-0000-0000-0000A2080000}"/>
    <cellStyle name="Énfasis5 53" xfId="2130" xr:uid="{00000000-0005-0000-0000-0000A3080000}"/>
    <cellStyle name="Énfasis5 54" xfId="2131" xr:uid="{00000000-0005-0000-0000-0000A4080000}"/>
    <cellStyle name="Énfasis5 55" xfId="2132" xr:uid="{00000000-0005-0000-0000-0000A5080000}"/>
    <cellStyle name="Énfasis5 56" xfId="2133" xr:uid="{00000000-0005-0000-0000-0000A6080000}"/>
    <cellStyle name="Énfasis5 57" xfId="2134" xr:uid="{00000000-0005-0000-0000-0000A7080000}"/>
    <cellStyle name="Énfasis5 58" xfId="2135" xr:uid="{00000000-0005-0000-0000-0000A8080000}"/>
    <cellStyle name="Énfasis5 59" xfId="2136" xr:uid="{00000000-0005-0000-0000-0000A9080000}"/>
    <cellStyle name="Énfasis5 6" xfId="2137" xr:uid="{00000000-0005-0000-0000-0000AA080000}"/>
    <cellStyle name="Énfasis5 60" xfId="2138" xr:uid="{00000000-0005-0000-0000-0000AB080000}"/>
    <cellStyle name="Énfasis5 61" xfId="2139" xr:uid="{00000000-0005-0000-0000-0000AC080000}"/>
    <cellStyle name="Énfasis5 62" xfId="2140" xr:uid="{00000000-0005-0000-0000-0000AD080000}"/>
    <cellStyle name="Énfasis5 63" xfId="2141" xr:uid="{00000000-0005-0000-0000-0000AE080000}"/>
    <cellStyle name="Énfasis5 64" xfId="2142" xr:uid="{00000000-0005-0000-0000-0000AF080000}"/>
    <cellStyle name="Énfasis5 65" xfId="2143" xr:uid="{00000000-0005-0000-0000-0000B0080000}"/>
    <cellStyle name="Énfasis5 66" xfId="2144" xr:uid="{00000000-0005-0000-0000-0000B1080000}"/>
    <cellStyle name="Énfasis5 67" xfId="2145" xr:uid="{00000000-0005-0000-0000-0000B2080000}"/>
    <cellStyle name="Énfasis5 7" xfId="2146" xr:uid="{00000000-0005-0000-0000-0000B3080000}"/>
    <cellStyle name="Énfasis5 8" xfId="2147" xr:uid="{00000000-0005-0000-0000-0000B4080000}"/>
    <cellStyle name="Énfasis5 9" xfId="2148" xr:uid="{00000000-0005-0000-0000-0000B5080000}"/>
    <cellStyle name="Énfasis6 10" xfId="2149" xr:uid="{00000000-0005-0000-0000-0000B6080000}"/>
    <cellStyle name="Énfasis6 11" xfId="2150" xr:uid="{00000000-0005-0000-0000-0000B7080000}"/>
    <cellStyle name="Énfasis6 12" xfId="2151" xr:uid="{00000000-0005-0000-0000-0000B8080000}"/>
    <cellStyle name="Énfasis6 13" xfId="2152" xr:uid="{00000000-0005-0000-0000-0000B9080000}"/>
    <cellStyle name="Énfasis6 14" xfId="2153" xr:uid="{00000000-0005-0000-0000-0000BA080000}"/>
    <cellStyle name="Énfasis6 15" xfId="2154" xr:uid="{00000000-0005-0000-0000-0000BB080000}"/>
    <cellStyle name="Énfasis6 16" xfId="2155" xr:uid="{00000000-0005-0000-0000-0000BC080000}"/>
    <cellStyle name="Énfasis6 17" xfId="2156" xr:uid="{00000000-0005-0000-0000-0000BD080000}"/>
    <cellStyle name="Énfasis6 18" xfId="2157" xr:uid="{00000000-0005-0000-0000-0000BE080000}"/>
    <cellStyle name="Énfasis6 19" xfId="2158" xr:uid="{00000000-0005-0000-0000-0000BF080000}"/>
    <cellStyle name="Énfasis6 2" xfId="123" xr:uid="{00000000-0005-0000-0000-0000C0080000}"/>
    <cellStyle name="Énfasis6 2 2" xfId="2159" xr:uid="{00000000-0005-0000-0000-0000C1080000}"/>
    <cellStyle name="Énfasis6 2 3" xfId="2160" xr:uid="{00000000-0005-0000-0000-0000C2080000}"/>
    <cellStyle name="Énfasis6 2 4" xfId="2161" xr:uid="{00000000-0005-0000-0000-0000C3080000}"/>
    <cellStyle name="Énfasis6 2 5" xfId="2162" xr:uid="{00000000-0005-0000-0000-0000C4080000}"/>
    <cellStyle name="Énfasis6 20" xfId="2163" xr:uid="{00000000-0005-0000-0000-0000C5080000}"/>
    <cellStyle name="Énfasis6 21" xfId="2164" xr:uid="{00000000-0005-0000-0000-0000C6080000}"/>
    <cellStyle name="Énfasis6 22" xfId="2165" xr:uid="{00000000-0005-0000-0000-0000C7080000}"/>
    <cellStyle name="Énfasis6 23" xfId="2166" xr:uid="{00000000-0005-0000-0000-0000C8080000}"/>
    <cellStyle name="Énfasis6 24" xfId="2167" xr:uid="{00000000-0005-0000-0000-0000C9080000}"/>
    <cellStyle name="Énfasis6 25" xfId="2168" xr:uid="{00000000-0005-0000-0000-0000CA080000}"/>
    <cellStyle name="Énfasis6 26" xfId="2169" xr:uid="{00000000-0005-0000-0000-0000CB080000}"/>
    <cellStyle name="Énfasis6 27" xfId="2170" xr:uid="{00000000-0005-0000-0000-0000CC080000}"/>
    <cellStyle name="Énfasis6 28" xfId="2171" xr:uid="{00000000-0005-0000-0000-0000CD080000}"/>
    <cellStyle name="Énfasis6 29" xfId="2172" xr:uid="{00000000-0005-0000-0000-0000CE080000}"/>
    <cellStyle name="Énfasis6 3" xfId="2173" xr:uid="{00000000-0005-0000-0000-0000CF080000}"/>
    <cellStyle name="Énfasis6 30" xfId="2174" xr:uid="{00000000-0005-0000-0000-0000D0080000}"/>
    <cellStyle name="Énfasis6 31" xfId="2175" xr:uid="{00000000-0005-0000-0000-0000D1080000}"/>
    <cellStyle name="Énfasis6 32" xfId="2176" xr:uid="{00000000-0005-0000-0000-0000D2080000}"/>
    <cellStyle name="Énfasis6 33" xfId="2177" xr:uid="{00000000-0005-0000-0000-0000D3080000}"/>
    <cellStyle name="Énfasis6 34" xfId="2178" xr:uid="{00000000-0005-0000-0000-0000D4080000}"/>
    <cellStyle name="Énfasis6 35" xfId="2179" xr:uid="{00000000-0005-0000-0000-0000D5080000}"/>
    <cellStyle name="Énfasis6 36" xfId="2180" xr:uid="{00000000-0005-0000-0000-0000D6080000}"/>
    <cellStyle name="Énfasis6 37" xfId="2181" xr:uid="{00000000-0005-0000-0000-0000D7080000}"/>
    <cellStyle name="Énfasis6 38" xfId="2182" xr:uid="{00000000-0005-0000-0000-0000D8080000}"/>
    <cellStyle name="Énfasis6 39" xfId="2183" xr:uid="{00000000-0005-0000-0000-0000D9080000}"/>
    <cellStyle name="Énfasis6 4" xfId="2184" xr:uid="{00000000-0005-0000-0000-0000DA080000}"/>
    <cellStyle name="Énfasis6 40" xfId="2185" xr:uid="{00000000-0005-0000-0000-0000DB080000}"/>
    <cellStyle name="Énfasis6 41" xfId="2186" xr:uid="{00000000-0005-0000-0000-0000DC080000}"/>
    <cellStyle name="Énfasis6 42" xfId="2187" xr:uid="{00000000-0005-0000-0000-0000DD080000}"/>
    <cellStyle name="Énfasis6 43" xfId="2188" xr:uid="{00000000-0005-0000-0000-0000DE080000}"/>
    <cellStyle name="Énfasis6 44" xfId="2189" xr:uid="{00000000-0005-0000-0000-0000DF080000}"/>
    <cellStyle name="Énfasis6 45" xfId="2190" xr:uid="{00000000-0005-0000-0000-0000E0080000}"/>
    <cellStyle name="Énfasis6 46" xfId="2191" xr:uid="{00000000-0005-0000-0000-0000E1080000}"/>
    <cellStyle name="Énfasis6 47" xfId="2192" xr:uid="{00000000-0005-0000-0000-0000E2080000}"/>
    <cellStyle name="Énfasis6 48" xfId="2193" xr:uid="{00000000-0005-0000-0000-0000E3080000}"/>
    <cellStyle name="Énfasis6 49" xfId="2194" xr:uid="{00000000-0005-0000-0000-0000E4080000}"/>
    <cellStyle name="Énfasis6 5" xfId="2195" xr:uid="{00000000-0005-0000-0000-0000E5080000}"/>
    <cellStyle name="Énfasis6 50" xfId="2196" xr:uid="{00000000-0005-0000-0000-0000E6080000}"/>
    <cellStyle name="Énfasis6 51" xfId="2197" xr:uid="{00000000-0005-0000-0000-0000E7080000}"/>
    <cellStyle name="Énfasis6 52" xfId="2198" xr:uid="{00000000-0005-0000-0000-0000E8080000}"/>
    <cellStyle name="Énfasis6 53" xfId="2199" xr:uid="{00000000-0005-0000-0000-0000E9080000}"/>
    <cellStyle name="Énfasis6 54" xfId="2200" xr:uid="{00000000-0005-0000-0000-0000EA080000}"/>
    <cellStyle name="Énfasis6 55" xfId="2201" xr:uid="{00000000-0005-0000-0000-0000EB080000}"/>
    <cellStyle name="Énfasis6 56" xfId="2202" xr:uid="{00000000-0005-0000-0000-0000EC080000}"/>
    <cellStyle name="Énfasis6 57" xfId="2203" xr:uid="{00000000-0005-0000-0000-0000ED080000}"/>
    <cellStyle name="Énfasis6 58" xfId="2204" xr:uid="{00000000-0005-0000-0000-0000EE080000}"/>
    <cellStyle name="Énfasis6 59" xfId="2205" xr:uid="{00000000-0005-0000-0000-0000EF080000}"/>
    <cellStyle name="Énfasis6 6" xfId="2206" xr:uid="{00000000-0005-0000-0000-0000F0080000}"/>
    <cellStyle name="Énfasis6 60" xfId="2207" xr:uid="{00000000-0005-0000-0000-0000F1080000}"/>
    <cellStyle name="Énfasis6 61" xfId="2208" xr:uid="{00000000-0005-0000-0000-0000F2080000}"/>
    <cellStyle name="Énfasis6 62" xfId="2209" xr:uid="{00000000-0005-0000-0000-0000F3080000}"/>
    <cellStyle name="Énfasis6 63" xfId="2210" xr:uid="{00000000-0005-0000-0000-0000F4080000}"/>
    <cellStyle name="Énfasis6 64" xfId="2211" xr:uid="{00000000-0005-0000-0000-0000F5080000}"/>
    <cellStyle name="Énfasis6 65" xfId="2212" xr:uid="{00000000-0005-0000-0000-0000F6080000}"/>
    <cellStyle name="Énfasis6 66" xfId="2213" xr:uid="{00000000-0005-0000-0000-0000F7080000}"/>
    <cellStyle name="Énfasis6 67" xfId="2214" xr:uid="{00000000-0005-0000-0000-0000F8080000}"/>
    <cellStyle name="Énfasis6 7" xfId="2215" xr:uid="{00000000-0005-0000-0000-0000F9080000}"/>
    <cellStyle name="Énfasis6 8" xfId="2216" xr:uid="{00000000-0005-0000-0000-0000FA080000}"/>
    <cellStyle name="Énfasis6 9" xfId="2217" xr:uid="{00000000-0005-0000-0000-0000FB080000}"/>
    <cellStyle name="Entrada 10" xfId="2218" xr:uid="{00000000-0005-0000-0000-0000FC080000}"/>
    <cellStyle name="Entrada 11" xfId="2219" xr:uid="{00000000-0005-0000-0000-0000FD080000}"/>
    <cellStyle name="Entrada 12" xfId="2220" xr:uid="{00000000-0005-0000-0000-0000FE080000}"/>
    <cellStyle name="Entrada 13" xfId="2221" xr:uid="{00000000-0005-0000-0000-0000FF080000}"/>
    <cellStyle name="Entrada 14" xfId="2222" xr:uid="{00000000-0005-0000-0000-000000090000}"/>
    <cellStyle name="Entrada 15" xfId="2223" xr:uid="{00000000-0005-0000-0000-000001090000}"/>
    <cellStyle name="Entrada 16" xfId="2224" xr:uid="{00000000-0005-0000-0000-000002090000}"/>
    <cellStyle name="Entrada 17" xfId="2225" xr:uid="{00000000-0005-0000-0000-000003090000}"/>
    <cellStyle name="Entrada 18" xfId="2226" xr:uid="{00000000-0005-0000-0000-000004090000}"/>
    <cellStyle name="Entrada 19" xfId="2227" xr:uid="{00000000-0005-0000-0000-000005090000}"/>
    <cellStyle name="Entrada 2" xfId="124" xr:uid="{00000000-0005-0000-0000-000006090000}"/>
    <cellStyle name="Entrada 2 2" xfId="2228" xr:uid="{00000000-0005-0000-0000-000007090000}"/>
    <cellStyle name="Entrada 2 3" xfId="2229" xr:uid="{00000000-0005-0000-0000-000008090000}"/>
    <cellStyle name="Entrada 2 4" xfId="2230" xr:uid="{00000000-0005-0000-0000-000009090000}"/>
    <cellStyle name="Entrada 2 5" xfId="2231" xr:uid="{00000000-0005-0000-0000-00000A090000}"/>
    <cellStyle name="Entrada 20" xfId="2232" xr:uid="{00000000-0005-0000-0000-00000B090000}"/>
    <cellStyle name="Entrada 21" xfId="2233" xr:uid="{00000000-0005-0000-0000-00000C090000}"/>
    <cellStyle name="Entrada 22" xfId="2234" xr:uid="{00000000-0005-0000-0000-00000D090000}"/>
    <cellStyle name="Entrada 23" xfId="2235" xr:uid="{00000000-0005-0000-0000-00000E090000}"/>
    <cellStyle name="Entrada 24" xfId="2236" xr:uid="{00000000-0005-0000-0000-00000F090000}"/>
    <cellStyle name="Entrada 25" xfId="2237" xr:uid="{00000000-0005-0000-0000-000010090000}"/>
    <cellStyle name="Entrada 26" xfId="2238" xr:uid="{00000000-0005-0000-0000-000011090000}"/>
    <cellStyle name="Entrada 27" xfId="2239" xr:uid="{00000000-0005-0000-0000-000012090000}"/>
    <cellStyle name="Entrada 28" xfId="2240" xr:uid="{00000000-0005-0000-0000-000013090000}"/>
    <cellStyle name="Entrada 29" xfId="2241" xr:uid="{00000000-0005-0000-0000-000014090000}"/>
    <cellStyle name="Entrada 3" xfId="2242" xr:uid="{00000000-0005-0000-0000-000015090000}"/>
    <cellStyle name="Entrada 30" xfId="2243" xr:uid="{00000000-0005-0000-0000-000016090000}"/>
    <cellStyle name="Entrada 31" xfId="2244" xr:uid="{00000000-0005-0000-0000-000017090000}"/>
    <cellStyle name="Entrada 32" xfId="2245" xr:uid="{00000000-0005-0000-0000-000018090000}"/>
    <cellStyle name="Entrada 33" xfId="2246" xr:uid="{00000000-0005-0000-0000-000019090000}"/>
    <cellStyle name="Entrada 34" xfId="2247" xr:uid="{00000000-0005-0000-0000-00001A090000}"/>
    <cellStyle name="Entrada 35" xfId="2248" xr:uid="{00000000-0005-0000-0000-00001B090000}"/>
    <cellStyle name="Entrada 36" xfId="2249" xr:uid="{00000000-0005-0000-0000-00001C090000}"/>
    <cellStyle name="Entrada 37" xfId="2250" xr:uid="{00000000-0005-0000-0000-00001D090000}"/>
    <cellStyle name="Entrada 38" xfId="2251" xr:uid="{00000000-0005-0000-0000-00001E090000}"/>
    <cellStyle name="Entrada 39" xfId="2252" xr:uid="{00000000-0005-0000-0000-00001F090000}"/>
    <cellStyle name="Entrada 4" xfId="2253" xr:uid="{00000000-0005-0000-0000-000020090000}"/>
    <cellStyle name="Entrada 40" xfId="2254" xr:uid="{00000000-0005-0000-0000-000021090000}"/>
    <cellStyle name="Entrada 41" xfId="2255" xr:uid="{00000000-0005-0000-0000-000022090000}"/>
    <cellStyle name="Entrada 42" xfId="2256" xr:uid="{00000000-0005-0000-0000-000023090000}"/>
    <cellStyle name="Entrada 43" xfId="2257" xr:uid="{00000000-0005-0000-0000-000024090000}"/>
    <cellStyle name="Entrada 44" xfId="2258" xr:uid="{00000000-0005-0000-0000-000025090000}"/>
    <cellStyle name="Entrada 45" xfId="2259" xr:uid="{00000000-0005-0000-0000-000026090000}"/>
    <cellStyle name="Entrada 46" xfId="2260" xr:uid="{00000000-0005-0000-0000-000027090000}"/>
    <cellStyle name="Entrada 47" xfId="2261" xr:uid="{00000000-0005-0000-0000-000028090000}"/>
    <cellStyle name="Entrada 48" xfId="2262" xr:uid="{00000000-0005-0000-0000-000029090000}"/>
    <cellStyle name="Entrada 49" xfId="2263" xr:uid="{00000000-0005-0000-0000-00002A090000}"/>
    <cellStyle name="Entrada 5" xfId="2264" xr:uid="{00000000-0005-0000-0000-00002B090000}"/>
    <cellStyle name="Entrada 50" xfId="2265" xr:uid="{00000000-0005-0000-0000-00002C090000}"/>
    <cellStyle name="Entrada 51" xfId="2266" xr:uid="{00000000-0005-0000-0000-00002D090000}"/>
    <cellStyle name="Entrada 52" xfId="2267" xr:uid="{00000000-0005-0000-0000-00002E090000}"/>
    <cellStyle name="Entrada 53" xfId="2268" xr:uid="{00000000-0005-0000-0000-00002F090000}"/>
    <cellStyle name="Entrada 54" xfId="2269" xr:uid="{00000000-0005-0000-0000-000030090000}"/>
    <cellStyle name="Entrada 55" xfId="2270" xr:uid="{00000000-0005-0000-0000-000031090000}"/>
    <cellStyle name="Entrada 56" xfId="2271" xr:uid="{00000000-0005-0000-0000-000032090000}"/>
    <cellStyle name="Entrada 57" xfId="2272" xr:uid="{00000000-0005-0000-0000-000033090000}"/>
    <cellStyle name="Entrada 58" xfId="2273" xr:uid="{00000000-0005-0000-0000-000034090000}"/>
    <cellStyle name="Entrada 59" xfId="2274" xr:uid="{00000000-0005-0000-0000-000035090000}"/>
    <cellStyle name="Entrada 6" xfId="2275" xr:uid="{00000000-0005-0000-0000-000036090000}"/>
    <cellStyle name="Entrada 60" xfId="2276" xr:uid="{00000000-0005-0000-0000-000037090000}"/>
    <cellStyle name="Entrada 61" xfId="2277" xr:uid="{00000000-0005-0000-0000-000038090000}"/>
    <cellStyle name="Entrada 62" xfId="2278" xr:uid="{00000000-0005-0000-0000-000039090000}"/>
    <cellStyle name="Entrada 63" xfId="2279" xr:uid="{00000000-0005-0000-0000-00003A090000}"/>
    <cellStyle name="Entrada 64" xfId="2280" xr:uid="{00000000-0005-0000-0000-00003B090000}"/>
    <cellStyle name="Entrada 65" xfId="2281" xr:uid="{00000000-0005-0000-0000-00003C090000}"/>
    <cellStyle name="Entrada 66" xfId="2282" xr:uid="{00000000-0005-0000-0000-00003D090000}"/>
    <cellStyle name="Entrada 67" xfId="2283" xr:uid="{00000000-0005-0000-0000-00003E090000}"/>
    <cellStyle name="Entrada 7" xfId="2284" xr:uid="{00000000-0005-0000-0000-00003F090000}"/>
    <cellStyle name="Entrada 8" xfId="2285" xr:uid="{00000000-0005-0000-0000-000040090000}"/>
    <cellStyle name="Entrada 9" xfId="2286" xr:uid="{00000000-0005-0000-0000-000041090000}"/>
    <cellStyle name="Estilo 1" xfId="46" xr:uid="{00000000-0005-0000-0000-000042090000}"/>
    <cellStyle name="Estilo 1 2" xfId="2287" xr:uid="{00000000-0005-0000-0000-000043090000}"/>
    <cellStyle name="Estilo 1 26" xfId="7352" xr:uid="{00000000-0005-0000-0000-000044090000}"/>
    <cellStyle name="Estilo 1 3" xfId="3626" xr:uid="{00000000-0005-0000-0000-000045090000}"/>
    <cellStyle name="Estilo 1 4" xfId="3627" xr:uid="{00000000-0005-0000-0000-000046090000}"/>
    <cellStyle name="Euro" xfId="47" xr:uid="{00000000-0005-0000-0000-000047090000}"/>
    <cellStyle name="Euro 10" xfId="7353" xr:uid="{00000000-0005-0000-0000-000048090000}"/>
    <cellStyle name="Euro 11" xfId="7354" xr:uid="{00000000-0005-0000-0000-000049090000}"/>
    <cellStyle name="Euro 12" xfId="7355" xr:uid="{00000000-0005-0000-0000-00004A090000}"/>
    <cellStyle name="Euro 13" xfId="7356" xr:uid="{00000000-0005-0000-0000-00004B090000}"/>
    <cellStyle name="Euro 14" xfId="7357" xr:uid="{00000000-0005-0000-0000-00004C090000}"/>
    <cellStyle name="Euro 15" xfId="7358" xr:uid="{00000000-0005-0000-0000-00004D090000}"/>
    <cellStyle name="Euro 16" xfId="7359" xr:uid="{00000000-0005-0000-0000-00004E090000}"/>
    <cellStyle name="Euro 17" xfId="7360" xr:uid="{00000000-0005-0000-0000-00004F090000}"/>
    <cellStyle name="Euro 18" xfId="7361" xr:uid="{00000000-0005-0000-0000-000050090000}"/>
    <cellStyle name="Euro 19" xfId="7362" xr:uid="{00000000-0005-0000-0000-000051090000}"/>
    <cellStyle name="Euro 2" xfId="48" xr:uid="{00000000-0005-0000-0000-000052090000}"/>
    <cellStyle name="Euro 2 2" xfId="125" xr:uid="{00000000-0005-0000-0000-000053090000}"/>
    <cellStyle name="Euro 2 3" xfId="191" xr:uid="{00000000-0005-0000-0000-000054090000}"/>
    <cellStyle name="Euro 20" xfId="7363" xr:uid="{00000000-0005-0000-0000-000055090000}"/>
    <cellStyle name="Euro 21" xfId="7364" xr:uid="{00000000-0005-0000-0000-000056090000}"/>
    <cellStyle name="Euro 22" xfId="7365" xr:uid="{00000000-0005-0000-0000-000057090000}"/>
    <cellStyle name="Euro 23" xfId="7366" xr:uid="{00000000-0005-0000-0000-000058090000}"/>
    <cellStyle name="Euro 24" xfId="7367" xr:uid="{00000000-0005-0000-0000-000059090000}"/>
    <cellStyle name="Euro 25" xfId="7368" xr:uid="{00000000-0005-0000-0000-00005A090000}"/>
    <cellStyle name="Euro 26" xfId="7369" xr:uid="{00000000-0005-0000-0000-00005B090000}"/>
    <cellStyle name="Euro 27" xfId="7370" xr:uid="{00000000-0005-0000-0000-00005C090000}"/>
    <cellStyle name="Euro 28" xfId="7371" xr:uid="{00000000-0005-0000-0000-00005D090000}"/>
    <cellStyle name="Euro 29" xfId="7372" xr:uid="{00000000-0005-0000-0000-00005E090000}"/>
    <cellStyle name="Euro 3" xfId="126" xr:uid="{00000000-0005-0000-0000-00005F090000}"/>
    <cellStyle name="Euro 3 2" xfId="127" xr:uid="{00000000-0005-0000-0000-000060090000}"/>
    <cellStyle name="Euro 30" xfId="7373" xr:uid="{00000000-0005-0000-0000-000061090000}"/>
    <cellStyle name="Euro 31" xfId="7374" xr:uid="{00000000-0005-0000-0000-000062090000}"/>
    <cellStyle name="Euro 32" xfId="7375" xr:uid="{00000000-0005-0000-0000-000063090000}"/>
    <cellStyle name="Euro 33" xfId="7376" xr:uid="{00000000-0005-0000-0000-000064090000}"/>
    <cellStyle name="Euro 34" xfId="7377" xr:uid="{00000000-0005-0000-0000-000065090000}"/>
    <cellStyle name="Euro 35" xfId="7378" xr:uid="{00000000-0005-0000-0000-000066090000}"/>
    <cellStyle name="Euro 36" xfId="7379" xr:uid="{00000000-0005-0000-0000-000067090000}"/>
    <cellStyle name="Euro 37" xfId="7380" xr:uid="{00000000-0005-0000-0000-000068090000}"/>
    <cellStyle name="Euro 4" xfId="2288" xr:uid="{00000000-0005-0000-0000-000069090000}"/>
    <cellStyle name="Euro 5" xfId="2289" xr:uid="{00000000-0005-0000-0000-00006A090000}"/>
    <cellStyle name="Euro 6" xfId="2290" xr:uid="{00000000-0005-0000-0000-00006B090000}"/>
    <cellStyle name="Euro 7" xfId="7381" xr:uid="{00000000-0005-0000-0000-00006C090000}"/>
    <cellStyle name="Euro 8" xfId="7382" xr:uid="{00000000-0005-0000-0000-00006D090000}"/>
    <cellStyle name="Euro 9" xfId="7383" xr:uid="{00000000-0005-0000-0000-00006E090000}"/>
    <cellStyle name="Euro_2010.09.13 Av. Venezuela Ratio rev3" xfId="49" xr:uid="{00000000-0005-0000-0000-00006F090000}"/>
    <cellStyle name="Excel Built-in Normal" xfId="3628" xr:uid="{00000000-0005-0000-0000-000070090000}"/>
    <cellStyle name="Excel Built-in Normal 1" xfId="7384" xr:uid="{00000000-0005-0000-0000-000071090000}"/>
    <cellStyle name="Excel Built-in Normal 2" xfId="3629" xr:uid="{00000000-0005-0000-0000-000072090000}"/>
    <cellStyle name="Explanatory Text" xfId="7385" xr:uid="{00000000-0005-0000-0000-000073090000}"/>
    <cellStyle name="F2" xfId="50" xr:uid="{00000000-0005-0000-0000-000074090000}"/>
    <cellStyle name="F2 - Modelo2" xfId="3630" xr:uid="{00000000-0005-0000-0000-000075090000}"/>
    <cellStyle name="F2 10" xfId="3631" xr:uid="{00000000-0005-0000-0000-000076090000}"/>
    <cellStyle name="F2 11" xfId="3632" xr:uid="{00000000-0005-0000-0000-000077090000}"/>
    <cellStyle name="F2 12" xfId="3633" xr:uid="{00000000-0005-0000-0000-000078090000}"/>
    <cellStyle name="F2 13" xfId="3634" xr:uid="{00000000-0005-0000-0000-000079090000}"/>
    <cellStyle name="F2 14" xfId="3635" xr:uid="{00000000-0005-0000-0000-00007A090000}"/>
    <cellStyle name="F2 15" xfId="3636" xr:uid="{00000000-0005-0000-0000-00007B090000}"/>
    <cellStyle name="F2 16" xfId="3637" xr:uid="{00000000-0005-0000-0000-00007C090000}"/>
    <cellStyle name="F2 17" xfId="3638" xr:uid="{00000000-0005-0000-0000-00007D090000}"/>
    <cellStyle name="F2 18" xfId="3639" xr:uid="{00000000-0005-0000-0000-00007E090000}"/>
    <cellStyle name="F2 19" xfId="3640" xr:uid="{00000000-0005-0000-0000-00007F090000}"/>
    <cellStyle name="F2 2" xfId="3641" xr:uid="{00000000-0005-0000-0000-000080090000}"/>
    <cellStyle name="F2 20" xfId="3642" xr:uid="{00000000-0005-0000-0000-000081090000}"/>
    <cellStyle name="F2 21" xfId="3643" xr:uid="{00000000-0005-0000-0000-000082090000}"/>
    <cellStyle name="F2 22" xfId="3644" xr:uid="{00000000-0005-0000-0000-000083090000}"/>
    <cellStyle name="F2 23" xfId="3645" xr:uid="{00000000-0005-0000-0000-000084090000}"/>
    <cellStyle name="F2 24" xfId="3646" xr:uid="{00000000-0005-0000-0000-000085090000}"/>
    <cellStyle name="F2 25" xfId="3647" xr:uid="{00000000-0005-0000-0000-000086090000}"/>
    <cellStyle name="F2 26" xfId="3648" xr:uid="{00000000-0005-0000-0000-000087090000}"/>
    <cellStyle name="F2 27" xfId="3649" xr:uid="{00000000-0005-0000-0000-000088090000}"/>
    <cellStyle name="F2 28" xfId="3650" xr:uid="{00000000-0005-0000-0000-000089090000}"/>
    <cellStyle name="F2 29" xfId="3651" xr:uid="{00000000-0005-0000-0000-00008A090000}"/>
    <cellStyle name="F2 3" xfId="3652" xr:uid="{00000000-0005-0000-0000-00008B090000}"/>
    <cellStyle name="F2 30" xfId="3653" xr:uid="{00000000-0005-0000-0000-00008C090000}"/>
    <cellStyle name="F2 31" xfId="3654" xr:uid="{00000000-0005-0000-0000-00008D090000}"/>
    <cellStyle name="F2 32" xfId="3655" xr:uid="{00000000-0005-0000-0000-00008E090000}"/>
    <cellStyle name="F2 33" xfId="3656" xr:uid="{00000000-0005-0000-0000-00008F090000}"/>
    <cellStyle name="F2 34" xfId="3657" xr:uid="{00000000-0005-0000-0000-000090090000}"/>
    <cellStyle name="F2 35" xfId="3658" xr:uid="{00000000-0005-0000-0000-000091090000}"/>
    <cellStyle name="F2 36" xfId="3659" xr:uid="{00000000-0005-0000-0000-000092090000}"/>
    <cellStyle name="F2 37" xfId="3660" xr:uid="{00000000-0005-0000-0000-000093090000}"/>
    <cellStyle name="F2 38" xfId="3661" xr:uid="{00000000-0005-0000-0000-000094090000}"/>
    <cellStyle name="F2 39" xfId="3662" xr:uid="{00000000-0005-0000-0000-000095090000}"/>
    <cellStyle name="F2 4" xfId="3663" xr:uid="{00000000-0005-0000-0000-000096090000}"/>
    <cellStyle name="F2 40" xfId="3664" xr:uid="{00000000-0005-0000-0000-000097090000}"/>
    <cellStyle name="F2 41" xfId="3665" xr:uid="{00000000-0005-0000-0000-000098090000}"/>
    <cellStyle name="F2 42" xfId="3666" xr:uid="{00000000-0005-0000-0000-000099090000}"/>
    <cellStyle name="F2 43" xfId="3667" xr:uid="{00000000-0005-0000-0000-00009A090000}"/>
    <cellStyle name="F2 44" xfId="3668" xr:uid="{00000000-0005-0000-0000-00009B090000}"/>
    <cellStyle name="F2 45" xfId="3669" xr:uid="{00000000-0005-0000-0000-00009C090000}"/>
    <cellStyle name="F2 46" xfId="3670" xr:uid="{00000000-0005-0000-0000-00009D090000}"/>
    <cellStyle name="F2 47" xfId="3671" xr:uid="{00000000-0005-0000-0000-00009E090000}"/>
    <cellStyle name="F2 48" xfId="3672" xr:uid="{00000000-0005-0000-0000-00009F090000}"/>
    <cellStyle name="F2 49" xfId="3673" xr:uid="{00000000-0005-0000-0000-0000A0090000}"/>
    <cellStyle name="F2 5" xfId="3674" xr:uid="{00000000-0005-0000-0000-0000A1090000}"/>
    <cellStyle name="F2 50" xfId="3675" xr:uid="{00000000-0005-0000-0000-0000A2090000}"/>
    <cellStyle name="F2 51" xfId="3676" xr:uid="{00000000-0005-0000-0000-0000A3090000}"/>
    <cellStyle name="F2 52" xfId="3677" xr:uid="{00000000-0005-0000-0000-0000A4090000}"/>
    <cellStyle name="F2 53" xfId="3678" xr:uid="{00000000-0005-0000-0000-0000A5090000}"/>
    <cellStyle name="F2 54" xfId="3679" xr:uid="{00000000-0005-0000-0000-0000A6090000}"/>
    <cellStyle name="F2 55" xfId="3680" xr:uid="{00000000-0005-0000-0000-0000A7090000}"/>
    <cellStyle name="F2 56" xfId="3681" xr:uid="{00000000-0005-0000-0000-0000A8090000}"/>
    <cellStyle name="F2 57" xfId="3682" xr:uid="{00000000-0005-0000-0000-0000A9090000}"/>
    <cellStyle name="F2 58" xfId="3683" xr:uid="{00000000-0005-0000-0000-0000AA090000}"/>
    <cellStyle name="F2 59" xfId="3684" xr:uid="{00000000-0005-0000-0000-0000AB090000}"/>
    <cellStyle name="F2 6" xfId="3685" xr:uid="{00000000-0005-0000-0000-0000AC090000}"/>
    <cellStyle name="F2 60" xfId="3686" xr:uid="{00000000-0005-0000-0000-0000AD090000}"/>
    <cellStyle name="F2 61" xfId="3687" xr:uid="{00000000-0005-0000-0000-0000AE090000}"/>
    <cellStyle name="F2 62" xfId="3688" xr:uid="{00000000-0005-0000-0000-0000AF090000}"/>
    <cellStyle name="F2 63" xfId="3689" xr:uid="{00000000-0005-0000-0000-0000B0090000}"/>
    <cellStyle name="F2 64" xfId="3690" xr:uid="{00000000-0005-0000-0000-0000B1090000}"/>
    <cellStyle name="F2 65" xfId="3691" xr:uid="{00000000-0005-0000-0000-0000B2090000}"/>
    <cellStyle name="F2 66" xfId="3692" xr:uid="{00000000-0005-0000-0000-0000B3090000}"/>
    <cellStyle name="F2 67" xfId="3693" xr:uid="{00000000-0005-0000-0000-0000B4090000}"/>
    <cellStyle name="F2 68" xfId="3694" xr:uid="{00000000-0005-0000-0000-0000B5090000}"/>
    <cellStyle name="F2 69" xfId="3695" xr:uid="{00000000-0005-0000-0000-0000B6090000}"/>
    <cellStyle name="F2 7" xfId="3696" xr:uid="{00000000-0005-0000-0000-0000B7090000}"/>
    <cellStyle name="F2 70" xfId="3697" xr:uid="{00000000-0005-0000-0000-0000B8090000}"/>
    <cellStyle name="F2 71" xfId="3698" xr:uid="{00000000-0005-0000-0000-0000B9090000}"/>
    <cellStyle name="F2 72" xfId="3699" xr:uid="{00000000-0005-0000-0000-0000BA090000}"/>
    <cellStyle name="F2 73" xfId="3700" xr:uid="{00000000-0005-0000-0000-0000BB090000}"/>
    <cellStyle name="F2 74" xfId="3701" xr:uid="{00000000-0005-0000-0000-0000BC090000}"/>
    <cellStyle name="F2 75" xfId="3702" xr:uid="{00000000-0005-0000-0000-0000BD090000}"/>
    <cellStyle name="F2 76" xfId="3703" xr:uid="{00000000-0005-0000-0000-0000BE090000}"/>
    <cellStyle name="F2 8" xfId="3704" xr:uid="{00000000-0005-0000-0000-0000BF090000}"/>
    <cellStyle name="F2 9" xfId="3705" xr:uid="{00000000-0005-0000-0000-0000C0090000}"/>
    <cellStyle name="F2_Ampliación Set Ingenieros" xfId="3706" xr:uid="{00000000-0005-0000-0000-0000C1090000}"/>
    <cellStyle name="F3" xfId="51" xr:uid="{00000000-0005-0000-0000-0000C2090000}"/>
    <cellStyle name="F3 - Modelo4" xfId="3707" xr:uid="{00000000-0005-0000-0000-0000C3090000}"/>
    <cellStyle name="F3 10" xfId="3708" xr:uid="{00000000-0005-0000-0000-0000C4090000}"/>
    <cellStyle name="F3 11" xfId="3709" xr:uid="{00000000-0005-0000-0000-0000C5090000}"/>
    <cellStyle name="F3 12" xfId="3710" xr:uid="{00000000-0005-0000-0000-0000C6090000}"/>
    <cellStyle name="F3 13" xfId="3711" xr:uid="{00000000-0005-0000-0000-0000C7090000}"/>
    <cellStyle name="F3 14" xfId="3712" xr:uid="{00000000-0005-0000-0000-0000C8090000}"/>
    <cellStyle name="F3 15" xfId="3713" xr:uid="{00000000-0005-0000-0000-0000C9090000}"/>
    <cellStyle name="F3 16" xfId="3714" xr:uid="{00000000-0005-0000-0000-0000CA090000}"/>
    <cellStyle name="F3 17" xfId="3715" xr:uid="{00000000-0005-0000-0000-0000CB090000}"/>
    <cellStyle name="F3 18" xfId="3716" xr:uid="{00000000-0005-0000-0000-0000CC090000}"/>
    <cellStyle name="F3 19" xfId="3717" xr:uid="{00000000-0005-0000-0000-0000CD090000}"/>
    <cellStyle name="F3 2" xfId="3718" xr:uid="{00000000-0005-0000-0000-0000CE090000}"/>
    <cellStyle name="F3 20" xfId="3719" xr:uid="{00000000-0005-0000-0000-0000CF090000}"/>
    <cellStyle name="F3 21" xfId="3720" xr:uid="{00000000-0005-0000-0000-0000D0090000}"/>
    <cellStyle name="F3 22" xfId="3721" xr:uid="{00000000-0005-0000-0000-0000D1090000}"/>
    <cellStyle name="F3 23" xfId="3722" xr:uid="{00000000-0005-0000-0000-0000D2090000}"/>
    <cellStyle name="F3 24" xfId="3723" xr:uid="{00000000-0005-0000-0000-0000D3090000}"/>
    <cellStyle name="F3 25" xfId="3724" xr:uid="{00000000-0005-0000-0000-0000D4090000}"/>
    <cellStyle name="F3 26" xfId="3725" xr:uid="{00000000-0005-0000-0000-0000D5090000}"/>
    <cellStyle name="F3 27" xfId="3726" xr:uid="{00000000-0005-0000-0000-0000D6090000}"/>
    <cellStyle name="F3 28" xfId="3727" xr:uid="{00000000-0005-0000-0000-0000D7090000}"/>
    <cellStyle name="F3 29" xfId="3728" xr:uid="{00000000-0005-0000-0000-0000D8090000}"/>
    <cellStyle name="F3 3" xfId="3729" xr:uid="{00000000-0005-0000-0000-0000D9090000}"/>
    <cellStyle name="F3 30" xfId="3730" xr:uid="{00000000-0005-0000-0000-0000DA090000}"/>
    <cellStyle name="F3 31" xfId="3731" xr:uid="{00000000-0005-0000-0000-0000DB090000}"/>
    <cellStyle name="F3 32" xfId="3732" xr:uid="{00000000-0005-0000-0000-0000DC090000}"/>
    <cellStyle name="F3 33" xfId="3733" xr:uid="{00000000-0005-0000-0000-0000DD090000}"/>
    <cellStyle name="F3 34" xfId="3734" xr:uid="{00000000-0005-0000-0000-0000DE090000}"/>
    <cellStyle name="F3 35" xfId="3735" xr:uid="{00000000-0005-0000-0000-0000DF090000}"/>
    <cellStyle name="F3 36" xfId="3736" xr:uid="{00000000-0005-0000-0000-0000E0090000}"/>
    <cellStyle name="F3 37" xfId="3737" xr:uid="{00000000-0005-0000-0000-0000E1090000}"/>
    <cellStyle name="F3 38" xfId="3738" xr:uid="{00000000-0005-0000-0000-0000E2090000}"/>
    <cellStyle name="F3 39" xfId="3739" xr:uid="{00000000-0005-0000-0000-0000E3090000}"/>
    <cellStyle name="F3 4" xfId="3740" xr:uid="{00000000-0005-0000-0000-0000E4090000}"/>
    <cellStyle name="F3 40" xfId="3741" xr:uid="{00000000-0005-0000-0000-0000E5090000}"/>
    <cellStyle name="F3 41" xfId="3742" xr:uid="{00000000-0005-0000-0000-0000E6090000}"/>
    <cellStyle name="F3 42" xfId="3743" xr:uid="{00000000-0005-0000-0000-0000E7090000}"/>
    <cellStyle name="F3 43" xfId="3744" xr:uid="{00000000-0005-0000-0000-0000E8090000}"/>
    <cellStyle name="F3 44" xfId="3745" xr:uid="{00000000-0005-0000-0000-0000E9090000}"/>
    <cellStyle name="F3 45" xfId="3746" xr:uid="{00000000-0005-0000-0000-0000EA090000}"/>
    <cellStyle name="F3 46" xfId="3747" xr:uid="{00000000-0005-0000-0000-0000EB090000}"/>
    <cellStyle name="F3 47" xfId="3748" xr:uid="{00000000-0005-0000-0000-0000EC090000}"/>
    <cellStyle name="F3 48" xfId="3749" xr:uid="{00000000-0005-0000-0000-0000ED090000}"/>
    <cellStyle name="F3 49" xfId="3750" xr:uid="{00000000-0005-0000-0000-0000EE090000}"/>
    <cellStyle name="F3 5" xfId="3751" xr:uid="{00000000-0005-0000-0000-0000EF090000}"/>
    <cellStyle name="F3 50" xfId="3752" xr:uid="{00000000-0005-0000-0000-0000F0090000}"/>
    <cellStyle name="F3 51" xfId="3753" xr:uid="{00000000-0005-0000-0000-0000F1090000}"/>
    <cellStyle name="F3 52" xfId="3754" xr:uid="{00000000-0005-0000-0000-0000F2090000}"/>
    <cellStyle name="F3 53" xfId="3755" xr:uid="{00000000-0005-0000-0000-0000F3090000}"/>
    <cellStyle name="F3 54" xfId="3756" xr:uid="{00000000-0005-0000-0000-0000F4090000}"/>
    <cellStyle name="F3 55" xfId="3757" xr:uid="{00000000-0005-0000-0000-0000F5090000}"/>
    <cellStyle name="F3 56" xfId="3758" xr:uid="{00000000-0005-0000-0000-0000F6090000}"/>
    <cellStyle name="F3 57" xfId="3759" xr:uid="{00000000-0005-0000-0000-0000F7090000}"/>
    <cellStyle name="F3 58" xfId="3760" xr:uid="{00000000-0005-0000-0000-0000F8090000}"/>
    <cellStyle name="F3 59" xfId="3761" xr:uid="{00000000-0005-0000-0000-0000F9090000}"/>
    <cellStyle name="F3 6" xfId="3762" xr:uid="{00000000-0005-0000-0000-0000FA090000}"/>
    <cellStyle name="F3 60" xfId="3763" xr:uid="{00000000-0005-0000-0000-0000FB090000}"/>
    <cellStyle name="F3 61" xfId="3764" xr:uid="{00000000-0005-0000-0000-0000FC090000}"/>
    <cellStyle name="F3 62" xfId="3765" xr:uid="{00000000-0005-0000-0000-0000FD090000}"/>
    <cellStyle name="F3 63" xfId="3766" xr:uid="{00000000-0005-0000-0000-0000FE090000}"/>
    <cellStyle name="F3 64" xfId="3767" xr:uid="{00000000-0005-0000-0000-0000FF090000}"/>
    <cellStyle name="F3 65" xfId="3768" xr:uid="{00000000-0005-0000-0000-0000000A0000}"/>
    <cellStyle name="F3 66" xfId="3769" xr:uid="{00000000-0005-0000-0000-0000010A0000}"/>
    <cellStyle name="F3 67" xfId="3770" xr:uid="{00000000-0005-0000-0000-0000020A0000}"/>
    <cellStyle name="F3 68" xfId="3771" xr:uid="{00000000-0005-0000-0000-0000030A0000}"/>
    <cellStyle name="F3 69" xfId="3772" xr:uid="{00000000-0005-0000-0000-0000040A0000}"/>
    <cellStyle name="F3 7" xfId="3773" xr:uid="{00000000-0005-0000-0000-0000050A0000}"/>
    <cellStyle name="F3 70" xfId="3774" xr:uid="{00000000-0005-0000-0000-0000060A0000}"/>
    <cellStyle name="F3 71" xfId="3775" xr:uid="{00000000-0005-0000-0000-0000070A0000}"/>
    <cellStyle name="F3 72" xfId="3776" xr:uid="{00000000-0005-0000-0000-0000080A0000}"/>
    <cellStyle name="F3 73" xfId="3777" xr:uid="{00000000-0005-0000-0000-0000090A0000}"/>
    <cellStyle name="F3 74" xfId="3778" xr:uid="{00000000-0005-0000-0000-00000A0A0000}"/>
    <cellStyle name="F3 75" xfId="3779" xr:uid="{00000000-0005-0000-0000-00000B0A0000}"/>
    <cellStyle name="F3 76" xfId="3780" xr:uid="{00000000-0005-0000-0000-00000C0A0000}"/>
    <cellStyle name="F3 8" xfId="3781" xr:uid="{00000000-0005-0000-0000-00000D0A0000}"/>
    <cellStyle name="F3 9" xfId="3782" xr:uid="{00000000-0005-0000-0000-00000E0A0000}"/>
    <cellStyle name="F3_PPTO U DE LIMA COMPARATIVO IE 1 final" xfId="3783" xr:uid="{00000000-0005-0000-0000-00000F0A0000}"/>
    <cellStyle name="F4" xfId="52" xr:uid="{00000000-0005-0000-0000-0000100A0000}"/>
    <cellStyle name="F4 2" xfId="3784" xr:uid="{00000000-0005-0000-0000-0000110A0000}"/>
    <cellStyle name="F4 3" xfId="3785" xr:uid="{00000000-0005-0000-0000-0000120A0000}"/>
    <cellStyle name="F5" xfId="53" xr:uid="{00000000-0005-0000-0000-0000130A0000}"/>
    <cellStyle name="F5 - Modelo1" xfId="3786" xr:uid="{00000000-0005-0000-0000-0000140A0000}"/>
    <cellStyle name="F5 10" xfId="3787" xr:uid="{00000000-0005-0000-0000-0000150A0000}"/>
    <cellStyle name="F5 11" xfId="3788" xr:uid="{00000000-0005-0000-0000-0000160A0000}"/>
    <cellStyle name="F5 12" xfId="3789" xr:uid="{00000000-0005-0000-0000-0000170A0000}"/>
    <cellStyle name="F5 13" xfId="3790" xr:uid="{00000000-0005-0000-0000-0000180A0000}"/>
    <cellStyle name="F5 14" xfId="3791" xr:uid="{00000000-0005-0000-0000-0000190A0000}"/>
    <cellStyle name="F5 15" xfId="3792" xr:uid="{00000000-0005-0000-0000-00001A0A0000}"/>
    <cellStyle name="F5 16" xfId="3793" xr:uid="{00000000-0005-0000-0000-00001B0A0000}"/>
    <cellStyle name="F5 17" xfId="3794" xr:uid="{00000000-0005-0000-0000-00001C0A0000}"/>
    <cellStyle name="F5 18" xfId="3795" xr:uid="{00000000-0005-0000-0000-00001D0A0000}"/>
    <cellStyle name="F5 19" xfId="3796" xr:uid="{00000000-0005-0000-0000-00001E0A0000}"/>
    <cellStyle name="F5 2" xfId="3797" xr:uid="{00000000-0005-0000-0000-00001F0A0000}"/>
    <cellStyle name="F5 20" xfId="3798" xr:uid="{00000000-0005-0000-0000-0000200A0000}"/>
    <cellStyle name="F5 21" xfId="3799" xr:uid="{00000000-0005-0000-0000-0000210A0000}"/>
    <cellStyle name="F5 22" xfId="3800" xr:uid="{00000000-0005-0000-0000-0000220A0000}"/>
    <cellStyle name="F5 23" xfId="3801" xr:uid="{00000000-0005-0000-0000-0000230A0000}"/>
    <cellStyle name="F5 24" xfId="3802" xr:uid="{00000000-0005-0000-0000-0000240A0000}"/>
    <cellStyle name="F5 25" xfId="3803" xr:uid="{00000000-0005-0000-0000-0000250A0000}"/>
    <cellStyle name="F5 26" xfId="3804" xr:uid="{00000000-0005-0000-0000-0000260A0000}"/>
    <cellStyle name="F5 27" xfId="3805" xr:uid="{00000000-0005-0000-0000-0000270A0000}"/>
    <cellStyle name="F5 28" xfId="3806" xr:uid="{00000000-0005-0000-0000-0000280A0000}"/>
    <cellStyle name="F5 29" xfId="3807" xr:uid="{00000000-0005-0000-0000-0000290A0000}"/>
    <cellStyle name="F5 3" xfId="3808" xr:uid="{00000000-0005-0000-0000-00002A0A0000}"/>
    <cellStyle name="F5 30" xfId="3809" xr:uid="{00000000-0005-0000-0000-00002B0A0000}"/>
    <cellStyle name="F5 31" xfId="3810" xr:uid="{00000000-0005-0000-0000-00002C0A0000}"/>
    <cellStyle name="F5 32" xfId="3811" xr:uid="{00000000-0005-0000-0000-00002D0A0000}"/>
    <cellStyle name="F5 33" xfId="3812" xr:uid="{00000000-0005-0000-0000-00002E0A0000}"/>
    <cellStyle name="F5 34" xfId="3813" xr:uid="{00000000-0005-0000-0000-00002F0A0000}"/>
    <cellStyle name="F5 35" xfId="3814" xr:uid="{00000000-0005-0000-0000-0000300A0000}"/>
    <cellStyle name="F5 36" xfId="3815" xr:uid="{00000000-0005-0000-0000-0000310A0000}"/>
    <cellStyle name="F5 37" xfId="3816" xr:uid="{00000000-0005-0000-0000-0000320A0000}"/>
    <cellStyle name="F5 38" xfId="3817" xr:uid="{00000000-0005-0000-0000-0000330A0000}"/>
    <cellStyle name="F5 39" xfId="3818" xr:uid="{00000000-0005-0000-0000-0000340A0000}"/>
    <cellStyle name="F5 4" xfId="3819" xr:uid="{00000000-0005-0000-0000-0000350A0000}"/>
    <cellStyle name="F5 40" xfId="3820" xr:uid="{00000000-0005-0000-0000-0000360A0000}"/>
    <cellStyle name="F5 41" xfId="3821" xr:uid="{00000000-0005-0000-0000-0000370A0000}"/>
    <cellStyle name="F5 42" xfId="3822" xr:uid="{00000000-0005-0000-0000-0000380A0000}"/>
    <cellStyle name="F5 43" xfId="3823" xr:uid="{00000000-0005-0000-0000-0000390A0000}"/>
    <cellStyle name="F5 44" xfId="3824" xr:uid="{00000000-0005-0000-0000-00003A0A0000}"/>
    <cellStyle name="F5 45" xfId="3825" xr:uid="{00000000-0005-0000-0000-00003B0A0000}"/>
    <cellStyle name="F5 46" xfId="3826" xr:uid="{00000000-0005-0000-0000-00003C0A0000}"/>
    <cellStyle name="F5 47" xfId="3827" xr:uid="{00000000-0005-0000-0000-00003D0A0000}"/>
    <cellStyle name="F5 48" xfId="3828" xr:uid="{00000000-0005-0000-0000-00003E0A0000}"/>
    <cellStyle name="F5 49" xfId="3829" xr:uid="{00000000-0005-0000-0000-00003F0A0000}"/>
    <cellStyle name="F5 5" xfId="3830" xr:uid="{00000000-0005-0000-0000-0000400A0000}"/>
    <cellStyle name="F5 50" xfId="3831" xr:uid="{00000000-0005-0000-0000-0000410A0000}"/>
    <cellStyle name="F5 51" xfId="3832" xr:uid="{00000000-0005-0000-0000-0000420A0000}"/>
    <cellStyle name="F5 52" xfId="3833" xr:uid="{00000000-0005-0000-0000-0000430A0000}"/>
    <cellStyle name="F5 53" xfId="3834" xr:uid="{00000000-0005-0000-0000-0000440A0000}"/>
    <cellStyle name="F5 54" xfId="3835" xr:uid="{00000000-0005-0000-0000-0000450A0000}"/>
    <cellStyle name="F5 55" xfId="3836" xr:uid="{00000000-0005-0000-0000-0000460A0000}"/>
    <cellStyle name="F5 56" xfId="3837" xr:uid="{00000000-0005-0000-0000-0000470A0000}"/>
    <cellStyle name="F5 57" xfId="3838" xr:uid="{00000000-0005-0000-0000-0000480A0000}"/>
    <cellStyle name="F5 58" xfId="3839" xr:uid="{00000000-0005-0000-0000-0000490A0000}"/>
    <cellStyle name="F5 59" xfId="3840" xr:uid="{00000000-0005-0000-0000-00004A0A0000}"/>
    <cellStyle name="F5 6" xfId="3841" xr:uid="{00000000-0005-0000-0000-00004B0A0000}"/>
    <cellStyle name="F5 60" xfId="3842" xr:uid="{00000000-0005-0000-0000-00004C0A0000}"/>
    <cellStyle name="F5 61" xfId="3843" xr:uid="{00000000-0005-0000-0000-00004D0A0000}"/>
    <cellStyle name="F5 62" xfId="3844" xr:uid="{00000000-0005-0000-0000-00004E0A0000}"/>
    <cellStyle name="F5 63" xfId="3845" xr:uid="{00000000-0005-0000-0000-00004F0A0000}"/>
    <cellStyle name="F5 64" xfId="3846" xr:uid="{00000000-0005-0000-0000-0000500A0000}"/>
    <cellStyle name="F5 65" xfId="3847" xr:uid="{00000000-0005-0000-0000-0000510A0000}"/>
    <cellStyle name="F5 66" xfId="3848" xr:uid="{00000000-0005-0000-0000-0000520A0000}"/>
    <cellStyle name="F5 67" xfId="3849" xr:uid="{00000000-0005-0000-0000-0000530A0000}"/>
    <cellStyle name="F5 68" xfId="3850" xr:uid="{00000000-0005-0000-0000-0000540A0000}"/>
    <cellStyle name="F5 69" xfId="3851" xr:uid="{00000000-0005-0000-0000-0000550A0000}"/>
    <cellStyle name="F5 7" xfId="3852" xr:uid="{00000000-0005-0000-0000-0000560A0000}"/>
    <cellStyle name="F5 70" xfId="3853" xr:uid="{00000000-0005-0000-0000-0000570A0000}"/>
    <cellStyle name="F5 71" xfId="3854" xr:uid="{00000000-0005-0000-0000-0000580A0000}"/>
    <cellStyle name="F5 72" xfId="3855" xr:uid="{00000000-0005-0000-0000-0000590A0000}"/>
    <cellStyle name="F5 73" xfId="3856" xr:uid="{00000000-0005-0000-0000-00005A0A0000}"/>
    <cellStyle name="F5 74" xfId="3857" xr:uid="{00000000-0005-0000-0000-00005B0A0000}"/>
    <cellStyle name="F5 75" xfId="3858" xr:uid="{00000000-0005-0000-0000-00005C0A0000}"/>
    <cellStyle name="F5 76" xfId="3859" xr:uid="{00000000-0005-0000-0000-00005D0A0000}"/>
    <cellStyle name="F5 8" xfId="3860" xr:uid="{00000000-0005-0000-0000-00005E0A0000}"/>
    <cellStyle name="F5 9" xfId="3861" xr:uid="{00000000-0005-0000-0000-00005F0A0000}"/>
    <cellStyle name="F5_Ampliación Set Ingenieros" xfId="3862" xr:uid="{00000000-0005-0000-0000-0000600A0000}"/>
    <cellStyle name="F6" xfId="54" xr:uid="{00000000-0005-0000-0000-0000610A0000}"/>
    <cellStyle name="F6 - Modelo3" xfId="3863" xr:uid="{00000000-0005-0000-0000-0000620A0000}"/>
    <cellStyle name="F6 10" xfId="3864" xr:uid="{00000000-0005-0000-0000-0000630A0000}"/>
    <cellStyle name="F6 11" xfId="3865" xr:uid="{00000000-0005-0000-0000-0000640A0000}"/>
    <cellStyle name="F6 12" xfId="3866" xr:uid="{00000000-0005-0000-0000-0000650A0000}"/>
    <cellStyle name="F6 13" xfId="3867" xr:uid="{00000000-0005-0000-0000-0000660A0000}"/>
    <cellStyle name="F6 14" xfId="3868" xr:uid="{00000000-0005-0000-0000-0000670A0000}"/>
    <cellStyle name="F6 15" xfId="3869" xr:uid="{00000000-0005-0000-0000-0000680A0000}"/>
    <cellStyle name="F6 16" xfId="3870" xr:uid="{00000000-0005-0000-0000-0000690A0000}"/>
    <cellStyle name="F6 17" xfId="3871" xr:uid="{00000000-0005-0000-0000-00006A0A0000}"/>
    <cellStyle name="F6 18" xfId="3872" xr:uid="{00000000-0005-0000-0000-00006B0A0000}"/>
    <cellStyle name="F6 19" xfId="3873" xr:uid="{00000000-0005-0000-0000-00006C0A0000}"/>
    <cellStyle name="F6 2" xfId="3874" xr:uid="{00000000-0005-0000-0000-00006D0A0000}"/>
    <cellStyle name="F6 20" xfId="3875" xr:uid="{00000000-0005-0000-0000-00006E0A0000}"/>
    <cellStyle name="F6 21" xfId="3876" xr:uid="{00000000-0005-0000-0000-00006F0A0000}"/>
    <cellStyle name="F6 22" xfId="3877" xr:uid="{00000000-0005-0000-0000-0000700A0000}"/>
    <cellStyle name="F6 23" xfId="3878" xr:uid="{00000000-0005-0000-0000-0000710A0000}"/>
    <cellStyle name="F6 24" xfId="3879" xr:uid="{00000000-0005-0000-0000-0000720A0000}"/>
    <cellStyle name="F6 25" xfId="3880" xr:uid="{00000000-0005-0000-0000-0000730A0000}"/>
    <cellStyle name="F6 26" xfId="3881" xr:uid="{00000000-0005-0000-0000-0000740A0000}"/>
    <cellStyle name="F6 27" xfId="3882" xr:uid="{00000000-0005-0000-0000-0000750A0000}"/>
    <cellStyle name="F6 28" xfId="3883" xr:uid="{00000000-0005-0000-0000-0000760A0000}"/>
    <cellStyle name="F6 29" xfId="3884" xr:uid="{00000000-0005-0000-0000-0000770A0000}"/>
    <cellStyle name="F6 3" xfId="3885" xr:uid="{00000000-0005-0000-0000-0000780A0000}"/>
    <cellStyle name="F6 30" xfId="3886" xr:uid="{00000000-0005-0000-0000-0000790A0000}"/>
    <cellStyle name="F6 31" xfId="3887" xr:uid="{00000000-0005-0000-0000-00007A0A0000}"/>
    <cellStyle name="F6 32" xfId="3888" xr:uid="{00000000-0005-0000-0000-00007B0A0000}"/>
    <cellStyle name="F6 33" xfId="3889" xr:uid="{00000000-0005-0000-0000-00007C0A0000}"/>
    <cellStyle name="F6 34" xfId="3890" xr:uid="{00000000-0005-0000-0000-00007D0A0000}"/>
    <cellStyle name="F6 35" xfId="3891" xr:uid="{00000000-0005-0000-0000-00007E0A0000}"/>
    <cellStyle name="F6 36" xfId="3892" xr:uid="{00000000-0005-0000-0000-00007F0A0000}"/>
    <cellStyle name="F6 37" xfId="3893" xr:uid="{00000000-0005-0000-0000-0000800A0000}"/>
    <cellStyle name="F6 38" xfId="3894" xr:uid="{00000000-0005-0000-0000-0000810A0000}"/>
    <cellStyle name="F6 39" xfId="3895" xr:uid="{00000000-0005-0000-0000-0000820A0000}"/>
    <cellStyle name="F6 4" xfId="3896" xr:uid="{00000000-0005-0000-0000-0000830A0000}"/>
    <cellStyle name="F6 40" xfId="3897" xr:uid="{00000000-0005-0000-0000-0000840A0000}"/>
    <cellStyle name="F6 41" xfId="3898" xr:uid="{00000000-0005-0000-0000-0000850A0000}"/>
    <cellStyle name="F6 42" xfId="3899" xr:uid="{00000000-0005-0000-0000-0000860A0000}"/>
    <cellStyle name="F6 43" xfId="3900" xr:uid="{00000000-0005-0000-0000-0000870A0000}"/>
    <cellStyle name="F6 44" xfId="3901" xr:uid="{00000000-0005-0000-0000-0000880A0000}"/>
    <cellStyle name="F6 45" xfId="3902" xr:uid="{00000000-0005-0000-0000-0000890A0000}"/>
    <cellStyle name="F6 46" xfId="3903" xr:uid="{00000000-0005-0000-0000-00008A0A0000}"/>
    <cellStyle name="F6 47" xfId="3904" xr:uid="{00000000-0005-0000-0000-00008B0A0000}"/>
    <cellStyle name="F6 48" xfId="3905" xr:uid="{00000000-0005-0000-0000-00008C0A0000}"/>
    <cellStyle name="F6 49" xfId="3906" xr:uid="{00000000-0005-0000-0000-00008D0A0000}"/>
    <cellStyle name="F6 5" xfId="3907" xr:uid="{00000000-0005-0000-0000-00008E0A0000}"/>
    <cellStyle name="F6 50" xfId="3908" xr:uid="{00000000-0005-0000-0000-00008F0A0000}"/>
    <cellStyle name="F6 51" xfId="3909" xr:uid="{00000000-0005-0000-0000-0000900A0000}"/>
    <cellStyle name="F6 52" xfId="3910" xr:uid="{00000000-0005-0000-0000-0000910A0000}"/>
    <cellStyle name="F6 53" xfId="3911" xr:uid="{00000000-0005-0000-0000-0000920A0000}"/>
    <cellStyle name="F6 54" xfId="3912" xr:uid="{00000000-0005-0000-0000-0000930A0000}"/>
    <cellStyle name="F6 55" xfId="3913" xr:uid="{00000000-0005-0000-0000-0000940A0000}"/>
    <cellStyle name="F6 56" xfId="3914" xr:uid="{00000000-0005-0000-0000-0000950A0000}"/>
    <cellStyle name="F6 57" xfId="3915" xr:uid="{00000000-0005-0000-0000-0000960A0000}"/>
    <cellStyle name="F6 58" xfId="3916" xr:uid="{00000000-0005-0000-0000-0000970A0000}"/>
    <cellStyle name="F6 59" xfId="3917" xr:uid="{00000000-0005-0000-0000-0000980A0000}"/>
    <cellStyle name="F6 6" xfId="3918" xr:uid="{00000000-0005-0000-0000-0000990A0000}"/>
    <cellStyle name="F6 60" xfId="3919" xr:uid="{00000000-0005-0000-0000-00009A0A0000}"/>
    <cellStyle name="F6 61" xfId="3920" xr:uid="{00000000-0005-0000-0000-00009B0A0000}"/>
    <cellStyle name="F6 62" xfId="3921" xr:uid="{00000000-0005-0000-0000-00009C0A0000}"/>
    <cellStyle name="F6 63" xfId="3922" xr:uid="{00000000-0005-0000-0000-00009D0A0000}"/>
    <cellStyle name="F6 64" xfId="3923" xr:uid="{00000000-0005-0000-0000-00009E0A0000}"/>
    <cellStyle name="F6 65" xfId="3924" xr:uid="{00000000-0005-0000-0000-00009F0A0000}"/>
    <cellStyle name="F6 66" xfId="3925" xr:uid="{00000000-0005-0000-0000-0000A00A0000}"/>
    <cellStyle name="F6 67" xfId="3926" xr:uid="{00000000-0005-0000-0000-0000A10A0000}"/>
    <cellStyle name="F6 68" xfId="3927" xr:uid="{00000000-0005-0000-0000-0000A20A0000}"/>
    <cellStyle name="F6 69" xfId="3928" xr:uid="{00000000-0005-0000-0000-0000A30A0000}"/>
    <cellStyle name="F6 7" xfId="3929" xr:uid="{00000000-0005-0000-0000-0000A40A0000}"/>
    <cellStyle name="F6 70" xfId="3930" xr:uid="{00000000-0005-0000-0000-0000A50A0000}"/>
    <cellStyle name="F6 71" xfId="3931" xr:uid="{00000000-0005-0000-0000-0000A60A0000}"/>
    <cellStyle name="F6 72" xfId="3932" xr:uid="{00000000-0005-0000-0000-0000A70A0000}"/>
    <cellStyle name="F6 73" xfId="3933" xr:uid="{00000000-0005-0000-0000-0000A80A0000}"/>
    <cellStyle name="F6 74" xfId="3934" xr:uid="{00000000-0005-0000-0000-0000A90A0000}"/>
    <cellStyle name="F6 75" xfId="3935" xr:uid="{00000000-0005-0000-0000-0000AA0A0000}"/>
    <cellStyle name="F6 76" xfId="3936" xr:uid="{00000000-0005-0000-0000-0000AB0A0000}"/>
    <cellStyle name="F6 8" xfId="3937" xr:uid="{00000000-0005-0000-0000-0000AC0A0000}"/>
    <cellStyle name="F6 9" xfId="3938" xr:uid="{00000000-0005-0000-0000-0000AD0A0000}"/>
    <cellStyle name="F6_PPTO U DE LIMA COMPARATIVO IE 1 final" xfId="3939" xr:uid="{00000000-0005-0000-0000-0000AE0A0000}"/>
    <cellStyle name="F7" xfId="55" xr:uid="{00000000-0005-0000-0000-0000AF0A0000}"/>
    <cellStyle name="F7 2" xfId="3940" xr:uid="{00000000-0005-0000-0000-0000B00A0000}"/>
    <cellStyle name="F7 3" xfId="3941" xr:uid="{00000000-0005-0000-0000-0000B10A0000}"/>
    <cellStyle name="F8" xfId="56" xr:uid="{00000000-0005-0000-0000-0000B20A0000}"/>
    <cellStyle name="F8 2" xfId="3942" xr:uid="{00000000-0005-0000-0000-0000B30A0000}"/>
    <cellStyle name="F8 3" xfId="3943" xr:uid="{00000000-0005-0000-0000-0000B40A0000}"/>
    <cellStyle name="Fecha" xfId="57" xr:uid="{00000000-0005-0000-0000-0000B50A0000}"/>
    <cellStyle name="Fecha 2" xfId="128" xr:uid="{00000000-0005-0000-0000-0000B60A0000}"/>
    <cellStyle name="Fecha 2 2" xfId="129" xr:uid="{00000000-0005-0000-0000-0000B70A0000}"/>
    <cellStyle name="Fecha 3" xfId="130" xr:uid="{00000000-0005-0000-0000-0000B80A0000}"/>
    <cellStyle name="Fijo" xfId="58" xr:uid="{00000000-0005-0000-0000-0000B90A0000}"/>
    <cellStyle name="FIJO 10" xfId="3944" xr:uid="{00000000-0005-0000-0000-0000BA0A0000}"/>
    <cellStyle name="Fijo 11" xfId="3945" xr:uid="{00000000-0005-0000-0000-0000BB0A0000}"/>
    <cellStyle name="Fijo 12" xfId="3946" xr:uid="{00000000-0005-0000-0000-0000BC0A0000}"/>
    <cellStyle name="Fijo 2" xfId="131" xr:uid="{00000000-0005-0000-0000-0000BD0A0000}"/>
    <cellStyle name="Fijo 2 2" xfId="132" xr:uid="{00000000-0005-0000-0000-0000BE0A0000}"/>
    <cellStyle name="Fijo 3" xfId="133" xr:uid="{00000000-0005-0000-0000-0000BF0A0000}"/>
    <cellStyle name="FIJO 4" xfId="3947" xr:uid="{00000000-0005-0000-0000-0000C00A0000}"/>
    <cellStyle name="FIJO 5" xfId="3948" xr:uid="{00000000-0005-0000-0000-0000C10A0000}"/>
    <cellStyle name="FIJO 6" xfId="3949" xr:uid="{00000000-0005-0000-0000-0000C20A0000}"/>
    <cellStyle name="FIJO 7" xfId="3950" xr:uid="{00000000-0005-0000-0000-0000C30A0000}"/>
    <cellStyle name="FIJO 8" xfId="3951" xr:uid="{00000000-0005-0000-0000-0000C40A0000}"/>
    <cellStyle name="FIJO 9" xfId="3952" xr:uid="{00000000-0005-0000-0000-0000C50A0000}"/>
    <cellStyle name="Financiero" xfId="2291" xr:uid="{00000000-0005-0000-0000-0000C60A0000}"/>
    <cellStyle name="FINANCIERO 10" xfId="3953" xr:uid="{00000000-0005-0000-0000-0000C70A0000}"/>
    <cellStyle name="Financiero 11" xfId="3954" xr:uid="{00000000-0005-0000-0000-0000C80A0000}"/>
    <cellStyle name="Financiero 12" xfId="3955" xr:uid="{00000000-0005-0000-0000-0000C90A0000}"/>
    <cellStyle name="Financiero 2" xfId="3956" xr:uid="{00000000-0005-0000-0000-0000CA0A0000}"/>
    <cellStyle name="FINANCIERO 3" xfId="3957" xr:uid="{00000000-0005-0000-0000-0000CB0A0000}"/>
    <cellStyle name="FINANCIERO 4" xfId="3958" xr:uid="{00000000-0005-0000-0000-0000CC0A0000}"/>
    <cellStyle name="FINANCIERO 5" xfId="3959" xr:uid="{00000000-0005-0000-0000-0000CD0A0000}"/>
    <cellStyle name="FINANCIERO 6" xfId="3960" xr:uid="{00000000-0005-0000-0000-0000CE0A0000}"/>
    <cellStyle name="FINANCIERO 7" xfId="3961" xr:uid="{00000000-0005-0000-0000-0000CF0A0000}"/>
    <cellStyle name="FINANCIERO 8" xfId="3962" xr:uid="{00000000-0005-0000-0000-0000D00A0000}"/>
    <cellStyle name="FINANCIERO 9" xfId="3963" xr:uid="{00000000-0005-0000-0000-0000D10A0000}"/>
    <cellStyle name="Fixed" xfId="59" xr:uid="{00000000-0005-0000-0000-0000D20A0000}"/>
    <cellStyle name="Fixed 2" xfId="134" xr:uid="{00000000-0005-0000-0000-0000D30A0000}"/>
    <cellStyle name="Fixed 2 2" xfId="135" xr:uid="{00000000-0005-0000-0000-0000D40A0000}"/>
    <cellStyle name="Fixed 3" xfId="136" xr:uid="{00000000-0005-0000-0000-0000D50A0000}"/>
    <cellStyle name="Fixed_3.- Metrado SAN ANDRES (Ricardo Villavicencio)_ Rev.02" xfId="137" xr:uid="{00000000-0005-0000-0000-0000D60A0000}"/>
    <cellStyle name="Followed Hyperlink" xfId="3964" xr:uid="{00000000-0005-0000-0000-0000D70A0000}"/>
    <cellStyle name="Good" xfId="7386" xr:uid="{00000000-0005-0000-0000-0000D80A0000}"/>
    <cellStyle name="Heading 1" xfId="138" xr:uid="{00000000-0005-0000-0000-0000D90A0000}"/>
    <cellStyle name="Heading 1 2" xfId="3965" xr:uid="{00000000-0005-0000-0000-0000DA0A0000}"/>
    <cellStyle name="Heading 1 3" xfId="3966" xr:uid="{00000000-0005-0000-0000-0000DB0A0000}"/>
    <cellStyle name="Heading 2" xfId="139" xr:uid="{00000000-0005-0000-0000-0000DC0A0000}"/>
    <cellStyle name="Heading 2 2" xfId="3967" xr:uid="{00000000-0005-0000-0000-0000DD0A0000}"/>
    <cellStyle name="Heading 2 3" xfId="3968" xr:uid="{00000000-0005-0000-0000-0000DE0A0000}"/>
    <cellStyle name="Heading 3" xfId="3969" xr:uid="{00000000-0005-0000-0000-0000DF0A0000}"/>
    <cellStyle name="Heading 4" xfId="3970" xr:uid="{00000000-0005-0000-0000-0000E00A0000}"/>
    <cellStyle name="Heading1" xfId="60" xr:uid="{00000000-0005-0000-0000-0000E10A0000}"/>
    <cellStyle name="Heading1 1" xfId="7387" xr:uid="{00000000-0005-0000-0000-0000E20A0000}"/>
    <cellStyle name="Heading2" xfId="61" xr:uid="{00000000-0005-0000-0000-0000E30A0000}"/>
    <cellStyle name="Hipervínculo 2" xfId="2292" xr:uid="{00000000-0005-0000-0000-0000E40A0000}"/>
    <cellStyle name="Hyperlink" xfId="3971" xr:uid="{00000000-0005-0000-0000-0000E50A0000}"/>
    <cellStyle name="Hyperlink 2" xfId="183" xr:uid="{00000000-0005-0000-0000-0000E60A0000}"/>
    <cellStyle name="Incorrecto 10" xfId="2293" xr:uid="{00000000-0005-0000-0000-0000E70A0000}"/>
    <cellStyle name="Incorrecto 11" xfId="2294" xr:uid="{00000000-0005-0000-0000-0000E80A0000}"/>
    <cellStyle name="Incorrecto 12" xfId="2295" xr:uid="{00000000-0005-0000-0000-0000E90A0000}"/>
    <cellStyle name="Incorrecto 13" xfId="2296" xr:uid="{00000000-0005-0000-0000-0000EA0A0000}"/>
    <cellStyle name="Incorrecto 14" xfId="2297" xr:uid="{00000000-0005-0000-0000-0000EB0A0000}"/>
    <cellStyle name="Incorrecto 15" xfId="2298" xr:uid="{00000000-0005-0000-0000-0000EC0A0000}"/>
    <cellStyle name="Incorrecto 16" xfId="2299" xr:uid="{00000000-0005-0000-0000-0000ED0A0000}"/>
    <cellStyle name="Incorrecto 17" xfId="2300" xr:uid="{00000000-0005-0000-0000-0000EE0A0000}"/>
    <cellStyle name="Incorrecto 18" xfId="2301" xr:uid="{00000000-0005-0000-0000-0000EF0A0000}"/>
    <cellStyle name="Incorrecto 19" xfId="2302" xr:uid="{00000000-0005-0000-0000-0000F00A0000}"/>
    <cellStyle name="Incorrecto 2" xfId="140" xr:uid="{00000000-0005-0000-0000-0000F10A0000}"/>
    <cellStyle name="Incorrecto 2 2" xfId="2303" xr:uid="{00000000-0005-0000-0000-0000F20A0000}"/>
    <cellStyle name="Incorrecto 2 3" xfId="2304" xr:uid="{00000000-0005-0000-0000-0000F30A0000}"/>
    <cellStyle name="Incorrecto 2 4" xfId="2305" xr:uid="{00000000-0005-0000-0000-0000F40A0000}"/>
    <cellStyle name="Incorrecto 2 5" xfId="2306" xr:uid="{00000000-0005-0000-0000-0000F50A0000}"/>
    <cellStyle name="Incorrecto 20" xfId="2307" xr:uid="{00000000-0005-0000-0000-0000F60A0000}"/>
    <cellStyle name="Incorrecto 21" xfId="2308" xr:uid="{00000000-0005-0000-0000-0000F70A0000}"/>
    <cellStyle name="Incorrecto 22" xfId="2309" xr:uid="{00000000-0005-0000-0000-0000F80A0000}"/>
    <cellStyle name="Incorrecto 23" xfId="2310" xr:uid="{00000000-0005-0000-0000-0000F90A0000}"/>
    <cellStyle name="Incorrecto 24" xfId="2311" xr:uid="{00000000-0005-0000-0000-0000FA0A0000}"/>
    <cellStyle name="Incorrecto 25" xfId="2312" xr:uid="{00000000-0005-0000-0000-0000FB0A0000}"/>
    <cellStyle name="Incorrecto 26" xfId="2313" xr:uid="{00000000-0005-0000-0000-0000FC0A0000}"/>
    <cellStyle name="Incorrecto 27" xfId="2314" xr:uid="{00000000-0005-0000-0000-0000FD0A0000}"/>
    <cellStyle name="Incorrecto 28" xfId="2315" xr:uid="{00000000-0005-0000-0000-0000FE0A0000}"/>
    <cellStyle name="Incorrecto 29" xfId="2316" xr:uid="{00000000-0005-0000-0000-0000FF0A0000}"/>
    <cellStyle name="Incorrecto 3" xfId="2317" xr:uid="{00000000-0005-0000-0000-0000000B0000}"/>
    <cellStyle name="Incorrecto 30" xfId="2318" xr:uid="{00000000-0005-0000-0000-0000010B0000}"/>
    <cellStyle name="Incorrecto 31" xfId="2319" xr:uid="{00000000-0005-0000-0000-0000020B0000}"/>
    <cellStyle name="Incorrecto 32" xfId="2320" xr:uid="{00000000-0005-0000-0000-0000030B0000}"/>
    <cellStyle name="Incorrecto 33" xfId="2321" xr:uid="{00000000-0005-0000-0000-0000040B0000}"/>
    <cellStyle name="Incorrecto 34" xfId="2322" xr:uid="{00000000-0005-0000-0000-0000050B0000}"/>
    <cellStyle name="Incorrecto 35" xfId="2323" xr:uid="{00000000-0005-0000-0000-0000060B0000}"/>
    <cellStyle name="Incorrecto 36" xfId="2324" xr:uid="{00000000-0005-0000-0000-0000070B0000}"/>
    <cellStyle name="Incorrecto 37" xfId="2325" xr:uid="{00000000-0005-0000-0000-0000080B0000}"/>
    <cellStyle name="Incorrecto 38" xfId="2326" xr:uid="{00000000-0005-0000-0000-0000090B0000}"/>
    <cellStyle name="Incorrecto 39" xfId="2327" xr:uid="{00000000-0005-0000-0000-00000A0B0000}"/>
    <cellStyle name="Incorrecto 4" xfId="2328" xr:uid="{00000000-0005-0000-0000-00000B0B0000}"/>
    <cellStyle name="Incorrecto 40" xfId="2329" xr:uid="{00000000-0005-0000-0000-00000C0B0000}"/>
    <cellStyle name="Incorrecto 41" xfId="2330" xr:uid="{00000000-0005-0000-0000-00000D0B0000}"/>
    <cellStyle name="Incorrecto 42" xfId="2331" xr:uid="{00000000-0005-0000-0000-00000E0B0000}"/>
    <cellStyle name="Incorrecto 43" xfId="2332" xr:uid="{00000000-0005-0000-0000-00000F0B0000}"/>
    <cellStyle name="Incorrecto 44" xfId="2333" xr:uid="{00000000-0005-0000-0000-0000100B0000}"/>
    <cellStyle name="Incorrecto 45" xfId="2334" xr:uid="{00000000-0005-0000-0000-0000110B0000}"/>
    <cellStyle name="Incorrecto 46" xfId="2335" xr:uid="{00000000-0005-0000-0000-0000120B0000}"/>
    <cellStyle name="Incorrecto 47" xfId="2336" xr:uid="{00000000-0005-0000-0000-0000130B0000}"/>
    <cellStyle name="Incorrecto 48" xfId="2337" xr:uid="{00000000-0005-0000-0000-0000140B0000}"/>
    <cellStyle name="Incorrecto 49" xfId="2338" xr:uid="{00000000-0005-0000-0000-0000150B0000}"/>
    <cellStyle name="Incorrecto 5" xfId="2339" xr:uid="{00000000-0005-0000-0000-0000160B0000}"/>
    <cellStyle name="Incorrecto 50" xfId="2340" xr:uid="{00000000-0005-0000-0000-0000170B0000}"/>
    <cellStyle name="Incorrecto 51" xfId="2341" xr:uid="{00000000-0005-0000-0000-0000180B0000}"/>
    <cellStyle name="Incorrecto 52" xfId="2342" xr:uid="{00000000-0005-0000-0000-0000190B0000}"/>
    <cellStyle name="Incorrecto 53" xfId="2343" xr:uid="{00000000-0005-0000-0000-00001A0B0000}"/>
    <cellStyle name="Incorrecto 54" xfId="2344" xr:uid="{00000000-0005-0000-0000-00001B0B0000}"/>
    <cellStyle name="Incorrecto 55" xfId="2345" xr:uid="{00000000-0005-0000-0000-00001C0B0000}"/>
    <cellStyle name="Incorrecto 56" xfId="2346" xr:uid="{00000000-0005-0000-0000-00001D0B0000}"/>
    <cellStyle name="Incorrecto 57" xfId="2347" xr:uid="{00000000-0005-0000-0000-00001E0B0000}"/>
    <cellStyle name="Incorrecto 58" xfId="2348" xr:uid="{00000000-0005-0000-0000-00001F0B0000}"/>
    <cellStyle name="Incorrecto 59" xfId="2349" xr:uid="{00000000-0005-0000-0000-0000200B0000}"/>
    <cellStyle name="Incorrecto 6" xfId="2350" xr:uid="{00000000-0005-0000-0000-0000210B0000}"/>
    <cellStyle name="Incorrecto 60" xfId="2351" xr:uid="{00000000-0005-0000-0000-0000220B0000}"/>
    <cellStyle name="Incorrecto 61" xfId="2352" xr:uid="{00000000-0005-0000-0000-0000230B0000}"/>
    <cellStyle name="Incorrecto 62" xfId="2353" xr:uid="{00000000-0005-0000-0000-0000240B0000}"/>
    <cellStyle name="Incorrecto 63" xfId="2354" xr:uid="{00000000-0005-0000-0000-0000250B0000}"/>
    <cellStyle name="Incorrecto 64" xfId="2355" xr:uid="{00000000-0005-0000-0000-0000260B0000}"/>
    <cellStyle name="Incorrecto 65" xfId="2356" xr:uid="{00000000-0005-0000-0000-0000270B0000}"/>
    <cellStyle name="Incorrecto 66" xfId="2357" xr:uid="{00000000-0005-0000-0000-0000280B0000}"/>
    <cellStyle name="Incorrecto 67" xfId="2358" xr:uid="{00000000-0005-0000-0000-0000290B0000}"/>
    <cellStyle name="Incorrecto 7" xfId="2359" xr:uid="{00000000-0005-0000-0000-00002A0B0000}"/>
    <cellStyle name="Incorrecto 8" xfId="2360" xr:uid="{00000000-0005-0000-0000-00002B0B0000}"/>
    <cellStyle name="Incorrecto 9" xfId="2361" xr:uid="{00000000-0005-0000-0000-00002C0B0000}"/>
    <cellStyle name="Input" xfId="7388" xr:uid="{00000000-0005-0000-0000-00002D0B0000}"/>
    <cellStyle name="Linked Cell" xfId="7389" xr:uid="{00000000-0005-0000-0000-00002E0B0000}"/>
    <cellStyle name="Millares 10" xfId="5" xr:uid="{00000000-0005-0000-0000-0000300B0000}"/>
    <cellStyle name="Millares 10 2" xfId="58371" xr:uid="{00000000-0005-0000-0000-0000310B0000}"/>
    <cellStyle name="Millares 10 2 4 2 2 2" xfId="34" xr:uid="{00000000-0005-0000-0000-0000320B0000}"/>
    <cellStyle name="Millares 10 3" xfId="2362" xr:uid="{00000000-0005-0000-0000-0000330B0000}"/>
    <cellStyle name="Millares 10 3 2 2 2" xfId="58372" xr:uid="{00000000-0005-0000-0000-0000340B0000}"/>
    <cellStyle name="Millares 10 4" xfId="58384" xr:uid="{94954EEC-4D15-4F1A-822D-3F5A9A2785C3}"/>
    <cellStyle name="Millares 10 6" xfId="7313" xr:uid="{00000000-0005-0000-0000-0000350B0000}"/>
    <cellStyle name="Millares 100 2 2 2 2" xfId="38" xr:uid="{00000000-0005-0000-0000-0000360B0000}"/>
    <cellStyle name="Millares 11" xfId="2363" xr:uid="{00000000-0005-0000-0000-0000370B0000}"/>
    <cellStyle name="Millares 11 2" xfId="3425" xr:uid="{00000000-0005-0000-0000-0000380B0000}"/>
    <cellStyle name="Millares 11 2 2" xfId="58355" xr:uid="{00000000-0005-0000-0000-0000390B0000}"/>
    <cellStyle name="Millares 11 2 2 2" xfId="58356" xr:uid="{00000000-0005-0000-0000-00003A0B0000}"/>
    <cellStyle name="Millares 11 2 2 2 2" xfId="58357" xr:uid="{00000000-0005-0000-0000-00003B0B0000}"/>
    <cellStyle name="Millares 11 2 2 3" xfId="58358" xr:uid="{00000000-0005-0000-0000-00003C0B0000}"/>
    <cellStyle name="Millares 11 2 3" xfId="58359" xr:uid="{00000000-0005-0000-0000-00003D0B0000}"/>
    <cellStyle name="Millares 11 2 3 2" xfId="58360" xr:uid="{00000000-0005-0000-0000-00003E0B0000}"/>
    <cellStyle name="Millares 11 2 4" xfId="58361" xr:uid="{00000000-0005-0000-0000-00003F0B0000}"/>
    <cellStyle name="Millares 11 3" xfId="7462" xr:uid="{00000000-0005-0000-0000-0000400B0000}"/>
    <cellStyle name="Millares 11 3 2" xfId="14252" xr:uid="{00000000-0005-0000-0000-0000410B0000}"/>
    <cellStyle name="Millares 11 3 2 2" xfId="27820" xr:uid="{00000000-0005-0000-0000-0000420B0000}"/>
    <cellStyle name="Millares 11 3 2 2 2" xfId="54953" xr:uid="{00000000-0005-0000-0000-0000430B0000}"/>
    <cellStyle name="Millares 11 3 2 3" xfId="41391" xr:uid="{00000000-0005-0000-0000-0000440B0000}"/>
    <cellStyle name="Millares 11 3 3" xfId="21039" xr:uid="{00000000-0005-0000-0000-0000450B0000}"/>
    <cellStyle name="Millares 11 3 3 2" xfId="48172" xr:uid="{00000000-0005-0000-0000-0000460B0000}"/>
    <cellStyle name="Millares 11 3 4" xfId="34610" xr:uid="{00000000-0005-0000-0000-0000470B0000}"/>
    <cellStyle name="Millares 11 4" xfId="10863" xr:uid="{00000000-0005-0000-0000-0000480B0000}"/>
    <cellStyle name="Millares 11 4 2" xfId="24431" xr:uid="{00000000-0005-0000-0000-0000490B0000}"/>
    <cellStyle name="Millares 11 4 2 2" xfId="51564" xr:uid="{00000000-0005-0000-0000-00004A0B0000}"/>
    <cellStyle name="Millares 11 4 3" xfId="38002" xr:uid="{00000000-0005-0000-0000-00004B0B0000}"/>
    <cellStyle name="Millares 11 5" xfId="17650" xr:uid="{00000000-0005-0000-0000-00004C0B0000}"/>
    <cellStyle name="Millares 11 5 2" xfId="44783" xr:uid="{00000000-0005-0000-0000-00004D0B0000}"/>
    <cellStyle name="Millares 11 6" xfId="31221" xr:uid="{00000000-0005-0000-0000-00004E0B0000}"/>
    <cellStyle name="Millares 12" xfId="3421" xr:uid="{00000000-0005-0000-0000-00004F0B0000}"/>
    <cellStyle name="Millares 12 2" xfId="7584" xr:uid="{00000000-0005-0000-0000-0000500B0000}"/>
    <cellStyle name="Millares 12 2 2" xfId="14374" xr:uid="{00000000-0005-0000-0000-0000510B0000}"/>
    <cellStyle name="Millares 12 2 2 2" xfId="27942" xr:uid="{00000000-0005-0000-0000-0000520B0000}"/>
    <cellStyle name="Millares 12 2 2 2 2" xfId="55075" xr:uid="{00000000-0005-0000-0000-0000530B0000}"/>
    <cellStyle name="Millares 12 2 2 3" xfId="41513" xr:uid="{00000000-0005-0000-0000-0000540B0000}"/>
    <cellStyle name="Millares 12 2 3" xfId="21161" xr:uid="{00000000-0005-0000-0000-0000550B0000}"/>
    <cellStyle name="Millares 12 2 3 2" xfId="48294" xr:uid="{00000000-0005-0000-0000-0000560B0000}"/>
    <cellStyle name="Millares 12 2 4" xfId="34732" xr:uid="{00000000-0005-0000-0000-0000570B0000}"/>
    <cellStyle name="Millares 12 3" xfId="10985" xr:uid="{00000000-0005-0000-0000-0000580B0000}"/>
    <cellStyle name="Millares 12 3 2" xfId="24553" xr:uid="{00000000-0005-0000-0000-0000590B0000}"/>
    <cellStyle name="Millares 12 3 2 2" xfId="51686" xr:uid="{00000000-0005-0000-0000-00005A0B0000}"/>
    <cellStyle name="Millares 12 3 3" xfId="38124" xr:uid="{00000000-0005-0000-0000-00005B0B0000}"/>
    <cellStyle name="Millares 12 4" xfId="17772" xr:uid="{00000000-0005-0000-0000-00005C0B0000}"/>
    <cellStyle name="Millares 12 4 2" xfId="44905" xr:uid="{00000000-0005-0000-0000-00005D0B0000}"/>
    <cellStyle name="Millares 12 5" xfId="31343" xr:uid="{00000000-0005-0000-0000-00005E0B0000}"/>
    <cellStyle name="Millares 13" xfId="3424" xr:uid="{00000000-0005-0000-0000-00005F0B0000}"/>
    <cellStyle name="Millares 13 2" xfId="7586" xr:uid="{00000000-0005-0000-0000-0000600B0000}"/>
    <cellStyle name="Millares 13 2 2" xfId="14376" xr:uid="{00000000-0005-0000-0000-0000610B0000}"/>
    <cellStyle name="Millares 13 2 2 2" xfId="27944" xr:uid="{00000000-0005-0000-0000-0000620B0000}"/>
    <cellStyle name="Millares 13 2 2 2 2" xfId="55077" xr:uid="{00000000-0005-0000-0000-0000630B0000}"/>
    <cellStyle name="Millares 13 2 2 3" xfId="41515" xr:uid="{00000000-0005-0000-0000-0000640B0000}"/>
    <cellStyle name="Millares 13 2 3" xfId="21163" xr:uid="{00000000-0005-0000-0000-0000650B0000}"/>
    <cellStyle name="Millares 13 2 3 2" xfId="48296" xr:uid="{00000000-0005-0000-0000-0000660B0000}"/>
    <cellStyle name="Millares 13 2 4" xfId="34734" xr:uid="{00000000-0005-0000-0000-0000670B0000}"/>
    <cellStyle name="Millares 13 3" xfId="10987" xr:uid="{00000000-0005-0000-0000-0000680B0000}"/>
    <cellStyle name="Millares 13 3 2" xfId="24555" xr:uid="{00000000-0005-0000-0000-0000690B0000}"/>
    <cellStyle name="Millares 13 3 2 2" xfId="51688" xr:uid="{00000000-0005-0000-0000-00006A0B0000}"/>
    <cellStyle name="Millares 13 3 3" xfId="38126" xr:uid="{00000000-0005-0000-0000-00006B0B0000}"/>
    <cellStyle name="Millares 13 4" xfId="17774" xr:uid="{00000000-0005-0000-0000-00006C0B0000}"/>
    <cellStyle name="Millares 13 4 2" xfId="44907" xr:uid="{00000000-0005-0000-0000-00006D0B0000}"/>
    <cellStyle name="Millares 13 5" xfId="31345" xr:uid="{00000000-0005-0000-0000-00006E0B0000}"/>
    <cellStyle name="Millares 14" xfId="7298" xr:uid="{00000000-0005-0000-0000-00006F0B0000}"/>
    <cellStyle name="Millares 14 2" xfId="10799" xr:uid="{00000000-0005-0000-0000-0000700B0000}"/>
    <cellStyle name="Millares 14 2 2" xfId="17589" xr:uid="{00000000-0005-0000-0000-0000710B0000}"/>
    <cellStyle name="Millares 14 2 2 2" xfId="31157" xr:uid="{00000000-0005-0000-0000-0000720B0000}"/>
    <cellStyle name="Millares 14 2 2 2 2" xfId="58290" xr:uid="{00000000-0005-0000-0000-0000730B0000}"/>
    <cellStyle name="Millares 14 2 2 3" xfId="44728" xr:uid="{00000000-0005-0000-0000-0000740B0000}"/>
    <cellStyle name="Millares 14 2 3" xfId="24376" xr:uid="{00000000-0005-0000-0000-0000750B0000}"/>
    <cellStyle name="Millares 14 2 3 2" xfId="51509" xr:uid="{00000000-0005-0000-0000-0000760B0000}"/>
    <cellStyle name="Millares 14 2 4" xfId="37947" xr:uid="{00000000-0005-0000-0000-0000770B0000}"/>
    <cellStyle name="Millares 14 3" xfId="14200" xr:uid="{00000000-0005-0000-0000-0000780B0000}"/>
    <cellStyle name="Millares 14 3 2" xfId="27768" xr:uid="{00000000-0005-0000-0000-0000790B0000}"/>
    <cellStyle name="Millares 14 3 2 2" xfId="54901" xr:uid="{00000000-0005-0000-0000-00007A0B0000}"/>
    <cellStyle name="Millares 14 3 3" xfId="41339" xr:uid="{00000000-0005-0000-0000-00007B0B0000}"/>
    <cellStyle name="Millares 14 4" xfId="20987" xr:uid="{00000000-0005-0000-0000-00007C0B0000}"/>
    <cellStyle name="Millares 14 4 2" xfId="48120" xr:uid="{00000000-0005-0000-0000-00007D0B0000}"/>
    <cellStyle name="Millares 14 5" xfId="34558" xr:uid="{00000000-0005-0000-0000-00007E0B0000}"/>
    <cellStyle name="Millares 149" xfId="30" xr:uid="{00000000-0005-0000-0000-00007F0B0000}"/>
    <cellStyle name="Millares 15" xfId="3972" xr:uid="{00000000-0005-0000-0000-0000800B0000}"/>
    <cellStyle name="Millares 15 2" xfId="7310" xr:uid="{00000000-0005-0000-0000-0000810B0000}"/>
    <cellStyle name="Millares 15 2 2" xfId="7317" xr:uid="{00000000-0005-0000-0000-0000820B0000}"/>
    <cellStyle name="Millares 15 2 2 2" xfId="10807" xr:uid="{00000000-0005-0000-0000-0000830B0000}"/>
    <cellStyle name="Millares 15 2 2 2 2" xfId="17597" xr:uid="{00000000-0005-0000-0000-0000840B0000}"/>
    <cellStyle name="Millares 15 2 2 2 2 2" xfId="31165" xr:uid="{00000000-0005-0000-0000-0000850B0000}"/>
    <cellStyle name="Millares 15 2 2 2 2 2 2" xfId="58298" xr:uid="{00000000-0005-0000-0000-0000860B0000}"/>
    <cellStyle name="Millares 15 2 2 2 2 3" xfId="44736" xr:uid="{00000000-0005-0000-0000-0000870B0000}"/>
    <cellStyle name="Millares 15 2 2 2 3" xfId="24384" xr:uid="{00000000-0005-0000-0000-0000880B0000}"/>
    <cellStyle name="Millares 15 2 2 2 3 2" xfId="51517" xr:uid="{00000000-0005-0000-0000-0000890B0000}"/>
    <cellStyle name="Millares 15 2 2 2 4" xfId="37955" xr:uid="{00000000-0005-0000-0000-00008A0B0000}"/>
    <cellStyle name="Millares 15 2 2 3" xfId="14208" xr:uid="{00000000-0005-0000-0000-00008B0B0000}"/>
    <cellStyle name="Millares 15 2 2 3 2" xfId="27776" xr:uid="{00000000-0005-0000-0000-00008C0B0000}"/>
    <cellStyle name="Millares 15 2 2 3 2 2" xfId="54909" xr:uid="{00000000-0005-0000-0000-00008D0B0000}"/>
    <cellStyle name="Millares 15 2 2 3 3" xfId="41347" xr:uid="{00000000-0005-0000-0000-00008E0B0000}"/>
    <cellStyle name="Millares 15 2 2 4" xfId="20995" xr:uid="{00000000-0005-0000-0000-00008F0B0000}"/>
    <cellStyle name="Millares 15 2 2 4 2" xfId="48128" xr:uid="{00000000-0005-0000-0000-0000900B0000}"/>
    <cellStyle name="Millares 15 2 2 5" xfId="34566" xr:uid="{00000000-0005-0000-0000-0000910B0000}"/>
    <cellStyle name="Millares 15 2 3" xfId="7319" xr:uid="{00000000-0005-0000-0000-0000920B0000}"/>
    <cellStyle name="Millares 15 2 3 2" xfId="10809" xr:uid="{00000000-0005-0000-0000-0000930B0000}"/>
    <cellStyle name="Millares 15 2 3 2 2" xfId="17599" xr:uid="{00000000-0005-0000-0000-0000940B0000}"/>
    <cellStyle name="Millares 15 2 3 2 2 2" xfId="31167" xr:uid="{00000000-0005-0000-0000-0000950B0000}"/>
    <cellStyle name="Millares 15 2 3 2 2 2 2" xfId="58300" xr:uid="{00000000-0005-0000-0000-0000960B0000}"/>
    <cellStyle name="Millares 15 2 3 2 2 3" xfId="44738" xr:uid="{00000000-0005-0000-0000-0000970B0000}"/>
    <cellStyle name="Millares 15 2 3 2 3" xfId="24386" xr:uid="{00000000-0005-0000-0000-0000980B0000}"/>
    <cellStyle name="Millares 15 2 3 2 3 2" xfId="51519" xr:uid="{00000000-0005-0000-0000-0000990B0000}"/>
    <cellStyle name="Millares 15 2 3 2 4" xfId="37957" xr:uid="{00000000-0005-0000-0000-00009A0B0000}"/>
    <cellStyle name="Millares 15 2 3 3" xfId="14210" xr:uid="{00000000-0005-0000-0000-00009B0B0000}"/>
    <cellStyle name="Millares 15 2 3 3 2" xfId="27778" xr:uid="{00000000-0005-0000-0000-00009C0B0000}"/>
    <cellStyle name="Millares 15 2 3 3 2 2" xfId="54911" xr:uid="{00000000-0005-0000-0000-00009D0B0000}"/>
    <cellStyle name="Millares 15 2 3 3 3" xfId="41349" xr:uid="{00000000-0005-0000-0000-00009E0B0000}"/>
    <cellStyle name="Millares 15 2 3 4" xfId="20997" xr:uid="{00000000-0005-0000-0000-00009F0B0000}"/>
    <cellStyle name="Millares 15 2 3 4 2" xfId="48130" xr:uid="{00000000-0005-0000-0000-0000A00B0000}"/>
    <cellStyle name="Millares 15 2 3 5" xfId="34568" xr:uid="{00000000-0005-0000-0000-0000A10B0000}"/>
    <cellStyle name="Millares 15 2 4" xfId="7322" xr:uid="{00000000-0005-0000-0000-0000A20B0000}"/>
    <cellStyle name="Millares 15 2 4 2" xfId="10812" xr:uid="{00000000-0005-0000-0000-0000A30B0000}"/>
    <cellStyle name="Millares 15 2 4 2 2" xfId="17602" xr:uid="{00000000-0005-0000-0000-0000A40B0000}"/>
    <cellStyle name="Millares 15 2 4 2 2 2" xfId="31170" xr:uid="{00000000-0005-0000-0000-0000A50B0000}"/>
    <cellStyle name="Millares 15 2 4 2 2 2 2" xfId="58303" xr:uid="{00000000-0005-0000-0000-0000A60B0000}"/>
    <cellStyle name="Millares 15 2 4 2 2 3" xfId="44741" xr:uid="{00000000-0005-0000-0000-0000A70B0000}"/>
    <cellStyle name="Millares 15 2 4 2 3" xfId="24389" xr:uid="{00000000-0005-0000-0000-0000A80B0000}"/>
    <cellStyle name="Millares 15 2 4 2 3 2" xfId="51522" xr:uid="{00000000-0005-0000-0000-0000A90B0000}"/>
    <cellStyle name="Millares 15 2 4 2 4" xfId="37960" xr:uid="{00000000-0005-0000-0000-0000AA0B0000}"/>
    <cellStyle name="Millares 15 2 4 3" xfId="14213" xr:uid="{00000000-0005-0000-0000-0000AB0B0000}"/>
    <cellStyle name="Millares 15 2 4 3 2" xfId="27781" xr:uid="{00000000-0005-0000-0000-0000AC0B0000}"/>
    <cellStyle name="Millares 15 2 4 3 2 2" xfId="54914" xr:uid="{00000000-0005-0000-0000-0000AD0B0000}"/>
    <cellStyle name="Millares 15 2 4 3 3" xfId="41352" xr:uid="{00000000-0005-0000-0000-0000AE0B0000}"/>
    <cellStyle name="Millares 15 2 4 4" xfId="21000" xr:uid="{00000000-0005-0000-0000-0000AF0B0000}"/>
    <cellStyle name="Millares 15 2 4 4 2" xfId="48133" xr:uid="{00000000-0005-0000-0000-0000B00B0000}"/>
    <cellStyle name="Millares 15 2 4 5" xfId="34571" xr:uid="{00000000-0005-0000-0000-0000B10B0000}"/>
    <cellStyle name="Millares 15 2 5" xfId="10806" xr:uid="{00000000-0005-0000-0000-0000B20B0000}"/>
    <cellStyle name="Millares 15 2 5 2" xfId="17596" xr:uid="{00000000-0005-0000-0000-0000B30B0000}"/>
    <cellStyle name="Millares 15 2 5 2 2" xfId="31164" xr:uid="{00000000-0005-0000-0000-0000B40B0000}"/>
    <cellStyle name="Millares 15 2 5 2 2 2" xfId="58297" xr:uid="{00000000-0005-0000-0000-0000B50B0000}"/>
    <cellStyle name="Millares 15 2 5 2 3" xfId="44735" xr:uid="{00000000-0005-0000-0000-0000B60B0000}"/>
    <cellStyle name="Millares 15 2 5 3" xfId="24383" xr:uid="{00000000-0005-0000-0000-0000B70B0000}"/>
    <cellStyle name="Millares 15 2 5 3 2" xfId="51516" xr:uid="{00000000-0005-0000-0000-0000B80B0000}"/>
    <cellStyle name="Millares 15 2 5 4" xfId="37954" xr:uid="{00000000-0005-0000-0000-0000B90B0000}"/>
    <cellStyle name="Millares 15 2 6" xfId="14207" xr:uid="{00000000-0005-0000-0000-0000BA0B0000}"/>
    <cellStyle name="Millares 15 2 6 2" xfId="27775" xr:uid="{00000000-0005-0000-0000-0000BB0B0000}"/>
    <cellStyle name="Millares 15 2 6 2 2" xfId="54908" xr:uid="{00000000-0005-0000-0000-0000BC0B0000}"/>
    <cellStyle name="Millares 15 2 6 3" xfId="41346" xr:uid="{00000000-0005-0000-0000-0000BD0B0000}"/>
    <cellStyle name="Millares 15 2 7" xfId="20994" xr:uid="{00000000-0005-0000-0000-0000BE0B0000}"/>
    <cellStyle name="Millares 15 2 7 2" xfId="48127" xr:uid="{00000000-0005-0000-0000-0000BF0B0000}"/>
    <cellStyle name="Millares 15 2 8" xfId="34565" xr:uid="{00000000-0005-0000-0000-0000C00B0000}"/>
    <cellStyle name="Millares 16" xfId="3973" xr:uid="{00000000-0005-0000-0000-0000C10B0000}"/>
    <cellStyle name="Millares 17" xfId="7305" xr:uid="{00000000-0005-0000-0000-0000C20B0000}"/>
    <cellStyle name="Millares 17 2" xfId="10804" xr:uid="{00000000-0005-0000-0000-0000C30B0000}"/>
    <cellStyle name="Millares 17 2 2" xfId="17594" xr:uid="{00000000-0005-0000-0000-0000C40B0000}"/>
    <cellStyle name="Millares 17 2 2 2" xfId="31162" xr:uid="{00000000-0005-0000-0000-0000C50B0000}"/>
    <cellStyle name="Millares 17 2 2 2 2" xfId="58295" xr:uid="{00000000-0005-0000-0000-0000C60B0000}"/>
    <cellStyle name="Millares 17 2 2 3" xfId="44733" xr:uid="{00000000-0005-0000-0000-0000C70B0000}"/>
    <cellStyle name="Millares 17 2 3" xfId="24381" xr:uid="{00000000-0005-0000-0000-0000C80B0000}"/>
    <cellStyle name="Millares 17 2 3 2" xfId="51514" xr:uid="{00000000-0005-0000-0000-0000C90B0000}"/>
    <cellStyle name="Millares 17 2 4" xfId="37952" xr:uid="{00000000-0005-0000-0000-0000CA0B0000}"/>
    <cellStyle name="Millares 17 3" xfId="14205" xr:uid="{00000000-0005-0000-0000-0000CB0B0000}"/>
    <cellStyle name="Millares 17 3 2" xfId="27773" xr:uid="{00000000-0005-0000-0000-0000CC0B0000}"/>
    <cellStyle name="Millares 17 3 2 2" xfId="54906" xr:uid="{00000000-0005-0000-0000-0000CD0B0000}"/>
    <cellStyle name="Millares 17 3 3" xfId="41344" xr:uid="{00000000-0005-0000-0000-0000CE0B0000}"/>
    <cellStyle name="Millares 17 4" xfId="20992" xr:uid="{00000000-0005-0000-0000-0000CF0B0000}"/>
    <cellStyle name="Millares 17 4 2" xfId="48125" xr:uid="{00000000-0005-0000-0000-0000D00B0000}"/>
    <cellStyle name="Millares 17 5" xfId="34563" xr:uid="{00000000-0005-0000-0000-0000D10B0000}"/>
    <cellStyle name="Millares 18" xfId="3974" xr:uid="{00000000-0005-0000-0000-0000D20B0000}"/>
    <cellStyle name="Millares 18 2" xfId="3975" xr:uid="{00000000-0005-0000-0000-0000D30B0000}"/>
    <cellStyle name="Millares 19" xfId="7454" xr:uid="{00000000-0005-0000-0000-0000D40B0000}"/>
    <cellStyle name="Millares 19 2" xfId="10846" xr:uid="{00000000-0005-0000-0000-0000D50B0000}"/>
    <cellStyle name="Millares 19 2 2" xfId="17636" xr:uid="{00000000-0005-0000-0000-0000D60B0000}"/>
    <cellStyle name="Millares 19 2 2 2" xfId="31204" xr:uid="{00000000-0005-0000-0000-0000D70B0000}"/>
    <cellStyle name="Millares 19 2 2 2 2" xfId="58337" xr:uid="{00000000-0005-0000-0000-0000D80B0000}"/>
    <cellStyle name="Millares 19 2 2 3" xfId="44775" xr:uid="{00000000-0005-0000-0000-0000D90B0000}"/>
    <cellStyle name="Millares 19 2 3" xfId="24423" xr:uid="{00000000-0005-0000-0000-0000DA0B0000}"/>
    <cellStyle name="Millares 19 2 3 2" xfId="51556" xr:uid="{00000000-0005-0000-0000-0000DB0B0000}"/>
    <cellStyle name="Millares 19 2 4" xfId="37994" xr:uid="{00000000-0005-0000-0000-0000DC0B0000}"/>
    <cellStyle name="Millares 19 3" xfId="14247" xr:uid="{00000000-0005-0000-0000-0000DD0B0000}"/>
    <cellStyle name="Millares 19 3 2" xfId="27815" xr:uid="{00000000-0005-0000-0000-0000DE0B0000}"/>
    <cellStyle name="Millares 19 3 2 2" xfId="54948" xr:uid="{00000000-0005-0000-0000-0000DF0B0000}"/>
    <cellStyle name="Millares 19 3 3" xfId="41386" xr:uid="{00000000-0005-0000-0000-0000E00B0000}"/>
    <cellStyle name="Millares 19 4" xfId="21034" xr:uid="{00000000-0005-0000-0000-0000E10B0000}"/>
    <cellStyle name="Millares 19 4 2" xfId="48167" xr:uid="{00000000-0005-0000-0000-0000E20B0000}"/>
    <cellStyle name="Millares 19 5" xfId="34605" xr:uid="{00000000-0005-0000-0000-0000E30B0000}"/>
    <cellStyle name="Millares 2" xfId="62" xr:uid="{00000000-0005-0000-0000-0000E40B0000}"/>
    <cellStyle name="Millares 2 10" xfId="2364" xr:uid="{00000000-0005-0000-0000-0000E50B0000}"/>
    <cellStyle name="Millares 2 10 2" xfId="3976" xr:uid="{00000000-0005-0000-0000-0000E60B0000}"/>
    <cellStyle name="Millares 2 10 2 2" xfId="3977" xr:uid="{00000000-0005-0000-0000-0000E70B0000}"/>
    <cellStyle name="Millares 2 10 2 2 2" xfId="3978" xr:uid="{00000000-0005-0000-0000-0000E80B0000}"/>
    <cellStyle name="Millares 2 10 2 2 2 2" xfId="7589" xr:uid="{00000000-0005-0000-0000-0000E90B0000}"/>
    <cellStyle name="Millares 2 10 2 2 2 2 2" xfId="14379" xr:uid="{00000000-0005-0000-0000-0000EA0B0000}"/>
    <cellStyle name="Millares 2 10 2 2 2 2 2 2" xfId="27947" xr:uid="{00000000-0005-0000-0000-0000EB0B0000}"/>
    <cellStyle name="Millares 2 10 2 2 2 2 2 2 2" xfId="55080" xr:uid="{00000000-0005-0000-0000-0000EC0B0000}"/>
    <cellStyle name="Millares 2 10 2 2 2 2 2 3" xfId="41518" xr:uid="{00000000-0005-0000-0000-0000ED0B0000}"/>
    <cellStyle name="Millares 2 10 2 2 2 2 3" xfId="21166" xr:uid="{00000000-0005-0000-0000-0000EE0B0000}"/>
    <cellStyle name="Millares 2 10 2 2 2 2 3 2" xfId="48299" xr:uid="{00000000-0005-0000-0000-0000EF0B0000}"/>
    <cellStyle name="Millares 2 10 2 2 2 2 4" xfId="34737" xr:uid="{00000000-0005-0000-0000-0000F00B0000}"/>
    <cellStyle name="Millares 2 10 2 2 2 3" xfId="10990" xr:uid="{00000000-0005-0000-0000-0000F10B0000}"/>
    <cellStyle name="Millares 2 10 2 2 2 3 2" xfId="24558" xr:uid="{00000000-0005-0000-0000-0000F20B0000}"/>
    <cellStyle name="Millares 2 10 2 2 2 3 2 2" xfId="51691" xr:uid="{00000000-0005-0000-0000-0000F30B0000}"/>
    <cellStyle name="Millares 2 10 2 2 2 3 3" xfId="38129" xr:uid="{00000000-0005-0000-0000-0000F40B0000}"/>
    <cellStyle name="Millares 2 10 2 2 2 4" xfId="17777" xr:uid="{00000000-0005-0000-0000-0000F50B0000}"/>
    <cellStyle name="Millares 2 10 2 2 2 4 2" xfId="44910" xr:uid="{00000000-0005-0000-0000-0000F60B0000}"/>
    <cellStyle name="Millares 2 10 2 2 2 5" xfId="31348" xr:uid="{00000000-0005-0000-0000-0000F70B0000}"/>
    <cellStyle name="Millares 2 10 2 2 3" xfId="3979" xr:uid="{00000000-0005-0000-0000-0000F80B0000}"/>
    <cellStyle name="Millares 2 10 2 2 3 2" xfId="7590" xr:uid="{00000000-0005-0000-0000-0000F90B0000}"/>
    <cellStyle name="Millares 2 10 2 2 3 2 2" xfId="14380" xr:uid="{00000000-0005-0000-0000-0000FA0B0000}"/>
    <cellStyle name="Millares 2 10 2 2 3 2 2 2" xfId="27948" xr:uid="{00000000-0005-0000-0000-0000FB0B0000}"/>
    <cellStyle name="Millares 2 10 2 2 3 2 2 2 2" xfId="55081" xr:uid="{00000000-0005-0000-0000-0000FC0B0000}"/>
    <cellStyle name="Millares 2 10 2 2 3 2 2 3" xfId="41519" xr:uid="{00000000-0005-0000-0000-0000FD0B0000}"/>
    <cellStyle name="Millares 2 10 2 2 3 2 3" xfId="21167" xr:uid="{00000000-0005-0000-0000-0000FE0B0000}"/>
    <cellStyle name="Millares 2 10 2 2 3 2 3 2" xfId="48300" xr:uid="{00000000-0005-0000-0000-0000FF0B0000}"/>
    <cellStyle name="Millares 2 10 2 2 3 2 4" xfId="34738" xr:uid="{00000000-0005-0000-0000-0000000C0000}"/>
    <cellStyle name="Millares 2 10 2 2 3 3" xfId="10991" xr:uid="{00000000-0005-0000-0000-0000010C0000}"/>
    <cellStyle name="Millares 2 10 2 2 3 3 2" xfId="24559" xr:uid="{00000000-0005-0000-0000-0000020C0000}"/>
    <cellStyle name="Millares 2 10 2 2 3 3 2 2" xfId="51692" xr:uid="{00000000-0005-0000-0000-0000030C0000}"/>
    <cellStyle name="Millares 2 10 2 2 3 3 3" xfId="38130" xr:uid="{00000000-0005-0000-0000-0000040C0000}"/>
    <cellStyle name="Millares 2 10 2 2 3 4" xfId="17778" xr:uid="{00000000-0005-0000-0000-0000050C0000}"/>
    <cellStyle name="Millares 2 10 2 2 3 4 2" xfId="44911" xr:uid="{00000000-0005-0000-0000-0000060C0000}"/>
    <cellStyle name="Millares 2 10 2 2 3 5" xfId="31349" xr:uid="{00000000-0005-0000-0000-0000070C0000}"/>
    <cellStyle name="Millares 2 10 2 2 4" xfId="7588" xr:uid="{00000000-0005-0000-0000-0000080C0000}"/>
    <cellStyle name="Millares 2 10 2 2 4 2" xfId="14378" xr:uid="{00000000-0005-0000-0000-0000090C0000}"/>
    <cellStyle name="Millares 2 10 2 2 4 2 2" xfId="27946" xr:uid="{00000000-0005-0000-0000-00000A0C0000}"/>
    <cellStyle name="Millares 2 10 2 2 4 2 2 2" xfId="55079" xr:uid="{00000000-0005-0000-0000-00000B0C0000}"/>
    <cellStyle name="Millares 2 10 2 2 4 2 3" xfId="41517" xr:uid="{00000000-0005-0000-0000-00000C0C0000}"/>
    <cellStyle name="Millares 2 10 2 2 4 3" xfId="21165" xr:uid="{00000000-0005-0000-0000-00000D0C0000}"/>
    <cellStyle name="Millares 2 10 2 2 4 3 2" xfId="48298" xr:uid="{00000000-0005-0000-0000-00000E0C0000}"/>
    <cellStyle name="Millares 2 10 2 2 4 4" xfId="34736" xr:uid="{00000000-0005-0000-0000-00000F0C0000}"/>
    <cellStyle name="Millares 2 10 2 2 5" xfId="10989" xr:uid="{00000000-0005-0000-0000-0000100C0000}"/>
    <cellStyle name="Millares 2 10 2 2 5 2" xfId="24557" xr:uid="{00000000-0005-0000-0000-0000110C0000}"/>
    <cellStyle name="Millares 2 10 2 2 5 2 2" xfId="51690" xr:uid="{00000000-0005-0000-0000-0000120C0000}"/>
    <cellStyle name="Millares 2 10 2 2 5 3" xfId="38128" xr:uid="{00000000-0005-0000-0000-0000130C0000}"/>
    <cellStyle name="Millares 2 10 2 2 6" xfId="17776" xr:uid="{00000000-0005-0000-0000-0000140C0000}"/>
    <cellStyle name="Millares 2 10 2 2 6 2" xfId="44909" xr:uid="{00000000-0005-0000-0000-0000150C0000}"/>
    <cellStyle name="Millares 2 10 2 2 7" xfId="31347" xr:uid="{00000000-0005-0000-0000-0000160C0000}"/>
    <cellStyle name="Millares 2 10 2 3" xfId="3980" xr:uid="{00000000-0005-0000-0000-0000170C0000}"/>
    <cellStyle name="Millares 2 10 2 3 2" xfId="3981" xr:uid="{00000000-0005-0000-0000-0000180C0000}"/>
    <cellStyle name="Millares 2 10 2 3 2 2" xfId="7592" xr:uid="{00000000-0005-0000-0000-0000190C0000}"/>
    <cellStyle name="Millares 2 10 2 3 2 2 2" xfId="14382" xr:uid="{00000000-0005-0000-0000-00001A0C0000}"/>
    <cellStyle name="Millares 2 10 2 3 2 2 2 2" xfId="27950" xr:uid="{00000000-0005-0000-0000-00001B0C0000}"/>
    <cellStyle name="Millares 2 10 2 3 2 2 2 2 2" xfId="55083" xr:uid="{00000000-0005-0000-0000-00001C0C0000}"/>
    <cellStyle name="Millares 2 10 2 3 2 2 2 3" xfId="41521" xr:uid="{00000000-0005-0000-0000-00001D0C0000}"/>
    <cellStyle name="Millares 2 10 2 3 2 2 3" xfId="21169" xr:uid="{00000000-0005-0000-0000-00001E0C0000}"/>
    <cellStyle name="Millares 2 10 2 3 2 2 3 2" xfId="48302" xr:uid="{00000000-0005-0000-0000-00001F0C0000}"/>
    <cellStyle name="Millares 2 10 2 3 2 2 4" xfId="34740" xr:uid="{00000000-0005-0000-0000-0000200C0000}"/>
    <cellStyle name="Millares 2 10 2 3 2 3" xfId="10993" xr:uid="{00000000-0005-0000-0000-0000210C0000}"/>
    <cellStyle name="Millares 2 10 2 3 2 3 2" xfId="24561" xr:uid="{00000000-0005-0000-0000-0000220C0000}"/>
    <cellStyle name="Millares 2 10 2 3 2 3 2 2" xfId="51694" xr:uid="{00000000-0005-0000-0000-0000230C0000}"/>
    <cellStyle name="Millares 2 10 2 3 2 3 3" xfId="38132" xr:uid="{00000000-0005-0000-0000-0000240C0000}"/>
    <cellStyle name="Millares 2 10 2 3 2 4" xfId="17780" xr:uid="{00000000-0005-0000-0000-0000250C0000}"/>
    <cellStyle name="Millares 2 10 2 3 2 4 2" xfId="44913" xr:uid="{00000000-0005-0000-0000-0000260C0000}"/>
    <cellStyle name="Millares 2 10 2 3 2 5" xfId="31351" xr:uid="{00000000-0005-0000-0000-0000270C0000}"/>
    <cellStyle name="Millares 2 10 2 3 3" xfId="7591" xr:uid="{00000000-0005-0000-0000-0000280C0000}"/>
    <cellStyle name="Millares 2 10 2 3 3 2" xfId="14381" xr:uid="{00000000-0005-0000-0000-0000290C0000}"/>
    <cellStyle name="Millares 2 10 2 3 3 2 2" xfId="27949" xr:uid="{00000000-0005-0000-0000-00002A0C0000}"/>
    <cellStyle name="Millares 2 10 2 3 3 2 2 2" xfId="55082" xr:uid="{00000000-0005-0000-0000-00002B0C0000}"/>
    <cellStyle name="Millares 2 10 2 3 3 2 3" xfId="41520" xr:uid="{00000000-0005-0000-0000-00002C0C0000}"/>
    <cellStyle name="Millares 2 10 2 3 3 3" xfId="21168" xr:uid="{00000000-0005-0000-0000-00002D0C0000}"/>
    <cellStyle name="Millares 2 10 2 3 3 3 2" xfId="48301" xr:uid="{00000000-0005-0000-0000-00002E0C0000}"/>
    <cellStyle name="Millares 2 10 2 3 3 4" xfId="34739" xr:uid="{00000000-0005-0000-0000-00002F0C0000}"/>
    <cellStyle name="Millares 2 10 2 3 4" xfId="10992" xr:uid="{00000000-0005-0000-0000-0000300C0000}"/>
    <cellStyle name="Millares 2 10 2 3 4 2" xfId="24560" xr:uid="{00000000-0005-0000-0000-0000310C0000}"/>
    <cellStyle name="Millares 2 10 2 3 4 2 2" xfId="51693" xr:uid="{00000000-0005-0000-0000-0000320C0000}"/>
    <cellStyle name="Millares 2 10 2 3 4 3" xfId="38131" xr:uid="{00000000-0005-0000-0000-0000330C0000}"/>
    <cellStyle name="Millares 2 10 2 3 5" xfId="17779" xr:uid="{00000000-0005-0000-0000-0000340C0000}"/>
    <cellStyle name="Millares 2 10 2 3 5 2" xfId="44912" xr:uid="{00000000-0005-0000-0000-0000350C0000}"/>
    <cellStyle name="Millares 2 10 2 3 6" xfId="31350" xr:uid="{00000000-0005-0000-0000-0000360C0000}"/>
    <cellStyle name="Millares 2 10 2 4" xfId="3982" xr:uid="{00000000-0005-0000-0000-0000370C0000}"/>
    <cellStyle name="Millares 2 10 2 4 2" xfId="7593" xr:uid="{00000000-0005-0000-0000-0000380C0000}"/>
    <cellStyle name="Millares 2 10 2 4 2 2" xfId="14383" xr:uid="{00000000-0005-0000-0000-0000390C0000}"/>
    <cellStyle name="Millares 2 10 2 4 2 2 2" xfId="27951" xr:uid="{00000000-0005-0000-0000-00003A0C0000}"/>
    <cellStyle name="Millares 2 10 2 4 2 2 2 2" xfId="55084" xr:uid="{00000000-0005-0000-0000-00003B0C0000}"/>
    <cellStyle name="Millares 2 10 2 4 2 2 3" xfId="41522" xr:uid="{00000000-0005-0000-0000-00003C0C0000}"/>
    <cellStyle name="Millares 2 10 2 4 2 3" xfId="21170" xr:uid="{00000000-0005-0000-0000-00003D0C0000}"/>
    <cellStyle name="Millares 2 10 2 4 2 3 2" xfId="48303" xr:uid="{00000000-0005-0000-0000-00003E0C0000}"/>
    <cellStyle name="Millares 2 10 2 4 2 4" xfId="34741" xr:uid="{00000000-0005-0000-0000-00003F0C0000}"/>
    <cellStyle name="Millares 2 10 2 4 3" xfId="10994" xr:uid="{00000000-0005-0000-0000-0000400C0000}"/>
    <cellStyle name="Millares 2 10 2 4 3 2" xfId="24562" xr:uid="{00000000-0005-0000-0000-0000410C0000}"/>
    <cellStyle name="Millares 2 10 2 4 3 2 2" xfId="51695" xr:uid="{00000000-0005-0000-0000-0000420C0000}"/>
    <cellStyle name="Millares 2 10 2 4 3 3" xfId="38133" xr:uid="{00000000-0005-0000-0000-0000430C0000}"/>
    <cellStyle name="Millares 2 10 2 4 4" xfId="17781" xr:uid="{00000000-0005-0000-0000-0000440C0000}"/>
    <cellStyle name="Millares 2 10 2 4 4 2" xfId="44914" xr:uid="{00000000-0005-0000-0000-0000450C0000}"/>
    <cellStyle name="Millares 2 10 2 4 5" xfId="31352" xr:uid="{00000000-0005-0000-0000-0000460C0000}"/>
    <cellStyle name="Millares 2 10 2 5" xfId="3983" xr:uid="{00000000-0005-0000-0000-0000470C0000}"/>
    <cellStyle name="Millares 2 10 2 5 2" xfId="7594" xr:uid="{00000000-0005-0000-0000-0000480C0000}"/>
    <cellStyle name="Millares 2 10 2 5 2 2" xfId="14384" xr:uid="{00000000-0005-0000-0000-0000490C0000}"/>
    <cellStyle name="Millares 2 10 2 5 2 2 2" xfId="27952" xr:uid="{00000000-0005-0000-0000-00004A0C0000}"/>
    <cellStyle name="Millares 2 10 2 5 2 2 2 2" xfId="55085" xr:uid="{00000000-0005-0000-0000-00004B0C0000}"/>
    <cellStyle name="Millares 2 10 2 5 2 2 3" xfId="41523" xr:uid="{00000000-0005-0000-0000-00004C0C0000}"/>
    <cellStyle name="Millares 2 10 2 5 2 3" xfId="21171" xr:uid="{00000000-0005-0000-0000-00004D0C0000}"/>
    <cellStyle name="Millares 2 10 2 5 2 3 2" xfId="48304" xr:uid="{00000000-0005-0000-0000-00004E0C0000}"/>
    <cellStyle name="Millares 2 10 2 5 2 4" xfId="34742" xr:uid="{00000000-0005-0000-0000-00004F0C0000}"/>
    <cellStyle name="Millares 2 10 2 5 3" xfId="10995" xr:uid="{00000000-0005-0000-0000-0000500C0000}"/>
    <cellStyle name="Millares 2 10 2 5 3 2" xfId="24563" xr:uid="{00000000-0005-0000-0000-0000510C0000}"/>
    <cellStyle name="Millares 2 10 2 5 3 2 2" xfId="51696" xr:uid="{00000000-0005-0000-0000-0000520C0000}"/>
    <cellStyle name="Millares 2 10 2 5 3 3" xfId="38134" xr:uid="{00000000-0005-0000-0000-0000530C0000}"/>
    <cellStyle name="Millares 2 10 2 5 4" xfId="17782" xr:uid="{00000000-0005-0000-0000-0000540C0000}"/>
    <cellStyle name="Millares 2 10 2 5 4 2" xfId="44915" xr:uid="{00000000-0005-0000-0000-0000550C0000}"/>
    <cellStyle name="Millares 2 10 2 5 5" xfId="31353" xr:uid="{00000000-0005-0000-0000-0000560C0000}"/>
    <cellStyle name="Millares 2 10 2 6" xfId="7587" xr:uid="{00000000-0005-0000-0000-0000570C0000}"/>
    <cellStyle name="Millares 2 10 2 6 2" xfId="14377" xr:uid="{00000000-0005-0000-0000-0000580C0000}"/>
    <cellStyle name="Millares 2 10 2 6 2 2" xfId="27945" xr:uid="{00000000-0005-0000-0000-0000590C0000}"/>
    <cellStyle name="Millares 2 10 2 6 2 2 2" xfId="55078" xr:uid="{00000000-0005-0000-0000-00005A0C0000}"/>
    <cellStyle name="Millares 2 10 2 6 2 3" xfId="41516" xr:uid="{00000000-0005-0000-0000-00005B0C0000}"/>
    <cellStyle name="Millares 2 10 2 6 3" xfId="21164" xr:uid="{00000000-0005-0000-0000-00005C0C0000}"/>
    <cellStyle name="Millares 2 10 2 6 3 2" xfId="48297" xr:uid="{00000000-0005-0000-0000-00005D0C0000}"/>
    <cellStyle name="Millares 2 10 2 6 4" xfId="34735" xr:uid="{00000000-0005-0000-0000-00005E0C0000}"/>
    <cellStyle name="Millares 2 10 2 7" xfId="10988" xr:uid="{00000000-0005-0000-0000-00005F0C0000}"/>
    <cellStyle name="Millares 2 10 2 7 2" xfId="24556" xr:uid="{00000000-0005-0000-0000-0000600C0000}"/>
    <cellStyle name="Millares 2 10 2 7 2 2" xfId="51689" xr:uid="{00000000-0005-0000-0000-0000610C0000}"/>
    <cellStyle name="Millares 2 10 2 7 3" xfId="38127" xr:uid="{00000000-0005-0000-0000-0000620C0000}"/>
    <cellStyle name="Millares 2 10 2 8" xfId="17775" xr:uid="{00000000-0005-0000-0000-0000630C0000}"/>
    <cellStyle name="Millares 2 10 2 8 2" xfId="44908" xr:uid="{00000000-0005-0000-0000-0000640C0000}"/>
    <cellStyle name="Millares 2 10 2 9" xfId="31346" xr:uid="{00000000-0005-0000-0000-0000650C0000}"/>
    <cellStyle name="Millares 2 10 3" xfId="3984" xr:uid="{00000000-0005-0000-0000-0000660C0000}"/>
    <cellStyle name="Millares 2 10 3 2" xfId="3985" xr:uid="{00000000-0005-0000-0000-0000670C0000}"/>
    <cellStyle name="Millares 2 10 3 2 2" xfId="3986" xr:uid="{00000000-0005-0000-0000-0000680C0000}"/>
    <cellStyle name="Millares 2 10 3 2 2 2" xfId="7597" xr:uid="{00000000-0005-0000-0000-0000690C0000}"/>
    <cellStyle name="Millares 2 10 3 2 2 2 2" xfId="14387" xr:uid="{00000000-0005-0000-0000-00006A0C0000}"/>
    <cellStyle name="Millares 2 10 3 2 2 2 2 2" xfId="27955" xr:uid="{00000000-0005-0000-0000-00006B0C0000}"/>
    <cellStyle name="Millares 2 10 3 2 2 2 2 2 2" xfId="55088" xr:uid="{00000000-0005-0000-0000-00006C0C0000}"/>
    <cellStyle name="Millares 2 10 3 2 2 2 2 3" xfId="41526" xr:uid="{00000000-0005-0000-0000-00006D0C0000}"/>
    <cellStyle name="Millares 2 10 3 2 2 2 3" xfId="21174" xr:uid="{00000000-0005-0000-0000-00006E0C0000}"/>
    <cellStyle name="Millares 2 10 3 2 2 2 3 2" xfId="48307" xr:uid="{00000000-0005-0000-0000-00006F0C0000}"/>
    <cellStyle name="Millares 2 10 3 2 2 2 4" xfId="34745" xr:uid="{00000000-0005-0000-0000-0000700C0000}"/>
    <cellStyle name="Millares 2 10 3 2 2 3" xfId="10998" xr:uid="{00000000-0005-0000-0000-0000710C0000}"/>
    <cellStyle name="Millares 2 10 3 2 2 3 2" xfId="24566" xr:uid="{00000000-0005-0000-0000-0000720C0000}"/>
    <cellStyle name="Millares 2 10 3 2 2 3 2 2" xfId="51699" xr:uid="{00000000-0005-0000-0000-0000730C0000}"/>
    <cellStyle name="Millares 2 10 3 2 2 3 3" xfId="38137" xr:uid="{00000000-0005-0000-0000-0000740C0000}"/>
    <cellStyle name="Millares 2 10 3 2 2 4" xfId="17785" xr:uid="{00000000-0005-0000-0000-0000750C0000}"/>
    <cellStyle name="Millares 2 10 3 2 2 4 2" xfId="44918" xr:uid="{00000000-0005-0000-0000-0000760C0000}"/>
    <cellStyle name="Millares 2 10 3 2 2 5" xfId="31356" xr:uid="{00000000-0005-0000-0000-0000770C0000}"/>
    <cellStyle name="Millares 2 10 3 2 3" xfId="3987" xr:uid="{00000000-0005-0000-0000-0000780C0000}"/>
    <cellStyle name="Millares 2 10 3 2 3 2" xfId="7598" xr:uid="{00000000-0005-0000-0000-0000790C0000}"/>
    <cellStyle name="Millares 2 10 3 2 3 2 2" xfId="14388" xr:uid="{00000000-0005-0000-0000-00007A0C0000}"/>
    <cellStyle name="Millares 2 10 3 2 3 2 2 2" xfId="27956" xr:uid="{00000000-0005-0000-0000-00007B0C0000}"/>
    <cellStyle name="Millares 2 10 3 2 3 2 2 2 2" xfId="55089" xr:uid="{00000000-0005-0000-0000-00007C0C0000}"/>
    <cellStyle name="Millares 2 10 3 2 3 2 2 3" xfId="41527" xr:uid="{00000000-0005-0000-0000-00007D0C0000}"/>
    <cellStyle name="Millares 2 10 3 2 3 2 3" xfId="21175" xr:uid="{00000000-0005-0000-0000-00007E0C0000}"/>
    <cellStyle name="Millares 2 10 3 2 3 2 3 2" xfId="48308" xr:uid="{00000000-0005-0000-0000-00007F0C0000}"/>
    <cellStyle name="Millares 2 10 3 2 3 2 4" xfId="34746" xr:uid="{00000000-0005-0000-0000-0000800C0000}"/>
    <cellStyle name="Millares 2 10 3 2 3 3" xfId="10999" xr:uid="{00000000-0005-0000-0000-0000810C0000}"/>
    <cellStyle name="Millares 2 10 3 2 3 3 2" xfId="24567" xr:uid="{00000000-0005-0000-0000-0000820C0000}"/>
    <cellStyle name="Millares 2 10 3 2 3 3 2 2" xfId="51700" xr:uid="{00000000-0005-0000-0000-0000830C0000}"/>
    <cellStyle name="Millares 2 10 3 2 3 3 3" xfId="38138" xr:uid="{00000000-0005-0000-0000-0000840C0000}"/>
    <cellStyle name="Millares 2 10 3 2 3 4" xfId="17786" xr:uid="{00000000-0005-0000-0000-0000850C0000}"/>
    <cellStyle name="Millares 2 10 3 2 3 4 2" xfId="44919" xr:uid="{00000000-0005-0000-0000-0000860C0000}"/>
    <cellStyle name="Millares 2 10 3 2 3 5" xfId="31357" xr:uid="{00000000-0005-0000-0000-0000870C0000}"/>
    <cellStyle name="Millares 2 10 3 2 4" xfId="7596" xr:uid="{00000000-0005-0000-0000-0000880C0000}"/>
    <cellStyle name="Millares 2 10 3 2 4 2" xfId="14386" xr:uid="{00000000-0005-0000-0000-0000890C0000}"/>
    <cellStyle name="Millares 2 10 3 2 4 2 2" xfId="27954" xr:uid="{00000000-0005-0000-0000-00008A0C0000}"/>
    <cellStyle name="Millares 2 10 3 2 4 2 2 2" xfId="55087" xr:uid="{00000000-0005-0000-0000-00008B0C0000}"/>
    <cellStyle name="Millares 2 10 3 2 4 2 3" xfId="41525" xr:uid="{00000000-0005-0000-0000-00008C0C0000}"/>
    <cellStyle name="Millares 2 10 3 2 4 3" xfId="21173" xr:uid="{00000000-0005-0000-0000-00008D0C0000}"/>
    <cellStyle name="Millares 2 10 3 2 4 3 2" xfId="48306" xr:uid="{00000000-0005-0000-0000-00008E0C0000}"/>
    <cellStyle name="Millares 2 10 3 2 4 4" xfId="34744" xr:uid="{00000000-0005-0000-0000-00008F0C0000}"/>
    <cellStyle name="Millares 2 10 3 2 5" xfId="10997" xr:uid="{00000000-0005-0000-0000-0000900C0000}"/>
    <cellStyle name="Millares 2 10 3 2 5 2" xfId="24565" xr:uid="{00000000-0005-0000-0000-0000910C0000}"/>
    <cellStyle name="Millares 2 10 3 2 5 2 2" xfId="51698" xr:uid="{00000000-0005-0000-0000-0000920C0000}"/>
    <cellStyle name="Millares 2 10 3 2 5 3" xfId="38136" xr:uid="{00000000-0005-0000-0000-0000930C0000}"/>
    <cellStyle name="Millares 2 10 3 2 6" xfId="17784" xr:uid="{00000000-0005-0000-0000-0000940C0000}"/>
    <cellStyle name="Millares 2 10 3 2 6 2" xfId="44917" xr:uid="{00000000-0005-0000-0000-0000950C0000}"/>
    <cellStyle name="Millares 2 10 3 2 7" xfId="31355" xr:uid="{00000000-0005-0000-0000-0000960C0000}"/>
    <cellStyle name="Millares 2 10 3 3" xfId="3988" xr:uid="{00000000-0005-0000-0000-0000970C0000}"/>
    <cellStyle name="Millares 2 10 3 3 2" xfId="7599" xr:uid="{00000000-0005-0000-0000-0000980C0000}"/>
    <cellStyle name="Millares 2 10 3 3 2 2" xfId="14389" xr:uid="{00000000-0005-0000-0000-0000990C0000}"/>
    <cellStyle name="Millares 2 10 3 3 2 2 2" xfId="27957" xr:uid="{00000000-0005-0000-0000-00009A0C0000}"/>
    <cellStyle name="Millares 2 10 3 3 2 2 2 2" xfId="55090" xr:uid="{00000000-0005-0000-0000-00009B0C0000}"/>
    <cellStyle name="Millares 2 10 3 3 2 2 3" xfId="41528" xr:uid="{00000000-0005-0000-0000-00009C0C0000}"/>
    <cellStyle name="Millares 2 10 3 3 2 3" xfId="21176" xr:uid="{00000000-0005-0000-0000-00009D0C0000}"/>
    <cellStyle name="Millares 2 10 3 3 2 3 2" xfId="48309" xr:uid="{00000000-0005-0000-0000-00009E0C0000}"/>
    <cellStyle name="Millares 2 10 3 3 2 4" xfId="34747" xr:uid="{00000000-0005-0000-0000-00009F0C0000}"/>
    <cellStyle name="Millares 2 10 3 3 3" xfId="11000" xr:uid="{00000000-0005-0000-0000-0000A00C0000}"/>
    <cellStyle name="Millares 2 10 3 3 3 2" xfId="24568" xr:uid="{00000000-0005-0000-0000-0000A10C0000}"/>
    <cellStyle name="Millares 2 10 3 3 3 2 2" xfId="51701" xr:uid="{00000000-0005-0000-0000-0000A20C0000}"/>
    <cellStyle name="Millares 2 10 3 3 3 3" xfId="38139" xr:uid="{00000000-0005-0000-0000-0000A30C0000}"/>
    <cellStyle name="Millares 2 10 3 3 4" xfId="17787" xr:uid="{00000000-0005-0000-0000-0000A40C0000}"/>
    <cellStyle name="Millares 2 10 3 3 4 2" xfId="44920" xr:uid="{00000000-0005-0000-0000-0000A50C0000}"/>
    <cellStyle name="Millares 2 10 3 3 5" xfId="31358" xr:uid="{00000000-0005-0000-0000-0000A60C0000}"/>
    <cellStyle name="Millares 2 10 3 4" xfId="3989" xr:uid="{00000000-0005-0000-0000-0000A70C0000}"/>
    <cellStyle name="Millares 2 10 3 4 2" xfId="7600" xr:uid="{00000000-0005-0000-0000-0000A80C0000}"/>
    <cellStyle name="Millares 2 10 3 4 2 2" xfId="14390" xr:uid="{00000000-0005-0000-0000-0000A90C0000}"/>
    <cellStyle name="Millares 2 10 3 4 2 2 2" xfId="27958" xr:uid="{00000000-0005-0000-0000-0000AA0C0000}"/>
    <cellStyle name="Millares 2 10 3 4 2 2 2 2" xfId="55091" xr:uid="{00000000-0005-0000-0000-0000AB0C0000}"/>
    <cellStyle name="Millares 2 10 3 4 2 2 3" xfId="41529" xr:uid="{00000000-0005-0000-0000-0000AC0C0000}"/>
    <cellStyle name="Millares 2 10 3 4 2 3" xfId="21177" xr:uid="{00000000-0005-0000-0000-0000AD0C0000}"/>
    <cellStyle name="Millares 2 10 3 4 2 3 2" xfId="48310" xr:uid="{00000000-0005-0000-0000-0000AE0C0000}"/>
    <cellStyle name="Millares 2 10 3 4 2 4" xfId="34748" xr:uid="{00000000-0005-0000-0000-0000AF0C0000}"/>
    <cellStyle name="Millares 2 10 3 4 3" xfId="11001" xr:uid="{00000000-0005-0000-0000-0000B00C0000}"/>
    <cellStyle name="Millares 2 10 3 4 3 2" xfId="24569" xr:uid="{00000000-0005-0000-0000-0000B10C0000}"/>
    <cellStyle name="Millares 2 10 3 4 3 2 2" xfId="51702" xr:uid="{00000000-0005-0000-0000-0000B20C0000}"/>
    <cellStyle name="Millares 2 10 3 4 3 3" xfId="38140" xr:uid="{00000000-0005-0000-0000-0000B30C0000}"/>
    <cellStyle name="Millares 2 10 3 4 4" xfId="17788" xr:uid="{00000000-0005-0000-0000-0000B40C0000}"/>
    <cellStyle name="Millares 2 10 3 4 4 2" xfId="44921" xr:uid="{00000000-0005-0000-0000-0000B50C0000}"/>
    <cellStyle name="Millares 2 10 3 4 5" xfId="31359" xr:uid="{00000000-0005-0000-0000-0000B60C0000}"/>
    <cellStyle name="Millares 2 10 3 5" xfId="7595" xr:uid="{00000000-0005-0000-0000-0000B70C0000}"/>
    <cellStyle name="Millares 2 10 3 5 2" xfId="14385" xr:uid="{00000000-0005-0000-0000-0000B80C0000}"/>
    <cellStyle name="Millares 2 10 3 5 2 2" xfId="27953" xr:uid="{00000000-0005-0000-0000-0000B90C0000}"/>
    <cellStyle name="Millares 2 10 3 5 2 2 2" xfId="55086" xr:uid="{00000000-0005-0000-0000-0000BA0C0000}"/>
    <cellStyle name="Millares 2 10 3 5 2 3" xfId="41524" xr:uid="{00000000-0005-0000-0000-0000BB0C0000}"/>
    <cellStyle name="Millares 2 10 3 5 3" xfId="21172" xr:uid="{00000000-0005-0000-0000-0000BC0C0000}"/>
    <cellStyle name="Millares 2 10 3 5 3 2" xfId="48305" xr:uid="{00000000-0005-0000-0000-0000BD0C0000}"/>
    <cellStyle name="Millares 2 10 3 5 4" xfId="34743" xr:uid="{00000000-0005-0000-0000-0000BE0C0000}"/>
    <cellStyle name="Millares 2 10 3 6" xfId="10996" xr:uid="{00000000-0005-0000-0000-0000BF0C0000}"/>
    <cellStyle name="Millares 2 10 3 6 2" xfId="24564" xr:uid="{00000000-0005-0000-0000-0000C00C0000}"/>
    <cellStyle name="Millares 2 10 3 6 2 2" xfId="51697" xr:uid="{00000000-0005-0000-0000-0000C10C0000}"/>
    <cellStyle name="Millares 2 10 3 6 3" xfId="38135" xr:uid="{00000000-0005-0000-0000-0000C20C0000}"/>
    <cellStyle name="Millares 2 10 3 7" xfId="17783" xr:uid="{00000000-0005-0000-0000-0000C30C0000}"/>
    <cellStyle name="Millares 2 10 3 7 2" xfId="44916" xr:uid="{00000000-0005-0000-0000-0000C40C0000}"/>
    <cellStyle name="Millares 2 10 3 8" xfId="31354" xr:uid="{00000000-0005-0000-0000-0000C50C0000}"/>
    <cellStyle name="Millares 2 10 4" xfId="3990" xr:uid="{00000000-0005-0000-0000-0000C60C0000}"/>
    <cellStyle name="Millares 2 10 4 2" xfId="3991" xr:uid="{00000000-0005-0000-0000-0000C70C0000}"/>
    <cellStyle name="Millares 2 10 4 2 2" xfId="7602" xr:uid="{00000000-0005-0000-0000-0000C80C0000}"/>
    <cellStyle name="Millares 2 10 4 2 2 2" xfId="14392" xr:uid="{00000000-0005-0000-0000-0000C90C0000}"/>
    <cellStyle name="Millares 2 10 4 2 2 2 2" xfId="27960" xr:uid="{00000000-0005-0000-0000-0000CA0C0000}"/>
    <cellStyle name="Millares 2 10 4 2 2 2 2 2" xfId="55093" xr:uid="{00000000-0005-0000-0000-0000CB0C0000}"/>
    <cellStyle name="Millares 2 10 4 2 2 2 3" xfId="41531" xr:uid="{00000000-0005-0000-0000-0000CC0C0000}"/>
    <cellStyle name="Millares 2 10 4 2 2 3" xfId="21179" xr:uid="{00000000-0005-0000-0000-0000CD0C0000}"/>
    <cellStyle name="Millares 2 10 4 2 2 3 2" xfId="48312" xr:uid="{00000000-0005-0000-0000-0000CE0C0000}"/>
    <cellStyle name="Millares 2 10 4 2 2 4" xfId="34750" xr:uid="{00000000-0005-0000-0000-0000CF0C0000}"/>
    <cellStyle name="Millares 2 10 4 2 3" xfId="11003" xr:uid="{00000000-0005-0000-0000-0000D00C0000}"/>
    <cellStyle name="Millares 2 10 4 2 3 2" xfId="24571" xr:uid="{00000000-0005-0000-0000-0000D10C0000}"/>
    <cellStyle name="Millares 2 10 4 2 3 2 2" xfId="51704" xr:uid="{00000000-0005-0000-0000-0000D20C0000}"/>
    <cellStyle name="Millares 2 10 4 2 3 3" xfId="38142" xr:uid="{00000000-0005-0000-0000-0000D30C0000}"/>
    <cellStyle name="Millares 2 10 4 2 4" xfId="17790" xr:uid="{00000000-0005-0000-0000-0000D40C0000}"/>
    <cellStyle name="Millares 2 10 4 2 4 2" xfId="44923" xr:uid="{00000000-0005-0000-0000-0000D50C0000}"/>
    <cellStyle name="Millares 2 10 4 2 5" xfId="31361" xr:uid="{00000000-0005-0000-0000-0000D60C0000}"/>
    <cellStyle name="Millares 2 10 4 3" xfId="3992" xr:uid="{00000000-0005-0000-0000-0000D70C0000}"/>
    <cellStyle name="Millares 2 10 4 3 2" xfId="7603" xr:uid="{00000000-0005-0000-0000-0000D80C0000}"/>
    <cellStyle name="Millares 2 10 4 3 2 2" xfId="14393" xr:uid="{00000000-0005-0000-0000-0000D90C0000}"/>
    <cellStyle name="Millares 2 10 4 3 2 2 2" xfId="27961" xr:uid="{00000000-0005-0000-0000-0000DA0C0000}"/>
    <cellStyle name="Millares 2 10 4 3 2 2 2 2" xfId="55094" xr:uid="{00000000-0005-0000-0000-0000DB0C0000}"/>
    <cellStyle name="Millares 2 10 4 3 2 2 3" xfId="41532" xr:uid="{00000000-0005-0000-0000-0000DC0C0000}"/>
    <cellStyle name="Millares 2 10 4 3 2 3" xfId="21180" xr:uid="{00000000-0005-0000-0000-0000DD0C0000}"/>
    <cellStyle name="Millares 2 10 4 3 2 3 2" xfId="48313" xr:uid="{00000000-0005-0000-0000-0000DE0C0000}"/>
    <cellStyle name="Millares 2 10 4 3 2 4" xfId="34751" xr:uid="{00000000-0005-0000-0000-0000DF0C0000}"/>
    <cellStyle name="Millares 2 10 4 3 3" xfId="11004" xr:uid="{00000000-0005-0000-0000-0000E00C0000}"/>
    <cellStyle name="Millares 2 10 4 3 3 2" xfId="24572" xr:uid="{00000000-0005-0000-0000-0000E10C0000}"/>
    <cellStyle name="Millares 2 10 4 3 3 2 2" xfId="51705" xr:uid="{00000000-0005-0000-0000-0000E20C0000}"/>
    <cellStyle name="Millares 2 10 4 3 3 3" xfId="38143" xr:uid="{00000000-0005-0000-0000-0000E30C0000}"/>
    <cellStyle name="Millares 2 10 4 3 4" xfId="17791" xr:uid="{00000000-0005-0000-0000-0000E40C0000}"/>
    <cellStyle name="Millares 2 10 4 3 4 2" xfId="44924" xr:uid="{00000000-0005-0000-0000-0000E50C0000}"/>
    <cellStyle name="Millares 2 10 4 3 5" xfId="31362" xr:uid="{00000000-0005-0000-0000-0000E60C0000}"/>
    <cellStyle name="Millares 2 10 4 4" xfId="7601" xr:uid="{00000000-0005-0000-0000-0000E70C0000}"/>
    <cellStyle name="Millares 2 10 4 4 2" xfId="14391" xr:uid="{00000000-0005-0000-0000-0000E80C0000}"/>
    <cellStyle name="Millares 2 10 4 4 2 2" xfId="27959" xr:uid="{00000000-0005-0000-0000-0000E90C0000}"/>
    <cellStyle name="Millares 2 10 4 4 2 2 2" xfId="55092" xr:uid="{00000000-0005-0000-0000-0000EA0C0000}"/>
    <cellStyle name="Millares 2 10 4 4 2 3" xfId="41530" xr:uid="{00000000-0005-0000-0000-0000EB0C0000}"/>
    <cellStyle name="Millares 2 10 4 4 3" xfId="21178" xr:uid="{00000000-0005-0000-0000-0000EC0C0000}"/>
    <cellStyle name="Millares 2 10 4 4 3 2" xfId="48311" xr:uid="{00000000-0005-0000-0000-0000ED0C0000}"/>
    <cellStyle name="Millares 2 10 4 4 4" xfId="34749" xr:uid="{00000000-0005-0000-0000-0000EE0C0000}"/>
    <cellStyle name="Millares 2 10 4 5" xfId="11002" xr:uid="{00000000-0005-0000-0000-0000EF0C0000}"/>
    <cellStyle name="Millares 2 10 4 5 2" xfId="24570" xr:uid="{00000000-0005-0000-0000-0000F00C0000}"/>
    <cellStyle name="Millares 2 10 4 5 2 2" xfId="51703" xr:uid="{00000000-0005-0000-0000-0000F10C0000}"/>
    <cellStyle name="Millares 2 10 4 5 3" xfId="38141" xr:uid="{00000000-0005-0000-0000-0000F20C0000}"/>
    <cellStyle name="Millares 2 10 4 6" xfId="17789" xr:uid="{00000000-0005-0000-0000-0000F30C0000}"/>
    <cellStyle name="Millares 2 10 4 6 2" xfId="44922" xr:uid="{00000000-0005-0000-0000-0000F40C0000}"/>
    <cellStyle name="Millares 2 10 4 7" xfId="31360" xr:uid="{00000000-0005-0000-0000-0000F50C0000}"/>
    <cellStyle name="Millares 2 10 5" xfId="3993" xr:uid="{00000000-0005-0000-0000-0000F60C0000}"/>
    <cellStyle name="Millares 2 10 5 2" xfId="3994" xr:uid="{00000000-0005-0000-0000-0000F70C0000}"/>
    <cellStyle name="Millares 2 10 5 2 2" xfId="7605" xr:uid="{00000000-0005-0000-0000-0000F80C0000}"/>
    <cellStyle name="Millares 2 10 5 2 2 2" xfId="14395" xr:uid="{00000000-0005-0000-0000-0000F90C0000}"/>
    <cellStyle name="Millares 2 10 5 2 2 2 2" xfId="27963" xr:uid="{00000000-0005-0000-0000-0000FA0C0000}"/>
    <cellStyle name="Millares 2 10 5 2 2 2 2 2" xfId="55096" xr:uid="{00000000-0005-0000-0000-0000FB0C0000}"/>
    <cellStyle name="Millares 2 10 5 2 2 2 3" xfId="41534" xr:uid="{00000000-0005-0000-0000-0000FC0C0000}"/>
    <cellStyle name="Millares 2 10 5 2 2 3" xfId="21182" xr:uid="{00000000-0005-0000-0000-0000FD0C0000}"/>
    <cellStyle name="Millares 2 10 5 2 2 3 2" xfId="48315" xr:uid="{00000000-0005-0000-0000-0000FE0C0000}"/>
    <cellStyle name="Millares 2 10 5 2 2 4" xfId="34753" xr:uid="{00000000-0005-0000-0000-0000FF0C0000}"/>
    <cellStyle name="Millares 2 10 5 2 3" xfId="11006" xr:uid="{00000000-0005-0000-0000-0000000D0000}"/>
    <cellStyle name="Millares 2 10 5 2 3 2" xfId="24574" xr:uid="{00000000-0005-0000-0000-0000010D0000}"/>
    <cellStyle name="Millares 2 10 5 2 3 2 2" xfId="51707" xr:uid="{00000000-0005-0000-0000-0000020D0000}"/>
    <cellStyle name="Millares 2 10 5 2 3 3" xfId="38145" xr:uid="{00000000-0005-0000-0000-0000030D0000}"/>
    <cellStyle name="Millares 2 10 5 2 4" xfId="17793" xr:uid="{00000000-0005-0000-0000-0000040D0000}"/>
    <cellStyle name="Millares 2 10 5 2 4 2" xfId="44926" xr:uid="{00000000-0005-0000-0000-0000050D0000}"/>
    <cellStyle name="Millares 2 10 5 2 5" xfId="31364" xr:uid="{00000000-0005-0000-0000-0000060D0000}"/>
    <cellStyle name="Millares 2 10 5 3" xfId="7604" xr:uid="{00000000-0005-0000-0000-0000070D0000}"/>
    <cellStyle name="Millares 2 10 5 3 2" xfId="14394" xr:uid="{00000000-0005-0000-0000-0000080D0000}"/>
    <cellStyle name="Millares 2 10 5 3 2 2" xfId="27962" xr:uid="{00000000-0005-0000-0000-0000090D0000}"/>
    <cellStyle name="Millares 2 10 5 3 2 2 2" xfId="55095" xr:uid="{00000000-0005-0000-0000-00000A0D0000}"/>
    <cellStyle name="Millares 2 10 5 3 2 3" xfId="41533" xr:uid="{00000000-0005-0000-0000-00000B0D0000}"/>
    <cellStyle name="Millares 2 10 5 3 3" xfId="21181" xr:uid="{00000000-0005-0000-0000-00000C0D0000}"/>
    <cellStyle name="Millares 2 10 5 3 3 2" xfId="48314" xr:uid="{00000000-0005-0000-0000-00000D0D0000}"/>
    <cellStyle name="Millares 2 10 5 3 4" xfId="34752" xr:uid="{00000000-0005-0000-0000-00000E0D0000}"/>
    <cellStyle name="Millares 2 10 5 4" xfId="11005" xr:uid="{00000000-0005-0000-0000-00000F0D0000}"/>
    <cellStyle name="Millares 2 10 5 4 2" xfId="24573" xr:uid="{00000000-0005-0000-0000-0000100D0000}"/>
    <cellStyle name="Millares 2 10 5 4 2 2" xfId="51706" xr:uid="{00000000-0005-0000-0000-0000110D0000}"/>
    <cellStyle name="Millares 2 10 5 4 3" xfId="38144" xr:uid="{00000000-0005-0000-0000-0000120D0000}"/>
    <cellStyle name="Millares 2 10 5 5" xfId="17792" xr:uid="{00000000-0005-0000-0000-0000130D0000}"/>
    <cellStyle name="Millares 2 10 5 5 2" xfId="44925" xr:uid="{00000000-0005-0000-0000-0000140D0000}"/>
    <cellStyle name="Millares 2 10 5 6" xfId="31363" xr:uid="{00000000-0005-0000-0000-0000150D0000}"/>
    <cellStyle name="Millares 2 10 6" xfId="3995" xr:uid="{00000000-0005-0000-0000-0000160D0000}"/>
    <cellStyle name="Millares 2 10 6 2" xfId="7606" xr:uid="{00000000-0005-0000-0000-0000170D0000}"/>
    <cellStyle name="Millares 2 10 6 2 2" xfId="14396" xr:uid="{00000000-0005-0000-0000-0000180D0000}"/>
    <cellStyle name="Millares 2 10 6 2 2 2" xfId="27964" xr:uid="{00000000-0005-0000-0000-0000190D0000}"/>
    <cellStyle name="Millares 2 10 6 2 2 2 2" xfId="55097" xr:uid="{00000000-0005-0000-0000-00001A0D0000}"/>
    <cellStyle name="Millares 2 10 6 2 2 3" xfId="41535" xr:uid="{00000000-0005-0000-0000-00001B0D0000}"/>
    <cellStyle name="Millares 2 10 6 2 3" xfId="21183" xr:uid="{00000000-0005-0000-0000-00001C0D0000}"/>
    <cellStyle name="Millares 2 10 6 2 3 2" xfId="48316" xr:uid="{00000000-0005-0000-0000-00001D0D0000}"/>
    <cellStyle name="Millares 2 10 6 2 4" xfId="34754" xr:uid="{00000000-0005-0000-0000-00001E0D0000}"/>
    <cellStyle name="Millares 2 10 6 3" xfId="11007" xr:uid="{00000000-0005-0000-0000-00001F0D0000}"/>
    <cellStyle name="Millares 2 10 6 3 2" xfId="24575" xr:uid="{00000000-0005-0000-0000-0000200D0000}"/>
    <cellStyle name="Millares 2 10 6 3 2 2" xfId="51708" xr:uid="{00000000-0005-0000-0000-0000210D0000}"/>
    <cellStyle name="Millares 2 10 6 3 3" xfId="38146" xr:uid="{00000000-0005-0000-0000-0000220D0000}"/>
    <cellStyle name="Millares 2 10 6 4" xfId="17794" xr:uid="{00000000-0005-0000-0000-0000230D0000}"/>
    <cellStyle name="Millares 2 10 6 4 2" xfId="44927" xr:uid="{00000000-0005-0000-0000-0000240D0000}"/>
    <cellStyle name="Millares 2 10 6 5" xfId="31365" xr:uid="{00000000-0005-0000-0000-0000250D0000}"/>
    <cellStyle name="Millares 2 10 7" xfId="3996" xr:uid="{00000000-0005-0000-0000-0000260D0000}"/>
    <cellStyle name="Millares 2 10 7 2" xfId="7607" xr:uid="{00000000-0005-0000-0000-0000270D0000}"/>
    <cellStyle name="Millares 2 10 7 2 2" xfId="14397" xr:uid="{00000000-0005-0000-0000-0000280D0000}"/>
    <cellStyle name="Millares 2 10 7 2 2 2" xfId="27965" xr:uid="{00000000-0005-0000-0000-0000290D0000}"/>
    <cellStyle name="Millares 2 10 7 2 2 2 2" xfId="55098" xr:uid="{00000000-0005-0000-0000-00002A0D0000}"/>
    <cellStyle name="Millares 2 10 7 2 2 3" xfId="41536" xr:uid="{00000000-0005-0000-0000-00002B0D0000}"/>
    <cellStyle name="Millares 2 10 7 2 3" xfId="21184" xr:uid="{00000000-0005-0000-0000-00002C0D0000}"/>
    <cellStyle name="Millares 2 10 7 2 3 2" xfId="48317" xr:uid="{00000000-0005-0000-0000-00002D0D0000}"/>
    <cellStyle name="Millares 2 10 7 2 4" xfId="34755" xr:uid="{00000000-0005-0000-0000-00002E0D0000}"/>
    <cellStyle name="Millares 2 10 7 3" xfId="11008" xr:uid="{00000000-0005-0000-0000-00002F0D0000}"/>
    <cellStyle name="Millares 2 10 7 3 2" xfId="24576" xr:uid="{00000000-0005-0000-0000-0000300D0000}"/>
    <cellStyle name="Millares 2 10 7 3 2 2" xfId="51709" xr:uid="{00000000-0005-0000-0000-0000310D0000}"/>
    <cellStyle name="Millares 2 10 7 3 3" xfId="38147" xr:uid="{00000000-0005-0000-0000-0000320D0000}"/>
    <cellStyle name="Millares 2 10 7 4" xfId="17795" xr:uid="{00000000-0005-0000-0000-0000330D0000}"/>
    <cellStyle name="Millares 2 10 7 4 2" xfId="44928" xr:uid="{00000000-0005-0000-0000-0000340D0000}"/>
    <cellStyle name="Millares 2 10 7 5" xfId="31366" xr:uid="{00000000-0005-0000-0000-0000350D0000}"/>
    <cellStyle name="Millares 2 11" xfId="2365" xr:uid="{00000000-0005-0000-0000-0000360D0000}"/>
    <cellStyle name="Millares 2 11 2" xfId="3997" xr:uid="{00000000-0005-0000-0000-0000370D0000}"/>
    <cellStyle name="Millares 2 11 2 2" xfId="3998" xr:uid="{00000000-0005-0000-0000-0000380D0000}"/>
    <cellStyle name="Millares 2 11 2 2 2" xfId="7609" xr:uid="{00000000-0005-0000-0000-0000390D0000}"/>
    <cellStyle name="Millares 2 11 2 2 2 2" xfId="14399" xr:uid="{00000000-0005-0000-0000-00003A0D0000}"/>
    <cellStyle name="Millares 2 11 2 2 2 2 2" xfId="27967" xr:uid="{00000000-0005-0000-0000-00003B0D0000}"/>
    <cellStyle name="Millares 2 11 2 2 2 2 2 2" xfId="55100" xr:uid="{00000000-0005-0000-0000-00003C0D0000}"/>
    <cellStyle name="Millares 2 11 2 2 2 2 3" xfId="41538" xr:uid="{00000000-0005-0000-0000-00003D0D0000}"/>
    <cellStyle name="Millares 2 11 2 2 2 3" xfId="21186" xr:uid="{00000000-0005-0000-0000-00003E0D0000}"/>
    <cellStyle name="Millares 2 11 2 2 2 3 2" xfId="48319" xr:uid="{00000000-0005-0000-0000-00003F0D0000}"/>
    <cellStyle name="Millares 2 11 2 2 2 4" xfId="34757" xr:uid="{00000000-0005-0000-0000-0000400D0000}"/>
    <cellStyle name="Millares 2 11 2 2 3" xfId="11010" xr:uid="{00000000-0005-0000-0000-0000410D0000}"/>
    <cellStyle name="Millares 2 11 2 2 3 2" xfId="24578" xr:uid="{00000000-0005-0000-0000-0000420D0000}"/>
    <cellStyle name="Millares 2 11 2 2 3 2 2" xfId="51711" xr:uid="{00000000-0005-0000-0000-0000430D0000}"/>
    <cellStyle name="Millares 2 11 2 2 3 3" xfId="38149" xr:uid="{00000000-0005-0000-0000-0000440D0000}"/>
    <cellStyle name="Millares 2 11 2 2 4" xfId="17797" xr:uid="{00000000-0005-0000-0000-0000450D0000}"/>
    <cellStyle name="Millares 2 11 2 2 4 2" xfId="44930" xr:uid="{00000000-0005-0000-0000-0000460D0000}"/>
    <cellStyle name="Millares 2 11 2 2 5" xfId="31368" xr:uid="{00000000-0005-0000-0000-0000470D0000}"/>
    <cellStyle name="Millares 2 11 2 3" xfId="3999" xr:uid="{00000000-0005-0000-0000-0000480D0000}"/>
    <cellStyle name="Millares 2 11 2 3 2" xfId="7610" xr:uid="{00000000-0005-0000-0000-0000490D0000}"/>
    <cellStyle name="Millares 2 11 2 3 2 2" xfId="14400" xr:uid="{00000000-0005-0000-0000-00004A0D0000}"/>
    <cellStyle name="Millares 2 11 2 3 2 2 2" xfId="27968" xr:uid="{00000000-0005-0000-0000-00004B0D0000}"/>
    <cellStyle name="Millares 2 11 2 3 2 2 2 2" xfId="55101" xr:uid="{00000000-0005-0000-0000-00004C0D0000}"/>
    <cellStyle name="Millares 2 11 2 3 2 2 3" xfId="41539" xr:uid="{00000000-0005-0000-0000-00004D0D0000}"/>
    <cellStyle name="Millares 2 11 2 3 2 3" xfId="21187" xr:uid="{00000000-0005-0000-0000-00004E0D0000}"/>
    <cellStyle name="Millares 2 11 2 3 2 3 2" xfId="48320" xr:uid="{00000000-0005-0000-0000-00004F0D0000}"/>
    <cellStyle name="Millares 2 11 2 3 2 4" xfId="34758" xr:uid="{00000000-0005-0000-0000-0000500D0000}"/>
    <cellStyle name="Millares 2 11 2 3 3" xfId="11011" xr:uid="{00000000-0005-0000-0000-0000510D0000}"/>
    <cellStyle name="Millares 2 11 2 3 3 2" xfId="24579" xr:uid="{00000000-0005-0000-0000-0000520D0000}"/>
    <cellStyle name="Millares 2 11 2 3 3 2 2" xfId="51712" xr:uid="{00000000-0005-0000-0000-0000530D0000}"/>
    <cellStyle name="Millares 2 11 2 3 3 3" xfId="38150" xr:uid="{00000000-0005-0000-0000-0000540D0000}"/>
    <cellStyle name="Millares 2 11 2 3 4" xfId="17798" xr:uid="{00000000-0005-0000-0000-0000550D0000}"/>
    <cellStyle name="Millares 2 11 2 3 4 2" xfId="44931" xr:uid="{00000000-0005-0000-0000-0000560D0000}"/>
    <cellStyle name="Millares 2 11 2 3 5" xfId="31369" xr:uid="{00000000-0005-0000-0000-0000570D0000}"/>
    <cellStyle name="Millares 2 11 2 4" xfId="7608" xr:uid="{00000000-0005-0000-0000-0000580D0000}"/>
    <cellStyle name="Millares 2 11 2 4 2" xfId="14398" xr:uid="{00000000-0005-0000-0000-0000590D0000}"/>
    <cellStyle name="Millares 2 11 2 4 2 2" xfId="27966" xr:uid="{00000000-0005-0000-0000-00005A0D0000}"/>
    <cellStyle name="Millares 2 11 2 4 2 2 2" xfId="55099" xr:uid="{00000000-0005-0000-0000-00005B0D0000}"/>
    <cellStyle name="Millares 2 11 2 4 2 3" xfId="41537" xr:uid="{00000000-0005-0000-0000-00005C0D0000}"/>
    <cellStyle name="Millares 2 11 2 4 3" xfId="21185" xr:uid="{00000000-0005-0000-0000-00005D0D0000}"/>
    <cellStyle name="Millares 2 11 2 4 3 2" xfId="48318" xr:uid="{00000000-0005-0000-0000-00005E0D0000}"/>
    <cellStyle name="Millares 2 11 2 4 4" xfId="34756" xr:uid="{00000000-0005-0000-0000-00005F0D0000}"/>
    <cellStyle name="Millares 2 11 2 5" xfId="11009" xr:uid="{00000000-0005-0000-0000-0000600D0000}"/>
    <cellStyle name="Millares 2 11 2 5 2" xfId="24577" xr:uid="{00000000-0005-0000-0000-0000610D0000}"/>
    <cellStyle name="Millares 2 11 2 5 2 2" xfId="51710" xr:uid="{00000000-0005-0000-0000-0000620D0000}"/>
    <cellStyle name="Millares 2 11 2 5 3" xfId="38148" xr:uid="{00000000-0005-0000-0000-0000630D0000}"/>
    <cellStyle name="Millares 2 11 2 6" xfId="17796" xr:uid="{00000000-0005-0000-0000-0000640D0000}"/>
    <cellStyle name="Millares 2 11 2 6 2" xfId="44929" xr:uid="{00000000-0005-0000-0000-0000650D0000}"/>
    <cellStyle name="Millares 2 11 2 7" xfId="31367" xr:uid="{00000000-0005-0000-0000-0000660D0000}"/>
    <cellStyle name="Millares 2 11 3" xfId="4000" xr:uid="{00000000-0005-0000-0000-0000670D0000}"/>
    <cellStyle name="Millares 2 11 3 2" xfId="4001" xr:uid="{00000000-0005-0000-0000-0000680D0000}"/>
    <cellStyle name="Millares 2 11 3 2 2" xfId="7612" xr:uid="{00000000-0005-0000-0000-0000690D0000}"/>
    <cellStyle name="Millares 2 11 3 2 2 2" xfId="14402" xr:uid="{00000000-0005-0000-0000-00006A0D0000}"/>
    <cellStyle name="Millares 2 11 3 2 2 2 2" xfId="27970" xr:uid="{00000000-0005-0000-0000-00006B0D0000}"/>
    <cellStyle name="Millares 2 11 3 2 2 2 2 2" xfId="55103" xr:uid="{00000000-0005-0000-0000-00006C0D0000}"/>
    <cellStyle name="Millares 2 11 3 2 2 2 3" xfId="41541" xr:uid="{00000000-0005-0000-0000-00006D0D0000}"/>
    <cellStyle name="Millares 2 11 3 2 2 3" xfId="21189" xr:uid="{00000000-0005-0000-0000-00006E0D0000}"/>
    <cellStyle name="Millares 2 11 3 2 2 3 2" xfId="48322" xr:uid="{00000000-0005-0000-0000-00006F0D0000}"/>
    <cellStyle name="Millares 2 11 3 2 2 4" xfId="34760" xr:uid="{00000000-0005-0000-0000-0000700D0000}"/>
    <cellStyle name="Millares 2 11 3 2 3" xfId="11013" xr:uid="{00000000-0005-0000-0000-0000710D0000}"/>
    <cellStyle name="Millares 2 11 3 2 3 2" xfId="24581" xr:uid="{00000000-0005-0000-0000-0000720D0000}"/>
    <cellStyle name="Millares 2 11 3 2 3 2 2" xfId="51714" xr:uid="{00000000-0005-0000-0000-0000730D0000}"/>
    <cellStyle name="Millares 2 11 3 2 3 3" xfId="38152" xr:uid="{00000000-0005-0000-0000-0000740D0000}"/>
    <cellStyle name="Millares 2 11 3 2 4" xfId="17800" xr:uid="{00000000-0005-0000-0000-0000750D0000}"/>
    <cellStyle name="Millares 2 11 3 2 4 2" xfId="44933" xr:uid="{00000000-0005-0000-0000-0000760D0000}"/>
    <cellStyle name="Millares 2 11 3 2 5" xfId="31371" xr:uid="{00000000-0005-0000-0000-0000770D0000}"/>
    <cellStyle name="Millares 2 11 3 3" xfId="7611" xr:uid="{00000000-0005-0000-0000-0000780D0000}"/>
    <cellStyle name="Millares 2 11 3 3 2" xfId="14401" xr:uid="{00000000-0005-0000-0000-0000790D0000}"/>
    <cellStyle name="Millares 2 11 3 3 2 2" xfId="27969" xr:uid="{00000000-0005-0000-0000-00007A0D0000}"/>
    <cellStyle name="Millares 2 11 3 3 2 2 2" xfId="55102" xr:uid="{00000000-0005-0000-0000-00007B0D0000}"/>
    <cellStyle name="Millares 2 11 3 3 2 3" xfId="41540" xr:uid="{00000000-0005-0000-0000-00007C0D0000}"/>
    <cellStyle name="Millares 2 11 3 3 3" xfId="21188" xr:uid="{00000000-0005-0000-0000-00007D0D0000}"/>
    <cellStyle name="Millares 2 11 3 3 3 2" xfId="48321" xr:uid="{00000000-0005-0000-0000-00007E0D0000}"/>
    <cellStyle name="Millares 2 11 3 3 4" xfId="34759" xr:uid="{00000000-0005-0000-0000-00007F0D0000}"/>
    <cellStyle name="Millares 2 11 3 4" xfId="11012" xr:uid="{00000000-0005-0000-0000-0000800D0000}"/>
    <cellStyle name="Millares 2 11 3 4 2" xfId="24580" xr:uid="{00000000-0005-0000-0000-0000810D0000}"/>
    <cellStyle name="Millares 2 11 3 4 2 2" xfId="51713" xr:uid="{00000000-0005-0000-0000-0000820D0000}"/>
    <cellStyle name="Millares 2 11 3 4 3" xfId="38151" xr:uid="{00000000-0005-0000-0000-0000830D0000}"/>
    <cellStyle name="Millares 2 11 3 5" xfId="17799" xr:uid="{00000000-0005-0000-0000-0000840D0000}"/>
    <cellStyle name="Millares 2 11 3 5 2" xfId="44932" xr:uid="{00000000-0005-0000-0000-0000850D0000}"/>
    <cellStyle name="Millares 2 11 3 6" xfId="31370" xr:uid="{00000000-0005-0000-0000-0000860D0000}"/>
    <cellStyle name="Millares 2 11 4" xfId="4002" xr:uid="{00000000-0005-0000-0000-0000870D0000}"/>
    <cellStyle name="Millares 2 11 4 2" xfId="7613" xr:uid="{00000000-0005-0000-0000-0000880D0000}"/>
    <cellStyle name="Millares 2 11 4 2 2" xfId="14403" xr:uid="{00000000-0005-0000-0000-0000890D0000}"/>
    <cellStyle name="Millares 2 11 4 2 2 2" xfId="27971" xr:uid="{00000000-0005-0000-0000-00008A0D0000}"/>
    <cellStyle name="Millares 2 11 4 2 2 2 2" xfId="55104" xr:uid="{00000000-0005-0000-0000-00008B0D0000}"/>
    <cellStyle name="Millares 2 11 4 2 2 3" xfId="41542" xr:uid="{00000000-0005-0000-0000-00008C0D0000}"/>
    <cellStyle name="Millares 2 11 4 2 3" xfId="21190" xr:uid="{00000000-0005-0000-0000-00008D0D0000}"/>
    <cellStyle name="Millares 2 11 4 2 3 2" xfId="48323" xr:uid="{00000000-0005-0000-0000-00008E0D0000}"/>
    <cellStyle name="Millares 2 11 4 2 4" xfId="34761" xr:uid="{00000000-0005-0000-0000-00008F0D0000}"/>
    <cellStyle name="Millares 2 11 4 3" xfId="11014" xr:uid="{00000000-0005-0000-0000-0000900D0000}"/>
    <cellStyle name="Millares 2 11 4 3 2" xfId="24582" xr:uid="{00000000-0005-0000-0000-0000910D0000}"/>
    <cellStyle name="Millares 2 11 4 3 2 2" xfId="51715" xr:uid="{00000000-0005-0000-0000-0000920D0000}"/>
    <cellStyle name="Millares 2 11 4 3 3" xfId="38153" xr:uid="{00000000-0005-0000-0000-0000930D0000}"/>
    <cellStyle name="Millares 2 11 4 4" xfId="17801" xr:uid="{00000000-0005-0000-0000-0000940D0000}"/>
    <cellStyle name="Millares 2 11 4 4 2" xfId="44934" xr:uid="{00000000-0005-0000-0000-0000950D0000}"/>
    <cellStyle name="Millares 2 11 4 5" xfId="31372" xr:uid="{00000000-0005-0000-0000-0000960D0000}"/>
    <cellStyle name="Millares 2 11 5" xfId="4003" xr:uid="{00000000-0005-0000-0000-0000970D0000}"/>
    <cellStyle name="Millares 2 11 5 2" xfId="7614" xr:uid="{00000000-0005-0000-0000-0000980D0000}"/>
    <cellStyle name="Millares 2 11 5 2 2" xfId="14404" xr:uid="{00000000-0005-0000-0000-0000990D0000}"/>
    <cellStyle name="Millares 2 11 5 2 2 2" xfId="27972" xr:uid="{00000000-0005-0000-0000-00009A0D0000}"/>
    <cellStyle name="Millares 2 11 5 2 2 2 2" xfId="55105" xr:uid="{00000000-0005-0000-0000-00009B0D0000}"/>
    <cellStyle name="Millares 2 11 5 2 2 3" xfId="41543" xr:uid="{00000000-0005-0000-0000-00009C0D0000}"/>
    <cellStyle name="Millares 2 11 5 2 3" xfId="21191" xr:uid="{00000000-0005-0000-0000-00009D0D0000}"/>
    <cellStyle name="Millares 2 11 5 2 3 2" xfId="48324" xr:uid="{00000000-0005-0000-0000-00009E0D0000}"/>
    <cellStyle name="Millares 2 11 5 2 4" xfId="34762" xr:uid="{00000000-0005-0000-0000-00009F0D0000}"/>
    <cellStyle name="Millares 2 11 5 3" xfId="11015" xr:uid="{00000000-0005-0000-0000-0000A00D0000}"/>
    <cellStyle name="Millares 2 11 5 3 2" xfId="24583" xr:uid="{00000000-0005-0000-0000-0000A10D0000}"/>
    <cellStyle name="Millares 2 11 5 3 2 2" xfId="51716" xr:uid="{00000000-0005-0000-0000-0000A20D0000}"/>
    <cellStyle name="Millares 2 11 5 3 3" xfId="38154" xr:uid="{00000000-0005-0000-0000-0000A30D0000}"/>
    <cellStyle name="Millares 2 11 5 4" xfId="17802" xr:uid="{00000000-0005-0000-0000-0000A40D0000}"/>
    <cellStyle name="Millares 2 11 5 4 2" xfId="44935" xr:uid="{00000000-0005-0000-0000-0000A50D0000}"/>
    <cellStyle name="Millares 2 11 5 5" xfId="31373" xr:uid="{00000000-0005-0000-0000-0000A60D0000}"/>
    <cellStyle name="Millares 2 12" xfId="2366" xr:uid="{00000000-0005-0000-0000-0000A70D0000}"/>
    <cellStyle name="Millares 2 12 2" xfId="4004" xr:uid="{00000000-0005-0000-0000-0000A80D0000}"/>
    <cellStyle name="Millares 2 12 2 2" xfId="4005" xr:uid="{00000000-0005-0000-0000-0000A90D0000}"/>
    <cellStyle name="Millares 2 12 2 2 2" xfId="7616" xr:uid="{00000000-0005-0000-0000-0000AA0D0000}"/>
    <cellStyle name="Millares 2 12 2 2 2 2" xfId="14406" xr:uid="{00000000-0005-0000-0000-0000AB0D0000}"/>
    <cellStyle name="Millares 2 12 2 2 2 2 2" xfId="27974" xr:uid="{00000000-0005-0000-0000-0000AC0D0000}"/>
    <cellStyle name="Millares 2 12 2 2 2 2 2 2" xfId="55107" xr:uid="{00000000-0005-0000-0000-0000AD0D0000}"/>
    <cellStyle name="Millares 2 12 2 2 2 2 3" xfId="41545" xr:uid="{00000000-0005-0000-0000-0000AE0D0000}"/>
    <cellStyle name="Millares 2 12 2 2 2 3" xfId="21193" xr:uid="{00000000-0005-0000-0000-0000AF0D0000}"/>
    <cellStyle name="Millares 2 12 2 2 2 3 2" xfId="48326" xr:uid="{00000000-0005-0000-0000-0000B00D0000}"/>
    <cellStyle name="Millares 2 12 2 2 2 4" xfId="34764" xr:uid="{00000000-0005-0000-0000-0000B10D0000}"/>
    <cellStyle name="Millares 2 12 2 2 3" xfId="11017" xr:uid="{00000000-0005-0000-0000-0000B20D0000}"/>
    <cellStyle name="Millares 2 12 2 2 3 2" xfId="24585" xr:uid="{00000000-0005-0000-0000-0000B30D0000}"/>
    <cellStyle name="Millares 2 12 2 2 3 2 2" xfId="51718" xr:uid="{00000000-0005-0000-0000-0000B40D0000}"/>
    <cellStyle name="Millares 2 12 2 2 3 3" xfId="38156" xr:uid="{00000000-0005-0000-0000-0000B50D0000}"/>
    <cellStyle name="Millares 2 12 2 2 4" xfId="17804" xr:uid="{00000000-0005-0000-0000-0000B60D0000}"/>
    <cellStyle name="Millares 2 12 2 2 4 2" xfId="44937" xr:uid="{00000000-0005-0000-0000-0000B70D0000}"/>
    <cellStyle name="Millares 2 12 2 2 5" xfId="31375" xr:uid="{00000000-0005-0000-0000-0000B80D0000}"/>
    <cellStyle name="Millares 2 12 2 3" xfId="4006" xr:uid="{00000000-0005-0000-0000-0000B90D0000}"/>
    <cellStyle name="Millares 2 12 2 3 2" xfId="7617" xr:uid="{00000000-0005-0000-0000-0000BA0D0000}"/>
    <cellStyle name="Millares 2 12 2 3 2 2" xfId="14407" xr:uid="{00000000-0005-0000-0000-0000BB0D0000}"/>
    <cellStyle name="Millares 2 12 2 3 2 2 2" xfId="27975" xr:uid="{00000000-0005-0000-0000-0000BC0D0000}"/>
    <cellStyle name="Millares 2 12 2 3 2 2 2 2" xfId="55108" xr:uid="{00000000-0005-0000-0000-0000BD0D0000}"/>
    <cellStyle name="Millares 2 12 2 3 2 2 3" xfId="41546" xr:uid="{00000000-0005-0000-0000-0000BE0D0000}"/>
    <cellStyle name="Millares 2 12 2 3 2 3" xfId="21194" xr:uid="{00000000-0005-0000-0000-0000BF0D0000}"/>
    <cellStyle name="Millares 2 12 2 3 2 3 2" xfId="48327" xr:uid="{00000000-0005-0000-0000-0000C00D0000}"/>
    <cellStyle name="Millares 2 12 2 3 2 4" xfId="34765" xr:uid="{00000000-0005-0000-0000-0000C10D0000}"/>
    <cellStyle name="Millares 2 12 2 3 3" xfId="11018" xr:uid="{00000000-0005-0000-0000-0000C20D0000}"/>
    <cellStyle name="Millares 2 12 2 3 3 2" xfId="24586" xr:uid="{00000000-0005-0000-0000-0000C30D0000}"/>
    <cellStyle name="Millares 2 12 2 3 3 2 2" xfId="51719" xr:uid="{00000000-0005-0000-0000-0000C40D0000}"/>
    <cellStyle name="Millares 2 12 2 3 3 3" xfId="38157" xr:uid="{00000000-0005-0000-0000-0000C50D0000}"/>
    <cellStyle name="Millares 2 12 2 3 4" xfId="17805" xr:uid="{00000000-0005-0000-0000-0000C60D0000}"/>
    <cellStyle name="Millares 2 12 2 3 4 2" xfId="44938" xr:uid="{00000000-0005-0000-0000-0000C70D0000}"/>
    <cellStyle name="Millares 2 12 2 3 5" xfId="31376" xr:uid="{00000000-0005-0000-0000-0000C80D0000}"/>
    <cellStyle name="Millares 2 12 2 4" xfId="7615" xr:uid="{00000000-0005-0000-0000-0000C90D0000}"/>
    <cellStyle name="Millares 2 12 2 4 2" xfId="14405" xr:uid="{00000000-0005-0000-0000-0000CA0D0000}"/>
    <cellStyle name="Millares 2 12 2 4 2 2" xfId="27973" xr:uid="{00000000-0005-0000-0000-0000CB0D0000}"/>
    <cellStyle name="Millares 2 12 2 4 2 2 2" xfId="55106" xr:uid="{00000000-0005-0000-0000-0000CC0D0000}"/>
    <cellStyle name="Millares 2 12 2 4 2 3" xfId="41544" xr:uid="{00000000-0005-0000-0000-0000CD0D0000}"/>
    <cellStyle name="Millares 2 12 2 4 3" xfId="21192" xr:uid="{00000000-0005-0000-0000-0000CE0D0000}"/>
    <cellStyle name="Millares 2 12 2 4 3 2" xfId="48325" xr:uid="{00000000-0005-0000-0000-0000CF0D0000}"/>
    <cellStyle name="Millares 2 12 2 4 4" xfId="34763" xr:uid="{00000000-0005-0000-0000-0000D00D0000}"/>
    <cellStyle name="Millares 2 12 2 5" xfId="11016" xr:uid="{00000000-0005-0000-0000-0000D10D0000}"/>
    <cellStyle name="Millares 2 12 2 5 2" xfId="24584" xr:uid="{00000000-0005-0000-0000-0000D20D0000}"/>
    <cellStyle name="Millares 2 12 2 5 2 2" xfId="51717" xr:uid="{00000000-0005-0000-0000-0000D30D0000}"/>
    <cellStyle name="Millares 2 12 2 5 3" xfId="38155" xr:uid="{00000000-0005-0000-0000-0000D40D0000}"/>
    <cellStyle name="Millares 2 12 2 6" xfId="17803" xr:uid="{00000000-0005-0000-0000-0000D50D0000}"/>
    <cellStyle name="Millares 2 12 2 6 2" xfId="44936" xr:uid="{00000000-0005-0000-0000-0000D60D0000}"/>
    <cellStyle name="Millares 2 12 2 7" xfId="31374" xr:uid="{00000000-0005-0000-0000-0000D70D0000}"/>
    <cellStyle name="Millares 2 12 3" xfId="4007" xr:uid="{00000000-0005-0000-0000-0000D80D0000}"/>
    <cellStyle name="Millares 2 12 3 2" xfId="7618" xr:uid="{00000000-0005-0000-0000-0000D90D0000}"/>
    <cellStyle name="Millares 2 12 3 2 2" xfId="14408" xr:uid="{00000000-0005-0000-0000-0000DA0D0000}"/>
    <cellStyle name="Millares 2 12 3 2 2 2" xfId="27976" xr:uid="{00000000-0005-0000-0000-0000DB0D0000}"/>
    <cellStyle name="Millares 2 12 3 2 2 2 2" xfId="55109" xr:uid="{00000000-0005-0000-0000-0000DC0D0000}"/>
    <cellStyle name="Millares 2 12 3 2 2 3" xfId="41547" xr:uid="{00000000-0005-0000-0000-0000DD0D0000}"/>
    <cellStyle name="Millares 2 12 3 2 3" xfId="21195" xr:uid="{00000000-0005-0000-0000-0000DE0D0000}"/>
    <cellStyle name="Millares 2 12 3 2 3 2" xfId="48328" xr:uid="{00000000-0005-0000-0000-0000DF0D0000}"/>
    <cellStyle name="Millares 2 12 3 2 4" xfId="34766" xr:uid="{00000000-0005-0000-0000-0000E00D0000}"/>
    <cellStyle name="Millares 2 12 3 3" xfId="11019" xr:uid="{00000000-0005-0000-0000-0000E10D0000}"/>
    <cellStyle name="Millares 2 12 3 3 2" xfId="24587" xr:uid="{00000000-0005-0000-0000-0000E20D0000}"/>
    <cellStyle name="Millares 2 12 3 3 2 2" xfId="51720" xr:uid="{00000000-0005-0000-0000-0000E30D0000}"/>
    <cellStyle name="Millares 2 12 3 3 3" xfId="38158" xr:uid="{00000000-0005-0000-0000-0000E40D0000}"/>
    <cellStyle name="Millares 2 12 3 4" xfId="17806" xr:uid="{00000000-0005-0000-0000-0000E50D0000}"/>
    <cellStyle name="Millares 2 12 3 4 2" xfId="44939" xr:uid="{00000000-0005-0000-0000-0000E60D0000}"/>
    <cellStyle name="Millares 2 12 3 5" xfId="31377" xr:uid="{00000000-0005-0000-0000-0000E70D0000}"/>
    <cellStyle name="Millares 2 12 4" xfId="4008" xr:uid="{00000000-0005-0000-0000-0000E80D0000}"/>
    <cellStyle name="Millares 2 12 4 2" xfId="7619" xr:uid="{00000000-0005-0000-0000-0000E90D0000}"/>
    <cellStyle name="Millares 2 12 4 2 2" xfId="14409" xr:uid="{00000000-0005-0000-0000-0000EA0D0000}"/>
    <cellStyle name="Millares 2 12 4 2 2 2" xfId="27977" xr:uid="{00000000-0005-0000-0000-0000EB0D0000}"/>
    <cellStyle name="Millares 2 12 4 2 2 2 2" xfId="55110" xr:uid="{00000000-0005-0000-0000-0000EC0D0000}"/>
    <cellStyle name="Millares 2 12 4 2 2 3" xfId="41548" xr:uid="{00000000-0005-0000-0000-0000ED0D0000}"/>
    <cellStyle name="Millares 2 12 4 2 3" xfId="21196" xr:uid="{00000000-0005-0000-0000-0000EE0D0000}"/>
    <cellStyle name="Millares 2 12 4 2 3 2" xfId="48329" xr:uid="{00000000-0005-0000-0000-0000EF0D0000}"/>
    <cellStyle name="Millares 2 12 4 2 4" xfId="34767" xr:uid="{00000000-0005-0000-0000-0000F00D0000}"/>
    <cellStyle name="Millares 2 12 4 3" xfId="11020" xr:uid="{00000000-0005-0000-0000-0000F10D0000}"/>
    <cellStyle name="Millares 2 12 4 3 2" xfId="24588" xr:uid="{00000000-0005-0000-0000-0000F20D0000}"/>
    <cellStyle name="Millares 2 12 4 3 2 2" xfId="51721" xr:uid="{00000000-0005-0000-0000-0000F30D0000}"/>
    <cellStyle name="Millares 2 12 4 3 3" xfId="38159" xr:uid="{00000000-0005-0000-0000-0000F40D0000}"/>
    <cellStyle name="Millares 2 12 4 4" xfId="17807" xr:uid="{00000000-0005-0000-0000-0000F50D0000}"/>
    <cellStyle name="Millares 2 12 4 4 2" xfId="44940" xr:uid="{00000000-0005-0000-0000-0000F60D0000}"/>
    <cellStyle name="Millares 2 12 4 5" xfId="31378" xr:uid="{00000000-0005-0000-0000-0000F70D0000}"/>
    <cellStyle name="Millares 2 13" xfId="2367" xr:uid="{00000000-0005-0000-0000-0000F80D0000}"/>
    <cellStyle name="Millares 2 13 2" xfId="4009" xr:uid="{00000000-0005-0000-0000-0000F90D0000}"/>
    <cellStyle name="Millares 2 13 2 2" xfId="4010" xr:uid="{00000000-0005-0000-0000-0000FA0D0000}"/>
    <cellStyle name="Millares 2 13 2 2 2" xfId="7621" xr:uid="{00000000-0005-0000-0000-0000FB0D0000}"/>
    <cellStyle name="Millares 2 13 2 2 2 2" xfId="14411" xr:uid="{00000000-0005-0000-0000-0000FC0D0000}"/>
    <cellStyle name="Millares 2 13 2 2 2 2 2" xfId="27979" xr:uid="{00000000-0005-0000-0000-0000FD0D0000}"/>
    <cellStyle name="Millares 2 13 2 2 2 2 2 2" xfId="55112" xr:uid="{00000000-0005-0000-0000-0000FE0D0000}"/>
    <cellStyle name="Millares 2 13 2 2 2 2 3" xfId="41550" xr:uid="{00000000-0005-0000-0000-0000FF0D0000}"/>
    <cellStyle name="Millares 2 13 2 2 2 3" xfId="21198" xr:uid="{00000000-0005-0000-0000-0000000E0000}"/>
    <cellStyle name="Millares 2 13 2 2 2 3 2" xfId="48331" xr:uid="{00000000-0005-0000-0000-0000010E0000}"/>
    <cellStyle name="Millares 2 13 2 2 2 4" xfId="34769" xr:uid="{00000000-0005-0000-0000-0000020E0000}"/>
    <cellStyle name="Millares 2 13 2 2 3" xfId="11022" xr:uid="{00000000-0005-0000-0000-0000030E0000}"/>
    <cellStyle name="Millares 2 13 2 2 3 2" xfId="24590" xr:uid="{00000000-0005-0000-0000-0000040E0000}"/>
    <cellStyle name="Millares 2 13 2 2 3 2 2" xfId="51723" xr:uid="{00000000-0005-0000-0000-0000050E0000}"/>
    <cellStyle name="Millares 2 13 2 2 3 3" xfId="38161" xr:uid="{00000000-0005-0000-0000-0000060E0000}"/>
    <cellStyle name="Millares 2 13 2 2 4" xfId="17809" xr:uid="{00000000-0005-0000-0000-0000070E0000}"/>
    <cellStyle name="Millares 2 13 2 2 4 2" xfId="44942" xr:uid="{00000000-0005-0000-0000-0000080E0000}"/>
    <cellStyle name="Millares 2 13 2 2 5" xfId="31380" xr:uid="{00000000-0005-0000-0000-0000090E0000}"/>
    <cellStyle name="Millares 2 13 2 3" xfId="4011" xr:uid="{00000000-0005-0000-0000-00000A0E0000}"/>
    <cellStyle name="Millares 2 13 2 3 2" xfId="7622" xr:uid="{00000000-0005-0000-0000-00000B0E0000}"/>
    <cellStyle name="Millares 2 13 2 3 2 2" xfId="14412" xr:uid="{00000000-0005-0000-0000-00000C0E0000}"/>
    <cellStyle name="Millares 2 13 2 3 2 2 2" xfId="27980" xr:uid="{00000000-0005-0000-0000-00000D0E0000}"/>
    <cellStyle name="Millares 2 13 2 3 2 2 2 2" xfId="55113" xr:uid="{00000000-0005-0000-0000-00000E0E0000}"/>
    <cellStyle name="Millares 2 13 2 3 2 2 3" xfId="41551" xr:uid="{00000000-0005-0000-0000-00000F0E0000}"/>
    <cellStyle name="Millares 2 13 2 3 2 3" xfId="21199" xr:uid="{00000000-0005-0000-0000-0000100E0000}"/>
    <cellStyle name="Millares 2 13 2 3 2 3 2" xfId="48332" xr:uid="{00000000-0005-0000-0000-0000110E0000}"/>
    <cellStyle name="Millares 2 13 2 3 2 4" xfId="34770" xr:uid="{00000000-0005-0000-0000-0000120E0000}"/>
    <cellStyle name="Millares 2 13 2 3 3" xfId="11023" xr:uid="{00000000-0005-0000-0000-0000130E0000}"/>
    <cellStyle name="Millares 2 13 2 3 3 2" xfId="24591" xr:uid="{00000000-0005-0000-0000-0000140E0000}"/>
    <cellStyle name="Millares 2 13 2 3 3 2 2" xfId="51724" xr:uid="{00000000-0005-0000-0000-0000150E0000}"/>
    <cellStyle name="Millares 2 13 2 3 3 3" xfId="38162" xr:uid="{00000000-0005-0000-0000-0000160E0000}"/>
    <cellStyle name="Millares 2 13 2 3 4" xfId="17810" xr:uid="{00000000-0005-0000-0000-0000170E0000}"/>
    <cellStyle name="Millares 2 13 2 3 4 2" xfId="44943" xr:uid="{00000000-0005-0000-0000-0000180E0000}"/>
    <cellStyle name="Millares 2 13 2 3 5" xfId="31381" xr:uid="{00000000-0005-0000-0000-0000190E0000}"/>
    <cellStyle name="Millares 2 13 2 4" xfId="7620" xr:uid="{00000000-0005-0000-0000-00001A0E0000}"/>
    <cellStyle name="Millares 2 13 2 4 2" xfId="14410" xr:uid="{00000000-0005-0000-0000-00001B0E0000}"/>
    <cellStyle name="Millares 2 13 2 4 2 2" xfId="27978" xr:uid="{00000000-0005-0000-0000-00001C0E0000}"/>
    <cellStyle name="Millares 2 13 2 4 2 2 2" xfId="55111" xr:uid="{00000000-0005-0000-0000-00001D0E0000}"/>
    <cellStyle name="Millares 2 13 2 4 2 3" xfId="41549" xr:uid="{00000000-0005-0000-0000-00001E0E0000}"/>
    <cellStyle name="Millares 2 13 2 4 3" xfId="21197" xr:uid="{00000000-0005-0000-0000-00001F0E0000}"/>
    <cellStyle name="Millares 2 13 2 4 3 2" xfId="48330" xr:uid="{00000000-0005-0000-0000-0000200E0000}"/>
    <cellStyle name="Millares 2 13 2 4 4" xfId="34768" xr:uid="{00000000-0005-0000-0000-0000210E0000}"/>
    <cellStyle name="Millares 2 13 2 5" xfId="11021" xr:uid="{00000000-0005-0000-0000-0000220E0000}"/>
    <cellStyle name="Millares 2 13 2 5 2" xfId="24589" xr:uid="{00000000-0005-0000-0000-0000230E0000}"/>
    <cellStyle name="Millares 2 13 2 5 2 2" xfId="51722" xr:uid="{00000000-0005-0000-0000-0000240E0000}"/>
    <cellStyle name="Millares 2 13 2 5 3" xfId="38160" xr:uid="{00000000-0005-0000-0000-0000250E0000}"/>
    <cellStyle name="Millares 2 13 2 6" xfId="17808" xr:uid="{00000000-0005-0000-0000-0000260E0000}"/>
    <cellStyle name="Millares 2 13 2 6 2" xfId="44941" xr:uid="{00000000-0005-0000-0000-0000270E0000}"/>
    <cellStyle name="Millares 2 13 2 7" xfId="31379" xr:uid="{00000000-0005-0000-0000-0000280E0000}"/>
    <cellStyle name="Millares 2 13 3" xfId="4012" xr:uid="{00000000-0005-0000-0000-0000290E0000}"/>
    <cellStyle name="Millares 2 13 3 2" xfId="7623" xr:uid="{00000000-0005-0000-0000-00002A0E0000}"/>
    <cellStyle name="Millares 2 13 3 2 2" xfId="14413" xr:uid="{00000000-0005-0000-0000-00002B0E0000}"/>
    <cellStyle name="Millares 2 13 3 2 2 2" xfId="27981" xr:uid="{00000000-0005-0000-0000-00002C0E0000}"/>
    <cellStyle name="Millares 2 13 3 2 2 2 2" xfId="55114" xr:uid="{00000000-0005-0000-0000-00002D0E0000}"/>
    <cellStyle name="Millares 2 13 3 2 2 3" xfId="41552" xr:uid="{00000000-0005-0000-0000-00002E0E0000}"/>
    <cellStyle name="Millares 2 13 3 2 3" xfId="21200" xr:uid="{00000000-0005-0000-0000-00002F0E0000}"/>
    <cellStyle name="Millares 2 13 3 2 3 2" xfId="48333" xr:uid="{00000000-0005-0000-0000-0000300E0000}"/>
    <cellStyle name="Millares 2 13 3 2 4" xfId="34771" xr:uid="{00000000-0005-0000-0000-0000310E0000}"/>
    <cellStyle name="Millares 2 13 3 3" xfId="11024" xr:uid="{00000000-0005-0000-0000-0000320E0000}"/>
    <cellStyle name="Millares 2 13 3 3 2" xfId="24592" xr:uid="{00000000-0005-0000-0000-0000330E0000}"/>
    <cellStyle name="Millares 2 13 3 3 2 2" xfId="51725" xr:uid="{00000000-0005-0000-0000-0000340E0000}"/>
    <cellStyle name="Millares 2 13 3 3 3" xfId="38163" xr:uid="{00000000-0005-0000-0000-0000350E0000}"/>
    <cellStyle name="Millares 2 13 3 4" xfId="17811" xr:uid="{00000000-0005-0000-0000-0000360E0000}"/>
    <cellStyle name="Millares 2 13 3 4 2" xfId="44944" xr:uid="{00000000-0005-0000-0000-0000370E0000}"/>
    <cellStyle name="Millares 2 13 3 5" xfId="31382" xr:uid="{00000000-0005-0000-0000-0000380E0000}"/>
    <cellStyle name="Millares 2 13 4" xfId="4013" xr:uid="{00000000-0005-0000-0000-0000390E0000}"/>
    <cellStyle name="Millares 2 13 4 2" xfId="7624" xr:uid="{00000000-0005-0000-0000-00003A0E0000}"/>
    <cellStyle name="Millares 2 13 4 2 2" xfId="14414" xr:uid="{00000000-0005-0000-0000-00003B0E0000}"/>
    <cellStyle name="Millares 2 13 4 2 2 2" xfId="27982" xr:uid="{00000000-0005-0000-0000-00003C0E0000}"/>
    <cellStyle name="Millares 2 13 4 2 2 2 2" xfId="55115" xr:uid="{00000000-0005-0000-0000-00003D0E0000}"/>
    <cellStyle name="Millares 2 13 4 2 2 3" xfId="41553" xr:uid="{00000000-0005-0000-0000-00003E0E0000}"/>
    <cellStyle name="Millares 2 13 4 2 3" xfId="21201" xr:uid="{00000000-0005-0000-0000-00003F0E0000}"/>
    <cellStyle name="Millares 2 13 4 2 3 2" xfId="48334" xr:uid="{00000000-0005-0000-0000-0000400E0000}"/>
    <cellStyle name="Millares 2 13 4 2 4" xfId="34772" xr:uid="{00000000-0005-0000-0000-0000410E0000}"/>
    <cellStyle name="Millares 2 13 4 3" xfId="11025" xr:uid="{00000000-0005-0000-0000-0000420E0000}"/>
    <cellStyle name="Millares 2 13 4 3 2" xfId="24593" xr:uid="{00000000-0005-0000-0000-0000430E0000}"/>
    <cellStyle name="Millares 2 13 4 3 2 2" xfId="51726" xr:uid="{00000000-0005-0000-0000-0000440E0000}"/>
    <cellStyle name="Millares 2 13 4 3 3" xfId="38164" xr:uid="{00000000-0005-0000-0000-0000450E0000}"/>
    <cellStyle name="Millares 2 13 4 4" xfId="17812" xr:uid="{00000000-0005-0000-0000-0000460E0000}"/>
    <cellStyle name="Millares 2 13 4 4 2" xfId="44945" xr:uid="{00000000-0005-0000-0000-0000470E0000}"/>
    <cellStyle name="Millares 2 13 4 5" xfId="31383" xr:uid="{00000000-0005-0000-0000-0000480E0000}"/>
    <cellStyle name="Millares 2 14" xfId="2368" xr:uid="{00000000-0005-0000-0000-0000490E0000}"/>
    <cellStyle name="Millares 2 14 2" xfId="4014" xr:uid="{00000000-0005-0000-0000-00004A0E0000}"/>
    <cellStyle name="Millares 2 14 2 2" xfId="7625" xr:uid="{00000000-0005-0000-0000-00004B0E0000}"/>
    <cellStyle name="Millares 2 14 2 2 2" xfId="14415" xr:uid="{00000000-0005-0000-0000-00004C0E0000}"/>
    <cellStyle name="Millares 2 14 2 2 2 2" xfId="27983" xr:uid="{00000000-0005-0000-0000-00004D0E0000}"/>
    <cellStyle name="Millares 2 14 2 2 2 2 2" xfId="55116" xr:uid="{00000000-0005-0000-0000-00004E0E0000}"/>
    <cellStyle name="Millares 2 14 2 2 2 3" xfId="41554" xr:uid="{00000000-0005-0000-0000-00004F0E0000}"/>
    <cellStyle name="Millares 2 14 2 2 3" xfId="21202" xr:uid="{00000000-0005-0000-0000-0000500E0000}"/>
    <cellStyle name="Millares 2 14 2 2 3 2" xfId="48335" xr:uid="{00000000-0005-0000-0000-0000510E0000}"/>
    <cellStyle name="Millares 2 14 2 2 4" xfId="34773" xr:uid="{00000000-0005-0000-0000-0000520E0000}"/>
    <cellStyle name="Millares 2 14 2 3" xfId="11026" xr:uid="{00000000-0005-0000-0000-0000530E0000}"/>
    <cellStyle name="Millares 2 14 2 3 2" xfId="24594" xr:uid="{00000000-0005-0000-0000-0000540E0000}"/>
    <cellStyle name="Millares 2 14 2 3 2 2" xfId="51727" xr:uid="{00000000-0005-0000-0000-0000550E0000}"/>
    <cellStyle name="Millares 2 14 2 3 3" xfId="38165" xr:uid="{00000000-0005-0000-0000-0000560E0000}"/>
    <cellStyle name="Millares 2 14 2 4" xfId="17813" xr:uid="{00000000-0005-0000-0000-0000570E0000}"/>
    <cellStyle name="Millares 2 14 2 4 2" xfId="44946" xr:uid="{00000000-0005-0000-0000-0000580E0000}"/>
    <cellStyle name="Millares 2 14 2 5" xfId="31384" xr:uid="{00000000-0005-0000-0000-0000590E0000}"/>
    <cellStyle name="Millares 2 15" xfId="2369" xr:uid="{00000000-0005-0000-0000-00005A0E0000}"/>
    <cellStyle name="Millares 2 16" xfId="2370" xr:uid="{00000000-0005-0000-0000-00005B0E0000}"/>
    <cellStyle name="Millares 2 17" xfId="2371" xr:uid="{00000000-0005-0000-0000-00005C0E0000}"/>
    <cellStyle name="Millares 2 18" xfId="2372" xr:uid="{00000000-0005-0000-0000-00005D0E0000}"/>
    <cellStyle name="Millares 2 19" xfId="2373" xr:uid="{00000000-0005-0000-0000-00005E0E0000}"/>
    <cellStyle name="Millares 2 2" xfId="29" xr:uid="{00000000-0005-0000-0000-00005F0E0000}"/>
    <cellStyle name="Millares 2 2 10" xfId="63" xr:uid="{00000000-0005-0000-0000-0000600E0000}"/>
    <cellStyle name="Millares 2 2 2" xfId="193" xr:uid="{00000000-0005-0000-0000-0000610E0000}"/>
    <cellStyle name="Millares 2 2 3" xfId="188" xr:uid="{00000000-0005-0000-0000-0000620E0000}"/>
    <cellStyle name="Millares 2 2 4" xfId="2374" xr:uid="{00000000-0005-0000-0000-0000630E0000}"/>
    <cellStyle name="Millares 2 2 5" xfId="2375" xr:uid="{00000000-0005-0000-0000-0000640E0000}"/>
    <cellStyle name="Millares 2 2 6" xfId="2376" xr:uid="{00000000-0005-0000-0000-0000650E0000}"/>
    <cellStyle name="Millares 2 2 7" xfId="2377" xr:uid="{00000000-0005-0000-0000-0000660E0000}"/>
    <cellStyle name="Millares 2 2 8" xfId="2378" xr:uid="{00000000-0005-0000-0000-0000670E0000}"/>
    <cellStyle name="Millares 2 2 9" xfId="2379" xr:uid="{00000000-0005-0000-0000-0000680E0000}"/>
    <cellStyle name="Millares 2 20" xfId="2380" xr:uid="{00000000-0005-0000-0000-0000690E0000}"/>
    <cellStyle name="Millares 2 21" xfId="2381" xr:uid="{00000000-0005-0000-0000-00006A0E0000}"/>
    <cellStyle name="Millares 2 22" xfId="2382" xr:uid="{00000000-0005-0000-0000-00006B0E0000}"/>
    <cellStyle name="Millares 2 23" xfId="2383" xr:uid="{00000000-0005-0000-0000-00006C0E0000}"/>
    <cellStyle name="Millares 2 24" xfId="2384" xr:uid="{00000000-0005-0000-0000-00006D0E0000}"/>
    <cellStyle name="Millares 2 25" xfId="2385" xr:uid="{00000000-0005-0000-0000-00006E0E0000}"/>
    <cellStyle name="Millares 2 26" xfId="2386" xr:uid="{00000000-0005-0000-0000-00006F0E0000}"/>
    <cellStyle name="Millares 2 27" xfId="2387" xr:uid="{00000000-0005-0000-0000-0000700E0000}"/>
    <cellStyle name="Millares 2 28" xfId="2388" xr:uid="{00000000-0005-0000-0000-0000710E0000}"/>
    <cellStyle name="Millares 2 29" xfId="2389" xr:uid="{00000000-0005-0000-0000-0000720E0000}"/>
    <cellStyle name="Millares 2 3" xfId="192" xr:uid="{00000000-0005-0000-0000-0000730E0000}"/>
    <cellStyle name="Millares 2 3 2" xfId="4015" xr:uid="{00000000-0005-0000-0000-0000740E0000}"/>
    <cellStyle name="Millares 2 3 2 10" xfId="4016" xr:uid="{00000000-0005-0000-0000-0000750E0000}"/>
    <cellStyle name="Millares 2 3 2 10 2" xfId="7627" xr:uid="{00000000-0005-0000-0000-0000760E0000}"/>
    <cellStyle name="Millares 2 3 2 10 2 2" xfId="14417" xr:uid="{00000000-0005-0000-0000-0000770E0000}"/>
    <cellStyle name="Millares 2 3 2 10 2 2 2" xfId="27985" xr:uid="{00000000-0005-0000-0000-0000780E0000}"/>
    <cellStyle name="Millares 2 3 2 10 2 2 2 2" xfId="55118" xr:uid="{00000000-0005-0000-0000-0000790E0000}"/>
    <cellStyle name="Millares 2 3 2 10 2 2 3" xfId="41556" xr:uid="{00000000-0005-0000-0000-00007A0E0000}"/>
    <cellStyle name="Millares 2 3 2 10 2 3" xfId="21204" xr:uid="{00000000-0005-0000-0000-00007B0E0000}"/>
    <cellStyle name="Millares 2 3 2 10 2 3 2" xfId="48337" xr:uid="{00000000-0005-0000-0000-00007C0E0000}"/>
    <cellStyle name="Millares 2 3 2 10 2 4" xfId="34775" xr:uid="{00000000-0005-0000-0000-00007D0E0000}"/>
    <cellStyle name="Millares 2 3 2 10 3" xfId="11028" xr:uid="{00000000-0005-0000-0000-00007E0E0000}"/>
    <cellStyle name="Millares 2 3 2 10 3 2" xfId="24596" xr:uid="{00000000-0005-0000-0000-00007F0E0000}"/>
    <cellStyle name="Millares 2 3 2 10 3 2 2" xfId="51729" xr:uid="{00000000-0005-0000-0000-0000800E0000}"/>
    <cellStyle name="Millares 2 3 2 10 3 3" xfId="38167" xr:uid="{00000000-0005-0000-0000-0000810E0000}"/>
    <cellStyle name="Millares 2 3 2 10 4" xfId="17815" xr:uid="{00000000-0005-0000-0000-0000820E0000}"/>
    <cellStyle name="Millares 2 3 2 10 4 2" xfId="44948" xr:uid="{00000000-0005-0000-0000-0000830E0000}"/>
    <cellStyle name="Millares 2 3 2 10 5" xfId="31386" xr:uid="{00000000-0005-0000-0000-0000840E0000}"/>
    <cellStyle name="Millares 2 3 2 11" xfId="7626" xr:uid="{00000000-0005-0000-0000-0000850E0000}"/>
    <cellStyle name="Millares 2 3 2 11 2" xfId="14416" xr:uid="{00000000-0005-0000-0000-0000860E0000}"/>
    <cellStyle name="Millares 2 3 2 11 2 2" xfId="27984" xr:uid="{00000000-0005-0000-0000-0000870E0000}"/>
    <cellStyle name="Millares 2 3 2 11 2 2 2" xfId="55117" xr:uid="{00000000-0005-0000-0000-0000880E0000}"/>
    <cellStyle name="Millares 2 3 2 11 2 3" xfId="41555" xr:uid="{00000000-0005-0000-0000-0000890E0000}"/>
    <cellStyle name="Millares 2 3 2 11 3" xfId="21203" xr:uid="{00000000-0005-0000-0000-00008A0E0000}"/>
    <cellStyle name="Millares 2 3 2 11 3 2" xfId="48336" xr:uid="{00000000-0005-0000-0000-00008B0E0000}"/>
    <cellStyle name="Millares 2 3 2 11 4" xfId="34774" xr:uid="{00000000-0005-0000-0000-00008C0E0000}"/>
    <cellStyle name="Millares 2 3 2 12" xfId="11027" xr:uid="{00000000-0005-0000-0000-00008D0E0000}"/>
    <cellStyle name="Millares 2 3 2 12 2" xfId="24595" xr:uid="{00000000-0005-0000-0000-00008E0E0000}"/>
    <cellStyle name="Millares 2 3 2 12 2 2" xfId="51728" xr:uid="{00000000-0005-0000-0000-00008F0E0000}"/>
    <cellStyle name="Millares 2 3 2 12 3" xfId="38166" xr:uid="{00000000-0005-0000-0000-0000900E0000}"/>
    <cellStyle name="Millares 2 3 2 13" xfId="17814" xr:uid="{00000000-0005-0000-0000-0000910E0000}"/>
    <cellStyle name="Millares 2 3 2 13 2" xfId="44947" xr:uid="{00000000-0005-0000-0000-0000920E0000}"/>
    <cellStyle name="Millares 2 3 2 14" xfId="31385" xr:uid="{00000000-0005-0000-0000-0000930E0000}"/>
    <cellStyle name="Millares 2 3 2 2" xfId="4017" xr:uid="{00000000-0005-0000-0000-0000940E0000}"/>
    <cellStyle name="Millares 2 3 2 2 10" xfId="11029" xr:uid="{00000000-0005-0000-0000-0000950E0000}"/>
    <cellStyle name="Millares 2 3 2 2 10 2" xfId="24597" xr:uid="{00000000-0005-0000-0000-0000960E0000}"/>
    <cellStyle name="Millares 2 3 2 2 10 2 2" xfId="51730" xr:uid="{00000000-0005-0000-0000-0000970E0000}"/>
    <cellStyle name="Millares 2 3 2 2 10 3" xfId="38168" xr:uid="{00000000-0005-0000-0000-0000980E0000}"/>
    <cellStyle name="Millares 2 3 2 2 11" xfId="17816" xr:uid="{00000000-0005-0000-0000-0000990E0000}"/>
    <cellStyle name="Millares 2 3 2 2 11 2" xfId="44949" xr:uid="{00000000-0005-0000-0000-00009A0E0000}"/>
    <cellStyle name="Millares 2 3 2 2 12" xfId="31387" xr:uid="{00000000-0005-0000-0000-00009B0E0000}"/>
    <cellStyle name="Millares 2 3 2 2 2" xfId="4018" xr:uid="{00000000-0005-0000-0000-00009C0E0000}"/>
    <cellStyle name="Millares 2 3 2 2 2 10" xfId="31388" xr:uid="{00000000-0005-0000-0000-00009D0E0000}"/>
    <cellStyle name="Millares 2 3 2 2 2 2" xfId="4019" xr:uid="{00000000-0005-0000-0000-00009E0E0000}"/>
    <cellStyle name="Millares 2 3 2 2 2 2 2" xfId="4020" xr:uid="{00000000-0005-0000-0000-00009F0E0000}"/>
    <cellStyle name="Millares 2 3 2 2 2 2 2 2" xfId="4021" xr:uid="{00000000-0005-0000-0000-0000A00E0000}"/>
    <cellStyle name="Millares 2 3 2 2 2 2 2 2 2" xfId="7632" xr:uid="{00000000-0005-0000-0000-0000A10E0000}"/>
    <cellStyle name="Millares 2 3 2 2 2 2 2 2 2 2" xfId="14422" xr:uid="{00000000-0005-0000-0000-0000A20E0000}"/>
    <cellStyle name="Millares 2 3 2 2 2 2 2 2 2 2 2" xfId="27990" xr:uid="{00000000-0005-0000-0000-0000A30E0000}"/>
    <cellStyle name="Millares 2 3 2 2 2 2 2 2 2 2 2 2" xfId="55123" xr:uid="{00000000-0005-0000-0000-0000A40E0000}"/>
    <cellStyle name="Millares 2 3 2 2 2 2 2 2 2 2 3" xfId="41561" xr:uid="{00000000-0005-0000-0000-0000A50E0000}"/>
    <cellStyle name="Millares 2 3 2 2 2 2 2 2 2 3" xfId="21209" xr:uid="{00000000-0005-0000-0000-0000A60E0000}"/>
    <cellStyle name="Millares 2 3 2 2 2 2 2 2 2 3 2" xfId="48342" xr:uid="{00000000-0005-0000-0000-0000A70E0000}"/>
    <cellStyle name="Millares 2 3 2 2 2 2 2 2 2 4" xfId="34780" xr:uid="{00000000-0005-0000-0000-0000A80E0000}"/>
    <cellStyle name="Millares 2 3 2 2 2 2 2 2 3" xfId="11033" xr:uid="{00000000-0005-0000-0000-0000A90E0000}"/>
    <cellStyle name="Millares 2 3 2 2 2 2 2 2 3 2" xfId="24601" xr:uid="{00000000-0005-0000-0000-0000AA0E0000}"/>
    <cellStyle name="Millares 2 3 2 2 2 2 2 2 3 2 2" xfId="51734" xr:uid="{00000000-0005-0000-0000-0000AB0E0000}"/>
    <cellStyle name="Millares 2 3 2 2 2 2 2 2 3 3" xfId="38172" xr:uid="{00000000-0005-0000-0000-0000AC0E0000}"/>
    <cellStyle name="Millares 2 3 2 2 2 2 2 2 4" xfId="17820" xr:uid="{00000000-0005-0000-0000-0000AD0E0000}"/>
    <cellStyle name="Millares 2 3 2 2 2 2 2 2 4 2" xfId="44953" xr:uid="{00000000-0005-0000-0000-0000AE0E0000}"/>
    <cellStyle name="Millares 2 3 2 2 2 2 2 2 5" xfId="31391" xr:uid="{00000000-0005-0000-0000-0000AF0E0000}"/>
    <cellStyle name="Millares 2 3 2 2 2 2 2 3" xfId="4022" xr:uid="{00000000-0005-0000-0000-0000B00E0000}"/>
    <cellStyle name="Millares 2 3 2 2 2 2 2 3 2" xfId="7633" xr:uid="{00000000-0005-0000-0000-0000B10E0000}"/>
    <cellStyle name="Millares 2 3 2 2 2 2 2 3 2 2" xfId="14423" xr:uid="{00000000-0005-0000-0000-0000B20E0000}"/>
    <cellStyle name="Millares 2 3 2 2 2 2 2 3 2 2 2" xfId="27991" xr:uid="{00000000-0005-0000-0000-0000B30E0000}"/>
    <cellStyle name="Millares 2 3 2 2 2 2 2 3 2 2 2 2" xfId="55124" xr:uid="{00000000-0005-0000-0000-0000B40E0000}"/>
    <cellStyle name="Millares 2 3 2 2 2 2 2 3 2 2 3" xfId="41562" xr:uid="{00000000-0005-0000-0000-0000B50E0000}"/>
    <cellStyle name="Millares 2 3 2 2 2 2 2 3 2 3" xfId="21210" xr:uid="{00000000-0005-0000-0000-0000B60E0000}"/>
    <cellStyle name="Millares 2 3 2 2 2 2 2 3 2 3 2" xfId="48343" xr:uid="{00000000-0005-0000-0000-0000B70E0000}"/>
    <cellStyle name="Millares 2 3 2 2 2 2 2 3 2 4" xfId="34781" xr:uid="{00000000-0005-0000-0000-0000B80E0000}"/>
    <cellStyle name="Millares 2 3 2 2 2 2 2 3 3" xfId="11034" xr:uid="{00000000-0005-0000-0000-0000B90E0000}"/>
    <cellStyle name="Millares 2 3 2 2 2 2 2 3 3 2" xfId="24602" xr:uid="{00000000-0005-0000-0000-0000BA0E0000}"/>
    <cellStyle name="Millares 2 3 2 2 2 2 2 3 3 2 2" xfId="51735" xr:uid="{00000000-0005-0000-0000-0000BB0E0000}"/>
    <cellStyle name="Millares 2 3 2 2 2 2 2 3 3 3" xfId="38173" xr:uid="{00000000-0005-0000-0000-0000BC0E0000}"/>
    <cellStyle name="Millares 2 3 2 2 2 2 2 3 4" xfId="17821" xr:uid="{00000000-0005-0000-0000-0000BD0E0000}"/>
    <cellStyle name="Millares 2 3 2 2 2 2 2 3 4 2" xfId="44954" xr:uid="{00000000-0005-0000-0000-0000BE0E0000}"/>
    <cellStyle name="Millares 2 3 2 2 2 2 2 3 5" xfId="31392" xr:uid="{00000000-0005-0000-0000-0000BF0E0000}"/>
    <cellStyle name="Millares 2 3 2 2 2 2 2 4" xfId="7631" xr:uid="{00000000-0005-0000-0000-0000C00E0000}"/>
    <cellStyle name="Millares 2 3 2 2 2 2 2 4 2" xfId="14421" xr:uid="{00000000-0005-0000-0000-0000C10E0000}"/>
    <cellStyle name="Millares 2 3 2 2 2 2 2 4 2 2" xfId="27989" xr:uid="{00000000-0005-0000-0000-0000C20E0000}"/>
    <cellStyle name="Millares 2 3 2 2 2 2 2 4 2 2 2" xfId="55122" xr:uid="{00000000-0005-0000-0000-0000C30E0000}"/>
    <cellStyle name="Millares 2 3 2 2 2 2 2 4 2 3" xfId="41560" xr:uid="{00000000-0005-0000-0000-0000C40E0000}"/>
    <cellStyle name="Millares 2 3 2 2 2 2 2 4 3" xfId="21208" xr:uid="{00000000-0005-0000-0000-0000C50E0000}"/>
    <cellStyle name="Millares 2 3 2 2 2 2 2 4 3 2" xfId="48341" xr:uid="{00000000-0005-0000-0000-0000C60E0000}"/>
    <cellStyle name="Millares 2 3 2 2 2 2 2 4 4" xfId="34779" xr:uid="{00000000-0005-0000-0000-0000C70E0000}"/>
    <cellStyle name="Millares 2 3 2 2 2 2 2 5" xfId="11032" xr:uid="{00000000-0005-0000-0000-0000C80E0000}"/>
    <cellStyle name="Millares 2 3 2 2 2 2 2 5 2" xfId="24600" xr:uid="{00000000-0005-0000-0000-0000C90E0000}"/>
    <cellStyle name="Millares 2 3 2 2 2 2 2 5 2 2" xfId="51733" xr:uid="{00000000-0005-0000-0000-0000CA0E0000}"/>
    <cellStyle name="Millares 2 3 2 2 2 2 2 5 3" xfId="38171" xr:uid="{00000000-0005-0000-0000-0000CB0E0000}"/>
    <cellStyle name="Millares 2 3 2 2 2 2 2 6" xfId="17819" xr:uid="{00000000-0005-0000-0000-0000CC0E0000}"/>
    <cellStyle name="Millares 2 3 2 2 2 2 2 6 2" xfId="44952" xr:uid="{00000000-0005-0000-0000-0000CD0E0000}"/>
    <cellStyle name="Millares 2 3 2 2 2 2 2 7" xfId="31390" xr:uid="{00000000-0005-0000-0000-0000CE0E0000}"/>
    <cellStyle name="Millares 2 3 2 2 2 2 3" xfId="4023" xr:uid="{00000000-0005-0000-0000-0000CF0E0000}"/>
    <cellStyle name="Millares 2 3 2 2 2 2 3 2" xfId="4024" xr:uid="{00000000-0005-0000-0000-0000D00E0000}"/>
    <cellStyle name="Millares 2 3 2 2 2 2 3 2 2" xfId="7635" xr:uid="{00000000-0005-0000-0000-0000D10E0000}"/>
    <cellStyle name="Millares 2 3 2 2 2 2 3 2 2 2" xfId="14425" xr:uid="{00000000-0005-0000-0000-0000D20E0000}"/>
    <cellStyle name="Millares 2 3 2 2 2 2 3 2 2 2 2" xfId="27993" xr:uid="{00000000-0005-0000-0000-0000D30E0000}"/>
    <cellStyle name="Millares 2 3 2 2 2 2 3 2 2 2 2 2" xfId="55126" xr:uid="{00000000-0005-0000-0000-0000D40E0000}"/>
    <cellStyle name="Millares 2 3 2 2 2 2 3 2 2 2 3" xfId="41564" xr:uid="{00000000-0005-0000-0000-0000D50E0000}"/>
    <cellStyle name="Millares 2 3 2 2 2 2 3 2 2 3" xfId="21212" xr:uid="{00000000-0005-0000-0000-0000D60E0000}"/>
    <cellStyle name="Millares 2 3 2 2 2 2 3 2 2 3 2" xfId="48345" xr:uid="{00000000-0005-0000-0000-0000D70E0000}"/>
    <cellStyle name="Millares 2 3 2 2 2 2 3 2 2 4" xfId="34783" xr:uid="{00000000-0005-0000-0000-0000D80E0000}"/>
    <cellStyle name="Millares 2 3 2 2 2 2 3 2 3" xfId="11036" xr:uid="{00000000-0005-0000-0000-0000D90E0000}"/>
    <cellStyle name="Millares 2 3 2 2 2 2 3 2 3 2" xfId="24604" xr:uid="{00000000-0005-0000-0000-0000DA0E0000}"/>
    <cellStyle name="Millares 2 3 2 2 2 2 3 2 3 2 2" xfId="51737" xr:uid="{00000000-0005-0000-0000-0000DB0E0000}"/>
    <cellStyle name="Millares 2 3 2 2 2 2 3 2 3 3" xfId="38175" xr:uid="{00000000-0005-0000-0000-0000DC0E0000}"/>
    <cellStyle name="Millares 2 3 2 2 2 2 3 2 4" xfId="17823" xr:uid="{00000000-0005-0000-0000-0000DD0E0000}"/>
    <cellStyle name="Millares 2 3 2 2 2 2 3 2 4 2" xfId="44956" xr:uid="{00000000-0005-0000-0000-0000DE0E0000}"/>
    <cellStyle name="Millares 2 3 2 2 2 2 3 2 5" xfId="31394" xr:uid="{00000000-0005-0000-0000-0000DF0E0000}"/>
    <cellStyle name="Millares 2 3 2 2 2 2 3 3" xfId="7634" xr:uid="{00000000-0005-0000-0000-0000E00E0000}"/>
    <cellStyle name="Millares 2 3 2 2 2 2 3 3 2" xfId="14424" xr:uid="{00000000-0005-0000-0000-0000E10E0000}"/>
    <cellStyle name="Millares 2 3 2 2 2 2 3 3 2 2" xfId="27992" xr:uid="{00000000-0005-0000-0000-0000E20E0000}"/>
    <cellStyle name="Millares 2 3 2 2 2 2 3 3 2 2 2" xfId="55125" xr:uid="{00000000-0005-0000-0000-0000E30E0000}"/>
    <cellStyle name="Millares 2 3 2 2 2 2 3 3 2 3" xfId="41563" xr:uid="{00000000-0005-0000-0000-0000E40E0000}"/>
    <cellStyle name="Millares 2 3 2 2 2 2 3 3 3" xfId="21211" xr:uid="{00000000-0005-0000-0000-0000E50E0000}"/>
    <cellStyle name="Millares 2 3 2 2 2 2 3 3 3 2" xfId="48344" xr:uid="{00000000-0005-0000-0000-0000E60E0000}"/>
    <cellStyle name="Millares 2 3 2 2 2 2 3 3 4" xfId="34782" xr:uid="{00000000-0005-0000-0000-0000E70E0000}"/>
    <cellStyle name="Millares 2 3 2 2 2 2 3 4" xfId="11035" xr:uid="{00000000-0005-0000-0000-0000E80E0000}"/>
    <cellStyle name="Millares 2 3 2 2 2 2 3 4 2" xfId="24603" xr:uid="{00000000-0005-0000-0000-0000E90E0000}"/>
    <cellStyle name="Millares 2 3 2 2 2 2 3 4 2 2" xfId="51736" xr:uid="{00000000-0005-0000-0000-0000EA0E0000}"/>
    <cellStyle name="Millares 2 3 2 2 2 2 3 4 3" xfId="38174" xr:uid="{00000000-0005-0000-0000-0000EB0E0000}"/>
    <cellStyle name="Millares 2 3 2 2 2 2 3 5" xfId="17822" xr:uid="{00000000-0005-0000-0000-0000EC0E0000}"/>
    <cellStyle name="Millares 2 3 2 2 2 2 3 5 2" xfId="44955" xr:uid="{00000000-0005-0000-0000-0000ED0E0000}"/>
    <cellStyle name="Millares 2 3 2 2 2 2 3 6" xfId="31393" xr:uid="{00000000-0005-0000-0000-0000EE0E0000}"/>
    <cellStyle name="Millares 2 3 2 2 2 2 4" xfId="4025" xr:uid="{00000000-0005-0000-0000-0000EF0E0000}"/>
    <cellStyle name="Millares 2 3 2 2 2 2 4 2" xfId="7636" xr:uid="{00000000-0005-0000-0000-0000F00E0000}"/>
    <cellStyle name="Millares 2 3 2 2 2 2 4 2 2" xfId="14426" xr:uid="{00000000-0005-0000-0000-0000F10E0000}"/>
    <cellStyle name="Millares 2 3 2 2 2 2 4 2 2 2" xfId="27994" xr:uid="{00000000-0005-0000-0000-0000F20E0000}"/>
    <cellStyle name="Millares 2 3 2 2 2 2 4 2 2 2 2" xfId="55127" xr:uid="{00000000-0005-0000-0000-0000F30E0000}"/>
    <cellStyle name="Millares 2 3 2 2 2 2 4 2 2 3" xfId="41565" xr:uid="{00000000-0005-0000-0000-0000F40E0000}"/>
    <cellStyle name="Millares 2 3 2 2 2 2 4 2 3" xfId="21213" xr:uid="{00000000-0005-0000-0000-0000F50E0000}"/>
    <cellStyle name="Millares 2 3 2 2 2 2 4 2 3 2" xfId="48346" xr:uid="{00000000-0005-0000-0000-0000F60E0000}"/>
    <cellStyle name="Millares 2 3 2 2 2 2 4 2 4" xfId="34784" xr:uid="{00000000-0005-0000-0000-0000F70E0000}"/>
    <cellStyle name="Millares 2 3 2 2 2 2 4 3" xfId="11037" xr:uid="{00000000-0005-0000-0000-0000F80E0000}"/>
    <cellStyle name="Millares 2 3 2 2 2 2 4 3 2" xfId="24605" xr:uid="{00000000-0005-0000-0000-0000F90E0000}"/>
    <cellStyle name="Millares 2 3 2 2 2 2 4 3 2 2" xfId="51738" xr:uid="{00000000-0005-0000-0000-0000FA0E0000}"/>
    <cellStyle name="Millares 2 3 2 2 2 2 4 3 3" xfId="38176" xr:uid="{00000000-0005-0000-0000-0000FB0E0000}"/>
    <cellStyle name="Millares 2 3 2 2 2 2 4 4" xfId="17824" xr:uid="{00000000-0005-0000-0000-0000FC0E0000}"/>
    <cellStyle name="Millares 2 3 2 2 2 2 4 4 2" xfId="44957" xr:uid="{00000000-0005-0000-0000-0000FD0E0000}"/>
    <cellStyle name="Millares 2 3 2 2 2 2 4 5" xfId="31395" xr:uid="{00000000-0005-0000-0000-0000FE0E0000}"/>
    <cellStyle name="Millares 2 3 2 2 2 2 5" xfId="4026" xr:uid="{00000000-0005-0000-0000-0000FF0E0000}"/>
    <cellStyle name="Millares 2 3 2 2 2 2 5 2" xfId="7637" xr:uid="{00000000-0005-0000-0000-0000000F0000}"/>
    <cellStyle name="Millares 2 3 2 2 2 2 5 2 2" xfId="14427" xr:uid="{00000000-0005-0000-0000-0000010F0000}"/>
    <cellStyle name="Millares 2 3 2 2 2 2 5 2 2 2" xfId="27995" xr:uid="{00000000-0005-0000-0000-0000020F0000}"/>
    <cellStyle name="Millares 2 3 2 2 2 2 5 2 2 2 2" xfId="55128" xr:uid="{00000000-0005-0000-0000-0000030F0000}"/>
    <cellStyle name="Millares 2 3 2 2 2 2 5 2 2 3" xfId="41566" xr:uid="{00000000-0005-0000-0000-0000040F0000}"/>
    <cellStyle name="Millares 2 3 2 2 2 2 5 2 3" xfId="21214" xr:uid="{00000000-0005-0000-0000-0000050F0000}"/>
    <cellStyle name="Millares 2 3 2 2 2 2 5 2 3 2" xfId="48347" xr:uid="{00000000-0005-0000-0000-0000060F0000}"/>
    <cellStyle name="Millares 2 3 2 2 2 2 5 2 4" xfId="34785" xr:uid="{00000000-0005-0000-0000-0000070F0000}"/>
    <cellStyle name="Millares 2 3 2 2 2 2 5 3" xfId="11038" xr:uid="{00000000-0005-0000-0000-0000080F0000}"/>
    <cellStyle name="Millares 2 3 2 2 2 2 5 3 2" xfId="24606" xr:uid="{00000000-0005-0000-0000-0000090F0000}"/>
    <cellStyle name="Millares 2 3 2 2 2 2 5 3 2 2" xfId="51739" xr:uid="{00000000-0005-0000-0000-00000A0F0000}"/>
    <cellStyle name="Millares 2 3 2 2 2 2 5 3 3" xfId="38177" xr:uid="{00000000-0005-0000-0000-00000B0F0000}"/>
    <cellStyle name="Millares 2 3 2 2 2 2 5 4" xfId="17825" xr:uid="{00000000-0005-0000-0000-00000C0F0000}"/>
    <cellStyle name="Millares 2 3 2 2 2 2 5 4 2" xfId="44958" xr:uid="{00000000-0005-0000-0000-00000D0F0000}"/>
    <cellStyle name="Millares 2 3 2 2 2 2 5 5" xfId="31396" xr:uid="{00000000-0005-0000-0000-00000E0F0000}"/>
    <cellStyle name="Millares 2 3 2 2 2 2 6" xfId="7630" xr:uid="{00000000-0005-0000-0000-00000F0F0000}"/>
    <cellStyle name="Millares 2 3 2 2 2 2 6 2" xfId="14420" xr:uid="{00000000-0005-0000-0000-0000100F0000}"/>
    <cellStyle name="Millares 2 3 2 2 2 2 6 2 2" xfId="27988" xr:uid="{00000000-0005-0000-0000-0000110F0000}"/>
    <cellStyle name="Millares 2 3 2 2 2 2 6 2 2 2" xfId="55121" xr:uid="{00000000-0005-0000-0000-0000120F0000}"/>
    <cellStyle name="Millares 2 3 2 2 2 2 6 2 3" xfId="41559" xr:uid="{00000000-0005-0000-0000-0000130F0000}"/>
    <cellStyle name="Millares 2 3 2 2 2 2 6 3" xfId="21207" xr:uid="{00000000-0005-0000-0000-0000140F0000}"/>
    <cellStyle name="Millares 2 3 2 2 2 2 6 3 2" xfId="48340" xr:uid="{00000000-0005-0000-0000-0000150F0000}"/>
    <cellStyle name="Millares 2 3 2 2 2 2 6 4" xfId="34778" xr:uid="{00000000-0005-0000-0000-0000160F0000}"/>
    <cellStyle name="Millares 2 3 2 2 2 2 7" xfId="11031" xr:uid="{00000000-0005-0000-0000-0000170F0000}"/>
    <cellStyle name="Millares 2 3 2 2 2 2 7 2" xfId="24599" xr:uid="{00000000-0005-0000-0000-0000180F0000}"/>
    <cellStyle name="Millares 2 3 2 2 2 2 7 2 2" xfId="51732" xr:uid="{00000000-0005-0000-0000-0000190F0000}"/>
    <cellStyle name="Millares 2 3 2 2 2 2 7 3" xfId="38170" xr:uid="{00000000-0005-0000-0000-00001A0F0000}"/>
    <cellStyle name="Millares 2 3 2 2 2 2 8" xfId="17818" xr:uid="{00000000-0005-0000-0000-00001B0F0000}"/>
    <cellStyle name="Millares 2 3 2 2 2 2 8 2" xfId="44951" xr:uid="{00000000-0005-0000-0000-00001C0F0000}"/>
    <cellStyle name="Millares 2 3 2 2 2 2 9" xfId="31389" xr:uid="{00000000-0005-0000-0000-00001D0F0000}"/>
    <cellStyle name="Millares 2 3 2 2 2 3" xfId="4027" xr:uid="{00000000-0005-0000-0000-00001E0F0000}"/>
    <cellStyle name="Millares 2 3 2 2 2 3 2" xfId="4028" xr:uid="{00000000-0005-0000-0000-00001F0F0000}"/>
    <cellStyle name="Millares 2 3 2 2 2 3 2 2" xfId="7639" xr:uid="{00000000-0005-0000-0000-0000200F0000}"/>
    <cellStyle name="Millares 2 3 2 2 2 3 2 2 2" xfId="14429" xr:uid="{00000000-0005-0000-0000-0000210F0000}"/>
    <cellStyle name="Millares 2 3 2 2 2 3 2 2 2 2" xfId="27997" xr:uid="{00000000-0005-0000-0000-0000220F0000}"/>
    <cellStyle name="Millares 2 3 2 2 2 3 2 2 2 2 2" xfId="55130" xr:uid="{00000000-0005-0000-0000-0000230F0000}"/>
    <cellStyle name="Millares 2 3 2 2 2 3 2 2 2 3" xfId="41568" xr:uid="{00000000-0005-0000-0000-0000240F0000}"/>
    <cellStyle name="Millares 2 3 2 2 2 3 2 2 3" xfId="21216" xr:uid="{00000000-0005-0000-0000-0000250F0000}"/>
    <cellStyle name="Millares 2 3 2 2 2 3 2 2 3 2" xfId="48349" xr:uid="{00000000-0005-0000-0000-0000260F0000}"/>
    <cellStyle name="Millares 2 3 2 2 2 3 2 2 4" xfId="34787" xr:uid="{00000000-0005-0000-0000-0000270F0000}"/>
    <cellStyle name="Millares 2 3 2 2 2 3 2 3" xfId="11040" xr:uid="{00000000-0005-0000-0000-0000280F0000}"/>
    <cellStyle name="Millares 2 3 2 2 2 3 2 3 2" xfId="24608" xr:uid="{00000000-0005-0000-0000-0000290F0000}"/>
    <cellStyle name="Millares 2 3 2 2 2 3 2 3 2 2" xfId="51741" xr:uid="{00000000-0005-0000-0000-00002A0F0000}"/>
    <cellStyle name="Millares 2 3 2 2 2 3 2 3 3" xfId="38179" xr:uid="{00000000-0005-0000-0000-00002B0F0000}"/>
    <cellStyle name="Millares 2 3 2 2 2 3 2 4" xfId="17827" xr:uid="{00000000-0005-0000-0000-00002C0F0000}"/>
    <cellStyle name="Millares 2 3 2 2 2 3 2 4 2" xfId="44960" xr:uid="{00000000-0005-0000-0000-00002D0F0000}"/>
    <cellStyle name="Millares 2 3 2 2 2 3 2 5" xfId="31398" xr:uid="{00000000-0005-0000-0000-00002E0F0000}"/>
    <cellStyle name="Millares 2 3 2 2 2 3 3" xfId="4029" xr:uid="{00000000-0005-0000-0000-00002F0F0000}"/>
    <cellStyle name="Millares 2 3 2 2 2 3 3 2" xfId="7640" xr:uid="{00000000-0005-0000-0000-0000300F0000}"/>
    <cellStyle name="Millares 2 3 2 2 2 3 3 2 2" xfId="14430" xr:uid="{00000000-0005-0000-0000-0000310F0000}"/>
    <cellStyle name="Millares 2 3 2 2 2 3 3 2 2 2" xfId="27998" xr:uid="{00000000-0005-0000-0000-0000320F0000}"/>
    <cellStyle name="Millares 2 3 2 2 2 3 3 2 2 2 2" xfId="55131" xr:uid="{00000000-0005-0000-0000-0000330F0000}"/>
    <cellStyle name="Millares 2 3 2 2 2 3 3 2 2 3" xfId="41569" xr:uid="{00000000-0005-0000-0000-0000340F0000}"/>
    <cellStyle name="Millares 2 3 2 2 2 3 3 2 3" xfId="21217" xr:uid="{00000000-0005-0000-0000-0000350F0000}"/>
    <cellStyle name="Millares 2 3 2 2 2 3 3 2 3 2" xfId="48350" xr:uid="{00000000-0005-0000-0000-0000360F0000}"/>
    <cellStyle name="Millares 2 3 2 2 2 3 3 2 4" xfId="34788" xr:uid="{00000000-0005-0000-0000-0000370F0000}"/>
    <cellStyle name="Millares 2 3 2 2 2 3 3 3" xfId="11041" xr:uid="{00000000-0005-0000-0000-0000380F0000}"/>
    <cellStyle name="Millares 2 3 2 2 2 3 3 3 2" xfId="24609" xr:uid="{00000000-0005-0000-0000-0000390F0000}"/>
    <cellStyle name="Millares 2 3 2 2 2 3 3 3 2 2" xfId="51742" xr:uid="{00000000-0005-0000-0000-00003A0F0000}"/>
    <cellStyle name="Millares 2 3 2 2 2 3 3 3 3" xfId="38180" xr:uid="{00000000-0005-0000-0000-00003B0F0000}"/>
    <cellStyle name="Millares 2 3 2 2 2 3 3 4" xfId="17828" xr:uid="{00000000-0005-0000-0000-00003C0F0000}"/>
    <cellStyle name="Millares 2 3 2 2 2 3 3 4 2" xfId="44961" xr:uid="{00000000-0005-0000-0000-00003D0F0000}"/>
    <cellStyle name="Millares 2 3 2 2 2 3 3 5" xfId="31399" xr:uid="{00000000-0005-0000-0000-00003E0F0000}"/>
    <cellStyle name="Millares 2 3 2 2 2 3 4" xfId="7638" xr:uid="{00000000-0005-0000-0000-00003F0F0000}"/>
    <cellStyle name="Millares 2 3 2 2 2 3 4 2" xfId="14428" xr:uid="{00000000-0005-0000-0000-0000400F0000}"/>
    <cellStyle name="Millares 2 3 2 2 2 3 4 2 2" xfId="27996" xr:uid="{00000000-0005-0000-0000-0000410F0000}"/>
    <cellStyle name="Millares 2 3 2 2 2 3 4 2 2 2" xfId="55129" xr:uid="{00000000-0005-0000-0000-0000420F0000}"/>
    <cellStyle name="Millares 2 3 2 2 2 3 4 2 3" xfId="41567" xr:uid="{00000000-0005-0000-0000-0000430F0000}"/>
    <cellStyle name="Millares 2 3 2 2 2 3 4 3" xfId="21215" xr:uid="{00000000-0005-0000-0000-0000440F0000}"/>
    <cellStyle name="Millares 2 3 2 2 2 3 4 3 2" xfId="48348" xr:uid="{00000000-0005-0000-0000-0000450F0000}"/>
    <cellStyle name="Millares 2 3 2 2 2 3 4 4" xfId="34786" xr:uid="{00000000-0005-0000-0000-0000460F0000}"/>
    <cellStyle name="Millares 2 3 2 2 2 3 5" xfId="11039" xr:uid="{00000000-0005-0000-0000-0000470F0000}"/>
    <cellStyle name="Millares 2 3 2 2 2 3 5 2" xfId="24607" xr:uid="{00000000-0005-0000-0000-0000480F0000}"/>
    <cellStyle name="Millares 2 3 2 2 2 3 5 2 2" xfId="51740" xr:uid="{00000000-0005-0000-0000-0000490F0000}"/>
    <cellStyle name="Millares 2 3 2 2 2 3 5 3" xfId="38178" xr:uid="{00000000-0005-0000-0000-00004A0F0000}"/>
    <cellStyle name="Millares 2 3 2 2 2 3 6" xfId="17826" xr:uid="{00000000-0005-0000-0000-00004B0F0000}"/>
    <cellStyle name="Millares 2 3 2 2 2 3 6 2" xfId="44959" xr:uid="{00000000-0005-0000-0000-00004C0F0000}"/>
    <cellStyle name="Millares 2 3 2 2 2 3 7" xfId="31397" xr:uid="{00000000-0005-0000-0000-00004D0F0000}"/>
    <cellStyle name="Millares 2 3 2 2 2 4" xfId="4030" xr:uid="{00000000-0005-0000-0000-00004E0F0000}"/>
    <cellStyle name="Millares 2 3 2 2 2 4 2" xfId="4031" xr:uid="{00000000-0005-0000-0000-00004F0F0000}"/>
    <cellStyle name="Millares 2 3 2 2 2 4 2 2" xfId="7642" xr:uid="{00000000-0005-0000-0000-0000500F0000}"/>
    <cellStyle name="Millares 2 3 2 2 2 4 2 2 2" xfId="14432" xr:uid="{00000000-0005-0000-0000-0000510F0000}"/>
    <cellStyle name="Millares 2 3 2 2 2 4 2 2 2 2" xfId="28000" xr:uid="{00000000-0005-0000-0000-0000520F0000}"/>
    <cellStyle name="Millares 2 3 2 2 2 4 2 2 2 2 2" xfId="55133" xr:uid="{00000000-0005-0000-0000-0000530F0000}"/>
    <cellStyle name="Millares 2 3 2 2 2 4 2 2 2 3" xfId="41571" xr:uid="{00000000-0005-0000-0000-0000540F0000}"/>
    <cellStyle name="Millares 2 3 2 2 2 4 2 2 3" xfId="21219" xr:uid="{00000000-0005-0000-0000-0000550F0000}"/>
    <cellStyle name="Millares 2 3 2 2 2 4 2 2 3 2" xfId="48352" xr:uid="{00000000-0005-0000-0000-0000560F0000}"/>
    <cellStyle name="Millares 2 3 2 2 2 4 2 2 4" xfId="34790" xr:uid="{00000000-0005-0000-0000-0000570F0000}"/>
    <cellStyle name="Millares 2 3 2 2 2 4 2 3" xfId="11043" xr:uid="{00000000-0005-0000-0000-0000580F0000}"/>
    <cellStyle name="Millares 2 3 2 2 2 4 2 3 2" xfId="24611" xr:uid="{00000000-0005-0000-0000-0000590F0000}"/>
    <cellStyle name="Millares 2 3 2 2 2 4 2 3 2 2" xfId="51744" xr:uid="{00000000-0005-0000-0000-00005A0F0000}"/>
    <cellStyle name="Millares 2 3 2 2 2 4 2 3 3" xfId="38182" xr:uid="{00000000-0005-0000-0000-00005B0F0000}"/>
    <cellStyle name="Millares 2 3 2 2 2 4 2 4" xfId="17830" xr:uid="{00000000-0005-0000-0000-00005C0F0000}"/>
    <cellStyle name="Millares 2 3 2 2 2 4 2 4 2" xfId="44963" xr:uid="{00000000-0005-0000-0000-00005D0F0000}"/>
    <cellStyle name="Millares 2 3 2 2 2 4 2 5" xfId="31401" xr:uid="{00000000-0005-0000-0000-00005E0F0000}"/>
    <cellStyle name="Millares 2 3 2 2 2 4 3" xfId="7641" xr:uid="{00000000-0005-0000-0000-00005F0F0000}"/>
    <cellStyle name="Millares 2 3 2 2 2 4 3 2" xfId="14431" xr:uid="{00000000-0005-0000-0000-0000600F0000}"/>
    <cellStyle name="Millares 2 3 2 2 2 4 3 2 2" xfId="27999" xr:uid="{00000000-0005-0000-0000-0000610F0000}"/>
    <cellStyle name="Millares 2 3 2 2 2 4 3 2 2 2" xfId="55132" xr:uid="{00000000-0005-0000-0000-0000620F0000}"/>
    <cellStyle name="Millares 2 3 2 2 2 4 3 2 3" xfId="41570" xr:uid="{00000000-0005-0000-0000-0000630F0000}"/>
    <cellStyle name="Millares 2 3 2 2 2 4 3 3" xfId="21218" xr:uid="{00000000-0005-0000-0000-0000640F0000}"/>
    <cellStyle name="Millares 2 3 2 2 2 4 3 3 2" xfId="48351" xr:uid="{00000000-0005-0000-0000-0000650F0000}"/>
    <cellStyle name="Millares 2 3 2 2 2 4 3 4" xfId="34789" xr:uid="{00000000-0005-0000-0000-0000660F0000}"/>
    <cellStyle name="Millares 2 3 2 2 2 4 4" xfId="11042" xr:uid="{00000000-0005-0000-0000-0000670F0000}"/>
    <cellStyle name="Millares 2 3 2 2 2 4 4 2" xfId="24610" xr:uid="{00000000-0005-0000-0000-0000680F0000}"/>
    <cellStyle name="Millares 2 3 2 2 2 4 4 2 2" xfId="51743" xr:uid="{00000000-0005-0000-0000-0000690F0000}"/>
    <cellStyle name="Millares 2 3 2 2 2 4 4 3" xfId="38181" xr:uid="{00000000-0005-0000-0000-00006A0F0000}"/>
    <cellStyle name="Millares 2 3 2 2 2 4 5" xfId="17829" xr:uid="{00000000-0005-0000-0000-00006B0F0000}"/>
    <cellStyle name="Millares 2 3 2 2 2 4 5 2" xfId="44962" xr:uid="{00000000-0005-0000-0000-00006C0F0000}"/>
    <cellStyle name="Millares 2 3 2 2 2 4 6" xfId="31400" xr:uid="{00000000-0005-0000-0000-00006D0F0000}"/>
    <cellStyle name="Millares 2 3 2 2 2 5" xfId="4032" xr:uid="{00000000-0005-0000-0000-00006E0F0000}"/>
    <cellStyle name="Millares 2 3 2 2 2 5 2" xfId="7643" xr:uid="{00000000-0005-0000-0000-00006F0F0000}"/>
    <cellStyle name="Millares 2 3 2 2 2 5 2 2" xfId="14433" xr:uid="{00000000-0005-0000-0000-0000700F0000}"/>
    <cellStyle name="Millares 2 3 2 2 2 5 2 2 2" xfId="28001" xr:uid="{00000000-0005-0000-0000-0000710F0000}"/>
    <cellStyle name="Millares 2 3 2 2 2 5 2 2 2 2" xfId="55134" xr:uid="{00000000-0005-0000-0000-0000720F0000}"/>
    <cellStyle name="Millares 2 3 2 2 2 5 2 2 3" xfId="41572" xr:uid="{00000000-0005-0000-0000-0000730F0000}"/>
    <cellStyle name="Millares 2 3 2 2 2 5 2 3" xfId="21220" xr:uid="{00000000-0005-0000-0000-0000740F0000}"/>
    <cellStyle name="Millares 2 3 2 2 2 5 2 3 2" xfId="48353" xr:uid="{00000000-0005-0000-0000-0000750F0000}"/>
    <cellStyle name="Millares 2 3 2 2 2 5 2 4" xfId="34791" xr:uid="{00000000-0005-0000-0000-0000760F0000}"/>
    <cellStyle name="Millares 2 3 2 2 2 5 3" xfId="11044" xr:uid="{00000000-0005-0000-0000-0000770F0000}"/>
    <cellStyle name="Millares 2 3 2 2 2 5 3 2" xfId="24612" xr:uid="{00000000-0005-0000-0000-0000780F0000}"/>
    <cellStyle name="Millares 2 3 2 2 2 5 3 2 2" xfId="51745" xr:uid="{00000000-0005-0000-0000-0000790F0000}"/>
    <cellStyle name="Millares 2 3 2 2 2 5 3 3" xfId="38183" xr:uid="{00000000-0005-0000-0000-00007A0F0000}"/>
    <cellStyle name="Millares 2 3 2 2 2 5 4" xfId="17831" xr:uid="{00000000-0005-0000-0000-00007B0F0000}"/>
    <cellStyle name="Millares 2 3 2 2 2 5 4 2" xfId="44964" xr:uid="{00000000-0005-0000-0000-00007C0F0000}"/>
    <cellStyle name="Millares 2 3 2 2 2 5 5" xfId="31402" xr:uid="{00000000-0005-0000-0000-00007D0F0000}"/>
    <cellStyle name="Millares 2 3 2 2 2 6" xfId="4033" xr:uid="{00000000-0005-0000-0000-00007E0F0000}"/>
    <cellStyle name="Millares 2 3 2 2 2 6 2" xfId="7644" xr:uid="{00000000-0005-0000-0000-00007F0F0000}"/>
    <cellStyle name="Millares 2 3 2 2 2 6 2 2" xfId="14434" xr:uid="{00000000-0005-0000-0000-0000800F0000}"/>
    <cellStyle name="Millares 2 3 2 2 2 6 2 2 2" xfId="28002" xr:uid="{00000000-0005-0000-0000-0000810F0000}"/>
    <cellStyle name="Millares 2 3 2 2 2 6 2 2 2 2" xfId="55135" xr:uid="{00000000-0005-0000-0000-0000820F0000}"/>
    <cellStyle name="Millares 2 3 2 2 2 6 2 2 3" xfId="41573" xr:uid="{00000000-0005-0000-0000-0000830F0000}"/>
    <cellStyle name="Millares 2 3 2 2 2 6 2 3" xfId="21221" xr:uid="{00000000-0005-0000-0000-0000840F0000}"/>
    <cellStyle name="Millares 2 3 2 2 2 6 2 3 2" xfId="48354" xr:uid="{00000000-0005-0000-0000-0000850F0000}"/>
    <cellStyle name="Millares 2 3 2 2 2 6 2 4" xfId="34792" xr:uid="{00000000-0005-0000-0000-0000860F0000}"/>
    <cellStyle name="Millares 2 3 2 2 2 6 3" xfId="11045" xr:uid="{00000000-0005-0000-0000-0000870F0000}"/>
    <cellStyle name="Millares 2 3 2 2 2 6 3 2" xfId="24613" xr:uid="{00000000-0005-0000-0000-0000880F0000}"/>
    <cellStyle name="Millares 2 3 2 2 2 6 3 2 2" xfId="51746" xr:uid="{00000000-0005-0000-0000-0000890F0000}"/>
    <cellStyle name="Millares 2 3 2 2 2 6 3 3" xfId="38184" xr:uid="{00000000-0005-0000-0000-00008A0F0000}"/>
    <cellStyle name="Millares 2 3 2 2 2 6 4" xfId="17832" xr:uid="{00000000-0005-0000-0000-00008B0F0000}"/>
    <cellStyle name="Millares 2 3 2 2 2 6 4 2" xfId="44965" xr:uid="{00000000-0005-0000-0000-00008C0F0000}"/>
    <cellStyle name="Millares 2 3 2 2 2 6 5" xfId="31403" xr:uid="{00000000-0005-0000-0000-00008D0F0000}"/>
    <cellStyle name="Millares 2 3 2 2 2 7" xfId="7629" xr:uid="{00000000-0005-0000-0000-00008E0F0000}"/>
    <cellStyle name="Millares 2 3 2 2 2 7 2" xfId="14419" xr:uid="{00000000-0005-0000-0000-00008F0F0000}"/>
    <cellStyle name="Millares 2 3 2 2 2 7 2 2" xfId="27987" xr:uid="{00000000-0005-0000-0000-0000900F0000}"/>
    <cellStyle name="Millares 2 3 2 2 2 7 2 2 2" xfId="55120" xr:uid="{00000000-0005-0000-0000-0000910F0000}"/>
    <cellStyle name="Millares 2 3 2 2 2 7 2 3" xfId="41558" xr:uid="{00000000-0005-0000-0000-0000920F0000}"/>
    <cellStyle name="Millares 2 3 2 2 2 7 3" xfId="21206" xr:uid="{00000000-0005-0000-0000-0000930F0000}"/>
    <cellStyle name="Millares 2 3 2 2 2 7 3 2" xfId="48339" xr:uid="{00000000-0005-0000-0000-0000940F0000}"/>
    <cellStyle name="Millares 2 3 2 2 2 7 4" xfId="34777" xr:uid="{00000000-0005-0000-0000-0000950F0000}"/>
    <cellStyle name="Millares 2 3 2 2 2 8" xfId="11030" xr:uid="{00000000-0005-0000-0000-0000960F0000}"/>
    <cellStyle name="Millares 2 3 2 2 2 8 2" xfId="24598" xr:uid="{00000000-0005-0000-0000-0000970F0000}"/>
    <cellStyle name="Millares 2 3 2 2 2 8 2 2" xfId="51731" xr:uid="{00000000-0005-0000-0000-0000980F0000}"/>
    <cellStyle name="Millares 2 3 2 2 2 8 3" xfId="38169" xr:uid="{00000000-0005-0000-0000-0000990F0000}"/>
    <cellStyle name="Millares 2 3 2 2 2 9" xfId="17817" xr:uid="{00000000-0005-0000-0000-00009A0F0000}"/>
    <cellStyle name="Millares 2 3 2 2 2 9 2" xfId="44950" xr:uid="{00000000-0005-0000-0000-00009B0F0000}"/>
    <cellStyle name="Millares 2 3 2 2 3" xfId="4034" xr:uid="{00000000-0005-0000-0000-00009C0F0000}"/>
    <cellStyle name="Millares 2 3 2 2 3 2" xfId="4035" xr:uid="{00000000-0005-0000-0000-00009D0F0000}"/>
    <cellStyle name="Millares 2 3 2 2 3 2 2" xfId="4036" xr:uid="{00000000-0005-0000-0000-00009E0F0000}"/>
    <cellStyle name="Millares 2 3 2 2 3 2 2 2" xfId="7647" xr:uid="{00000000-0005-0000-0000-00009F0F0000}"/>
    <cellStyle name="Millares 2 3 2 2 3 2 2 2 2" xfId="14437" xr:uid="{00000000-0005-0000-0000-0000A00F0000}"/>
    <cellStyle name="Millares 2 3 2 2 3 2 2 2 2 2" xfId="28005" xr:uid="{00000000-0005-0000-0000-0000A10F0000}"/>
    <cellStyle name="Millares 2 3 2 2 3 2 2 2 2 2 2" xfId="55138" xr:uid="{00000000-0005-0000-0000-0000A20F0000}"/>
    <cellStyle name="Millares 2 3 2 2 3 2 2 2 2 3" xfId="41576" xr:uid="{00000000-0005-0000-0000-0000A30F0000}"/>
    <cellStyle name="Millares 2 3 2 2 3 2 2 2 3" xfId="21224" xr:uid="{00000000-0005-0000-0000-0000A40F0000}"/>
    <cellStyle name="Millares 2 3 2 2 3 2 2 2 3 2" xfId="48357" xr:uid="{00000000-0005-0000-0000-0000A50F0000}"/>
    <cellStyle name="Millares 2 3 2 2 3 2 2 2 4" xfId="34795" xr:uid="{00000000-0005-0000-0000-0000A60F0000}"/>
    <cellStyle name="Millares 2 3 2 2 3 2 2 3" xfId="11048" xr:uid="{00000000-0005-0000-0000-0000A70F0000}"/>
    <cellStyle name="Millares 2 3 2 2 3 2 2 3 2" xfId="24616" xr:uid="{00000000-0005-0000-0000-0000A80F0000}"/>
    <cellStyle name="Millares 2 3 2 2 3 2 2 3 2 2" xfId="51749" xr:uid="{00000000-0005-0000-0000-0000A90F0000}"/>
    <cellStyle name="Millares 2 3 2 2 3 2 2 3 3" xfId="38187" xr:uid="{00000000-0005-0000-0000-0000AA0F0000}"/>
    <cellStyle name="Millares 2 3 2 2 3 2 2 4" xfId="17835" xr:uid="{00000000-0005-0000-0000-0000AB0F0000}"/>
    <cellStyle name="Millares 2 3 2 2 3 2 2 4 2" xfId="44968" xr:uid="{00000000-0005-0000-0000-0000AC0F0000}"/>
    <cellStyle name="Millares 2 3 2 2 3 2 2 5" xfId="31406" xr:uid="{00000000-0005-0000-0000-0000AD0F0000}"/>
    <cellStyle name="Millares 2 3 2 2 3 2 3" xfId="4037" xr:uid="{00000000-0005-0000-0000-0000AE0F0000}"/>
    <cellStyle name="Millares 2 3 2 2 3 2 3 2" xfId="7648" xr:uid="{00000000-0005-0000-0000-0000AF0F0000}"/>
    <cellStyle name="Millares 2 3 2 2 3 2 3 2 2" xfId="14438" xr:uid="{00000000-0005-0000-0000-0000B00F0000}"/>
    <cellStyle name="Millares 2 3 2 2 3 2 3 2 2 2" xfId="28006" xr:uid="{00000000-0005-0000-0000-0000B10F0000}"/>
    <cellStyle name="Millares 2 3 2 2 3 2 3 2 2 2 2" xfId="55139" xr:uid="{00000000-0005-0000-0000-0000B20F0000}"/>
    <cellStyle name="Millares 2 3 2 2 3 2 3 2 2 3" xfId="41577" xr:uid="{00000000-0005-0000-0000-0000B30F0000}"/>
    <cellStyle name="Millares 2 3 2 2 3 2 3 2 3" xfId="21225" xr:uid="{00000000-0005-0000-0000-0000B40F0000}"/>
    <cellStyle name="Millares 2 3 2 2 3 2 3 2 3 2" xfId="48358" xr:uid="{00000000-0005-0000-0000-0000B50F0000}"/>
    <cellStyle name="Millares 2 3 2 2 3 2 3 2 4" xfId="34796" xr:uid="{00000000-0005-0000-0000-0000B60F0000}"/>
    <cellStyle name="Millares 2 3 2 2 3 2 3 3" xfId="11049" xr:uid="{00000000-0005-0000-0000-0000B70F0000}"/>
    <cellStyle name="Millares 2 3 2 2 3 2 3 3 2" xfId="24617" xr:uid="{00000000-0005-0000-0000-0000B80F0000}"/>
    <cellStyle name="Millares 2 3 2 2 3 2 3 3 2 2" xfId="51750" xr:uid="{00000000-0005-0000-0000-0000B90F0000}"/>
    <cellStyle name="Millares 2 3 2 2 3 2 3 3 3" xfId="38188" xr:uid="{00000000-0005-0000-0000-0000BA0F0000}"/>
    <cellStyle name="Millares 2 3 2 2 3 2 3 4" xfId="17836" xr:uid="{00000000-0005-0000-0000-0000BB0F0000}"/>
    <cellStyle name="Millares 2 3 2 2 3 2 3 4 2" xfId="44969" xr:uid="{00000000-0005-0000-0000-0000BC0F0000}"/>
    <cellStyle name="Millares 2 3 2 2 3 2 3 5" xfId="31407" xr:uid="{00000000-0005-0000-0000-0000BD0F0000}"/>
    <cellStyle name="Millares 2 3 2 2 3 2 4" xfId="7646" xr:uid="{00000000-0005-0000-0000-0000BE0F0000}"/>
    <cellStyle name="Millares 2 3 2 2 3 2 4 2" xfId="14436" xr:uid="{00000000-0005-0000-0000-0000BF0F0000}"/>
    <cellStyle name="Millares 2 3 2 2 3 2 4 2 2" xfId="28004" xr:uid="{00000000-0005-0000-0000-0000C00F0000}"/>
    <cellStyle name="Millares 2 3 2 2 3 2 4 2 2 2" xfId="55137" xr:uid="{00000000-0005-0000-0000-0000C10F0000}"/>
    <cellStyle name="Millares 2 3 2 2 3 2 4 2 3" xfId="41575" xr:uid="{00000000-0005-0000-0000-0000C20F0000}"/>
    <cellStyle name="Millares 2 3 2 2 3 2 4 3" xfId="21223" xr:uid="{00000000-0005-0000-0000-0000C30F0000}"/>
    <cellStyle name="Millares 2 3 2 2 3 2 4 3 2" xfId="48356" xr:uid="{00000000-0005-0000-0000-0000C40F0000}"/>
    <cellStyle name="Millares 2 3 2 2 3 2 4 4" xfId="34794" xr:uid="{00000000-0005-0000-0000-0000C50F0000}"/>
    <cellStyle name="Millares 2 3 2 2 3 2 5" xfId="11047" xr:uid="{00000000-0005-0000-0000-0000C60F0000}"/>
    <cellStyle name="Millares 2 3 2 2 3 2 5 2" xfId="24615" xr:uid="{00000000-0005-0000-0000-0000C70F0000}"/>
    <cellStyle name="Millares 2 3 2 2 3 2 5 2 2" xfId="51748" xr:uid="{00000000-0005-0000-0000-0000C80F0000}"/>
    <cellStyle name="Millares 2 3 2 2 3 2 5 3" xfId="38186" xr:uid="{00000000-0005-0000-0000-0000C90F0000}"/>
    <cellStyle name="Millares 2 3 2 2 3 2 6" xfId="17834" xr:uid="{00000000-0005-0000-0000-0000CA0F0000}"/>
    <cellStyle name="Millares 2 3 2 2 3 2 6 2" xfId="44967" xr:uid="{00000000-0005-0000-0000-0000CB0F0000}"/>
    <cellStyle name="Millares 2 3 2 2 3 2 7" xfId="31405" xr:uid="{00000000-0005-0000-0000-0000CC0F0000}"/>
    <cellStyle name="Millares 2 3 2 2 3 3" xfId="4038" xr:uid="{00000000-0005-0000-0000-0000CD0F0000}"/>
    <cellStyle name="Millares 2 3 2 2 3 3 2" xfId="4039" xr:uid="{00000000-0005-0000-0000-0000CE0F0000}"/>
    <cellStyle name="Millares 2 3 2 2 3 3 2 2" xfId="7650" xr:uid="{00000000-0005-0000-0000-0000CF0F0000}"/>
    <cellStyle name="Millares 2 3 2 2 3 3 2 2 2" xfId="14440" xr:uid="{00000000-0005-0000-0000-0000D00F0000}"/>
    <cellStyle name="Millares 2 3 2 2 3 3 2 2 2 2" xfId="28008" xr:uid="{00000000-0005-0000-0000-0000D10F0000}"/>
    <cellStyle name="Millares 2 3 2 2 3 3 2 2 2 2 2" xfId="55141" xr:uid="{00000000-0005-0000-0000-0000D20F0000}"/>
    <cellStyle name="Millares 2 3 2 2 3 3 2 2 2 3" xfId="41579" xr:uid="{00000000-0005-0000-0000-0000D30F0000}"/>
    <cellStyle name="Millares 2 3 2 2 3 3 2 2 3" xfId="21227" xr:uid="{00000000-0005-0000-0000-0000D40F0000}"/>
    <cellStyle name="Millares 2 3 2 2 3 3 2 2 3 2" xfId="48360" xr:uid="{00000000-0005-0000-0000-0000D50F0000}"/>
    <cellStyle name="Millares 2 3 2 2 3 3 2 2 4" xfId="34798" xr:uid="{00000000-0005-0000-0000-0000D60F0000}"/>
    <cellStyle name="Millares 2 3 2 2 3 3 2 3" xfId="11051" xr:uid="{00000000-0005-0000-0000-0000D70F0000}"/>
    <cellStyle name="Millares 2 3 2 2 3 3 2 3 2" xfId="24619" xr:uid="{00000000-0005-0000-0000-0000D80F0000}"/>
    <cellStyle name="Millares 2 3 2 2 3 3 2 3 2 2" xfId="51752" xr:uid="{00000000-0005-0000-0000-0000D90F0000}"/>
    <cellStyle name="Millares 2 3 2 2 3 3 2 3 3" xfId="38190" xr:uid="{00000000-0005-0000-0000-0000DA0F0000}"/>
    <cellStyle name="Millares 2 3 2 2 3 3 2 4" xfId="17838" xr:uid="{00000000-0005-0000-0000-0000DB0F0000}"/>
    <cellStyle name="Millares 2 3 2 2 3 3 2 4 2" xfId="44971" xr:uid="{00000000-0005-0000-0000-0000DC0F0000}"/>
    <cellStyle name="Millares 2 3 2 2 3 3 2 5" xfId="31409" xr:uid="{00000000-0005-0000-0000-0000DD0F0000}"/>
    <cellStyle name="Millares 2 3 2 2 3 3 3" xfId="7649" xr:uid="{00000000-0005-0000-0000-0000DE0F0000}"/>
    <cellStyle name="Millares 2 3 2 2 3 3 3 2" xfId="14439" xr:uid="{00000000-0005-0000-0000-0000DF0F0000}"/>
    <cellStyle name="Millares 2 3 2 2 3 3 3 2 2" xfId="28007" xr:uid="{00000000-0005-0000-0000-0000E00F0000}"/>
    <cellStyle name="Millares 2 3 2 2 3 3 3 2 2 2" xfId="55140" xr:uid="{00000000-0005-0000-0000-0000E10F0000}"/>
    <cellStyle name="Millares 2 3 2 2 3 3 3 2 3" xfId="41578" xr:uid="{00000000-0005-0000-0000-0000E20F0000}"/>
    <cellStyle name="Millares 2 3 2 2 3 3 3 3" xfId="21226" xr:uid="{00000000-0005-0000-0000-0000E30F0000}"/>
    <cellStyle name="Millares 2 3 2 2 3 3 3 3 2" xfId="48359" xr:uid="{00000000-0005-0000-0000-0000E40F0000}"/>
    <cellStyle name="Millares 2 3 2 2 3 3 3 4" xfId="34797" xr:uid="{00000000-0005-0000-0000-0000E50F0000}"/>
    <cellStyle name="Millares 2 3 2 2 3 3 4" xfId="11050" xr:uid="{00000000-0005-0000-0000-0000E60F0000}"/>
    <cellStyle name="Millares 2 3 2 2 3 3 4 2" xfId="24618" xr:uid="{00000000-0005-0000-0000-0000E70F0000}"/>
    <cellStyle name="Millares 2 3 2 2 3 3 4 2 2" xfId="51751" xr:uid="{00000000-0005-0000-0000-0000E80F0000}"/>
    <cellStyle name="Millares 2 3 2 2 3 3 4 3" xfId="38189" xr:uid="{00000000-0005-0000-0000-0000E90F0000}"/>
    <cellStyle name="Millares 2 3 2 2 3 3 5" xfId="17837" xr:uid="{00000000-0005-0000-0000-0000EA0F0000}"/>
    <cellStyle name="Millares 2 3 2 2 3 3 5 2" xfId="44970" xr:uid="{00000000-0005-0000-0000-0000EB0F0000}"/>
    <cellStyle name="Millares 2 3 2 2 3 3 6" xfId="31408" xr:uid="{00000000-0005-0000-0000-0000EC0F0000}"/>
    <cellStyle name="Millares 2 3 2 2 3 4" xfId="4040" xr:uid="{00000000-0005-0000-0000-0000ED0F0000}"/>
    <cellStyle name="Millares 2 3 2 2 3 4 2" xfId="7651" xr:uid="{00000000-0005-0000-0000-0000EE0F0000}"/>
    <cellStyle name="Millares 2 3 2 2 3 4 2 2" xfId="14441" xr:uid="{00000000-0005-0000-0000-0000EF0F0000}"/>
    <cellStyle name="Millares 2 3 2 2 3 4 2 2 2" xfId="28009" xr:uid="{00000000-0005-0000-0000-0000F00F0000}"/>
    <cellStyle name="Millares 2 3 2 2 3 4 2 2 2 2" xfId="55142" xr:uid="{00000000-0005-0000-0000-0000F10F0000}"/>
    <cellStyle name="Millares 2 3 2 2 3 4 2 2 3" xfId="41580" xr:uid="{00000000-0005-0000-0000-0000F20F0000}"/>
    <cellStyle name="Millares 2 3 2 2 3 4 2 3" xfId="21228" xr:uid="{00000000-0005-0000-0000-0000F30F0000}"/>
    <cellStyle name="Millares 2 3 2 2 3 4 2 3 2" xfId="48361" xr:uid="{00000000-0005-0000-0000-0000F40F0000}"/>
    <cellStyle name="Millares 2 3 2 2 3 4 2 4" xfId="34799" xr:uid="{00000000-0005-0000-0000-0000F50F0000}"/>
    <cellStyle name="Millares 2 3 2 2 3 4 3" xfId="11052" xr:uid="{00000000-0005-0000-0000-0000F60F0000}"/>
    <cellStyle name="Millares 2 3 2 2 3 4 3 2" xfId="24620" xr:uid="{00000000-0005-0000-0000-0000F70F0000}"/>
    <cellStyle name="Millares 2 3 2 2 3 4 3 2 2" xfId="51753" xr:uid="{00000000-0005-0000-0000-0000F80F0000}"/>
    <cellStyle name="Millares 2 3 2 2 3 4 3 3" xfId="38191" xr:uid="{00000000-0005-0000-0000-0000F90F0000}"/>
    <cellStyle name="Millares 2 3 2 2 3 4 4" xfId="17839" xr:uid="{00000000-0005-0000-0000-0000FA0F0000}"/>
    <cellStyle name="Millares 2 3 2 2 3 4 4 2" xfId="44972" xr:uid="{00000000-0005-0000-0000-0000FB0F0000}"/>
    <cellStyle name="Millares 2 3 2 2 3 4 5" xfId="31410" xr:uid="{00000000-0005-0000-0000-0000FC0F0000}"/>
    <cellStyle name="Millares 2 3 2 2 3 5" xfId="4041" xr:uid="{00000000-0005-0000-0000-0000FD0F0000}"/>
    <cellStyle name="Millares 2 3 2 2 3 5 2" xfId="7652" xr:uid="{00000000-0005-0000-0000-0000FE0F0000}"/>
    <cellStyle name="Millares 2 3 2 2 3 5 2 2" xfId="14442" xr:uid="{00000000-0005-0000-0000-0000FF0F0000}"/>
    <cellStyle name="Millares 2 3 2 2 3 5 2 2 2" xfId="28010" xr:uid="{00000000-0005-0000-0000-000000100000}"/>
    <cellStyle name="Millares 2 3 2 2 3 5 2 2 2 2" xfId="55143" xr:uid="{00000000-0005-0000-0000-000001100000}"/>
    <cellStyle name="Millares 2 3 2 2 3 5 2 2 3" xfId="41581" xr:uid="{00000000-0005-0000-0000-000002100000}"/>
    <cellStyle name="Millares 2 3 2 2 3 5 2 3" xfId="21229" xr:uid="{00000000-0005-0000-0000-000003100000}"/>
    <cellStyle name="Millares 2 3 2 2 3 5 2 3 2" xfId="48362" xr:uid="{00000000-0005-0000-0000-000004100000}"/>
    <cellStyle name="Millares 2 3 2 2 3 5 2 4" xfId="34800" xr:uid="{00000000-0005-0000-0000-000005100000}"/>
    <cellStyle name="Millares 2 3 2 2 3 5 3" xfId="11053" xr:uid="{00000000-0005-0000-0000-000006100000}"/>
    <cellStyle name="Millares 2 3 2 2 3 5 3 2" xfId="24621" xr:uid="{00000000-0005-0000-0000-000007100000}"/>
    <cellStyle name="Millares 2 3 2 2 3 5 3 2 2" xfId="51754" xr:uid="{00000000-0005-0000-0000-000008100000}"/>
    <cellStyle name="Millares 2 3 2 2 3 5 3 3" xfId="38192" xr:uid="{00000000-0005-0000-0000-000009100000}"/>
    <cellStyle name="Millares 2 3 2 2 3 5 4" xfId="17840" xr:uid="{00000000-0005-0000-0000-00000A100000}"/>
    <cellStyle name="Millares 2 3 2 2 3 5 4 2" xfId="44973" xr:uid="{00000000-0005-0000-0000-00000B100000}"/>
    <cellStyle name="Millares 2 3 2 2 3 5 5" xfId="31411" xr:uid="{00000000-0005-0000-0000-00000C100000}"/>
    <cellStyle name="Millares 2 3 2 2 3 6" xfId="7645" xr:uid="{00000000-0005-0000-0000-00000D100000}"/>
    <cellStyle name="Millares 2 3 2 2 3 6 2" xfId="14435" xr:uid="{00000000-0005-0000-0000-00000E100000}"/>
    <cellStyle name="Millares 2 3 2 2 3 6 2 2" xfId="28003" xr:uid="{00000000-0005-0000-0000-00000F100000}"/>
    <cellStyle name="Millares 2 3 2 2 3 6 2 2 2" xfId="55136" xr:uid="{00000000-0005-0000-0000-000010100000}"/>
    <cellStyle name="Millares 2 3 2 2 3 6 2 3" xfId="41574" xr:uid="{00000000-0005-0000-0000-000011100000}"/>
    <cellStyle name="Millares 2 3 2 2 3 6 3" xfId="21222" xr:uid="{00000000-0005-0000-0000-000012100000}"/>
    <cellStyle name="Millares 2 3 2 2 3 6 3 2" xfId="48355" xr:uid="{00000000-0005-0000-0000-000013100000}"/>
    <cellStyle name="Millares 2 3 2 2 3 6 4" xfId="34793" xr:uid="{00000000-0005-0000-0000-000014100000}"/>
    <cellStyle name="Millares 2 3 2 2 3 7" xfId="11046" xr:uid="{00000000-0005-0000-0000-000015100000}"/>
    <cellStyle name="Millares 2 3 2 2 3 7 2" xfId="24614" xr:uid="{00000000-0005-0000-0000-000016100000}"/>
    <cellStyle name="Millares 2 3 2 2 3 7 2 2" xfId="51747" xr:uid="{00000000-0005-0000-0000-000017100000}"/>
    <cellStyle name="Millares 2 3 2 2 3 7 3" xfId="38185" xr:uid="{00000000-0005-0000-0000-000018100000}"/>
    <cellStyle name="Millares 2 3 2 2 3 8" xfId="17833" xr:uid="{00000000-0005-0000-0000-000019100000}"/>
    <cellStyle name="Millares 2 3 2 2 3 8 2" xfId="44966" xr:uid="{00000000-0005-0000-0000-00001A100000}"/>
    <cellStyle name="Millares 2 3 2 2 3 9" xfId="31404" xr:uid="{00000000-0005-0000-0000-00001B100000}"/>
    <cellStyle name="Millares 2 3 2 2 4" xfId="4042" xr:uid="{00000000-0005-0000-0000-00001C100000}"/>
    <cellStyle name="Millares 2 3 2 2 4 2" xfId="4043" xr:uid="{00000000-0005-0000-0000-00001D100000}"/>
    <cellStyle name="Millares 2 3 2 2 4 2 2" xfId="4044" xr:uid="{00000000-0005-0000-0000-00001E100000}"/>
    <cellStyle name="Millares 2 3 2 2 4 2 2 2" xfId="7655" xr:uid="{00000000-0005-0000-0000-00001F100000}"/>
    <cellStyle name="Millares 2 3 2 2 4 2 2 2 2" xfId="14445" xr:uid="{00000000-0005-0000-0000-000020100000}"/>
    <cellStyle name="Millares 2 3 2 2 4 2 2 2 2 2" xfId="28013" xr:uid="{00000000-0005-0000-0000-000021100000}"/>
    <cellStyle name="Millares 2 3 2 2 4 2 2 2 2 2 2" xfId="55146" xr:uid="{00000000-0005-0000-0000-000022100000}"/>
    <cellStyle name="Millares 2 3 2 2 4 2 2 2 2 3" xfId="41584" xr:uid="{00000000-0005-0000-0000-000023100000}"/>
    <cellStyle name="Millares 2 3 2 2 4 2 2 2 3" xfId="21232" xr:uid="{00000000-0005-0000-0000-000024100000}"/>
    <cellStyle name="Millares 2 3 2 2 4 2 2 2 3 2" xfId="48365" xr:uid="{00000000-0005-0000-0000-000025100000}"/>
    <cellStyle name="Millares 2 3 2 2 4 2 2 2 4" xfId="34803" xr:uid="{00000000-0005-0000-0000-000026100000}"/>
    <cellStyle name="Millares 2 3 2 2 4 2 2 3" xfId="11056" xr:uid="{00000000-0005-0000-0000-000027100000}"/>
    <cellStyle name="Millares 2 3 2 2 4 2 2 3 2" xfId="24624" xr:uid="{00000000-0005-0000-0000-000028100000}"/>
    <cellStyle name="Millares 2 3 2 2 4 2 2 3 2 2" xfId="51757" xr:uid="{00000000-0005-0000-0000-000029100000}"/>
    <cellStyle name="Millares 2 3 2 2 4 2 2 3 3" xfId="38195" xr:uid="{00000000-0005-0000-0000-00002A100000}"/>
    <cellStyle name="Millares 2 3 2 2 4 2 2 4" xfId="17843" xr:uid="{00000000-0005-0000-0000-00002B100000}"/>
    <cellStyle name="Millares 2 3 2 2 4 2 2 4 2" xfId="44976" xr:uid="{00000000-0005-0000-0000-00002C100000}"/>
    <cellStyle name="Millares 2 3 2 2 4 2 2 5" xfId="31414" xr:uid="{00000000-0005-0000-0000-00002D100000}"/>
    <cellStyle name="Millares 2 3 2 2 4 2 3" xfId="4045" xr:uid="{00000000-0005-0000-0000-00002E100000}"/>
    <cellStyle name="Millares 2 3 2 2 4 2 3 2" xfId="7656" xr:uid="{00000000-0005-0000-0000-00002F100000}"/>
    <cellStyle name="Millares 2 3 2 2 4 2 3 2 2" xfId="14446" xr:uid="{00000000-0005-0000-0000-000030100000}"/>
    <cellStyle name="Millares 2 3 2 2 4 2 3 2 2 2" xfId="28014" xr:uid="{00000000-0005-0000-0000-000031100000}"/>
    <cellStyle name="Millares 2 3 2 2 4 2 3 2 2 2 2" xfId="55147" xr:uid="{00000000-0005-0000-0000-000032100000}"/>
    <cellStyle name="Millares 2 3 2 2 4 2 3 2 2 3" xfId="41585" xr:uid="{00000000-0005-0000-0000-000033100000}"/>
    <cellStyle name="Millares 2 3 2 2 4 2 3 2 3" xfId="21233" xr:uid="{00000000-0005-0000-0000-000034100000}"/>
    <cellStyle name="Millares 2 3 2 2 4 2 3 2 3 2" xfId="48366" xr:uid="{00000000-0005-0000-0000-000035100000}"/>
    <cellStyle name="Millares 2 3 2 2 4 2 3 2 4" xfId="34804" xr:uid="{00000000-0005-0000-0000-000036100000}"/>
    <cellStyle name="Millares 2 3 2 2 4 2 3 3" xfId="11057" xr:uid="{00000000-0005-0000-0000-000037100000}"/>
    <cellStyle name="Millares 2 3 2 2 4 2 3 3 2" xfId="24625" xr:uid="{00000000-0005-0000-0000-000038100000}"/>
    <cellStyle name="Millares 2 3 2 2 4 2 3 3 2 2" xfId="51758" xr:uid="{00000000-0005-0000-0000-000039100000}"/>
    <cellStyle name="Millares 2 3 2 2 4 2 3 3 3" xfId="38196" xr:uid="{00000000-0005-0000-0000-00003A100000}"/>
    <cellStyle name="Millares 2 3 2 2 4 2 3 4" xfId="17844" xr:uid="{00000000-0005-0000-0000-00003B100000}"/>
    <cellStyle name="Millares 2 3 2 2 4 2 3 4 2" xfId="44977" xr:uid="{00000000-0005-0000-0000-00003C100000}"/>
    <cellStyle name="Millares 2 3 2 2 4 2 3 5" xfId="31415" xr:uid="{00000000-0005-0000-0000-00003D100000}"/>
    <cellStyle name="Millares 2 3 2 2 4 2 4" xfId="7654" xr:uid="{00000000-0005-0000-0000-00003E100000}"/>
    <cellStyle name="Millares 2 3 2 2 4 2 4 2" xfId="14444" xr:uid="{00000000-0005-0000-0000-00003F100000}"/>
    <cellStyle name="Millares 2 3 2 2 4 2 4 2 2" xfId="28012" xr:uid="{00000000-0005-0000-0000-000040100000}"/>
    <cellStyle name="Millares 2 3 2 2 4 2 4 2 2 2" xfId="55145" xr:uid="{00000000-0005-0000-0000-000041100000}"/>
    <cellStyle name="Millares 2 3 2 2 4 2 4 2 3" xfId="41583" xr:uid="{00000000-0005-0000-0000-000042100000}"/>
    <cellStyle name="Millares 2 3 2 2 4 2 4 3" xfId="21231" xr:uid="{00000000-0005-0000-0000-000043100000}"/>
    <cellStyle name="Millares 2 3 2 2 4 2 4 3 2" xfId="48364" xr:uid="{00000000-0005-0000-0000-000044100000}"/>
    <cellStyle name="Millares 2 3 2 2 4 2 4 4" xfId="34802" xr:uid="{00000000-0005-0000-0000-000045100000}"/>
    <cellStyle name="Millares 2 3 2 2 4 2 5" xfId="11055" xr:uid="{00000000-0005-0000-0000-000046100000}"/>
    <cellStyle name="Millares 2 3 2 2 4 2 5 2" xfId="24623" xr:uid="{00000000-0005-0000-0000-000047100000}"/>
    <cellStyle name="Millares 2 3 2 2 4 2 5 2 2" xfId="51756" xr:uid="{00000000-0005-0000-0000-000048100000}"/>
    <cellStyle name="Millares 2 3 2 2 4 2 5 3" xfId="38194" xr:uid="{00000000-0005-0000-0000-000049100000}"/>
    <cellStyle name="Millares 2 3 2 2 4 2 6" xfId="17842" xr:uid="{00000000-0005-0000-0000-00004A100000}"/>
    <cellStyle name="Millares 2 3 2 2 4 2 6 2" xfId="44975" xr:uid="{00000000-0005-0000-0000-00004B100000}"/>
    <cellStyle name="Millares 2 3 2 2 4 2 7" xfId="31413" xr:uid="{00000000-0005-0000-0000-00004C100000}"/>
    <cellStyle name="Millares 2 3 2 2 4 3" xfId="4046" xr:uid="{00000000-0005-0000-0000-00004D100000}"/>
    <cellStyle name="Millares 2 3 2 2 4 3 2" xfId="7657" xr:uid="{00000000-0005-0000-0000-00004E100000}"/>
    <cellStyle name="Millares 2 3 2 2 4 3 2 2" xfId="14447" xr:uid="{00000000-0005-0000-0000-00004F100000}"/>
    <cellStyle name="Millares 2 3 2 2 4 3 2 2 2" xfId="28015" xr:uid="{00000000-0005-0000-0000-000050100000}"/>
    <cellStyle name="Millares 2 3 2 2 4 3 2 2 2 2" xfId="55148" xr:uid="{00000000-0005-0000-0000-000051100000}"/>
    <cellStyle name="Millares 2 3 2 2 4 3 2 2 3" xfId="41586" xr:uid="{00000000-0005-0000-0000-000052100000}"/>
    <cellStyle name="Millares 2 3 2 2 4 3 2 3" xfId="21234" xr:uid="{00000000-0005-0000-0000-000053100000}"/>
    <cellStyle name="Millares 2 3 2 2 4 3 2 3 2" xfId="48367" xr:uid="{00000000-0005-0000-0000-000054100000}"/>
    <cellStyle name="Millares 2 3 2 2 4 3 2 4" xfId="34805" xr:uid="{00000000-0005-0000-0000-000055100000}"/>
    <cellStyle name="Millares 2 3 2 2 4 3 3" xfId="11058" xr:uid="{00000000-0005-0000-0000-000056100000}"/>
    <cellStyle name="Millares 2 3 2 2 4 3 3 2" xfId="24626" xr:uid="{00000000-0005-0000-0000-000057100000}"/>
    <cellStyle name="Millares 2 3 2 2 4 3 3 2 2" xfId="51759" xr:uid="{00000000-0005-0000-0000-000058100000}"/>
    <cellStyle name="Millares 2 3 2 2 4 3 3 3" xfId="38197" xr:uid="{00000000-0005-0000-0000-000059100000}"/>
    <cellStyle name="Millares 2 3 2 2 4 3 4" xfId="17845" xr:uid="{00000000-0005-0000-0000-00005A100000}"/>
    <cellStyle name="Millares 2 3 2 2 4 3 4 2" xfId="44978" xr:uid="{00000000-0005-0000-0000-00005B100000}"/>
    <cellStyle name="Millares 2 3 2 2 4 3 5" xfId="31416" xr:uid="{00000000-0005-0000-0000-00005C100000}"/>
    <cellStyle name="Millares 2 3 2 2 4 4" xfId="4047" xr:uid="{00000000-0005-0000-0000-00005D100000}"/>
    <cellStyle name="Millares 2 3 2 2 4 4 2" xfId="7658" xr:uid="{00000000-0005-0000-0000-00005E100000}"/>
    <cellStyle name="Millares 2 3 2 2 4 4 2 2" xfId="14448" xr:uid="{00000000-0005-0000-0000-00005F100000}"/>
    <cellStyle name="Millares 2 3 2 2 4 4 2 2 2" xfId="28016" xr:uid="{00000000-0005-0000-0000-000060100000}"/>
    <cellStyle name="Millares 2 3 2 2 4 4 2 2 2 2" xfId="55149" xr:uid="{00000000-0005-0000-0000-000061100000}"/>
    <cellStyle name="Millares 2 3 2 2 4 4 2 2 3" xfId="41587" xr:uid="{00000000-0005-0000-0000-000062100000}"/>
    <cellStyle name="Millares 2 3 2 2 4 4 2 3" xfId="21235" xr:uid="{00000000-0005-0000-0000-000063100000}"/>
    <cellStyle name="Millares 2 3 2 2 4 4 2 3 2" xfId="48368" xr:uid="{00000000-0005-0000-0000-000064100000}"/>
    <cellStyle name="Millares 2 3 2 2 4 4 2 4" xfId="34806" xr:uid="{00000000-0005-0000-0000-000065100000}"/>
    <cellStyle name="Millares 2 3 2 2 4 4 3" xfId="11059" xr:uid="{00000000-0005-0000-0000-000066100000}"/>
    <cellStyle name="Millares 2 3 2 2 4 4 3 2" xfId="24627" xr:uid="{00000000-0005-0000-0000-000067100000}"/>
    <cellStyle name="Millares 2 3 2 2 4 4 3 2 2" xfId="51760" xr:uid="{00000000-0005-0000-0000-000068100000}"/>
    <cellStyle name="Millares 2 3 2 2 4 4 3 3" xfId="38198" xr:uid="{00000000-0005-0000-0000-000069100000}"/>
    <cellStyle name="Millares 2 3 2 2 4 4 4" xfId="17846" xr:uid="{00000000-0005-0000-0000-00006A100000}"/>
    <cellStyle name="Millares 2 3 2 2 4 4 4 2" xfId="44979" xr:uid="{00000000-0005-0000-0000-00006B100000}"/>
    <cellStyle name="Millares 2 3 2 2 4 4 5" xfId="31417" xr:uid="{00000000-0005-0000-0000-00006C100000}"/>
    <cellStyle name="Millares 2 3 2 2 4 5" xfId="7653" xr:uid="{00000000-0005-0000-0000-00006D100000}"/>
    <cellStyle name="Millares 2 3 2 2 4 5 2" xfId="14443" xr:uid="{00000000-0005-0000-0000-00006E100000}"/>
    <cellStyle name="Millares 2 3 2 2 4 5 2 2" xfId="28011" xr:uid="{00000000-0005-0000-0000-00006F100000}"/>
    <cellStyle name="Millares 2 3 2 2 4 5 2 2 2" xfId="55144" xr:uid="{00000000-0005-0000-0000-000070100000}"/>
    <cellStyle name="Millares 2 3 2 2 4 5 2 3" xfId="41582" xr:uid="{00000000-0005-0000-0000-000071100000}"/>
    <cellStyle name="Millares 2 3 2 2 4 5 3" xfId="21230" xr:uid="{00000000-0005-0000-0000-000072100000}"/>
    <cellStyle name="Millares 2 3 2 2 4 5 3 2" xfId="48363" xr:uid="{00000000-0005-0000-0000-000073100000}"/>
    <cellStyle name="Millares 2 3 2 2 4 5 4" xfId="34801" xr:uid="{00000000-0005-0000-0000-000074100000}"/>
    <cellStyle name="Millares 2 3 2 2 4 6" xfId="11054" xr:uid="{00000000-0005-0000-0000-000075100000}"/>
    <cellStyle name="Millares 2 3 2 2 4 6 2" xfId="24622" xr:uid="{00000000-0005-0000-0000-000076100000}"/>
    <cellStyle name="Millares 2 3 2 2 4 6 2 2" xfId="51755" xr:uid="{00000000-0005-0000-0000-000077100000}"/>
    <cellStyle name="Millares 2 3 2 2 4 6 3" xfId="38193" xr:uid="{00000000-0005-0000-0000-000078100000}"/>
    <cellStyle name="Millares 2 3 2 2 4 7" xfId="17841" xr:uid="{00000000-0005-0000-0000-000079100000}"/>
    <cellStyle name="Millares 2 3 2 2 4 7 2" xfId="44974" xr:uid="{00000000-0005-0000-0000-00007A100000}"/>
    <cellStyle name="Millares 2 3 2 2 4 8" xfId="31412" xr:uid="{00000000-0005-0000-0000-00007B100000}"/>
    <cellStyle name="Millares 2 3 2 2 5" xfId="4048" xr:uid="{00000000-0005-0000-0000-00007C100000}"/>
    <cellStyle name="Millares 2 3 2 2 5 2" xfId="4049" xr:uid="{00000000-0005-0000-0000-00007D100000}"/>
    <cellStyle name="Millares 2 3 2 2 5 2 2" xfId="7660" xr:uid="{00000000-0005-0000-0000-00007E100000}"/>
    <cellStyle name="Millares 2 3 2 2 5 2 2 2" xfId="14450" xr:uid="{00000000-0005-0000-0000-00007F100000}"/>
    <cellStyle name="Millares 2 3 2 2 5 2 2 2 2" xfId="28018" xr:uid="{00000000-0005-0000-0000-000080100000}"/>
    <cellStyle name="Millares 2 3 2 2 5 2 2 2 2 2" xfId="55151" xr:uid="{00000000-0005-0000-0000-000081100000}"/>
    <cellStyle name="Millares 2 3 2 2 5 2 2 2 3" xfId="41589" xr:uid="{00000000-0005-0000-0000-000082100000}"/>
    <cellStyle name="Millares 2 3 2 2 5 2 2 3" xfId="21237" xr:uid="{00000000-0005-0000-0000-000083100000}"/>
    <cellStyle name="Millares 2 3 2 2 5 2 2 3 2" xfId="48370" xr:uid="{00000000-0005-0000-0000-000084100000}"/>
    <cellStyle name="Millares 2 3 2 2 5 2 2 4" xfId="34808" xr:uid="{00000000-0005-0000-0000-000085100000}"/>
    <cellStyle name="Millares 2 3 2 2 5 2 3" xfId="11061" xr:uid="{00000000-0005-0000-0000-000086100000}"/>
    <cellStyle name="Millares 2 3 2 2 5 2 3 2" xfId="24629" xr:uid="{00000000-0005-0000-0000-000087100000}"/>
    <cellStyle name="Millares 2 3 2 2 5 2 3 2 2" xfId="51762" xr:uid="{00000000-0005-0000-0000-000088100000}"/>
    <cellStyle name="Millares 2 3 2 2 5 2 3 3" xfId="38200" xr:uid="{00000000-0005-0000-0000-000089100000}"/>
    <cellStyle name="Millares 2 3 2 2 5 2 4" xfId="17848" xr:uid="{00000000-0005-0000-0000-00008A100000}"/>
    <cellStyle name="Millares 2 3 2 2 5 2 4 2" xfId="44981" xr:uid="{00000000-0005-0000-0000-00008B100000}"/>
    <cellStyle name="Millares 2 3 2 2 5 2 5" xfId="31419" xr:uid="{00000000-0005-0000-0000-00008C100000}"/>
    <cellStyle name="Millares 2 3 2 2 5 3" xfId="4050" xr:uid="{00000000-0005-0000-0000-00008D100000}"/>
    <cellStyle name="Millares 2 3 2 2 5 3 2" xfId="7661" xr:uid="{00000000-0005-0000-0000-00008E100000}"/>
    <cellStyle name="Millares 2 3 2 2 5 3 2 2" xfId="14451" xr:uid="{00000000-0005-0000-0000-00008F100000}"/>
    <cellStyle name="Millares 2 3 2 2 5 3 2 2 2" xfId="28019" xr:uid="{00000000-0005-0000-0000-000090100000}"/>
    <cellStyle name="Millares 2 3 2 2 5 3 2 2 2 2" xfId="55152" xr:uid="{00000000-0005-0000-0000-000091100000}"/>
    <cellStyle name="Millares 2 3 2 2 5 3 2 2 3" xfId="41590" xr:uid="{00000000-0005-0000-0000-000092100000}"/>
    <cellStyle name="Millares 2 3 2 2 5 3 2 3" xfId="21238" xr:uid="{00000000-0005-0000-0000-000093100000}"/>
    <cellStyle name="Millares 2 3 2 2 5 3 2 3 2" xfId="48371" xr:uid="{00000000-0005-0000-0000-000094100000}"/>
    <cellStyle name="Millares 2 3 2 2 5 3 2 4" xfId="34809" xr:uid="{00000000-0005-0000-0000-000095100000}"/>
    <cellStyle name="Millares 2 3 2 2 5 3 3" xfId="11062" xr:uid="{00000000-0005-0000-0000-000096100000}"/>
    <cellStyle name="Millares 2 3 2 2 5 3 3 2" xfId="24630" xr:uid="{00000000-0005-0000-0000-000097100000}"/>
    <cellStyle name="Millares 2 3 2 2 5 3 3 2 2" xfId="51763" xr:uid="{00000000-0005-0000-0000-000098100000}"/>
    <cellStyle name="Millares 2 3 2 2 5 3 3 3" xfId="38201" xr:uid="{00000000-0005-0000-0000-000099100000}"/>
    <cellStyle name="Millares 2 3 2 2 5 3 4" xfId="17849" xr:uid="{00000000-0005-0000-0000-00009A100000}"/>
    <cellStyle name="Millares 2 3 2 2 5 3 4 2" xfId="44982" xr:uid="{00000000-0005-0000-0000-00009B100000}"/>
    <cellStyle name="Millares 2 3 2 2 5 3 5" xfId="31420" xr:uid="{00000000-0005-0000-0000-00009C100000}"/>
    <cellStyle name="Millares 2 3 2 2 5 4" xfId="7659" xr:uid="{00000000-0005-0000-0000-00009D100000}"/>
    <cellStyle name="Millares 2 3 2 2 5 4 2" xfId="14449" xr:uid="{00000000-0005-0000-0000-00009E100000}"/>
    <cellStyle name="Millares 2 3 2 2 5 4 2 2" xfId="28017" xr:uid="{00000000-0005-0000-0000-00009F100000}"/>
    <cellStyle name="Millares 2 3 2 2 5 4 2 2 2" xfId="55150" xr:uid="{00000000-0005-0000-0000-0000A0100000}"/>
    <cellStyle name="Millares 2 3 2 2 5 4 2 3" xfId="41588" xr:uid="{00000000-0005-0000-0000-0000A1100000}"/>
    <cellStyle name="Millares 2 3 2 2 5 4 3" xfId="21236" xr:uid="{00000000-0005-0000-0000-0000A2100000}"/>
    <cellStyle name="Millares 2 3 2 2 5 4 3 2" xfId="48369" xr:uid="{00000000-0005-0000-0000-0000A3100000}"/>
    <cellStyle name="Millares 2 3 2 2 5 4 4" xfId="34807" xr:uid="{00000000-0005-0000-0000-0000A4100000}"/>
    <cellStyle name="Millares 2 3 2 2 5 5" xfId="11060" xr:uid="{00000000-0005-0000-0000-0000A5100000}"/>
    <cellStyle name="Millares 2 3 2 2 5 5 2" xfId="24628" xr:uid="{00000000-0005-0000-0000-0000A6100000}"/>
    <cellStyle name="Millares 2 3 2 2 5 5 2 2" xfId="51761" xr:uid="{00000000-0005-0000-0000-0000A7100000}"/>
    <cellStyle name="Millares 2 3 2 2 5 5 3" xfId="38199" xr:uid="{00000000-0005-0000-0000-0000A8100000}"/>
    <cellStyle name="Millares 2 3 2 2 5 6" xfId="17847" xr:uid="{00000000-0005-0000-0000-0000A9100000}"/>
    <cellStyle name="Millares 2 3 2 2 5 6 2" xfId="44980" xr:uid="{00000000-0005-0000-0000-0000AA100000}"/>
    <cellStyle name="Millares 2 3 2 2 5 7" xfId="31418" xr:uid="{00000000-0005-0000-0000-0000AB100000}"/>
    <cellStyle name="Millares 2 3 2 2 6" xfId="4051" xr:uid="{00000000-0005-0000-0000-0000AC100000}"/>
    <cellStyle name="Millares 2 3 2 2 6 2" xfId="4052" xr:uid="{00000000-0005-0000-0000-0000AD100000}"/>
    <cellStyle name="Millares 2 3 2 2 6 2 2" xfId="7663" xr:uid="{00000000-0005-0000-0000-0000AE100000}"/>
    <cellStyle name="Millares 2 3 2 2 6 2 2 2" xfId="14453" xr:uid="{00000000-0005-0000-0000-0000AF100000}"/>
    <cellStyle name="Millares 2 3 2 2 6 2 2 2 2" xfId="28021" xr:uid="{00000000-0005-0000-0000-0000B0100000}"/>
    <cellStyle name="Millares 2 3 2 2 6 2 2 2 2 2" xfId="55154" xr:uid="{00000000-0005-0000-0000-0000B1100000}"/>
    <cellStyle name="Millares 2 3 2 2 6 2 2 2 3" xfId="41592" xr:uid="{00000000-0005-0000-0000-0000B2100000}"/>
    <cellStyle name="Millares 2 3 2 2 6 2 2 3" xfId="21240" xr:uid="{00000000-0005-0000-0000-0000B3100000}"/>
    <cellStyle name="Millares 2 3 2 2 6 2 2 3 2" xfId="48373" xr:uid="{00000000-0005-0000-0000-0000B4100000}"/>
    <cellStyle name="Millares 2 3 2 2 6 2 2 4" xfId="34811" xr:uid="{00000000-0005-0000-0000-0000B5100000}"/>
    <cellStyle name="Millares 2 3 2 2 6 2 3" xfId="11064" xr:uid="{00000000-0005-0000-0000-0000B6100000}"/>
    <cellStyle name="Millares 2 3 2 2 6 2 3 2" xfId="24632" xr:uid="{00000000-0005-0000-0000-0000B7100000}"/>
    <cellStyle name="Millares 2 3 2 2 6 2 3 2 2" xfId="51765" xr:uid="{00000000-0005-0000-0000-0000B8100000}"/>
    <cellStyle name="Millares 2 3 2 2 6 2 3 3" xfId="38203" xr:uid="{00000000-0005-0000-0000-0000B9100000}"/>
    <cellStyle name="Millares 2 3 2 2 6 2 4" xfId="17851" xr:uid="{00000000-0005-0000-0000-0000BA100000}"/>
    <cellStyle name="Millares 2 3 2 2 6 2 4 2" xfId="44984" xr:uid="{00000000-0005-0000-0000-0000BB100000}"/>
    <cellStyle name="Millares 2 3 2 2 6 2 5" xfId="31422" xr:uid="{00000000-0005-0000-0000-0000BC100000}"/>
    <cellStyle name="Millares 2 3 2 2 6 3" xfId="4053" xr:uid="{00000000-0005-0000-0000-0000BD100000}"/>
    <cellStyle name="Millares 2 3 2 2 6 3 2" xfId="7664" xr:uid="{00000000-0005-0000-0000-0000BE100000}"/>
    <cellStyle name="Millares 2 3 2 2 6 3 2 2" xfId="14454" xr:uid="{00000000-0005-0000-0000-0000BF100000}"/>
    <cellStyle name="Millares 2 3 2 2 6 3 2 2 2" xfId="28022" xr:uid="{00000000-0005-0000-0000-0000C0100000}"/>
    <cellStyle name="Millares 2 3 2 2 6 3 2 2 2 2" xfId="55155" xr:uid="{00000000-0005-0000-0000-0000C1100000}"/>
    <cellStyle name="Millares 2 3 2 2 6 3 2 2 3" xfId="41593" xr:uid="{00000000-0005-0000-0000-0000C2100000}"/>
    <cellStyle name="Millares 2 3 2 2 6 3 2 3" xfId="21241" xr:uid="{00000000-0005-0000-0000-0000C3100000}"/>
    <cellStyle name="Millares 2 3 2 2 6 3 2 3 2" xfId="48374" xr:uid="{00000000-0005-0000-0000-0000C4100000}"/>
    <cellStyle name="Millares 2 3 2 2 6 3 2 4" xfId="34812" xr:uid="{00000000-0005-0000-0000-0000C5100000}"/>
    <cellStyle name="Millares 2 3 2 2 6 3 3" xfId="11065" xr:uid="{00000000-0005-0000-0000-0000C6100000}"/>
    <cellStyle name="Millares 2 3 2 2 6 3 3 2" xfId="24633" xr:uid="{00000000-0005-0000-0000-0000C7100000}"/>
    <cellStyle name="Millares 2 3 2 2 6 3 3 2 2" xfId="51766" xr:uid="{00000000-0005-0000-0000-0000C8100000}"/>
    <cellStyle name="Millares 2 3 2 2 6 3 3 3" xfId="38204" xr:uid="{00000000-0005-0000-0000-0000C9100000}"/>
    <cellStyle name="Millares 2 3 2 2 6 3 4" xfId="17852" xr:uid="{00000000-0005-0000-0000-0000CA100000}"/>
    <cellStyle name="Millares 2 3 2 2 6 3 4 2" xfId="44985" xr:uid="{00000000-0005-0000-0000-0000CB100000}"/>
    <cellStyle name="Millares 2 3 2 2 6 3 5" xfId="31423" xr:uid="{00000000-0005-0000-0000-0000CC100000}"/>
    <cellStyle name="Millares 2 3 2 2 6 4" xfId="7662" xr:uid="{00000000-0005-0000-0000-0000CD100000}"/>
    <cellStyle name="Millares 2 3 2 2 6 4 2" xfId="14452" xr:uid="{00000000-0005-0000-0000-0000CE100000}"/>
    <cellStyle name="Millares 2 3 2 2 6 4 2 2" xfId="28020" xr:uid="{00000000-0005-0000-0000-0000CF100000}"/>
    <cellStyle name="Millares 2 3 2 2 6 4 2 2 2" xfId="55153" xr:uid="{00000000-0005-0000-0000-0000D0100000}"/>
    <cellStyle name="Millares 2 3 2 2 6 4 2 3" xfId="41591" xr:uid="{00000000-0005-0000-0000-0000D1100000}"/>
    <cellStyle name="Millares 2 3 2 2 6 4 3" xfId="21239" xr:uid="{00000000-0005-0000-0000-0000D2100000}"/>
    <cellStyle name="Millares 2 3 2 2 6 4 3 2" xfId="48372" xr:uid="{00000000-0005-0000-0000-0000D3100000}"/>
    <cellStyle name="Millares 2 3 2 2 6 4 4" xfId="34810" xr:uid="{00000000-0005-0000-0000-0000D4100000}"/>
    <cellStyle name="Millares 2 3 2 2 6 5" xfId="11063" xr:uid="{00000000-0005-0000-0000-0000D5100000}"/>
    <cellStyle name="Millares 2 3 2 2 6 5 2" xfId="24631" xr:uid="{00000000-0005-0000-0000-0000D6100000}"/>
    <cellStyle name="Millares 2 3 2 2 6 5 2 2" xfId="51764" xr:uid="{00000000-0005-0000-0000-0000D7100000}"/>
    <cellStyle name="Millares 2 3 2 2 6 5 3" xfId="38202" xr:uid="{00000000-0005-0000-0000-0000D8100000}"/>
    <cellStyle name="Millares 2 3 2 2 6 6" xfId="17850" xr:uid="{00000000-0005-0000-0000-0000D9100000}"/>
    <cellStyle name="Millares 2 3 2 2 6 6 2" xfId="44983" xr:uid="{00000000-0005-0000-0000-0000DA100000}"/>
    <cellStyle name="Millares 2 3 2 2 6 7" xfId="31421" xr:uid="{00000000-0005-0000-0000-0000DB100000}"/>
    <cellStyle name="Millares 2 3 2 2 7" xfId="4054" xr:uid="{00000000-0005-0000-0000-0000DC100000}"/>
    <cellStyle name="Millares 2 3 2 2 7 2" xfId="7665" xr:uid="{00000000-0005-0000-0000-0000DD100000}"/>
    <cellStyle name="Millares 2 3 2 2 7 2 2" xfId="14455" xr:uid="{00000000-0005-0000-0000-0000DE100000}"/>
    <cellStyle name="Millares 2 3 2 2 7 2 2 2" xfId="28023" xr:uid="{00000000-0005-0000-0000-0000DF100000}"/>
    <cellStyle name="Millares 2 3 2 2 7 2 2 2 2" xfId="55156" xr:uid="{00000000-0005-0000-0000-0000E0100000}"/>
    <cellStyle name="Millares 2 3 2 2 7 2 2 3" xfId="41594" xr:uid="{00000000-0005-0000-0000-0000E1100000}"/>
    <cellStyle name="Millares 2 3 2 2 7 2 3" xfId="21242" xr:uid="{00000000-0005-0000-0000-0000E2100000}"/>
    <cellStyle name="Millares 2 3 2 2 7 2 3 2" xfId="48375" xr:uid="{00000000-0005-0000-0000-0000E3100000}"/>
    <cellStyle name="Millares 2 3 2 2 7 2 4" xfId="34813" xr:uid="{00000000-0005-0000-0000-0000E4100000}"/>
    <cellStyle name="Millares 2 3 2 2 7 3" xfId="11066" xr:uid="{00000000-0005-0000-0000-0000E5100000}"/>
    <cellStyle name="Millares 2 3 2 2 7 3 2" xfId="24634" xr:uid="{00000000-0005-0000-0000-0000E6100000}"/>
    <cellStyle name="Millares 2 3 2 2 7 3 2 2" xfId="51767" xr:uid="{00000000-0005-0000-0000-0000E7100000}"/>
    <cellStyle name="Millares 2 3 2 2 7 3 3" xfId="38205" xr:uid="{00000000-0005-0000-0000-0000E8100000}"/>
    <cellStyle name="Millares 2 3 2 2 7 4" xfId="17853" xr:uid="{00000000-0005-0000-0000-0000E9100000}"/>
    <cellStyle name="Millares 2 3 2 2 7 4 2" xfId="44986" xr:uid="{00000000-0005-0000-0000-0000EA100000}"/>
    <cellStyle name="Millares 2 3 2 2 7 5" xfId="31424" xr:uid="{00000000-0005-0000-0000-0000EB100000}"/>
    <cellStyle name="Millares 2 3 2 2 8" xfId="4055" xr:uid="{00000000-0005-0000-0000-0000EC100000}"/>
    <cellStyle name="Millares 2 3 2 2 8 2" xfId="7666" xr:uid="{00000000-0005-0000-0000-0000ED100000}"/>
    <cellStyle name="Millares 2 3 2 2 8 2 2" xfId="14456" xr:uid="{00000000-0005-0000-0000-0000EE100000}"/>
    <cellStyle name="Millares 2 3 2 2 8 2 2 2" xfId="28024" xr:uid="{00000000-0005-0000-0000-0000EF100000}"/>
    <cellStyle name="Millares 2 3 2 2 8 2 2 2 2" xfId="55157" xr:uid="{00000000-0005-0000-0000-0000F0100000}"/>
    <cellStyle name="Millares 2 3 2 2 8 2 2 3" xfId="41595" xr:uid="{00000000-0005-0000-0000-0000F1100000}"/>
    <cellStyle name="Millares 2 3 2 2 8 2 3" xfId="21243" xr:uid="{00000000-0005-0000-0000-0000F2100000}"/>
    <cellStyle name="Millares 2 3 2 2 8 2 3 2" xfId="48376" xr:uid="{00000000-0005-0000-0000-0000F3100000}"/>
    <cellStyle name="Millares 2 3 2 2 8 2 4" xfId="34814" xr:uid="{00000000-0005-0000-0000-0000F4100000}"/>
    <cellStyle name="Millares 2 3 2 2 8 3" xfId="11067" xr:uid="{00000000-0005-0000-0000-0000F5100000}"/>
    <cellStyle name="Millares 2 3 2 2 8 3 2" xfId="24635" xr:uid="{00000000-0005-0000-0000-0000F6100000}"/>
    <cellStyle name="Millares 2 3 2 2 8 3 2 2" xfId="51768" xr:uid="{00000000-0005-0000-0000-0000F7100000}"/>
    <cellStyle name="Millares 2 3 2 2 8 3 3" xfId="38206" xr:uid="{00000000-0005-0000-0000-0000F8100000}"/>
    <cellStyle name="Millares 2 3 2 2 8 4" xfId="17854" xr:uid="{00000000-0005-0000-0000-0000F9100000}"/>
    <cellStyle name="Millares 2 3 2 2 8 4 2" xfId="44987" xr:uid="{00000000-0005-0000-0000-0000FA100000}"/>
    <cellStyle name="Millares 2 3 2 2 8 5" xfId="31425" xr:uid="{00000000-0005-0000-0000-0000FB100000}"/>
    <cellStyle name="Millares 2 3 2 2 9" xfId="7628" xr:uid="{00000000-0005-0000-0000-0000FC100000}"/>
    <cellStyle name="Millares 2 3 2 2 9 2" xfId="14418" xr:uid="{00000000-0005-0000-0000-0000FD100000}"/>
    <cellStyle name="Millares 2 3 2 2 9 2 2" xfId="27986" xr:uid="{00000000-0005-0000-0000-0000FE100000}"/>
    <cellStyle name="Millares 2 3 2 2 9 2 2 2" xfId="55119" xr:uid="{00000000-0005-0000-0000-0000FF100000}"/>
    <cellStyle name="Millares 2 3 2 2 9 2 3" xfId="41557" xr:uid="{00000000-0005-0000-0000-000000110000}"/>
    <cellStyle name="Millares 2 3 2 2 9 3" xfId="21205" xr:uid="{00000000-0005-0000-0000-000001110000}"/>
    <cellStyle name="Millares 2 3 2 2 9 3 2" xfId="48338" xr:uid="{00000000-0005-0000-0000-000002110000}"/>
    <cellStyle name="Millares 2 3 2 2 9 4" xfId="34776" xr:uid="{00000000-0005-0000-0000-000003110000}"/>
    <cellStyle name="Millares 2 3 2 3" xfId="4056" xr:uid="{00000000-0005-0000-0000-000004110000}"/>
    <cellStyle name="Millares 2 3 2 3 10" xfId="31426" xr:uid="{00000000-0005-0000-0000-000005110000}"/>
    <cellStyle name="Millares 2 3 2 3 2" xfId="4057" xr:uid="{00000000-0005-0000-0000-000006110000}"/>
    <cellStyle name="Millares 2 3 2 3 2 2" xfId="4058" xr:uid="{00000000-0005-0000-0000-000007110000}"/>
    <cellStyle name="Millares 2 3 2 3 2 2 2" xfId="4059" xr:uid="{00000000-0005-0000-0000-000008110000}"/>
    <cellStyle name="Millares 2 3 2 3 2 2 2 2" xfId="7670" xr:uid="{00000000-0005-0000-0000-000009110000}"/>
    <cellStyle name="Millares 2 3 2 3 2 2 2 2 2" xfId="14460" xr:uid="{00000000-0005-0000-0000-00000A110000}"/>
    <cellStyle name="Millares 2 3 2 3 2 2 2 2 2 2" xfId="28028" xr:uid="{00000000-0005-0000-0000-00000B110000}"/>
    <cellStyle name="Millares 2 3 2 3 2 2 2 2 2 2 2" xfId="55161" xr:uid="{00000000-0005-0000-0000-00000C110000}"/>
    <cellStyle name="Millares 2 3 2 3 2 2 2 2 2 3" xfId="41599" xr:uid="{00000000-0005-0000-0000-00000D110000}"/>
    <cellStyle name="Millares 2 3 2 3 2 2 2 2 3" xfId="21247" xr:uid="{00000000-0005-0000-0000-00000E110000}"/>
    <cellStyle name="Millares 2 3 2 3 2 2 2 2 3 2" xfId="48380" xr:uid="{00000000-0005-0000-0000-00000F110000}"/>
    <cellStyle name="Millares 2 3 2 3 2 2 2 2 4" xfId="34818" xr:uid="{00000000-0005-0000-0000-000010110000}"/>
    <cellStyle name="Millares 2 3 2 3 2 2 2 3" xfId="11071" xr:uid="{00000000-0005-0000-0000-000011110000}"/>
    <cellStyle name="Millares 2 3 2 3 2 2 2 3 2" xfId="24639" xr:uid="{00000000-0005-0000-0000-000012110000}"/>
    <cellStyle name="Millares 2 3 2 3 2 2 2 3 2 2" xfId="51772" xr:uid="{00000000-0005-0000-0000-000013110000}"/>
    <cellStyle name="Millares 2 3 2 3 2 2 2 3 3" xfId="38210" xr:uid="{00000000-0005-0000-0000-000014110000}"/>
    <cellStyle name="Millares 2 3 2 3 2 2 2 4" xfId="17858" xr:uid="{00000000-0005-0000-0000-000015110000}"/>
    <cellStyle name="Millares 2 3 2 3 2 2 2 4 2" xfId="44991" xr:uid="{00000000-0005-0000-0000-000016110000}"/>
    <cellStyle name="Millares 2 3 2 3 2 2 2 5" xfId="31429" xr:uid="{00000000-0005-0000-0000-000017110000}"/>
    <cellStyle name="Millares 2 3 2 3 2 2 3" xfId="4060" xr:uid="{00000000-0005-0000-0000-000018110000}"/>
    <cellStyle name="Millares 2 3 2 3 2 2 3 2" xfId="7671" xr:uid="{00000000-0005-0000-0000-000019110000}"/>
    <cellStyle name="Millares 2 3 2 3 2 2 3 2 2" xfId="14461" xr:uid="{00000000-0005-0000-0000-00001A110000}"/>
    <cellStyle name="Millares 2 3 2 3 2 2 3 2 2 2" xfId="28029" xr:uid="{00000000-0005-0000-0000-00001B110000}"/>
    <cellStyle name="Millares 2 3 2 3 2 2 3 2 2 2 2" xfId="55162" xr:uid="{00000000-0005-0000-0000-00001C110000}"/>
    <cellStyle name="Millares 2 3 2 3 2 2 3 2 2 3" xfId="41600" xr:uid="{00000000-0005-0000-0000-00001D110000}"/>
    <cellStyle name="Millares 2 3 2 3 2 2 3 2 3" xfId="21248" xr:uid="{00000000-0005-0000-0000-00001E110000}"/>
    <cellStyle name="Millares 2 3 2 3 2 2 3 2 3 2" xfId="48381" xr:uid="{00000000-0005-0000-0000-00001F110000}"/>
    <cellStyle name="Millares 2 3 2 3 2 2 3 2 4" xfId="34819" xr:uid="{00000000-0005-0000-0000-000020110000}"/>
    <cellStyle name="Millares 2 3 2 3 2 2 3 3" xfId="11072" xr:uid="{00000000-0005-0000-0000-000021110000}"/>
    <cellStyle name="Millares 2 3 2 3 2 2 3 3 2" xfId="24640" xr:uid="{00000000-0005-0000-0000-000022110000}"/>
    <cellStyle name="Millares 2 3 2 3 2 2 3 3 2 2" xfId="51773" xr:uid="{00000000-0005-0000-0000-000023110000}"/>
    <cellStyle name="Millares 2 3 2 3 2 2 3 3 3" xfId="38211" xr:uid="{00000000-0005-0000-0000-000024110000}"/>
    <cellStyle name="Millares 2 3 2 3 2 2 3 4" xfId="17859" xr:uid="{00000000-0005-0000-0000-000025110000}"/>
    <cellStyle name="Millares 2 3 2 3 2 2 3 4 2" xfId="44992" xr:uid="{00000000-0005-0000-0000-000026110000}"/>
    <cellStyle name="Millares 2 3 2 3 2 2 3 5" xfId="31430" xr:uid="{00000000-0005-0000-0000-000027110000}"/>
    <cellStyle name="Millares 2 3 2 3 2 2 4" xfId="7669" xr:uid="{00000000-0005-0000-0000-000028110000}"/>
    <cellStyle name="Millares 2 3 2 3 2 2 4 2" xfId="14459" xr:uid="{00000000-0005-0000-0000-000029110000}"/>
    <cellStyle name="Millares 2 3 2 3 2 2 4 2 2" xfId="28027" xr:uid="{00000000-0005-0000-0000-00002A110000}"/>
    <cellStyle name="Millares 2 3 2 3 2 2 4 2 2 2" xfId="55160" xr:uid="{00000000-0005-0000-0000-00002B110000}"/>
    <cellStyle name="Millares 2 3 2 3 2 2 4 2 3" xfId="41598" xr:uid="{00000000-0005-0000-0000-00002C110000}"/>
    <cellStyle name="Millares 2 3 2 3 2 2 4 3" xfId="21246" xr:uid="{00000000-0005-0000-0000-00002D110000}"/>
    <cellStyle name="Millares 2 3 2 3 2 2 4 3 2" xfId="48379" xr:uid="{00000000-0005-0000-0000-00002E110000}"/>
    <cellStyle name="Millares 2 3 2 3 2 2 4 4" xfId="34817" xr:uid="{00000000-0005-0000-0000-00002F110000}"/>
    <cellStyle name="Millares 2 3 2 3 2 2 5" xfId="11070" xr:uid="{00000000-0005-0000-0000-000030110000}"/>
    <cellStyle name="Millares 2 3 2 3 2 2 5 2" xfId="24638" xr:uid="{00000000-0005-0000-0000-000031110000}"/>
    <cellStyle name="Millares 2 3 2 3 2 2 5 2 2" xfId="51771" xr:uid="{00000000-0005-0000-0000-000032110000}"/>
    <cellStyle name="Millares 2 3 2 3 2 2 5 3" xfId="38209" xr:uid="{00000000-0005-0000-0000-000033110000}"/>
    <cellStyle name="Millares 2 3 2 3 2 2 6" xfId="17857" xr:uid="{00000000-0005-0000-0000-000034110000}"/>
    <cellStyle name="Millares 2 3 2 3 2 2 6 2" xfId="44990" xr:uid="{00000000-0005-0000-0000-000035110000}"/>
    <cellStyle name="Millares 2 3 2 3 2 2 7" xfId="31428" xr:uid="{00000000-0005-0000-0000-000036110000}"/>
    <cellStyle name="Millares 2 3 2 3 2 3" xfId="4061" xr:uid="{00000000-0005-0000-0000-000037110000}"/>
    <cellStyle name="Millares 2 3 2 3 2 3 2" xfId="4062" xr:uid="{00000000-0005-0000-0000-000038110000}"/>
    <cellStyle name="Millares 2 3 2 3 2 3 2 2" xfId="7673" xr:uid="{00000000-0005-0000-0000-000039110000}"/>
    <cellStyle name="Millares 2 3 2 3 2 3 2 2 2" xfId="14463" xr:uid="{00000000-0005-0000-0000-00003A110000}"/>
    <cellStyle name="Millares 2 3 2 3 2 3 2 2 2 2" xfId="28031" xr:uid="{00000000-0005-0000-0000-00003B110000}"/>
    <cellStyle name="Millares 2 3 2 3 2 3 2 2 2 2 2" xfId="55164" xr:uid="{00000000-0005-0000-0000-00003C110000}"/>
    <cellStyle name="Millares 2 3 2 3 2 3 2 2 2 3" xfId="41602" xr:uid="{00000000-0005-0000-0000-00003D110000}"/>
    <cellStyle name="Millares 2 3 2 3 2 3 2 2 3" xfId="21250" xr:uid="{00000000-0005-0000-0000-00003E110000}"/>
    <cellStyle name="Millares 2 3 2 3 2 3 2 2 3 2" xfId="48383" xr:uid="{00000000-0005-0000-0000-00003F110000}"/>
    <cellStyle name="Millares 2 3 2 3 2 3 2 2 4" xfId="34821" xr:uid="{00000000-0005-0000-0000-000040110000}"/>
    <cellStyle name="Millares 2 3 2 3 2 3 2 3" xfId="11074" xr:uid="{00000000-0005-0000-0000-000041110000}"/>
    <cellStyle name="Millares 2 3 2 3 2 3 2 3 2" xfId="24642" xr:uid="{00000000-0005-0000-0000-000042110000}"/>
    <cellStyle name="Millares 2 3 2 3 2 3 2 3 2 2" xfId="51775" xr:uid="{00000000-0005-0000-0000-000043110000}"/>
    <cellStyle name="Millares 2 3 2 3 2 3 2 3 3" xfId="38213" xr:uid="{00000000-0005-0000-0000-000044110000}"/>
    <cellStyle name="Millares 2 3 2 3 2 3 2 4" xfId="17861" xr:uid="{00000000-0005-0000-0000-000045110000}"/>
    <cellStyle name="Millares 2 3 2 3 2 3 2 4 2" xfId="44994" xr:uid="{00000000-0005-0000-0000-000046110000}"/>
    <cellStyle name="Millares 2 3 2 3 2 3 2 5" xfId="31432" xr:uid="{00000000-0005-0000-0000-000047110000}"/>
    <cellStyle name="Millares 2 3 2 3 2 3 3" xfId="7672" xr:uid="{00000000-0005-0000-0000-000048110000}"/>
    <cellStyle name="Millares 2 3 2 3 2 3 3 2" xfId="14462" xr:uid="{00000000-0005-0000-0000-000049110000}"/>
    <cellStyle name="Millares 2 3 2 3 2 3 3 2 2" xfId="28030" xr:uid="{00000000-0005-0000-0000-00004A110000}"/>
    <cellStyle name="Millares 2 3 2 3 2 3 3 2 2 2" xfId="55163" xr:uid="{00000000-0005-0000-0000-00004B110000}"/>
    <cellStyle name="Millares 2 3 2 3 2 3 3 2 3" xfId="41601" xr:uid="{00000000-0005-0000-0000-00004C110000}"/>
    <cellStyle name="Millares 2 3 2 3 2 3 3 3" xfId="21249" xr:uid="{00000000-0005-0000-0000-00004D110000}"/>
    <cellStyle name="Millares 2 3 2 3 2 3 3 3 2" xfId="48382" xr:uid="{00000000-0005-0000-0000-00004E110000}"/>
    <cellStyle name="Millares 2 3 2 3 2 3 3 4" xfId="34820" xr:uid="{00000000-0005-0000-0000-00004F110000}"/>
    <cellStyle name="Millares 2 3 2 3 2 3 4" xfId="11073" xr:uid="{00000000-0005-0000-0000-000050110000}"/>
    <cellStyle name="Millares 2 3 2 3 2 3 4 2" xfId="24641" xr:uid="{00000000-0005-0000-0000-000051110000}"/>
    <cellStyle name="Millares 2 3 2 3 2 3 4 2 2" xfId="51774" xr:uid="{00000000-0005-0000-0000-000052110000}"/>
    <cellStyle name="Millares 2 3 2 3 2 3 4 3" xfId="38212" xr:uid="{00000000-0005-0000-0000-000053110000}"/>
    <cellStyle name="Millares 2 3 2 3 2 3 5" xfId="17860" xr:uid="{00000000-0005-0000-0000-000054110000}"/>
    <cellStyle name="Millares 2 3 2 3 2 3 5 2" xfId="44993" xr:uid="{00000000-0005-0000-0000-000055110000}"/>
    <cellStyle name="Millares 2 3 2 3 2 3 6" xfId="31431" xr:uid="{00000000-0005-0000-0000-000056110000}"/>
    <cellStyle name="Millares 2 3 2 3 2 4" xfId="4063" xr:uid="{00000000-0005-0000-0000-000057110000}"/>
    <cellStyle name="Millares 2 3 2 3 2 4 2" xfId="7674" xr:uid="{00000000-0005-0000-0000-000058110000}"/>
    <cellStyle name="Millares 2 3 2 3 2 4 2 2" xfId="14464" xr:uid="{00000000-0005-0000-0000-000059110000}"/>
    <cellStyle name="Millares 2 3 2 3 2 4 2 2 2" xfId="28032" xr:uid="{00000000-0005-0000-0000-00005A110000}"/>
    <cellStyle name="Millares 2 3 2 3 2 4 2 2 2 2" xfId="55165" xr:uid="{00000000-0005-0000-0000-00005B110000}"/>
    <cellStyle name="Millares 2 3 2 3 2 4 2 2 3" xfId="41603" xr:uid="{00000000-0005-0000-0000-00005C110000}"/>
    <cellStyle name="Millares 2 3 2 3 2 4 2 3" xfId="21251" xr:uid="{00000000-0005-0000-0000-00005D110000}"/>
    <cellStyle name="Millares 2 3 2 3 2 4 2 3 2" xfId="48384" xr:uid="{00000000-0005-0000-0000-00005E110000}"/>
    <cellStyle name="Millares 2 3 2 3 2 4 2 4" xfId="34822" xr:uid="{00000000-0005-0000-0000-00005F110000}"/>
    <cellStyle name="Millares 2 3 2 3 2 4 3" xfId="11075" xr:uid="{00000000-0005-0000-0000-000060110000}"/>
    <cellStyle name="Millares 2 3 2 3 2 4 3 2" xfId="24643" xr:uid="{00000000-0005-0000-0000-000061110000}"/>
    <cellStyle name="Millares 2 3 2 3 2 4 3 2 2" xfId="51776" xr:uid="{00000000-0005-0000-0000-000062110000}"/>
    <cellStyle name="Millares 2 3 2 3 2 4 3 3" xfId="38214" xr:uid="{00000000-0005-0000-0000-000063110000}"/>
    <cellStyle name="Millares 2 3 2 3 2 4 4" xfId="17862" xr:uid="{00000000-0005-0000-0000-000064110000}"/>
    <cellStyle name="Millares 2 3 2 3 2 4 4 2" xfId="44995" xr:uid="{00000000-0005-0000-0000-000065110000}"/>
    <cellStyle name="Millares 2 3 2 3 2 4 5" xfId="31433" xr:uid="{00000000-0005-0000-0000-000066110000}"/>
    <cellStyle name="Millares 2 3 2 3 2 5" xfId="4064" xr:uid="{00000000-0005-0000-0000-000067110000}"/>
    <cellStyle name="Millares 2 3 2 3 2 5 2" xfId="7675" xr:uid="{00000000-0005-0000-0000-000068110000}"/>
    <cellStyle name="Millares 2 3 2 3 2 5 2 2" xfId="14465" xr:uid="{00000000-0005-0000-0000-000069110000}"/>
    <cellStyle name="Millares 2 3 2 3 2 5 2 2 2" xfId="28033" xr:uid="{00000000-0005-0000-0000-00006A110000}"/>
    <cellStyle name="Millares 2 3 2 3 2 5 2 2 2 2" xfId="55166" xr:uid="{00000000-0005-0000-0000-00006B110000}"/>
    <cellStyle name="Millares 2 3 2 3 2 5 2 2 3" xfId="41604" xr:uid="{00000000-0005-0000-0000-00006C110000}"/>
    <cellStyle name="Millares 2 3 2 3 2 5 2 3" xfId="21252" xr:uid="{00000000-0005-0000-0000-00006D110000}"/>
    <cellStyle name="Millares 2 3 2 3 2 5 2 3 2" xfId="48385" xr:uid="{00000000-0005-0000-0000-00006E110000}"/>
    <cellStyle name="Millares 2 3 2 3 2 5 2 4" xfId="34823" xr:uid="{00000000-0005-0000-0000-00006F110000}"/>
    <cellStyle name="Millares 2 3 2 3 2 5 3" xfId="11076" xr:uid="{00000000-0005-0000-0000-000070110000}"/>
    <cellStyle name="Millares 2 3 2 3 2 5 3 2" xfId="24644" xr:uid="{00000000-0005-0000-0000-000071110000}"/>
    <cellStyle name="Millares 2 3 2 3 2 5 3 2 2" xfId="51777" xr:uid="{00000000-0005-0000-0000-000072110000}"/>
    <cellStyle name="Millares 2 3 2 3 2 5 3 3" xfId="38215" xr:uid="{00000000-0005-0000-0000-000073110000}"/>
    <cellStyle name="Millares 2 3 2 3 2 5 4" xfId="17863" xr:uid="{00000000-0005-0000-0000-000074110000}"/>
    <cellStyle name="Millares 2 3 2 3 2 5 4 2" xfId="44996" xr:uid="{00000000-0005-0000-0000-000075110000}"/>
    <cellStyle name="Millares 2 3 2 3 2 5 5" xfId="31434" xr:uid="{00000000-0005-0000-0000-000076110000}"/>
    <cellStyle name="Millares 2 3 2 3 2 6" xfId="7668" xr:uid="{00000000-0005-0000-0000-000077110000}"/>
    <cellStyle name="Millares 2 3 2 3 2 6 2" xfId="14458" xr:uid="{00000000-0005-0000-0000-000078110000}"/>
    <cellStyle name="Millares 2 3 2 3 2 6 2 2" xfId="28026" xr:uid="{00000000-0005-0000-0000-000079110000}"/>
    <cellStyle name="Millares 2 3 2 3 2 6 2 2 2" xfId="55159" xr:uid="{00000000-0005-0000-0000-00007A110000}"/>
    <cellStyle name="Millares 2 3 2 3 2 6 2 3" xfId="41597" xr:uid="{00000000-0005-0000-0000-00007B110000}"/>
    <cellStyle name="Millares 2 3 2 3 2 6 3" xfId="21245" xr:uid="{00000000-0005-0000-0000-00007C110000}"/>
    <cellStyle name="Millares 2 3 2 3 2 6 3 2" xfId="48378" xr:uid="{00000000-0005-0000-0000-00007D110000}"/>
    <cellStyle name="Millares 2 3 2 3 2 6 4" xfId="34816" xr:uid="{00000000-0005-0000-0000-00007E110000}"/>
    <cellStyle name="Millares 2 3 2 3 2 7" xfId="11069" xr:uid="{00000000-0005-0000-0000-00007F110000}"/>
    <cellStyle name="Millares 2 3 2 3 2 7 2" xfId="24637" xr:uid="{00000000-0005-0000-0000-000080110000}"/>
    <cellStyle name="Millares 2 3 2 3 2 7 2 2" xfId="51770" xr:uid="{00000000-0005-0000-0000-000081110000}"/>
    <cellStyle name="Millares 2 3 2 3 2 7 3" xfId="38208" xr:uid="{00000000-0005-0000-0000-000082110000}"/>
    <cellStyle name="Millares 2 3 2 3 2 8" xfId="17856" xr:uid="{00000000-0005-0000-0000-000083110000}"/>
    <cellStyle name="Millares 2 3 2 3 2 8 2" xfId="44989" xr:uid="{00000000-0005-0000-0000-000084110000}"/>
    <cellStyle name="Millares 2 3 2 3 2 9" xfId="31427" xr:uid="{00000000-0005-0000-0000-000085110000}"/>
    <cellStyle name="Millares 2 3 2 3 3" xfId="4065" xr:uid="{00000000-0005-0000-0000-000086110000}"/>
    <cellStyle name="Millares 2 3 2 3 3 2" xfId="4066" xr:uid="{00000000-0005-0000-0000-000087110000}"/>
    <cellStyle name="Millares 2 3 2 3 3 2 2" xfId="7677" xr:uid="{00000000-0005-0000-0000-000088110000}"/>
    <cellStyle name="Millares 2 3 2 3 3 2 2 2" xfId="14467" xr:uid="{00000000-0005-0000-0000-000089110000}"/>
    <cellStyle name="Millares 2 3 2 3 3 2 2 2 2" xfId="28035" xr:uid="{00000000-0005-0000-0000-00008A110000}"/>
    <cellStyle name="Millares 2 3 2 3 3 2 2 2 2 2" xfId="55168" xr:uid="{00000000-0005-0000-0000-00008B110000}"/>
    <cellStyle name="Millares 2 3 2 3 3 2 2 2 3" xfId="41606" xr:uid="{00000000-0005-0000-0000-00008C110000}"/>
    <cellStyle name="Millares 2 3 2 3 3 2 2 3" xfId="21254" xr:uid="{00000000-0005-0000-0000-00008D110000}"/>
    <cellStyle name="Millares 2 3 2 3 3 2 2 3 2" xfId="48387" xr:uid="{00000000-0005-0000-0000-00008E110000}"/>
    <cellStyle name="Millares 2 3 2 3 3 2 2 4" xfId="34825" xr:uid="{00000000-0005-0000-0000-00008F110000}"/>
    <cellStyle name="Millares 2 3 2 3 3 2 3" xfId="11078" xr:uid="{00000000-0005-0000-0000-000090110000}"/>
    <cellStyle name="Millares 2 3 2 3 3 2 3 2" xfId="24646" xr:uid="{00000000-0005-0000-0000-000091110000}"/>
    <cellStyle name="Millares 2 3 2 3 3 2 3 2 2" xfId="51779" xr:uid="{00000000-0005-0000-0000-000092110000}"/>
    <cellStyle name="Millares 2 3 2 3 3 2 3 3" xfId="38217" xr:uid="{00000000-0005-0000-0000-000093110000}"/>
    <cellStyle name="Millares 2 3 2 3 3 2 4" xfId="17865" xr:uid="{00000000-0005-0000-0000-000094110000}"/>
    <cellStyle name="Millares 2 3 2 3 3 2 4 2" xfId="44998" xr:uid="{00000000-0005-0000-0000-000095110000}"/>
    <cellStyle name="Millares 2 3 2 3 3 2 5" xfId="31436" xr:uid="{00000000-0005-0000-0000-000096110000}"/>
    <cellStyle name="Millares 2 3 2 3 3 3" xfId="4067" xr:uid="{00000000-0005-0000-0000-000097110000}"/>
    <cellStyle name="Millares 2 3 2 3 3 3 2" xfId="7678" xr:uid="{00000000-0005-0000-0000-000098110000}"/>
    <cellStyle name="Millares 2 3 2 3 3 3 2 2" xfId="14468" xr:uid="{00000000-0005-0000-0000-000099110000}"/>
    <cellStyle name="Millares 2 3 2 3 3 3 2 2 2" xfId="28036" xr:uid="{00000000-0005-0000-0000-00009A110000}"/>
    <cellStyle name="Millares 2 3 2 3 3 3 2 2 2 2" xfId="55169" xr:uid="{00000000-0005-0000-0000-00009B110000}"/>
    <cellStyle name="Millares 2 3 2 3 3 3 2 2 3" xfId="41607" xr:uid="{00000000-0005-0000-0000-00009C110000}"/>
    <cellStyle name="Millares 2 3 2 3 3 3 2 3" xfId="21255" xr:uid="{00000000-0005-0000-0000-00009D110000}"/>
    <cellStyle name="Millares 2 3 2 3 3 3 2 3 2" xfId="48388" xr:uid="{00000000-0005-0000-0000-00009E110000}"/>
    <cellStyle name="Millares 2 3 2 3 3 3 2 4" xfId="34826" xr:uid="{00000000-0005-0000-0000-00009F110000}"/>
    <cellStyle name="Millares 2 3 2 3 3 3 3" xfId="11079" xr:uid="{00000000-0005-0000-0000-0000A0110000}"/>
    <cellStyle name="Millares 2 3 2 3 3 3 3 2" xfId="24647" xr:uid="{00000000-0005-0000-0000-0000A1110000}"/>
    <cellStyle name="Millares 2 3 2 3 3 3 3 2 2" xfId="51780" xr:uid="{00000000-0005-0000-0000-0000A2110000}"/>
    <cellStyle name="Millares 2 3 2 3 3 3 3 3" xfId="38218" xr:uid="{00000000-0005-0000-0000-0000A3110000}"/>
    <cellStyle name="Millares 2 3 2 3 3 3 4" xfId="17866" xr:uid="{00000000-0005-0000-0000-0000A4110000}"/>
    <cellStyle name="Millares 2 3 2 3 3 3 4 2" xfId="44999" xr:uid="{00000000-0005-0000-0000-0000A5110000}"/>
    <cellStyle name="Millares 2 3 2 3 3 3 5" xfId="31437" xr:uid="{00000000-0005-0000-0000-0000A6110000}"/>
    <cellStyle name="Millares 2 3 2 3 3 4" xfId="7676" xr:uid="{00000000-0005-0000-0000-0000A7110000}"/>
    <cellStyle name="Millares 2 3 2 3 3 4 2" xfId="14466" xr:uid="{00000000-0005-0000-0000-0000A8110000}"/>
    <cellStyle name="Millares 2 3 2 3 3 4 2 2" xfId="28034" xr:uid="{00000000-0005-0000-0000-0000A9110000}"/>
    <cellStyle name="Millares 2 3 2 3 3 4 2 2 2" xfId="55167" xr:uid="{00000000-0005-0000-0000-0000AA110000}"/>
    <cellStyle name="Millares 2 3 2 3 3 4 2 3" xfId="41605" xr:uid="{00000000-0005-0000-0000-0000AB110000}"/>
    <cellStyle name="Millares 2 3 2 3 3 4 3" xfId="21253" xr:uid="{00000000-0005-0000-0000-0000AC110000}"/>
    <cellStyle name="Millares 2 3 2 3 3 4 3 2" xfId="48386" xr:uid="{00000000-0005-0000-0000-0000AD110000}"/>
    <cellStyle name="Millares 2 3 2 3 3 4 4" xfId="34824" xr:uid="{00000000-0005-0000-0000-0000AE110000}"/>
    <cellStyle name="Millares 2 3 2 3 3 5" xfId="11077" xr:uid="{00000000-0005-0000-0000-0000AF110000}"/>
    <cellStyle name="Millares 2 3 2 3 3 5 2" xfId="24645" xr:uid="{00000000-0005-0000-0000-0000B0110000}"/>
    <cellStyle name="Millares 2 3 2 3 3 5 2 2" xfId="51778" xr:uid="{00000000-0005-0000-0000-0000B1110000}"/>
    <cellStyle name="Millares 2 3 2 3 3 5 3" xfId="38216" xr:uid="{00000000-0005-0000-0000-0000B2110000}"/>
    <cellStyle name="Millares 2 3 2 3 3 6" xfId="17864" xr:uid="{00000000-0005-0000-0000-0000B3110000}"/>
    <cellStyle name="Millares 2 3 2 3 3 6 2" xfId="44997" xr:uid="{00000000-0005-0000-0000-0000B4110000}"/>
    <cellStyle name="Millares 2 3 2 3 3 7" xfId="31435" xr:uid="{00000000-0005-0000-0000-0000B5110000}"/>
    <cellStyle name="Millares 2 3 2 3 4" xfId="4068" xr:uid="{00000000-0005-0000-0000-0000B6110000}"/>
    <cellStyle name="Millares 2 3 2 3 4 2" xfId="4069" xr:uid="{00000000-0005-0000-0000-0000B7110000}"/>
    <cellStyle name="Millares 2 3 2 3 4 2 2" xfId="7680" xr:uid="{00000000-0005-0000-0000-0000B8110000}"/>
    <cellStyle name="Millares 2 3 2 3 4 2 2 2" xfId="14470" xr:uid="{00000000-0005-0000-0000-0000B9110000}"/>
    <cellStyle name="Millares 2 3 2 3 4 2 2 2 2" xfId="28038" xr:uid="{00000000-0005-0000-0000-0000BA110000}"/>
    <cellStyle name="Millares 2 3 2 3 4 2 2 2 2 2" xfId="55171" xr:uid="{00000000-0005-0000-0000-0000BB110000}"/>
    <cellStyle name="Millares 2 3 2 3 4 2 2 2 3" xfId="41609" xr:uid="{00000000-0005-0000-0000-0000BC110000}"/>
    <cellStyle name="Millares 2 3 2 3 4 2 2 3" xfId="21257" xr:uid="{00000000-0005-0000-0000-0000BD110000}"/>
    <cellStyle name="Millares 2 3 2 3 4 2 2 3 2" xfId="48390" xr:uid="{00000000-0005-0000-0000-0000BE110000}"/>
    <cellStyle name="Millares 2 3 2 3 4 2 2 4" xfId="34828" xr:uid="{00000000-0005-0000-0000-0000BF110000}"/>
    <cellStyle name="Millares 2 3 2 3 4 2 3" xfId="11081" xr:uid="{00000000-0005-0000-0000-0000C0110000}"/>
    <cellStyle name="Millares 2 3 2 3 4 2 3 2" xfId="24649" xr:uid="{00000000-0005-0000-0000-0000C1110000}"/>
    <cellStyle name="Millares 2 3 2 3 4 2 3 2 2" xfId="51782" xr:uid="{00000000-0005-0000-0000-0000C2110000}"/>
    <cellStyle name="Millares 2 3 2 3 4 2 3 3" xfId="38220" xr:uid="{00000000-0005-0000-0000-0000C3110000}"/>
    <cellStyle name="Millares 2 3 2 3 4 2 4" xfId="17868" xr:uid="{00000000-0005-0000-0000-0000C4110000}"/>
    <cellStyle name="Millares 2 3 2 3 4 2 4 2" xfId="45001" xr:uid="{00000000-0005-0000-0000-0000C5110000}"/>
    <cellStyle name="Millares 2 3 2 3 4 2 5" xfId="31439" xr:uid="{00000000-0005-0000-0000-0000C6110000}"/>
    <cellStyle name="Millares 2 3 2 3 4 3" xfId="7679" xr:uid="{00000000-0005-0000-0000-0000C7110000}"/>
    <cellStyle name="Millares 2 3 2 3 4 3 2" xfId="14469" xr:uid="{00000000-0005-0000-0000-0000C8110000}"/>
    <cellStyle name="Millares 2 3 2 3 4 3 2 2" xfId="28037" xr:uid="{00000000-0005-0000-0000-0000C9110000}"/>
    <cellStyle name="Millares 2 3 2 3 4 3 2 2 2" xfId="55170" xr:uid="{00000000-0005-0000-0000-0000CA110000}"/>
    <cellStyle name="Millares 2 3 2 3 4 3 2 3" xfId="41608" xr:uid="{00000000-0005-0000-0000-0000CB110000}"/>
    <cellStyle name="Millares 2 3 2 3 4 3 3" xfId="21256" xr:uid="{00000000-0005-0000-0000-0000CC110000}"/>
    <cellStyle name="Millares 2 3 2 3 4 3 3 2" xfId="48389" xr:uid="{00000000-0005-0000-0000-0000CD110000}"/>
    <cellStyle name="Millares 2 3 2 3 4 3 4" xfId="34827" xr:uid="{00000000-0005-0000-0000-0000CE110000}"/>
    <cellStyle name="Millares 2 3 2 3 4 4" xfId="11080" xr:uid="{00000000-0005-0000-0000-0000CF110000}"/>
    <cellStyle name="Millares 2 3 2 3 4 4 2" xfId="24648" xr:uid="{00000000-0005-0000-0000-0000D0110000}"/>
    <cellStyle name="Millares 2 3 2 3 4 4 2 2" xfId="51781" xr:uid="{00000000-0005-0000-0000-0000D1110000}"/>
    <cellStyle name="Millares 2 3 2 3 4 4 3" xfId="38219" xr:uid="{00000000-0005-0000-0000-0000D2110000}"/>
    <cellStyle name="Millares 2 3 2 3 4 5" xfId="17867" xr:uid="{00000000-0005-0000-0000-0000D3110000}"/>
    <cellStyle name="Millares 2 3 2 3 4 5 2" xfId="45000" xr:uid="{00000000-0005-0000-0000-0000D4110000}"/>
    <cellStyle name="Millares 2 3 2 3 4 6" xfId="31438" xr:uid="{00000000-0005-0000-0000-0000D5110000}"/>
    <cellStyle name="Millares 2 3 2 3 5" xfId="4070" xr:uid="{00000000-0005-0000-0000-0000D6110000}"/>
    <cellStyle name="Millares 2 3 2 3 5 2" xfId="7681" xr:uid="{00000000-0005-0000-0000-0000D7110000}"/>
    <cellStyle name="Millares 2 3 2 3 5 2 2" xfId="14471" xr:uid="{00000000-0005-0000-0000-0000D8110000}"/>
    <cellStyle name="Millares 2 3 2 3 5 2 2 2" xfId="28039" xr:uid="{00000000-0005-0000-0000-0000D9110000}"/>
    <cellStyle name="Millares 2 3 2 3 5 2 2 2 2" xfId="55172" xr:uid="{00000000-0005-0000-0000-0000DA110000}"/>
    <cellStyle name="Millares 2 3 2 3 5 2 2 3" xfId="41610" xr:uid="{00000000-0005-0000-0000-0000DB110000}"/>
    <cellStyle name="Millares 2 3 2 3 5 2 3" xfId="21258" xr:uid="{00000000-0005-0000-0000-0000DC110000}"/>
    <cellStyle name="Millares 2 3 2 3 5 2 3 2" xfId="48391" xr:uid="{00000000-0005-0000-0000-0000DD110000}"/>
    <cellStyle name="Millares 2 3 2 3 5 2 4" xfId="34829" xr:uid="{00000000-0005-0000-0000-0000DE110000}"/>
    <cellStyle name="Millares 2 3 2 3 5 3" xfId="11082" xr:uid="{00000000-0005-0000-0000-0000DF110000}"/>
    <cellStyle name="Millares 2 3 2 3 5 3 2" xfId="24650" xr:uid="{00000000-0005-0000-0000-0000E0110000}"/>
    <cellStyle name="Millares 2 3 2 3 5 3 2 2" xfId="51783" xr:uid="{00000000-0005-0000-0000-0000E1110000}"/>
    <cellStyle name="Millares 2 3 2 3 5 3 3" xfId="38221" xr:uid="{00000000-0005-0000-0000-0000E2110000}"/>
    <cellStyle name="Millares 2 3 2 3 5 4" xfId="17869" xr:uid="{00000000-0005-0000-0000-0000E3110000}"/>
    <cellStyle name="Millares 2 3 2 3 5 4 2" xfId="45002" xr:uid="{00000000-0005-0000-0000-0000E4110000}"/>
    <cellStyle name="Millares 2 3 2 3 5 5" xfId="31440" xr:uid="{00000000-0005-0000-0000-0000E5110000}"/>
    <cellStyle name="Millares 2 3 2 3 6" xfId="4071" xr:uid="{00000000-0005-0000-0000-0000E6110000}"/>
    <cellStyle name="Millares 2 3 2 3 6 2" xfId="7682" xr:uid="{00000000-0005-0000-0000-0000E7110000}"/>
    <cellStyle name="Millares 2 3 2 3 6 2 2" xfId="14472" xr:uid="{00000000-0005-0000-0000-0000E8110000}"/>
    <cellStyle name="Millares 2 3 2 3 6 2 2 2" xfId="28040" xr:uid="{00000000-0005-0000-0000-0000E9110000}"/>
    <cellStyle name="Millares 2 3 2 3 6 2 2 2 2" xfId="55173" xr:uid="{00000000-0005-0000-0000-0000EA110000}"/>
    <cellStyle name="Millares 2 3 2 3 6 2 2 3" xfId="41611" xr:uid="{00000000-0005-0000-0000-0000EB110000}"/>
    <cellStyle name="Millares 2 3 2 3 6 2 3" xfId="21259" xr:uid="{00000000-0005-0000-0000-0000EC110000}"/>
    <cellStyle name="Millares 2 3 2 3 6 2 3 2" xfId="48392" xr:uid="{00000000-0005-0000-0000-0000ED110000}"/>
    <cellStyle name="Millares 2 3 2 3 6 2 4" xfId="34830" xr:uid="{00000000-0005-0000-0000-0000EE110000}"/>
    <cellStyle name="Millares 2 3 2 3 6 3" xfId="11083" xr:uid="{00000000-0005-0000-0000-0000EF110000}"/>
    <cellStyle name="Millares 2 3 2 3 6 3 2" xfId="24651" xr:uid="{00000000-0005-0000-0000-0000F0110000}"/>
    <cellStyle name="Millares 2 3 2 3 6 3 2 2" xfId="51784" xr:uid="{00000000-0005-0000-0000-0000F1110000}"/>
    <cellStyle name="Millares 2 3 2 3 6 3 3" xfId="38222" xr:uid="{00000000-0005-0000-0000-0000F2110000}"/>
    <cellStyle name="Millares 2 3 2 3 6 4" xfId="17870" xr:uid="{00000000-0005-0000-0000-0000F3110000}"/>
    <cellStyle name="Millares 2 3 2 3 6 4 2" xfId="45003" xr:uid="{00000000-0005-0000-0000-0000F4110000}"/>
    <cellStyle name="Millares 2 3 2 3 6 5" xfId="31441" xr:uid="{00000000-0005-0000-0000-0000F5110000}"/>
    <cellStyle name="Millares 2 3 2 3 7" xfId="7667" xr:uid="{00000000-0005-0000-0000-0000F6110000}"/>
    <cellStyle name="Millares 2 3 2 3 7 2" xfId="14457" xr:uid="{00000000-0005-0000-0000-0000F7110000}"/>
    <cellStyle name="Millares 2 3 2 3 7 2 2" xfId="28025" xr:uid="{00000000-0005-0000-0000-0000F8110000}"/>
    <cellStyle name="Millares 2 3 2 3 7 2 2 2" xfId="55158" xr:uid="{00000000-0005-0000-0000-0000F9110000}"/>
    <cellStyle name="Millares 2 3 2 3 7 2 3" xfId="41596" xr:uid="{00000000-0005-0000-0000-0000FA110000}"/>
    <cellStyle name="Millares 2 3 2 3 7 3" xfId="21244" xr:uid="{00000000-0005-0000-0000-0000FB110000}"/>
    <cellStyle name="Millares 2 3 2 3 7 3 2" xfId="48377" xr:uid="{00000000-0005-0000-0000-0000FC110000}"/>
    <cellStyle name="Millares 2 3 2 3 7 4" xfId="34815" xr:uid="{00000000-0005-0000-0000-0000FD110000}"/>
    <cellStyle name="Millares 2 3 2 3 8" xfId="11068" xr:uid="{00000000-0005-0000-0000-0000FE110000}"/>
    <cellStyle name="Millares 2 3 2 3 8 2" xfId="24636" xr:uid="{00000000-0005-0000-0000-0000FF110000}"/>
    <cellStyle name="Millares 2 3 2 3 8 2 2" xfId="51769" xr:uid="{00000000-0005-0000-0000-000000120000}"/>
    <cellStyle name="Millares 2 3 2 3 8 3" xfId="38207" xr:uid="{00000000-0005-0000-0000-000001120000}"/>
    <cellStyle name="Millares 2 3 2 3 9" xfId="17855" xr:uid="{00000000-0005-0000-0000-000002120000}"/>
    <cellStyle name="Millares 2 3 2 3 9 2" xfId="44988" xr:uid="{00000000-0005-0000-0000-000003120000}"/>
    <cellStyle name="Millares 2 3 2 4" xfId="4072" xr:uid="{00000000-0005-0000-0000-000004120000}"/>
    <cellStyle name="Millares 2 3 2 4 2" xfId="4073" xr:uid="{00000000-0005-0000-0000-000005120000}"/>
    <cellStyle name="Millares 2 3 2 4 2 2" xfId="4074" xr:uid="{00000000-0005-0000-0000-000006120000}"/>
    <cellStyle name="Millares 2 3 2 4 2 2 2" xfId="7685" xr:uid="{00000000-0005-0000-0000-000007120000}"/>
    <cellStyle name="Millares 2 3 2 4 2 2 2 2" xfId="14475" xr:uid="{00000000-0005-0000-0000-000008120000}"/>
    <cellStyle name="Millares 2 3 2 4 2 2 2 2 2" xfId="28043" xr:uid="{00000000-0005-0000-0000-000009120000}"/>
    <cellStyle name="Millares 2 3 2 4 2 2 2 2 2 2" xfId="55176" xr:uid="{00000000-0005-0000-0000-00000A120000}"/>
    <cellStyle name="Millares 2 3 2 4 2 2 2 2 3" xfId="41614" xr:uid="{00000000-0005-0000-0000-00000B120000}"/>
    <cellStyle name="Millares 2 3 2 4 2 2 2 3" xfId="21262" xr:uid="{00000000-0005-0000-0000-00000C120000}"/>
    <cellStyle name="Millares 2 3 2 4 2 2 2 3 2" xfId="48395" xr:uid="{00000000-0005-0000-0000-00000D120000}"/>
    <cellStyle name="Millares 2 3 2 4 2 2 2 4" xfId="34833" xr:uid="{00000000-0005-0000-0000-00000E120000}"/>
    <cellStyle name="Millares 2 3 2 4 2 2 3" xfId="11086" xr:uid="{00000000-0005-0000-0000-00000F120000}"/>
    <cellStyle name="Millares 2 3 2 4 2 2 3 2" xfId="24654" xr:uid="{00000000-0005-0000-0000-000010120000}"/>
    <cellStyle name="Millares 2 3 2 4 2 2 3 2 2" xfId="51787" xr:uid="{00000000-0005-0000-0000-000011120000}"/>
    <cellStyle name="Millares 2 3 2 4 2 2 3 3" xfId="38225" xr:uid="{00000000-0005-0000-0000-000012120000}"/>
    <cellStyle name="Millares 2 3 2 4 2 2 4" xfId="17873" xr:uid="{00000000-0005-0000-0000-000013120000}"/>
    <cellStyle name="Millares 2 3 2 4 2 2 4 2" xfId="45006" xr:uid="{00000000-0005-0000-0000-000014120000}"/>
    <cellStyle name="Millares 2 3 2 4 2 2 5" xfId="31444" xr:uid="{00000000-0005-0000-0000-000015120000}"/>
    <cellStyle name="Millares 2 3 2 4 2 3" xfId="4075" xr:uid="{00000000-0005-0000-0000-000016120000}"/>
    <cellStyle name="Millares 2 3 2 4 2 3 2" xfId="7686" xr:uid="{00000000-0005-0000-0000-000017120000}"/>
    <cellStyle name="Millares 2 3 2 4 2 3 2 2" xfId="14476" xr:uid="{00000000-0005-0000-0000-000018120000}"/>
    <cellStyle name="Millares 2 3 2 4 2 3 2 2 2" xfId="28044" xr:uid="{00000000-0005-0000-0000-000019120000}"/>
    <cellStyle name="Millares 2 3 2 4 2 3 2 2 2 2" xfId="55177" xr:uid="{00000000-0005-0000-0000-00001A120000}"/>
    <cellStyle name="Millares 2 3 2 4 2 3 2 2 3" xfId="41615" xr:uid="{00000000-0005-0000-0000-00001B120000}"/>
    <cellStyle name="Millares 2 3 2 4 2 3 2 3" xfId="21263" xr:uid="{00000000-0005-0000-0000-00001C120000}"/>
    <cellStyle name="Millares 2 3 2 4 2 3 2 3 2" xfId="48396" xr:uid="{00000000-0005-0000-0000-00001D120000}"/>
    <cellStyle name="Millares 2 3 2 4 2 3 2 4" xfId="34834" xr:uid="{00000000-0005-0000-0000-00001E120000}"/>
    <cellStyle name="Millares 2 3 2 4 2 3 3" xfId="11087" xr:uid="{00000000-0005-0000-0000-00001F120000}"/>
    <cellStyle name="Millares 2 3 2 4 2 3 3 2" xfId="24655" xr:uid="{00000000-0005-0000-0000-000020120000}"/>
    <cellStyle name="Millares 2 3 2 4 2 3 3 2 2" xfId="51788" xr:uid="{00000000-0005-0000-0000-000021120000}"/>
    <cellStyle name="Millares 2 3 2 4 2 3 3 3" xfId="38226" xr:uid="{00000000-0005-0000-0000-000022120000}"/>
    <cellStyle name="Millares 2 3 2 4 2 3 4" xfId="17874" xr:uid="{00000000-0005-0000-0000-000023120000}"/>
    <cellStyle name="Millares 2 3 2 4 2 3 4 2" xfId="45007" xr:uid="{00000000-0005-0000-0000-000024120000}"/>
    <cellStyle name="Millares 2 3 2 4 2 3 5" xfId="31445" xr:uid="{00000000-0005-0000-0000-000025120000}"/>
    <cellStyle name="Millares 2 3 2 4 2 4" xfId="7684" xr:uid="{00000000-0005-0000-0000-000026120000}"/>
    <cellStyle name="Millares 2 3 2 4 2 4 2" xfId="14474" xr:uid="{00000000-0005-0000-0000-000027120000}"/>
    <cellStyle name="Millares 2 3 2 4 2 4 2 2" xfId="28042" xr:uid="{00000000-0005-0000-0000-000028120000}"/>
    <cellStyle name="Millares 2 3 2 4 2 4 2 2 2" xfId="55175" xr:uid="{00000000-0005-0000-0000-000029120000}"/>
    <cellStyle name="Millares 2 3 2 4 2 4 2 3" xfId="41613" xr:uid="{00000000-0005-0000-0000-00002A120000}"/>
    <cellStyle name="Millares 2 3 2 4 2 4 3" xfId="21261" xr:uid="{00000000-0005-0000-0000-00002B120000}"/>
    <cellStyle name="Millares 2 3 2 4 2 4 3 2" xfId="48394" xr:uid="{00000000-0005-0000-0000-00002C120000}"/>
    <cellStyle name="Millares 2 3 2 4 2 4 4" xfId="34832" xr:uid="{00000000-0005-0000-0000-00002D120000}"/>
    <cellStyle name="Millares 2 3 2 4 2 5" xfId="11085" xr:uid="{00000000-0005-0000-0000-00002E120000}"/>
    <cellStyle name="Millares 2 3 2 4 2 5 2" xfId="24653" xr:uid="{00000000-0005-0000-0000-00002F120000}"/>
    <cellStyle name="Millares 2 3 2 4 2 5 2 2" xfId="51786" xr:uid="{00000000-0005-0000-0000-000030120000}"/>
    <cellStyle name="Millares 2 3 2 4 2 5 3" xfId="38224" xr:uid="{00000000-0005-0000-0000-000031120000}"/>
    <cellStyle name="Millares 2 3 2 4 2 6" xfId="17872" xr:uid="{00000000-0005-0000-0000-000032120000}"/>
    <cellStyle name="Millares 2 3 2 4 2 6 2" xfId="45005" xr:uid="{00000000-0005-0000-0000-000033120000}"/>
    <cellStyle name="Millares 2 3 2 4 2 7" xfId="31443" xr:uid="{00000000-0005-0000-0000-000034120000}"/>
    <cellStyle name="Millares 2 3 2 4 3" xfId="4076" xr:uid="{00000000-0005-0000-0000-000035120000}"/>
    <cellStyle name="Millares 2 3 2 4 3 2" xfId="4077" xr:uid="{00000000-0005-0000-0000-000036120000}"/>
    <cellStyle name="Millares 2 3 2 4 3 2 2" xfId="7688" xr:uid="{00000000-0005-0000-0000-000037120000}"/>
    <cellStyle name="Millares 2 3 2 4 3 2 2 2" xfId="14478" xr:uid="{00000000-0005-0000-0000-000038120000}"/>
    <cellStyle name="Millares 2 3 2 4 3 2 2 2 2" xfId="28046" xr:uid="{00000000-0005-0000-0000-000039120000}"/>
    <cellStyle name="Millares 2 3 2 4 3 2 2 2 2 2" xfId="55179" xr:uid="{00000000-0005-0000-0000-00003A120000}"/>
    <cellStyle name="Millares 2 3 2 4 3 2 2 2 3" xfId="41617" xr:uid="{00000000-0005-0000-0000-00003B120000}"/>
    <cellStyle name="Millares 2 3 2 4 3 2 2 3" xfId="21265" xr:uid="{00000000-0005-0000-0000-00003C120000}"/>
    <cellStyle name="Millares 2 3 2 4 3 2 2 3 2" xfId="48398" xr:uid="{00000000-0005-0000-0000-00003D120000}"/>
    <cellStyle name="Millares 2 3 2 4 3 2 2 4" xfId="34836" xr:uid="{00000000-0005-0000-0000-00003E120000}"/>
    <cellStyle name="Millares 2 3 2 4 3 2 3" xfId="11089" xr:uid="{00000000-0005-0000-0000-00003F120000}"/>
    <cellStyle name="Millares 2 3 2 4 3 2 3 2" xfId="24657" xr:uid="{00000000-0005-0000-0000-000040120000}"/>
    <cellStyle name="Millares 2 3 2 4 3 2 3 2 2" xfId="51790" xr:uid="{00000000-0005-0000-0000-000041120000}"/>
    <cellStyle name="Millares 2 3 2 4 3 2 3 3" xfId="38228" xr:uid="{00000000-0005-0000-0000-000042120000}"/>
    <cellStyle name="Millares 2 3 2 4 3 2 4" xfId="17876" xr:uid="{00000000-0005-0000-0000-000043120000}"/>
    <cellStyle name="Millares 2 3 2 4 3 2 4 2" xfId="45009" xr:uid="{00000000-0005-0000-0000-000044120000}"/>
    <cellStyle name="Millares 2 3 2 4 3 2 5" xfId="31447" xr:uid="{00000000-0005-0000-0000-000045120000}"/>
    <cellStyle name="Millares 2 3 2 4 3 3" xfId="7687" xr:uid="{00000000-0005-0000-0000-000046120000}"/>
    <cellStyle name="Millares 2 3 2 4 3 3 2" xfId="14477" xr:uid="{00000000-0005-0000-0000-000047120000}"/>
    <cellStyle name="Millares 2 3 2 4 3 3 2 2" xfId="28045" xr:uid="{00000000-0005-0000-0000-000048120000}"/>
    <cellStyle name="Millares 2 3 2 4 3 3 2 2 2" xfId="55178" xr:uid="{00000000-0005-0000-0000-000049120000}"/>
    <cellStyle name="Millares 2 3 2 4 3 3 2 3" xfId="41616" xr:uid="{00000000-0005-0000-0000-00004A120000}"/>
    <cellStyle name="Millares 2 3 2 4 3 3 3" xfId="21264" xr:uid="{00000000-0005-0000-0000-00004B120000}"/>
    <cellStyle name="Millares 2 3 2 4 3 3 3 2" xfId="48397" xr:uid="{00000000-0005-0000-0000-00004C120000}"/>
    <cellStyle name="Millares 2 3 2 4 3 3 4" xfId="34835" xr:uid="{00000000-0005-0000-0000-00004D120000}"/>
    <cellStyle name="Millares 2 3 2 4 3 4" xfId="11088" xr:uid="{00000000-0005-0000-0000-00004E120000}"/>
    <cellStyle name="Millares 2 3 2 4 3 4 2" xfId="24656" xr:uid="{00000000-0005-0000-0000-00004F120000}"/>
    <cellStyle name="Millares 2 3 2 4 3 4 2 2" xfId="51789" xr:uid="{00000000-0005-0000-0000-000050120000}"/>
    <cellStyle name="Millares 2 3 2 4 3 4 3" xfId="38227" xr:uid="{00000000-0005-0000-0000-000051120000}"/>
    <cellStyle name="Millares 2 3 2 4 3 5" xfId="17875" xr:uid="{00000000-0005-0000-0000-000052120000}"/>
    <cellStyle name="Millares 2 3 2 4 3 5 2" xfId="45008" xr:uid="{00000000-0005-0000-0000-000053120000}"/>
    <cellStyle name="Millares 2 3 2 4 3 6" xfId="31446" xr:uid="{00000000-0005-0000-0000-000054120000}"/>
    <cellStyle name="Millares 2 3 2 4 4" xfId="4078" xr:uid="{00000000-0005-0000-0000-000055120000}"/>
    <cellStyle name="Millares 2 3 2 4 4 2" xfId="7689" xr:uid="{00000000-0005-0000-0000-000056120000}"/>
    <cellStyle name="Millares 2 3 2 4 4 2 2" xfId="14479" xr:uid="{00000000-0005-0000-0000-000057120000}"/>
    <cellStyle name="Millares 2 3 2 4 4 2 2 2" xfId="28047" xr:uid="{00000000-0005-0000-0000-000058120000}"/>
    <cellStyle name="Millares 2 3 2 4 4 2 2 2 2" xfId="55180" xr:uid="{00000000-0005-0000-0000-000059120000}"/>
    <cellStyle name="Millares 2 3 2 4 4 2 2 3" xfId="41618" xr:uid="{00000000-0005-0000-0000-00005A120000}"/>
    <cellStyle name="Millares 2 3 2 4 4 2 3" xfId="21266" xr:uid="{00000000-0005-0000-0000-00005B120000}"/>
    <cellStyle name="Millares 2 3 2 4 4 2 3 2" xfId="48399" xr:uid="{00000000-0005-0000-0000-00005C120000}"/>
    <cellStyle name="Millares 2 3 2 4 4 2 4" xfId="34837" xr:uid="{00000000-0005-0000-0000-00005D120000}"/>
    <cellStyle name="Millares 2 3 2 4 4 3" xfId="11090" xr:uid="{00000000-0005-0000-0000-00005E120000}"/>
    <cellStyle name="Millares 2 3 2 4 4 3 2" xfId="24658" xr:uid="{00000000-0005-0000-0000-00005F120000}"/>
    <cellStyle name="Millares 2 3 2 4 4 3 2 2" xfId="51791" xr:uid="{00000000-0005-0000-0000-000060120000}"/>
    <cellStyle name="Millares 2 3 2 4 4 3 3" xfId="38229" xr:uid="{00000000-0005-0000-0000-000061120000}"/>
    <cellStyle name="Millares 2 3 2 4 4 4" xfId="17877" xr:uid="{00000000-0005-0000-0000-000062120000}"/>
    <cellStyle name="Millares 2 3 2 4 4 4 2" xfId="45010" xr:uid="{00000000-0005-0000-0000-000063120000}"/>
    <cellStyle name="Millares 2 3 2 4 4 5" xfId="31448" xr:uid="{00000000-0005-0000-0000-000064120000}"/>
    <cellStyle name="Millares 2 3 2 4 5" xfId="4079" xr:uid="{00000000-0005-0000-0000-000065120000}"/>
    <cellStyle name="Millares 2 3 2 4 5 2" xfId="7690" xr:uid="{00000000-0005-0000-0000-000066120000}"/>
    <cellStyle name="Millares 2 3 2 4 5 2 2" xfId="14480" xr:uid="{00000000-0005-0000-0000-000067120000}"/>
    <cellStyle name="Millares 2 3 2 4 5 2 2 2" xfId="28048" xr:uid="{00000000-0005-0000-0000-000068120000}"/>
    <cellStyle name="Millares 2 3 2 4 5 2 2 2 2" xfId="55181" xr:uid="{00000000-0005-0000-0000-000069120000}"/>
    <cellStyle name="Millares 2 3 2 4 5 2 2 3" xfId="41619" xr:uid="{00000000-0005-0000-0000-00006A120000}"/>
    <cellStyle name="Millares 2 3 2 4 5 2 3" xfId="21267" xr:uid="{00000000-0005-0000-0000-00006B120000}"/>
    <cellStyle name="Millares 2 3 2 4 5 2 3 2" xfId="48400" xr:uid="{00000000-0005-0000-0000-00006C120000}"/>
    <cellStyle name="Millares 2 3 2 4 5 2 4" xfId="34838" xr:uid="{00000000-0005-0000-0000-00006D120000}"/>
    <cellStyle name="Millares 2 3 2 4 5 3" xfId="11091" xr:uid="{00000000-0005-0000-0000-00006E120000}"/>
    <cellStyle name="Millares 2 3 2 4 5 3 2" xfId="24659" xr:uid="{00000000-0005-0000-0000-00006F120000}"/>
    <cellStyle name="Millares 2 3 2 4 5 3 2 2" xfId="51792" xr:uid="{00000000-0005-0000-0000-000070120000}"/>
    <cellStyle name="Millares 2 3 2 4 5 3 3" xfId="38230" xr:uid="{00000000-0005-0000-0000-000071120000}"/>
    <cellStyle name="Millares 2 3 2 4 5 4" xfId="17878" xr:uid="{00000000-0005-0000-0000-000072120000}"/>
    <cellStyle name="Millares 2 3 2 4 5 4 2" xfId="45011" xr:uid="{00000000-0005-0000-0000-000073120000}"/>
    <cellStyle name="Millares 2 3 2 4 5 5" xfId="31449" xr:uid="{00000000-0005-0000-0000-000074120000}"/>
    <cellStyle name="Millares 2 3 2 4 6" xfId="7683" xr:uid="{00000000-0005-0000-0000-000075120000}"/>
    <cellStyle name="Millares 2 3 2 4 6 2" xfId="14473" xr:uid="{00000000-0005-0000-0000-000076120000}"/>
    <cellStyle name="Millares 2 3 2 4 6 2 2" xfId="28041" xr:uid="{00000000-0005-0000-0000-000077120000}"/>
    <cellStyle name="Millares 2 3 2 4 6 2 2 2" xfId="55174" xr:uid="{00000000-0005-0000-0000-000078120000}"/>
    <cellStyle name="Millares 2 3 2 4 6 2 3" xfId="41612" xr:uid="{00000000-0005-0000-0000-000079120000}"/>
    <cellStyle name="Millares 2 3 2 4 6 3" xfId="21260" xr:uid="{00000000-0005-0000-0000-00007A120000}"/>
    <cellStyle name="Millares 2 3 2 4 6 3 2" xfId="48393" xr:uid="{00000000-0005-0000-0000-00007B120000}"/>
    <cellStyle name="Millares 2 3 2 4 6 4" xfId="34831" xr:uid="{00000000-0005-0000-0000-00007C120000}"/>
    <cellStyle name="Millares 2 3 2 4 7" xfId="11084" xr:uid="{00000000-0005-0000-0000-00007D120000}"/>
    <cellStyle name="Millares 2 3 2 4 7 2" xfId="24652" xr:uid="{00000000-0005-0000-0000-00007E120000}"/>
    <cellStyle name="Millares 2 3 2 4 7 2 2" xfId="51785" xr:uid="{00000000-0005-0000-0000-00007F120000}"/>
    <cellStyle name="Millares 2 3 2 4 7 3" xfId="38223" xr:uid="{00000000-0005-0000-0000-000080120000}"/>
    <cellStyle name="Millares 2 3 2 4 8" xfId="17871" xr:uid="{00000000-0005-0000-0000-000081120000}"/>
    <cellStyle name="Millares 2 3 2 4 8 2" xfId="45004" xr:uid="{00000000-0005-0000-0000-000082120000}"/>
    <cellStyle name="Millares 2 3 2 4 9" xfId="31442" xr:uid="{00000000-0005-0000-0000-000083120000}"/>
    <cellStyle name="Millares 2 3 2 5" xfId="4080" xr:uid="{00000000-0005-0000-0000-000084120000}"/>
    <cellStyle name="Millares 2 3 2 5 2" xfId="4081" xr:uid="{00000000-0005-0000-0000-000085120000}"/>
    <cellStyle name="Millares 2 3 2 5 2 2" xfId="4082" xr:uid="{00000000-0005-0000-0000-000086120000}"/>
    <cellStyle name="Millares 2 3 2 5 2 2 2" xfId="7693" xr:uid="{00000000-0005-0000-0000-000087120000}"/>
    <cellStyle name="Millares 2 3 2 5 2 2 2 2" xfId="14483" xr:uid="{00000000-0005-0000-0000-000088120000}"/>
    <cellStyle name="Millares 2 3 2 5 2 2 2 2 2" xfId="28051" xr:uid="{00000000-0005-0000-0000-000089120000}"/>
    <cellStyle name="Millares 2 3 2 5 2 2 2 2 2 2" xfId="55184" xr:uid="{00000000-0005-0000-0000-00008A120000}"/>
    <cellStyle name="Millares 2 3 2 5 2 2 2 2 3" xfId="41622" xr:uid="{00000000-0005-0000-0000-00008B120000}"/>
    <cellStyle name="Millares 2 3 2 5 2 2 2 3" xfId="21270" xr:uid="{00000000-0005-0000-0000-00008C120000}"/>
    <cellStyle name="Millares 2 3 2 5 2 2 2 3 2" xfId="48403" xr:uid="{00000000-0005-0000-0000-00008D120000}"/>
    <cellStyle name="Millares 2 3 2 5 2 2 2 4" xfId="34841" xr:uid="{00000000-0005-0000-0000-00008E120000}"/>
    <cellStyle name="Millares 2 3 2 5 2 2 3" xfId="11094" xr:uid="{00000000-0005-0000-0000-00008F120000}"/>
    <cellStyle name="Millares 2 3 2 5 2 2 3 2" xfId="24662" xr:uid="{00000000-0005-0000-0000-000090120000}"/>
    <cellStyle name="Millares 2 3 2 5 2 2 3 2 2" xfId="51795" xr:uid="{00000000-0005-0000-0000-000091120000}"/>
    <cellStyle name="Millares 2 3 2 5 2 2 3 3" xfId="38233" xr:uid="{00000000-0005-0000-0000-000092120000}"/>
    <cellStyle name="Millares 2 3 2 5 2 2 4" xfId="17881" xr:uid="{00000000-0005-0000-0000-000093120000}"/>
    <cellStyle name="Millares 2 3 2 5 2 2 4 2" xfId="45014" xr:uid="{00000000-0005-0000-0000-000094120000}"/>
    <cellStyle name="Millares 2 3 2 5 2 2 5" xfId="31452" xr:uid="{00000000-0005-0000-0000-000095120000}"/>
    <cellStyle name="Millares 2 3 2 5 2 3" xfId="4083" xr:uid="{00000000-0005-0000-0000-000096120000}"/>
    <cellStyle name="Millares 2 3 2 5 2 3 2" xfId="7694" xr:uid="{00000000-0005-0000-0000-000097120000}"/>
    <cellStyle name="Millares 2 3 2 5 2 3 2 2" xfId="14484" xr:uid="{00000000-0005-0000-0000-000098120000}"/>
    <cellStyle name="Millares 2 3 2 5 2 3 2 2 2" xfId="28052" xr:uid="{00000000-0005-0000-0000-000099120000}"/>
    <cellStyle name="Millares 2 3 2 5 2 3 2 2 2 2" xfId="55185" xr:uid="{00000000-0005-0000-0000-00009A120000}"/>
    <cellStyle name="Millares 2 3 2 5 2 3 2 2 3" xfId="41623" xr:uid="{00000000-0005-0000-0000-00009B120000}"/>
    <cellStyle name="Millares 2 3 2 5 2 3 2 3" xfId="21271" xr:uid="{00000000-0005-0000-0000-00009C120000}"/>
    <cellStyle name="Millares 2 3 2 5 2 3 2 3 2" xfId="48404" xr:uid="{00000000-0005-0000-0000-00009D120000}"/>
    <cellStyle name="Millares 2 3 2 5 2 3 2 4" xfId="34842" xr:uid="{00000000-0005-0000-0000-00009E120000}"/>
    <cellStyle name="Millares 2 3 2 5 2 3 3" xfId="11095" xr:uid="{00000000-0005-0000-0000-00009F120000}"/>
    <cellStyle name="Millares 2 3 2 5 2 3 3 2" xfId="24663" xr:uid="{00000000-0005-0000-0000-0000A0120000}"/>
    <cellStyle name="Millares 2 3 2 5 2 3 3 2 2" xfId="51796" xr:uid="{00000000-0005-0000-0000-0000A1120000}"/>
    <cellStyle name="Millares 2 3 2 5 2 3 3 3" xfId="38234" xr:uid="{00000000-0005-0000-0000-0000A2120000}"/>
    <cellStyle name="Millares 2 3 2 5 2 3 4" xfId="17882" xr:uid="{00000000-0005-0000-0000-0000A3120000}"/>
    <cellStyle name="Millares 2 3 2 5 2 3 4 2" xfId="45015" xr:uid="{00000000-0005-0000-0000-0000A4120000}"/>
    <cellStyle name="Millares 2 3 2 5 2 3 5" xfId="31453" xr:uid="{00000000-0005-0000-0000-0000A5120000}"/>
    <cellStyle name="Millares 2 3 2 5 2 4" xfId="7692" xr:uid="{00000000-0005-0000-0000-0000A6120000}"/>
    <cellStyle name="Millares 2 3 2 5 2 4 2" xfId="14482" xr:uid="{00000000-0005-0000-0000-0000A7120000}"/>
    <cellStyle name="Millares 2 3 2 5 2 4 2 2" xfId="28050" xr:uid="{00000000-0005-0000-0000-0000A8120000}"/>
    <cellStyle name="Millares 2 3 2 5 2 4 2 2 2" xfId="55183" xr:uid="{00000000-0005-0000-0000-0000A9120000}"/>
    <cellStyle name="Millares 2 3 2 5 2 4 2 3" xfId="41621" xr:uid="{00000000-0005-0000-0000-0000AA120000}"/>
    <cellStyle name="Millares 2 3 2 5 2 4 3" xfId="21269" xr:uid="{00000000-0005-0000-0000-0000AB120000}"/>
    <cellStyle name="Millares 2 3 2 5 2 4 3 2" xfId="48402" xr:uid="{00000000-0005-0000-0000-0000AC120000}"/>
    <cellStyle name="Millares 2 3 2 5 2 4 4" xfId="34840" xr:uid="{00000000-0005-0000-0000-0000AD120000}"/>
    <cellStyle name="Millares 2 3 2 5 2 5" xfId="11093" xr:uid="{00000000-0005-0000-0000-0000AE120000}"/>
    <cellStyle name="Millares 2 3 2 5 2 5 2" xfId="24661" xr:uid="{00000000-0005-0000-0000-0000AF120000}"/>
    <cellStyle name="Millares 2 3 2 5 2 5 2 2" xfId="51794" xr:uid="{00000000-0005-0000-0000-0000B0120000}"/>
    <cellStyle name="Millares 2 3 2 5 2 5 3" xfId="38232" xr:uid="{00000000-0005-0000-0000-0000B1120000}"/>
    <cellStyle name="Millares 2 3 2 5 2 6" xfId="17880" xr:uid="{00000000-0005-0000-0000-0000B2120000}"/>
    <cellStyle name="Millares 2 3 2 5 2 6 2" xfId="45013" xr:uid="{00000000-0005-0000-0000-0000B3120000}"/>
    <cellStyle name="Millares 2 3 2 5 2 7" xfId="31451" xr:uid="{00000000-0005-0000-0000-0000B4120000}"/>
    <cellStyle name="Millares 2 3 2 5 3" xfId="4084" xr:uid="{00000000-0005-0000-0000-0000B5120000}"/>
    <cellStyle name="Millares 2 3 2 5 3 2" xfId="7695" xr:uid="{00000000-0005-0000-0000-0000B6120000}"/>
    <cellStyle name="Millares 2 3 2 5 3 2 2" xfId="14485" xr:uid="{00000000-0005-0000-0000-0000B7120000}"/>
    <cellStyle name="Millares 2 3 2 5 3 2 2 2" xfId="28053" xr:uid="{00000000-0005-0000-0000-0000B8120000}"/>
    <cellStyle name="Millares 2 3 2 5 3 2 2 2 2" xfId="55186" xr:uid="{00000000-0005-0000-0000-0000B9120000}"/>
    <cellStyle name="Millares 2 3 2 5 3 2 2 3" xfId="41624" xr:uid="{00000000-0005-0000-0000-0000BA120000}"/>
    <cellStyle name="Millares 2 3 2 5 3 2 3" xfId="21272" xr:uid="{00000000-0005-0000-0000-0000BB120000}"/>
    <cellStyle name="Millares 2 3 2 5 3 2 3 2" xfId="48405" xr:uid="{00000000-0005-0000-0000-0000BC120000}"/>
    <cellStyle name="Millares 2 3 2 5 3 2 4" xfId="34843" xr:uid="{00000000-0005-0000-0000-0000BD120000}"/>
    <cellStyle name="Millares 2 3 2 5 3 3" xfId="11096" xr:uid="{00000000-0005-0000-0000-0000BE120000}"/>
    <cellStyle name="Millares 2 3 2 5 3 3 2" xfId="24664" xr:uid="{00000000-0005-0000-0000-0000BF120000}"/>
    <cellStyle name="Millares 2 3 2 5 3 3 2 2" xfId="51797" xr:uid="{00000000-0005-0000-0000-0000C0120000}"/>
    <cellStyle name="Millares 2 3 2 5 3 3 3" xfId="38235" xr:uid="{00000000-0005-0000-0000-0000C1120000}"/>
    <cellStyle name="Millares 2 3 2 5 3 4" xfId="17883" xr:uid="{00000000-0005-0000-0000-0000C2120000}"/>
    <cellStyle name="Millares 2 3 2 5 3 4 2" xfId="45016" xr:uid="{00000000-0005-0000-0000-0000C3120000}"/>
    <cellStyle name="Millares 2 3 2 5 3 5" xfId="31454" xr:uid="{00000000-0005-0000-0000-0000C4120000}"/>
    <cellStyle name="Millares 2 3 2 5 4" xfId="4085" xr:uid="{00000000-0005-0000-0000-0000C5120000}"/>
    <cellStyle name="Millares 2 3 2 5 4 2" xfId="7696" xr:uid="{00000000-0005-0000-0000-0000C6120000}"/>
    <cellStyle name="Millares 2 3 2 5 4 2 2" xfId="14486" xr:uid="{00000000-0005-0000-0000-0000C7120000}"/>
    <cellStyle name="Millares 2 3 2 5 4 2 2 2" xfId="28054" xr:uid="{00000000-0005-0000-0000-0000C8120000}"/>
    <cellStyle name="Millares 2 3 2 5 4 2 2 2 2" xfId="55187" xr:uid="{00000000-0005-0000-0000-0000C9120000}"/>
    <cellStyle name="Millares 2 3 2 5 4 2 2 3" xfId="41625" xr:uid="{00000000-0005-0000-0000-0000CA120000}"/>
    <cellStyle name="Millares 2 3 2 5 4 2 3" xfId="21273" xr:uid="{00000000-0005-0000-0000-0000CB120000}"/>
    <cellStyle name="Millares 2 3 2 5 4 2 3 2" xfId="48406" xr:uid="{00000000-0005-0000-0000-0000CC120000}"/>
    <cellStyle name="Millares 2 3 2 5 4 2 4" xfId="34844" xr:uid="{00000000-0005-0000-0000-0000CD120000}"/>
    <cellStyle name="Millares 2 3 2 5 4 3" xfId="11097" xr:uid="{00000000-0005-0000-0000-0000CE120000}"/>
    <cellStyle name="Millares 2 3 2 5 4 3 2" xfId="24665" xr:uid="{00000000-0005-0000-0000-0000CF120000}"/>
    <cellStyle name="Millares 2 3 2 5 4 3 2 2" xfId="51798" xr:uid="{00000000-0005-0000-0000-0000D0120000}"/>
    <cellStyle name="Millares 2 3 2 5 4 3 3" xfId="38236" xr:uid="{00000000-0005-0000-0000-0000D1120000}"/>
    <cellStyle name="Millares 2 3 2 5 4 4" xfId="17884" xr:uid="{00000000-0005-0000-0000-0000D2120000}"/>
    <cellStyle name="Millares 2 3 2 5 4 4 2" xfId="45017" xr:uid="{00000000-0005-0000-0000-0000D3120000}"/>
    <cellStyle name="Millares 2 3 2 5 4 5" xfId="31455" xr:uid="{00000000-0005-0000-0000-0000D4120000}"/>
    <cellStyle name="Millares 2 3 2 5 5" xfId="7691" xr:uid="{00000000-0005-0000-0000-0000D5120000}"/>
    <cellStyle name="Millares 2 3 2 5 5 2" xfId="14481" xr:uid="{00000000-0005-0000-0000-0000D6120000}"/>
    <cellStyle name="Millares 2 3 2 5 5 2 2" xfId="28049" xr:uid="{00000000-0005-0000-0000-0000D7120000}"/>
    <cellStyle name="Millares 2 3 2 5 5 2 2 2" xfId="55182" xr:uid="{00000000-0005-0000-0000-0000D8120000}"/>
    <cellStyle name="Millares 2 3 2 5 5 2 3" xfId="41620" xr:uid="{00000000-0005-0000-0000-0000D9120000}"/>
    <cellStyle name="Millares 2 3 2 5 5 3" xfId="21268" xr:uid="{00000000-0005-0000-0000-0000DA120000}"/>
    <cellStyle name="Millares 2 3 2 5 5 3 2" xfId="48401" xr:uid="{00000000-0005-0000-0000-0000DB120000}"/>
    <cellStyle name="Millares 2 3 2 5 5 4" xfId="34839" xr:uid="{00000000-0005-0000-0000-0000DC120000}"/>
    <cellStyle name="Millares 2 3 2 5 6" xfId="11092" xr:uid="{00000000-0005-0000-0000-0000DD120000}"/>
    <cellStyle name="Millares 2 3 2 5 6 2" xfId="24660" xr:uid="{00000000-0005-0000-0000-0000DE120000}"/>
    <cellStyle name="Millares 2 3 2 5 6 2 2" xfId="51793" xr:uid="{00000000-0005-0000-0000-0000DF120000}"/>
    <cellStyle name="Millares 2 3 2 5 6 3" xfId="38231" xr:uid="{00000000-0005-0000-0000-0000E0120000}"/>
    <cellStyle name="Millares 2 3 2 5 7" xfId="17879" xr:uid="{00000000-0005-0000-0000-0000E1120000}"/>
    <cellStyle name="Millares 2 3 2 5 7 2" xfId="45012" xr:uid="{00000000-0005-0000-0000-0000E2120000}"/>
    <cellStyle name="Millares 2 3 2 5 8" xfId="31450" xr:uid="{00000000-0005-0000-0000-0000E3120000}"/>
    <cellStyle name="Millares 2 3 2 6" xfId="4086" xr:uid="{00000000-0005-0000-0000-0000E4120000}"/>
    <cellStyle name="Millares 2 3 2 6 2" xfId="4087" xr:uid="{00000000-0005-0000-0000-0000E5120000}"/>
    <cellStyle name="Millares 2 3 2 6 2 2" xfId="4088" xr:uid="{00000000-0005-0000-0000-0000E6120000}"/>
    <cellStyle name="Millares 2 3 2 6 2 2 2" xfId="7699" xr:uid="{00000000-0005-0000-0000-0000E7120000}"/>
    <cellStyle name="Millares 2 3 2 6 2 2 2 2" xfId="14489" xr:uid="{00000000-0005-0000-0000-0000E8120000}"/>
    <cellStyle name="Millares 2 3 2 6 2 2 2 2 2" xfId="28057" xr:uid="{00000000-0005-0000-0000-0000E9120000}"/>
    <cellStyle name="Millares 2 3 2 6 2 2 2 2 2 2" xfId="55190" xr:uid="{00000000-0005-0000-0000-0000EA120000}"/>
    <cellStyle name="Millares 2 3 2 6 2 2 2 2 3" xfId="41628" xr:uid="{00000000-0005-0000-0000-0000EB120000}"/>
    <cellStyle name="Millares 2 3 2 6 2 2 2 3" xfId="21276" xr:uid="{00000000-0005-0000-0000-0000EC120000}"/>
    <cellStyle name="Millares 2 3 2 6 2 2 2 3 2" xfId="48409" xr:uid="{00000000-0005-0000-0000-0000ED120000}"/>
    <cellStyle name="Millares 2 3 2 6 2 2 2 4" xfId="34847" xr:uid="{00000000-0005-0000-0000-0000EE120000}"/>
    <cellStyle name="Millares 2 3 2 6 2 2 3" xfId="11100" xr:uid="{00000000-0005-0000-0000-0000EF120000}"/>
    <cellStyle name="Millares 2 3 2 6 2 2 3 2" xfId="24668" xr:uid="{00000000-0005-0000-0000-0000F0120000}"/>
    <cellStyle name="Millares 2 3 2 6 2 2 3 2 2" xfId="51801" xr:uid="{00000000-0005-0000-0000-0000F1120000}"/>
    <cellStyle name="Millares 2 3 2 6 2 2 3 3" xfId="38239" xr:uid="{00000000-0005-0000-0000-0000F2120000}"/>
    <cellStyle name="Millares 2 3 2 6 2 2 4" xfId="17887" xr:uid="{00000000-0005-0000-0000-0000F3120000}"/>
    <cellStyle name="Millares 2 3 2 6 2 2 4 2" xfId="45020" xr:uid="{00000000-0005-0000-0000-0000F4120000}"/>
    <cellStyle name="Millares 2 3 2 6 2 2 5" xfId="31458" xr:uid="{00000000-0005-0000-0000-0000F5120000}"/>
    <cellStyle name="Millares 2 3 2 6 2 3" xfId="4089" xr:uid="{00000000-0005-0000-0000-0000F6120000}"/>
    <cellStyle name="Millares 2 3 2 6 2 3 2" xfId="7700" xr:uid="{00000000-0005-0000-0000-0000F7120000}"/>
    <cellStyle name="Millares 2 3 2 6 2 3 2 2" xfId="14490" xr:uid="{00000000-0005-0000-0000-0000F8120000}"/>
    <cellStyle name="Millares 2 3 2 6 2 3 2 2 2" xfId="28058" xr:uid="{00000000-0005-0000-0000-0000F9120000}"/>
    <cellStyle name="Millares 2 3 2 6 2 3 2 2 2 2" xfId="55191" xr:uid="{00000000-0005-0000-0000-0000FA120000}"/>
    <cellStyle name="Millares 2 3 2 6 2 3 2 2 3" xfId="41629" xr:uid="{00000000-0005-0000-0000-0000FB120000}"/>
    <cellStyle name="Millares 2 3 2 6 2 3 2 3" xfId="21277" xr:uid="{00000000-0005-0000-0000-0000FC120000}"/>
    <cellStyle name="Millares 2 3 2 6 2 3 2 3 2" xfId="48410" xr:uid="{00000000-0005-0000-0000-0000FD120000}"/>
    <cellStyle name="Millares 2 3 2 6 2 3 2 4" xfId="34848" xr:uid="{00000000-0005-0000-0000-0000FE120000}"/>
    <cellStyle name="Millares 2 3 2 6 2 3 3" xfId="11101" xr:uid="{00000000-0005-0000-0000-0000FF120000}"/>
    <cellStyle name="Millares 2 3 2 6 2 3 3 2" xfId="24669" xr:uid="{00000000-0005-0000-0000-000000130000}"/>
    <cellStyle name="Millares 2 3 2 6 2 3 3 2 2" xfId="51802" xr:uid="{00000000-0005-0000-0000-000001130000}"/>
    <cellStyle name="Millares 2 3 2 6 2 3 3 3" xfId="38240" xr:uid="{00000000-0005-0000-0000-000002130000}"/>
    <cellStyle name="Millares 2 3 2 6 2 3 4" xfId="17888" xr:uid="{00000000-0005-0000-0000-000003130000}"/>
    <cellStyle name="Millares 2 3 2 6 2 3 4 2" xfId="45021" xr:uid="{00000000-0005-0000-0000-000004130000}"/>
    <cellStyle name="Millares 2 3 2 6 2 3 5" xfId="31459" xr:uid="{00000000-0005-0000-0000-000005130000}"/>
    <cellStyle name="Millares 2 3 2 6 2 4" xfId="7698" xr:uid="{00000000-0005-0000-0000-000006130000}"/>
    <cellStyle name="Millares 2 3 2 6 2 4 2" xfId="14488" xr:uid="{00000000-0005-0000-0000-000007130000}"/>
    <cellStyle name="Millares 2 3 2 6 2 4 2 2" xfId="28056" xr:uid="{00000000-0005-0000-0000-000008130000}"/>
    <cellStyle name="Millares 2 3 2 6 2 4 2 2 2" xfId="55189" xr:uid="{00000000-0005-0000-0000-000009130000}"/>
    <cellStyle name="Millares 2 3 2 6 2 4 2 3" xfId="41627" xr:uid="{00000000-0005-0000-0000-00000A130000}"/>
    <cellStyle name="Millares 2 3 2 6 2 4 3" xfId="21275" xr:uid="{00000000-0005-0000-0000-00000B130000}"/>
    <cellStyle name="Millares 2 3 2 6 2 4 3 2" xfId="48408" xr:uid="{00000000-0005-0000-0000-00000C130000}"/>
    <cellStyle name="Millares 2 3 2 6 2 4 4" xfId="34846" xr:uid="{00000000-0005-0000-0000-00000D130000}"/>
    <cellStyle name="Millares 2 3 2 6 2 5" xfId="11099" xr:uid="{00000000-0005-0000-0000-00000E130000}"/>
    <cellStyle name="Millares 2 3 2 6 2 5 2" xfId="24667" xr:uid="{00000000-0005-0000-0000-00000F130000}"/>
    <cellStyle name="Millares 2 3 2 6 2 5 2 2" xfId="51800" xr:uid="{00000000-0005-0000-0000-000010130000}"/>
    <cellStyle name="Millares 2 3 2 6 2 5 3" xfId="38238" xr:uid="{00000000-0005-0000-0000-000011130000}"/>
    <cellStyle name="Millares 2 3 2 6 2 6" xfId="17886" xr:uid="{00000000-0005-0000-0000-000012130000}"/>
    <cellStyle name="Millares 2 3 2 6 2 6 2" xfId="45019" xr:uid="{00000000-0005-0000-0000-000013130000}"/>
    <cellStyle name="Millares 2 3 2 6 2 7" xfId="31457" xr:uid="{00000000-0005-0000-0000-000014130000}"/>
    <cellStyle name="Millares 2 3 2 6 3" xfId="4090" xr:uid="{00000000-0005-0000-0000-000015130000}"/>
    <cellStyle name="Millares 2 3 2 6 3 2" xfId="7701" xr:uid="{00000000-0005-0000-0000-000016130000}"/>
    <cellStyle name="Millares 2 3 2 6 3 2 2" xfId="14491" xr:uid="{00000000-0005-0000-0000-000017130000}"/>
    <cellStyle name="Millares 2 3 2 6 3 2 2 2" xfId="28059" xr:uid="{00000000-0005-0000-0000-000018130000}"/>
    <cellStyle name="Millares 2 3 2 6 3 2 2 2 2" xfId="55192" xr:uid="{00000000-0005-0000-0000-000019130000}"/>
    <cellStyle name="Millares 2 3 2 6 3 2 2 3" xfId="41630" xr:uid="{00000000-0005-0000-0000-00001A130000}"/>
    <cellStyle name="Millares 2 3 2 6 3 2 3" xfId="21278" xr:uid="{00000000-0005-0000-0000-00001B130000}"/>
    <cellStyle name="Millares 2 3 2 6 3 2 3 2" xfId="48411" xr:uid="{00000000-0005-0000-0000-00001C130000}"/>
    <cellStyle name="Millares 2 3 2 6 3 2 4" xfId="34849" xr:uid="{00000000-0005-0000-0000-00001D130000}"/>
    <cellStyle name="Millares 2 3 2 6 3 3" xfId="11102" xr:uid="{00000000-0005-0000-0000-00001E130000}"/>
    <cellStyle name="Millares 2 3 2 6 3 3 2" xfId="24670" xr:uid="{00000000-0005-0000-0000-00001F130000}"/>
    <cellStyle name="Millares 2 3 2 6 3 3 2 2" xfId="51803" xr:uid="{00000000-0005-0000-0000-000020130000}"/>
    <cellStyle name="Millares 2 3 2 6 3 3 3" xfId="38241" xr:uid="{00000000-0005-0000-0000-000021130000}"/>
    <cellStyle name="Millares 2 3 2 6 3 4" xfId="17889" xr:uid="{00000000-0005-0000-0000-000022130000}"/>
    <cellStyle name="Millares 2 3 2 6 3 4 2" xfId="45022" xr:uid="{00000000-0005-0000-0000-000023130000}"/>
    <cellStyle name="Millares 2 3 2 6 3 5" xfId="31460" xr:uid="{00000000-0005-0000-0000-000024130000}"/>
    <cellStyle name="Millares 2 3 2 6 4" xfId="4091" xr:uid="{00000000-0005-0000-0000-000025130000}"/>
    <cellStyle name="Millares 2 3 2 6 4 2" xfId="7702" xr:uid="{00000000-0005-0000-0000-000026130000}"/>
    <cellStyle name="Millares 2 3 2 6 4 2 2" xfId="14492" xr:uid="{00000000-0005-0000-0000-000027130000}"/>
    <cellStyle name="Millares 2 3 2 6 4 2 2 2" xfId="28060" xr:uid="{00000000-0005-0000-0000-000028130000}"/>
    <cellStyle name="Millares 2 3 2 6 4 2 2 2 2" xfId="55193" xr:uid="{00000000-0005-0000-0000-000029130000}"/>
    <cellStyle name="Millares 2 3 2 6 4 2 2 3" xfId="41631" xr:uid="{00000000-0005-0000-0000-00002A130000}"/>
    <cellStyle name="Millares 2 3 2 6 4 2 3" xfId="21279" xr:uid="{00000000-0005-0000-0000-00002B130000}"/>
    <cellStyle name="Millares 2 3 2 6 4 2 3 2" xfId="48412" xr:uid="{00000000-0005-0000-0000-00002C130000}"/>
    <cellStyle name="Millares 2 3 2 6 4 2 4" xfId="34850" xr:uid="{00000000-0005-0000-0000-00002D130000}"/>
    <cellStyle name="Millares 2 3 2 6 4 3" xfId="11103" xr:uid="{00000000-0005-0000-0000-00002E130000}"/>
    <cellStyle name="Millares 2 3 2 6 4 3 2" xfId="24671" xr:uid="{00000000-0005-0000-0000-00002F130000}"/>
    <cellStyle name="Millares 2 3 2 6 4 3 2 2" xfId="51804" xr:uid="{00000000-0005-0000-0000-000030130000}"/>
    <cellStyle name="Millares 2 3 2 6 4 3 3" xfId="38242" xr:uid="{00000000-0005-0000-0000-000031130000}"/>
    <cellStyle name="Millares 2 3 2 6 4 4" xfId="17890" xr:uid="{00000000-0005-0000-0000-000032130000}"/>
    <cellStyle name="Millares 2 3 2 6 4 4 2" xfId="45023" xr:uid="{00000000-0005-0000-0000-000033130000}"/>
    <cellStyle name="Millares 2 3 2 6 4 5" xfId="31461" xr:uid="{00000000-0005-0000-0000-000034130000}"/>
    <cellStyle name="Millares 2 3 2 6 5" xfId="7697" xr:uid="{00000000-0005-0000-0000-000035130000}"/>
    <cellStyle name="Millares 2 3 2 6 5 2" xfId="14487" xr:uid="{00000000-0005-0000-0000-000036130000}"/>
    <cellStyle name="Millares 2 3 2 6 5 2 2" xfId="28055" xr:uid="{00000000-0005-0000-0000-000037130000}"/>
    <cellStyle name="Millares 2 3 2 6 5 2 2 2" xfId="55188" xr:uid="{00000000-0005-0000-0000-000038130000}"/>
    <cellStyle name="Millares 2 3 2 6 5 2 3" xfId="41626" xr:uid="{00000000-0005-0000-0000-000039130000}"/>
    <cellStyle name="Millares 2 3 2 6 5 3" xfId="21274" xr:uid="{00000000-0005-0000-0000-00003A130000}"/>
    <cellStyle name="Millares 2 3 2 6 5 3 2" xfId="48407" xr:uid="{00000000-0005-0000-0000-00003B130000}"/>
    <cellStyle name="Millares 2 3 2 6 5 4" xfId="34845" xr:uid="{00000000-0005-0000-0000-00003C130000}"/>
    <cellStyle name="Millares 2 3 2 6 6" xfId="11098" xr:uid="{00000000-0005-0000-0000-00003D130000}"/>
    <cellStyle name="Millares 2 3 2 6 6 2" xfId="24666" xr:uid="{00000000-0005-0000-0000-00003E130000}"/>
    <cellStyle name="Millares 2 3 2 6 6 2 2" xfId="51799" xr:uid="{00000000-0005-0000-0000-00003F130000}"/>
    <cellStyle name="Millares 2 3 2 6 6 3" xfId="38237" xr:uid="{00000000-0005-0000-0000-000040130000}"/>
    <cellStyle name="Millares 2 3 2 6 7" xfId="17885" xr:uid="{00000000-0005-0000-0000-000041130000}"/>
    <cellStyle name="Millares 2 3 2 6 7 2" xfId="45018" xr:uid="{00000000-0005-0000-0000-000042130000}"/>
    <cellStyle name="Millares 2 3 2 6 8" xfId="31456" xr:uid="{00000000-0005-0000-0000-000043130000}"/>
    <cellStyle name="Millares 2 3 2 7" xfId="4092" xr:uid="{00000000-0005-0000-0000-000044130000}"/>
    <cellStyle name="Millares 2 3 2 7 2" xfId="4093" xr:uid="{00000000-0005-0000-0000-000045130000}"/>
    <cellStyle name="Millares 2 3 2 7 2 2" xfId="7704" xr:uid="{00000000-0005-0000-0000-000046130000}"/>
    <cellStyle name="Millares 2 3 2 7 2 2 2" xfId="14494" xr:uid="{00000000-0005-0000-0000-000047130000}"/>
    <cellStyle name="Millares 2 3 2 7 2 2 2 2" xfId="28062" xr:uid="{00000000-0005-0000-0000-000048130000}"/>
    <cellStyle name="Millares 2 3 2 7 2 2 2 2 2" xfId="55195" xr:uid="{00000000-0005-0000-0000-000049130000}"/>
    <cellStyle name="Millares 2 3 2 7 2 2 2 3" xfId="41633" xr:uid="{00000000-0005-0000-0000-00004A130000}"/>
    <cellStyle name="Millares 2 3 2 7 2 2 3" xfId="21281" xr:uid="{00000000-0005-0000-0000-00004B130000}"/>
    <cellStyle name="Millares 2 3 2 7 2 2 3 2" xfId="48414" xr:uid="{00000000-0005-0000-0000-00004C130000}"/>
    <cellStyle name="Millares 2 3 2 7 2 2 4" xfId="34852" xr:uid="{00000000-0005-0000-0000-00004D130000}"/>
    <cellStyle name="Millares 2 3 2 7 2 3" xfId="11105" xr:uid="{00000000-0005-0000-0000-00004E130000}"/>
    <cellStyle name="Millares 2 3 2 7 2 3 2" xfId="24673" xr:uid="{00000000-0005-0000-0000-00004F130000}"/>
    <cellStyle name="Millares 2 3 2 7 2 3 2 2" xfId="51806" xr:uid="{00000000-0005-0000-0000-000050130000}"/>
    <cellStyle name="Millares 2 3 2 7 2 3 3" xfId="38244" xr:uid="{00000000-0005-0000-0000-000051130000}"/>
    <cellStyle name="Millares 2 3 2 7 2 4" xfId="17892" xr:uid="{00000000-0005-0000-0000-000052130000}"/>
    <cellStyle name="Millares 2 3 2 7 2 4 2" xfId="45025" xr:uid="{00000000-0005-0000-0000-000053130000}"/>
    <cellStyle name="Millares 2 3 2 7 2 5" xfId="31463" xr:uid="{00000000-0005-0000-0000-000054130000}"/>
    <cellStyle name="Millares 2 3 2 7 3" xfId="4094" xr:uid="{00000000-0005-0000-0000-000055130000}"/>
    <cellStyle name="Millares 2 3 2 7 3 2" xfId="7705" xr:uid="{00000000-0005-0000-0000-000056130000}"/>
    <cellStyle name="Millares 2 3 2 7 3 2 2" xfId="14495" xr:uid="{00000000-0005-0000-0000-000057130000}"/>
    <cellStyle name="Millares 2 3 2 7 3 2 2 2" xfId="28063" xr:uid="{00000000-0005-0000-0000-000058130000}"/>
    <cellStyle name="Millares 2 3 2 7 3 2 2 2 2" xfId="55196" xr:uid="{00000000-0005-0000-0000-000059130000}"/>
    <cellStyle name="Millares 2 3 2 7 3 2 2 3" xfId="41634" xr:uid="{00000000-0005-0000-0000-00005A130000}"/>
    <cellStyle name="Millares 2 3 2 7 3 2 3" xfId="21282" xr:uid="{00000000-0005-0000-0000-00005B130000}"/>
    <cellStyle name="Millares 2 3 2 7 3 2 3 2" xfId="48415" xr:uid="{00000000-0005-0000-0000-00005C130000}"/>
    <cellStyle name="Millares 2 3 2 7 3 2 4" xfId="34853" xr:uid="{00000000-0005-0000-0000-00005D130000}"/>
    <cellStyle name="Millares 2 3 2 7 3 3" xfId="11106" xr:uid="{00000000-0005-0000-0000-00005E130000}"/>
    <cellStyle name="Millares 2 3 2 7 3 3 2" xfId="24674" xr:uid="{00000000-0005-0000-0000-00005F130000}"/>
    <cellStyle name="Millares 2 3 2 7 3 3 2 2" xfId="51807" xr:uid="{00000000-0005-0000-0000-000060130000}"/>
    <cellStyle name="Millares 2 3 2 7 3 3 3" xfId="38245" xr:uid="{00000000-0005-0000-0000-000061130000}"/>
    <cellStyle name="Millares 2 3 2 7 3 4" xfId="17893" xr:uid="{00000000-0005-0000-0000-000062130000}"/>
    <cellStyle name="Millares 2 3 2 7 3 4 2" xfId="45026" xr:uid="{00000000-0005-0000-0000-000063130000}"/>
    <cellStyle name="Millares 2 3 2 7 3 5" xfId="31464" xr:uid="{00000000-0005-0000-0000-000064130000}"/>
    <cellStyle name="Millares 2 3 2 7 4" xfId="7703" xr:uid="{00000000-0005-0000-0000-000065130000}"/>
    <cellStyle name="Millares 2 3 2 7 4 2" xfId="14493" xr:uid="{00000000-0005-0000-0000-000066130000}"/>
    <cellStyle name="Millares 2 3 2 7 4 2 2" xfId="28061" xr:uid="{00000000-0005-0000-0000-000067130000}"/>
    <cellStyle name="Millares 2 3 2 7 4 2 2 2" xfId="55194" xr:uid="{00000000-0005-0000-0000-000068130000}"/>
    <cellStyle name="Millares 2 3 2 7 4 2 3" xfId="41632" xr:uid="{00000000-0005-0000-0000-000069130000}"/>
    <cellStyle name="Millares 2 3 2 7 4 3" xfId="21280" xr:uid="{00000000-0005-0000-0000-00006A130000}"/>
    <cellStyle name="Millares 2 3 2 7 4 3 2" xfId="48413" xr:uid="{00000000-0005-0000-0000-00006B130000}"/>
    <cellStyle name="Millares 2 3 2 7 4 4" xfId="34851" xr:uid="{00000000-0005-0000-0000-00006C130000}"/>
    <cellStyle name="Millares 2 3 2 7 5" xfId="11104" xr:uid="{00000000-0005-0000-0000-00006D130000}"/>
    <cellStyle name="Millares 2 3 2 7 5 2" xfId="24672" xr:uid="{00000000-0005-0000-0000-00006E130000}"/>
    <cellStyle name="Millares 2 3 2 7 5 2 2" xfId="51805" xr:uid="{00000000-0005-0000-0000-00006F130000}"/>
    <cellStyle name="Millares 2 3 2 7 5 3" xfId="38243" xr:uid="{00000000-0005-0000-0000-000070130000}"/>
    <cellStyle name="Millares 2 3 2 7 6" xfId="17891" xr:uid="{00000000-0005-0000-0000-000071130000}"/>
    <cellStyle name="Millares 2 3 2 7 6 2" xfId="45024" xr:uid="{00000000-0005-0000-0000-000072130000}"/>
    <cellStyle name="Millares 2 3 2 7 7" xfId="31462" xr:uid="{00000000-0005-0000-0000-000073130000}"/>
    <cellStyle name="Millares 2 3 2 8" xfId="4095" xr:uid="{00000000-0005-0000-0000-000074130000}"/>
    <cellStyle name="Millares 2 3 2 8 2" xfId="4096" xr:uid="{00000000-0005-0000-0000-000075130000}"/>
    <cellStyle name="Millares 2 3 2 8 2 2" xfId="7707" xr:uid="{00000000-0005-0000-0000-000076130000}"/>
    <cellStyle name="Millares 2 3 2 8 2 2 2" xfId="14497" xr:uid="{00000000-0005-0000-0000-000077130000}"/>
    <cellStyle name="Millares 2 3 2 8 2 2 2 2" xfId="28065" xr:uid="{00000000-0005-0000-0000-000078130000}"/>
    <cellStyle name="Millares 2 3 2 8 2 2 2 2 2" xfId="55198" xr:uid="{00000000-0005-0000-0000-000079130000}"/>
    <cellStyle name="Millares 2 3 2 8 2 2 2 3" xfId="41636" xr:uid="{00000000-0005-0000-0000-00007A130000}"/>
    <cellStyle name="Millares 2 3 2 8 2 2 3" xfId="21284" xr:uid="{00000000-0005-0000-0000-00007B130000}"/>
    <cellStyle name="Millares 2 3 2 8 2 2 3 2" xfId="48417" xr:uid="{00000000-0005-0000-0000-00007C130000}"/>
    <cellStyle name="Millares 2 3 2 8 2 2 4" xfId="34855" xr:uid="{00000000-0005-0000-0000-00007D130000}"/>
    <cellStyle name="Millares 2 3 2 8 2 3" xfId="11108" xr:uid="{00000000-0005-0000-0000-00007E130000}"/>
    <cellStyle name="Millares 2 3 2 8 2 3 2" xfId="24676" xr:uid="{00000000-0005-0000-0000-00007F130000}"/>
    <cellStyle name="Millares 2 3 2 8 2 3 2 2" xfId="51809" xr:uid="{00000000-0005-0000-0000-000080130000}"/>
    <cellStyle name="Millares 2 3 2 8 2 3 3" xfId="38247" xr:uid="{00000000-0005-0000-0000-000081130000}"/>
    <cellStyle name="Millares 2 3 2 8 2 4" xfId="17895" xr:uid="{00000000-0005-0000-0000-000082130000}"/>
    <cellStyle name="Millares 2 3 2 8 2 4 2" xfId="45028" xr:uid="{00000000-0005-0000-0000-000083130000}"/>
    <cellStyle name="Millares 2 3 2 8 2 5" xfId="31466" xr:uid="{00000000-0005-0000-0000-000084130000}"/>
    <cellStyle name="Millares 2 3 2 8 3" xfId="4097" xr:uid="{00000000-0005-0000-0000-000085130000}"/>
    <cellStyle name="Millares 2 3 2 8 3 2" xfId="7708" xr:uid="{00000000-0005-0000-0000-000086130000}"/>
    <cellStyle name="Millares 2 3 2 8 3 2 2" xfId="14498" xr:uid="{00000000-0005-0000-0000-000087130000}"/>
    <cellStyle name="Millares 2 3 2 8 3 2 2 2" xfId="28066" xr:uid="{00000000-0005-0000-0000-000088130000}"/>
    <cellStyle name="Millares 2 3 2 8 3 2 2 2 2" xfId="55199" xr:uid="{00000000-0005-0000-0000-000089130000}"/>
    <cellStyle name="Millares 2 3 2 8 3 2 2 3" xfId="41637" xr:uid="{00000000-0005-0000-0000-00008A130000}"/>
    <cellStyle name="Millares 2 3 2 8 3 2 3" xfId="21285" xr:uid="{00000000-0005-0000-0000-00008B130000}"/>
    <cellStyle name="Millares 2 3 2 8 3 2 3 2" xfId="48418" xr:uid="{00000000-0005-0000-0000-00008C130000}"/>
    <cellStyle name="Millares 2 3 2 8 3 2 4" xfId="34856" xr:uid="{00000000-0005-0000-0000-00008D130000}"/>
    <cellStyle name="Millares 2 3 2 8 3 3" xfId="11109" xr:uid="{00000000-0005-0000-0000-00008E130000}"/>
    <cellStyle name="Millares 2 3 2 8 3 3 2" xfId="24677" xr:uid="{00000000-0005-0000-0000-00008F130000}"/>
    <cellStyle name="Millares 2 3 2 8 3 3 2 2" xfId="51810" xr:uid="{00000000-0005-0000-0000-000090130000}"/>
    <cellStyle name="Millares 2 3 2 8 3 3 3" xfId="38248" xr:uid="{00000000-0005-0000-0000-000091130000}"/>
    <cellStyle name="Millares 2 3 2 8 3 4" xfId="17896" xr:uid="{00000000-0005-0000-0000-000092130000}"/>
    <cellStyle name="Millares 2 3 2 8 3 4 2" xfId="45029" xr:uid="{00000000-0005-0000-0000-000093130000}"/>
    <cellStyle name="Millares 2 3 2 8 3 5" xfId="31467" xr:uid="{00000000-0005-0000-0000-000094130000}"/>
    <cellStyle name="Millares 2 3 2 8 4" xfId="7706" xr:uid="{00000000-0005-0000-0000-000095130000}"/>
    <cellStyle name="Millares 2 3 2 8 4 2" xfId="14496" xr:uid="{00000000-0005-0000-0000-000096130000}"/>
    <cellStyle name="Millares 2 3 2 8 4 2 2" xfId="28064" xr:uid="{00000000-0005-0000-0000-000097130000}"/>
    <cellStyle name="Millares 2 3 2 8 4 2 2 2" xfId="55197" xr:uid="{00000000-0005-0000-0000-000098130000}"/>
    <cellStyle name="Millares 2 3 2 8 4 2 3" xfId="41635" xr:uid="{00000000-0005-0000-0000-000099130000}"/>
    <cellStyle name="Millares 2 3 2 8 4 3" xfId="21283" xr:uid="{00000000-0005-0000-0000-00009A130000}"/>
    <cellStyle name="Millares 2 3 2 8 4 3 2" xfId="48416" xr:uid="{00000000-0005-0000-0000-00009B130000}"/>
    <cellStyle name="Millares 2 3 2 8 4 4" xfId="34854" xr:uid="{00000000-0005-0000-0000-00009C130000}"/>
    <cellStyle name="Millares 2 3 2 8 5" xfId="11107" xr:uid="{00000000-0005-0000-0000-00009D130000}"/>
    <cellStyle name="Millares 2 3 2 8 5 2" xfId="24675" xr:uid="{00000000-0005-0000-0000-00009E130000}"/>
    <cellStyle name="Millares 2 3 2 8 5 2 2" xfId="51808" xr:uid="{00000000-0005-0000-0000-00009F130000}"/>
    <cellStyle name="Millares 2 3 2 8 5 3" xfId="38246" xr:uid="{00000000-0005-0000-0000-0000A0130000}"/>
    <cellStyle name="Millares 2 3 2 8 6" xfId="17894" xr:uid="{00000000-0005-0000-0000-0000A1130000}"/>
    <cellStyle name="Millares 2 3 2 8 6 2" xfId="45027" xr:uid="{00000000-0005-0000-0000-0000A2130000}"/>
    <cellStyle name="Millares 2 3 2 8 7" xfId="31465" xr:uid="{00000000-0005-0000-0000-0000A3130000}"/>
    <cellStyle name="Millares 2 3 2 9" xfId="4098" xr:uid="{00000000-0005-0000-0000-0000A4130000}"/>
    <cellStyle name="Millares 2 3 2 9 2" xfId="7709" xr:uid="{00000000-0005-0000-0000-0000A5130000}"/>
    <cellStyle name="Millares 2 3 2 9 2 2" xfId="14499" xr:uid="{00000000-0005-0000-0000-0000A6130000}"/>
    <cellStyle name="Millares 2 3 2 9 2 2 2" xfId="28067" xr:uid="{00000000-0005-0000-0000-0000A7130000}"/>
    <cellStyle name="Millares 2 3 2 9 2 2 2 2" xfId="55200" xr:uid="{00000000-0005-0000-0000-0000A8130000}"/>
    <cellStyle name="Millares 2 3 2 9 2 2 3" xfId="41638" xr:uid="{00000000-0005-0000-0000-0000A9130000}"/>
    <cellStyle name="Millares 2 3 2 9 2 3" xfId="21286" xr:uid="{00000000-0005-0000-0000-0000AA130000}"/>
    <cellStyle name="Millares 2 3 2 9 2 3 2" xfId="48419" xr:uid="{00000000-0005-0000-0000-0000AB130000}"/>
    <cellStyle name="Millares 2 3 2 9 2 4" xfId="34857" xr:uid="{00000000-0005-0000-0000-0000AC130000}"/>
    <cellStyle name="Millares 2 3 2 9 3" xfId="11110" xr:uid="{00000000-0005-0000-0000-0000AD130000}"/>
    <cellStyle name="Millares 2 3 2 9 3 2" xfId="24678" xr:uid="{00000000-0005-0000-0000-0000AE130000}"/>
    <cellStyle name="Millares 2 3 2 9 3 2 2" xfId="51811" xr:uid="{00000000-0005-0000-0000-0000AF130000}"/>
    <cellStyle name="Millares 2 3 2 9 3 3" xfId="38249" xr:uid="{00000000-0005-0000-0000-0000B0130000}"/>
    <cellStyle name="Millares 2 3 2 9 4" xfId="17897" xr:uid="{00000000-0005-0000-0000-0000B1130000}"/>
    <cellStyle name="Millares 2 3 2 9 4 2" xfId="45030" xr:uid="{00000000-0005-0000-0000-0000B2130000}"/>
    <cellStyle name="Millares 2 3 2 9 5" xfId="31468" xr:uid="{00000000-0005-0000-0000-0000B3130000}"/>
    <cellStyle name="Millares 2 3 3" xfId="4099" xr:uid="{00000000-0005-0000-0000-0000B4130000}"/>
    <cellStyle name="Millares 2 3 4" xfId="4100" xr:uid="{00000000-0005-0000-0000-0000B5130000}"/>
    <cellStyle name="Millares 2 3 4 2" xfId="4101" xr:uid="{00000000-0005-0000-0000-0000B6130000}"/>
    <cellStyle name="Millares 2 3 4 2 2" xfId="7711" xr:uid="{00000000-0005-0000-0000-0000B7130000}"/>
    <cellStyle name="Millares 2 3 4 2 2 2" xfId="14501" xr:uid="{00000000-0005-0000-0000-0000B8130000}"/>
    <cellStyle name="Millares 2 3 4 2 2 2 2" xfId="28069" xr:uid="{00000000-0005-0000-0000-0000B9130000}"/>
    <cellStyle name="Millares 2 3 4 2 2 2 2 2" xfId="55202" xr:uid="{00000000-0005-0000-0000-0000BA130000}"/>
    <cellStyle name="Millares 2 3 4 2 2 2 3" xfId="41640" xr:uid="{00000000-0005-0000-0000-0000BB130000}"/>
    <cellStyle name="Millares 2 3 4 2 2 3" xfId="21288" xr:uid="{00000000-0005-0000-0000-0000BC130000}"/>
    <cellStyle name="Millares 2 3 4 2 2 3 2" xfId="48421" xr:uid="{00000000-0005-0000-0000-0000BD130000}"/>
    <cellStyle name="Millares 2 3 4 2 2 4" xfId="34859" xr:uid="{00000000-0005-0000-0000-0000BE130000}"/>
    <cellStyle name="Millares 2 3 4 2 3" xfId="11112" xr:uid="{00000000-0005-0000-0000-0000BF130000}"/>
    <cellStyle name="Millares 2 3 4 2 3 2" xfId="24680" xr:uid="{00000000-0005-0000-0000-0000C0130000}"/>
    <cellStyle name="Millares 2 3 4 2 3 2 2" xfId="51813" xr:uid="{00000000-0005-0000-0000-0000C1130000}"/>
    <cellStyle name="Millares 2 3 4 2 3 3" xfId="38251" xr:uid="{00000000-0005-0000-0000-0000C2130000}"/>
    <cellStyle name="Millares 2 3 4 2 4" xfId="17899" xr:uid="{00000000-0005-0000-0000-0000C3130000}"/>
    <cellStyle name="Millares 2 3 4 2 4 2" xfId="45032" xr:uid="{00000000-0005-0000-0000-0000C4130000}"/>
    <cellStyle name="Millares 2 3 4 2 5" xfId="31470" xr:uid="{00000000-0005-0000-0000-0000C5130000}"/>
    <cellStyle name="Millares 2 3 4 3" xfId="4102" xr:uid="{00000000-0005-0000-0000-0000C6130000}"/>
    <cellStyle name="Millares 2 3 4 3 2" xfId="7712" xr:uid="{00000000-0005-0000-0000-0000C7130000}"/>
    <cellStyle name="Millares 2 3 4 3 2 2" xfId="14502" xr:uid="{00000000-0005-0000-0000-0000C8130000}"/>
    <cellStyle name="Millares 2 3 4 3 2 2 2" xfId="28070" xr:uid="{00000000-0005-0000-0000-0000C9130000}"/>
    <cellStyle name="Millares 2 3 4 3 2 2 2 2" xfId="55203" xr:uid="{00000000-0005-0000-0000-0000CA130000}"/>
    <cellStyle name="Millares 2 3 4 3 2 2 3" xfId="41641" xr:uid="{00000000-0005-0000-0000-0000CB130000}"/>
    <cellStyle name="Millares 2 3 4 3 2 3" xfId="21289" xr:uid="{00000000-0005-0000-0000-0000CC130000}"/>
    <cellStyle name="Millares 2 3 4 3 2 3 2" xfId="48422" xr:uid="{00000000-0005-0000-0000-0000CD130000}"/>
    <cellStyle name="Millares 2 3 4 3 2 4" xfId="34860" xr:uid="{00000000-0005-0000-0000-0000CE130000}"/>
    <cellStyle name="Millares 2 3 4 3 3" xfId="11113" xr:uid="{00000000-0005-0000-0000-0000CF130000}"/>
    <cellStyle name="Millares 2 3 4 3 3 2" xfId="24681" xr:uid="{00000000-0005-0000-0000-0000D0130000}"/>
    <cellStyle name="Millares 2 3 4 3 3 2 2" xfId="51814" xr:uid="{00000000-0005-0000-0000-0000D1130000}"/>
    <cellStyle name="Millares 2 3 4 3 3 3" xfId="38252" xr:uid="{00000000-0005-0000-0000-0000D2130000}"/>
    <cellStyle name="Millares 2 3 4 3 4" xfId="17900" xr:uid="{00000000-0005-0000-0000-0000D3130000}"/>
    <cellStyle name="Millares 2 3 4 3 4 2" xfId="45033" xr:uid="{00000000-0005-0000-0000-0000D4130000}"/>
    <cellStyle name="Millares 2 3 4 3 5" xfId="31471" xr:uid="{00000000-0005-0000-0000-0000D5130000}"/>
    <cellStyle name="Millares 2 3 4 4" xfId="7710" xr:uid="{00000000-0005-0000-0000-0000D6130000}"/>
    <cellStyle name="Millares 2 3 4 4 2" xfId="14500" xr:uid="{00000000-0005-0000-0000-0000D7130000}"/>
    <cellStyle name="Millares 2 3 4 4 2 2" xfId="28068" xr:uid="{00000000-0005-0000-0000-0000D8130000}"/>
    <cellStyle name="Millares 2 3 4 4 2 2 2" xfId="55201" xr:uid="{00000000-0005-0000-0000-0000D9130000}"/>
    <cellStyle name="Millares 2 3 4 4 2 3" xfId="41639" xr:uid="{00000000-0005-0000-0000-0000DA130000}"/>
    <cellStyle name="Millares 2 3 4 4 3" xfId="21287" xr:uid="{00000000-0005-0000-0000-0000DB130000}"/>
    <cellStyle name="Millares 2 3 4 4 3 2" xfId="48420" xr:uid="{00000000-0005-0000-0000-0000DC130000}"/>
    <cellStyle name="Millares 2 3 4 4 4" xfId="34858" xr:uid="{00000000-0005-0000-0000-0000DD130000}"/>
    <cellStyle name="Millares 2 3 4 5" xfId="11111" xr:uid="{00000000-0005-0000-0000-0000DE130000}"/>
    <cellStyle name="Millares 2 3 4 5 2" xfId="24679" xr:uid="{00000000-0005-0000-0000-0000DF130000}"/>
    <cellStyle name="Millares 2 3 4 5 2 2" xfId="51812" xr:uid="{00000000-0005-0000-0000-0000E0130000}"/>
    <cellStyle name="Millares 2 3 4 5 3" xfId="38250" xr:uid="{00000000-0005-0000-0000-0000E1130000}"/>
    <cellStyle name="Millares 2 3 4 6" xfId="17898" xr:uid="{00000000-0005-0000-0000-0000E2130000}"/>
    <cellStyle name="Millares 2 3 4 6 2" xfId="45031" xr:uid="{00000000-0005-0000-0000-0000E3130000}"/>
    <cellStyle name="Millares 2 3 4 7" xfId="31469" xr:uid="{00000000-0005-0000-0000-0000E4130000}"/>
    <cellStyle name="Millares 2 3 5" xfId="4103" xr:uid="{00000000-0005-0000-0000-0000E5130000}"/>
    <cellStyle name="Millares 2 3 5 2" xfId="7713" xr:uid="{00000000-0005-0000-0000-0000E6130000}"/>
    <cellStyle name="Millares 2 3 5 2 2" xfId="14503" xr:uid="{00000000-0005-0000-0000-0000E7130000}"/>
    <cellStyle name="Millares 2 3 5 2 2 2" xfId="28071" xr:uid="{00000000-0005-0000-0000-0000E8130000}"/>
    <cellStyle name="Millares 2 3 5 2 2 2 2" xfId="55204" xr:uid="{00000000-0005-0000-0000-0000E9130000}"/>
    <cellStyle name="Millares 2 3 5 2 2 3" xfId="41642" xr:uid="{00000000-0005-0000-0000-0000EA130000}"/>
    <cellStyle name="Millares 2 3 5 2 3" xfId="21290" xr:uid="{00000000-0005-0000-0000-0000EB130000}"/>
    <cellStyle name="Millares 2 3 5 2 3 2" xfId="48423" xr:uid="{00000000-0005-0000-0000-0000EC130000}"/>
    <cellStyle name="Millares 2 3 5 2 4" xfId="34861" xr:uid="{00000000-0005-0000-0000-0000ED130000}"/>
    <cellStyle name="Millares 2 3 5 3" xfId="11114" xr:uid="{00000000-0005-0000-0000-0000EE130000}"/>
    <cellStyle name="Millares 2 3 5 3 2" xfId="24682" xr:uid="{00000000-0005-0000-0000-0000EF130000}"/>
    <cellStyle name="Millares 2 3 5 3 2 2" xfId="51815" xr:uid="{00000000-0005-0000-0000-0000F0130000}"/>
    <cellStyle name="Millares 2 3 5 3 3" xfId="38253" xr:uid="{00000000-0005-0000-0000-0000F1130000}"/>
    <cellStyle name="Millares 2 3 5 4" xfId="17901" xr:uid="{00000000-0005-0000-0000-0000F2130000}"/>
    <cellStyle name="Millares 2 3 5 4 2" xfId="45034" xr:uid="{00000000-0005-0000-0000-0000F3130000}"/>
    <cellStyle name="Millares 2 3 5 5" xfId="31472" xr:uid="{00000000-0005-0000-0000-0000F4130000}"/>
    <cellStyle name="Millares 2 30" xfId="2390" xr:uid="{00000000-0005-0000-0000-0000F5130000}"/>
    <cellStyle name="Millares 2 31" xfId="2391" xr:uid="{00000000-0005-0000-0000-0000F6130000}"/>
    <cellStyle name="Millares 2 32" xfId="2392" xr:uid="{00000000-0005-0000-0000-0000F7130000}"/>
    <cellStyle name="Millares 2 33" xfId="2393" xr:uid="{00000000-0005-0000-0000-0000F8130000}"/>
    <cellStyle name="Millares 2 34" xfId="2394" xr:uid="{00000000-0005-0000-0000-0000F9130000}"/>
    <cellStyle name="Millares 2 35" xfId="2395" xr:uid="{00000000-0005-0000-0000-0000FA130000}"/>
    <cellStyle name="Millares 2 36" xfId="2396" xr:uid="{00000000-0005-0000-0000-0000FB130000}"/>
    <cellStyle name="Millares 2 37" xfId="2397" xr:uid="{00000000-0005-0000-0000-0000FC130000}"/>
    <cellStyle name="Millares 2 38" xfId="2398" xr:uid="{00000000-0005-0000-0000-0000FD130000}"/>
    <cellStyle name="Millares 2 39" xfId="2399" xr:uid="{00000000-0005-0000-0000-0000FE130000}"/>
    <cellStyle name="Millares 2 4" xfId="186" xr:uid="{00000000-0005-0000-0000-0000FF130000}"/>
    <cellStyle name="Millares 2 40" xfId="2400" xr:uid="{00000000-0005-0000-0000-000000140000}"/>
    <cellStyle name="Millares 2 41" xfId="2401" xr:uid="{00000000-0005-0000-0000-000001140000}"/>
    <cellStyle name="Millares 2 42" xfId="2402" xr:uid="{00000000-0005-0000-0000-000002140000}"/>
    <cellStyle name="Millares 2 43" xfId="2403" xr:uid="{00000000-0005-0000-0000-000003140000}"/>
    <cellStyle name="Millares 2 44" xfId="2404" xr:uid="{00000000-0005-0000-0000-000004140000}"/>
    <cellStyle name="Millares 2 45" xfId="2405" xr:uid="{00000000-0005-0000-0000-000005140000}"/>
    <cellStyle name="Millares 2 46" xfId="2406" xr:uid="{00000000-0005-0000-0000-000006140000}"/>
    <cellStyle name="Millares 2 47" xfId="2407" xr:uid="{00000000-0005-0000-0000-000007140000}"/>
    <cellStyle name="Millares 2 48" xfId="2408" xr:uid="{00000000-0005-0000-0000-000008140000}"/>
    <cellStyle name="Millares 2 49" xfId="2409" xr:uid="{00000000-0005-0000-0000-000009140000}"/>
    <cellStyle name="Millares 2 5" xfId="187" xr:uid="{00000000-0005-0000-0000-00000A140000}"/>
    <cellStyle name="Millares 2 5 10" xfId="4104" xr:uid="{00000000-0005-0000-0000-00000B140000}"/>
    <cellStyle name="Millares 2 5 10 2" xfId="7714" xr:uid="{00000000-0005-0000-0000-00000C140000}"/>
    <cellStyle name="Millares 2 5 10 2 2" xfId="14504" xr:uid="{00000000-0005-0000-0000-00000D140000}"/>
    <cellStyle name="Millares 2 5 10 2 2 2" xfId="28072" xr:uid="{00000000-0005-0000-0000-00000E140000}"/>
    <cellStyle name="Millares 2 5 10 2 2 2 2" xfId="55205" xr:uid="{00000000-0005-0000-0000-00000F140000}"/>
    <cellStyle name="Millares 2 5 10 2 2 3" xfId="41643" xr:uid="{00000000-0005-0000-0000-000010140000}"/>
    <cellStyle name="Millares 2 5 10 2 3" xfId="21291" xr:uid="{00000000-0005-0000-0000-000011140000}"/>
    <cellStyle name="Millares 2 5 10 2 3 2" xfId="48424" xr:uid="{00000000-0005-0000-0000-000012140000}"/>
    <cellStyle name="Millares 2 5 10 2 4" xfId="34862" xr:uid="{00000000-0005-0000-0000-000013140000}"/>
    <cellStyle name="Millares 2 5 10 3" xfId="11115" xr:uid="{00000000-0005-0000-0000-000014140000}"/>
    <cellStyle name="Millares 2 5 10 3 2" xfId="24683" xr:uid="{00000000-0005-0000-0000-000015140000}"/>
    <cellStyle name="Millares 2 5 10 3 2 2" xfId="51816" xr:uid="{00000000-0005-0000-0000-000016140000}"/>
    <cellStyle name="Millares 2 5 10 3 3" xfId="38254" xr:uid="{00000000-0005-0000-0000-000017140000}"/>
    <cellStyle name="Millares 2 5 10 4" xfId="17902" xr:uid="{00000000-0005-0000-0000-000018140000}"/>
    <cellStyle name="Millares 2 5 10 4 2" xfId="45035" xr:uid="{00000000-0005-0000-0000-000019140000}"/>
    <cellStyle name="Millares 2 5 10 5" xfId="31473" xr:uid="{00000000-0005-0000-0000-00001A140000}"/>
    <cellStyle name="Millares 2 5 11" xfId="4105" xr:uid="{00000000-0005-0000-0000-00001B140000}"/>
    <cellStyle name="Millares 2 5 11 2" xfId="7715" xr:uid="{00000000-0005-0000-0000-00001C140000}"/>
    <cellStyle name="Millares 2 5 11 2 2" xfId="14505" xr:uid="{00000000-0005-0000-0000-00001D140000}"/>
    <cellStyle name="Millares 2 5 11 2 2 2" xfId="28073" xr:uid="{00000000-0005-0000-0000-00001E140000}"/>
    <cellStyle name="Millares 2 5 11 2 2 2 2" xfId="55206" xr:uid="{00000000-0005-0000-0000-00001F140000}"/>
    <cellStyle name="Millares 2 5 11 2 2 3" xfId="41644" xr:uid="{00000000-0005-0000-0000-000020140000}"/>
    <cellStyle name="Millares 2 5 11 2 3" xfId="21292" xr:uid="{00000000-0005-0000-0000-000021140000}"/>
    <cellStyle name="Millares 2 5 11 2 3 2" xfId="48425" xr:uid="{00000000-0005-0000-0000-000022140000}"/>
    <cellStyle name="Millares 2 5 11 2 4" xfId="34863" xr:uid="{00000000-0005-0000-0000-000023140000}"/>
    <cellStyle name="Millares 2 5 11 3" xfId="11116" xr:uid="{00000000-0005-0000-0000-000024140000}"/>
    <cellStyle name="Millares 2 5 11 3 2" xfId="24684" xr:uid="{00000000-0005-0000-0000-000025140000}"/>
    <cellStyle name="Millares 2 5 11 3 2 2" xfId="51817" xr:uid="{00000000-0005-0000-0000-000026140000}"/>
    <cellStyle name="Millares 2 5 11 3 3" xfId="38255" xr:uid="{00000000-0005-0000-0000-000027140000}"/>
    <cellStyle name="Millares 2 5 11 4" xfId="17903" xr:uid="{00000000-0005-0000-0000-000028140000}"/>
    <cellStyle name="Millares 2 5 11 4 2" xfId="45036" xr:uid="{00000000-0005-0000-0000-000029140000}"/>
    <cellStyle name="Millares 2 5 11 5" xfId="31474" xr:uid="{00000000-0005-0000-0000-00002A140000}"/>
    <cellStyle name="Millares 2 5 2" xfId="4106" xr:uid="{00000000-0005-0000-0000-00002B140000}"/>
    <cellStyle name="Millares 2 5 2 10" xfId="7716" xr:uid="{00000000-0005-0000-0000-00002C140000}"/>
    <cellStyle name="Millares 2 5 2 10 2" xfId="14506" xr:uid="{00000000-0005-0000-0000-00002D140000}"/>
    <cellStyle name="Millares 2 5 2 10 2 2" xfId="28074" xr:uid="{00000000-0005-0000-0000-00002E140000}"/>
    <cellStyle name="Millares 2 5 2 10 2 2 2" xfId="55207" xr:uid="{00000000-0005-0000-0000-00002F140000}"/>
    <cellStyle name="Millares 2 5 2 10 2 3" xfId="41645" xr:uid="{00000000-0005-0000-0000-000030140000}"/>
    <cellStyle name="Millares 2 5 2 10 3" xfId="21293" xr:uid="{00000000-0005-0000-0000-000031140000}"/>
    <cellStyle name="Millares 2 5 2 10 3 2" xfId="48426" xr:uid="{00000000-0005-0000-0000-000032140000}"/>
    <cellStyle name="Millares 2 5 2 10 4" xfId="34864" xr:uid="{00000000-0005-0000-0000-000033140000}"/>
    <cellStyle name="Millares 2 5 2 11" xfId="11117" xr:uid="{00000000-0005-0000-0000-000034140000}"/>
    <cellStyle name="Millares 2 5 2 11 2" xfId="24685" xr:uid="{00000000-0005-0000-0000-000035140000}"/>
    <cellStyle name="Millares 2 5 2 11 2 2" xfId="51818" xr:uid="{00000000-0005-0000-0000-000036140000}"/>
    <cellStyle name="Millares 2 5 2 11 3" xfId="38256" xr:uid="{00000000-0005-0000-0000-000037140000}"/>
    <cellStyle name="Millares 2 5 2 12" xfId="17904" xr:uid="{00000000-0005-0000-0000-000038140000}"/>
    <cellStyle name="Millares 2 5 2 12 2" xfId="45037" xr:uid="{00000000-0005-0000-0000-000039140000}"/>
    <cellStyle name="Millares 2 5 2 13" xfId="31475" xr:uid="{00000000-0005-0000-0000-00003A140000}"/>
    <cellStyle name="Millares 2 5 2 2" xfId="4107" xr:uid="{00000000-0005-0000-0000-00003B140000}"/>
    <cellStyle name="Millares 2 5 2 2 10" xfId="31476" xr:uid="{00000000-0005-0000-0000-00003C140000}"/>
    <cellStyle name="Millares 2 5 2 2 2" xfId="4108" xr:uid="{00000000-0005-0000-0000-00003D140000}"/>
    <cellStyle name="Millares 2 5 2 2 2 2" xfId="4109" xr:uid="{00000000-0005-0000-0000-00003E140000}"/>
    <cellStyle name="Millares 2 5 2 2 2 2 2" xfId="4110" xr:uid="{00000000-0005-0000-0000-00003F140000}"/>
    <cellStyle name="Millares 2 5 2 2 2 2 2 2" xfId="7720" xr:uid="{00000000-0005-0000-0000-000040140000}"/>
    <cellStyle name="Millares 2 5 2 2 2 2 2 2 2" xfId="14510" xr:uid="{00000000-0005-0000-0000-000041140000}"/>
    <cellStyle name="Millares 2 5 2 2 2 2 2 2 2 2" xfId="28078" xr:uid="{00000000-0005-0000-0000-000042140000}"/>
    <cellStyle name="Millares 2 5 2 2 2 2 2 2 2 2 2" xfId="55211" xr:uid="{00000000-0005-0000-0000-000043140000}"/>
    <cellStyle name="Millares 2 5 2 2 2 2 2 2 2 3" xfId="41649" xr:uid="{00000000-0005-0000-0000-000044140000}"/>
    <cellStyle name="Millares 2 5 2 2 2 2 2 2 3" xfId="21297" xr:uid="{00000000-0005-0000-0000-000045140000}"/>
    <cellStyle name="Millares 2 5 2 2 2 2 2 2 3 2" xfId="48430" xr:uid="{00000000-0005-0000-0000-000046140000}"/>
    <cellStyle name="Millares 2 5 2 2 2 2 2 2 4" xfId="34868" xr:uid="{00000000-0005-0000-0000-000047140000}"/>
    <cellStyle name="Millares 2 5 2 2 2 2 2 3" xfId="11121" xr:uid="{00000000-0005-0000-0000-000048140000}"/>
    <cellStyle name="Millares 2 5 2 2 2 2 2 3 2" xfId="24689" xr:uid="{00000000-0005-0000-0000-000049140000}"/>
    <cellStyle name="Millares 2 5 2 2 2 2 2 3 2 2" xfId="51822" xr:uid="{00000000-0005-0000-0000-00004A140000}"/>
    <cellStyle name="Millares 2 5 2 2 2 2 2 3 3" xfId="38260" xr:uid="{00000000-0005-0000-0000-00004B140000}"/>
    <cellStyle name="Millares 2 5 2 2 2 2 2 4" xfId="17908" xr:uid="{00000000-0005-0000-0000-00004C140000}"/>
    <cellStyle name="Millares 2 5 2 2 2 2 2 4 2" xfId="45041" xr:uid="{00000000-0005-0000-0000-00004D140000}"/>
    <cellStyle name="Millares 2 5 2 2 2 2 2 5" xfId="31479" xr:uid="{00000000-0005-0000-0000-00004E140000}"/>
    <cellStyle name="Millares 2 5 2 2 2 2 3" xfId="4111" xr:uid="{00000000-0005-0000-0000-00004F140000}"/>
    <cellStyle name="Millares 2 5 2 2 2 2 3 2" xfId="7721" xr:uid="{00000000-0005-0000-0000-000050140000}"/>
    <cellStyle name="Millares 2 5 2 2 2 2 3 2 2" xfId="14511" xr:uid="{00000000-0005-0000-0000-000051140000}"/>
    <cellStyle name="Millares 2 5 2 2 2 2 3 2 2 2" xfId="28079" xr:uid="{00000000-0005-0000-0000-000052140000}"/>
    <cellStyle name="Millares 2 5 2 2 2 2 3 2 2 2 2" xfId="55212" xr:uid="{00000000-0005-0000-0000-000053140000}"/>
    <cellStyle name="Millares 2 5 2 2 2 2 3 2 2 3" xfId="41650" xr:uid="{00000000-0005-0000-0000-000054140000}"/>
    <cellStyle name="Millares 2 5 2 2 2 2 3 2 3" xfId="21298" xr:uid="{00000000-0005-0000-0000-000055140000}"/>
    <cellStyle name="Millares 2 5 2 2 2 2 3 2 3 2" xfId="48431" xr:uid="{00000000-0005-0000-0000-000056140000}"/>
    <cellStyle name="Millares 2 5 2 2 2 2 3 2 4" xfId="34869" xr:uid="{00000000-0005-0000-0000-000057140000}"/>
    <cellStyle name="Millares 2 5 2 2 2 2 3 3" xfId="11122" xr:uid="{00000000-0005-0000-0000-000058140000}"/>
    <cellStyle name="Millares 2 5 2 2 2 2 3 3 2" xfId="24690" xr:uid="{00000000-0005-0000-0000-000059140000}"/>
    <cellStyle name="Millares 2 5 2 2 2 2 3 3 2 2" xfId="51823" xr:uid="{00000000-0005-0000-0000-00005A140000}"/>
    <cellStyle name="Millares 2 5 2 2 2 2 3 3 3" xfId="38261" xr:uid="{00000000-0005-0000-0000-00005B140000}"/>
    <cellStyle name="Millares 2 5 2 2 2 2 3 4" xfId="17909" xr:uid="{00000000-0005-0000-0000-00005C140000}"/>
    <cellStyle name="Millares 2 5 2 2 2 2 3 4 2" xfId="45042" xr:uid="{00000000-0005-0000-0000-00005D140000}"/>
    <cellStyle name="Millares 2 5 2 2 2 2 3 5" xfId="31480" xr:uid="{00000000-0005-0000-0000-00005E140000}"/>
    <cellStyle name="Millares 2 5 2 2 2 2 4" xfId="7719" xr:uid="{00000000-0005-0000-0000-00005F140000}"/>
    <cellStyle name="Millares 2 5 2 2 2 2 4 2" xfId="14509" xr:uid="{00000000-0005-0000-0000-000060140000}"/>
    <cellStyle name="Millares 2 5 2 2 2 2 4 2 2" xfId="28077" xr:uid="{00000000-0005-0000-0000-000061140000}"/>
    <cellStyle name="Millares 2 5 2 2 2 2 4 2 2 2" xfId="55210" xr:uid="{00000000-0005-0000-0000-000062140000}"/>
    <cellStyle name="Millares 2 5 2 2 2 2 4 2 3" xfId="41648" xr:uid="{00000000-0005-0000-0000-000063140000}"/>
    <cellStyle name="Millares 2 5 2 2 2 2 4 3" xfId="21296" xr:uid="{00000000-0005-0000-0000-000064140000}"/>
    <cellStyle name="Millares 2 5 2 2 2 2 4 3 2" xfId="48429" xr:uid="{00000000-0005-0000-0000-000065140000}"/>
    <cellStyle name="Millares 2 5 2 2 2 2 4 4" xfId="34867" xr:uid="{00000000-0005-0000-0000-000066140000}"/>
    <cellStyle name="Millares 2 5 2 2 2 2 5" xfId="11120" xr:uid="{00000000-0005-0000-0000-000067140000}"/>
    <cellStyle name="Millares 2 5 2 2 2 2 5 2" xfId="24688" xr:uid="{00000000-0005-0000-0000-000068140000}"/>
    <cellStyle name="Millares 2 5 2 2 2 2 5 2 2" xfId="51821" xr:uid="{00000000-0005-0000-0000-000069140000}"/>
    <cellStyle name="Millares 2 5 2 2 2 2 5 3" xfId="38259" xr:uid="{00000000-0005-0000-0000-00006A140000}"/>
    <cellStyle name="Millares 2 5 2 2 2 2 6" xfId="17907" xr:uid="{00000000-0005-0000-0000-00006B140000}"/>
    <cellStyle name="Millares 2 5 2 2 2 2 6 2" xfId="45040" xr:uid="{00000000-0005-0000-0000-00006C140000}"/>
    <cellStyle name="Millares 2 5 2 2 2 2 7" xfId="31478" xr:uid="{00000000-0005-0000-0000-00006D140000}"/>
    <cellStyle name="Millares 2 5 2 2 2 3" xfId="4112" xr:uid="{00000000-0005-0000-0000-00006E140000}"/>
    <cellStyle name="Millares 2 5 2 2 2 3 2" xfId="4113" xr:uid="{00000000-0005-0000-0000-00006F140000}"/>
    <cellStyle name="Millares 2 5 2 2 2 3 2 2" xfId="7723" xr:uid="{00000000-0005-0000-0000-000070140000}"/>
    <cellStyle name="Millares 2 5 2 2 2 3 2 2 2" xfId="14513" xr:uid="{00000000-0005-0000-0000-000071140000}"/>
    <cellStyle name="Millares 2 5 2 2 2 3 2 2 2 2" xfId="28081" xr:uid="{00000000-0005-0000-0000-000072140000}"/>
    <cellStyle name="Millares 2 5 2 2 2 3 2 2 2 2 2" xfId="55214" xr:uid="{00000000-0005-0000-0000-000073140000}"/>
    <cellStyle name="Millares 2 5 2 2 2 3 2 2 2 3" xfId="41652" xr:uid="{00000000-0005-0000-0000-000074140000}"/>
    <cellStyle name="Millares 2 5 2 2 2 3 2 2 3" xfId="21300" xr:uid="{00000000-0005-0000-0000-000075140000}"/>
    <cellStyle name="Millares 2 5 2 2 2 3 2 2 3 2" xfId="48433" xr:uid="{00000000-0005-0000-0000-000076140000}"/>
    <cellStyle name="Millares 2 5 2 2 2 3 2 2 4" xfId="34871" xr:uid="{00000000-0005-0000-0000-000077140000}"/>
    <cellStyle name="Millares 2 5 2 2 2 3 2 3" xfId="11124" xr:uid="{00000000-0005-0000-0000-000078140000}"/>
    <cellStyle name="Millares 2 5 2 2 2 3 2 3 2" xfId="24692" xr:uid="{00000000-0005-0000-0000-000079140000}"/>
    <cellStyle name="Millares 2 5 2 2 2 3 2 3 2 2" xfId="51825" xr:uid="{00000000-0005-0000-0000-00007A140000}"/>
    <cellStyle name="Millares 2 5 2 2 2 3 2 3 3" xfId="38263" xr:uid="{00000000-0005-0000-0000-00007B140000}"/>
    <cellStyle name="Millares 2 5 2 2 2 3 2 4" xfId="17911" xr:uid="{00000000-0005-0000-0000-00007C140000}"/>
    <cellStyle name="Millares 2 5 2 2 2 3 2 4 2" xfId="45044" xr:uid="{00000000-0005-0000-0000-00007D140000}"/>
    <cellStyle name="Millares 2 5 2 2 2 3 2 5" xfId="31482" xr:uid="{00000000-0005-0000-0000-00007E140000}"/>
    <cellStyle name="Millares 2 5 2 2 2 3 3" xfId="7722" xr:uid="{00000000-0005-0000-0000-00007F140000}"/>
    <cellStyle name="Millares 2 5 2 2 2 3 3 2" xfId="14512" xr:uid="{00000000-0005-0000-0000-000080140000}"/>
    <cellStyle name="Millares 2 5 2 2 2 3 3 2 2" xfId="28080" xr:uid="{00000000-0005-0000-0000-000081140000}"/>
    <cellStyle name="Millares 2 5 2 2 2 3 3 2 2 2" xfId="55213" xr:uid="{00000000-0005-0000-0000-000082140000}"/>
    <cellStyle name="Millares 2 5 2 2 2 3 3 2 3" xfId="41651" xr:uid="{00000000-0005-0000-0000-000083140000}"/>
    <cellStyle name="Millares 2 5 2 2 2 3 3 3" xfId="21299" xr:uid="{00000000-0005-0000-0000-000084140000}"/>
    <cellStyle name="Millares 2 5 2 2 2 3 3 3 2" xfId="48432" xr:uid="{00000000-0005-0000-0000-000085140000}"/>
    <cellStyle name="Millares 2 5 2 2 2 3 3 4" xfId="34870" xr:uid="{00000000-0005-0000-0000-000086140000}"/>
    <cellStyle name="Millares 2 5 2 2 2 3 4" xfId="11123" xr:uid="{00000000-0005-0000-0000-000087140000}"/>
    <cellStyle name="Millares 2 5 2 2 2 3 4 2" xfId="24691" xr:uid="{00000000-0005-0000-0000-000088140000}"/>
    <cellStyle name="Millares 2 5 2 2 2 3 4 2 2" xfId="51824" xr:uid="{00000000-0005-0000-0000-000089140000}"/>
    <cellStyle name="Millares 2 5 2 2 2 3 4 3" xfId="38262" xr:uid="{00000000-0005-0000-0000-00008A140000}"/>
    <cellStyle name="Millares 2 5 2 2 2 3 5" xfId="17910" xr:uid="{00000000-0005-0000-0000-00008B140000}"/>
    <cellStyle name="Millares 2 5 2 2 2 3 5 2" xfId="45043" xr:uid="{00000000-0005-0000-0000-00008C140000}"/>
    <cellStyle name="Millares 2 5 2 2 2 3 6" xfId="31481" xr:uid="{00000000-0005-0000-0000-00008D140000}"/>
    <cellStyle name="Millares 2 5 2 2 2 4" xfId="4114" xr:uid="{00000000-0005-0000-0000-00008E140000}"/>
    <cellStyle name="Millares 2 5 2 2 2 4 2" xfId="7724" xr:uid="{00000000-0005-0000-0000-00008F140000}"/>
    <cellStyle name="Millares 2 5 2 2 2 4 2 2" xfId="14514" xr:uid="{00000000-0005-0000-0000-000090140000}"/>
    <cellStyle name="Millares 2 5 2 2 2 4 2 2 2" xfId="28082" xr:uid="{00000000-0005-0000-0000-000091140000}"/>
    <cellStyle name="Millares 2 5 2 2 2 4 2 2 2 2" xfId="55215" xr:uid="{00000000-0005-0000-0000-000092140000}"/>
    <cellStyle name="Millares 2 5 2 2 2 4 2 2 3" xfId="41653" xr:uid="{00000000-0005-0000-0000-000093140000}"/>
    <cellStyle name="Millares 2 5 2 2 2 4 2 3" xfId="21301" xr:uid="{00000000-0005-0000-0000-000094140000}"/>
    <cellStyle name="Millares 2 5 2 2 2 4 2 3 2" xfId="48434" xr:uid="{00000000-0005-0000-0000-000095140000}"/>
    <cellStyle name="Millares 2 5 2 2 2 4 2 4" xfId="34872" xr:uid="{00000000-0005-0000-0000-000096140000}"/>
    <cellStyle name="Millares 2 5 2 2 2 4 3" xfId="11125" xr:uid="{00000000-0005-0000-0000-000097140000}"/>
    <cellStyle name="Millares 2 5 2 2 2 4 3 2" xfId="24693" xr:uid="{00000000-0005-0000-0000-000098140000}"/>
    <cellStyle name="Millares 2 5 2 2 2 4 3 2 2" xfId="51826" xr:uid="{00000000-0005-0000-0000-000099140000}"/>
    <cellStyle name="Millares 2 5 2 2 2 4 3 3" xfId="38264" xr:uid="{00000000-0005-0000-0000-00009A140000}"/>
    <cellStyle name="Millares 2 5 2 2 2 4 4" xfId="17912" xr:uid="{00000000-0005-0000-0000-00009B140000}"/>
    <cellStyle name="Millares 2 5 2 2 2 4 4 2" xfId="45045" xr:uid="{00000000-0005-0000-0000-00009C140000}"/>
    <cellStyle name="Millares 2 5 2 2 2 4 5" xfId="31483" xr:uid="{00000000-0005-0000-0000-00009D140000}"/>
    <cellStyle name="Millares 2 5 2 2 2 5" xfId="4115" xr:uid="{00000000-0005-0000-0000-00009E140000}"/>
    <cellStyle name="Millares 2 5 2 2 2 5 2" xfId="7725" xr:uid="{00000000-0005-0000-0000-00009F140000}"/>
    <cellStyle name="Millares 2 5 2 2 2 5 2 2" xfId="14515" xr:uid="{00000000-0005-0000-0000-0000A0140000}"/>
    <cellStyle name="Millares 2 5 2 2 2 5 2 2 2" xfId="28083" xr:uid="{00000000-0005-0000-0000-0000A1140000}"/>
    <cellStyle name="Millares 2 5 2 2 2 5 2 2 2 2" xfId="55216" xr:uid="{00000000-0005-0000-0000-0000A2140000}"/>
    <cellStyle name="Millares 2 5 2 2 2 5 2 2 3" xfId="41654" xr:uid="{00000000-0005-0000-0000-0000A3140000}"/>
    <cellStyle name="Millares 2 5 2 2 2 5 2 3" xfId="21302" xr:uid="{00000000-0005-0000-0000-0000A4140000}"/>
    <cellStyle name="Millares 2 5 2 2 2 5 2 3 2" xfId="48435" xr:uid="{00000000-0005-0000-0000-0000A5140000}"/>
    <cellStyle name="Millares 2 5 2 2 2 5 2 4" xfId="34873" xr:uid="{00000000-0005-0000-0000-0000A6140000}"/>
    <cellStyle name="Millares 2 5 2 2 2 5 3" xfId="11126" xr:uid="{00000000-0005-0000-0000-0000A7140000}"/>
    <cellStyle name="Millares 2 5 2 2 2 5 3 2" xfId="24694" xr:uid="{00000000-0005-0000-0000-0000A8140000}"/>
    <cellStyle name="Millares 2 5 2 2 2 5 3 2 2" xfId="51827" xr:uid="{00000000-0005-0000-0000-0000A9140000}"/>
    <cellStyle name="Millares 2 5 2 2 2 5 3 3" xfId="38265" xr:uid="{00000000-0005-0000-0000-0000AA140000}"/>
    <cellStyle name="Millares 2 5 2 2 2 5 4" xfId="17913" xr:uid="{00000000-0005-0000-0000-0000AB140000}"/>
    <cellStyle name="Millares 2 5 2 2 2 5 4 2" xfId="45046" xr:uid="{00000000-0005-0000-0000-0000AC140000}"/>
    <cellStyle name="Millares 2 5 2 2 2 5 5" xfId="31484" xr:uid="{00000000-0005-0000-0000-0000AD140000}"/>
    <cellStyle name="Millares 2 5 2 2 2 6" xfId="7718" xr:uid="{00000000-0005-0000-0000-0000AE140000}"/>
    <cellStyle name="Millares 2 5 2 2 2 6 2" xfId="14508" xr:uid="{00000000-0005-0000-0000-0000AF140000}"/>
    <cellStyle name="Millares 2 5 2 2 2 6 2 2" xfId="28076" xr:uid="{00000000-0005-0000-0000-0000B0140000}"/>
    <cellStyle name="Millares 2 5 2 2 2 6 2 2 2" xfId="55209" xr:uid="{00000000-0005-0000-0000-0000B1140000}"/>
    <cellStyle name="Millares 2 5 2 2 2 6 2 3" xfId="41647" xr:uid="{00000000-0005-0000-0000-0000B2140000}"/>
    <cellStyle name="Millares 2 5 2 2 2 6 3" xfId="21295" xr:uid="{00000000-0005-0000-0000-0000B3140000}"/>
    <cellStyle name="Millares 2 5 2 2 2 6 3 2" xfId="48428" xr:uid="{00000000-0005-0000-0000-0000B4140000}"/>
    <cellStyle name="Millares 2 5 2 2 2 6 4" xfId="34866" xr:uid="{00000000-0005-0000-0000-0000B5140000}"/>
    <cellStyle name="Millares 2 5 2 2 2 7" xfId="11119" xr:uid="{00000000-0005-0000-0000-0000B6140000}"/>
    <cellStyle name="Millares 2 5 2 2 2 7 2" xfId="24687" xr:uid="{00000000-0005-0000-0000-0000B7140000}"/>
    <cellStyle name="Millares 2 5 2 2 2 7 2 2" xfId="51820" xr:uid="{00000000-0005-0000-0000-0000B8140000}"/>
    <cellStyle name="Millares 2 5 2 2 2 7 3" xfId="38258" xr:uid="{00000000-0005-0000-0000-0000B9140000}"/>
    <cellStyle name="Millares 2 5 2 2 2 8" xfId="17906" xr:uid="{00000000-0005-0000-0000-0000BA140000}"/>
    <cellStyle name="Millares 2 5 2 2 2 8 2" xfId="45039" xr:uid="{00000000-0005-0000-0000-0000BB140000}"/>
    <cellStyle name="Millares 2 5 2 2 2 9" xfId="31477" xr:uid="{00000000-0005-0000-0000-0000BC140000}"/>
    <cellStyle name="Millares 2 5 2 2 3" xfId="4116" xr:uid="{00000000-0005-0000-0000-0000BD140000}"/>
    <cellStyle name="Millares 2 5 2 2 3 2" xfId="4117" xr:uid="{00000000-0005-0000-0000-0000BE140000}"/>
    <cellStyle name="Millares 2 5 2 2 3 2 2" xfId="7727" xr:uid="{00000000-0005-0000-0000-0000BF140000}"/>
    <cellStyle name="Millares 2 5 2 2 3 2 2 2" xfId="14517" xr:uid="{00000000-0005-0000-0000-0000C0140000}"/>
    <cellStyle name="Millares 2 5 2 2 3 2 2 2 2" xfId="28085" xr:uid="{00000000-0005-0000-0000-0000C1140000}"/>
    <cellStyle name="Millares 2 5 2 2 3 2 2 2 2 2" xfId="55218" xr:uid="{00000000-0005-0000-0000-0000C2140000}"/>
    <cellStyle name="Millares 2 5 2 2 3 2 2 2 3" xfId="41656" xr:uid="{00000000-0005-0000-0000-0000C3140000}"/>
    <cellStyle name="Millares 2 5 2 2 3 2 2 3" xfId="21304" xr:uid="{00000000-0005-0000-0000-0000C4140000}"/>
    <cellStyle name="Millares 2 5 2 2 3 2 2 3 2" xfId="48437" xr:uid="{00000000-0005-0000-0000-0000C5140000}"/>
    <cellStyle name="Millares 2 5 2 2 3 2 2 4" xfId="34875" xr:uid="{00000000-0005-0000-0000-0000C6140000}"/>
    <cellStyle name="Millares 2 5 2 2 3 2 3" xfId="11128" xr:uid="{00000000-0005-0000-0000-0000C7140000}"/>
    <cellStyle name="Millares 2 5 2 2 3 2 3 2" xfId="24696" xr:uid="{00000000-0005-0000-0000-0000C8140000}"/>
    <cellStyle name="Millares 2 5 2 2 3 2 3 2 2" xfId="51829" xr:uid="{00000000-0005-0000-0000-0000C9140000}"/>
    <cellStyle name="Millares 2 5 2 2 3 2 3 3" xfId="38267" xr:uid="{00000000-0005-0000-0000-0000CA140000}"/>
    <cellStyle name="Millares 2 5 2 2 3 2 4" xfId="17915" xr:uid="{00000000-0005-0000-0000-0000CB140000}"/>
    <cellStyle name="Millares 2 5 2 2 3 2 4 2" xfId="45048" xr:uid="{00000000-0005-0000-0000-0000CC140000}"/>
    <cellStyle name="Millares 2 5 2 2 3 2 5" xfId="31486" xr:uid="{00000000-0005-0000-0000-0000CD140000}"/>
    <cellStyle name="Millares 2 5 2 2 3 3" xfId="4118" xr:uid="{00000000-0005-0000-0000-0000CE140000}"/>
    <cellStyle name="Millares 2 5 2 2 3 3 2" xfId="7728" xr:uid="{00000000-0005-0000-0000-0000CF140000}"/>
    <cellStyle name="Millares 2 5 2 2 3 3 2 2" xfId="14518" xr:uid="{00000000-0005-0000-0000-0000D0140000}"/>
    <cellStyle name="Millares 2 5 2 2 3 3 2 2 2" xfId="28086" xr:uid="{00000000-0005-0000-0000-0000D1140000}"/>
    <cellStyle name="Millares 2 5 2 2 3 3 2 2 2 2" xfId="55219" xr:uid="{00000000-0005-0000-0000-0000D2140000}"/>
    <cellStyle name="Millares 2 5 2 2 3 3 2 2 3" xfId="41657" xr:uid="{00000000-0005-0000-0000-0000D3140000}"/>
    <cellStyle name="Millares 2 5 2 2 3 3 2 3" xfId="21305" xr:uid="{00000000-0005-0000-0000-0000D4140000}"/>
    <cellStyle name="Millares 2 5 2 2 3 3 2 3 2" xfId="48438" xr:uid="{00000000-0005-0000-0000-0000D5140000}"/>
    <cellStyle name="Millares 2 5 2 2 3 3 2 4" xfId="34876" xr:uid="{00000000-0005-0000-0000-0000D6140000}"/>
    <cellStyle name="Millares 2 5 2 2 3 3 3" xfId="11129" xr:uid="{00000000-0005-0000-0000-0000D7140000}"/>
    <cellStyle name="Millares 2 5 2 2 3 3 3 2" xfId="24697" xr:uid="{00000000-0005-0000-0000-0000D8140000}"/>
    <cellStyle name="Millares 2 5 2 2 3 3 3 2 2" xfId="51830" xr:uid="{00000000-0005-0000-0000-0000D9140000}"/>
    <cellStyle name="Millares 2 5 2 2 3 3 3 3" xfId="38268" xr:uid="{00000000-0005-0000-0000-0000DA140000}"/>
    <cellStyle name="Millares 2 5 2 2 3 3 4" xfId="17916" xr:uid="{00000000-0005-0000-0000-0000DB140000}"/>
    <cellStyle name="Millares 2 5 2 2 3 3 4 2" xfId="45049" xr:uid="{00000000-0005-0000-0000-0000DC140000}"/>
    <cellStyle name="Millares 2 5 2 2 3 3 5" xfId="31487" xr:uid="{00000000-0005-0000-0000-0000DD140000}"/>
    <cellStyle name="Millares 2 5 2 2 3 4" xfId="7726" xr:uid="{00000000-0005-0000-0000-0000DE140000}"/>
    <cellStyle name="Millares 2 5 2 2 3 4 2" xfId="14516" xr:uid="{00000000-0005-0000-0000-0000DF140000}"/>
    <cellStyle name="Millares 2 5 2 2 3 4 2 2" xfId="28084" xr:uid="{00000000-0005-0000-0000-0000E0140000}"/>
    <cellStyle name="Millares 2 5 2 2 3 4 2 2 2" xfId="55217" xr:uid="{00000000-0005-0000-0000-0000E1140000}"/>
    <cellStyle name="Millares 2 5 2 2 3 4 2 3" xfId="41655" xr:uid="{00000000-0005-0000-0000-0000E2140000}"/>
    <cellStyle name="Millares 2 5 2 2 3 4 3" xfId="21303" xr:uid="{00000000-0005-0000-0000-0000E3140000}"/>
    <cellStyle name="Millares 2 5 2 2 3 4 3 2" xfId="48436" xr:uid="{00000000-0005-0000-0000-0000E4140000}"/>
    <cellStyle name="Millares 2 5 2 2 3 4 4" xfId="34874" xr:uid="{00000000-0005-0000-0000-0000E5140000}"/>
    <cellStyle name="Millares 2 5 2 2 3 5" xfId="11127" xr:uid="{00000000-0005-0000-0000-0000E6140000}"/>
    <cellStyle name="Millares 2 5 2 2 3 5 2" xfId="24695" xr:uid="{00000000-0005-0000-0000-0000E7140000}"/>
    <cellStyle name="Millares 2 5 2 2 3 5 2 2" xfId="51828" xr:uid="{00000000-0005-0000-0000-0000E8140000}"/>
    <cellStyle name="Millares 2 5 2 2 3 5 3" xfId="38266" xr:uid="{00000000-0005-0000-0000-0000E9140000}"/>
    <cellStyle name="Millares 2 5 2 2 3 6" xfId="17914" xr:uid="{00000000-0005-0000-0000-0000EA140000}"/>
    <cellStyle name="Millares 2 5 2 2 3 6 2" xfId="45047" xr:uid="{00000000-0005-0000-0000-0000EB140000}"/>
    <cellStyle name="Millares 2 5 2 2 3 7" xfId="31485" xr:uid="{00000000-0005-0000-0000-0000EC140000}"/>
    <cellStyle name="Millares 2 5 2 2 4" xfId="4119" xr:uid="{00000000-0005-0000-0000-0000ED140000}"/>
    <cellStyle name="Millares 2 5 2 2 4 2" xfId="4120" xr:uid="{00000000-0005-0000-0000-0000EE140000}"/>
    <cellStyle name="Millares 2 5 2 2 4 2 2" xfId="7730" xr:uid="{00000000-0005-0000-0000-0000EF140000}"/>
    <cellStyle name="Millares 2 5 2 2 4 2 2 2" xfId="14520" xr:uid="{00000000-0005-0000-0000-0000F0140000}"/>
    <cellStyle name="Millares 2 5 2 2 4 2 2 2 2" xfId="28088" xr:uid="{00000000-0005-0000-0000-0000F1140000}"/>
    <cellStyle name="Millares 2 5 2 2 4 2 2 2 2 2" xfId="55221" xr:uid="{00000000-0005-0000-0000-0000F2140000}"/>
    <cellStyle name="Millares 2 5 2 2 4 2 2 2 3" xfId="41659" xr:uid="{00000000-0005-0000-0000-0000F3140000}"/>
    <cellStyle name="Millares 2 5 2 2 4 2 2 3" xfId="21307" xr:uid="{00000000-0005-0000-0000-0000F4140000}"/>
    <cellStyle name="Millares 2 5 2 2 4 2 2 3 2" xfId="48440" xr:uid="{00000000-0005-0000-0000-0000F5140000}"/>
    <cellStyle name="Millares 2 5 2 2 4 2 2 4" xfId="34878" xr:uid="{00000000-0005-0000-0000-0000F6140000}"/>
    <cellStyle name="Millares 2 5 2 2 4 2 3" xfId="11131" xr:uid="{00000000-0005-0000-0000-0000F7140000}"/>
    <cellStyle name="Millares 2 5 2 2 4 2 3 2" xfId="24699" xr:uid="{00000000-0005-0000-0000-0000F8140000}"/>
    <cellStyle name="Millares 2 5 2 2 4 2 3 2 2" xfId="51832" xr:uid="{00000000-0005-0000-0000-0000F9140000}"/>
    <cellStyle name="Millares 2 5 2 2 4 2 3 3" xfId="38270" xr:uid="{00000000-0005-0000-0000-0000FA140000}"/>
    <cellStyle name="Millares 2 5 2 2 4 2 4" xfId="17918" xr:uid="{00000000-0005-0000-0000-0000FB140000}"/>
    <cellStyle name="Millares 2 5 2 2 4 2 4 2" xfId="45051" xr:uid="{00000000-0005-0000-0000-0000FC140000}"/>
    <cellStyle name="Millares 2 5 2 2 4 2 5" xfId="31489" xr:uid="{00000000-0005-0000-0000-0000FD140000}"/>
    <cellStyle name="Millares 2 5 2 2 4 3" xfId="7729" xr:uid="{00000000-0005-0000-0000-0000FE140000}"/>
    <cellStyle name="Millares 2 5 2 2 4 3 2" xfId="14519" xr:uid="{00000000-0005-0000-0000-0000FF140000}"/>
    <cellStyle name="Millares 2 5 2 2 4 3 2 2" xfId="28087" xr:uid="{00000000-0005-0000-0000-000000150000}"/>
    <cellStyle name="Millares 2 5 2 2 4 3 2 2 2" xfId="55220" xr:uid="{00000000-0005-0000-0000-000001150000}"/>
    <cellStyle name="Millares 2 5 2 2 4 3 2 3" xfId="41658" xr:uid="{00000000-0005-0000-0000-000002150000}"/>
    <cellStyle name="Millares 2 5 2 2 4 3 3" xfId="21306" xr:uid="{00000000-0005-0000-0000-000003150000}"/>
    <cellStyle name="Millares 2 5 2 2 4 3 3 2" xfId="48439" xr:uid="{00000000-0005-0000-0000-000004150000}"/>
    <cellStyle name="Millares 2 5 2 2 4 3 4" xfId="34877" xr:uid="{00000000-0005-0000-0000-000005150000}"/>
    <cellStyle name="Millares 2 5 2 2 4 4" xfId="11130" xr:uid="{00000000-0005-0000-0000-000006150000}"/>
    <cellStyle name="Millares 2 5 2 2 4 4 2" xfId="24698" xr:uid="{00000000-0005-0000-0000-000007150000}"/>
    <cellStyle name="Millares 2 5 2 2 4 4 2 2" xfId="51831" xr:uid="{00000000-0005-0000-0000-000008150000}"/>
    <cellStyle name="Millares 2 5 2 2 4 4 3" xfId="38269" xr:uid="{00000000-0005-0000-0000-000009150000}"/>
    <cellStyle name="Millares 2 5 2 2 4 5" xfId="17917" xr:uid="{00000000-0005-0000-0000-00000A150000}"/>
    <cellStyle name="Millares 2 5 2 2 4 5 2" xfId="45050" xr:uid="{00000000-0005-0000-0000-00000B150000}"/>
    <cellStyle name="Millares 2 5 2 2 4 6" xfId="31488" xr:uid="{00000000-0005-0000-0000-00000C150000}"/>
    <cellStyle name="Millares 2 5 2 2 5" xfId="4121" xr:uid="{00000000-0005-0000-0000-00000D150000}"/>
    <cellStyle name="Millares 2 5 2 2 5 2" xfId="7731" xr:uid="{00000000-0005-0000-0000-00000E150000}"/>
    <cellStyle name="Millares 2 5 2 2 5 2 2" xfId="14521" xr:uid="{00000000-0005-0000-0000-00000F150000}"/>
    <cellStyle name="Millares 2 5 2 2 5 2 2 2" xfId="28089" xr:uid="{00000000-0005-0000-0000-000010150000}"/>
    <cellStyle name="Millares 2 5 2 2 5 2 2 2 2" xfId="55222" xr:uid="{00000000-0005-0000-0000-000011150000}"/>
    <cellStyle name="Millares 2 5 2 2 5 2 2 3" xfId="41660" xr:uid="{00000000-0005-0000-0000-000012150000}"/>
    <cellStyle name="Millares 2 5 2 2 5 2 3" xfId="21308" xr:uid="{00000000-0005-0000-0000-000013150000}"/>
    <cellStyle name="Millares 2 5 2 2 5 2 3 2" xfId="48441" xr:uid="{00000000-0005-0000-0000-000014150000}"/>
    <cellStyle name="Millares 2 5 2 2 5 2 4" xfId="34879" xr:uid="{00000000-0005-0000-0000-000015150000}"/>
    <cellStyle name="Millares 2 5 2 2 5 3" xfId="11132" xr:uid="{00000000-0005-0000-0000-000016150000}"/>
    <cellStyle name="Millares 2 5 2 2 5 3 2" xfId="24700" xr:uid="{00000000-0005-0000-0000-000017150000}"/>
    <cellStyle name="Millares 2 5 2 2 5 3 2 2" xfId="51833" xr:uid="{00000000-0005-0000-0000-000018150000}"/>
    <cellStyle name="Millares 2 5 2 2 5 3 3" xfId="38271" xr:uid="{00000000-0005-0000-0000-000019150000}"/>
    <cellStyle name="Millares 2 5 2 2 5 4" xfId="17919" xr:uid="{00000000-0005-0000-0000-00001A150000}"/>
    <cellStyle name="Millares 2 5 2 2 5 4 2" xfId="45052" xr:uid="{00000000-0005-0000-0000-00001B150000}"/>
    <cellStyle name="Millares 2 5 2 2 5 5" xfId="31490" xr:uid="{00000000-0005-0000-0000-00001C150000}"/>
    <cellStyle name="Millares 2 5 2 2 6" xfId="4122" xr:uid="{00000000-0005-0000-0000-00001D150000}"/>
    <cellStyle name="Millares 2 5 2 2 6 2" xfId="7732" xr:uid="{00000000-0005-0000-0000-00001E150000}"/>
    <cellStyle name="Millares 2 5 2 2 6 2 2" xfId="14522" xr:uid="{00000000-0005-0000-0000-00001F150000}"/>
    <cellStyle name="Millares 2 5 2 2 6 2 2 2" xfId="28090" xr:uid="{00000000-0005-0000-0000-000020150000}"/>
    <cellStyle name="Millares 2 5 2 2 6 2 2 2 2" xfId="55223" xr:uid="{00000000-0005-0000-0000-000021150000}"/>
    <cellStyle name="Millares 2 5 2 2 6 2 2 3" xfId="41661" xr:uid="{00000000-0005-0000-0000-000022150000}"/>
    <cellStyle name="Millares 2 5 2 2 6 2 3" xfId="21309" xr:uid="{00000000-0005-0000-0000-000023150000}"/>
    <cellStyle name="Millares 2 5 2 2 6 2 3 2" xfId="48442" xr:uid="{00000000-0005-0000-0000-000024150000}"/>
    <cellStyle name="Millares 2 5 2 2 6 2 4" xfId="34880" xr:uid="{00000000-0005-0000-0000-000025150000}"/>
    <cellStyle name="Millares 2 5 2 2 6 3" xfId="11133" xr:uid="{00000000-0005-0000-0000-000026150000}"/>
    <cellStyle name="Millares 2 5 2 2 6 3 2" xfId="24701" xr:uid="{00000000-0005-0000-0000-000027150000}"/>
    <cellStyle name="Millares 2 5 2 2 6 3 2 2" xfId="51834" xr:uid="{00000000-0005-0000-0000-000028150000}"/>
    <cellStyle name="Millares 2 5 2 2 6 3 3" xfId="38272" xr:uid="{00000000-0005-0000-0000-000029150000}"/>
    <cellStyle name="Millares 2 5 2 2 6 4" xfId="17920" xr:uid="{00000000-0005-0000-0000-00002A150000}"/>
    <cellStyle name="Millares 2 5 2 2 6 4 2" xfId="45053" xr:uid="{00000000-0005-0000-0000-00002B150000}"/>
    <cellStyle name="Millares 2 5 2 2 6 5" xfId="31491" xr:uid="{00000000-0005-0000-0000-00002C150000}"/>
    <cellStyle name="Millares 2 5 2 2 7" xfId="7717" xr:uid="{00000000-0005-0000-0000-00002D150000}"/>
    <cellStyle name="Millares 2 5 2 2 7 2" xfId="14507" xr:uid="{00000000-0005-0000-0000-00002E150000}"/>
    <cellStyle name="Millares 2 5 2 2 7 2 2" xfId="28075" xr:uid="{00000000-0005-0000-0000-00002F150000}"/>
    <cellStyle name="Millares 2 5 2 2 7 2 2 2" xfId="55208" xr:uid="{00000000-0005-0000-0000-000030150000}"/>
    <cellStyle name="Millares 2 5 2 2 7 2 3" xfId="41646" xr:uid="{00000000-0005-0000-0000-000031150000}"/>
    <cellStyle name="Millares 2 5 2 2 7 3" xfId="21294" xr:uid="{00000000-0005-0000-0000-000032150000}"/>
    <cellStyle name="Millares 2 5 2 2 7 3 2" xfId="48427" xr:uid="{00000000-0005-0000-0000-000033150000}"/>
    <cellStyle name="Millares 2 5 2 2 7 4" xfId="34865" xr:uid="{00000000-0005-0000-0000-000034150000}"/>
    <cellStyle name="Millares 2 5 2 2 8" xfId="11118" xr:uid="{00000000-0005-0000-0000-000035150000}"/>
    <cellStyle name="Millares 2 5 2 2 8 2" xfId="24686" xr:uid="{00000000-0005-0000-0000-000036150000}"/>
    <cellStyle name="Millares 2 5 2 2 8 2 2" xfId="51819" xr:uid="{00000000-0005-0000-0000-000037150000}"/>
    <cellStyle name="Millares 2 5 2 2 8 3" xfId="38257" xr:uid="{00000000-0005-0000-0000-000038150000}"/>
    <cellStyle name="Millares 2 5 2 2 9" xfId="17905" xr:uid="{00000000-0005-0000-0000-000039150000}"/>
    <cellStyle name="Millares 2 5 2 2 9 2" xfId="45038" xr:uid="{00000000-0005-0000-0000-00003A150000}"/>
    <cellStyle name="Millares 2 5 2 3" xfId="4123" xr:uid="{00000000-0005-0000-0000-00003B150000}"/>
    <cellStyle name="Millares 2 5 2 3 2" xfId="4124" xr:uid="{00000000-0005-0000-0000-00003C150000}"/>
    <cellStyle name="Millares 2 5 2 3 2 2" xfId="4125" xr:uid="{00000000-0005-0000-0000-00003D150000}"/>
    <cellStyle name="Millares 2 5 2 3 2 2 2" xfId="7735" xr:uid="{00000000-0005-0000-0000-00003E150000}"/>
    <cellStyle name="Millares 2 5 2 3 2 2 2 2" xfId="14525" xr:uid="{00000000-0005-0000-0000-00003F150000}"/>
    <cellStyle name="Millares 2 5 2 3 2 2 2 2 2" xfId="28093" xr:uid="{00000000-0005-0000-0000-000040150000}"/>
    <cellStyle name="Millares 2 5 2 3 2 2 2 2 2 2" xfId="55226" xr:uid="{00000000-0005-0000-0000-000041150000}"/>
    <cellStyle name="Millares 2 5 2 3 2 2 2 2 3" xfId="41664" xr:uid="{00000000-0005-0000-0000-000042150000}"/>
    <cellStyle name="Millares 2 5 2 3 2 2 2 3" xfId="21312" xr:uid="{00000000-0005-0000-0000-000043150000}"/>
    <cellStyle name="Millares 2 5 2 3 2 2 2 3 2" xfId="48445" xr:uid="{00000000-0005-0000-0000-000044150000}"/>
    <cellStyle name="Millares 2 5 2 3 2 2 2 4" xfId="34883" xr:uid="{00000000-0005-0000-0000-000045150000}"/>
    <cellStyle name="Millares 2 5 2 3 2 2 3" xfId="11136" xr:uid="{00000000-0005-0000-0000-000046150000}"/>
    <cellStyle name="Millares 2 5 2 3 2 2 3 2" xfId="24704" xr:uid="{00000000-0005-0000-0000-000047150000}"/>
    <cellStyle name="Millares 2 5 2 3 2 2 3 2 2" xfId="51837" xr:uid="{00000000-0005-0000-0000-000048150000}"/>
    <cellStyle name="Millares 2 5 2 3 2 2 3 3" xfId="38275" xr:uid="{00000000-0005-0000-0000-000049150000}"/>
    <cellStyle name="Millares 2 5 2 3 2 2 4" xfId="17923" xr:uid="{00000000-0005-0000-0000-00004A150000}"/>
    <cellStyle name="Millares 2 5 2 3 2 2 4 2" xfId="45056" xr:uid="{00000000-0005-0000-0000-00004B150000}"/>
    <cellStyle name="Millares 2 5 2 3 2 2 5" xfId="31494" xr:uid="{00000000-0005-0000-0000-00004C150000}"/>
    <cellStyle name="Millares 2 5 2 3 2 3" xfId="4126" xr:uid="{00000000-0005-0000-0000-00004D150000}"/>
    <cellStyle name="Millares 2 5 2 3 2 3 2" xfId="7736" xr:uid="{00000000-0005-0000-0000-00004E150000}"/>
    <cellStyle name="Millares 2 5 2 3 2 3 2 2" xfId="14526" xr:uid="{00000000-0005-0000-0000-00004F150000}"/>
    <cellStyle name="Millares 2 5 2 3 2 3 2 2 2" xfId="28094" xr:uid="{00000000-0005-0000-0000-000050150000}"/>
    <cellStyle name="Millares 2 5 2 3 2 3 2 2 2 2" xfId="55227" xr:uid="{00000000-0005-0000-0000-000051150000}"/>
    <cellStyle name="Millares 2 5 2 3 2 3 2 2 3" xfId="41665" xr:uid="{00000000-0005-0000-0000-000052150000}"/>
    <cellStyle name="Millares 2 5 2 3 2 3 2 3" xfId="21313" xr:uid="{00000000-0005-0000-0000-000053150000}"/>
    <cellStyle name="Millares 2 5 2 3 2 3 2 3 2" xfId="48446" xr:uid="{00000000-0005-0000-0000-000054150000}"/>
    <cellStyle name="Millares 2 5 2 3 2 3 2 4" xfId="34884" xr:uid="{00000000-0005-0000-0000-000055150000}"/>
    <cellStyle name="Millares 2 5 2 3 2 3 3" xfId="11137" xr:uid="{00000000-0005-0000-0000-000056150000}"/>
    <cellStyle name="Millares 2 5 2 3 2 3 3 2" xfId="24705" xr:uid="{00000000-0005-0000-0000-000057150000}"/>
    <cellStyle name="Millares 2 5 2 3 2 3 3 2 2" xfId="51838" xr:uid="{00000000-0005-0000-0000-000058150000}"/>
    <cellStyle name="Millares 2 5 2 3 2 3 3 3" xfId="38276" xr:uid="{00000000-0005-0000-0000-000059150000}"/>
    <cellStyle name="Millares 2 5 2 3 2 3 4" xfId="17924" xr:uid="{00000000-0005-0000-0000-00005A150000}"/>
    <cellStyle name="Millares 2 5 2 3 2 3 4 2" xfId="45057" xr:uid="{00000000-0005-0000-0000-00005B150000}"/>
    <cellStyle name="Millares 2 5 2 3 2 3 5" xfId="31495" xr:uid="{00000000-0005-0000-0000-00005C150000}"/>
    <cellStyle name="Millares 2 5 2 3 2 4" xfId="7734" xr:uid="{00000000-0005-0000-0000-00005D150000}"/>
    <cellStyle name="Millares 2 5 2 3 2 4 2" xfId="14524" xr:uid="{00000000-0005-0000-0000-00005E150000}"/>
    <cellStyle name="Millares 2 5 2 3 2 4 2 2" xfId="28092" xr:uid="{00000000-0005-0000-0000-00005F150000}"/>
    <cellStyle name="Millares 2 5 2 3 2 4 2 2 2" xfId="55225" xr:uid="{00000000-0005-0000-0000-000060150000}"/>
    <cellStyle name="Millares 2 5 2 3 2 4 2 3" xfId="41663" xr:uid="{00000000-0005-0000-0000-000061150000}"/>
    <cellStyle name="Millares 2 5 2 3 2 4 3" xfId="21311" xr:uid="{00000000-0005-0000-0000-000062150000}"/>
    <cellStyle name="Millares 2 5 2 3 2 4 3 2" xfId="48444" xr:uid="{00000000-0005-0000-0000-000063150000}"/>
    <cellStyle name="Millares 2 5 2 3 2 4 4" xfId="34882" xr:uid="{00000000-0005-0000-0000-000064150000}"/>
    <cellStyle name="Millares 2 5 2 3 2 5" xfId="11135" xr:uid="{00000000-0005-0000-0000-000065150000}"/>
    <cellStyle name="Millares 2 5 2 3 2 5 2" xfId="24703" xr:uid="{00000000-0005-0000-0000-000066150000}"/>
    <cellStyle name="Millares 2 5 2 3 2 5 2 2" xfId="51836" xr:uid="{00000000-0005-0000-0000-000067150000}"/>
    <cellStyle name="Millares 2 5 2 3 2 5 3" xfId="38274" xr:uid="{00000000-0005-0000-0000-000068150000}"/>
    <cellStyle name="Millares 2 5 2 3 2 6" xfId="17922" xr:uid="{00000000-0005-0000-0000-000069150000}"/>
    <cellStyle name="Millares 2 5 2 3 2 6 2" xfId="45055" xr:uid="{00000000-0005-0000-0000-00006A150000}"/>
    <cellStyle name="Millares 2 5 2 3 2 7" xfId="31493" xr:uid="{00000000-0005-0000-0000-00006B150000}"/>
    <cellStyle name="Millares 2 5 2 3 3" xfId="4127" xr:uid="{00000000-0005-0000-0000-00006C150000}"/>
    <cellStyle name="Millares 2 5 2 3 3 2" xfId="4128" xr:uid="{00000000-0005-0000-0000-00006D150000}"/>
    <cellStyle name="Millares 2 5 2 3 3 2 2" xfId="7738" xr:uid="{00000000-0005-0000-0000-00006E150000}"/>
    <cellStyle name="Millares 2 5 2 3 3 2 2 2" xfId="14528" xr:uid="{00000000-0005-0000-0000-00006F150000}"/>
    <cellStyle name="Millares 2 5 2 3 3 2 2 2 2" xfId="28096" xr:uid="{00000000-0005-0000-0000-000070150000}"/>
    <cellStyle name="Millares 2 5 2 3 3 2 2 2 2 2" xfId="55229" xr:uid="{00000000-0005-0000-0000-000071150000}"/>
    <cellStyle name="Millares 2 5 2 3 3 2 2 2 3" xfId="41667" xr:uid="{00000000-0005-0000-0000-000072150000}"/>
    <cellStyle name="Millares 2 5 2 3 3 2 2 3" xfId="21315" xr:uid="{00000000-0005-0000-0000-000073150000}"/>
    <cellStyle name="Millares 2 5 2 3 3 2 2 3 2" xfId="48448" xr:uid="{00000000-0005-0000-0000-000074150000}"/>
    <cellStyle name="Millares 2 5 2 3 3 2 2 4" xfId="34886" xr:uid="{00000000-0005-0000-0000-000075150000}"/>
    <cellStyle name="Millares 2 5 2 3 3 2 3" xfId="11139" xr:uid="{00000000-0005-0000-0000-000076150000}"/>
    <cellStyle name="Millares 2 5 2 3 3 2 3 2" xfId="24707" xr:uid="{00000000-0005-0000-0000-000077150000}"/>
    <cellStyle name="Millares 2 5 2 3 3 2 3 2 2" xfId="51840" xr:uid="{00000000-0005-0000-0000-000078150000}"/>
    <cellStyle name="Millares 2 5 2 3 3 2 3 3" xfId="38278" xr:uid="{00000000-0005-0000-0000-000079150000}"/>
    <cellStyle name="Millares 2 5 2 3 3 2 4" xfId="17926" xr:uid="{00000000-0005-0000-0000-00007A150000}"/>
    <cellStyle name="Millares 2 5 2 3 3 2 4 2" xfId="45059" xr:uid="{00000000-0005-0000-0000-00007B150000}"/>
    <cellStyle name="Millares 2 5 2 3 3 2 5" xfId="31497" xr:uid="{00000000-0005-0000-0000-00007C150000}"/>
    <cellStyle name="Millares 2 5 2 3 3 3" xfId="7737" xr:uid="{00000000-0005-0000-0000-00007D150000}"/>
    <cellStyle name="Millares 2 5 2 3 3 3 2" xfId="14527" xr:uid="{00000000-0005-0000-0000-00007E150000}"/>
    <cellStyle name="Millares 2 5 2 3 3 3 2 2" xfId="28095" xr:uid="{00000000-0005-0000-0000-00007F150000}"/>
    <cellStyle name="Millares 2 5 2 3 3 3 2 2 2" xfId="55228" xr:uid="{00000000-0005-0000-0000-000080150000}"/>
    <cellStyle name="Millares 2 5 2 3 3 3 2 3" xfId="41666" xr:uid="{00000000-0005-0000-0000-000081150000}"/>
    <cellStyle name="Millares 2 5 2 3 3 3 3" xfId="21314" xr:uid="{00000000-0005-0000-0000-000082150000}"/>
    <cellStyle name="Millares 2 5 2 3 3 3 3 2" xfId="48447" xr:uid="{00000000-0005-0000-0000-000083150000}"/>
    <cellStyle name="Millares 2 5 2 3 3 3 4" xfId="34885" xr:uid="{00000000-0005-0000-0000-000084150000}"/>
    <cellStyle name="Millares 2 5 2 3 3 4" xfId="11138" xr:uid="{00000000-0005-0000-0000-000085150000}"/>
    <cellStyle name="Millares 2 5 2 3 3 4 2" xfId="24706" xr:uid="{00000000-0005-0000-0000-000086150000}"/>
    <cellStyle name="Millares 2 5 2 3 3 4 2 2" xfId="51839" xr:uid="{00000000-0005-0000-0000-000087150000}"/>
    <cellStyle name="Millares 2 5 2 3 3 4 3" xfId="38277" xr:uid="{00000000-0005-0000-0000-000088150000}"/>
    <cellStyle name="Millares 2 5 2 3 3 5" xfId="17925" xr:uid="{00000000-0005-0000-0000-000089150000}"/>
    <cellStyle name="Millares 2 5 2 3 3 5 2" xfId="45058" xr:uid="{00000000-0005-0000-0000-00008A150000}"/>
    <cellStyle name="Millares 2 5 2 3 3 6" xfId="31496" xr:uid="{00000000-0005-0000-0000-00008B150000}"/>
    <cellStyle name="Millares 2 5 2 3 4" xfId="4129" xr:uid="{00000000-0005-0000-0000-00008C150000}"/>
    <cellStyle name="Millares 2 5 2 3 4 2" xfId="7739" xr:uid="{00000000-0005-0000-0000-00008D150000}"/>
    <cellStyle name="Millares 2 5 2 3 4 2 2" xfId="14529" xr:uid="{00000000-0005-0000-0000-00008E150000}"/>
    <cellStyle name="Millares 2 5 2 3 4 2 2 2" xfId="28097" xr:uid="{00000000-0005-0000-0000-00008F150000}"/>
    <cellStyle name="Millares 2 5 2 3 4 2 2 2 2" xfId="55230" xr:uid="{00000000-0005-0000-0000-000090150000}"/>
    <cellStyle name="Millares 2 5 2 3 4 2 2 3" xfId="41668" xr:uid="{00000000-0005-0000-0000-000091150000}"/>
    <cellStyle name="Millares 2 5 2 3 4 2 3" xfId="21316" xr:uid="{00000000-0005-0000-0000-000092150000}"/>
    <cellStyle name="Millares 2 5 2 3 4 2 3 2" xfId="48449" xr:uid="{00000000-0005-0000-0000-000093150000}"/>
    <cellStyle name="Millares 2 5 2 3 4 2 4" xfId="34887" xr:uid="{00000000-0005-0000-0000-000094150000}"/>
    <cellStyle name="Millares 2 5 2 3 4 3" xfId="11140" xr:uid="{00000000-0005-0000-0000-000095150000}"/>
    <cellStyle name="Millares 2 5 2 3 4 3 2" xfId="24708" xr:uid="{00000000-0005-0000-0000-000096150000}"/>
    <cellStyle name="Millares 2 5 2 3 4 3 2 2" xfId="51841" xr:uid="{00000000-0005-0000-0000-000097150000}"/>
    <cellStyle name="Millares 2 5 2 3 4 3 3" xfId="38279" xr:uid="{00000000-0005-0000-0000-000098150000}"/>
    <cellStyle name="Millares 2 5 2 3 4 4" xfId="17927" xr:uid="{00000000-0005-0000-0000-000099150000}"/>
    <cellStyle name="Millares 2 5 2 3 4 4 2" xfId="45060" xr:uid="{00000000-0005-0000-0000-00009A150000}"/>
    <cellStyle name="Millares 2 5 2 3 4 5" xfId="31498" xr:uid="{00000000-0005-0000-0000-00009B150000}"/>
    <cellStyle name="Millares 2 5 2 3 5" xfId="4130" xr:uid="{00000000-0005-0000-0000-00009C150000}"/>
    <cellStyle name="Millares 2 5 2 3 5 2" xfId="7740" xr:uid="{00000000-0005-0000-0000-00009D150000}"/>
    <cellStyle name="Millares 2 5 2 3 5 2 2" xfId="14530" xr:uid="{00000000-0005-0000-0000-00009E150000}"/>
    <cellStyle name="Millares 2 5 2 3 5 2 2 2" xfId="28098" xr:uid="{00000000-0005-0000-0000-00009F150000}"/>
    <cellStyle name="Millares 2 5 2 3 5 2 2 2 2" xfId="55231" xr:uid="{00000000-0005-0000-0000-0000A0150000}"/>
    <cellStyle name="Millares 2 5 2 3 5 2 2 3" xfId="41669" xr:uid="{00000000-0005-0000-0000-0000A1150000}"/>
    <cellStyle name="Millares 2 5 2 3 5 2 3" xfId="21317" xr:uid="{00000000-0005-0000-0000-0000A2150000}"/>
    <cellStyle name="Millares 2 5 2 3 5 2 3 2" xfId="48450" xr:uid="{00000000-0005-0000-0000-0000A3150000}"/>
    <cellStyle name="Millares 2 5 2 3 5 2 4" xfId="34888" xr:uid="{00000000-0005-0000-0000-0000A4150000}"/>
    <cellStyle name="Millares 2 5 2 3 5 3" xfId="11141" xr:uid="{00000000-0005-0000-0000-0000A5150000}"/>
    <cellStyle name="Millares 2 5 2 3 5 3 2" xfId="24709" xr:uid="{00000000-0005-0000-0000-0000A6150000}"/>
    <cellStyle name="Millares 2 5 2 3 5 3 2 2" xfId="51842" xr:uid="{00000000-0005-0000-0000-0000A7150000}"/>
    <cellStyle name="Millares 2 5 2 3 5 3 3" xfId="38280" xr:uid="{00000000-0005-0000-0000-0000A8150000}"/>
    <cellStyle name="Millares 2 5 2 3 5 4" xfId="17928" xr:uid="{00000000-0005-0000-0000-0000A9150000}"/>
    <cellStyle name="Millares 2 5 2 3 5 4 2" xfId="45061" xr:uid="{00000000-0005-0000-0000-0000AA150000}"/>
    <cellStyle name="Millares 2 5 2 3 5 5" xfId="31499" xr:uid="{00000000-0005-0000-0000-0000AB150000}"/>
    <cellStyle name="Millares 2 5 2 3 6" xfId="7733" xr:uid="{00000000-0005-0000-0000-0000AC150000}"/>
    <cellStyle name="Millares 2 5 2 3 6 2" xfId="14523" xr:uid="{00000000-0005-0000-0000-0000AD150000}"/>
    <cellStyle name="Millares 2 5 2 3 6 2 2" xfId="28091" xr:uid="{00000000-0005-0000-0000-0000AE150000}"/>
    <cellStyle name="Millares 2 5 2 3 6 2 2 2" xfId="55224" xr:uid="{00000000-0005-0000-0000-0000AF150000}"/>
    <cellStyle name="Millares 2 5 2 3 6 2 3" xfId="41662" xr:uid="{00000000-0005-0000-0000-0000B0150000}"/>
    <cellStyle name="Millares 2 5 2 3 6 3" xfId="21310" xr:uid="{00000000-0005-0000-0000-0000B1150000}"/>
    <cellStyle name="Millares 2 5 2 3 6 3 2" xfId="48443" xr:uid="{00000000-0005-0000-0000-0000B2150000}"/>
    <cellStyle name="Millares 2 5 2 3 6 4" xfId="34881" xr:uid="{00000000-0005-0000-0000-0000B3150000}"/>
    <cellStyle name="Millares 2 5 2 3 7" xfId="11134" xr:uid="{00000000-0005-0000-0000-0000B4150000}"/>
    <cellStyle name="Millares 2 5 2 3 7 2" xfId="24702" xr:uid="{00000000-0005-0000-0000-0000B5150000}"/>
    <cellStyle name="Millares 2 5 2 3 7 2 2" xfId="51835" xr:uid="{00000000-0005-0000-0000-0000B6150000}"/>
    <cellStyle name="Millares 2 5 2 3 7 3" xfId="38273" xr:uid="{00000000-0005-0000-0000-0000B7150000}"/>
    <cellStyle name="Millares 2 5 2 3 8" xfId="17921" xr:uid="{00000000-0005-0000-0000-0000B8150000}"/>
    <cellStyle name="Millares 2 5 2 3 8 2" xfId="45054" xr:uid="{00000000-0005-0000-0000-0000B9150000}"/>
    <cellStyle name="Millares 2 5 2 3 9" xfId="31492" xr:uid="{00000000-0005-0000-0000-0000BA150000}"/>
    <cellStyle name="Millares 2 5 2 4" xfId="4131" xr:uid="{00000000-0005-0000-0000-0000BB150000}"/>
    <cellStyle name="Millares 2 5 2 4 2" xfId="4132" xr:uid="{00000000-0005-0000-0000-0000BC150000}"/>
    <cellStyle name="Millares 2 5 2 4 2 2" xfId="4133" xr:uid="{00000000-0005-0000-0000-0000BD150000}"/>
    <cellStyle name="Millares 2 5 2 4 2 2 2" xfId="7743" xr:uid="{00000000-0005-0000-0000-0000BE150000}"/>
    <cellStyle name="Millares 2 5 2 4 2 2 2 2" xfId="14533" xr:uid="{00000000-0005-0000-0000-0000BF150000}"/>
    <cellStyle name="Millares 2 5 2 4 2 2 2 2 2" xfId="28101" xr:uid="{00000000-0005-0000-0000-0000C0150000}"/>
    <cellStyle name="Millares 2 5 2 4 2 2 2 2 2 2" xfId="55234" xr:uid="{00000000-0005-0000-0000-0000C1150000}"/>
    <cellStyle name="Millares 2 5 2 4 2 2 2 2 3" xfId="41672" xr:uid="{00000000-0005-0000-0000-0000C2150000}"/>
    <cellStyle name="Millares 2 5 2 4 2 2 2 3" xfId="21320" xr:uid="{00000000-0005-0000-0000-0000C3150000}"/>
    <cellStyle name="Millares 2 5 2 4 2 2 2 3 2" xfId="48453" xr:uid="{00000000-0005-0000-0000-0000C4150000}"/>
    <cellStyle name="Millares 2 5 2 4 2 2 2 4" xfId="34891" xr:uid="{00000000-0005-0000-0000-0000C5150000}"/>
    <cellStyle name="Millares 2 5 2 4 2 2 3" xfId="11144" xr:uid="{00000000-0005-0000-0000-0000C6150000}"/>
    <cellStyle name="Millares 2 5 2 4 2 2 3 2" xfId="24712" xr:uid="{00000000-0005-0000-0000-0000C7150000}"/>
    <cellStyle name="Millares 2 5 2 4 2 2 3 2 2" xfId="51845" xr:uid="{00000000-0005-0000-0000-0000C8150000}"/>
    <cellStyle name="Millares 2 5 2 4 2 2 3 3" xfId="38283" xr:uid="{00000000-0005-0000-0000-0000C9150000}"/>
    <cellStyle name="Millares 2 5 2 4 2 2 4" xfId="17931" xr:uid="{00000000-0005-0000-0000-0000CA150000}"/>
    <cellStyle name="Millares 2 5 2 4 2 2 4 2" xfId="45064" xr:uid="{00000000-0005-0000-0000-0000CB150000}"/>
    <cellStyle name="Millares 2 5 2 4 2 2 5" xfId="31502" xr:uid="{00000000-0005-0000-0000-0000CC150000}"/>
    <cellStyle name="Millares 2 5 2 4 2 3" xfId="4134" xr:uid="{00000000-0005-0000-0000-0000CD150000}"/>
    <cellStyle name="Millares 2 5 2 4 2 3 2" xfId="7744" xr:uid="{00000000-0005-0000-0000-0000CE150000}"/>
    <cellStyle name="Millares 2 5 2 4 2 3 2 2" xfId="14534" xr:uid="{00000000-0005-0000-0000-0000CF150000}"/>
    <cellStyle name="Millares 2 5 2 4 2 3 2 2 2" xfId="28102" xr:uid="{00000000-0005-0000-0000-0000D0150000}"/>
    <cellStyle name="Millares 2 5 2 4 2 3 2 2 2 2" xfId="55235" xr:uid="{00000000-0005-0000-0000-0000D1150000}"/>
    <cellStyle name="Millares 2 5 2 4 2 3 2 2 3" xfId="41673" xr:uid="{00000000-0005-0000-0000-0000D2150000}"/>
    <cellStyle name="Millares 2 5 2 4 2 3 2 3" xfId="21321" xr:uid="{00000000-0005-0000-0000-0000D3150000}"/>
    <cellStyle name="Millares 2 5 2 4 2 3 2 3 2" xfId="48454" xr:uid="{00000000-0005-0000-0000-0000D4150000}"/>
    <cellStyle name="Millares 2 5 2 4 2 3 2 4" xfId="34892" xr:uid="{00000000-0005-0000-0000-0000D5150000}"/>
    <cellStyle name="Millares 2 5 2 4 2 3 3" xfId="11145" xr:uid="{00000000-0005-0000-0000-0000D6150000}"/>
    <cellStyle name="Millares 2 5 2 4 2 3 3 2" xfId="24713" xr:uid="{00000000-0005-0000-0000-0000D7150000}"/>
    <cellStyle name="Millares 2 5 2 4 2 3 3 2 2" xfId="51846" xr:uid="{00000000-0005-0000-0000-0000D8150000}"/>
    <cellStyle name="Millares 2 5 2 4 2 3 3 3" xfId="38284" xr:uid="{00000000-0005-0000-0000-0000D9150000}"/>
    <cellStyle name="Millares 2 5 2 4 2 3 4" xfId="17932" xr:uid="{00000000-0005-0000-0000-0000DA150000}"/>
    <cellStyle name="Millares 2 5 2 4 2 3 4 2" xfId="45065" xr:uid="{00000000-0005-0000-0000-0000DB150000}"/>
    <cellStyle name="Millares 2 5 2 4 2 3 5" xfId="31503" xr:uid="{00000000-0005-0000-0000-0000DC150000}"/>
    <cellStyle name="Millares 2 5 2 4 2 4" xfId="7742" xr:uid="{00000000-0005-0000-0000-0000DD150000}"/>
    <cellStyle name="Millares 2 5 2 4 2 4 2" xfId="14532" xr:uid="{00000000-0005-0000-0000-0000DE150000}"/>
    <cellStyle name="Millares 2 5 2 4 2 4 2 2" xfId="28100" xr:uid="{00000000-0005-0000-0000-0000DF150000}"/>
    <cellStyle name="Millares 2 5 2 4 2 4 2 2 2" xfId="55233" xr:uid="{00000000-0005-0000-0000-0000E0150000}"/>
    <cellStyle name="Millares 2 5 2 4 2 4 2 3" xfId="41671" xr:uid="{00000000-0005-0000-0000-0000E1150000}"/>
    <cellStyle name="Millares 2 5 2 4 2 4 3" xfId="21319" xr:uid="{00000000-0005-0000-0000-0000E2150000}"/>
    <cellStyle name="Millares 2 5 2 4 2 4 3 2" xfId="48452" xr:uid="{00000000-0005-0000-0000-0000E3150000}"/>
    <cellStyle name="Millares 2 5 2 4 2 4 4" xfId="34890" xr:uid="{00000000-0005-0000-0000-0000E4150000}"/>
    <cellStyle name="Millares 2 5 2 4 2 5" xfId="11143" xr:uid="{00000000-0005-0000-0000-0000E5150000}"/>
    <cellStyle name="Millares 2 5 2 4 2 5 2" xfId="24711" xr:uid="{00000000-0005-0000-0000-0000E6150000}"/>
    <cellStyle name="Millares 2 5 2 4 2 5 2 2" xfId="51844" xr:uid="{00000000-0005-0000-0000-0000E7150000}"/>
    <cellStyle name="Millares 2 5 2 4 2 5 3" xfId="38282" xr:uid="{00000000-0005-0000-0000-0000E8150000}"/>
    <cellStyle name="Millares 2 5 2 4 2 6" xfId="17930" xr:uid="{00000000-0005-0000-0000-0000E9150000}"/>
    <cellStyle name="Millares 2 5 2 4 2 6 2" xfId="45063" xr:uid="{00000000-0005-0000-0000-0000EA150000}"/>
    <cellStyle name="Millares 2 5 2 4 2 7" xfId="31501" xr:uid="{00000000-0005-0000-0000-0000EB150000}"/>
    <cellStyle name="Millares 2 5 2 4 3" xfId="4135" xr:uid="{00000000-0005-0000-0000-0000EC150000}"/>
    <cellStyle name="Millares 2 5 2 4 3 2" xfId="7745" xr:uid="{00000000-0005-0000-0000-0000ED150000}"/>
    <cellStyle name="Millares 2 5 2 4 3 2 2" xfId="14535" xr:uid="{00000000-0005-0000-0000-0000EE150000}"/>
    <cellStyle name="Millares 2 5 2 4 3 2 2 2" xfId="28103" xr:uid="{00000000-0005-0000-0000-0000EF150000}"/>
    <cellStyle name="Millares 2 5 2 4 3 2 2 2 2" xfId="55236" xr:uid="{00000000-0005-0000-0000-0000F0150000}"/>
    <cellStyle name="Millares 2 5 2 4 3 2 2 3" xfId="41674" xr:uid="{00000000-0005-0000-0000-0000F1150000}"/>
    <cellStyle name="Millares 2 5 2 4 3 2 3" xfId="21322" xr:uid="{00000000-0005-0000-0000-0000F2150000}"/>
    <cellStyle name="Millares 2 5 2 4 3 2 3 2" xfId="48455" xr:uid="{00000000-0005-0000-0000-0000F3150000}"/>
    <cellStyle name="Millares 2 5 2 4 3 2 4" xfId="34893" xr:uid="{00000000-0005-0000-0000-0000F4150000}"/>
    <cellStyle name="Millares 2 5 2 4 3 3" xfId="11146" xr:uid="{00000000-0005-0000-0000-0000F5150000}"/>
    <cellStyle name="Millares 2 5 2 4 3 3 2" xfId="24714" xr:uid="{00000000-0005-0000-0000-0000F6150000}"/>
    <cellStyle name="Millares 2 5 2 4 3 3 2 2" xfId="51847" xr:uid="{00000000-0005-0000-0000-0000F7150000}"/>
    <cellStyle name="Millares 2 5 2 4 3 3 3" xfId="38285" xr:uid="{00000000-0005-0000-0000-0000F8150000}"/>
    <cellStyle name="Millares 2 5 2 4 3 4" xfId="17933" xr:uid="{00000000-0005-0000-0000-0000F9150000}"/>
    <cellStyle name="Millares 2 5 2 4 3 4 2" xfId="45066" xr:uid="{00000000-0005-0000-0000-0000FA150000}"/>
    <cellStyle name="Millares 2 5 2 4 3 5" xfId="31504" xr:uid="{00000000-0005-0000-0000-0000FB150000}"/>
    <cellStyle name="Millares 2 5 2 4 4" xfId="4136" xr:uid="{00000000-0005-0000-0000-0000FC150000}"/>
    <cellStyle name="Millares 2 5 2 4 4 2" xfId="7746" xr:uid="{00000000-0005-0000-0000-0000FD150000}"/>
    <cellStyle name="Millares 2 5 2 4 4 2 2" xfId="14536" xr:uid="{00000000-0005-0000-0000-0000FE150000}"/>
    <cellStyle name="Millares 2 5 2 4 4 2 2 2" xfId="28104" xr:uid="{00000000-0005-0000-0000-0000FF150000}"/>
    <cellStyle name="Millares 2 5 2 4 4 2 2 2 2" xfId="55237" xr:uid="{00000000-0005-0000-0000-000000160000}"/>
    <cellStyle name="Millares 2 5 2 4 4 2 2 3" xfId="41675" xr:uid="{00000000-0005-0000-0000-000001160000}"/>
    <cellStyle name="Millares 2 5 2 4 4 2 3" xfId="21323" xr:uid="{00000000-0005-0000-0000-000002160000}"/>
    <cellStyle name="Millares 2 5 2 4 4 2 3 2" xfId="48456" xr:uid="{00000000-0005-0000-0000-000003160000}"/>
    <cellStyle name="Millares 2 5 2 4 4 2 4" xfId="34894" xr:uid="{00000000-0005-0000-0000-000004160000}"/>
    <cellStyle name="Millares 2 5 2 4 4 3" xfId="11147" xr:uid="{00000000-0005-0000-0000-000005160000}"/>
    <cellStyle name="Millares 2 5 2 4 4 3 2" xfId="24715" xr:uid="{00000000-0005-0000-0000-000006160000}"/>
    <cellStyle name="Millares 2 5 2 4 4 3 2 2" xfId="51848" xr:uid="{00000000-0005-0000-0000-000007160000}"/>
    <cellStyle name="Millares 2 5 2 4 4 3 3" xfId="38286" xr:uid="{00000000-0005-0000-0000-000008160000}"/>
    <cellStyle name="Millares 2 5 2 4 4 4" xfId="17934" xr:uid="{00000000-0005-0000-0000-000009160000}"/>
    <cellStyle name="Millares 2 5 2 4 4 4 2" xfId="45067" xr:uid="{00000000-0005-0000-0000-00000A160000}"/>
    <cellStyle name="Millares 2 5 2 4 4 5" xfId="31505" xr:uid="{00000000-0005-0000-0000-00000B160000}"/>
    <cellStyle name="Millares 2 5 2 4 5" xfId="7741" xr:uid="{00000000-0005-0000-0000-00000C160000}"/>
    <cellStyle name="Millares 2 5 2 4 5 2" xfId="14531" xr:uid="{00000000-0005-0000-0000-00000D160000}"/>
    <cellStyle name="Millares 2 5 2 4 5 2 2" xfId="28099" xr:uid="{00000000-0005-0000-0000-00000E160000}"/>
    <cellStyle name="Millares 2 5 2 4 5 2 2 2" xfId="55232" xr:uid="{00000000-0005-0000-0000-00000F160000}"/>
    <cellStyle name="Millares 2 5 2 4 5 2 3" xfId="41670" xr:uid="{00000000-0005-0000-0000-000010160000}"/>
    <cellStyle name="Millares 2 5 2 4 5 3" xfId="21318" xr:uid="{00000000-0005-0000-0000-000011160000}"/>
    <cellStyle name="Millares 2 5 2 4 5 3 2" xfId="48451" xr:uid="{00000000-0005-0000-0000-000012160000}"/>
    <cellStyle name="Millares 2 5 2 4 5 4" xfId="34889" xr:uid="{00000000-0005-0000-0000-000013160000}"/>
    <cellStyle name="Millares 2 5 2 4 6" xfId="11142" xr:uid="{00000000-0005-0000-0000-000014160000}"/>
    <cellStyle name="Millares 2 5 2 4 6 2" xfId="24710" xr:uid="{00000000-0005-0000-0000-000015160000}"/>
    <cellStyle name="Millares 2 5 2 4 6 2 2" xfId="51843" xr:uid="{00000000-0005-0000-0000-000016160000}"/>
    <cellStyle name="Millares 2 5 2 4 6 3" xfId="38281" xr:uid="{00000000-0005-0000-0000-000017160000}"/>
    <cellStyle name="Millares 2 5 2 4 7" xfId="17929" xr:uid="{00000000-0005-0000-0000-000018160000}"/>
    <cellStyle name="Millares 2 5 2 4 7 2" xfId="45062" xr:uid="{00000000-0005-0000-0000-000019160000}"/>
    <cellStyle name="Millares 2 5 2 4 8" xfId="31500" xr:uid="{00000000-0005-0000-0000-00001A160000}"/>
    <cellStyle name="Millares 2 5 2 5" xfId="4137" xr:uid="{00000000-0005-0000-0000-00001B160000}"/>
    <cellStyle name="Millares 2 5 2 5 2" xfId="4138" xr:uid="{00000000-0005-0000-0000-00001C160000}"/>
    <cellStyle name="Millares 2 5 2 5 2 2" xfId="4139" xr:uid="{00000000-0005-0000-0000-00001D160000}"/>
    <cellStyle name="Millares 2 5 2 5 2 2 2" xfId="7749" xr:uid="{00000000-0005-0000-0000-00001E160000}"/>
    <cellStyle name="Millares 2 5 2 5 2 2 2 2" xfId="14539" xr:uid="{00000000-0005-0000-0000-00001F160000}"/>
    <cellStyle name="Millares 2 5 2 5 2 2 2 2 2" xfId="28107" xr:uid="{00000000-0005-0000-0000-000020160000}"/>
    <cellStyle name="Millares 2 5 2 5 2 2 2 2 2 2" xfId="55240" xr:uid="{00000000-0005-0000-0000-000021160000}"/>
    <cellStyle name="Millares 2 5 2 5 2 2 2 2 3" xfId="41678" xr:uid="{00000000-0005-0000-0000-000022160000}"/>
    <cellStyle name="Millares 2 5 2 5 2 2 2 3" xfId="21326" xr:uid="{00000000-0005-0000-0000-000023160000}"/>
    <cellStyle name="Millares 2 5 2 5 2 2 2 3 2" xfId="48459" xr:uid="{00000000-0005-0000-0000-000024160000}"/>
    <cellStyle name="Millares 2 5 2 5 2 2 2 4" xfId="34897" xr:uid="{00000000-0005-0000-0000-000025160000}"/>
    <cellStyle name="Millares 2 5 2 5 2 2 3" xfId="11150" xr:uid="{00000000-0005-0000-0000-000026160000}"/>
    <cellStyle name="Millares 2 5 2 5 2 2 3 2" xfId="24718" xr:uid="{00000000-0005-0000-0000-000027160000}"/>
    <cellStyle name="Millares 2 5 2 5 2 2 3 2 2" xfId="51851" xr:uid="{00000000-0005-0000-0000-000028160000}"/>
    <cellStyle name="Millares 2 5 2 5 2 2 3 3" xfId="38289" xr:uid="{00000000-0005-0000-0000-000029160000}"/>
    <cellStyle name="Millares 2 5 2 5 2 2 4" xfId="17937" xr:uid="{00000000-0005-0000-0000-00002A160000}"/>
    <cellStyle name="Millares 2 5 2 5 2 2 4 2" xfId="45070" xr:uid="{00000000-0005-0000-0000-00002B160000}"/>
    <cellStyle name="Millares 2 5 2 5 2 2 5" xfId="31508" xr:uid="{00000000-0005-0000-0000-00002C160000}"/>
    <cellStyle name="Millares 2 5 2 5 2 3" xfId="4140" xr:uid="{00000000-0005-0000-0000-00002D160000}"/>
    <cellStyle name="Millares 2 5 2 5 2 3 2" xfId="7750" xr:uid="{00000000-0005-0000-0000-00002E160000}"/>
    <cellStyle name="Millares 2 5 2 5 2 3 2 2" xfId="14540" xr:uid="{00000000-0005-0000-0000-00002F160000}"/>
    <cellStyle name="Millares 2 5 2 5 2 3 2 2 2" xfId="28108" xr:uid="{00000000-0005-0000-0000-000030160000}"/>
    <cellStyle name="Millares 2 5 2 5 2 3 2 2 2 2" xfId="55241" xr:uid="{00000000-0005-0000-0000-000031160000}"/>
    <cellStyle name="Millares 2 5 2 5 2 3 2 2 3" xfId="41679" xr:uid="{00000000-0005-0000-0000-000032160000}"/>
    <cellStyle name="Millares 2 5 2 5 2 3 2 3" xfId="21327" xr:uid="{00000000-0005-0000-0000-000033160000}"/>
    <cellStyle name="Millares 2 5 2 5 2 3 2 3 2" xfId="48460" xr:uid="{00000000-0005-0000-0000-000034160000}"/>
    <cellStyle name="Millares 2 5 2 5 2 3 2 4" xfId="34898" xr:uid="{00000000-0005-0000-0000-000035160000}"/>
    <cellStyle name="Millares 2 5 2 5 2 3 3" xfId="11151" xr:uid="{00000000-0005-0000-0000-000036160000}"/>
    <cellStyle name="Millares 2 5 2 5 2 3 3 2" xfId="24719" xr:uid="{00000000-0005-0000-0000-000037160000}"/>
    <cellStyle name="Millares 2 5 2 5 2 3 3 2 2" xfId="51852" xr:uid="{00000000-0005-0000-0000-000038160000}"/>
    <cellStyle name="Millares 2 5 2 5 2 3 3 3" xfId="38290" xr:uid="{00000000-0005-0000-0000-000039160000}"/>
    <cellStyle name="Millares 2 5 2 5 2 3 4" xfId="17938" xr:uid="{00000000-0005-0000-0000-00003A160000}"/>
    <cellStyle name="Millares 2 5 2 5 2 3 4 2" xfId="45071" xr:uid="{00000000-0005-0000-0000-00003B160000}"/>
    <cellStyle name="Millares 2 5 2 5 2 3 5" xfId="31509" xr:uid="{00000000-0005-0000-0000-00003C160000}"/>
    <cellStyle name="Millares 2 5 2 5 2 4" xfId="7748" xr:uid="{00000000-0005-0000-0000-00003D160000}"/>
    <cellStyle name="Millares 2 5 2 5 2 4 2" xfId="14538" xr:uid="{00000000-0005-0000-0000-00003E160000}"/>
    <cellStyle name="Millares 2 5 2 5 2 4 2 2" xfId="28106" xr:uid="{00000000-0005-0000-0000-00003F160000}"/>
    <cellStyle name="Millares 2 5 2 5 2 4 2 2 2" xfId="55239" xr:uid="{00000000-0005-0000-0000-000040160000}"/>
    <cellStyle name="Millares 2 5 2 5 2 4 2 3" xfId="41677" xr:uid="{00000000-0005-0000-0000-000041160000}"/>
    <cellStyle name="Millares 2 5 2 5 2 4 3" xfId="21325" xr:uid="{00000000-0005-0000-0000-000042160000}"/>
    <cellStyle name="Millares 2 5 2 5 2 4 3 2" xfId="48458" xr:uid="{00000000-0005-0000-0000-000043160000}"/>
    <cellStyle name="Millares 2 5 2 5 2 4 4" xfId="34896" xr:uid="{00000000-0005-0000-0000-000044160000}"/>
    <cellStyle name="Millares 2 5 2 5 2 5" xfId="11149" xr:uid="{00000000-0005-0000-0000-000045160000}"/>
    <cellStyle name="Millares 2 5 2 5 2 5 2" xfId="24717" xr:uid="{00000000-0005-0000-0000-000046160000}"/>
    <cellStyle name="Millares 2 5 2 5 2 5 2 2" xfId="51850" xr:uid="{00000000-0005-0000-0000-000047160000}"/>
    <cellStyle name="Millares 2 5 2 5 2 5 3" xfId="38288" xr:uid="{00000000-0005-0000-0000-000048160000}"/>
    <cellStyle name="Millares 2 5 2 5 2 6" xfId="17936" xr:uid="{00000000-0005-0000-0000-000049160000}"/>
    <cellStyle name="Millares 2 5 2 5 2 6 2" xfId="45069" xr:uid="{00000000-0005-0000-0000-00004A160000}"/>
    <cellStyle name="Millares 2 5 2 5 2 7" xfId="31507" xr:uid="{00000000-0005-0000-0000-00004B160000}"/>
    <cellStyle name="Millares 2 5 2 5 3" xfId="4141" xr:uid="{00000000-0005-0000-0000-00004C160000}"/>
    <cellStyle name="Millares 2 5 2 5 3 2" xfId="7751" xr:uid="{00000000-0005-0000-0000-00004D160000}"/>
    <cellStyle name="Millares 2 5 2 5 3 2 2" xfId="14541" xr:uid="{00000000-0005-0000-0000-00004E160000}"/>
    <cellStyle name="Millares 2 5 2 5 3 2 2 2" xfId="28109" xr:uid="{00000000-0005-0000-0000-00004F160000}"/>
    <cellStyle name="Millares 2 5 2 5 3 2 2 2 2" xfId="55242" xr:uid="{00000000-0005-0000-0000-000050160000}"/>
    <cellStyle name="Millares 2 5 2 5 3 2 2 3" xfId="41680" xr:uid="{00000000-0005-0000-0000-000051160000}"/>
    <cellStyle name="Millares 2 5 2 5 3 2 3" xfId="21328" xr:uid="{00000000-0005-0000-0000-000052160000}"/>
    <cellStyle name="Millares 2 5 2 5 3 2 3 2" xfId="48461" xr:uid="{00000000-0005-0000-0000-000053160000}"/>
    <cellStyle name="Millares 2 5 2 5 3 2 4" xfId="34899" xr:uid="{00000000-0005-0000-0000-000054160000}"/>
    <cellStyle name="Millares 2 5 2 5 3 3" xfId="11152" xr:uid="{00000000-0005-0000-0000-000055160000}"/>
    <cellStyle name="Millares 2 5 2 5 3 3 2" xfId="24720" xr:uid="{00000000-0005-0000-0000-000056160000}"/>
    <cellStyle name="Millares 2 5 2 5 3 3 2 2" xfId="51853" xr:uid="{00000000-0005-0000-0000-000057160000}"/>
    <cellStyle name="Millares 2 5 2 5 3 3 3" xfId="38291" xr:uid="{00000000-0005-0000-0000-000058160000}"/>
    <cellStyle name="Millares 2 5 2 5 3 4" xfId="17939" xr:uid="{00000000-0005-0000-0000-000059160000}"/>
    <cellStyle name="Millares 2 5 2 5 3 4 2" xfId="45072" xr:uid="{00000000-0005-0000-0000-00005A160000}"/>
    <cellStyle name="Millares 2 5 2 5 3 5" xfId="31510" xr:uid="{00000000-0005-0000-0000-00005B160000}"/>
    <cellStyle name="Millares 2 5 2 5 4" xfId="4142" xr:uid="{00000000-0005-0000-0000-00005C160000}"/>
    <cellStyle name="Millares 2 5 2 5 4 2" xfId="7752" xr:uid="{00000000-0005-0000-0000-00005D160000}"/>
    <cellStyle name="Millares 2 5 2 5 4 2 2" xfId="14542" xr:uid="{00000000-0005-0000-0000-00005E160000}"/>
    <cellStyle name="Millares 2 5 2 5 4 2 2 2" xfId="28110" xr:uid="{00000000-0005-0000-0000-00005F160000}"/>
    <cellStyle name="Millares 2 5 2 5 4 2 2 2 2" xfId="55243" xr:uid="{00000000-0005-0000-0000-000060160000}"/>
    <cellStyle name="Millares 2 5 2 5 4 2 2 3" xfId="41681" xr:uid="{00000000-0005-0000-0000-000061160000}"/>
    <cellStyle name="Millares 2 5 2 5 4 2 3" xfId="21329" xr:uid="{00000000-0005-0000-0000-000062160000}"/>
    <cellStyle name="Millares 2 5 2 5 4 2 3 2" xfId="48462" xr:uid="{00000000-0005-0000-0000-000063160000}"/>
    <cellStyle name="Millares 2 5 2 5 4 2 4" xfId="34900" xr:uid="{00000000-0005-0000-0000-000064160000}"/>
    <cellStyle name="Millares 2 5 2 5 4 3" xfId="11153" xr:uid="{00000000-0005-0000-0000-000065160000}"/>
    <cellStyle name="Millares 2 5 2 5 4 3 2" xfId="24721" xr:uid="{00000000-0005-0000-0000-000066160000}"/>
    <cellStyle name="Millares 2 5 2 5 4 3 2 2" xfId="51854" xr:uid="{00000000-0005-0000-0000-000067160000}"/>
    <cellStyle name="Millares 2 5 2 5 4 3 3" xfId="38292" xr:uid="{00000000-0005-0000-0000-000068160000}"/>
    <cellStyle name="Millares 2 5 2 5 4 4" xfId="17940" xr:uid="{00000000-0005-0000-0000-000069160000}"/>
    <cellStyle name="Millares 2 5 2 5 4 4 2" xfId="45073" xr:uid="{00000000-0005-0000-0000-00006A160000}"/>
    <cellStyle name="Millares 2 5 2 5 4 5" xfId="31511" xr:uid="{00000000-0005-0000-0000-00006B160000}"/>
    <cellStyle name="Millares 2 5 2 5 5" xfId="7747" xr:uid="{00000000-0005-0000-0000-00006C160000}"/>
    <cellStyle name="Millares 2 5 2 5 5 2" xfId="14537" xr:uid="{00000000-0005-0000-0000-00006D160000}"/>
    <cellStyle name="Millares 2 5 2 5 5 2 2" xfId="28105" xr:uid="{00000000-0005-0000-0000-00006E160000}"/>
    <cellStyle name="Millares 2 5 2 5 5 2 2 2" xfId="55238" xr:uid="{00000000-0005-0000-0000-00006F160000}"/>
    <cellStyle name="Millares 2 5 2 5 5 2 3" xfId="41676" xr:uid="{00000000-0005-0000-0000-000070160000}"/>
    <cellStyle name="Millares 2 5 2 5 5 3" xfId="21324" xr:uid="{00000000-0005-0000-0000-000071160000}"/>
    <cellStyle name="Millares 2 5 2 5 5 3 2" xfId="48457" xr:uid="{00000000-0005-0000-0000-000072160000}"/>
    <cellStyle name="Millares 2 5 2 5 5 4" xfId="34895" xr:uid="{00000000-0005-0000-0000-000073160000}"/>
    <cellStyle name="Millares 2 5 2 5 6" xfId="11148" xr:uid="{00000000-0005-0000-0000-000074160000}"/>
    <cellStyle name="Millares 2 5 2 5 6 2" xfId="24716" xr:uid="{00000000-0005-0000-0000-000075160000}"/>
    <cellStyle name="Millares 2 5 2 5 6 2 2" xfId="51849" xr:uid="{00000000-0005-0000-0000-000076160000}"/>
    <cellStyle name="Millares 2 5 2 5 6 3" xfId="38287" xr:uid="{00000000-0005-0000-0000-000077160000}"/>
    <cellStyle name="Millares 2 5 2 5 7" xfId="17935" xr:uid="{00000000-0005-0000-0000-000078160000}"/>
    <cellStyle name="Millares 2 5 2 5 7 2" xfId="45068" xr:uid="{00000000-0005-0000-0000-000079160000}"/>
    <cellStyle name="Millares 2 5 2 5 8" xfId="31506" xr:uid="{00000000-0005-0000-0000-00007A160000}"/>
    <cellStyle name="Millares 2 5 2 6" xfId="4143" xr:uid="{00000000-0005-0000-0000-00007B160000}"/>
    <cellStyle name="Millares 2 5 2 6 2" xfId="4144" xr:uid="{00000000-0005-0000-0000-00007C160000}"/>
    <cellStyle name="Millares 2 5 2 6 2 2" xfId="7754" xr:uid="{00000000-0005-0000-0000-00007D160000}"/>
    <cellStyle name="Millares 2 5 2 6 2 2 2" xfId="14544" xr:uid="{00000000-0005-0000-0000-00007E160000}"/>
    <cellStyle name="Millares 2 5 2 6 2 2 2 2" xfId="28112" xr:uid="{00000000-0005-0000-0000-00007F160000}"/>
    <cellStyle name="Millares 2 5 2 6 2 2 2 2 2" xfId="55245" xr:uid="{00000000-0005-0000-0000-000080160000}"/>
    <cellStyle name="Millares 2 5 2 6 2 2 2 3" xfId="41683" xr:uid="{00000000-0005-0000-0000-000081160000}"/>
    <cellStyle name="Millares 2 5 2 6 2 2 3" xfId="21331" xr:uid="{00000000-0005-0000-0000-000082160000}"/>
    <cellStyle name="Millares 2 5 2 6 2 2 3 2" xfId="48464" xr:uid="{00000000-0005-0000-0000-000083160000}"/>
    <cellStyle name="Millares 2 5 2 6 2 2 4" xfId="34902" xr:uid="{00000000-0005-0000-0000-000084160000}"/>
    <cellStyle name="Millares 2 5 2 6 2 3" xfId="11155" xr:uid="{00000000-0005-0000-0000-000085160000}"/>
    <cellStyle name="Millares 2 5 2 6 2 3 2" xfId="24723" xr:uid="{00000000-0005-0000-0000-000086160000}"/>
    <cellStyle name="Millares 2 5 2 6 2 3 2 2" xfId="51856" xr:uid="{00000000-0005-0000-0000-000087160000}"/>
    <cellStyle name="Millares 2 5 2 6 2 3 3" xfId="38294" xr:uid="{00000000-0005-0000-0000-000088160000}"/>
    <cellStyle name="Millares 2 5 2 6 2 4" xfId="17942" xr:uid="{00000000-0005-0000-0000-000089160000}"/>
    <cellStyle name="Millares 2 5 2 6 2 4 2" xfId="45075" xr:uid="{00000000-0005-0000-0000-00008A160000}"/>
    <cellStyle name="Millares 2 5 2 6 2 5" xfId="31513" xr:uid="{00000000-0005-0000-0000-00008B160000}"/>
    <cellStyle name="Millares 2 5 2 6 3" xfId="4145" xr:uid="{00000000-0005-0000-0000-00008C160000}"/>
    <cellStyle name="Millares 2 5 2 6 3 2" xfId="7755" xr:uid="{00000000-0005-0000-0000-00008D160000}"/>
    <cellStyle name="Millares 2 5 2 6 3 2 2" xfId="14545" xr:uid="{00000000-0005-0000-0000-00008E160000}"/>
    <cellStyle name="Millares 2 5 2 6 3 2 2 2" xfId="28113" xr:uid="{00000000-0005-0000-0000-00008F160000}"/>
    <cellStyle name="Millares 2 5 2 6 3 2 2 2 2" xfId="55246" xr:uid="{00000000-0005-0000-0000-000090160000}"/>
    <cellStyle name="Millares 2 5 2 6 3 2 2 3" xfId="41684" xr:uid="{00000000-0005-0000-0000-000091160000}"/>
    <cellStyle name="Millares 2 5 2 6 3 2 3" xfId="21332" xr:uid="{00000000-0005-0000-0000-000092160000}"/>
    <cellStyle name="Millares 2 5 2 6 3 2 3 2" xfId="48465" xr:uid="{00000000-0005-0000-0000-000093160000}"/>
    <cellStyle name="Millares 2 5 2 6 3 2 4" xfId="34903" xr:uid="{00000000-0005-0000-0000-000094160000}"/>
    <cellStyle name="Millares 2 5 2 6 3 3" xfId="11156" xr:uid="{00000000-0005-0000-0000-000095160000}"/>
    <cellStyle name="Millares 2 5 2 6 3 3 2" xfId="24724" xr:uid="{00000000-0005-0000-0000-000096160000}"/>
    <cellStyle name="Millares 2 5 2 6 3 3 2 2" xfId="51857" xr:uid="{00000000-0005-0000-0000-000097160000}"/>
    <cellStyle name="Millares 2 5 2 6 3 3 3" xfId="38295" xr:uid="{00000000-0005-0000-0000-000098160000}"/>
    <cellStyle name="Millares 2 5 2 6 3 4" xfId="17943" xr:uid="{00000000-0005-0000-0000-000099160000}"/>
    <cellStyle name="Millares 2 5 2 6 3 4 2" xfId="45076" xr:uid="{00000000-0005-0000-0000-00009A160000}"/>
    <cellStyle name="Millares 2 5 2 6 3 5" xfId="31514" xr:uid="{00000000-0005-0000-0000-00009B160000}"/>
    <cellStyle name="Millares 2 5 2 6 4" xfId="7753" xr:uid="{00000000-0005-0000-0000-00009C160000}"/>
    <cellStyle name="Millares 2 5 2 6 4 2" xfId="14543" xr:uid="{00000000-0005-0000-0000-00009D160000}"/>
    <cellStyle name="Millares 2 5 2 6 4 2 2" xfId="28111" xr:uid="{00000000-0005-0000-0000-00009E160000}"/>
    <cellStyle name="Millares 2 5 2 6 4 2 2 2" xfId="55244" xr:uid="{00000000-0005-0000-0000-00009F160000}"/>
    <cellStyle name="Millares 2 5 2 6 4 2 3" xfId="41682" xr:uid="{00000000-0005-0000-0000-0000A0160000}"/>
    <cellStyle name="Millares 2 5 2 6 4 3" xfId="21330" xr:uid="{00000000-0005-0000-0000-0000A1160000}"/>
    <cellStyle name="Millares 2 5 2 6 4 3 2" xfId="48463" xr:uid="{00000000-0005-0000-0000-0000A2160000}"/>
    <cellStyle name="Millares 2 5 2 6 4 4" xfId="34901" xr:uid="{00000000-0005-0000-0000-0000A3160000}"/>
    <cellStyle name="Millares 2 5 2 6 5" xfId="11154" xr:uid="{00000000-0005-0000-0000-0000A4160000}"/>
    <cellStyle name="Millares 2 5 2 6 5 2" xfId="24722" xr:uid="{00000000-0005-0000-0000-0000A5160000}"/>
    <cellStyle name="Millares 2 5 2 6 5 2 2" xfId="51855" xr:uid="{00000000-0005-0000-0000-0000A6160000}"/>
    <cellStyle name="Millares 2 5 2 6 5 3" xfId="38293" xr:uid="{00000000-0005-0000-0000-0000A7160000}"/>
    <cellStyle name="Millares 2 5 2 6 6" xfId="17941" xr:uid="{00000000-0005-0000-0000-0000A8160000}"/>
    <cellStyle name="Millares 2 5 2 6 6 2" xfId="45074" xr:uid="{00000000-0005-0000-0000-0000A9160000}"/>
    <cellStyle name="Millares 2 5 2 6 7" xfId="31512" xr:uid="{00000000-0005-0000-0000-0000AA160000}"/>
    <cellStyle name="Millares 2 5 2 7" xfId="4146" xr:uid="{00000000-0005-0000-0000-0000AB160000}"/>
    <cellStyle name="Millares 2 5 2 7 2" xfId="4147" xr:uid="{00000000-0005-0000-0000-0000AC160000}"/>
    <cellStyle name="Millares 2 5 2 7 2 2" xfId="7757" xr:uid="{00000000-0005-0000-0000-0000AD160000}"/>
    <cellStyle name="Millares 2 5 2 7 2 2 2" xfId="14547" xr:uid="{00000000-0005-0000-0000-0000AE160000}"/>
    <cellStyle name="Millares 2 5 2 7 2 2 2 2" xfId="28115" xr:uid="{00000000-0005-0000-0000-0000AF160000}"/>
    <cellStyle name="Millares 2 5 2 7 2 2 2 2 2" xfId="55248" xr:uid="{00000000-0005-0000-0000-0000B0160000}"/>
    <cellStyle name="Millares 2 5 2 7 2 2 2 3" xfId="41686" xr:uid="{00000000-0005-0000-0000-0000B1160000}"/>
    <cellStyle name="Millares 2 5 2 7 2 2 3" xfId="21334" xr:uid="{00000000-0005-0000-0000-0000B2160000}"/>
    <cellStyle name="Millares 2 5 2 7 2 2 3 2" xfId="48467" xr:uid="{00000000-0005-0000-0000-0000B3160000}"/>
    <cellStyle name="Millares 2 5 2 7 2 2 4" xfId="34905" xr:uid="{00000000-0005-0000-0000-0000B4160000}"/>
    <cellStyle name="Millares 2 5 2 7 2 3" xfId="11158" xr:uid="{00000000-0005-0000-0000-0000B5160000}"/>
    <cellStyle name="Millares 2 5 2 7 2 3 2" xfId="24726" xr:uid="{00000000-0005-0000-0000-0000B6160000}"/>
    <cellStyle name="Millares 2 5 2 7 2 3 2 2" xfId="51859" xr:uid="{00000000-0005-0000-0000-0000B7160000}"/>
    <cellStyle name="Millares 2 5 2 7 2 3 3" xfId="38297" xr:uid="{00000000-0005-0000-0000-0000B8160000}"/>
    <cellStyle name="Millares 2 5 2 7 2 4" xfId="17945" xr:uid="{00000000-0005-0000-0000-0000B9160000}"/>
    <cellStyle name="Millares 2 5 2 7 2 4 2" xfId="45078" xr:uid="{00000000-0005-0000-0000-0000BA160000}"/>
    <cellStyle name="Millares 2 5 2 7 2 5" xfId="31516" xr:uid="{00000000-0005-0000-0000-0000BB160000}"/>
    <cellStyle name="Millares 2 5 2 7 3" xfId="4148" xr:uid="{00000000-0005-0000-0000-0000BC160000}"/>
    <cellStyle name="Millares 2 5 2 7 3 2" xfId="7758" xr:uid="{00000000-0005-0000-0000-0000BD160000}"/>
    <cellStyle name="Millares 2 5 2 7 3 2 2" xfId="14548" xr:uid="{00000000-0005-0000-0000-0000BE160000}"/>
    <cellStyle name="Millares 2 5 2 7 3 2 2 2" xfId="28116" xr:uid="{00000000-0005-0000-0000-0000BF160000}"/>
    <cellStyle name="Millares 2 5 2 7 3 2 2 2 2" xfId="55249" xr:uid="{00000000-0005-0000-0000-0000C0160000}"/>
    <cellStyle name="Millares 2 5 2 7 3 2 2 3" xfId="41687" xr:uid="{00000000-0005-0000-0000-0000C1160000}"/>
    <cellStyle name="Millares 2 5 2 7 3 2 3" xfId="21335" xr:uid="{00000000-0005-0000-0000-0000C2160000}"/>
    <cellStyle name="Millares 2 5 2 7 3 2 3 2" xfId="48468" xr:uid="{00000000-0005-0000-0000-0000C3160000}"/>
    <cellStyle name="Millares 2 5 2 7 3 2 4" xfId="34906" xr:uid="{00000000-0005-0000-0000-0000C4160000}"/>
    <cellStyle name="Millares 2 5 2 7 3 3" xfId="11159" xr:uid="{00000000-0005-0000-0000-0000C5160000}"/>
    <cellStyle name="Millares 2 5 2 7 3 3 2" xfId="24727" xr:uid="{00000000-0005-0000-0000-0000C6160000}"/>
    <cellStyle name="Millares 2 5 2 7 3 3 2 2" xfId="51860" xr:uid="{00000000-0005-0000-0000-0000C7160000}"/>
    <cellStyle name="Millares 2 5 2 7 3 3 3" xfId="38298" xr:uid="{00000000-0005-0000-0000-0000C8160000}"/>
    <cellStyle name="Millares 2 5 2 7 3 4" xfId="17946" xr:uid="{00000000-0005-0000-0000-0000C9160000}"/>
    <cellStyle name="Millares 2 5 2 7 3 4 2" xfId="45079" xr:uid="{00000000-0005-0000-0000-0000CA160000}"/>
    <cellStyle name="Millares 2 5 2 7 3 5" xfId="31517" xr:uid="{00000000-0005-0000-0000-0000CB160000}"/>
    <cellStyle name="Millares 2 5 2 7 4" xfId="7756" xr:uid="{00000000-0005-0000-0000-0000CC160000}"/>
    <cellStyle name="Millares 2 5 2 7 4 2" xfId="14546" xr:uid="{00000000-0005-0000-0000-0000CD160000}"/>
    <cellStyle name="Millares 2 5 2 7 4 2 2" xfId="28114" xr:uid="{00000000-0005-0000-0000-0000CE160000}"/>
    <cellStyle name="Millares 2 5 2 7 4 2 2 2" xfId="55247" xr:uid="{00000000-0005-0000-0000-0000CF160000}"/>
    <cellStyle name="Millares 2 5 2 7 4 2 3" xfId="41685" xr:uid="{00000000-0005-0000-0000-0000D0160000}"/>
    <cellStyle name="Millares 2 5 2 7 4 3" xfId="21333" xr:uid="{00000000-0005-0000-0000-0000D1160000}"/>
    <cellStyle name="Millares 2 5 2 7 4 3 2" xfId="48466" xr:uid="{00000000-0005-0000-0000-0000D2160000}"/>
    <cellStyle name="Millares 2 5 2 7 4 4" xfId="34904" xr:uid="{00000000-0005-0000-0000-0000D3160000}"/>
    <cellStyle name="Millares 2 5 2 7 5" xfId="11157" xr:uid="{00000000-0005-0000-0000-0000D4160000}"/>
    <cellStyle name="Millares 2 5 2 7 5 2" xfId="24725" xr:uid="{00000000-0005-0000-0000-0000D5160000}"/>
    <cellStyle name="Millares 2 5 2 7 5 2 2" xfId="51858" xr:uid="{00000000-0005-0000-0000-0000D6160000}"/>
    <cellStyle name="Millares 2 5 2 7 5 3" xfId="38296" xr:uid="{00000000-0005-0000-0000-0000D7160000}"/>
    <cellStyle name="Millares 2 5 2 7 6" xfId="17944" xr:uid="{00000000-0005-0000-0000-0000D8160000}"/>
    <cellStyle name="Millares 2 5 2 7 6 2" xfId="45077" xr:uid="{00000000-0005-0000-0000-0000D9160000}"/>
    <cellStyle name="Millares 2 5 2 7 7" xfId="31515" xr:uid="{00000000-0005-0000-0000-0000DA160000}"/>
    <cellStyle name="Millares 2 5 2 8" xfId="4149" xr:uid="{00000000-0005-0000-0000-0000DB160000}"/>
    <cellStyle name="Millares 2 5 2 8 2" xfId="7759" xr:uid="{00000000-0005-0000-0000-0000DC160000}"/>
    <cellStyle name="Millares 2 5 2 8 2 2" xfId="14549" xr:uid="{00000000-0005-0000-0000-0000DD160000}"/>
    <cellStyle name="Millares 2 5 2 8 2 2 2" xfId="28117" xr:uid="{00000000-0005-0000-0000-0000DE160000}"/>
    <cellStyle name="Millares 2 5 2 8 2 2 2 2" xfId="55250" xr:uid="{00000000-0005-0000-0000-0000DF160000}"/>
    <cellStyle name="Millares 2 5 2 8 2 2 3" xfId="41688" xr:uid="{00000000-0005-0000-0000-0000E0160000}"/>
    <cellStyle name="Millares 2 5 2 8 2 3" xfId="21336" xr:uid="{00000000-0005-0000-0000-0000E1160000}"/>
    <cellStyle name="Millares 2 5 2 8 2 3 2" xfId="48469" xr:uid="{00000000-0005-0000-0000-0000E2160000}"/>
    <cellStyle name="Millares 2 5 2 8 2 4" xfId="34907" xr:uid="{00000000-0005-0000-0000-0000E3160000}"/>
    <cellStyle name="Millares 2 5 2 8 3" xfId="11160" xr:uid="{00000000-0005-0000-0000-0000E4160000}"/>
    <cellStyle name="Millares 2 5 2 8 3 2" xfId="24728" xr:uid="{00000000-0005-0000-0000-0000E5160000}"/>
    <cellStyle name="Millares 2 5 2 8 3 2 2" xfId="51861" xr:uid="{00000000-0005-0000-0000-0000E6160000}"/>
    <cellStyle name="Millares 2 5 2 8 3 3" xfId="38299" xr:uid="{00000000-0005-0000-0000-0000E7160000}"/>
    <cellStyle name="Millares 2 5 2 8 4" xfId="17947" xr:uid="{00000000-0005-0000-0000-0000E8160000}"/>
    <cellStyle name="Millares 2 5 2 8 4 2" xfId="45080" xr:uid="{00000000-0005-0000-0000-0000E9160000}"/>
    <cellStyle name="Millares 2 5 2 8 5" xfId="31518" xr:uid="{00000000-0005-0000-0000-0000EA160000}"/>
    <cellStyle name="Millares 2 5 2 9" xfId="4150" xr:uid="{00000000-0005-0000-0000-0000EB160000}"/>
    <cellStyle name="Millares 2 5 2 9 2" xfId="7760" xr:uid="{00000000-0005-0000-0000-0000EC160000}"/>
    <cellStyle name="Millares 2 5 2 9 2 2" xfId="14550" xr:uid="{00000000-0005-0000-0000-0000ED160000}"/>
    <cellStyle name="Millares 2 5 2 9 2 2 2" xfId="28118" xr:uid="{00000000-0005-0000-0000-0000EE160000}"/>
    <cellStyle name="Millares 2 5 2 9 2 2 2 2" xfId="55251" xr:uid="{00000000-0005-0000-0000-0000EF160000}"/>
    <cellStyle name="Millares 2 5 2 9 2 2 3" xfId="41689" xr:uid="{00000000-0005-0000-0000-0000F0160000}"/>
    <cellStyle name="Millares 2 5 2 9 2 3" xfId="21337" xr:uid="{00000000-0005-0000-0000-0000F1160000}"/>
    <cellStyle name="Millares 2 5 2 9 2 3 2" xfId="48470" xr:uid="{00000000-0005-0000-0000-0000F2160000}"/>
    <cellStyle name="Millares 2 5 2 9 2 4" xfId="34908" xr:uid="{00000000-0005-0000-0000-0000F3160000}"/>
    <cellStyle name="Millares 2 5 2 9 3" xfId="11161" xr:uid="{00000000-0005-0000-0000-0000F4160000}"/>
    <cellStyle name="Millares 2 5 2 9 3 2" xfId="24729" xr:uid="{00000000-0005-0000-0000-0000F5160000}"/>
    <cellStyle name="Millares 2 5 2 9 3 2 2" xfId="51862" xr:uid="{00000000-0005-0000-0000-0000F6160000}"/>
    <cellStyle name="Millares 2 5 2 9 3 3" xfId="38300" xr:uid="{00000000-0005-0000-0000-0000F7160000}"/>
    <cellStyle name="Millares 2 5 2 9 4" xfId="17948" xr:uid="{00000000-0005-0000-0000-0000F8160000}"/>
    <cellStyle name="Millares 2 5 2 9 4 2" xfId="45081" xr:uid="{00000000-0005-0000-0000-0000F9160000}"/>
    <cellStyle name="Millares 2 5 2 9 5" xfId="31519" xr:uid="{00000000-0005-0000-0000-0000FA160000}"/>
    <cellStyle name="Millares 2 5 3" xfId="4151" xr:uid="{00000000-0005-0000-0000-0000FB160000}"/>
    <cellStyle name="Millares 2 5 3 10" xfId="7761" xr:uid="{00000000-0005-0000-0000-0000FC160000}"/>
    <cellStyle name="Millares 2 5 3 10 2" xfId="14551" xr:uid="{00000000-0005-0000-0000-0000FD160000}"/>
    <cellStyle name="Millares 2 5 3 10 2 2" xfId="28119" xr:uid="{00000000-0005-0000-0000-0000FE160000}"/>
    <cellStyle name="Millares 2 5 3 10 2 2 2" xfId="55252" xr:uid="{00000000-0005-0000-0000-0000FF160000}"/>
    <cellStyle name="Millares 2 5 3 10 2 3" xfId="41690" xr:uid="{00000000-0005-0000-0000-000000170000}"/>
    <cellStyle name="Millares 2 5 3 10 3" xfId="21338" xr:uid="{00000000-0005-0000-0000-000001170000}"/>
    <cellStyle name="Millares 2 5 3 10 3 2" xfId="48471" xr:uid="{00000000-0005-0000-0000-000002170000}"/>
    <cellStyle name="Millares 2 5 3 10 4" xfId="34909" xr:uid="{00000000-0005-0000-0000-000003170000}"/>
    <cellStyle name="Millares 2 5 3 11" xfId="11162" xr:uid="{00000000-0005-0000-0000-000004170000}"/>
    <cellStyle name="Millares 2 5 3 11 2" xfId="24730" xr:uid="{00000000-0005-0000-0000-000005170000}"/>
    <cellStyle name="Millares 2 5 3 11 2 2" xfId="51863" xr:uid="{00000000-0005-0000-0000-000006170000}"/>
    <cellStyle name="Millares 2 5 3 11 3" xfId="38301" xr:uid="{00000000-0005-0000-0000-000007170000}"/>
    <cellStyle name="Millares 2 5 3 12" xfId="17949" xr:uid="{00000000-0005-0000-0000-000008170000}"/>
    <cellStyle name="Millares 2 5 3 12 2" xfId="45082" xr:uid="{00000000-0005-0000-0000-000009170000}"/>
    <cellStyle name="Millares 2 5 3 13" xfId="31520" xr:uid="{00000000-0005-0000-0000-00000A170000}"/>
    <cellStyle name="Millares 2 5 3 2" xfId="4152" xr:uid="{00000000-0005-0000-0000-00000B170000}"/>
    <cellStyle name="Millares 2 5 3 2 10" xfId="31521" xr:uid="{00000000-0005-0000-0000-00000C170000}"/>
    <cellStyle name="Millares 2 5 3 2 2" xfId="4153" xr:uid="{00000000-0005-0000-0000-00000D170000}"/>
    <cellStyle name="Millares 2 5 3 2 2 2" xfId="4154" xr:uid="{00000000-0005-0000-0000-00000E170000}"/>
    <cellStyle name="Millares 2 5 3 2 2 2 2" xfId="4155" xr:uid="{00000000-0005-0000-0000-00000F170000}"/>
    <cellStyle name="Millares 2 5 3 2 2 2 2 2" xfId="7765" xr:uid="{00000000-0005-0000-0000-000010170000}"/>
    <cellStyle name="Millares 2 5 3 2 2 2 2 2 2" xfId="14555" xr:uid="{00000000-0005-0000-0000-000011170000}"/>
    <cellStyle name="Millares 2 5 3 2 2 2 2 2 2 2" xfId="28123" xr:uid="{00000000-0005-0000-0000-000012170000}"/>
    <cellStyle name="Millares 2 5 3 2 2 2 2 2 2 2 2" xfId="55256" xr:uid="{00000000-0005-0000-0000-000013170000}"/>
    <cellStyle name="Millares 2 5 3 2 2 2 2 2 2 3" xfId="41694" xr:uid="{00000000-0005-0000-0000-000014170000}"/>
    <cellStyle name="Millares 2 5 3 2 2 2 2 2 3" xfId="21342" xr:uid="{00000000-0005-0000-0000-000015170000}"/>
    <cellStyle name="Millares 2 5 3 2 2 2 2 2 3 2" xfId="48475" xr:uid="{00000000-0005-0000-0000-000016170000}"/>
    <cellStyle name="Millares 2 5 3 2 2 2 2 2 4" xfId="34913" xr:uid="{00000000-0005-0000-0000-000017170000}"/>
    <cellStyle name="Millares 2 5 3 2 2 2 2 3" xfId="11166" xr:uid="{00000000-0005-0000-0000-000018170000}"/>
    <cellStyle name="Millares 2 5 3 2 2 2 2 3 2" xfId="24734" xr:uid="{00000000-0005-0000-0000-000019170000}"/>
    <cellStyle name="Millares 2 5 3 2 2 2 2 3 2 2" xfId="51867" xr:uid="{00000000-0005-0000-0000-00001A170000}"/>
    <cellStyle name="Millares 2 5 3 2 2 2 2 3 3" xfId="38305" xr:uid="{00000000-0005-0000-0000-00001B170000}"/>
    <cellStyle name="Millares 2 5 3 2 2 2 2 4" xfId="17953" xr:uid="{00000000-0005-0000-0000-00001C170000}"/>
    <cellStyle name="Millares 2 5 3 2 2 2 2 4 2" xfId="45086" xr:uid="{00000000-0005-0000-0000-00001D170000}"/>
    <cellStyle name="Millares 2 5 3 2 2 2 2 5" xfId="31524" xr:uid="{00000000-0005-0000-0000-00001E170000}"/>
    <cellStyle name="Millares 2 5 3 2 2 2 3" xfId="4156" xr:uid="{00000000-0005-0000-0000-00001F170000}"/>
    <cellStyle name="Millares 2 5 3 2 2 2 3 2" xfId="7766" xr:uid="{00000000-0005-0000-0000-000020170000}"/>
    <cellStyle name="Millares 2 5 3 2 2 2 3 2 2" xfId="14556" xr:uid="{00000000-0005-0000-0000-000021170000}"/>
    <cellStyle name="Millares 2 5 3 2 2 2 3 2 2 2" xfId="28124" xr:uid="{00000000-0005-0000-0000-000022170000}"/>
    <cellStyle name="Millares 2 5 3 2 2 2 3 2 2 2 2" xfId="55257" xr:uid="{00000000-0005-0000-0000-000023170000}"/>
    <cellStyle name="Millares 2 5 3 2 2 2 3 2 2 3" xfId="41695" xr:uid="{00000000-0005-0000-0000-000024170000}"/>
    <cellStyle name="Millares 2 5 3 2 2 2 3 2 3" xfId="21343" xr:uid="{00000000-0005-0000-0000-000025170000}"/>
    <cellStyle name="Millares 2 5 3 2 2 2 3 2 3 2" xfId="48476" xr:uid="{00000000-0005-0000-0000-000026170000}"/>
    <cellStyle name="Millares 2 5 3 2 2 2 3 2 4" xfId="34914" xr:uid="{00000000-0005-0000-0000-000027170000}"/>
    <cellStyle name="Millares 2 5 3 2 2 2 3 3" xfId="11167" xr:uid="{00000000-0005-0000-0000-000028170000}"/>
    <cellStyle name="Millares 2 5 3 2 2 2 3 3 2" xfId="24735" xr:uid="{00000000-0005-0000-0000-000029170000}"/>
    <cellStyle name="Millares 2 5 3 2 2 2 3 3 2 2" xfId="51868" xr:uid="{00000000-0005-0000-0000-00002A170000}"/>
    <cellStyle name="Millares 2 5 3 2 2 2 3 3 3" xfId="38306" xr:uid="{00000000-0005-0000-0000-00002B170000}"/>
    <cellStyle name="Millares 2 5 3 2 2 2 3 4" xfId="17954" xr:uid="{00000000-0005-0000-0000-00002C170000}"/>
    <cellStyle name="Millares 2 5 3 2 2 2 3 4 2" xfId="45087" xr:uid="{00000000-0005-0000-0000-00002D170000}"/>
    <cellStyle name="Millares 2 5 3 2 2 2 3 5" xfId="31525" xr:uid="{00000000-0005-0000-0000-00002E170000}"/>
    <cellStyle name="Millares 2 5 3 2 2 2 4" xfId="7764" xr:uid="{00000000-0005-0000-0000-00002F170000}"/>
    <cellStyle name="Millares 2 5 3 2 2 2 4 2" xfId="14554" xr:uid="{00000000-0005-0000-0000-000030170000}"/>
    <cellStyle name="Millares 2 5 3 2 2 2 4 2 2" xfId="28122" xr:uid="{00000000-0005-0000-0000-000031170000}"/>
    <cellStyle name="Millares 2 5 3 2 2 2 4 2 2 2" xfId="55255" xr:uid="{00000000-0005-0000-0000-000032170000}"/>
    <cellStyle name="Millares 2 5 3 2 2 2 4 2 3" xfId="41693" xr:uid="{00000000-0005-0000-0000-000033170000}"/>
    <cellStyle name="Millares 2 5 3 2 2 2 4 3" xfId="21341" xr:uid="{00000000-0005-0000-0000-000034170000}"/>
    <cellStyle name="Millares 2 5 3 2 2 2 4 3 2" xfId="48474" xr:uid="{00000000-0005-0000-0000-000035170000}"/>
    <cellStyle name="Millares 2 5 3 2 2 2 4 4" xfId="34912" xr:uid="{00000000-0005-0000-0000-000036170000}"/>
    <cellStyle name="Millares 2 5 3 2 2 2 5" xfId="11165" xr:uid="{00000000-0005-0000-0000-000037170000}"/>
    <cellStyle name="Millares 2 5 3 2 2 2 5 2" xfId="24733" xr:uid="{00000000-0005-0000-0000-000038170000}"/>
    <cellStyle name="Millares 2 5 3 2 2 2 5 2 2" xfId="51866" xr:uid="{00000000-0005-0000-0000-000039170000}"/>
    <cellStyle name="Millares 2 5 3 2 2 2 5 3" xfId="38304" xr:uid="{00000000-0005-0000-0000-00003A170000}"/>
    <cellStyle name="Millares 2 5 3 2 2 2 6" xfId="17952" xr:uid="{00000000-0005-0000-0000-00003B170000}"/>
    <cellStyle name="Millares 2 5 3 2 2 2 6 2" xfId="45085" xr:uid="{00000000-0005-0000-0000-00003C170000}"/>
    <cellStyle name="Millares 2 5 3 2 2 2 7" xfId="31523" xr:uid="{00000000-0005-0000-0000-00003D170000}"/>
    <cellStyle name="Millares 2 5 3 2 2 3" xfId="4157" xr:uid="{00000000-0005-0000-0000-00003E170000}"/>
    <cellStyle name="Millares 2 5 3 2 2 3 2" xfId="4158" xr:uid="{00000000-0005-0000-0000-00003F170000}"/>
    <cellStyle name="Millares 2 5 3 2 2 3 2 2" xfId="7768" xr:uid="{00000000-0005-0000-0000-000040170000}"/>
    <cellStyle name="Millares 2 5 3 2 2 3 2 2 2" xfId="14558" xr:uid="{00000000-0005-0000-0000-000041170000}"/>
    <cellStyle name="Millares 2 5 3 2 2 3 2 2 2 2" xfId="28126" xr:uid="{00000000-0005-0000-0000-000042170000}"/>
    <cellStyle name="Millares 2 5 3 2 2 3 2 2 2 2 2" xfId="55259" xr:uid="{00000000-0005-0000-0000-000043170000}"/>
    <cellStyle name="Millares 2 5 3 2 2 3 2 2 2 3" xfId="41697" xr:uid="{00000000-0005-0000-0000-000044170000}"/>
    <cellStyle name="Millares 2 5 3 2 2 3 2 2 3" xfId="21345" xr:uid="{00000000-0005-0000-0000-000045170000}"/>
    <cellStyle name="Millares 2 5 3 2 2 3 2 2 3 2" xfId="48478" xr:uid="{00000000-0005-0000-0000-000046170000}"/>
    <cellStyle name="Millares 2 5 3 2 2 3 2 2 4" xfId="34916" xr:uid="{00000000-0005-0000-0000-000047170000}"/>
    <cellStyle name="Millares 2 5 3 2 2 3 2 3" xfId="11169" xr:uid="{00000000-0005-0000-0000-000048170000}"/>
    <cellStyle name="Millares 2 5 3 2 2 3 2 3 2" xfId="24737" xr:uid="{00000000-0005-0000-0000-000049170000}"/>
    <cellStyle name="Millares 2 5 3 2 2 3 2 3 2 2" xfId="51870" xr:uid="{00000000-0005-0000-0000-00004A170000}"/>
    <cellStyle name="Millares 2 5 3 2 2 3 2 3 3" xfId="38308" xr:uid="{00000000-0005-0000-0000-00004B170000}"/>
    <cellStyle name="Millares 2 5 3 2 2 3 2 4" xfId="17956" xr:uid="{00000000-0005-0000-0000-00004C170000}"/>
    <cellStyle name="Millares 2 5 3 2 2 3 2 4 2" xfId="45089" xr:uid="{00000000-0005-0000-0000-00004D170000}"/>
    <cellStyle name="Millares 2 5 3 2 2 3 2 5" xfId="31527" xr:uid="{00000000-0005-0000-0000-00004E170000}"/>
    <cellStyle name="Millares 2 5 3 2 2 3 3" xfId="7767" xr:uid="{00000000-0005-0000-0000-00004F170000}"/>
    <cellStyle name="Millares 2 5 3 2 2 3 3 2" xfId="14557" xr:uid="{00000000-0005-0000-0000-000050170000}"/>
    <cellStyle name="Millares 2 5 3 2 2 3 3 2 2" xfId="28125" xr:uid="{00000000-0005-0000-0000-000051170000}"/>
    <cellStyle name="Millares 2 5 3 2 2 3 3 2 2 2" xfId="55258" xr:uid="{00000000-0005-0000-0000-000052170000}"/>
    <cellStyle name="Millares 2 5 3 2 2 3 3 2 3" xfId="41696" xr:uid="{00000000-0005-0000-0000-000053170000}"/>
    <cellStyle name="Millares 2 5 3 2 2 3 3 3" xfId="21344" xr:uid="{00000000-0005-0000-0000-000054170000}"/>
    <cellStyle name="Millares 2 5 3 2 2 3 3 3 2" xfId="48477" xr:uid="{00000000-0005-0000-0000-000055170000}"/>
    <cellStyle name="Millares 2 5 3 2 2 3 3 4" xfId="34915" xr:uid="{00000000-0005-0000-0000-000056170000}"/>
    <cellStyle name="Millares 2 5 3 2 2 3 4" xfId="11168" xr:uid="{00000000-0005-0000-0000-000057170000}"/>
    <cellStyle name="Millares 2 5 3 2 2 3 4 2" xfId="24736" xr:uid="{00000000-0005-0000-0000-000058170000}"/>
    <cellStyle name="Millares 2 5 3 2 2 3 4 2 2" xfId="51869" xr:uid="{00000000-0005-0000-0000-000059170000}"/>
    <cellStyle name="Millares 2 5 3 2 2 3 4 3" xfId="38307" xr:uid="{00000000-0005-0000-0000-00005A170000}"/>
    <cellStyle name="Millares 2 5 3 2 2 3 5" xfId="17955" xr:uid="{00000000-0005-0000-0000-00005B170000}"/>
    <cellStyle name="Millares 2 5 3 2 2 3 5 2" xfId="45088" xr:uid="{00000000-0005-0000-0000-00005C170000}"/>
    <cellStyle name="Millares 2 5 3 2 2 3 6" xfId="31526" xr:uid="{00000000-0005-0000-0000-00005D170000}"/>
    <cellStyle name="Millares 2 5 3 2 2 4" xfId="4159" xr:uid="{00000000-0005-0000-0000-00005E170000}"/>
    <cellStyle name="Millares 2 5 3 2 2 4 2" xfId="7769" xr:uid="{00000000-0005-0000-0000-00005F170000}"/>
    <cellStyle name="Millares 2 5 3 2 2 4 2 2" xfId="14559" xr:uid="{00000000-0005-0000-0000-000060170000}"/>
    <cellStyle name="Millares 2 5 3 2 2 4 2 2 2" xfId="28127" xr:uid="{00000000-0005-0000-0000-000061170000}"/>
    <cellStyle name="Millares 2 5 3 2 2 4 2 2 2 2" xfId="55260" xr:uid="{00000000-0005-0000-0000-000062170000}"/>
    <cellStyle name="Millares 2 5 3 2 2 4 2 2 3" xfId="41698" xr:uid="{00000000-0005-0000-0000-000063170000}"/>
    <cellStyle name="Millares 2 5 3 2 2 4 2 3" xfId="21346" xr:uid="{00000000-0005-0000-0000-000064170000}"/>
    <cellStyle name="Millares 2 5 3 2 2 4 2 3 2" xfId="48479" xr:uid="{00000000-0005-0000-0000-000065170000}"/>
    <cellStyle name="Millares 2 5 3 2 2 4 2 4" xfId="34917" xr:uid="{00000000-0005-0000-0000-000066170000}"/>
    <cellStyle name="Millares 2 5 3 2 2 4 3" xfId="11170" xr:uid="{00000000-0005-0000-0000-000067170000}"/>
    <cellStyle name="Millares 2 5 3 2 2 4 3 2" xfId="24738" xr:uid="{00000000-0005-0000-0000-000068170000}"/>
    <cellStyle name="Millares 2 5 3 2 2 4 3 2 2" xfId="51871" xr:uid="{00000000-0005-0000-0000-000069170000}"/>
    <cellStyle name="Millares 2 5 3 2 2 4 3 3" xfId="38309" xr:uid="{00000000-0005-0000-0000-00006A170000}"/>
    <cellStyle name="Millares 2 5 3 2 2 4 4" xfId="17957" xr:uid="{00000000-0005-0000-0000-00006B170000}"/>
    <cellStyle name="Millares 2 5 3 2 2 4 4 2" xfId="45090" xr:uid="{00000000-0005-0000-0000-00006C170000}"/>
    <cellStyle name="Millares 2 5 3 2 2 4 5" xfId="31528" xr:uid="{00000000-0005-0000-0000-00006D170000}"/>
    <cellStyle name="Millares 2 5 3 2 2 5" xfId="4160" xr:uid="{00000000-0005-0000-0000-00006E170000}"/>
    <cellStyle name="Millares 2 5 3 2 2 5 2" xfId="7770" xr:uid="{00000000-0005-0000-0000-00006F170000}"/>
    <cellStyle name="Millares 2 5 3 2 2 5 2 2" xfId="14560" xr:uid="{00000000-0005-0000-0000-000070170000}"/>
    <cellStyle name="Millares 2 5 3 2 2 5 2 2 2" xfId="28128" xr:uid="{00000000-0005-0000-0000-000071170000}"/>
    <cellStyle name="Millares 2 5 3 2 2 5 2 2 2 2" xfId="55261" xr:uid="{00000000-0005-0000-0000-000072170000}"/>
    <cellStyle name="Millares 2 5 3 2 2 5 2 2 3" xfId="41699" xr:uid="{00000000-0005-0000-0000-000073170000}"/>
    <cellStyle name="Millares 2 5 3 2 2 5 2 3" xfId="21347" xr:uid="{00000000-0005-0000-0000-000074170000}"/>
    <cellStyle name="Millares 2 5 3 2 2 5 2 3 2" xfId="48480" xr:uid="{00000000-0005-0000-0000-000075170000}"/>
    <cellStyle name="Millares 2 5 3 2 2 5 2 4" xfId="34918" xr:uid="{00000000-0005-0000-0000-000076170000}"/>
    <cellStyle name="Millares 2 5 3 2 2 5 3" xfId="11171" xr:uid="{00000000-0005-0000-0000-000077170000}"/>
    <cellStyle name="Millares 2 5 3 2 2 5 3 2" xfId="24739" xr:uid="{00000000-0005-0000-0000-000078170000}"/>
    <cellStyle name="Millares 2 5 3 2 2 5 3 2 2" xfId="51872" xr:uid="{00000000-0005-0000-0000-000079170000}"/>
    <cellStyle name="Millares 2 5 3 2 2 5 3 3" xfId="38310" xr:uid="{00000000-0005-0000-0000-00007A170000}"/>
    <cellStyle name="Millares 2 5 3 2 2 5 4" xfId="17958" xr:uid="{00000000-0005-0000-0000-00007B170000}"/>
    <cellStyle name="Millares 2 5 3 2 2 5 4 2" xfId="45091" xr:uid="{00000000-0005-0000-0000-00007C170000}"/>
    <cellStyle name="Millares 2 5 3 2 2 5 5" xfId="31529" xr:uid="{00000000-0005-0000-0000-00007D170000}"/>
    <cellStyle name="Millares 2 5 3 2 2 6" xfId="7763" xr:uid="{00000000-0005-0000-0000-00007E170000}"/>
    <cellStyle name="Millares 2 5 3 2 2 6 2" xfId="14553" xr:uid="{00000000-0005-0000-0000-00007F170000}"/>
    <cellStyle name="Millares 2 5 3 2 2 6 2 2" xfId="28121" xr:uid="{00000000-0005-0000-0000-000080170000}"/>
    <cellStyle name="Millares 2 5 3 2 2 6 2 2 2" xfId="55254" xr:uid="{00000000-0005-0000-0000-000081170000}"/>
    <cellStyle name="Millares 2 5 3 2 2 6 2 3" xfId="41692" xr:uid="{00000000-0005-0000-0000-000082170000}"/>
    <cellStyle name="Millares 2 5 3 2 2 6 3" xfId="21340" xr:uid="{00000000-0005-0000-0000-000083170000}"/>
    <cellStyle name="Millares 2 5 3 2 2 6 3 2" xfId="48473" xr:uid="{00000000-0005-0000-0000-000084170000}"/>
    <cellStyle name="Millares 2 5 3 2 2 6 4" xfId="34911" xr:uid="{00000000-0005-0000-0000-000085170000}"/>
    <cellStyle name="Millares 2 5 3 2 2 7" xfId="11164" xr:uid="{00000000-0005-0000-0000-000086170000}"/>
    <cellStyle name="Millares 2 5 3 2 2 7 2" xfId="24732" xr:uid="{00000000-0005-0000-0000-000087170000}"/>
    <cellStyle name="Millares 2 5 3 2 2 7 2 2" xfId="51865" xr:uid="{00000000-0005-0000-0000-000088170000}"/>
    <cellStyle name="Millares 2 5 3 2 2 7 3" xfId="38303" xr:uid="{00000000-0005-0000-0000-000089170000}"/>
    <cellStyle name="Millares 2 5 3 2 2 8" xfId="17951" xr:uid="{00000000-0005-0000-0000-00008A170000}"/>
    <cellStyle name="Millares 2 5 3 2 2 8 2" xfId="45084" xr:uid="{00000000-0005-0000-0000-00008B170000}"/>
    <cellStyle name="Millares 2 5 3 2 2 9" xfId="31522" xr:uid="{00000000-0005-0000-0000-00008C170000}"/>
    <cellStyle name="Millares 2 5 3 2 3" xfId="4161" xr:uid="{00000000-0005-0000-0000-00008D170000}"/>
    <cellStyle name="Millares 2 5 3 2 3 2" xfId="4162" xr:uid="{00000000-0005-0000-0000-00008E170000}"/>
    <cellStyle name="Millares 2 5 3 2 3 2 2" xfId="7772" xr:uid="{00000000-0005-0000-0000-00008F170000}"/>
    <cellStyle name="Millares 2 5 3 2 3 2 2 2" xfId="14562" xr:uid="{00000000-0005-0000-0000-000090170000}"/>
    <cellStyle name="Millares 2 5 3 2 3 2 2 2 2" xfId="28130" xr:uid="{00000000-0005-0000-0000-000091170000}"/>
    <cellStyle name="Millares 2 5 3 2 3 2 2 2 2 2" xfId="55263" xr:uid="{00000000-0005-0000-0000-000092170000}"/>
    <cellStyle name="Millares 2 5 3 2 3 2 2 2 3" xfId="41701" xr:uid="{00000000-0005-0000-0000-000093170000}"/>
    <cellStyle name="Millares 2 5 3 2 3 2 2 3" xfId="21349" xr:uid="{00000000-0005-0000-0000-000094170000}"/>
    <cellStyle name="Millares 2 5 3 2 3 2 2 3 2" xfId="48482" xr:uid="{00000000-0005-0000-0000-000095170000}"/>
    <cellStyle name="Millares 2 5 3 2 3 2 2 4" xfId="34920" xr:uid="{00000000-0005-0000-0000-000096170000}"/>
    <cellStyle name="Millares 2 5 3 2 3 2 3" xfId="11173" xr:uid="{00000000-0005-0000-0000-000097170000}"/>
    <cellStyle name="Millares 2 5 3 2 3 2 3 2" xfId="24741" xr:uid="{00000000-0005-0000-0000-000098170000}"/>
    <cellStyle name="Millares 2 5 3 2 3 2 3 2 2" xfId="51874" xr:uid="{00000000-0005-0000-0000-000099170000}"/>
    <cellStyle name="Millares 2 5 3 2 3 2 3 3" xfId="38312" xr:uid="{00000000-0005-0000-0000-00009A170000}"/>
    <cellStyle name="Millares 2 5 3 2 3 2 4" xfId="17960" xr:uid="{00000000-0005-0000-0000-00009B170000}"/>
    <cellStyle name="Millares 2 5 3 2 3 2 4 2" xfId="45093" xr:uid="{00000000-0005-0000-0000-00009C170000}"/>
    <cellStyle name="Millares 2 5 3 2 3 2 5" xfId="31531" xr:uid="{00000000-0005-0000-0000-00009D170000}"/>
    <cellStyle name="Millares 2 5 3 2 3 3" xfId="4163" xr:uid="{00000000-0005-0000-0000-00009E170000}"/>
    <cellStyle name="Millares 2 5 3 2 3 3 2" xfId="7773" xr:uid="{00000000-0005-0000-0000-00009F170000}"/>
    <cellStyle name="Millares 2 5 3 2 3 3 2 2" xfId="14563" xr:uid="{00000000-0005-0000-0000-0000A0170000}"/>
    <cellStyle name="Millares 2 5 3 2 3 3 2 2 2" xfId="28131" xr:uid="{00000000-0005-0000-0000-0000A1170000}"/>
    <cellStyle name="Millares 2 5 3 2 3 3 2 2 2 2" xfId="55264" xr:uid="{00000000-0005-0000-0000-0000A2170000}"/>
    <cellStyle name="Millares 2 5 3 2 3 3 2 2 3" xfId="41702" xr:uid="{00000000-0005-0000-0000-0000A3170000}"/>
    <cellStyle name="Millares 2 5 3 2 3 3 2 3" xfId="21350" xr:uid="{00000000-0005-0000-0000-0000A4170000}"/>
    <cellStyle name="Millares 2 5 3 2 3 3 2 3 2" xfId="48483" xr:uid="{00000000-0005-0000-0000-0000A5170000}"/>
    <cellStyle name="Millares 2 5 3 2 3 3 2 4" xfId="34921" xr:uid="{00000000-0005-0000-0000-0000A6170000}"/>
    <cellStyle name="Millares 2 5 3 2 3 3 3" xfId="11174" xr:uid="{00000000-0005-0000-0000-0000A7170000}"/>
    <cellStyle name="Millares 2 5 3 2 3 3 3 2" xfId="24742" xr:uid="{00000000-0005-0000-0000-0000A8170000}"/>
    <cellStyle name="Millares 2 5 3 2 3 3 3 2 2" xfId="51875" xr:uid="{00000000-0005-0000-0000-0000A9170000}"/>
    <cellStyle name="Millares 2 5 3 2 3 3 3 3" xfId="38313" xr:uid="{00000000-0005-0000-0000-0000AA170000}"/>
    <cellStyle name="Millares 2 5 3 2 3 3 4" xfId="17961" xr:uid="{00000000-0005-0000-0000-0000AB170000}"/>
    <cellStyle name="Millares 2 5 3 2 3 3 4 2" xfId="45094" xr:uid="{00000000-0005-0000-0000-0000AC170000}"/>
    <cellStyle name="Millares 2 5 3 2 3 3 5" xfId="31532" xr:uid="{00000000-0005-0000-0000-0000AD170000}"/>
    <cellStyle name="Millares 2 5 3 2 3 4" xfId="7771" xr:uid="{00000000-0005-0000-0000-0000AE170000}"/>
    <cellStyle name="Millares 2 5 3 2 3 4 2" xfId="14561" xr:uid="{00000000-0005-0000-0000-0000AF170000}"/>
    <cellStyle name="Millares 2 5 3 2 3 4 2 2" xfId="28129" xr:uid="{00000000-0005-0000-0000-0000B0170000}"/>
    <cellStyle name="Millares 2 5 3 2 3 4 2 2 2" xfId="55262" xr:uid="{00000000-0005-0000-0000-0000B1170000}"/>
    <cellStyle name="Millares 2 5 3 2 3 4 2 3" xfId="41700" xr:uid="{00000000-0005-0000-0000-0000B2170000}"/>
    <cellStyle name="Millares 2 5 3 2 3 4 3" xfId="21348" xr:uid="{00000000-0005-0000-0000-0000B3170000}"/>
    <cellStyle name="Millares 2 5 3 2 3 4 3 2" xfId="48481" xr:uid="{00000000-0005-0000-0000-0000B4170000}"/>
    <cellStyle name="Millares 2 5 3 2 3 4 4" xfId="34919" xr:uid="{00000000-0005-0000-0000-0000B5170000}"/>
    <cellStyle name="Millares 2 5 3 2 3 5" xfId="11172" xr:uid="{00000000-0005-0000-0000-0000B6170000}"/>
    <cellStyle name="Millares 2 5 3 2 3 5 2" xfId="24740" xr:uid="{00000000-0005-0000-0000-0000B7170000}"/>
    <cellStyle name="Millares 2 5 3 2 3 5 2 2" xfId="51873" xr:uid="{00000000-0005-0000-0000-0000B8170000}"/>
    <cellStyle name="Millares 2 5 3 2 3 5 3" xfId="38311" xr:uid="{00000000-0005-0000-0000-0000B9170000}"/>
    <cellStyle name="Millares 2 5 3 2 3 6" xfId="17959" xr:uid="{00000000-0005-0000-0000-0000BA170000}"/>
    <cellStyle name="Millares 2 5 3 2 3 6 2" xfId="45092" xr:uid="{00000000-0005-0000-0000-0000BB170000}"/>
    <cellStyle name="Millares 2 5 3 2 3 7" xfId="31530" xr:uid="{00000000-0005-0000-0000-0000BC170000}"/>
    <cellStyle name="Millares 2 5 3 2 4" xfId="4164" xr:uid="{00000000-0005-0000-0000-0000BD170000}"/>
    <cellStyle name="Millares 2 5 3 2 4 2" xfId="4165" xr:uid="{00000000-0005-0000-0000-0000BE170000}"/>
    <cellStyle name="Millares 2 5 3 2 4 2 2" xfId="7775" xr:uid="{00000000-0005-0000-0000-0000BF170000}"/>
    <cellStyle name="Millares 2 5 3 2 4 2 2 2" xfId="14565" xr:uid="{00000000-0005-0000-0000-0000C0170000}"/>
    <cellStyle name="Millares 2 5 3 2 4 2 2 2 2" xfId="28133" xr:uid="{00000000-0005-0000-0000-0000C1170000}"/>
    <cellStyle name="Millares 2 5 3 2 4 2 2 2 2 2" xfId="55266" xr:uid="{00000000-0005-0000-0000-0000C2170000}"/>
    <cellStyle name="Millares 2 5 3 2 4 2 2 2 3" xfId="41704" xr:uid="{00000000-0005-0000-0000-0000C3170000}"/>
    <cellStyle name="Millares 2 5 3 2 4 2 2 3" xfId="21352" xr:uid="{00000000-0005-0000-0000-0000C4170000}"/>
    <cellStyle name="Millares 2 5 3 2 4 2 2 3 2" xfId="48485" xr:uid="{00000000-0005-0000-0000-0000C5170000}"/>
    <cellStyle name="Millares 2 5 3 2 4 2 2 4" xfId="34923" xr:uid="{00000000-0005-0000-0000-0000C6170000}"/>
    <cellStyle name="Millares 2 5 3 2 4 2 3" xfId="11176" xr:uid="{00000000-0005-0000-0000-0000C7170000}"/>
    <cellStyle name="Millares 2 5 3 2 4 2 3 2" xfId="24744" xr:uid="{00000000-0005-0000-0000-0000C8170000}"/>
    <cellStyle name="Millares 2 5 3 2 4 2 3 2 2" xfId="51877" xr:uid="{00000000-0005-0000-0000-0000C9170000}"/>
    <cellStyle name="Millares 2 5 3 2 4 2 3 3" xfId="38315" xr:uid="{00000000-0005-0000-0000-0000CA170000}"/>
    <cellStyle name="Millares 2 5 3 2 4 2 4" xfId="17963" xr:uid="{00000000-0005-0000-0000-0000CB170000}"/>
    <cellStyle name="Millares 2 5 3 2 4 2 4 2" xfId="45096" xr:uid="{00000000-0005-0000-0000-0000CC170000}"/>
    <cellStyle name="Millares 2 5 3 2 4 2 5" xfId="31534" xr:uid="{00000000-0005-0000-0000-0000CD170000}"/>
    <cellStyle name="Millares 2 5 3 2 4 3" xfId="7774" xr:uid="{00000000-0005-0000-0000-0000CE170000}"/>
    <cellStyle name="Millares 2 5 3 2 4 3 2" xfId="14564" xr:uid="{00000000-0005-0000-0000-0000CF170000}"/>
    <cellStyle name="Millares 2 5 3 2 4 3 2 2" xfId="28132" xr:uid="{00000000-0005-0000-0000-0000D0170000}"/>
    <cellStyle name="Millares 2 5 3 2 4 3 2 2 2" xfId="55265" xr:uid="{00000000-0005-0000-0000-0000D1170000}"/>
    <cellStyle name="Millares 2 5 3 2 4 3 2 3" xfId="41703" xr:uid="{00000000-0005-0000-0000-0000D2170000}"/>
    <cellStyle name="Millares 2 5 3 2 4 3 3" xfId="21351" xr:uid="{00000000-0005-0000-0000-0000D3170000}"/>
    <cellStyle name="Millares 2 5 3 2 4 3 3 2" xfId="48484" xr:uid="{00000000-0005-0000-0000-0000D4170000}"/>
    <cellStyle name="Millares 2 5 3 2 4 3 4" xfId="34922" xr:uid="{00000000-0005-0000-0000-0000D5170000}"/>
    <cellStyle name="Millares 2 5 3 2 4 4" xfId="11175" xr:uid="{00000000-0005-0000-0000-0000D6170000}"/>
    <cellStyle name="Millares 2 5 3 2 4 4 2" xfId="24743" xr:uid="{00000000-0005-0000-0000-0000D7170000}"/>
    <cellStyle name="Millares 2 5 3 2 4 4 2 2" xfId="51876" xr:uid="{00000000-0005-0000-0000-0000D8170000}"/>
    <cellStyle name="Millares 2 5 3 2 4 4 3" xfId="38314" xr:uid="{00000000-0005-0000-0000-0000D9170000}"/>
    <cellStyle name="Millares 2 5 3 2 4 5" xfId="17962" xr:uid="{00000000-0005-0000-0000-0000DA170000}"/>
    <cellStyle name="Millares 2 5 3 2 4 5 2" xfId="45095" xr:uid="{00000000-0005-0000-0000-0000DB170000}"/>
    <cellStyle name="Millares 2 5 3 2 4 6" xfId="31533" xr:uid="{00000000-0005-0000-0000-0000DC170000}"/>
    <cellStyle name="Millares 2 5 3 2 5" xfId="4166" xr:uid="{00000000-0005-0000-0000-0000DD170000}"/>
    <cellStyle name="Millares 2 5 3 2 5 2" xfId="7776" xr:uid="{00000000-0005-0000-0000-0000DE170000}"/>
    <cellStyle name="Millares 2 5 3 2 5 2 2" xfId="14566" xr:uid="{00000000-0005-0000-0000-0000DF170000}"/>
    <cellStyle name="Millares 2 5 3 2 5 2 2 2" xfId="28134" xr:uid="{00000000-0005-0000-0000-0000E0170000}"/>
    <cellStyle name="Millares 2 5 3 2 5 2 2 2 2" xfId="55267" xr:uid="{00000000-0005-0000-0000-0000E1170000}"/>
    <cellStyle name="Millares 2 5 3 2 5 2 2 3" xfId="41705" xr:uid="{00000000-0005-0000-0000-0000E2170000}"/>
    <cellStyle name="Millares 2 5 3 2 5 2 3" xfId="21353" xr:uid="{00000000-0005-0000-0000-0000E3170000}"/>
    <cellStyle name="Millares 2 5 3 2 5 2 3 2" xfId="48486" xr:uid="{00000000-0005-0000-0000-0000E4170000}"/>
    <cellStyle name="Millares 2 5 3 2 5 2 4" xfId="34924" xr:uid="{00000000-0005-0000-0000-0000E5170000}"/>
    <cellStyle name="Millares 2 5 3 2 5 3" xfId="11177" xr:uid="{00000000-0005-0000-0000-0000E6170000}"/>
    <cellStyle name="Millares 2 5 3 2 5 3 2" xfId="24745" xr:uid="{00000000-0005-0000-0000-0000E7170000}"/>
    <cellStyle name="Millares 2 5 3 2 5 3 2 2" xfId="51878" xr:uid="{00000000-0005-0000-0000-0000E8170000}"/>
    <cellStyle name="Millares 2 5 3 2 5 3 3" xfId="38316" xr:uid="{00000000-0005-0000-0000-0000E9170000}"/>
    <cellStyle name="Millares 2 5 3 2 5 4" xfId="17964" xr:uid="{00000000-0005-0000-0000-0000EA170000}"/>
    <cellStyle name="Millares 2 5 3 2 5 4 2" xfId="45097" xr:uid="{00000000-0005-0000-0000-0000EB170000}"/>
    <cellStyle name="Millares 2 5 3 2 5 5" xfId="31535" xr:uid="{00000000-0005-0000-0000-0000EC170000}"/>
    <cellStyle name="Millares 2 5 3 2 6" xfId="4167" xr:uid="{00000000-0005-0000-0000-0000ED170000}"/>
    <cellStyle name="Millares 2 5 3 2 6 2" xfId="7777" xr:uid="{00000000-0005-0000-0000-0000EE170000}"/>
    <cellStyle name="Millares 2 5 3 2 6 2 2" xfId="14567" xr:uid="{00000000-0005-0000-0000-0000EF170000}"/>
    <cellStyle name="Millares 2 5 3 2 6 2 2 2" xfId="28135" xr:uid="{00000000-0005-0000-0000-0000F0170000}"/>
    <cellStyle name="Millares 2 5 3 2 6 2 2 2 2" xfId="55268" xr:uid="{00000000-0005-0000-0000-0000F1170000}"/>
    <cellStyle name="Millares 2 5 3 2 6 2 2 3" xfId="41706" xr:uid="{00000000-0005-0000-0000-0000F2170000}"/>
    <cellStyle name="Millares 2 5 3 2 6 2 3" xfId="21354" xr:uid="{00000000-0005-0000-0000-0000F3170000}"/>
    <cellStyle name="Millares 2 5 3 2 6 2 3 2" xfId="48487" xr:uid="{00000000-0005-0000-0000-0000F4170000}"/>
    <cellStyle name="Millares 2 5 3 2 6 2 4" xfId="34925" xr:uid="{00000000-0005-0000-0000-0000F5170000}"/>
    <cellStyle name="Millares 2 5 3 2 6 3" xfId="11178" xr:uid="{00000000-0005-0000-0000-0000F6170000}"/>
    <cellStyle name="Millares 2 5 3 2 6 3 2" xfId="24746" xr:uid="{00000000-0005-0000-0000-0000F7170000}"/>
    <cellStyle name="Millares 2 5 3 2 6 3 2 2" xfId="51879" xr:uid="{00000000-0005-0000-0000-0000F8170000}"/>
    <cellStyle name="Millares 2 5 3 2 6 3 3" xfId="38317" xr:uid="{00000000-0005-0000-0000-0000F9170000}"/>
    <cellStyle name="Millares 2 5 3 2 6 4" xfId="17965" xr:uid="{00000000-0005-0000-0000-0000FA170000}"/>
    <cellStyle name="Millares 2 5 3 2 6 4 2" xfId="45098" xr:uid="{00000000-0005-0000-0000-0000FB170000}"/>
    <cellStyle name="Millares 2 5 3 2 6 5" xfId="31536" xr:uid="{00000000-0005-0000-0000-0000FC170000}"/>
    <cellStyle name="Millares 2 5 3 2 7" xfId="7762" xr:uid="{00000000-0005-0000-0000-0000FD170000}"/>
    <cellStyle name="Millares 2 5 3 2 7 2" xfId="14552" xr:uid="{00000000-0005-0000-0000-0000FE170000}"/>
    <cellStyle name="Millares 2 5 3 2 7 2 2" xfId="28120" xr:uid="{00000000-0005-0000-0000-0000FF170000}"/>
    <cellStyle name="Millares 2 5 3 2 7 2 2 2" xfId="55253" xr:uid="{00000000-0005-0000-0000-000000180000}"/>
    <cellStyle name="Millares 2 5 3 2 7 2 3" xfId="41691" xr:uid="{00000000-0005-0000-0000-000001180000}"/>
    <cellStyle name="Millares 2 5 3 2 7 3" xfId="21339" xr:uid="{00000000-0005-0000-0000-000002180000}"/>
    <cellStyle name="Millares 2 5 3 2 7 3 2" xfId="48472" xr:uid="{00000000-0005-0000-0000-000003180000}"/>
    <cellStyle name="Millares 2 5 3 2 7 4" xfId="34910" xr:uid="{00000000-0005-0000-0000-000004180000}"/>
    <cellStyle name="Millares 2 5 3 2 8" xfId="11163" xr:uid="{00000000-0005-0000-0000-000005180000}"/>
    <cellStyle name="Millares 2 5 3 2 8 2" xfId="24731" xr:uid="{00000000-0005-0000-0000-000006180000}"/>
    <cellStyle name="Millares 2 5 3 2 8 2 2" xfId="51864" xr:uid="{00000000-0005-0000-0000-000007180000}"/>
    <cellStyle name="Millares 2 5 3 2 8 3" xfId="38302" xr:uid="{00000000-0005-0000-0000-000008180000}"/>
    <cellStyle name="Millares 2 5 3 2 9" xfId="17950" xr:uid="{00000000-0005-0000-0000-000009180000}"/>
    <cellStyle name="Millares 2 5 3 2 9 2" xfId="45083" xr:uid="{00000000-0005-0000-0000-00000A180000}"/>
    <cellStyle name="Millares 2 5 3 3" xfId="4168" xr:uid="{00000000-0005-0000-0000-00000B180000}"/>
    <cellStyle name="Millares 2 5 3 3 2" xfId="4169" xr:uid="{00000000-0005-0000-0000-00000C180000}"/>
    <cellStyle name="Millares 2 5 3 3 2 2" xfId="4170" xr:uid="{00000000-0005-0000-0000-00000D180000}"/>
    <cellStyle name="Millares 2 5 3 3 2 2 2" xfId="7780" xr:uid="{00000000-0005-0000-0000-00000E180000}"/>
    <cellStyle name="Millares 2 5 3 3 2 2 2 2" xfId="14570" xr:uid="{00000000-0005-0000-0000-00000F180000}"/>
    <cellStyle name="Millares 2 5 3 3 2 2 2 2 2" xfId="28138" xr:uid="{00000000-0005-0000-0000-000010180000}"/>
    <cellStyle name="Millares 2 5 3 3 2 2 2 2 2 2" xfId="55271" xr:uid="{00000000-0005-0000-0000-000011180000}"/>
    <cellStyle name="Millares 2 5 3 3 2 2 2 2 3" xfId="41709" xr:uid="{00000000-0005-0000-0000-000012180000}"/>
    <cellStyle name="Millares 2 5 3 3 2 2 2 3" xfId="21357" xr:uid="{00000000-0005-0000-0000-000013180000}"/>
    <cellStyle name="Millares 2 5 3 3 2 2 2 3 2" xfId="48490" xr:uid="{00000000-0005-0000-0000-000014180000}"/>
    <cellStyle name="Millares 2 5 3 3 2 2 2 4" xfId="34928" xr:uid="{00000000-0005-0000-0000-000015180000}"/>
    <cellStyle name="Millares 2 5 3 3 2 2 3" xfId="11181" xr:uid="{00000000-0005-0000-0000-000016180000}"/>
    <cellStyle name="Millares 2 5 3 3 2 2 3 2" xfId="24749" xr:uid="{00000000-0005-0000-0000-000017180000}"/>
    <cellStyle name="Millares 2 5 3 3 2 2 3 2 2" xfId="51882" xr:uid="{00000000-0005-0000-0000-000018180000}"/>
    <cellStyle name="Millares 2 5 3 3 2 2 3 3" xfId="38320" xr:uid="{00000000-0005-0000-0000-000019180000}"/>
    <cellStyle name="Millares 2 5 3 3 2 2 4" xfId="17968" xr:uid="{00000000-0005-0000-0000-00001A180000}"/>
    <cellStyle name="Millares 2 5 3 3 2 2 4 2" xfId="45101" xr:uid="{00000000-0005-0000-0000-00001B180000}"/>
    <cellStyle name="Millares 2 5 3 3 2 2 5" xfId="31539" xr:uid="{00000000-0005-0000-0000-00001C180000}"/>
    <cellStyle name="Millares 2 5 3 3 2 3" xfId="4171" xr:uid="{00000000-0005-0000-0000-00001D180000}"/>
    <cellStyle name="Millares 2 5 3 3 2 3 2" xfId="7781" xr:uid="{00000000-0005-0000-0000-00001E180000}"/>
    <cellStyle name="Millares 2 5 3 3 2 3 2 2" xfId="14571" xr:uid="{00000000-0005-0000-0000-00001F180000}"/>
    <cellStyle name="Millares 2 5 3 3 2 3 2 2 2" xfId="28139" xr:uid="{00000000-0005-0000-0000-000020180000}"/>
    <cellStyle name="Millares 2 5 3 3 2 3 2 2 2 2" xfId="55272" xr:uid="{00000000-0005-0000-0000-000021180000}"/>
    <cellStyle name="Millares 2 5 3 3 2 3 2 2 3" xfId="41710" xr:uid="{00000000-0005-0000-0000-000022180000}"/>
    <cellStyle name="Millares 2 5 3 3 2 3 2 3" xfId="21358" xr:uid="{00000000-0005-0000-0000-000023180000}"/>
    <cellStyle name="Millares 2 5 3 3 2 3 2 3 2" xfId="48491" xr:uid="{00000000-0005-0000-0000-000024180000}"/>
    <cellStyle name="Millares 2 5 3 3 2 3 2 4" xfId="34929" xr:uid="{00000000-0005-0000-0000-000025180000}"/>
    <cellStyle name="Millares 2 5 3 3 2 3 3" xfId="11182" xr:uid="{00000000-0005-0000-0000-000026180000}"/>
    <cellStyle name="Millares 2 5 3 3 2 3 3 2" xfId="24750" xr:uid="{00000000-0005-0000-0000-000027180000}"/>
    <cellStyle name="Millares 2 5 3 3 2 3 3 2 2" xfId="51883" xr:uid="{00000000-0005-0000-0000-000028180000}"/>
    <cellStyle name="Millares 2 5 3 3 2 3 3 3" xfId="38321" xr:uid="{00000000-0005-0000-0000-000029180000}"/>
    <cellStyle name="Millares 2 5 3 3 2 3 4" xfId="17969" xr:uid="{00000000-0005-0000-0000-00002A180000}"/>
    <cellStyle name="Millares 2 5 3 3 2 3 4 2" xfId="45102" xr:uid="{00000000-0005-0000-0000-00002B180000}"/>
    <cellStyle name="Millares 2 5 3 3 2 3 5" xfId="31540" xr:uid="{00000000-0005-0000-0000-00002C180000}"/>
    <cellStyle name="Millares 2 5 3 3 2 4" xfId="7779" xr:uid="{00000000-0005-0000-0000-00002D180000}"/>
    <cellStyle name="Millares 2 5 3 3 2 4 2" xfId="14569" xr:uid="{00000000-0005-0000-0000-00002E180000}"/>
    <cellStyle name="Millares 2 5 3 3 2 4 2 2" xfId="28137" xr:uid="{00000000-0005-0000-0000-00002F180000}"/>
    <cellStyle name="Millares 2 5 3 3 2 4 2 2 2" xfId="55270" xr:uid="{00000000-0005-0000-0000-000030180000}"/>
    <cellStyle name="Millares 2 5 3 3 2 4 2 3" xfId="41708" xr:uid="{00000000-0005-0000-0000-000031180000}"/>
    <cellStyle name="Millares 2 5 3 3 2 4 3" xfId="21356" xr:uid="{00000000-0005-0000-0000-000032180000}"/>
    <cellStyle name="Millares 2 5 3 3 2 4 3 2" xfId="48489" xr:uid="{00000000-0005-0000-0000-000033180000}"/>
    <cellStyle name="Millares 2 5 3 3 2 4 4" xfId="34927" xr:uid="{00000000-0005-0000-0000-000034180000}"/>
    <cellStyle name="Millares 2 5 3 3 2 5" xfId="11180" xr:uid="{00000000-0005-0000-0000-000035180000}"/>
    <cellStyle name="Millares 2 5 3 3 2 5 2" xfId="24748" xr:uid="{00000000-0005-0000-0000-000036180000}"/>
    <cellStyle name="Millares 2 5 3 3 2 5 2 2" xfId="51881" xr:uid="{00000000-0005-0000-0000-000037180000}"/>
    <cellStyle name="Millares 2 5 3 3 2 5 3" xfId="38319" xr:uid="{00000000-0005-0000-0000-000038180000}"/>
    <cellStyle name="Millares 2 5 3 3 2 6" xfId="17967" xr:uid="{00000000-0005-0000-0000-000039180000}"/>
    <cellStyle name="Millares 2 5 3 3 2 6 2" xfId="45100" xr:uid="{00000000-0005-0000-0000-00003A180000}"/>
    <cellStyle name="Millares 2 5 3 3 2 7" xfId="31538" xr:uid="{00000000-0005-0000-0000-00003B180000}"/>
    <cellStyle name="Millares 2 5 3 3 3" xfId="4172" xr:uid="{00000000-0005-0000-0000-00003C180000}"/>
    <cellStyle name="Millares 2 5 3 3 3 2" xfId="4173" xr:uid="{00000000-0005-0000-0000-00003D180000}"/>
    <cellStyle name="Millares 2 5 3 3 3 2 2" xfId="7783" xr:uid="{00000000-0005-0000-0000-00003E180000}"/>
    <cellStyle name="Millares 2 5 3 3 3 2 2 2" xfId="14573" xr:uid="{00000000-0005-0000-0000-00003F180000}"/>
    <cellStyle name="Millares 2 5 3 3 3 2 2 2 2" xfId="28141" xr:uid="{00000000-0005-0000-0000-000040180000}"/>
    <cellStyle name="Millares 2 5 3 3 3 2 2 2 2 2" xfId="55274" xr:uid="{00000000-0005-0000-0000-000041180000}"/>
    <cellStyle name="Millares 2 5 3 3 3 2 2 2 3" xfId="41712" xr:uid="{00000000-0005-0000-0000-000042180000}"/>
    <cellStyle name="Millares 2 5 3 3 3 2 2 3" xfId="21360" xr:uid="{00000000-0005-0000-0000-000043180000}"/>
    <cellStyle name="Millares 2 5 3 3 3 2 2 3 2" xfId="48493" xr:uid="{00000000-0005-0000-0000-000044180000}"/>
    <cellStyle name="Millares 2 5 3 3 3 2 2 4" xfId="34931" xr:uid="{00000000-0005-0000-0000-000045180000}"/>
    <cellStyle name="Millares 2 5 3 3 3 2 3" xfId="11184" xr:uid="{00000000-0005-0000-0000-000046180000}"/>
    <cellStyle name="Millares 2 5 3 3 3 2 3 2" xfId="24752" xr:uid="{00000000-0005-0000-0000-000047180000}"/>
    <cellStyle name="Millares 2 5 3 3 3 2 3 2 2" xfId="51885" xr:uid="{00000000-0005-0000-0000-000048180000}"/>
    <cellStyle name="Millares 2 5 3 3 3 2 3 3" xfId="38323" xr:uid="{00000000-0005-0000-0000-000049180000}"/>
    <cellStyle name="Millares 2 5 3 3 3 2 4" xfId="17971" xr:uid="{00000000-0005-0000-0000-00004A180000}"/>
    <cellStyle name="Millares 2 5 3 3 3 2 4 2" xfId="45104" xr:uid="{00000000-0005-0000-0000-00004B180000}"/>
    <cellStyle name="Millares 2 5 3 3 3 2 5" xfId="31542" xr:uid="{00000000-0005-0000-0000-00004C180000}"/>
    <cellStyle name="Millares 2 5 3 3 3 3" xfId="7782" xr:uid="{00000000-0005-0000-0000-00004D180000}"/>
    <cellStyle name="Millares 2 5 3 3 3 3 2" xfId="14572" xr:uid="{00000000-0005-0000-0000-00004E180000}"/>
    <cellStyle name="Millares 2 5 3 3 3 3 2 2" xfId="28140" xr:uid="{00000000-0005-0000-0000-00004F180000}"/>
    <cellStyle name="Millares 2 5 3 3 3 3 2 2 2" xfId="55273" xr:uid="{00000000-0005-0000-0000-000050180000}"/>
    <cellStyle name="Millares 2 5 3 3 3 3 2 3" xfId="41711" xr:uid="{00000000-0005-0000-0000-000051180000}"/>
    <cellStyle name="Millares 2 5 3 3 3 3 3" xfId="21359" xr:uid="{00000000-0005-0000-0000-000052180000}"/>
    <cellStyle name="Millares 2 5 3 3 3 3 3 2" xfId="48492" xr:uid="{00000000-0005-0000-0000-000053180000}"/>
    <cellStyle name="Millares 2 5 3 3 3 3 4" xfId="34930" xr:uid="{00000000-0005-0000-0000-000054180000}"/>
    <cellStyle name="Millares 2 5 3 3 3 4" xfId="11183" xr:uid="{00000000-0005-0000-0000-000055180000}"/>
    <cellStyle name="Millares 2 5 3 3 3 4 2" xfId="24751" xr:uid="{00000000-0005-0000-0000-000056180000}"/>
    <cellStyle name="Millares 2 5 3 3 3 4 2 2" xfId="51884" xr:uid="{00000000-0005-0000-0000-000057180000}"/>
    <cellStyle name="Millares 2 5 3 3 3 4 3" xfId="38322" xr:uid="{00000000-0005-0000-0000-000058180000}"/>
    <cellStyle name="Millares 2 5 3 3 3 5" xfId="17970" xr:uid="{00000000-0005-0000-0000-000059180000}"/>
    <cellStyle name="Millares 2 5 3 3 3 5 2" xfId="45103" xr:uid="{00000000-0005-0000-0000-00005A180000}"/>
    <cellStyle name="Millares 2 5 3 3 3 6" xfId="31541" xr:uid="{00000000-0005-0000-0000-00005B180000}"/>
    <cellStyle name="Millares 2 5 3 3 4" xfId="4174" xr:uid="{00000000-0005-0000-0000-00005C180000}"/>
    <cellStyle name="Millares 2 5 3 3 4 2" xfId="7784" xr:uid="{00000000-0005-0000-0000-00005D180000}"/>
    <cellStyle name="Millares 2 5 3 3 4 2 2" xfId="14574" xr:uid="{00000000-0005-0000-0000-00005E180000}"/>
    <cellStyle name="Millares 2 5 3 3 4 2 2 2" xfId="28142" xr:uid="{00000000-0005-0000-0000-00005F180000}"/>
    <cellStyle name="Millares 2 5 3 3 4 2 2 2 2" xfId="55275" xr:uid="{00000000-0005-0000-0000-000060180000}"/>
    <cellStyle name="Millares 2 5 3 3 4 2 2 3" xfId="41713" xr:uid="{00000000-0005-0000-0000-000061180000}"/>
    <cellStyle name="Millares 2 5 3 3 4 2 3" xfId="21361" xr:uid="{00000000-0005-0000-0000-000062180000}"/>
    <cellStyle name="Millares 2 5 3 3 4 2 3 2" xfId="48494" xr:uid="{00000000-0005-0000-0000-000063180000}"/>
    <cellStyle name="Millares 2 5 3 3 4 2 4" xfId="34932" xr:uid="{00000000-0005-0000-0000-000064180000}"/>
    <cellStyle name="Millares 2 5 3 3 4 3" xfId="11185" xr:uid="{00000000-0005-0000-0000-000065180000}"/>
    <cellStyle name="Millares 2 5 3 3 4 3 2" xfId="24753" xr:uid="{00000000-0005-0000-0000-000066180000}"/>
    <cellStyle name="Millares 2 5 3 3 4 3 2 2" xfId="51886" xr:uid="{00000000-0005-0000-0000-000067180000}"/>
    <cellStyle name="Millares 2 5 3 3 4 3 3" xfId="38324" xr:uid="{00000000-0005-0000-0000-000068180000}"/>
    <cellStyle name="Millares 2 5 3 3 4 4" xfId="17972" xr:uid="{00000000-0005-0000-0000-000069180000}"/>
    <cellStyle name="Millares 2 5 3 3 4 4 2" xfId="45105" xr:uid="{00000000-0005-0000-0000-00006A180000}"/>
    <cellStyle name="Millares 2 5 3 3 4 5" xfId="31543" xr:uid="{00000000-0005-0000-0000-00006B180000}"/>
    <cellStyle name="Millares 2 5 3 3 5" xfId="4175" xr:uid="{00000000-0005-0000-0000-00006C180000}"/>
    <cellStyle name="Millares 2 5 3 3 5 2" xfId="7785" xr:uid="{00000000-0005-0000-0000-00006D180000}"/>
    <cellStyle name="Millares 2 5 3 3 5 2 2" xfId="14575" xr:uid="{00000000-0005-0000-0000-00006E180000}"/>
    <cellStyle name="Millares 2 5 3 3 5 2 2 2" xfId="28143" xr:uid="{00000000-0005-0000-0000-00006F180000}"/>
    <cellStyle name="Millares 2 5 3 3 5 2 2 2 2" xfId="55276" xr:uid="{00000000-0005-0000-0000-000070180000}"/>
    <cellStyle name="Millares 2 5 3 3 5 2 2 3" xfId="41714" xr:uid="{00000000-0005-0000-0000-000071180000}"/>
    <cellStyle name="Millares 2 5 3 3 5 2 3" xfId="21362" xr:uid="{00000000-0005-0000-0000-000072180000}"/>
    <cellStyle name="Millares 2 5 3 3 5 2 3 2" xfId="48495" xr:uid="{00000000-0005-0000-0000-000073180000}"/>
    <cellStyle name="Millares 2 5 3 3 5 2 4" xfId="34933" xr:uid="{00000000-0005-0000-0000-000074180000}"/>
    <cellStyle name="Millares 2 5 3 3 5 3" xfId="11186" xr:uid="{00000000-0005-0000-0000-000075180000}"/>
    <cellStyle name="Millares 2 5 3 3 5 3 2" xfId="24754" xr:uid="{00000000-0005-0000-0000-000076180000}"/>
    <cellStyle name="Millares 2 5 3 3 5 3 2 2" xfId="51887" xr:uid="{00000000-0005-0000-0000-000077180000}"/>
    <cellStyle name="Millares 2 5 3 3 5 3 3" xfId="38325" xr:uid="{00000000-0005-0000-0000-000078180000}"/>
    <cellStyle name="Millares 2 5 3 3 5 4" xfId="17973" xr:uid="{00000000-0005-0000-0000-000079180000}"/>
    <cellStyle name="Millares 2 5 3 3 5 4 2" xfId="45106" xr:uid="{00000000-0005-0000-0000-00007A180000}"/>
    <cellStyle name="Millares 2 5 3 3 5 5" xfId="31544" xr:uid="{00000000-0005-0000-0000-00007B180000}"/>
    <cellStyle name="Millares 2 5 3 3 6" xfId="7778" xr:uid="{00000000-0005-0000-0000-00007C180000}"/>
    <cellStyle name="Millares 2 5 3 3 6 2" xfId="14568" xr:uid="{00000000-0005-0000-0000-00007D180000}"/>
    <cellStyle name="Millares 2 5 3 3 6 2 2" xfId="28136" xr:uid="{00000000-0005-0000-0000-00007E180000}"/>
    <cellStyle name="Millares 2 5 3 3 6 2 2 2" xfId="55269" xr:uid="{00000000-0005-0000-0000-00007F180000}"/>
    <cellStyle name="Millares 2 5 3 3 6 2 3" xfId="41707" xr:uid="{00000000-0005-0000-0000-000080180000}"/>
    <cellStyle name="Millares 2 5 3 3 6 3" xfId="21355" xr:uid="{00000000-0005-0000-0000-000081180000}"/>
    <cellStyle name="Millares 2 5 3 3 6 3 2" xfId="48488" xr:uid="{00000000-0005-0000-0000-000082180000}"/>
    <cellStyle name="Millares 2 5 3 3 6 4" xfId="34926" xr:uid="{00000000-0005-0000-0000-000083180000}"/>
    <cellStyle name="Millares 2 5 3 3 7" xfId="11179" xr:uid="{00000000-0005-0000-0000-000084180000}"/>
    <cellStyle name="Millares 2 5 3 3 7 2" xfId="24747" xr:uid="{00000000-0005-0000-0000-000085180000}"/>
    <cellStyle name="Millares 2 5 3 3 7 2 2" xfId="51880" xr:uid="{00000000-0005-0000-0000-000086180000}"/>
    <cellStyle name="Millares 2 5 3 3 7 3" xfId="38318" xr:uid="{00000000-0005-0000-0000-000087180000}"/>
    <cellStyle name="Millares 2 5 3 3 8" xfId="17966" xr:uid="{00000000-0005-0000-0000-000088180000}"/>
    <cellStyle name="Millares 2 5 3 3 8 2" xfId="45099" xr:uid="{00000000-0005-0000-0000-000089180000}"/>
    <cellStyle name="Millares 2 5 3 3 9" xfId="31537" xr:uid="{00000000-0005-0000-0000-00008A180000}"/>
    <cellStyle name="Millares 2 5 3 4" xfId="4176" xr:uid="{00000000-0005-0000-0000-00008B180000}"/>
    <cellStyle name="Millares 2 5 3 4 2" xfId="4177" xr:uid="{00000000-0005-0000-0000-00008C180000}"/>
    <cellStyle name="Millares 2 5 3 4 2 2" xfId="4178" xr:uid="{00000000-0005-0000-0000-00008D180000}"/>
    <cellStyle name="Millares 2 5 3 4 2 2 2" xfId="7788" xr:uid="{00000000-0005-0000-0000-00008E180000}"/>
    <cellStyle name="Millares 2 5 3 4 2 2 2 2" xfId="14578" xr:uid="{00000000-0005-0000-0000-00008F180000}"/>
    <cellStyle name="Millares 2 5 3 4 2 2 2 2 2" xfId="28146" xr:uid="{00000000-0005-0000-0000-000090180000}"/>
    <cellStyle name="Millares 2 5 3 4 2 2 2 2 2 2" xfId="55279" xr:uid="{00000000-0005-0000-0000-000091180000}"/>
    <cellStyle name="Millares 2 5 3 4 2 2 2 2 3" xfId="41717" xr:uid="{00000000-0005-0000-0000-000092180000}"/>
    <cellStyle name="Millares 2 5 3 4 2 2 2 3" xfId="21365" xr:uid="{00000000-0005-0000-0000-000093180000}"/>
    <cellStyle name="Millares 2 5 3 4 2 2 2 3 2" xfId="48498" xr:uid="{00000000-0005-0000-0000-000094180000}"/>
    <cellStyle name="Millares 2 5 3 4 2 2 2 4" xfId="34936" xr:uid="{00000000-0005-0000-0000-000095180000}"/>
    <cellStyle name="Millares 2 5 3 4 2 2 3" xfId="11189" xr:uid="{00000000-0005-0000-0000-000096180000}"/>
    <cellStyle name="Millares 2 5 3 4 2 2 3 2" xfId="24757" xr:uid="{00000000-0005-0000-0000-000097180000}"/>
    <cellStyle name="Millares 2 5 3 4 2 2 3 2 2" xfId="51890" xr:uid="{00000000-0005-0000-0000-000098180000}"/>
    <cellStyle name="Millares 2 5 3 4 2 2 3 3" xfId="38328" xr:uid="{00000000-0005-0000-0000-000099180000}"/>
    <cellStyle name="Millares 2 5 3 4 2 2 4" xfId="17976" xr:uid="{00000000-0005-0000-0000-00009A180000}"/>
    <cellStyle name="Millares 2 5 3 4 2 2 4 2" xfId="45109" xr:uid="{00000000-0005-0000-0000-00009B180000}"/>
    <cellStyle name="Millares 2 5 3 4 2 2 5" xfId="31547" xr:uid="{00000000-0005-0000-0000-00009C180000}"/>
    <cellStyle name="Millares 2 5 3 4 2 3" xfId="4179" xr:uid="{00000000-0005-0000-0000-00009D180000}"/>
    <cellStyle name="Millares 2 5 3 4 2 3 2" xfId="7789" xr:uid="{00000000-0005-0000-0000-00009E180000}"/>
    <cellStyle name="Millares 2 5 3 4 2 3 2 2" xfId="14579" xr:uid="{00000000-0005-0000-0000-00009F180000}"/>
    <cellStyle name="Millares 2 5 3 4 2 3 2 2 2" xfId="28147" xr:uid="{00000000-0005-0000-0000-0000A0180000}"/>
    <cellStyle name="Millares 2 5 3 4 2 3 2 2 2 2" xfId="55280" xr:uid="{00000000-0005-0000-0000-0000A1180000}"/>
    <cellStyle name="Millares 2 5 3 4 2 3 2 2 3" xfId="41718" xr:uid="{00000000-0005-0000-0000-0000A2180000}"/>
    <cellStyle name="Millares 2 5 3 4 2 3 2 3" xfId="21366" xr:uid="{00000000-0005-0000-0000-0000A3180000}"/>
    <cellStyle name="Millares 2 5 3 4 2 3 2 3 2" xfId="48499" xr:uid="{00000000-0005-0000-0000-0000A4180000}"/>
    <cellStyle name="Millares 2 5 3 4 2 3 2 4" xfId="34937" xr:uid="{00000000-0005-0000-0000-0000A5180000}"/>
    <cellStyle name="Millares 2 5 3 4 2 3 3" xfId="11190" xr:uid="{00000000-0005-0000-0000-0000A6180000}"/>
    <cellStyle name="Millares 2 5 3 4 2 3 3 2" xfId="24758" xr:uid="{00000000-0005-0000-0000-0000A7180000}"/>
    <cellStyle name="Millares 2 5 3 4 2 3 3 2 2" xfId="51891" xr:uid="{00000000-0005-0000-0000-0000A8180000}"/>
    <cellStyle name="Millares 2 5 3 4 2 3 3 3" xfId="38329" xr:uid="{00000000-0005-0000-0000-0000A9180000}"/>
    <cellStyle name="Millares 2 5 3 4 2 3 4" xfId="17977" xr:uid="{00000000-0005-0000-0000-0000AA180000}"/>
    <cellStyle name="Millares 2 5 3 4 2 3 4 2" xfId="45110" xr:uid="{00000000-0005-0000-0000-0000AB180000}"/>
    <cellStyle name="Millares 2 5 3 4 2 3 5" xfId="31548" xr:uid="{00000000-0005-0000-0000-0000AC180000}"/>
    <cellStyle name="Millares 2 5 3 4 2 4" xfId="7787" xr:uid="{00000000-0005-0000-0000-0000AD180000}"/>
    <cellStyle name="Millares 2 5 3 4 2 4 2" xfId="14577" xr:uid="{00000000-0005-0000-0000-0000AE180000}"/>
    <cellStyle name="Millares 2 5 3 4 2 4 2 2" xfId="28145" xr:uid="{00000000-0005-0000-0000-0000AF180000}"/>
    <cellStyle name="Millares 2 5 3 4 2 4 2 2 2" xfId="55278" xr:uid="{00000000-0005-0000-0000-0000B0180000}"/>
    <cellStyle name="Millares 2 5 3 4 2 4 2 3" xfId="41716" xr:uid="{00000000-0005-0000-0000-0000B1180000}"/>
    <cellStyle name="Millares 2 5 3 4 2 4 3" xfId="21364" xr:uid="{00000000-0005-0000-0000-0000B2180000}"/>
    <cellStyle name="Millares 2 5 3 4 2 4 3 2" xfId="48497" xr:uid="{00000000-0005-0000-0000-0000B3180000}"/>
    <cellStyle name="Millares 2 5 3 4 2 4 4" xfId="34935" xr:uid="{00000000-0005-0000-0000-0000B4180000}"/>
    <cellStyle name="Millares 2 5 3 4 2 5" xfId="11188" xr:uid="{00000000-0005-0000-0000-0000B5180000}"/>
    <cellStyle name="Millares 2 5 3 4 2 5 2" xfId="24756" xr:uid="{00000000-0005-0000-0000-0000B6180000}"/>
    <cellStyle name="Millares 2 5 3 4 2 5 2 2" xfId="51889" xr:uid="{00000000-0005-0000-0000-0000B7180000}"/>
    <cellStyle name="Millares 2 5 3 4 2 5 3" xfId="38327" xr:uid="{00000000-0005-0000-0000-0000B8180000}"/>
    <cellStyle name="Millares 2 5 3 4 2 6" xfId="17975" xr:uid="{00000000-0005-0000-0000-0000B9180000}"/>
    <cellStyle name="Millares 2 5 3 4 2 6 2" xfId="45108" xr:uid="{00000000-0005-0000-0000-0000BA180000}"/>
    <cellStyle name="Millares 2 5 3 4 2 7" xfId="31546" xr:uid="{00000000-0005-0000-0000-0000BB180000}"/>
    <cellStyle name="Millares 2 5 3 4 3" xfId="4180" xr:uid="{00000000-0005-0000-0000-0000BC180000}"/>
    <cellStyle name="Millares 2 5 3 4 3 2" xfId="7790" xr:uid="{00000000-0005-0000-0000-0000BD180000}"/>
    <cellStyle name="Millares 2 5 3 4 3 2 2" xfId="14580" xr:uid="{00000000-0005-0000-0000-0000BE180000}"/>
    <cellStyle name="Millares 2 5 3 4 3 2 2 2" xfId="28148" xr:uid="{00000000-0005-0000-0000-0000BF180000}"/>
    <cellStyle name="Millares 2 5 3 4 3 2 2 2 2" xfId="55281" xr:uid="{00000000-0005-0000-0000-0000C0180000}"/>
    <cellStyle name="Millares 2 5 3 4 3 2 2 3" xfId="41719" xr:uid="{00000000-0005-0000-0000-0000C1180000}"/>
    <cellStyle name="Millares 2 5 3 4 3 2 3" xfId="21367" xr:uid="{00000000-0005-0000-0000-0000C2180000}"/>
    <cellStyle name="Millares 2 5 3 4 3 2 3 2" xfId="48500" xr:uid="{00000000-0005-0000-0000-0000C3180000}"/>
    <cellStyle name="Millares 2 5 3 4 3 2 4" xfId="34938" xr:uid="{00000000-0005-0000-0000-0000C4180000}"/>
    <cellStyle name="Millares 2 5 3 4 3 3" xfId="11191" xr:uid="{00000000-0005-0000-0000-0000C5180000}"/>
    <cellStyle name="Millares 2 5 3 4 3 3 2" xfId="24759" xr:uid="{00000000-0005-0000-0000-0000C6180000}"/>
    <cellStyle name="Millares 2 5 3 4 3 3 2 2" xfId="51892" xr:uid="{00000000-0005-0000-0000-0000C7180000}"/>
    <cellStyle name="Millares 2 5 3 4 3 3 3" xfId="38330" xr:uid="{00000000-0005-0000-0000-0000C8180000}"/>
    <cellStyle name="Millares 2 5 3 4 3 4" xfId="17978" xr:uid="{00000000-0005-0000-0000-0000C9180000}"/>
    <cellStyle name="Millares 2 5 3 4 3 4 2" xfId="45111" xr:uid="{00000000-0005-0000-0000-0000CA180000}"/>
    <cellStyle name="Millares 2 5 3 4 3 5" xfId="31549" xr:uid="{00000000-0005-0000-0000-0000CB180000}"/>
    <cellStyle name="Millares 2 5 3 4 4" xfId="4181" xr:uid="{00000000-0005-0000-0000-0000CC180000}"/>
    <cellStyle name="Millares 2 5 3 4 4 2" xfId="7791" xr:uid="{00000000-0005-0000-0000-0000CD180000}"/>
    <cellStyle name="Millares 2 5 3 4 4 2 2" xfId="14581" xr:uid="{00000000-0005-0000-0000-0000CE180000}"/>
    <cellStyle name="Millares 2 5 3 4 4 2 2 2" xfId="28149" xr:uid="{00000000-0005-0000-0000-0000CF180000}"/>
    <cellStyle name="Millares 2 5 3 4 4 2 2 2 2" xfId="55282" xr:uid="{00000000-0005-0000-0000-0000D0180000}"/>
    <cellStyle name="Millares 2 5 3 4 4 2 2 3" xfId="41720" xr:uid="{00000000-0005-0000-0000-0000D1180000}"/>
    <cellStyle name="Millares 2 5 3 4 4 2 3" xfId="21368" xr:uid="{00000000-0005-0000-0000-0000D2180000}"/>
    <cellStyle name="Millares 2 5 3 4 4 2 3 2" xfId="48501" xr:uid="{00000000-0005-0000-0000-0000D3180000}"/>
    <cellStyle name="Millares 2 5 3 4 4 2 4" xfId="34939" xr:uid="{00000000-0005-0000-0000-0000D4180000}"/>
    <cellStyle name="Millares 2 5 3 4 4 3" xfId="11192" xr:uid="{00000000-0005-0000-0000-0000D5180000}"/>
    <cellStyle name="Millares 2 5 3 4 4 3 2" xfId="24760" xr:uid="{00000000-0005-0000-0000-0000D6180000}"/>
    <cellStyle name="Millares 2 5 3 4 4 3 2 2" xfId="51893" xr:uid="{00000000-0005-0000-0000-0000D7180000}"/>
    <cellStyle name="Millares 2 5 3 4 4 3 3" xfId="38331" xr:uid="{00000000-0005-0000-0000-0000D8180000}"/>
    <cellStyle name="Millares 2 5 3 4 4 4" xfId="17979" xr:uid="{00000000-0005-0000-0000-0000D9180000}"/>
    <cellStyle name="Millares 2 5 3 4 4 4 2" xfId="45112" xr:uid="{00000000-0005-0000-0000-0000DA180000}"/>
    <cellStyle name="Millares 2 5 3 4 4 5" xfId="31550" xr:uid="{00000000-0005-0000-0000-0000DB180000}"/>
    <cellStyle name="Millares 2 5 3 4 5" xfId="7786" xr:uid="{00000000-0005-0000-0000-0000DC180000}"/>
    <cellStyle name="Millares 2 5 3 4 5 2" xfId="14576" xr:uid="{00000000-0005-0000-0000-0000DD180000}"/>
    <cellStyle name="Millares 2 5 3 4 5 2 2" xfId="28144" xr:uid="{00000000-0005-0000-0000-0000DE180000}"/>
    <cellStyle name="Millares 2 5 3 4 5 2 2 2" xfId="55277" xr:uid="{00000000-0005-0000-0000-0000DF180000}"/>
    <cellStyle name="Millares 2 5 3 4 5 2 3" xfId="41715" xr:uid="{00000000-0005-0000-0000-0000E0180000}"/>
    <cellStyle name="Millares 2 5 3 4 5 3" xfId="21363" xr:uid="{00000000-0005-0000-0000-0000E1180000}"/>
    <cellStyle name="Millares 2 5 3 4 5 3 2" xfId="48496" xr:uid="{00000000-0005-0000-0000-0000E2180000}"/>
    <cellStyle name="Millares 2 5 3 4 5 4" xfId="34934" xr:uid="{00000000-0005-0000-0000-0000E3180000}"/>
    <cellStyle name="Millares 2 5 3 4 6" xfId="11187" xr:uid="{00000000-0005-0000-0000-0000E4180000}"/>
    <cellStyle name="Millares 2 5 3 4 6 2" xfId="24755" xr:uid="{00000000-0005-0000-0000-0000E5180000}"/>
    <cellStyle name="Millares 2 5 3 4 6 2 2" xfId="51888" xr:uid="{00000000-0005-0000-0000-0000E6180000}"/>
    <cellStyle name="Millares 2 5 3 4 6 3" xfId="38326" xr:uid="{00000000-0005-0000-0000-0000E7180000}"/>
    <cellStyle name="Millares 2 5 3 4 7" xfId="17974" xr:uid="{00000000-0005-0000-0000-0000E8180000}"/>
    <cellStyle name="Millares 2 5 3 4 7 2" xfId="45107" xr:uid="{00000000-0005-0000-0000-0000E9180000}"/>
    <cellStyle name="Millares 2 5 3 4 8" xfId="31545" xr:uid="{00000000-0005-0000-0000-0000EA180000}"/>
    <cellStyle name="Millares 2 5 3 5" xfId="4182" xr:uid="{00000000-0005-0000-0000-0000EB180000}"/>
    <cellStyle name="Millares 2 5 3 5 2" xfId="4183" xr:uid="{00000000-0005-0000-0000-0000EC180000}"/>
    <cellStyle name="Millares 2 5 3 5 2 2" xfId="4184" xr:uid="{00000000-0005-0000-0000-0000ED180000}"/>
    <cellStyle name="Millares 2 5 3 5 2 2 2" xfId="7794" xr:uid="{00000000-0005-0000-0000-0000EE180000}"/>
    <cellStyle name="Millares 2 5 3 5 2 2 2 2" xfId="14584" xr:uid="{00000000-0005-0000-0000-0000EF180000}"/>
    <cellStyle name="Millares 2 5 3 5 2 2 2 2 2" xfId="28152" xr:uid="{00000000-0005-0000-0000-0000F0180000}"/>
    <cellStyle name="Millares 2 5 3 5 2 2 2 2 2 2" xfId="55285" xr:uid="{00000000-0005-0000-0000-0000F1180000}"/>
    <cellStyle name="Millares 2 5 3 5 2 2 2 2 3" xfId="41723" xr:uid="{00000000-0005-0000-0000-0000F2180000}"/>
    <cellStyle name="Millares 2 5 3 5 2 2 2 3" xfId="21371" xr:uid="{00000000-0005-0000-0000-0000F3180000}"/>
    <cellStyle name="Millares 2 5 3 5 2 2 2 3 2" xfId="48504" xr:uid="{00000000-0005-0000-0000-0000F4180000}"/>
    <cellStyle name="Millares 2 5 3 5 2 2 2 4" xfId="34942" xr:uid="{00000000-0005-0000-0000-0000F5180000}"/>
    <cellStyle name="Millares 2 5 3 5 2 2 3" xfId="11195" xr:uid="{00000000-0005-0000-0000-0000F6180000}"/>
    <cellStyle name="Millares 2 5 3 5 2 2 3 2" xfId="24763" xr:uid="{00000000-0005-0000-0000-0000F7180000}"/>
    <cellStyle name="Millares 2 5 3 5 2 2 3 2 2" xfId="51896" xr:uid="{00000000-0005-0000-0000-0000F8180000}"/>
    <cellStyle name="Millares 2 5 3 5 2 2 3 3" xfId="38334" xr:uid="{00000000-0005-0000-0000-0000F9180000}"/>
    <cellStyle name="Millares 2 5 3 5 2 2 4" xfId="17982" xr:uid="{00000000-0005-0000-0000-0000FA180000}"/>
    <cellStyle name="Millares 2 5 3 5 2 2 4 2" xfId="45115" xr:uid="{00000000-0005-0000-0000-0000FB180000}"/>
    <cellStyle name="Millares 2 5 3 5 2 2 5" xfId="31553" xr:uid="{00000000-0005-0000-0000-0000FC180000}"/>
    <cellStyle name="Millares 2 5 3 5 2 3" xfId="4185" xr:uid="{00000000-0005-0000-0000-0000FD180000}"/>
    <cellStyle name="Millares 2 5 3 5 2 3 2" xfId="7795" xr:uid="{00000000-0005-0000-0000-0000FE180000}"/>
    <cellStyle name="Millares 2 5 3 5 2 3 2 2" xfId="14585" xr:uid="{00000000-0005-0000-0000-0000FF180000}"/>
    <cellStyle name="Millares 2 5 3 5 2 3 2 2 2" xfId="28153" xr:uid="{00000000-0005-0000-0000-000000190000}"/>
    <cellStyle name="Millares 2 5 3 5 2 3 2 2 2 2" xfId="55286" xr:uid="{00000000-0005-0000-0000-000001190000}"/>
    <cellStyle name="Millares 2 5 3 5 2 3 2 2 3" xfId="41724" xr:uid="{00000000-0005-0000-0000-000002190000}"/>
    <cellStyle name="Millares 2 5 3 5 2 3 2 3" xfId="21372" xr:uid="{00000000-0005-0000-0000-000003190000}"/>
    <cellStyle name="Millares 2 5 3 5 2 3 2 3 2" xfId="48505" xr:uid="{00000000-0005-0000-0000-000004190000}"/>
    <cellStyle name="Millares 2 5 3 5 2 3 2 4" xfId="34943" xr:uid="{00000000-0005-0000-0000-000005190000}"/>
    <cellStyle name="Millares 2 5 3 5 2 3 3" xfId="11196" xr:uid="{00000000-0005-0000-0000-000006190000}"/>
    <cellStyle name="Millares 2 5 3 5 2 3 3 2" xfId="24764" xr:uid="{00000000-0005-0000-0000-000007190000}"/>
    <cellStyle name="Millares 2 5 3 5 2 3 3 2 2" xfId="51897" xr:uid="{00000000-0005-0000-0000-000008190000}"/>
    <cellStyle name="Millares 2 5 3 5 2 3 3 3" xfId="38335" xr:uid="{00000000-0005-0000-0000-000009190000}"/>
    <cellStyle name="Millares 2 5 3 5 2 3 4" xfId="17983" xr:uid="{00000000-0005-0000-0000-00000A190000}"/>
    <cellStyle name="Millares 2 5 3 5 2 3 4 2" xfId="45116" xr:uid="{00000000-0005-0000-0000-00000B190000}"/>
    <cellStyle name="Millares 2 5 3 5 2 3 5" xfId="31554" xr:uid="{00000000-0005-0000-0000-00000C190000}"/>
    <cellStyle name="Millares 2 5 3 5 2 4" xfId="7793" xr:uid="{00000000-0005-0000-0000-00000D190000}"/>
    <cellStyle name="Millares 2 5 3 5 2 4 2" xfId="14583" xr:uid="{00000000-0005-0000-0000-00000E190000}"/>
    <cellStyle name="Millares 2 5 3 5 2 4 2 2" xfId="28151" xr:uid="{00000000-0005-0000-0000-00000F190000}"/>
    <cellStyle name="Millares 2 5 3 5 2 4 2 2 2" xfId="55284" xr:uid="{00000000-0005-0000-0000-000010190000}"/>
    <cellStyle name="Millares 2 5 3 5 2 4 2 3" xfId="41722" xr:uid="{00000000-0005-0000-0000-000011190000}"/>
    <cellStyle name="Millares 2 5 3 5 2 4 3" xfId="21370" xr:uid="{00000000-0005-0000-0000-000012190000}"/>
    <cellStyle name="Millares 2 5 3 5 2 4 3 2" xfId="48503" xr:uid="{00000000-0005-0000-0000-000013190000}"/>
    <cellStyle name="Millares 2 5 3 5 2 4 4" xfId="34941" xr:uid="{00000000-0005-0000-0000-000014190000}"/>
    <cellStyle name="Millares 2 5 3 5 2 5" xfId="11194" xr:uid="{00000000-0005-0000-0000-000015190000}"/>
    <cellStyle name="Millares 2 5 3 5 2 5 2" xfId="24762" xr:uid="{00000000-0005-0000-0000-000016190000}"/>
    <cellStyle name="Millares 2 5 3 5 2 5 2 2" xfId="51895" xr:uid="{00000000-0005-0000-0000-000017190000}"/>
    <cellStyle name="Millares 2 5 3 5 2 5 3" xfId="38333" xr:uid="{00000000-0005-0000-0000-000018190000}"/>
    <cellStyle name="Millares 2 5 3 5 2 6" xfId="17981" xr:uid="{00000000-0005-0000-0000-000019190000}"/>
    <cellStyle name="Millares 2 5 3 5 2 6 2" xfId="45114" xr:uid="{00000000-0005-0000-0000-00001A190000}"/>
    <cellStyle name="Millares 2 5 3 5 2 7" xfId="31552" xr:uid="{00000000-0005-0000-0000-00001B190000}"/>
    <cellStyle name="Millares 2 5 3 5 3" xfId="4186" xr:uid="{00000000-0005-0000-0000-00001C190000}"/>
    <cellStyle name="Millares 2 5 3 5 3 2" xfId="7796" xr:uid="{00000000-0005-0000-0000-00001D190000}"/>
    <cellStyle name="Millares 2 5 3 5 3 2 2" xfId="14586" xr:uid="{00000000-0005-0000-0000-00001E190000}"/>
    <cellStyle name="Millares 2 5 3 5 3 2 2 2" xfId="28154" xr:uid="{00000000-0005-0000-0000-00001F190000}"/>
    <cellStyle name="Millares 2 5 3 5 3 2 2 2 2" xfId="55287" xr:uid="{00000000-0005-0000-0000-000020190000}"/>
    <cellStyle name="Millares 2 5 3 5 3 2 2 3" xfId="41725" xr:uid="{00000000-0005-0000-0000-000021190000}"/>
    <cellStyle name="Millares 2 5 3 5 3 2 3" xfId="21373" xr:uid="{00000000-0005-0000-0000-000022190000}"/>
    <cellStyle name="Millares 2 5 3 5 3 2 3 2" xfId="48506" xr:uid="{00000000-0005-0000-0000-000023190000}"/>
    <cellStyle name="Millares 2 5 3 5 3 2 4" xfId="34944" xr:uid="{00000000-0005-0000-0000-000024190000}"/>
    <cellStyle name="Millares 2 5 3 5 3 3" xfId="11197" xr:uid="{00000000-0005-0000-0000-000025190000}"/>
    <cellStyle name="Millares 2 5 3 5 3 3 2" xfId="24765" xr:uid="{00000000-0005-0000-0000-000026190000}"/>
    <cellStyle name="Millares 2 5 3 5 3 3 2 2" xfId="51898" xr:uid="{00000000-0005-0000-0000-000027190000}"/>
    <cellStyle name="Millares 2 5 3 5 3 3 3" xfId="38336" xr:uid="{00000000-0005-0000-0000-000028190000}"/>
    <cellStyle name="Millares 2 5 3 5 3 4" xfId="17984" xr:uid="{00000000-0005-0000-0000-000029190000}"/>
    <cellStyle name="Millares 2 5 3 5 3 4 2" xfId="45117" xr:uid="{00000000-0005-0000-0000-00002A190000}"/>
    <cellStyle name="Millares 2 5 3 5 3 5" xfId="31555" xr:uid="{00000000-0005-0000-0000-00002B190000}"/>
    <cellStyle name="Millares 2 5 3 5 4" xfId="4187" xr:uid="{00000000-0005-0000-0000-00002C190000}"/>
    <cellStyle name="Millares 2 5 3 5 4 2" xfId="7797" xr:uid="{00000000-0005-0000-0000-00002D190000}"/>
    <cellStyle name="Millares 2 5 3 5 4 2 2" xfId="14587" xr:uid="{00000000-0005-0000-0000-00002E190000}"/>
    <cellStyle name="Millares 2 5 3 5 4 2 2 2" xfId="28155" xr:uid="{00000000-0005-0000-0000-00002F190000}"/>
    <cellStyle name="Millares 2 5 3 5 4 2 2 2 2" xfId="55288" xr:uid="{00000000-0005-0000-0000-000030190000}"/>
    <cellStyle name="Millares 2 5 3 5 4 2 2 3" xfId="41726" xr:uid="{00000000-0005-0000-0000-000031190000}"/>
    <cellStyle name="Millares 2 5 3 5 4 2 3" xfId="21374" xr:uid="{00000000-0005-0000-0000-000032190000}"/>
    <cellStyle name="Millares 2 5 3 5 4 2 3 2" xfId="48507" xr:uid="{00000000-0005-0000-0000-000033190000}"/>
    <cellStyle name="Millares 2 5 3 5 4 2 4" xfId="34945" xr:uid="{00000000-0005-0000-0000-000034190000}"/>
    <cellStyle name="Millares 2 5 3 5 4 3" xfId="11198" xr:uid="{00000000-0005-0000-0000-000035190000}"/>
    <cellStyle name="Millares 2 5 3 5 4 3 2" xfId="24766" xr:uid="{00000000-0005-0000-0000-000036190000}"/>
    <cellStyle name="Millares 2 5 3 5 4 3 2 2" xfId="51899" xr:uid="{00000000-0005-0000-0000-000037190000}"/>
    <cellStyle name="Millares 2 5 3 5 4 3 3" xfId="38337" xr:uid="{00000000-0005-0000-0000-000038190000}"/>
    <cellStyle name="Millares 2 5 3 5 4 4" xfId="17985" xr:uid="{00000000-0005-0000-0000-000039190000}"/>
    <cellStyle name="Millares 2 5 3 5 4 4 2" xfId="45118" xr:uid="{00000000-0005-0000-0000-00003A190000}"/>
    <cellStyle name="Millares 2 5 3 5 4 5" xfId="31556" xr:uid="{00000000-0005-0000-0000-00003B190000}"/>
    <cellStyle name="Millares 2 5 3 5 5" xfId="7792" xr:uid="{00000000-0005-0000-0000-00003C190000}"/>
    <cellStyle name="Millares 2 5 3 5 5 2" xfId="14582" xr:uid="{00000000-0005-0000-0000-00003D190000}"/>
    <cellStyle name="Millares 2 5 3 5 5 2 2" xfId="28150" xr:uid="{00000000-0005-0000-0000-00003E190000}"/>
    <cellStyle name="Millares 2 5 3 5 5 2 2 2" xfId="55283" xr:uid="{00000000-0005-0000-0000-00003F190000}"/>
    <cellStyle name="Millares 2 5 3 5 5 2 3" xfId="41721" xr:uid="{00000000-0005-0000-0000-000040190000}"/>
    <cellStyle name="Millares 2 5 3 5 5 3" xfId="21369" xr:uid="{00000000-0005-0000-0000-000041190000}"/>
    <cellStyle name="Millares 2 5 3 5 5 3 2" xfId="48502" xr:uid="{00000000-0005-0000-0000-000042190000}"/>
    <cellStyle name="Millares 2 5 3 5 5 4" xfId="34940" xr:uid="{00000000-0005-0000-0000-000043190000}"/>
    <cellStyle name="Millares 2 5 3 5 6" xfId="11193" xr:uid="{00000000-0005-0000-0000-000044190000}"/>
    <cellStyle name="Millares 2 5 3 5 6 2" xfId="24761" xr:uid="{00000000-0005-0000-0000-000045190000}"/>
    <cellStyle name="Millares 2 5 3 5 6 2 2" xfId="51894" xr:uid="{00000000-0005-0000-0000-000046190000}"/>
    <cellStyle name="Millares 2 5 3 5 6 3" xfId="38332" xr:uid="{00000000-0005-0000-0000-000047190000}"/>
    <cellStyle name="Millares 2 5 3 5 7" xfId="17980" xr:uid="{00000000-0005-0000-0000-000048190000}"/>
    <cellStyle name="Millares 2 5 3 5 7 2" xfId="45113" xr:uid="{00000000-0005-0000-0000-000049190000}"/>
    <cellStyle name="Millares 2 5 3 5 8" xfId="31551" xr:uid="{00000000-0005-0000-0000-00004A190000}"/>
    <cellStyle name="Millares 2 5 3 6" xfId="4188" xr:uid="{00000000-0005-0000-0000-00004B190000}"/>
    <cellStyle name="Millares 2 5 3 6 2" xfId="4189" xr:uid="{00000000-0005-0000-0000-00004C190000}"/>
    <cellStyle name="Millares 2 5 3 6 2 2" xfId="7799" xr:uid="{00000000-0005-0000-0000-00004D190000}"/>
    <cellStyle name="Millares 2 5 3 6 2 2 2" xfId="14589" xr:uid="{00000000-0005-0000-0000-00004E190000}"/>
    <cellStyle name="Millares 2 5 3 6 2 2 2 2" xfId="28157" xr:uid="{00000000-0005-0000-0000-00004F190000}"/>
    <cellStyle name="Millares 2 5 3 6 2 2 2 2 2" xfId="55290" xr:uid="{00000000-0005-0000-0000-000050190000}"/>
    <cellStyle name="Millares 2 5 3 6 2 2 2 3" xfId="41728" xr:uid="{00000000-0005-0000-0000-000051190000}"/>
    <cellStyle name="Millares 2 5 3 6 2 2 3" xfId="21376" xr:uid="{00000000-0005-0000-0000-000052190000}"/>
    <cellStyle name="Millares 2 5 3 6 2 2 3 2" xfId="48509" xr:uid="{00000000-0005-0000-0000-000053190000}"/>
    <cellStyle name="Millares 2 5 3 6 2 2 4" xfId="34947" xr:uid="{00000000-0005-0000-0000-000054190000}"/>
    <cellStyle name="Millares 2 5 3 6 2 3" xfId="11200" xr:uid="{00000000-0005-0000-0000-000055190000}"/>
    <cellStyle name="Millares 2 5 3 6 2 3 2" xfId="24768" xr:uid="{00000000-0005-0000-0000-000056190000}"/>
    <cellStyle name="Millares 2 5 3 6 2 3 2 2" xfId="51901" xr:uid="{00000000-0005-0000-0000-000057190000}"/>
    <cellStyle name="Millares 2 5 3 6 2 3 3" xfId="38339" xr:uid="{00000000-0005-0000-0000-000058190000}"/>
    <cellStyle name="Millares 2 5 3 6 2 4" xfId="17987" xr:uid="{00000000-0005-0000-0000-000059190000}"/>
    <cellStyle name="Millares 2 5 3 6 2 4 2" xfId="45120" xr:uid="{00000000-0005-0000-0000-00005A190000}"/>
    <cellStyle name="Millares 2 5 3 6 2 5" xfId="31558" xr:uid="{00000000-0005-0000-0000-00005B190000}"/>
    <cellStyle name="Millares 2 5 3 6 3" xfId="4190" xr:uid="{00000000-0005-0000-0000-00005C190000}"/>
    <cellStyle name="Millares 2 5 3 6 3 2" xfId="7800" xr:uid="{00000000-0005-0000-0000-00005D190000}"/>
    <cellStyle name="Millares 2 5 3 6 3 2 2" xfId="14590" xr:uid="{00000000-0005-0000-0000-00005E190000}"/>
    <cellStyle name="Millares 2 5 3 6 3 2 2 2" xfId="28158" xr:uid="{00000000-0005-0000-0000-00005F190000}"/>
    <cellStyle name="Millares 2 5 3 6 3 2 2 2 2" xfId="55291" xr:uid="{00000000-0005-0000-0000-000060190000}"/>
    <cellStyle name="Millares 2 5 3 6 3 2 2 3" xfId="41729" xr:uid="{00000000-0005-0000-0000-000061190000}"/>
    <cellStyle name="Millares 2 5 3 6 3 2 3" xfId="21377" xr:uid="{00000000-0005-0000-0000-000062190000}"/>
    <cellStyle name="Millares 2 5 3 6 3 2 3 2" xfId="48510" xr:uid="{00000000-0005-0000-0000-000063190000}"/>
    <cellStyle name="Millares 2 5 3 6 3 2 4" xfId="34948" xr:uid="{00000000-0005-0000-0000-000064190000}"/>
    <cellStyle name="Millares 2 5 3 6 3 3" xfId="11201" xr:uid="{00000000-0005-0000-0000-000065190000}"/>
    <cellStyle name="Millares 2 5 3 6 3 3 2" xfId="24769" xr:uid="{00000000-0005-0000-0000-000066190000}"/>
    <cellStyle name="Millares 2 5 3 6 3 3 2 2" xfId="51902" xr:uid="{00000000-0005-0000-0000-000067190000}"/>
    <cellStyle name="Millares 2 5 3 6 3 3 3" xfId="38340" xr:uid="{00000000-0005-0000-0000-000068190000}"/>
    <cellStyle name="Millares 2 5 3 6 3 4" xfId="17988" xr:uid="{00000000-0005-0000-0000-000069190000}"/>
    <cellStyle name="Millares 2 5 3 6 3 4 2" xfId="45121" xr:uid="{00000000-0005-0000-0000-00006A190000}"/>
    <cellStyle name="Millares 2 5 3 6 3 5" xfId="31559" xr:uid="{00000000-0005-0000-0000-00006B190000}"/>
    <cellStyle name="Millares 2 5 3 6 4" xfId="7798" xr:uid="{00000000-0005-0000-0000-00006C190000}"/>
    <cellStyle name="Millares 2 5 3 6 4 2" xfId="14588" xr:uid="{00000000-0005-0000-0000-00006D190000}"/>
    <cellStyle name="Millares 2 5 3 6 4 2 2" xfId="28156" xr:uid="{00000000-0005-0000-0000-00006E190000}"/>
    <cellStyle name="Millares 2 5 3 6 4 2 2 2" xfId="55289" xr:uid="{00000000-0005-0000-0000-00006F190000}"/>
    <cellStyle name="Millares 2 5 3 6 4 2 3" xfId="41727" xr:uid="{00000000-0005-0000-0000-000070190000}"/>
    <cellStyle name="Millares 2 5 3 6 4 3" xfId="21375" xr:uid="{00000000-0005-0000-0000-000071190000}"/>
    <cellStyle name="Millares 2 5 3 6 4 3 2" xfId="48508" xr:uid="{00000000-0005-0000-0000-000072190000}"/>
    <cellStyle name="Millares 2 5 3 6 4 4" xfId="34946" xr:uid="{00000000-0005-0000-0000-000073190000}"/>
    <cellStyle name="Millares 2 5 3 6 5" xfId="11199" xr:uid="{00000000-0005-0000-0000-000074190000}"/>
    <cellStyle name="Millares 2 5 3 6 5 2" xfId="24767" xr:uid="{00000000-0005-0000-0000-000075190000}"/>
    <cellStyle name="Millares 2 5 3 6 5 2 2" xfId="51900" xr:uid="{00000000-0005-0000-0000-000076190000}"/>
    <cellStyle name="Millares 2 5 3 6 5 3" xfId="38338" xr:uid="{00000000-0005-0000-0000-000077190000}"/>
    <cellStyle name="Millares 2 5 3 6 6" xfId="17986" xr:uid="{00000000-0005-0000-0000-000078190000}"/>
    <cellStyle name="Millares 2 5 3 6 6 2" xfId="45119" xr:uid="{00000000-0005-0000-0000-000079190000}"/>
    <cellStyle name="Millares 2 5 3 6 7" xfId="31557" xr:uid="{00000000-0005-0000-0000-00007A190000}"/>
    <cellStyle name="Millares 2 5 3 7" xfId="4191" xr:uid="{00000000-0005-0000-0000-00007B190000}"/>
    <cellStyle name="Millares 2 5 3 7 2" xfId="4192" xr:uid="{00000000-0005-0000-0000-00007C190000}"/>
    <cellStyle name="Millares 2 5 3 7 2 2" xfId="7802" xr:uid="{00000000-0005-0000-0000-00007D190000}"/>
    <cellStyle name="Millares 2 5 3 7 2 2 2" xfId="14592" xr:uid="{00000000-0005-0000-0000-00007E190000}"/>
    <cellStyle name="Millares 2 5 3 7 2 2 2 2" xfId="28160" xr:uid="{00000000-0005-0000-0000-00007F190000}"/>
    <cellStyle name="Millares 2 5 3 7 2 2 2 2 2" xfId="55293" xr:uid="{00000000-0005-0000-0000-000080190000}"/>
    <cellStyle name="Millares 2 5 3 7 2 2 2 3" xfId="41731" xr:uid="{00000000-0005-0000-0000-000081190000}"/>
    <cellStyle name="Millares 2 5 3 7 2 2 3" xfId="21379" xr:uid="{00000000-0005-0000-0000-000082190000}"/>
    <cellStyle name="Millares 2 5 3 7 2 2 3 2" xfId="48512" xr:uid="{00000000-0005-0000-0000-000083190000}"/>
    <cellStyle name="Millares 2 5 3 7 2 2 4" xfId="34950" xr:uid="{00000000-0005-0000-0000-000084190000}"/>
    <cellStyle name="Millares 2 5 3 7 2 3" xfId="11203" xr:uid="{00000000-0005-0000-0000-000085190000}"/>
    <cellStyle name="Millares 2 5 3 7 2 3 2" xfId="24771" xr:uid="{00000000-0005-0000-0000-000086190000}"/>
    <cellStyle name="Millares 2 5 3 7 2 3 2 2" xfId="51904" xr:uid="{00000000-0005-0000-0000-000087190000}"/>
    <cellStyle name="Millares 2 5 3 7 2 3 3" xfId="38342" xr:uid="{00000000-0005-0000-0000-000088190000}"/>
    <cellStyle name="Millares 2 5 3 7 2 4" xfId="17990" xr:uid="{00000000-0005-0000-0000-000089190000}"/>
    <cellStyle name="Millares 2 5 3 7 2 4 2" xfId="45123" xr:uid="{00000000-0005-0000-0000-00008A190000}"/>
    <cellStyle name="Millares 2 5 3 7 2 5" xfId="31561" xr:uid="{00000000-0005-0000-0000-00008B190000}"/>
    <cellStyle name="Millares 2 5 3 7 3" xfId="7801" xr:uid="{00000000-0005-0000-0000-00008C190000}"/>
    <cellStyle name="Millares 2 5 3 7 3 2" xfId="14591" xr:uid="{00000000-0005-0000-0000-00008D190000}"/>
    <cellStyle name="Millares 2 5 3 7 3 2 2" xfId="28159" xr:uid="{00000000-0005-0000-0000-00008E190000}"/>
    <cellStyle name="Millares 2 5 3 7 3 2 2 2" xfId="55292" xr:uid="{00000000-0005-0000-0000-00008F190000}"/>
    <cellStyle name="Millares 2 5 3 7 3 2 3" xfId="41730" xr:uid="{00000000-0005-0000-0000-000090190000}"/>
    <cellStyle name="Millares 2 5 3 7 3 3" xfId="21378" xr:uid="{00000000-0005-0000-0000-000091190000}"/>
    <cellStyle name="Millares 2 5 3 7 3 3 2" xfId="48511" xr:uid="{00000000-0005-0000-0000-000092190000}"/>
    <cellStyle name="Millares 2 5 3 7 3 4" xfId="34949" xr:uid="{00000000-0005-0000-0000-000093190000}"/>
    <cellStyle name="Millares 2 5 3 7 4" xfId="11202" xr:uid="{00000000-0005-0000-0000-000094190000}"/>
    <cellStyle name="Millares 2 5 3 7 4 2" xfId="24770" xr:uid="{00000000-0005-0000-0000-000095190000}"/>
    <cellStyle name="Millares 2 5 3 7 4 2 2" xfId="51903" xr:uid="{00000000-0005-0000-0000-000096190000}"/>
    <cellStyle name="Millares 2 5 3 7 4 3" xfId="38341" xr:uid="{00000000-0005-0000-0000-000097190000}"/>
    <cellStyle name="Millares 2 5 3 7 5" xfId="17989" xr:uid="{00000000-0005-0000-0000-000098190000}"/>
    <cellStyle name="Millares 2 5 3 7 5 2" xfId="45122" xr:uid="{00000000-0005-0000-0000-000099190000}"/>
    <cellStyle name="Millares 2 5 3 7 6" xfId="31560" xr:uid="{00000000-0005-0000-0000-00009A190000}"/>
    <cellStyle name="Millares 2 5 3 8" xfId="4193" xr:uid="{00000000-0005-0000-0000-00009B190000}"/>
    <cellStyle name="Millares 2 5 3 8 2" xfId="7803" xr:uid="{00000000-0005-0000-0000-00009C190000}"/>
    <cellStyle name="Millares 2 5 3 8 2 2" xfId="14593" xr:uid="{00000000-0005-0000-0000-00009D190000}"/>
    <cellStyle name="Millares 2 5 3 8 2 2 2" xfId="28161" xr:uid="{00000000-0005-0000-0000-00009E190000}"/>
    <cellStyle name="Millares 2 5 3 8 2 2 2 2" xfId="55294" xr:uid="{00000000-0005-0000-0000-00009F190000}"/>
    <cellStyle name="Millares 2 5 3 8 2 2 3" xfId="41732" xr:uid="{00000000-0005-0000-0000-0000A0190000}"/>
    <cellStyle name="Millares 2 5 3 8 2 3" xfId="21380" xr:uid="{00000000-0005-0000-0000-0000A1190000}"/>
    <cellStyle name="Millares 2 5 3 8 2 3 2" xfId="48513" xr:uid="{00000000-0005-0000-0000-0000A2190000}"/>
    <cellStyle name="Millares 2 5 3 8 2 4" xfId="34951" xr:uid="{00000000-0005-0000-0000-0000A3190000}"/>
    <cellStyle name="Millares 2 5 3 8 3" xfId="11204" xr:uid="{00000000-0005-0000-0000-0000A4190000}"/>
    <cellStyle name="Millares 2 5 3 8 3 2" xfId="24772" xr:uid="{00000000-0005-0000-0000-0000A5190000}"/>
    <cellStyle name="Millares 2 5 3 8 3 2 2" xfId="51905" xr:uid="{00000000-0005-0000-0000-0000A6190000}"/>
    <cellStyle name="Millares 2 5 3 8 3 3" xfId="38343" xr:uid="{00000000-0005-0000-0000-0000A7190000}"/>
    <cellStyle name="Millares 2 5 3 8 4" xfId="17991" xr:uid="{00000000-0005-0000-0000-0000A8190000}"/>
    <cellStyle name="Millares 2 5 3 8 4 2" xfId="45124" xr:uid="{00000000-0005-0000-0000-0000A9190000}"/>
    <cellStyle name="Millares 2 5 3 8 5" xfId="31562" xr:uid="{00000000-0005-0000-0000-0000AA190000}"/>
    <cellStyle name="Millares 2 5 3 9" xfId="4194" xr:uid="{00000000-0005-0000-0000-0000AB190000}"/>
    <cellStyle name="Millares 2 5 3 9 2" xfId="7804" xr:uid="{00000000-0005-0000-0000-0000AC190000}"/>
    <cellStyle name="Millares 2 5 3 9 2 2" xfId="14594" xr:uid="{00000000-0005-0000-0000-0000AD190000}"/>
    <cellStyle name="Millares 2 5 3 9 2 2 2" xfId="28162" xr:uid="{00000000-0005-0000-0000-0000AE190000}"/>
    <cellStyle name="Millares 2 5 3 9 2 2 2 2" xfId="55295" xr:uid="{00000000-0005-0000-0000-0000AF190000}"/>
    <cellStyle name="Millares 2 5 3 9 2 2 3" xfId="41733" xr:uid="{00000000-0005-0000-0000-0000B0190000}"/>
    <cellStyle name="Millares 2 5 3 9 2 3" xfId="21381" xr:uid="{00000000-0005-0000-0000-0000B1190000}"/>
    <cellStyle name="Millares 2 5 3 9 2 3 2" xfId="48514" xr:uid="{00000000-0005-0000-0000-0000B2190000}"/>
    <cellStyle name="Millares 2 5 3 9 2 4" xfId="34952" xr:uid="{00000000-0005-0000-0000-0000B3190000}"/>
    <cellStyle name="Millares 2 5 3 9 3" xfId="11205" xr:uid="{00000000-0005-0000-0000-0000B4190000}"/>
    <cellStyle name="Millares 2 5 3 9 3 2" xfId="24773" xr:uid="{00000000-0005-0000-0000-0000B5190000}"/>
    <cellStyle name="Millares 2 5 3 9 3 2 2" xfId="51906" xr:uid="{00000000-0005-0000-0000-0000B6190000}"/>
    <cellStyle name="Millares 2 5 3 9 3 3" xfId="38344" xr:uid="{00000000-0005-0000-0000-0000B7190000}"/>
    <cellStyle name="Millares 2 5 3 9 4" xfId="17992" xr:uid="{00000000-0005-0000-0000-0000B8190000}"/>
    <cellStyle name="Millares 2 5 3 9 4 2" xfId="45125" xr:uid="{00000000-0005-0000-0000-0000B9190000}"/>
    <cellStyle name="Millares 2 5 3 9 5" xfId="31563" xr:uid="{00000000-0005-0000-0000-0000BA190000}"/>
    <cellStyle name="Millares 2 5 4" xfId="4195" xr:uid="{00000000-0005-0000-0000-0000BB190000}"/>
    <cellStyle name="Millares 2 5 4 10" xfId="31564" xr:uid="{00000000-0005-0000-0000-0000BC190000}"/>
    <cellStyle name="Millares 2 5 4 2" xfId="4196" xr:uid="{00000000-0005-0000-0000-0000BD190000}"/>
    <cellStyle name="Millares 2 5 4 2 2" xfId="4197" xr:uid="{00000000-0005-0000-0000-0000BE190000}"/>
    <cellStyle name="Millares 2 5 4 2 2 2" xfId="4198" xr:uid="{00000000-0005-0000-0000-0000BF190000}"/>
    <cellStyle name="Millares 2 5 4 2 2 2 2" xfId="7808" xr:uid="{00000000-0005-0000-0000-0000C0190000}"/>
    <cellStyle name="Millares 2 5 4 2 2 2 2 2" xfId="14598" xr:uid="{00000000-0005-0000-0000-0000C1190000}"/>
    <cellStyle name="Millares 2 5 4 2 2 2 2 2 2" xfId="28166" xr:uid="{00000000-0005-0000-0000-0000C2190000}"/>
    <cellStyle name="Millares 2 5 4 2 2 2 2 2 2 2" xfId="55299" xr:uid="{00000000-0005-0000-0000-0000C3190000}"/>
    <cellStyle name="Millares 2 5 4 2 2 2 2 2 3" xfId="41737" xr:uid="{00000000-0005-0000-0000-0000C4190000}"/>
    <cellStyle name="Millares 2 5 4 2 2 2 2 3" xfId="21385" xr:uid="{00000000-0005-0000-0000-0000C5190000}"/>
    <cellStyle name="Millares 2 5 4 2 2 2 2 3 2" xfId="48518" xr:uid="{00000000-0005-0000-0000-0000C6190000}"/>
    <cellStyle name="Millares 2 5 4 2 2 2 2 4" xfId="34956" xr:uid="{00000000-0005-0000-0000-0000C7190000}"/>
    <cellStyle name="Millares 2 5 4 2 2 2 3" xfId="11209" xr:uid="{00000000-0005-0000-0000-0000C8190000}"/>
    <cellStyle name="Millares 2 5 4 2 2 2 3 2" xfId="24777" xr:uid="{00000000-0005-0000-0000-0000C9190000}"/>
    <cellStyle name="Millares 2 5 4 2 2 2 3 2 2" xfId="51910" xr:uid="{00000000-0005-0000-0000-0000CA190000}"/>
    <cellStyle name="Millares 2 5 4 2 2 2 3 3" xfId="38348" xr:uid="{00000000-0005-0000-0000-0000CB190000}"/>
    <cellStyle name="Millares 2 5 4 2 2 2 4" xfId="17996" xr:uid="{00000000-0005-0000-0000-0000CC190000}"/>
    <cellStyle name="Millares 2 5 4 2 2 2 4 2" xfId="45129" xr:uid="{00000000-0005-0000-0000-0000CD190000}"/>
    <cellStyle name="Millares 2 5 4 2 2 2 5" xfId="31567" xr:uid="{00000000-0005-0000-0000-0000CE190000}"/>
    <cellStyle name="Millares 2 5 4 2 2 3" xfId="4199" xr:uid="{00000000-0005-0000-0000-0000CF190000}"/>
    <cellStyle name="Millares 2 5 4 2 2 3 2" xfId="7809" xr:uid="{00000000-0005-0000-0000-0000D0190000}"/>
    <cellStyle name="Millares 2 5 4 2 2 3 2 2" xfId="14599" xr:uid="{00000000-0005-0000-0000-0000D1190000}"/>
    <cellStyle name="Millares 2 5 4 2 2 3 2 2 2" xfId="28167" xr:uid="{00000000-0005-0000-0000-0000D2190000}"/>
    <cellStyle name="Millares 2 5 4 2 2 3 2 2 2 2" xfId="55300" xr:uid="{00000000-0005-0000-0000-0000D3190000}"/>
    <cellStyle name="Millares 2 5 4 2 2 3 2 2 3" xfId="41738" xr:uid="{00000000-0005-0000-0000-0000D4190000}"/>
    <cellStyle name="Millares 2 5 4 2 2 3 2 3" xfId="21386" xr:uid="{00000000-0005-0000-0000-0000D5190000}"/>
    <cellStyle name="Millares 2 5 4 2 2 3 2 3 2" xfId="48519" xr:uid="{00000000-0005-0000-0000-0000D6190000}"/>
    <cellStyle name="Millares 2 5 4 2 2 3 2 4" xfId="34957" xr:uid="{00000000-0005-0000-0000-0000D7190000}"/>
    <cellStyle name="Millares 2 5 4 2 2 3 3" xfId="11210" xr:uid="{00000000-0005-0000-0000-0000D8190000}"/>
    <cellStyle name="Millares 2 5 4 2 2 3 3 2" xfId="24778" xr:uid="{00000000-0005-0000-0000-0000D9190000}"/>
    <cellStyle name="Millares 2 5 4 2 2 3 3 2 2" xfId="51911" xr:uid="{00000000-0005-0000-0000-0000DA190000}"/>
    <cellStyle name="Millares 2 5 4 2 2 3 3 3" xfId="38349" xr:uid="{00000000-0005-0000-0000-0000DB190000}"/>
    <cellStyle name="Millares 2 5 4 2 2 3 4" xfId="17997" xr:uid="{00000000-0005-0000-0000-0000DC190000}"/>
    <cellStyle name="Millares 2 5 4 2 2 3 4 2" xfId="45130" xr:uid="{00000000-0005-0000-0000-0000DD190000}"/>
    <cellStyle name="Millares 2 5 4 2 2 3 5" xfId="31568" xr:uid="{00000000-0005-0000-0000-0000DE190000}"/>
    <cellStyle name="Millares 2 5 4 2 2 4" xfId="7807" xr:uid="{00000000-0005-0000-0000-0000DF190000}"/>
    <cellStyle name="Millares 2 5 4 2 2 4 2" xfId="14597" xr:uid="{00000000-0005-0000-0000-0000E0190000}"/>
    <cellStyle name="Millares 2 5 4 2 2 4 2 2" xfId="28165" xr:uid="{00000000-0005-0000-0000-0000E1190000}"/>
    <cellStyle name="Millares 2 5 4 2 2 4 2 2 2" xfId="55298" xr:uid="{00000000-0005-0000-0000-0000E2190000}"/>
    <cellStyle name="Millares 2 5 4 2 2 4 2 3" xfId="41736" xr:uid="{00000000-0005-0000-0000-0000E3190000}"/>
    <cellStyle name="Millares 2 5 4 2 2 4 3" xfId="21384" xr:uid="{00000000-0005-0000-0000-0000E4190000}"/>
    <cellStyle name="Millares 2 5 4 2 2 4 3 2" xfId="48517" xr:uid="{00000000-0005-0000-0000-0000E5190000}"/>
    <cellStyle name="Millares 2 5 4 2 2 4 4" xfId="34955" xr:uid="{00000000-0005-0000-0000-0000E6190000}"/>
    <cellStyle name="Millares 2 5 4 2 2 5" xfId="11208" xr:uid="{00000000-0005-0000-0000-0000E7190000}"/>
    <cellStyle name="Millares 2 5 4 2 2 5 2" xfId="24776" xr:uid="{00000000-0005-0000-0000-0000E8190000}"/>
    <cellStyle name="Millares 2 5 4 2 2 5 2 2" xfId="51909" xr:uid="{00000000-0005-0000-0000-0000E9190000}"/>
    <cellStyle name="Millares 2 5 4 2 2 5 3" xfId="38347" xr:uid="{00000000-0005-0000-0000-0000EA190000}"/>
    <cellStyle name="Millares 2 5 4 2 2 6" xfId="17995" xr:uid="{00000000-0005-0000-0000-0000EB190000}"/>
    <cellStyle name="Millares 2 5 4 2 2 6 2" xfId="45128" xr:uid="{00000000-0005-0000-0000-0000EC190000}"/>
    <cellStyle name="Millares 2 5 4 2 2 7" xfId="31566" xr:uid="{00000000-0005-0000-0000-0000ED190000}"/>
    <cellStyle name="Millares 2 5 4 2 3" xfId="4200" xr:uid="{00000000-0005-0000-0000-0000EE190000}"/>
    <cellStyle name="Millares 2 5 4 2 3 2" xfId="4201" xr:uid="{00000000-0005-0000-0000-0000EF190000}"/>
    <cellStyle name="Millares 2 5 4 2 3 2 2" xfId="7811" xr:uid="{00000000-0005-0000-0000-0000F0190000}"/>
    <cellStyle name="Millares 2 5 4 2 3 2 2 2" xfId="14601" xr:uid="{00000000-0005-0000-0000-0000F1190000}"/>
    <cellStyle name="Millares 2 5 4 2 3 2 2 2 2" xfId="28169" xr:uid="{00000000-0005-0000-0000-0000F2190000}"/>
    <cellStyle name="Millares 2 5 4 2 3 2 2 2 2 2" xfId="55302" xr:uid="{00000000-0005-0000-0000-0000F3190000}"/>
    <cellStyle name="Millares 2 5 4 2 3 2 2 2 3" xfId="41740" xr:uid="{00000000-0005-0000-0000-0000F4190000}"/>
    <cellStyle name="Millares 2 5 4 2 3 2 2 3" xfId="21388" xr:uid="{00000000-0005-0000-0000-0000F5190000}"/>
    <cellStyle name="Millares 2 5 4 2 3 2 2 3 2" xfId="48521" xr:uid="{00000000-0005-0000-0000-0000F6190000}"/>
    <cellStyle name="Millares 2 5 4 2 3 2 2 4" xfId="34959" xr:uid="{00000000-0005-0000-0000-0000F7190000}"/>
    <cellStyle name="Millares 2 5 4 2 3 2 3" xfId="11212" xr:uid="{00000000-0005-0000-0000-0000F8190000}"/>
    <cellStyle name="Millares 2 5 4 2 3 2 3 2" xfId="24780" xr:uid="{00000000-0005-0000-0000-0000F9190000}"/>
    <cellStyle name="Millares 2 5 4 2 3 2 3 2 2" xfId="51913" xr:uid="{00000000-0005-0000-0000-0000FA190000}"/>
    <cellStyle name="Millares 2 5 4 2 3 2 3 3" xfId="38351" xr:uid="{00000000-0005-0000-0000-0000FB190000}"/>
    <cellStyle name="Millares 2 5 4 2 3 2 4" xfId="17999" xr:uid="{00000000-0005-0000-0000-0000FC190000}"/>
    <cellStyle name="Millares 2 5 4 2 3 2 4 2" xfId="45132" xr:uid="{00000000-0005-0000-0000-0000FD190000}"/>
    <cellStyle name="Millares 2 5 4 2 3 2 5" xfId="31570" xr:uid="{00000000-0005-0000-0000-0000FE190000}"/>
    <cellStyle name="Millares 2 5 4 2 3 3" xfId="7810" xr:uid="{00000000-0005-0000-0000-0000FF190000}"/>
    <cellStyle name="Millares 2 5 4 2 3 3 2" xfId="14600" xr:uid="{00000000-0005-0000-0000-0000001A0000}"/>
    <cellStyle name="Millares 2 5 4 2 3 3 2 2" xfId="28168" xr:uid="{00000000-0005-0000-0000-0000011A0000}"/>
    <cellStyle name="Millares 2 5 4 2 3 3 2 2 2" xfId="55301" xr:uid="{00000000-0005-0000-0000-0000021A0000}"/>
    <cellStyle name="Millares 2 5 4 2 3 3 2 3" xfId="41739" xr:uid="{00000000-0005-0000-0000-0000031A0000}"/>
    <cellStyle name="Millares 2 5 4 2 3 3 3" xfId="21387" xr:uid="{00000000-0005-0000-0000-0000041A0000}"/>
    <cellStyle name="Millares 2 5 4 2 3 3 3 2" xfId="48520" xr:uid="{00000000-0005-0000-0000-0000051A0000}"/>
    <cellStyle name="Millares 2 5 4 2 3 3 4" xfId="34958" xr:uid="{00000000-0005-0000-0000-0000061A0000}"/>
    <cellStyle name="Millares 2 5 4 2 3 4" xfId="11211" xr:uid="{00000000-0005-0000-0000-0000071A0000}"/>
    <cellStyle name="Millares 2 5 4 2 3 4 2" xfId="24779" xr:uid="{00000000-0005-0000-0000-0000081A0000}"/>
    <cellStyle name="Millares 2 5 4 2 3 4 2 2" xfId="51912" xr:uid="{00000000-0005-0000-0000-0000091A0000}"/>
    <cellStyle name="Millares 2 5 4 2 3 4 3" xfId="38350" xr:uid="{00000000-0005-0000-0000-00000A1A0000}"/>
    <cellStyle name="Millares 2 5 4 2 3 5" xfId="17998" xr:uid="{00000000-0005-0000-0000-00000B1A0000}"/>
    <cellStyle name="Millares 2 5 4 2 3 5 2" xfId="45131" xr:uid="{00000000-0005-0000-0000-00000C1A0000}"/>
    <cellStyle name="Millares 2 5 4 2 3 6" xfId="31569" xr:uid="{00000000-0005-0000-0000-00000D1A0000}"/>
    <cellStyle name="Millares 2 5 4 2 4" xfId="4202" xr:uid="{00000000-0005-0000-0000-00000E1A0000}"/>
    <cellStyle name="Millares 2 5 4 2 4 2" xfId="7812" xr:uid="{00000000-0005-0000-0000-00000F1A0000}"/>
    <cellStyle name="Millares 2 5 4 2 4 2 2" xfId="14602" xr:uid="{00000000-0005-0000-0000-0000101A0000}"/>
    <cellStyle name="Millares 2 5 4 2 4 2 2 2" xfId="28170" xr:uid="{00000000-0005-0000-0000-0000111A0000}"/>
    <cellStyle name="Millares 2 5 4 2 4 2 2 2 2" xfId="55303" xr:uid="{00000000-0005-0000-0000-0000121A0000}"/>
    <cellStyle name="Millares 2 5 4 2 4 2 2 3" xfId="41741" xr:uid="{00000000-0005-0000-0000-0000131A0000}"/>
    <cellStyle name="Millares 2 5 4 2 4 2 3" xfId="21389" xr:uid="{00000000-0005-0000-0000-0000141A0000}"/>
    <cellStyle name="Millares 2 5 4 2 4 2 3 2" xfId="48522" xr:uid="{00000000-0005-0000-0000-0000151A0000}"/>
    <cellStyle name="Millares 2 5 4 2 4 2 4" xfId="34960" xr:uid="{00000000-0005-0000-0000-0000161A0000}"/>
    <cellStyle name="Millares 2 5 4 2 4 3" xfId="11213" xr:uid="{00000000-0005-0000-0000-0000171A0000}"/>
    <cellStyle name="Millares 2 5 4 2 4 3 2" xfId="24781" xr:uid="{00000000-0005-0000-0000-0000181A0000}"/>
    <cellStyle name="Millares 2 5 4 2 4 3 2 2" xfId="51914" xr:uid="{00000000-0005-0000-0000-0000191A0000}"/>
    <cellStyle name="Millares 2 5 4 2 4 3 3" xfId="38352" xr:uid="{00000000-0005-0000-0000-00001A1A0000}"/>
    <cellStyle name="Millares 2 5 4 2 4 4" xfId="18000" xr:uid="{00000000-0005-0000-0000-00001B1A0000}"/>
    <cellStyle name="Millares 2 5 4 2 4 4 2" xfId="45133" xr:uid="{00000000-0005-0000-0000-00001C1A0000}"/>
    <cellStyle name="Millares 2 5 4 2 4 5" xfId="31571" xr:uid="{00000000-0005-0000-0000-00001D1A0000}"/>
    <cellStyle name="Millares 2 5 4 2 5" xfId="4203" xr:uid="{00000000-0005-0000-0000-00001E1A0000}"/>
    <cellStyle name="Millares 2 5 4 2 5 2" xfId="7813" xr:uid="{00000000-0005-0000-0000-00001F1A0000}"/>
    <cellStyle name="Millares 2 5 4 2 5 2 2" xfId="14603" xr:uid="{00000000-0005-0000-0000-0000201A0000}"/>
    <cellStyle name="Millares 2 5 4 2 5 2 2 2" xfId="28171" xr:uid="{00000000-0005-0000-0000-0000211A0000}"/>
    <cellStyle name="Millares 2 5 4 2 5 2 2 2 2" xfId="55304" xr:uid="{00000000-0005-0000-0000-0000221A0000}"/>
    <cellStyle name="Millares 2 5 4 2 5 2 2 3" xfId="41742" xr:uid="{00000000-0005-0000-0000-0000231A0000}"/>
    <cellStyle name="Millares 2 5 4 2 5 2 3" xfId="21390" xr:uid="{00000000-0005-0000-0000-0000241A0000}"/>
    <cellStyle name="Millares 2 5 4 2 5 2 3 2" xfId="48523" xr:uid="{00000000-0005-0000-0000-0000251A0000}"/>
    <cellStyle name="Millares 2 5 4 2 5 2 4" xfId="34961" xr:uid="{00000000-0005-0000-0000-0000261A0000}"/>
    <cellStyle name="Millares 2 5 4 2 5 3" xfId="11214" xr:uid="{00000000-0005-0000-0000-0000271A0000}"/>
    <cellStyle name="Millares 2 5 4 2 5 3 2" xfId="24782" xr:uid="{00000000-0005-0000-0000-0000281A0000}"/>
    <cellStyle name="Millares 2 5 4 2 5 3 2 2" xfId="51915" xr:uid="{00000000-0005-0000-0000-0000291A0000}"/>
    <cellStyle name="Millares 2 5 4 2 5 3 3" xfId="38353" xr:uid="{00000000-0005-0000-0000-00002A1A0000}"/>
    <cellStyle name="Millares 2 5 4 2 5 4" xfId="18001" xr:uid="{00000000-0005-0000-0000-00002B1A0000}"/>
    <cellStyle name="Millares 2 5 4 2 5 4 2" xfId="45134" xr:uid="{00000000-0005-0000-0000-00002C1A0000}"/>
    <cellStyle name="Millares 2 5 4 2 5 5" xfId="31572" xr:uid="{00000000-0005-0000-0000-00002D1A0000}"/>
    <cellStyle name="Millares 2 5 4 2 6" xfId="7806" xr:uid="{00000000-0005-0000-0000-00002E1A0000}"/>
    <cellStyle name="Millares 2 5 4 2 6 2" xfId="14596" xr:uid="{00000000-0005-0000-0000-00002F1A0000}"/>
    <cellStyle name="Millares 2 5 4 2 6 2 2" xfId="28164" xr:uid="{00000000-0005-0000-0000-0000301A0000}"/>
    <cellStyle name="Millares 2 5 4 2 6 2 2 2" xfId="55297" xr:uid="{00000000-0005-0000-0000-0000311A0000}"/>
    <cellStyle name="Millares 2 5 4 2 6 2 3" xfId="41735" xr:uid="{00000000-0005-0000-0000-0000321A0000}"/>
    <cellStyle name="Millares 2 5 4 2 6 3" xfId="21383" xr:uid="{00000000-0005-0000-0000-0000331A0000}"/>
    <cellStyle name="Millares 2 5 4 2 6 3 2" xfId="48516" xr:uid="{00000000-0005-0000-0000-0000341A0000}"/>
    <cellStyle name="Millares 2 5 4 2 6 4" xfId="34954" xr:uid="{00000000-0005-0000-0000-0000351A0000}"/>
    <cellStyle name="Millares 2 5 4 2 7" xfId="11207" xr:uid="{00000000-0005-0000-0000-0000361A0000}"/>
    <cellStyle name="Millares 2 5 4 2 7 2" xfId="24775" xr:uid="{00000000-0005-0000-0000-0000371A0000}"/>
    <cellStyle name="Millares 2 5 4 2 7 2 2" xfId="51908" xr:uid="{00000000-0005-0000-0000-0000381A0000}"/>
    <cellStyle name="Millares 2 5 4 2 7 3" xfId="38346" xr:uid="{00000000-0005-0000-0000-0000391A0000}"/>
    <cellStyle name="Millares 2 5 4 2 8" xfId="17994" xr:uid="{00000000-0005-0000-0000-00003A1A0000}"/>
    <cellStyle name="Millares 2 5 4 2 8 2" xfId="45127" xr:uid="{00000000-0005-0000-0000-00003B1A0000}"/>
    <cellStyle name="Millares 2 5 4 2 9" xfId="31565" xr:uid="{00000000-0005-0000-0000-00003C1A0000}"/>
    <cellStyle name="Millares 2 5 4 3" xfId="4204" xr:uid="{00000000-0005-0000-0000-00003D1A0000}"/>
    <cellStyle name="Millares 2 5 4 3 2" xfId="4205" xr:uid="{00000000-0005-0000-0000-00003E1A0000}"/>
    <cellStyle name="Millares 2 5 4 3 2 2" xfId="7815" xr:uid="{00000000-0005-0000-0000-00003F1A0000}"/>
    <cellStyle name="Millares 2 5 4 3 2 2 2" xfId="14605" xr:uid="{00000000-0005-0000-0000-0000401A0000}"/>
    <cellStyle name="Millares 2 5 4 3 2 2 2 2" xfId="28173" xr:uid="{00000000-0005-0000-0000-0000411A0000}"/>
    <cellStyle name="Millares 2 5 4 3 2 2 2 2 2" xfId="55306" xr:uid="{00000000-0005-0000-0000-0000421A0000}"/>
    <cellStyle name="Millares 2 5 4 3 2 2 2 3" xfId="41744" xr:uid="{00000000-0005-0000-0000-0000431A0000}"/>
    <cellStyle name="Millares 2 5 4 3 2 2 3" xfId="21392" xr:uid="{00000000-0005-0000-0000-0000441A0000}"/>
    <cellStyle name="Millares 2 5 4 3 2 2 3 2" xfId="48525" xr:uid="{00000000-0005-0000-0000-0000451A0000}"/>
    <cellStyle name="Millares 2 5 4 3 2 2 4" xfId="34963" xr:uid="{00000000-0005-0000-0000-0000461A0000}"/>
    <cellStyle name="Millares 2 5 4 3 2 3" xfId="11216" xr:uid="{00000000-0005-0000-0000-0000471A0000}"/>
    <cellStyle name="Millares 2 5 4 3 2 3 2" xfId="24784" xr:uid="{00000000-0005-0000-0000-0000481A0000}"/>
    <cellStyle name="Millares 2 5 4 3 2 3 2 2" xfId="51917" xr:uid="{00000000-0005-0000-0000-0000491A0000}"/>
    <cellStyle name="Millares 2 5 4 3 2 3 3" xfId="38355" xr:uid="{00000000-0005-0000-0000-00004A1A0000}"/>
    <cellStyle name="Millares 2 5 4 3 2 4" xfId="18003" xr:uid="{00000000-0005-0000-0000-00004B1A0000}"/>
    <cellStyle name="Millares 2 5 4 3 2 4 2" xfId="45136" xr:uid="{00000000-0005-0000-0000-00004C1A0000}"/>
    <cellStyle name="Millares 2 5 4 3 2 5" xfId="31574" xr:uid="{00000000-0005-0000-0000-00004D1A0000}"/>
    <cellStyle name="Millares 2 5 4 3 3" xfId="4206" xr:uid="{00000000-0005-0000-0000-00004E1A0000}"/>
    <cellStyle name="Millares 2 5 4 3 3 2" xfId="7816" xr:uid="{00000000-0005-0000-0000-00004F1A0000}"/>
    <cellStyle name="Millares 2 5 4 3 3 2 2" xfId="14606" xr:uid="{00000000-0005-0000-0000-0000501A0000}"/>
    <cellStyle name="Millares 2 5 4 3 3 2 2 2" xfId="28174" xr:uid="{00000000-0005-0000-0000-0000511A0000}"/>
    <cellStyle name="Millares 2 5 4 3 3 2 2 2 2" xfId="55307" xr:uid="{00000000-0005-0000-0000-0000521A0000}"/>
    <cellStyle name="Millares 2 5 4 3 3 2 2 3" xfId="41745" xr:uid="{00000000-0005-0000-0000-0000531A0000}"/>
    <cellStyle name="Millares 2 5 4 3 3 2 3" xfId="21393" xr:uid="{00000000-0005-0000-0000-0000541A0000}"/>
    <cellStyle name="Millares 2 5 4 3 3 2 3 2" xfId="48526" xr:uid="{00000000-0005-0000-0000-0000551A0000}"/>
    <cellStyle name="Millares 2 5 4 3 3 2 4" xfId="34964" xr:uid="{00000000-0005-0000-0000-0000561A0000}"/>
    <cellStyle name="Millares 2 5 4 3 3 3" xfId="11217" xr:uid="{00000000-0005-0000-0000-0000571A0000}"/>
    <cellStyle name="Millares 2 5 4 3 3 3 2" xfId="24785" xr:uid="{00000000-0005-0000-0000-0000581A0000}"/>
    <cellStyle name="Millares 2 5 4 3 3 3 2 2" xfId="51918" xr:uid="{00000000-0005-0000-0000-0000591A0000}"/>
    <cellStyle name="Millares 2 5 4 3 3 3 3" xfId="38356" xr:uid="{00000000-0005-0000-0000-00005A1A0000}"/>
    <cellStyle name="Millares 2 5 4 3 3 4" xfId="18004" xr:uid="{00000000-0005-0000-0000-00005B1A0000}"/>
    <cellStyle name="Millares 2 5 4 3 3 4 2" xfId="45137" xr:uid="{00000000-0005-0000-0000-00005C1A0000}"/>
    <cellStyle name="Millares 2 5 4 3 3 5" xfId="31575" xr:uid="{00000000-0005-0000-0000-00005D1A0000}"/>
    <cellStyle name="Millares 2 5 4 3 4" xfId="7814" xr:uid="{00000000-0005-0000-0000-00005E1A0000}"/>
    <cellStyle name="Millares 2 5 4 3 4 2" xfId="14604" xr:uid="{00000000-0005-0000-0000-00005F1A0000}"/>
    <cellStyle name="Millares 2 5 4 3 4 2 2" xfId="28172" xr:uid="{00000000-0005-0000-0000-0000601A0000}"/>
    <cellStyle name="Millares 2 5 4 3 4 2 2 2" xfId="55305" xr:uid="{00000000-0005-0000-0000-0000611A0000}"/>
    <cellStyle name="Millares 2 5 4 3 4 2 3" xfId="41743" xr:uid="{00000000-0005-0000-0000-0000621A0000}"/>
    <cellStyle name="Millares 2 5 4 3 4 3" xfId="21391" xr:uid="{00000000-0005-0000-0000-0000631A0000}"/>
    <cellStyle name="Millares 2 5 4 3 4 3 2" xfId="48524" xr:uid="{00000000-0005-0000-0000-0000641A0000}"/>
    <cellStyle name="Millares 2 5 4 3 4 4" xfId="34962" xr:uid="{00000000-0005-0000-0000-0000651A0000}"/>
    <cellStyle name="Millares 2 5 4 3 5" xfId="11215" xr:uid="{00000000-0005-0000-0000-0000661A0000}"/>
    <cellStyle name="Millares 2 5 4 3 5 2" xfId="24783" xr:uid="{00000000-0005-0000-0000-0000671A0000}"/>
    <cellStyle name="Millares 2 5 4 3 5 2 2" xfId="51916" xr:uid="{00000000-0005-0000-0000-0000681A0000}"/>
    <cellStyle name="Millares 2 5 4 3 5 3" xfId="38354" xr:uid="{00000000-0005-0000-0000-0000691A0000}"/>
    <cellStyle name="Millares 2 5 4 3 6" xfId="18002" xr:uid="{00000000-0005-0000-0000-00006A1A0000}"/>
    <cellStyle name="Millares 2 5 4 3 6 2" xfId="45135" xr:uid="{00000000-0005-0000-0000-00006B1A0000}"/>
    <cellStyle name="Millares 2 5 4 3 7" xfId="31573" xr:uid="{00000000-0005-0000-0000-00006C1A0000}"/>
    <cellStyle name="Millares 2 5 4 4" xfId="4207" xr:uid="{00000000-0005-0000-0000-00006D1A0000}"/>
    <cellStyle name="Millares 2 5 4 4 2" xfId="4208" xr:uid="{00000000-0005-0000-0000-00006E1A0000}"/>
    <cellStyle name="Millares 2 5 4 4 2 2" xfId="7818" xr:uid="{00000000-0005-0000-0000-00006F1A0000}"/>
    <cellStyle name="Millares 2 5 4 4 2 2 2" xfId="14608" xr:uid="{00000000-0005-0000-0000-0000701A0000}"/>
    <cellStyle name="Millares 2 5 4 4 2 2 2 2" xfId="28176" xr:uid="{00000000-0005-0000-0000-0000711A0000}"/>
    <cellStyle name="Millares 2 5 4 4 2 2 2 2 2" xfId="55309" xr:uid="{00000000-0005-0000-0000-0000721A0000}"/>
    <cellStyle name="Millares 2 5 4 4 2 2 2 3" xfId="41747" xr:uid="{00000000-0005-0000-0000-0000731A0000}"/>
    <cellStyle name="Millares 2 5 4 4 2 2 3" xfId="21395" xr:uid="{00000000-0005-0000-0000-0000741A0000}"/>
    <cellStyle name="Millares 2 5 4 4 2 2 3 2" xfId="48528" xr:uid="{00000000-0005-0000-0000-0000751A0000}"/>
    <cellStyle name="Millares 2 5 4 4 2 2 4" xfId="34966" xr:uid="{00000000-0005-0000-0000-0000761A0000}"/>
    <cellStyle name="Millares 2 5 4 4 2 3" xfId="11219" xr:uid="{00000000-0005-0000-0000-0000771A0000}"/>
    <cellStyle name="Millares 2 5 4 4 2 3 2" xfId="24787" xr:uid="{00000000-0005-0000-0000-0000781A0000}"/>
    <cellStyle name="Millares 2 5 4 4 2 3 2 2" xfId="51920" xr:uid="{00000000-0005-0000-0000-0000791A0000}"/>
    <cellStyle name="Millares 2 5 4 4 2 3 3" xfId="38358" xr:uid="{00000000-0005-0000-0000-00007A1A0000}"/>
    <cellStyle name="Millares 2 5 4 4 2 4" xfId="18006" xr:uid="{00000000-0005-0000-0000-00007B1A0000}"/>
    <cellStyle name="Millares 2 5 4 4 2 4 2" xfId="45139" xr:uid="{00000000-0005-0000-0000-00007C1A0000}"/>
    <cellStyle name="Millares 2 5 4 4 2 5" xfId="31577" xr:uid="{00000000-0005-0000-0000-00007D1A0000}"/>
    <cellStyle name="Millares 2 5 4 4 3" xfId="7817" xr:uid="{00000000-0005-0000-0000-00007E1A0000}"/>
    <cellStyle name="Millares 2 5 4 4 3 2" xfId="14607" xr:uid="{00000000-0005-0000-0000-00007F1A0000}"/>
    <cellStyle name="Millares 2 5 4 4 3 2 2" xfId="28175" xr:uid="{00000000-0005-0000-0000-0000801A0000}"/>
    <cellStyle name="Millares 2 5 4 4 3 2 2 2" xfId="55308" xr:uid="{00000000-0005-0000-0000-0000811A0000}"/>
    <cellStyle name="Millares 2 5 4 4 3 2 3" xfId="41746" xr:uid="{00000000-0005-0000-0000-0000821A0000}"/>
    <cellStyle name="Millares 2 5 4 4 3 3" xfId="21394" xr:uid="{00000000-0005-0000-0000-0000831A0000}"/>
    <cellStyle name="Millares 2 5 4 4 3 3 2" xfId="48527" xr:uid="{00000000-0005-0000-0000-0000841A0000}"/>
    <cellStyle name="Millares 2 5 4 4 3 4" xfId="34965" xr:uid="{00000000-0005-0000-0000-0000851A0000}"/>
    <cellStyle name="Millares 2 5 4 4 4" xfId="11218" xr:uid="{00000000-0005-0000-0000-0000861A0000}"/>
    <cellStyle name="Millares 2 5 4 4 4 2" xfId="24786" xr:uid="{00000000-0005-0000-0000-0000871A0000}"/>
    <cellStyle name="Millares 2 5 4 4 4 2 2" xfId="51919" xr:uid="{00000000-0005-0000-0000-0000881A0000}"/>
    <cellStyle name="Millares 2 5 4 4 4 3" xfId="38357" xr:uid="{00000000-0005-0000-0000-0000891A0000}"/>
    <cellStyle name="Millares 2 5 4 4 5" xfId="18005" xr:uid="{00000000-0005-0000-0000-00008A1A0000}"/>
    <cellStyle name="Millares 2 5 4 4 5 2" xfId="45138" xr:uid="{00000000-0005-0000-0000-00008B1A0000}"/>
    <cellStyle name="Millares 2 5 4 4 6" xfId="31576" xr:uid="{00000000-0005-0000-0000-00008C1A0000}"/>
    <cellStyle name="Millares 2 5 4 5" xfId="4209" xr:uid="{00000000-0005-0000-0000-00008D1A0000}"/>
    <cellStyle name="Millares 2 5 4 5 2" xfId="7819" xr:uid="{00000000-0005-0000-0000-00008E1A0000}"/>
    <cellStyle name="Millares 2 5 4 5 2 2" xfId="14609" xr:uid="{00000000-0005-0000-0000-00008F1A0000}"/>
    <cellStyle name="Millares 2 5 4 5 2 2 2" xfId="28177" xr:uid="{00000000-0005-0000-0000-0000901A0000}"/>
    <cellStyle name="Millares 2 5 4 5 2 2 2 2" xfId="55310" xr:uid="{00000000-0005-0000-0000-0000911A0000}"/>
    <cellStyle name="Millares 2 5 4 5 2 2 3" xfId="41748" xr:uid="{00000000-0005-0000-0000-0000921A0000}"/>
    <cellStyle name="Millares 2 5 4 5 2 3" xfId="21396" xr:uid="{00000000-0005-0000-0000-0000931A0000}"/>
    <cellStyle name="Millares 2 5 4 5 2 3 2" xfId="48529" xr:uid="{00000000-0005-0000-0000-0000941A0000}"/>
    <cellStyle name="Millares 2 5 4 5 2 4" xfId="34967" xr:uid="{00000000-0005-0000-0000-0000951A0000}"/>
    <cellStyle name="Millares 2 5 4 5 3" xfId="11220" xr:uid="{00000000-0005-0000-0000-0000961A0000}"/>
    <cellStyle name="Millares 2 5 4 5 3 2" xfId="24788" xr:uid="{00000000-0005-0000-0000-0000971A0000}"/>
    <cellStyle name="Millares 2 5 4 5 3 2 2" xfId="51921" xr:uid="{00000000-0005-0000-0000-0000981A0000}"/>
    <cellStyle name="Millares 2 5 4 5 3 3" xfId="38359" xr:uid="{00000000-0005-0000-0000-0000991A0000}"/>
    <cellStyle name="Millares 2 5 4 5 4" xfId="18007" xr:uid="{00000000-0005-0000-0000-00009A1A0000}"/>
    <cellStyle name="Millares 2 5 4 5 4 2" xfId="45140" xr:uid="{00000000-0005-0000-0000-00009B1A0000}"/>
    <cellStyle name="Millares 2 5 4 5 5" xfId="31578" xr:uid="{00000000-0005-0000-0000-00009C1A0000}"/>
    <cellStyle name="Millares 2 5 4 6" xfId="4210" xr:uid="{00000000-0005-0000-0000-00009D1A0000}"/>
    <cellStyle name="Millares 2 5 4 6 2" xfId="7820" xr:uid="{00000000-0005-0000-0000-00009E1A0000}"/>
    <cellStyle name="Millares 2 5 4 6 2 2" xfId="14610" xr:uid="{00000000-0005-0000-0000-00009F1A0000}"/>
    <cellStyle name="Millares 2 5 4 6 2 2 2" xfId="28178" xr:uid="{00000000-0005-0000-0000-0000A01A0000}"/>
    <cellStyle name="Millares 2 5 4 6 2 2 2 2" xfId="55311" xr:uid="{00000000-0005-0000-0000-0000A11A0000}"/>
    <cellStyle name="Millares 2 5 4 6 2 2 3" xfId="41749" xr:uid="{00000000-0005-0000-0000-0000A21A0000}"/>
    <cellStyle name="Millares 2 5 4 6 2 3" xfId="21397" xr:uid="{00000000-0005-0000-0000-0000A31A0000}"/>
    <cellStyle name="Millares 2 5 4 6 2 3 2" xfId="48530" xr:uid="{00000000-0005-0000-0000-0000A41A0000}"/>
    <cellStyle name="Millares 2 5 4 6 2 4" xfId="34968" xr:uid="{00000000-0005-0000-0000-0000A51A0000}"/>
    <cellStyle name="Millares 2 5 4 6 3" xfId="11221" xr:uid="{00000000-0005-0000-0000-0000A61A0000}"/>
    <cellStyle name="Millares 2 5 4 6 3 2" xfId="24789" xr:uid="{00000000-0005-0000-0000-0000A71A0000}"/>
    <cellStyle name="Millares 2 5 4 6 3 2 2" xfId="51922" xr:uid="{00000000-0005-0000-0000-0000A81A0000}"/>
    <cellStyle name="Millares 2 5 4 6 3 3" xfId="38360" xr:uid="{00000000-0005-0000-0000-0000A91A0000}"/>
    <cellStyle name="Millares 2 5 4 6 4" xfId="18008" xr:uid="{00000000-0005-0000-0000-0000AA1A0000}"/>
    <cellStyle name="Millares 2 5 4 6 4 2" xfId="45141" xr:uid="{00000000-0005-0000-0000-0000AB1A0000}"/>
    <cellStyle name="Millares 2 5 4 6 5" xfId="31579" xr:uid="{00000000-0005-0000-0000-0000AC1A0000}"/>
    <cellStyle name="Millares 2 5 4 7" xfId="7805" xr:uid="{00000000-0005-0000-0000-0000AD1A0000}"/>
    <cellStyle name="Millares 2 5 4 7 2" xfId="14595" xr:uid="{00000000-0005-0000-0000-0000AE1A0000}"/>
    <cellStyle name="Millares 2 5 4 7 2 2" xfId="28163" xr:uid="{00000000-0005-0000-0000-0000AF1A0000}"/>
    <cellStyle name="Millares 2 5 4 7 2 2 2" xfId="55296" xr:uid="{00000000-0005-0000-0000-0000B01A0000}"/>
    <cellStyle name="Millares 2 5 4 7 2 3" xfId="41734" xr:uid="{00000000-0005-0000-0000-0000B11A0000}"/>
    <cellStyle name="Millares 2 5 4 7 3" xfId="21382" xr:uid="{00000000-0005-0000-0000-0000B21A0000}"/>
    <cellStyle name="Millares 2 5 4 7 3 2" xfId="48515" xr:uid="{00000000-0005-0000-0000-0000B31A0000}"/>
    <cellStyle name="Millares 2 5 4 7 4" xfId="34953" xr:uid="{00000000-0005-0000-0000-0000B41A0000}"/>
    <cellStyle name="Millares 2 5 4 8" xfId="11206" xr:uid="{00000000-0005-0000-0000-0000B51A0000}"/>
    <cellStyle name="Millares 2 5 4 8 2" xfId="24774" xr:uid="{00000000-0005-0000-0000-0000B61A0000}"/>
    <cellStyle name="Millares 2 5 4 8 2 2" xfId="51907" xr:uid="{00000000-0005-0000-0000-0000B71A0000}"/>
    <cellStyle name="Millares 2 5 4 8 3" xfId="38345" xr:uid="{00000000-0005-0000-0000-0000B81A0000}"/>
    <cellStyle name="Millares 2 5 4 9" xfId="17993" xr:uid="{00000000-0005-0000-0000-0000B91A0000}"/>
    <cellStyle name="Millares 2 5 4 9 2" xfId="45126" xr:uid="{00000000-0005-0000-0000-0000BA1A0000}"/>
    <cellStyle name="Millares 2 5 5" xfId="4211" xr:uid="{00000000-0005-0000-0000-0000BB1A0000}"/>
    <cellStyle name="Millares 2 5 5 2" xfId="4212" xr:uid="{00000000-0005-0000-0000-0000BC1A0000}"/>
    <cellStyle name="Millares 2 5 5 2 2" xfId="4213" xr:uid="{00000000-0005-0000-0000-0000BD1A0000}"/>
    <cellStyle name="Millares 2 5 5 2 2 2" xfId="7823" xr:uid="{00000000-0005-0000-0000-0000BE1A0000}"/>
    <cellStyle name="Millares 2 5 5 2 2 2 2" xfId="14613" xr:uid="{00000000-0005-0000-0000-0000BF1A0000}"/>
    <cellStyle name="Millares 2 5 5 2 2 2 2 2" xfId="28181" xr:uid="{00000000-0005-0000-0000-0000C01A0000}"/>
    <cellStyle name="Millares 2 5 5 2 2 2 2 2 2" xfId="55314" xr:uid="{00000000-0005-0000-0000-0000C11A0000}"/>
    <cellStyle name="Millares 2 5 5 2 2 2 2 3" xfId="41752" xr:uid="{00000000-0005-0000-0000-0000C21A0000}"/>
    <cellStyle name="Millares 2 5 5 2 2 2 3" xfId="21400" xr:uid="{00000000-0005-0000-0000-0000C31A0000}"/>
    <cellStyle name="Millares 2 5 5 2 2 2 3 2" xfId="48533" xr:uid="{00000000-0005-0000-0000-0000C41A0000}"/>
    <cellStyle name="Millares 2 5 5 2 2 2 4" xfId="34971" xr:uid="{00000000-0005-0000-0000-0000C51A0000}"/>
    <cellStyle name="Millares 2 5 5 2 2 3" xfId="11224" xr:uid="{00000000-0005-0000-0000-0000C61A0000}"/>
    <cellStyle name="Millares 2 5 5 2 2 3 2" xfId="24792" xr:uid="{00000000-0005-0000-0000-0000C71A0000}"/>
    <cellStyle name="Millares 2 5 5 2 2 3 2 2" xfId="51925" xr:uid="{00000000-0005-0000-0000-0000C81A0000}"/>
    <cellStyle name="Millares 2 5 5 2 2 3 3" xfId="38363" xr:uid="{00000000-0005-0000-0000-0000C91A0000}"/>
    <cellStyle name="Millares 2 5 5 2 2 4" xfId="18011" xr:uid="{00000000-0005-0000-0000-0000CA1A0000}"/>
    <cellStyle name="Millares 2 5 5 2 2 4 2" xfId="45144" xr:uid="{00000000-0005-0000-0000-0000CB1A0000}"/>
    <cellStyle name="Millares 2 5 5 2 2 5" xfId="31582" xr:uid="{00000000-0005-0000-0000-0000CC1A0000}"/>
    <cellStyle name="Millares 2 5 5 2 3" xfId="4214" xr:uid="{00000000-0005-0000-0000-0000CD1A0000}"/>
    <cellStyle name="Millares 2 5 5 2 3 2" xfId="7824" xr:uid="{00000000-0005-0000-0000-0000CE1A0000}"/>
    <cellStyle name="Millares 2 5 5 2 3 2 2" xfId="14614" xr:uid="{00000000-0005-0000-0000-0000CF1A0000}"/>
    <cellStyle name="Millares 2 5 5 2 3 2 2 2" xfId="28182" xr:uid="{00000000-0005-0000-0000-0000D01A0000}"/>
    <cellStyle name="Millares 2 5 5 2 3 2 2 2 2" xfId="55315" xr:uid="{00000000-0005-0000-0000-0000D11A0000}"/>
    <cellStyle name="Millares 2 5 5 2 3 2 2 3" xfId="41753" xr:uid="{00000000-0005-0000-0000-0000D21A0000}"/>
    <cellStyle name="Millares 2 5 5 2 3 2 3" xfId="21401" xr:uid="{00000000-0005-0000-0000-0000D31A0000}"/>
    <cellStyle name="Millares 2 5 5 2 3 2 3 2" xfId="48534" xr:uid="{00000000-0005-0000-0000-0000D41A0000}"/>
    <cellStyle name="Millares 2 5 5 2 3 2 4" xfId="34972" xr:uid="{00000000-0005-0000-0000-0000D51A0000}"/>
    <cellStyle name="Millares 2 5 5 2 3 3" xfId="11225" xr:uid="{00000000-0005-0000-0000-0000D61A0000}"/>
    <cellStyle name="Millares 2 5 5 2 3 3 2" xfId="24793" xr:uid="{00000000-0005-0000-0000-0000D71A0000}"/>
    <cellStyle name="Millares 2 5 5 2 3 3 2 2" xfId="51926" xr:uid="{00000000-0005-0000-0000-0000D81A0000}"/>
    <cellStyle name="Millares 2 5 5 2 3 3 3" xfId="38364" xr:uid="{00000000-0005-0000-0000-0000D91A0000}"/>
    <cellStyle name="Millares 2 5 5 2 3 4" xfId="18012" xr:uid="{00000000-0005-0000-0000-0000DA1A0000}"/>
    <cellStyle name="Millares 2 5 5 2 3 4 2" xfId="45145" xr:uid="{00000000-0005-0000-0000-0000DB1A0000}"/>
    <cellStyle name="Millares 2 5 5 2 3 5" xfId="31583" xr:uid="{00000000-0005-0000-0000-0000DC1A0000}"/>
    <cellStyle name="Millares 2 5 5 2 4" xfId="7822" xr:uid="{00000000-0005-0000-0000-0000DD1A0000}"/>
    <cellStyle name="Millares 2 5 5 2 4 2" xfId="14612" xr:uid="{00000000-0005-0000-0000-0000DE1A0000}"/>
    <cellStyle name="Millares 2 5 5 2 4 2 2" xfId="28180" xr:uid="{00000000-0005-0000-0000-0000DF1A0000}"/>
    <cellStyle name="Millares 2 5 5 2 4 2 2 2" xfId="55313" xr:uid="{00000000-0005-0000-0000-0000E01A0000}"/>
    <cellStyle name="Millares 2 5 5 2 4 2 3" xfId="41751" xr:uid="{00000000-0005-0000-0000-0000E11A0000}"/>
    <cellStyle name="Millares 2 5 5 2 4 3" xfId="21399" xr:uid="{00000000-0005-0000-0000-0000E21A0000}"/>
    <cellStyle name="Millares 2 5 5 2 4 3 2" xfId="48532" xr:uid="{00000000-0005-0000-0000-0000E31A0000}"/>
    <cellStyle name="Millares 2 5 5 2 4 4" xfId="34970" xr:uid="{00000000-0005-0000-0000-0000E41A0000}"/>
    <cellStyle name="Millares 2 5 5 2 5" xfId="11223" xr:uid="{00000000-0005-0000-0000-0000E51A0000}"/>
    <cellStyle name="Millares 2 5 5 2 5 2" xfId="24791" xr:uid="{00000000-0005-0000-0000-0000E61A0000}"/>
    <cellStyle name="Millares 2 5 5 2 5 2 2" xfId="51924" xr:uid="{00000000-0005-0000-0000-0000E71A0000}"/>
    <cellStyle name="Millares 2 5 5 2 5 3" xfId="38362" xr:uid="{00000000-0005-0000-0000-0000E81A0000}"/>
    <cellStyle name="Millares 2 5 5 2 6" xfId="18010" xr:uid="{00000000-0005-0000-0000-0000E91A0000}"/>
    <cellStyle name="Millares 2 5 5 2 6 2" xfId="45143" xr:uid="{00000000-0005-0000-0000-0000EA1A0000}"/>
    <cellStyle name="Millares 2 5 5 2 7" xfId="31581" xr:uid="{00000000-0005-0000-0000-0000EB1A0000}"/>
    <cellStyle name="Millares 2 5 5 3" xfId="4215" xr:uid="{00000000-0005-0000-0000-0000EC1A0000}"/>
    <cellStyle name="Millares 2 5 5 3 2" xfId="4216" xr:uid="{00000000-0005-0000-0000-0000ED1A0000}"/>
    <cellStyle name="Millares 2 5 5 3 2 2" xfId="7826" xr:uid="{00000000-0005-0000-0000-0000EE1A0000}"/>
    <cellStyle name="Millares 2 5 5 3 2 2 2" xfId="14616" xr:uid="{00000000-0005-0000-0000-0000EF1A0000}"/>
    <cellStyle name="Millares 2 5 5 3 2 2 2 2" xfId="28184" xr:uid="{00000000-0005-0000-0000-0000F01A0000}"/>
    <cellStyle name="Millares 2 5 5 3 2 2 2 2 2" xfId="55317" xr:uid="{00000000-0005-0000-0000-0000F11A0000}"/>
    <cellStyle name="Millares 2 5 5 3 2 2 2 3" xfId="41755" xr:uid="{00000000-0005-0000-0000-0000F21A0000}"/>
    <cellStyle name="Millares 2 5 5 3 2 2 3" xfId="21403" xr:uid="{00000000-0005-0000-0000-0000F31A0000}"/>
    <cellStyle name="Millares 2 5 5 3 2 2 3 2" xfId="48536" xr:uid="{00000000-0005-0000-0000-0000F41A0000}"/>
    <cellStyle name="Millares 2 5 5 3 2 2 4" xfId="34974" xr:uid="{00000000-0005-0000-0000-0000F51A0000}"/>
    <cellStyle name="Millares 2 5 5 3 2 3" xfId="11227" xr:uid="{00000000-0005-0000-0000-0000F61A0000}"/>
    <cellStyle name="Millares 2 5 5 3 2 3 2" xfId="24795" xr:uid="{00000000-0005-0000-0000-0000F71A0000}"/>
    <cellStyle name="Millares 2 5 5 3 2 3 2 2" xfId="51928" xr:uid="{00000000-0005-0000-0000-0000F81A0000}"/>
    <cellStyle name="Millares 2 5 5 3 2 3 3" xfId="38366" xr:uid="{00000000-0005-0000-0000-0000F91A0000}"/>
    <cellStyle name="Millares 2 5 5 3 2 4" xfId="18014" xr:uid="{00000000-0005-0000-0000-0000FA1A0000}"/>
    <cellStyle name="Millares 2 5 5 3 2 4 2" xfId="45147" xr:uid="{00000000-0005-0000-0000-0000FB1A0000}"/>
    <cellStyle name="Millares 2 5 5 3 2 5" xfId="31585" xr:uid="{00000000-0005-0000-0000-0000FC1A0000}"/>
    <cellStyle name="Millares 2 5 5 3 3" xfId="7825" xr:uid="{00000000-0005-0000-0000-0000FD1A0000}"/>
    <cellStyle name="Millares 2 5 5 3 3 2" xfId="14615" xr:uid="{00000000-0005-0000-0000-0000FE1A0000}"/>
    <cellStyle name="Millares 2 5 5 3 3 2 2" xfId="28183" xr:uid="{00000000-0005-0000-0000-0000FF1A0000}"/>
    <cellStyle name="Millares 2 5 5 3 3 2 2 2" xfId="55316" xr:uid="{00000000-0005-0000-0000-0000001B0000}"/>
    <cellStyle name="Millares 2 5 5 3 3 2 3" xfId="41754" xr:uid="{00000000-0005-0000-0000-0000011B0000}"/>
    <cellStyle name="Millares 2 5 5 3 3 3" xfId="21402" xr:uid="{00000000-0005-0000-0000-0000021B0000}"/>
    <cellStyle name="Millares 2 5 5 3 3 3 2" xfId="48535" xr:uid="{00000000-0005-0000-0000-0000031B0000}"/>
    <cellStyle name="Millares 2 5 5 3 3 4" xfId="34973" xr:uid="{00000000-0005-0000-0000-0000041B0000}"/>
    <cellStyle name="Millares 2 5 5 3 4" xfId="11226" xr:uid="{00000000-0005-0000-0000-0000051B0000}"/>
    <cellStyle name="Millares 2 5 5 3 4 2" xfId="24794" xr:uid="{00000000-0005-0000-0000-0000061B0000}"/>
    <cellStyle name="Millares 2 5 5 3 4 2 2" xfId="51927" xr:uid="{00000000-0005-0000-0000-0000071B0000}"/>
    <cellStyle name="Millares 2 5 5 3 4 3" xfId="38365" xr:uid="{00000000-0005-0000-0000-0000081B0000}"/>
    <cellStyle name="Millares 2 5 5 3 5" xfId="18013" xr:uid="{00000000-0005-0000-0000-0000091B0000}"/>
    <cellStyle name="Millares 2 5 5 3 5 2" xfId="45146" xr:uid="{00000000-0005-0000-0000-00000A1B0000}"/>
    <cellStyle name="Millares 2 5 5 3 6" xfId="31584" xr:uid="{00000000-0005-0000-0000-00000B1B0000}"/>
    <cellStyle name="Millares 2 5 5 4" xfId="4217" xr:uid="{00000000-0005-0000-0000-00000C1B0000}"/>
    <cellStyle name="Millares 2 5 5 4 2" xfId="7827" xr:uid="{00000000-0005-0000-0000-00000D1B0000}"/>
    <cellStyle name="Millares 2 5 5 4 2 2" xfId="14617" xr:uid="{00000000-0005-0000-0000-00000E1B0000}"/>
    <cellStyle name="Millares 2 5 5 4 2 2 2" xfId="28185" xr:uid="{00000000-0005-0000-0000-00000F1B0000}"/>
    <cellStyle name="Millares 2 5 5 4 2 2 2 2" xfId="55318" xr:uid="{00000000-0005-0000-0000-0000101B0000}"/>
    <cellStyle name="Millares 2 5 5 4 2 2 3" xfId="41756" xr:uid="{00000000-0005-0000-0000-0000111B0000}"/>
    <cellStyle name="Millares 2 5 5 4 2 3" xfId="21404" xr:uid="{00000000-0005-0000-0000-0000121B0000}"/>
    <cellStyle name="Millares 2 5 5 4 2 3 2" xfId="48537" xr:uid="{00000000-0005-0000-0000-0000131B0000}"/>
    <cellStyle name="Millares 2 5 5 4 2 4" xfId="34975" xr:uid="{00000000-0005-0000-0000-0000141B0000}"/>
    <cellStyle name="Millares 2 5 5 4 3" xfId="11228" xr:uid="{00000000-0005-0000-0000-0000151B0000}"/>
    <cellStyle name="Millares 2 5 5 4 3 2" xfId="24796" xr:uid="{00000000-0005-0000-0000-0000161B0000}"/>
    <cellStyle name="Millares 2 5 5 4 3 2 2" xfId="51929" xr:uid="{00000000-0005-0000-0000-0000171B0000}"/>
    <cellStyle name="Millares 2 5 5 4 3 3" xfId="38367" xr:uid="{00000000-0005-0000-0000-0000181B0000}"/>
    <cellStyle name="Millares 2 5 5 4 4" xfId="18015" xr:uid="{00000000-0005-0000-0000-0000191B0000}"/>
    <cellStyle name="Millares 2 5 5 4 4 2" xfId="45148" xr:uid="{00000000-0005-0000-0000-00001A1B0000}"/>
    <cellStyle name="Millares 2 5 5 4 5" xfId="31586" xr:uid="{00000000-0005-0000-0000-00001B1B0000}"/>
    <cellStyle name="Millares 2 5 5 5" xfId="4218" xr:uid="{00000000-0005-0000-0000-00001C1B0000}"/>
    <cellStyle name="Millares 2 5 5 5 2" xfId="7828" xr:uid="{00000000-0005-0000-0000-00001D1B0000}"/>
    <cellStyle name="Millares 2 5 5 5 2 2" xfId="14618" xr:uid="{00000000-0005-0000-0000-00001E1B0000}"/>
    <cellStyle name="Millares 2 5 5 5 2 2 2" xfId="28186" xr:uid="{00000000-0005-0000-0000-00001F1B0000}"/>
    <cellStyle name="Millares 2 5 5 5 2 2 2 2" xfId="55319" xr:uid="{00000000-0005-0000-0000-0000201B0000}"/>
    <cellStyle name="Millares 2 5 5 5 2 2 3" xfId="41757" xr:uid="{00000000-0005-0000-0000-0000211B0000}"/>
    <cellStyle name="Millares 2 5 5 5 2 3" xfId="21405" xr:uid="{00000000-0005-0000-0000-0000221B0000}"/>
    <cellStyle name="Millares 2 5 5 5 2 3 2" xfId="48538" xr:uid="{00000000-0005-0000-0000-0000231B0000}"/>
    <cellStyle name="Millares 2 5 5 5 2 4" xfId="34976" xr:uid="{00000000-0005-0000-0000-0000241B0000}"/>
    <cellStyle name="Millares 2 5 5 5 3" xfId="11229" xr:uid="{00000000-0005-0000-0000-0000251B0000}"/>
    <cellStyle name="Millares 2 5 5 5 3 2" xfId="24797" xr:uid="{00000000-0005-0000-0000-0000261B0000}"/>
    <cellStyle name="Millares 2 5 5 5 3 2 2" xfId="51930" xr:uid="{00000000-0005-0000-0000-0000271B0000}"/>
    <cellStyle name="Millares 2 5 5 5 3 3" xfId="38368" xr:uid="{00000000-0005-0000-0000-0000281B0000}"/>
    <cellStyle name="Millares 2 5 5 5 4" xfId="18016" xr:uid="{00000000-0005-0000-0000-0000291B0000}"/>
    <cellStyle name="Millares 2 5 5 5 4 2" xfId="45149" xr:uid="{00000000-0005-0000-0000-00002A1B0000}"/>
    <cellStyle name="Millares 2 5 5 5 5" xfId="31587" xr:uid="{00000000-0005-0000-0000-00002B1B0000}"/>
    <cellStyle name="Millares 2 5 5 6" xfId="7821" xr:uid="{00000000-0005-0000-0000-00002C1B0000}"/>
    <cellStyle name="Millares 2 5 5 6 2" xfId="14611" xr:uid="{00000000-0005-0000-0000-00002D1B0000}"/>
    <cellStyle name="Millares 2 5 5 6 2 2" xfId="28179" xr:uid="{00000000-0005-0000-0000-00002E1B0000}"/>
    <cellStyle name="Millares 2 5 5 6 2 2 2" xfId="55312" xr:uid="{00000000-0005-0000-0000-00002F1B0000}"/>
    <cellStyle name="Millares 2 5 5 6 2 3" xfId="41750" xr:uid="{00000000-0005-0000-0000-0000301B0000}"/>
    <cellStyle name="Millares 2 5 5 6 3" xfId="21398" xr:uid="{00000000-0005-0000-0000-0000311B0000}"/>
    <cellStyle name="Millares 2 5 5 6 3 2" xfId="48531" xr:uid="{00000000-0005-0000-0000-0000321B0000}"/>
    <cellStyle name="Millares 2 5 5 6 4" xfId="34969" xr:uid="{00000000-0005-0000-0000-0000331B0000}"/>
    <cellStyle name="Millares 2 5 5 7" xfId="11222" xr:uid="{00000000-0005-0000-0000-0000341B0000}"/>
    <cellStyle name="Millares 2 5 5 7 2" xfId="24790" xr:uid="{00000000-0005-0000-0000-0000351B0000}"/>
    <cellStyle name="Millares 2 5 5 7 2 2" xfId="51923" xr:uid="{00000000-0005-0000-0000-0000361B0000}"/>
    <cellStyle name="Millares 2 5 5 7 3" xfId="38361" xr:uid="{00000000-0005-0000-0000-0000371B0000}"/>
    <cellStyle name="Millares 2 5 5 8" xfId="18009" xr:uid="{00000000-0005-0000-0000-0000381B0000}"/>
    <cellStyle name="Millares 2 5 5 8 2" xfId="45142" xr:uid="{00000000-0005-0000-0000-0000391B0000}"/>
    <cellStyle name="Millares 2 5 5 9" xfId="31580" xr:uid="{00000000-0005-0000-0000-00003A1B0000}"/>
    <cellStyle name="Millares 2 5 6" xfId="4219" xr:uid="{00000000-0005-0000-0000-00003B1B0000}"/>
    <cellStyle name="Millares 2 5 6 2" xfId="4220" xr:uid="{00000000-0005-0000-0000-00003C1B0000}"/>
    <cellStyle name="Millares 2 5 6 2 2" xfId="4221" xr:uid="{00000000-0005-0000-0000-00003D1B0000}"/>
    <cellStyle name="Millares 2 5 6 2 2 2" xfId="7831" xr:uid="{00000000-0005-0000-0000-00003E1B0000}"/>
    <cellStyle name="Millares 2 5 6 2 2 2 2" xfId="14621" xr:uid="{00000000-0005-0000-0000-00003F1B0000}"/>
    <cellStyle name="Millares 2 5 6 2 2 2 2 2" xfId="28189" xr:uid="{00000000-0005-0000-0000-0000401B0000}"/>
    <cellStyle name="Millares 2 5 6 2 2 2 2 2 2" xfId="55322" xr:uid="{00000000-0005-0000-0000-0000411B0000}"/>
    <cellStyle name="Millares 2 5 6 2 2 2 2 3" xfId="41760" xr:uid="{00000000-0005-0000-0000-0000421B0000}"/>
    <cellStyle name="Millares 2 5 6 2 2 2 3" xfId="21408" xr:uid="{00000000-0005-0000-0000-0000431B0000}"/>
    <cellStyle name="Millares 2 5 6 2 2 2 3 2" xfId="48541" xr:uid="{00000000-0005-0000-0000-0000441B0000}"/>
    <cellStyle name="Millares 2 5 6 2 2 2 4" xfId="34979" xr:uid="{00000000-0005-0000-0000-0000451B0000}"/>
    <cellStyle name="Millares 2 5 6 2 2 3" xfId="11232" xr:uid="{00000000-0005-0000-0000-0000461B0000}"/>
    <cellStyle name="Millares 2 5 6 2 2 3 2" xfId="24800" xr:uid="{00000000-0005-0000-0000-0000471B0000}"/>
    <cellStyle name="Millares 2 5 6 2 2 3 2 2" xfId="51933" xr:uid="{00000000-0005-0000-0000-0000481B0000}"/>
    <cellStyle name="Millares 2 5 6 2 2 3 3" xfId="38371" xr:uid="{00000000-0005-0000-0000-0000491B0000}"/>
    <cellStyle name="Millares 2 5 6 2 2 4" xfId="18019" xr:uid="{00000000-0005-0000-0000-00004A1B0000}"/>
    <cellStyle name="Millares 2 5 6 2 2 4 2" xfId="45152" xr:uid="{00000000-0005-0000-0000-00004B1B0000}"/>
    <cellStyle name="Millares 2 5 6 2 2 5" xfId="31590" xr:uid="{00000000-0005-0000-0000-00004C1B0000}"/>
    <cellStyle name="Millares 2 5 6 2 3" xfId="4222" xr:uid="{00000000-0005-0000-0000-00004D1B0000}"/>
    <cellStyle name="Millares 2 5 6 2 3 2" xfId="7832" xr:uid="{00000000-0005-0000-0000-00004E1B0000}"/>
    <cellStyle name="Millares 2 5 6 2 3 2 2" xfId="14622" xr:uid="{00000000-0005-0000-0000-00004F1B0000}"/>
    <cellStyle name="Millares 2 5 6 2 3 2 2 2" xfId="28190" xr:uid="{00000000-0005-0000-0000-0000501B0000}"/>
    <cellStyle name="Millares 2 5 6 2 3 2 2 2 2" xfId="55323" xr:uid="{00000000-0005-0000-0000-0000511B0000}"/>
    <cellStyle name="Millares 2 5 6 2 3 2 2 3" xfId="41761" xr:uid="{00000000-0005-0000-0000-0000521B0000}"/>
    <cellStyle name="Millares 2 5 6 2 3 2 3" xfId="21409" xr:uid="{00000000-0005-0000-0000-0000531B0000}"/>
    <cellStyle name="Millares 2 5 6 2 3 2 3 2" xfId="48542" xr:uid="{00000000-0005-0000-0000-0000541B0000}"/>
    <cellStyle name="Millares 2 5 6 2 3 2 4" xfId="34980" xr:uid="{00000000-0005-0000-0000-0000551B0000}"/>
    <cellStyle name="Millares 2 5 6 2 3 3" xfId="11233" xr:uid="{00000000-0005-0000-0000-0000561B0000}"/>
    <cellStyle name="Millares 2 5 6 2 3 3 2" xfId="24801" xr:uid="{00000000-0005-0000-0000-0000571B0000}"/>
    <cellStyle name="Millares 2 5 6 2 3 3 2 2" xfId="51934" xr:uid="{00000000-0005-0000-0000-0000581B0000}"/>
    <cellStyle name="Millares 2 5 6 2 3 3 3" xfId="38372" xr:uid="{00000000-0005-0000-0000-0000591B0000}"/>
    <cellStyle name="Millares 2 5 6 2 3 4" xfId="18020" xr:uid="{00000000-0005-0000-0000-00005A1B0000}"/>
    <cellStyle name="Millares 2 5 6 2 3 4 2" xfId="45153" xr:uid="{00000000-0005-0000-0000-00005B1B0000}"/>
    <cellStyle name="Millares 2 5 6 2 3 5" xfId="31591" xr:uid="{00000000-0005-0000-0000-00005C1B0000}"/>
    <cellStyle name="Millares 2 5 6 2 4" xfId="7830" xr:uid="{00000000-0005-0000-0000-00005D1B0000}"/>
    <cellStyle name="Millares 2 5 6 2 4 2" xfId="14620" xr:uid="{00000000-0005-0000-0000-00005E1B0000}"/>
    <cellStyle name="Millares 2 5 6 2 4 2 2" xfId="28188" xr:uid="{00000000-0005-0000-0000-00005F1B0000}"/>
    <cellStyle name="Millares 2 5 6 2 4 2 2 2" xfId="55321" xr:uid="{00000000-0005-0000-0000-0000601B0000}"/>
    <cellStyle name="Millares 2 5 6 2 4 2 3" xfId="41759" xr:uid="{00000000-0005-0000-0000-0000611B0000}"/>
    <cellStyle name="Millares 2 5 6 2 4 3" xfId="21407" xr:uid="{00000000-0005-0000-0000-0000621B0000}"/>
    <cellStyle name="Millares 2 5 6 2 4 3 2" xfId="48540" xr:uid="{00000000-0005-0000-0000-0000631B0000}"/>
    <cellStyle name="Millares 2 5 6 2 4 4" xfId="34978" xr:uid="{00000000-0005-0000-0000-0000641B0000}"/>
    <cellStyle name="Millares 2 5 6 2 5" xfId="11231" xr:uid="{00000000-0005-0000-0000-0000651B0000}"/>
    <cellStyle name="Millares 2 5 6 2 5 2" xfId="24799" xr:uid="{00000000-0005-0000-0000-0000661B0000}"/>
    <cellStyle name="Millares 2 5 6 2 5 2 2" xfId="51932" xr:uid="{00000000-0005-0000-0000-0000671B0000}"/>
    <cellStyle name="Millares 2 5 6 2 5 3" xfId="38370" xr:uid="{00000000-0005-0000-0000-0000681B0000}"/>
    <cellStyle name="Millares 2 5 6 2 6" xfId="18018" xr:uid="{00000000-0005-0000-0000-0000691B0000}"/>
    <cellStyle name="Millares 2 5 6 2 6 2" xfId="45151" xr:uid="{00000000-0005-0000-0000-00006A1B0000}"/>
    <cellStyle name="Millares 2 5 6 2 7" xfId="31589" xr:uid="{00000000-0005-0000-0000-00006B1B0000}"/>
    <cellStyle name="Millares 2 5 6 3" xfId="4223" xr:uid="{00000000-0005-0000-0000-00006C1B0000}"/>
    <cellStyle name="Millares 2 5 6 3 2" xfId="7833" xr:uid="{00000000-0005-0000-0000-00006D1B0000}"/>
    <cellStyle name="Millares 2 5 6 3 2 2" xfId="14623" xr:uid="{00000000-0005-0000-0000-00006E1B0000}"/>
    <cellStyle name="Millares 2 5 6 3 2 2 2" xfId="28191" xr:uid="{00000000-0005-0000-0000-00006F1B0000}"/>
    <cellStyle name="Millares 2 5 6 3 2 2 2 2" xfId="55324" xr:uid="{00000000-0005-0000-0000-0000701B0000}"/>
    <cellStyle name="Millares 2 5 6 3 2 2 3" xfId="41762" xr:uid="{00000000-0005-0000-0000-0000711B0000}"/>
    <cellStyle name="Millares 2 5 6 3 2 3" xfId="21410" xr:uid="{00000000-0005-0000-0000-0000721B0000}"/>
    <cellStyle name="Millares 2 5 6 3 2 3 2" xfId="48543" xr:uid="{00000000-0005-0000-0000-0000731B0000}"/>
    <cellStyle name="Millares 2 5 6 3 2 4" xfId="34981" xr:uid="{00000000-0005-0000-0000-0000741B0000}"/>
    <cellStyle name="Millares 2 5 6 3 3" xfId="11234" xr:uid="{00000000-0005-0000-0000-0000751B0000}"/>
    <cellStyle name="Millares 2 5 6 3 3 2" xfId="24802" xr:uid="{00000000-0005-0000-0000-0000761B0000}"/>
    <cellStyle name="Millares 2 5 6 3 3 2 2" xfId="51935" xr:uid="{00000000-0005-0000-0000-0000771B0000}"/>
    <cellStyle name="Millares 2 5 6 3 3 3" xfId="38373" xr:uid="{00000000-0005-0000-0000-0000781B0000}"/>
    <cellStyle name="Millares 2 5 6 3 4" xfId="18021" xr:uid="{00000000-0005-0000-0000-0000791B0000}"/>
    <cellStyle name="Millares 2 5 6 3 4 2" xfId="45154" xr:uid="{00000000-0005-0000-0000-00007A1B0000}"/>
    <cellStyle name="Millares 2 5 6 3 5" xfId="31592" xr:uid="{00000000-0005-0000-0000-00007B1B0000}"/>
    <cellStyle name="Millares 2 5 6 4" xfId="4224" xr:uid="{00000000-0005-0000-0000-00007C1B0000}"/>
    <cellStyle name="Millares 2 5 6 4 2" xfId="7834" xr:uid="{00000000-0005-0000-0000-00007D1B0000}"/>
    <cellStyle name="Millares 2 5 6 4 2 2" xfId="14624" xr:uid="{00000000-0005-0000-0000-00007E1B0000}"/>
    <cellStyle name="Millares 2 5 6 4 2 2 2" xfId="28192" xr:uid="{00000000-0005-0000-0000-00007F1B0000}"/>
    <cellStyle name="Millares 2 5 6 4 2 2 2 2" xfId="55325" xr:uid="{00000000-0005-0000-0000-0000801B0000}"/>
    <cellStyle name="Millares 2 5 6 4 2 2 3" xfId="41763" xr:uid="{00000000-0005-0000-0000-0000811B0000}"/>
    <cellStyle name="Millares 2 5 6 4 2 3" xfId="21411" xr:uid="{00000000-0005-0000-0000-0000821B0000}"/>
    <cellStyle name="Millares 2 5 6 4 2 3 2" xfId="48544" xr:uid="{00000000-0005-0000-0000-0000831B0000}"/>
    <cellStyle name="Millares 2 5 6 4 2 4" xfId="34982" xr:uid="{00000000-0005-0000-0000-0000841B0000}"/>
    <cellStyle name="Millares 2 5 6 4 3" xfId="11235" xr:uid="{00000000-0005-0000-0000-0000851B0000}"/>
    <cellStyle name="Millares 2 5 6 4 3 2" xfId="24803" xr:uid="{00000000-0005-0000-0000-0000861B0000}"/>
    <cellStyle name="Millares 2 5 6 4 3 2 2" xfId="51936" xr:uid="{00000000-0005-0000-0000-0000871B0000}"/>
    <cellStyle name="Millares 2 5 6 4 3 3" xfId="38374" xr:uid="{00000000-0005-0000-0000-0000881B0000}"/>
    <cellStyle name="Millares 2 5 6 4 4" xfId="18022" xr:uid="{00000000-0005-0000-0000-0000891B0000}"/>
    <cellStyle name="Millares 2 5 6 4 4 2" xfId="45155" xr:uid="{00000000-0005-0000-0000-00008A1B0000}"/>
    <cellStyle name="Millares 2 5 6 4 5" xfId="31593" xr:uid="{00000000-0005-0000-0000-00008B1B0000}"/>
    <cellStyle name="Millares 2 5 6 5" xfId="7829" xr:uid="{00000000-0005-0000-0000-00008C1B0000}"/>
    <cellStyle name="Millares 2 5 6 5 2" xfId="14619" xr:uid="{00000000-0005-0000-0000-00008D1B0000}"/>
    <cellStyle name="Millares 2 5 6 5 2 2" xfId="28187" xr:uid="{00000000-0005-0000-0000-00008E1B0000}"/>
    <cellStyle name="Millares 2 5 6 5 2 2 2" xfId="55320" xr:uid="{00000000-0005-0000-0000-00008F1B0000}"/>
    <cellStyle name="Millares 2 5 6 5 2 3" xfId="41758" xr:uid="{00000000-0005-0000-0000-0000901B0000}"/>
    <cellStyle name="Millares 2 5 6 5 3" xfId="21406" xr:uid="{00000000-0005-0000-0000-0000911B0000}"/>
    <cellStyle name="Millares 2 5 6 5 3 2" xfId="48539" xr:uid="{00000000-0005-0000-0000-0000921B0000}"/>
    <cellStyle name="Millares 2 5 6 5 4" xfId="34977" xr:uid="{00000000-0005-0000-0000-0000931B0000}"/>
    <cellStyle name="Millares 2 5 6 6" xfId="11230" xr:uid="{00000000-0005-0000-0000-0000941B0000}"/>
    <cellStyle name="Millares 2 5 6 6 2" xfId="24798" xr:uid="{00000000-0005-0000-0000-0000951B0000}"/>
    <cellStyle name="Millares 2 5 6 6 2 2" xfId="51931" xr:uid="{00000000-0005-0000-0000-0000961B0000}"/>
    <cellStyle name="Millares 2 5 6 6 3" xfId="38369" xr:uid="{00000000-0005-0000-0000-0000971B0000}"/>
    <cellStyle name="Millares 2 5 6 7" xfId="18017" xr:uid="{00000000-0005-0000-0000-0000981B0000}"/>
    <cellStyle name="Millares 2 5 6 7 2" xfId="45150" xr:uid="{00000000-0005-0000-0000-0000991B0000}"/>
    <cellStyle name="Millares 2 5 6 8" xfId="31588" xr:uid="{00000000-0005-0000-0000-00009A1B0000}"/>
    <cellStyle name="Millares 2 5 7" xfId="4225" xr:uid="{00000000-0005-0000-0000-00009B1B0000}"/>
    <cellStyle name="Millares 2 5 7 2" xfId="4226" xr:uid="{00000000-0005-0000-0000-00009C1B0000}"/>
    <cellStyle name="Millares 2 5 7 2 2" xfId="4227" xr:uid="{00000000-0005-0000-0000-00009D1B0000}"/>
    <cellStyle name="Millares 2 5 7 2 2 2" xfId="7837" xr:uid="{00000000-0005-0000-0000-00009E1B0000}"/>
    <cellStyle name="Millares 2 5 7 2 2 2 2" xfId="14627" xr:uid="{00000000-0005-0000-0000-00009F1B0000}"/>
    <cellStyle name="Millares 2 5 7 2 2 2 2 2" xfId="28195" xr:uid="{00000000-0005-0000-0000-0000A01B0000}"/>
    <cellStyle name="Millares 2 5 7 2 2 2 2 2 2" xfId="55328" xr:uid="{00000000-0005-0000-0000-0000A11B0000}"/>
    <cellStyle name="Millares 2 5 7 2 2 2 2 3" xfId="41766" xr:uid="{00000000-0005-0000-0000-0000A21B0000}"/>
    <cellStyle name="Millares 2 5 7 2 2 2 3" xfId="21414" xr:uid="{00000000-0005-0000-0000-0000A31B0000}"/>
    <cellStyle name="Millares 2 5 7 2 2 2 3 2" xfId="48547" xr:uid="{00000000-0005-0000-0000-0000A41B0000}"/>
    <cellStyle name="Millares 2 5 7 2 2 2 4" xfId="34985" xr:uid="{00000000-0005-0000-0000-0000A51B0000}"/>
    <cellStyle name="Millares 2 5 7 2 2 3" xfId="11238" xr:uid="{00000000-0005-0000-0000-0000A61B0000}"/>
    <cellStyle name="Millares 2 5 7 2 2 3 2" xfId="24806" xr:uid="{00000000-0005-0000-0000-0000A71B0000}"/>
    <cellStyle name="Millares 2 5 7 2 2 3 2 2" xfId="51939" xr:uid="{00000000-0005-0000-0000-0000A81B0000}"/>
    <cellStyle name="Millares 2 5 7 2 2 3 3" xfId="38377" xr:uid="{00000000-0005-0000-0000-0000A91B0000}"/>
    <cellStyle name="Millares 2 5 7 2 2 4" xfId="18025" xr:uid="{00000000-0005-0000-0000-0000AA1B0000}"/>
    <cellStyle name="Millares 2 5 7 2 2 4 2" xfId="45158" xr:uid="{00000000-0005-0000-0000-0000AB1B0000}"/>
    <cellStyle name="Millares 2 5 7 2 2 5" xfId="31596" xr:uid="{00000000-0005-0000-0000-0000AC1B0000}"/>
    <cellStyle name="Millares 2 5 7 2 3" xfId="4228" xr:uid="{00000000-0005-0000-0000-0000AD1B0000}"/>
    <cellStyle name="Millares 2 5 7 2 3 2" xfId="7838" xr:uid="{00000000-0005-0000-0000-0000AE1B0000}"/>
    <cellStyle name="Millares 2 5 7 2 3 2 2" xfId="14628" xr:uid="{00000000-0005-0000-0000-0000AF1B0000}"/>
    <cellStyle name="Millares 2 5 7 2 3 2 2 2" xfId="28196" xr:uid="{00000000-0005-0000-0000-0000B01B0000}"/>
    <cellStyle name="Millares 2 5 7 2 3 2 2 2 2" xfId="55329" xr:uid="{00000000-0005-0000-0000-0000B11B0000}"/>
    <cellStyle name="Millares 2 5 7 2 3 2 2 3" xfId="41767" xr:uid="{00000000-0005-0000-0000-0000B21B0000}"/>
    <cellStyle name="Millares 2 5 7 2 3 2 3" xfId="21415" xr:uid="{00000000-0005-0000-0000-0000B31B0000}"/>
    <cellStyle name="Millares 2 5 7 2 3 2 3 2" xfId="48548" xr:uid="{00000000-0005-0000-0000-0000B41B0000}"/>
    <cellStyle name="Millares 2 5 7 2 3 2 4" xfId="34986" xr:uid="{00000000-0005-0000-0000-0000B51B0000}"/>
    <cellStyle name="Millares 2 5 7 2 3 3" xfId="11239" xr:uid="{00000000-0005-0000-0000-0000B61B0000}"/>
    <cellStyle name="Millares 2 5 7 2 3 3 2" xfId="24807" xr:uid="{00000000-0005-0000-0000-0000B71B0000}"/>
    <cellStyle name="Millares 2 5 7 2 3 3 2 2" xfId="51940" xr:uid="{00000000-0005-0000-0000-0000B81B0000}"/>
    <cellStyle name="Millares 2 5 7 2 3 3 3" xfId="38378" xr:uid="{00000000-0005-0000-0000-0000B91B0000}"/>
    <cellStyle name="Millares 2 5 7 2 3 4" xfId="18026" xr:uid="{00000000-0005-0000-0000-0000BA1B0000}"/>
    <cellStyle name="Millares 2 5 7 2 3 4 2" xfId="45159" xr:uid="{00000000-0005-0000-0000-0000BB1B0000}"/>
    <cellStyle name="Millares 2 5 7 2 3 5" xfId="31597" xr:uid="{00000000-0005-0000-0000-0000BC1B0000}"/>
    <cellStyle name="Millares 2 5 7 2 4" xfId="7836" xr:uid="{00000000-0005-0000-0000-0000BD1B0000}"/>
    <cellStyle name="Millares 2 5 7 2 4 2" xfId="14626" xr:uid="{00000000-0005-0000-0000-0000BE1B0000}"/>
    <cellStyle name="Millares 2 5 7 2 4 2 2" xfId="28194" xr:uid="{00000000-0005-0000-0000-0000BF1B0000}"/>
    <cellStyle name="Millares 2 5 7 2 4 2 2 2" xfId="55327" xr:uid="{00000000-0005-0000-0000-0000C01B0000}"/>
    <cellStyle name="Millares 2 5 7 2 4 2 3" xfId="41765" xr:uid="{00000000-0005-0000-0000-0000C11B0000}"/>
    <cellStyle name="Millares 2 5 7 2 4 3" xfId="21413" xr:uid="{00000000-0005-0000-0000-0000C21B0000}"/>
    <cellStyle name="Millares 2 5 7 2 4 3 2" xfId="48546" xr:uid="{00000000-0005-0000-0000-0000C31B0000}"/>
    <cellStyle name="Millares 2 5 7 2 4 4" xfId="34984" xr:uid="{00000000-0005-0000-0000-0000C41B0000}"/>
    <cellStyle name="Millares 2 5 7 2 5" xfId="11237" xr:uid="{00000000-0005-0000-0000-0000C51B0000}"/>
    <cellStyle name="Millares 2 5 7 2 5 2" xfId="24805" xr:uid="{00000000-0005-0000-0000-0000C61B0000}"/>
    <cellStyle name="Millares 2 5 7 2 5 2 2" xfId="51938" xr:uid="{00000000-0005-0000-0000-0000C71B0000}"/>
    <cellStyle name="Millares 2 5 7 2 5 3" xfId="38376" xr:uid="{00000000-0005-0000-0000-0000C81B0000}"/>
    <cellStyle name="Millares 2 5 7 2 6" xfId="18024" xr:uid="{00000000-0005-0000-0000-0000C91B0000}"/>
    <cellStyle name="Millares 2 5 7 2 6 2" xfId="45157" xr:uid="{00000000-0005-0000-0000-0000CA1B0000}"/>
    <cellStyle name="Millares 2 5 7 2 7" xfId="31595" xr:uid="{00000000-0005-0000-0000-0000CB1B0000}"/>
    <cellStyle name="Millares 2 5 7 3" xfId="4229" xr:uid="{00000000-0005-0000-0000-0000CC1B0000}"/>
    <cellStyle name="Millares 2 5 7 3 2" xfId="7839" xr:uid="{00000000-0005-0000-0000-0000CD1B0000}"/>
    <cellStyle name="Millares 2 5 7 3 2 2" xfId="14629" xr:uid="{00000000-0005-0000-0000-0000CE1B0000}"/>
    <cellStyle name="Millares 2 5 7 3 2 2 2" xfId="28197" xr:uid="{00000000-0005-0000-0000-0000CF1B0000}"/>
    <cellStyle name="Millares 2 5 7 3 2 2 2 2" xfId="55330" xr:uid="{00000000-0005-0000-0000-0000D01B0000}"/>
    <cellStyle name="Millares 2 5 7 3 2 2 3" xfId="41768" xr:uid="{00000000-0005-0000-0000-0000D11B0000}"/>
    <cellStyle name="Millares 2 5 7 3 2 3" xfId="21416" xr:uid="{00000000-0005-0000-0000-0000D21B0000}"/>
    <cellStyle name="Millares 2 5 7 3 2 3 2" xfId="48549" xr:uid="{00000000-0005-0000-0000-0000D31B0000}"/>
    <cellStyle name="Millares 2 5 7 3 2 4" xfId="34987" xr:uid="{00000000-0005-0000-0000-0000D41B0000}"/>
    <cellStyle name="Millares 2 5 7 3 3" xfId="11240" xr:uid="{00000000-0005-0000-0000-0000D51B0000}"/>
    <cellStyle name="Millares 2 5 7 3 3 2" xfId="24808" xr:uid="{00000000-0005-0000-0000-0000D61B0000}"/>
    <cellStyle name="Millares 2 5 7 3 3 2 2" xfId="51941" xr:uid="{00000000-0005-0000-0000-0000D71B0000}"/>
    <cellStyle name="Millares 2 5 7 3 3 3" xfId="38379" xr:uid="{00000000-0005-0000-0000-0000D81B0000}"/>
    <cellStyle name="Millares 2 5 7 3 4" xfId="18027" xr:uid="{00000000-0005-0000-0000-0000D91B0000}"/>
    <cellStyle name="Millares 2 5 7 3 4 2" xfId="45160" xr:uid="{00000000-0005-0000-0000-0000DA1B0000}"/>
    <cellStyle name="Millares 2 5 7 3 5" xfId="31598" xr:uid="{00000000-0005-0000-0000-0000DB1B0000}"/>
    <cellStyle name="Millares 2 5 7 4" xfId="4230" xr:uid="{00000000-0005-0000-0000-0000DC1B0000}"/>
    <cellStyle name="Millares 2 5 7 4 2" xfId="7840" xr:uid="{00000000-0005-0000-0000-0000DD1B0000}"/>
    <cellStyle name="Millares 2 5 7 4 2 2" xfId="14630" xr:uid="{00000000-0005-0000-0000-0000DE1B0000}"/>
    <cellStyle name="Millares 2 5 7 4 2 2 2" xfId="28198" xr:uid="{00000000-0005-0000-0000-0000DF1B0000}"/>
    <cellStyle name="Millares 2 5 7 4 2 2 2 2" xfId="55331" xr:uid="{00000000-0005-0000-0000-0000E01B0000}"/>
    <cellStyle name="Millares 2 5 7 4 2 2 3" xfId="41769" xr:uid="{00000000-0005-0000-0000-0000E11B0000}"/>
    <cellStyle name="Millares 2 5 7 4 2 3" xfId="21417" xr:uid="{00000000-0005-0000-0000-0000E21B0000}"/>
    <cellStyle name="Millares 2 5 7 4 2 3 2" xfId="48550" xr:uid="{00000000-0005-0000-0000-0000E31B0000}"/>
    <cellStyle name="Millares 2 5 7 4 2 4" xfId="34988" xr:uid="{00000000-0005-0000-0000-0000E41B0000}"/>
    <cellStyle name="Millares 2 5 7 4 3" xfId="11241" xr:uid="{00000000-0005-0000-0000-0000E51B0000}"/>
    <cellStyle name="Millares 2 5 7 4 3 2" xfId="24809" xr:uid="{00000000-0005-0000-0000-0000E61B0000}"/>
    <cellStyle name="Millares 2 5 7 4 3 2 2" xfId="51942" xr:uid="{00000000-0005-0000-0000-0000E71B0000}"/>
    <cellStyle name="Millares 2 5 7 4 3 3" xfId="38380" xr:uid="{00000000-0005-0000-0000-0000E81B0000}"/>
    <cellStyle name="Millares 2 5 7 4 4" xfId="18028" xr:uid="{00000000-0005-0000-0000-0000E91B0000}"/>
    <cellStyle name="Millares 2 5 7 4 4 2" xfId="45161" xr:uid="{00000000-0005-0000-0000-0000EA1B0000}"/>
    <cellStyle name="Millares 2 5 7 4 5" xfId="31599" xr:uid="{00000000-0005-0000-0000-0000EB1B0000}"/>
    <cellStyle name="Millares 2 5 7 5" xfId="7835" xr:uid="{00000000-0005-0000-0000-0000EC1B0000}"/>
    <cellStyle name="Millares 2 5 7 5 2" xfId="14625" xr:uid="{00000000-0005-0000-0000-0000ED1B0000}"/>
    <cellStyle name="Millares 2 5 7 5 2 2" xfId="28193" xr:uid="{00000000-0005-0000-0000-0000EE1B0000}"/>
    <cellStyle name="Millares 2 5 7 5 2 2 2" xfId="55326" xr:uid="{00000000-0005-0000-0000-0000EF1B0000}"/>
    <cellStyle name="Millares 2 5 7 5 2 3" xfId="41764" xr:uid="{00000000-0005-0000-0000-0000F01B0000}"/>
    <cellStyle name="Millares 2 5 7 5 3" xfId="21412" xr:uid="{00000000-0005-0000-0000-0000F11B0000}"/>
    <cellStyle name="Millares 2 5 7 5 3 2" xfId="48545" xr:uid="{00000000-0005-0000-0000-0000F21B0000}"/>
    <cellStyle name="Millares 2 5 7 5 4" xfId="34983" xr:uid="{00000000-0005-0000-0000-0000F31B0000}"/>
    <cellStyle name="Millares 2 5 7 6" xfId="11236" xr:uid="{00000000-0005-0000-0000-0000F41B0000}"/>
    <cellStyle name="Millares 2 5 7 6 2" xfId="24804" xr:uid="{00000000-0005-0000-0000-0000F51B0000}"/>
    <cellStyle name="Millares 2 5 7 6 2 2" xfId="51937" xr:uid="{00000000-0005-0000-0000-0000F61B0000}"/>
    <cellStyle name="Millares 2 5 7 6 3" xfId="38375" xr:uid="{00000000-0005-0000-0000-0000F71B0000}"/>
    <cellStyle name="Millares 2 5 7 7" xfId="18023" xr:uid="{00000000-0005-0000-0000-0000F81B0000}"/>
    <cellStyle name="Millares 2 5 7 7 2" xfId="45156" xr:uid="{00000000-0005-0000-0000-0000F91B0000}"/>
    <cellStyle name="Millares 2 5 7 8" xfId="31594" xr:uid="{00000000-0005-0000-0000-0000FA1B0000}"/>
    <cellStyle name="Millares 2 5 8" xfId="4231" xr:uid="{00000000-0005-0000-0000-0000FB1B0000}"/>
    <cellStyle name="Millares 2 5 8 2" xfId="4232" xr:uid="{00000000-0005-0000-0000-0000FC1B0000}"/>
    <cellStyle name="Millares 2 5 8 2 2" xfId="7842" xr:uid="{00000000-0005-0000-0000-0000FD1B0000}"/>
    <cellStyle name="Millares 2 5 8 2 2 2" xfId="14632" xr:uid="{00000000-0005-0000-0000-0000FE1B0000}"/>
    <cellStyle name="Millares 2 5 8 2 2 2 2" xfId="28200" xr:uid="{00000000-0005-0000-0000-0000FF1B0000}"/>
    <cellStyle name="Millares 2 5 8 2 2 2 2 2" xfId="55333" xr:uid="{00000000-0005-0000-0000-0000001C0000}"/>
    <cellStyle name="Millares 2 5 8 2 2 2 3" xfId="41771" xr:uid="{00000000-0005-0000-0000-0000011C0000}"/>
    <cellStyle name="Millares 2 5 8 2 2 3" xfId="21419" xr:uid="{00000000-0005-0000-0000-0000021C0000}"/>
    <cellStyle name="Millares 2 5 8 2 2 3 2" xfId="48552" xr:uid="{00000000-0005-0000-0000-0000031C0000}"/>
    <cellStyle name="Millares 2 5 8 2 2 4" xfId="34990" xr:uid="{00000000-0005-0000-0000-0000041C0000}"/>
    <cellStyle name="Millares 2 5 8 2 3" xfId="11243" xr:uid="{00000000-0005-0000-0000-0000051C0000}"/>
    <cellStyle name="Millares 2 5 8 2 3 2" xfId="24811" xr:uid="{00000000-0005-0000-0000-0000061C0000}"/>
    <cellStyle name="Millares 2 5 8 2 3 2 2" xfId="51944" xr:uid="{00000000-0005-0000-0000-0000071C0000}"/>
    <cellStyle name="Millares 2 5 8 2 3 3" xfId="38382" xr:uid="{00000000-0005-0000-0000-0000081C0000}"/>
    <cellStyle name="Millares 2 5 8 2 4" xfId="18030" xr:uid="{00000000-0005-0000-0000-0000091C0000}"/>
    <cellStyle name="Millares 2 5 8 2 4 2" xfId="45163" xr:uid="{00000000-0005-0000-0000-00000A1C0000}"/>
    <cellStyle name="Millares 2 5 8 2 5" xfId="31601" xr:uid="{00000000-0005-0000-0000-00000B1C0000}"/>
    <cellStyle name="Millares 2 5 8 3" xfId="4233" xr:uid="{00000000-0005-0000-0000-00000C1C0000}"/>
    <cellStyle name="Millares 2 5 8 3 2" xfId="7843" xr:uid="{00000000-0005-0000-0000-00000D1C0000}"/>
    <cellStyle name="Millares 2 5 8 3 2 2" xfId="14633" xr:uid="{00000000-0005-0000-0000-00000E1C0000}"/>
    <cellStyle name="Millares 2 5 8 3 2 2 2" xfId="28201" xr:uid="{00000000-0005-0000-0000-00000F1C0000}"/>
    <cellStyle name="Millares 2 5 8 3 2 2 2 2" xfId="55334" xr:uid="{00000000-0005-0000-0000-0000101C0000}"/>
    <cellStyle name="Millares 2 5 8 3 2 2 3" xfId="41772" xr:uid="{00000000-0005-0000-0000-0000111C0000}"/>
    <cellStyle name="Millares 2 5 8 3 2 3" xfId="21420" xr:uid="{00000000-0005-0000-0000-0000121C0000}"/>
    <cellStyle name="Millares 2 5 8 3 2 3 2" xfId="48553" xr:uid="{00000000-0005-0000-0000-0000131C0000}"/>
    <cellStyle name="Millares 2 5 8 3 2 4" xfId="34991" xr:uid="{00000000-0005-0000-0000-0000141C0000}"/>
    <cellStyle name="Millares 2 5 8 3 3" xfId="11244" xr:uid="{00000000-0005-0000-0000-0000151C0000}"/>
    <cellStyle name="Millares 2 5 8 3 3 2" xfId="24812" xr:uid="{00000000-0005-0000-0000-0000161C0000}"/>
    <cellStyle name="Millares 2 5 8 3 3 2 2" xfId="51945" xr:uid="{00000000-0005-0000-0000-0000171C0000}"/>
    <cellStyle name="Millares 2 5 8 3 3 3" xfId="38383" xr:uid="{00000000-0005-0000-0000-0000181C0000}"/>
    <cellStyle name="Millares 2 5 8 3 4" xfId="18031" xr:uid="{00000000-0005-0000-0000-0000191C0000}"/>
    <cellStyle name="Millares 2 5 8 3 4 2" xfId="45164" xr:uid="{00000000-0005-0000-0000-00001A1C0000}"/>
    <cellStyle name="Millares 2 5 8 3 5" xfId="31602" xr:uid="{00000000-0005-0000-0000-00001B1C0000}"/>
    <cellStyle name="Millares 2 5 8 4" xfId="7841" xr:uid="{00000000-0005-0000-0000-00001C1C0000}"/>
    <cellStyle name="Millares 2 5 8 4 2" xfId="14631" xr:uid="{00000000-0005-0000-0000-00001D1C0000}"/>
    <cellStyle name="Millares 2 5 8 4 2 2" xfId="28199" xr:uid="{00000000-0005-0000-0000-00001E1C0000}"/>
    <cellStyle name="Millares 2 5 8 4 2 2 2" xfId="55332" xr:uid="{00000000-0005-0000-0000-00001F1C0000}"/>
    <cellStyle name="Millares 2 5 8 4 2 3" xfId="41770" xr:uid="{00000000-0005-0000-0000-0000201C0000}"/>
    <cellStyle name="Millares 2 5 8 4 3" xfId="21418" xr:uid="{00000000-0005-0000-0000-0000211C0000}"/>
    <cellStyle name="Millares 2 5 8 4 3 2" xfId="48551" xr:uid="{00000000-0005-0000-0000-0000221C0000}"/>
    <cellStyle name="Millares 2 5 8 4 4" xfId="34989" xr:uid="{00000000-0005-0000-0000-0000231C0000}"/>
    <cellStyle name="Millares 2 5 8 5" xfId="11242" xr:uid="{00000000-0005-0000-0000-0000241C0000}"/>
    <cellStyle name="Millares 2 5 8 5 2" xfId="24810" xr:uid="{00000000-0005-0000-0000-0000251C0000}"/>
    <cellStyle name="Millares 2 5 8 5 2 2" xfId="51943" xr:uid="{00000000-0005-0000-0000-0000261C0000}"/>
    <cellStyle name="Millares 2 5 8 5 3" xfId="38381" xr:uid="{00000000-0005-0000-0000-0000271C0000}"/>
    <cellStyle name="Millares 2 5 8 6" xfId="18029" xr:uid="{00000000-0005-0000-0000-0000281C0000}"/>
    <cellStyle name="Millares 2 5 8 6 2" xfId="45162" xr:uid="{00000000-0005-0000-0000-0000291C0000}"/>
    <cellStyle name="Millares 2 5 8 7" xfId="31600" xr:uid="{00000000-0005-0000-0000-00002A1C0000}"/>
    <cellStyle name="Millares 2 5 9" xfId="4234" xr:uid="{00000000-0005-0000-0000-00002B1C0000}"/>
    <cellStyle name="Millares 2 5 9 2" xfId="4235" xr:uid="{00000000-0005-0000-0000-00002C1C0000}"/>
    <cellStyle name="Millares 2 5 9 2 2" xfId="7845" xr:uid="{00000000-0005-0000-0000-00002D1C0000}"/>
    <cellStyle name="Millares 2 5 9 2 2 2" xfId="14635" xr:uid="{00000000-0005-0000-0000-00002E1C0000}"/>
    <cellStyle name="Millares 2 5 9 2 2 2 2" xfId="28203" xr:uid="{00000000-0005-0000-0000-00002F1C0000}"/>
    <cellStyle name="Millares 2 5 9 2 2 2 2 2" xfId="55336" xr:uid="{00000000-0005-0000-0000-0000301C0000}"/>
    <cellStyle name="Millares 2 5 9 2 2 2 3" xfId="41774" xr:uid="{00000000-0005-0000-0000-0000311C0000}"/>
    <cellStyle name="Millares 2 5 9 2 2 3" xfId="21422" xr:uid="{00000000-0005-0000-0000-0000321C0000}"/>
    <cellStyle name="Millares 2 5 9 2 2 3 2" xfId="48555" xr:uid="{00000000-0005-0000-0000-0000331C0000}"/>
    <cellStyle name="Millares 2 5 9 2 2 4" xfId="34993" xr:uid="{00000000-0005-0000-0000-0000341C0000}"/>
    <cellStyle name="Millares 2 5 9 2 3" xfId="11246" xr:uid="{00000000-0005-0000-0000-0000351C0000}"/>
    <cellStyle name="Millares 2 5 9 2 3 2" xfId="24814" xr:uid="{00000000-0005-0000-0000-0000361C0000}"/>
    <cellStyle name="Millares 2 5 9 2 3 2 2" xfId="51947" xr:uid="{00000000-0005-0000-0000-0000371C0000}"/>
    <cellStyle name="Millares 2 5 9 2 3 3" xfId="38385" xr:uid="{00000000-0005-0000-0000-0000381C0000}"/>
    <cellStyle name="Millares 2 5 9 2 4" xfId="18033" xr:uid="{00000000-0005-0000-0000-0000391C0000}"/>
    <cellStyle name="Millares 2 5 9 2 4 2" xfId="45166" xr:uid="{00000000-0005-0000-0000-00003A1C0000}"/>
    <cellStyle name="Millares 2 5 9 2 5" xfId="31604" xr:uid="{00000000-0005-0000-0000-00003B1C0000}"/>
    <cellStyle name="Millares 2 5 9 3" xfId="4236" xr:uid="{00000000-0005-0000-0000-00003C1C0000}"/>
    <cellStyle name="Millares 2 5 9 3 2" xfId="7846" xr:uid="{00000000-0005-0000-0000-00003D1C0000}"/>
    <cellStyle name="Millares 2 5 9 3 2 2" xfId="14636" xr:uid="{00000000-0005-0000-0000-00003E1C0000}"/>
    <cellStyle name="Millares 2 5 9 3 2 2 2" xfId="28204" xr:uid="{00000000-0005-0000-0000-00003F1C0000}"/>
    <cellStyle name="Millares 2 5 9 3 2 2 2 2" xfId="55337" xr:uid="{00000000-0005-0000-0000-0000401C0000}"/>
    <cellStyle name="Millares 2 5 9 3 2 2 3" xfId="41775" xr:uid="{00000000-0005-0000-0000-0000411C0000}"/>
    <cellStyle name="Millares 2 5 9 3 2 3" xfId="21423" xr:uid="{00000000-0005-0000-0000-0000421C0000}"/>
    <cellStyle name="Millares 2 5 9 3 2 3 2" xfId="48556" xr:uid="{00000000-0005-0000-0000-0000431C0000}"/>
    <cellStyle name="Millares 2 5 9 3 2 4" xfId="34994" xr:uid="{00000000-0005-0000-0000-0000441C0000}"/>
    <cellStyle name="Millares 2 5 9 3 3" xfId="11247" xr:uid="{00000000-0005-0000-0000-0000451C0000}"/>
    <cellStyle name="Millares 2 5 9 3 3 2" xfId="24815" xr:uid="{00000000-0005-0000-0000-0000461C0000}"/>
    <cellStyle name="Millares 2 5 9 3 3 2 2" xfId="51948" xr:uid="{00000000-0005-0000-0000-0000471C0000}"/>
    <cellStyle name="Millares 2 5 9 3 3 3" xfId="38386" xr:uid="{00000000-0005-0000-0000-0000481C0000}"/>
    <cellStyle name="Millares 2 5 9 3 4" xfId="18034" xr:uid="{00000000-0005-0000-0000-0000491C0000}"/>
    <cellStyle name="Millares 2 5 9 3 4 2" xfId="45167" xr:uid="{00000000-0005-0000-0000-00004A1C0000}"/>
    <cellStyle name="Millares 2 5 9 3 5" xfId="31605" xr:uid="{00000000-0005-0000-0000-00004B1C0000}"/>
    <cellStyle name="Millares 2 5 9 4" xfId="7844" xr:uid="{00000000-0005-0000-0000-00004C1C0000}"/>
    <cellStyle name="Millares 2 5 9 4 2" xfId="14634" xr:uid="{00000000-0005-0000-0000-00004D1C0000}"/>
    <cellStyle name="Millares 2 5 9 4 2 2" xfId="28202" xr:uid="{00000000-0005-0000-0000-00004E1C0000}"/>
    <cellStyle name="Millares 2 5 9 4 2 2 2" xfId="55335" xr:uid="{00000000-0005-0000-0000-00004F1C0000}"/>
    <cellStyle name="Millares 2 5 9 4 2 3" xfId="41773" xr:uid="{00000000-0005-0000-0000-0000501C0000}"/>
    <cellStyle name="Millares 2 5 9 4 3" xfId="21421" xr:uid="{00000000-0005-0000-0000-0000511C0000}"/>
    <cellStyle name="Millares 2 5 9 4 3 2" xfId="48554" xr:uid="{00000000-0005-0000-0000-0000521C0000}"/>
    <cellStyle name="Millares 2 5 9 4 4" xfId="34992" xr:uid="{00000000-0005-0000-0000-0000531C0000}"/>
    <cellStyle name="Millares 2 5 9 5" xfId="11245" xr:uid="{00000000-0005-0000-0000-0000541C0000}"/>
    <cellStyle name="Millares 2 5 9 5 2" xfId="24813" xr:uid="{00000000-0005-0000-0000-0000551C0000}"/>
    <cellStyle name="Millares 2 5 9 5 2 2" xfId="51946" xr:uid="{00000000-0005-0000-0000-0000561C0000}"/>
    <cellStyle name="Millares 2 5 9 5 3" xfId="38384" xr:uid="{00000000-0005-0000-0000-0000571C0000}"/>
    <cellStyle name="Millares 2 5 9 6" xfId="18032" xr:uid="{00000000-0005-0000-0000-0000581C0000}"/>
    <cellStyle name="Millares 2 5 9 6 2" xfId="45165" xr:uid="{00000000-0005-0000-0000-0000591C0000}"/>
    <cellStyle name="Millares 2 5 9 7" xfId="31603" xr:uid="{00000000-0005-0000-0000-00005A1C0000}"/>
    <cellStyle name="Millares 2 50" xfId="2410" xr:uid="{00000000-0005-0000-0000-00005B1C0000}"/>
    <cellStyle name="Millares 2 51" xfId="2411" xr:uid="{00000000-0005-0000-0000-00005C1C0000}"/>
    <cellStyle name="Millares 2 52" xfId="2412" xr:uid="{00000000-0005-0000-0000-00005D1C0000}"/>
    <cellStyle name="Millares 2 53" xfId="2413" xr:uid="{00000000-0005-0000-0000-00005E1C0000}"/>
    <cellStyle name="Millares 2 54" xfId="2414" xr:uid="{00000000-0005-0000-0000-00005F1C0000}"/>
    <cellStyle name="Millares 2 55" xfId="2415" xr:uid="{00000000-0005-0000-0000-0000601C0000}"/>
    <cellStyle name="Millares 2 56" xfId="2416" xr:uid="{00000000-0005-0000-0000-0000611C0000}"/>
    <cellStyle name="Millares 2 57" xfId="10" xr:uid="{00000000-0005-0000-0000-0000621C0000}"/>
    <cellStyle name="Millares 2 57 2" xfId="2417" xr:uid="{00000000-0005-0000-0000-0000631C0000}"/>
    <cellStyle name="Millares 2 58" xfId="2418" xr:uid="{00000000-0005-0000-0000-0000641C0000}"/>
    <cellStyle name="Millares 2 59" xfId="2419" xr:uid="{00000000-0005-0000-0000-0000651C0000}"/>
    <cellStyle name="Millares 2 6" xfId="2420" xr:uid="{00000000-0005-0000-0000-0000661C0000}"/>
    <cellStyle name="Millares 2 6 10" xfId="4237" xr:uid="{00000000-0005-0000-0000-0000671C0000}"/>
    <cellStyle name="Millares 2 6 10 2" xfId="7847" xr:uid="{00000000-0005-0000-0000-0000681C0000}"/>
    <cellStyle name="Millares 2 6 10 2 2" xfId="14637" xr:uid="{00000000-0005-0000-0000-0000691C0000}"/>
    <cellStyle name="Millares 2 6 10 2 2 2" xfId="28205" xr:uid="{00000000-0005-0000-0000-00006A1C0000}"/>
    <cellStyle name="Millares 2 6 10 2 2 2 2" xfId="55338" xr:uid="{00000000-0005-0000-0000-00006B1C0000}"/>
    <cellStyle name="Millares 2 6 10 2 2 3" xfId="41776" xr:uid="{00000000-0005-0000-0000-00006C1C0000}"/>
    <cellStyle name="Millares 2 6 10 2 3" xfId="21424" xr:uid="{00000000-0005-0000-0000-00006D1C0000}"/>
    <cellStyle name="Millares 2 6 10 2 3 2" xfId="48557" xr:uid="{00000000-0005-0000-0000-00006E1C0000}"/>
    <cellStyle name="Millares 2 6 10 2 4" xfId="34995" xr:uid="{00000000-0005-0000-0000-00006F1C0000}"/>
    <cellStyle name="Millares 2 6 10 3" xfId="11248" xr:uid="{00000000-0005-0000-0000-0000701C0000}"/>
    <cellStyle name="Millares 2 6 10 3 2" xfId="24816" xr:uid="{00000000-0005-0000-0000-0000711C0000}"/>
    <cellStyle name="Millares 2 6 10 3 2 2" xfId="51949" xr:uid="{00000000-0005-0000-0000-0000721C0000}"/>
    <cellStyle name="Millares 2 6 10 3 3" xfId="38387" xr:uid="{00000000-0005-0000-0000-0000731C0000}"/>
    <cellStyle name="Millares 2 6 10 4" xfId="18035" xr:uid="{00000000-0005-0000-0000-0000741C0000}"/>
    <cellStyle name="Millares 2 6 10 4 2" xfId="45168" xr:uid="{00000000-0005-0000-0000-0000751C0000}"/>
    <cellStyle name="Millares 2 6 10 5" xfId="31606" xr:uid="{00000000-0005-0000-0000-0000761C0000}"/>
    <cellStyle name="Millares 2 6 11" xfId="4238" xr:uid="{00000000-0005-0000-0000-0000771C0000}"/>
    <cellStyle name="Millares 2 6 11 2" xfId="7848" xr:uid="{00000000-0005-0000-0000-0000781C0000}"/>
    <cellStyle name="Millares 2 6 11 2 2" xfId="14638" xr:uid="{00000000-0005-0000-0000-0000791C0000}"/>
    <cellStyle name="Millares 2 6 11 2 2 2" xfId="28206" xr:uid="{00000000-0005-0000-0000-00007A1C0000}"/>
    <cellStyle name="Millares 2 6 11 2 2 2 2" xfId="55339" xr:uid="{00000000-0005-0000-0000-00007B1C0000}"/>
    <cellStyle name="Millares 2 6 11 2 2 3" xfId="41777" xr:uid="{00000000-0005-0000-0000-00007C1C0000}"/>
    <cellStyle name="Millares 2 6 11 2 3" xfId="21425" xr:uid="{00000000-0005-0000-0000-00007D1C0000}"/>
    <cellStyle name="Millares 2 6 11 2 3 2" xfId="48558" xr:uid="{00000000-0005-0000-0000-00007E1C0000}"/>
    <cellStyle name="Millares 2 6 11 2 4" xfId="34996" xr:uid="{00000000-0005-0000-0000-00007F1C0000}"/>
    <cellStyle name="Millares 2 6 11 3" xfId="11249" xr:uid="{00000000-0005-0000-0000-0000801C0000}"/>
    <cellStyle name="Millares 2 6 11 3 2" xfId="24817" xr:uid="{00000000-0005-0000-0000-0000811C0000}"/>
    <cellStyle name="Millares 2 6 11 3 2 2" xfId="51950" xr:uid="{00000000-0005-0000-0000-0000821C0000}"/>
    <cellStyle name="Millares 2 6 11 3 3" xfId="38388" xr:uid="{00000000-0005-0000-0000-0000831C0000}"/>
    <cellStyle name="Millares 2 6 11 4" xfId="18036" xr:uid="{00000000-0005-0000-0000-0000841C0000}"/>
    <cellStyle name="Millares 2 6 11 4 2" xfId="45169" xr:uid="{00000000-0005-0000-0000-0000851C0000}"/>
    <cellStyle name="Millares 2 6 11 5" xfId="31607" xr:uid="{00000000-0005-0000-0000-0000861C0000}"/>
    <cellStyle name="Millares 2 6 2" xfId="4239" xr:uid="{00000000-0005-0000-0000-0000871C0000}"/>
    <cellStyle name="Millares 2 6 2 10" xfId="7849" xr:uid="{00000000-0005-0000-0000-0000881C0000}"/>
    <cellStyle name="Millares 2 6 2 10 2" xfId="14639" xr:uid="{00000000-0005-0000-0000-0000891C0000}"/>
    <cellStyle name="Millares 2 6 2 10 2 2" xfId="28207" xr:uid="{00000000-0005-0000-0000-00008A1C0000}"/>
    <cellStyle name="Millares 2 6 2 10 2 2 2" xfId="55340" xr:uid="{00000000-0005-0000-0000-00008B1C0000}"/>
    <cellStyle name="Millares 2 6 2 10 2 3" xfId="41778" xr:uid="{00000000-0005-0000-0000-00008C1C0000}"/>
    <cellStyle name="Millares 2 6 2 10 3" xfId="21426" xr:uid="{00000000-0005-0000-0000-00008D1C0000}"/>
    <cellStyle name="Millares 2 6 2 10 3 2" xfId="48559" xr:uid="{00000000-0005-0000-0000-00008E1C0000}"/>
    <cellStyle name="Millares 2 6 2 10 4" xfId="34997" xr:uid="{00000000-0005-0000-0000-00008F1C0000}"/>
    <cellStyle name="Millares 2 6 2 11" xfId="11250" xr:uid="{00000000-0005-0000-0000-0000901C0000}"/>
    <cellStyle name="Millares 2 6 2 11 2" xfId="24818" xr:uid="{00000000-0005-0000-0000-0000911C0000}"/>
    <cellStyle name="Millares 2 6 2 11 2 2" xfId="51951" xr:uid="{00000000-0005-0000-0000-0000921C0000}"/>
    <cellStyle name="Millares 2 6 2 11 3" xfId="38389" xr:uid="{00000000-0005-0000-0000-0000931C0000}"/>
    <cellStyle name="Millares 2 6 2 12" xfId="18037" xr:uid="{00000000-0005-0000-0000-0000941C0000}"/>
    <cellStyle name="Millares 2 6 2 12 2" xfId="45170" xr:uid="{00000000-0005-0000-0000-0000951C0000}"/>
    <cellStyle name="Millares 2 6 2 13" xfId="31608" xr:uid="{00000000-0005-0000-0000-0000961C0000}"/>
    <cellStyle name="Millares 2 6 2 2" xfId="4240" xr:uid="{00000000-0005-0000-0000-0000971C0000}"/>
    <cellStyle name="Millares 2 6 2 2 10" xfId="31609" xr:uid="{00000000-0005-0000-0000-0000981C0000}"/>
    <cellStyle name="Millares 2 6 2 2 2" xfId="4241" xr:uid="{00000000-0005-0000-0000-0000991C0000}"/>
    <cellStyle name="Millares 2 6 2 2 2 2" xfId="4242" xr:uid="{00000000-0005-0000-0000-00009A1C0000}"/>
    <cellStyle name="Millares 2 6 2 2 2 2 2" xfId="4243" xr:uid="{00000000-0005-0000-0000-00009B1C0000}"/>
    <cellStyle name="Millares 2 6 2 2 2 2 2 2" xfId="7853" xr:uid="{00000000-0005-0000-0000-00009C1C0000}"/>
    <cellStyle name="Millares 2 6 2 2 2 2 2 2 2" xfId="14643" xr:uid="{00000000-0005-0000-0000-00009D1C0000}"/>
    <cellStyle name="Millares 2 6 2 2 2 2 2 2 2 2" xfId="28211" xr:uid="{00000000-0005-0000-0000-00009E1C0000}"/>
    <cellStyle name="Millares 2 6 2 2 2 2 2 2 2 2 2" xfId="55344" xr:uid="{00000000-0005-0000-0000-00009F1C0000}"/>
    <cellStyle name="Millares 2 6 2 2 2 2 2 2 2 3" xfId="41782" xr:uid="{00000000-0005-0000-0000-0000A01C0000}"/>
    <cellStyle name="Millares 2 6 2 2 2 2 2 2 3" xfId="21430" xr:uid="{00000000-0005-0000-0000-0000A11C0000}"/>
    <cellStyle name="Millares 2 6 2 2 2 2 2 2 3 2" xfId="48563" xr:uid="{00000000-0005-0000-0000-0000A21C0000}"/>
    <cellStyle name="Millares 2 6 2 2 2 2 2 2 4" xfId="35001" xr:uid="{00000000-0005-0000-0000-0000A31C0000}"/>
    <cellStyle name="Millares 2 6 2 2 2 2 2 3" xfId="11254" xr:uid="{00000000-0005-0000-0000-0000A41C0000}"/>
    <cellStyle name="Millares 2 6 2 2 2 2 2 3 2" xfId="24822" xr:uid="{00000000-0005-0000-0000-0000A51C0000}"/>
    <cellStyle name="Millares 2 6 2 2 2 2 2 3 2 2" xfId="51955" xr:uid="{00000000-0005-0000-0000-0000A61C0000}"/>
    <cellStyle name="Millares 2 6 2 2 2 2 2 3 3" xfId="38393" xr:uid="{00000000-0005-0000-0000-0000A71C0000}"/>
    <cellStyle name="Millares 2 6 2 2 2 2 2 4" xfId="18041" xr:uid="{00000000-0005-0000-0000-0000A81C0000}"/>
    <cellStyle name="Millares 2 6 2 2 2 2 2 4 2" xfId="45174" xr:uid="{00000000-0005-0000-0000-0000A91C0000}"/>
    <cellStyle name="Millares 2 6 2 2 2 2 2 5" xfId="31612" xr:uid="{00000000-0005-0000-0000-0000AA1C0000}"/>
    <cellStyle name="Millares 2 6 2 2 2 2 3" xfId="4244" xr:uid="{00000000-0005-0000-0000-0000AB1C0000}"/>
    <cellStyle name="Millares 2 6 2 2 2 2 3 2" xfId="7854" xr:uid="{00000000-0005-0000-0000-0000AC1C0000}"/>
    <cellStyle name="Millares 2 6 2 2 2 2 3 2 2" xfId="14644" xr:uid="{00000000-0005-0000-0000-0000AD1C0000}"/>
    <cellStyle name="Millares 2 6 2 2 2 2 3 2 2 2" xfId="28212" xr:uid="{00000000-0005-0000-0000-0000AE1C0000}"/>
    <cellStyle name="Millares 2 6 2 2 2 2 3 2 2 2 2" xfId="55345" xr:uid="{00000000-0005-0000-0000-0000AF1C0000}"/>
    <cellStyle name="Millares 2 6 2 2 2 2 3 2 2 3" xfId="41783" xr:uid="{00000000-0005-0000-0000-0000B01C0000}"/>
    <cellStyle name="Millares 2 6 2 2 2 2 3 2 3" xfId="21431" xr:uid="{00000000-0005-0000-0000-0000B11C0000}"/>
    <cellStyle name="Millares 2 6 2 2 2 2 3 2 3 2" xfId="48564" xr:uid="{00000000-0005-0000-0000-0000B21C0000}"/>
    <cellStyle name="Millares 2 6 2 2 2 2 3 2 4" xfId="35002" xr:uid="{00000000-0005-0000-0000-0000B31C0000}"/>
    <cellStyle name="Millares 2 6 2 2 2 2 3 3" xfId="11255" xr:uid="{00000000-0005-0000-0000-0000B41C0000}"/>
    <cellStyle name="Millares 2 6 2 2 2 2 3 3 2" xfId="24823" xr:uid="{00000000-0005-0000-0000-0000B51C0000}"/>
    <cellStyle name="Millares 2 6 2 2 2 2 3 3 2 2" xfId="51956" xr:uid="{00000000-0005-0000-0000-0000B61C0000}"/>
    <cellStyle name="Millares 2 6 2 2 2 2 3 3 3" xfId="38394" xr:uid="{00000000-0005-0000-0000-0000B71C0000}"/>
    <cellStyle name="Millares 2 6 2 2 2 2 3 4" xfId="18042" xr:uid="{00000000-0005-0000-0000-0000B81C0000}"/>
    <cellStyle name="Millares 2 6 2 2 2 2 3 4 2" xfId="45175" xr:uid="{00000000-0005-0000-0000-0000B91C0000}"/>
    <cellStyle name="Millares 2 6 2 2 2 2 3 5" xfId="31613" xr:uid="{00000000-0005-0000-0000-0000BA1C0000}"/>
    <cellStyle name="Millares 2 6 2 2 2 2 4" xfId="7852" xr:uid="{00000000-0005-0000-0000-0000BB1C0000}"/>
    <cellStyle name="Millares 2 6 2 2 2 2 4 2" xfId="14642" xr:uid="{00000000-0005-0000-0000-0000BC1C0000}"/>
    <cellStyle name="Millares 2 6 2 2 2 2 4 2 2" xfId="28210" xr:uid="{00000000-0005-0000-0000-0000BD1C0000}"/>
    <cellStyle name="Millares 2 6 2 2 2 2 4 2 2 2" xfId="55343" xr:uid="{00000000-0005-0000-0000-0000BE1C0000}"/>
    <cellStyle name="Millares 2 6 2 2 2 2 4 2 3" xfId="41781" xr:uid="{00000000-0005-0000-0000-0000BF1C0000}"/>
    <cellStyle name="Millares 2 6 2 2 2 2 4 3" xfId="21429" xr:uid="{00000000-0005-0000-0000-0000C01C0000}"/>
    <cellStyle name="Millares 2 6 2 2 2 2 4 3 2" xfId="48562" xr:uid="{00000000-0005-0000-0000-0000C11C0000}"/>
    <cellStyle name="Millares 2 6 2 2 2 2 4 4" xfId="35000" xr:uid="{00000000-0005-0000-0000-0000C21C0000}"/>
    <cellStyle name="Millares 2 6 2 2 2 2 5" xfId="11253" xr:uid="{00000000-0005-0000-0000-0000C31C0000}"/>
    <cellStyle name="Millares 2 6 2 2 2 2 5 2" xfId="24821" xr:uid="{00000000-0005-0000-0000-0000C41C0000}"/>
    <cellStyle name="Millares 2 6 2 2 2 2 5 2 2" xfId="51954" xr:uid="{00000000-0005-0000-0000-0000C51C0000}"/>
    <cellStyle name="Millares 2 6 2 2 2 2 5 3" xfId="38392" xr:uid="{00000000-0005-0000-0000-0000C61C0000}"/>
    <cellStyle name="Millares 2 6 2 2 2 2 6" xfId="18040" xr:uid="{00000000-0005-0000-0000-0000C71C0000}"/>
    <cellStyle name="Millares 2 6 2 2 2 2 6 2" xfId="45173" xr:uid="{00000000-0005-0000-0000-0000C81C0000}"/>
    <cellStyle name="Millares 2 6 2 2 2 2 7" xfId="31611" xr:uid="{00000000-0005-0000-0000-0000C91C0000}"/>
    <cellStyle name="Millares 2 6 2 2 2 3" xfId="4245" xr:uid="{00000000-0005-0000-0000-0000CA1C0000}"/>
    <cellStyle name="Millares 2 6 2 2 2 3 2" xfId="4246" xr:uid="{00000000-0005-0000-0000-0000CB1C0000}"/>
    <cellStyle name="Millares 2 6 2 2 2 3 2 2" xfId="7856" xr:uid="{00000000-0005-0000-0000-0000CC1C0000}"/>
    <cellStyle name="Millares 2 6 2 2 2 3 2 2 2" xfId="14646" xr:uid="{00000000-0005-0000-0000-0000CD1C0000}"/>
    <cellStyle name="Millares 2 6 2 2 2 3 2 2 2 2" xfId="28214" xr:uid="{00000000-0005-0000-0000-0000CE1C0000}"/>
    <cellStyle name="Millares 2 6 2 2 2 3 2 2 2 2 2" xfId="55347" xr:uid="{00000000-0005-0000-0000-0000CF1C0000}"/>
    <cellStyle name="Millares 2 6 2 2 2 3 2 2 2 3" xfId="41785" xr:uid="{00000000-0005-0000-0000-0000D01C0000}"/>
    <cellStyle name="Millares 2 6 2 2 2 3 2 2 3" xfId="21433" xr:uid="{00000000-0005-0000-0000-0000D11C0000}"/>
    <cellStyle name="Millares 2 6 2 2 2 3 2 2 3 2" xfId="48566" xr:uid="{00000000-0005-0000-0000-0000D21C0000}"/>
    <cellStyle name="Millares 2 6 2 2 2 3 2 2 4" xfId="35004" xr:uid="{00000000-0005-0000-0000-0000D31C0000}"/>
    <cellStyle name="Millares 2 6 2 2 2 3 2 3" xfId="11257" xr:uid="{00000000-0005-0000-0000-0000D41C0000}"/>
    <cellStyle name="Millares 2 6 2 2 2 3 2 3 2" xfId="24825" xr:uid="{00000000-0005-0000-0000-0000D51C0000}"/>
    <cellStyle name="Millares 2 6 2 2 2 3 2 3 2 2" xfId="51958" xr:uid="{00000000-0005-0000-0000-0000D61C0000}"/>
    <cellStyle name="Millares 2 6 2 2 2 3 2 3 3" xfId="38396" xr:uid="{00000000-0005-0000-0000-0000D71C0000}"/>
    <cellStyle name="Millares 2 6 2 2 2 3 2 4" xfId="18044" xr:uid="{00000000-0005-0000-0000-0000D81C0000}"/>
    <cellStyle name="Millares 2 6 2 2 2 3 2 4 2" xfId="45177" xr:uid="{00000000-0005-0000-0000-0000D91C0000}"/>
    <cellStyle name="Millares 2 6 2 2 2 3 2 5" xfId="31615" xr:uid="{00000000-0005-0000-0000-0000DA1C0000}"/>
    <cellStyle name="Millares 2 6 2 2 2 3 3" xfId="7855" xr:uid="{00000000-0005-0000-0000-0000DB1C0000}"/>
    <cellStyle name="Millares 2 6 2 2 2 3 3 2" xfId="14645" xr:uid="{00000000-0005-0000-0000-0000DC1C0000}"/>
    <cellStyle name="Millares 2 6 2 2 2 3 3 2 2" xfId="28213" xr:uid="{00000000-0005-0000-0000-0000DD1C0000}"/>
    <cellStyle name="Millares 2 6 2 2 2 3 3 2 2 2" xfId="55346" xr:uid="{00000000-0005-0000-0000-0000DE1C0000}"/>
    <cellStyle name="Millares 2 6 2 2 2 3 3 2 3" xfId="41784" xr:uid="{00000000-0005-0000-0000-0000DF1C0000}"/>
    <cellStyle name="Millares 2 6 2 2 2 3 3 3" xfId="21432" xr:uid="{00000000-0005-0000-0000-0000E01C0000}"/>
    <cellStyle name="Millares 2 6 2 2 2 3 3 3 2" xfId="48565" xr:uid="{00000000-0005-0000-0000-0000E11C0000}"/>
    <cellStyle name="Millares 2 6 2 2 2 3 3 4" xfId="35003" xr:uid="{00000000-0005-0000-0000-0000E21C0000}"/>
    <cellStyle name="Millares 2 6 2 2 2 3 4" xfId="11256" xr:uid="{00000000-0005-0000-0000-0000E31C0000}"/>
    <cellStyle name="Millares 2 6 2 2 2 3 4 2" xfId="24824" xr:uid="{00000000-0005-0000-0000-0000E41C0000}"/>
    <cellStyle name="Millares 2 6 2 2 2 3 4 2 2" xfId="51957" xr:uid="{00000000-0005-0000-0000-0000E51C0000}"/>
    <cellStyle name="Millares 2 6 2 2 2 3 4 3" xfId="38395" xr:uid="{00000000-0005-0000-0000-0000E61C0000}"/>
    <cellStyle name="Millares 2 6 2 2 2 3 5" xfId="18043" xr:uid="{00000000-0005-0000-0000-0000E71C0000}"/>
    <cellStyle name="Millares 2 6 2 2 2 3 5 2" xfId="45176" xr:uid="{00000000-0005-0000-0000-0000E81C0000}"/>
    <cellStyle name="Millares 2 6 2 2 2 3 6" xfId="31614" xr:uid="{00000000-0005-0000-0000-0000E91C0000}"/>
    <cellStyle name="Millares 2 6 2 2 2 4" xfId="4247" xr:uid="{00000000-0005-0000-0000-0000EA1C0000}"/>
    <cellStyle name="Millares 2 6 2 2 2 4 2" xfId="7857" xr:uid="{00000000-0005-0000-0000-0000EB1C0000}"/>
    <cellStyle name="Millares 2 6 2 2 2 4 2 2" xfId="14647" xr:uid="{00000000-0005-0000-0000-0000EC1C0000}"/>
    <cellStyle name="Millares 2 6 2 2 2 4 2 2 2" xfId="28215" xr:uid="{00000000-0005-0000-0000-0000ED1C0000}"/>
    <cellStyle name="Millares 2 6 2 2 2 4 2 2 2 2" xfId="55348" xr:uid="{00000000-0005-0000-0000-0000EE1C0000}"/>
    <cellStyle name="Millares 2 6 2 2 2 4 2 2 3" xfId="41786" xr:uid="{00000000-0005-0000-0000-0000EF1C0000}"/>
    <cellStyle name="Millares 2 6 2 2 2 4 2 3" xfId="21434" xr:uid="{00000000-0005-0000-0000-0000F01C0000}"/>
    <cellStyle name="Millares 2 6 2 2 2 4 2 3 2" xfId="48567" xr:uid="{00000000-0005-0000-0000-0000F11C0000}"/>
    <cellStyle name="Millares 2 6 2 2 2 4 2 4" xfId="35005" xr:uid="{00000000-0005-0000-0000-0000F21C0000}"/>
    <cellStyle name="Millares 2 6 2 2 2 4 3" xfId="11258" xr:uid="{00000000-0005-0000-0000-0000F31C0000}"/>
    <cellStyle name="Millares 2 6 2 2 2 4 3 2" xfId="24826" xr:uid="{00000000-0005-0000-0000-0000F41C0000}"/>
    <cellStyle name="Millares 2 6 2 2 2 4 3 2 2" xfId="51959" xr:uid="{00000000-0005-0000-0000-0000F51C0000}"/>
    <cellStyle name="Millares 2 6 2 2 2 4 3 3" xfId="38397" xr:uid="{00000000-0005-0000-0000-0000F61C0000}"/>
    <cellStyle name="Millares 2 6 2 2 2 4 4" xfId="18045" xr:uid="{00000000-0005-0000-0000-0000F71C0000}"/>
    <cellStyle name="Millares 2 6 2 2 2 4 4 2" xfId="45178" xr:uid="{00000000-0005-0000-0000-0000F81C0000}"/>
    <cellStyle name="Millares 2 6 2 2 2 4 5" xfId="31616" xr:uid="{00000000-0005-0000-0000-0000F91C0000}"/>
    <cellStyle name="Millares 2 6 2 2 2 5" xfId="4248" xr:uid="{00000000-0005-0000-0000-0000FA1C0000}"/>
    <cellStyle name="Millares 2 6 2 2 2 5 2" xfId="7858" xr:uid="{00000000-0005-0000-0000-0000FB1C0000}"/>
    <cellStyle name="Millares 2 6 2 2 2 5 2 2" xfId="14648" xr:uid="{00000000-0005-0000-0000-0000FC1C0000}"/>
    <cellStyle name="Millares 2 6 2 2 2 5 2 2 2" xfId="28216" xr:uid="{00000000-0005-0000-0000-0000FD1C0000}"/>
    <cellStyle name="Millares 2 6 2 2 2 5 2 2 2 2" xfId="55349" xr:uid="{00000000-0005-0000-0000-0000FE1C0000}"/>
    <cellStyle name="Millares 2 6 2 2 2 5 2 2 3" xfId="41787" xr:uid="{00000000-0005-0000-0000-0000FF1C0000}"/>
    <cellStyle name="Millares 2 6 2 2 2 5 2 3" xfId="21435" xr:uid="{00000000-0005-0000-0000-0000001D0000}"/>
    <cellStyle name="Millares 2 6 2 2 2 5 2 3 2" xfId="48568" xr:uid="{00000000-0005-0000-0000-0000011D0000}"/>
    <cellStyle name="Millares 2 6 2 2 2 5 2 4" xfId="35006" xr:uid="{00000000-0005-0000-0000-0000021D0000}"/>
    <cellStyle name="Millares 2 6 2 2 2 5 3" xfId="11259" xr:uid="{00000000-0005-0000-0000-0000031D0000}"/>
    <cellStyle name="Millares 2 6 2 2 2 5 3 2" xfId="24827" xr:uid="{00000000-0005-0000-0000-0000041D0000}"/>
    <cellStyle name="Millares 2 6 2 2 2 5 3 2 2" xfId="51960" xr:uid="{00000000-0005-0000-0000-0000051D0000}"/>
    <cellStyle name="Millares 2 6 2 2 2 5 3 3" xfId="38398" xr:uid="{00000000-0005-0000-0000-0000061D0000}"/>
    <cellStyle name="Millares 2 6 2 2 2 5 4" xfId="18046" xr:uid="{00000000-0005-0000-0000-0000071D0000}"/>
    <cellStyle name="Millares 2 6 2 2 2 5 4 2" xfId="45179" xr:uid="{00000000-0005-0000-0000-0000081D0000}"/>
    <cellStyle name="Millares 2 6 2 2 2 5 5" xfId="31617" xr:uid="{00000000-0005-0000-0000-0000091D0000}"/>
    <cellStyle name="Millares 2 6 2 2 2 6" xfId="7851" xr:uid="{00000000-0005-0000-0000-00000A1D0000}"/>
    <cellStyle name="Millares 2 6 2 2 2 6 2" xfId="14641" xr:uid="{00000000-0005-0000-0000-00000B1D0000}"/>
    <cellStyle name="Millares 2 6 2 2 2 6 2 2" xfId="28209" xr:uid="{00000000-0005-0000-0000-00000C1D0000}"/>
    <cellStyle name="Millares 2 6 2 2 2 6 2 2 2" xfId="55342" xr:uid="{00000000-0005-0000-0000-00000D1D0000}"/>
    <cellStyle name="Millares 2 6 2 2 2 6 2 3" xfId="41780" xr:uid="{00000000-0005-0000-0000-00000E1D0000}"/>
    <cellStyle name="Millares 2 6 2 2 2 6 3" xfId="21428" xr:uid="{00000000-0005-0000-0000-00000F1D0000}"/>
    <cellStyle name="Millares 2 6 2 2 2 6 3 2" xfId="48561" xr:uid="{00000000-0005-0000-0000-0000101D0000}"/>
    <cellStyle name="Millares 2 6 2 2 2 6 4" xfId="34999" xr:uid="{00000000-0005-0000-0000-0000111D0000}"/>
    <cellStyle name="Millares 2 6 2 2 2 7" xfId="11252" xr:uid="{00000000-0005-0000-0000-0000121D0000}"/>
    <cellStyle name="Millares 2 6 2 2 2 7 2" xfId="24820" xr:uid="{00000000-0005-0000-0000-0000131D0000}"/>
    <cellStyle name="Millares 2 6 2 2 2 7 2 2" xfId="51953" xr:uid="{00000000-0005-0000-0000-0000141D0000}"/>
    <cellStyle name="Millares 2 6 2 2 2 7 3" xfId="38391" xr:uid="{00000000-0005-0000-0000-0000151D0000}"/>
    <cellStyle name="Millares 2 6 2 2 2 8" xfId="18039" xr:uid="{00000000-0005-0000-0000-0000161D0000}"/>
    <cellStyle name="Millares 2 6 2 2 2 8 2" xfId="45172" xr:uid="{00000000-0005-0000-0000-0000171D0000}"/>
    <cellStyle name="Millares 2 6 2 2 2 9" xfId="31610" xr:uid="{00000000-0005-0000-0000-0000181D0000}"/>
    <cellStyle name="Millares 2 6 2 2 3" xfId="4249" xr:uid="{00000000-0005-0000-0000-0000191D0000}"/>
    <cellStyle name="Millares 2 6 2 2 3 2" xfId="4250" xr:uid="{00000000-0005-0000-0000-00001A1D0000}"/>
    <cellStyle name="Millares 2 6 2 2 3 2 2" xfId="7860" xr:uid="{00000000-0005-0000-0000-00001B1D0000}"/>
    <cellStyle name="Millares 2 6 2 2 3 2 2 2" xfId="14650" xr:uid="{00000000-0005-0000-0000-00001C1D0000}"/>
    <cellStyle name="Millares 2 6 2 2 3 2 2 2 2" xfId="28218" xr:uid="{00000000-0005-0000-0000-00001D1D0000}"/>
    <cellStyle name="Millares 2 6 2 2 3 2 2 2 2 2" xfId="55351" xr:uid="{00000000-0005-0000-0000-00001E1D0000}"/>
    <cellStyle name="Millares 2 6 2 2 3 2 2 2 3" xfId="41789" xr:uid="{00000000-0005-0000-0000-00001F1D0000}"/>
    <cellStyle name="Millares 2 6 2 2 3 2 2 3" xfId="21437" xr:uid="{00000000-0005-0000-0000-0000201D0000}"/>
    <cellStyle name="Millares 2 6 2 2 3 2 2 3 2" xfId="48570" xr:uid="{00000000-0005-0000-0000-0000211D0000}"/>
    <cellStyle name="Millares 2 6 2 2 3 2 2 4" xfId="35008" xr:uid="{00000000-0005-0000-0000-0000221D0000}"/>
    <cellStyle name="Millares 2 6 2 2 3 2 3" xfId="11261" xr:uid="{00000000-0005-0000-0000-0000231D0000}"/>
    <cellStyle name="Millares 2 6 2 2 3 2 3 2" xfId="24829" xr:uid="{00000000-0005-0000-0000-0000241D0000}"/>
    <cellStyle name="Millares 2 6 2 2 3 2 3 2 2" xfId="51962" xr:uid="{00000000-0005-0000-0000-0000251D0000}"/>
    <cellStyle name="Millares 2 6 2 2 3 2 3 3" xfId="38400" xr:uid="{00000000-0005-0000-0000-0000261D0000}"/>
    <cellStyle name="Millares 2 6 2 2 3 2 4" xfId="18048" xr:uid="{00000000-0005-0000-0000-0000271D0000}"/>
    <cellStyle name="Millares 2 6 2 2 3 2 4 2" xfId="45181" xr:uid="{00000000-0005-0000-0000-0000281D0000}"/>
    <cellStyle name="Millares 2 6 2 2 3 2 5" xfId="31619" xr:uid="{00000000-0005-0000-0000-0000291D0000}"/>
    <cellStyle name="Millares 2 6 2 2 3 3" xfId="4251" xr:uid="{00000000-0005-0000-0000-00002A1D0000}"/>
    <cellStyle name="Millares 2 6 2 2 3 3 2" xfId="7861" xr:uid="{00000000-0005-0000-0000-00002B1D0000}"/>
    <cellStyle name="Millares 2 6 2 2 3 3 2 2" xfId="14651" xr:uid="{00000000-0005-0000-0000-00002C1D0000}"/>
    <cellStyle name="Millares 2 6 2 2 3 3 2 2 2" xfId="28219" xr:uid="{00000000-0005-0000-0000-00002D1D0000}"/>
    <cellStyle name="Millares 2 6 2 2 3 3 2 2 2 2" xfId="55352" xr:uid="{00000000-0005-0000-0000-00002E1D0000}"/>
    <cellStyle name="Millares 2 6 2 2 3 3 2 2 3" xfId="41790" xr:uid="{00000000-0005-0000-0000-00002F1D0000}"/>
    <cellStyle name="Millares 2 6 2 2 3 3 2 3" xfId="21438" xr:uid="{00000000-0005-0000-0000-0000301D0000}"/>
    <cellStyle name="Millares 2 6 2 2 3 3 2 3 2" xfId="48571" xr:uid="{00000000-0005-0000-0000-0000311D0000}"/>
    <cellStyle name="Millares 2 6 2 2 3 3 2 4" xfId="35009" xr:uid="{00000000-0005-0000-0000-0000321D0000}"/>
    <cellStyle name="Millares 2 6 2 2 3 3 3" xfId="11262" xr:uid="{00000000-0005-0000-0000-0000331D0000}"/>
    <cellStyle name="Millares 2 6 2 2 3 3 3 2" xfId="24830" xr:uid="{00000000-0005-0000-0000-0000341D0000}"/>
    <cellStyle name="Millares 2 6 2 2 3 3 3 2 2" xfId="51963" xr:uid="{00000000-0005-0000-0000-0000351D0000}"/>
    <cellStyle name="Millares 2 6 2 2 3 3 3 3" xfId="38401" xr:uid="{00000000-0005-0000-0000-0000361D0000}"/>
    <cellStyle name="Millares 2 6 2 2 3 3 4" xfId="18049" xr:uid="{00000000-0005-0000-0000-0000371D0000}"/>
    <cellStyle name="Millares 2 6 2 2 3 3 4 2" xfId="45182" xr:uid="{00000000-0005-0000-0000-0000381D0000}"/>
    <cellStyle name="Millares 2 6 2 2 3 3 5" xfId="31620" xr:uid="{00000000-0005-0000-0000-0000391D0000}"/>
    <cellStyle name="Millares 2 6 2 2 3 4" xfId="7859" xr:uid="{00000000-0005-0000-0000-00003A1D0000}"/>
    <cellStyle name="Millares 2 6 2 2 3 4 2" xfId="14649" xr:uid="{00000000-0005-0000-0000-00003B1D0000}"/>
    <cellStyle name="Millares 2 6 2 2 3 4 2 2" xfId="28217" xr:uid="{00000000-0005-0000-0000-00003C1D0000}"/>
    <cellStyle name="Millares 2 6 2 2 3 4 2 2 2" xfId="55350" xr:uid="{00000000-0005-0000-0000-00003D1D0000}"/>
    <cellStyle name="Millares 2 6 2 2 3 4 2 3" xfId="41788" xr:uid="{00000000-0005-0000-0000-00003E1D0000}"/>
    <cellStyle name="Millares 2 6 2 2 3 4 3" xfId="21436" xr:uid="{00000000-0005-0000-0000-00003F1D0000}"/>
    <cellStyle name="Millares 2 6 2 2 3 4 3 2" xfId="48569" xr:uid="{00000000-0005-0000-0000-0000401D0000}"/>
    <cellStyle name="Millares 2 6 2 2 3 4 4" xfId="35007" xr:uid="{00000000-0005-0000-0000-0000411D0000}"/>
    <cellStyle name="Millares 2 6 2 2 3 5" xfId="11260" xr:uid="{00000000-0005-0000-0000-0000421D0000}"/>
    <cellStyle name="Millares 2 6 2 2 3 5 2" xfId="24828" xr:uid="{00000000-0005-0000-0000-0000431D0000}"/>
    <cellStyle name="Millares 2 6 2 2 3 5 2 2" xfId="51961" xr:uid="{00000000-0005-0000-0000-0000441D0000}"/>
    <cellStyle name="Millares 2 6 2 2 3 5 3" xfId="38399" xr:uid="{00000000-0005-0000-0000-0000451D0000}"/>
    <cellStyle name="Millares 2 6 2 2 3 6" xfId="18047" xr:uid="{00000000-0005-0000-0000-0000461D0000}"/>
    <cellStyle name="Millares 2 6 2 2 3 6 2" xfId="45180" xr:uid="{00000000-0005-0000-0000-0000471D0000}"/>
    <cellStyle name="Millares 2 6 2 2 3 7" xfId="31618" xr:uid="{00000000-0005-0000-0000-0000481D0000}"/>
    <cellStyle name="Millares 2 6 2 2 4" xfId="4252" xr:uid="{00000000-0005-0000-0000-0000491D0000}"/>
    <cellStyle name="Millares 2 6 2 2 4 2" xfId="4253" xr:uid="{00000000-0005-0000-0000-00004A1D0000}"/>
    <cellStyle name="Millares 2 6 2 2 4 2 2" xfId="7863" xr:uid="{00000000-0005-0000-0000-00004B1D0000}"/>
    <cellStyle name="Millares 2 6 2 2 4 2 2 2" xfId="14653" xr:uid="{00000000-0005-0000-0000-00004C1D0000}"/>
    <cellStyle name="Millares 2 6 2 2 4 2 2 2 2" xfId="28221" xr:uid="{00000000-0005-0000-0000-00004D1D0000}"/>
    <cellStyle name="Millares 2 6 2 2 4 2 2 2 2 2" xfId="55354" xr:uid="{00000000-0005-0000-0000-00004E1D0000}"/>
    <cellStyle name="Millares 2 6 2 2 4 2 2 2 3" xfId="41792" xr:uid="{00000000-0005-0000-0000-00004F1D0000}"/>
    <cellStyle name="Millares 2 6 2 2 4 2 2 3" xfId="21440" xr:uid="{00000000-0005-0000-0000-0000501D0000}"/>
    <cellStyle name="Millares 2 6 2 2 4 2 2 3 2" xfId="48573" xr:uid="{00000000-0005-0000-0000-0000511D0000}"/>
    <cellStyle name="Millares 2 6 2 2 4 2 2 4" xfId="35011" xr:uid="{00000000-0005-0000-0000-0000521D0000}"/>
    <cellStyle name="Millares 2 6 2 2 4 2 3" xfId="11264" xr:uid="{00000000-0005-0000-0000-0000531D0000}"/>
    <cellStyle name="Millares 2 6 2 2 4 2 3 2" xfId="24832" xr:uid="{00000000-0005-0000-0000-0000541D0000}"/>
    <cellStyle name="Millares 2 6 2 2 4 2 3 2 2" xfId="51965" xr:uid="{00000000-0005-0000-0000-0000551D0000}"/>
    <cellStyle name="Millares 2 6 2 2 4 2 3 3" xfId="38403" xr:uid="{00000000-0005-0000-0000-0000561D0000}"/>
    <cellStyle name="Millares 2 6 2 2 4 2 4" xfId="18051" xr:uid="{00000000-0005-0000-0000-0000571D0000}"/>
    <cellStyle name="Millares 2 6 2 2 4 2 4 2" xfId="45184" xr:uid="{00000000-0005-0000-0000-0000581D0000}"/>
    <cellStyle name="Millares 2 6 2 2 4 2 5" xfId="31622" xr:uid="{00000000-0005-0000-0000-0000591D0000}"/>
    <cellStyle name="Millares 2 6 2 2 4 3" xfId="7862" xr:uid="{00000000-0005-0000-0000-00005A1D0000}"/>
    <cellStyle name="Millares 2 6 2 2 4 3 2" xfId="14652" xr:uid="{00000000-0005-0000-0000-00005B1D0000}"/>
    <cellStyle name="Millares 2 6 2 2 4 3 2 2" xfId="28220" xr:uid="{00000000-0005-0000-0000-00005C1D0000}"/>
    <cellStyle name="Millares 2 6 2 2 4 3 2 2 2" xfId="55353" xr:uid="{00000000-0005-0000-0000-00005D1D0000}"/>
    <cellStyle name="Millares 2 6 2 2 4 3 2 3" xfId="41791" xr:uid="{00000000-0005-0000-0000-00005E1D0000}"/>
    <cellStyle name="Millares 2 6 2 2 4 3 3" xfId="21439" xr:uid="{00000000-0005-0000-0000-00005F1D0000}"/>
    <cellStyle name="Millares 2 6 2 2 4 3 3 2" xfId="48572" xr:uid="{00000000-0005-0000-0000-0000601D0000}"/>
    <cellStyle name="Millares 2 6 2 2 4 3 4" xfId="35010" xr:uid="{00000000-0005-0000-0000-0000611D0000}"/>
    <cellStyle name="Millares 2 6 2 2 4 4" xfId="11263" xr:uid="{00000000-0005-0000-0000-0000621D0000}"/>
    <cellStyle name="Millares 2 6 2 2 4 4 2" xfId="24831" xr:uid="{00000000-0005-0000-0000-0000631D0000}"/>
    <cellStyle name="Millares 2 6 2 2 4 4 2 2" xfId="51964" xr:uid="{00000000-0005-0000-0000-0000641D0000}"/>
    <cellStyle name="Millares 2 6 2 2 4 4 3" xfId="38402" xr:uid="{00000000-0005-0000-0000-0000651D0000}"/>
    <cellStyle name="Millares 2 6 2 2 4 5" xfId="18050" xr:uid="{00000000-0005-0000-0000-0000661D0000}"/>
    <cellStyle name="Millares 2 6 2 2 4 5 2" xfId="45183" xr:uid="{00000000-0005-0000-0000-0000671D0000}"/>
    <cellStyle name="Millares 2 6 2 2 4 6" xfId="31621" xr:uid="{00000000-0005-0000-0000-0000681D0000}"/>
    <cellStyle name="Millares 2 6 2 2 5" xfId="4254" xr:uid="{00000000-0005-0000-0000-0000691D0000}"/>
    <cellStyle name="Millares 2 6 2 2 5 2" xfId="7864" xr:uid="{00000000-0005-0000-0000-00006A1D0000}"/>
    <cellStyle name="Millares 2 6 2 2 5 2 2" xfId="14654" xr:uid="{00000000-0005-0000-0000-00006B1D0000}"/>
    <cellStyle name="Millares 2 6 2 2 5 2 2 2" xfId="28222" xr:uid="{00000000-0005-0000-0000-00006C1D0000}"/>
    <cellStyle name="Millares 2 6 2 2 5 2 2 2 2" xfId="55355" xr:uid="{00000000-0005-0000-0000-00006D1D0000}"/>
    <cellStyle name="Millares 2 6 2 2 5 2 2 3" xfId="41793" xr:uid="{00000000-0005-0000-0000-00006E1D0000}"/>
    <cellStyle name="Millares 2 6 2 2 5 2 3" xfId="21441" xr:uid="{00000000-0005-0000-0000-00006F1D0000}"/>
    <cellStyle name="Millares 2 6 2 2 5 2 3 2" xfId="48574" xr:uid="{00000000-0005-0000-0000-0000701D0000}"/>
    <cellStyle name="Millares 2 6 2 2 5 2 4" xfId="35012" xr:uid="{00000000-0005-0000-0000-0000711D0000}"/>
    <cellStyle name="Millares 2 6 2 2 5 3" xfId="11265" xr:uid="{00000000-0005-0000-0000-0000721D0000}"/>
    <cellStyle name="Millares 2 6 2 2 5 3 2" xfId="24833" xr:uid="{00000000-0005-0000-0000-0000731D0000}"/>
    <cellStyle name="Millares 2 6 2 2 5 3 2 2" xfId="51966" xr:uid="{00000000-0005-0000-0000-0000741D0000}"/>
    <cellStyle name="Millares 2 6 2 2 5 3 3" xfId="38404" xr:uid="{00000000-0005-0000-0000-0000751D0000}"/>
    <cellStyle name="Millares 2 6 2 2 5 4" xfId="18052" xr:uid="{00000000-0005-0000-0000-0000761D0000}"/>
    <cellStyle name="Millares 2 6 2 2 5 4 2" xfId="45185" xr:uid="{00000000-0005-0000-0000-0000771D0000}"/>
    <cellStyle name="Millares 2 6 2 2 5 5" xfId="31623" xr:uid="{00000000-0005-0000-0000-0000781D0000}"/>
    <cellStyle name="Millares 2 6 2 2 6" xfId="4255" xr:uid="{00000000-0005-0000-0000-0000791D0000}"/>
    <cellStyle name="Millares 2 6 2 2 6 2" xfId="7865" xr:uid="{00000000-0005-0000-0000-00007A1D0000}"/>
    <cellStyle name="Millares 2 6 2 2 6 2 2" xfId="14655" xr:uid="{00000000-0005-0000-0000-00007B1D0000}"/>
    <cellStyle name="Millares 2 6 2 2 6 2 2 2" xfId="28223" xr:uid="{00000000-0005-0000-0000-00007C1D0000}"/>
    <cellStyle name="Millares 2 6 2 2 6 2 2 2 2" xfId="55356" xr:uid="{00000000-0005-0000-0000-00007D1D0000}"/>
    <cellStyle name="Millares 2 6 2 2 6 2 2 3" xfId="41794" xr:uid="{00000000-0005-0000-0000-00007E1D0000}"/>
    <cellStyle name="Millares 2 6 2 2 6 2 3" xfId="21442" xr:uid="{00000000-0005-0000-0000-00007F1D0000}"/>
    <cellStyle name="Millares 2 6 2 2 6 2 3 2" xfId="48575" xr:uid="{00000000-0005-0000-0000-0000801D0000}"/>
    <cellStyle name="Millares 2 6 2 2 6 2 4" xfId="35013" xr:uid="{00000000-0005-0000-0000-0000811D0000}"/>
    <cellStyle name="Millares 2 6 2 2 6 3" xfId="11266" xr:uid="{00000000-0005-0000-0000-0000821D0000}"/>
    <cellStyle name="Millares 2 6 2 2 6 3 2" xfId="24834" xr:uid="{00000000-0005-0000-0000-0000831D0000}"/>
    <cellStyle name="Millares 2 6 2 2 6 3 2 2" xfId="51967" xr:uid="{00000000-0005-0000-0000-0000841D0000}"/>
    <cellStyle name="Millares 2 6 2 2 6 3 3" xfId="38405" xr:uid="{00000000-0005-0000-0000-0000851D0000}"/>
    <cellStyle name="Millares 2 6 2 2 6 4" xfId="18053" xr:uid="{00000000-0005-0000-0000-0000861D0000}"/>
    <cellStyle name="Millares 2 6 2 2 6 4 2" xfId="45186" xr:uid="{00000000-0005-0000-0000-0000871D0000}"/>
    <cellStyle name="Millares 2 6 2 2 6 5" xfId="31624" xr:uid="{00000000-0005-0000-0000-0000881D0000}"/>
    <cellStyle name="Millares 2 6 2 2 7" xfId="7850" xr:uid="{00000000-0005-0000-0000-0000891D0000}"/>
    <cellStyle name="Millares 2 6 2 2 7 2" xfId="14640" xr:uid="{00000000-0005-0000-0000-00008A1D0000}"/>
    <cellStyle name="Millares 2 6 2 2 7 2 2" xfId="28208" xr:uid="{00000000-0005-0000-0000-00008B1D0000}"/>
    <cellStyle name="Millares 2 6 2 2 7 2 2 2" xfId="55341" xr:uid="{00000000-0005-0000-0000-00008C1D0000}"/>
    <cellStyle name="Millares 2 6 2 2 7 2 3" xfId="41779" xr:uid="{00000000-0005-0000-0000-00008D1D0000}"/>
    <cellStyle name="Millares 2 6 2 2 7 3" xfId="21427" xr:uid="{00000000-0005-0000-0000-00008E1D0000}"/>
    <cellStyle name="Millares 2 6 2 2 7 3 2" xfId="48560" xr:uid="{00000000-0005-0000-0000-00008F1D0000}"/>
    <cellStyle name="Millares 2 6 2 2 7 4" xfId="34998" xr:uid="{00000000-0005-0000-0000-0000901D0000}"/>
    <cellStyle name="Millares 2 6 2 2 8" xfId="11251" xr:uid="{00000000-0005-0000-0000-0000911D0000}"/>
    <cellStyle name="Millares 2 6 2 2 8 2" xfId="24819" xr:uid="{00000000-0005-0000-0000-0000921D0000}"/>
    <cellStyle name="Millares 2 6 2 2 8 2 2" xfId="51952" xr:uid="{00000000-0005-0000-0000-0000931D0000}"/>
    <cellStyle name="Millares 2 6 2 2 8 3" xfId="38390" xr:uid="{00000000-0005-0000-0000-0000941D0000}"/>
    <cellStyle name="Millares 2 6 2 2 9" xfId="18038" xr:uid="{00000000-0005-0000-0000-0000951D0000}"/>
    <cellStyle name="Millares 2 6 2 2 9 2" xfId="45171" xr:uid="{00000000-0005-0000-0000-0000961D0000}"/>
    <cellStyle name="Millares 2 6 2 3" xfId="4256" xr:uid="{00000000-0005-0000-0000-0000971D0000}"/>
    <cellStyle name="Millares 2 6 2 3 2" xfId="4257" xr:uid="{00000000-0005-0000-0000-0000981D0000}"/>
    <cellStyle name="Millares 2 6 2 3 2 2" xfId="4258" xr:uid="{00000000-0005-0000-0000-0000991D0000}"/>
    <cellStyle name="Millares 2 6 2 3 2 2 2" xfId="7868" xr:uid="{00000000-0005-0000-0000-00009A1D0000}"/>
    <cellStyle name="Millares 2 6 2 3 2 2 2 2" xfId="14658" xr:uid="{00000000-0005-0000-0000-00009B1D0000}"/>
    <cellStyle name="Millares 2 6 2 3 2 2 2 2 2" xfId="28226" xr:uid="{00000000-0005-0000-0000-00009C1D0000}"/>
    <cellStyle name="Millares 2 6 2 3 2 2 2 2 2 2" xfId="55359" xr:uid="{00000000-0005-0000-0000-00009D1D0000}"/>
    <cellStyle name="Millares 2 6 2 3 2 2 2 2 3" xfId="41797" xr:uid="{00000000-0005-0000-0000-00009E1D0000}"/>
    <cellStyle name="Millares 2 6 2 3 2 2 2 3" xfId="21445" xr:uid="{00000000-0005-0000-0000-00009F1D0000}"/>
    <cellStyle name="Millares 2 6 2 3 2 2 2 3 2" xfId="48578" xr:uid="{00000000-0005-0000-0000-0000A01D0000}"/>
    <cellStyle name="Millares 2 6 2 3 2 2 2 4" xfId="35016" xr:uid="{00000000-0005-0000-0000-0000A11D0000}"/>
    <cellStyle name="Millares 2 6 2 3 2 2 3" xfId="11269" xr:uid="{00000000-0005-0000-0000-0000A21D0000}"/>
    <cellStyle name="Millares 2 6 2 3 2 2 3 2" xfId="24837" xr:uid="{00000000-0005-0000-0000-0000A31D0000}"/>
    <cellStyle name="Millares 2 6 2 3 2 2 3 2 2" xfId="51970" xr:uid="{00000000-0005-0000-0000-0000A41D0000}"/>
    <cellStyle name="Millares 2 6 2 3 2 2 3 3" xfId="38408" xr:uid="{00000000-0005-0000-0000-0000A51D0000}"/>
    <cellStyle name="Millares 2 6 2 3 2 2 4" xfId="18056" xr:uid="{00000000-0005-0000-0000-0000A61D0000}"/>
    <cellStyle name="Millares 2 6 2 3 2 2 4 2" xfId="45189" xr:uid="{00000000-0005-0000-0000-0000A71D0000}"/>
    <cellStyle name="Millares 2 6 2 3 2 2 5" xfId="31627" xr:uid="{00000000-0005-0000-0000-0000A81D0000}"/>
    <cellStyle name="Millares 2 6 2 3 2 3" xfId="4259" xr:uid="{00000000-0005-0000-0000-0000A91D0000}"/>
    <cellStyle name="Millares 2 6 2 3 2 3 2" xfId="7869" xr:uid="{00000000-0005-0000-0000-0000AA1D0000}"/>
    <cellStyle name="Millares 2 6 2 3 2 3 2 2" xfId="14659" xr:uid="{00000000-0005-0000-0000-0000AB1D0000}"/>
    <cellStyle name="Millares 2 6 2 3 2 3 2 2 2" xfId="28227" xr:uid="{00000000-0005-0000-0000-0000AC1D0000}"/>
    <cellStyle name="Millares 2 6 2 3 2 3 2 2 2 2" xfId="55360" xr:uid="{00000000-0005-0000-0000-0000AD1D0000}"/>
    <cellStyle name="Millares 2 6 2 3 2 3 2 2 3" xfId="41798" xr:uid="{00000000-0005-0000-0000-0000AE1D0000}"/>
    <cellStyle name="Millares 2 6 2 3 2 3 2 3" xfId="21446" xr:uid="{00000000-0005-0000-0000-0000AF1D0000}"/>
    <cellStyle name="Millares 2 6 2 3 2 3 2 3 2" xfId="48579" xr:uid="{00000000-0005-0000-0000-0000B01D0000}"/>
    <cellStyle name="Millares 2 6 2 3 2 3 2 4" xfId="35017" xr:uid="{00000000-0005-0000-0000-0000B11D0000}"/>
    <cellStyle name="Millares 2 6 2 3 2 3 3" xfId="11270" xr:uid="{00000000-0005-0000-0000-0000B21D0000}"/>
    <cellStyle name="Millares 2 6 2 3 2 3 3 2" xfId="24838" xr:uid="{00000000-0005-0000-0000-0000B31D0000}"/>
    <cellStyle name="Millares 2 6 2 3 2 3 3 2 2" xfId="51971" xr:uid="{00000000-0005-0000-0000-0000B41D0000}"/>
    <cellStyle name="Millares 2 6 2 3 2 3 3 3" xfId="38409" xr:uid="{00000000-0005-0000-0000-0000B51D0000}"/>
    <cellStyle name="Millares 2 6 2 3 2 3 4" xfId="18057" xr:uid="{00000000-0005-0000-0000-0000B61D0000}"/>
    <cellStyle name="Millares 2 6 2 3 2 3 4 2" xfId="45190" xr:uid="{00000000-0005-0000-0000-0000B71D0000}"/>
    <cellStyle name="Millares 2 6 2 3 2 3 5" xfId="31628" xr:uid="{00000000-0005-0000-0000-0000B81D0000}"/>
    <cellStyle name="Millares 2 6 2 3 2 4" xfId="7867" xr:uid="{00000000-0005-0000-0000-0000B91D0000}"/>
    <cellStyle name="Millares 2 6 2 3 2 4 2" xfId="14657" xr:uid="{00000000-0005-0000-0000-0000BA1D0000}"/>
    <cellStyle name="Millares 2 6 2 3 2 4 2 2" xfId="28225" xr:uid="{00000000-0005-0000-0000-0000BB1D0000}"/>
    <cellStyle name="Millares 2 6 2 3 2 4 2 2 2" xfId="55358" xr:uid="{00000000-0005-0000-0000-0000BC1D0000}"/>
    <cellStyle name="Millares 2 6 2 3 2 4 2 3" xfId="41796" xr:uid="{00000000-0005-0000-0000-0000BD1D0000}"/>
    <cellStyle name="Millares 2 6 2 3 2 4 3" xfId="21444" xr:uid="{00000000-0005-0000-0000-0000BE1D0000}"/>
    <cellStyle name="Millares 2 6 2 3 2 4 3 2" xfId="48577" xr:uid="{00000000-0005-0000-0000-0000BF1D0000}"/>
    <cellStyle name="Millares 2 6 2 3 2 4 4" xfId="35015" xr:uid="{00000000-0005-0000-0000-0000C01D0000}"/>
    <cellStyle name="Millares 2 6 2 3 2 5" xfId="11268" xr:uid="{00000000-0005-0000-0000-0000C11D0000}"/>
    <cellStyle name="Millares 2 6 2 3 2 5 2" xfId="24836" xr:uid="{00000000-0005-0000-0000-0000C21D0000}"/>
    <cellStyle name="Millares 2 6 2 3 2 5 2 2" xfId="51969" xr:uid="{00000000-0005-0000-0000-0000C31D0000}"/>
    <cellStyle name="Millares 2 6 2 3 2 5 3" xfId="38407" xr:uid="{00000000-0005-0000-0000-0000C41D0000}"/>
    <cellStyle name="Millares 2 6 2 3 2 6" xfId="18055" xr:uid="{00000000-0005-0000-0000-0000C51D0000}"/>
    <cellStyle name="Millares 2 6 2 3 2 6 2" xfId="45188" xr:uid="{00000000-0005-0000-0000-0000C61D0000}"/>
    <cellStyle name="Millares 2 6 2 3 2 7" xfId="31626" xr:uid="{00000000-0005-0000-0000-0000C71D0000}"/>
    <cellStyle name="Millares 2 6 2 3 3" xfId="4260" xr:uid="{00000000-0005-0000-0000-0000C81D0000}"/>
    <cellStyle name="Millares 2 6 2 3 3 2" xfId="4261" xr:uid="{00000000-0005-0000-0000-0000C91D0000}"/>
    <cellStyle name="Millares 2 6 2 3 3 2 2" xfId="7871" xr:uid="{00000000-0005-0000-0000-0000CA1D0000}"/>
    <cellStyle name="Millares 2 6 2 3 3 2 2 2" xfId="14661" xr:uid="{00000000-0005-0000-0000-0000CB1D0000}"/>
    <cellStyle name="Millares 2 6 2 3 3 2 2 2 2" xfId="28229" xr:uid="{00000000-0005-0000-0000-0000CC1D0000}"/>
    <cellStyle name="Millares 2 6 2 3 3 2 2 2 2 2" xfId="55362" xr:uid="{00000000-0005-0000-0000-0000CD1D0000}"/>
    <cellStyle name="Millares 2 6 2 3 3 2 2 2 3" xfId="41800" xr:uid="{00000000-0005-0000-0000-0000CE1D0000}"/>
    <cellStyle name="Millares 2 6 2 3 3 2 2 3" xfId="21448" xr:uid="{00000000-0005-0000-0000-0000CF1D0000}"/>
    <cellStyle name="Millares 2 6 2 3 3 2 2 3 2" xfId="48581" xr:uid="{00000000-0005-0000-0000-0000D01D0000}"/>
    <cellStyle name="Millares 2 6 2 3 3 2 2 4" xfId="35019" xr:uid="{00000000-0005-0000-0000-0000D11D0000}"/>
    <cellStyle name="Millares 2 6 2 3 3 2 3" xfId="11272" xr:uid="{00000000-0005-0000-0000-0000D21D0000}"/>
    <cellStyle name="Millares 2 6 2 3 3 2 3 2" xfId="24840" xr:uid="{00000000-0005-0000-0000-0000D31D0000}"/>
    <cellStyle name="Millares 2 6 2 3 3 2 3 2 2" xfId="51973" xr:uid="{00000000-0005-0000-0000-0000D41D0000}"/>
    <cellStyle name="Millares 2 6 2 3 3 2 3 3" xfId="38411" xr:uid="{00000000-0005-0000-0000-0000D51D0000}"/>
    <cellStyle name="Millares 2 6 2 3 3 2 4" xfId="18059" xr:uid="{00000000-0005-0000-0000-0000D61D0000}"/>
    <cellStyle name="Millares 2 6 2 3 3 2 4 2" xfId="45192" xr:uid="{00000000-0005-0000-0000-0000D71D0000}"/>
    <cellStyle name="Millares 2 6 2 3 3 2 5" xfId="31630" xr:uid="{00000000-0005-0000-0000-0000D81D0000}"/>
    <cellStyle name="Millares 2 6 2 3 3 3" xfId="7870" xr:uid="{00000000-0005-0000-0000-0000D91D0000}"/>
    <cellStyle name="Millares 2 6 2 3 3 3 2" xfId="14660" xr:uid="{00000000-0005-0000-0000-0000DA1D0000}"/>
    <cellStyle name="Millares 2 6 2 3 3 3 2 2" xfId="28228" xr:uid="{00000000-0005-0000-0000-0000DB1D0000}"/>
    <cellStyle name="Millares 2 6 2 3 3 3 2 2 2" xfId="55361" xr:uid="{00000000-0005-0000-0000-0000DC1D0000}"/>
    <cellStyle name="Millares 2 6 2 3 3 3 2 3" xfId="41799" xr:uid="{00000000-0005-0000-0000-0000DD1D0000}"/>
    <cellStyle name="Millares 2 6 2 3 3 3 3" xfId="21447" xr:uid="{00000000-0005-0000-0000-0000DE1D0000}"/>
    <cellStyle name="Millares 2 6 2 3 3 3 3 2" xfId="48580" xr:uid="{00000000-0005-0000-0000-0000DF1D0000}"/>
    <cellStyle name="Millares 2 6 2 3 3 3 4" xfId="35018" xr:uid="{00000000-0005-0000-0000-0000E01D0000}"/>
    <cellStyle name="Millares 2 6 2 3 3 4" xfId="11271" xr:uid="{00000000-0005-0000-0000-0000E11D0000}"/>
    <cellStyle name="Millares 2 6 2 3 3 4 2" xfId="24839" xr:uid="{00000000-0005-0000-0000-0000E21D0000}"/>
    <cellStyle name="Millares 2 6 2 3 3 4 2 2" xfId="51972" xr:uid="{00000000-0005-0000-0000-0000E31D0000}"/>
    <cellStyle name="Millares 2 6 2 3 3 4 3" xfId="38410" xr:uid="{00000000-0005-0000-0000-0000E41D0000}"/>
    <cellStyle name="Millares 2 6 2 3 3 5" xfId="18058" xr:uid="{00000000-0005-0000-0000-0000E51D0000}"/>
    <cellStyle name="Millares 2 6 2 3 3 5 2" xfId="45191" xr:uid="{00000000-0005-0000-0000-0000E61D0000}"/>
    <cellStyle name="Millares 2 6 2 3 3 6" xfId="31629" xr:uid="{00000000-0005-0000-0000-0000E71D0000}"/>
    <cellStyle name="Millares 2 6 2 3 4" xfId="4262" xr:uid="{00000000-0005-0000-0000-0000E81D0000}"/>
    <cellStyle name="Millares 2 6 2 3 4 2" xfId="7872" xr:uid="{00000000-0005-0000-0000-0000E91D0000}"/>
    <cellStyle name="Millares 2 6 2 3 4 2 2" xfId="14662" xr:uid="{00000000-0005-0000-0000-0000EA1D0000}"/>
    <cellStyle name="Millares 2 6 2 3 4 2 2 2" xfId="28230" xr:uid="{00000000-0005-0000-0000-0000EB1D0000}"/>
    <cellStyle name="Millares 2 6 2 3 4 2 2 2 2" xfId="55363" xr:uid="{00000000-0005-0000-0000-0000EC1D0000}"/>
    <cellStyle name="Millares 2 6 2 3 4 2 2 3" xfId="41801" xr:uid="{00000000-0005-0000-0000-0000ED1D0000}"/>
    <cellStyle name="Millares 2 6 2 3 4 2 3" xfId="21449" xr:uid="{00000000-0005-0000-0000-0000EE1D0000}"/>
    <cellStyle name="Millares 2 6 2 3 4 2 3 2" xfId="48582" xr:uid="{00000000-0005-0000-0000-0000EF1D0000}"/>
    <cellStyle name="Millares 2 6 2 3 4 2 4" xfId="35020" xr:uid="{00000000-0005-0000-0000-0000F01D0000}"/>
    <cellStyle name="Millares 2 6 2 3 4 3" xfId="11273" xr:uid="{00000000-0005-0000-0000-0000F11D0000}"/>
    <cellStyle name="Millares 2 6 2 3 4 3 2" xfId="24841" xr:uid="{00000000-0005-0000-0000-0000F21D0000}"/>
    <cellStyle name="Millares 2 6 2 3 4 3 2 2" xfId="51974" xr:uid="{00000000-0005-0000-0000-0000F31D0000}"/>
    <cellStyle name="Millares 2 6 2 3 4 3 3" xfId="38412" xr:uid="{00000000-0005-0000-0000-0000F41D0000}"/>
    <cellStyle name="Millares 2 6 2 3 4 4" xfId="18060" xr:uid="{00000000-0005-0000-0000-0000F51D0000}"/>
    <cellStyle name="Millares 2 6 2 3 4 4 2" xfId="45193" xr:uid="{00000000-0005-0000-0000-0000F61D0000}"/>
    <cellStyle name="Millares 2 6 2 3 4 5" xfId="31631" xr:uid="{00000000-0005-0000-0000-0000F71D0000}"/>
    <cellStyle name="Millares 2 6 2 3 5" xfId="4263" xr:uid="{00000000-0005-0000-0000-0000F81D0000}"/>
    <cellStyle name="Millares 2 6 2 3 5 2" xfId="7873" xr:uid="{00000000-0005-0000-0000-0000F91D0000}"/>
    <cellStyle name="Millares 2 6 2 3 5 2 2" xfId="14663" xr:uid="{00000000-0005-0000-0000-0000FA1D0000}"/>
    <cellStyle name="Millares 2 6 2 3 5 2 2 2" xfId="28231" xr:uid="{00000000-0005-0000-0000-0000FB1D0000}"/>
    <cellStyle name="Millares 2 6 2 3 5 2 2 2 2" xfId="55364" xr:uid="{00000000-0005-0000-0000-0000FC1D0000}"/>
    <cellStyle name="Millares 2 6 2 3 5 2 2 3" xfId="41802" xr:uid="{00000000-0005-0000-0000-0000FD1D0000}"/>
    <cellStyle name="Millares 2 6 2 3 5 2 3" xfId="21450" xr:uid="{00000000-0005-0000-0000-0000FE1D0000}"/>
    <cellStyle name="Millares 2 6 2 3 5 2 3 2" xfId="48583" xr:uid="{00000000-0005-0000-0000-0000FF1D0000}"/>
    <cellStyle name="Millares 2 6 2 3 5 2 4" xfId="35021" xr:uid="{00000000-0005-0000-0000-0000001E0000}"/>
    <cellStyle name="Millares 2 6 2 3 5 3" xfId="11274" xr:uid="{00000000-0005-0000-0000-0000011E0000}"/>
    <cellStyle name="Millares 2 6 2 3 5 3 2" xfId="24842" xr:uid="{00000000-0005-0000-0000-0000021E0000}"/>
    <cellStyle name="Millares 2 6 2 3 5 3 2 2" xfId="51975" xr:uid="{00000000-0005-0000-0000-0000031E0000}"/>
    <cellStyle name="Millares 2 6 2 3 5 3 3" xfId="38413" xr:uid="{00000000-0005-0000-0000-0000041E0000}"/>
    <cellStyle name="Millares 2 6 2 3 5 4" xfId="18061" xr:uid="{00000000-0005-0000-0000-0000051E0000}"/>
    <cellStyle name="Millares 2 6 2 3 5 4 2" xfId="45194" xr:uid="{00000000-0005-0000-0000-0000061E0000}"/>
    <cellStyle name="Millares 2 6 2 3 5 5" xfId="31632" xr:uid="{00000000-0005-0000-0000-0000071E0000}"/>
    <cellStyle name="Millares 2 6 2 3 6" xfId="7866" xr:uid="{00000000-0005-0000-0000-0000081E0000}"/>
    <cellStyle name="Millares 2 6 2 3 6 2" xfId="14656" xr:uid="{00000000-0005-0000-0000-0000091E0000}"/>
    <cellStyle name="Millares 2 6 2 3 6 2 2" xfId="28224" xr:uid="{00000000-0005-0000-0000-00000A1E0000}"/>
    <cellStyle name="Millares 2 6 2 3 6 2 2 2" xfId="55357" xr:uid="{00000000-0005-0000-0000-00000B1E0000}"/>
    <cellStyle name="Millares 2 6 2 3 6 2 3" xfId="41795" xr:uid="{00000000-0005-0000-0000-00000C1E0000}"/>
    <cellStyle name="Millares 2 6 2 3 6 3" xfId="21443" xr:uid="{00000000-0005-0000-0000-00000D1E0000}"/>
    <cellStyle name="Millares 2 6 2 3 6 3 2" xfId="48576" xr:uid="{00000000-0005-0000-0000-00000E1E0000}"/>
    <cellStyle name="Millares 2 6 2 3 6 4" xfId="35014" xr:uid="{00000000-0005-0000-0000-00000F1E0000}"/>
    <cellStyle name="Millares 2 6 2 3 7" xfId="11267" xr:uid="{00000000-0005-0000-0000-0000101E0000}"/>
    <cellStyle name="Millares 2 6 2 3 7 2" xfId="24835" xr:uid="{00000000-0005-0000-0000-0000111E0000}"/>
    <cellStyle name="Millares 2 6 2 3 7 2 2" xfId="51968" xr:uid="{00000000-0005-0000-0000-0000121E0000}"/>
    <cellStyle name="Millares 2 6 2 3 7 3" xfId="38406" xr:uid="{00000000-0005-0000-0000-0000131E0000}"/>
    <cellStyle name="Millares 2 6 2 3 8" xfId="18054" xr:uid="{00000000-0005-0000-0000-0000141E0000}"/>
    <cellStyle name="Millares 2 6 2 3 8 2" xfId="45187" xr:uid="{00000000-0005-0000-0000-0000151E0000}"/>
    <cellStyle name="Millares 2 6 2 3 9" xfId="31625" xr:uid="{00000000-0005-0000-0000-0000161E0000}"/>
    <cellStyle name="Millares 2 6 2 4" xfId="4264" xr:uid="{00000000-0005-0000-0000-0000171E0000}"/>
    <cellStyle name="Millares 2 6 2 4 2" xfId="4265" xr:uid="{00000000-0005-0000-0000-0000181E0000}"/>
    <cellStyle name="Millares 2 6 2 4 2 2" xfId="4266" xr:uid="{00000000-0005-0000-0000-0000191E0000}"/>
    <cellStyle name="Millares 2 6 2 4 2 2 2" xfId="7876" xr:uid="{00000000-0005-0000-0000-00001A1E0000}"/>
    <cellStyle name="Millares 2 6 2 4 2 2 2 2" xfId="14666" xr:uid="{00000000-0005-0000-0000-00001B1E0000}"/>
    <cellStyle name="Millares 2 6 2 4 2 2 2 2 2" xfId="28234" xr:uid="{00000000-0005-0000-0000-00001C1E0000}"/>
    <cellStyle name="Millares 2 6 2 4 2 2 2 2 2 2" xfId="55367" xr:uid="{00000000-0005-0000-0000-00001D1E0000}"/>
    <cellStyle name="Millares 2 6 2 4 2 2 2 2 3" xfId="41805" xr:uid="{00000000-0005-0000-0000-00001E1E0000}"/>
    <cellStyle name="Millares 2 6 2 4 2 2 2 3" xfId="21453" xr:uid="{00000000-0005-0000-0000-00001F1E0000}"/>
    <cellStyle name="Millares 2 6 2 4 2 2 2 3 2" xfId="48586" xr:uid="{00000000-0005-0000-0000-0000201E0000}"/>
    <cellStyle name="Millares 2 6 2 4 2 2 2 4" xfId="35024" xr:uid="{00000000-0005-0000-0000-0000211E0000}"/>
    <cellStyle name="Millares 2 6 2 4 2 2 3" xfId="11277" xr:uid="{00000000-0005-0000-0000-0000221E0000}"/>
    <cellStyle name="Millares 2 6 2 4 2 2 3 2" xfId="24845" xr:uid="{00000000-0005-0000-0000-0000231E0000}"/>
    <cellStyle name="Millares 2 6 2 4 2 2 3 2 2" xfId="51978" xr:uid="{00000000-0005-0000-0000-0000241E0000}"/>
    <cellStyle name="Millares 2 6 2 4 2 2 3 3" xfId="38416" xr:uid="{00000000-0005-0000-0000-0000251E0000}"/>
    <cellStyle name="Millares 2 6 2 4 2 2 4" xfId="18064" xr:uid="{00000000-0005-0000-0000-0000261E0000}"/>
    <cellStyle name="Millares 2 6 2 4 2 2 4 2" xfId="45197" xr:uid="{00000000-0005-0000-0000-0000271E0000}"/>
    <cellStyle name="Millares 2 6 2 4 2 2 5" xfId="31635" xr:uid="{00000000-0005-0000-0000-0000281E0000}"/>
    <cellStyle name="Millares 2 6 2 4 2 3" xfId="4267" xr:uid="{00000000-0005-0000-0000-0000291E0000}"/>
    <cellStyle name="Millares 2 6 2 4 2 3 2" xfId="7877" xr:uid="{00000000-0005-0000-0000-00002A1E0000}"/>
    <cellStyle name="Millares 2 6 2 4 2 3 2 2" xfId="14667" xr:uid="{00000000-0005-0000-0000-00002B1E0000}"/>
    <cellStyle name="Millares 2 6 2 4 2 3 2 2 2" xfId="28235" xr:uid="{00000000-0005-0000-0000-00002C1E0000}"/>
    <cellStyle name="Millares 2 6 2 4 2 3 2 2 2 2" xfId="55368" xr:uid="{00000000-0005-0000-0000-00002D1E0000}"/>
    <cellStyle name="Millares 2 6 2 4 2 3 2 2 3" xfId="41806" xr:uid="{00000000-0005-0000-0000-00002E1E0000}"/>
    <cellStyle name="Millares 2 6 2 4 2 3 2 3" xfId="21454" xr:uid="{00000000-0005-0000-0000-00002F1E0000}"/>
    <cellStyle name="Millares 2 6 2 4 2 3 2 3 2" xfId="48587" xr:uid="{00000000-0005-0000-0000-0000301E0000}"/>
    <cellStyle name="Millares 2 6 2 4 2 3 2 4" xfId="35025" xr:uid="{00000000-0005-0000-0000-0000311E0000}"/>
    <cellStyle name="Millares 2 6 2 4 2 3 3" xfId="11278" xr:uid="{00000000-0005-0000-0000-0000321E0000}"/>
    <cellStyle name="Millares 2 6 2 4 2 3 3 2" xfId="24846" xr:uid="{00000000-0005-0000-0000-0000331E0000}"/>
    <cellStyle name="Millares 2 6 2 4 2 3 3 2 2" xfId="51979" xr:uid="{00000000-0005-0000-0000-0000341E0000}"/>
    <cellStyle name="Millares 2 6 2 4 2 3 3 3" xfId="38417" xr:uid="{00000000-0005-0000-0000-0000351E0000}"/>
    <cellStyle name="Millares 2 6 2 4 2 3 4" xfId="18065" xr:uid="{00000000-0005-0000-0000-0000361E0000}"/>
    <cellStyle name="Millares 2 6 2 4 2 3 4 2" xfId="45198" xr:uid="{00000000-0005-0000-0000-0000371E0000}"/>
    <cellStyle name="Millares 2 6 2 4 2 3 5" xfId="31636" xr:uid="{00000000-0005-0000-0000-0000381E0000}"/>
    <cellStyle name="Millares 2 6 2 4 2 4" xfId="7875" xr:uid="{00000000-0005-0000-0000-0000391E0000}"/>
    <cellStyle name="Millares 2 6 2 4 2 4 2" xfId="14665" xr:uid="{00000000-0005-0000-0000-00003A1E0000}"/>
    <cellStyle name="Millares 2 6 2 4 2 4 2 2" xfId="28233" xr:uid="{00000000-0005-0000-0000-00003B1E0000}"/>
    <cellStyle name="Millares 2 6 2 4 2 4 2 2 2" xfId="55366" xr:uid="{00000000-0005-0000-0000-00003C1E0000}"/>
    <cellStyle name="Millares 2 6 2 4 2 4 2 3" xfId="41804" xr:uid="{00000000-0005-0000-0000-00003D1E0000}"/>
    <cellStyle name="Millares 2 6 2 4 2 4 3" xfId="21452" xr:uid="{00000000-0005-0000-0000-00003E1E0000}"/>
    <cellStyle name="Millares 2 6 2 4 2 4 3 2" xfId="48585" xr:uid="{00000000-0005-0000-0000-00003F1E0000}"/>
    <cellStyle name="Millares 2 6 2 4 2 4 4" xfId="35023" xr:uid="{00000000-0005-0000-0000-0000401E0000}"/>
    <cellStyle name="Millares 2 6 2 4 2 5" xfId="11276" xr:uid="{00000000-0005-0000-0000-0000411E0000}"/>
    <cellStyle name="Millares 2 6 2 4 2 5 2" xfId="24844" xr:uid="{00000000-0005-0000-0000-0000421E0000}"/>
    <cellStyle name="Millares 2 6 2 4 2 5 2 2" xfId="51977" xr:uid="{00000000-0005-0000-0000-0000431E0000}"/>
    <cellStyle name="Millares 2 6 2 4 2 5 3" xfId="38415" xr:uid="{00000000-0005-0000-0000-0000441E0000}"/>
    <cellStyle name="Millares 2 6 2 4 2 6" xfId="18063" xr:uid="{00000000-0005-0000-0000-0000451E0000}"/>
    <cellStyle name="Millares 2 6 2 4 2 6 2" xfId="45196" xr:uid="{00000000-0005-0000-0000-0000461E0000}"/>
    <cellStyle name="Millares 2 6 2 4 2 7" xfId="31634" xr:uid="{00000000-0005-0000-0000-0000471E0000}"/>
    <cellStyle name="Millares 2 6 2 4 3" xfId="4268" xr:uid="{00000000-0005-0000-0000-0000481E0000}"/>
    <cellStyle name="Millares 2 6 2 4 3 2" xfId="7878" xr:uid="{00000000-0005-0000-0000-0000491E0000}"/>
    <cellStyle name="Millares 2 6 2 4 3 2 2" xfId="14668" xr:uid="{00000000-0005-0000-0000-00004A1E0000}"/>
    <cellStyle name="Millares 2 6 2 4 3 2 2 2" xfId="28236" xr:uid="{00000000-0005-0000-0000-00004B1E0000}"/>
    <cellStyle name="Millares 2 6 2 4 3 2 2 2 2" xfId="55369" xr:uid="{00000000-0005-0000-0000-00004C1E0000}"/>
    <cellStyle name="Millares 2 6 2 4 3 2 2 3" xfId="41807" xr:uid="{00000000-0005-0000-0000-00004D1E0000}"/>
    <cellStyle name="Millares 2 6 2 4 3 2 3" xfId="21455" xr:uid="{00000000-0005-0000-0000-00004E1E0000}"/>
    <cellStyle name="Millares 2 6 2 4 3 2 3 2" xfId="48588" xr:uid="{00000000-0005-0000-0000-00004F1E0000}"/>
    <cellStyle name="Millares 2 6 2 4 3 2 4" xfId="35026" xr:uid="{00000000-0005-0000-0000-0000501E0000}"/>
    <cellStyle name="Millares 2 6 2 4 3 3" xfId="11279" xr:uid="{00000000-0005-0000-0000-0000511E0000}"/>
    <cellStyle name="Millares 2 6 2 4 3 3 2" xfId="24847" xr:uid="{00000000-0005-0000-0000-0000521E0000}"/>
    <cellStyle name="Millares 2 6 2 4 3 3 2 2" xfId="51980" xr:uid="{00000000-0005-0000-0000-0000531E0000}"/>
    <cellStyle name="Millares 2 6 2 4 3 3 3" xfId="38418" xr:uid="{00000000-0005-0000-0000-0000541E0000}"/>
    <cellStyle name="Millares 2 6 2 4 3 4" xfId="18066" xr:uid="{00000000-0005-0000-0000-0000551E0000}"/>
    <cellStyle name="Millares 2 6 2 4 3 4 2" xfId="45199" xr:uid="{00000000-0005-0000-0000-0000561E0000}"/>
    <cellStyle name="Millares 2 6 2 4 3 5" xfId="31637" xr:uid="{00000000-0005-0000-0000-0000571E0000}"/>
    <cellStyle name="Millares 2 6 2 4 4" xfId="4269" xr:uid="{00000000-0005-0000-0000-0000581E0000}"/>
    <cellStyle name="Millares 2 6 2 4 4 2" xfId="7879" xr:uid="{00000000-0005-0000-0000-0000591E0000}"/>
    <cellStyle name="Millares 2 6 2 4 4 2 2" xfId="14669" xr:uid="{00000000-0005-0000-0000-00005A1E0000}"/>
    <cellStyle name="Millares 2 6 2 4 4 2 2 2" xfId="28237" xr:uid="{00000000-0005-0000-0000-00005B1E0000}"/>
    <cellStyle name="Millares 2 6 2 4 4 2 2 2 2" xfId="55370" xr:uid="{00000000-0005-0000-0000-00005C1E0000}"/>
    <cellStyle name="Millares 2 6 2 4 4 2 2 3" xfId="41808" xr:uid="{00000000-0005-0000-0000-00005D1E0000}"/>
    <cellStyle name="Millares 2 6 2 4 4 2 3" xfId="21456" xr:uid="{00000000-0005-0000-0000-00005E1E0000}"/>
    <cellStyle name="Millares 2 6 2 4 4 2 3 2" xfId="48589" xr:uid="{00000000-0005-0000-0000-00005F1E0000}"/>
    <cellStyle name="Millares 2 6 2 4 4 2 4" xfId="35027" xr:uid="{00000000-0005-0000-0000-0000601E0000}"/>
    <cellStyle name="Millares 2 6 2 4 4 3" xfId="11280" xr:uid="{00000000-0005-0000-0000-0000611E0000}"/>
    <cellStyle name="Millares 2 6 2 4 4 3 2" xfId="24848" xr:uid="{00000000-0005-0000-0000-0000621E0000}"/>
    <cellStyle name="Millares 2 6 2 4 4 3 2 2" xfId="51981" xr:uid="{00000000-0005-0000-0000-0000631E0000}"/>
    <cellStyle name="Millares 2 6 2 4 4 3 3" xfId="38419" xr:uid="{00000000-0005-0000-0000-0000641E0000}"/>
    <cellStyle name="Millares 2 6 2 4 4 4" xfId="18067" xr:uid="{00000000-0005-0000-0000-0000651E0000}"/>
    <cellStyle name="Millares 2 6 2 4 4 4 2" xfId="45200" xr:uid="{00000000-0005-0000-0000-0000661E0000}"/>
    <cellStyle name="Millares 2 6 2 4 4 5" xfId="31638" xr:uid="{00000000-0005-0000-0000-0000671E0000}"/>
    <cellStyle name="Millares 2 6 2 4 5" xfId="7874" xr:uid="{00000000-0005-0000-0000-0000681E0000}"/>
    <cellStyle name="Millares 2 6 2 4 5 2" xfId="14664" xr:uid="{00000000-0005-0000-0000-0000691E0000}"/>
    <cellStyle name="Millares 2 6 2 4 5 2 2" xfId="28232" xr:uid="{00000000-0005-0000-0000-00006A1E0000}"/>
    <cellStyle name="Millares 2 6 2 4 5 2 2 2" xfId="55365" xr:uid="{00000000-0005-0000-0000-00006B1E0000}"/>
    <cellStyle name="Millares 2 6 2 4 5 2 3" xfId="41803" xr:uid="{00000000-0005-0000-0000-00006C1E0000}"/>
    <cellStyle name="Millares 2 6 2 4 5 3" xfId="21451" xr:uid="{00000000-0005-0000-0000-00006D1E0000}"/>
    <cellStyle name="Millares 2 6 2 4 5 3 2" xfId="48584" xr:uid="{00000000-0005-0000-0000-00006E1E0000}"/>
    <cellStyle name="Millares 2 6 2 4 5 4" xfId="35022" xr:uid="{00000000-0005-0000-0000-00006F1E0000}"/>
    <cellStyle name="Millares 2 6 2 4 6" xfId="11275" xr:uid="{00000000-0005-0000-0000-0000701E0000}"/>
    <cellStyle name="Millares 2 6 2 4 6 2" xfId="24843" xr:uid="{00000000-0005-0000-0000-0000711E0000}"/>
    <cellStyle name="Millares 2 6 2 4 6 2 2" xfId="51976" xr:uid="{00000000-0005-0000-0000-0000721E0000}"/>
    <cellStyle name="Millares 2 6 2 4 6 3" xfId="38414" xr:uid="{00000000-0005-0000-0000-0000731E0000}"/>
    <cellStyle name="Millares 2 6 2 4 7" xfId="18062" xr:uid="{00000000-0005-0000-0000-0000741E0000}"/>
    <cellStyle name="Millares 2 6 2 4 7 2" xfId="45195" xr:uid="{00000000-0005-0000-0000-0000751E0000}"/>
    <cellStyle name="Millares 2 6 2 4 8" xfId="31633" xr:uid="{00000000-0005-0000-0000-0000761E0000}"/>
    <cellStyle name="Millares 2 6 2 5" xfId="4270" xr:uid="{00000000-0005-0000-0000-0000771E0000}"/>
    <cellStyle name="Millares 2 6 2 5 2" xfId="4271" xr:uid="{00000000-0005-0000-0000-0000781E0000}"/>
    <cellStyle name="Millares 2 6 2 5 2 2" xfId="4272" xr:uid="{00000000-0005-0000-0000-0000791E0000}"/>
    <cellStyle name="Millares 2 6 2 5 2 2 2" xfId="7882" xr:uid="{00000000-0005-0000-0000-00007A1E0000}"/>
    <cellStyle name="Millares 2 6 2 5 2 2 2 2" xfId="14672" xr:uid="{00000000-0005-0000-0000-00007B1E0000}"/>
    <cellStyle name="Millares 2 6 2 5 2 2 2 2 2" xfId="28240" xr:uid="{00000000-0005-0000-0000-00007C1E0000}"/>
    <cellStyle name="Millares 2 6 2 5 2 2 2 2 2 2" xfId="55373" xr:uid="{00000000-0005-0000-0000-00007D1E0000}"/>
    <cellStyle name="Millares 2 6 2 5 2 2 2 2 3" xfId="41811" xr:uid="{00000000-0005-0000-0000-00007E1E0000}"/>
    <cellStyle name="Millares 2 6 2 5 2 2 2 3" xfId="21459" xr:uid="{00000000-0005-0000-0000-00007F1E0000}"/>
    <cellStyle name="Millares 2 6 2 5 2 2 2 3 2" xfId="48592" xr:uid="{00000000-0005-0000-0000-0000801E0000}"/>
    <cellStyle name="Millares 2 6 2 5 2 2 2 4" xfId="35030" xr:uid="{00000000-0005-0000-0000-0000811E0000}"/>
    <cellStyle name="Millares 2 6 2 5 2 2 3" xfId="11283" xr:uid="{00000000-0005-0000-0000-0000821E0000}"/>
    <cellStyle name="Millares 2 6 2 5 2 2 3 2" xfId="24851" xr:uid="{00000000-0005-0000-0000-0000831E0000}"/>
    <cellStyle name="Millares 2 6 2 5 2 2 3 2 2" xfId="51984" xr:uid="{00000000-0005-0000-0000-0000841E0000}"/>
    <cellStyle name="Millares 2 6 2 5 2 2 3 3" xfId="38422" xr:uid="{00000000-0005-0000-0000-0000851E0000}"/>
    <cellStyle name="Millares 2 6 2 5 2 2 4" xfId="18070" xr:uid="{00000000-0005-0000-0000-0000861E0000}"/>
    <cellStyle name="Millares 2 6 2 5 2 2 4 2" xfId="45203" xr:uid="{00000000-0005-0000-0000-0000871E0000}"/>
    <cellStyle name="Millares 2 6 2 5 2 2 5" xfId="31641" xr:uid="{00000000-0005-0000-0000-0000881E0000}"/>
    <cellStyle name="Millares 2 6 2 5 2 3" xfId="4273" xr:uid="{00000000-0005-0000-0000-0000891E0000}"/>
    <cellStyle name="Millares 2 6 2 5 2 3 2" xfId="7883" xr:uid="{00000000-0005-0000-0000-00008A1E0000}"/>
    <cellStyle name="Millares 2 6 2 5 2 3 2 2" xfId="14673" xr:uid="{00000000-0005-0000-0000-00008B1E0000}"/>
    <cellStyle name="Millares 2 6 2 5 2 3 2 2 2" xfId="28241" xr:uid="{00000000-0005-0000-0000-00008C1E0000}"/>
    <cellStyle name="Millares 2 6 2 5 2 3 2 2 2 2" xfId="55374" xr:uid="{00000000-0005-0000-0000-00008D1E0000}"/>
    <cellStyle name="Millares 2 6 2 5 2 3 2 2 3" xfId="41812" xr:uid="{00000000-0005-0000-0000-00008E1E0000}"/>
    <cellStyle name="Millares 2 6 2 5 2 3 2 3" xfId="21460" xr:uid="{00000000-0005-0000-0000-00008F1E0000}"/>
    <cellStyle name="Millares 2 6 2 5 2 3 2 3 2" xfId="48593" xr:uid="{00000000-0005-0000-0000-0000901E0000}"/>
    <cellStyle name="Millares 2 6 2 5 2 3 2 4" xfId="35031" xr:uid="{00000000-0005-0000-0000-0000911E0000}"/>
    <cellStyle name="Millares 2 6 2 5 2 3 3" xfId="11284" xr:uid="{00000000-0005-0000-0000-0000921E0000}"/>
    <cellStyle name="Millares 2 6 2 5 2 3 3 2" xfId="24852" xr:uid="{00000000-0005-0000-0000-0000931E0000}"/>
    <cellStyle name="Millares 2 6 2 5 2 3 3 2 2" xfId="51985" xr:uid="{00000000-0005-0000-0000-0000941E0000}"/>
    <cellStyle name="Millares 2 6 2 5 2 3 3 3" xfId="38423" xr:uid="{00000000-0005-0000-0000-0000951E0000}"/>
    <cellStyle name="Millares 2 6 2 5 2 3 4" xfId="18071" xr:uid="{00000000-0005-0000-0000-0000961E0000}"/>
    <cellStyle name="Millares 2 6 2 5 2 3 4 2" xfId="45204" xr:uid="{00000000-0005-0000-0000-0000971E0000}"/>
    <cellStyle name="Millares 2 6 2 5 2 3 5" xfId="31642" xr:uid="{00000000-0005-0000-0000-0000981E0000}"/>
    <cellStyle name="Millares 2 6 2 5 2 4" xfId="7881" xr:uid="{00000000-0005-0000-0000-0000991E0000}"/>
    <cellStyle name="Millares 2 6 2 5 2 4 2" xfId="14671" xr:uid="{00000000-0005-0000-0000-00009A1E0000}"/>
    <cellStyle name="Millares 2 6 2 5 2 4 2 2" xfId="28239" xr:uid="{00000000-0005-0000-0000-00009B1E0000}"/>
    <cellStyle name="Millares 2 6 2 5 2 4 2 2 2" xfId="55372" xr:uid="{00000000-0005-0000-0000-00009C1E0000}"/>
    <cellStyle name="Millares 2 6 2 5 2 4 2 3" xfId="41810" xr:uid="{00000000-0005-0000-0000-00009D1E0000}"/>
    <cellStyle name="Millares 2 6 2 5 2 4 3" xfId="21458" xr:uid="{00000000-0005-0000-0000-00009E1E0000}"/>
    <cellStyle name="Millares 2 6 2 5 2 4 3 2" xfId="48591" xr:uid="{00000000-0005-0000-0000-00009F1E0000}"/>
    <cellStyle name="Millares 2 6 2 5 2 4 4" xfId="35029" xr:uid="{00000000-0005-0000-0000-0000A01E0000}"/>
    <cellStyle name="Millares 2 6 2 5 2 5" xfId="11282" xr:uid="{00000000-0005-0000-0000-0000A11E0000}"/>
    <cellStyle name="Millares 2 6 2 5 2 5 2" xfId="24850" xr:uid="{00000000-0005-0000-0000-0000A21E0000}"/>
    <cellStyle name="Millares 2 6 2 5 2 5 2 2" xfId="51983" xr:uid="{00000000-0005-0000-0000-0000A31E0000}"/>
    <cellStyle name="Millares 2 6 2 5 2 5 3" xfId="38421" xr:uid="{00000000-0005-0000-0000-0000A41E0000}"/>
    <cellStyle name="Millares 2 6 2 5 2 6" xfId="18069" xr:uid="{00000000-0005-0000-0000-0000A51E0000}"/>
    <cellStyle name="Millares 2 6 2 5 2 6 2" xfId="45202" xr:uid="{00000000-0005-0000-0000-0000A61E0000}"/>
    <cellStyle name="Millares 2 6 2 5 2 7" xfId="31640" xr:uid="{00000000-0005-0000-0000-0000A71E0000}"/>
    <cellStyle name="Millares 2 6 2 5 3" xfId="4274" xr:uid="{00000000-0005-0000-0000-0000A81E0000}"/>
    <cellStyle name="Millares 2 6 2 5 3 2" xfId="7884" xr:uid="{00000000-0005-0000-0000-0000A91E0000}"/>
    <cellStyle name="Millares 2 6 2 5 3 2 2" xfId="14674" xr:uid="{00000000-0005-0000-0000-0000AA1E0000}"/>
    <cellStyle name="Millares 2 6 2 5 3 2 2 2" xfId="28242" xr:uid="{00000000-0005-0000-0000-0000AB1E0000}"/>
    <cellStyle name="Millares 2 6 2 5 3 2 2 2 2" xfId="55375" xr:uid="{00000000-0005-0000-0000-0000AC1E0000}"/>
    <cellStyle name="Millares 2 6 2 5 3 2 2 3" xfId="41813" xr:uid="{00000000-0005-0000-0000-0000AD1E0000}"/>
    <cellStyle name="Millares 2 6 2 5 3 2 3" xfId="21461" xr:uid="{00000000-0005-0000-0000-0000AE1E0000}"/>
    <cellStyle name="Millares 2 6 2 5 3 2 3 2" xfId="48594" xr:uid="{00000000-0005-0000-0000-0000AF1E0000}"/>
    <cellStyle name="Millares 2 6 2 5 3 2 4" xfId="35032" xr:uid="{00000000-0005-0000-0000-0000B01E0000}"/>
    <cellStyle name="Millares 2 6 2 5 3 3" xfId="11285" xr:uid="{00000000-0005-0000-0000-0000B11E0000}"/>
    <cellStyle name="Millares 2 6 2 5 3 3 2" xfId="24853" xr:uid="{00000000-0005-0000-0000-0000B21E0000}"/>
    <cellStyle name="Millares 2 6 2 5 3 3 2 2" xfId="51986" xr:uid="{00000000-0005-0000-0000-0000B31E0000}"/>
    <cellStyle name="Millares 2 6 2 5 3 3 3" xfId="38424" xr:uid="{00000000-0005-0000-0000-0000B41E0000}"/>
    <cellStyle name="Millares 2 6 2 5 3 4" xfId="18072" xr:uid="{00000000-0005-0000-0000-0000B51E0000}"/>
    <cellStyle name="Millares 2 6 2 5 3 4 2" xfId="45205" xr:uid="{00000000-0005-0000-0000-0000B61E0000}"/>
    <cellStyle name="Millares 2 6 2 5 3 5" xfId="31643" xr:uid="{00000000-0005-0000-0000-0000B71E0000}"/>
    <cellStyle name="Millares 2 6 2 5 4" xfId="4275" xr:uid="{00000000-0005-0000-0000-0000B81E0000}"/>
    <cellStyle name="Millares 2 6 2 5 4 2" xfId="7885" xr:uid="{00000000-0005-0000-0000-0000B91E0000}"/>
    <cellStyle name="Millares 2 6 2 5 4 2 2" xfId="14675" xr:uid="{00000000-0005-0000-0000-0000BA1E0000}"/>
    <cellStyle name="Millares 2 6 2 5 4 2 2 2" xfId="28243" xr:uid="{00000000-0005-0000-0000-0000BB1E0000}"/>
    <cellStyle name="Millares 2 6 2 5 4 2 2 2 2" xfId="55376" xr:uid="{00000000-0005-0000-0000-0000BC1E0000}"/>
    <cellStyle name="Millares 2 6 2 5 4 2 2 3" xfId="41814" xr:uid="{00000000-0005-0000-0000-0000BD1E0000}"/>
    <cellStyle name="Millares 2 6 2 5 4 2 3" xfId="21462" xr:uid="{00000000-0005-0000-0000-0000BE1E0000}"/>
    <cellStyle name="Millares 2 6 2 5 4 2 3 2" xfId="48595" xr:uid="{00000000-0005-0000-0000-0000BF1E0000}"/>
    <cellStyle name="Millares 2 6 2 5 4 2 4" xfId="35033" xr:uid="{00000000-0005-0000-0000-0000C01E0000}"/>
    <cellStyle name="Millares 2 6 2 5 4 3" xfId="11286" xr:uid="{00000000-0005-0000-0000-0000C11E0000}"/>
    <cellStyle name="Millares 2 6 2 5 4 3 2" xfId="24854" xr:uid="{00000000-0005-0000-0000-0000C21E0000}"/>
    <cellStyle name="Millares 2 6 2 5 4 3 2 2" xfId="51987" xr:uid="{00000000-0005-0000-0000-0000C31E0000}"/>
    <cellStyle name="Millares 2 6 2 5 4 3 3" xfId="38425" xr:uid="{00000000-0005-0000-0000-0000C41E0000}"/>
    <cellStyle name="Millares 2 6 2 5 4 4" xfId="18073" xr:uid="{00000000-0005-0000-0000-0000C51E0000}"/>
    <cellStyle name="Millares 2 6 2 5 4 4 2" xfId="45206" xr:uid="{00000000-0005-0000-0000-0000C61E0000}"/>
    <cellStyle name="Millares 2 6 2 5 4 5" xfId="31644" xr:uid="{00000000-0005-0000-0000-0000C71E0000}"/>
    <cellStyle name="Millares 2 6 2 5 5" xfId="7880" xr:uid="{00000000-0005-0000-0000-0000C81E0000}"/>
    <cellStyle name="Millares 2 6 2 5 5 2" xfId="14670" xr:uid="{00000000-0005-0000-0000-0000C91E0000}"/>
    <cellStyle name="Millares 2 6 2 5 5 2 2" xfId="28238" xr:uid="{00000000-0005-0000-0000-0000CA1E0000}"/>
    <cellStyle name="Millares 2 6 2 5 5 2 2 2" xfId="55371" xr:uid="{00000000-0005-0000-0000-0000CB1E0000}"/>
    <cellStyle name="Millares 2 6 2 5 5 2 3" xfId="41809" xr:uid="{00000000-0005-0000-0000-0000CC1E0000}"/>
    <cellStyle name="Millares 2 6 2 5 5 3" xfId="21457" xr:uid="{00000000-0005-0000-0000-0000CD1E0000}"/>
    <cellStyle name="Millares 2 6 2 5 5 3 2" xfId="48590" xr:uid="{00000000-0005-0000-0000-0000CE1E0000}"/>
    <cellStyle name="Millares 2 6 2 5 5 4" xfId="35028" xr:uid="{00000000-0005-0000-0000-0000CF1E0000}"/>
    <cellStyle name="Millares 2 6 2 5 6" xfId="11281" xr:uid="{00000000-0005-0000-0000-0000D01E0000}"/>
    <cellStyle name="Millares 2 6 2 5 6 2" xfId="24849" xr:uid="{00000000-0005-0000-0000-0000D11E0000}"/>
    <cellStyle name="Millares 2 6 2 5 6 2 2" xfId="51982" xr:uid="{00000000-0005-0000-0000-0000D21E0000}"/>
    <cellStyle name="Millares 2 6 2 5 6 3" xfId="38420" xr:uid="{00000000-0005-0000-0000-0000D31E0000}"/>
    <cellStyle name="Millares 2 6 2 5 7" xfId="18068" xr:uid="{00000000-0005-0000-0000-0000D41E0000}"/>
    <cellStyle name="Millares 2 6 2 5 7 2" xfId="45201" xr:uid="{00000000-0005-0000-0000-0000D51E0000}"/>
    <cellStyle name="Millares 2 6 2 5 8" xfId="31639" xr:uid="{00000000-0005-0000-0000-0000D61E0000}"/>
    <cellStyle name="Millares 2 6 2 6" xfId="4276" xr:uid="{00000000-0005-0000-0000-0000D71E0000}"/>
    <cellStyle name="Millares 2 6 2 6 2" xfId="4277" xr:uid="{00000000-0005-0000-0000-0000D81E0000}"/>
    <cellStyle name="Millares 2 6 2 6 2 2" xfId="7887" xr:uid="{00000000-0005-0000-0000-0000D91E0000}"/>
    <cellStyle name="Millares 2 6 2 6 2 2 2" xfId="14677" xr:uid="{00000000-0005-0000-0000-0000DA1E0000}"/>
    <cellStyle name="Millares 2 6 2 6 2 2 2 2" xfId="28245" xr:uid="{00000000-0005-0000-0000-0000DB1E0000}"/>
    <cellStyle name="Millares 2 6 2 6 2 2 2 2 2" xfId="55378" xr:uid="{00000000-0005-0000-0000-0000DC1E0000}"/>
    <cellStyle name="Millares 2 6 2 6 2 2 2 3" xfId="41816" xr:uid="{00000000-0005-0000-0000-0000DD1E0000}"/>
    <cellStyle name="Millares 2 6 2 6 2 2 3" xfId="21464" xr:uid="{00000000-0005-0000-0000-0000DE1E0000}"/>
    <cellStyle name="Millares 2 6 2 6 2 2 3 2" xfId="48597" xr:uid="{00000000-0005-0000-0000-0000DF1E0000}"/>
    <cellStyle name="Millares 2 6 2 6 2 2 4" xfId="35035" xr:uid="{00000000-0005-0000-0000-0000E01E0000}"/>
    <cellStyle name="Millares 2 6 2 6 2 3" xfId="11288" xr:uid="{00000000-0005-0000-0000-0000E11E0000}"/>
    <cellStyle name="Millares 2 6 2 6 2 3 2" xfId="24856" xr:uid="{00000000-0005-0000-0000-0000E21E0000}"/>
    <cellStyle name="Millares 2 6 2 6 2 3 2 2" xfId="51989" xr:uid="{00000000-0005-0000-0000-0000E31E0000}"/>
    <cellStyle name="Millares 2 6 2 6 2 3 3" xfId="38427" xr:uid="{00000000-0005-0000-0000-0000E41E0000}"/>
    <cellStyle name="Millares 2 6 2 6 2 4" xfId="18075" xr:uid="{00000000-0005-0000-0000-0000E51E0000}"/>
    <cellStyle name="Millares 2 6 2 6 2 4 2" xfId="45208" xr:uid="{00000000-0005-0000-0000-0000E61E0000}"/>
    <cellStyle name="Millares 2 6 2 6 2 5" xfId="31646" xr:uid="{00000000-0005-0000-0000-0000E71E0000}"/>
    <cellStyle name="Millares 2 6 2 6 3" xfId="4278" xr:uid="{00000000-0005-0000-0000-0000E81E0000}"/>
    <cellStyle name="Millares 2 6 2 6 3 2" xfId="7888" xr:uid="{00000000-0005-0000-0000-0000E91E0000}"/>
    <cellStyle name="Millares 2 6 2 6 3 2 2" xfId="14678" xr:uid="{00000000-0005-0000-0000-0000EA1E0000}"/>
    <cellStyle name="Millares 2 6 2 6 3 2 2 2" xfId="28246" xr:uid="{00000000-0005-0000-0000-0000EB1E0000}"/>
    <cellStyle name="Millares 2 6 2 6 3 2 2 2 2" xfId="55379" xr:uid="{00000000-0005-0000-0000-0000EC1E0000}"/>
    <cellStyle name="Millares 2 6 2 6 3 2 2 3" xfId="41817" xr:uid="{00000000-0005-0000-0000-0000ED1E0000}"/>
    <cellStyle name="Millares 2 6 2 6 3 2 3" xfId="21465" xr:uid="{00000000-0005-0000-0000-0000EE1E0000}"/>
    <cellStyle name="Millares 2 6 2 6 3 2 3 2" xfId="48598" xr:uid="{00000000-0005-0000-0000-0000EF1E0000}"/>
    <cellStyle name="Millares 2 6 2 6 3 2 4" xfId="35036" xr:uid="{00000000-0005-0000-0000-0000F01E0000}"/>
    <cellStyle name="Millares 2 6 2 6 3 3" xfId="11289" xr:uid="{00000000-0005-0000-0000-0000F11E0000}"/>
    <cellStyle name="Millares 2 6 2 6 3 3 2" xfId="24857" xr:uid="{00000000-0005-0000-0000-0000F21E0000}"/>
    <cellStyle name="Millares 2 6 2 6 3 3 2 2" xfId="51990" xr:uid="{00000000-0005-0000-0000-0000F31E0000}"/>
    <cellStyle name="Millares 2 6 2 6 3 3 3" xfId="38428" xr:uid="{00000000-0005-0000-0000-0000F41E0000}"/>
    <cellStyle name="Millares 2 6 2 6 3 4" xfId="18076" xr:uid="{00000000-0005-0000-0000-0000F51E0000}"/>
    <cellStyle name="Millares 2 6 2 6 3 4 2" xfId="45209" xr:uid="{00000000-0005-0000-0000-0000F61E0000}"/>
    <cellStyle name="Millares 2 6 2 6 3 5" xfId="31647" xr:uid="{00000000-0005-0000-0000-0000F71E0000}"/>
    <cellStyle name="Millares 2 6 2 6 4" xfId="7886" xr:uid="{00000000-0005-0000-0000-0000F81E0000}"/>
    <cellStyle name="Millares 2 6 2 6 4 2" xfId="14676" xr:uid="{00000000-0005-0000-0000-0000F91E0000}"/>
    <cellStyle name="Millares 2 6 2 6 4 2 2" xfId="28244" xr:uid="{00000000-0005-0000-0000-0000FA1E0000}"/>
    <cellStyle name="Millares 2 6 2 6 4 2 2 2" xfId="55377" xr:uid="{00000000-0005-0000-0000-0000FB1E0000}"/>
    <cellStyle name="Millares 2 6 2 6 4 2 3" xfId="41815" xr:uid="{00000000-0005-0000-0000-0000FC1E0000}"/>
    <cellStyle name="Millares 2 6 2 6 4 3" xfId="21463" xr:uid="{00000000-0005-0000-0000-0000FD1E0000}"/>
    <cellStyle name="Millares 2 6 2 6 4 3 2" xfId="48596" xr:uid="{00000000-0005-0000-0000-0000FE1E0000}"/>
    <cellStyle name="Millares 2 6 2 6 4 4" xfId="35034" xr:uid="{00000000-0005-0000-0000-0000FF1E0000}"/>
    <cellStyle name="Millares 2 6 2 6 5" xfId="11287" xr:uid="{00000000-0005-0000-0000-0000001F0000}"/>
    <cellStyle name="Millares 2 6 2 6 5 2" xfId="24855" xr:uid="{00000000-0005-0000-0000-0000011F0000}"/>
    <cellStyle name="Millares 2 6 2 6 5 2 2" xfId="51988" xr:uid="{00000000-0005-0000-0000-0000021F0000}"/>
    <cellStyle name="Millares 2 6 2 6 5 3" xfId="38426" xr:uid="{00000000-0005-0000-0000-0000031F0000}"/>
    <cellStyle name="Millares 2 6 2 6 6" xfId="18074" xr:uid="{00000000-0005-0000-0000-0000041F0000}"/>
    <cellStyle name="Millares 2 6 2 6 6 2" xfId="45207" xr:uid="{00000000-0005-0000-0000-0000051F0000}"/>
    <cellStyle name="Millares 2 6 2 6 7" xfId="31645" xr:uid="{00000000-0005-0000-0000-0000061F0000}"/>
    <cellStyle name="Millares 2 6 2 7" xfId="4279" xr:uid="{00000000-0005-0000-0000-0000071F0000}"/>
    <cellStyle name="Millares 2 6 2 7 2" xfId="4280" xr:uid="{00000000-0005-0000-0000-0000081F0000}"/>
    <cellStyle name="Millares 2 6 2 7 2 2" xfId="7890" xr:uid="{00000000-0005-0000-0000-0000091F0000}"/>
    <cellStyle name="Millares 2 6 2 7 2 2 2" xfId="14680" xr:uid="{00000000-0005-0000-0000-00000A1F0000}"/>
    <cellStyle name="Millares 2 6 2 7 2 2 2 2" xfId="28248" xr:uid="{00000000-0005-0000-0000-00000B1F0000}"/>
    <cellStyle name="Millares 2 6 2 7 2 2 2 2 2" xfId="55381" xr:uid="{00000000-0005-0000-0000-00000C1F0000}"/>
    <cellStyle name="Millares 2 6 2 7 2 2 2 3" xfId="41819" xr:uid="{00000000-0005-0000-0000-00000D1F0000}"/>
    <cellStyle name="Millares 2 6 2 7 2 2 3" xfId="21467" xr:uid="{00000000-0005-0000-0000-00000E1F0000}"/>
    <cellStyle name="Millares 2 6 2 7 2 2 3 2" xfId="48600" xr:uid="{00000000-0005-0000-0000-00000F1F0000}"/>
    <cellStyle name="Millares 2 6 2 7 2 2 4" xfId="35038" xr:uid="{00000000-0005-0000-0000-0000101F0000}"/>
    <cellStyle name="Millares 2 6 2 7 2 3" xfId="11291" xr:uid="{00000000-0005-0000-0000-0000111F0000}"/>
    <cellStyle name="Millares 2 6 2 7 2 3 2" xfId="24859" xr:uid="{00000000-0005-0000-0000-0000121F0000}"/>
    <cellStyle name="Millares 2 6 2 7 2 3 2 2" xfId="51992" xr:uid="{00000000-0005-0000-0000-0000131F0000}"/>
    <cellStyle name="Millares 2 6 2 7 2 3 3" xfId="38430" xr:uid="{00000000-0005-0000-0000-0000141F0000}"/>
    <cellStyle name="Millares 2 6 2 7 2 4" xfId="18078" xr:uid="{00000000-0005-0000-0000-0000151F0000}"/>
    <cellStyle name="Millares 2 6 2 7 2 4 2" xfId="45211" xr:uid="{00000000-0005-0000-0000-0000161F0000}"/>
    <cellStyle name="Millares 2 6 2 7 2 5" xfId="31649" xr:uid="{00000000-0005-0000-0000-0000171F0000}"/>
    <cellStyle name="Millares 2 6 2 7 3" xfId="4281" xr:uid="{00000000-0005-0000-0000-0000181F0000}"/>
    <cellStyle name="Millares 2 6 2 7 3 2" xfId="7891" xr:uid="{00000000-0005-0000-0000-0000191F0000}"/>
    <cellStyle name="Millares 2 6 2 7 3 2 2" xfId="14681" xr:uid="{00000000-0005-0000-0000-00001A1F0000}"/>
    <cellStyle name="Millares 2 6 2 7 3 2 2 2" xfId="28249" xr:uid="{00000000-0005-0000-0000-00001B1F0000}"/>
    <cellStyle name="Millares 2 6 2 7 3 2 2 2 2" xfId="55382" xr:uid="{00000000-0005-0000-0000-00001C1F0000}"/>
    <cellStyle name="Millares 2 6 2 7 3 2 2 3" xfId="41820" xr:uid="{00000000-0005-0000-0000-00001D1F0000}"/>
    <cellStyle name="Millares 2 6 2 7 3 2 3" xfId="21468" xr:uid="{00000000-0005-0000-0000-00001E1F0000}"/>
    <cellStyle name="Millares 2 6 2 7 3 2 3 2" xfId="48601" xr:uid="{00000000-0005-0000-0000-00001F1F0000}"/>
    <cellStyle name="Millares 2 6 2 7 3 2 4" xfId="35039" xr:uid="{00000000-0005-0000-0000-0000201F0000}"/>
    <cellStyle name="Millares 2 6 2 7 3 3" xfId="11292" xr:uid="{00000000-0005-0000-0000-0000211F0000}"/>
    <cellStyle name="Millares 2 6 2 7 3 3 2" xfId="24860" xr:uid="{00000000-0005-0000-0000-0000221F0000}"/>
    <cellStyle name="Millares 2 6 2 7 3 3 2 2" xfId="51993" xr:uid="{00000000-0005-0000-0000-0000231F0000}"/>
    <cellStyle name="Millares 2 6 2 7 3 3 3" xfId="38431" xr:uid="{00000000-0005-0000-0000-0000241F0000}"/>
    <cellStyle name="Millares 2 6 2 7 3 4" xfId="18079" xr:uid="{00000000-0005-0000-0000-0000251F0000}"/>
    <cellStyle name="Millares 2 6 2 7 3 4 2" xfId="45212" xr:uid="{00000000-0005-0000-0000-0000261F0000}"/>
    <cellStyle name="Millares 2 6 2 7 3 5" xfId="31650" xr:uid="{00000000-0005-0000-0000-0000271F0000}"/>
    <cellStyle name="Millares 2 6 2 7 4" xfId="7889" xr:uid="{00000000-0005-0000-0000-0000281F0000}"/>
    <cellStyle name="Millares 2 6 2 7 4 2" xfId="14679" xr:uid="{00000000-0005-0000-0000-0000291F0000}"/>
    <cellStyle name="Millares 2 6 2 7 4 2 2" xfId="28247" xr:uid="{00000000-0005-0000-0000-00002A1F0000}"/>
    <cellStyle name="Millares 2 6 2 7 4 2 2 2" xfId="55380" xr:uid="{00000000-0005-0000-0000-00002B1F0000}"/>
    <cellStyle name="Millares 2 6 2 7 4 2 3" xfId="41818" xr:uid="{00000000-0005-0000-0000-00002C1F0000}"/>
    <cellStyle name="Millares 2 6 2 7 4 3" xfId="21466" xr:uid="{00000000-0005-0000-0000-00002D1F0000}"/>
    <cellStyle name="Millares 2 6 2 7 4 3 2" xfId="48599" xr:uid="{00000000-0005-0000-0000-00002E1F0000}"/>
    <cellStyle name="Millares 2 6 2 7 4 4" xfId="35037" xr:uid="{00000000-0005-0000-0000-00002F1F0000}"/>
    <cellStyle name="Millares 2 6 2 7 5" xfId="11290" xr:uid="{00000000-0005-0000-0000-0000301F0000}"/>
    <cellStyle name="Millares 2 6 2 7 5 2" xfId="24858" xr:uid="{00000000-0005-0000-0000-0000311F0000}"/>
    <cellStyle name="Millares 2 6 2 7 5 2 2" xfId="51991" xr:uid="{00000000-0005-0000-0000-0000321F0000}"/>
    <cellStyle name="Millares 2 6 2 7 5 3" xfId="38429" xr:uid="{00000000-0005-0000-0000-0000331F0000}"/>
    <cellStyle name="Millares 2 6 2 7 6" xfId="18077" xr:uid="{00000000-0005-0000-0000-0000341F0000}"/>
    <cellStyle name="Millares 2 6 2 7 6 2" xfId="45210" xr:uid="{00000000-0005-0000-0000-0000351F0000}"/>
    <cellStyle name="Millares 2 6 2 7 7" xfId="31648" xr:uid="{00000000-0005-0000-0000-0000361F0000}"/>
    <cellStyle name="Millares 2 6 2 8" xfId="4282" xr:uid="{00000000-0005-0000-0000-0000371F0000}"/>
    <cellStyle name="Millares 2 6 2 8 2" xfId="7892" xr:uid="{00000000-0005-0000-0000-0000381F0000}"/>
    <cellStyle name="Millares 2 6 2 8 2 2" xfId="14682" xr:uid="{00000000-0005-0000-0000-0000391F0000}"/>
    <cellStyle name="Millares 2 6 2 8 2 2 2" xfId="28250" xr:uid="{00000000-0005-0000-0000-00003A1F0000}"/>
    <cellStyle name="Millares 2 6 2 8 2 2 2 2" xfId="55383" xr:uid="{00000000-0005-0000-0000-00003B1F0000}"/>
    <cellStyle name="Millares 2 6 2 8 2 2 3" xfId="41821" xr:uid="{00000000-0005-0000-0000-00003C1F0000}"/>
    <cellStyle name="Millares 2 6 2 8 2 3" xfId="21469" xr:uid="{00000000-0005-0000-0000-00003D1F0000}"/>
    <cellStyle name="Millares 2 6 2 8 2 3 2" xfId="48602" xr:uid="{00000000-0005-0000-0000-00003E1F0000}"/>
    <cellStyle name="Millares 2 6 2 8 2 4" xfId="35040" xr:uid="{00000000-0005-0000-0000-00003F1F0000}"/>
    <cellStyle name="Millares 2 6 2 8 3" xfId="11293" xr:uid="{00000000-0005-0000-0000-0000401F0000}"/>
    <cellStyle name="Millares 2 6 2 8 3 2" xfId="24861" xr:uid="{00000000-0005-0000-0000-0000411F0000}"/>
    <cellStyle name="Millares 2 6 2 8 3 2 2" xfId="51994" xr:uid="{00000000-0005-0000-0000-0000421F0000}"/>
    <cellStyle name="Millares 2 6 2 8 3 3" xfId="38432" xr:uid="{00000000-0005-0000-0000-0000431F0000}"/>
    <cellStyle name="Millares 2 6 2 8 4" xfId="18080" xr:uid="{00000000-0005-0000-0000-0000441F0000}"/>
    <cellStyle name="Millares 2 6 2 8 4 2" xfId="45213" xr:uid="{00000000-0005-0000-0000-0000451F0000}"/>
    <cellStyle name="Millares 2 6 2 8 5" xfId="31651" xr:uid="{00000000-0005-0000-0000-0000461F0000}"/>
    <cellStyle name="Millares 2 6 2 9" xfId="4283" xr:uid="{00000000-0005-0000-0000-0000471F0000}"/>
    <cellStyle name="Millares 2 6 2 9 2" xfId="7893" xr:uid="{00000000-0005-0000-0000-0000481F0000}"/>
    <cellStyle name="Millares 2 6 2 9 2 2" xfId="14683" xr:uid="{00000000-0005-0000-0000-0000491F0000}"/>
    <cellStyle name="Millares 2 6 2 9 2 2 2" xfId="28251" xr:uid="{00000000-0005-0000-0000-00004A1F0000}"/>
    <cellStyle name="Millares 2 6 2 9 2 2 2 2" xfId="55384" xr:uid="{00000000-0005-0000-0000-00004B1F0000}"/>
    <cellStyle name="Millares 2 6 2 9 2 2 3" xfId="41822" xr:uid="{00000000-0005-0000-0000-00004C1F0000}"/>
    <cellStyle name="Millares 2 6 2 9 2 3" xfId="21470" xr:uid="{00000000-0005-0000-0000-00004D1F0000}"/>
    <cellStyle name="Millares 2 6 2 9 2 3 2" xfId="48603" xr:uid="{00000000-0005-0000-0000-00004E1F0000}"/>
    <cellStyle name="Millares 2 6 2 9 2 4" xfId="35041" xr:uid="{00000000-0005-0000-0000-00004F1F0000}"/>
    <cellStyle name="Millares 2 6 2 9 3" xfId="11294" xr:uid="{00000000-0005-0000-0000-0000501F0000}"/>
    <cellStyle name="Millares 2 6 2 9 3 2" xfId="24862" xr:uid="{00000000-0005-0000-0000-0000511F0000}"/>
    <cellStyle name="Millares 2 6 2 9 3 2 2" xfId="51995" xr:uid="{00000000-0005-0000-0000-0000521F0000}"/>
    <cellStyle name="Millares 2 6 2 9 3 3" xfId="38433" xr:uid="{00000000-0005-0000-0000-0000531F0000}"/>
    <cellStyle name="Millares 2 6 2 9 4" xfId="18081" xr:uid="{00000000-0005-0000-0000-0000541F0000}"/>
    <cellStyle name="Millares 2 6 2 9 4 2" xfId="45214" xr:uid="{00000000-0005-0000-0000-0000551F0000}"/>
    <cellStyle name="Millares 2 6 2 9 5" xfId="31652" xr:uid="{00000000-0005-0000-0000-0000561F0000}"/>
    <cellStyle name="Millares 2 6 3" xfId="4284" xr:uid="{00000000-0005-0000-0000-0000571F0000}"/>
    <cellStyle name="Millares 2 6 3 10" xfId="11295" xr:uid="{00000000-0005-0000-0000-0000581F0000}"/>
    <cellStyle name="Millares 2 6 3 10 2" xfId="24863" xr:uid="{00000000-0005-0000-0000-0000591F0000}"/>
    <cellStyle name="Millares 2 6 3 10 2 2" xfId="51996" xr:uid="{00000000-0005-0000-0000-00005A1F0000}"/>
    <cellStyle name="Millares 2 6 3 10 3" xfId="38434" xr:uid="{00000000-0005-0000-0000-00005B1F0000}"/>
    <cellStyle name="Millares 2 6 3 11" xfId="18082" xr:uid="{00000000-0005-0000-0000-00005C1F0000}"/>
    <cellStyle name="Millares 2 6 3 11 2" xfId="45215" xr:uid="{00000000-0005-0000-0000-00005D1F0000}"/>
    <cellStyle name="Millares 2 6 3 12" xfId="31653" xr:uid="{00000000-0005-0000-0000-00005E1F0000}"/>
    <cellStyle name="Millares 2 6 3 2" xfId="4285" xr:uid="{00000000-0005-0000-0000-00005F1F0000}"/>
    <cellStyle name="Millares 2 6 3 2 10" xfId="31654" xr:uid="{00000000-0005-0000-0000-0000601F0000}"/>
    <cellStyle name="Millares 2 6 3 2 2" xfId="4286" xr:uid="{00000000-0005-0000-0000-0000611F0000}"/>
    <cellStyle name="Millares 2 6 3 2 2 2" xfId="4287" xr:uid="{00000000-0005-0000-0000-0000621F0000}"/>
    <cellStyle name="Millares 2 6 3 2 2 2 2" xfId="4288" xr:uid="{00000000-0005-0000-0000-0000631F0000}"/>
    <cellStyle name="Millares 2 6 3 2 2 2 2 2" xfId="7898" xr:uid="{00000000-0005-0000-0000-0000641F0000}"/>
    <cellStyle name="Millares 2 6 3 2 2 2 2 2 2" xfId="14688" xr:uid="{00000000-0005-0000-0000-0000651F0000}"/>
    <cellStyle name="Millares 2 6 3 2 2 2 2 2 2 2" xfId="28256" xr:uid="{00000000-0005-0000-0000-0000661F0000}"/>
    <cellStyle name="Millares 2 6 3 2 2 2 2 2 2 2 2" xfId="55389" xr:uid="{00000000-0005-0000-0000-0000671F0000}"/>
    <cellStyle name="Millares 2 6 3 2 2 2 2 2 2 3" xfId="41827" xr:uid="{00000000-0005-0000-0000-0000681F0000}"/>
    <cellStyle name="Millares 2 6 3 2 2 2 2 2 3" xfId="21475" xr:uid="{00000000-0005-0000-0000-0000691F0000}"/>
    <cellStyle name="Millares 2 6 3 2 2 2 2 2 3 2" xfId="48608" xr:uid="{00000000-0005-0000-0000-00006A1F0000}"/>
    <cellStyle name="Millares 2 6 3 2 2 2 2 2 4" xfId="35046" xr:uid="{00000000-0005-0000-0000-00006B1F0000}"/>
    <cellStyle name="Millares 2 6 3 2 2 2 2 3" xfId="11299" xr:uid="{00000000-0005-0000-0000-00006C1F0000}"/>
    <cellStyle name="Millares 2 6 3 2 2 2 2 3 2" xfId="24867" xr:uid="{00000000-0005-0000-0000-00006D1F0000}"/>
    <cellStyle name="Millares 2 6 3 2 2 2 2 3 2 2" xfId="52000" xr:uid="{00000000-0005-0000-0000-00006E1F0000}"/>
    <cellStyle name="Millares 2 6 3 2 2 2 2 3 3" xfId="38438" xr:uid="{00000000-0005-0000-0000-00006F1F0000}"/>
    <cellStyle name="Millares 2 6 3 2 2 2 2 4" xfId="18086" xr:uid="{00000000-0005-0000-0000-0000701F0000}"/>
    <cellStyle name="Millares 2 6 3 2 2 2 2 4 2" xfId="45219" xr:uid="{00000000-0005-0000-0000-0000711F0000}"/>
    <cellStyle name="Millares 2 6 3 2 2 2 2 5" xfId="31657" xr:uid="{00000000-0005-0000-0000-0000721F0000}"/>
    <cellStyle name="Millares 2 6 3 2 2 2 3" xfId="4289" xr:uid="{00000000-0005-0000-0000-0000731F0000}"/>
    <cellStyle name="Millares 2 6 3 2 2 2 3 2" xfId="7899" xr:uid="{00000000-0005-0000-0000-0000741F0000}"/>
    <cellStyle name="Millares 2 6 3 2 2 2 3 2 2" xfId="14689" xr:uid="{00000000-0005-0000-0000-0000751F0000}"/>
    <cellStyle name="Millares 2 6 3 2 2 2 3 2 2 2" xfId="28257" xr:uid="{00000000-0005-0000-0000-0000761F0000}"/>
    <cellStyle name="Millares 2 6 3 2 2 2 3 2 2 2 2" xfId="55390" xr:uid="{00000000-0005-0000-0000-0000771F0000}"/>
    <cellStyle name="Millares 2 6 3 2 2 2 3 2 2 3" xfId="41828" xr:uid="{00000000-0005-0000-0000-0000781F0000}"/>
    <cellStyle name="Millares 2 6 3 2 2 2 3 2 3" xfId="21476" xr:uid="{00000000-0005-0000-0000-0000791F0000}"/>
    <cellStyle name="Millares 2 6 3 2 2 2 3 2 3 2" xfId="48609" xr:uid="{00000000-0005-0000-0000-00007A1F0000}"/>
    <cellStyle name="Millares 2 6 3 2 2 2 3 2 4" xfId="35047" xr:uid="{00000000-0005-0000-0000-00007B1F0000}"/>
    <cellStyle name="Millares 2 6 3 2 2 2 3 3" xfId="11300" xr:uid="{00000000-0005-0000-0000-00007C1F0000}"/>
    <cellStyle name="Millares 2 6 3 2 2 2 3 3 2" xfId="24868" xr:uid="{00000000-0005-0000-0000-00007D1F0000}"/>
    <cellStyle name="Millares 2 6 3 2 2 2 3 3 2 2" xfId="52001" xr:uid="{00000000-0005-0000-0000-00007E1F0000}"/>
    <cellStyle name="Millares 2 6 3 2 2 2 3 3 3" xfId="38439" xr:uid="{00000000-0005-0000-0000-00007F1F0000}"/>
    <cellStyle name="Millares 2 6 3 2 2 2 3 4" xfId="18087" xr:uid="{00000000-0005-0000-0000-0000801F0000}"/>
    <cellStyle name="Millares 2 6 3 2 2 2 3 4 2" xfId="45220" xr:uid="{00000000-0005-0000-0000-0000811F0000}"/>
    <cellStyle name="Millares 2 6 3 2 2 2 3 5" xfId="31658" xr:uid="{00000000-0005-0000-0000-0000821F0000}"/>
    <cellStyle name="Millares 2 6 3 2 2 2 4" xfId="7897" xr:uid="{00000000-0005-0000-0000-0000831F0000}"/>
    <cellStyle name="Millares 2 6 3 2 2 2 4 2" xfId="14687" xr:uid="{00000000-0005-0000-0000-0000841F0000}"/>
    <cellStyle name="Millares 2 6 3 2 2 2 4 2 2" xfId="28255" xr:uid="{00000000-0005-0000-0000-0000851F0000}"/>
    <cellStyle name="Millares 2 6 3 2 2 2 4 2 2 2" xfId="55388" xr:uid="{00000000-0005-0000-0000-0000861F0000}"/>
    <cellStyle name="Millares 2 6 3 2 2 2 4 2 3" xfId="41826" xr:uid="{00000000-0005-0000-0000-0000871F0000}"/>
    <cellStyle name="Millares 2 6 3 2 2 2 4 3" xfId="21474" xr:uid="{00000000-0005-0000-0000-0000881F0000}"/>
    <cellStyle name="Millares 2 6 3 2 2 2 4 3 2" xfId="48607" xr:uid="{00000000-0005-0000-0000-0000891F0000}"/>
    <cellStyle name="Millares 2 6 3 2 2 2 4 4" xfId="35045" xr:uid="{00000000-0005-0000-0000-00008A1F0000}"/>
    <cellStyle name="Millares 2 6 3 2 2 2 5" xfId="11298" xr:uid="{00000000-0005-0000-0000-00008B1F0000}"/>
    <cellStyle name="Millares 2 6 3 2 2 2 5 2" xfId="24866" xr:uid="{00000000-0005-0000-0000-00008C1F0000}"/>
    <cellStyle name="Millares 2 6 3 2 2 2 5 2 2" xfId="51999" xr:uid="{00000000-0005-0000-0000-00008D1F0000}"/>
    <cellStyle name="Millares 2 6 3 2 2 2 5 3" xfId="38437" xr:uid="{00000000-0005-0000-0000-00008E1F0000}"/>
    <cellStyle name="Millares 2 6 3 2 2 2 6" xfId="18085" xr:uid="{00000000-0005-0000-0000-00008F1F0000}"/>
    <cellStyle name="Millares 2 6 3 2 2 2 6 2" xfId="45218" xr:uid="{00000000-0005-0000-0000-0000901F0000}"/>
    <cellStyle name="Millares 2 6 3 2 2 2 7" xfId="31656" xr:uid="{00000000-0005-0000-0000-0000911F0000}"/>
    <cellStyle name="Millares 2 6 3 2 2 3" xfId="4290" xr:uid="{00000000-0005-0000-0000-0000921F0000}"/>
    <cellStyle name="Millares 2 6 3 2 2 3 2" xfId="4291" xr:uid="{00000000-0005-0000-0000-0000931F0000}"/>
    <cellStyle name="Millares 2 6 3 2 2 3 2 2" xfId="7901" xr:uid="{00000000-0005-0000-0000-0000941F0000}"/>
    <cellStyle name="Millares 2 6 3 2 2 3 2 2 2" xfId="14691" xr:uid="{00000000-0005-0000-0000-0000951F0000}"/>
    <cellStyle name="Millares 2 6 3 2 2 3 2 2 2 2" xfId="28259" xr:uid="{00000000-0005-0000-0000-0000961F0000}"/>
    <cellStyle name="Millares 2 6 3 2 2 3 2 2 2 2 2" xfId="55392" xr:uid="{00000000-0005-0000-0000-0000971F0000}"/>
    <cellStyle name="Millares 2 6 3 2 2 3 2 2 2 3" xfId="41830" xr:uid="{00000000-0005-0000-0000-0000981F0000}"/>
    <cellStyle name="Millares 2 6 3 2 2 3 2 2 3" xfId="21478" xr:uid="{00000000-0005-0000-0000-0000991F0000}"/>
    <cellStyle name="Millares 2 6 3 2 2 3 2 2 3 2" xfId="48611" xr:uid="{00000000-0005-0000-0000-00009A1F0000}"/>
    <cellStyle name="Millares 2 6 3 2 2 3 2 2 4" xfId="35049" xr:uid="{00000000-0005-0000-0000-00009B1F0000}"/>
    <cellStyle name="Millares 2 6 3 2 2 3 2 3" xfId="11302" xr:uid="{00000000-0005-0000-0000-00009C1F0000}"/>
    <cellStyle name="Millares 2 6 3 2 2 3 2 3 2" xfId="24870" xr:uid="{00000000-0005-0000-0000-00009D1F0000}"/>
    <cellStyle name="Millares 2 6 3 2 2 3 2 3 2 2" xfId="52003" xr:uid="{00000000-0005-0000-0000-00009E1F0000}"/>
    <cellStyle name="Millares 2 6 3 2 2 3 2 3 3" xfId="38441" xr:uid="{00000000-0005-0000-0000-00009F1F0000}"/>
    <cellStyle name="Millares 2 6 3 2 2 3 2 4" xfId="18089" xr:uid="{00000000-0005-0000-0000-0000A01F0000}"/>
    <cellStyle name="Millares 2 6 3 2 2 3 2 4 2" xfId="45222" xr:uid="{00000000-0005-0000-0000-0000A11F0000}"/>
    <cellStyle name="Millares 2 6 3 2 2 3 2 5" xfId="31660" xr:uid="{00000000-0005-0000-0000-0000A21F0000}"/>
    <cellStyle name="Millares 2 6 3 2 2 3 3" xfId="7900" xr:uid="{00000000-0005-0000-0000-0000A31F0000}"/>
    <cellStyle name="Millares 2 6 3 2 2 3 3 2" xfId="14690" xr:uid="{00000000-0005-0000-0000-0000A41F0000}"/>
    <cellStyle name="Millares 2 6 3 2 2 3 3 2 2" xfId="28258" xr:uid="{00000000-0005-0000-0000-0000A51F0000}"/>
    <cellStyle name="Millares 2 6 3 2 2 3 3 2 2 2" xfId="55391" xr:uid="{00000000-0005-0000-0000-0000A61F0000}"/>
    <cellStyle name="Millares 2 6 3 2 2 3 3 2 3" xfId="41829" xr:uid="{00000000-0005-0000-0000-0000A71F0000}"/>
    <cellStyle name="Millares 2 6 3 2 2 3 3 3" xfId="21477" xr:uid="{00000000-0005-0000-0000-0000A81F0000}"/>
    <cellStyle name="Millares 2 6 3 2 2 3 3 3 2" xfId="48610" xr:uid="{00000000-0005-0000-0000-0000A91F0000}"/>
    <cellStyle name="Millares 2 6 3 2 2 3 3 4" xfId="35048" xr:uid="{00000000-0005-0000-0000-0000AA1F0000}"/>
    <cellStyle name="Millares 2 6 3 2 2 3 4" xfId="11301" xr:uid="{00000000-0005-0000-0000-0000AB1F0000}"/>
    <cellStyle name="Millares 2 6 3 2 2 3 4 2" xfId="24869" xr:uid="{00000000-0005-0000-0000-0000AC1F0000}"/>
    <cellStyle name="Millares 2 6 3 2 2 3 4 2 2" xfId="52002" xr:uid="{00000000-0005-0000-0000-0000AD1F0000}"/>
    <cellStyle name="Millares 2 6 3 2 2 3 4 3" xfId="38440" xr:uid="{00000000-0005-0000-0000-0000AE1F0000}"/>
    <cellStyle name="Millares 2 6 3 2 2 3 5" xfId="18088" xr:uid="{00000000-0005-0000-0000-0000AF1F0000}"/>
    <cellStyle name="Millares 2 6 3 2 2 3 5 2" xfId="45221" xr:uid="{00000000-0005-0000-0000-0000B01F0000}"/>
    <cellStyle name="Millares 2 6 3 2 2 3 6" xfId="31659" xr:uid="{00000000-0005-0000-0000-0000B11F0000}"/>
    <cellStyle name="Millares 2 6 3 2 2 4" xfId="4292" xr:uid="{00000000-0005-0000-0000-0000B21F0000}"/>
    <cellStyle name="Millares 2 6 3 2 2 4 2" xfId="7902" xr:uid="{00000000-0005-0000-0000-0000B31F0000}"/>
    <cellStyle name="Millares 2 6 3 2 2 4 2 2" xfId="14692" xr:uid="{00000000-0005-0000-0000-0000B41F0000}"/>
    <cellStyle name="Millares 2 6 3 2 2 4 2 2 2" xfId="28260" xr:uid="{00000000-0005-0000-0000-0000B51F0000}"/>
    <cellStyle name="Millares 2 6 3 2 2 4 2 2 2 2" xfId="55393" xr:uid="{00000000-0005-0000-0000-0000B61F0000}"/>
    <cellStyle name="Millares 2 6 3 2 2 4 2 2 3" xfId="41831" xr:uid="{00000000-0005-0000-0000-0000B71F0000}"/>
    <cellStyle name="Millares 2 6 3 2 2 4 2 3" xfId="21479" xr:uid="{00000000-0005-0000-0000-0000B81F0000}"/>
    <cellStyle name="Millares 2 6 3 2 2 4 2 3 2" xfId="48612" xr:uid="{00000000-0005-0000-0000-0000B91F0000}"/>
    <cellStyle name="Millares 2 6 3 2 2 4 2 4" xfId="35050" xr:uid="{00000000-0005-0000-0000-0000BA1F0000}"/>
    <cellStyle name="Millares 2 6 3 2 2 4 3" xfId="11303" xr:uid="{00000000-0005-0000-0000-0000BB1F0000}"/>
    <cellStyle name="Millares 2 6 3 2 2 4 3 2" xfId="24871" xr:uid="{00000000-0005-0000-0000-0000BC1F0000}"/>
    <cellStyle name="Millares 2 6 3 2 2 4 3 2 2" xfId="52004" xr:uid="{00000000-0005-0000-0000-0000BD1F0000}"/>
    <cellStyle name="Millares 2 6 3 2 2 4 3 3" xfId="38442" xr:uid="{00000000-0005-0000-0000-0000BE1F0000}"/>
    <cellStyle name="Millares 2 6 3 2 2 4 4" xfId="18090" xr:uid="{00000000-0005-0000-0000-0000BF1F0000}"/>
    <cellStyle name="Millares 2 6 3 2 2 4 4 2" xfId="45223" xr:uid="{00000000-0005-0000-0000-0000C01F0000}"/>
    <cellStyle name="Millares 2 6 3 2 2 4 5" xfId="31661" xr:uid="{00000000-0005-0000-0000-0000C11F0000}"/>
    <cellStyle name="Millares 2 6 3 2 2 5" xfId="4293" xr:uid="{00000000-0005-0000-0000-0000C21F0000}"/>
    <cellStyle name="Millares 2 6 3 2 2 5 2" xfId="7903" xr:uid="{00000000-0005-0000-0000-0000C31F0000}"/>
    <cellStyle name="Millares 2 6 3 2 2 5 2 2" xfId="14693" xr:uid="{00000000-0005-0000-0000-0000C41F0000}"/>
    <cellStyle name="Millares 2 6 3 2 2 5 2 2 2" xfId="28261" xr:uid="{00000000-0005-0000-0000-0000C51F0000}"/>
    <cellStyle name="Millares 2 6 3 2 2 5 2 2 2 2" xfId="55394" xr:uid="{00000000-0005-0000-0000-0000C61F0000}"/>
    <cellStyle name="Millares 2 6 3 2 2 5 2 2 3" xfId="41832" xr:uid="{00000000-0005-0000-0000-0000C71F0000}"/>
    <cellStyle name="Millares 2 6 3 2 2 5 2 3" xfId="21480" xr:uid="{00000000-0005-0000-0000-0000C81F0000}"/>
    <cellStyle name="Millares 2 6 3 2 2 5 2 3 2" xfId="48613" xr:uid="{00000000-0005-0000-0000-0000C91F0000}"/>
    <cellStyle name="Millares 2 6 3 2 2 5 2 4" xfId="35051" xr:uid="{00000000-0005-0000-0000-0000CA1F0000}"/>
    <cellStyle name="Millares 2 6 3 2 2 5 3" xfId="11304" xr:uid="{00000000-0005-0000-0000-0000CB1F0000}"/>
    <cellStyle name="Millares 2 6 3 2 2 5 3 2" xfId="24872" xr:uid="{00000000-0005-0000-0000-0000CC1F0000}"/>
    <cellStyle name="Millares 2 6 3 2 2 5 3 2 2" xfId="52005" xr:uid="{00000000-0005-0000-0000-0000CD1F0000}"/>
    <cellStyle name="Millares 2 6 3 2 2 5 3 3" xfId="38443" xr:uid="{00000000-0005-0000-0000-0000CE1F0000}"/>
    <cellStyle name="Millares 2 6 3 2 2 5 4" xfId="18091" xr:uid="{00000000-0005-0000-0000-0000CF1F0000}"/>
    <cellStyle name="Millares 2 6 3 2 2 5 4 2" xfId="45224" xr:uid="{00000000-0005-0000-0000-0000D01F0000}"/>
    <cellStyle name="Millares 2 6 3 2 2 5 5" xfId="31662" xr:uid="{00000000-0005-0000-0000-0000D11F0000}"/>
    <cellStyle name="Millares 2 6 3 2 2 6" xfId="7896" xr:uid="{00000000-0005-0000-0000-0000D21F0000}"/>
    <cellStyle name="Millares 2 6 3 2 2 6 2" xfId="14686" xr:uid="{00000000-0005-0000-0000-0000D31F0000}"/>
    <cellStyle name="Millares 2 6 3 2 2 6 2 2" xfId="28254" xr:uid="{00000000-0005-0000-0000-0000D41F0000}"/>
    <cellStyle name="Millares 2 6 3 2 2 6 2 2 2" xfId="55387" xr:uid="{00000000-0005-0000-0000-0000D51F0000}"/>
    <cellStyle name="Millares 2 6 3 2 2 6 2 3" xfId="41825" xr:uid="{00000000-0005-0000-0000-0000D61F0000}"/>
    <cellStyle name="Millares 2 6 3 2 2 6 3" xfId="21473" xr:uid="{00000000-0005-0000-0000-0000D71F0000}"/>
    <cellStyle name="Millares 2 6 3 2 2 6 3 2" xfId="48606" xr:uid="{00000000-0005-0000-0000-0000D81F0000}"/>
    <cellStyle name="Millares 2 6 3 2 2 6 4" xfId="35044" xr:uid="{00000000-0005-0000-0000-0000D91F0000}"/>
    <cellStyle name="Millares 2 6 3 2 2 7" xfId="11297" xr:uid="{00000000-0005-0000-0000-0000DA1F0000}"/>
    <cellStyle name="Millares 2 6 3 2 2 7 2" xfId="24865" xr:uid="{00000000-0005-0000-0000-0000DB1F0000}"/>
    <cellStyle name="Millares 2 6 3 2 2 7 2 2" xfId="51998" xr:uid="{00000000-0005-0000-0000-0000DC1F0000}"/>
    <cellStyle name="Millares 2 6 3 2 2 7 3" xfId="38436" xr:uid="{00000000-0005-0000-0000-0000DD1F0000}"/>
    <cellStyle name="Millares 2 6 3 2 2 8" xfId="18084" xr:uid="{00000000-0005-0000-0000-0000DE1F0000}"/>
    <cellStyle name="Millares 2 6 3 2 2 8 2" xfId="45217" xr:uid="{00000000-0005-0000-0000-0000DF1F0000}"/>
    <cellStyle name="Millares 2 6 3 2 2 9" xfId="31655" xr:uid="{00000000-0005-0000-0000-0000E01F0000}"/>
    <cellStyle name="Millares 2 6 3 2 3" xfId="4294" xr:uid="{00000000-0005-0000-0000-0000E11F0000}"/>
    <cellStyle name="Millares 2 6 3 2 3 2" xfId="4295" xr:uid="{00000000-0005-0000-0000-0000E21F0000}"/>
    <cellStyle name="Millares 2 6 3 2 3 2 2" xfId="7905" xr:uid="{00000000-0005-0000-0000-0000E31F0000}"/>
    <cellStyle name="Millares 2 6 3 2 3 2 2 2" xfId="14695" xr:uid="{00000000-0005-0000-0000-0000E41F0000}"/>
    <cellStyle name="Millares 2 6 3 2 3 2 2 2 2" xfId="28263" xr:uid="{00000000-0005-0000-0000-0000E51F0000}"/>
    <cellStyle name="Millares 2 6 3 2 3 2 2 2 2 2" xfId="55396" xr:uid="{00000000-0005-0000-0000-0000E61F0000}"/>
    <cellStyle name="Millares 2 6 3 2 3 2 2 2 3" xfId="41834" xr:uid="{00000000-0005-0000-0000-0000E71F0000}"/>
    <cellStyle name="Millares 2 6 3 2 3 2 2 3" xfId="21482" xr:uid="{00000000-0005-0000-0000-0000E81F0000}"/>
    <cellStyle name="Millares 2 6 3 2 3 2 2 3 2" xfId="48615" xr:uid="{00000000-0005-0000-0000-0000E91F0000}"/>
    <cellStyle name="Millares 2 6 3 2 3 2 2 4" xfId="35053" xr:uid="{00000000-0005-0000-0000-0000EA1F0000}"/>
    <cellStyle name="Millares 2 6 3 2 3 2 3" xfId="11306" xr:uid="{00000000-0005-0000-0000-0000EB1F0000}"/>
    <cellStyle name="Millares 2 6 3 2 3 2 3 2" xfId="24874" xr:uid="{00000000-0005-0000-0000-0000EC1F0000}"/>
    <cellStyle name="Millares 2 6 3 2 3 2 3 2 2" xfId="52007" xr:uid="{00000000-0005-0000-0000-0000ED1F0000}"/>
    <cellStyle name="Millares 2 6 3 2 3 2 3 3" xfId="38445" xr:uid="{00000000-0005-0000-0000-0000EE1F0000}"/>
    <cellStyle name="Millares 2 6 3 2 3 2 4" xfId="18093" xr:uid="{00000000-0005-0000-0000-0000EF1F0000}"/>
    <cellStyle name="Millares 2 6 3 2 3 2 4 2" xfId="45226" xr:uid="{00000000-0005-0000-0000-0000F01F0000}"/>
    <cellStyle name="Millares 2 6 3 2 3 2 5" xfId="31664" xr:uid="{00000000-0005-0000-0000-0000F11F0000}"/>
    <cellStyle name="Millares 2 6 3 2 3 3" xfId="4296" xr:uid="{00000000-0005-0000-0000-0000F21F0000}"/>
    <cellStyle name="Millares 2 6 3 2 3 3 2" xfId="7906" xr:uid="{00000000-0005-0000-0000-0000F31F0000}"/>
    <cellStyle name="Millares 2 6 3 2 3 3 2 2" xfId="14696" xr:uid="{00000000-0005-0000-0000-0000F41F0000}"/>
    <cellStyle name="Millares 2 6 3 2 3 3 2 2 2" xfId="28264" xr:uid="{00000000-0005-0000-0000-0000F51F0000}"/>
    <cellStyle name="Millares 2 6 3 2 3 3 2 2 2 2" xfId="55397" xr:uid="{00000000-0005-0000-0000-0000F61F0000}"/>
    <cellStyle name="Millares 2 6 3 2 3 3 2 2 3" xfId="41835" xr:uid="{00000000-0005-0000-0000-0000F71F0000}"/>
    <cellStyle name="Millares 2 6 3 2 3 3 2 3" xfId="21483" xr:uid="{00000000-0005-0000-0000-0000F81F0000}"/>
    <cellStyle name="Millares 2 6 3 2 3 3 2 3 2" xfId="48616" xr:uid="{00000000-0005-0000-0000-0000F91F0000}"/>
    <cellStyle name="Millares 2 6 3 2 3 3 2 4" xfId="35054" xr:uid="{00000000-0005-0000-0000-0000FA1F0000}"/>
    <cellStyle name="Millares 2 6 3 2 3 3 3" xfId="11307" xr:uid="{00000000-0005-0000-0000-0000FB1F0000}"/>
    <cellStyle name="Millares 2 6 3 2 3 3 3 2" xfId="24875" xr:uid="{00000000-0005-0000-0000-0000FC1F0000}"/>
    <cellStyle name="Millares 2 6 3 2 3 3 3 2 2" xfId="52008" xr:uid="{00000000-0005-0000-0000-0000FD1F0000}"/>
    <cellStyle name="Millares 2 6 3 2 3 3 3 3" xfId="38446" xr:uid="{00000000-0005-0000-0000-0000FE1F0000}"/>
    <cellStyle name="Millares 2 6 3 2 3 3 4" xfId="18094" xr:uid="{00000000-0005-0000-0000-0000FF1F0000}"/>
    <cellStyle name="Millares 2 6 3 2 3 3 4 2" xfId="45227" xr:uid="{00000000-0005-0000-0000-000000200000}"/>
    <cellStyle name="Millares 2 6 3 2 3 3 5" xfId="31665" xr:uid="{00000000-0005-0000-0000-000001200000}"/>
    <cellStyle name="Millares 2 6 3 2 3 4" xfId="7904" xr:uid="{00000000-0005-0000-0000-000002200000}"/>
    <cellStyle name="Millares 2 6 3 2 3 4 2" xfId="14694" xr:uid="{00000000-0005-0000-0000-000003200000}"/>
    <cellStyle name="Millares 2 6 3 2 3 4 2 2" xfId="28262" xr:uid="{00000000-0005-0000-0000-000004200000}"/>
    <cellStyle name="Millares 2 6 3 2 3 4 2 2 2" xfId="55395" xr:uid="{00000000-0005-0000-0000-000005200000}"/>
    <cellStyle name="Millares 2 6 3 2 3 4 2 3" xfId="41833" xr:uid="{00000000-0005-0000-0000-000006200000}"/>
    <cellStyle name="Millares 2 6 3 2 3 4 3" xfId="21481" xr:uid="{00000000-0005-0000-0000-000007200000}"/>
    <cellStyle name="Millares 2 6 3 2 3 4 3 2" xfId="48614" xr:uid="{00000000-0005-0000-0000-000008200000}"/>
    <cellStyle name="Millares 2 6 3 2 3 4 4" xfId="35052" xr:uid="{00000000-0005-0000-0000-000009200000}"/>
    <cellStyle name="Millares 2 6 3 2 3 5" xfId="11305" xr:uid="{00000000-0005-0000-0000-00000A200000}"/>
    <cellStyle name="Millares 2 6 3 2 3 5 2" xfId="24873" xr:uid="{00000000-0005-0000-0000-00000B200000}"/>
    <cellStyle name="Millares 2 6 3 2 3 5 2 2" xfId="52006" xr:uid="{00000000-0005-0000-0000-00000C200000}"/>
    <cellStyle name="Millares 2 6 3 2 3 5 3" xfId="38444" xr:uid="{00000000-0005-0000-0000-00000D200000}"/>
    <cellStyle name="Millares 2 6 3 2 3 6" xfId="18092" xr:uid="{00000000-0005-0000-0000-00000E200000}"/>
    <cellStyle name="Millares 2 6 3 2 3 6 2" xfId="45225" xr:uid="{00000000-0005-0000-0000-00000F200000}"/>
    <cellStyle name="Millares 2 6 3 2 3 7" xfId="31663" xr:uid="{00000000-0005-0000-0000-000010200000}"/>
    <cellStyle name="Millares 2 6 3 2 4" xfId="4297" xr:uid="{00000000-0005-0000-0000-000011200000}"/>
    <cellStyle name="Millares 2 6 3 2 4 2" xfId="4298" xr:uid="{00000000-0005-0000-0000-000012200000}"/>
    <cellStyle name="Millares 2 6 3 2 4 2 2" xfId="7908" xr:uid="{00000000-0005-0000-0000-000013200000}"/>
    <cellStyle name="Millares 2 6 3 2 4 2 2 2" xfId="14698" xr:uid="{00000000-0005-0000-0000-000014200000}"/>
    <cellStyle name="Millares 2 6 3 2 4 2 2 2 2" xfId="28266" xr:uid="{00000000-0005-0000-0000-000015200000}"/>
    <cellStyle name="Millares 2 6 3 2 4 2 2 2 2 2" xfId="55399" xr:uid="{00000000-0005-0000-0000-000016200000}"/>
    <cellStyle name="Millares 2 6 3 2 4 2 2 2 3" xfId="41837" xr:uid="{00000000-0005-0000-0000-000017200000}"/>
    <cellStyle name="Millares 2 6 3 2 4 2 2 3" xfId="21485" xr:uid="{00000000-0005-0000-0000-000018200000}"/>
    <cellStyle name="Millares 2 6 3 2 4 2 2 3 2" xfId="48618" xr:uid="{00000000-0005-0000-0000-000019200000}"/>
    <cellStyle name="Millares 2 6 3 2 4 2 2 4" xfId="35056" xr:uid="{00000000-0005-0000-0000-00001A200000}"/>
    <cellStyle name="Millares 2 6 3 2 4 2 3" xfId="11309" xr:uid="{00000000-0005-0000-0000-00001B200000}"/>
    <cellStyle name="Millares 2 6 3 2 4 2 3 2" xfId="24877" xr:uid="{00000000-0005-0000-0000-00001C200000}"/>
    <cellStyle name="Millares 2 6 3 2 4 2 3 2 2" xfId="52010" xr:uid="{00000000-0005-0000-0000-00001D200000}"/>
    <cellStyle name="Millares 2 6 3 2 4 2 3 3" xfId="38448" xr:uid="{00000000-0005-0000-0000-00001E200000}"/>
    <cellStyle name="Millares 2 6 3 2 4 2 4" xfId="18096" xr:uid="{00000000-0005-0000-0000-00001F200000}"/>
    <cellStyle name="Millares 2 6 3 2 4 2 4 2" xfId="45229" xr:uid="{00000000-0005-0000-0000-000020200000}"/>
    <cellStyle name="Millares 2 6 3 2 4 2 5" xfId="31667" xr:uid="{00000000-0005-0000-0000-000021200000}"/>
    <cellStyle name="Millares 2 6 3 2 4 3" xfId="7907" xr:uid="{00000000-0005-0000-0000-000022200000}"/>
    <cellStyle name="Millares 2 6 3 2 4 3 2" xfId="14697" xr:uid="{00000000-0005-0000-0000-000023200000}"/>
    <cellStyle name="Millares 2 6 3 2 4 3 2 2" xfId="28265" xr:uid="{00000000-0005-0000-0000-000024200000}"/>
    <cellStyle name="Millares 2 6 3 2 4 3 2 2 2" xfId="55398" xr:uid="{00000000-0005-0000-0000-000025200000}"/>
    <cellStyle name="Millares 2 6 3 2 4 3 2 3" xfId="41836" xr:uid="{00000000-0005-0000-0000-000026200000}"/>
    <cellStyle name="Millares 2 6 3 2 4 3 3" xfId="21484" xr:uid="{00000000-0005-0000-0000-000027200000}"/>
    <cellStyle name="Millares 2 6 3 2 4 3 3 2" xfId="48617" xr:uid="{00000000-0005-0000-0000-000028200000}"/>
    <cellStyle name="Millares 2 6 3 2 4 3 4" xfId="35055" xr:uid="{00000000-0005-0000-0000-000029200000}"/>
    <cellStyle name="Millares 2 6 3 2 4 4" xfId="11308" xr:uid="{00000000-0005-0000-0000-00002A200000}"/>
    <cellStyle name="Millares 2 6 3 2 4 4 2" xfId="24876" xr:uid="{00000000-0005-0000-0000-00002B200000}"/>
    <cellStyle name="Millares 2 6 3 2 4 4 2 2" xfId="52009" xr:uid="{00000000-0005-0000-0000-00002C200000}"/>
    <cellStyle name="Millares 2 6 3 2 4 4 3" xfId="38447" xr:uid="{00000000-0005-0000-0000-00002D200000}"/>
    <cellStyle name="Millares 2 6 3 2 4 5" xfId="18095" xr:uid="{00000000-0005-0000-0000-00002E200000}"/>
    <cellStyle name="Millares 2 6 3 2 4 5 2" xfId="45228" xr:uid="{00000000-0005-0000-0000-00002F200000}"/>
    <cellStyle name="Millares 2 6 3 2 4 6" xfId="31666" xr:uid="{00000000-0005-0000-0000-000030200000}"/>
    <cellStyle name="Millares 2 6 3 2 5" xfId="4299" xr:uid="{00000000-0005-0000-0000-000031200000}"/>
    <cellStyle name="Millares 2 6 3 2 5 2" xfId="7909" xr:uid="{00000000-0005-0000-0000-000032200000}"/>
    <cellStyle name="Millares 2 6 3 2 5 2 2" xfId="14699" xr:uid="{00000000-0005-0000-0000-000033200000}"/>
    <cellStyle name="Millares 2 6 3 2 5 2 2 2" xfId="28267" xr:uid="{00000000-0005-0000-0000-000034200000}"/>
    <cellStyle name="Millares 2 6 3 2 5 2 2 2 2" xfId="55400" xr:uid="{00000000-0005-0000-0000-000035200000}"/>
    <cellStyle name="Millares 2 6 3 2 5 2 2 3" xfId="41838" xr:uid="{00000000-0005-0000-0000-000036200000}"/>
    <cellStyle name="Millares 2 6 3 2 5 2 3" xfId="21486" xr:uid="{00000000-0005-0000-0000-000037200000}"/>
    <cellStyle name="Millares 2 6 3 2 5 2 3 2" xfId="48619" xr:uid="{00000000-0005-0000-0000-000038200000}"/>
    <cellStyle name="Millares 2 6 3 2 5 2 4" xfId="35057" xr:uid="{00000000-0005-0000-0000-000039200000}"/>
    <cellStyle name="Millares 2 6 3 2 5 3" xfId="11310" xr:uid="{00000000-0005-0000-0000-00003A200000}"/>
    <cellStyle name="Millares 2 6 3 2 5 3 2" xfId="24878" xr:uid="{00000000-0005-0000-0000-00003B200000}"/>
    <cellStyle name="Millares 2 6 3 2 5 3 2 2" xfId="52011" xr:uid="{00000000-0005-0000-0000-00003C200000}"/>
    <cellStyle name="Millares 2 6 3 2 5 3 3" xfId="38449" xr:uid="{00000000-0005-0000-0000-00003D200000}"/>
    <cellStyle name="Millares 2 6 3 2 5 4" xfId="18097" xr:uid="{00000000-0005-0000-0000-00003E200000}"/>
    <cellStyle name="Millares 2 6 3 2 5 4 2" xfId="45230" xr:uid="{00000000-0005-0000-0000-00003F200000}"/>
    <cellStyle name="Millares 2 6 3 2 5 5" xfId="31668" xr:uid="{00000000-0005-0000-0000-000040200000}"/>
    <cellStyle name="Millares 2 6 3 2 6" xfId="4300" xr:uid="{00000000-0005-0000-0000-000041200000}"/>
    <cellStyle name="Millares 2 6 3 2 6 2" xfId="7910" xr:uid="{00000000-0005-0000-0000-000042200000}"/>
    <cellStyle name="Millares 2 6 3 2 6 2 2" xfId="14700" xr:uid="{00000000-0005-0000-0000-000043200000}"/>
    <cellStyle name="Millares 2 6 3 2 6 2 2 2" xfId="28268" xr:uid="{00000000-0005-0000-0000-000044200000}"/>
    <cellStyle name="Millares 2 6 3 2 6 2 2 2 2" xfId="55401" xr:uid="{00000000-0005-0000-0000-000045200000}"/>
    <cellStyle name="Millares 2 6 3 2 6 2 2 3" xfId="41839" xr:uid="{00000000-0005-0000-0000-000046200000}"/>
    <cellStyle name="Millares 2 6 3 2 6 2 3" xfId="21487" xr:uid="{00000000-0005-0000-0000-000047200000}"/>
    <cellStyle name="Millares 2 6 3 2 6 2 3 2" xfId="48620" xr:uid="{00000000-0005-0000-0000-000048200000}"/>
    <cellStyle name="Millares 2 6 3 2 6 2 4" xfId="35058" xr:uid="{00000000-0005-0000-0000-000049200000}"/>
    <cellStyle name="Millares 2 6 3 2 6 3" xfId="11311" xr:uid="{00000000-0005-0000-0000-00004A200000}"/>
    <cellStyle name="Millares 2 6 3 2 6 3 2" xfId="24879" xr:uid="{00000000-0005-0000-0000-00004B200000}"/>
    <cellStyle name="Millares 2 6 3 2 6 3 2 2" xfId="52012" xr:uid="{00000000-0005-0000-0000-00004C200000}"/>
    <cellStyle name="Millares 2 6 3 2 6 3 3" xfId="38450" xr:uid="{00000000-0005-0000-0000-00004D200000}"/>
    <cellStyle name="Millares 2 6 3 2 6 4" xfId="18098" xr:uid="{00000000-0005-0000-0000-00004E200000}"/>
    <cellStyle name="Millares 2 6 3 2 6 4 2" xfId="45231" xr:uid="{00000000-0005-0000-0000-00004F200000}"/>
    <cellStyle name="Millares 2 6 3 2 6 5" xfId="31669" xr:uid="{00000000-0005-0000-0000-000050200000}"/>
    <cellStyle name="Millares 2 6 3 2 7" xfId="7895" xr:uid="{00000000-0005-0000-0000-000051200000}"/>
    <cellStyle name="Millares 2 6 3 2 7 2" xfId="14685" xr:uid="{00000000-0005-0000-0000-000052200000}"/>
    <cellStyle name="Millares 2 6 3 2 7 2 2" xfId="28253" xr:uid="{00000000-0005-0000-0000-000053200000}"/>
    <cellStyle name="Millares 2 6 3 2 7 2 2 2" xfId="55386" xr:uid="{00000000-0005-0000-0000-000054200000}"/>
    <cellStyle name="Millares 2 6 3 2 7 2 3" xfId="41824" xr:uid="{00000000-0005-0000-0000-000055200000}"/>
    <cellStyle name="Millares 2 6 3 2 7 3" xfId="21472" xr:uid="{00000000-0005-0000-0000-000056200000}"/>
    <cellStyle name="Millares 2 6 3 2 7 3 2" xfId="48605" xr:uid="{00000000-0005-0000-0000-000057200000}"/>
    <cellStyle name="Millares 2 6 3 2 7 4" xfId="35043" xr:uid="{00000000-0005-0000-0000-000058200000}"/>
    <cellStyle name="Millares 2 6 3 2 8" xfId="11296" xr:uid="{00000000-0005-0000-0000-000059200000}"/>
    <cellStyle name="Millares 2 6 3 2 8 2" xfId="24864" xr:uid="{00000000-0005-0000-0000-00005A200000}"/>
    <cellStyle name="Millares 2 6 3 2 8 2 2" xfId="51997" xr:uid="{00000000-0005-0000-0000-00005B200000}"/>
    <cellStyle name="Millares 2 6 3 2 8 3" xfId="38435" xr:uid="{00000000-0005-0000-0000-00005C200000}"/>
    <cellStyle name="Millares 2 6 3 2 9" xfId="18083" xr:uid="{00000000-0005-0000-0000-00005D200000}"/>
    <cellStyle name="Millares 2 6 3 2 9 2" xfId="45216" xr:uid="{00000000-0005-0000-0000-00005E200000}"/>
    <cellStyle name="Millares 2 6 3 3" xfId="4301" xr:uid="{00000000-0005-0000-0000-00005F200000}"/>
    <cellStyle name="Millares 2 6 3 3 2" xfId="4302" xr:uid="{00000000-0005-0000-0000-000060200000}"/>
    <cellStyle name="Millares 2 6 3 3 2 2" xfId="4303" xr:uid="{00000000-0005-0000-0000-000061200000}"/>
    <cellStyle name="Millares 2 6 3 3 2 2 2" xfId="7913" xr:uid="{00000000-0005-0000-0000-000062200000}"/>
    <cellStyle name="Millares 2 6 3 3 2 2 2 2" xfId="14703" xr:uid="{00000000-0005-0000-0000-000063200000}"/>
    <cellStyle name="Millares 2 6 3 3 2 2 2 2 2" xfId="28271" xr:uid="{00000000-0005-0000-0000-000064200000}"/>
    <cellStyle name="Millares 2 6 3 3 2 2 2 2 2 2" xfId="55404" xr:uid="{00000000-0005-0000-0000-000065200000}"/>
    <cellStyle name="Millares 2 6 3 3 2 2 2 2 3" xfId="41842" xr:uid="{00000000-0005-0000-0000-000066200000}"/>
    <cellStyle name="Millares 2 6 3 3 2 2 2 3" xfId="21490" xr:uid="{00000000-0005-0000-0000-000067200000}"/>
    <cellStyle name="Millares 2 6 3 3 2 2 2 3 2" xfId="48623" xr:uid="{00000000-0005-0000-0000-000068200000}"/>
    <cellStyle name="Millares 2 6 3 3 2 2 2 4" xfId="35061" xr:uid="{00000000-0005-0000-0000-000069200000}"/>
    <cellStyle name="Millares 2 6 3 3 2 2 3" xfId="11314" xr:uid="{00000000-0005-0000-0000-00006A200000}"/>
    <cellStyle name="Millares 2 6 3 3 2 2 3 2" xfId="24882" xr:uid="{00000000-0005-0000-0000-00006B200000}"/>
    <cellStyle name="Millares 2 6 3 3 2 2 3 2 2" xfId="52015" xr:uid="{00000000-0005-0000-0000-00006C200000}"/>
    <cellStyle name="Millares 2 6 3 3 2 2 3 3" xfId="38453" xr:uid="{00000000-0005-0000-0000-00006D200000}"/>
    <cellStyle name="Millares 2 6 3 3 2 2 4" xfId="18101" xr:uid="{00000000-0005-0000-0000-00006E200000}"/>
    <cellStyle name="Millares 2 6 3 3 2 2 4 2" xfId="45234" xr:uid="{00000000-0005-0000-0000-00006F200000}"/>
    <cellStyle name="Millares 2 6 3 3 2 2 5" xfId="31672" xr:uid="{00000000-0005-0000-0000-000070200000}"/>
    <cellStyle name="Millares 2 6 3 3 2 3" xfId="4304" xr:uid="{00000000-0005-0000-0000-000071200000}"/>
    <cellStyle name="Millares 2 6 3 3 2 3 2" xfId="7914" xr:uid="{00000000-0005-0000-0000-000072200000}"/>
    <cellStyle name="Millares 2 6 3 3 2 3 2 2" xfId="14704" xr:uid="{00000000-0005-0000-0000-000073200000}"/>
    <cellStyle name="Millares 2 6 3 3 2 3 2 2 2" xfId="28272" xr:uid="{00000000-0005-0000-0000-000074200000}"/>
    <cellStyle name="Millares 2 6 3 3 2 3 2 2 2 2" xfId="55405" xr:uid="{00000000-0005-0000-0000-000075200000}"/>
    <cellStyle name="Millares 2 6 3 3 2 3 2 2 3" xfId="41843" xr:uid="{00000000-0005-0000-0000-000076200000}"/>
    <cellStyle name="Millares 2 6 3 3 2 3 2 3" xfId="21491" xr:uid="{00000000-0005-0000-0000-000077200000}"/>
    <cellStyle name="Millares 2 6 3 3 2 3 2 3 2" xfId="48624" xr:uid="{00000000-0005-0000-0000-000078200000}"/>
    <cellStyle name="Millares 2 6 3 3 2 3 2 4" xfId="35062" xr:uid="{00000000-0005-0000-0000-000079200000}"/>
    <cellStyle name="Millares 2 6 3 3 2 3 3" xfId="11315" xr:uid="{00000000-0005-0000-0000-00007A200000}"/>
    <cellStyle name="Millares 2 6 3 3 2 3 3 2" xfId="24883" xr:uid="{00000000-0005-0000-0000-00007B200000}"/>
    <cellStyle name="Millares 2 6 3 3 2 3 3 2 2" xfId="52016" xr:uid="{00000000-0005-0000-0000-00007C200000}"/>
    <cellStyle name="Millares 2 6 3 3 2 3 3 3" xfId="38454" xr:uid="{00000000-0005-0000-0000-00007D200000}"/>
    <cellStyle name="Millares 2 6 3 3 2 3 4" xfId="18102" xr:uid="{00000000-0005-0000-0000-00007E200000}"/>
    <cellStyle name="Millares 2 6 3 3 2 3 4 2" xfId="45235" xr:uid="{00000000-0005-0000-0000-00007F200000}"/>
    <cellStyle name="Millares 2 6 3 3 2 3 5" xfId="31673" xr:uid="{00000000-0005-0000-0000-000080200000}"/>
    <cellStyle name="Millares 2 6 3 3 2 4" xfId="7912" xr:uid="{00000000-0005-0000-0000-000081200000}"/>
    <cellStyle name="Millares 2 6 3 3 2 4 2" xfId="14702" xr:uid="{00000000-0005-0000-0000-000082200000}"/>
    <cellStyle name="Millares 2 6 3 3 2 4 2 2" xfId="28270" xr:uid="{00000000-0005-0000-0000-000083200000}"/>
    <cellStyle name="Millares 2 6 3 3 2 4 2 2 2" xfId="55403" xr:uid="{00000000-0005-0000-0000-000084200000}"/>
    <cellStyle name="Millares 2 6 3 3 2 4 2 3" xfId="41841" xr:uid="{00000000-0005-0000-0000-000085200000}"/>
    <cellStyle name="Millares 2 6 3 3 2 4 3" xfId="21489" xr:uid="{00000000-0005-0000-0000-000086200000}"/>
    <cellStyle name="Millares 2 6 3 3 2 4 3 2" xfId="48622" xr:uid="{00000000-0005-0000-0000-000087200000}"/>
    <cellStyle name="Millares 2 6 3 3 2 4 4" xfId="35060" xr:uid="{00000000-0005-0000-0000-000088200000}"/>
    <cellStyle name="Millares 2 6 3 3 2 5" xfId="11313" xr:uid="{00000000-0005-0000-0000-000089200000}"/>
    <cellStyle name="Millares 2 6 3 3 2 5 2" xfId="24881" xr:uid="{00000000-0005-0000-0000-00008A200000}"/>
    <cellStyle name="Millares 2 6 3 3 2 5 2 2" xfId="52014" xr:uid="{00000000-0005-0000-0000-00008B200000}"/>
    <cellStyle name="Millares 2 6 3 3 2 5 3" xfId="38452" xr:uid="{00000000-0005-0000-0000-00008C200000}"/>
    <cellStyle name="Millares 2 6 3 3 2 6" xfId="18100" xr:uid="{00000000-0005-0000-0000-00008D200000}"/>
    <cellStyle name="Millares 2 6 3 3 2 6 2" xfId="45233" xr:uid="{00000000-0005-0000-0000-00008E200000}"/>
    <cellStyle name="Millares 2 6 3 3 2 7" xfId="31671" xr:uid="{00000000-0005-0000-0000-00008F200000}"/>
    <cellStyle name="Millares 2 6 3 3 3" xfId="4305" xr:uid="{00000000-0005-0000-0000-000090200000}"/>
    <cellStyle name="Millares 2 6 3 3 3 2" xfId="4306" xr:uid="{00000000-0005-0000-0000-000091200000}"/>
    <cellStyle name="Millares 2 6 3 3 3 2 2" xfId="7916" xr:uid="{00000000-0005-0000-0000-000092200000}"/>
    <cellStyle name="Millares 2 6 3 3 3 2 2 2" xfId="14706" xr:uid="{00000000-0005-0000-0000-000093200000}"/>
    <cellStyle name="Millares 2 6 3 3 3 2 2 2 2" xfId="28274" xr:uid="{00000000-0005-0000-0000-000094200000}"/>
    <cellStyle name="Millares 2 6 3 3 3 2 2 2 2 2" xfId="55407" xr:uid="{00000000-0005-0000-0000-000095200000}"/>
    <cellStyle name="Millares 2 6 3 3 3 2 2 2 3" xfId="41845" xr:uid="{00000000-0005-0000-0000-000096200000}"/>
    <cellStyle name="Millares 2 6 3 3 3 2 2 3" xfId="21493" xr:uid="{00000000-0005-0000-0000-000097200000}"/>
    <cellStyle name="Millares 2 6 3 3 3 2 2 3 2" xfId="48626" xr:uid="{00000000-0005-0000-0000-000098200000}"/>
    <cellStyle name="Millares 2 6 3 3 3 2 2 4" xfId="35064" xr:uid="{00000000-0005-0000-0000-000099200000}"/>
    <cellStyle name="Millares 2 6 3 3 3 2 3" xfId="11317" xr:uid="{00000000-0005-0000-0000-00009A200000}"/>
    <cellStyle name="Millares 2 6 3 3 3 2 3 2" xfId="24885" xr:uid="{00000000-0005-0000-0000-00009B200000}"/>
    <cellStyle name="Millares 2 6 3 3 3 2 3 2 2" xfId="52018" xr:uid="{00000000-0005-0000-0000-00009C200000}"/>
    <cellStyle name="Millares 2 6 3 3 3 2 3 3" xfId="38456" xr:uid="{00000000-0005-0000-0000-00009D200000}"/>
    <cellStyle name="Millares 2 6 3 3 3 2 4" xfId="18104" xr:uid="{00000000-0005-0000-0000-00009E200000}"/>
    <cellStyle name="Millares 2 6 3 3 3 2 4 2" xfId="45237" xr:uid="{00000000-0005-0000-0000-00009F200000}"/>
    <cellStyle name="Millares 2 6 3 3 3 2 5" xfId="31675" xr:uid="{00000000-0005-0000-0000-0000A0200000}"/>
    <cellStyle name="Millares 2 6 3 3 3 3" xfId="7915" xr:uid="{00000000-0005-0000-0000-0000A1200000}"/>
    <cellStyle name="Millares 2 6 3 3 3 3 2" xfId="14705" xr:uid="{00000000-0005-0000-0000-0000A2200000}"/>
    <cellStyle name="Millares 2 6 3 3 3 3 2 2" xfId="28273" xr:uid="{00000000-0005-0000-0000-0000A3200000}"/>
    <cellStyle name="Millares 2 6 3 3 3 3 2 2 2" xfId="55406" xr:uid="{00000000-0005-0000-0000-0000A4200000}"/>
    <cellStyle name="Millares 2 6 3 3 3 3 2 3" xfId="41844" xr:uid="{00000000-0005-0000-0000-0000A5200000}"/>
    <cellStyle name="Millares 2 6 3 3 3 3 3" xfId="21492" xr:uid="{00000000-0005-0000-0000-0000A6200000}"/>
    <cellStyle name="Millares 2 6 3 3 3 3 3 2" xfId="48625" xr:uid="{00000000-0005-0000-0000-0000A7200000}"/>
    <cellStyle name="Millares 2 6 3 3 3 3 4" xfId="35063" xr:uid="{00000000-0005-0000-0000-0000A8200000}"/>
    <cellStyle name="Millares 2 6 3 3 3 4" xfId="11316" xr:uid="{00000000-0005-0000-0000-0000A9200000}"/>
    <cellStyle name="Millares 2 6 3 3 3 4 2" xfId="24884" xr:uid="{00000000-0005-0000-0000-0000AA200000}"/>
    <cellStyle name="Millares 2 6 3 3 3 4 2 2" xfId="52017" xr:uid="{00000000-0005-0000-0000-0000AB200000}"/>
    <cellStyle name="Millares 2 6 3 3 3 4 3" xfId="38455" xr:uid="{00000000-0005-0000-0000-0000AC200000}"/>
    <cellStyle name="Millares 2 6 3 3 3 5" xfId="18103" xr:uid="{00000000-0005-0000-0000-0000AD200000}"/>
    <cellStyle name="Millares 2 6 3 3 3 5 2" xfId="45236" xr:uid="{00000000-0005-0000-0000-0000AE200000}"/>
    <cellStyle name="Millares 2 6 3 3 3 6" xfId="31674" xr:uid="{00000000-0005-0000-0000-0000AF200000}"/>
    <cellStyle name="Millares 2 6 3 3 4" xfId="4307" xr:uid="{00000000-0005-0000-0000-0000B0200000}"/>
    <cellStyle name="Millares 2 6 3 3 4 2" xfId="7917" xr:uid="{00000000-0005-0000-0000-0000B1200000}"/>
    <cellStyle name="Millares 2 6 3 3 4 2 2" xfId="14707" xr:uid="{00000000-0005-0000-0000-0000B2200000}"/>
    <cellStyle name="Millares 2 6 3 3 4 2 2 2" xfId="28275" xr:uid="{00000000-0005-0000-0000-0000B3200000}"/>
    <cellStyle name="Millares 2 6 3 3 4 2 2 2 2" xfId="55408" xr:uid="{00000000-0005-0000-0000-0000B4200000}"/>
    <cellStyle name="Millares 2 6 3 3 4 2 2 3" xfId="41846" xr:uid="{00000000-0005-0000-0000-0000B5200000}"/>
    <cellStyle name="Millares 2 6 3 3 4 2 3" xfId="21494" xr:uid="{00000000-0005-0000-0000-0000B6200000}"/>
    <cellStyle name="Millares 2 6 3 3 4 2 3 2" xfId="48627" xr:uid="{00000000-0005-0000-0000-0000B7200000}"/>
    <cellStyle name="Millares 2 6 3 3 4 2 4" xfId="35065" xr:uid="{00000000-0005-0000-0000-0000B8200000}"/>
    <cellStyle name="Millares 2 6 3 3 4 3" xfId="11318" xr:uid="{00000000-0005-0000-0000-0000B9200000}"/>
    <cellStyle name="Millares 2 6 3 3 4 3 2" xfId="24886" xr:uid="{00000000-0005-0000-0000-0000BA200000}"/>
    <cellStyle name="Millares 2 6 3 3 4 3 2 2" xfId="52019" xr:uid="{00000000-0005-0000-0000-0000BB200000}"/>
    <cellStyle name="Millares 2 6 3 3 4 3 3" xfId="38457" xr:uid="{00000000-0005-0000-0000-0000BC200000}"/>
    <cellStyle name="Millares 2 6 3 3 4 4" xfId="18105" xr:uid="{00000000-0005-0000-0000-0000BD200000}"/>
    <cellStyle name="Millares 2 6 3 3 4 4 2" xfId="45238" xr:uid="{00000000-0005-0000-0000-0000BE200000}"/>
    <cellStyle name="Millares 2 6 3 3 4 5" xfId="31676" xr:uid="{00000000-0005-0000-0000-0000BF200000}"/>
    <cellStyle name="Millares 2 6 3 3 5" xfId="4308" xr:uid="{00000000-0005-0000-0000-0000C0200000}"/>
    <cellStyle name="Millares 2 6 3 3 5 2" xfId="7918" xr:uid="{00000000-0005-0000-0000-0000C1200000}"/>
    <cellStyle name="Millares 2 6 3 3 5 2 2" xfId="14708" xr:uid="{00000000-0005-0000-0000-0000C2200000}"/>
    <cellStyle name="Millares 2 6 3 3 5 2 2 2" xfId="28276" xr:uid="{00000000-0005-0000-0000-0000C3200000}"/>
    <cellStyle name="Millares 2 6 3 3 5 2 2 2 2" xfId="55409" xr:uid="{00000000-0005-0000-0000-0000C4200000}"/>
    <cellStyle name="Millares 2 6 3 3 5 2 2 3" xfId="41847" xr:uid="{00000000-0005-0000-0000-0000C5200000}"/>
    <cellStyle name="Millares 2 6 3 3 5 2 3" xfId="21495" xr:uid="{00000000-0005-0000-0000-0000C6200000}"/>
    <cellStyle name="Millares 2 6 3 3 5 2 3 2" xfId="48628" xr:uid="{00000000-0005-0000-0000-0000C7200000}"/>
    <cellStyle name="Millares 2 6 3 3 5 2 4" xfId="35066" xr:uid="{00000000-0005-0000-0000-0000C8200000}"/>
    <cellStyle name="Millares 2 6 3 3 5 3" xfId="11319" xr:uid="{00000000-0005-0000-0000-0000C9200000}"/>
    <cellStyle name="Millares 2 6 3 3 5 3 2" xfId="24887" xr:uid="{00000000-0005-0000-0000-0000CA200000}"/>
    <cellStyle name="Millares 2 6 3 3 5 3 2 2" xfId="52020" xr:uid="{00000000-0005-0000-0000-0000CB200000}"/>
    <cellStyle name="Millares 2 6 3 3 5 3 3" xfId="38458" xr:uid="{00000000-0005-0000-0000-0000CC200000}"/>
    <cellStyle name="Millares 2 6 3 3 5 4" xfId="18106" xr:uid="{00000000-0005-0000-0000-0000CD200000}"/>
    <cellStyle name="Millares 2 6 3 3 5 4 2" xfId="45239" xr:uid="{00000000-0005-0000-0000-0000CE200000}"/>
    <cellStyle name="Millares 2 6 3 3 5 5" xfId="31677" xr:uid="{00000000-0005-0000-0000-0000CF200000}"/>
    <cellStyle name="Millares 2 6 3 3 6" xfId="7911" xr:uid="{00000000-0005-0000-0000-0000D0200000}"/>
    <cellStyle name="Millares 2 6 3 3 6 2" xfId="14701" xr:uid="{00000000-0005-0000-0000-0000D1200000}"/>
    <cellStyle name="Millares 2 6 3 3 6 2 2" xfId="28269" xr:uid="{00000000-0005-0000-0000-0000D2200000}"/>
    <cellStyle name="Millares 2 6 3 3 6 2 2 2" xfId="55402" xr:uid="{00000000-0005-0000-0000-0000D3200000}"/>
    <cellStyle name="Millares 2 6 3 3 6 2 3" xfId="41840" xr:uid="{00000000-0005-0000-0000-0000D4200000}"/>
    <cellStyle name="Millares 2 6 3 3 6 3" xfId="21488" xr:uid="{00000000-0005-0000-0000-0000D5200000}"/>
    <cellStyle name="Millares 2 6 3 3 6 3 2" xfId="48621" xr:uid="{00000000-0005-0000-0000-0000D6200000}"/>
    <cellStyle name="Millares 2 6 3 3 6 4" xfId="35059" xr:uid="{00000000-0005-0000-0000-0000D7200000}"/>
    <cellStyle name="Millares 2 6 3 3 7" xfId="11312" xr:uid="{00000000-0005-0000-0000-0000D8200000}"/>
    <cellStyle name="Millares 2 6 3 3 7 2" xfId="24880" xr:uid="{00000000-0005-0000-0000-0000D9200000}"/>
    <cellStyle name="Millares 2 6 3 3 7 2 2" xfId="52013" xr:uid="{00000000-0005-0000-0000-0000DA200000}"/>
    <cellStyle name="Millares 2 6 3 3 7 3" xfId="38451" xr:uid="{00000000-0005-0000-0000-0000DB200000}"/>
    <cellStyle name="Millares 2 6 3 3 8" xfId="18099" xr:uid="{00000000-0005-0000-0000-0000DC200000}"/>
    <cellStyle name="Millares 2 6 3 3 8 2" xfId="45232" xr:uid="{00000000-0005-0000-0000-0000DD200000}"/>
    <cellStyle name="Millares 2 6 3 3 9" xfId="31670" xr:uid="{00000000-0005-0000-0000-0000DE200000}"/>
    <cellStyle name="Millares 2 6 3 4" xfId="4309" xr:uid="{00000000-0005-0000-0000-0000DF200000}"/>
    <cellStyle name="Millares 2 6 3 4 2" xfId="4310" xr:uid="{00000000-0005-0000-0000-0000E0200000}"/>
    <cellStyle name="Millares 2 6 3 4 2 2" xfId="4311" xr:uid="{00000000-0005-0000-0000-0000E1200000}"/>
    <cellStyle name="Millares 2 6 3 4 2 2 2" xfId="7921" xr:uid="{00000000-0005-0000-0000-0000E2200000}"/>
    <cellStyle name="Millares 2 6 3 4 2 2 2 2" xfId="14711" xr:uid="{00000000-0005-0000-0000-0000E3200000}"/>
    <cellStyle name="Millares 2 6 3 4 2 2 2 2 2" xfId="28279" xr:uid="{00000000-0005-0000-0000-0000E4200000}"/>
    <cellStyle name="Millares 2 6 3 4 2 2 2 2 2 2" xfId="55412" xr:uid="{00000000-0005-0000-0000-0000E5200000}"/>
    <cellStyle name="Millares 2 6 3 4 2 2 2 2 3" xfId="41850" xr:uid="{00000000-0005-0000-0000-0000E6200000}"/>
    <cellStyle name="Millares 2 6 3 4 2 2 2 3" xfId="21498" xr:uid="{00000000-0005-0000-0000-0000E7200000}"/>
    <cellStyle name="Millares 2 6 3 4 2 2 2 3 2" xfId="48631" xr:uid="{00000000-0005-0000-0000-0000E8200000}"/>
    <cellStyle name="Millares 2 6 3 4 2 2 2 4" xfId="35069" xr:uid="{00000000-0005-0000-0000-0000E9200000}"/>
    <cellStyle name="Millares 2 6 3 4 2 2 3" xfId="11322" xr:uid="{00000000-0005-0000-0000-0000EA200000}"/>
    <cellStyle name="Millares 2 6 3 4 2 2 3 2" xfId="24890" xr:uid="{00000000-0005-0000-0000-0000EB200000}"/>
    <cellStyle name="Millares 2 6 3 4 2 2 3 2 2" xfId="52023" xr:uid="{00000000-0005-0000-0000-0000EC200000}"/>
    <cellStyle name="Millares 2 6 3 4 2 2 3 3" xfId="38461" xr:uid="{00000000-0005-0000-0000-0000ED200000}"/>
    <cellStyle name="Millares 2 6 3 4 2 2 4" xfId="18109" xr:uid="{00000000-0005-0000-0000-0000EE200000}"/>
    <cellStyle name="Millares 2 6 3 4 2 2 4 2" xfId="45242" xr:uid="{00000000-0005-0000-0000-0000EF200000}"/>
    <cellStyle name="Millares 2 6 3 4 2 2 5" xfId="31680" xr:uid="{00000000-0005-0000-0000-0000F0200000}"/>
    <cellStyle name="Millares 2 6 3 4 2 3" xfId="4312" xr:uid="{00000000-0005-0000-0000-0000F1200000}"/>
    <cellStyle name="Millares 2 6 3 4 2 3 2" xfId="7922" xr:uid="{00000000-0005-0000-0000-0000F2200000}"/>
    <cellStyle name="Millares 2 6 3 4 2 3 2 2" xfId="14712" xr:uid="{00000000-0005-0000-0000-0000F3200000}"/>
    <cellStyle name="Millares 2 6 3 4 2 3 2 2 2" xfId="28280" xr:uid="{00000000-0005-0000-0000-0000F4200000}"/>
    <cellStyle name="Millares 2 6 3 4 2 3 2 2 2 2" xfId="55413" xr:uid="{00000000-0005-0000-0000-0000F5200000}"/>
    <cellStyle name="Millares 2 6 3 4 2 3 2 2 3" xfId="41851" xr:uid="{00000000-0005-0000-0000-0000F6200000}"/>
    <cellStyle name="Millares 2 6 3 4 2 3 2 3" xfId="21499" xr:uid="{00000000-0005-0000-0000-0000F7200000}"/>
    <cellStyle name="Millares 2 6 3 4 2 3 2 3 2" xfId="48632" xr:uid="{00000000-0005-0000-0000-0000F8200000}"/>
    <cellStyle name="Millares 2 6 3 4 2 3 2 4" xfId="35070" xr:uid="{00000000-0005-0000-0000-0000F9200000}"/>
    <cellStyle name="Millares 2 6 3 4 2 3 3" xfId="11323" xr:uid="{00000000-0005-0000-0000-0000FA200000}"/>
    <cellStyle name="Millares 2 6 3 4 2 3 3 2" xfId="24891" xr:uid="{00000000-0005-0000-0000-0000FB200000}"/>
    <cellStyle name="Millares 2 6 3 4 2 3 3 2 2" xfId="52024" xr:uid="{00000000-0005-0000-0000-0000FC200000}"/>
    <cellStyle name="Millares 2 6 3 4 2 3 3 3" xfId="38462" xr:uid="{00000000-0005-0000-0000-0000FD200000}"/>
    <cellStyle name="Millares 2 6 3 4 2 3 4" xfId="18110" xr:uid="{00000000-0005-0000-0000-0000FE200000}"/>
    <cellStyle name="Millares 2 6 3 4 2 3 4 2" xfId="45243" xr:uid="{00000000-0005-0000-0000-0000FF200000}"/>
    <cellStyle name="Millares 2 6 3 4 2 3 5" xfId="31681" xr:uid="{00000000-0005-0000-0000-000000210000}"/>
    <cellStyle name="Millares 2 6 3 4 2 4" xfId="7920" xr:uid="{00000000-0005-0000-0000-000001210000}"/>
    <cellStyle name="Millares 2 6 3 4 2 4 2" xfId="14710" xr:uid="{00000000-0005-0000-0000-000002210000}"/>
    <cellStyle name="Millares 2 6 3 4 2 4 2 2" xfId="28278" xr:uid="{00000000-0005-0000-0000-000003210000}"/>
    <cellStyle name="Millares 2 6 3 4 2 4 2 2 2" xfId="55411" xr:uid="{00000000-0005-0000-0000-000004210000}"/>
    <cellStyle name="Millares 2 6 3 4 2 4 2 3" xfId="41849" xr:uid="{00000000-0005-0000-0000-000005210000}"/>
    <cellStyle name="Millares 2 6 3 4 2 4 3" xfId="21497" xr:uid="{00000000-0005-0000-0000-000006210000}"/>
    <cellStyle name="Millares 2 6 3 4 2 4 3 2" xfId="48630" xr:uid="{00000000-0005-0000-0000-000007210000}"/>
    <cellStyle name="Millares 2 6 3 4 2 4 4" xfId="35068" xr:uid="{00000000-0005-0000-0000-000008210000}"/>
    <cellStyle name="Millares 2 6 3 4 2 5" xfId="11321" xr:uid="{00000000-0005-0000-0000-000009210000}"/>
    <cellStyle name="Millares 2 6 3 4 2 5 2" xfId="24889" xr:uid="{00000000-0005-0000-0000-00000A210000}"/>
    <cellStyle name="Millares 2 6 3 4 2 5 2 2" xfId="52022" xr:uid="{00000000-0005-0000-0000-00000B210000}"/>
    <cellStyle name="Millares 2 6 3 4 2 5 3" xfId="38460" xr:uid="{00000000-0005-0000-0000-00000C210000}"/>
    <cellStyle name="Millares 2 6 3 4 2 6" xfId="18108" xr:uid="{00000000-0005-0000-0000-00000D210000}"/>
    <cellStyle name="Millares 2 6 3 4 2 6 2" xfId="45241" xr:uid="{00000000-0005-0000-0000-00000E210000}"/>
    <cellStyle name="Millares 2 6 3 4 2 7" xfId="31679" xr:uid="{00000000-0005-0000-0000-00000F210000}"/>
    <cellStyle name="Millares 2 6 3 4 3" xfId="4313" xr:uid="{00000000-0005-0000-0000-000010210000}"/>
    <cellStyle name="Millares 2 6 3 4 3 2" xfId="7923" xr:uid="{00000000-0005-0000-0000-000011210000}"/>
    <cellStyle name="Millares 2 6 3 4 3 2 2" xfId="14713" xr:uid="{00000000-0005-0000-0000-000012210000}"/>
    <cellStyle name="Millares 2 6 3 4 3 2 2 2" xfId="28281" xr:uid="{00000000-0005-0000-0000-000013210000}"/>
    <cellStyle name="Millares 2 6 3 4 3 2 2 2 2" xfId="55414" xr:uid="{00000000-0005-0000-0000-000014210000}"/>
    <cellStyle name="Millares 2 6 3 4 3 2 2 3" xfId="41852" xr:uid="{00000000-0005-0000-0000-000015210000}"/>
    <cellStyle name="Millares 2 6 3 4 3 2 3" xfId="21500" xr:uid="{00000000-0005-0000-0000-000016210000}"/>
    <cellStyle name="Millares 2 6 3 4 3 2 3 2" xfId="48633" xr:uid="{00000000-0005-0000-0000-000017210000}"/>
    <cellStyle name="Millares 2 6 3 4 3 2 4" xfId="35071" xr:uid="{00000000-0005-0000-0000-000018210000}"/>
    <cellStyle name="Millares 2 6 3 4 3 3" xfId="11324" xr:uid="{00000000-0005-0000-0000-000019210000}"/>
    <cellStyle name="Millares 2 6 3 4 3 3 2" xfId="24892" xr:uid="{00000000-0005-0000-0000-00001A210000}"/>
    <cellStyle name="Millares 2 6 3 4 3 3 2 2" xfId="52025" xr:uid="{00000000-0005-0000-0000-00001B210000}"/>
    <cellStyle name="Millares 2 6 3 4 3 3 3" xfId="38463" xr:uid="{00000000-0005-0000-0000-00001C210000}"/>
    <cellStyle name="Millares 2 6 3 4 3 4" xfId="18111" xr:uid="{00000000-0005-0000-0000-00001D210000}"/>
    <cellStyle name="Millares 2 6 3 4 3 4 2" xfId="45244" xr:uid="{00000000-0005-0000-0000-00001E210000}"/>
    <cellStyle name="Millares 2 6 3 4 3 5" xfId="31682" xr:uid="{00000000-0005-0000-0000-00001F210000}"/>
    <cellStyle name="Millares 2 6 3 4 4" xfId="4314" xr:uid="{00000000-0005-0000-0000-000020210000}"/>
    <cellStyle name="Millares 2 6 3 4 4 2" xfId="7924" xr:uid="{00000000-0005-0000-0000-000021210000}"/>
    <cellStyle name="Millares 2 6 3 4 4 2 2" xfId="14714" xr:uid="{00000000-0005-0000-0000-000022210000}"/>
    <cellStyle name="Millares 2 6 3 4 4 2 2 2" xfId="28282" xr:uid="{00000000-0005-0000-0000-000023210000}"/>
    <cellStyle name="Millares 2 6 3 4 4 2 2 2 2" xfId="55415" xr:uid="{00000000-0005-0000-0000-000024210000}"/>
    <cellStyle name="Millares 2 6 3 4 4 2 2 3" xfId="41853" xr:uid="{00000000-0005-0000-0000-000025210000}"/>
    <cellStyle name="Millares 2 6 3 4 4 2 3" xfId="21501" xr:uid="{00000000-0005-0000-0000-000026210000}"/>
    <cellStyle name="Millares 2 6 3 4 4 2 3 2" xfId="48634" xr:uid="{00000000-0005-0000-0000-000027210000}"/>
    <cellStyle name="Millares 2 6 3 4 4 2 4" xfId="35072" xr:uid="{00000000-0005-0000-0000-000028210000}"/>
    <cellStyle name="Millares 2 6 3 4 4 3" xfId="11325" xr:uid="{00000000-0005-0000-0000-000029210000}"/>
    <cellStyle name="Millares 2 6 3 4 4 3 2" xfId="24893" xr:uid="{00000000-0005-0000-0000-00002A210000}"/>
    <cellStyle name="Millares 2 6 3 4 4 3 2 2" xfId="52026" xr:uid="{00000000-0005-0000-0000-00002B210000}"/>
    <cellStyle name="Millares 2 6 3 4 4 3 3" xfId="38464" xr:uid="{00000000-0005-0000-0000-00002C210000}"/>
    <cellStyle name="Millares 2 6 3 4 4 4" xfId="18112" xr:uid="{00000000-0005-0000-0000-00002D210000}"/>
    <cellStyle name="Millares 2 6 3 4 4 4 2" xfId="45245" xr:uid="{00000000-0005-0000-0000-00002E210000}"/>
    <cellStyle name="Millares 2 6 3 4 4 5" xfId="31683" xr:uid="{00000000-0005-0000-0000-00002F210000}"/>
    <cellStyle name="Millares 2 6 3 4 5" xfId="7919" xr:uid="{00000000-0005-0000-0000-000030210000}"/>
    <cellStyle name="Millares 2 6 3 4 5 2" xfId="14709" xr:uid="{00000000-0005-0000-0000-000031210000}"/>
    <cellStyle name="Millares 2 6 3 4 5 2 2" xfId="28277" xr:uid="{00000000-0005-0000-0000-000032210000}"/>
    <cellStyle name="Millares 2 6 3 4 5 2 2 2" xfId="55410" xr:uid="{00000000-0005-0000-0000-000033210000}"/>
    <cellStyle name="Millares 2 6 3 4 5 2 3" xfId="41848" xr:uid="{00000000-0005-0000-0000-000034210000}"/>
    <cellStyle name="Millares 2 6 3 4 5 3" xfId="21496" xr:uid="{00000000-0005-0000-0000-000035210000}"/>
    <cellStyle name="Millares 2 6 3 4 5 3 2" xfId="48629" xr:uid="{00000000-0005-0000-0000-000036210000}"/>
    <cellStyle name="Millares 2 6 3 4 5 4" xfId="35067" xr:uid="{00000000-0005-0000-0000-000037210000}"/>
    <cellStyle name="Millares 2 6 3 4 6" xfId="11320" xr:uid="{00000000-0005-0000-0000-000038210000}"/>
    <cellStyle name="Millares 2 6 3 4 6 2" xfId="24888" xr:uid="{00000000-0005-0000-0000-000039210000}"/>
    <cellStyle name="Millares 2 6 3 4 6 2 2" xfId="52021" xr:uid="{00000000-0005-0000-0000-00003A210000}"/>
    <cellStyle name="Millares 2 6 3 4 6 3" xfId="38459" xr:uid="{00000000-0005-0000-0000-00003B210000}"/>
    <cellStyle name="Millares 2 6 3 4 7" xfId="18107" xr:uid="{00000000-0005-0000-0000-00003C210000}"/>
    <cellStyle name="Millares 2 6 3 4 7 2" xfId="45240" xr:uid="{00000000-0005-0000-0000-00003D210000}"/>
    <cellStyle name="Millares 2 6 3 4 8" xfId="31678" xr:uid="{00000000-0005-0000-0000-00003E210000}"/>
    <cellStyle name="Millares 2 6 3 5" xfId="4315" xr:uid="{00000000-0005-0000-0000-00003F210000}"/>
    <cellStyle name="Millares 2 6 3 5 2" xfId="4316" xr:uid="{00000000-0005-0000-0000-000040210000}"/>
    <cellStyle name="Millares 2 6 3 5 2 2" xfId="7926" xr:uid="{00000000-0005-0000-0000-000041210000}"/>
    <cellStyle name="Millares 2 6 3 5 2 2 2" xfId="14716" xr:uid="{00000000-0005-0000-0000-000042210000}"/>
    <cellStyle name="Millares 2 6 3 5 2 2 2 2" xfId="28284" xr:uid="{00000000-0005-0000-0000-000043210000}"/>
    <cellStyle name="Millares 2 6 3 5 2 2 2 2 2" xfId="55417" xr:uid="{00000000-0005-0000-0000-000044210000}"/>
    <cellStyle name="Millares 2 6 3 5 2 2 2 3" xfId="41855" xr:uid="{00000000-0005-0000-0000-000045210000}"/>
    <cellStyle name="Millares 2 6 3 5 2 2 3" xfId="21503" xr:uid="{00000000-0005-0000-0000-000046210000}"/>
    <cellStyle name="Millares 2 6 3 5 2 2 3 2" xfId="48636" xr:uid="{00000000-0005-0000-0000-000047210000}"/>
    <cellStyle name="Millares 2 6 3 5 2 2 4" xfId="35074" xr:uid="{00000000-0005-0000-0000-000048210000}"/>
    <cellStyle name="Millares 2 6 3 5 2 3" xfId="11327" xr:uid="{00000000-0005-0000-0000-000049210000}"/>
    <cellStyle name="Millares 2 6 3 5 2 3 2" xfId="24895" xr:uid="{00000000-0005-0000-0000-00004A210000}"/>
    <cellStyle name="Millares 2 6 3 5 2 3 2 2" xfId="52028" xr:uid="{00000000-0005-0000-0000-00004B210000}"/>
    <cellStyle name="Millares 2 6 3 5 2 3 3" xfId="38466" xr:uid="{00000000-0005-0000-0000-00004C210000}"/>
    <cellStyle name="Millares 2 6 3 5 2 4" xfId="18114" xr:uid="{00000000-0005-0000-0000-00004D210000}"/>
    <cellStyle name="Millares 2 6 3 5 2 4 2" xfId="45247" xr:uid="{00000000-0005-0000-0000-00004E210000}"/>
    <cellStyle name="Millares 2 6 3 5 2 5" xfId="31685" xr:uid="{00000000-0005-0000-0000-00004F210000}"/>
    <cellStyle name="Millares 2 6 3 5 3" xfId="4317" xr:uid="{00000000-0005-0000-0000-000050210000}"/>
    <cellStyle name="Millares 2 6 3 5 3 2" xfId="7927" xr:uid="{00000000-0005-0000-0000-000051210000}"/>
    <cellStyle name="Millares 2 6 3 5 3 2 2" xfId="14717" xr:uid="{00000000-0005-0000-0000-000052210000}"/>
    <cellStyle name="Millares 2 6 3 5 3 2 2 2" xfId="28285" xr:uid="{00000000-0005-0000-0000-000053210000}"/>
    <cellStyle name="Millares 2 6 3 5 3 2 2 2 2" xfId="55418" xr:uid="{00000000-0005-0000-0000-000054210000}"/>
    <cellStyle name="Millares 2 6 3 5 3 2 2 3" xfId="41856" xr:uid="{00000000-0005-0000-0000-000055210000}"/>
    <cellStyle name="Millares 2 6 3 5 3 2 3" xfId="21504" xr:uid="{00000000-0005-0000-0000-000056210000}"/>
    <cellStyle name="Millares 2 6 3 5 3 2 3 2" xfId="48637" xr:uid="{00000000-0005-0000-0000-000057210000}"/>
    <cellStyle name="Millares 2 6 3 5 3 2 4" xfId="35075" xr:uid="{00000000-0005-0000-0000-000058210000}"/>
    <cellStyle name="Millares 2 6 3 5 3 3" xfId="11328" xr:uid="{00000000-0005-0000-0000-000059210000}"/>
    <cellStyle name="Millares 2 6 3 5 3 3 2" xfId="24896" xr:uid="{00000000-0005-0000-0000-00005A210000}"/>
    <cellStyle name="Millares 2 6 3 5 3 3 2 2" xfId="52029" xr:uid="{00000000-0005-0000-0000-00005B210000}"/>
    <cellStyle name="Millares 2 6 3 5 3 3 3" xfId="38467" xr:uid="{00000000-0005-0000-0000-00005C210000}"/>
    <cellStyle name="Millares 2 6 3 5 3 4" xfId="18115" xr:uid="{00000000-0005-0000-0000-00005D210000}"/>
    <cellStyle name="Millares 2 6 3 5 3 4 2" xfId="45248" xr:uid="{00000000-0005-0000-0000-00005E210000}"/>
    <cellStyle name="Millares 2 6 3 5 3 5" xfId="31686" xr:uid="{00000000-0005-0000-0000-00005F210000}"/>
    <cellStyle name="Millares 2 6 3 5 4" xfId="7925" xr:uid="{00000000-0005-0000-0000-000060210000}"/>
    <cellStyle name="Millares 2 6 3 5 4 2" xfId="14715" xr:uid="{00000000-0005-0000-0000-000061210000}"/>
    <cellStyle name="Millares 2 6 3 5 4 2 2" xfId="28283" xr:uid="{00000000-0005-0000-0000-000062210000}"/>
    <cellStyle name="Millares 2 6 3 5 4 2 2 2" xfId="55416" xr:uid="{00000000-0005-0000-0000-000063210000}"/>
    <cellStyle name="Millares 2 6 3 5 4 2 3" xfId="41854" xr:uid="{00000000-0005-0000-0000-000064210000}"/>
    <cellStyle name="Millares 2 6 3 5 4 3" xfId="21502" xr:uid="{00000000-0005-0000-0000-000065210000}"/>
    <cellStyle name="Millares 2 6 3 5 4 3 2" xfId="48635" xr:uid="{00000000-0005-0000-0000-000066210000}"/>
    <cellStyle name="Millares 2 6 3 5 4 4" xfId="35073" xr:uid="{00000000-0005-0000-0000-000067210000}"/>
    <cellStyle name="Millares 2 6 3 5 5" xfId="11326" xr:uid="{00000000-0005-0000-0000-000068210000}"/>
    <cellStyle name="Millares 2 6 3 5 5 2" xfId="24894" xr:uid="{00000000-0005-0000-0000-000069210000}"/>
    <cellStyle name="Millares 2 6 3 5 5 2 2" xfId="52027" xr:uid="{00000000-0005-0000-0000-00006A210000}"/>
    <cellStyle name="Millares 2 6 3 5 5 3" xfId="38465" xr:uid="{00000000-0005-0000-0000-00006B210000}"/>
    <cellStyle name="Millares 2 6 3 5 6" xfId="18113" xr:uid="{00000000-0005-0000-0000-00006C210000}"/>
    <cellStyle name="Millares 2 6 3 5 6 2" xfId="45246" xr:uid="{00000000-0005-0000-0000-00006D210000}"/>
    <cellStyle name="Millares 2 6 3 5 7" xfId="31684" xr:uid="{00000000-0005-0000-0000-00006E210000}"/>
    <cellStyle name="Millares 2 6 3 6" xfId="4318" xr:uid="{00000000-0005-0000-0000-00006F210000}"/>
    <cellStyle name="Millares 2 6 3 6 2" xfId="4319" xr:uid="{00000000-0005-0000-0000-000070210000}"/>
    <cellStyle name="Millares 2 6 3 6 2 2" xfId="7929" xr:uid="{00000000-0005-0000-0000-000071210000}"/>
    <cellStyle name="Millares 2 6 3 6 2 2 2" xfId="14719" xr:uid="{00000000-0005-0000-0000-000072210000}"/>
    <cellStyle name="Millares 2 6 3 6 2 2 2 2" xfId="28287" xr:uid="{00000000-0005-0000-0000-000073210000}"/>
    <cellStyle name="Millares 2 6 3 6 2 2 2 2 2" xfId="55420" xr:uid="{00000000-0005-0000-0000-000074210000}"/>
    <cellStyle name="Millares 2 6 3 6 2 2 2 3" xfId="41858" xr:uid="{00000000-0005-0000-0000-000075210000}"/>
    <cellStyle name="Millares 2 6 3 6 2 2 3" xfId="21506" xr:uid="{00000000-0005-0000-0000-000076210000}"/>
    <cellStyle name="Millares 2 6 3 6 2 2 3 2" xfId="48639" xr:uid="{00000000-0005-0000-0000-000077210000}"/>
    <cellStyle name="Millares 2 6 3 6 2 2 4" xfId="35077" xr:uid="{00000000-0005-0000-0000-000078210000}"/>
    <cellStyle name="Millares 2 6 3 6 2 3" xfId="11330" xr:uid="{00000000-0005-0000-0000-000079210000}"/>
    <cellStyle name="Millares 2 6 3 6 2 3 2" xfId="24898" xr:uid="{00000000-0005-0000-0000-00007A210000}"/>
    <cellStyle name="Millares 2 6 3 6 2 3 2 2" xfId="52031" xr:uid="{00000000-0005-0000-0000-00007B210000}"/>
    <cellStyle name="Millares 2 6 3 6 2 3 3" xfId="38469" xr:uid="{00000000-0005-0000-0000-00007C210000}"/>
    <cellStyle name="Millares 2 6 3 6 2 4" xfId="18117" xr:uid="{00000000-0005-0000-0000-00007D210000}"/>
    <cellStyle name="Millares 2 6 3 6 2 4 2" xfId="45250" xr:uid="{00000000-0005-0000-0000-00007E210000}"/>
    <cellStyle name="Millares 2 6 3 6 2 5" xfId="31688" xr:uid="{00000000-0005-0000-0000-00007F210000}"/>
    <cellStyle name="Millares 2 6 3 6 3" xfId="7928" xr:uid="{00000000-0005-0000-0000-000080210000}"/>
    <cellStyle name="Millares 2 6 3 6 3 2" xfId="14718" xr:uid="{00000000-0005-0000-0000-000081210000}"/>
    <cellStyle name="Millares 2 6 3 6 3 2 2" xfId="28286" xr:uid="{00000000-0005-0000-0000-000082210000}"/>
    <cellStyle name="Millares 2 6 3 6 3 2 2 2" xfId="55419" xr:uid="{00000000-0005-0000-0000-000083210000}"/>
    <cellStyle name="Millares 2 6 3 6 3 2 3" xfId="41857" xr:uid="{00000000-0005-0000-0000-000084210000}"/>
    <cellStyle name="Millares 2 6 3 6 3 3" xfId="21505" xr:uid="{00000000-0005-0000-0000-000085210000}"/>
    <cellStyle name="Millares 2 6 3 6 3 3 2" xfId="48638" xr:uid="{00000000-0005-0000-0000-000086210000}"/>
    <cellStyle name="Millares 2 6 3 6 3 4" xfId="35076" xr:uid="{00000000-0005-0000-0000-000087210000}"/>
    <cellStyle name="Millares 2 6 3 6 4" xfId="11329" xr:uid="{00000000-0005-0000-0000-000088210000}"/>
    <cellStyle name="Millares 2 6 3 6 4 2" xfId="24897" xr:uid="{00000000-0005-0000-0000-000089210000}"/>
    <cellStyle name="Millares 2 6 3 6 4 2 2" xfId="52030" xr:uid="{00000000-0005-0000-0000-00008A210000}"/>
    <cellStyle name="Millares 2 6 3 6 4 3" xfId="38468" xr:uid="{00000000-0005-0000-0000-00008B210000}"/>
    <cellStyle name="Millares 2 6 3 6 5" xfId="18116" xr:uid="{00000000-0005-0000-0000-00008C210000}"/>
    <cellStyle name="Millares 2 6 3 6 5 2" xfId="45249" xr:uid="{00000000-0005-0000-0000-00008D210000}"/>
    <cellStyle name="Millares 2 6 3 6 6" xfId="31687" xr:uid="{00000000-0005-0000-0000-00008E210000}"/>
    <cellStyle name="Millares 2 6 3 7" xfId="4320" xr:uid="{00000000-0005-0000-0000-00008F210000}"/>
    <cellStyle name="Millares 2 6 3 7 2" xfId="7930" xr:uid="{00000000-0005-0000-0000-000090210000}"/>
    <cellStyle name="Millares 2 6 3 7 2 2" xfId="14720" xr:uid="{00000000-0005-0000-0000-000091210000}"/>
    <cellStyle name="Millares 2 6 3 7 2 2 2" xfId="28288" xr:uid="{00000000-0005-0000-0000-000092210000}"/>
    <cellStyle name="Millares 2 6 3 7 2 2 2 2" xfId="55421" xr:uid="{00000000-0005-0000-0000-000093210000}"/>
    <cellStyle name="Millares 2 6 3 7 2 2 3" xfId="41859" xr:uid="{00000000-0005-0000-0000-000094210000}"/>
    <cellStyle name="Millares 2 6 3 7 2 3" xfId="21507" xr:uid="{00000000-0005-0000-0000-000095210000}"/>
    <cellStyle name="Millares 2 6 3 7 2 3 2" xfId="48640" xr:uid="{00000000-0005-0000-0000-000096210000}"/>
    <cellStyle name="Millares 2 6 3 7 2 4" xfId="35078" xr:uid="{00000000-0005-0000-0000-000097210000}"/>
    <cellStyle name="Millares 2 6 3 7 3" xfId="11331" xr:uid="{00000000-0005-0000-0000-000098210000}"/>
    <cellStyle name="Millares 2 6 3 7 3 2" xfId="24899" xr:uid="{00000000-0005-0000-0000-000099210000}"/>
    <cellStyle name="Millares 2 6 3 7 3 2 2" xfId="52032" xr:uid="{00000000-0005-0000-0000-00009A210000}"/>
    <cellStyle name="Millares 2 6 3 7 3 3" xfId="38470" xr:uid="{00000000-0005-0000-0000-00009B210000}"/>
    <cellStyle name="Millares 2 6 3 7 4" xfId="18118" xr:uid="{00000000-0005-0000-0000-00009C210000}"/>
    <cellStyle name="Millares 2 6 3 7 4 2" xfId="45251" xr:uid="{00000000-0005-0000-0000-00009D210000}"/>
    <cellStyle name="Millares 2 6 3 7 5" xfId="31689" xr:uid="{00000000-0005-0000-0000-00009E210000}"/>
    <cellStyle name="Millares 2 6 3 8" xfId="4321" xr:uid="{00000000-0005-0000-0000-00009F210000}"/>
    <cellStyle name="Millares 2 6 3 8 2" xfId="7931" xr:uid="{00000000-0005-0000-0000-0000A0210000}"/>
    <cellStyle name="Millares 2 6 3 8 2 2" xfId="14721" xr:uid="{00000000-0005-0000-0000-0000A1210000}"/>
    <cellStyle name="Millares 2 6 3 8 2 2 2" xfId="28289" xr:uid="{00000000-0005-0000-0000-0000A2210000}"/>
    <cellStyle name="Millares 2 6 3 8 2 2 2 2" xfId="55422" xr:uid="{00000000-0005-0000-0000-0000A3210000}"/>
    <cellStyle name="Millares 2 6 3 8 2 2 3" xfId="41860" xr:uid="{00000000-0005-0000-0000-0000A4210000}"/>
    <cellStyle name="Millares 2 6 3 8 2 3" xfId="21508" xr:uid="{00000000-0005-0000-0000-0000A5210000}"/>
    <cellStyle name="Millares 2 6 3 8 2 3 2" xfId="48641" xr:uid="{00000000-0005-0000-0000-0000A6210000}"/>
    <cellStyle name="Millares 2 6 3 8 2 4" xfId="35079" xr:uid="{00000000-0005-0000-0000-0000A7210000}"/>
    <cellStyle name="Millares 2 6 3 8 3" xfId="11332" xr:uid="{00000000-0005-0000-0000-0000A8210000}"/>
    <cellStyle name="Millares 2 6 3 8 3 2" xfId="24900" xr:uid="{00000000-0005-0000-0000-0000A9210000}"/>
    <cellStyle name="Millares 2 6 3 8 3 2 2" xfId="52033" xr:uid="{00000000-0005-0000-0000-0000AA210000}"/>
    <cellStyle name="Millares 2 6 3 8 3 3" xfId="38471" xr:uid="{00000000-0005-0000-0000-0000AB210000}"/>
    <cellStyle name="Millares 2 6 3 8 4" xfId="18119" xr:uid="{00000000-0005-0000-0000-0000AC210000}"/>
    <cellStyle name="Millares 2 6 3 8 4 2" xfId="45252" xr:uid="{00000000-0005-0000-0000-0000AD210000}"/>
    <cellStyle name="Millares 2 6 3 8 5" xfId="31690" xr:uid="{00000000-0005-0000-0000-0000AE210000}"/>
    <cellStyle name="Millares 2 6 3 9" xfId="7894" xr:uid="{00000000-0005-0000-0000-0000AF210000}"/>
    <cellStyle name="Millares 2 6 3 9 2" xfId="14684" xr:uid="{00000000-0005-0000-0000-0000B0210000}"/>
    <cellStyle name="Millares 2 6 3 9 2 2" xfId="28252" xr:uid="{00000000-0005-0000-0000-0000B1210000}"/>
    <cellStyle name="Millares 2 6 3 9 2 2 2" xfId="55385" xr:uid="{00000000-0005-0000-0000-0000B2210000}"/>
    <cellStyle name="Millares 2 6 3 9 2 3" xfId="41823" xr:uid="{00000000-0005-0000-0000-0000B3210000}"/>
    <cellStyle name="Millares 2 6 3 9 3" xfId="21471" xr:uid="{00000000-0005-0000-0000-0000B4210000}"/>
    <cellStyle name="Millares 2 6 3 9 3 2" xfId="48604" xr:uid="{00000000-0005-0000-0000-0000B5210000}"/>
    <cellStyle name="Millares 2 6 3 9 4" xfId="35042" xr:uid="{00000000-0005-0000-0000-0000B6210000}"/>
    <cellStyle name="Millares 2 6 4" xfId="4322" xr:uid="{00000000-0005-0000-0000-0000B7210000}"/>
    <cellStyle name="Millares 2 6 4 10" xfId="31691" xr:uid="{00000000-0005-0000-0000-0000B8210000}"/>
    <cellStyle name="Millares 2 6 4 2" xfId="4323" xr:uid="{00000000-0005-0000-0000-0000B9210000}"/>
    <cellStyle name="Millares 2 6 4 2 2" xfId="4324" xr:uid="{00000000-0005-0000-0000-0000BA210000}"/>
    <cellStyle name="Millares 2 6 4 2 2 2" xfId="4325" xr:uid="{00000000-0005-0000-0000-0000BB210000}"/>
    <cellStyle name="Millares 2 6 4 2 2 2 2" xfId="7935" xr:uid="{00000000-0005-0000-0000-0000BC210000}"/>
    <cellStyle name="Millares 2 6 4 2 2 2 2 2" xfId="14725" xr:uid="{00000000-0005-0000-0000-0000BD210000}"/>
    <cellStyle name="Millares 2 6 4 2 2 2 2 2 2" xfId="28293" xr:uid="{00000000-0005-0000-0000-0000BE210000}"/>
    <cellStyle name="Millares 2 6 4 2 2 2 2 2 2 2" xfId="55426" xr:uid="{00000000-0005-0000-0000-0000BF210000}"/>
    <cellStyle name="Millares 2 6 4 2 2 2 2 2 3" xfId="41864" xr:uid="{00000000-0005-0000-0000-0000C0210000}"/>
    <cellStyle name="Millares 2 6 4 2 2 2 2 3" xfId="21512" xr:uid="{00000000-0005-0000-0000-0000C1210000}"/>
    <cellStyle name="Millares 2 6 4 2 2 2 2 3 2" xfId="48645" xr:uid="{00000000-0005-0000-0000-0000C2210000}"/>
    <cellStyle name="Millares 2 6 4 2 2 2 2 4" xfId="35083" xr:uid="{00000000-0005-0000-0000-0000C3210000}"/>
    <cellStyle name="Millares 2 6 4 2 2 2 3" xfId="11336" xr:uid="{00000000-0005-0000-0000-0000C4210000}"/>
    <cellStyle name="Millares 2 6 4 2 2 2 3 2" xfId="24904" xr:uid="{00000000-0005-0000-0000-0000C5210000}"/>
    <cellStyle name="Millares 2 6 4 2 2 2 3 2 2" xfId="52037" xr:uid="{00000000-0005-0000-0000-0000C6210000}"/>
    <cellStyle name="Millares 2 6 4 2 2 2 3 3" xfId="38475" xr:uid="{00000000-0005-0000-0000-0000C7210000}"/>
    <cellStyle name="Millares 2 6 4 2 2 2 4" xfId="18123" xr:uid="{00000000-0005-0000-0000-0000C8210000}"/>
    <cellStyle name="Millares 2 6 4 2 2 2 4 2" xfId="45256" xr:uid="{00000000-0005-0000-0000-0000C9210000}"/>
    <cellStyle name="Millares 2 6 4 2 2 2 5" xfId="31694" xr:uid="{00000000-0005-0000-0000-0000CA210000}"/>
    <cellStyle name="Millares 2 6 4 2 2 3" xfId="4326" xr:uid="{00000000-0005-0000-0000-0000CB210000}"/>
    <cellStyle name="Millares 2 6 4 2 2 3 2" xfId="7936" xr:uid="{00000000-0005-0000-0000-0000CC210000}"/>
    <cellStyle name="Millares 2 6 4 2 2 3 2 2" xfId="14726" xr:uid="{00000000-0005-0000-0000-0000CD210000}"/>
    <cellStyle name="Millares 2 6 4 2 2 3 2 2 2" xfId="28294" xr:uid="{00000000-0005-0000-0000-0000CE210000}"/>
    <cellStyle name="Millares 2 6 4 2 2 3 2 2 2 2" xfId="55427" xr:uid="{00000000-0005-0000-0000-0000CF210000}"/>
    <cellStyle name="Millares 2 6 4 2 2 3 2 2 3" xfId="41865" xr:uid="{00000000-0005-0000-0000-0000D0210000}"/>
    <cellStyle name="Millares 2 6 4 2 2 3 2 3" xfId="21513" xr:uid="{00000000-0005-0000-0000-0000D1210000}"/>
    <cellStyle name="Millares 2 6 4 2 2 3 2 3 2" xfId="48646" xr:uid="{00000000-0005-0000-0000-0000D2210000}"/>
    <cellStyle name="Millares 2 6 4 2 2 3 2 4" xfId="35084" xr:uid="{00000000-0005-0000-0000-0000D3210000}"/>
    <cellStyle name="Millares 2 6 4 2 2 3 3" xfId="11337" xr:uid="{00000000-0005-0000-0000-0000D4210000}"/>
    <cellStyle name="Millares 2 6 4 2 2 3 3 2" xfId="24905" xr:uid="{00000000-0005-0000-0000-0000D5210000}"/>
    <cellStyle name="Millares 2 6 4 2 2 3 3 2 2" xfId="52038" xr:uid="{00000000-0005-0000-0000-0000D6210000}"/>
    <cellStyle name="Millares 2 6 4 2 2 3 3 3" xfId="38476" xr:uid="{00000000-0005-0000-0000-0000D7210000}"/>
    <cellStyle name="Millares 2 6 4 2 2 3 4" xfId="18124" xr:uid="{00000000-0005-0000-0000-0000D8210000}"/>
    <cellStyle name="Millares 2 6 4 2 2 3 4 2" xfId="45257" xr:uid="{00000000-0005-0000-0000-0000D9210000}"/>
    <cellStyle name="Millares 2 6 4 2 2 3 5" xfId="31695" xr:uid="{00000000-0005-0000-0000-0000DA210000}"/>
    <cellStyle name="Millares 2 6 4 2 2 4" xfId="7934" xr:uid="{00000000-0005-0000-0000-0000DB210000}"/>
    <cellStyle name="Millares 2 6 4 2 2 4 2" xfId="14724" xr:uid="{00000000-0005-0000-0000-0000DC210000}"/>
    <cellStyle name="Millares 2 6 4 2 2 4 2 2" xfId="28292" xr:uid="{00000000-0005-0000-0000-0000DD210000}"/>
    <cellStyle name="Millares 2 6 4 2 2 4 2 2 2" xfId="55425" xr:uid="{00000000-0005-0000-0000-0000DE210000}"/>
    <cellStyle name="Millares 2 6 4 2 2 4 2 3" xfId="41863" xr:uid="{00000000-0005-0000-0000-0000DF210000}"/>
    <cellStyle name="Millares 2 6 4 2 2 4 3" xfId="21511" xr:uid="{00000000-0005-0000-0000-0000E0210000}"/>
    <cellStyle name="Millares 2 6 4 2 2 4 3 2" xfId="48644" xr:uid="{00000000-0005-0000-0000-0000E1210000}"/>
    <cellStyle name="Millares 2 6 4 2 2 4 4" xfId="35082" xr:uid="{00000000-0005-0000-0000-0000E2210000}"/>
    <cellStyle name="Millares 2 6 4 2 2 5" xfId="11335" xr:uid="{00000000-0005-0000-0000-0000E3210000}"/>
    <cellStyle name="Millares 2 6 4 2 2 5 2" xfId="24903" xr:uid="{00000000-0005-0000-0000-0000E4210000}"/>
    <cellStyle name="Millares 2 6 4 2 2 5 2 2" xfId="52036" xr:uid="{00000000-0005-0000-0000-0000E5210000}"/>
    <cellStyle name="Millares 2 6 4 2 2 5 3" xfId="38474" xr:uid="{00000000-0005-0000-0000-0000E6210000}"/>
    <cellStyle name="Millares 2 6 4 2 2 6" xfId="18122" xr:uid="{00000000-0005-0000-0000-0000E7210000}"/>
    <cellStyle name="Millares 2 6 4 2 2 6 2" xfId="45255" xr:uid="{00000000-0005-0000-0000-0000E8210000}"/>
    <cellStyle name="Millares 2 6 4 2 2 7" xfId="31693" xr:uid="{00000000-0005-0000-0000-0000E9210000}"/>
    <cellStyle name="Millares 2 6 4 2 3" xfId="4327" xr:uid="{00000000-0005-0000-0000-0000EA210000}"/>
    <cellStyle name="Millares 2 6 4 2 3 2" xfId="4328" xr:uid="{00000000-0005-0000-0000-0000EB210000}"/>
    <cellStyle name="Millares 2 6 4 2 3 2 2" xfId="7938" xr:uid="{00000000-0005-0000-0000-0000EC210000}"/>
    <cellStyle name="Millares 2 6 4 2 3 2 2 2" xfId="14728" xr:uid="{00000000-0005-0000-0000-0000ED210000}"/>
    <cellStyle name="Millares 2 6 4 2 3 2 2 2 2" xfId="28296" xr:uid="{00000000-0005-0000-0000-0000EE210000}"/>
    <cellStyle name="Millares 2 6 4 2 3 2 2 2 2 2" xfId="55429" xr:uid="{00000000-0005-0000-0000-0000EF210000}"/>
    <cellStyle name="Millares 2 6 4 2 3 2 2 2 3" xfId="41867" xr:uid="{00000000-0005-0000-0000-0000F0210000}"/>
    <cellStyle name="Millares 2 6 4 2 3 2 2 3" xfId="21515" xr:uid="{00000000-0005-0000-0000-0000F1210000}"/>
    <cellStyle name="Millares 2 6 4 2 3 2 2 3 2" xfId="48648" xr:uid="{00000000-0005-0000-0000-0000F2210000}"/>
    <cellStyle name="Millares 2 6 4 2 3 2 2 4" xfId="35086" xr:uid="{00000000-0005-0000-0000-0000F3210000}"/>
    <cellStyle name="Millares 2 6 4 2 3 2 3" xfId="11339" xr:uid="{00000000-0005-0000-0000-0000F4210000}"/>
    <cellStyle name="Millares 2 6 4 2 3 2 3 2" xfId="24907" xr:uid="{00000000-0005-0000-0000-0000F5210000}"/>
    <cellStyle name="Millares 2 6 4 2 3 2 3 2 2" xfId="52040" xr:uid="{00000000-0005-0000-0000-0000F6210000}"/>
    <cellStyle name="Millares 2 6 4 2 3 2 3 3" xfId="38478" xr:uid="{00000000-0005-0000-0000-0000F7210000}"/>
    <cellStyle name="Millares 2 6 4 2 3 2 4" xfId="18126" xr:uid="{00000000-0005-0000-0000-0000F8210000}"/>
    <cellStyle name="Millares 2 6 4 2 3 2 4 2" xfId="45259" xr:uid="{00000000-0005-0000-0000-0000F9210000}"/>
    <cellStyle name="Millares 2 6 4 2 3 2 5" xfId="31697" xr:uid="{00000000-0005-0000-0000-0000FA210000}"/>
    <cellStyle name="Millares 2 6 4 2 3 3" xfId="7937" xr:uid="{00000000-0005-0000-0000-0000FB210000}"/>
    <cellStyle name="Millares 2 6 4 2 3 3 2" xfId="14727" xr:uid="{00000000-0005-0000-0000-0000FC210000}"/>
    <cellStyle name="Millares 2 6 4 2 3 3 2 2" xfId="28295" xr:uid="{00000000-0005-0000-0000-0000FD210000}"/>
    <cellStyle name="Millares 2 6 4 2 3 3 2 2 2" xfId="55428" xr:uid="{00000000-0005-0000-0000-0000FE210000}"/>
    <cellStyle name="Millares 2 6 4 2 3 3 2 3" xfId="41866" xr:uid="{00000000-0005-0000-0000-0000FF210000}"/>
    <cellStyle name="Millares 2 6 4 2 3 3 3" xfId="21514" xr:uid="{00000000-0005-0000-0000-000000220000}"/>
    <cellStyle name="Millares 2 6 4 2 3 3 3 2" xfId="48647" xr:uid="{00000000-0005-0000-0000-000001220000}"/>
    <cellStyle name="Millares 2 6 4 2 3 3 4" xfId="35085" xr:uid="{00000000-0005-0000-0000-000002220000}"/>
    <cellStyle name="Millares 2 6 4 2 3 4" xfId="11338" xr:uid="{00000000-0005-0000-0000-000003220000}"/>
    <cellStyle name="Millares 2 6 4 2 3 4 2" xfId="24906" xr:uid="{00000000-0005-0000-0000-000004220000}"/>
    <cellStyle name="Millares 2 6 4 2 3 4 2 2" xfId="52039" xr:uid="{00000000-0005-0000-0000-000005220000}"/>
    <cellStyle name="Millares 2 6 4 2 3 4 3" xfId="38477" xr:uid="{00000000-0005-0000-0000-000006220000}"/>
    <cellStyle name="Millares 2 6 4 2 3 5" xfId="18125" xr:uid="{00000000-0005-0000-0000-000007220000}"/>
    <cellStyle name="Millares 2 6 4 2 3 5 2" xfId="45258" xr:uid="{00000000-0005-0000-0000-000008220000}"/>
    <cellStyle name="Millares 2 6 4 2 3 6" xfId="31696" xr:uid="{00000000-0005-0000-0000-000009220000}"/>
    <cellStyle name="Millares 2 6 4 2 4" xfId="4329" xr:uid="{00000000-0005-0000-0000-00000A220000}"/>
    <cellStyle name="Millares 2 6 4 2 4 2" xfId="7939" xr:uid="{00000000-0005-0000-0000-00000B220000}"/>
    <cellStyle name="Millares 2 6 4 2 4 2 2" xfId="14729" xr:uid="{00000000-0005-0000-0000-00000C220000}"/>
    <cellStyle name="Millares 2 6 4 2 4 2 2 2" xfId="28297" xr:uid="{00000000-0005-0000-0000-00000D220000}"/>
    <cellStyle name="Millares 2 6 4 2 4 2 2 2 2" xfId="55430" xr:uid="{00000000-0005-0000-0000-00000E220000}"/>
    <cellStyle name="Millares 2 6 4 2 4 2 2 3" xfId="41868" xr:uid="{00000000-0005-0000-0000-00000F220000}"/>
    <cellStyle name="Millares 2 6 4 2 4 2 3" xfId="21516" xr:uid="{00000000-0005-0000-0000-000010220000}"/>
    <cellStyle name="Millares 2 6 4 2 4 2 3 2" xfId="48649" xr:uid="{00000000-0005-0000-0000-000011220000}"/>
    <cellStyle name="Millares 2 6 4 2 4 2 4" xfId="35087" xr:uid="{00000000-0005-0000-0000-000012220000}"/>
    <cellStyle name="Millares 2 6 4 2 4 3" xfId="11340" xr:uid="{00000000-0005-0000-0000-000013220000}"/>
    <cellStyle name="Millares 2 6 4 2 4 3 2" xfId="24908" xr:uid="{00000000-0005-0000-0000-000014220000}"/>
    <cellStyle name="Millares 2 6 4 2 4 3 2 2" xfId="52041" xr:uid="{00000000-0005-0000-0000-000015220000}"/>
    <cellStyle name="Millares 2 6 4 2 4 3 3" xfId="38479" xr:uid="{00000000-0005-0000-0000-000016220000}"/>
    <cellStyle name="Millares 2 6 4 2 4 4" xfId="18127" xr:uid="{00000000-0005-0000-0000-000017220000}"/>
    <cellStyle name="Millares 2 6 4 2 4 4 2" xfId="45260" xr:uid="{00000000-0005-0000-0000-000018220000}"/>
    <cellStyle name="Millares 2 6 4 2 4 5" xfId="31698" xr:uid="{00000000-0005-0000-0000-000019220000}"/>
    <cellStyle name="Millares 2 6 4 2 5" xfId="4330" xr:uid="{00000000-0005-0000-0000-00001A220000}"/>
    <cellStyle name="Millares 2 6 4 2 5 2" xfId="7940" xr:uid="{00000000-0005-0000-0000-00001B220000}"/>
    <cellStyle name="Millares 2 6 4 2 5 2 2" xfId="14730" xr:uid="{00000000-0005-0000-0000-00001C220000}"/>
    <cellStyle name="Millares 2 6 4 2 5 2 2 2" xfId="28298" xr:uid="{00000000-0005-0000-0000-00001D220000}"/>
    <cellStyle name="Millares 2 6 4 2 5 2 2 2 2" xfId="55431" xr:uid="{00000000-0005-0000-0000-00001E220000}"/>
    <cellStyle name="Millares 2 6 4 2 5 2 2 3" xfId="41869" xr:uid="{00000000-0005-0000-0000-00001F220000}"/>
    <cellStyle name="Millares 2 6 4 2 5 2 3" xfId="21517" xr:uid="{00000000-0005-0000-0000-000020220000}"/>
    <cellStyle name="Millares 2 6 4 2 5 2 3 2" xfId="48650" xr:uid="{00000000-0005-0000-0000-000021220000}"/>
    <cellStyle name="Millares 2 6 4 2 5 2 4" xfId="35088" xr:uid="{00000000-0005-0000-0000-000022220000}"/>
    <cellStyle name="Millares 2 6 4 2 5 3" xfId="11341" xr:uid="{00000000-0005-0000-0000-000023220000}"/>
    <cellStyle name="Millares 2 6 4 2 5 3 2" xfId="24909" xr:uid="{00000000-0005-0000-0000-000024220000}"/>
    <cellStyle name="Millares 2 6 4 2 5 3 2 2" xfId="52042" xr:uid="{00000000-0005-0000-0000-000025220000}"/>
    <cellStyle name="Millares 2 6 4 2 5 3 3" xfId="38480" xr:uid="{00000000-0005-0000-0000-000026220000}"/>
    <cellStyle name="Millares 2 6 4 2 5 4" xfId="18128" xr:uid="{00000000-0005-0000-0000-000027220000}"/>
    <cellStyle name="Millares 2 6 4 2 5 4 2" xfId="45261" xr:uid="{00000000-0005-0000-0000-000028220000}"/>
    <cellStyle name="Millares 2 6 4 2 5 5" xfId="31699" xr:uid="{00000000-0005-0000-0000-000029220000}"/>
    <cellStyle name="Millares 2 6 4 2 6" xfId="7933" xr:uid="{00000000-0005-0000-0000-00002A220000}"/>
    <cellStyle name="Millares 2 6 4 2 6 2" xfId="14723" xr:uid="{00000000-0005-0000-0000-00002B220000}"/>
    <cellStyle name="Millares 2 6 4 2 6 2 2" xfId="28291" xr:uid="{00000000-0005-0000-0000-00002C220000}"/>
    <cellStyle name="Millares 2 6 4 2 6 2 2 2" xfId="55424" xr:uid="{00000000-0005-0000-0000-00002D220000}"/>
    <cellStyle name="Millares 2 6 4 2 6 2 3" xfId="41862" xr:uid="{00000000-0005-0000-0000-00002E220000}"/>
    <cellStyle name="Millares 2 6 4 2 6 3" xfId="21510" xr:uid="{00000000-0005-0000-0000-00002F220000}"/>
    <cellStyle name="Millares 2 6 4 2 6 3 2" xfId="48643" xr:uid="{00000000-0005-0000-0000-000030220000}"/>
    <cellStyle name="Millares 2 6 4 2 6 4" xfId="35081" xr:uid="{00000000-0005-0000-0000-000031220000}"/>
    <cellStyle name="Millares 2 6 4 2 7" xfId="11334" xr:uid="{00000000-0005-0000-0000-000032220000}"/>
    <cellStyle name="Millares 2 6 4 2 7 2" xfId="24902" xr:uid="{00000000-0005-0000-0000-000033220000}"/>
    <cellStyle name="Millares 2 6 4 2 7 2 2" xfId="52035" xr:uid="{00000000-0005-0000-0000-000034220000}"/>
    <cellStyle name="Millares 2 6 4 2 7 3" xfId="38473" xr:uid="{00000000-0005-0000-0000-000035220000}"/>
    <cellStyle name="Millares 2 6 4 2 8" xfId="18121" xr:uid="{00000000-0005-0000-0000-000036220000}"/>
    <cellStyle name="Millares 2 6 4 2 8 2" xfId="45254" xr:uid="{00000000-0005-0000-0000-000037220000}"/>
    <cellStyle name="Millares 2 6 4 2 9" xfId="31692" xr:uid="{00000000-0005-0000-0000-000038220000}"/>
    <cellStyle name="Millares 2 6 4 3" xfId="4331" xr:uid="{00000000-0005-0000-0000-000039220000}"/>
    <cellStyle name="Millares 2 6 4 3 2" xfId="4332" xr:uid="{00000000-0005-0000-0000-00003A220000}"/>
    <cellStyle name="Millares 2 6 4 3 2 2" xfId="7942" xr:uid="{00000000-0005-0000-0000-00003B220000}"/>
    <cellStyle name="Millares 2 6 4 3 2 2 2" xfId="14732" xr:uid="{00000000-0005-0000-0000-00003C220000}"/>
    <cellStyle name="Millares 2 6 4 3 2 2 2 2" xfId="28300" xr:uid="{00000000-0005-0000-0000-00003D220000}"/>
    <cellStyle name="Millares 2 6 4 3 2 2 2 2 2" xfId="55433" xr:uid="{00000000-0005-0000-0000-00003E220000}"/>
    <cellStyle name="Millares 2 6 4 3 2 2 2 3" xfId="41871" xr:uid="{00000000-0005-0000-0000-00003F220000}"/>
    <cellStyle name="Millares 2 6 4 3 2 2 3" xfId="21519" xr:uid="{00000000-0005-0000-0000-000040220000}"/>
    <cellStyle name="Millares 2 6 4 3 2 2 3 2" xfId="48652" xr:uid="{00000000-0005-0000-0000-000041220000}"/>
    <cellStyle name="Millares 2 6 4 3 2 2 4" xfId="35090" xr:uid="{00000000-0005-0000-0000-000042220000}"/>
    <cellStyle name="Millares 2 6 4 3 2 3" xfId="11343" xr:uid="{00000000-0005-0000-0000-000043220000}"/>
    <cellStyle name="Millares 2 6 4 3 2 3 2" xfId="24911" xr:uid="{00000000-0005-0000-0000-000044220000}"/>
    <cellStyle name="Millares 2 6 4 3 2 3 2 2" xfId="52044" xr:uid="{00000000-0005-0000-0000-000045220000}"/>
    <cellStyle name="Millares 2 6 4 3 2 3 3" xfId="38482" xr:uid="{00000000-0005-0000-0000-000046220000}"/>
    <cellStyle name="Millares 2 6 4 3 2 4" xfId="18130" xr:uid="{00000000-0005-0000-0000-000047220000}"/>
    <cellStyle name="Millares 2 6 4 3 2 4 2" xfId="45263" xr:uid="{00000000-0005-0000-0000-000048220000}"/>
    <cellStyle name="Millares 2 6 4 3 2 5" xfId="31701" xr:uid="{00000000-0005-0000-0000-000049220000}"/>
    <cellStyle name="Millares 2 6 4 3 3" xfId="4333" xr:uid="{00000000-0005-0000-0000-00004A220000}"/>
    <cellStyle name="Millares 2 6 4 3 3 2" xfId="7943" xr:uid="{00000000-0005-0000-0000-00004B220000}"/>
    <cellStyle name="Millares 2 6 4 3 3 2 2" xfId="14733" xr:uid="{00000000-0005-0000-0000-00004C220000}"/>
    <cellStyle name="Millares 2 6 4 3 3 2 2 2" xfId="28301" xr:uid="{00000000-0005-0000-0000-00004D220000}"/>
    <cellStyle name="Millares 2 6 4 3 3 2 2 2 2" xfId="55434" xr:uid="{00000000-0005-0000-0000-00004E220000}"/>
    <cellStyle name="Millares 2 6 4 3 3 2 2 3" xfId="41872" xr:uid="{00000000-0005-0000-0000-00004F220000}"/>
    <cellStyle name="Millares 2 6 4 3 3 2 3" xfId="21520" xr:uid="{00000000-0005-0000-0000-000050220000}"/>
    <cellStyle name="Millares 2 6 4 3 3 2 3 2" xfId="48653" xr:uid="{00000000-0005-0000-0000-000051220000}"/>
    <cellStyle name="Millares 2 6 4 3 3 2 4" xfId="35091" xr:uid="{00000000-0005-0000-0000-000052220000}"/>
    <cellStyle name="Millares 2 6 4 3 3 3" xfId="11344" xr:uid="{00000000-0005-0000-0000-000053220000}"/>
    <cellStyle name="Millares 2 6 4 3 3 3 2" xfId="24912" xr:uid="{00000000-0005-0000-0000-000054220000}"/>
    <cellStyle name="Millares 2 6 4 3 3 3 2 2" xfId="52045" xr:uid="{00000000-0005-0000-0000-000055220000}"/>
    <cellStyle name="Millares 2 6 4 3 3 3 3" xfId="38483" xr:uid="{00000000-0005-0000-0000-000056220000}"/>
    <cellStyle name="Millares 2 6 4 3 3 4" xfId="18131" xr:uid="{00000000-0005-0000-0000-000057220000}"/>
    <cellStyle name="Millares 2 6 4 3 3 4 2" xfId="45264" xr:uid="{00000000-0005-0000-0000-000058220000}"/>
    <cellStyle name="Millares 2 6 4 3 3 5" xfId="31702" xr:uid="{00000000-0005-0000-0000-000059220000}"/>
    <cellStyle name="Millares 2 6 4 3 4" xfId="7941" xr:uid="{00000000-0005-0000-0000-00005A220000}"/>
    <cellStyle name="Millares 2 6 4 3 4 2" xfId="14731" xr:uid="{00000000-0005-0000-0000-00005B220000}"/>
    <cellStyle name="Millares 2 6 4 3 4 2 2" xfId="28299" xr:uid="{00000000-0005-0000-0000-00005C220000}"/>
    <cellStyle name="Millares 2 6 4 3 4 2 2 2" xfId="55432" xr:uid="{00000000-0005-0000-0000-00005D220000}"/>
    <cellStyle name="Millares 2 6 4 3 4 2 3" xfId="41870" xr:uid="{00000000-0005-0000-0000-00005E220000}"/>
    <cellStyle name="Millares 2 6 4 3 4 3" xfId="21518" xr:uid="{00000000-0005-0000-0000-00005F220000}"/>
    <cellStyle name="Millares 2 6 4 3 4 3 2" xfId="48651" xr:uid="{00000000-0005-0000-0000-000060220000}"/>
    <cellStyle name="Millares 2 6 4 3 4 4" xfId="35089" xr:uid="{00000000-0005-0000-0000-000061220000}"/>
    <cellStyle name="Millares 2 6 4 3 5" xfId="11342" xr:uid="{00000000-0005-0000-0000-000062220000}"/>
    <cellStyle name="Millares 2 6 4 3 5 2" xfId="24910" xr:uid="{00000000-0005-0000-0000-000063220000}"/>
    <cellStyle name="Millares 2 6 4 3 5 2 2" xfId="52043" xr:uid="{00000000-0005-0000-0000-000064220000}"/>
    <cellStyle name="Millares 2 6 4 3 5 3" xfId="38481" xr:uid="{00000000-0005-0000-0000-000065220000}"/>
    <cellStyle name="Millares 2 6 4 3 6" xfId="18129" xr:uid="{00000000-0005-0000-0000-000066220000}"/>
    <cellStyle name="Millares 2 6 4 3 6 2" xfId="45262" xr:uid="{00000000-0005-0000-0000-000067220000}"/>
    <cellStyle name="Millares 2 6 4 3 7" xfId="31700" xr:uid="{00000000-0005-0000-0000-000068220000}"/>
    <cellStyle name="Millares 2 6 4 4" xfId="4334" xr:uid="{00000000-0005-0000-0000-000069220000}"/>
    <cellStyle name="Millares 2 6 4 4 2" xfId="4335" xr:uid="{00000000-0005-0000-0000-00006A220000}"/>
    <cellStyle name="Millares 2 6 4 4 2 2" xfId="7945" xr:uid="{00000000-0005-0000-0000-00006B220000}"/>
    <cellStyle name="Millares 2 6 4 4 2 2 2" xfId="14735" xr:uid="{00000000-0005-0000-0000-00006C220000}"/>
    <cellStyle name="Millares 2 6 4 4 2 2 2 2" xfId="28303" xr:uid="{00000000-0005-0000-0000-00006D220000}"/>
    <cellStyle name="Millares 2 6 4 4 2 2 2 2 2" xfId="55436" xr:uid="{00000000-0005-0000-0000-00006E220000}"/>
    <cellStyle name="Millares 2 6 4 4 2 2 2 3" xfId="41874" xr:uid="{00000000-0005-0000-0000-00006F220000}"/>
    <cellStyle name="Millares 2 6 4 4 2 2 3" xfId="21522" xr:uid="{00000000-0005-0000-0000-000070220000}"/>
    <cellStyle name="Millares 2 6 4 4 2 2 3 2" xfId="48655" xr:uid="{00000000-0005-0000-0000-000071220000}"/>
    <cellStyle name="Millares 2 6 4 4 2 2 4" xfId="35093" xr:uid="{00000000-0005-0000-0000-000072220000}"/>
    <cellStyle name="Millares 2 6 4 4 2 3" xfId="11346" xr:uid="{00000000-0005-0000-0000-000073220000}"/>
    <cellStyle name="Millares 2 6 4 4 2 3 2" xfId="24914" xr:uid="{00000000-0005-0000-0000-000074220000}"/>
    <cellStyle name="Millares 2 6 4 4 2 3 2 2" xfId="52047" xr:uid="{00000000-0005-0000-0000-000075220000}"/>
    <cellStyle name="Millares 2 6 4 4 2 3 3" xfId="38485" xr:uid="{00000000-0005-0000-0000-000076220000}"/>
    <cellStyle name="Millares 2 6 4 4 2 4" xfId="18133" xr:uid="{00000000-0005-0000-0000-000077220000}"/>
    <cellStyle name="Millares 2 6 4 4 2 4 2" xfId="45266" xr:uid="{00000000-0005-0000-0000-000078220000}"/>
    <cellStyle name="Millares 2 6 4 4 2 5" xfId="31704" xr:uid="{00000000-0005-0000-0000-000079220000}"/>
    <cellStyle name="Millares 2 6 4 4 3" xfId="7944" xr:uid="{00000000-0005-0000-0000-00007A220000}"/>
    <cellStyle name="Millares 2 6 4 4 3 2" xfId="14734" xr:uid="{00000000-0005-0000-0000-00007B220000}"/>
    <cellStyle name="Millares 2 6 4 4 3 2 2" xfId="28302" xr:uid="{00000000-0005-0000-0000-00007C220000}"/>
    <cellStyle name="Millares 2 6 4 4 3 2 2 2" xfId="55435" xr:uid="{00000000-0005-0000-0000-00007D220000}"/>
    <cellStyle name="Millares 2 6 4 4 3 2 3" xfId="41873" xr:uid="{00000000-0005-0000-0000-00007E220000}"/>
    <cellStyle name="Millares 2 6 4 4 3 3" xfId="21521" xr:uid="{00000000-0005-0000-0000-00007F220000}"/>
    <cellStyle name="Millares 2 6 4 4 3 3 2" xfId="48654" xr:uid="{00000000-0005-0000-0000-000080220000}"/>
    <cellStyle name="Millares 2 6 4 4 3 4" xfId="35092" xr:uid="{00000000-0005-0000-0000-000081220000}"/>
    <cellStyle name="Millares 2 6 4 4 4" xfId="11345" xr:uid="{00000000-0005-0000-0000-000082220000}"/>
    <cellStyle name="Millares 2 6 4 4 4 2" xfId="24913" xr:uid="{00000000-0005-0000-0000-000083220000}"/>
    <cellStyle name="Millares 2 6 4 4 4 2 2" xfId="52046" xr:uid="{00000000-0005-0000-0000-000084220000}"/>
    <cellStyle name="Millares 2 6 4 4 4 3" xfId="38484" xr:uid="{00000000-0005-0000-0000-000085220000}"/>
    <cellStyle name="Millares 2 6 4 4 5" xfId="18132" xr:uid="{00000000-0005-0000-0000-000086220000}"/>
    <cellStyle name="Millares 2 6 4 4 5 2" xfId="45265" xr:uid="{00000000-0005-0000-0000-000087220000}"/>
    <cellStyle name="Millares 2 6 4 4 6" xfId="31703" xr:uid="{00000000-0005-0000-0000-000088220000}"/>
    <cellStyle name="Millares 2 6 4 5" xfId="4336" xr:uid="{00000000-0005-0000-0000-000089220000}"/>
    <cellStyle name="Millares 2 6 4 5 2" xfId="7946" xr:uid="{00000000-0005-0000-0000-00008A220000}"/>
    <cellStyle name="Millares 2 6 4 5 2 2" xfId="14736" xr:uid="{00000000-0005-0000-0000-00008B220000}"/>
    <cellStyle name="Millares 2 6 4 5 2 2 2" xfId="28304" xr:uid="{00000000-0005-0000-0000-00008C220000}"/>
    <cellStyle name="Millares 2 6 4 5 2 2 2 2" xfId="55437" xr:uid="{00000000-0005-0000-0000-00008D220000}"/>
    <cellStyle name="Millares 2 6 4 5 2 2 3" xfId="41875" xr:uid="{00000000-0005-0000-0000-00008E220000}"/>
    <cellStyle name="Millares 2 6 4 5 2 3" xfId="21523" xr:uid="{00000000-0005-0000-0000-00008F220000}"/>
    <cellStyle name="Millares 2 6 4 5 2 3 2" xfId="48656" xr:uid="{00000000-0005-0000-0000-000090220000}"/>
    <cellStyle name="Millares 2 6 4 5 2 4" xfId="35094" xr:uid="{00000000-0005-0000-0000-000091220000}"/>
    <cellStyle name="Millares 2 6 4 5 3" xfId="11347" xr:uid="{00000000-0005-0000-0000-000092220000}"/>
    <cellStyle name="Millares 2 6 4 5 3 2" xfId="24915" xr:uid="{00000000-0005-0000-0000-000093220000}"/>
    <cellStyle name="Millares 2 6 4 5 3 2 2" xfId="52048" xr:uid="{00000000-0005-0000-0000-000094220000}"/>
    <cellStyle name="Millares 2 6 4 5 3 3" xfId="38486" xr:uid="{00000000-0005-0000-0000-000095220000}"/>
    <cellStyle name="Millares 2 6 4 5 4" xfId="18134" xr:uid="{00000000-0005-0000-0000-000096220000}"/>
    <cellStyle name="Millares 2 6 4 5 4 2" xfId="45267" xr:uid="{00000000-0005-0000-0000-000097220000}"/>
    <cellStyle name="Millares 2 6 4 5 5" xfId="31705" xr:uid="{00000000-0005-0000-0000-000098220000}"/>
    <cellStyle name="Millares 2 6 4 6" xfId="4337" xr:uid="{00000000-0005-0000-0000-000099220000}"/>
    <cellStyle name="Millares 2 6 4 6 2" xfId="7947" xr:uid="{00000000-0005-0000-0000-00009A220000}"/>
    <cellStyle name="Millares 2 6 4 6 2 2" xfId="14737" xr:uid="{00000000-0005-0000-0000-00009B220000}"/>
    <cellStyle name="Millares 2 6 4 6 2 2 2" xfId="28305" xr:uid="{00000000-0005-0000-0000-00009C220000}"/>
    <cellStyle name="Millares 2 6 4 6 2 2 2 2" xfId="55438" xr:uid="{00000000-0005-0000-0000-00009D220000}"/>
    <cellStyle name="Millares 2 6 4 6 2 2 3" xfId="41876" xr:uid="{00000000-0005-0000-0000-00009E220000}"/>
    <cellStyle name="Millares 2 6 4 6 2 3" xfId="21524" xr:uid="{00000000-0005-0000-0000-00009F220000}"/>
    <cellStyle name="Millares 2 6 4 6 2 3 2" xfId="48657" xr:uid="{00000000-0005-0000-0000-0000A0220000}"/>
    <cellStyle name="Millares 2 6 4 6 2 4" xfId="35095" xr:uid="{00000000-0005-0000-0000-0000A1220000}"/>
    <cellStyle name="Millares 2 6 4 6 3" xfId="11348" xr:uid="{00000000-0005-0000-0000-0000A2220000}"/>
    <cellStyle name="Millares 2 6 4 6 3 2" xfId="24916" xr:uid="{00000000-0005-0000-0000-0000A3220000}"/>
    <cellStyle name="Millares 2 6 4 6 3 2 2" xfId="52049" xr:uid="{00000000-0005-0000-0000-0000A4220000}"/>
    <cellStyle name="Millares 2 6 4 6 3 3" xfId="38487" xr:uid="{00000000-0005-0000-0000-0000A5220000}"/>
    <cellStyle name="Millares 2 6 4 6 4" xfId="18135" xr:uid="{00000000-0005-0000-0000-0000A6220000}"/>
    <cellStyle name="Millares 2 6 4 6 4 2" xfId="45268" xr:uid="{00000000-0005-0000-0000-0000A7220000}"/>
    <cellStyle name="Millares 2 6 4 6 5" xfId="31706" xr:uid="{00000000-0005-0000-0000-0000A8220000}"/>
    <cellStyle name="Millares 2 6 4 7" xfId="7932" xr:uid="{00000000-0005-0000-0000-0000A9220000}"/>
    <cellStyle name="Millares 2 6 4 7 2" xfId="14722" xr:uid="{00000000-0005-0000-0000-0000AA220000}"/>
    <cellStyle name="Millares 2 6 4 7 2 2" xfId="28290" xr:uid="{00000000-0005-0000-0000-0000AB220000}"/>
    <cellStyle name="Millares 2 6 4 7 2 2 2" xfId="55423" xr:uid="{00000000-0005-0000-0000-0000AC220000}"/>
    <cellStyle name="Millares 2 6 4 7 2 3" xfId="41861" xr:uid="{00000000-0005-0000-0000-0000AD220000}"/>
    <cellStyle name="Millares 2 6 4 7 3" xfId="21509" xr:uid="{00000000-0005-0000-0000-0000AE220000}"/>
    <cellStyle name="Millares 2 6 4 7 3 2" xfId="48642" xr:uid="{00000000-0005-0000-0000-0000AF220000}"/>
    <cellStyle name="Millares 2 6 4 7 4" xfId="35080" xr:uid="{00000000-0005-0000-0000-0000B0220000}"/>
    <cellStyle name="Millares 2 6 4 8" xfId="11333" xr:uid="{00000000-0005-0000-0000-0000B1220000}"/>
    <cellStyle name="Millares 2 6 4 8 2" xfId="24901" xr:uid="{00000000-0005-0000-0000-0000B2220000}"/>
    <cellStyle name="Millares 2 6 4 8 2 2" xfId="52034" xr:uid="{00000000-0005-0000-0000-0000B3220000}"/>
    <cellStyle name="Millares 2 6 4 8 3" xfId="38472" xr:uid="{00000000-0005-0000-0000-0000B4220000}"/>
    <cellStyle name="Millares 2 6 4 9" xfId="18120" xr:uid="{00000000-0005-0000-0000-0000B5220000}"/>
    <cellStyle name="Millares 2 6 4 9 2" xfId="45253" xr:uid="{00000000-0005-0000-0000-0000B6220000}"/>
    <cellStyle name="Millares 2 6 5" xfId="4338" xr:uid="{00000000-0005-0000-0000-0000B7220000}"/>
    <cellStyle name="Millares 2 6 5 2" xfId="4339" xr:uid="{00000000-0005-0000-0000-0000B8220000}"/>
    <cellStyle name="Millares 2 6 5 2 2" xfId="4340" xr:uid="{00000000-0005-0000-0000-0000B9220000}"/>
    <cellStyle name="Millares 2 6 5 2 2 2" xfId="7950" xr:uid="{00000000-0005-0000-0000-0000BA220000}"/>
    <cellStyle name="Millares 2 6 5 2 2 2 2" xfId="14740" xr:uid="{00000000-0005-0000-0000-0000BB220000}"/>
    <cellStyle name="Millares 2 6 5 2 2 2 2 2" xfId="28308" xr:uid="{00000000-0005-0000-0000-0000BC220000}"/>
    <cellStyle name="Millares 2 6 5 2 2 2 2 2 2" xfId="55441" xr:uid="{00000000-0005-0000-0000-0000BD220000}"/>
    <cellStyle name="Millares 2 6 5 2 2 2 2 3" xfId="41879" xr:uid="{00000000-0005-0000-0000-0000BE220000}"/>
    <cellStyle name="Millares 2 6 5 2 2 2 3" xfId="21527" xr:uid="{00000000-0005-0000-0000-0000BF220000}"/>
    <cellStyle name="Millares 2 6 5 2 2 2 3 2" xfId="48660" xr:uid="{00000000-0005-0000-0000-0000C0220000}"/>
    <cellStyle name="Millares 2 6 5 2 2 2 4" xfId="35098" xr:uid="{00000000-0005-0000-0000-0000C1220000}"/>
    <cellStyle name="Millares 2 6 5 2 2 3" xfId="11351" xr:uid="{00000000-0005-0000-0000-0000C2220000}"/>
    <cellStyle name="Millares 2 6 5 2 2 3 2" xfId="24919" xr:uid="{00000000-0005-0000-0000-0000C3220000}"/>
    <cellStyle name="Millares 2 6 5 2 2 3 2 2" xfId="52052" xr:uid="{00000000-0005-0000-0000-0000C4220000}"/>
    <cellStyle name="Millares 2 6 5 2 2 3 3" xfId="38490" xr:uid="{00000000-0005-0000-0000-0000C5220000}"/>
    <cellStyle name="Millares 2 6 5 2 2 4" xfId="18138" xr:uid="{00000000-0005-0000-0000-0000C6220000}"/>
    <cellStyle name="Millares 2 6 5 2 2 4 2" xfId="45271" xr:uid="{00000000-0005-0000-0000-0000C7220000}"/>
    <cellStyle name="Millares 2 6 5 2 2 5" xfId="31709" xr:uid="{00000000-0005-0000-0000-0000C8220000}"/>
    <cellStyle name="Millares 2 6 5 2 3" xfId="4341" xr:uid="{00000000-0005-0000-0000-0000C9220000}"/>
    <cellStyle name="Millares 2 6 5 2 3 2" xfId="7951" xr:uid="{00000000-0005-0000-0000-0000CA220000}"/>
    <cellStyle name="Millares 2 6 5 2 3 2 2" xfId="14741" xr:uid="{00000000-0005-0000-0000-0000CB220000}"/>
    <cellStyle name="Millares 2 6 5 2 3 2 2 2" xfId="28309" xr:uid="{00000000-0005-0000-0000-0000CC220000}"/>
    <cellStyle name="Millares 2 6 5 2 3 2 2 2 2" xfId="55442" xr:uid="{00000000-0005-0000-0000-0000CD220000}"/>
    <cellStyle name="Millares 2 6 5 2 3 2 2 3" xfId="41880" xr:uid="{00000000-0005-0000-0000-0000CE220000}"/>
    <cellStyle name="Millares 2 6 5 2 3 2 3" xfId="21528" xr:uid="{00000000-0005-0000-0000-0000CF220000}"/>
    <cellStyle name="Millares 2 6 5 2 3 2 3 2" xfId="48661" xr:uid="{00000000-0005-0000-0000-0000D0220000}"/>
    <cellStyle name="Millares 2 6 5 2 3 2 4" xfId="35099" xr:uid="{00000000-0005-0000-0000-0000D1220000}"/>
    <cellStyle name="Millares 2 6 5 2 3 3" xfId="11352" xr:uid="{00000000-0005-0000-0000-0000D2220000}"/>
    <cellStyle name="Millares 2 6 5 2 3 3 2" xfId="24920" xr:uid="{00000000-0005-0000-0000-0000D3220000}"/>
    <cellStyle name="Millares 2 6 5 2 3 3 2 2" xfId="52053" xr:uid="{00000000-0005-0000-0000-0000D4220000}"/>
    <cellStyle name="Millares 2 6 5 2 3 3 3" xfId="38491" xr:uid="{00000000-0005-0000-0000-0000D5220000}"/>
    <cellStyle name="Millares 2 6 5 2 3 4" xfId="18139" xr:uid="{00000000-0005-0000-0000-0000D6220000}"/>
    <cellStyle name="Millares 2 6 5 2 3 4 2" xfId="45272" xr:uid="{00000000-0005-0000-0000-0000D7220000}"/>
    <cellStyle name="Millares 2 6 5 2 3 5" xfId="31710" xr:uid="{00000000-0005-0000-0000-0000D8220000}"/>
    <cellStyle name="Millares 2 6 5 2 4" xfId="7949" xr:uid="{00000000-0005-0000-0000-0000D9220000}"/>
    <cellStyle name="Millares 2 6 5 2 4 2" xfId="14739" xr:uid="{00000000-0005-0000-0000-0000DA220000}"/>
    <cellStyle name="Millares 2 6 5 2 4 2 2" xfId="28307" xr:uid="{00000000-0005-0000-0000-0000DB220000}"/>
    <cellStyle name="Millares 2 6 5 2 4 2 2 2" xfId="55440" xr:uid="{00000000-0005-0000-0000-0000DC220000}"/>
    <cellStyle name="Millares 2 6 5 2 4 2 3" xfId="41878" xr:uid="{00000000-0005-0000-0000-0000DD220000}"/>
    <cellStyle name="Millares 2 6 5 2 4 3" xfId="21526" xr:uid="{00000000-0005-0000-0000-0000DE220000}"/>
    <cellStyle name="Millares 2 6 5 2 4 3 2" xfId="48659" xr:uid="{00000000-0005-0000-0000-0000DF220000}"/>
    <cellStyle name="Millares 2 6 5 2 4 4" xfId="35097" xr:uid="{00000000-0005-0000-0000-0000E0220000}"/>
    <cellStyle name="Millares 2 6 5 2 5" xfId="11350" xr:uid="{00000000-0005-0000-0000-0000E1220000}"/>
    <cellStyle name="Millares 2 6 5 2 5 2" xfId="24918" xr:uid="{00000000-0005-0000-0000-0000E2220000}"/>
    <cellStyle name="Millares 2 6 5 2 5 2 2" xfId="52051" xr:uid="{00000000-0005-0000-0000-0000E3220000}"/>
    <cellStyle name="Millares 2 6 5 2 5 3" xfId="38489" xr:uid="{00000000-0005-0000-0000-0000E4220000}"/>
    <cellStyle name="Millares 2 6 5 2 6" xfId="18137" xr:uid="{00000000-0005-0000-0000-0000E5220000}"/>
    <cellStyle name="Millares 2 6 5 2 6 2" xfId="45270" xr:uid="{00000000-0005-0000-0000-0000E6220000}"/>
    <cellStyle name="Millares 2 6 5 2 7" xfId="31708" xr:uid="{00000000-0005-0000-0000-0000E7220000}"/>
    <cellStyle name="Millares 2 6 5 3" xfId="4342" xr:uid="{00000000-0005-0000-0000-0000E8220000}"/>
    <cellStyle name="Millares 2 6 5 3 2" xfId="4343" xr:uid="{00000000-0005-0000-0000-0000E9220000}"/>
    <cellStyle name="Millares 2 6 5 3 2 2" xfId="7953" xr:uid="{00000000-0005-0000-0000-0000EA220000}"/>
    <cellStyle name="Millares 2 6 5 3 2 2 2" xfId="14743" xr:uid="{00000000-0005-0000-0000-0000EB220000}"/>
    <cellStyle name="Millares 2 6 5 3 2 2 2 2" xfId="28311" xr:uid="{00000000-0005-0000-0000-0000EC220000}"/>
    <cellStyle name="Millares 2 6 5 3 2 2 2 2 2" xfId="55444" xr:uid="{00000000-0005-0000-0000-0000ED220000}"/>
    <cellStyle name="Millares 2 6 5 3 2 2 2 3" xfId="41882" xr:uid="{00000000-0005-0000-0000-0000EE220000}"/>
    <cellStyle name="Millares 2 6 5 3 2 2 3" xfId="21530" xr:uid="{00000000-0005-0000-0000-0000EF220000}"/>
    <cellStyle name="Millares 2 6 5 3 2 2 3 2" xfId="48663" xr:uid="{00000000-0005-0000-0000-0000F0220000}"/>
    <cellStyle name="Millares 2 6 5 3 2 2 4" xfId="35101" xr:uid="{00000000-0005-0000-0000-0000F1220000}"/>
    <cellStyle name="Millares 2 6 5 3 2 3" xfId="11354" xr:uid="{00000000-0005-0000-0000-0000F2220000}"/>
    <cellStyle name="Millares 2 6 5 3 2 3 2" xfId="24922" xr:uid="{00000000-0005-0000-0000-0000F3220000}"/>
    <cellStyle name="Millares 2 6 5 3 2 3 2 2" xfId="52055" xr:uid="{00000000-0005-0000-0000-0000F4220000}"/>
    <cellStyle name="Millares 2 6 5 3 2 3 3" xfId="38493" xr:uid="{00000000-0005-0000-0000-0000F5220000}"/>
    <cellStyle name="Millares 2 6 5 3 2 4" xfId="18141" xr:uid="{00000000-0005-0000-0000-0000F6220000}"/>
    <cellStyle name="Millares 2 6 5 3 2 4 2" xfId="45274" xr:uid="{00000000-0005-0000-0000-0000F7220000}"/>
    <cellStyle name="Millares 2 6 5 3 2 5" xfId="31712" xr:uid="{00000000-0005-0000-0000-0000F8220000}"/>
    <cellStyle name="Millares 2 6 5 3 3" xfId="7952" xr:uid="{00000000-0005-0000-0000-0000F9220000}"/>
    <cellStyle name="Millares 2 6 5 3 3 2" xfId="14742" xr:uid="{00000000-0005-0000-0000-0000FA220000}"/>
    <cellStyle name="Millares 2 6 5 3 3 2 2" xfId="28310" xr:uid="{00000000-0005-0000-0000-0000FB220000}"/>
    <cellStyle name="Millares 2 6 5 3 3 2 2 2" xfId="55443" xr:uid="{00000000-0005-0000-0000-0000FC220000}"/>
    <cellStyle name="Millares 2 6 5 3 3 2 3" xfId="41881" xr:uid="{00000000-0005-0000-0000-0000FD220000}"/>
    <cellStyle name="Millares 2 6 5 3 3 3" xfId="21529" xr:uid="{00000000-0005-0000-0000-0000FE220000}"/>
    <cellStyle name="Millares 2 6 5 3 3 3 2" xfId="48662" xr:uid="{00000000-0005-0000-0000-0000FF220000}"/>
    <cellStyle name="Millares 2 6 5 3 3 4" xfId="35100" xr:uid="{00000000-0005-0000-0000-000000230000}"/>
    <cellStyle name="Millares 2 6 5 3 4" xfId="11353" xr:uid="{00000000-0005-0000-0000-000001230000}"/>
    <cellStyle name="Millares 2 6 5 3 4 2" xfId="24921" xr:uid="{00000000-0005-0000-0000-000002230000}"/>
    <cellStyle name="Millares 2 6 5 3 4 2 2" xfId="52054" xr:uid="{00000000-0005-0000-0000-000003230000}"/>
    <cellStyle name="Millares 2 6 5 3 4 3" xfId="38492" xr:uid="{00000000-0005-0000-0000-000004230000}"/>
    <cellStyle name="Millares 2 6 5 3 5" xfId="18140" xr:uid="{00000000-0005-0000-0000-000005230000}"/>
    <cellStyle name="Millares 2 6 5 3 5 2" xfId="45273" xr:uid="{00000000-0005-0000-0000-000006230000}"/>
    <cellStyle name="Millares 2 6 5 3 6" xfId="31711" xr:uid="{00000000-0005-0000-0000-000007230000}"/>
    <cellStyle name="Millares 2 6 5 4" xfId="4344" xr:uid="{00000000-0005-0000-0000-000008230000}"/>
    <cellStyle name="Millares 2 6 5 4 2" xfId="7954" xr:uid="{00000000-0005-0000-0000-000009230000}"/>
    <cellStyle name="Millares 2 6 5 4 2 2" xfId="14744" xr:uid="{00000000-0005-0000-0000-00000A230000}"/>
    <cellStyle name="Millares 2 6 5 4 2 2 2" xfId="28312" xr:uid="{00000000-0005-0000-0000-00000B230000}"/>
    <cellStyle name="Millares 2 6 5 4 2 2 2 2" xfId="55445" xr:uid="{00000000-0005-0000-0000-00000C230000}"/>
    <cellStyle name="Millares 2 6 5 4 2 2 3" xfId="41883" xr:uid="{00000000-0005-0000-0000-00000D230000}"/>
    <cellStyle name="Millares 2 6 5 4 2 3" xfId="21531" xr:uid="{00000000-0005-0000-0000-00000E230000}"/>
    <cellStyle name="Millares 2 6 5 4 2 3 2" xfId="48664" xr:uid="{00000000-0005-0000-0000-00000F230000}"/>
    <cellStyle name="Millares 2 6 5 4 2 4" xfId="35102" xr:uid="{00000000-0005-0000-0000-000010230000}"/>
    <cellStyle name="Millares 2 6 5 4 3" xfId="11355" xr:uid="{00000000-0005-0000-0000-000011230000}"/>
    <cellStyle name="Millares 2 6 5 4 3 2" xfId="24923" xr:uid="{00000000-0005-0000-0000-000012230000}"/>
    <cellStyle name="Millares 2 6 5 4 3 2 2" xfId="52056" xr:uid="{00000000-0005-0000-0000-000013230000}"/>
    <cellStyle name="Millares 2 6 5 4 3 3" xfId="38494" xr:uid="{00000000-0005-0000-0000-000014230000}"/>
    <cellStyle name="Millares 2 6 5 4 4" xfId="18142" xr:uid="{00000000-0005-0000-0000-000015230000}"/>
    <cellStyle name="Millares 2 6 5 4 4 2" xfId="45275" xr:uid="{00000000-0005-0000-0000-000016230000}"/>
    <cellStyle name="Millares 2 6 5 4 5" xfId="31713" xr:uid="{00000000-0005-0000-0000-000017230000}"/>
    <cellStyle name="Millares 2 6 5 5" xfId="4345" xr:uid="{00000000-0005-0000-0000-000018230000}"/>
    <cellStyle name="Millares 2 6 5 5 2" xfId="7955" xr:uid="{00000000-0005-0000-0000-000019230000}"/>
    <cellStyle name="Millares 2 6 5 5 2 2" xfId="14745" xr:uid="{00000000-0005-0000-0000-00001A230000}"/>
    <cellStyle name="Millares 2 6 5 5 2 2 2" xfId="28313" xr:uid="{00000000-0005-0000-0000-00001B230000}"/>
    <cellStyle name="Millares 2 6 5 5 2 2 2 2" xfId="55446" xr:uid="{00000000-0005-0000-0000-00001C230000}"/>
    <cellStyle name="Millares 2 6 5 5 2 2 3" xfId="41884" xr:uid="{00000000-0005-0000-0000-00001D230000}"/>
    <cellStyle name="Millares 2 6 5 5 2 3" xfId="21532" xr:uid="{00000000-0005-0000-0000-00001E230000}"/>
    <cellStyle name="Millares 2 6 5 5 2 3 2" xfId="48665" xr:uid="{00000000-0005-0000-0000-00001F230000}"/>
    <cellStyle name="Millares 2 6 5 5 2 4" xfId="35103" xr:uid="{00000000-0005-0000-0000-000020230000}"/>
    <cellStyle name="Millares 2 6 5 5 3" xfId="11356" xr:uid="{00000000-0005-0000-0000-000021230000}"/>
    <cellStyle name="Millares 2 6 5 5 3 2" xfId="24924" xr:uid="{00000000-0005-0000-0000-000022230000}"/>
    <cellStyle name="Millares 2 6 5 5 3 2 2" xfId="52057" xr:uid="{00000000-0005-0000-0000-000023230000}"/>
    <cellStyle name="Millares 2 6 5 5 3 3" xfId="38495" xr:uid="{00000000-0005-0000-0000-000024230000}"/>
    <cellStyle name="Millares 2 6 5 5 4" xfId="18143" xr:uid="{00000000-0005-0000-0000-000025230000}"/>
    <cellStyle name="Millares 2 6 5 5 4 2" xfId="45276" xr:uid="{00000000-0005-0000-0000-000026230000}"/>
    <cellStyle name="Millares 2 6 5 5 5" xfId="31714" xr:uid="{00000000-0005-0000-0000-000027230000}"/>
    <cellStyle name="Millares 2 6 5 6" xfId="7948" xr:uid="{00000000-0005-0000-0000-000028230000}"/>
    <cellStyle name="Millares 2 6 5 6 2" xfId="14738" xr:uid="{00000000-0005-0000-0000-000029230000}"/>
    <cellStyle name="Millares 2 6 5 6 2 2" xfId="28306" xr:uid="{00000000-0005-0000-0000-00002A230000}"/>
    <cellStyle name="Millares 2 6 5 6 2 2 2" xfId="55439" xr:uid="{00000000-0005-0000-0000-00002B230000}"/>
    <cellStyle name="Millares 2 6 5 6 2 3" xfId="41877" xr:uid="{00000000-0005-0000-0000-00002C230000}"/>
    <cellStyle name="Millares 2 6 5 6 3" xfId="21525" xr:uid="{00000000-0005-0000-0000-00002D230000}"/>
    <cellStyle name="Millares 2 6 5 6 3 2" xfId="48658" xr:uid="{00000000-0005-0000-0000-00002E230000}"/>
    <cellStyle name="Millares 2 6 5 6 4" xfId="35096" xr:uid="{00000000-0005-0000-0000-00002F230000}"/>
    <cellStyle name="Millares 2 6 5 7" xfId="11349" xr:uid="{00000000-0005-0000-0000-000030230000}"/>
    <cellStyle name="Millares 2 6 5 7 2" xfId="24917" xr:uid="{00000000-0005-0000-0000-000031230000}"/>
    <cellStyle name="Millares 2 6 5 7 2 2" xfId="52050" xr:uid="{00000000-0005-0000-0000-000032230000}"/>
    <cellStyle name="Millares 2 6 5 7 3" xfId="38488" xr:uid="{00000000-0005-0000-0000-000033230000}"/>
    <cellStyle name="Millares 2 6 5 8" xfId="18136" xr:uid="{00000000-0005-0000-0000-000034230000}"/>
    <cellStyle name="Millares 2 6 5 8 2" xfId="45269" xr:uid="{00000000-0005-0000-0000-000035230000}"/>
    <cellStyle name="Millares 2 6 5 9" xfId="31707" xr:uid="{00000000-0005-0000-0000-000036230000}"/>
    <cellStyle name="Millares 2 6 6" xfId="4346" xr:uid="{00000000-0005-0000-0000-000037230000}"/>
    <cellStyle name="Millares 2 6 6 2" xfId="4347" xr:uid="{00000000-0005-0000-0000-000038230000}"/>
    <cellStyle name="Millares 2 6 6 2 2" xfId="4348" xr:uid="{00000000-0005-0000-0000-000039230000}"/>
    <cellStyle name="Millares 2 6 6 2 2 2" xfId="7958" xr:uid="{00000000-0005-0000-0000-00003A230000}"/>
    <cellStyle name="Millares 2 6 6 2 2 2 2" xfId="14748" xr:uid="{00000000-0005-0000-0000-00003B230000}"/>
    <cellStyle name="Millares 2 6 6 2 2 2 2 2" xfId="28316" xr:uid="{00000000-0005-0000-0000-00003C230000}"/>
    <cellStyle name="Millares 2 6 6 2 2 2 2 2 2" xfId="55449" xr:uid="{00000000-0005-0000-0000-00003D230000}"/>
    <cellStyle name="Millares 2 6 6 2 2 2 2 3" xfId="41887" xr:uid="{00000000-0005-0000-0000-00003E230000}"/>
    <cellStyle name="Millares 2 6 6 2 2 2 3" xfId="21535" xr:uid="{00000000-0005-0000-0000-00003F230000}"/>
    <cellStyle name="Millares 2 6 6 2 2 2 3 2" xfId="48668" xr:uid="{00000000-0005-0000-0000-000040230000}"/>
    <cellStyle name="Millares 2 6 6 2 2 2 4" xfId="35106" xr:uid="{00000000-0005-0000-0000-000041230000}"/>
    <cellStyle name="Millares 2 6 6 2 2 3" xfId="11359" xr:uid="{00000000-0005-0000-0000-000042230000}"/>
    <cellStyle name="Millares 2 6 6 2 2 3 2" xfId="24927" xr:uid="{00000000-0005-0000-0000-000043230000}"/>
    <cellStyle name="Millares 2 6 6 2 2 3 2 2" xfId="52060" xr:uid="{00000000-0005-0000-0000-000044230000}"/>
    <cellStyle name="Millares 2 6 6 2 2 3 3" xfId="38498" xr:uid="{00000000-0005-0000-0000-000045230000}"/>
    <cellStyle name="Millares 2 6 6 2 2 4" xfId="18146" xr:uid="{00000000-0005-0000-0000-000046230000}"/>
    <cellStyle name="Millares 2 6 6 2 2 4 2" xfId="45279" xr:uid="{00000000-0005-0000-0000-000047230000}"/>
    <cellStyle name="Millares 2 6 6 2 2 5" xfId="31717" xr:uid="{00000000-0005-0000-0000-000048230000}"/>
    <cellStyle name="Millares 2 6 6 2 3" xfId="4349" xr:uid="{00000000-0005-0000-0000-000049230000}"/>
    <cellStyle name="Millares 2 6 6 2 3 2" xfId="7959" xr:uid="{00000000-0005-0000-0000-00004A230000}"/>
    <cellStyle name="Millares 2 6 6 2 3 2 2" xfId="14749" xr:uid="{00000000-0005-0000-0000-00004B230000}"/>
    <cellStyle name="Millares 2 6 6 2 3 2 2 2" xfId="28317" xr:uid="{00000000-0005-0000-0000-00004C230000}"/>
    <cellStyle name="Millares 2 6 6 2 3 2 2 2 2" xfId="55450" xr:uid="{00000000-0005-0000-0000-00004D230000}"/>
    <cellStyle name="Millares 2 6 6 2 3 2 2 3" xfId="41888" xr:uid="{00000000-0005-0000-0000-00004E230000}"/>
    <cellStyle name="Millares 2 6 6 2 3 2 3" xfId="21536" xr:uid="{00000000-0005-0000-0000-00004F230000}"/>
    <cellStyle name="Millares 2 6 6 2 3 2 3 2" xfId="48669" xr:uid="{00000000-0005-0000-0000-000050230000}"/>
    <cellStyle name="Millares 2 6 6 2 3 2 4" xfId="35107" xr:uid="{00000000-0005-0000-0000-000051230000}"/>
    <cellStyle name="Millares 2 6 6 2 3 3" xfId="11360" xr:uid="{00000000-0005-0000-0000-000052230000}"/>
    <cellStyle name="Millares 2 6 6 2 3 3 2" xfId="24928" xr:uid="{00000000-0005-0000-0000-000053230000}"/>
    <cellStyle name="Millares 2 6 6 2 3 3 2 2" xfId="52061" xr:uid="{00000000-0005-0000-0000-000054230000}"/>
    <cellStyle name="Millares 2 6 6 2 3 3 3" xfId="38499" xr:uid="{00000000-0005-0000-0000-000055230000}"/>
    <cellStyle name="Millares 2 6 6 2 3 4" xfId="18147" xr:uid="{00000000-0005-0000-0000-000056230000}"/>
    <cellStyle name="Millares 2 6 6 2 3 4 2" xfId="45280" xr:uid="{00000000-0005-0000-0000-000057230000}"/>
    <cellStyle name="Millares 2 6 6 2 3 5" xfId="31718" xr:uid="{00000000-0005-0000-0000-000058230000}"/>
    <cellStyle name="Millares 2 6 6 2 4" xfId="7957" xr:uid="{00000000-0005-0000-0000-000059230000}"/>
    <cellStyle name="Millares 2 6 6 2 4 2" xfId="14747" xr:uid="{00000000-0005-0000-0000-00005A230000}"/>
    <cellStyle name="Millares 2 6 6 2 4 2 2" xfId="28315" xr:uid="{00000000-0005-0000-0000-00005B230000}"/>
    <cellStyle name="Millares 2 6 6 2 4 2 2 2" xfId="55448" xr:uid="{00000000-0005-0000-0000-00005C230000}"/>
    <cellStyle name="Millares 2 6 6 2 4 2 3" xfId="41886" xr:uid="{00000000-0005-0000-0000-00005D230000}"/>
    <cellStyle name="Millares 2 6 6 2 4 3" xfId="21534" xr:uid="{00000000-0005-0000-0000-00005E230000}"/>
    <cellStyle name="Millares 2 6 6 2 4 3 2" xfId="48667" xr:uid="{00000000-0005-0000-0000-00005F230000}"/>
    <cellStyle name="Millares 2 6 6 2 4 4" xfId="35105" xr:uid="{00000000-0005-0000-0000-000060230000}"/>
    <cellStyle name="Millares 2 6 6 2 5" xfId="11358" xr:uid="{00000000-0005-0000-0000-000061230000}"/>
    <cellStyle name="Millares 2 6 6 2 5 2" xfId="24926" xr:uid="{00000000-0005-0000-0000-000062230000}"/>
    <cellStyle name="Millares 2 6 6 2 5 2 2" xfId="52059" xr:uid="{00000000-0005-0000-0000-000063230000}"/>
    <cellStyle name="Millares 2 6 6 2 5 3" xfId="38497" xr:uid="{00000000-0005-0000-0000-000064230000}"/>
    <cellStyle name="Millares 2 6 6 2 6" xfId="18145" xr:uid="{00000000-0005-0000-0000-000065230000}"/>
    <cellStyle name="Millares 2 6 6 2 6 2" xfId="45278" xr:uid="{00000000-0005-0000-0000-000066230000}"/>
    <cellStyle name="Millares 2 6 6 2 7" xfId="31716" xr:uid="{00000000-0005-0000-0000-000067230000}"/>
    <cellStyle name="Millares 2 6 6 3" xfId="4350" xr:uid="{00000000-0005-0000-0000-000068230000}"/>
    <cellStyle name="Millares 2 6 6 3 2" xfId="7960" xr:uid="{00000000-0005-0000-0000-000069230000}"/>
    <cellStyle name="Millares 2 6 6 3 2 2" xfId="14750" xr:uid="{00000000-0005-0000-0000-00006A230000}"/>
    <cellStyle name="Millares 2 6 6 3 2 2 2" xfId="28318" xr:uid="{00000000-0005-0000-0000-00006B230000}"/>
    <cellStyle name="Millares 2 6 6 3 2 2 2 2" xfId="55451" xr:uid="{00000000-0005-0000-0000-00006C230000}"/>
    <cellStyle name="Millares 2 6 6 3 2 2 3" xfId="41889" xr:uid="{00000000-0005-0000-0000-00006D230000}"/>
    <cellStyle name="Millares 2 6 6 3 2 3" xfId="21537" xr:uid="{00000000-0005-0000-0000-00006E230000}"/>
    <cellStyle name="Millares 2 6 6 3 2 3 2" xfId="48670" xr:uid="{00000000-0005-0000-0000-00006F230000}"/>
    <cellStyle name="Millares 2 6 6 3 2 4" xfId="35108" xr:uid="{00000000-0005-0000-0000-000070230000}"/>
    <cellStyle name="Millares 2 6 6 3 3" xfId="11361" xr:uid="{00000000-0005-0000-0000-000071230000}"/>
    <cellStyle name="Millares 2 6 6 3 3 2" xfId="24929" xr:uid="{00000000-0005-0000-0000-000072230000}"/>
    <cellStyle name="Millares 2 6 6 3 3 2 2" xfId="52062" xr:uid="{00000000-0005-0000-0000-000073230000}"/>
    <cellStyle name="Millares 2 6 6 3 3 3" xfId="38500" xr:uid="{00000000-0005-0000-0000-000074230000}"/>
    <cellStyle name="Millares 2 6 6 3 4" xfId="18148" xr:uid="{00000000-0005-0000-0000-000075230000}"/>
    <cellStyle name="Millares 2 6 6 3 4 2" xfId="45281" xr:uid="{00000000-0005-0000-0000-000076230000}"/>
    <cellStyle name="Millares 2 6 6 3 5" xfId="31719" xr:uid="{00000000-0005-0000-0000-000077230000}"/>
    <cellStyle name="Millares 2 6 6 4" xfId="4351" xr:uid="{00000000-0005-0000-0000-000078230000}"/>
    <cellStyle name="Millares 2 6 6 4 2" xfId="7961" xr:uid="{00000000-0005-0000-0000-000079230000}"/>
    <cellStyle name="Millares 2 6 6 4 2 2" xfId="14751" xr:uid="{00000000-0005-0000-0000-00007A230000}"/>
    <cellStyle name="Millares 2 6 6 4 2 2 2" xfId="28319" xr:uid="{00000000-0005-0000-0000-00007B230000}"/>
    <cellStyle name="Millares 2 6 6 4 2 2 2 2" xfId="55452" xr:uid="{00000000-0005-0000-0000-00007C230000}"/>
    <cellStyle name="Millares 2 6 6 4 2 2 3" xfId="41890" xr:uid="{00000000-0005-0000-0000-00007D230000}"/>
    <cellStyle name="Millares 2 6 6 4 2 3" xfId="21538" xr:uid="{00000000-0005-0000-0000-00007E230000}"/>
    <cellStyle name="Millares 2 6 6 4 2 3 2" xfId="48671" xr:uid="{00000000-0005-0000-0000-00007F230000}"/>
    <cellStyle name="Millares 2 6 6 4 2 4" xfId="35109" xr:uid="{00000000-0005-0000-0000-000080230000}"/>
    <cellStyle name="Millares 2 6 6 4 3" xfId="11362" xr:uid="{00000000-0005-0000-0000-000081230000}"/>
    <cellStyle name="Millares 2 6 6 4 3 2" xfId="24930" xr:uid="{00000000-0005-0000-0000-000082230000}"/>
    <cellStyle name="Millares 2 6 6 4 3 2 2" xfId="52063" xr:uid="{00000000-0005-0000-0000-000083230000}"/>
    <cellStyle name="Millares 2 6 6 4 3 3" xfId="38501" xr:uid="{00000000-0005-0000-0000-000084230000}"/>
    <cellStyle name="Millares 2 6 6 4 4" xfId="18149" xr:uid="{00000000-0005-0000-0000-000085230000}"/>
    <cellStyle name="Millares 2 6 6 4 4 2" xfId="45282" xr:uid="{00000000-0005-0000-0000-000086230000}"/>
    <cellStyle name="Millares 2 6 6 4 5" xfId="31720" xr:uid="{00000000-0005-0000-0000-000087230000}"/>
    <cellStyle name="Millares 2 6 6 5" xfId="7956" xr:uid="{00000000-0005-0000-0000-000088230000}"/>
    <cellStyle name="Millares 2 6 6 5 2" xfId="14746" xr:uid="{00000000-0005-0000-0000-000089230000}"/>
    <cellStyle name="Millares 2 6 6 5 2 2" xfId="28314" xr:uid="{00000000-0005-0000-0000-00008A230000}"/>
    <cellStyle name="Millares 2 6 6 5 2 2 2" xfId="55447" xr:uid="{00000000-0005-0000-0000-00008B230000}"/>
    <cellStyle name="Millares 2 6 6 5 2 3" xfId="41885" xr:uid="{00000000-0005-0000-0000-00008C230000}"/>
    <cellStyle name="Millares 2 6 6 5 3" xfId="21533" xr:uid="{00000000-0005-0000-0000-00008D230000}"/>
    <cellStyle name="Millares 2 6 6 5 3 2" xfId="48666" xr:uid="{00000000-0005-0000-0000-00008E230000}"/>
    <cellStyle name="Millares 2 6 6 5 4" xfId="35104" xr:uid="{00000000-0005-0000-0000-00008F230000}"/>
    <cellStyle name="Millares 2 6 6 6" xfId="11357" xr:uid="{00000000-0005-0000-0000-000090230000}"/>
    <cellStyle name="Millares 2 6 6 6 2" xfId="24925" xr:uid="{00000000-0005-0000-0000-000091230000}"/>
    <cellStyle name="Millares 2 6 6 6 2 2" xfId="52058" xr:uid="{00000000-0005-0000-0000-000092230000}"/>
    <cellStyle name="Millares 2 6 6 6 3" xfId="38496" xr:uid="{00000000-0005-0000-0000-000093230000}"/>
    <cellStyle name="Millares 2 6 6 7" xfId="18144" xr:uid="{00000000-0005-0000-0000-000094230000}"/>
    <cellStyle name="Millares 2 6 6 7 2" xfId="45277" xr:uid="{00000000-0005-0000-0000-000095230000}"/>
    <cellStyle name="Millares 2 6 6 8" xfId="31715" xr:uid="{00000000-0005-0000-0000-000096230000}"/>
    <cellStyle name="Millares 2 6 7" xfId="4352" xr:uid="{00000000-0005-0000-0000-000097230000}"/>
    <cellStyle name="Millares 2 6 7 2" xfId="4353" xr:uid="{00000000-0005-0000-0000-000098230000}"/>
    <cellStyle name="Millares 2 6 7 2 2" xfId="4354" xr:uid="{00000000-0005-0000-0000-000099230000}"/>
    <cellStyle name="Millares 2 6 7 2 2 2" xfId="7964" xr:uid="{00000000-0005-0000-0000-00009A230000}"/>
    <cellStyle name="Millares 2 6 7 2 2 2 2" xfId="14754" xr:uid="{00000000-0005-0000-0000-00009B230000}"/>
    <cellStyle name="Millares 2 6 7 2 2 2 2 2" xfId="28322" xr:uid="{00000000-0005-0000-0000-00009C230000}"/>
    <cellStyle name="Millares 2 6 7 2 2 2 2 2 2" xfId="55455" xr:uid="{00000000-0005-0000-0000-00009D230000}"/>
    <cellStyle name="Millares 2 6 7 2 2 2 2 3" xfId="41893" xr:uid="{00000000-0005-0000-0000-00009E230000}"/>
    <cellStyle name="Millares 2 6 7 2 2 2 3" xfId="21541" xr:uid="{00000000-0005-0000-0000-00009F230000}"/>
    <cellStyle name="Millares 2 6 7 2 2 2 3 2" xfId="48674" xr:uid="{00000000-0005-0000-0000-0000A0230000}"/>
    <cellStyle name="Millares 2 6 7 2 2 2 4" xfId="35112" xr:uid="{00000000-0005-0000-0000-0000A1230000}"/>
    <cellStyle name="Millares 2 6 7 2 2 3" xfId="11365" xr:uid="{00000000-0005-0000-0000-0000A2230000}"/>
    <cellStyle name="Millares 2 6 7 2 2 3 2" xfId="24933" xr:uid="{00000000-0005-0000-0000-0000A3230000}"/>
    <cellStyle name="Millares 2 6 7 2 2 3 2 2" xfId="52066" xr:uid="{00000000-0005-0000-0000-0000A4230000}"/>
    <cellStyle name="Millares 2 6 7 2 2 3 3" xfId="38504" xr:uid="{00000000-0005-0000-0000-0000A5230000}"/>
    <cellStyle name="Millares 2 6 7 2 2 4" xfId="18152" xr:uid="{00000000-0005-0000-0000-0000A6230000}"/>
    <cellStyle name="Millares 2 6 7 2 2 4 2" xfId="45285" xr:uid="{00000000-0005-0000-0000-0000A7230000}"/>
    <cellStyle name="Millares 2 6 7 2 2 5" xfId="31723" xr:uid="{00000000-0005-0000-0000-0000A8230000}"/>
    <cellStyle name="Millares 2 6 7 2 3" xfId="4355" xr:uid="{00000000-0005-0000-0000-0000A9230000}"/>
    <cellStyle name="Millares 2 6 7 2 3 2" xfId="7965" xr:uid="{00000000-0005-0000-0000-0000AA230000}"/>
    <cellStyle name="Millares 2 6 7 2 3 2 2" xfId="14755" xr:uid="{00000000-0005-0000-0000-0000AB230000}"/>
    <cellStyle name="Millares 2 6 7 2 3 2 2 2" xfId="28323" xr:uid="{00000000-0005-0000-0000-0000AC230000}"/>
    <cellStyle name="Millares 2 6 7 2 3 2 2 2 2" xfId="55456" xr:uid="{00000000-0005-0000-0000-0000AD230000}"/>
    <cellStyle name="Millares 2 6 7 2 3 2 2 3" xfId="41894" xr:uid="{00000000-0005-0000-0000-0000AE230000}"/>
    <cellStyle name="Millares 2 6 7 2 3 2 3" xfId="21542" xr:uid="{00000000-0005-0000-0000-0000AF230000}"/>
    <cellStyle name="Millares 2 6 7 2 3 2 3 2" xfId="48675" xr:uid="{00000000-0005-0000-0000-0000B0230000}"/>
    <cellStyle name="Millares 2 6 7 2 3 2 4" xfId="35113" xr:uid="{00000000-0005-0000-0000-0000B1230000}"/>
    <cellStyle name="Millares 2 6 7 2 3 3" xfId="11366" xr:uid="{00000000-0005-0000-0000-0000B2230000}"/>
    <cellStyle name="Millares 2 6 7 2 3 3 2" xfId="24934" xr:uid="{00000000-0005-0000-0000-0000B3230000}"/>
    <cellStyle name="Millares 2 6 7 2 3 3 2 2" xfId="52067" xr:uid="{00000000-0005-0000-0000-0000B4230000}"/>
    <cellStyle name="Millares 2 6 7 2 3 3 3" xfId="38505" xr:uid="{00000000-0005-0000-0000-0000B5230000}"/>
    <cellStyle name="Millares 2 6 7 2 3 4" xfId="18153" xr:uid="{00000000-0005-0000-0000-0000B6230000}"/>
    <cellStyle name="Millares 2 6 7 2 3 4 2" xfId="45286" xr:uid="{00000000-0005-0000-0000-0000B7230000}"/>
    <cellStyle name="Millares 2 6 7 2 3 5" xfId="31724" xr:uid="{00000000-0005-0000-0000-0000B8230000}"/>
    <cellStyle name="Millares 2 6 7 2 4" xfId="7963" xr:uid="{00000000-0005-0000-0000-0000B9230000}"/>
    <cellStyle name="Millares 2 6 7 2 4 2" xfId="14753" xr:uid="{00000000-0005-0000-0000-0000BA230000}"/>
    <cellStyle name="Millares 2 6 7 2 4 2 2" xfId="28321" xr:uid="{00000000-0005-0000-0000-0000BB230000}"/>
    <cellStyle name="Millares 2 6 7 2 4 2 2 2" xfId="55454" xr:uid="{00000000-0005-0000-0000-0000BC230000}"/>
    <cellStyle name="Millares 2 6 7 2 4 2 3" xfId="41892" xr:uid="{00000000-0005-0000-0000-0000BD230000}"/>
    <cellStyle name="Millares 2 6 7 2 4 3" xfId="21540" xr:uid="{00000000-0005-0000-0000-0000BE230000}"/>
    <cellStyle name="Millares 2 6 7 2 4 3 2" xfId="48673" xr:uid="{00000000-0005-0000-0000-0000BF230000}"/>
    <cellStyle name="Millares 2 6 7 2 4 4" xfId="35111" xr:uid="{00000000-0005-0000-0000-0000C0230000}"/>
    <cellStyle name="Millares 2 6 7 2 5" xfId="11364" xr:uid="{00000000-0005-0000-0000-0000C1230000}"/>
    <cellStyle name="Millares 2 6 7 2 5 2" xfId="24932" xr:uid="{00000000-0005-0000-0000-0000C2230000}"/>
    <cellStyle name="Millares 2 6 7 2 5 2 2" xfId="52065" xr:uid="{00000000-0005-0000-0000-0000C3230000}"/>
    <cellStyle name="Millares 2 6 7 2 5 3" xfId="38503" xr:uid="{00000000-0005-0000-0000-0000C4230000}"/>
    <cellStyle name="Millares 2 6 7 2 6" xfId="18151" xr:uid="{00000000-0005-0000-0000-0000C5230000}"/>
    <cellStyle name="Millares 2 6 7 2 6 2" xfId="45284" xr:uid="{00000000-0005-0000-0000-0000C6230000}"/>
    <cellStyle name="Millares 2 6 7 2 7" xfId="31722" xr:uid="{00000000-0005-0000-0000-0000C7230000}"/>
    <cellStyle name="Millares 2 6 7 3" xfId="4356" xr:uid="{00000000-0005-0000-0000-0000C8230000}"/>
    <cellStyle name="Millares 2 6 7 3 2" xfId="7966" xr:uid="{00000000-0005-0000-0000-0000C9230000}"/>
    <cellStyle name="Millares 2 6 7 3 2 2" xfId="14756" xr:uid="{00000000-0005-0000-0000-0000CA230000}"/>
    <cellStyle name="Millares 2 6 7 3 2 2 2" xfId="28324" xr:uid="{00000000-0005-0000-0000-0000CB230000}"/>
    <cellStyle name="Millares 2 6 7 3 2 2 2 2" xfId="55457" xr:uid="{00000000-0005-0000-0000-0000CC230000}"/>
    <cellStyle name="Millares 2 6 7 3 2 2 3" xfId="41895" xr:uid="{00000000-0005-0000-0000-0000CD230000}"/>
    <cellStyle name="Millares 2 6 7 3 2 3" xfId="21543" xr:uid="{00000000-0005-0000-0000-0000CE230000}"/>
    <cellStyle name="Millares 2 6 7 3 2 3 2" xfId="48676" xr:uid="{00000000-0005-0000-0000-0000CF230000}"/>
    <cellStyle name="Millares 2 6 7 3 2 4" xfId="35114" xr:uid="{00000000-0005-0000-0000-0000D0230000}"/>
    <cellStyle name="Millares 2 6 7 3 3" xfId="11367" xr:uid="{00000000-0005-0000-0000-0000D1230000}"/>
    <cellStyle name="Millares 2 6 7 3 3 2" xfId="24935" xr:uid="{00000000-0005-0000-0000-0000D2230000}"/>
    <cellStyle name="Millares 2 6 7 3 3 2 2" xfId="52068" xr:uid="{00000000-0005-0000-0000-0000D3230000}"/>
    <cellStyle name="Millares 2 6 7 3 3 3" xfId="38506" xr:uid="{00000000-0005-0000-0000-0000D4230000}"/>
    <cellStyle name="Millares 2 6 7 3 4" xfId="18154" xr:uid="{00000000-0005-0000-0000-0000D5230000}"/>
    <cellStyle name="Millares 2 6 7 3 4 2" xfId="45287" xr:uid="{00000000-0005-0000-0000-0000D6230000}"/>
    <cellStyle name="Millares 2 6 7 3 5" xfId="31725" xr:uid="{00000000-0005-0000-0000-0000D7230000}"/>
    <cellStyle name="Millares 2 6 7 4" xfId="4357" xr:uid="{00000000-0005-0000-0000-0000D8230000}"/>
    <cellStyle name="Millares 2 6 7 4 2" xfId="7967" xr:uid="{00000000-0005-0000-0000-0000D9230000}"/>
    <cellStyle name="Millares 2 6 7 4 2 2" xfId="14757" xr:uid="{00000000-0005-0000-0000-0000DA230000}"/>
    <cellStyle name="Millares 2 6 7 4 2 2 2" xfId="28325" xr:uid="{00000000-0005-0000-0000-0000DB230000}"/>
    <cellStyle name="Millares 2 6 7 4 2 2 2 2" xfId="55458" xr:uid="{00000000-0005-0000-0000-0000DC230000}"/>
    <cellStyle name="Millares 2 6 7 4 2 2 3" xfId="41896" xr:uid="{00000000-0005-0000-0000-0000DD230000}"/>
    <cellStyle name="Millares 2 6 7 4 2 3" xfId="21544" xr:uid="{00000000-0005-0000-0000-0000DE230000}"/>
    <cellStyle name="Millares 2 6 7 4 2 3 2" xfId="48677" xr:uid="{00000000-0005-0000-0000-0000DF230000}"/>
    <cellStyle name="Millares 2 6 7 4 2 4" xfId="35115" xr:uid="{00000000-0005-0000-0000-0000E0230000}"/>
    <cellStyle name="Millares 2 6 7 4 3" xfId="11368" xr:uid="{00000000-0005-0000-0000-0000E1230000}"/>
    <cellStyle name="Millares 2 6 7 4 3 2" xfId="24936" xr:uid="{00000000-0005-0000-0000-0000E2230000}"/>
    <cellStyle name="Millares 2 6 7 4 3 2 2" xfId="52069" xr:uid="{00000000-0005-0000-0000-0000E3230000}"/>
    <cellStyle name="Millares 2 6 7 4 3 3" xfId="38507" xr:uid="{00000000-0005-0000-0000-0000E4230000}"/>
    <cellStyle name="Millares 2 6 7 4 4" xfId="18155" xr:uid="{00000000-0005-0000-0000-0000E5230000}"/>
    <cellStyle name="Millares 2 6 7 4 4 2" xfId="45288" xr:uid="{00000000-0005-0000-0000-0000E6230000}"/>
    <cellStyle name="Millares 2 6 7 4 5" xfId="31726" xr:uid="{00000000-0005-0000-0000-0000E7230000}"/>
    <cellStyle name="Millares 2 6 7 5" xfId="7962" xr:uid="{00000000-0005-0000-0000-0000E8230000}"/>
    <cellStyle name="Millares 2 6 7 5 2" xfId="14752" xr:uid="{00000000-0005-0000-0000-0000E9230000}"/>
    <cellStyle name="Millares 2 6 7 5 2 2" xfId="28320" xr:uid="{00000000-0005-0000-0000-0000EA230000}"/>
    <cellStyle name="Millares 2 6 7 5 2 2 2" xfId="55453" xr:uid="{00000000-0005-0000-0000-0000EB230000}"/>
    <cellStyle name="Millares 2 6 7 5 2 3" xfId="41891" xr:uid="{00000000-0005-0000-0000-0000EC230000}"/>
    <cellStyle name="Millares 2 6 7 5 3" xfId="21539" xr:uid="{00000000-0005-0000-0000-0000ED230000}"/>
    <cellStyle name="Millares 2 6 7 5 3 2" xfId="48672" xr:uid="{00000000-0005-0000-0000-0000EE230000}"/>
    <cellStyle name="Millares 2 6 7 5 4" xfId="35110" xr:uid="{00000000-0005-0000-0000-0000EF230000}"/>
    <cellStyle name="Millares 2 6 7 6" xfId="11363" xr:uid="{00000000-0005-0000-0000-0000F0230000}"/>
    <cellStyle name="Millares 2 6 7 6 2" xfId="24931" xr:uid="{00000000-0005-0000-0000-0000F1230000}"/>
    <cellStyle name="Millares 2 6 7 6 2 2" xfId="52064" xr:uid="{00000000-0005-0000-0000-0000F2230000}"/>
    <cellStyle name="Millares 2 6 7 6 3" xfId="38502" xr:uid="{00000000-0005-0000-0000-0000F3230000}"/>
    <cellStyle name="Millares 2 6 7 7" xfId="18150" xr:uid="{00000000-0005-0000-0000-0000F4230000}"/>
    <cellStyle name="Millares 2 6 7 7 2" xfId="45283" xr:uid="{00000000-0005-0000-0000-0000F5230000}"/>
    <cellStyle name="Millares 2 6 7 8" xfId="31721" xr:uid="{00000000-0005-0000-0000-0000F6230000}"/>
    <cellStyle name="Millares 2 6 8" xfId="4358" xr:uid="{00000000-0005-0000-0000-0000F7230000}"/>
    <cellStyle name="Millares 2 6 8 2" xfId="4359" xr:uid="{00000000-0005-0000-0000-0000F8230000}"/>
    <cellStyle name="Millares 2 6 8 2 2" xfId="7969" xr:uid="{00000000-0005-0000-0000-0000F9230000}"/>
    <cellStyle name="Millares 2 6 8 2 2 2" xfId="14759" xr:uid="{00000000-0005-0000-0000-0000FA230000}"/>
    <cellStyle name="Millares 2 6 8 2 2 2 2" xfId="28327" xr:uid="{00000000-0005-0000-0000-0000FB230000}"/>
    <cellStyle name="Millares 2 6 8 2 2 2 2 2" xfId="55460" xr:uid="{00000000-0005-0000-0000-0000FC230000}"/>
    <cellStyle name="Millares 2 6 8 2 2 2 3" xfId="41898" xr:uid="{00000000-0005-0000-0000-0000FD230000}"/>
    <cellStyle name="Millares 2 6 8 2 2 3" xfId="21546" xr:uid="{00000000-0005-0000-0000-0000FE230000}"/>
    <cellStyle name="Millares 2 6 8 2 2 3 2" xfId="48679" xr:uid="{00000000-0005-0000-0000-0000FF230000}"/>
    <cellStyle name="Millares 2 6 8 2 2 4" xfId="35117" xr:uid="{00000000-0005-0000-0000-000000240000}"/>
    <cellStyle name="Millares 2 6 8 2 3" xfId="11370" xr:uid="{00000000-0005-0000-0000-000001240000}"/>
    <cellStyle name="Millares 2 6 8 2 3 2" xfId="24938" xr:uid="{00000000-0005-0000-0000-000002240000}"/>
    <cellStyle name="Millares 2 6 8 2 3 2 2" xfId="52071" xr:uid="{00000000-0005-0000-0000-000003240000}"/>
    <cellStyle name="Millares 2 6 8 2 3 3" xfId="38509" xr:uid="{00000000-0005-0000-0000-000004240000}"/>
    <cellStyle name="Millares 2 6 8 2 4" xfId="18157" xr:uid="{00000000-0005-0000-0000-000005240000}"/>
    <cellStyle name="Millares 2 6 8 2 4 2" xfId="45290" xr:uid="{00000000-0005-0000-0000-000006240000}"/>
    <cellStyle name="Millares 2 6 8 2 5" xfId="31728" xr:uid="{00000000-0005-0000-0000-000007240000}"/>
    <cellStyle name="Millares 2 6 8 3" xfId="4360" xr:uid="{00000000-0005-0000-0000-000008240000}"/>
    <cellStyle name="Millares 2 6 8 3 2" xfId="7970" xr:uid="{00000000-0005-0000-0000-000009240000}"/>
    <cellStyle name="Millares 2 6 8 3 2 2" xfId="14760" xr:uid="{00000000-0005-0000-0000-00000A240000}"/>
    <cellStyle name="Millares 2 6 8 3 2 2 2" xfId="28328" xr:uid="{00000000-0005-0000-0000-00000B240000}"/>
    <cellStyle name="Millares 2 6 8 3 2 2 2 2" xfId="55461" xr:uid="{00000000-0005-0000-0000-00000C240000}"/>
    <cellStyle name="Millares 2 6 8 3 2 2 3" xfId="41899" xr:uid="{00000000-0005-0000-0000-00000D240000}"/>
    <cellStyle name="Millares 2 6 8 3 2 3" xfId="21547" xr:uid="{00000000-0005-0000-0000-00000E240000}"/>
    <cellStyle name="Millares 2 6 8 3 2 3 2" xfId="48680" xr:uid="{00000000-0005-0000-0000-00000F240000}"/>
    <cellStyle name="Millares 2 6 8 3 2 4" xfId="35118" xr:uid="{00000000-0005-0000-0000-000010240000}"/>
    <cellStyle name="Millares 2 6 8 3 3" xfId="11371" xr:uid="{00000000-0005-0000-0000-000011240000}"/>
    <cellStyle name="Millares 2 6 8 3 3 2" xfId="24939" xr:uid="{00000000-0005-0000-0000-000012240000}"/>
    <cellStyle name="Millares 2 6 8 3 3 2 2" xfId="52072" xr:uid="{00000000-0005-0000-0000-000013240000}"/>
    <cellStyle name="Millares 2 6 8 3 3 3" xfId="38510" xr:uid="{00000000-0005-0000-0000-000014240000}"/>
    <cellStyle name="Millares 2 6 8 3 4" xfId="18158" xr:uid="{00000000-0005-0000-0000-000015240000}"/>
    <cellStyle name="Millares 2 6 8 3 4 2" xfId="45291" xr:uid="{00000000-0005-0000-0000-000016240000}"/>
    <cellStyle name="Millares 2 6 8 3 5" xfId="31729" xr:uid="{00000000-0005-0000-0000-000017240000}"/>
    <cellStyle name="Millares 2 6 8 4" xfId="7968" xr:uid="{00000000-0005-0000-0000-000018240000}"/>
    <cellStyle name="Millares 2 6 8 4 2" xfId="14758" xr:uid="{00000000-0005-0000-0000-000019240000}"/>
    <cellStyle name="Millares 2 6 8 4 2 2" xfId="28326" xr:uid="{00000000-0005-0000-0000-00001A240000}"/>
    <cellStyle name="Millares 2 6 8 4 2 2 2" xfId="55459" xr:uid="{00000000-0005-0000-0000-00001B240000}"/>
    <cellStyle name="Millares 2 6 8 4 2 3" xfId="41897" xr:uid="{00000000-0005-0000-0000-00001C240000}"/>
    <cellStyle name="Millares 2 6 8 4 3" xfId="21545" xr:uid="{00000000-0005-0000-0000-00001D240000}"/>
    <cellStyle name="Millares 2 6 8 4 3 2" xfId="48678" xr:uid="{00000000-0005-0000-0000-00001E240000}"/>
    <cellStyle name="Millares 2 6 8 4 4" xfId="35116" xr:uid="{00000000-0005-0000-0000-00001F240000}"/>
    <cellStyle name="Millares 2 6 8 5" xfId="11369" xr:uid="{00000000-0005-0000-0000-000020240000}"/>
    <cellStyle name="Millares 2 6 8 5 2" xfId="24937" xr:uid="{00000000-0005-0000-0000-000021240000}"/>
    <cellStyle name="Millares 2 6 8 5 2 2" xfId="52070" xr:uid="{00000000-0005-0000-0000-000022240000}"/>
    <cellStyle name="Millares 2 6 8 5 3" xfId="38508" xr:uid="{00000000-0005-0000-0000-000023240000}"/>
    <cellStyle name="Millares 2 6 8 6" xfId="18156" xr:uid="{00000000-0005-0000-0000-000024240000}"/>
    <cellStyle name="Millares 2 6 8 6 2" xfId="45289" xr:uid="{00000000-0005-0000-0000-000025240000}"/>
    <cellStyle name="Millares 2 6 8 7" xfId="31727" xr:uid="{00000000-0005-0000-0000-000026240000}"/>
    <cellStyle name="Millares 2 6 9" xfId="4361" xr:uid="{00000000-0005-0000-0000-000027240000}"/>
    <cellStyle name="Millares 2 6 9 2" xfId="4362" xr:uid="{00000000-0005-0000-0000-000028240000}"/>
    <cellStyle name="Millares 2 6 9 2 2" xfId="7972" xr:uid="{00000000-0005-0000-0000-000029240000}"/>
    <cellStyle name="Millares 2 6 9 2 2 2" xfId="14762" xr:uid="{00000000-0005-0000-0000-00002A240000}"/>
    <cellStyle name="Millares 2 6 9 2 2 2 2" xfId="28330" xr:uid="{00000000-0005-0000-0000-00002B240000}"/>
    <cellStyle name="Millares 2 6 9 2 2 2 2 2" xfId="55463" xr:uid="{00000000-0005-0000-0000-00002C240000}"/>
    <cellStyle name="Millares 2 6 9 2 2 2 3" xfId="41901" xr:uid="{00000000-0005-0000-0000-00002D240000}"/>
    <cellStyle name="Millares 2 6 9 2 2 3" xfId="21549" xr:uid="{00000000-0005-0000-0000-00002E240000}"/>
    <cellStyle name="Millares 2 6 9 2 2 3 2" xfId="48682" xr:uid="{00000000-0005-0000-0000-00002F240000}"/>
    <cellStyle name="Millares 2 6 9 2 2 4" xfId="35120" xr:uid="{00000000-0005-0000-0000-000030240000}"/>
    <cellStyle name="Millares 2 6 9 2 3" xfId="11373" xr:uid="{00000000-0005-0000-0000-000031240000}"/>
    <cellStyle name="Millares 2 6 9 2 3 2" xfId="24941" xr:uid="{00000000-0005-0000-0000-000032240000}"/>
    <cellStyle name="Millares 2 6 9 2 3 2 2" xfId="52074" xr:uid="{00000000-0005-0000-0000-000033240000}"/>
    <cellStyle name="Millares 2 6 9 2 3 3" xfId="38512" xr:uid="{00000000-0005-0000-0000-000034240000}"/>
    <cellStyle name="Millares 2 6 9 2 4" xfId="18160" xr:uid="{00000000-0005-0000-0000-000035240000}"/>
    <cellStyle name="Millares 2 6 9 2 4 2" xfId="45293" xr:uid="{00000000-0005-0000-0000-000036240000}"/>
    <cellStyle name="Millares 2 6 9 2 5" xfId="31731" xr:uid="{00000000-0005-0000-0000-000037240000}"/>
    <cellStyle name="Millares 2 6 9 3" xfId="4363" xr:uid="{00000000-0005-0000-0000-000038240000}"/>
    <cellStyle name="Millares 2 6 9 3 2" xfId="7973" xr:uid="{00000000-0005-0000-0000-000039240000}"/>
    <cellStyle name="Millares 2 6 9 3 2 2" xfId="14763" xr:uid="{00000000-0005-0000-0000-00003A240000}"/>
    <cellStyle name="Millares 2 6 9 3 2 2 2" xfId="28331" xr:uid="{00000000-0005-0000-0000-00003B240000}"/>
    <cellStyle name="Millares 2 6 9 3 2 2 2 2" xfId="55464" xr:uid="{00000000-0005-0000-0000-00003C240000}"/>
    <cellStyle name="Millares 2 6 9 3 2 2 3" xfId="41902" xr:uid="{00000000-0005-0000-0000-00003D240000}"/>
    <cellStyle name="Millares 2 6 9 3 2 3" xfId="21550" xr:uid="{00000000-0005-0000-0000-00003E240000}"/>
    <cellStyle name="Millares 2 6 9 3 2 3 2" xfId="48683" xr:uid="{00000000-0005-0000-0000-00003F240000}"/>
    <cellStyle name="Millares 2 6 9 3 2 4" xfId="35121" xr:uid="{00000000-0005-0000-0000-000040240000}"/>
    <cellStyle name="Millares 2 6 9 3 3" xfId="11374" xr:uid="{00000000-0005-0000-0000-000041240000}"/>
    <cellStyle name="Millares 2 6 9 3 3 2" xfId="24942" xr:uid="{00000000-0005-0000-0000-000042240000}"/>
    <cellStyle name="Millares 2 6 9 3 3 2 2" xfId="52075" xr:uid="{00000000-0005-0000-0000-000043240000}"/>
    <cellStyle name="Millares 2 6 9 3 3 3" xfId="38513" xr:uid="{00000000-0005-0000-0000-000044240000}"/>
    <cellStyle name="Millares 2 6 9 3 4" xfId="18161" xr:uid="{00000000-0005-0000-0000-000045240000}"/>
    <cellStyle name="Millares 2 6 9 3 4 2" xfId="45294" xr:uid="{00000000-0005-0000-0000-000046240000}"/>
    <cellStyle name="Millares 2 6 9 3 5" xfId="31732" xr:uid="{00000000-0005-0000-0000-000047240000}"/>
    <cellStyle name="Millares 2 6 9 4" xfId="7971" xr:uid="{00000000-0005-0000-0000-000048240000}"/>
    <cellStyle name="Millares 2 6 9 4 2" xfId="14761" xr:uid="{00000000-0005-0000-0000-000049240000}"/>
    <cellStyle name="Millares 2 6 9 4 2 2" xfId="28329" xr:uid="{00000000-0005-0000-0000-00004A240000}"/>
    <cellStyle name="Millares 2 6 9 4 2 2 2" xfId="55462" xr:uid="{00000000-0005-0000-0000-00004B240000}"/>
    <cellStyle name="Millares 2 6 9 4 2 3" xfId="41900" xr:uid="{00000000-0005-0000-0000-00004C240000}"/>
    <cellStyle name="Millares 2 6 9 4 3" xfId="21548" xr:uid="{00000000-0005-0000-0000-00004D240000}"/>
    <cellStyle name="Millares 2 6 9 4 3 2" xfId="48681" xr:uid="{00000000-0005-0000-0000-00004E240000}"/>
    <cellStyle name="Millares 2 6 9 4 4" xfId="35119" xr:uid="{00000000-0005-0000-0000-00004F240000}"/>
    <cellStyle name="Millares 2 6 9 5" xfId="11372" xr:uid="{00000000-0005-0000-0000-000050240000}"/>
    <cellStyle name="Millares 2 6 9 5 2" xfId="24940" xr:uid="{00000000-0005-0000-0000-000051240000}"/>
    <cellStyle name="Millares 2 6 9 5 2 2" xfId="52073" xr:uid="{00000000-0005-0000-0000-000052240000}"/>
    <cellStyle name="Millares 2 6 9 5 3" xfId="38511" xr:uid="{00000000-0005-0000-0000-000053240000}"/>
    <cellStyle name="Millares 2 6 9 6" xfId="18159" xr:uid="{00000000-0005-0000-0000-000054240000}"/>
    <cellStyle name="Millares 2 6 9 6 2" xfId="45292" xr:uid="{00000000-0005-0000-0000-000055240000}"/>
    <cellStyle name="Millares 2 6 9 7" xfId="31730" xr:uid="{00000000-0005-0000-0000-000056240000}"/>
    <cellStyle name="Millares 2 60" xfId="2421" xr:uid="{00000000-0005-0000-0000-000057240000}"/>
    <cellStyle name="Millares 2 61" xfId="2422" xr:uid="{00000000-0005-0000-0000-000058240000}"/>
    <cellStyle name="Millares 2 62" xfId="2423" xr:uid="{00000000-0005-0000-0000-000059240000}"/>
    <cellStyle name="Millares 2 63" xfId="2424" xr:uid="{00000000-0005-0000-0000-00005A240000}"/>
    <cellStyle name="Millares 2 64" xfId="2425" xr:uid="{00000000-0005-0000-0000-00005B240000}"/>
    <cellStyle name="Millares 2 65" xfId="2426" xr:uid="{00000000-0005-0000-0000-00005C240000}"/>
    <cellStyle name="Millares 2 66" xfId="2427" xr:uid="{00000000-0005-0000-0000-00005D240000}"/>
    <cellStyle name="Millares 2 67" xfId="2428" xr:uid="{00000000-0005-0000-0000-00005E240000}"/>
    <cellStyle name="Millares 2 68" xfId="2429" xr:uid="{00000000-0005-0000-0000-00005F240000}"/>
    <cellStyle name="Millares 2 69" xfId="2430" xr:uid="{00000000-0005-0000-0000-000060240000}"/>
    <cellStyle name="Millares 2 7" xfId="2431" xr:uid="{00000000-0005-0000-0000-000061240000}"/>
    <cellStyle name="Millares 2 7 10" xfId="4364" xr:uid="{00000000-0005-0000-0000-000062240000}"/>
    <cellStyle name="Millares 2 7 10 2" xfId="7974" xr:uid="{00000000-0005-0000-0000-000063240000}"/>
    <cellStyle name="Millares 2 7 10 2 2" xfId="14764" xr:uid="{00000000-0005-0000-0000-000064240000}"/>
    <cellStyle name="Millares 2 7 10 2 2 2" xfId="28332" xr:uid="{00000000-0005-0000-0000-000065240000}"/>
    <cellStyle name="Millares 2 7 10 2 2 2 2" xfId="55465" xr:uid="{00000000-0005-0000-0000-000066240000}"/>
    <cellStyle name="Millares 2 7 10 2 2 3" xfId="41903" xr:uid="{00000000-0005-0000-0000-000067240000}"/>
    <cellStyle name="Millares 2 7 10 2 3" xfId="21551" xr:uid="{00000000-0005-0000-0000-000068240000}"/>
    <cellStyle name="Millares 2 7 10 2 3 2" xfId="48684" xr:uid="{00000000-0005-0000-0000-000069240000}"/>
    <cellStyle name="Millares 2 7 10 2 4" xfId="35122" xr:uid="{00000000-0005-0000-0000-00006A240000}"/>
    <cellStyle name="Millares 2 7 10 3" xfId="11375" xr:uid="{00000000-0005-0000-0000-00006B240000}"/>
    <cellStyle name="Millares 2 7 10 3 2" xfId="24943" xr:uid="{00000000-0005-0000-0000-00006C240000}"/>
    <cellStyle name="Millares 2 7 10 3 2 2" xfId="52076" xr:uid="{00000000-0005-0000-0000-00006D240000}"/>
    <cellStyle name="Millares 2 7 10 3 3" xfId="38514" xr:uid="{00000000-0005-0000-0000-00006E240000}"/>
    <cellStyle name="Millares 2 7 10 4" xfId="18162" xr:uid="{00000000-0005-0000-0000-00006F240000}"/>
    <cellStyle name="Millares 2 7 10 4 2" xfId="45295" xr:uid="{00000000-0005-0000-0000-000070240000}"/>
    <cellStyle name="Millares 2 7 10 5" xfId="31733" xr:uid="{00000000-0005-0000-0000-000071240000}"/>
    <cellStyle name="Millares 2 7 2" xfId="4365" xr:uid="{00000000-0005-0000-0000-000072240000}"/>
    <cellStyle name="Millares 2 7 2 10" xfId="11376" xr:uid="{00000000-0005-0000-0000-000073240000}"/>
    <cellStyle name="Millares 2 7 2 10 2" xfId="24944" xr:uid="{00000000-0005-0000-0000-000074240000}"/>
    <cellStyle name="Millares 2 7 2 10 2 2" xfId="52077" xr:uid="{00000000-0005-0000-0000-000075240000}"/>
    <cellStyle name="Millares 2 7 2 10 3" xfId="38515" xr:uid="{00000000-0005-0000-0000-000076240000}"/>
    <cellStyle name="Millares 2 7 2 11" xfId="18163" xr:uid="{00000000-0005-0000-0000-000077240000}"/>
    <cellStyle name="Millares 2 7 2 11 2" xfId="45296" xr:uid="{00000000-0005-0000-0000-000078240000}"/>
    <cellStyle name="Millares 2 7 2 12" xfId="31734" xr:uid="{00000000-0005-0000-0000-000079240000}"/>
    <cellStyle name="Millares 2 7 2 2" xfId="4366" xr:uid="{00000000-0005-0000-0000-00007A240000}"/>
    <cellStyle name="Millares 2 7 2 2 10" xfId="31735" xr:uid="{00000000-0005-0000-0000-00007B240000}"/>
    <cellStyle name="Millares 2 7 2 2 2" xfId="4367" xr:uid="{00000000-0005-0000-0000-00007C240000}"/>
    <cellStyle name="Millares 2 7 2 2 2 2" xfId="4368" xr:uid="{00000000-0005-0000-0000-00007D240000}"/>
    <cellStyle name="Millares 2 7 2 2 2 2 2" xfId="4369" xr:uid="{00000000-0005-0000-0000-00007E240000}"/>
    <cellStyle name="Millares 2 7 2 2 2 2 2 2" xfId="7979" xr:uid="{00000000-0005-0000-0000-00007F240000}"/>
    <cellStyle name="Millares 2 7 2 2 2 2 2 2 2" xfId="14769" xr:uid="{00000000-0005-0000-0000-000080240000}"/>
    <cellStyle name="Millares 2 7 2 2 2 2 2 2 2 2" xfId="28337" xr:uid="{00000000-0005-0000-0000-000081240000}"/>
    <cellStyle name="Millares 2 7 2 2 2 2 2 2 2 2 2" xfId="55470" xr:uid="{00000000-0005-0000-0000-000082240000}"/>
    <cellStyle name="Millares 2 7 2 2 2 2 2 2 2 3" xfId="41908" xr:uid="{00000000-0005-0000-0000-000083240000}"/>
    <cellStyle name="Millares 2 7 2 2 2 2 2 2 3" xfId="21556" xr:uid="{00000000-0005-0000-0000-000084240000}"/>
    <cellStyle name="Millares 2 7 2 2 2 2 2 2 3 2" xfId="48689" xr:uid="{00000000-0005-0000-0000-000085240000}"/>
    <cellStyle name="Millares 2 7 2 2 2 2 2 2 4" xfId="35127" xr:uid="{00000000-0005-0000-0000-000086240000}"/>
    <cellStyle name="Millares 2 7 2 2 2 2 2 3" xfId="11380" xr:uid="{00000000-0005-0000-0000-000087240000}"/>
    <cellStyle name="Millares 2 7 2 2 2 2 2 3 2" xfId="24948" xr:uid="{00000000-0005-0000-0000-000088240000}"/>
    <cellStyle name="Millares 2 7 2 2 2 2 2 3 2 2" xfId="52081" xr:uid="{00000000-0005-0000-0000-000089240000}"/>
    <cellStyle name="Millares 2 7 2 2 2 2 2 3 3" xfId="38519" xr:uid="{00000000-0005-0000-0000-00008A240000}"/>
    <cellStyle name="Millares 2 7 2 2 2 2 2 4" xfId="18167" xr:uid="{00000000-0005-0000-0000-00008B240000}"/>
    <cellStyle name="Millares 2 7 2 2 2 2 2 4 2" xfId="45300" xr:uid="{00000000-0005-0000-0000-00008C240000}"/>
    <cellStyle name="Millares 2 7 2 2 2 2 2 5" xfId="31738" xr:uid="{00000000-0005-0000-0000-00008D240000}"/>
    <cellStyle name="Millares 2 7 2 2 2 2 3" xfId="4370" xr:uid="{00000000-0005-0000-0000-00008E240000}"/>
    <cellStyle name="Millares 2 7 2 2 2 2 3 2" xfId="7980" xr:uid="{00000000-0005-0000-0000-00008F240000}"/>
    <cellStyle name="Millares 2 7 2 2 2 2 3 2 2" xfId="14770" xr:uid="{00000000-0005-0000-0000-000090240000}"/>
    <cellStyle name="Millares 2 7 2 2 2 2 3 2 2 2" xfId="28338" xr:uid="{00000000-0005-0000-0000-000091240000}"/>
    <cellStyle name="Millares 2 7 2 2 2 2 3 2 2 2 2" xfId="55471" xr:uid="{00000000-0005-0000-0000-000092240000}"/>
    <cellStyle name="Millares 2 7 2 2 2 2 3 2 2 3" xfId="41909" xr:uid="{00000000-0005-0000-0000-000093240000}"/>
    <cellStyle name="Millares 2 7 2 2 2 2 3 2 3" xfId="21557" xr:uid="{00000000-0005-0000-0000-000094240000}"/>
    <cellStyle name="Millares 2 7 2 2 2 2 3 2 3 2" xfId="48690" xr:uid="{00000000-0005-0000-0000-000095240000}"/>
    <cellStyle name="Millares 2 7 2 2 2 2 3 2 4" xfId="35128" xr:uid="{00000000-0005-0000-0000-000096240000}"/>
    <cellStyle name="Millares 2 7 2 2 2 2 3 3" xfId="11381" xr:uid="{00000000-0005-0000-0000-000097240000}"/>
    <cellStyle name="Millares 2 7 2 2 2 2 3 3 2" xfId="24949" xr:uid="{00000000-0005-0000-0000-000098240000}"/>
    <cellStyle name="Millares 2 7 2 2 2 2 3 3 2 2" xfId="52082" xr:uid="{00000000-0005-0000-0000-000099240000}"/>
    <cellStyle name="Millares 2 7 2 2 2 2 3 3 3" xfId="38520" xr:uid="{00000000-0005-0000-0000-00009A240000}"/>
    <cellStyle name="Millares 2 7 2 2 2 2 3 4" xfId="18168" xr:uid="{00000000-0005-0000-0000-00009B240000}"/>
    <cellStyle name="Millares 2 7 2 2 2 2 3 4 2" xfId="45301" xr:uid="{00000000-0005-0000-0000-00009C240000}"/>
    <cellStyle name="Millares 2 7 2 2 2 2 3 5" xfId="31739" xr:uid="{00000000-0005-0000-0000-00009D240000}"/>
    <cellStyle name="Millares 2 7 2 2 2 2 4" xfId="7978" xr:uid="{00000000-0005-0000-0000-00009E240000}"/>
    <cellStyle name="Millares 2 7 2 2 2 2 4 2" xfId="14768" xr:uid="{00000000-0005-0000-0000-00009F240000}"/>
    <cellStyle name="Millares 2 7 2 2 2 2 4 2 2" xfId="28336" xr:uid="{00000000-0005-0000-0000-0000A0240000}"/>
    <cellStyle name="Millares 2 7 2 2 2 2 4 2 2 2" xfId="55469" xr:uid="{00000000-0005-0000-0000-0000A1240000}"/>
    <cellStyle name="Millares 2 7 2 2 2 2 4 2 3" xfId="41907" xr:uid="{00000000-0005-0000-0000-0000A2240000}"/>
    <cellStyle name="Millares 2 7 2 2 2 2 4 3" xfId="21555" xr:uid="{00000000-0005-0000-0000-0000A3240000}"/>
    <cellStyle name="Millares 2 7 2 2 2 2 4 3 2" xfId="48688" xr:uid="{00000000-0005-0000-0000-0000A4240000}"/>
    <cellStyle name="Millares 2 7 2 2 2 2 4 4" xfId="35126" xr:uid="{00000000-0005-0000-0000-0000A5240000}"/>
    <cellStyle name="Millares 2 7 2 2 2 2 5" xfId="11379" xr:uid="{00000000-0005-0000-0000-0000A6240000}"/>
    <cellStyle name="Millares 2 7 2 2 2 2 5 2" xfId="24947" xr:uid="{00000000-0005-0000-0000-0000A7240000}"/>
    <cellStyle name="Millares 2 7 2 2 2 2 5 2 2" xfId="52080" xr:uid="{00000000-0005-0000-0000-0000A8240000}"/>
    <cellStyle name="Millares 2 7 2 2 2 2 5 3" xfId="38518" xr:uid="{00000000-0005-0000-0000-0000A9240000}"/>
    <cellStyle name="Millares 2 7 2 2 2 2 6" xfId="18166" xr:uid="{00000000-0005-0000-0000-0000AA240000}"/>
    <cellStyle name="Millares 2 7 2 2 2 2 6 2" xfId="45299" xr:uid="{00000000-0005-0000-0000-0000AB240000}"/>
    <cellStyle name="Millares 2 7 2 2 2 2 7" xfId="31737" xr:uid="{00000000-0005-0000-0000-0000AC240000}"/>
    <cellStyle name="Millares 2 7 2 2 2 3" xfId="4371" xr:uid="{00000000-0005-0000-0000-0000AD240000}"/>
    <cellStyle name="Millares 2 7 2 2 2 3 2" xfId="4372" xr:uid="{00000000-0005-0000-0000-0000AE240000}"/>
    <cellStyle name="Millares 2 7 2 2 2 3 2 2" xfId="7982" xr:uid="{00000000-0005-0000-0000-0000AF240000}"/>
    <cellStyle name="Millares 2 7 2 2 2 3 2 2 2" xfId="14772" xr:uid="{00000000-0005-0000-0000-0000B0240000}"/>
    <cellStyle name="Millares 2 7 2 2 2 3 2 2 2 2" xfId="28340" xr:uid="{00000000-0005-0000-0000-0000B1240000}"/>
    <cellStyle name="Millares 2 7 2 2 2 3 2 2 2 2 2" xfId="55473" xr:uid="{00000000-0005-0000-0000-0000B2240000}"/>
    <cellStyle name="Millares 2 7 2 2 2 3 2 2 2 3" xfId="41911" xr:uid="{00000000-0005-0000-0000-0000B3240000}"/>
    <cellStyle name="Millares 2 7 2 2 2 3 2 2 3" xfId="21559" xr:uid="{00000000-0005-0000-0000-0000B4240000}"/>
    <cellStyle name="Millares 2 7 2 2 2 3 2 2 3 2" xfId="48692" xr:uid="{00000000-0005-0000-0000-0000B5240000}"/>
    <cellStyle name="Millares 2 7 2 2 2 3 2 2 4" xfId="35130" xr:uid="{00000000-0005-0000-0000-0000B6240000}"/>
    <cellStyle name="Millares 2 7 2 2 2 3 2 3" xfId="11383" xr:uid="{00000000-0005-0000-0000-0000B7240000}"/>
    <cellStyle name="Millares 2 7 2 2 2 3 2 3 2" xfId="24951" xr:uid="{00000000-0005-0000-0000-0000B8240000}"/>
    <cellStyle name="Millares 2 7 2 2 2 3 2 3 2 2" xfId="52084" xr:uid="{00000000-0005-0000-0000-0000B9240000}"/>
    <cellStyle name="Millares 2 7 2 2 2 3 2 3 3" xfId="38522" xr:uid="{00000000-0005-0000-0000-0000BA240000}"/>
    <cellStyle name="Millares 2 7 2 2 2 3 2 4" xfId="18170" xr:uid="{00000000-0005-0000-0000-0000BB240000}"/>
    <cellStyle name="Millares 2 7 2 2 2 3 2 4 2" xfId="45303" xr:uid="{00000000-0005-0000-0000-0000BC240000}"/>
    <cellStyle name="Millares 2 7 2 2 2 3 2 5" xfId="31741" xr:uid="{00000000-0005-0000-0000-0000BD240000}"/>
    <cellStyle name="Millares 2 7 2 2 2 3 3" xfId="7981" xr:uid="{00000000-0005-0000-0000-0000BE240000}"/>
    <cellStyle name="Millares 2 7 2 2 2 3 3 2" xfId="14771" xr:uid="{00000000-0005-0000-0000-0000BF240000}"/>
    <cellStyle name="Millares 2 7 2 2 2 3 3 2 2" xfId="28339" xr:uid="{00000000-0005-0000-0000-0000C0240000}"/>
    <cellStyle name="Millares 2 7 2 2 2 3 3 2 2 2" xfId="55472" xr:uid="{00000000-0005-0000-0000-0000C1240000}"/>
    <cellStyle name="Millares 2 7 2 2 2 3 3 2 3" xfId="41910" xr:uid="{00000000-0005-0000-0000-0000C2240000}"/>
    <cellStyle name="Millares 2 7 2 2 2 3 3 3" xfId="21558" xr:uid="{00000000-0005-0000-0000-0000C3240000}"/>
    <cellStyle name="Millares 2 7 2 2 2 3 3 3 2" xfId="48691" xr:uid="{00000000-0005-0000-0000-0000C4240000}"/>
    <cellStyle name="Millares 2 7 2 2 2 3 3 4" xfId="35129" xr:uid="{00000000-0005-0000-0000-0000C5240000}"/>
    <cellStyle name="Millares 2 7 2 2 2 3 4" xfId="11382" xr:uid="{00000000-0005-0000-0000-0000C6240000}"/>
    <cellStyle name="Millares 2 7 2 2 2 3 4 2" xfId="24950" xr:uid="{00000000-0005-0000-0000-0000C7240000}"/>
    <cellStyle name="Millares 2 7 2 2 2 3 4 2 2" xfId="52083" xr:uid="{00000000-0005-0000-0000-0000C8240000}"/>
    <cellStyle name="Millares 2 7 2 2 2 3 4 3" xfId="38521" xr:uid="{00000000-0005-0000-0000-0000C9240000}"/>
    <cellStyle name="Millares 2 7 2 2 2 3 5" xfId="18169" xr:uid="{00000000-0005-0000-0000-0000CA240000}"/>
    <cellStyle name="Millares 2 7 2 2 2 3 5 2" xfId="45302" xr:uid="{00000000-0005-0000-0000-0000CB240000}"/>
    <cellStyle name="Millares 2 7 2 2 2 3 6" xfId="31740" xr:uid="{00000000-0005-0000-0000-0000CC240000}"/>
    <cellStyle name="Millares 2 7 2 2 2 4" xfId="4373" xr:uid="{00000000-0005-0000-0000-0000CD240000}"/>
    <cellStyle name="Millares 2 7 2 2 2 4 2" xfId="7983" xr:uid="{00000000-0005-0000-0000-0000CE240000}"/>
    <cellStyle name="Millares 2 7 2 2 2 4 2 2" xfId="14773" xr:uid="{00000000-0005-0000-0000-0000CF240000}"/>
    <cellStyle name="Millares 2 7 2 2 2 4 2 2 2" xfId="28341" xr:uid="{00000000-0005-0000-0000-0000D0240000}"/>
    <cellStyle name="Millares 2 7 2 2 2 4 2 2 2 2" xfId="55474" xr:uid="{00000000-0005-0000-0000-0000D1240000}"/>
    <cellStyle name="Millares 2 7 2 2 2 4 2 2 3" xfId="41912" xr:uid="{00000000-0005-0000-0000-0000D2240000}"/>
    <cellStyle name="Millares 2 7 2 2 2 4 2 3" xfId="21560" xr:uid="{00000000-0005-0000-0000-0000D3240000}"/>
    <cellStyle name="Millares 2 7 2 2 2 4 2 3 2" xfId="48693" xr:uid="{00000000-0005-0000-0000-0000D4240000}"/>
    <cellStyle name="Millares 2 7 2 2 2 4 2 4" xfId="35131" xr:uid="{00000000-0005-0000-0000-0000D5240000}"/>
    <cellStyle name="Millares 2 7 2 2 2 4 3" xfId="11384" xr:uid="{00000000-0005-0000-0000-0000D6240000}"/>
    <cellStyle name="Millares 2 7 2 2 2 4 3 2" xfId="24952" xr:uid="{00000000-0005-0000-0000-0000D7240000}"/>
    <cellStyle name="Millares 2 7 2 2 2 4 3 2 2" xfId="52085" xr:uid="{00000000-0005-0000-0000-0000D8240000}"/>
    <cellStyle name="Millares 2 7 2 2 2 4 3 3" xfId="38523" xr:uid="{00000000-0005-0000-0000-0000D9240000}"/>
    <cellStyle name="Millares 2 7 2 2 2 4 4" xfId="18171" xr:uid="{00000000-0005-0000-0000-0000DA240000}"/>
    <cellStyle name="Millares 2 7 2 2 2 4 4 2" xfId="45304" xr:uid="{00000000-0005-0000-0000-0000DB240000}"/>
    <cellStyle name="Millares 2 7 2 2 2 4 5" xfId="31742" xr:uid="{00000000-0005-0000-0000-0000DC240000}"/>
    <cellStyle name="Millares 2 7 2 2 2 5" xfId="4374" xr:uid="{00000000-0005-0000-0000-0000DD240000}"/>
    <cellStyle name="Millares 2 7 2 2 2 5 2" xfId="7984" xr:uid="{00000000-0005-0000-0000-0000DE240000}"/>
    <cellStyle name="Millares 2 7 2 2 2 5 2 2" xfId="14774" xr:uid="{00000000-0005-0000-0000-0000DF240000}"/>
    <cellStyle name="Millares 2 7 2 2 2 5 2 2 2" xfId="28342" xr:uid="{00000000-0005-0000-0000-0000E0240000}"/>
    <cellStyle name="Millares 2 7 2 2 2 5 2 2 2 2" xfId="55475" xr:uid="{00000000-0005-0000-0000-0000E1240000}"/>
    <cellStyle name="Millares 2 7 2 2 2 5 2 2 3" xfId="41913" xr:uid="{00000000-0005-0000-0000-0000E2240000}"/>
    <cellStyle name="Millares 2 7 2 2 2 5 2 3" xfId="21561" xr:uid="{00000000-0005-0000-0000-0000E3240000}"/>
    <cellStyle name="Millares 2 7 2 2 2 5 2 3 2" xfId="48694" xr:uid="{00000000-0005-0000-0000-0000E4240000}"/>
    <cellStyle name="Millares 2 7 2 2 2 5 2 4" xfId="35132" xr:uid="{00000000-0005-0000-0000-0000E5240000}"/>
    <cellStyle name="Millares 2 7 2 2 2 5 3" xfId="11385" xr:uid="{00000000-0005-0000-0000-0000E6240000}"/>
    <cellStyle name="Millares 2 7 2 2 2 5 3 2" xfId="24953" xr:uid="{00000000-0005-0000-0000-0000E7240000}"/>
    <cellStyle name="Millares 2 7 2 2 2 5 3 2 2" xfId="52086" xr:uid="{00000000-0005-0000-0000-0000E8240000}"/>
    <cellStyle name="Millares 2 7 2 2 2 5 3 3" xfId="38524" xr:uid="{00000000-0005-0000-0000-0000E9240000}"/>
    <cellStyle name="Millares 2 7 2 2 2 5 4" xfId="18172" xr:uid="{00000000-0005-0000-0000-0000EA240000}"/>
    <cellStyle name="Millares 2 7 2 2 2 5 4 2" xfId="45305" xr:uid="{00000000-0005-0000-0000-0000EB240000}"/>
    <cellStyle name="Millares 2 7 2 2 2 5 5" xfId="31743" xr:uid="{00000000-0005-0000-0000-0000EC240000}"/>
    <cellStyle name="Millares 2 7 2 2 2 6" xfId="7977" xr:uid="{00000000-0005-0000-0000-0000ED240000}"/>
    <cellStyle name="Millares 2 7 2 2 2 6 2" xfId="14767" xr:uid="{00000000-0005-0000-0000-0000EE240000}"/>
    <cellStyle name="Millares 2 7 2 2 2 6 2 2" xfId="28335" xr:uid="{00000000-0005-0000-0000-0000EF240000}"/>
    <cellStyle name="Millares 2 7 2 2 2 6 2 2 2" xfId="55468" xr:uid="{00000000-0005-0000-0000-0000F0240000}"/>
    <cellStyle name="Millares 2 7 2 2 2 6 2 3" xfId="41906" xr:uid="{00000000-0005-0000-0000-0000F1240000}"/>
    <cellStyle name="Millares 2 7 2 2 2 6 3" xfId="21554" xr:uid="{00000000-0005-0000-0000-0000F2240000}"/>
    <cellStyle name="Millares 2 7 2 2 2 6 3 2" xfId="48687" xr:uid="{00000000-0005-0000-0000-0000F3240000}"/>
    <cellStyle name="Millares 2 7 2 2 2 6 4" xfId="35125" xr:uid="{00000000-0005-0000-0000-0000F4240000}"/>
    <cellStyle name="Millares 2 7 2 2 2 7" xfId="11378" xr:uid="{00000000-0005-0000-0000-0000F5240000}"/>
    <cellStyle name="Millares 2 7 2 2 2 7 2" xfId="24946" xr:uid="{00000000-0005-0000-0000-0000F6240000}"/>
    <cellStyle name="Millares 2 7 2 2 2 7 2 2" xfId="52079" xr:uid="{00000000-0005-0000-0000-0000F7240000}"/>
    <cellStyle name="Millares 2 7 2 2 2 7 3" xfId="38517" xr:uid="{00000000-0005-0000-0000-0000F8240000}"/>
    <cellStyle name="Millares 2 7 2 2 2 8" xfId="18165" xr:uid="{00000000-0005-0000-0000-0000F9240000}"/>
    <cellStyle name="Millares 2 7 2 2 2 8 2" xfId="45298" xr:uid="{00000000-0005-0000-0000-0000FA240000}"/>
    <cellStyle name="Millares 2 7 2 2 2 9" xfId="31736" xr:uid="{00000000-0005-0000-0000-0000FB240000}"/>
    <cellStyle name="Millares 2 7 2 2 3" xfId="4375" xr:uid="{00000000-0005-0000-0000-0000FC240000}"/>
    <cellStyle name="Millares 2 7 2 2 3 2" xfId="4376" xr:uid="{00000000-0005-0000-0000-0000FD240000}"/>
    <cellStyle name="Millares 2 7 2 2 3 2 2" xfId="7986" xr:uid="{00000000-0005-0000-0000-0000FE240000}"/>
    <cellStyle name="Millares 2 7 2 2 3 2 2 2" xfId="14776" xr:uid="{00000000-0005-0000-0000-0000FF240000}"/>
    <cellStyle name="Millares 2 7 2 2 3 2 2 2 2" xfId="28344" xr:uid="{00000000-0005-0000-0000-000000250000}"/>
    <cellStyle name="Millares 2 7 2 2 3 2 2 2 2 2" xfId="55477" xr:uid="{00000000-0005-0000-0000-000001250000}"/>
    <cellStyle name="Millares 2 7 2 2 3 2 2 2 3" xfId="41915" xr:uid="{00000000-0005-0000-0000-000002250000}"/>
    <cellStyle name="Millares 2 7 2 2 3 2 2 3" xfId="21563" xr:uid="{00000000-0005-0000-0000-000003250000}"/>
    <cellStyle name="Millares 2 7 2 2 3 2 2 3 2" xfId="48696" xr:uid="{00000000-0005-0000-0000-000004250000}"/>
    <cellStyle name="Millares 2 7 2 2 3 2 2 4" xfId="35134" xr:uid="{00000000-0005-0000-0000-000005250000}"/>
    <cellStyle name="Millares 2 7 2 2 3 2 3" xfId="11387" xr:uid="{00000000-0005-0000-0000-000006250000}"/>
    <cellStyle name="Millares 2 7 2 2 3 2 3 2" xfId="24955" xr:uid="{00000000-0005-0000-0000-000007250000}"/>
    <cellStyle name="Millares 2 7 2 2 3 2 3 2 2" xfId="52088" xr:uid="{00000000-0005-0000-0000-000008250000}"/>
    <cellStyle name="Millares 2 7 2 2 3 2 3 3" xfId="38526" xr:uid="{00000000-0005-0000-0000-000009250000}"/>
    <cellStyle name="Millares 2 7 2 2 3 2 4" xfId="18174" xr:uid="{00000000-0005-0000-0000-00000A250000}"/>
    <cellStyle name="Millares 2 7 2 2 3 2 4 2" xfId="45307" xr:uid="{00000000-0005-0000-0000-00000B250000}"/>
    <cellStyle name="Millares 2 7 2 2 3 2 5" xfId="31745" xr:uid="{00000000-0005-0000-0000-00000C250000}"/>
    <cellStyle name="Millares 2 7 2 2 3 3" xfId="4377" xr:uid="{00000000-0005-0000-0000-00000D250000}"/>
    <cellStyle name="Millares 2 7 2 2 3 3 2" xfId="7987" xr:uid="{00000000-0005-0000-0000-00000E250000}"/>
    <cellStyle name="Millares 2 7 2 2 3 3 2 2" xfId="14777" xr:uid="{00000000-0005-0000-0000-00000F250000}"/>
    <cellStyle name="Millares 2 7 2 2 3 3 2 2 2" xfId="28345" xr:uid="{00000000-0005-0000-0000-000010250000}"/>
    <cellStyle name="Millares 2 7 2 2 3 3 2 2 2 2" xfId="55478" xr:uid="{00000000-0005-0000-0000-000011250000}"/>
    <cellStyle name="Millares 2 7 2 2 3 3 2 2 3" xfId="41916" xr:uid="{00000000-0005-0000-0000-000012250000}"/>
    <cellStyle name="Millares 2 7 2 2 3 3 2 3" xfId="21564" xr:uid="{00000000-0005-0000-0000-000013250000}"/>
    <cellStyle name="Millares 2 7 2 2 3 3 2 3 2" xfId="48697" xr:uid="{00000000-0005-0000-0000-000014250000}"/>
    <cellStyle name="Millares 2 7 2 2 3 3 2 4" xfId="35135" xr:uid="{00000000-0005-0000-0000-000015250000}"/>
    <cellStyle name="Millares 2 7 2 2 3 3 3" xfId="11388" xr:uid="{00000000-0005-0000-0000-000016250000}"/>
    <cellStyle name="Millares 2 7 2 2 3 3 3 2" xfId="24956" xr:uid="{00000000-0005-0000-0000-000017250000}"/>
    <cellStyle name="Millares 2 7 2 2 3 3 3 2 2" xfId="52089" xr:uid="{00000000-0005-0000-0000-000018250000}"/>
    <cellStyle name="Millares 2 7 2 2 3 3 3 3" xfId="38527" xr:uid="{00000000-0005-0000-0000-000019250000}"/>
    <cellStyle name="Millares 2 7 2 2 3 3 4" xfId="18175" xr:uid="{00000000-0005-0000-0000-00001A250000}"/>
    <cellStyle name="Millares 2 7 2 2 3 3 4 2" xfId="45308" xr:uid="{00000000-0005-0000-0000-00001B250000}"/>
    <cellStyle name="Millares 2 7 2 2 3 3 5" xfId="31746" xr:uid="{00000000-0005-0000-0000-00001C250000}"/>
    <cellStyle name="Millares 2 7 2 2 3 4" xfId="7985" xr:uid="{00000000-0005-0000-0000-00001D250000}"/>
    <cellStyle name="Millares 2 7 2 2 3 4 2" xfId="14775" xr:uid="{00000000-0005-0000-0000-00001E250000}"/>
    <cellStyle name="Millares 2 7 2 2 3 4 2 2" xfId="28343" xr:uid="{00000000-0005-0000-0000-00001F250000}"/>
    <cellStyle name="Millares 2 7 2 2 3 4 2 2 2" xfId="55476" xr:uid="{00000000-0005-0000-0000-000020250000}"/>
    <cellStyle name="Millares 2 7 2 2 3 4 2 3" xfId="41914" xr:uid="{00000000-0005-0000-0000-000021250000}"/>
    <cellStyle name="Millares 2 7 2 2 3 4 3" xfId="21562" xr:uid="{00000000-0005-0000-0000-000022250000}"/>
    <cellStyle name="Millares 2 7 2 2 3 4 3 2" xfId="48695" xr:uid="{00000000-0005-0000-0000-000023250000}"/>
    <cellStyle name="Millares 2 7 2 2 3 4 4" xfId="35133" xr:uid="{00000000-0005-0000-0000-000024250000}"/>
    <cellStyle name="Millares 2 7 2 2 3 5" xfId="11386" xr:uid="{00000000-0005-0000-0000-000025250000}"/>
    <cellStyle name="Millares 2 7 2 2 3 5 2" xfId="24954" xr:uid="{00000000-0005-0000-0000-000026250000}"/>
    <cellStyle name="Millares 2 7 2 2 3 5 2 2" xfId="52087" xr:uid="{00000000-0005-0000-0000-000027250000}"/>
    <cellStyle name="Millares 2 7 2 2 3 5 3" xfId="38525" xr:uid="{00000000-0005-0000-0000-000028250000}"/>
    <cellStyle name="Millares 2 7 2 2 3 6" xfId="18173" xr:uid="{00000000-0005-0000-0000-000029250000}"/>
    <cellStyle name="Millares 2 7 2 2 3 6 2" xfId="45306" xr:uid="{00000000-0005-0000-0000-00002A250000}"/>
    <cellStyle name="Millares 2 7 2 2 3 7" xfId="31744" xr:uid="{00000000-0005-0000-0000-00002B250000}"/>
    <cellStyle name="Millares 2 7 2 2 4" xfId="4378" xr:uid="{00000000-0005-0000-0000-00002C250000}"/>
    <cellStyle name="Millares 2 7 2 2 4 2" xfId="4379" xr:uid="{00000000-0005-0000-0000-00002D250000}"/>
    <cellStyle name="Millares 2 7 2 2 4 2 2" xfId="7989" xr:uid="{00000000-0005-0000-0000-00002E250000}"/>
    <cellStyle name="Millares 2 7 2 2 4 2 2 2" xfId="14779" xr:uid="{00000000-0005-0000-0000-00002F250000}"/>
    <cellStyle name="Millares 2 7 2 2 4 2 2 2 2" xfId="28347" xr:uid="{00000000-0005-0000-0000-000030250000}"/>
    <cellStyle name="Millares 2 7 2 2 4 2 2 2 2 2" xfId="55480" xr:uid="{00000000-0005-0000-0000-000031250000}"/>
    <cellStyle name="Millares 2 7 2 2 4 2 2 2 3" xfId="41918" xr:uid="{00000000-0005-0000-0000-000032250000}"/>
    <cellStyle name="Millares 2 7 2 2 4 2 2 3" xfId="21566" xr:uid="{00000000-0005-0000-0000-000033250000}"/>
    <cellStyle name="Millares 2 7 2 2 4 2 2 3 2" xfId="48699" xr:uid="{00000000-0005-0000-0000-000034250000}"/>
    <cellStyle name="Millares 2 7 2 2 4 2 2 4" xfId="35137" xr:uid="{00000000-0005-0000-0000-000035250000}"/>
    <cellStyle name="Millares 2 7 2 2 4 2 3" xfId="11390" xr:uid="{00000000-0005-0000-0000-000036250000}"/>
    <cellStyle name="Millares 2 7 2 2 4 2 3 2" xfId="24958" xr:uid="{00000000-0005-0000-0000-000037250000}"/>
    <cellStyle name="Millares 2 7 2 2 4 2 3 2 2" xfId="52091" xr:uid="{00000000-0005-0000-0000-000038250000}"/>
    <cellStyle name="Millares 2 7 2 2 4 2 3 3" xfId="38529" xr:uid="{00000000-0005-0000-0000-000039250000}"/>
    <cellStyle name="Millares 2 7 2 2 4 2 4" xfId="18177" xr:uid="{00000000-0005-0000-0000-00003A250000}"/>
    <cellStyle name="Millares 2 7 2 2 4 2 4 2" xfId="45310" xr:uid="{00000000-0005-0000-0000-00003B250000}"/>
    <cellStyle name="Millares 2 7 2 2 4 2 5" xfId="31748" xr:uid="{00000000-0005-0000-0000-00003C250000}"/>
    <cellStyle name="Millares 2 7 2 2 4 3" xfId="7988" xr:uid="{00000000-0005-0000-0000-00003D250000}"/>
    <cellStyle name="Millares 2 7 2 2 4 3 2" xfId="14778" xr:uid="{00000000-0005-0000-0000-00003E250000}"/>
    <cellStyle name="Millares 2 7 2 2 4 3 2 2" xfId="28346" xr:uid="{00000000-0005-0000-0000-00003F250000}"/>
    <cellStyle name="Millares 2 7 2 2 4 3 2 2 2" xfId="55479" xr:uid="{00000000-0005-0000-0000-000040250000}"/>
    <cellStyle name="Millares 2 7 2 2 4 3 2 3" xfId="41917" xr:uid="{00000000-0005-0000-0000-000041250000}"/>
    <cellStyle name="Millares 2 7 2 2 4 3 3" xfId="21565" xr:uid="{00000000-0005-0000-0000-000042250000}"/>
    <cellStyle name="Millares 2 7 2 2 4 3 3 2" xfId="48698" xr:uid="{00000000-0005-0000-0000-000043250000}"/>
    <cellStyle name="Millares 2 7 2 2 4 3 4" xfId="35136" xr:uid="{00000000-0005-0000-0000-000044250000}"/>
    <cellStyle name="Millares 2 7 2 2 4 4" xfId="11389" xr:uid="{00000000-0005-0000-0000-000045250000}"/>
    <cellStyle name="Millares 2 7 2 2 4 4 2" xfId="24957" xr:uid="{00000000-0005-0000-0000-000046250000}"/>
    <cellStyle name="Millares 2 7 2 2 4 4 2 2" xfId="52090" xr:uid="{00000000-0005-0000-0000-000047250000}"/>
    <cellStyle name="Millares 2 7 2 2 4 4 3" xfId="38528" xr:uid="{00000000-0005-0000-0000-000048250000}"/>
    <cellStyle name="Millares 2 7 2 2 4 5" xfId="18176" xr:uid="{00000000-0005-0000-0000-000049250000}"/>
    <cellStyle name="Millares 2 7 2 2 4 5 2" xfId="45309" xr:uid="{00000000-0005-0000-0000-00004A250000}"/>
    <cellStyle name="Millares 2 7 2 2 4 6" xfId="31747" xr:uid="{00000000-0005-0000-0000-00004B250000}"/>
    <cellStyle name="Millares 2 7 2 2 5" xfId="4380" xr:uid="{00000000-0005-0000-0000-00004C250000}"/>
    <cellStyle name="Millares 2 7 2 2 5 2" xfId="7990" xr:uid="{00000000-0005-0000-0000-00004D250000}"/>
    <cellStyle name="Millares 2 7 2 2 5 2 2" xfId="14780" xr:uid="{00000000-0005-0000-0000-00004E250000}"/>
    <cellStyle name="Millares 2 7 2 2 5 2 2 2" xfId="28348" xr:uid="{00000000-0005-0000-0000-00004F250000}"/>
    <cellStyle name="Millares 2 7 2 2 5 2 2 2 2" xfId="55481" xr:uid="{00000000-0005-0000-0000-000050250000}"/>
    <cellStyle name="Millares 2 7 2 2 5 2 2 3" xfId="41919" xr:uid="{00000000-0005-0000-0000-000051250000}"/>
    <cellStyle name="Millares 2 7 2 2 5 2 3" xfId="21567" xr:uid="{00000000-0005-0000-0000-000052250000}"/>
    <cellStyle name="Millares 2 7 2 2 5 2 3 2" xfId="48700" xr:uid="{00000000-0005-0000-0000-000053250000}"/>
    <cellStyle name="Millares 2 7 2 2 5 2 4" xfId="35138" xr:uid="{00000000-0005-0000-0000-000054250000}"/>
    <cellStyle name="Millares 2 7 2 2 5 3" xfId="11391" xr:uid="{00000000-0005-0000-0000-000055250000}"/>
    <cellStyle name="Millares 2 7 2 2 5 3 2" xfId="24959" xr:uid="{00000000-0005-0000-0000-000056250000}"/>
    <cellStyle name="Millares 2 7 2 2 5 3 2 2" xfId="52092" xr:uid="{00000000-0005-0000-0000-000057250000}"/>
    <cellStyle name="Millares 2 7 2 2 5 3 3" xfId="38530" xr:uid="{00000000-0005-0000-0000-000058250000}"/>
    <cellStyle name="Millares 2 7 2 2 5 4" xfId="18178" xr:uid="{00000000-0005-0000-0000-000059250000}"/>
    <cellStyle name="Millares 2 7 2 2 5 4 2" xfId="45311" xr:uid="{00000000-0005-0000-0000-00005A250000}"/>
    <cellStyle name="Millares 2 7 2 2 5 5" xfId="31749" xr:uid="{00000000-0005-0000-0000-00005B250000}"/>
    <cellStyle name="Millares 2 7 2 2 6" xfId="4381" xr:uid="{00000000-0005-0000-0000-00005C250000}"/>
    <cellStyle name="Millares 2 7 2 2 6 2" xfId="7991" xr:uid="{00000000-0005-0000-0000-00005D250000}"/>
    <cellStyle name="Millares 2 7 2 2 6 2 2" xfId="14781" xr:uid="{00000000-0005-0000-0000-00005E250000}"/>
    <cellStyle name="Millares 2 7 2 2 6 2 2 2" xfId="28349" xr:uid="{00000000-0005-0000-0000-00005F250000}"/>
    <cellStyle name="Millares 2 7 2 2 6 2 2 2 2" xfId="55482" xr:uid="{00000000-0005-0000-0000-000060250000}"/>
    <cellStyle name="Millares 2 7 2 2 6 2 2 3" xfId="41920" xr:uid="{00000000-0005-0000-0000-000061250000}"/>
    <cellStyle name="Millares 2 7 2 2 6 2 3" xfId="21568" xr:uid="{00000000-0005-0000-0000-000062250000}"/>
    <cellStyle name="Millares 2 7 2 2 6 2 3 2" xfId="48701" xr:uid="{00000000-0005-0000-0000-000063250000}"/>
    <cellStyle name="Millares 2 7 2 2 6 2 4" xfId="35139" xr:uid="{00000000-0005-0000-0000-000064250000}"/>
    <cellStyle name="Millares 2 7 2 2 6 3" xfId="11392" xr:uid="{00000000-0005-0000-0000-000065250000}"/>
    <cellStyle name="Millares 2 7 2 2 6 3 2" xfId="24960" xr:uid="{00000000-0005-0000-0000-000066250000}"/>
    <cellStyle name="Millares 2 7 2 2 6 3 2 2" xfId="52093" xr:uid="{00000000-0005-0000-0000-000067250000}"/>
    <cellStyle name="Millares 2 7 2 2 6 3 3" xfId="38531" xr:uid="{00000000-0005-0000-0000-000068250000}"/>
    <cellStyle name="Millares 2 7 2 2 6 4" xfId="18179" xr:uid="{00000000-0005-0000-0000-000069250000}"/>
    <cellStyle name="Millares 2 7 2 2 6 4 2" xfId="45312" xr:uid="{00000000-0005-0000-0000-00006A250000}"/>
    <cellStyle name="Millares 2 7 2 2 6 5" xfId="31750" xr:uid="{00000000-0005-0000-0000-00006B250000}"/>
    <cellStyle name="Millares 2 7 2 2 7" xfId="7976" xr:uid="{00000000-0005-0000-0000-00006C250000}"/>
    <cellStyle name="Millares 2 7 2 2 7 2" xfId="14766" xr:uid="{00000000-0005-0000-0000-00006D250000}"/>
    <cellStyle name="Millares 2 7 2 2 7 2 2" xfId="28334" xr:uid="{00000000-0005-0000-0000-00006E250000}"/>
    <cellStyle name="Millares 2 7 2 2 7 2 2 2" xfId="55467" xr:uid="{00000000-0005-0000-0000-00006F250000}"/>
    <cellStyle name="Millares 2 7 2 2 7 2 3" xfId="41905" xr:uid="{00000000-0005-0000-0000-000070250000}"/>
    <cellStyle name="Millares 2 7 2 2 7 3" xfId="21553" xr:uid="{00000000-0005-0000-0000-000071250000}"/>
    <cellStyle name="Millares 2 7 2 2 7 3 2" xfId="48686" xr:uid="{00000000-0005-0000-0000-000072250000}"/>
    <cellStyle name="Millares 2 7 2 2 7 4" xfId="35124" xr:uid="{00000000-0005-0000-0000-000073250000}"/>
    <cellStyle name="Millares 2 7 2 2 8" xfId="11377" xr:uid="{00000000-0005-0000-0000-000074250000}"/>
    <cellStyle name="Millares 2 7 2 2 8 2" xfId="24945" xr:uid="{00000000-0005-0000-0000-000075250000}"/>
    <cellStyle name="Millares 2 7 2 2 8 2 2" xfId="52078" xr:uid="{00000000-0005-0000-0000-000076250000}"/>
    <cellStyle name="Millares 2 7 2 2 8 3" xfId="38516" xr:uid="{00000000-0005-0000-0000-000077250000}"/>
    <cellStyle name="Millares 2 7 2 2 9" xfId="18164" xr:uid="{00000000-0005-0000-0000-000078250000}"/>
    <cellStyle name="Millares 2 7 2 2 9 2" xfId="45297" xr:uid="{00000000-0005-0000-0000-000079250000}"/>
    <cellStyle name="Millares 2 7 2 3" xfId="4382" xr:uid="{00000000-0005-0000-0000-00007A250000}"/>
    <cellStyle name="Millares 2 7 2 3 2" xfId="4383" xr:uid="{00000000-0005-0000-0000-00007B250000}"/>
    <cellStyle name="Millares 2 7 2 3 2 2" xfId="4384" xr:uid="{00000000-0005-0000-0000-00007C250000}"/>
    <cellStyle name="Millares 2 7 2 3 2 2 2" xfId="7994" xr:uid="{00000000-0005-0000-0000-00007D250000}"/>
    <cellStyle name="Millares 2 7 2 3 2 2 2 2" xfId="14784" xr:uid="{00000000-0005-0000-0000-00007E250000}"/>
    <cellStyle name="Millares 2 7 2 3 2 2 2 2 2" xfId="28352" xr:uid="{00000000-0005-0000-0000-00007F250000}"/>
    <cellStyle name="Millares 2 7 2 3 2 2 2 2 2 2" xfId="55485" xr:uid="{00000000-0005-0000-0000-000080250000}"/>
    <cellStyle name="Millares 2 7 2 3 2 2 2 2 3" xfId="41923" xr:uid="{00000000-0005-0000-0000-000081250000}"/>
    <cellStyle name="Millares 2 7 2 3 2 2 2 3" xfId="21571" xr:uid="{00000000-0005-0000-0000-000082250000}"/>
    <cellStyle name="Millares 2 7 2 3 2 2 2 3 2" xfId="48704" xr:uid="{00000000-0005-0000-0000-000083250000}"/>
    <cellStyle name="Millares 2 7 2 3 2 2 2 4" xfId="35142" xr:uid="{00000000-0005-0000-0000-000084250000}"/>
    <cellStyle name="Millares 2 7 2 3 2 2 3" xfId="11395" xr:uid="{00000000-0005-0000-0000-000085250000}"/>
    <cellStyle name="Millares 2 7 2 3 2 2 3 2" xfId="24963" xr:uid="{00000000-0005-0000-0000-000086250000}"/>
    <cellStyle name="Millares 2 7 2 3 2 2 3 2 2" xfId="52096" xr:uid="{00000000-0005-0000-0000-000087250000}"/>
    <cellStyle name="Millares 2 7 2 3 2 2 3 3" xfId="38534" xr:uid="{00000000-0005-0000-0000-000088250000}"/>
    <cellStyle name="Millares 2 7 2 3 2 2 4" xfId="18182" xr:uid="{00000000-0005-0000-0000-000089250000}"/>
    <cellStyle name="Millares 2 7 2 3 2 2 4 2" xfId="45315" xr:uid="{00000000-0005-0000-0000-00008A250000}"/>
    <cellStyle name="Millares 2 7 2 3 2 2 5" xfId="31753" xr:uid="{00000000-0005-0000-0000-00008B250000}"/>
    <cellStyle name="Millares 2 7 2 3 2 3" xfId="4385" xr:uid="{00000000-0005-0000-0000-00008C250000}"/>
    <cellStyle name="Millares 2 7 2 3 2 3 2" xfId="7995" xr:uid="{00000000-0005-0000-0000-00008D250000}"/>
    <cellStyle name="Millares 2 7 2 3 2 3 2 2" xfId="14785" xr:uid="{00000000-0005-0000-0000-00008E250000}"/>
    <cellStyle name="Millares 2 7 2 3 2 3 2 2 2" xfId="28353" xr:uid="{00000000-0005-0000-0000-00008F250000}"/>
    <cellStyle name="Millares 2 7 2 3 2 3 2 2 2 2" xfId="55486" xr:uid="{00000000-0005-0000-0000-000090250000}"/>
    <cellStyle name="Millares 2 7 2 3 2 3 2 2 3" xfId="41924" xr:uid="{00000000-0005-0000-0000-000091250000}"/>
    <cellStyle name="Millares 2 7 2 3 2 3 2 3" xfId="21572" xr:uid="{00000000-0005-0000-0000-000092250000}"/>
    <cellStyle name="Millares 2 7 2 3 2 3 2 3 2" xfId="48705" xr:uid="{00000000-0005-0000-0000-000093250000}"/>
    <cellStyle name="Millares 2 7 2 3 2 3 2 4" xfId="35143" xr:uid="{00000000-0005-0000-0000-000094250000}"/>
    <cellStyle name="Millares 2 7 2 3 2 3 3" xfId="11396" xr:uid="{00000000-0005-0000-0000-000095250000}"/>
    <cellStyle name="Millares 2 7 2 3 2 3 3 2" xfId="24964" xr:uid="{00000000-0005-0000-0000-000096250000}"/>
    <cellStyle name="Millares 2 7 2 3 2 3 3 2 2" xfId="52097" xr:uid="{00000000-0005-0000-0000-000097250000}"/>
    <cellStyle name="Millares 2 7 2 3 2 3 3 3" xfId="38535" xr:uid="{00000000-0005-0000-0000-000098250000}"/>
    <cellStyle name="Millares 2 7 2 3 2 3 4" xfId="18183" xr:uid="{00000000-0005-0000-0000-000099250000}"/>
    <cellStyle name="Millares 2 7 2 3 2 3 4 2" xfId="45316" xr:uid="{00000000-0005-0000-0000-00009A250000}"/>
    <cellStyle name="Millares 2 7 2 3 2 3 5" xfId="31754" xr:uid="{00000000-0005-0000-0000-00009B250000}"/>
    <cellStyle name="Millares 2 7 2 3 2 4" xfId="7993" xr:uid="{00000000-0005-0000-0000-00009C250000}"/>
    <cellStyle name="Millares 2 7 2 3 2 4 2" xfId="14783" xr:uid="{00000000-0005-0000-0000-00009D250000}"/>
    <cellStyle name="Millares 2 7 2 3 2 4 2 2" xfId="28351" xr:uid="{00000000-0005-0000-0000-00009E250000}"/>
    <cellStyle name="Millares 2 7 2 3 2 4 2 2 2" xfId="55484" xr:uid="{00000000-0005-0000-0000-00009F250000}"/>
    <cellStyle name="Millares 2 7 2 3 2 4 2 3" xfId="41922" xr:uid="{00000000-0005-0000-0000-0000A0250000}"/>
    <cellStyle name="Millares 2 7 2 3 2 4 3" xfId="21570" xr:uid="{00000000-0005-0000-0000-0000A1250000}"/>
    <cellStyle name="Millares 2 7 2 3 2 4 3 2" xfId="48703" xr:uid="{00000000-0005-0000-0000-0000A2250000}"/>
    <cellStyle name="Millares 2 7 2 3 2 4 4" xfId="35141" xr:uid="{00000000-0005-0000-0000-0000A3250000}"/>
    <cellStyle name="Millares 2 7 2 3 2 5" xfId="11394" xr:uid="{00000000-0005-0000-0000-0000A4250000}"/>
    <cellStyle name="Millares 2 7 2 3 2 5 2" xfId="24962" xr:uid="{00000000-0005-0000-0000-0000A5250000}"/>
    <cellStyle name="Millares 2 7 2 3 2 5 2 2" xfId="52095" xr:uid="{00000000-0005-0000-0000-0000A6250000}"/>
    <cellStyle name="Millares 2 7 2 3 2 5 3" xfId="38533" xr:uid="{00000000-0005-0000-0000-0000A7250000}"/>
    <cellStyle name="Millares 2 7 2 3 2 6" xfId="18181" xr:uid="{00000000-0005-0000-0000-0000A8250000}"/>
    <cellStyle name="Millares 2 7 2 3 2 6 2" xfId="45314" xr:uid="{00000000-0005-0000-0000-0000A9250000}"/>
    <cellStyle name="Millares 2 7 2 3 2 7" xfId="31752" xr:uid="{00000000-0005-0000-0000-0000AA250000}"/>
    <cellStyle name="Millares 2 7 2 3 3" xfId="4386" xr:uid="{00000000-0005-0000-0000-0000AB250000}"/>
    <cellStyle name="Millares 2 7 2 3 3 2" xfId="4387" xr:uid="{00000000-0005-0000-0000-0000AC250000}"/>
    <cellStyle name="Millares 2 7 2 3 3 2 2" xfId="7997" xr:uid="{00000000-0005-0000-0000-0000AD250000}"/>
    <cellStyle name="Millares 2 7 2 3 3 2 2 2" xfId="14787" xr:uid="{00000000-0005-0000-0000-0000AE250000}"/>
    <cellStyle name="Millares 2 7 2 3 3 2 2 2 2" xfId="28355" xr:uid="{00000000-0005-0000-0000-0000AF250000}"/>
    <cellStyle name="Millares 2 7 2 3 3 2 2 2 2 2" xfId="55488" xr:uid="{00000000-0005-0000-0000-0000B0250000}"/>
    <cellStyle name="Millares 2 7 2 3 3 2 2 2 3" xfId="41926" xr:uid="{00000000-0005-0000-0000-0000B1250000}"/>
    <cellStyle name="Millares 2 7 2 3 3 2 2 3" xfId="21574" xr:uid="{00000000-0005-0000-0000-0000B2250000}"/>
    <cellStyle name="Millares 2 7 2 3 3 2 2 3 2" xfId="48707" xr:uid="{00000000-0005-0000-0000-0000B3250000}"/>
    <cellStyle name="Millares 2 7 2 3 3 2 2 4" xfId="35145" xr:uid="{00000000-0005-0000-0000-0000B4250000}"/>
    <cellStyle name="Millares 2 7 2 3 3 2 3" xfId="11398" xr:uid="{00000000-0005-0000-0000-0000B5250000}"/>
    <cellStyle name="Millares 2 7 2 3 3 2 3 2" xfId="24966" xr:uid="{00000000-0005-0000-0000-0000B6250000}"/>
    <cellStyle name="Millares 2 7 2 3 3 2 3 2 2" xfId="52099" xr:uid="{00000000-0005-0000-0000-0000B7250000}"/>
    <cellStyle name="Millares 2 7 2 3 3 2 3 3" xfId="38537" xr:uid="{00000000-0005-0000-0000-0000B8250000}"/>
    <cellStyle name="Millares 2 7 2 3 3 2 4" xfId="18185" xr:uid="{00000000-0005-0000-0000-0000B9250000}"/>
    <cellStyle name="Millares 2 7 2 3 3 2 4 2" xfId="45318" xr:uid="{00000000-0005-0000-0000-0000BA250000}"/>
    <cellStyle name="Millares 2 7 2 3 3 2 5" xfId="31756" xr:uid="{00000000-0005-0000-0000-0000BB250000}"/>
    <cellStyle name="Millares 2 7 2 3 3 3" xfId="7996" xr:uid="{00000000-0005-0000-0000-0000BC250000}"/>
    <cellStyle name="Millares 2 7 2 3 3 3 2" xfId="14786" xr:uid="{00000000-0005-0000-0000-0000BD250000}"/>
    <cellStyle name="Millares 2 7 2 3 3 3 2 2" xfId="28354" xr:uid="{00000000-0005-0000-0000-0000BE250000}"/>
    <cellStyle name="Millares 2 7 2 3 3 3 2 2 2" xfId="55487" xr:uid="{00000000-0005-0000-0000-0000BF250000}"/>
    <cellStyle name="Millares 2 7 2 3 3 3 2 3" xfId="41925" xr:uid="{00000000-0005-0000-0000-0000C0250000}"/>
    <cellStyle name="Millares 2 7 2 3 3 3 3" xfId="21573" xr:uid="{00000000-0005-0000-0000-0000C1250000}"/>
    <cellStyle name="Millares 2 7 2 3 3 3 3 2" xfId="48706" xr:uid="{00000000-0005-0000-0000-0000C2250000}"/>
    <cellStyle name="Millares 2 7 2 3 3 3 4" xfId="35144" xr:uid="{00000000-0005-0000-0000-0000C3250000}"/>
    <cellStyle name="Millares 2 7 2 3 3 4" xfId="11397" xr:uid="{00000000-0005-0000-0000-0000C4250000}"/>
    <cellStyle name="Millares 2 7 2 3 3 4 2" xfId="24965" xr:uid="{00000000-0005-0000-0000-0000C5250000}"/>
    <cellStyle name="Millares 2 7 2 3 3 4 2 2" xfId="52098" xr:uid="{00000000-0005-0000-0000-0000C6250000}"/>
    <cellStyle name="Millares 2 7 2 3 3 4 3" xfId="38536" xr:uid="{00000000-0005-0000-0000-0000C7250000}"/>
    <cellStyle name="Millares 2 7 2 3 3 5" xfId="18184" xr:uid="{00000000-0005-0000-0000-0000C8250000}"/>
    <cellStyle name="Millares 2 7 2 3 3 5 2" xfId="45317" xr:uid="{00000000-0005-0000-0000-0000C9250000}"/>
    <cellStyle name="Millares 2 7 2 3 3 6" xfId="31755" xr:uid="{00000000-0005-0000-0000-0000CA250000}"/>
    <cellStyle name="Millares 2 7 2 3 4" xfId="4388" xr:uid="{00000000-0005-0000-0000-0000CB250000}"/>
    <cellStyle name="Millares 2 7 2 3 4 2" xfId="7998" xr:uid="{00000000-0005-0000-0000-0000CC250000}"/>
    <cellStyle name="Millares 2 7 2 3 4 2 2" xfId="14788" xr:uid="{00000000-0005-0000-0000-0000CD250000}"/>
    <cellStyle name="Millares 2 7 2 3 4 2 2 2" xfId="28356" xr:uid="{00000000-0005-0000-0000-0000CE250000}"/>
    <cellStyle name="Millares 2 7 2 3 4 2 2 2 2" xfId="55489" xr:uid="{00000000-0005-0000-0000-0000CF250000}"/>
    <cellStyle name="Millares 2 7 2 3 4 2 2 3" xfId="41927" xr:uid="{00000000-0005-0000-0000-0000D0250000}"/>
    <cellStyle name="Millares 2 7 2 3 4 2 3" xfId="21575" xr:uid="{00000000-0005-0000-0000-0000D1250000}"/>
    <cellStyle name="Millares 2 7 2 3 4 2 3 2" xfId="48708" xr:uid="{00000000-0005-0000-0000-0000D2250000}"/>
    <cellStyle name="Millares 2 7 2 3 4 2 4" xfId="35146" xr:uid="{00000000-0005-0000-0000-0000D3250000}"/>
    <cellStyle name="Millares 2 7 2 3 4 3" xfId="11399" xr:uid="{00000000-0005-0000-0000-0000D4250000}"/>
    <cellStyle name="Millares 2 7 2 3 4 3 2" xfId="24967" xr:uid="{00000000-0005-0000-0000-0000D5250000}"/>
    <cellStyle name="Millares 2 7 2 3 4 3 2 2" xfId="52100" xr:uid="{00000000-0005-0000-0000-0000D6250000}"/>
    <cellStyle name="Millares 2 7 2 3 4 3 3" xfId="38538" xr:uid="{00000000-0005-0000-0000-0000D7250000}"/>
    <cellStyle name="Millares 2 7 2 3 4 4" xfId="18186" xr:uid="{00000000-0005-0000-0000-0000D8250000}"/>
    <cellStyle name="Millares 2 7 2 3 4 4 2" xfId="45319" xr:uid="{00000000-0005-0000-0000-0000D9250000}"/>
    <cellStyle name="Millares 2 7 2 3 4 5" xfId="31757" xr:uid="{00000000-0005-0000-0000-0000DA250000}"/>
    <cellStyle name="Millares 2 7 2 3 5" xfId="4389" xr:uid="{00000000-0005-0000-0000-0000DB250000}"/>
    <cellStyle name="Millares 2 7 2 3 5 2" xfId="7999" xr:uid="{00000000-0005-0000-0000-0000DC250000}"/>
    <cellStyle name="Millares 2 7 2 3 5 2 2" xfId="14789" xr:uid="{00000000-0005-0000-0000-0000DD250000}"/>
    <cellStyle name="Millares 2 7 2 3 5 2 2 2" xfId="28357" xr:uid="{00000000-0005-0000-0000-0000DE250000}"/>
    <cellStyle name="Millares 2 7 2 3 5 2 2 2 2" xfId="55490" xr:uid="{00000000-0005-0000-0000-0000DF250000}"/>
    <cellStyle name="Millares 2 7 2 3 5 2 2 3" xfId="41928" xr:uid="{00000000-0005-0000-0000-0000E0250000}"/>
    <cellStyle name="Millares 2 7 2 3 5 2 3" xfId="21576" xr:uid="{00000000-0005-0000-0000-0000E1250000}"/>
    <cellStyle name="Millares 2 7 2 3 5 2 3 2" xfId="48709" xr:uid="{00000000-0005-0000-0000-0000E2250000}"/>
    <cellStyle name="Millares 2 7 2 3 5 2 4" xfId="35147" xr:uid="{00000000-0005-0000-0000-0000E3250000}"/>
    <cellStyle name="Millares 2 7 2 3 5 3" xfId="11400" xr:uid="{00000000-0005-0000-0000-0000E4250000}"/>
    <cellStyle name="Millares 2 7 2 3 5 3 2" xfId="24968" xr:uid="{00000000-0005-0000-0000-0000E5250000}"/>
    <cellStyle name="Millares 2 7 2 3 5 3 2 2" xfId="52101" xr:uid="{00000000-0005-0000-0000-0000E6250000}"/>
    <cellStyle name="Millares 2 7 2 3 5 3 3" xfId="38539" xr:uid="{00000000-0005-0000-0000-0000E7250000}"/>
    <cellStyle name="Millares 2 7 2 3 5 4" xfId="18187" xr:uid="{00000000-0005-0000-0000-0000E8250000}"/>
    <cellStyle name="Millares 2 7 2 3 5 4 2" xfId="45320" xr:uid="{00000000-0005-0000-0000-0000E9250000}"/>
    <cellStyle name="Millares 2 7 2 3 5 5" xfId="31758" xr:uid="{00000000-0005-0000-0000-0000EA250000}"/>
    <cellStyle name="Millares 2 7 2 3 6" xfId="7992" xr:uid="{00000000-0005-0000-0000-0000EB250000}"/>
    <cellStyle name="Millares 2 7 2 3 6 2" xfId="14782" xr:uid="{00000000-0005-0000-0000-0000EC250000}"/>
    <cellStyle name="Millares 2 7 2 3 6 2 2" xfId="28350" xr:uid="{00000000-0005-0000-0000-0000ED250000}"/>
    <cellStyle name="Millares 2 7 2 3 6 2 2 2" xfId="55483" xr:uid="{00000000-0005-0000-0000-0000EE250000}"/>
    <cellStyle name="Millares 2 7 2 3 6 2 3" xfId="41921" xr:uid="{00000000-0005-0000-0000-0000EF250000}"/>
    <cellStyle name="Millares 2 7 2 3 6 3" xfId="21569" xr:uid="{00000000-0005-0000-0000-0000F0250000}"/>
    <cellStyle name="Millares 2 7 2 3 6 3 2" xfId="48702" xr:uid="{00000000-0005-0000-0000-0000F1250000}"/>
    <cellStyle name="Millares 2 7 2 3 6 4" xfId="35140" xr:uid="{00000000-0005-0000-0000-0000F2250000}"/>
    <cellStyle name="Millares 2 7 2 3 7" xfId="11393" xr:uid="{00000000-0005-0000-0000-0000F3250000}"/>
    <cellStyle name="Millares 2 7 2 3 7 2" xfId="24961" xr:uid="{00000000-0005-0000-0000-0000F4250000}"/>
    <cellStyle name="Millares 2 7 2 3 7 2 2" xfId="52094" xr:uid="{00000000-0005-0000-0000-0000F5250000}"/>
    <cellStyle name="Millares 2 7 2 3 7 3" xfId="38532" xr:uid="{00000000-0005-0000-0000-0000F6250000}"/>
    <cellStyle name="Millares 2 7 2 3 8" xfId="18180" xr:uid="{00000000-0005-0000-0000-0000F7250000}"/>
    <cellStyle name="Millares 2 7 2 3 8 2" xfId="45313" xr:uid="{00000000-0005-0000-0000-0000F8250000}"/>
    <cellStyle name="Millares 2 7 2 3 9" xfId="31751" xr:uid="{00000000-0005-0000-0000-0000F9250000}"/>
    <cellStyle name="Millares 2 7 2 4" xfId="4390" xr:uid="{00000000-0005-0000-0000-0000FA250000}"/>
    <cellStyle name="Millares 2 7 2 4 2" xfId="4391" xr:uid="{00000000-0005-0000-0000-0000FB250000}"/>
    <cellStyle name="Millares 2 7 2 4 2 2" xfId="4392" xr:uid="{00000000-0005-0000-0000-0000FC250000}"/>
    <cellStyle name="Millares 2 7 2 4 2 2 2" xfId="8002" xr:uid="{00000000-0005-0000-0000-0000FD250000}"/>
    <cellStyle name="Millares 2 7 2 4 2 2 2 2" xfId="14792" xr:uid="{00000000-0005-0000-0000-0000FE250000}"/>
    <cellStyle name="Millares 2 7 2 4 2 2 2 2 2" xfId="28360" xr:uid="{00000000-0005-0000-0000-0000FF250000}"/>
    <cellStyle name="Millares 2 7 2 4 2 2 2 2 2 2" xfId="55493" xr:uid="{00000000-0005-0000-0000-000000260000}"/>
    <cellStyle name="Millares 2 7 2 4 2 2 2 2 3" xfId="41931" xr:uid="{00000000-0005-0000-0000-000001260000}"/>
    <cellStyle name="Millares 2 7 2 4 2 2 2 3" xfId="21579" xr:uid="{00000000-0005-0000-0000-000002260000}"/>
    <cellStyle name="Millares 2 7 2 4 2 2 2 3 2" xfId="48712" xr:uid="{00000000-0005-0000-0000-000003260000}"/>
    <cellStyle name="Millares 2 7 2 4 2 2 2 4" xfId="35150" xr:uid="{00000000-0005-0000-0000-000004260000}"/>
    <cellStyle name="Millares 2 7 2 4 2 2 3" xfId="11403" xr:uid="{00000000-0005-0000-0000-000005260000}"/>
    <cellStyle name="Millares 2 7 2 4 2 2 3 2" xfId="24971" xr:uid="{00000000-0005-0000-0000-000006260000}"/>
    <cellStyle name="Millares 2 7 2 4 2 2 3 2 2" xfId="52104" xr:uid="{00000000-0005-0000-0000-000007260000}"/>
    <cellStyle name="Millares 2 7 2 4 2 2 3 3" xfId="38542" xr:uid="{00000000-0005-0000-0000-000008260000}"/>
    <cellStyle name="Millares 2 7 2 4 2 2 4" xfId="18190" xr:uid="{00000000-0005-0000-0000-000009260000}"/>
    <cellStyle name="Millares 2 7 2 4 2 2 4 2" xfId="45323" xr:uid="{00000000-0005-0000-0000-00000A260000}"/>
    <cellStyle name="Millares 2 7 2 4 2 2 5" xfId="31761" xr:uid="{00000000-0005-0000-0000-00000B260000}"/>
    <cellStyle name="Millares 2 7 2 4 2 3" xfId="4393" xr:uid="{00000000-0005-0000-0000-00000C260000}"/>
    <cellStyle name="Millares 2 7 2 4 2 3 2" xfId="8003" xr:uid="{00000000-0005-0000-0000-00000D260000}"/>
    <cellStyle name="Millares 2 7 2 4 2 3 2 2" xfId="14793" xr:uid="{00000000-0005-0000-0000-00000E260000}"/>
    <cellStyle name="Millares 2 7 2 4 2 3 2 2 2" xfId="28361" xr:uid="{00000000-0005-0000-0000-00000F260000}"/>
    <cellStyle name="Millares 2 7 2 4 2 3 2 2 2 2" xfId="55494" xr:uid="{00000000-0005-0000-0000-000010260000}"/>
    <cellStyle name="Millares 2 7 2 4 2 3 2 2 3" xfId="41932" xr:uid="{00000000-0005-0000-0000-000011260000}"/>
    <cellStyle name="Millares 2 7 2 4 2 3 2 3" xfId="21580" xr:uid="{00000000-0005-0000-0000-000012260000}"/>
    <cellStyle name="Millares 2 7 2 4 2 3 2 3 2" xfId="48713" xr:uid="{00000000-0005-0000-0000-000013260000}"/>
    <cellStyle name="Millares 2 7 2 4 2 3 2 4" xfId="35151" xr:uid="{00000000-0005-0000-0000-000014260000}"/>
    <cellStyle name="Millares 2 7 2 4 2 3 3" xfId="11404" xr:uid="{00000000-0005-0000-0000-000015260000}"/>
    <cellStyle name="Millares 2 7 2 4 2 3 3 2" xfId="24972" xr:uid="{00000000-0005-0000-0000-000016260000}"/>
    <cellStyle name="Millares 2 7 2 4 2 3 3 2 2" xfId="52105" xr:uid="{00000000-0005-0000-0000-000017260000}"/>
    <cellStyle name="Millares 2 7 2 4 2 3 3 3" xfId="38543" xr:uid="{00000000-0005-0000-0000-000018260000}"/>
    <cellStyle name="Millares 2 7 2 4 2 3 4" xfId="18191" xr:uid="{00000000-0005-0000-0000-000019260000}"/>
    <cellStyle name="Millares 2 7 2 4 2 3 4 2" xfId="45324" xr:uid="{00000000-0005-0000-0000-00001A260000}"/>
    <cellStyle name="Millares 2 7 2 4 2 3 5" xfId="31762" xr:uid="{00000000-0005-0000-0000-00001B260000}"/>
    <cellStyle name="Millares 2 7 2 4 2 4" xfId="8001" xr:uid="{00000000-0005-0000-0000-00001C260000}"/>
    <cellStyle name="Millares 2 7 2 4 2 4 2" xfId="14791" xr:uid="{00000000-0005-0000-0000-00001D260000}"/>
    <cellStyle name="Millares 2 7 2 4 2 4 2 2" xfId="28359" xr:uid="{00000000-0005-0000-0000-00001E260000}"/>
    <cellStyle name="Millares 2 7 2 4 2 4 2 2 2" xfId="55492" xr:uid="{00000000-0005-0000-0000-00001F260000}"/>
    <cellStyle name="Millares 2 7 2 4 2 4 2 3" xfId="41930" xr:uid="{00000000-0005-0000-0000-000020260000}"/>
    <cellStyle name="Millares 2 7 2 4 2 4 3" xfId="21578" xr:uid="{00000000-0005-0000-0000-000021260000}"/>
    <cellStyle name="Millares 2 7 2 4 2 4 3 2" xfId="48711" xr:uid="{00000000-0005-0000-0000-000022260000}"/>
    <cellStyle name="Millares 2 7 2 4 2 4 4" xfId="35149" xr:uid="{00000000-0005-0000-0000-000023260000}"/>
    <cellStyle name="Millares 2 7 2 4 2 5" xfId="11402" xr:uid="{00000000-0005-0000-0000-000024260000}"/>
    <cellStyle name="Millares 2 7 2 4 2 5 2" xfId="24970" xr:uid="{00000000-0005-0000-0000-000025260000}"/>
    <cellStyle name="Millares 2 7 2 4 2 5 2 2" xfId="52103" xr:uid="{00000000-0005-0000-0000-000026260000}"/>
    <cellStyle name="Millares 2 7 2 4 2 5 3" xfId="38541" xr:uid="{00000000-0005-0000-0000-000027260000}"/>
    <cellStyle name="Millares 2 7 2 4 2 6" xfId="18189" xr:uid="{00000000-0005-0000-0000-000028260000}"/>
    <cellStyle name="Millares 2 7 2 4 2 6 2" xfId="45322" xr:uid="{00000000-0005-0000-0000-000029260000}"/>
    <cellStyle name="Millares 2 7 2 4 2 7" xfId="31760" xr:uid="{00000000-0005-0000-0000-00002A260000}"/>
    <cellStyle name="Millares 2 7 2 4 3" xfId="4394" xr:uid="{00000000-0005-0000-0000-00002B260000}"/>
    <cellStyle name="Millares 2 7 2 4 3 2" xfId="8004" xr:uid="{00000000-0005-0000-0000-00002C260000}"/>
    <cellStyle name="Millares 2 7 2 4 3 2 2" xfId="14794" xr:uid="{00000000-0005-0000-0000-00002D260000}"/>
    <cellStyle name="Millares 2 7 2 4 3 2 2 2" xfId="28362" xr:uid="{00000000-0005-0000-0000-00002E260000}"/>
    <cellStyle name="Millares 2 7 2 4 3 2 2 2 2" xfId="55495" xr:uid="{00000000-0005-0000-0000-00002F260000}"/>
    <cellStyle name="Millares 2 7 2 4 3 2 2 3" xfId="41933" xr:uid="{00000000-0005-0000-0000-000030260000}"/>
    <cellStyle name="Millares 2 7 2 4 3 2 3" xfId="21581" xr:uid="{00000000-0005-0000-0000-000031260000}"/>
    <cellStyle name="Millares 2 7 2 4 3 2 3 2" xfId="48714" xr:uid="{00000000-0005-0000-0000-000032260000}"/>
    <cellStyle name="Millares 2 7 2 4 3 2 4" xfId="35152" xr:uid="{00000000-0005-0000-0000-000033260000}"/>
    <cellStyle name="Millares 2 7 2 4 3 3" xfId="11405" xr:uid="{00000000-0005-0000-0000-000034260000}"/>
    <cellStyle name="Millares 2 7 2 4 3 3 2" xfId="24973" xr:uid="{00000000-0005-0000-0000-000035260000}"/>
    <cellStyle name="Millares 2 7 2 4 3 3 2 2" xfId="52106" xr:uid="{00000000-0005-0000-0000-000036260000}"/>
    <cellStyle name="Millares 2 7 2 4 3 3 3" xfId="38544" xr:uid="{00000000-0005-0000-0000-000037260000}"/>
    <cellStyle name="Millares 2 7 2 4 3 4" xfId="18192" xr:uid="{00000000-0005-0000-0000-000038260000}"/>
    <cellStyle name="Millares 2 7 2 4 3 4 2" xfId="45325" xr:uid="{00000000-0005-0000-0000-000039260000}"/>
    <cellStyle name="Millares 2 7 2 4 3 5" xfId="31763" xr:uid="{00000000-0005-0000-0000-00003A260000}"/>
    <cellStyle name="Millares 2 7 2 4 4" xfId="4395" xr:uid="{00000000-0005-0000-0000-00003B260000}"/>
    <cellStyle name="Millares 2 7 2 4 4 2" xfId="8005" xr:uid="{00000000-0005-0000-0000-00003C260000}"/>
    <cellStyle name="Millares 2 7 2 4 4 2 2" xfId="14795" xr:uid="{00000000-0005-0000-0000-00003D260000}"/>
    <cellStyle name="Millares 2 7 2 4 4 2 2 2" xfId="28363" xr:uid="{00000000-0005-0000-0000-00003E260000}"/>
    <cellStyle name="Millares 2 7 2 4 4 2 2 2 2" xfId="55496" xr:uid="{00000000-0005-0000-0000-00003F260000}"/>
    <cellStyle name="Millares 2 7 2 4 4 2 2 3" xfId="41934" xr:uid="{00000000-0005-0000-0000-000040260000}"/>
    <cellStyle name="Millares 2 7 2 4 4 2 3" xfId="21582" xr:uid="{00000000-0005-0000-0000-000041260000}"/>
    <cellStyle name="Millares 2 7 2 4 4 2 3 2" xfId="48715" xr:uid="{00000000-0005-0000-0000-000042260000}"/>
    <cellStyle name="Millares 2 7 2 4 4 2 4" xfId="35153" xr:uid="{00000000-0005-0000-0000-000043260000}"/>
    <cellStyle name="Millares 2 7 2 4 4 3" xfId="11406" xr:uid="{00000000-0005-0000-0000-000044260000}"/>
    <cellStyle name="Millares 2 7 2 4 4 3 2" xfId="24974" xr:uid="{00000000-0005-0000-0000-000045260000}"/>
    <cellStyle name="Millares 2 7 2 4 4 3 2 2" xfId="52107" xr:uid="{00000000-0005-0000-0000-000046260000}"/>
    <cellStyle name="Millares 2 7 2 4 4 3 3" xfId="38545" xr:uid="{00000000-0005-0000-0000-000047260000}"/>
    <cellStyle name="Millares 2 7 2 4 4 4" xfId="18193" xr:uid="{00000000-0005-0000-0000-000048260000}"/>
    <cellStyle name="Millares 2 7 2 4 4 4 2" xfId="45326" xr:uid="{00000000-0005-0000-0000-000049260000}"/>
    <cellStyle name="Millares 2 7 2 4 4 5" xfId="31764" xr:uid="{00000000-0005-0000-0000-00004A260000}"/>
    <cellStyle name="Millares 2 7 2 4 5" xfId="8000" xr:uid="{00000000-0005-0000-0000-00004B260000}"/>
    <cellStyle name="Millares 2 7 2 4 5 2" xfId="14790" xr:uid="{00000000-0005-0000-0000-00004C260000}"/>
    <cellStyle name="Millares 2 7 2 4 5 2 2" xfId="28358" xr:uid="{00000000-0005-0000-0000-00004D260000}"/>
    <cellStyle name="Millares 2 7 2 4 5 2 2 2" xfId="55491" xr:uid="{00000000-0005-0000-0000-00004E260000}"/>
    <cellStyle name="Millares 2 7 2 4 5 2 3" xfId="41929" xr:uid="{00000000-0005-0000-0000-00004F260000}"/>
    <cellStyle name="Millares 2 7 2 4 5 3" xfId="21577" xr:uid="{00000000-0005-0000-0000-000050260000}"/>
    <cellStyle name="Millares 2 7 2 4 5 3 2" xfId="48710" xr:uid="{00000000-0005-0000-0000-000051260000}"/>
    <cellStyle name="Millares 2 7 2 4 5 4" xfId="35148" xr:uid="{00000000-0005-0000-0000-000052260000}"/>
    <cellStyle name="Millares 2 7 2 4 6" xfId="11401" xr:uid="{00000000-0005-0000-0000-000053260000}"/>
    <cellStyle name="Millares 2 7 2 4 6 2" xfId="24969" xr:uid="{00000000-0005-0000-0000-000054260000}"/>
    <cellStyle name="Millares 2 7 2 4 6 2 2" xfId="52102" xr:uid="{00000000-0005-0000-0000-000055260000}"/>
    <cellStyle name="Millares 2 7 2 4 6 3" xfId="38540" xr:uid="{00000000-0005-0000-0000-000056260000}"/>
    <cellStyle name="Millares 2 7 2 4 7" xfId="18188" xr:uid="{00000000-0005-0000-0000-000057260000}"/>
    <cellStyle name="Millares 2 7 2 4 7 2" xfId="45321" xr:uid="{00000000-0005-0000-0000-000058260000}"/>
    <cellStyle name="Millares 2 7 2 4 8" xfId="31759" xr:uid="{00000000-0005-0000-0000-000059260000}"/>
    <cellStyle name="Millares 2 7 2 5" xfId="4396" xr:uid="{00000000-0005-0000-0000-00005A260000}"/>
    <cellStyle name="Millares 2 7 2 5 2" xfId="4397" xr:uid="{00000000-0005-0000-0000-00005B260000}"/>
    <cellStyle name="Millares 2 7 2 5 2 2" xfId="8007" xr:uid="{00000000-0005-0000-0000-00005C260000}"/>
    <cellStyle name="Millares 2 7 2 5 2 2 2" xfId="14797" xr:uid="{00000000-0005-0000-0000-00005D260000}"/>
    <cellStyle name="Millares 2 7 2 5 2 2 2 2" xfId="28365" xr:uid="{00000000-0005-0000-0000-00005E260000}"/>
    <cellStyle name="Millares 2 7 2 5 2 2 2 2 2" xfId="55498" xr:uid="{00000000-0005-0000-0000-00005F260000}"/>
    <cellStyle name="Millares 2 7 2 5 2 2 2 3" xfId="41936" xr:uid="{00000000-0005-0000-0000-000060260000}"/>
    <cellStyle name="Millares 2 7 2 5 2 2 3" xfId="21584" xr:uid="{00000000-0005-0000-0000-000061260000}"/>
    <cellStyle name="Millares 2 7 2 5 2 2 3 2" xfId="48717" xr:uid="{00000000-0005-0000-0000-000062260000}"/>
    <cellStyle name="Millares 2 7 2 5 2 2 4" xfId="35155" xr:uid="{00000000-0005-0000-0000-000063260000}"/>
    <cellStyle name="Millares 2 7 2 5 2 3" xfId="11408" xr:uid="{00000000-0005-0000-0000-000064260000}"/>
    <cellStyle name="Millares 2 7 2 5 2 3 2" xfId="24976" xr:uid="{00000000-0005-0000-0000-000065260000}"/>
    <cellStyle name="Millares 2 7 2 5 2 3 2 2" xfId="52109" xr:uid="{00000000-0005-0000-0000-000066260000}"/>
    <cellStyle name="Millares 2 7 2 5 2 3 3" xfId="38547" xr:uid="{00000000-0005-0000-0000-000067260000}"/>
    <cellStyle name="Millares 2 7 2 5 2 4" xfId="18195" xr:uid="{00000000-0005-0000-0000-000068260000}"/>
    <cellStyle name="Millares 2 7 2 5 2 4 2" xfId="45328" xr:uid="{00000000-0005-0000-0000-000069260000}"/>
    <cellStyle name="Millares 2 7 2 5 2 5" xfId="31766" xr:uid="{00000000-0005-0000-0000-00006A260000}"/>
    <cellStyle name="Millares 2 7 2 5 3" xfId="4398" xr:uid="{00000000-0005-0000-0000-00006B260000}"/>
    <cellStyle name="Millares 2 7 2 5 3 2" xfId="8008" xr:uid="{00000000-0005-0000-0000-00006C260000}"/>
    <cellStyle name="Millares 2 7 2 5 3 2 2" xfId="14798" xr:uid="{00000000-0005-0000-0000-00006D260000}"/>
    <cellStyle name="Millares 2 7 2 5 3 2 2 2" xfId="28366" xr:uid="{00000000-0005-0000-0000-00006E260000}"/>
    <cellStyle name="Millares 2 7 2 5 3 2 2 2 2" xfId="55499" xr:uid="{00000000-0005-0000-0000-00006F260000}"/>
    <cellStyle name="Millares 2 7 2 5 3 2 2 3" xfId="41937" xr:uid="{00000000-0005-0000-0000-000070260000}"/>
    <cellStyle name="Millares 2 7 2 5 3 2 3" xfId="21585" xr:uid="{00000000-0005-0000-0000-000071260000}"/>
    <cellStyle name="Millares 2 7 2 5 3 2 3 2" xfId="48718" xr:uid="{00000000-0005-0000-0000-000072260000}"/>
    <cellStyle name="Millares 2 7 2 5 3 2 4" xfId="35156" xr:uid="{00000000-0005-0000-0000-000073260000}"/>
    <cellStyle name="Millares 2 7 2 5 3 3" xfId="11409" xr:uid="{00000000-0005-0000-0000-000074260000}"/>
    <cellStyle name="Millares 2 7 2 5 3 3 2" xfId="24977" xr:uid="{00000000-0005-0000-0000-000075260000}"/>
    <cellStyle name="Millares 2 7 2 5 3 3 2 2" xfId="52110" xr:uid="{00000000-0005-0000-0000-000076260000}"/>
    <cellStyle name="Millares 2 7 2 5 3 3 3" xfId="38548" xr:uid="{00000000-0005-0000-0000-000077260000}"/>
    <cellStyle name="Millares 2 7 2 5 3 4" xfId="18196" xr:uid="{00000000-0005-0000-0000-000078260000}"/>
    <cellStyle name="Millares 2 7 2 5 3 4 2" xfId="45329" xr:uid="{00000000-0005-0000-0000-000079260000}"/>
    <cellStyle name="Millares 2 7 2 5 3 5" xfId="31767" xr:uid="{00000000-0005-0000-0000-00007A260000}"/>
    <cellStyle name="Millares 2 7 2 5 4" xfId="8006" xr:uid="{00000000-0005-0000-0000-00007B260000}"/>
    <cellStyle name="Millares 2 7 2 5 4 2" xfId="14796" xr:uid="{00000000-0005-0000-0000-00007C260000}"/>
    <cellStyle name="Millares 2 7 2 5 4 2 2" xfId="28364" xr:uid="{00000000-0005-0000-0000-00007D260000}"/>
    <cellStyle name="Millares 2 7 2 5 4 2 2 2" xfId="55497" xr:uid="{00000000-0005-0000-0000-00007E260000}"/>
    <cellStyle name="Millares 2 7 2 5 4 2 3" xfId="41935" xr:uid="{00000000-0005-0000-0000-00007F260000}"/>
    <cellStyle name="Millares 2 7 2 5 4 3" xfId="21583" xr:uid="{00000000-0005-0000-0000-000080260000}"/>
    <cellStyle name="Millares 2 7 2 5 4 3 2" xfId="48716" xr:uid="{00000000-0005-0000-0000-000081260000}"/>
    <cellStyle name="Millares 2 7 2 5 4 4" xfId="35154" xr:uid="{00000000-0005-0000-0000-000082260000}"/>
    <cellStyle name="Millares 2 7 2 5 5" xfId="11407" xr:uid="{00000000-0005-0000-0000-000083260000}"/>
    <cellStyle name="Millares 2 7 2 5 5 2" xfId="24975" xr:uid="{00000000-0005-0000-0000-000084260000}"/>
    <cellStyle name="Millares 2 7 2 5 5 2 2" xfId="52108" xr:uid="{00000000-0005-0000-0000-000085260000}"/>
    <cellStyle name="Millares 2 7 2 5 5 3" xfId="38546" xr:uid="{00000000-0005-0000-0000-000086260000}"/>
    <cellStyle name="Millares 2 7 2 5 6" xfId="18194" xr:uid="{00000000-0005-0000-0000-000087260000}"/>
    <cellStyle name="Millares 2 7 2 5 6 2" xfId="45327" xr:uid="{00000000-0005-0000-0000-000088260000}"/>
    <cellStyle name="Millares 2 7 2 5 7" xfId="31765" xr:uid="{00000000-0005-0000-0000-000089260000}"/>
    <cellStyle name="Millares 2 7 2 6" xfId="4399" xr:uid="{00000000-0005-0000-0000-00008A260000}"/>
    <cellStyle name="Millares 2 7 2 6 2" xfId="4400" xr:uid="{00000000-0005-0000-0000-00008B260000}"/>
    <cellStyle name="Millares 2 7 2 6 2 2" xfId="8010" xr:uid="{00000000-0005-0000-0000-00008C260000}"/>
    <cellStyle name="Millares 2 7 2 6 2 2 2" xfId="14800" xr:uid="{00000000-0005-0000-0000-00008D260000}"/>
    <cellStyle name="Millares 2 7 2 6 2 2 2 2" xfId="28368" xr:uid="{00000000-0005-0000-0000-00008E260000}"/>
    <cellStyle name="Millares 2 7 2 6 2 2 2 2 2" xfId="55501" xr:uid="{00000000-0005-0000-0000-00008F260000}"/>
    <cellStyle name="Millares 2 7 2 6 2 2 2 3" xfId="41939" xr:uid="{00000000-0005-0000-0000-000090260000}"/>
    <cellStyle name="Millares 2 7 2 6 2 2 3" xfId="21587" xr:uid="{00000000-0005-0000-0000-000091260000}"/>
    <cellStyle name="Millares 2 7 2 6 2 2 3 2" xfId="48720" xr:uid="{00000000-0005-0000-0000-000092260000}"/>
    <cellStyle name="Millares 2 7 2 6 2 2 4" xfId="35158" xr:uid="{00000000-0005-0000-0000-000093260000}"/>
    <cellStyle name="Millares 2 7 2 6 2 3" xfId="11411" xr:uid="{00000000-0005-0000-0000-000094260000}"/>
    <cellStyle name="Millares 2 7 2 6 2 3 2" xfId="24979" xr:uid="{00000000-0005-0000-0000-000095260000}"/>
    <cellStyle name="Millares 2 7 2 6 2 3 2 2" xfId="52112" xr:uid="{00000000-0005-0000-0000-000096260000}"/>
    <cellStyle name="Millares 2 7 2 6 2 3 3" xfId="38550" xr:uid="{00000000-0005-0000-0000-000097260000}"/>
    <cellStyle name="Millares 2 7 2 6 2 4" xfId="18198" xr:uid="{00000000-0005-0000-0000-000098260000}"/>
    <cellStyle name="Millares 2 7 2 6 2 4 2" xfId="45331" xr:uid="{00000000-0005-0000-0000-000099260000}"/>
    <cellStyle name="Millares 2 7 2 6 2 5" xfId="31769" xr:uid="{00000000-0005-0000-0000-00009A260000}"/>
    <cellStyle name="Millares 2 7 2 6 3" xfId="4401" xr:uid="{00000000-0005-0000-0000-00009B260000}"/>
    <cellStyle name="Millares 2 7 2 6 3 2" xfId="8011" xr:uid="{00000000-0005-0000-0000-00009C260000}"/>
    <cellStyle name="Millares 2 7 2 6 3 2 2" xfId="14801" xr:uid="{00000000-0005-0000-0000-00009D260000}"/>
    <cellStyle name="Millares 2 7 2 6 3 2 2 2" xfId="28369" xr:uid="{00000000-0005-0000-0000-00009E260000}"/>
    <cellStyle name="Millares 2 7 2 6 3 2 2 2 2" xfId="55502" xr:uid="{00000000-0005-0000-0000-00009F260000}"/>
    <cellStyle name="Millares 2 7 2 6 3 2 2 3" xfId="41940" xr:uid="{00000000-0005-0000-0000-0000A0260000}"/>
    <cellStyle name="Millares 2 7 2 6 3 2 3" xfId="21588" xr:uid="{00000000-0005-0000-0000-0000A1260000}"/>
    <cellStyle name="Millares 2 7 2 6 3 2 3 2" xfId="48721" xr:uid="{00000000-0005-0000-0000-0000A2260000}"/>
    <cellStyle name="Millares 2 7 2 6 3 2 4" xfId="35159" xr:uid="{00000000-0005-0000-0000-0000A3260000}"/>
    <cellStyle name="Millares 2 7 2 6 3 3" xfId="11412" xr:uid="{00000000-0005-0000-0000-0000A4260000}"/>
    <cellStyle name="Millares 2 7 2 6 3 3 2" xfId="24980" xr:uid="{00000000-0005-0000-0000-0000A5260000}"/>
    <cellStyle name="Millares 2 7 2 6 3 3 2 2" xfId="52113" xr:uid="{00000000-0005-0000-0000-0000A6260000}"/>
    <cellStyle name="Millares 2 7 2 6 3 3 3" xfId="38551" xr:uid="{00000000-0005-0000-0000-0000A7260000}"/>
    <cellStyle name="Millares 2 7 2 6 3 4" xfId="18199" xr:uid="{00000000-0005-0000-0000-0000A8260000}"/>
    <cellStyle name="Millares 2 7 2 6 3 4 2" xfId="45332" xr:uid="{00000000-0005-0000-0000-0000A9260000}"/>
    <cellStyle name="Millares 2 7 2 6 3 5" xfId="31770" xr:uid="{00000000-0005-0000-0000-0000AA260000}"/>
    <cellStyle name="Millares 2 7 2 6 4" xfId="8009" xr:uid="{00000000-0005-0000-0000-0000AB260000}"/>
    <cellStyle name="Millares 2 7 2 6 4 2" xfId="14799" xr:uid="{00000000-0005-0000-0000-0000AC260000}"/>
    <cellStyle name="Millares 2 7 2 6 4 2 2" xfId="28367" xr:uid="{00000000-0005-0000-0000-0000AD260000}"/>
    <cellStyle name="Millares 2 7 2 6 4 2 2 2" xfId="55500" xr:uid="{00000000-0005-0000-0000-0000AE260000}"/>
    <cellStyle name="Millares 2 7 2 6 4 2 3" xfId="41938" xr:uid="{00000000-0005-0000-0000-0000AF260000}"/>
    <cellStyle name="Millares 2 7 2 6 4 3" xfId="21586" xr:uid="{00000000-0005-0000-0000-0000B0260000}"/>
    <cellStyle name="Millares 2 7 2 6 4 3 2" xfId="48719" xr:uid="{00000000-0005-0000-0000-0000B1260000}"/>
    <cellStyle name="Millares 2 7 2 6 4 4" xfId="35157" xr:uid="{00000000-0005-0000-0000-0000B2260000}"/>
    <cellStyle name="Millares 2 7 2 6 5" xfId="11410" xr:uid="{00000000-0005-0000-0000-0000B3260000}"/>
    <cellStyle name="Millares 2 7 2 6 5 2" xfId="24978" xr:uid="{00000000-0005-0000-0000-0000B4260000}"/>
    <cellStyle name="Millares 2 7 2 6 5 2 2" xfId="52111" xr:uid="{00000000-0005-0000-0000-0000B5260000}"/>
    <cellStyle name="Millares 2 7 2 6 5 3" xfId="38549" xr:uid="{00000000-0005-0000-0000-0000B6260000}"/>
    <cellStyle name="Millares 2 7 2 6 6" xfId="18197" xr:uid="{00000000-0005-0000-0000-0000B7260000}"/>
    <cellStyle name="Millares 2 7 2 6 6 2" xfId="45330" xr:uid="{00000000-0005-0000-0000-0000B8260000}"/>
    <cellStyle name="Millares 2 7 2 6 7" xfId="31768" xr:uid="{00000000-0005-0000-0000-0000B9260000}"/>
    <cellStyle name="Millares 2 7 2 7" xfId="4402" xr:uid="{00000000-0005-0000-0000-0000BA260000}"/>
    <cellStyle name="Millares 2 7 2 7 2" xfId="8012" xr:uid="{00000000-0005-0000-0000-0000BB260000}"/>
    <cellStyle name="Millares 2 7 2 7 2 2" xfId="14802" xr:uid="{00000000-0005-0000-0000-0000BC260000}"/>
    <cellStyle name="Millares 2 7 2 7 2 2 2" xfId="28370" xr:uid="{00000000-0005-0000-0000-0000BD260000}"/>
    <cellStyle name="Millares 2 7 2 7 2 2 2 2" xfId="55503" xr:uid="{00000000-0005-0000-0000-0000BE260000}"/>
    <cellStyle name="Millares 2 7 2 7 2 2 3" xfId="41941" xr:uid="{00000000-0005-0000-0000-0000BF260000}"/>
    <cellStyle name="Millares 2 7 2 7 2 3" xfId="21589" xr:uid="{00000000-0005-0000-0000-0000C0260000}"/>
    <cellStyle name="Millares 2 7 2 7 2 3 2" xfId="48722" xr:uid="{00000000-0005-0000-0000-0000C1260000}"/>
    <cellStyle name="Millares 2 7 2 7 2 4" xfId="35160" xr:uid="{00000000-0005-0000-0000-0000C2260000}"/>
    <cellStyle name="Millares 2 7 2 7 3" xfId="11413" xr:uid="{00000000-0005-0000-0000-0000C3260000}"/>
    <cellStyle name="Millares 2 7 2 7 3 2" xfId="24981" xr:uid="{00000000-0005-0000-0000-0000C4260000}"/>
    <cellStyle name="Millares 2 7 2 7 3 2 2" xfId="52114" xr:uid="{00000000-0005-0000-0000-0000C5260000}"/>
    <cellStyle name="Millares 2 7 2 7 3 3" xfId="38552" xr:uid="{00000000-0005-0000-0000-0000C6260000}"/>
    <cellStyle name="Millares 2 7 2 7 4" xfId="18200" xr:uid="{00000000-0005-0000-0000-0000C7260000}"/>
    <cellStyle name="Millares 2 7 2 7 4 2" xfId="45333" xr:uid="{00000000-0005-0000-0000-0000C8260000}"/>
    <cellStyle name="Millares 2 7 2 7 5" xfId="31771" xr:uid="{00000000-0005-0000-0000-0000C9260000}"/>
    <cellStyle name="Millares 2 7 2 8" xfId="4403" xr:uid="{00000000-0005-0000-0000-0000CA260000}"/>
    <cellStyle name="Millares 2 7 2 8 2" xfId="8013" xr:uid="{00000000-0005-0000-0000-0000CB260000}"/>
    <cellStyle name="Millares 2 7 2 8 2 2" xfId="14803" xr:uid="{00000000-0005-0000-0000-0000CC260000}"/>
    <cellStyle name="Millares 2 7 2 8 2 2 2" xfId="28371" xr:uid="{00000000-0005-0000-0000-0000CD260000}"/>
    <cellStyle name="Millares 2 7 2 8 2 2 2 2" xfId="55504" xr:uid="{00000000-0005-0000-0000-0000CE260000}"/>
    <cellStyle name="Millares 2 7 2 8 2 2 3" xfId="41942" xr:uid="{00000000-0005-0000-0000-0000CF260000}"/>
    <cellStyle name="Millares 2 7 2 8 2 3" xfId="21590" xr:uid="{00000000-0005-0000-0000-0000D0260000}"/>
    <cellStyle name="Millares 2 7 2 8 2 3 2" xfId="48723" xr:uid="{00000000-0005-0000-0000-0000D1260000}"/>
    <cellStyle name="Millares 2 7 2 8 2 4" xfId="35161" xr:uid="{00000000-0005-0000-0000-0000D2260000}"/>
    <cellStyle name="Millares 2 7 2 8 3" xfId="11414" xr:uid="{00000000-0005-0000-0000-0000D3260000}"/>
    <cellStyle name="Millares 2 7 2 8 3 2" xfId="24982" xr:uid="{00000000-0005-0000-0000-0000D4260000}"/>
    <cellStyle name="Millares 2 7 2 8 3 2 2" xfId="52115" xr:uid="{00000000-0005-0000-0000-0000D5260000}"/>
    <cellStyle name="Millares 2 7 2 8 3 3" xfId="38553" xr:uid="{00000000-0005-0000-0000-0000D6260000}"/>
    <cellStyle name="Millares 2 7 2 8 4" xfId="18201" xr:uid="{00000000-0005-0000-0000-0000D7260000}"/>
    <cellStyle name="Millares 2 7 2 8 4 2" xfId="45334" xr:uid="{00000000-0005-0000-0000-0000D8260000}"/>
    <cellStyle name="Millares 2 7 2 8 5" xfId="31772" xr:uid="{00000000-0005-0000-0000-0000D9260000}"/>
    <cellStyle name="Millares 2 7 2 9" xfId="7975" xr:uid="{00000000-0005-0000-0000-0000DA260000}"/>
    <cellStyle name="Millares 2 7 2 9 2" xfId="14765" xr:uid="{00000000-0005-0000-0000-0000DB260000}"/>
    <cellStyle name="Millares 2 7 2 9 2 2" xfId="28333" xr:uid="{00000000-0005-0000-0000-0000DC260000}"/>
    <cellStyle name="Millares 2 7 2 9 2 2 2" xfId="55466" xr:uid="{00000000-0005-0000-0000-0000DD260000}"/>
    <cellStyle name="Millares 2 7 2 9 2 3" xfId="41904" xr:uid="{00000000-0005-0000-0000-0000DE260000}"/>
    <cellStyle name="Millares 2 7 2 9 3" xfId="21552" xr:uid="{00000000-0005-0000-0000-0000DF260000}"/>
    <cellStyle name="Millares 2 7 2 9 3 2" xfId="48685" xr:uid="{00000000-0005-0000-0000-0000E0260000}"/>
    <cellStyle name="Millares 2 7 2 9 4" xfId="35123" xr:uid="{00000000-0005-0000-0000-0000E1260000}"/>
    <cellStyle name="Millares 2 7 3" xfId="4404" xr:uid="{00000000-0005-0000-0000-0000E2260000}"/>
    <cellStyle name="Millares 2 7 3 10" xfId="31773" xr:uid="{00000000-0005-0000-0000-0000E3260000}"/>
    <cellStyle name="Millares 2 7 3 2" xfId="4405" xr:uid="{00000000-0005-0000-0000-0000E4260000}"/>
    <cellStyle name="Millares 2 7 3 2 2" xfId="4406" xr:uid="{00000000-0005-0000-0000-0000E5260000}"/>
    <cellStyle name="Millares 2 7 3 2 2 2" xfId="4407" xr:uid="{00000000-0005-0000-0000-0000E6260000}"/>
    <cellStyle name="Millares 2 7 3 2 2 2 2" xfId="8017" xr:uid="{00000000-0005-0000-0000-0000E7260000}"/>
    <cellStyle name="Millares 2 7 3 2 2 2 2 2" xfId="14807" xr:uid="{00000000-0005-0000-0000-0000E8260000}"/>
    <cellStyle name="Millares 2 7 3 2 2 2 2 2 2" xfId="28375" xr:uid="{00000000-0005-0000-0000-0000E9260000}"/>
    <cellStyle name="Millares 2 7 3 2 2 2 2 2 2 2" xfId="55508" xr:uid="{00000000-0005-0000-0000-0000EA260000}"/>
    <cellStyle name="Millares 2 7 3 2 2 2 2 2 3" xfId="41946" xr:uid="{00000000-0005-0000-0000-0000EB260000}"/>
    <cellStyle name="Millares 2 7 3 2 2 2 2 3" xfId="21594" xr:uid="{00000000-0005-0000-0000-0000EC260000}"/>
    <cellStyle name="Millares 2 7 3 2 2 2 2 3 2" xfId="48727" xr:uid="{00000000-0005-0000-0000-0000ED260000}"/>
    <cellStyle name="Millares 2 7 3 2 2 2 2 4" xfId="35165" xr:uid="{00000000-0005-0000-0000-0000EE260000}"/>
    <cellStyle name="Millares 2 7 3 2 2 2 3" xfId="11418" xr:uid="{00000000-0005-0000-0000-0000EF260000}"/>
    <cellStyle name="Millares 2 7 3 2 2 2 3 2" xfId="24986" xr:uid="{00000000-0005-0000-0000-0000F0260000}"/>
    <cellStyle name="Millares 2 7 3 2 2 2 3 2 2" xfId="52119" xr:uid="{00000000-0005-0000-0000-0000F1260000}"/>
    <cellStyle name="Millares 2 7 3 2 2 2 3 3" xfId="38557" xr:uid="{00000000-0005-0000-0000-0000F2260000}"/>
    <cellStyle name="Millares 2 7 3 2 2 2 4" xfId="18205" xr:uid="{00000000-0005-0000-0000-0000F3260000}"/>
    <cellStyle name="Millares 2 7 3 2 2 2 4 2" xfId="45338" xr:uid="{00000000-0005-0000-0000-0000F4260000}"/>
    <cellStyle name="Millares 2 7 3 2 2 2 5" xfId="31776" xr:uid="{00000000-0005-0000-0000-0000F5260000}"/>
    <cellStyle name="Millares 2 7 3 2 2 3" xfId="4408" xr:uid="{00000000-0005-0000-0000-0000F6260000}"/>
    <cellStyle name="Millares 2 7 3 2 2 3 2" xfId="8018" xr:uid="{00000000-0005-0000-0000-0000F7260000}"/>
    <cellStyle name="Millares 2 7 3 2 2 3 2 2" xfId="14808" xr:uid="{00000000-0005-0000-0000-0000F8260000}"/>
    <cellStyle name="Millares 2 7 3 2 2 3 2 2 2" xfId="28376" xr:uid="{00000000-0005-0000-0000-0000F9260000}"/>
    <cellStyle name="Millares 2 7 3 2 2 3 2 2 2 2" xfId="55509" xr:uid="{00000000-0005-0000-0000-0000FA260000}"/>
    <cellStyle name="Millares 2 7 3 2 2 3 2 2 3" xfId="41947" xr:uid="{00000000-0005-0000-0000-0000FB260000}"/>
    <cellStyle name="Millares 2 7 3 2 2 3 2 3" xfId="21595" xr:uid="{00000000-0005-0000-0000-0000FC260000}"/>
    <cellStyle name="Millares 2 7 3 2 2 3 2 3 2" xfId="48728" xr:uid="{00000000-0005-0000-0000-0000FD260000}"/>
    <cellStyle name="Millares 2 7 3 2 2 3 2 4" xfId="35166" xr:uid="{00000000-0005-0000-0000-0000FE260000}"/>
    <cellStyle name="Millares 2 7 3 2 2 3 3" xfId="11419" xr:uid="{00000000-0005-0000-0000-0000FF260000}"/>
    <cellStyle name="Millares 2 7 3 2 2 3 3 2" xfId="24987" xr:uid="{00000000-0005-0000-0000-000000270000}"/>
    <cellStyle name="Millares 2 7 3 2 2 3 3 2 2" xfId="52120" xr:uid="{00000000-0005-0000-0000-000001270000}"/>
    <cellStyle name="Millares 2 7 3 2 2 3 3 3" xfId="38558" xr:uid="{00000000-0005-0000-0000-000002270000}"/>
    <cellStyle name="Millares 2 7 3 2 2 3 4" xfId="18206" xr:uid="{00000000-0005-0000-0000-000003270000}"/>
    <cellStyle name="Millares 2 7 3 2 2 3 4 2" xfId="45339" xr:uid="{00000000-0005-0000-0000-000004270000}"/>
    <cellStyle name="Millares 2 7 3 2 2 3 5" xfId="31777" xr:uid="{00000000-0005-0000-0000-000005270000}"/>
    <cellStyle name="Millares 2 7 3 2 2 4" xfId="8016" xr:uid="{00000000-0005-0000-0000-000006270000}"/>
    <cellStyle name="Millares 2 7 3 2 2 4 2" xfId="14806" xr:uid="{00000000-0005-0000-0000-000007270000}"/>
    <cellStyle name="Millares 2 7 3 2 2 4 2 2" xfId="28374" xr:uid="{00000000-0005-0000-0000-000008270000}"/>
    <cellStyle name="Millares 2 7 3 2 2 4 2 2 2" xfId="55507" xr:uid="{00000000-0005-0000-0000-000009270000}"/>
    <cellStyle name="Millares 2 7 3 2 2 4 2 3" xfId="41945" xr:uid="{00000000-0005-0000-0000-00000A270000}"/>
    <cellStyle name="Millares 2 7 3 2 2 4 3" xfId="21593" xr:uid="{00000000-0005-0000-0000-00000B270000}"/>
    <cellStyle name="Millares 2 7 3 2 2 4 3 2" xfId="48726" xr:uid="{00000000-0005-0000-0000-00000C270000}"/>
    <cellStyle name="Millares 2 7 3 2 2 4 4" xfId="35164" xr:uid="{00000000-0005-0000-0000-00000D270000}"/>
    <cellStyle name="Millares 2 7 3 2 2 5" xfId="11417" xr:uid="{00000000-0005-0000-0000-00000E270000}"/>
    <cellStyle name="Millares 2 7 3 2 2 5 2" xfId="24985" xr:uid="{00000000-0005-0000-0000-00000F270000}"/>
    <cellStyle name="Millares 2 7 3 2 2 5 2 2" xfId="52118" xr:uid="{00000000-0005-0000-0000-000010270000}"/>
    <cellStyle name="Millares 2 7 3 2 2 5 3" xfId="38556" xr:uid="{00000000-0005-0000-0000-000011270000}"/>
    <cellStyle name="Millares 2 7 3 2 2 6" xfId="18204" xr:uid="{00000000-0005-0000-0000-000012270000}"/>
    <cellStyle name="Millares 2 7 3 2 2 6 2" xfId="45337" xr:uid="{00000000-0005-0000-0000-000013270000}"/>
    <cellStyle name="Millares 2 7 3 2 2 7" xfId="31775" xr:uid="{00000000-0005-0000-0000-000014270000}"/>
    <cellStyle name="Millares 2 7 3 2 3" xfId="4409" xr:uid="{00000000-0005-0000-0000-000015270000}"/>
    <cellStyle name="Millares 2 7 3 2 3 2" xfId="4410" xr:uid="{00000000-0005-0000-0000-000016270000}"/>
    <cellStyle name="Millares 2 7 3 2 3 2 2" xfId="8020" xr:uid="{00000000-0005-0000-0000-000017270000}"/>
    <cellStyle name="Millares 2 7 3 2 3 2 2 2" xfId="14810" xr:uid="{00000000-0005-0000-0000-000018270000}"/>
    <cellStyle name="Millares 2 7 3 2 3 2 2 2 2" xfId="28378" xr:uid="{00000000-0005-0000-0000-000019270000}"/>
    <cellStyle name="Millares 2 7 3 2 3 2 2 2 2 2" xfId="55511" xr:uid="{00000000-0005-0000-0000-00001A270000}"/>
    <cellStyle name="Millares 2 7 3 2 3 2 2 2 3" xfId="41949" xr:uid="{00000000-0005-0000-0000-00001B270000}"/>
    <cellStyle name="Millares 2 7 3 2 3 2 2 3" xfId="21597" xr:uid="{00000000-0005-0000-0000-00001C270000}"/>
    <cellStyle name="Millares 2 7 3 2 3 2 2 3 2" xfId="48730" xr:uid="{00000000-0005-0000-0000-00001D270000}"/>
    <cellStyle name="Millares 2 7 3 2 3 2 2 4" xfId="35168" xr:uid="{00000000-0005-0000-0000-00001E270000}"/>
    <cellStyle name="Millares 2 7 3 2 3 2 3" xfId="11421" xr:uid="{00000000-0005-0000-0000-00001F270000}"/>
    <cellStyle name="Millares 2 7 3 2 3 2 3 2" xfId="24989" xr:uid="{00000000-0005-0000-0000-000020270000}"/>
    <cellStyle name="Millares 2 7 3 2 3 2 3 2 2" xfId="52122" xr:uid="{00000000-0005-0000-0000-000021270000}"/>
    <cellStyle name="Millares 2 7 3 2 3 2 3 3" xfId="38560" xr:uid="{00000000-0005-0000-0000-000022270000}"/>
    <cellStyle name="Millares 2 7 3 2 3 2 4" xfId="18208" xr:uid="{00000000-0005-0000-0000-000023270000}"/>
    <cellStyle name="Millares 2 7 3 2 3 2 4 2" xfId="45341" xr:uid="{00000000-0005-0000-0000-000024270000}"/>
    <cellStyle name="Millares 2 7 3 2 3 2 5" xfId="31779" xr:uid="{00000000-0005-0000-0000-000025270000}"/>
    <cellStyle name="Millares 2 7 3 2 3 3" xfId="8019" xr:uid="{00000000-0005-0000-0000-000026270000}"/>
    <cellStyle name="Millares 2 7 3 2 3 3 2" xfId="14809" xr:uid="{00000000-0005-0000-0000-000027270000}"/>
    <cellStyle name="Millares 2 7 3 2 3 3 2 2" xfId="28377" xr:uid="{00000000-0005-0000-0000-000028270000}"/>
    <cellStyle name="Millares 2 7 3 2 3 3 2 2 2" xfId="55510" xr:uid="{00000000-0005-0000-0000-000029270000}"/>
    <cellStyle name="Millares 2 7 3 2 3 3 2 3" xfId="41948" xr:uid="{00000000-0005-0000-0000-00002A270000}"/>
    <cellStyle name="Millares 2 7 3 2 3 3 3" xfId="21596" xr:uid="{00000000-0005-0000-0000-00002B270000}"/>
    <cellStyle name="Millares 2 7 3 2 3 3 3 2" xfId="48729" xr:uid="{00000000-0005-0000-0000-00002C270000}"/>
    <cellStyle name="Millares 2 7 3 2 3 3 4" xfId="35167" xr:uid="{00000000-0005-0000-0000-00002D270000}"/>
    <cellStyle name="Millares 2 7 3 2 3 4" xfId="11420" xr:uid="{00000000-0005-0000-0000-00002E270000}"/>
    <cellStyle name="Millares 2 7 3 2 3 4 2" xfId="24988" xr:uid="{00000000-0005-0000-0000-00002F270000}"/>
    <cellStyle name="Millares 2 7 3 2 3 4 2 2" xfId="52121" xr:uid="{00000000-0005-0000-0000-000030270000}"/>
    <cellStyle name="Millares 2 7 3 2 3 4 3" xfId="38559" xr:uid="{00000000-0005-0000-0000-000031270000}"/>
    <cellStyle name="Millares 2 7 3 2 3 5" xfId="18207" xr:uid="{00000000-0005-0000-0000-000032270000}"/>
    <cellStyle name="Millares 2 7 3 2 3 5 2" xfId="45340" xr:uid="{00000000-0005-0000-0000-000033270000}"/>
    <cellStyle name="Millares 2 7 3 2 3 6" xfId="31778" xr:uid="{00000000-0005-0000-0000-000034270000}"/>
    <cellStyle name="Millares 2 7 3 2 4" xfId="4411" xr:uid="{00000000-0005-0000-0000-000035270000}"/>
    <cellStyle name="Millares 2 7 3 2 4 2" xfId="8021" xr:uid="{00000000-0005-0000-0000-000036270000}"/>
    <cellStyle name="Millares 2 7 3 2 4 2 2" xfId="14811" xr:uid="{00000000-0005-0000-0000-000037270000}"/>
    <cellStyle name="Millares 2 7 3 2 4 2 2 2" xfId="28379" xr:uid="{00000000-0005-0000-0000-000038270000}"/>
    <cellStyle name="Millares 2 7 3 2 4 2 2 2 2" xfId="55512" xr:uid="{00000000-0005-0000-0000-000039270000}"/>
    <cellStyle name="Millares 2 7 3 2 4 2 2 3" xfId="41950" xr:uid="{00000000-0005-0000-0000-00003A270000}"/>
    <cellStyle name="Millares 2 7 3 2 4 2 3" xfId="21598" xr:uid="{00000000-0005-0000-0000-00003B270000}"/>
    <cellStyle name="Millares 2 7 3 2 4 2 3 2" xfId="48731" xr:uid="{00000000-0005-0000-0000-00003C270000}"/>
    <cellStyle name="Millares 2 7 3 2 4 2 4" xfId="35169" xr:uid="{00000000-0005-0000-0000-00003D270000}"/>
    <cellStyle name="Millares 2 7 3 2 4 3" xfId="11422" xr:uid="{00000000-0005-0000-0000-00003E270000}"/>
    <cellStyle name="Millares 2 7 3 2 4 3 2" xfId="24990" xr:uid="{00000000-0005-0000-0000-00003F270000}"/>
    <cellStyle name="Millares 2 7 3 2 4 3 2 2" xfId="52123" xr:uid="{00000000-0005-0000-0000-000040270000}"/>
    <cellStyle name="Millares 2 7 3 2 4 3 3" xfId="38561" xr:uid="{00000000-0005-0000-0000-000041270000}"/>
    <cellStyle name="Millares 2 7 3 2 4 4" xfId="18209" xr:uid="{00000000-0005-0000-0000-000042270000}"/>
    <cellStyle name="Millares 2 7 3 2 4 4 2" xfId="45342" xr:uid="{00000000-0005-0000-0000-000043270000}"/>
    <cellStyle name="Millares 2 7 3 2 4 5" xfId="31780" xr:uid="{00000000-0005-0000-0000-000044270000}"/>
    <cellStyle name="Millares 2 7 3 2 5" xfId="4412" xr:uid="{00000000-0005-0000-0000-000045270000}"/>
    <cellStyle name="Millares 2 7 3 2 5 2" xfId="8022" xr:uid="{00000000-0005-0000-0000-000046270000}"/>
    <cellStyle name="Millares 2 7 3 2 5 2 2" xfId="14812" xr:uid="{00000000-0005-0000-0000-000047270000}"/>
    <cellStyle name="Millares 2 7 3 2 5 2 2 2" xfId="28380" xr:uid="{00000000-0005-0000-0000-000048270000}"/>
    <cellStyle name="Millares 2 7 3 2 5 2 2 2 2" xfId="55513" xr:uid="{00000000-0005-0000-0000-000049270000}"/>
    <cellStyle name="Millares 2 7 3 2 5 2 2 3" xfId="41951" xr:uid="{00000000-0005-0000-0000-00004A270000}"/>
    <cellStyle name="Millares 2 7 3 2 5 2 3" xfId="21599" xr:uid="{00000000-0005-0000-0000-00004B270000}"/>
    <cellStyle name="Millares 2 7 3 2 5 2 3 2" xfId="48732" xr:uid="{00000000-0005-0000-0000-00004C270000}"/>
    <cellStyle name="Millares 2 7 3 2 5 2 4" xfId="35170" xr:uid="{00000000-0005-0000-0000-00004D270000}"/>
    <cellStyle name="Millares 2 7 3 2 5 3" xfId="11423" xr:uid="{00000000-0005-0000-0000-00004E270000}"/>
    <cellStyle name="Millares 2 7 3 2 5 3 2" xfId="24991" xr:uid="{00000000-0005-0000-0000-00004F270000}"/>
    <cellStyle name="Millares 2 7 3 2 5 3 2 2" xfId="52124" xr:uid="{00000000-0005-0000-0000-000050270000}"/>
    <cellStyle name="Millares 2 7 3 2 5 3 3" xfId="38562" xr:uid="{00000000-0005-0000-0000-000051270000}"/>
    <cellStyle name="Millares 2 7 3 2 5 4" xfId="18210" xr:uid="{00000000-0005-0000-0000-000052270000}"/>
    <cellStyle name="Millares 2 7 3 2 5 4 2" xfId="45343" xr:uid="{00000000-0005-0000-0000-000053270000}"/>
    <cellStyle name="Millares 2 7 3 2 5 5" xfId="31781" xr:uid="{00000000-0005-0000-0000-000054270000}"/>
    <cellStyle name="Millares 2 7 3 2 6" xfId="8015" xr:uid="{00000000-0005-0000-0000-000055270000}"/>
    <cellStyle name="Millares 2 7 3 2 6 2" xfId="14805" xr:uid="{00000000-0005-0000-0000-000056270000}"/>
    <cellStyle name="Millares 2 7 3 2 6 2 2" xfId="28373" xr:uid="{00000000-0005-0000-0000-000057270000}"/>
    <cellStyle name="Millares 2 7 3 2 6 2 2 2" xfId="55506" xr:uid="{00000000-0005-0000-0000-000058270000}"/>
    <cellStyle name="Millares 2 7 3 2 6 2 3" xfId="41944" xr:uid="{00000000-0005-0000-0000-000059270000}"/>
    <cellStyle name="Millares 2 7 3 2 6 3" xfId="21592" xr:uid="{00000000-0005-0000-0000-00005A270000}"/>
    <cellStyle name="Millares 2 7 3 2 6 3 2" xfId="48725" xr:uid="{00000000-0005-0000-0000-00005B270000}"/>
    <cellStyle name="Millares 2 7 3 2 6 4" xfId="35163" xr:uid="{00000000-0005-0000-0000-00005C270000}"/>
    <cellStyle name="Millares 2 7 3 2 7" xfId="11416" xr:uid="{00000000-0005-0000-0000-00005D270000}"/>
    <cellStyle name="Millares 2 7 3 2 7 2" xfId="24984" xr:uid="{00000000-0005-0000-0000-00005E270000}"/>
    <cellStyle name="Millares 2 7 3 2 7 2 2" xfId="52117" xr:uid="{00000000-0005-0000-0000-00005F270000}"/>
    <cellStyle name="Millares 2 7 3 2 7 3" xfId="38555" xr:uid="{00000000-0005-0000-0000-000060270000}"/>
    <cellStyle name="Millares 2 7 3 2 8" xfId="18203" xr:uid="{00000000-0005-0000-0000-000061270000}"/>
    <cellStyle name="Millares 2 7 3 2 8 2" xfId="45336" xr:uid="{00000000-0005-0000-0000-000062270000}"/>
    <cellStyle name="Millares 2 7 3 2 9" xfId="31774" xr:uid="{00000000-0005-0000-0000-000063270000}"/>
    <cellStyle name="Millares 2 7 3 3" xfId="4413" xr:uid="{00000000-0005-0000-0000-000064270000}"/>
    <cellStyle name="Millares 2 7 3 3 2" xfId="4414" xr:uid="{00000000-0005-0000-0000-000065270000}"/>
    <cellStyle name="Millares 2 7 3 3 2 2" xfId="8024" xr:uid="{00000000-0005-0000-0000-000066270000}"/>
    <cellStyle name="Millares 2 7 3 3 2 2 2" xfId="14814" xr:uid="{00000000-0005-0000-0000-000067270000}"/>
    <cellStyle name="Millares 2 7 3 3 2 2 2 2" xfId="28382" xr:uid="{00000000-0005-0000-0000-000068270000}"/>
    <cellStyle name="Millares 2 7 3 3 2 2 2 2 2" xfId="55515" xr:uid="{00000000-0005-0000-0000-000069270000}"/>
    <cellStyle name="Millares 2 7 3 3 2 2 2 3" xfId="41953" xr:uid="{00000000-0005-0000-0000-00006A270000}"/>
    <cellStyle name="Millares 2 7 3 3 2 2 3" xfId="21601" xr:uid="{00000000-0005-0000-0000-00006B270000}"/>
    <cellStyle name="Millares 2 7 3 3 2 2 3 2" xfId="48734" xr:uid="{00000000-0005-0000-0000-00006C270000}"/>
    <cellStyle name="Millares 2 7 3 3 2 2 4" xfId="35172" xr:uid="{00000000-0005-0000-0000-00006D270000}"/>
    <cellStyle name="Millares 2 7 3 3 2 3" xfId="11425" xr:uid="{00000000-0005-0000-0000-00006E270000}"/>
    <cellStyle name="Millares 2 7 3 3 2 3 2" xfId="24993" xr:uid="{00000000-0005-0000-0000-00006F270000}"/>
    <cellStyle name="Millares 2 7 3 3 2 3 2 2" xfId="52126" xr:uid="{00000000-0005-0000-0000-000070270000}"/>
    <cellStyle name="Millares 2 7 3 3 2 3 3" xfId="38564" xr:uid="{00000000-0005-0000-0000-000071270000}"/>
    <cellStyle name="Millares 2 7 3 3 2 4" xfId="18212" xr:uid="{00000000-0005-0000-0000-000072270000}"/>
    <cellStyle name="Millares 2 7 3 3 2 4 2" xfId="45345" xr:uid="{00000000-0005-0000-0000-000073270000}"/>
    <cellStyle name="Millares 2 7 3 3 2 5" xfId="31783" xr:uid="{00000000-0005-0000-0000-000074270000}"/>
    <cellStyle name="Millares 2 7 3 3 3" xfId="4415" xr:uid="{00000000-0005-0000-0000-000075270000}"/>
    <cellStyle name="Millares 2 7 3 3 3 2" xfId="8025" xr:uid="{00000000-0005-0000-0000-000076270000}"/>
    <cellStyle name="Millares 2 7 3 3 3 2 2" xfId="14815" xr:uid="{00000000-0005-0000-0000-000077270000}"/>
    <cellStyle name="Millares 2 7 3 3 3 2 2 2" xfId="28383" xr:uid="{00000000-0005-0000-0000-000078270000}"/>
    <cellStyle name="Millares 2 7 3 3 3 2 2 2 2" xfId="55516" xr:uid="{00000000-0005-0000-0000-000079270000}"/>
    <cellStyle name="Millares 2 7 3 3 3 2 2 3" xfId="41954" xr:uid="{00000000-0005-0000-0000-00007A270000}"/>
    <cellStyle name="Millares 2 7 3 3 3 2 3" xfId="21602" xr:uid="{00000000-0005-0000-0000-00007B270000}"/>
    <cellStyle name="Millares 2 7 3 3 3 2 3 2" xfId="48735" xr:uid="{00000000-0005-0000-0000-00007C270000}"/>
    <cellStyle name="Millares 2 7 3 3 3 2 4" xfId="35173" xr:uid="{00000000-0005-0000-0000-00007D270000}"/>
    <cellStyle name="Millares 2 7 3 3 3 3" xfId="11426" xr:uid="{00000000-0005-0000-0000-00007E270000}"/>
    <cellStyle name="Millares 2 7 3 3 3 3 2" xfId="24994" xr:uid="{00000000-0005-0000-0000-00007F270000}"/>
    <cellStyle name="Millares 2 7 3 3 3 3 2 2" xfId="52127" xr:uid="{00000000-0005-0000-0000-000080270000}"/>
    <cellStyle name="Millares 2 7 3 3 3 3 3" xfId="38565" xr:uid="{00000000-0005-0000-0000-000081270000}"/>
    <cellStyle name="Millares 2 7 3 3 3 4" xfId="18213" xr:uid="{00000000-0005-0000-0000-000082270000}"/>
    <cellStyle name="Millares 2 7 3 3 3 4 2" xfId="45346" xr:uid="{00000000-0005-0000-0000-000083270000}"/>
    <cellStyle name="Millares 2 7 3 3 3 5" xfId="31784" xr:uid="{00000000-0005-0000-0000-000084270000}"/>
    <cellStyle name="Millares 2 7 3 3 4" xfId="8023" xr:uid="{00000000-0005-0000-0000-000085270000}"/>
    <cellStyle name="Millares 2 7 3 3 4 2" xfId="14813" xr:uid="{00000000-0005-0000-0000-000086270000}"/>
    <cellStyle name="Millares 2 7 3 3 4 2 2" xfId="28381" xr:uid="{00000000-0005-0000-0000-000087270000}"/>
    <cellStyle name="Millares 2 7 3 3 4 2 2 2" xfId="55514" xr:uid="{00000000-0005-0000-0000-000088270000}"/>
    <cellStyle name="Millares 2 7 3 3 4 2 3" xfId="41952" xr:uid="{00000000-0005-0000-0000-000089270000}"/>
    <cellStyle name="Millares 2 7 3 3 4 3" xfId="21600" xr:uid="{00000000-0005-0000-0000-00008A270000}"/>
    <cellStyle name="Millares 2 7 3 3 4 3 2" xfId="48733" xr:uid="{00000000-0005-0000-0000-00008B270000}"/>
    <cellStyle name="Millares 2 7 3 3 4 4" xfId="35171" xr:uid="{00000000-0005-0000-0000-00008C270000}"/>
    <cellStyle name="Millares 2 7 3 3 5" xfId="11424" xr:uid="{00000000-0005-0000-0000-00008D270000}"/>
    <cellStyle name="Millares 2 7 3 3 5 2" xfId="24992" xr:uid="{00000000-0005-0000-0000-00008E270000}"/>
    <cellStyle name="Millares 2 7 3 3 5 2 2" xfId="52125" xr:uid="{00000000-0005-0000-0000-00008F270000}"/>
    <cellStyle name="Millares 2 7 3 3 5 3" xfId="38563" xr:uid="{00000000-0005-0000-0000-000090270000}"/>
    <cellStyle name="Millares 2 7 3 3 6" xfId="18211" xr:uid="{00000000-0005-0000-0000-000091270000}"/>
    <cellStyle name="Millares 2 7 3 3 6 2" xfId="45344" xr:uid="{00000000-0005-0000-0000-000092270000}"/>
    <cellStyle name="Millares 2 7 3 3 7" xfId="31782" xr:uid="{00000000-0005-0000-0000-000093270000}"/>
    <cellStyle name="Millares 2 7 3 4" xfId="4416" xr:uid="{00000000-0005-0000-0000-000094270000}"/>
    <cellStyle name="Millares 2 7 3 4 2" xfId="4417" xr:uid="{00000000-0005-0000-0000-000095270000}"/>
    <cellStyle name="Millares 2 7 3 4 2 2" xfId="8027" xr:uid="{00000000-0005-0000-0000-000096270000}"/>
    <cellStyle name="Millares 2 7 3 4 2 2 2" xfId="14817" xr:uid="{00000000-0005-0000-0000-000097270000}"/>
    <cellStyle name="Millares 2 7 3 4 2 2 2 2" xfId="28385" xr:uid="{00000000-0005-0000-0000-000098270000}"/>
    <cellStyle name="Millares 2 7 3 4 2 2 2 2 2" xfId="55518" xr:uid="{00000000-0005-0000-0000-000099270000}"/>
    <cellStyle name="Millares 2 7 3 4 2 2 2 3" xfId="41956" xr:uid="{00000000-0005-0000-0000-00009A270000}"/>
    <cellStyle name="Millares 2 7 3 4 2 2 3" xfId="21604" xr:uid="{00000000-0005-0000-0000-00009B270000}"/>
    <cellStyle name="Millares 2 7 3 4 2 2 3 2" xfId="48737" xr:uid="{00000000-0005-0000-0000-00009C270000}"/>
    <cellStyle name="Millares 2 7 3 4 2 2 4" xfId="35175" xr:uid="{00000000-0005-0000-0000-00009D270000}"/>
    <cellStyle name="Millares 2 7 3 4 2 3" xfId="11428" xr:uid="{00000000-0005-0000-0000-00009E270000}"/>
    <cellStyle name="Millares 2 7 3 4 2 3 2" xfId="24996" xr:uid="{00000000-0005-0000-0000-00009F270000}"/>
    <cellStyle name="Millares 2 7 3 4 2 3 2 2" xfId="52129" xr:uid="{00000000-0005-0000-0000-0000A0270000}"/>
    <cellStyle name="Millares 2 7 3 4 2 3 3" xfId="38567" xr:uid="{00000000-0005-0000-0000-0000A1270000}"/>
    <cellStyle name="Millares 2 7 3 4 2 4" xfId="18215" xr:uid="{00000000-0005-0000-0000-0000A2270000}"/>
    <cellStyle name="Millares 2 7 3 4 2 4 2" xfId="45348" xr:uid="{00000000-0005-0000-0000-0000A3270000}"/>
    <cellStyle name="Millares 2 7 3 4 2 5" xfId="31786" xr:uid="{00000000-0005-0000-0000-0000A4270000}"/>
    <cellStyle name="Millares 2 7 3 4 3" xfId="8026" xr:uid="{00000000-0005-0000-0000-0000A5270000}"/>
    <cellStyle name="Millares 2 7 3 4 3 2" xfId="14816" xr:uid="{00000000-0005-0000-0000-0000A6270000}"/>
    <cellStyle name="Millares 2 7 3 4 3 2 2" xfId="28384" xr:uid="{00000000-0005-0000-0000-0000A7270000}"/>
    <cellStyle name="Millares 2 7 3 4 3 2 2 2" xfId="55517" xr:uid="{00000000-0005-0000-0000-0000A8270000}"/>
    <cellStyle name="Millares 2 7 3 4 3 2 3" xfId="41955" xr:uid="{00000000-0005-0000-0000-0000A9270000}"/>
    <cellStyle name="Millares 2 7 3 4 3 3" xfId="21603" xr:uid="{00000000-0005-0000-0000-0000AA270000}"/>
    <cellStyle name="Millares 2 7 3 4 3 3 2" xfId="48736" xr:uid="{00000000-0005-0000-0000-0000AB270000}"/>
    <cellStyle name="Millares 2 7 3 4 3 4" xfId="35174" xr:uid="{00000000-0005-0000-0000-0000AC270000}"/>
    <cellStyle name="Millares 2 7 3 4 4" xfId="11427" xr:uid="{00000000-0005-0000-0000-0000AD270000}"/>
    <cellStyle name="Millares 2 7 3 4 4 2" xfId="24995" xr:uid="{00000000-0005-0000-0000-0000AE270000}"/>
    <cellStyle name="Millares 2 7 3 4 4 2 2" xfId="52128" xr:uid="{00000000-0005-0000-0000-0000AF270000}"/>
    <cellStyle name="Millares 2 7 3 4 4 3" xfId="38566" xr:uid="{00000000-0005-0000-0000-0000B0270000}"/>
    <cellStyle name="Millares 2 7 3 4 5" xfId="18214" xr:uid="{00000000-0005-0000-0000-0000B1270000}"/>
    <cellStyle name="Millares 2 7 3 4 5 2" xfId="45347" xr:uid="{00000000-0005-0000-0000-0000B2270000}"/>
    <cellStyle name="Millares 2 7 3 4 6" xfId="31785" xr:uid="{00000000-0005-0000-0000-0000B3270000}"/>
    <cellStyle name="Millares 2 7 3 5" xfId="4418" xr:uid="{00000000-0005-0000-0000-0000B4270000}"/>
    <cellStyle name="Millares 2 7 3 5 2" xfId="8028" xr:uid="{00000000-0005-0000-0000-0000B5270000}"/>
    <cellStyle name="Millares 2 7 3 5 2 2" xfId="14818" xr:uid="{00000000-0005-0000-0000-0000B6270000}"/>
    <cellStyle name="Millares 2 7 3 5 2 2 2" xfId="28386" xr:uid="{00000000-0005-0000-0000-0000B7270000}"/>
    <cellStyle name="Millares 2 7 3 5 2 2 2 2" xfId="55519" xr:uid="{00000000-0005-0000-0000-0000B8270000}"/>
    <cellStyle name="Millares 2 7 3 5 2 2 3" xfId="41957" xr:uid="{00000000-0005-0000-0000-0000B9270000}"/>
    <cellStyle name="Millares 2 7 3 5 2 3" xfId="21605" xr:uid="{00000000-0005-0000-0000-0000BA270000}"/>
    <cellStyle name="Millares 2 7 3 5 2 3 2" xfId="48738" xr:uid="{00000000-0005-0000-0000-0000BB270000}"/>
    <cellStyle name="Millares 2 7 3 5 2 4" xfId="35176" xr:uid="{00000000-0005-0000-0000-0000BC270000}"/>
    <cellStyle name="Millares 2 7 3 5 3" xfId="11429" xr:uid="{00000000-0005-0000-0000-0000BD270000}"/>
    <cellStyle name="Millares 2 7 3 5 3 2" xfId="24997" xr:uid="{00000000-0005-0000-0000-0000BE270000}"/>
    <cellStyle name="Millares 2 7 3 5 3 2 2" xfId="52130" xr:uid="{00000000-0005-0000-0000-0000BF270000}"/>
    <cellStyle name="Millares 2 7 3 5 3 3" xfId="38568" xr:uid="{00000000-0005-0000-0000-0000C0270000}"/>
    <cellStyle name="Millares 2 7 3 5 4" xfId="18216" xr:uid="{00000000-0005-0000-0000-0000C1270000}"/>
    <cellStyle name="Millares 2 7 3 5 4 2" xfId="45349" xr:uid="{00000000-0005-0000-0000-0000C2270000}"/>
    <cellStyle name="Millares 2 7 3 5 5" xfId="31787" xr:uid="{00000000-0005-0000-0000-0000C3270000}"/>
    <cellStyle name="Millares 2 7 3 6" xfId="4419" xr:uid="{00000000-0005-0000-0000-0000C4270000}"/>
    <cellStyle name="Millares 2 7 3 6 2" xfId="8029" xr:uid="{00000000-0005-0000-0000-0000C5270000}"/>
    <cellStyle name="Millares 2 7 3 6 2 2" xfId="14819" xr:uid="{00000000-0005-0000-0000-0000C6270000}"/>
    <cellStyle name="Millares 2 7 3 6 2 2 2" xfId="28387" xr:uid="{00000000-0005-0000-0000-0000C7270000}"/>
    <cellStyle name="Millares 2 7 3 6 2 2 2 2" xfId="55520" xr:uid="{00000000-0005-0000-0000-0000C8270000}"/>
    <cellStyle name="Millares 2 7 3 6 2 2 3" xfId="41958" xr:uid="{00000000-0005-0000-0000-0000C9270000}"/>
    <cellStyle name="Millares 2 7 3 6 2 3" xfId="21606" xr:uid="{00000000-0005-0000-0000-0000CA270000}"/>
    <cellStyle name="Millares 2 7 3 6 2 3 2" xfId="48739" xr:uid="{00000000-0005-0000-0000-0000CB270000}"/>
    <cellStyle name="Millares 2 7 3 6 2 4" xfId="35177" xr:uid="{00000000-0005-0000-0000-0000CC270000}"/>
    <cellStyle name="Millares 2 7 3 6 3" xfId="11430" xr:uid="{00000000-0005-0000-0000-0000CD270000}"/>
    <cellStyle name="Millares 2 7 3 6 3 2" xfId="24998" xr:uid="{00000000-0005-0000-0000-0000CE270000}"/>
    <cellStyle name="Millares 2 7 3 6 3 2 2" xfId="52131" xr:uid="{00000000-0005-0000-0000-0000CF270000}"/>
    <cellStyle name="Millares 2 7 3 6 3 3" xfId="38569" xr:uid="{00000000-0005-0000-0000-0000D0270000}"/>
    <cellStyle name="Millares 2 7 3 6 4" xfId="18217" xr:uid="{00000000-0005-0000-0000-0000D1270000}"/>
    <cellStyle name="Millares 2 7 3 6 4 2" xfId="45350" xr:uid="{00000000-0005-0000-0000-0000D2270000}"/>
    <cellStyle name="Millares 2 7 3 6 5" xfId="31788" xr:uid="{00000000-0005-0000-0000-0000D3270000}"/>
    <cellStyle name="Millares 2 7 3 7" xfId="8014" xr:uid="{00000000-0005-0000-0000-0000D4270000}"/>
    <cellStyle name="Millares 2 7 3 7 2" xfId="14804" xr:uid="{00000000-0005-0000-0000-0000D5270000}"/>
    <cellStyle name="Millares 2 7 3 7 2 2" xfId="28372" xr:uid="{00000000-0005-0000-0000-0000D6270000}"/>
    <cellStyle name="Millares 2 7 3 7 2 2 2" xfId="55505" xr:uid="{00000000-0005-0000-0000-0000D7270000}"/>
    <cellStyle name="Millares 2 7 3 7 2 3" xfId="41943" xr:uid="{00000000-0005-0000-0000-0000D8270000}"/>
    <cellStyle name="Millares 2 7 3 7 3" xfId="21591" xr:uid="{00000000-0005-0000-0000-0000D9270000}"/>
    <cellStyle name="Millares 2 7 3 7 3 2" xfId="48724" xr:uid="{00000000-0005-0000-0000-0000DA270000}"/>
    <cellStyle name="Millares 2 7 3 7 4" xfId="35162" xr:uid="{00000000-0005-0000-0000-0000DB270000}"/>
    <cellStyle name="Millares 2 7 3 8" xfId="11415" xr:uid="{00000000-0005-0000-0000-0000DC270000}"/>
    <cellStyle name="Millares 2 7 3 8 2" xfId="24983" xr:uid="{00000000-0005-0000-0000-0000DD270000}"/>
    <cellStyle name="Millares 2 7 3 8 2 2" xfId="52116" xr:uid="{00000000-0005-0000-0000-0000DE270000}"/>
    <cellStyle name="Millares 2 7 3 8 3" xfId="38554" xr:uid="{00000000-0005-0000-0000-0000DF270000}"/>
    <cellStyle name="Millares 2 7 3 9" xfId="18202" xr:uid="{00000000-0005-0000-0000-0000E0270000}"/>
    <cellStyle name="Millares 2 7 3 9 2" xfId="45335" xr:uid="{00000000-0005-0000-0000-0000E1270000}"/>
    <cellStyle name="Millares 2 7 4" xfId="4420" xr:uid="{00000000-0005-0000-0000-0000E2270000}"/>
    <cellStyle name="Millares 2 7 4 2" xfId="4421" xr:uid="{00000000-0005-0000-0000-0000E3270000}"/>
    <cellStyle name="Millares 2 7 4 2 2" xfId="4422" xr:uid="{00000000-0005-0000-0000-0000E4270000}"/>
    <cellStyle name="Millares 2 7 4 2 2 2" xfId="8032" xr:uid="{00000000-0005-0000-0000-0000E5270000}"/>
    <cellStyle name="Millares 2 7 4 2 2 2 2" xfId="14822" xr:uid="{00000000-0005-0000-0000-0000E6270000}"/>
    <cellStyle name="Millares 2 7 4 2 2 2 2 2" xfId="28390" xr:uid="{00000000-0005-0000-0000-0000E7270000}"/>
    <cellStyle name="Millares 2 7 4 2 2 2 2 2 2" xfId="55523" xr:uid="{00000000-0005-0000-0000-0000E8270000}"/>
    <cellStyle name="Millares 2 7 4 2 2 2 2 3" xfId="41961" xr:uid="{00000000-0005-0000-0000-0000E9270000}"/>
    <cellStyle name="Millares 2 7 4 2 2 2 3" xfId="21609" xr:uid="{00000000-0005-0000-0000-0000EA270000}"/>
    <cellStyle name="Millares 2 7 4 2 2 2 3 2" xfId="48742" xr:uid="{00000000-0005-0000-0000-0000EB270000}"/>
    <cellStyle name="Millares 2 7 4 2 2 2 4" xfId="35180" xr:uid="{00000000-0005-0000-0000-0000EC270000}"/>
    <cellStyle name="Millares 2 7 4 2 2 3" xfId="11433" xr:uid="{00000000-0005-0000-0000-0000ED270000}"/>
    <cellStyle name="Millares 2 7 4 2 2 3 2" xfId="25001" xr:uid="{00000000-0005-0000-0000-0000EE270000}"/>
    <cellStyle name="Millares 2 7 4 2 2 3 2 2" xfId="52134" xr:uid="{00000000-0005-0000-0000-0000EF270000}"/>
    <cellStyle name="Millares 2 7 4 2 2 3 3" xfId="38572" xr:uid="{00000000-0005-0000-0000-0000F0270000}"/>
    <cellStyle name="Millares 2 7 4 2 2 4" xfId="18220" xr:uid="{00000000-0005-0000-0000-0000F1270000}"/>
    <cellStyle name="Millares 2 7 4 2 2 4 2" xfId="45353" xr:uid="{00000000-0005-0000-0000-0000F2270000}"/>
    <cellStyle name="Millares 2 7 4 2 2 5" xfId="31791" xr:uid="{00000000-0005-0000-0000-0000F3270000}"/>
    <cellStyle name="Millares 2 7 4 2 3" xfId="4423" xr:uid="{00000000-0005-0000-0000-0000F4270000}"/>
    <cellStyle name="Millares 2 7 4 2 3 2" xfId="8033" xr:uid="{00000000-0005-0000-0000-0000F5270000}"/>
    <cellStyle name="Millares 2 7 4 2 3 2 2" xfId="14823" xr:uid="{00000000-0005-0000-0000-0000F6270000}"/>
    <cellStyle name="Millares 2 7 4 2 3 2 2 2" xfId="28391" xr:uid="{00000000-0005-0000-0000-0000F7270000}"/>
    <cellStyle name="Millares 2 7 4 2 3 2 2 2 2" xfId="55524" xr:uid="{00000000-0005-0000-0000-0000F8270000}"/>
    <cellStyle name="Millares 2 7 4 2 3 2 2 3" xfId="41962" xr:uid="{00000000-0005-0000-0000-0000F9270000}"/>
    <cellStyle name="Millares 2 7 4 2 3 2 3" xfId="21610" xr:uid="{00000000-0005-0000-0000-0000FA270000}"/>
    <cellStyle name="Millares 2 7 4 2 3 2 3 2" xfId="48743" xr:uid="{00000000-0005-0000-0000-0000FB270000}"/>
    <cellStyle name="Millares 2 7 4 2 3 2 4" xfId="35181" xr:uid="{00000000-0005-0000-0000-0000FC270000}"/>
    <cellStyle name="Millares 2 7 4 2 3 3" xfId="11434" xr:uid="{00000000-0005-0000-0000-0000FD270000}"/>
    <cellStyle name="Millares 2 7 4 2 3 3 2" xfId="25002" xr:uid="{00000000-0005-0000-0000-0000FE270000}"/>
    <cellStyle name="Millares 2 7 4 2 3 3 2 2" xfId="52135" xr:uid="{00000000-0005-0000-0000-0000FF270000}"/>
    <cellStyle name="Millares 2 7 4 2 3 3 3" xfId="38573" xr:uid="{00000000-0005-0000-0000-000000280000}"/>
    <cellStyle name="Millares 2 7 4 2 3 4" xfId="18221" xr:uid="{00000000-0005-0000-0000-000001280000}"/>
    <cellStyle name="Millares 2 7 4 2 3 4 2" xfId="45354" xr:uid="{00000000-0005-0000-0000-000002280000}"/>
    <cellStyle name="Millares 2 7 4 2 3 5" xfId="31792" xr:uid="{00000000-0005-0000-0000-000003280000}"/>
    <cellStyle name="Millares 2 7 4 2 4" xfId="8031" xr:uid="{00000000-0005-0000-0000-000004280000}"/>
    <cellStyle name="Millares 2 7 4 2 4 2" xfId="14821" xr:uid="{00000000-0005-0000-0000-000005280000}"/>
    <cellStyle name="Millares 2 7 4 2 4 2 2" xfId="28389" xr:uid="{00000000-0005-0000-0000-000006280000}"/>
    <cellStyle name="Millares 2 7 4 2 4 2 2 2" xfId="55522" xr:uid="{00000000-0005-0000-0000-000007280000}"/>
    <cellStyle name="Millares 2 7 4 2 4 2 3" xfId="41960" xr:uid="{00000000-0005-0000-0000-000008280000}"/>
    <cellStyle name="Millares 2 7 4 2 4 3" xfId="21608" xr:uid="{00000000-0005-0000-0000-000009280000}"/>
    <cellStyle name="Millares 2 7 4 2 4 3 2" xfId="48741" xr:uid="{00000000-0005-0000-0000-00000A280000}"/>
    <cellStyle name="Millares 2 7 4 2 4 4" xfId="35179" xr:uid="{00000000-0005-0000-0000-00000B280000}"/>
    <cellStyle name="Millares 2 7 4 2 5" xfId="11432" xr:uid="{00000000-0005-0000-0000-00000C280000}"/>
    <cellStyle name="Millares 2 7 4 2 5 2" xfId="25000" xr:uid="{00000000-0005-0000-0000-00000D280000}"/>
    <cellStyle name="Millares 2 7 4 2 5 2 2" xfId="52133" xr:uid="{00000000-0005-0000-0000-00000E280000}"/>
    <cellStyle name="Millares 2 7 4 2 5 3" xfId="38571" xr:uid="{00000000-0005-0000-0000-00000F280000}"/>
    <cellStyle name="Millares 2 7 4 2 6" xfId="18219" xr:uid="{00000000-0005-0000-0000-000010280000}"/>
    <cellStyle name="Millares 2 7 4 2 6 2" xfId="45352" xr:uid="{00000000-0005-0000-0000-000011280000}"/>
    <cellStyle name="Millares 2 7 4 2 7" xfId="31790" xr:uid="{00000000-0005-0000-0000-000012280000}"/>
    <cellStyle name="Millares 2 7 4 3" xfId="4424" xr:uid="{00000000-0005-0000-0000-000013280000}"/>
    <cellStyle name="Millares 2 7 4 3 2" xfId="4425" xr:uid="{00000000-0005-0000-0000-000014280000}"/>
    <cellStyle name="Millares 2 7 4 3 2 2" xfId="8035" xr:uid="{00000000-0005-0000-0000-000015280000}"/>
    <cellStyle name="Millares 2 7 4 3 2 2 2" xfId="14825" xr:uid="{00000000-0005-0000-0000-000016280000}"/>
    <cellStyle name="Millares 2 7 4 3 2 2 2 2" xfId="28393" xr:uid="{00000000-0005-0000-0000-000017280000}"/>
    <cellStyle name="Millares 2 7 4 3 2 2 2 2 2" xfId="55526" xr:uid="{00000000-0005-0000-0000-000018280000}"/>
    <cellStyle name="Millares 2 7 4 3 2 2 2 3" xfId="41964" xr:uid="{00000000-0005-0000-0000-000019280000}"/>
    <cellStyle name="Millares 2 7 4 3 2 2 3" xfId="21612" xr:uid="{00000000-0005-0000-0000-00001A280000}"/>
    <cellStyle name="Millares 2 7 4 3 2 2 3 2" xfId="48745" xr:uid="{00000000-0005-0000-0000-00001B280000}"/>
    <cellStyle name="Millares 2 7 4 3 2 2 4" xfId="35183" xr:uid="{00000000-0005-0000-0000-00001C280000}"/>
    <cellStyle name="Millares 2 7 4 3 2 3" xfId="11436" xr:uid="{00000000-0005-0000-0000-00001D280000}"/>
    <cellStyle name="Millares 2 7 4 3 2 3 2" xfId="25004" xr:uid="{00000000-0005-0000-0000-00001E280000}"/>
    <cellStyle name="Millares 2 7 4 3 2 3 2 2" xfId="52137" xr:uid="{00000000-0005-0000-0000-00001F280000}"/>
    <cellStyle name="Millares 2 7 4 3 2 3 3" xfId="38575" xr:uid="{00000000-0005-0000-0000-000020280000}"/>
    <cellStyle name="Millares 2 7 4 3 2 4" xfId="18223" xr:uid="{00000000-0005-0000-0000-000021280000}"/>
    <cellStyle name="Millares 2 7 4 3 2 4 2" xfId="45356" xr:uid="{00000000-0005-0000-0000-000022280000}"/>
    <cellStyle name="Millares 2 7 4 3 2 5" xfId="31794" xr:uid="{00000000-0005-0000-0000-000023280000}"/>
    <cellStyle name="Millares 2 7 4 3 3" xfId="8034" xr:uid="{00000000-0005-0000-0000-000024280000}"/>
    <cellStyle name="Millares 2 7 4 3 3 2" xfId="14824" xr:uid="{00000000-0005-0000-0000-000025280000}"/>
    <cellStyle name="Millares 2 7 4 3 3 2 2" xfId="28392" xr:uid="{00000000-0005-0000-0000-000026280000}"/>
    <cellStyle name="Millares 2 7 4 3 3 2 2 2" xfId="55525" xr:uid="{00000000-0005-0000-0000-000027280000}"/>
    <cellStyle name="Millares 2 7 4 3 3 2 3" xfId="41963" xr:uid="{00000000-0005-0000-0000-000028280000}"/>
    <cellStyle name="Millares 2 7 4 3 3 3" xfId="21611" xr:uid="{00000000-0005-0000-0000-000029280000}"/>
    <cellStyle name="Millares 2 7 4 3 3 3 2" xfId="48744" xr:uid="{00000000-0005-0000-0000-00002A280000}"/>
    <cellStyle name="Millares 2 7 4 3 3 4" xfId="35182" xr:uid="{00000000-0005-0000-0000-00002B280000}"/>
    <cellStyle name="Millares 2 7 4 3 4" xfId="11435" xr:uid="{00000000-0005-0000-0000-00002C280000}"/>
    <cellStyle name="Millares 2 7 4 3 4 2" xfId="25003" xr:uid="{00000000-0005-0000-0000-00002D280000}"/>
    <cellStyle name="Millares 2 7 4 3 4 2 2" xfId="52136" xr:uid="{00000000-0005-0000-0000-00002E280000}"/>
    <cellStyle name="Millares 2 7 4 3 4 3" xfId="38574" xr:uid="{00000000-0005-0000-0000-00002F280000}"/>
    <cellStyle name="Millares 2 7 4 3 5" xfId="18222" xr:uid="{00000000-0005-0000-0000-000030280000}"/>
    <cellStyle name="Millares 2 7 4 3 5 2" xfId="45355" xr:uid="{00000000-0005-0000-0000-000031280000}"/>
    <cellStyle name="Millares 2 7 4 3 6" xfId="31793" xr:uid="{00000000-0005-0000-0000-000032280000}"/>
    <cellStyle name="Millares 2 7 4 4" xfId="4426" xr:uid="{00000000-0005-0000-0000-000033280000}"/>
    <cellStyle name="Millares 2 7 4 4 2" xfId="8036" xr:uid="{00000000-0005-0000-0000-000034280000}"/>
    <cellStyle name="Millares 2 7 4 4 2 2" xfId="14826" xr:uid="{00000000-0005-0000-0000-000035280000}"/>
    <cellStyle name="Millares 2 7 4 4 2 2 2" xfId="28394" xr:uid="{00000000-0005-0000-0000-000036280000}"/>
    <cellStyle name="Millares 2 7 4 4 2 2 2 2" xfId="55527" xr:uid="{00000000-0005-0000-0000-000037280000}"/>
    <cellStyle name="Millares 2 7 4 4 2 2 3" xfId="41965" xr:uid="{00000000-0005-0000-0000-000038280000}"/>
    <cellStyle name="Millares 2 7 4 4 2 3" xfId="21613" xr:uid="{00000000-0005-0000-0000-000039280000}"/>
    <cellStyle name="Millares 2 7 4 4 2 3 2" xfId="48746" xr:uid="{00000000-0005-0000-0000-00003A280000}"/>
    <cellStyle name="Millares 2 7 4 4 2 4" xfId="35184" xr:uid="{00000000-0005-0000-0000-00003B280000}"/>
    <cellStyle name="Millares 2 7 4 4 3" xfId="11437" xr:uid="{00000000-0005-0000-0000-00003C280000}"/>
    <cellStyle name="Millares 2 7 4 4 3 2" xfId="25005" xr:uid="{00000000-0005-0000-0000-00003D280000}"/>
    <cellStyle name="Millares 2 7 4 4 3 2 2" xfId="52138" xr:uid="{00000000-0005-0000-0000-00003E280000}"/>
    <cellStyle name="Millares 2 7 4 4 3 3" xfId="38576" xr:uid="{00000000-0005-0000-0000-00003F280000}"/>
    <cellStyle name="Millares 2 7 4 4 4" xfId="18224" xr:uid="{00000000-0005-0000-0000-000040280000}"/>
    <cellStyle name="Millares 2 7 4 4 4 2" xfId="45357" xr:uid="{00000000-0005-0000-0000-000041280000}"/>
    <cellStyle name="Millares 2 7 4 4 5" xfId="31795" xr:uid="{00000000-0005-0000-0000-000042280000}"/>
    <cellStyle name="Millares 2 7 4 5" xfId="4427" xr:uid="{00000000-0005-0000-0000-000043280000}"/>
    <cellStyle name="Millares 2 7 4 5 2" xfId="8037" xr:uid="{00000000-0005-0000-0000-000044280000}"/>
    <cellStyle name="Millares 2 7 4 5 2 2" xfId="14827" xr:uid="{00000000-0005-0000-0000-000045280000}"/>
    <cellStyle name="Millares 2 7 4 5 2 2 2" xfId="28395" xr:uid="{00000000-0005-0000-0000-000046280000}"/>
    <cellStyle name="Millares 2 7 4 5 2 2 2 2" xfId="55528" xr:uid="{00000000-0005-0000-0000-000047280000}"/>
    <cellStyle name="Millares 2 7 4 5 2 2 3" xfId="41966" xr:uid="{00000000-0005-0000-0000-000048280000}"/>
    <cellStyle name="Millares 2 7 4 5 2 3" xfId="21614" xr:uid="{00000000-0005-0000-0000-000049280000}"/>
    <cellStyle name="Millares 2 7 4 5 2 3 2" xfId="48747" xr:uid="{00000000-0005-0000-0000-00004A280000}"/>
    <cellStyle name="Millares 2 7 4 5 2 4" xfId="35185" xr:uid="{00000000-0005-0000-0000-00004B280000}"/>
    <cellStyle name="Millares 2 7 4 5 3" xfId="11438" xr:uid="{00000000-0005-0000-0000-00004C280000}"/>
    <cellStyle name="Millares 2 7 4 5 3 2" xfId="25006" xr:uid="{00000000-0005-0000-0000-00004D280000}"/>
    <cellStyle name="Millares 2 7 4 5 3 2 2" xfId="52139" xr:uid="{00000000-0005-0000-0000-00004E280000}"/>
    <cellStyle name="Millares 2 7 4 5 3 3" xfId="38577" xr:uid="{00000000-0005-0000-0000-00004F280000}"/>
    <cellStyle name="Millares 2 7 4 5 4" xfId="18225" xr:uid="{00000000-0005-0000-0000-000050280000}"/>
    <cellStyle name="Millares 2 7 4 5 4 2" xfId="45358" xr:uid="{00000000-0005-0000-0000-000051280000}"/>
    <cellStyle name="Millares 2 7 4 5 5" xfId="31796" xr:uid="{00000000-0005-0000-0000-000052280000}"/>
    <cellStyle name="Millares 2 7 4 6" xfId="8030" xr:uid="{00000000-0005-0000-0000-000053280000}"/>
    <cellStyle name="Millares 2 7 4 6 2" xfId="14820" xr:uid="{00000000-0005-0000-0000-000054280000}"/>
    <cellStyle name="Millares 2 7 4 6 2 2" xfId="28388" xr:uid="{00000000-0005-0000-0000-000055280000}"/>
    <cellStyle name="Millares 2 7 4 6 2 2 2" xfId="55521" xr:uid="{00000000-0005-0000-0000-000056280000}"/>
    <cellStyle name="Millares 2 7 4 6 2 3" xfId="41959" xr:uid="{00000000-0005-0000-0000-000057280000}"/>
    <cellStyle name="Millares 2 7 4 6 3" xfId="21607" xr:uid="{00000000-0005-0000-0000-000058280000}"/>
    <cellStyle name="Millares 2 7 4 6 3 2" xfId="48740" xr:uid="{00000000-0005-0000-0000-000059280000}"/>
    <cellStyle name="Millares 2 7 4 6 4" xfId="35178" xr:uid="{00000000-0005-0000-0000-00005A280000}"/>
    <cellStyle name="Millares 2 7 4 7" xfId="11431" xr:uid="{00000000-0005-0000-0000-00005B280000}"/>
    <cellStyle name="Millares 2 7 4 7 2" xfId="24999" xr:uid="{00000000-0005-0000-0000-00005C280000}"/>
    <cellStyle name="Millares 2 7 4 7 2 2" xfId="52132" xr:uid="{00000000-0005-0000-0000-00005D280000}"/>
    <cellStyle name="Millares 2 7 4 7 3" xfId="38570" xr:uid="{00000000-0005-0000-0000-00005E280000}"/>
    <cellStyle name="Millares 2 7 4 8" xfId="18218" xr:uid="{00000000-0005-0000-0000-00005F280000}"/>
    <cellStyle name="Millares 2 7 4 8 2" xfId="45351" xr:uid="{00000000-0005-0000-0000-000060280000}"/>
    <cellStyle name="Millares 2 7 4 9" xfId="31789" xr:uid="{00000000-0005-0000-0000-000061280000}"/>
    <cellStyle name="Millares 2 7 5" xfId="4428" xr:uid="{00000000-0005-0000-0000-000062280000}"/>
    <cellStyle name="Millares 2 7 5 2" xfId="4429" xr:uid="{00000000-0005-0000-0000-000063280000}"/>
    <cellStyle name="Millares 2 7 5 2 2" xfId="4430" xr:uid="{00000000-0005-0000-0000-000064280000}"/>
    <cellStyle name="Millares 2 7 5 2 2 2" xfId="8040" xr:uid="{00000000-0005-0000-0000-000065280000}"/>
    <cellStyle name="Millares 2 7 5 2 2 2 2" xfId="14830" xr:uid="{00000000-0005-0000-0000-000066280000}"/>
    <cellStyle name="Millares 2 7 5 2 2 2 2 2" xfId="28398" xr:uid="{00000000-0005-0000-0000-000067280000}"/>
    <cellStyle name="Millares 2 7 5 2 2 2 2 2 2" xfId="55531" xr:uid="{00000000-0005-0000-0000-000068280000}"/>
    <cellStyle name="Millares 2 7 5 2 2 2 2 3" xfId="41969" xr:uid="{00000000-0005-0000-0000-000069280000}"/>
    <cellStyle name="Millares 2 7 5 2 2 2 3" xfId="21617" xr:uid="{00000000-0005-0000-0000-00006A280000}"/>
    <cellStyle name="Millares 2 7 5 2 2 2 3 2" xfId="48750" xr:uid="{00000000-0005-0000-0000-00006B280000}"/>
    <cellStyle name="Millares 2 7 5 2 2 2 4" xfId="35188" xr:uid="{00000000-0005-0000-0000-00006C280000}"/>
    <cellStyle name="Millares 2 7 5 2 2 3" xfId="11441" xr:uid="{00000000-0005-0000-0000-00006D280000}"/>
    <cellStyle name="Millares 2 7 5 2 2 3 2" xfId="25009" xr:uid="{00000000-0005-0000-0000-00006E280000}"/>
    <cellStyle name="Millares 2 7 5 2 2 3 2 2" xfId="52142" xr:uid="{00000000-0005-0000-0000-00006F280000}"/>
    <cellStyle name="Millares 2 7 5 2 2 3 3" xfId="38580" xr:uid="{00000000-0005-0000-0000-000070280000}"/>
    <cellStyle name="Millares 2 7 5 2 2 4" xfId="18228" xr:uid="{00000000-0005-0000-0000-000071280000}"/>
    <cellStyle name="Millares 2 7 5 2 2 4 2" xfId="45361" xr:uid="{00000000-0005-0000-0000-000072280000}"/>
    <cellStyle name="Millares 2 7 5 2 2 5" xfId="31799" xr:uid="{00000000-0005-0000-0000-000073280000}"/>
    <cellStyle name="Millares 2 7 5 2 3" xfId="4431" xr:uid="{00000000-0005-0000-0000-000074280000}"/>
    <cellStyle name="Millares 2 7 5 2 3 2" xfId="8041" xr:uid="{00000000-0005-0000-0000-000075280000}"/>
    <cellStyle name="Millares 2 7 5 2 3 2 2" xfId="14831" xr:uid="{00000000-0005-0000-0000-000076280000}"/>
    <cellStyle name="Millares 2 7 5 2 3 2 2 2" xfId="28399" xr:uid="{00000000-0005-0000-0000-000077280000}"/>
    <cellStyle name="Millares 2 7 5 2 3 2 2 2 2" xfId="55532" xr:uid="{00000000-0005-0000-0000-000078280000}"/>
    <cellStyle name="Millares 2 7 5 2 3 2 2 3" xfId="41970" xr:uid="{00000000-0005-0000-0000-000079280000}"/>
    <cellStyle name="Millares 2 7 5 2 3 2 3" xfId="21618" xr:uid="{00000000-0005-0000-0000-00007A280000}"/>
    <cellStyle name="Millares 2 7 5 2 3 2 3 2" xfId="48751" xr:uid="{00000000-0005-0000-0000-00007B280000}"/>
    <cellStyle name="Millares 2 7 5 2 3 2 4" xfId="35189" xr:uid="{00000000-0005-0000-0000-00007C280000}"/>
    <cellStyle name="Millares 2 7 5 2 3 3" xfId="11442" xr:uid="{00000000-0005-0000-0000-00007D280000}"/>
    <cellStyle name="Millares 2 7 5 2 3 3 2" xfId="25010" xr:uid="{00000000-0005-0000-0000-00007E280000}"/>
    <cellStyle name="Millares 2 7 5 2 3 3 2 2" xfId="52143" xr:uid="{00000000-0005-0000-0000-00007F280000}"/>
    <cellStyle name="Millares 2 7 5 2 3 3 3" xfId="38581" xr:uid="{00000000-0005-0000-0000-000080280000}"/>
    <cellStyle name="Millares 2 7 5 2 3 4" xfId="18229" xr:uid="{00000000-0005-0000-0000-000081280000}"/>
    <cellStyle name="Millares 2 7 5 2 3 4 2" xfId="45362" xr:uid="{00000000-0005-0000-0000-000082280000}"/>
    <cellStyle name="Millares 2 7 5 2 3 5" xfId="31800" xr:uid="{00000000-0005-0000-0000-000083280000}"/>
    <cellStyle name="Millares 2 7 5 2 4" xfId="8039" xr:uid="{00000000-0005-0000-0000-000084280000}"/>
    <cellStyle name="Millares 2 7 5 2 4 2" xfId="14829" xr:uid="{00000000-0005-0000-0000-000085280000}"/>
    <cellStyle name="Millares 2 7 5 2 4 2 2" xfId="28397" xr:uid="{00000000-0005-0000-0000-000086280000}"/>
    <cellStyle name="Millares 2 7 5 2 4 2 2 2" xfId="55530" xr:uid="{00000000-0005-0000-0000-000087280000}"/>
    <cellStyle name="Millares 2 7 5 2 4 2 3" xfId="41968" xr:uid="{00000000-0005-0000-0000-000088280000}"/>
    <cellStyle name="Millares 2 7 5 2 4 3" xfId="21616" xr:uid="{00000000-0005-0000-0000-000089280000}"/>
    <cellStyle name="Millares 2 7 5 2 4 3 2" xfId="48749" xr:uid="{00000000-0005-0000-0000-00008A280000}"/>
    <cellStyle name="Millares 2 7 5 2 4 4" xfId="35187" xr:uid="{00000000-0005-0000-0000-00008B280000}"/>
    <cellStyle name="Millares 2 7 5 2 5" xfId="11440" xr:uid="{00000000-0005-0000-0000-00008C280000}"/>
    <cellStyle name="Millares 2 7 5 2 5 2" xfId="25008" xr:uid="{00000000-0005-0000-0000-00008D280000}"/>
    <cellStyle name="Millares 2 7 5 2 5 2 2" xfId="52141" xr:uid="{00000000-0005-0000-0000-00008E280000}"/>
    <cellStyle name="Millares 2 7 5 2 5 3" xfId="38579" xr:uid="{00000000-0005-0000-0000-00008F280000}"/>
    <cellStyle name="Millares 2 7 5 2 6" xfId="18227" xr:uid="{00000000-0005-0000-0000-000090280000}"/>
    <cellStyle name="Millares 2 7 5 2 6 2" xfId="45360" xr:uid="{00000000-0005-0000-0000-000091280000}"/>
    <cellStyle name="Millares 2 7 5 2 7" xfId="31798" xr:uid="{00000000-0005-0000-0000-000092280000}"/>
    <cellStyle name="Millares 2 7 5 3" xfId="4432" xr:uid="{00000000-0005-0000-0000-000093280000}"/>
    <cellStyle name="Millares 2 7 5 3 2" xfId="8042" xr:uid="{00000000-0005-0000-0000-000094280000}"/>
    <cellStyle name="Millares 2 7 5 3 2 2" xfId="14832" xr:uid="{00000000-0005-0000-0000-000095280000}"/>
    <cellStyle name="Millares 2 7 5 3 2 2 2" xfId="28400" xr:uid="{00000000-0005-0000-0000-000096280000}"/>
    <cellStyle name="Millares 2 7 5 3 2 2 2 2" xfId="55533" xr:uid="{00000000-0005-0000-0000-000097280000}"/>
    <cellStyle name="Millares 2 7 5 3 2 2 3" xfId="41971" xr:uid="{00000000-0005-0000-0000-000098280000}"/>
    <cellStyle name="Millares 2 7 5 3 2 3" xfId="21619" xr:uid="{00000000-0005-0000-0000-000099280000}"/>
    <cellStyle name="Millares 2 7 5 3 2 3 2" xfId="48752" xr:uid="{00000000-0005-0000-0000-00009A280000}"/>
    <cellStyle name="Millares 2 7 5 3 2 4" xfId="35190" xr:uid="{00000000-0005-0000-0000-00009B280000}"/>
    <cellStyle name="Millares 2 7 5 3 3" xfId="11443" xr:uid="{00000000-0005-0000-0000-00009C280000}"/>
    <cellStyle name="Millares 2 7 5 3 3 2" xfId="25011" xr:uid="{00000000-0005-0000-0000-00009D280000}"/>
    <cellStyle name="Millares 2 7 5 3 3 2 2" xfId="52144" xr:uid="{00000000-0005-0000-0000-00009E280000}"/>
    <cellStyle name="Millares 2 7 5 3 3 3" xfId="38582" xr:uid="{00000000-0005-0000-0000-00009F280000}"/>
    <cellStyle name="Millares 2 7 5 3 4" xfId="18230" xr:uid="{00000000-0005-0000-0000-0000A0280000}"/>
    <cellStyle name="Millares 2 7 5 3 4 2" xfId="45363" xr:uid="{00000000-0005-0000-0000-0000A1280000}"/>
    <cellStyle name="Millares 2 7 5 3 5" xfId="31801" xr:uid="{00000000-0005-0000-0000-0000A2280000}"/>
    <cellStyle name="Millares 2 7 5 4" xfId="4433" xr:uid="{00000000-0005-0000-0000-0000A3280000}"/>
    <cellStyle name="Millares 2 7 5 4 2" xfId="8043" xr:uid="{00000000-0005-0000-0000-0000A4280000}"/>
    <cellStyle name="Millares 2 7 5 4 2 2" xfId="14833" xr:uid="{00000000-0005-0000-0000-0000A5280000}"/>
    <cellStyle name="Millares 2 7 5 4 2 2 2" xfId="28401" xr:uid="{00000000-0005-0000-0000-0000A6280000}"/>
    <cellStyle name="Millares 2 7 5 4 2 2 2 2" xfId="55534" xr:uid="{00000000-0005-0000-0000-0000A7280000}"/>
    <cellStyle name="Millares 2 7 5 4 2 2 3" xfId="41972" xr:uid="{00000000-0005-0000-0000-0000A8280000}"/>
    <cellStyle name="Millares 2 7 5 4 2 3" xfId="21620" xr:uid="{00000000-0005-0000-0000-0000A9280000}"/>
    <cellStyle name="Millares 2 7 5 4 2 3 2" xfId="48753" xr:uid="{00000000-0005-0000-0000-0000AA280000}"/>
    <cellStyle name="Millares 2 7 5 4 2 4" xfId="35191" xr:uid="{00000000-0005-0000-0000-0000AB280000}"/>
    <cellStyle name="Millares 2 7 5 4 3" xfId="11444" xr:uid="{00000000-0005-0000-0000-0000AC280000}"/>
    <cellStyle name="Millares 2 7 5 4 3 2" xfId="25012" xr:uid="{00000000-0005-0000-0000-0000AD280000}"/>
    <cellStyle name="Millares 2 7 5 4 3 2 2" xfId="52145" xr:uid="{00000000-0005-0000-0000-0000AE280000}"/>
    <cellStyle name="Millares 2 7 5 4 3 3" xfId="38583" xr:uid="{00000000-0005-0000-0000-0000AF280000}"/>
    <cellStyle name="Millares 2 7 5 4 4" xfId="18231" xr:uid="{00000000-0005-0000-0000-0000B0280000}"/>
    <cellStyle name="Millares 2 7 5 4 4 2" xfId="45364" xr:uid="{00000000-0005-0000-0000-0000B1280000}"/>
    <cellStyle name="Millares 2 7 5 4 5" xfId="31802" xr:uid="{00000000-0005-0000-0000-0000B2280000}"/>
    <cellStyle name="Millares 2 7 5 5" xfId="8038" xr:uid="{00000000-0005-0000-0000-0000B3280000}"/>
    <cellStyle name="Millares 2 7 5 5 2" xfId="14828" xr:uid="{00000000-0005-0000-0000-0000B4280000}"/>
    <cellStyle name="Millares 2 7 5 5 2 2" xfId="28396" xr:uid="{00000000-0005-0000-0000-0000B5280000}"/>
    <cellStyle name="Millares 2 7 5 5 2 2 2" xfId="55529" xr:uid="{00000000-0005-0000-0000-0000B6280000}"/>
    <cellStyle name="Millares 2 7 5 5 2 3" xfId="41967" xr:uid="{00000000-0005-0000-0000-0000B7280000}"/>
    <cellStyle name="Millares 2 7 5 5 3" xfId="21615" xr:uid="{00000000-0005-0000-0000-0000B8280000}"/>
    <cellStyle name="Millares 2 7 5 5 3 2" xfId="48748" xr:uid="{00000000-0005-0000-0000-0000B9280000}"/>
    <cellStyle name="Millares 2 7 5 5 4" xfId="35186" xr:uid="{00000000-0005-0000-0000-0000BA280000}"/>
    <cellStyle name="Millares 2 7 5 6" xfId="11439" xr:uid="{00000000-0005-0000-0000-0000BB280000}"/>
    <cellStyle name="Millares 2 7 5 6 2" xfId="25007" xr:uid="{00000000-0005-0000-0000-0000BC280000}"/>
    <cellStyle name="Millares 2 7 5 6 2 2" xfId="52140" xr:uid="{00000000-0005-0000-0000-0000BD280000}"/>
    <cellStyle name="Millares 2 7 5 6 3" xfId="38578" xr:uid="{00000000-0005-0000-0000-0000BE280000}"/>
    <cellStyle name="Millares 2 7 5 7" xfId="18226" xr:uid="{00000000-0005-0000-0000-0000BF280000}"/>
    <cellStyle name="Millares 2 7 5 7 2" xfId="45359" xr:uid="{00000000-0005-0000-0000-0000C0280000}"/>
    <cellStyle name="Millares 2 7 5 8" xfId="31797" xr:uid="{00000000-0005-0000-0000-0000C1280000}"/>
    <cellStyle name="Millares 2 7 6" xfId="4434" xr:uid="{00000000-0005-0000-0000-0000C2280000}"/>
    <cellStyle name="Millares 2 7 6 2" xfId="4435" xr:uid="{00000000-0005-0000-0000-0000C3280000}"/>
    <cellStyle name="Millares 2 7 6 2 2" xfId="4436" xr:uid="{00000000-0005-0000-0000-0000C4280000}"/>
    <cellStyle name="Millares 2 7 6 2 2 2" xfId="8046" xr:uid="{00000000-0005-0000-0000-0000C5280000}"/>
    <cellStyle name="Millares 2 7 6 2 2 2 2" xfId="14836" xr:uid="{00000000-0005-0000-0000-0000C6280000}"/>
    <cellStyle name="Millares 2 7 6 2 2 2 2 2" xfId="28404" xr:uid="{00000000-0005-0000-0000-0000C7280000}"/>
    <cellStyle name="Millares 2 7 6 2 2 2 2 2 2" xfId="55537" xr:uid="{00000000-0005-0000-0000-0000C8280000}"/>
    <cellStyle name="Millares 2 7 6 2 2 2 2 3" xfId="41975" xr:uid="{00000000-0005-0000-0000-0000C9280000}"/>
    <cellStyle name="Millares 2 7 6 2 2 2 3" xfId="21623" xr:uid="{00000000-0005-0000-0000-0000CA280000}"/>
    <cellStyle name="Millares 2 7 6 2 2 2 3 2" xfId="48756" xr:uid="{00000000-0005-0000-0000-0000CB280000}"/>
    <cellStyle name="Millares 2 7 6 2 2 2 4" xfId="35194" xr:uid="{00000000-0005-0000-0000-0000CC280000}"/>
    <cellStyle name="Millares 2 7 6 2 2 3" xfId="11447" xr:uid="{00000000-0005-0000-0000-0000CD280000}"/>
    <cellStyle name="Millares 2 7 6 2 2 3 2" xfId="25015" xr:uid="{00000000-0005-0000-0000-0000CE280000}"/>
    <cellStyle name="Millares 2 7 6 2 2 3 2 2" xfId="52148" xr:uid="{00000000-0005-0000-0000-0000CF280000}"/>
    <cellStyle name="Millares 2 7 6 2 2 3 3" xfId="38586" xr:uid="{00000000-0005-0000-0000-0000D0280000}"/>
    <cellStyle name="Millares 2 7 6 2 2 4" xfId="18234" xr:uid="{00000000-0005-0000-0000-0000D1280000}"/>
    <cellStyle name="Millares 2 7 6 2 2 4 2" xfId="45367" xr:uid="{00000000-0005-0000-0000-0000D2280000}"/>
    <cellStyle name="Millares 2 7 6 2 2 5" xfId="31805" xr:uid="{00000000-0005-0000-0000-0000D3280000}"/>
    <cellStyle name="Millares 2 7 6 2 3" xfId="4437" xr:uid="{00000000-0005-0000-0000-0000D4280000}"/>
    <cellStyle name="Millares 2 7 6 2 3 2" xfId="8047" xr:uid="{00000000-0005-0000-0000-0000D5280000}"/>
    <cellStyle name="Millares 2 7 6 2 3 2 2" xfId="14837" xr:uid="{00000000-0005-0000-0000-0000D6280000}"/>
    <cellStyle name="Millares 2 7 6 2 3 2 2 2" xfId="28405" xr:uid="{00000000-0005-0000-0000-0000D7280000}"/>
    <cellStyle name="Millares 2 7 6 2 3 2 2 2 2" xfId="55538" xr:uid="{00000000-0005-0000-0000-0000D8280000}"/>
    <cellStyle name="Millares 2 7 6 2 3 2 2 3" xfId="41976" xr:uid="{00000000-0005-0000-0000-0000D9280000}"/>
    <cellStyle name="Millares 2 7 6 2 3 2 3" xfId="21624" xr:uid="{00000000-0005-0000-0000-0000DA280000}"/>
    <cellStyle name="Millares 2 7 6 2 3 2 3 2" xfId="48757" xr:uid="{00000000-0005-0000-0000-0000DB280000}"/>
    <cellStyle name="Millares 2 7 6 2 3 2 4" xfId="35195" xr:uid="{00000000-0005-0000-0000-0000DC280000}"/>
    <cellStyle name="Millares 2 7 6 2 3 3" xfId="11448" xr:uid="{00000000-0005-0000-0000-0000DD280000}"/>
    <cellStyle name="Millares 2 7 6 2 3 3 2" xfId="25016" xr:uid="{00000000-0005-0000-0000-0000DE280000}"/>
    <cellStyle name="Millares 2 7 6 2 3 3 2 2" xfId="52149" xr:uid="{00000000-0005-0000-0000-0000DF280000}"/>
    <cellStyle name="Millares 2 7 6 2 3 3 3" xfId="38587" xr:uid="{00000000-0005-0000-0000-0000E0280000}"/>
    <cellStyle name="Millares 2 7 6 2 3 4" xfId="18235" xr:uid="{00000000-0005-0000-0000-0000E1280000}"/>
    <cellStyle name="Millares 2 7 6 2 3 4 2" xfId="45368" xr:uid="{00000000-0005-0000-0000-0000E2280000}"/>
    <cellStyle name="Millares 2 7 6 2 3 5" xfId="31806" xr:uid="{00000000-0005-0000-0000-0000E3280000}"/>
    <cellStyle name="Millares 2 7 6 2 4" xfId="8045" xr:uid="{00000000-0005-0000-0000-0000E4280000}"/>
    <cellStyle name="Millares 2 7 6 2 4 2" xfId="14835" xr:uid="{00000000-0005-0000-0000-0000E5280000}"/>
    <cellStyle name="Millares 2 7 6 2 4 2 2" xfId="28403" xr:uid="{00000000-0005-0000-0000-0000E6280000}"/>
    <cellStyle name="Millares 2 7 6 2 4 2 2 2" xfId="55536" xr:uid="{00000000-0005-0000-0000-0000E7280000}"/>
    <cellStyle name="Millares 2 7 6 2 4 2 3" xfId="41974" xr:uid="{00000000-0005-0000-0000-0000E8280000}"/>
    <cellStyle name="Millares 2 7 6 2 4 3" xfId="21622" xr:uid="{00000000-0005-0000-0000-0000E9280000}"/>
    <cellStyle name="Millares 2 7 6 2 4 3 2" xfId="48755" xr:uid="{00000000-0005-0000-0000-0000EA280000}"/>
    <cellStyle name="Millares 2 7 6 2 4 4" xfId="35193" xr:uid="{00000000-0005-0000-0000-0000EB280000}"/>
    <cellStyle name="Millares 2 7 6 2 5" xfId="11446" xr:uid="{00000000-0005-0000-0000-0000EC280000}"/>
    <cellStyle name="Millares 2 7 6 2 5 2" xfId="25014" xr:uid="{00000000-0005-0000-0000-0000ED280000}"/>
    <cellStyle name="Millares 2 7 6 2 5 2 2" xfId="52147" xr:uid="{00000000-0005-0000-0000-0000EE280000}"/>
    <cellStyle name="Millares 2 7 6 2 5 3" xfId="38585" xr:uid="{00000000-0005-0000-0000-0000EF280000}"/>
    <cellStyle name="Millares 2 7 6 2 6" xfId="18233" xr:uid="{00000000-0005-0000-0000-0000F0280000}"/>
    <cellStyle name="Millares 2 7 6 2 6 2" xfId="45366" xr:uid="{00000000-0005-0000-0000-0000F1280000}"/>
    <cellStyle name="Millares 2 7 6 2 7" xfId="31804" xr:uid="{00000000-0005-0000-0000-0000F2280000}"/>
    <cellStyle name="Millares 2 7 6 3" xfId="4438" xr:uid="{00000000-0005-0000-0000-0000F3280000}"/>
    <cellStyle name="Millares 2 7 6 3 2" xfId="8048" xr:uid="{00000000-0005-0000-0000-0000F4280000}"/>
    <cellStyle name="Millares 2 7 6 3 2 2" xfId="14838" xr:uid="{00000000-0005-0000-0000-0000F5280000}"/>
    <cellStyle name="Millares 2 7 6 3 2 2 2" xfId="28406" xr:uid="{00000000-0005-0000-0000-0000F6280000}"/>
    <cellStyle name="Millares 2 7 6 3 2 2 2 2" xfId="55539" xr:uid="{00000000-0005-0000-0000-0000F7280000}"/>
    <cellStyle name="Millares 2 7 6 3 2 2 3" xfId="41977" xr:uid="{00000000-0005-0000-0000-0000F8280000}"/>
    <cellStyle name="Millares 2 7 6 3 2 3" xfId="21625" xr:uid="{00000000-0005-0000-0000-0000F9280000}"/>
    <cellStyle name="Millares 2 7 6 3 2 3 2" xfId="48758" xr:uid="{00000000-0005-0000-0000-0000FA280000}"/>
    <cellStyle name="Millares 2 7 6 3 2 4" xfId="35196" xr:uid="{00000000-0005-0000-0000-0000FB280000}"/>
    <cellStyle name="Millares 2 7 6 3 3" xfId="11449" xr:uid="{00000000-0005-0000-0000-0000FC280000}"/>
    <cellStyle name="Millares 2 7 6 3 3 2" xfId="25017" xr:uid="{00000000-0005-0000-0000-0000FD280000}"/>
    <cellStyle name="Millares 2 7 6 3 3 2 2" xfId="52150" xr:uid="{00000000-0005-0000-0000-0000FE280000}"/>
    <cellStyle name="Millares 2 7 6 3 3 3" xfId="38588" xr:uid="{00000000-0005-0000-0000-0000FF280000}"/>
    <cellStyle name="Millares 2 7 6 3 4" xfId="18236" xr:uid="{00000000-0005-0000-0000-000000290000}"/>
    <cellStyle name="Millares 2 7 6 3 4 2" xfId="45369" xr:uid="{00000000-0005-0000-0000-000001290000}"/>
    <cellStyle name="Millares 2 7 6 3 5" xfId="31807" xr:uid="{00000000-0005-0000-0000-000002290000}"/>
    <cellStyle name="Millares 2 7 6 4" xfId="4439" xr:uid="{00000000-0005-0000-0000-000003290000}"/>
    <cellStyle name="Millares 2 7 6 4 2" xfId="8049" xr:uid="{00000000-0005-0000-0000-000004290000}"/>
    <cellStyle name="Millares 2 7 6 4 2 2" xfId="14839" xr:uid="{00000000-0005-0000-0000-000005290000}"/>
    <cellStyle name="Millares 2 7 6 4 2 2 2" xfId="28407" xr:uid="{00000000-0005-0000-0000-000006290000}"/>
    <cellStyle name="Millares 2 7 6 4 2 2 2 2" xfId="55540" xr:uid="{00000000-0005-0000-0000-000007290000}"/>
    <cellStyle name="Millares 2 7 6 4 2 2 3" xfId="41978" xr:uid="{00000000-0005-0000-0000-000008290000}"/>
    <cellStyle name="Millares 2 7 6 4 2 3" xfId="21626" xr:uid="{00000000-0005-0000-0000-000009290000}"/>
    <cellStyle name="Millares 2 7 6 4 2 3 2" xfId="48759" xr:uid="{00000000-0005-0000-0000-00000A290000}"/>
    <cellStyle name="Millares 2 7 6 4 2 4" xfId="35197" xr:uid="{00000000-0005-0000-0000-00000B290000}"/>
    <cellStyle name="Millares 2 7 6 4 3" xfId="11450" xr:uid="{00000000-0005-0000-0000-00000C290000}"/>
    <cellStyle name="Millares 2 7 6 4 3 2" xfId="25018" xr:uid="{00000000-0005-0000-0000-00000D290000}"/>
    <cellStyle name="Millares 2 7 6 4 3 2 2" xfId="52151" xr:uid="{00000000-0005-0000-0000-00000E290000}"/>
    <cellStyle name="Millares 2 7 6 4 3 3" xfId="38589" xr:uid="{00000000-0005-0000-0000-00000F290000}"/>
    <cellStyle name="Millares 2 7 6 4 4" xfId="18237" xr:uid="{00000000-0005-0000-0000-000010290000}"/>
    <cellStyle name="Millares 2 7 6 4 4 2" xfId="45370" xr:uid="{00000000-0005-0000-0000-000011290000}"/>
    <cellStyle name="Millares 2 7 6 4 5" xfId="31808" xr:uid="{00000000-0005-0000-0000-000012290000}"/>
    <cellStyle name="Millares 2 7 6 5" xfId="8044" xr:uid="{00000000-0005-0000-0000-000013290000}"/>
    <cellStyle name="Millares 2 7 6 5 2" xfId="14834" xr:uid="{00000000-0005-0000-0000-000014290000}"/>
    <cellStyle name="Millares 2 7 6 5 2 2" xfId="28402" xr:uid="{00000000-0005-0000-0000-000015290000}"/>
    <cellStyle name="Millares 2 7 6 5 2 2 2" xfId="55535" xr:uid="{00000000-0005-0000-0000-000016290000}"/>
    <cellStyle name="Millares 2 7 6 5 2 3" xfId="41973" xr:uid="{00000000-0005-0000-0000-000017290000}"/>
    <cellStyle name="Millares 2 7 6 5 3" xfId="21621" xr:uid="{00000000-0005-0000-0000-000018290000}"/>
    <cellStyle name="Millares 2 7 6 5 3 2" xfId="48754" xr:uid="{00000000-0005-0000-0000-000019290000}"/>
    <cellStyle name="Millares 2 7 6 5 4" xfId="35192" xr:uid="{00000000-0005-0000-0000-00001A290000}"/>
    <cellStyle name="Millares 2 7 6 6" xfId="11445" xr:uid="{00000000-0005-0000-0000-00001B290000}"/>
    <cellStyle name="Millares 2 7 6 6 2" xfId="25013" xr:uid="{00000000-0005-0000-0000-00001C290000}"/>
    <cellStyle name="Millares 2 7 6 6 2 2" xfId="52146" xr:uid="{00000000-0005-0000-0000-00001D290000}"/>
    <cellStyle name="Millares 2 7 6 6 3" xfId="38584" xr:uid="{00000000-0005-0000-0000-00001E290000}"/>
    <cellStyle name="Millares 2 7 6 7" xfId="18232" xr:uid="{00000000-0005-0000-0000-00001F290000}"/>
    <cellStyle name="Millares 2 7 6 7 2" xfId="45365" xr:uid="{00000000-0005-0000-0000-000020290000}"/>
    <cellStyle name="Millares 2 7 6 8" xfId="31803" xr:uid="{00000000-0005-0000-0000-000021290000}"/>
    <cellStyle name="Millares 2 7 7" xfId="4440" xr:uid="{00000000-0005-0000-0000-000022290000}"/>
    <cellStyle name="Millares 2 7 7 2" xfId="4441" xr:uid="{00000000-0005-0000-0000-000023290000}"/>
    <cellStyle name="Millares 2 7 7 2 2" xfId="8051" xr:uid="{00000000-0005-0000-0000-000024290000}"/>
    <cellStyle name="Millares 2 7 7 2 2 2" xfId="14841" xr:uid="{00000000-0005-0000-0000-000025290000}"/>
    <cellStyle name="Millares 2 7 7 2 2 2 2" xfId="28409" xr:uid="{00000000-0005-0000-0000-000026290000}"/>
    <cellStyle name="Millares 2 7 7 2 2 2 2 2" xfId="55542" xr:uid="{00000000-0005-0000-0000-000027290000}"/>
    <cellStyle name="Millares 2 7 7 2 2 2 3" xfId="41980" xr:uid="{00000000-0005-0000-0000-000028290000}"/>
    <cellStyle name="Millares 2 7 7 2 2 3" xfId="21628" xr:uid="{00000000-0005-0000-0000-000029290000}"/>
    <cellStyle name="Millares 2 7 7 2 2 3 2" xfId="48761" xr:uid="{00000000-0005-0000-0000-00002A290000}"/>
    <cellStyle name="Millares 2 7 7 2 2 4" xfId="35199" xr:uid="{00000000-0005-0000-0000-00002B290000}"/>
    <cellStyle name="Millares 2 7 7 2 3" xfId="11452" xr:uid="{00000000-0005-0000-0000-00002C290000}"/>
    <cellStyle name="Millares 2 7 7 2 3 2" xfId="25020" xr:uid="{00000000-0005-0000-0000-00002D290000}"/>
    <cellStyle name="Millares 2 7 7 2 3 2 2" xfId="52153" xr:uid="{00000000-0005-0000-0000-00002E290000}"/>
    <cellStyle name="Millares 2 7 7 2 3 3" xfId="38591" xr:uid="{00000000-0005-0000-0000-00002F290000}"/>
    <cellStyle name="Millares 2 7 7 2 4" xfId="18239" xr:uid="{00000000-0005-0000-0000-000030290000}"/>
    <cellStyle name="Millares 2 7 7 2 4 2" xfId="45372" xr:uid="{00000000-0005-0000-0000-000031290000}"/>
    <cellStyle name="Millares 2 7 7 2 5" xfId="31810" xr:uid="{00000000-0005-0000-0000-000032290000}"/>
    <cellStyle name="Millares 2 7 7 3" xfId="4442" xr:uid="{00000000-0005-0000-0000-000033290000}"/>
    <cellStyle name="Millares 2 7 7 3 2" xfId="8052" xr:uid="{00000000-0005-0000-0000-000034290000}"/>
    <cellStyle name="Millares 2 7 7 3 2 2" xfId="14842" xr:uid="{00000000-0005-0000-0000-000035290000}"/>
    <cellStyle name="Millares 2 7 7 3 2 2 2" xfId="28410" xr:uid="{00000000-0005-0000-0000-000036290000}"/>
    <cellStyle name="Millares 2 7 7 3 2 2 2 2" xfId="55543" xr:uid="{00000000-0005-0000-0000-000037290000}"/>
    <cellStyle name="Millares 2 7 7 3 2 2 3" xfId="41981" xr:uid="{00000000-0005-0000-0000-000038290000}"/>
    <cellStyle name="Millares 2 7 7 3 2 3" xfId="21629" xr:uid="{00000000-0005-0000-0000-000039290000}"/>
    <cellStyle name="Millares 2 7 7 3 2 3 2" xfId="48762" xr:uid="{00000000-0005-0000-0000-00003A290000}"/>
    <cellStyle name="Millares 2 7 7 3 2 4" xfId="35200" xr:uid="{00000000-0005-0000-0000-00003B290000}"/>
    <cellStyle name="Millares 2 7 7 3 3" xfId="11453" xr:uid="{00000000-0005-0000-0000-00003C290000}"/>
    <cellStyle name="Millares 2 7 7 3 3 2" xfId="25021" xr:uid="{00000000-0005-0000-0000-00003D290000}"/>
    <cellStyle name="Millares 2 7 7 3 3 2 2" xfId="52154" xr:uid="{00000000-0005-0000-0000-00003E290000}"/>
    <cellStyle name="Millares 2 7 7 3 3 3" xfId="38592" xr:uid="{00000000-0005-0000-0000-00003F290000}"/>
    <cellStyle name="Millares 2 7 7 3 4" xfId="18240" xr:uid="{00000000-0005-0000-0000-000040290000}"/>
    <cellStyle name="Millares 2 7 7 3 4 2" xfId="45373" xr:uid="{00000000-0005-0000-0000-000041290000}"/>
    <cellStyle name="Millares 2 7 7 3 5" xfId="31811" xr:uid="{00000000-0005-0000-0000-000042290000}"/>
    <cellStyle name="Millares 2 7 7 4" xfId="8050" xr:uid="{00000000-0005-0000-0000-000043290000}"/>
    <cellStyle name="Millares 2 7 7 4 2" xfId="14840" xr:uid="{00000000-0005-0000-0000-000044290000}"/>
    <cellStyle name="Millares 2 7 7 4 2 2" xfId="28408" xr:uid="{00000000-0005-0000-0000-000045290000}"/>
    <cellStyle name="Millares 2 7 7 4 2 2 2" xfId="55541" xr:uid="{00000000-0005-0000-0000-000046290000}"/>
    <cellStyle name="Millares 2 7 7 4 2 3" xfId="41979" xr:uid="{00000000-0005-0000-0000-000047290000}"/>
    <cellStyle name="Millares 2 7 7 4 3" xfId="21627" xr:uid="{00000000-0005-0000-0000-000048290000}"/>
    <cellStyle name="Millares 2 7 7 4 3 2" xfId="48760" xr:uid="{00000000-0005-0000-0000-000049290000}"/>
    <cellStyle name="Millares 2 7 7 4 4" xfId="35198" xr:uid="{00000000-0005-0000-0000-00004A290000}"/>
    <cellStyle name="Millares 2 7 7 5" xfId="11451" xr:uid="{00000000-0005-0000-0000-00004B290000}"/>
    <cellStyle name="Millares 2 7 7 5 2" xfId="25019" xr:uid="{00000000-0005-0000-0000-00004C290000}"/>
    <cellStyle name="Millares 2 7 7 5 2 2" xfId="52152" xr:uid="{00000000-0005-0000-0000-00004D290000}"/>
    <cellStyle name="Millares 2 7 7 5 3" xfId="38590" xr:uid="{00000000-0005-0000-0000-00004E290000}"/>
    <cellStyle name="Millares 2 7 7 6" xfId="18238" xr:uid="{00000000-0005-0000-0000-00004F290000}"/>
    <cellStyle name="Millares 2 7 7 6 2" xfId="45371" xr:uid="{00000000-0005-0000-0000-000050290000}"/>
    <cellStyle name="Millares 2 7 7 7" xfId="31809" xr:uid="{00000000-0005-0000-0000-000051290000}"/>
    <cellStyle name="Millares 2 7 8" xfId="4443" xr:uid="{00000000-0005-0000-0000-000052290000}"/>
    <cellStyle name="Millares 2 7 8 2" xfId="4444" xr:uid="{00000000-0005-0000-0000-000053290000}"/>
    <cellStyle name="Millares 2 7 8 2 2" xfId="8054" xr:uid="{00000000-0005-0000-0000-000054290000}"/>
    <cellStyle name="Millares 2 7 8 2 2 2" xfId="14844" xr:uid="{00000000-0005-0000-0000-000055290000}"/>
    <cellStyle name="Millares 2 7 8 2 2 2 2" xfId="28412" xr:uid="{00000000-0005-0000-0000-000056290000}"/>
    <cellStyle name="Millares 2 7 8 2 2 2 2 2" xfId="55545" xr:uid="{00000000-0005-0000-0000-000057290000}"/>
    <cellStyle name="Millares 2 7 8 2 2 2 3" xfId="41983" xr:uid="{00000000-0005-0000-0000-000058290000}"/>
    <cellStyle name="Millares 2 7 8 2 2 3" xfId="21631" xr:uid="{00000000-0005-0000-0000-000059290000}"/>
    <cellStyle name="Millares 2 7 8 2 2 3 2" xfId="48764" xr:uid="{00000000-0005-0000-0000-00005A290000}"/>
    <cellStyle name="Millares 2 7 8 2 2 4" xfId="35202" xr:uid="{00000000-0005-0000-0000-00005B290000}"/>
    <cellStyle name="Millares 2 7 8 2 3" xfId="11455" xr:uid="{00000000-0005-0000-0000-00005C290000}"/>
    <cellStyle name="Millares 2 7 8 2 3 2" xfId="25023" xr:uid="{00000000-0005-0000-0000-00005D290000}"/>
    <cellStyle name="Millares 2 7 8 2 3 2 2" xfId="52156" xr:uid="{00000000-0005-0000-0000-00005E290000}"/>
    <cellStyle name="Millares 2 7 8 2 3 3" xfId="38594" xr:uid="{00000000-0005-0000-0000-00005F290000}"/>
    <cellStyle name="Millares 2 7 8 2 4" xfId="18242" xr:uid="{00000000-0005-0000-0000-000060290000}"/>
    <cellStyle name="Millares 2 7 8 2 4 2" xfId="45375" xr:uid="{00000000-0005-0000-0000-000061290000}"/>
    <cellStyle name="Millares 2 7 8 2 5" xfId="31813" xr:uid="{00000000-0005-0000-0000-000062290000}"/>
    <cellStyle name="Millares 2 7 8 3" xfId="4445" xr:uid="{00000000-0005-0000-0000-000063290000}"/>
    <cellStyle name="Millares 2 7 8 3 2" xfId="8055" xr:uid="{00000000-0005-0000-0000-000064290000}"/>
    <cellStyle name="Millares 2 7 8 3 2 2" xfId="14845" xr:uid="{00000000-0005-0000-0000-000065290000}"/>
    <cellStyle name="Millares 2 7 8 3 2 2 2" xfId="28413" xr:uid="{00000000-0005-0000-0000-000066290000}"/>
    <cellStyle name="Millares 2 7 8 3 2 2 2 2" xfId="55546" xr:uid="{00000000-0005-0000-0000-000067290000}"/>
    <cellStyle name="Millares 2 7 8 3 2 2 3" xfId="41984" xr:uid="{00000000-0005-0000-0000-000068290000}"/>
    <cellStyle name="Millares 2 7 8 3 2 3" xfId="21632" xr:uid="{00000000-0005-0000-0000-000069290000}"/>
    <cellStyle name="Millares 2 7 8 3 2 3 2" xfId="48765" xr:uid="{00000000-0005-0000-0000-00006A290000}"/>
    <cellStyle name="Millares 2 7 8 3 2 4" xfId="35203" xr:uid="{00000000-0005-0000-0000-00006B290000}"/>
    <cellStyle name="Millares 2 7 8 3 3" xfId="11456" xr:uid="{00000000-0005-0000-0000-00006C290000}"/>
    <cellStyle name="Millares 2 7 8 3 3 2" xfId="25024" xr:uid="{00000000-0005-0000-0000-00006D290000}"/>
    <cellStyle name="Millares 2 7 8 3 3 2 2" xfId="52157" xr:uid="{00000000-0005-0000-0000-00006E290000}"/>
    <cellStyle name="Millares 2 7 8 3 3 3" xfId="38595" xr:uid="{00000000-0005-0000-0000-00006F290000}"/>
    <cellStyle name="Millares 2 7 8 3 4" xfId="18243" xr:uid="{00000000-0005-0000-0000-000070290000}"/>
    <cellStyle name="Millares 2 7 8 3 4 2" xfId="45376" xr:uid="{00000000-0005-0000-0000-000071290000}"/>
    <cellStyle name="Millares 2 7 8 3 5" xfId="31814" xr:uid="{00000000-0005-0000-0000-000072290000}"/>
    <cellStyle name="Millares 2 7 8 4" xfId="8053" xr:uid="{00000000-0005-0000-0000-000073290000}"/>
    <cellStyle name="Millares 2 7 8 4 2" xfId="14843" xr:uid="{00000000-0005-0000-0000-000074290000}"/>
    <cellStyle name="Millares 2 7 8 4 2 2" xfId="28411" xr:uid="{00000000-0005-0000-0000-000075290000}"/>
    <cellStyle name="Millares 2 7 8 4 2 2 2" xfId="55544" xr:uid="{00000000-0005-0000-0000-000076290000}"/>
    <cellStyle name="Millares 2 7 8 4 2 3" xfId="41982" xr:uid="{00000000-0005-0000-0000-000077290000}"/>
    <cellStyle name="Millares 2 7 8 4 3" xfId="21630" xr:uid="{00000000-0005-0000-0000-000078290000}"/>
    <cellStyle name="Millares 2 7 8 4 3 2" xfId="48763" xr:uid="{00000000-0005-0000-0000-000079290000}"/>
    <cellStyle name="Millares 2 7 8 4 4" xfId="35201" xr:uid="{00000000-0005-0000-0000-00007A290000}"/>
    <cellStyle name="Millares 2 7 8 5" xfId="11454" xr:uid="{00000000-0005-0000-0000-00007B290000}"/>
    <cellStyle name="Millares 2 7 8 5 2" xfId="25022" xr:uid="{00000000-0005-0000-0000-00007C290000}"/>
    <cellStyle name="Millares 2 7 8 5 2 2" xfId="52155" xr:uid="{00000000-0005-0000-0000-00007D290000}"/>
    <cellStyle name="Millares 2 7 8 5 3" xfId="38593" xr:uid="{00000000-0005-0000-0000-00007E290000}"/>
    <cellStyle name="Millares 2 7 8 6" xfId="18241" xr:uid="{00000000-0005-0000-0000-00007F290000}"/>
    <cellStyle name="Millares 2 7 8 6 2" xfId="45374" xr:uid="{00000000-0005-0000-0000-000080290000}"/>
    <cellStyle name="Millares 2 7 8 7" xfId="31812" xr:uid="{00000000-0005-0000-0000-000081290000}"/>
    <cellStyle name="Millares 2 7 9" xfId="4446" xr:uid="{00000000-0005-0000-0000-000082290000}"/>
    <cellStyle name="Millares 2 7 9 2" xfId="8056" xr:uid="{00000000-0005-0000-0000-000083290000}"/>
    <cellStyle name="Millares 2 7 9 2 2" xfId="14846" xr:uid="{00000000-0005-0000-0000-000084290000}"/>
    <cellStyle name="Millares 2 7 9 2 2 2" xfId="28414" xr:uid="{00000000-0005-0000-0000-000085290000}"/>
    <cellStyle name="Millares 2 7 9 2 2 2 2" xfId="55547" xr:uid="{00000000-0005-0000-0000-000086290000}"/>
    <cellStyle name="Millares 2 7 9 2 2 3" xfId="41985" xr:uid="{00000000-0005-0000-0000-000087290000}"/>
    <cellStyle name="Millares 2 7 9 2 3" xfId="21633" xr:uid="{00000000-0005-0000-0000-000088290000}"/>
    <cellStyle name="Millares 2 7 9 2 3 2" xfId="48766" xr:uid="{00000000-0005-0000-0000-000089290000}"/>
    <cellStyle name="Millares 2 7 9 2 4" xfId="35204" xr:uid="{00000000-0005-0000-0000-00008A290000}"/>
    <cellStyle name="Millares 2 7 9 3" xfId="11457" xr:uid="{00000000-0005-0000-0000-00008B290000}"/>
    <cellStyle name="Millares 2 7 9 3 2" xfId="25025" xr:uid="{00000000-0005-0000-0000-00008C290000}"/>
    <cellStyle name="Millares 2 7 9 3 2 2" xfId="52158" xr:uid="{00000000-0005-0000-0000-00008D290000}"/>
    <cellStyle name="Millares 2 7 9 3 3" xfId="38596" xr:uid="{00000000-0005-0000-0000-00008E290000}"/>
    <cellStyle name="Millares 2 7 9 4" xfId="18244" xr:uid="{00000000-0005-0000-0000-00008F290000}"/>
    <cellStyle name="Millares 2 7 9 4 2" xfId="45377" xr:uid="{00000000-0005-0000-0000-000090290000}"/>
    <cellStyle name="Millares 2 7 9 5" xfId="31815" xr:uid="{00000000-0005-0000-0000-000091290000}"/>
    <cellStyle name="Millares 2 70" xfId="2432" xr:uid="{00000000-0005-0000-0000-000092290000}"/>
    <cellStyle name="Millares 2 71" xfId="2433" xr:uid="{00000000-0005-0000-0000-000093290000}"/>
    <cellStyle name="Millares 2 72" xfId="2434" xr:uid="{00000000-0005-0000-0000-000094290000}"/>
    <cellStyle name="Millares 2 73" xfId="2435" xr:uid="{00000000-0005-0000-0000-000095290000}"/>
    <cellStyle name="Millares 2 74" xfId="2436" xr:uid="{00000000-0005-0000-0000-000096290000}"/>
    <cellStyle name="Millares 2 75" xfId="2437" xr:uid="{00000000-0005-0000-0000-000097290000}"/>
    <cellStyle name="Millares 2 76" xfId="2438" xr:uid="{00000000-0005-0000-0000-000098290000}"/>
    <cellStyle name="Millares 2 77" xfId="2439" xr:uid="{00000000-0005-0000-0000-000099290000}"/>
    <cellStyle name="Millares 2 78" xfId="2440" xr:uid="{00000000-0005-0000-0000-00009A290000}"/>
    <cellStyle name="Millares 2 79" xfId="2441" xr:uid="{00000000-0005-0000-0000-00009B290000}"/>
    <cellStyle name="Millares 2 8" xfId="2442" xr:uid="{00000000-0005-0000-0000-00009C290000}"/>
    <cellStyle name="Millares 2 80" xfId="4447" xr:uid="{00000000-0005-0000-0000-00009D290000}"/>
    <cellStyle name="Millares 2 80 10" xfId="4448" xr:uid="{00000000-0005-0000-0000-00009E290000}"/>
    <cellStyle name="Millares 2 80 10 2" xfId="8057" xr:uid="{00000000-0005-0000-0000-00009F290000}"/>
    <cellStyle name="Millares 2 80 10 2 2" xfId="14847" xr:uid="{00000000-0005-0000-0000-0000A0290000}"/>
    <cellStyle name="Millares 2 80 10 2 2 2" xfId="28415" xr:uid="{00000000-0005-0000-0000-0000A1290000}"/>
    <cellStyle name="Millares 2 80 10 2 2 2 2" xfId="55548" xr:uid="{00000000-0005-0000-0000-0000A2290000}"/>
    <cellStyle name="Millares 2 80 10 2 2 3" xfId="41986" xr:uid="{00000000-0005-0000-0000-0000A3290000}"/>
    <cellStyle name="Millares 2 80 10 2 3" xfId="21634" xr:uid="{00000000-0005-0000-0000-0000A4290000}"/>
    <cellStyle name="Millares 2 80 10 2 3 2" xfId="48767" xr:uid="{00000000-0005-0000-0000-0000A5290000}"/>
    <cellStyle name="Millares 2 80 10 2 4" xfId="35205" xr:uid="{00000000-0005-0000-0000-0000A6290000}"/>
    <cellStyle name="Millares 2 80 10 3" xfId="11458" xr:uid="{00000000-0005-0000-0000-0000A7290000}"/>
    <cellStyle name="Millares 2 80 10 3 2" xfId="25026" xr:uid="{00000000-0005-0000-0000-0000A8290000}"/>
    <cellStyle name="Millares 2 80 10 3 2 2" xfId="52159" xr:uid="{00000000-0005-0000-0000-0000A9290000}"/>
    <cellStyle name="Millares 2 80 10 3 3" xfId="38597" xr:uid="{00000000-0005-0000-0000-0000AA290000}"/>
    <cellStyle name="Millares 2 80 10 4" xfId="18245" xr:uid="{00000000-0005-0000-0000-0000AB290000}"/>
    <cellStyle name="Millares 2 80 10 4 2" xfId="45378" xr:uid="{00000000-0005-0000-0000-0000AC290000}"/>
    <cellStyle name="Millares 2 80 10 5" xfId="31816" xr:uid="{00000000-0005-0000-0000-0000AD290000}"/>
    <cellStyle name="Millares 2 80 11" xfId="4449" xr:uid="{00000000-0005-0000-0000-0000AE290000}"/>
    <cellStyle name="Millares 2 80 11 2" xfId="8058" xr:uid="{00000000-0005-0000-0000-0000AF290000}"/>
    <cellStyle name="Millares 2 80 11 2 2" xfId="14848" xr:uid="{00000000-0005-0000-0000-0000B0290000}"/>
    <cellStyle name="Millares 2 80 11 2 2 2" xfId="28416" xr:uid="{00000000-0005-0000-0000-0000B1290000}"/>
    <cellStyle name="Millares 2 80 11 2 2 2 2" xfId="55549" xr:uid="{00000000-0005-0000-0000-0000B2290000}"/>
    <cellStyle name="Millares 2 80 11 2 2 3" xfId="41987" xr:uid="{00000000-0005-0000-0000-0000B3290000}"/>
    <cellStyle name="Millares 2 80 11 2 3" xfId="21635" xr:uid="{00000000-0005-0000-0000-0000B4290000}"/>
    <cellStyle name="Millares 2 80 11 2 3 2" xfId="48768" xr:uid="{00000000-0005-0000-0000-0000B5290000}"/>
    <cellStyle name="Millares 2 80 11 2 4" xfId="35206" xr:uid="{00000000-0005-0000-0000-0000B6290000}"/>
    <cellStyle name="Millares 2 80 11 3" xfId="11459" xr:uid="{00000000-0005-0000-0000-0000B7290000}"/>
    <cellStyle name="Millares 2 80 11 3 2" xfId="25027" xr:uid="{00000000-0005-0000-0000-0000B8290000}"/>
    <cellStyle name="Millares 2 80 11 3 2 2" xfId="52160" xr:uid="{00000000-0005-0000-0000-0000B9290000}"/>
    <cellStyle name="Millares 2 80 11 3 3" xfId="38598" xr:uid="{00000000-0005-0000-0000-0000BA290000}"/>
    <cellStyle name="Millares 2 80 11 4" xfId="18246" xr:uid="{00000000-0005-0000-0000-0000BB290000}"/>
    <cellStyle name="Millares 2 80 11 4 2" xfId="45379" xr:uid="{00000000-0005-0000-0000-0000BC290000}"/>
    <cellStyle name="Millares 2 80 11 5" xfId="31817" xr:uid="{00000000-0005-0000-0000-0000BD290000}"/>
    <cellStyle name="Millares 2 80 2" xfId="4450" xr:uid="{00000000-0005-0000-0000-0000BE290000}"/>
    <cellStyle name="Millares 2 80 2 10" xfId="4451" xr:uid="{00000000-0005-0000-0000-0000BF290000}"/>
    <cellStyle name="Millares 2 80 2 10 2" xfId="8060" xr:uid="{00000000-0005-0000-0000-0000C0290000}"/>
    <cellStyle name="Millares 2 80 2 10 2 2" xfId="14850" xr:uid="{00000000-0005-0000-0000-0000C1290000}"/>
    <cellStyle name="Millares 2 80 2 10 2 2 2" xfId="28418" xr:uid="{00000000-0005-0000-0000-0000C2290000}"/>
    <cellStyle name="Millares 2 80 2 10 2 2 2 2" xfId="55551" xr:uid="{00000000-0005-0000-0000-0000C3290000}"/>
    <cellStyle name="Millares 2 80 2 10 2 2 3" xfId="41989" xr:uid="{00000000-0005-0000-0000-0000C4290000}"/>
    <cellStyle name="Millares 2 80 2 10 2 3" xfId="21637" xr:uid="{00000000-0005-0000-0000-0000C5290000}"/>
    <cellStyle name="Millares 2 80 2 10 2 3 2" xfId="48770" xr:uid="{00000000-0005-0000-0000-0000C6290000}"/>
    <cellStyle name="Millares 2 80 2 10 2 4" xfId="35208" xr:uid="{00000000-0005-0000-0000-0000C7290000}"/>
    <cellStyle name="Millares 2 80 2 10 3" xfId="11461" xr:uid="{00000000-0005-0000-0000-0000C8290000}"/>
    <cellStyle name="Millares 2 80 2 10 3 2" xfId="25029" xr:uid="{00000000-0005-0000-0000-0000C9290000}"/>
    <cellStyle name="Millares 2 80 2 10 3 2 2" xfId="52162" xr:uid="{00000000-0005-0000-0000-0000CA290000}"/>
    <cellStyle name="Millares 2 80 2 10 3 3" xfId="38600" xr:uid="{00000000-0005-0000-0000-0000CB290000}"/>
    <cellStyle name="Millares 2 80 2 10 4" xfId="18248" xr:uid="{00000000-0005-0000-0000-0000CC290000}"/>
    <cellStyle name="Millares 2 80 2 10 4 2" xfId="45381" xr:uid="{00000000-0005-0000-0000-0000CD290000}"/>
    <cellStyle name="Millares 2 80 2 10 5" xfId="31819" xr:uid="{00000000-0005-0000-0000-0000CE290000}"/>
    <cellStyle name="Millares 2 80 2 11" xfId="8059" xr:uid="{00000000-0005-0000-0000-0000CF290000}"/>
    <cellStyle name="Millares 2 80 2 11 2" xfId="14849" xr:uid="{00000000-0005-0000-0000-0000D0290000}"/>
    <cellStyle name="Millares 2 80 2 11 2 2" xfId="28417" xr:uid="{00000000-0005-0000-0000-0000D1290000}"/>
    <cellStyle name="Millares 2 80 2 11 2 2 2" xfId="55550" xr:uid="{00000000-0005-0000-0000-0000D2290000}"/>
    <cellStyle name="Millares 2 80 2 11 2 3" xfId="41988" xr:uid="{00000000-0005-0000-0000-0000D3290000}"/>
    <cellStyle name="Millares 2 80 2 11 3" xfId="21636" xr:uid="{00000000-0005-0000-0000-0000D4290000}"/>
    <cellStyle name="Millares 2 80 2 11 3 2" xfId="48769" xr:uid="{00000000-0005-0000-0000-0000D5290000}"/>
    <cellStyle name="Millares 2 80 2 11 4" xfId="35207" xr:uid="{00000000-0005-0000-0000-0000D6290000}"/>
    <cellStyle name="Millares 2 80 2 12" xfId="11460" xr:uid="{00000000-0005-0000-0000-0000D7290000}"/>
    <cellStyle name="Millares 2 80 2 12 2" xfId="25028" xr:uid="{00000000-0005-0000-0000-0000D8290000}"/>
    <cellStyle name="Millares 2 80 2 12 2 2" xfId="52161" xr:uid="{00000000-0005-0000-0000-0000D9290000}"/>
    <cellStyle name="Millares 2 80 2 12 3" xfId="38599" xr:uid="{00000000-0005-0000-0000-0000DA290000}"/>
    <cellStyle name="Millares 2 80 2 13" xfId="18247" xr:uid="{00000000-0005-0000-0000-0000DB290000}"/>
    <cellStyle name="Millares 2 80 2 13 2" xfId="45380" xr:uid="{00000000-0005-0000-0000-0000DC290000}"/>
    <cellStyle name="Millares 2 80 2 14" xfId="31818" xr:uid="{00000000-0005-0000-0000-0000DD290000}"/>
    <cellStyle name="Millares 2 80 2 2" xfId="4452" xr:uid="{00000000-0005-0000-0000-0000DE290000}"/>
    <cellStyle name="Millares 2 80 2 2 10" xfId="11462" xr:uid="{00000000-0005-0000-0000-0000DF290000}"/>
    <cellStyle name="Millares 2 80 2 2 10 2" xfId="25030" xr:uid="{00000000-0005-0000-0000-0000E0290000}"/>
    <cellStyle name="Millares 2 80 2 2 10 2 2" xfId="52163" xr:uid="{00000000-0005-0000-0000-0000E1290000}"/>
    <cellStyle name="Millares 2 80 2 2 10 3" xfId="38601" xr:uid="{00000000-0005-0000-0000-0000E2290000}"/>
    <cellStyle name="Millares 2 80 2 2 11" xfId="18249" xr:uid="{00000000-0005-0000-0000-0000E3290000}"/>
    <cellStyle name="Millares 2 80 2 2 11 2" xfId="45382" xr:uid="{00000000-0005-0000-0000-0000E4290000}"/>
    <cellStyle name="Millares 2 80 2 2 12" xfId="31820" xr:uid="{00000000-0005-0000-0000-0000E5290000}"/>
    <cellStyle name="Millares 2 80 2 2 2" xfId="4453" xr:uid="{00000000-0005-0000-0000-0000E6290000}"/>
    <cellStyle name="Millares 2 80 2 2 2 10" xfId="31821" xr:uid="{00000000-0005-0000-0000-0000E7290000}"/>
    <cellStyle name="Millares 2 80 2 2 2 2" xfId="4454" xr:uid="{00000000-0005-0000-0000-0000E8290000}"/>
    <cellStyle name="Millares 2 80 2 2 2 2 2" xfId="4455" xr:uid="{00000000-0005-0000-0000-0000E9290000}"/>
    <cellStyle name="Millares 2 80 2 2 2 2 2 2" xfId="4456" xr:uid="{00000000-0005-0000-0000-0000EA290000}"/>
    <cellStyle name="Millares 2 80 2 2 2 2 2 2 2" xfId="8065" xr:uid="{00000000-0005-0000-0000-0000EB290000}"/>
    <cellStyle name="Millares 2 80 2 2 2 2 2 2 2 2" xfId="14855" xr:uid="{00000000-0005-0000-0000-0000EC290000}"/>
    <cellStyle name="Millares 2 80 2 2 2 2 2 2 2 2 2" xfId="28423" xr:uid="{00000000-0005-0000-0000-0000ED290000}"/>
    <cellStyle name="Millares 2 80 2 2 2 2 2 2 2 2 2 2" xfId="55556" xr:uid="{00000000-0005-0000-0000-0000EE290000}"/>
    <cellStyle name="Millares 2 80 2 2 2 2 2 2 2 2 3" xfId="41994" xr:uid="{00000000-0005-0000-0000-0000EF290000}"/>
    <cellStyle name="Millares 2 80 2 2 2 2 2 2 2 3" xfId="21642" xr:uid="{00000000-0005-0000-0000-0000F0290000}"/>
    <cellStyle name="Millares 2 80 2 2 2 2 2 2 2 3 2" xfId="48775" xr:uid="{00000000-0005-0000-0000-0000F1290000}"/>
    <cellStyle name="Millares 2 80 2 2 2 2 2 2 2 4" xfId="35213" xr:uid="{00000000-0005-0000-0000-0000F2290000}"/>
    <cellStyle name="Millares 2 80 2 2 2 2 2 2 3" xfId="11466" xr:uid="{00000000-0005-0000-0000-0000F3290000}"/>
    <cellStyle name="Millares 2 80 2 2 2 2 2 2 3 2" xfId="25034" xr:uid="{00000000-0005-0000-0000-0000F4290000}"/>
    <cellStyle name="Millares 2 80 2 2 2 2 2 2 3 2 2" xfId="52167" xr:uid="{00000000-0005-0000-0000-0000F5290000}"/>
    <cellStyle name="Millares 2 80 2 2 2 2 2 2 3 3" xfId="38605" xr:uid="{00000000-0005-0000-0000-0000F6290000}"/>
    <cellStyle name="Millares 2 80 2 2 2 2 2 2 4" xfId="18253" xr:uid="{00000000-0005-0000-0000-0000F7290000}"/>
    <cellStyle name="Millares 2 80 2 2 2 2 2 2 4 2" xfId="45386" xr:uid="{00000000-0005-0000-0000-0000F8290000}"/>
    <cellStyle name="Millares 2 80 2 2 2 2 2 2 5" xfId="31824" xr:uid="{00000000-0005-0000-0000-0000F9290000}"/>
    <cellStyle name="Millares 2 80 2 2 2 2 2 3" xfId="4457" xr:uid="{00000000-0005-0000-0000-0000FA290000}"/>
    <cellStyle name="Millares 2 80 2 2 2 2 2 3 2" xfId="8066" xr:uid="{00000000-0005-0000-0000-0000FB290000}"/>
    <cellStyle name="Millares 2 80 2 2 2 2 2 3 2 2" xfId="14856" xr:uid="{00000000-0005-0000-0000-0000FC290000}"/>
    <cellStyle name="Millares 2 80 2 2 2 2 2 3 2 2 2" xfId="28424" xr:uid="{00000000-0005-0000-0000-0000FD290000}"/>
    <cellStyle name="Millares 2 80 2 2 2 2 2 3 2 2 2 2" xfId="55557" xr:uid="{00000000-0005-0000-0000-0000FE290000}"/>
    <cellStyle name="Millares 2 80 2 2 2 2 2 3 2 2 3" xfId="41995" xr:uid="{00000000-0005-0000-0000-0000FF290000}"/>
    <cellStyle name="Millares 2 80 2 2 2 2 2 3 2 3" xfId="21643" xr:uid="{00000000-0005-0000-0000-0000002A0000}"/>
    <cellStyle name="Millares 2 80 2 2 2 2 2 3 2 3 2" xfId="48776" xr:uid="{00000000-0005-0000-0000-0000012A0000}"/>
    <cellStyle name="Millares 2 80 2 2 2 2 2 3 2 4" xfId="35214" xr:uid="{00000000-0005-0000-0000-0000022A0000}"/>
    <cellStyle name="Millares 2 80 2 2 2 2 2 3 3" xfId="11467" xr:uid="{00000000-0005-0000-0000-0000032A0000}"/>
    <cellStyle name="Millares 2 80 2 2 2 2 2 3 3 2" xfId="25035" xr:uid="{00000000-0005-0000-0000-0000042A0000}"/>
    <cellStyle name="Millares 2 80 2 2 2 2 2 3 3 2 2" xfId="52168" xr:uid="{00000000-0005-0000-0000-0000052A0000}"/>
    <cellStyle name="Millares 2 80 2 2 2 2 2 3 3 3" xfId="38606" xr:uid="{00000000-0005-0000-0000-0000062A0000}"/>
    <cellStyle name="Millares 2 80 2 2 2 2 2 3 4" xfId="18254" xr:uid="{00000000-0005-0000-0000-0000072A0000}"/>
    <cellStyle name="Millares 2 80 2 2 2 2 2 3 4 2" xfId="45387" xr:uid="{00000000-0005-0000-0000-0000082A0000}"/>
    <cellStyle name="Millares 2 80 2 2 2 2 2 3 5" xfId="31825" xr:uid="{00000000-0005-0000-0000-0000092A0000}"/>
    <cellStyle name="Millares 2 80 2 2 2 2 2 4" xfId="8064" xr:uid="{00000000-0005-0000-0000-00000A2A0000}"/>
    <cellStyle name="Millares 2 80 2 2 2 2 2 4 2" xfId="14854" xr:uid="{00000000-0005-0000-0000-00000B2A0000}"/>
    <cellStyle name="Millares 2 80 2 2 2 2 2 4 2 2" xfId="28422" xr:uid="{00000000-0005-0000-0000-00000C2A0000}"/>
    <cellStyle name="Millares 2 80 2 2 2 2 2 4 2 2 2" xfId="55555" xr:uid="{00000000-0005-0000-0000-00000D2A0000}"/>
    <cellStyle name="Millares 2 80 2 2 2 2 2 4 2 3" xfId="41993" xr:uid="{00000000-0005-0000-0000-00000E2A0000}"/>
    <cellStyle name="Millares 2 80 2 2 2 2 2 4 3" xfId="21641" xr:uid="{00000000-0005-0000-0000-00000F2A0000}"/>
    <cellStyle name="Millares 2 80 2 2 2 2 2 4 3 2" xfId="48774" xr:uid="{00000000-0005-0000-0000-0000102A0000}"/>
    <cellStyle name="Millares 2 80 2 2 2 2 2 4 4" xfId="35212" xr:uid="{00000000-0005-0000-0000-0000112A0000}"/>
    <cellStyle name="Millares 2 80 2 2 2 2 2 5" xfId="11465" xr:uid="{00000000-0005-0000-0000-0000122A0000}"/>
    <cellStyle name="Millares 2 80 2 2 2 2 2 5 2" xfId="25033" xr:uid="{00000000-0005-0000-0000-0000132A0000}"/>
    <cellStyle name="Millares 2 80 2 2 2 2 2 5 2 2" xfId="52166" xr:uid="{00000000-0005-0000-0000-0000142A0000}"/>
    <cellStyle name="Millares 2 80 2 2 2 2 2 5 3" xfId="38604" xr:uid="{00000000-0005-0000-0000-0000152A0000}"/>
    <cellStyle name="Millares 2 80 2 2 2 2 2 6" xfId="18252" xr:uid="{00000000-0005-0000-0000-0000162A0000}"/>
    <cellStyle name="Millares 2 80 2 2 2 2 2 6 2" xfId="45385" xr:uid="{00000000-0005-0000-0000-0000172A0000}"/>
    <cellStyle name="Millares 2 80 2 2 2 2 2 7" xfId="31823" xr:uid="{00000000-0005-0000-0000-0000182A0000}"/>
    <cellStyle name="Millares 2 80 2 2 2 2 3" xfId="4458" xr:uid="{00000000-0005-0000-0000-0000192A0000}"/>
    <cellStyle name="Millares 2 80 2 2 2 2 3 2" xfId="4459" xr:uid="{00000000-0005-0000-0000-00001A2A0000}"/>
    <cellStyle name="Millares 2 80 2 2 2 2 3 2 2" xfId="8068" xr:uid="{00000000-0005-0000-0000-00001B2A0000}"/>
    <cellStyle name="Millares 2 80 2 2 2 2 3 2 2 2" xfId="14858" xr:uid="{00000000-0005-0000-0000-00001C2A0000}"/>
    <cellStyle name="Millares 2 80 2 2 2 2 3 2 2 2 2" xfId="28426" xr:uid="{00000000-0005-0000-0000-00001D2A0000}"/>
    <cellStyle name="Millares 2 80 2 2 2 2 3 2 2 2 2 2" xfId="55559" xr:uid="{00000000-0005-0000-0000-00001E2A0000}"/>
    <cellStyle name="Millares 2 80 2 2 2 2 3 2 2 2 3" xfId="41997" xr:uid="{00000000-0005-0000-0000-00001F2A0000}"/>
    <cellStyle name="Millares 2 80 2 2 2 2 3 2 2 3" xfId="21645" xr:uid="{00000000-0005-0000-0000-0000202A0000}"/>
    <cellStyle name="Millares 2 80 2 2 2 2 3 2 2 3 2" xfId="48778" xr:uid="{00000000-0005-0000-0000-0000212A0000}"/>
    <cellStyle name="Millares 2 80 2 2 2 2 3 2 2 4" xfId="35216" xr:uid="{00000000-0005-0000-0000-0000222A0000}"/>
    <cellStyle name="Millares 2 80 2 2 2 2 3 2 3" xfId="11469" xr:uid="{00000000-0005-0000-0000-0000232A0000}"/>
    <cellStyle name="Millares 2 80 2 2 2 2 3 2 3 2" xfId="25037" xr:uid="{00000000-0005-0000-0000-0000242A0000}"/>
    <cellStyle name="Millares 2 80 2 2 2 2 3 2 3 2 2" xfId="52170" xr:uid="{00000000-0005-0000-0000-0000252A0000}"/>
    <cellStyle name="Millares 2 80 2 2 2 2 3 2 3 3" xfId="38608" xr:uid="{00000000-0005-0000-0000-0000262A0000}"/>
    <cellStyle name="Millares 2 80 2 2 2 2 3 2 4" xfId="18256" xr:uid="{00000000-0005-0000-0000-0000272A0000}"/>
    <cellStyle name="Millares 2 80 2 2 2 2 3 2 4 2" xfId="45389" xr:uid="{00000000-0005-0000-0000-0000282A0000}"/>
    <cellStyle name="Millares 2 80 2 2 2 2 3 2 5" xfId="31827" xr:uid="{00000000-0005-0000-0000-0000292A0000}"/>
    <cellStyle name="Millares 2 80 2 2 2 2 3 3" xfId="8067" xr:uid="{00000000-0005-0000-0000-00002A2A0000}"/>
    <cellStyle name="Millares 2 80 2 2 2 2 3 3 2" xfId="14857" xr:uid="{00000000-0005-0000-0000-00002B2A0000}"/>
    <cellStyle name="Millares 2 80 2 2 2 2 3 3 2 2" xfId="28425" xr:uid="{00000000-0005-0000-0000-00002C2A0000}"/>
    <cellStyle name="Millares 2 80 2 2 2 2 3 3 2 2 2" xfId="55558" xr:uid="{00000000-0005-0000-0000-00002D2A0000}"/>
    <cellStyle name="Millares 2 80 2 2 2 2 3 3 2 3" xfId="41996" xr:uid="{00000000-0005-0000-0000-00002E2A0000}"/>
    <cellStyle name="Millares 2 80 2 2 2 2 3 3 3" xfId="21644" xr:uid="{00000000-0005-0000-0000-00002F2A0000}"/>
    <cellStyle name="Millares 2 80 2 2 2 2 3 3 3 2" xfId="48777" xr:uid="{00000000-0005-0000-0000-0000302A0000}"/>
    <cellStyle name="Millares 2 80 2 2 2 2 3 3 4" xfId="35215" xr:uid="{00000000-0005-0000-0000-0000312A0000}"/>
    <cellStyle name="Millares 2 80 2 2 2 2 3 4" xfId="11468" xr:uid="{00000000-0005-0000-0000-0000322A0000}"/>
    <cellStyle name="Millares 2 80 2 2 2 2 3 4 2" xfId="25036" xr:uid="{00000000-0005-0000-0000-0000332A0000}"/>
    <cellStyle name="Millares 2 80 2 2 2 2 3 4 2 2" xfId="52169" xr:uid="{00000000-0005-0000-0000-0000342A0000}"/>
    <cellStyle name="Millares 2 80 2 2 2 2 3 4 3" xfId="38607" xr:uid="{00000000-0005-0000-0000-0000352A0000}"/>
    <cellStyle name="Millares 2 80 2 2 2 2 3 5" xfId="18255" xr:uid="{00000000-0005-0000-0000-0000362A0000}"/>
    <cellStyle name="Millares 2 80 2 2 2 2 3 5 2" xfId="45388" xr:uid="{00000000-0005-0000-0000-0000372A0000}"/>
    <cellStyle name="Millares 2 80 2 2 2 2 3 6" xfId="31826" xr:uid="{00000000-0005-0000-0000-0000382A0000}"/>
    <cellStyle name="Millares 2 80 2 2 2 2 4" xfId="4460" xr:uid="{00000000-0005-0000-0000-0000392A0000}"/>
    <cellStyle name="Millares 2 80 2 2 2 2 4 2" xfId="8069" xr:uid="{00000000-0005-0000-0000-00003A2A0000}"/>
    <cellStyle name="Millares 2 80 2 2 2 2 4 2 2" xfId="14859" xr:uid="{00000000-0005-0000-0000-00003B2A0000}"/>
    <cellStyle name="Millares 2 80 2 2 2 2 4 2 2 2" xfId="28427" xr:uid="{00000000-0005-0000-0000-00003C2A0000}"/>
    <cellStyle name="Millares 2 80 2 2 2 2 4 2 2 2 2" xfId="55560" xr:uid="{00000000-0005-0000-0000-00003D2A0000}"/>
    <cellStyle name="Millares 2 80 2 2 2 2 4 2 2 3" xfId="41998" xr:uid="{00000000-0005-0000-0000-00003E2A0000}"/>
    <cellStyle name="Millares 2 80 2 2 2 2 4 2 3" xfId="21646" xr:uid="{00000000-0005-0000-0000-00003F2A0000}"/>
    <cellStyle name="Millares 2 80 2 2 2 2 4 2 3 2" xfId="48779" xr:uid="{00000000-0005-0000-0000-0000402A0000}"/>
    <cellStyle name="Millares 2 80 2 2 2 2 4 2 4" xfId="35217" xr:uid="{00000000-0005-0000-0000-0000412A0000}"/>
    <cellStyle name="Millares 2 80 2 2 2 2 4 3" xfId="11470" xr:uid="{00000000-0005-0000-0000-0000422A0000}"/>
    <cellStyle name="Millares 2 80 2 2 2 2 4 3 2" xfId="25038" xr:uid="{00000000-0005-0000-0000-0000432A0000}"/>
    <cellStyle name="Millares 2 80 2 2 2 2 4 3 2 2" xfId="52171" xr:uid="{00000000-0005-0000-0000-0000442A0000}"/>
    <cellStyle name="Millares 2 80 2 2 2 2 4 3 3" xfId="38609" xr:uid="{00000000-0005-0000-0000-0000452A0000}"/>
    <cellStyle name="Millares 2 80 2 2 2 2 4 4" xfId="18257" xr:uid="{00000000-0005-0000-0000-0000462A0000}"/>
    <cellStyle name="Millares 2 80 2 2 2 2 4 4 2" xfId="45390" xr:uid="{00000000-0005-0000-0000-0000472A0000}"/>
    <cellStyle name="Millares 2 80 2 2 2 2 4 5" xfId="31828" xr:uid="{00000000-0005-0000-0000-0000482A0000}"/>
    <cellStyle name="Millares 2 80 2 2 2 2 5" xfId="4461" xr:uid="{00000000-0005-0000-0000-0000492A0000}"/>
    <cellStyle name="Millares 2 80 2 2 2 2 5 2" xfId="8070" xr:uid="{00000000-0005-0000-0000-00004A2A0000}"/>
    <cellStyle name="Millares 2 80 2 2 2 2 5 2 2" xfId="14860" xr:uid="{00000000-0005-0000-0000-00004B2A0000}"/>
    <cellStyle name="Millares 2 80 2 2 2 2 5 2 2 2" xfId="28428" xr:uid="{00000000-0005-0000-0000-00004C2A0000}"/>
    <cellStyle name="Millares 2 80 2 2 2 2 5 2 2 2 2" xfId="55561" xr:uid="{00000000-0005-0000-0000-00004D2A0000}"/>
    <cellStyle name="Millares 2 80 2 2 2 2 5 2 2 3" xfId="41999" xr:uid="{00000000-0005-0000-0000-00004E2A0000}"/>
    <cellStyle name="Millares 2 80 2 2 2 2 5 2 3" xfId="21647" xr:uid="{00000000-0005-0000-0000-00004F2A0000}"/>
    <cellStyle name="Millares 2 80 2 2 2 2 5 2 3 2" xfId="48780" xr:uid="{00000000-0005-0000-0000-0000502A0000}"/>
    <cellStyle name="Millares 2 80 2 2 2 2 5 2 4" xfId="35218" xr:uid="{00000000-0005-0000-0000-0000512A0000}"/>
    <cellStyle name="Millares 2 80 2 2 2 2 5 3" xfId="11471" xr:uid="{00000000-0005-0000-0000-0000522A0000}"/>
    <cellStyle name="Millares 2 80 2 2 2 2 5 3 2" xfId="25039" xr:uid="{00000000-0005-0000-0000-0000532A0000}"/>
    <cellStyle name="Millares 2 80 2 2 2 2 5 3 2 2" xfId="52172" xr:uid="{00000000-0005-0000-0000-0000542A0000}"/>
    <cellStyle name="Millares 2 80 2 2 2 2 5 3 3" xfId="38610" xr:uid="{00000000-0005-0000-0000-0000552A0000}"/>
    <cellStyle name="Millares 2 80 2 2 2 2 5 4" xfId="18258" xr:uid="{00000000-0005-0000-0000-0000562A0000}"/>
    <cellStyle name="Millares 2 80 2 2 2 2 5 4 2" xfId="45391" xr:uid="{00000000-0005-0000-0000-0000572A0000}"/>
    <cellStyle name="Millares 2 80 2 2 2 2 5 5" xfId="31829" xr:uid="{00000000-0005-0000-0000-0000582A0000}"/>
    <cellStyle name="Millares 2 80 2 2 2 2 6" xfId="8063" xr:uid="{00000000-0005-0000-0000-0000592A0000}"/>
    <cellStyle name="Millares 2 80 2 2 2 2 6 2" xfId="14853" xr:uid="{00000000-0005-0000-0000-00005A2A0000}"/>
    <cellStyle name="Millares 2 80 2 2 2 2 6 2 2" xfId="28421" xr:uid="{00000000-0005-0000-0000-00005B2A0000}"/>
    <cellStyle name="Millares 2 80 2 2 2 2 6 2 2 2" xfId="55554" xr:uid="{00000000-0005-0000-0000-00005C2A0000}"/>
    <cellStyle name="Millares 2 80 2 2 2 2 6 2 3" xfId="41992" xr:uid="{00000000-0005-0000-0000-00005D2A0000}"/>
    <cellStyle name="Millares 2 80 2 2 2 2 6 3" xfId="21640" xr:uid="{00000000-0005-0000-0000-00005E2A0000}"/>
    <cellStyle name="Millares 2 80 2 2 2 2 6 3 2" xfId="48773" xr:uid="{00000000-0005-0000-0000-00005F2A0000}"/>
    <cellStyle name="Millares 2 80 2 2 2 2 6 4" xfId="35211" xr:uid="{00000000-0005-0000-0000-0000602A0000}"/>
    <cellStyle name="Millares 2 80 2 2 2 2 7" xfId="11464" xr:uid="{00000000-0005-0000-0000-0000612A0000}"/>
    <cellStyle name="Millares 2 80 2 2 2 2 7 2" xfId="25032" xr:uid="{00000000-0005-0000-0000-0000622A0000}"/>
    <cellStyle name="Millares 2 80 2 2 2 2 7 2 2" xfId="52165" xr:uid="{00000000-0005-0000-0000-0000632A0000}"/>
    <cellStyle name="Millares 2 80 2 2 2 2 7 3" xfId="38603" xr:uid="{00000000-0005-0000-0000-0000642A0000}"/>
    <cellStyle name="Millares 2 80 2 2 2 2 8" xfId="18251" xr:uid="{00000000-0005-0000-0000-0000652A0000}"/>
    <cellStyle name="Millares 2 80 2 2 2 2 8 2" xfId="45384" xr:uid="{00000000-0005-0000-0000-0000662A0000}"/>
    <cellStyle name="Millares 2 80 2 2 2 2 9" xfId="31822" xr:uid="{00000000-0005-0000-0000-0000672A0000}"/>
    <cellStyle name="Millares 2 80 2 2 2 3" xfId="4462" xr:uid="{00000000-0005-0000-0000-0000682A0000}"/>
    <cellStyle name="Millares 2 80 2 2 2 3 2" xfId="4463" xr:uid="{00000000-0005-0000-0000-0000692A0000}"/>
    <cellStyle name="Millares 2 80 2 2 2 3 2 2" xfId="8072" xr:uid="{00000000-0005-0000-0000-00006A2A0000}"/>
    <cellStyle name="Millares 2 80 2 2 2 3 2 2 2" xfId="14862" xr:uid="{00000000-0005-0000-0000-00006B2A0000}"/>
    <cellStyle name="Millares 2 80 2 2 2 3 2 2 2 2" xfId="28430" xr:uid="{00000000-0005-0000-0000-00006C2A0000}"/>
    <cellStyle name="Millares 2 80 2 2 2 3 2 2 2 2 2" xfId="55563" xr:uid="{00000000-0005-0000-0000-00006D2A0000}"/>
    <cellStyle name="Millares 2 80 2 2 2 3 2 2 2 3" xfId="42001" xr:uid="{00000000-0005-0000-0000-00006E2A0000}"/>
    <cellStyle name="Millares 2 80 2 2 2 3 2 2 3" xfId="21649" xr:uid="{00000000-0005-0000-0000-00006F2A0000}"/>
    <cellStyle name="Millares 2 80 2 2 2 3 2 2 3 2" xfId="48782" xr:uid="{00000000-0005-0000-0000-0000702A0000}"/>
    <cellStyle name="Millares 2 80 2 2 2 3 2 2 4" xfId="35220" xr:uid="{00000000-0005-0000-0000-0000712A0000}"/>
    <cellStyle name="Millares 2 80 2 2 2 3 2 3" xfId="11473" xr:uid="{00000000-0005-0000-0000-0000722A0000}"/>
    <cellStyle name="Millares 2 80 2 2 2 3 2 3 2" xfId="25041" xr:uid="{00000000-0005-0000-0000-0000732A0000}"/>
    <cellStyle name="Millares 2 80 2 2 2 3 2 3 2 2" xfId="52174" xr:uid="{00000000-0005-0000-0000-0000742A0000}"/>
    <cellStyle name="Millares 2 80 2 2 2 3 2 3 3" xfId="38612" xr:uid="{00000000-0005-0000-0000-0000752A0000}"/>
    <cellStyle name="Millares 2 80 2 2 2 3 2 4" xfId="18260" xr:uid="{00000000-0005-0000-0000-0000762A0000}"/>
    <cellStyle name="Millares 2 80 2 2 2 3 2 4 2" xfId="45393" xr:uid="{00000000-0005-0000-0000-0000772A0000}"/>
    <cellStyle name="Millares 2 80 2 2 2 3 2 5" xfId="31831" xr:uid="{00000000-0005-0000-0000-0000782A0000}"/>
    <cellStyle name="Millares 2 80 2 2 2 3 3" xfId="4464" xr:uid="{00000000-0005-0000-0000-0000792A0000}"/>
    <cellStyle name="Millares 2 80 2 2 2 3 3 2" xfId="8073" xr:uid="{00000000-0005-0000-0000-00007A2A0000}"/>
    <cellStyle name="Millares 2 80 2 2 2 3 3 2 2" xfId="14863" xr:uid="{00000000-0005-0000-0000-00007B2A0000}"/>
    <cellStyle name="Millares 2 80 2 2 2 3 3 2 2 2" xfId="28431" xr:uid="{00000000-0005-0000-0000-00007C2A0000}"/>
    <cellStyle name="Millares 2 80 2 2 2 3 3 2 2 2 2" xfId="55564" xr:uid="{00000000-0005-0000-0000-00007D2A0000}"/>
    <cellStyle name="Millares 2 80 2 2 2 3 3 2 2 3" xfId="42002" xr:uid="{00000000-0005-0000-0000-00007E2A0000}"/>
    <cellStyle name="Millares 2 80 2 2 2 3 3 2 3" xfId="21650" xr:uid="{00000000-0005-0000-0000-00007F2A0000}"/>
    <cellStyle name="Millares 2 80 2 2 2 3 3 2 3 2" xfId="48783" xr:uid="{00000000-0005-0000-0000-0000802A0000}"/>
    <cellStyle name="Millares 2 80 2 2 2 3 3 2 4" xfId="35221" xr:uid="{00000000-0005-0000-0000-0000812A0000}"/>
    <cellStyle name="Millares 2 80 2 2 2 3 3 3" xfId="11474" xr:uid="{00000000-0005-0000-0000-0000822A0000}"/>
    <cellStyle name="Millares 2 80 2 2 2 3 3 3 2" xfId="25042" xr:uid="{00000000-0005-0000-0000-0000832A0000}"/>
    <cellStyle name="Millares 2 80 2 2 2 3 3 3 2 2" xfId="52175" xr:uid="{00000000-0005-0000-0000-0000842A0000}"/>
    <cellStyle name="Millares 2 80 2 2 2 3 3 3 3" xfId="38613" xr:uid="{00000000-0005-0000-0000-0000852A0000}"/>
    <cellStyle name="Millares 2 80 2 2 2 3 3 4" xfId="18261" xr:uid="{00000000-0005-0000-0000-0000862A0000}"/>
    <cellStyle name="Millares 2 80 2 2 2 3 3 4 2" xfId="45394" xr:uid="{00000000-0005-0000-0000-0000872A0000}"/>
    <cellStyle name="Millares 2 80 2 2 2 3 3 5" xfId="31832" xr:uid="{00000000-0005-0000-0000-0000882A0000}"/>
    <cellStyle name="Millares 2 80 2 2 2 3 4" xfId="8071" xr:uid="{00000000-0005-0000-0000-0000892A0000}"/>
    <cellStyle name="Millares 2 80 2 2 2 3 4 2" xfId="14861" xr:uid="{00000000-0005-0000-0000-00008A2A0000}"/>
    <cellStyle name="Millares 2 80 2 2 2 3 4 2 2" xfId="28429" xr:uid="{00000000-0005-0000-0000-00008B2A0000}"/>
    <cellStyle name="Millares 2 80 2 2 2 3 4 2 2 2" xfId="55562" xr:uid="{00000000-0005-0000-0000-00008C2A0000}"/>
    <cellStyle name="Millares 2 80 2 2 2 3 4 2 3" xfId="42000" xr:uid="{00000000-0005-0000-0000-00008D2A0000}"/>
    <cellStyle name="Millares 2 80 2 2 2 3 4 3" xfId="21648" xr:uid="{00000000-0005-0000-0000-00008E2A0000}"/>
    <cellStyle name="Millares 2 80 2 2 2 3 4 3 2" xfId="48781" xr:uid="{00000000-0005-0000-0000-00008F2A0000}"/>
    <cellStyle name="Millares 2 80 2 2 2 3 4 4" xfId="35219" xr:uid="{00000000-0005-0000-0000-0000902A0000}"/>
    <cellStyle name="Millares 2 80 2 2 2 3 5" xfId="11472" xr:uid="{00000000-0005-0000-0000-0000912A0000}"/>
    <cellStyle name="Millares 2 80 2 2 2 3 5 2" xfId="25040" xr:uid="{00000000-0005-0000-0000-0000922A0000}"/>
    <cellStyle name="Millares 2 80 2 2 2 3 5 2 2" xfId="52173" xr:uid="{00000000-0005-0000-0000-0000932A0000}"/>
    <cellStyle name="Millares 2 80 2 2 2 3 5 3" xfId="38611" xr:uid="{00000000-0005-0000-0000-0000942A0000}"/>
    <cellStyle name="Millares 2 80 2 2 2 3 6" xfId="18259" xr:uid="{00000000-0005-0000-0000-0000952A0000}"/>
    <cellStyle name="Millares 2 80 2 2 2 3 6 2" xfId="45392" xr:uid="{00000000-0005-0000-0000-0000962A0000}"/>
    <cellStyle name="Millares 2 80 2 2 2 3 7" xfId="31830" xr:uid="{00000000-0005-0000-0000-0000972A0000}"/>
    <cellStyle name="Millares 2 80 2 2 2 4" xfId="4465" xr:uid="{00000000-0005-0000-0000-0000982A0000}"/>
    <cellStyle name="Millares 2 80 2 2 2 4 2" xfId="4466" xr:uid="{00000000-0005-0000-0000-0000992A0000}"/>
    <cellStyle name="Millares 2 80 2 2 2 4 2 2" xfId="8075" xr:uid="{00000000-0005-0000-0000-00009A2A0000}"/>
    <cellStyle name="Millares 2 80 2 2 2 4 2 2 2" xfId="14865" xr:uid="{00000000-0005-0000-0000-00009B2A0000}"/>
    <cellStyle name="Millares 2 80 2 2 2 4 2 2 2 2" xfId="28433" xr:uid="{00000000-0005-0000-0000-00009C2A0000}"/>
    <cellStyle name="Millares 2 80 2 2 2 4 2 2 2 2 2" xfId="55566" xr:uid="{00000000-0005-0000-0000-00009D2A0000}"/>
    <cellStyle name="Millares 2 80 2 2 2 4 2 2 2 3" xfId="42004" xr:uid="{00000000-0005-0000-0000-00009E2A0000}"/>
    <cellStyle name="Millares 2 80 2 2 2 4 2 2 3" xfId="21652" xr:uid="{00000000-0005-0000-0000-00009F2A0000}"/>
    <cellStyle name="Millares 2 80 2 2 2 4 2 2 3 2" xfId="48785" xr:uid="{00000000-0005-0000-0000-0000A02A0000}"/>
    <cellStyle name="Millares 2 80 2 2 2 4 2 2 4" xfId="35223" xr:uid="{00000000-0005-0000-0000-0000A12A0000}"/>
    <cellStyle name="Millares 2 80 2 2 2 4 2 3" xfId="11476" xr:uid="{00000000-0005-0000-0000-0000A22A0000}"/>
    <cellStyle name="Millares 2 80 2 2 2 4 2 3 2" xfId="25044" xr:uid="{00000000-0005-0000-0000-0000A32A0000}"/>
    <cellStyle name="Millares 2 80 2 2 2 4 2 3 2 2" xfId="52177" xr:uid="{00000000-0005-0000-0000-0000A42A0000}"/>
    <cellStyle name="Millares 2 80 2 2 2 4 2 3 3" xfId="38615" xr:uid="{00000000-0005-0000-0000-0000A52A0000}"/>
    <cellStyle name="Millares 2 80 2 2 2 4 2 4" xfId="18263" xr:uid="{00000000-0005-0000-0000-0000A62A0000}"/>
    <cellStyle name="Millares 2 80 2 2 2 4 2 4 2" xfId="45396" xr:uid="{00000000-0005-0000-0000-0000A72A0000}"/>
    <cellStyle name="Millares 2 80 2 2 2 4 2 5" xfId="31834" xr:uid="{00000000-0005-0000-0000-0000A82A0000}"/>
    <cellStyle name="Millares 2 80 2 2 2 4 3" xfId="8074" xr:uid="{00000000-0005-0000-0000-0000A92A0000}"/>
    <cellStyle name="Millares 2 80 2 2 2 4 3 2" xfId="14864" xr:uid="{00000000-0005-0000-0000-0000AA2A0000}"/>
    <cellStyle name="Millares 2 80 2 2 2 4 3 2 2" xfId="28432" xr:uid="{00000000-0005-0000-0000-0000AB2A0000}"/>
    <cellStyle name="Millares 2 80 2 2 2 4 3 2 2 2" xfId="55565" xr:uid="{00000000-0005-0000-0000-0000AC2A0000}"/>
    <cellStyle name="Millares 2 80 2 2 2 4 3 2 3" xfId="42003" xr:uid="{00000000-0005-0000-0000-0000AD2A0000}"/>
    <cellStyle name="Millares 2 80 2 2 2 4 3 3" xfId="21651" xr:uid="{00000000-0005-0000-0000-0000AE2A0000}"/>
    <cellStyle name="Millares 2 80 2 2 2 4 3 3 2" xfId="48784" xr:uid="{00000000-0005-0000-0000-0000AF2A0000}"/>
    <cellStyle name="Millares 2 80 2 2 2 4 3 4" xfId="35222" xr:uid="{00000000-0005-0000-0000-0000B02A0000}"/>
    <cellStyle name="Millares 2 80 2 2 2 4 4" xfId="11475" xr:uid="{00000000-0005-0000-0000-0000B12A0000}"/>
    <cellStyle name="Millares 2 80 2 2 2 4 4 2" xfId="25043" xr:uid="{00000000-0005-0000-0000-0000B22A0000}"/>
    <cellStyle name="Millares 2 80 2 2 2 4 4 2 2" xfId="52176" xr:uid="{00000000-0005-0000-0000-0000B32A0000}"/>
    <cellStyle name="Millares 2 80 2 2 2 4 4 3" xfId="38614" xr:uid="{00000000-0005-0000-0000-0000B42A0000}"/>
    <cellStyle name="Millares 2 80 2 2 2 4 5" xfId="18262" xr:uid="{00000000-0005-0000-0000-0000B52A0000}"/>
    <cellStyle name="Millares 2 80 2 2 2 4 5 2" xfId="45395" xr:uid="{00000000-0005-0000-0000-0000B62A0000}"/>
    <cellStyle name="Millares 2 80 2 2 2 4 6" xfId="31833" xr:uid="{00000000-0005-0000-0000-0000B72A0000}"/>
    <cellStyle name="Millares 2 80 2 2 2 5" xfId="4467" xr:uid="{00000000-0005-0000-0000-0000B82A0000}"/>
    <cellStyle name="Millares 2 80 2 2 2 5 2" xfId="8076" xr:uid="{00000000-0005-0000-0000-0000B92A0000}"/>
    <cellStyle name="Millares 2 80 2 2 2 5 2 2" xfId="14866" xr:uid="{00000000-0005-0000-0000-0000BA2A0000}"/>
    <cellStyle name="Millares 2 80 2 2 2 5 2 2 2" xfId="28434" xr:uid="{00000000-0005-0000-0000-0000BB2A0000}"/>
    <cellStyle name="Millares 2 80 2 2 2 5 2 2 2 2" xfId="55567" xr:uid="{00000000-0005-0000-0000-0000BC2A0000}"/>
    <cellStyle name="Millares 2 80 2 2 2 5 2 2 3" xfId="42005" xr:uid="{00000000-0005-0000-0000-0000BD2A0000}"/>
    <cellStyle name="Millares 2 80 2 2 2 5 2 3" xfId="21653" xr:uid="{00000000-0005-0000-0000-0000BE2A0000}"/>
    <cellStyle name="Millares 2 80 2 2 2 5 2 3 2" xfId="48786" xr:uid="{00000000-0005-0000-0000-0000BF2A0000}"/>
    <cellStyle name="Millares 2 80 2 2 2 5 2 4" xfId="35224" xr:uid="{00000000-0005-0000-0000-0000C02A0000}"/>
    <cellStyle name="Millares 2 80 2 2 2 5 3" xfId="11477" xr:uid="{00000000-0005-0000-0000-0000C12A0000}"/>
    <cellStyle name="Millares 2 80 2 2 2 5 3 2" xfId="25045" xr:uid="{00000000-0005-0000-0000-0000C22A0000}"/>
    <cellStyle name="Millares 2 80 2 2 2 5 3 2 2" xfId="52178" xr:uid="{00000000-0005-0000-0000-0000C32A0000}"/>
    <cellStyle name="Millares 2 80 2 2 2 5 3 3" xfId="38616" xr:uid="{00000000-0005-0000-0000-0000C42A0000}"/>
    <cellStyle name="Millares 2 80 2 2 2 5 4" xfId="18264" xr:uid="{00000000-0005-0000-0000-0000C52A0000}"/>
    <cellStyle name="Millares 2 80 2 2 2 5 4 2" xfId="45397" xr:uid="{00000000-0005-0000-0000-0000C62A0000}"/>
    <cellStyle name="Millares 2 80 2 2 2 5 5" xfId="31835" xr:uid="{00000000-0005-0000-0000-0000C72A0000}"/>
    <cellStyle name="Millares 2 80 2 2 2 6" xfId="4468" xr:uid="{00000000-0005-0000-0000-0000C82A0000}"/>
    <cellStyle name="Millares 2 80 2 2 2 6 2" xfId="8077" xr:uid="{00000000-0005-0000-0000-0000C92A0000}"/>
    <cellStyle name="Millares 2 80 2 2 2 6 2 2" xfId="14867" xr:uid="{00000000-0005-0000-0000-0000CA2A0000}"/>
    <cellStyle name="Millares 2 80 2 2 2 6 2 2 2" xfId="28435" xr:uid="{00000000-0005-0000-0000-0000CB2A0000}"/>
    <cellStyle name="Millares 2 80 2 2 2 6 2 2 2 2" xfId="55568" xr:uid="{00000000-0005-0000-0000-0000CC2A0000}"/>
    <cellStyle name="Millares 2 80 2 2 2 6 2 2 3" xfId="42006" xr:uid="{00000000-0005-0000-0000-0000CD2A0000}"/>
    <cellStyle name="Millares 2 80 2 2 2 6 2 3" xfId="21654" xr:uid="{00000000-0005-0000-0000-0000CE2A0000}"/>
    <cellStyle name="Millares 2 80 2 2 2 6 2 3 2" xfId="48787" xr:uid="{00000000-0005-0000-0000-0000CF2A0000}"/>
    <cellStyle name="Millares 2 80 2 2 2 6 2 4" xfId="35225" xr:uid="{00000000-0005-0000-0000-0000D02A0000}"/>
    <cellStyle name="Millares 2 80 2 2 2 6 3" xfId="11478" xr:uid="{00000000-0005-0000-0000-0000D12A0000}"/>
    <cellStyle name="Millares 2 80 2 2 2 6 3 2" xfId="25046" xr:uid="{00000000-0005-0000-0000-0000D22A0000}"/>
    <cellStyle name="Millares 2 80 2 2 2 6 3 2 2" xfId="52179" xr:uid="{00000000-0005-0000-0000-0000D32A0000}"/>
    <cellStyle name="Millares 2 80 2 2 2 6 3 3" xfId="38617" xr:uid="{00000000-0005-0000-0000-0000D42A0000}"/>
    <cellStyle name="Millares 2 80 2 2 2 6 4" xfId="18265" xr:uid="{00000000-0005-0000-0000-0000D52A0000}"/>
    <cellStyle name="Millares 2 80 2 2 2 6 4 2" xfId="45398" xr:uid="{00000000-0005-0000-0000-0000D62A0000}"/>
    <cellStyle name="Millares 2 80 2 2 2 6 5" xfId="31836" xr:uid="{00000000-0005-0000-0000-0000D72A0000}"/>
    <cellStyle name="Millares 2 80 2 2 2 7" xfId="8062" xr:uid="{00000000-0005-0000-0000-0000D82A0000}"/>
    <cellStyle name="Millares 2 80 2 2 2 7 2" xfId="14852" xr:uid="{00000000-0005-0000-0000-0000D92A0000}"/>
    <cellStyle name="Millares 2 80 2 2 2 7 2 2" xfId="28420" xr:uid="{00000000-0005-0000-0000-0000DA2A0000}"/>
    <cellStyle name="Millares 2 80 2 2 2 7 2 2 2" xfId="55553" xr:uid="{00000000-0005-0000-0000-0000DB2A0000}"/>
    <cellStyle name="Millares 2 80 2 2 2 7 2 3" xfId="41991" xr:uid="{00000000-0005-0000-0000-0000DC2A0000}"/>
    <cellStyle name="Millares 2 80 2 2 2 7 3" xfId="21639" xr:uid="{00000000-0005-0000-0000-0000DD2A0000}"/>
    <cellStyle name="Millares 2 80 2 2 2 7 3 2" xfId="48772" xr:uid="{00000000-0005-0000-0000-0000DE2A0000}"/>
    <cellStyle name="Millares 2 80 2 2 2 7 4" xfId="35210" xr:uid="{00000000-0005-0000-0000-0000DF2A0000}"/>
    <cellStyle name="Millares 2 80 2 2 2 8" xfId="11463" xr:uid="{00000000-0005-0000-0000-0000E02A0000}"/>
    <cellStyle name="Millares 2 80 2 2 2 8 2" xfId="25031" xr:uid="{00000000-0005-0000-0000-0000E12A0000}"/>
    <cellStyle name="Millares 2 80 2 2 2 8 2 2" xfId="52164" xr:uid="{00000000-0005-0000-0000-0000E22A0000}"/>
    <cellStyle name="Millares 2 80 2 2 2 8 3" xfId="38602" xr:uid="{00000000-0005-0000-0000-0000E32A0000}"/>
    <cellStyle name="Millares 2 80 2 2 2 9" xfId="18250" xr:uid="{00000000-0005-0000-0000-0000E42A0000}"/>
    <cellStyle name="Millares 2 80 2 2 2 9 2" xfId="45383" xr:uid="{00000000-0005-0000-0000-0000E52A0000}"/>
    <cellStyle name="Millares 2 80 2 2 3" xfId="4469" xr:uid="{00000000-0005-0000-0000-0000E62A0000}"/>
    <cellStyle name="Millares 2 80 2 2 3 2" xfId="4470" xr:uid="{00000000-0005-0000-0000-0000E72A0000}"/>
    <cellStyle name="Millares 2 80 2 2 3 2 2" xfId="4471" xr:uid="{00000000-0005-0000-0000-0000E82A0000}"/>
    <cellStyle name="Millares 2 80 2 2 3 2 2 2" xfId="8080" xr:uid="{00000000-0005-0000-0000-0000E92A0000}"/>
    <cellStyle name="Millares 2 80 2 2 3 2 2 2 2" xfId="14870" xr:uid="{00000000-0005-0000-0000-0000EA2A0000}"/>
    <cellStyle name="Millares 2 80 2 2 3 2 2 2 2 2" xfId="28438" xr:uid="{00000000-0005-0000-0000-0000EB2A0000}"/>
    <cellStyle name="Millares 2 80 2 2 3 2 2 2 2 2 2" xfId="55571" xr:uid="{00000000-0005-0000-0000-0000EC2A0000}"/>
    <cellStyle name="Millares 2 80 2 2 3 2 2 2 2 3" xfId="42009" xr:uid="{00000000-0005-0000-0000-0000ED2A0000}"/>
    <cellStyle name="Millares 2 80 2 2 3 2 2 2 3" xfId="21657" xr:uid="{00000000-0005-0000-0000-0000EE2A0000}"/>
    <cellStyle name="Millares 2 80 2 2 3 2 2 2 3 2" xfId="48790" xr:uid="{00000000-0005-0000-0000-0000EF2A0000}"/>
    <cellStyle name="Millares 2 80 2 2 3 2 2 2 4" xfId="35228" xr:uid="{00000000-0005-0000-0000-0000F02A0000}"/>
    <cellStyle name="Millares 2 80 2 2 3 2 2 3" xfId="11481" xr:uid="{00000000-0005-0000-0000-0000F12A0000}"/>
    <cellStyle name="Millares 2 80 2 2 3 2 2 3 2" xfId="25049" xr:uid="{00000000-0005-0000-0000-0000F22A0000}"/>
    <cellStyle name="Millares 2 80 2 2 3 2 2 3 2 2" xfId="52182" xr:uid="{00000000-0005-0000-0000-0000F32A0000}"/>
    <cellStyle name="Millares 2 80 2 2 3 2 2 3 3" xfId="38620" xr:uid="{00000000-0005-0000-0000-0000F42A0000}"/>
    <cellStyle name="Millares 2 80 2 2 3 2 2 4" xfId="18268" xr:uid="{00000000-0005-0000-0000-0000F52A0000}"/>
    <cellStyle name="Millares 2 80 2 2 3 2 2 4 2" xfId="45401" xr:uid="{00000000-0005-0000-0000-0000F62A0000}"/>
    <cellStyle name="Millares 2 80 2 2 3 2 2 5" xfId="31839" xr:uid="{00000000-0005-0000-0000-0000F72A0000}"/>
    <cellStyle name="Millares 2 80 2 2 3 2 3" xfId="4472" xr:uid="{00000000-0005-0000-0000-0000F82A0000}"/>
    <cellStyle name="Millares 2 80 2 2 3 2 3 2" xfId="8081" xr:uid="{00000000-0005-0000-0000-0000F92A0000}"/>
    <cellStyle name="Millares 2 80 2 2 3 2 3 2 2" xfId="14871" xr:uid="{00000000-0005-0000-0000-0000FA2A0000}"/>
    <cellStyle name="Millares 2 80 2 2 3 2 3 2 2 2" xfId="28439" xr:uid="{00000000-0005-0000-0000-0000FB2A0000}"/>
    <cellStyle name="Millares 2 80 2 2 3 2 3 2 2 2 2" xfId="55572" xr:uid="{00000000-0005-0000-0000-0000FC2A0000}"/>
    <cellStyle name="Millares 2 80 2 2 3 2 3 2 2 3" xfId="42010" xr:uid="{00000000-0005-0000-0000-0000FD2A0000}"/>
    <cellStyle name="Millares 2 80 2 2 3 2 3 2 3" xfId="21658" xr:uid="{00000000-0005-0000-0000-0000FE2A0000}"/>
    <cellStyle name="Millares 2 80 2 2 3 2 3 2 3 2" xfId="48791" xr:uid="{00000000-0005-0000-0000-0000FF2A0000}"/>
    <cellStyle name="Millares 2 80 2 2 3 2 3 2 4" xfId="35229" xr:uid="{00000000-0005-0000-0000-0000002B0000}"/>
    <cellStyle name="Millares 2 80 2 2 3 2 3 3" xfId="11482" xr:uid="{00000000-0005-0000-0000-0000012B0000}"/>
    <cellStyle name="Millares 2 80 2 2 3 2 3 3 2" xfId="25050" xr:uid="{00000000-0005-0000-0000-0000022B0000}"/>
    <cellStyle name="Millares 2 80 2 2 3 2 3 3 2 2" xfId="52183" xr:uid="{00000000-0005-0000-0000-0000032B0000}"/>
    <cellStyle name="Millares 2 80 2 2 3 2 3 3 3" xfId="38621" xr:uid="{00000000-0005-0000-0000-0000042B0000}"/>
    <cellStyle name="Millares 2 80 2 2 3 2 3 4" xfId="18269" xr:uid="{00000000-0005-0000-0000-0000052B0000}"/>
    <cellStyle name="Millares 2 80 2 2 3 2 3 4 2" xfId="45402" xr:uid="{00000000-0005-0000-0000-0000062B0000}"/>
    <cellStyle name="Millares 2 80 2 2 3 2 3 5" xfId="31840" xr:uid="{00000000-0005-0000-0000-0000072B0000}"/>
    <cellStyle name="Millares 2 80 2 2 3 2 4" xfId="8079" xr:uid="{00000000-0005-0000-0000-0000082B0000}"/>
    <cellStyle name="Millares 2 80 2 2 3 2 4 2" xfId="14869" xr:uid="{00000000-0005-0000-0000-0000092B0000}"/>
    <cellStyle name="Millares 2 80 2 2 3 2 4 2 2" xfId="28437" xr:uid="{00000000-0005-0000-0000-00000A2B0000}"/>
    <cellStyle name="Millares 2 80 2 2 3 2 4 2 2 2" xfId="55570" xr:uid="{00000000-0005-0000-0000-00000B2B0000}"/>
    <cellStyle name="Millares 2 80 2 2 3 2 4 2 3" xfId="42008" xr:uid="{00000000-0005-0000-0000-00000C2B0000}"/>
    <cellStyle name="Millares 2 80 2 2 3 2 4 3" xfId="21656" xr:uid="{00000000-0005-0000-0000-00000D2B0000}"/>
    <cellStyle name="Millares 2 80 2 2 3 2 4 3 2" xfId="48789" xr:uid="{00000000-0005-0000-0000-00000E2B0000}"/>
    <cellStyle name="Millares 2 80 2 2 3 2 4 4" xfId="35227" xr:uid="{00000000-0005-0000-0000-00000F2B0000}"/>
    <cellStyle name="Millares 2 80 2 2 3 2 5" xfId="11480" xr:uid="{00000000-0005-0000-0000-0000102B0000}"/>
    <cellStyle name="Millares 2 80 2 2 3 2 5 2" xfId="25048" xr:uid="{00000000-0005-0000-0000-0000112B0000}"/>
    <cellStyle name="Millares 2 80 2 2 3 2 5 2 2" xfId="52181" xr:uid="{00000000-0005-0000-0000-0000122B0000}"/>
    <cellStyle name="Millares 2 80 2 2 3 2 5 3" xfId="38619" xr:uid="{00000000-0005-0000-0000-0000132B0000}"/>
    <cellStyle name="Millares 2 80 2 2 3 2 6" xfId="18267" xr:uid="{00000000-0005-0000-0000-0000142B0000}"/>
    <cellStyle name="Millares 2 80 2 2 3 2 6 2" xfId="45400" xr:uid="{00000000-0005-0000-0000-0000152B0000}"/>
    <cellStyle name="Millares 2 80 2 2 3 2 7" xfId="31838" xr:uid="{00000000-0005-0000-0000-0000162B0000}"/>
    <cellStyle name="Millares 2 80 2 2 3 3" xfId="4473" xr:uid="{00000000-0005-0000-0000-0000172B0000}"/>
    <cellStyle name="Millares 2 80 2 2 3 3 2" xfId="4474" xr:uid="{00000000-0005-0000-0000-0000182B0000}"/>
    <cellStyle name="Millares 2 80 2 2 3 3 2 2" xfId="8083" xr:uid="{00000000-0005-0000-0000-0000192B0000}"/>
    <cellStyle name="Millares 2 80 2 2 3 3 2 2 2" xfId="14873" xr:uid="{00000000-0005-0000-0000-00001A2B0000}"/>
    <cellStyle name="Millares 2 80 2 2 3 3 2 2 2 2" xfId="28441" xr:uid="{00000000-0005-0000-0000-00001B2B0000}"/>
    <cellStyle name="Millares 2 80 2 2 3 3 2 2 2 2 2" xfId="55574" xr:uid="{00000000-0005-0000-0000-00001C2B0000}"/>
    <cellStyle name="Millares 2 80 2 2 3 3 2 2 2 3" xfId="42012" xr:uid="{00000000-0005-0000-0000-00001D2B0000}"/>
    <cellStyle name="Millares 2 80 2 2 3 3 2 2 3" xfId="21660" xr:uid="{00000000-0005-0000-0000-00001E2B0000}"/>
    <cellStyle name="Millares 2 80 2 2 3 3 2 2 3 2" xfId="48793" xr:uid="{00000000-0005-0000-0000-00001F2B0000}"/>
    <cellStyle name="Millares 2 80 2 2 3 3 2 2 4" xfId="35231" xr:uid="{00000000-0005-0000-0000-0000202B0000}"/>
    <cellStyle name="Millares 2 80 2 2 3 3 2 3" xfId="11484" xr:uid="{00000000-0005-0000-0000-0000212B0000}"/>
    <cellStyle name="Millares 2 80 2 2 3 3 2 3 2" xfId="25052" xr:uid="{00000000-0005-0000-0000-0000222B0000}"/>
    <cellStyle name="Millares 2 80 2 2 3 3 2 3 2 2" xfId="52185" xr:uid="{00000000-0005-0000-0000-0000232B0000}"/>
    <cellStyle name="Millares 2 80 2 2 3 3 2 3 3" xfId="38623" xr:uid="{00000000-0005-0000-0000-0000242B0000}"/>
    <cellStyle name="Millares 2 80 2 2 3 3 2 4" xfId="18271" xr:uid="{00000000-0005-0000-0000-0000252B0000}"/>
    <cellStyle name="Millares 2 80 2 2 3 3 2 4 2" xfId="45404" xr:uid="{00000000-0005-0000-0000-0000262B0000}"/>
    <cellStyle name="Millares 2 80 2 2 3 3 2 5" xfId="31842" xr:uid="{00000000-0005-0000-0000-0000272B0000}"/>
    <cellStyle name="Millares 2 80 2 2 3 3 3" xfId="8082" xr:uid="{00000000-0005-0000-0000-0000282B0000}"/>
    <cellStyle name="Millares 2 80 2 2 3 3 3 2" xfId="14872" xr:uid="{00000000-0005-0000-0000-0000292B0000}"/>
    <cellStyle name="Millares 2 80 2 2 3 3 3 2 2" xfId="28440" xr:uid="{00000000-0005-0000-0000-00002A2B0000}"/>
    <cellStyle name="Millares 2 80 2 2 3 3 3 2 2 2" xfId="55573" xr:uid="{00000000-0005-0000-0000-00002B2B0000}"/>
    <cellStyle name="Millares 2 80 2 2 3 3 3 2 3" xfId="42011" xr:uid="{00000000-0005-0000-0000-00002C2B0000}"/>
    <cellStyle name="Millares 2 80 2 2 3 3 3 3" xfId="21659" xr:uid="{00000000-0005-0000-0000-00002D2B0000}"/>
    <cellStyle name="Millares 2 80 2 2 3 3 3 3 2" xfId="48792" xr:uid="{00000000-0005-0000-0000-00002E2B0000}"/>
    <cellStyle name="Millares 2 80 2 2 3 3 3 4" xfId="35230" xr:uid="{00000000-0005-0000-0000-00002F2B0000}"/>
    <cellStyle name="Millares 2 80 2 2 3 3 4" xfId="11483" xr:uid="{00000000-0005-0000-0000-0000302B0000}"/>
    <cellStyle name="Millares 2 80 2 2 3 3 4 2" xfId="25051" xr:uid="{00000000-0005-0000-0000-0000312B0000}"/>
    <cellStyle name="Millares 2 80 2 2 3 3 4 2 2" xfId="52184" xr:uid="{00000000-0005-0000-0000-0000322B0000}"/>
    <cellStyle name="Millares 2 80 2 2 3 3 4 3" xfId="38622" xr:uid="{00000000-0005-0000-0000-0000332B0000}"/>
    <cellStyle name="Millares 2 80 2 2 3 3 5" xfId="18270" xr:uid="{00000000-0005-0000-0000-0000342B0000}"/>
    <cellStyle name="Millares 2 80 2 2 3 3 5 2" xfId="45403" xr:uid="{00000000-0005-0000-0000-0000352B0000}"/>
    <cellStyle name="Millares 2 80 2 2 3 3 6" xfId="31841" xr:uid="{00000000-0005-0000-0000-0000362B0000}"/>
    <cellStyle name="Millares 2 80 2 2 3 4" xfId="4475" xr:uid="{00000000-0005-0000-0000-0000372B0000}"/>
    <cellStyle name="Millares 2 80 2 2 3 4 2" xfId="8084" xr:uid="{00000000-0005-0000-0000-0000382B0000}"/>
    <cellStyle name="Millares 2 80 2 2 3 4 2 2" xfId="14874" xr:uid="{00000000-0005-0000-0000-0000392B0000}"/>
    <cellStyle name="Millares 2 80 2 2 3 4 2 2 2" xfId="28442" xr:uid="{00000000-0005-0000-0000-00003A2B0000}"/>
    <cellStyle name="Millares 2 80 2 2 3 4 2 2 2 2" xfId="55575" xr:uid="{00000000-0005-0000-0000-00003B2B0000}"/>
    <cellStyle name="Millares 2 80 2 2 3 4 2 2 3" xfId="42013" xr:uid="{00000000-0005-0000-0000-00003C2B0000}"/>
    <cellStyle name="Millares 2 80 2 2 3 4 2 3" xfId="21661" xr:uid="{00000000-0005-0000-0000-00003D2B0000}"/>
    <cellStyle name="Millares 2 80 2 2 3 4 2 3 2" xfId="48794" xr:uid="{00000000-0005-0000-0000-00003E2B0000}"/>
    <cellStyle name="Millares 2 80 2 2 3 4 2 4" xfId="35232" xr:uid="{00000000-0005-0000-0000-00003F2B0000}"/>
    <cellStyle name="Millares 2 80 2 2 3 4 3" xfId="11485" xr:uid="{00000000-0005-0000-0000-0000402B0000}"/>
    <cellStyle name="Millares 2 80 2 2 3 4 3 2" xfId="25053" xr:uid="{00000000-0005-0000-0000-0000412B0000}"/>
    <cellStyle name="Millares 2 80 2 2 3 4 3 2 2" xfId="52186" xr:uid="{00000000-0005-0000-0000-0000422B0000}"/>
    <cellStyle name="Millares 2 80 2 2 3 4 3 3" xfId="38624" xr:uid="{00000000-0005-0000-0000-0000432B0000}"/>
    <cellStyle name="Millares 2 80 2 2 3 4 4" xfId="18272" xr:uid="{00000000-0005-0000-0000-0000442B0000}"/>
    <cellStyle name="Millares 2 80 2 2 3 4 4 2" xfId="45405" xr:uid="{00000000-0005-0000-0000-0000452B0000}"/>
    <cellStyle name="Millares 2 80 2 2 3 4 5" xfId="31843" xr:uid="{00000000-0005-0000-0000-0000462B0000}"/>
    <cellStyle name="Millares 2 80 2 2 3 5" xfId="4476" xr:uid="{00000000-0005-0000-0000-0000472B0000}"/>
    <cellStyle name="Millares 2 80 2 2 3 5 2" xfId="8085" xr:uid="{00000000-0005-0000-0000-0000482B0000}"/>
    <cellStyle name="Millares 2 80 2 2 3 5 2 2" xfId="14875" xr:uid="{00000000-0005-0000-0000-0000492B0000}"/>
    <cellStyle name="Millares 2 80 2 2 3 5 2 2 2" xfId="28443" xr:uid="{00000000-0005-0000-0000-00004A2B0000}"/>
    <cellStyle name="Millares 2 80 2 2 3 5 2 2 2 2" xfId="55576" xr:uid="{00000000-0005-0000-0000-00004B2B0000}"/>
    <cellStyle name="Millares 2 80 2 2 3 5 2 2 3" xfId="42014" xr:uid="{00000000-0005-0000-0000-00004C2B0000}"/>
    <cellStyle name="Millares 2 80 2 2 3 5 2 3" xfId="21662" xr:uid="{00000000-0005-0000-0000-00004D2B0000}"/>
    <cellStyle name="Millares 2 80 2 2 3 5 2 3 2" xfId="48795" xr:uid="{00000000-0005-0000-0000-00004E2B0000}"/>
    <cellStyle name="Millares 2 80 2 2 3 5 2 4" xfId="35233" xr:uid="{00000000-0005-0000-0000-00004F2B0000}"/>
    <cellStyle name="Millares 2 80 2 2 3 5 3" xfId="11486" xr:uid="{00000000-0005-0000-0000-0000502B0000}"/>
    <cellStyle name="Millares 2 80 2 2 3 5 3 2" xfId="25054" xr:uid="{00000000-0005-0000-0000-0000512B0000}"/>
    <cellStyle name="Millares 2 80 2 2 3 5 3 2 2" xfId="52187" xr:uid="{00000000-0005-0000-0000-0000522B0000}"/>
    <cellStyle name="Millares 2 80 2 2 3 5 3 3" xfId="38625" xr:uid="{00000000-0005-0000-0000-0000532B0000}"/>
    <cellStyle name="Millares 2 80 2 2 3 5 4" xfId="18273" xr:uid="{00000000-0005-0000-0000-0000542B0000}"/>
    <cellStyle name="Millares 2 80 2 2 3 5 4 2" xfId="45406" xr:uid="{00000000-0005-0000-0000-0000552B0000}"/>
    <cellStyle name="Millares 2 80 2 2 3 5 5" xfId="31844" xr:uid="{00000000-0005-0000-0000-0000562B0000}"/>
    <cellStyle name="Millares 2 80 2 2 3 6" xfId="8078" xr:uid="{00000000-0005-0000-0000-0000572B0000}"/>
    <cellStyle name="Millares 2 80 2 2 3 6 2" xfId="14868" xr:uid="{00000000-0005-0000-0000-0000582B0000}"/>
    <cellStyle name="Millares 2 80 2 2 3 6 2 2" xfId="28436" xr:uid="{00000000-0005-0000-0000-0000592B0000}"/>
    <cellStyle name="Millares 2 80 2 2 3 6 2 2 2" xfId="55569" xr:uid="{00000000-0005-0000-0000-00005A2B0000}"/>
    <cellStyle name="Millares 2 80 2 2 3 6 2 3" xfId="42007" xr:uid="{00000000-0005-0000-0000-00005B2B0000}"/>
    <cellStyle name="Millares 2 80 2 2 3 6 3" xfId="21655" xr:uid="{00000000-0005-0000-0000-00005C2B0000}"/>
    <cellStyle name="Millares 2 80 2 2 3 6 3 2" xfId="48788" xr:uid="{00000000-0005-0000-0000-00005D2B0000}"/>
    <cellStyle name="Millares 2 80 2 2 3 6 4" xfId="35226" xr:uid="{00000000-0005-0000-0000-00005E2B0000}"/>
    <cellStyle name="Millares 2 80 2 2 3 7" xfId="11479" xr:uid="{00000000-0005-0000-0000-00005F2B0000}"/>
    <cellStyle name="Millares 2 80 2 2 3 7 2" xfId="25047" xr:uid="{00000000-0005-0000-0000-0000602B0000}"/>
    <cellStyle name="Millares 2 80 2 2 3 7 2 2" xfId="52180" xr:uid="{00000000-0005-0000-0000-0000612B0000}"/>
    <cellStyle name="Millares 2 80 2 2 3 7 3" xfId="38618" xr:uid="{00000000-0005-0000-0000-0000622B0000}"/>
    <cellStyle name="Millares 2 80 2 2 3 8" xfId="18266" xr:uid="{00000000-0005-0000-0000-0000632B0000}"/>
    <cellStyle name="Millares 2 80 2 2 3 8 2" xfId="45399" xr:uid="{00000000-0005-0000-0000-0000642B0000}"/>
    <cellStyle name="Millares 2 80 2 2 3 9" xfId="31837" xr:uid="{00000000-0005-0000-0000-0000652B0000}"/>
    <cellStyle name="Millares 2 80 2 2 4" xfId="4477" xr:uid="{00000000-0005-0000-0000-0000662B0000}"/>
    <cellStyle name="Millares 2 80 2 2 4 2" xfId="4478" xr:uid="{00000000-0005-0000-0000-0000672B0000}"/>
    <cellStyle name="Millares 2 80 2 2 4 2 2" xfId="4479" xr:uid="{00000000-0005-0000-0000-0000682B0000}"/>
    <cellStyle name="Millares 2 80 2 2 4 2 2 2" xfId="8088" xr:uid="{00000000-0005-0000-0000-0000692B0000}"/>
    <cellStyle name="Millares 2 80 2 2 4 2 2 2 2" xfId="14878" xr:uid="{00000000-0005-0000-0000-00006A2B0000}"/>
    <cellStyle name="Millares 2 80 2 2 4 2 2 2 2 2" xfId="28446" xr:uid="{00000000-0005-0000-0000-00006B2B0000}"/>
    <cellStyle name="Millares 2 80 2 2 4 2 2 2 2 2 2" xfId="55579" xr:uid="{00000000-0005-0000-0000-00006C2B0000}"/>
    <cellStyle name="Millares 2 80 2 2 4 2 2 2 2 3" xfId="42017" xr:uid="{00000000-0005-0000-0000-00006D2B0000}"/>
    <cellStyle name="Millares 2 80 2 2 4 2 2 2 3" xfId="21665" xr:uid="{00000000-0005-0000-0000-00006E2B0000}"/>
    <cellStyle name="Millares 2 80 2 2 4 2 2 2 3 2" xfId="48798" xr:uid="{00000000-0005-0000-0000-00006F2B0000}"/>
    <cellStyle name="Millares 2 80 2 2 4 2 2 2 4" xfId="35236" xr:uid="{00000000-0005-0000-0000-0000702B0000}"/>
    <cellStyle name="Millares 2 80 2 2 4 2 2 3" xfId="11489" xr:uid="{00000000-0005-0000-0000-0000712B0000}"/>
    <cellStyle name="Millares 2 80 2 2 4 2 2 3 2" xfId="25057" xr:uid="{00000000-0005-0000-0000-0000722B0000}"/>
    <cellStyle name="Millares 2 80 2 2 4 2 2 3 2 2" xfId="52190" xr:uid="{00000000-0005-0000-0000-0000732B0000}"/>
    <cellStyle name="Millares 2 80 2 2 4 2 2 3 3" xfId="38628" xr:uid="{00000000-0005-0000-0000-0000742B0000}"/>
    <cellStyle name="Millares 2 80 2 2 4 2 2 4" xfId="18276" xr:uid="{00000000-0005-0000-0000-0000752B0000}"/>
    <cellStyle name="Millares 2 80 2 2 4 2 2 4 2" xfId="45409" xr:uid="{00000000-0005-0000-0000-0000762B0000}"/>
    <cellStyle name="Millares 2 80 2 2 4 2 2 5" xfId="31847" xr:uid="{00000000-0005-0000-0000-0000772B0000}"/>
    <cellStyle name="Millares 2 80 2 2 4 2 3" xfId="4480" xr:uid="{00000000-0005-0000-0000-0000782B0000}"/>
    <cellStyle name="Millares 2 80 2 2 4 2 3 2" xfId="8089" xr:uid="{00000000-0005-0000-0000-0000792B0000}"/>
    <cellStyle name="Millares 2 80 2 2 4 2 3 2 2" xfId="14879" xr:uid="{00000000-0005-0000-0000-00007A2B0000}"/>
    <cellStyle name="Millares 2 80 2 2 4 2 3 2 2 2" xfId="28447" xr:uid="{00000000-0005-0000-0000-00007B2B0000}"/>
    <cellStyle name="Millares 2 80 2 2 4 2 3 2 2 2 2" xfId="55580" xr:uid="{00000000-0005-0000-0000-00007C2B0000}"/>
    <cellStyle name="Millares 2 80 2 2 4 2 3 2 2 3" xfId="42018" xr:uid="{00000000-0005-0000-0000-00007D2B0000}"/>
    <cellStyle name="Millares 2 80 2 2 4 2 3 2 3" xfId="21666" xr:uid="{00000000-0005-0000-0000-00007E2B0000}"/>
    <cellStyle name="Millares 2 80 2 2 4 2 3 2 3 2" xfId="48799" xr:uid="{00000000-0005-0000-0000-00007F2B0000}"/>
    <cellStyle name="Millares 2 80 2 2 4 2 3 2 4" xfId="35237" xr:uid="{00000000-0005-0000-0000-0000802B0000}"/>
    <cellStyle name="Millares 2 80 2 2 4 2 3 3" xfId="11490" xr:uid="{00000000-0005-0000-0000-0000812B0000}"/>
    <cellStyle name="Millares 2 80 2 2 4 2 3 3 2" xfId="25058" xr:uid="{00000000-0005-0000-0000-0000822B0000}"/>
    <cellStyle name="Millares 2 80 2 2 4 2 3 3 2 2" xfId="52191" xr:uid="{00000000-0005-0000-0000-0000832B0000}"/>
    <cellStyle name="Millares 2 80 2 2 4 2 3 3 3" xfId="38629" xr:uid="{00000000-0005-0000-0000-0000842B0000}"/>
    <cellStyle name="Millares 2 80 2 2 4 2 3 4" xfId="18277" xr:uid="{00000000-0005-0000-0000-0000852B0000}"/>
    <cellStyle name="Millares 2 80 2 2 4 2 3 4 2" xfId="45410" xr:uid="{00000000-0005-0000-0000-0000862B0000}"/>
    <cellStyle name="Millares 2 80 2 2 4 2 3 5" xfId="31848" xr:uid="{00000000-0005-0000-0000-0000872B0000}"/>
    <cellStyle name="Millares 2 80 2 2 4 2 4" xfId="8087" xr:uid="{00000000-0005-0000-0000-0000882B0000}"/>
    <cellStyle name="Millares 2 80 2 2 4 2 4 2" xfId="14877" xr:uid="{00000000-0005-0000-0000-0000892B0000}"/>
    <cellStyle name="Millares 2 80 2 2 4 2 4 2 2" xfId="28445" xr:uid="{00000000-0005-0000-0000-00008A2B0000}"/>
    <cellStyle name="Millares 2 80 2 2 4 2 4 2 2 2" xfId="55578" xr:uid="{00000000-0005-0000-0000-00008B2B0000}"/>
    <cellStyle name="Millares 2 80 2 2 4 2 4 2 3" xfId="42016" xr:uid="{00000000-0005-0000-0000-00008C2B0000}"/>
    <cellStyle name="Millares 2 80 2 2 4 2 4 3" xfId="21664" xr:uid="{00000000-0005-0000-0000-00008D2B0000}"/>
    <cellStyle name="Millares 2 80 2 2 4 2 4 3 2" xfId="48797" xr:uid="{00000000-0005-0000-0000-00008E2B0000}"/>
    <cellStyle name="Millares 2 80 2 2 4 2 4 4" xfId="35235" xr:uid="{00000000-0005-0000-0000-00008F2B0000}"/>
    <cellStyle name="Millares 2 80 2 2 4 2 5" xfId="11488" xr:uid="{00000000-0005-0000-0000-0000902B0000}"/>
    <cellStyle name="Millares 2 80 2 2 4 2 5 2" xfId="25056" xr:uid="{00000000-0005-0000-0000-0000912B0000}"/>
    <cellStyle name="Millares 2 80 2 2 4 2 5 2 2" xfId="52189" xr:uid="{00000000-0005-0000-0000-0000922B0000}"/>
    <cellStyle name="Millares 2 80 2 2 4 2 5 3" xfId="38627" xr:uid="{00000000-0005-0000-0000-0000932B0000}"/>
    <cellStyle name="Millares 2 80 2 2 4 2 6" xfId="18275" xr:uid="{00000000-0005-0000-0000-0000942B0000}"/>
    <cellStyle name="Millares 2 80 2 2 4 2 6 2" xfId="45408" xr:uid="{00000000-0005-0000-0000-0000952B0000}"/>
    <cellStyle name="Millares 2 80 2 2 4 2 7" xfId="31846" xr:uid="{00000000-0005-0000-0000-0000962B0000}"/>
    <cellStyle name="Millares 2 80 2 2 4 3" xfId="4481" xr:uid="{00000000-0005-0000-0000-0000972B0000}"/>
    <cellStyle name="Millares 2 80 2 2 4 3 2" xfId="8090" xr:uid="{00000000-0005-0000-0000-0000982B0000}"/>
    <cellStyle name="Millares 2 80 2 2 4 3 2 2" xfId="14880" xr:uid="{00000000-0005-0000-0000-0000992B0000}"/>
    <cellStyle name="Millares 2 80 2 2 4 3 2 2 2" xfId="28448" xr:uid="{00000000-0005-0000-0000-00009A2B0000}"/>
    <cellStyle name="Millares 2 80 2 2 4 3 2 2 2 2" xfId="55581" xr:uid="{00000000-0005-0000-0000-00009B2B0000}"/>
    <cellStyle name="Millares 2 80 2 2 4 3 2 2 3" xfId="42019" xr:uid="{00000000-0005-0000-0000-00009C2B0000}"/>
    <cellStyle name="Millares 2 80 2 2 4 3 2 3" xfId="21667" xr:uid="{00000000-0005-0000-0000-00009D2B0000}"/>
    <cellStyle name="Millares 2 80 2 2 4 3 2 3 2" xfId="48800" xr:uid="{00000000-0005-0000-0000-00009E2B0000}"/>
    <cellStyle name="Millares 2 80 2 2 4 3 2 4" xfId="35238" xr:uid="{00000000-0005-0000-0000-00009F2B0000}"/>
    <cellStyle name="Millares 2 80 2 2 4 3 3" xfId="11491" xr:uid="{00000000-0005-0000-0000-0000A02B0000}"/>
    <cellStyle name="Millares 2 80 2 2 4 3 3 2" xfId="25059" xr:uid="{00000000-0005-0000-0000-0000A12B0000}"/>
    <cellStyle name="Millares 2 80 2 2 4 3 3 2 2" xfId="52192" xr:uid="{00000000-0005-0000-0000-0000A22B0000}"/>
    <cellStyle name="Millares 2 80 2 2 4 3 3 3" xfId="38630" xr:uid="{00000000-0005-0000-0000-0000A32B0000}"/>
    <cellStyle name="Millares 2 80 2 2 4 3 4" xfId="18278" xr:uid="{00000000-0005-0000-0000-0000A42B0000}"/>
    <cellStyle name="Millares 2 80 2 2 4 3 4 2" xfId="45411" xr:uid="{00000000-0005-0000-0000-0000A52B0000}"/>
    <cellStyle name="Millares 2 80 2 2 4 3 5" xfId="31849" xr:uid="{00000000-0005-0000-0000-0000A62B0000}"/>
    <cellStyle name="Millares 2 80 2 2 4 4" xfId="4482" xr:uid="{00000000-0005-0000-0000-0000A72B0000}"/>
    <cellStyle name="Millares 2 80 2 2 4 4 2" xfId="8091" xr:uid="{00000000-0005-0000-0000-0000A82B0000}"/>
    <cellStyle name="Millares 2 80 2 2 4 4 2 2" xfId="14881" xr:uid="{00000000-0005-0000-0000-0000A92B0000}"/>
    <cellStyle name="Millares 2 80 2 2 4 4 2 2 2" xfId="28449" xr:uid="{00000000-0005-0000-0000-0000AA2B0000}"/>
    <cellStyle name="Millares 2 80 2 2 4 4 2 2 2 2" xfId="55582" xr:uid="{00000000-0005-0000-0000-0000AB2B0000}"/>
    <cellStyle name="Millares 2 80 2 2 4 4 2 2 3" xfId="42020" xr:uid="{00000000-0005-0000-0000-0000AC2B0000}"/>
    <cellStyle name="Millares 2 80 2 2 4 4 2 3" xfId="21668" xr:uid="{00000000-0005-0000-0000-0000AD2B0000}"/>
    <cellStyle name="Millares 2 80 2 2 4 4 2 3 2" xfId="48801" xr:uid="{00000000-0005-0000-0000-0000AE2B0000}"/>
    <cellStyle name="Millares 2 80 2 2 4 4 2 4" xfId="35239" xr:uid="{00000000-0005-0000-0000-0000AF2B0000}"/>
    <cellStyle name="Millares 2 80 2 2 4 4 3" xfId="11492" xr:uid="{00000000-0005-0000-0000-0000B02B0000}"/>
    <cellStyle name="Millares 2 80 2 2 4 4 3 2" xfId="25060" xr:uid="{00000000-0005-0000-0000-0000B12B0000}"/>
    <cellStyle name="Millares 2 80 2 2 4 4 3 2 2" xfId="52193" xr:uid="{00000000-0005-0000-0000-0000B22B0000}"/>
    <cellStyle name="Millares 2 80 2 2 4 4 3 3" xfId="38631" xr:uid="{00000000-0005-0000-0000-0000B32B0000}"/>
    <cellStyle name="Millares 2 80 2 2 4 4 4" xfId="18279" xr:uid="{00000000-0005-0000-0000-0000B42B0000}"/>
    <cellStyle name="Millares 2 80 2 2 4 4 4 2" xfId="45412" xr:uid="{00000000-0005-0000-0000-0000B52B0000}"/>
    <cellStyle name="Millares 2 80 2 2 4 4 5" xfId="31850" xr:uid="{00000000-0005-0000-0000-0000B62B0000}"/>
    <cellStyle name="Millares 2 80 2 2 4 5" xfId="8086" xr:uid="{00000000-0005-0000-0000-0000B72B0000}"/>
    <cellStyle name="Millares 2 80 2 2 4 5 2" xfId="14876" xr:uid="{00000000-0005-0000-0000-0000B82B0000}"/>
    <cellStyle name="Millares 2 80 2 2 4 5 2 2" xfId="28444" xr:uid="{00000000-0005-0000-0000-0000B92B0000}"/>
    <cellStyle name="Millares 2 80 2 2 4 5 2 2 2" xfId="55577" xr:uid="{00000000-0005-0000-0000-0000BA2B0000}"/>
    <cellStyle name="Millares 2 80 2 2 4 5 2 3" xfId="42015" xr:uid="{00000000-0005-0000-0000-0000BB2B0000}"/>
    <cellStyle name="Millares 2 80 2 2 4 5 3" xfId="21663" xr:uid="{00000000-0005-0000-0000-0000BC2B0000}"/>
    <cellStyle name="Millares 2 80 2 2 4 5 3 2" xfId="48796" xr:uid="{00000000-0005-0000-0000-0000BD2B0000}"/>
    <cellStyle name="Millares 2 80 2 2 4 5 4" xfId="35234" xr:uid="{00000000-0005-0000-0000-0000BE2B0000}"/>
    <cellStyle name="Millares 2 80 2 2 4 6" xfId="11487" xr:uid="{00000000-0005-0000-0000-0000BF2B0000}"/>
    <cellStyle name="Millares 2 80 2 2 4 6 2" xfId="25055" xr:uid="{00000000-0005-0000-0000-0000C02B0000}"/>
    <cellStyle name="Millares 2 80 2 2 4 6 2 2" xfId="52188" xr:uid="{00000000-0005-0000-0000-0000C12B0000}"/>
    <cellStyle name="Millares 2 80 2 2 4 6 3" xfId="38626" xr:uid="{00000000-0005-0000-0000-0000C22B0000}"/>
    <cellStyle name="Millares 2 80 2 2 4 7" xfId="18274" xr:uid="{00000000-0005-0000-0000-0000C32B0000}"/>
    <cellStyle name="Millares 2 80 2 2 4 7 2" xfId="45407" xr:uid="{00000000-0005-0000-0000-0000C42B0000}"/>
    <cellStyle name="Millares 2 80 2 2 4 8" xfId="31845" xr:uid="{00000000-0005-0000-0000-0000C52B0000}"/>
    <cellStyle name="Millares 2 80 2 2 5" xfId="4483" xr:uid="{00000000-0005-0000-0000-0000C62B0000}"/>
    <cellStyle name="Millares 2 80 2 2 5 2" xfId="4484" xr:uid="{00000000-0005-0000-0000-0000C72B0000}"/>
    <cellStyle name="Millares 2 80 2 2 5 2 2" xfId="8093" xr:uid="{00000000-0005-0000-0000-0000C82B0000}"/>
    <cellStyle name="Millares 2 80 2 2 5 2 2 2" xfId="14883" xr:uid="{00000000-0005-0000-0000-0000C92B0000}"/>
    <cellStyle name="Millares 2 80 2 2 5 2 2 2 2" xfId="28451" xr:uid="{00000000-0005-0000-0000-0000CA2B0000}"/>
    <cellStyle name="Millares 2 80 2 2 5 2 2 2 2 2" xfId="55584" xr:uid="{00000000-0005-0000-0000-0000CB2B0000}"/>
    <cellStyle name="Millares 2 80 2 2 5 2 2 2 3" xfId="42022" xr:uid="{00000000-0005-0000-0000-0000CC2B0000}"/>
    <cellStyle name="Millares 2 80 2 2 5 2 2 3" xfId="21670" xr:uid="{00000000-0005-0000-0000-0000CD2B0000}"/>
    <cellStyle name="Millares 2 80 2 2 5 2 2 3 2" xfId="48803" xr:uid="{00000000-0005-0000-0000-0000CE2B0000}"/>
    <cellStyle name="Millares 2 80 2 2 5 2 2 4" xfId="35241" xr:uid="{00000000-0005-0000-0000-0000CF2B0000}"/>
    <cellStyle name="Millares 2 80 2 2 5 2 3" xfId="11494" xr:uid="{00000000-0005-0000-0000-0000D02B0000}"/>
    <cellStyle name="Millares 2 80 2 2 5 2 3 2" xfId="25062" xr:uid="{00000000-0005-0000-0000-0000D12B0000}"/>
    <cellStyle name="Millares 2 80 2 2 5 2 3 2 2" xfId="52195" xr:uid="{00000000-0005-0000-0000-0000D22B0000}"/>
    <cellStyle name="Millares 2 80 2 2 5 2 3 3" xfId="38633" xr:uid="{00000000-0005-0000-0000-0000D32B0000}"/>
    <cellStyle name="Millares 2 80 2 2 5 2 4" xfId="18281" xr:uid="{00000000-0005-0000-0000-0000D42B0000}"/>
    <cellStyle name="Millares 2 80 2 2 5 2 4 2" xfId="45414" xr:uid="{00000000-0005-0000-0000-0000D52B0000}"/>
    <cellStyle name="Millares 2 80 2 2 5 2 5" xfId="31852" xr:uid="{00000000-0005-0000-0000-0000D62B0000}"/>
    <cellStyle name="Millares 2 80 2 2 5 3" xfId="4485" xr:uid="{00000000-0005-0000-0000-0000D72B0000}"/>
    <cellStyle name="Millares 2 80 2 2 5 3 2" xfId="8094" xr:uid="{00000000-0005-0000-0000-0000D82B0000}"/>
    <cellStyle name="Millares 2 80 2 2 5 3 2 2" xfId="14884" xr:uid="{00000000-0005-0000-0000-0000D92B0000}"/>
    <cellStyle name="Millares 2 80 2 2 5 3 2 2 2" xfId="28452" xr:uid="{00000000-0005-0000-0000-0000DA2B0000}"/>
    <cellStyle name="Millares 2 80 2 2 5 3 2 2 2 2" xfId="55585" xr:uid="{00000000-0005-0000-0000-0000DB2B0000}"/>
    <cellStyle name="Millares 2 80 2 2 5 3 2 2 3" xfId="42023" xr:uid="{00000000-0005-0000-0000-0000DC2B0000}"/>
    <cellStyle name="Millares 2 80 2 2 5 3 2 3" xfId="21671" xr:uid="{00000000-0005-0000-0000-0000DD2B0000}"/>
    <cellStyle name="Millares 2 80 2 2 5 3 2 3 2" xfId="48804" xr:uid="{00000000-0005-0000-0000-0000DE2B0000}"/>
    <cellStyle name="Millares 2 80 2 2 5 3 2 4" xfId="35242" xr:uid="{00000000-0005-0000-0000-0000DF2B0000}"/>
    <cellStyle name="Millares 2 80 2 2 5 3 3" xfId="11495" xr:uid="{00000000-0005-0000-0000-0000E02B0000}"/>
    <cellStyle name="Millares 2 80 2 2 5 3 3 2" xfId="25063" xr:uid="{00000000-0005-0000-0000-0000E12B0000}"/>
    <cellStyle name="Millares 2 80 2 2 5 3 3 2 2" xfId="52196" xr:uid="{00000000-0005-0000-0000-0000E22B0000}"/>
    <cellStyle name="Millares 2 80 2 2 5 3 3 3" xfId="38634" xr:uid="{00000000-0005-0000-0000-0000E32B0000}"/>
    <cellStyle name="Millares 2 80 2 2 5 3 4" xfId="18282" xr:uid="{00000000-0005-0000-0000-0000E42B0000}"/>
    <cellStyle name="Millares 2 80 2 2 5 3 4 2" xfId="45415" xr:uid="{00000000-0005-0000-0000-0000E52B0000}"/>
    <cellStyle name="Millares 2 80 2 2 5 3 5" xfId="31853" xr:uid="{00000000-0005-0000-0000-0000E62B0000}"/>
    <cellStyle name="Millares 2 80 2 2 5 4" xfId="8092" xr:uid="{00000000-0005-0000-0000-0000E72B0000}"/>
    <cellStyle name="Millares 2 80 2 2 5 4 2" xfId="14882" xr:uid="{00000000-0005-0000-0000-0000E82B0000}"/>
    <cellStyle name="Millares 2 80 2 2 5 4 2 2" xfId="28450" xr:uid="{00000000-0005-0000-0000-0000E92B0000}"/>
    <cellStyle name="Millares 2 80 2 2 5 4 2 2 2" xfId="55583" xr:uid="{00000000-0005-0000-0000-0000EA2B0000}"/>
    <cellStyle name="Millares 2 80 2 2 5 4 2 3" xfId="42021" xr:uid="{00000000-0005-0000-0000-0000EB2B0000}"/>
    <cellStyle name="Millares 2 80 2 2 5 4 3" xfId="21669" xr:uid="{00000000-0005-0000-0000-0000EC2B0000}"/>
    <cellStyle name="Millares 2 80 2 2 5 4 3 2" xfId="48802" xr:uid="{00000000-0005-0000-0000-0000ED2B0000}"/>
    <cellStyle name="Millares 2 80 2 2 5 4 4" xfId="35240" xr:uid="{00000000-0005-0000-0000-0000EE2B0000}"/>
    <cellStyle name="Millares 2 80 2 2 5 5" xfId="11493" xr:uid="{00000000-0005-0000-0000-0000EF2B0000}"/>
    <cellStyle name="Millares 2 80 2 2 5 5 2" xfId="25061" xr:uid="{00000000-0005-0000-0000-0000F02B0000}"/>
    <cellStyle name="Millares 2 80 2 2 5 5 2 2" xfId="52194" xr:uid="{00000000-0005-0000-0000-0000F12B0000}"/>
    <cellStyle name="Millares 2 80 2 2 5 5 3" xfId="38632" xr:uid="{00000000-0005-0000-0000-0000F22B0000}"/>
    <cellStyle name="Millares 2 80 2 2 5 6" xfId="18280" xr:uid="{00000000-0005-0000-0000-0000F32B0000}"/>
    <cellStyle name="Millares 2 80 2 2 5 6 2" xfId="45413" xr:uid="{00000000-0005-0000-0000-0000F42B0000}"/>
    <cellStyle name="Millares 2 80 2 2 5 7" xfId="31851" xr:uid="{00000000-0005-0000-0000-0000F52B0000}"/>
    <cellStyle name="Millares 2 80 2 2 6" xfId="4486" xr:uid="{00000000-0005-0000-0000-0000F62B0000}"/>
    <cellStyle name="Millares 2 80 2 2 6 2" xfId="4487" xr:uid="{00000000-0005-0000-0000-0000F72B0000}"/>
    <cellStyle name="Millares 2 80 2 2 6 2 2" xfId="8096" xr:uid="{00000000-0005-0000-0000-0000F82B0000}"/>
    <cellStyle name="Millares 2 80 2 2 6 2 2 2" xfId="14886" xr:uid="{00000000-0005-0000-0000-0000F92B0000}"/>
    <cellStyle name="Millares 2 80 2 2 6 2 2 2 2" xfId="28454" xr:uid="{00000000-0005-0000-0000-0000FA2B0000}"/>
    <cellStyle name="Millares 2 80 2 2 6 2 2 2 2 2" xfId="55587" xr:uid="{00000000-0005-0000-0000-0000FB2B0000}"/>
    <cellStyle name="Millares 2 80 2 2 6 2 2 2 3" xfId="42025" xr:uid="{00000000-0005-0000-0000-0000FC2B0000}"/>
    <cellStyle name="Millares 2 80 2 2 6 2 2 3" xfId="21673" xr:uid="{00000000-0005-0000-0000-0000FD2B0000}"/>
    <cellStyle name="Millares 2 80 2 2 6 2 2 3 2" xfId="48806" xr:uid="{00000000-0005-0000-0000-0000FE2B0000}"/>
    <cellStyle name="Millares 2 80 2 2 6 2 2 4" xfId="35244" xr:uid="{00000000-0005-0000-0000-0000FF2B0000}"/>
    <cellStyle name="Millares 2 80 2 2 6 2 3" xfId="11497" xr:uid="{00000000-0005-0000-0000-0000002C0000}"/>
    <cellStyle name="Millares 2 80 2 2 6 2 3 2" xfId="25065" xr:uid="{00000000-0005-0000-0000-0000012C0000}"/>
    <cellStyle name="Millares 2 80 2 2 6 2 3 2 2" xfId="52198" xr:uid="{00000000-0005-0000-0000-0000022C0000}"/>
    <cellStyle name="Millares 2 80 2 2 6 2 3 3" xfId="38636" xr:uid="{00000000-0005-0000-0000-0000032C0000}"/>
    <cellStyle name="Millares 2 80 2 2 6 2 4" xfId="18284" xr:uid="{00000000-0005-0000-0000-0000042C0000}"/>
    <cellStyle name="Millares 2 80 2 2 6 2 4 2" xfId="45417" xr:uid="{00000000-0005-0000-0000-0000052C0000}"/>
    <cellStyle name="Millares 2 80 2 2 6 2 5" xfId="31855" xr:uid="{00000000-0005-0000-0000-0000062C0000}"/>
    <cellStyle name="Millares 2 80 2 2 6 3" xfId="4488" xr:uid="{00000000-0005-0000-0000-0000072C0000}"/>
    <cellStyle name="Millares 2 80 2 2 6 3 2" xfId="8097" xr:uid="{00000000-0005-0000-0000-0000082C0000}"/>
    <cellStyle name="Millares 2 80 2 2 6 3 2 2" xfId="14887" xr:uid="{00000000-0005-0000-0000-0000092C0000}"/>
    <cellStyle name="Millares 2 80 2 2 6 3 2 2 2" xfId="28455" xr:uid="{00000000-0005-0000-0000-00000A2C0000}"/>
    <cellStyle name="Millares 2 80 2 2 6 3 2 2 2 2" xfId="55588" xr:uid="{00000000-0005-0000-0000-00000B2C0000}"/>
    <cellStyle name="Millares 2 80 2 2 6 3 2 2 3" xfId="42026" xr:uid="{00000000-0005-0000-0000-00000C2C0000}"/>
    <cellStyle name="Millares 2 80 2 2 6 3 2 3" xfId="21674" xr:uid="{00000000-0005-0000-0000-00000D2C0000}"/>
    <cellStyle name="Millares 2 80 2 2 6 3 2 3 2" xfId="48807" xr:uid="{00000000-0005-0000-0000-00000E2C0000}"/>
    <cellStyle name="Millares 2 80 2 2 6 3 2 4" xfId="35245" xr:uid="{00000000-0005-0000-0000-00000F2C0000}"/>
    <cellStyle name="Millares 2 80 2 2 6 3 3" xfId="11498" xr:uid="{00000000-0005-0000-0000-0000102C0000}"/>
    <cellStyle name="Millares 2 80 2 2 6 3 3 2" xfId="25066" xr:uid="{00000000-0005-0000-0000-0000112C0000}"/>
    <cellStyle name="Millares 2 80 2 2 6 3 3 2 2" xfId="52199" xr:uid="{00000000-0005-0000-0000-0000122C0000}"/>
    <cellStyle name="Millares 2 80 2 2 6 3 3 3" xfId="38637" xr:uid="{00000000-0005-0000-0000-0000132C0000}"/>
    <cellStyle name="Millares 2 80 2 2 6 3 4" xfId="18285" xr:uid="{00000000-0005-0000-0000-0000142C0000}"/>
    <cellStyle name="Millares 2 80 2 2 6 3 4 2" xfId="45418" xr:uid="{00000000-0005-0000-0000-0000152C0000}"/>
    <cellStyle name="Millares 2 80 2 2 6 3 5" xfId="31856" xr:uid="{00000000-0005-0000-0000-0000162C0000}"/>
    <cellStyle name="Millares 2 80 2 2 6 4" xfId="8095" xr:uid="{00000000-0005-0000-0000-0000172C0000}"/>
    <cellStyle name="Millares 2 80 2 2 6 4 2" xfId="14885" xr:uid="{00000000-0005-0000-0000-0000182C0000}"/>
    <cellStyle name="Millares 2 80 2 2 6 4 2 2" xfId="28453" xr:uid="{00000000-0005-0000-0000-0000192C0000}"/>
    <cellStyle name="Millares 2 80 2 2 6 4 2 2 2" xfId="55586" xr:uid="{00000000-0005-0000-0000-00001A2C0000}"/>
    <cellStyle name="Millares 2 80 2 2 6 4 2 3" xfId="42024" xr:uid="{00000000-0005-0000-0000-00001B2C0000}"/>
    <cellStyle name="Millares 2 80 2 2 6 4 3" xfId="21672" xr:uid="{00000000-0005-0000-0000-00001C2C0000}"/>
    <cellStyle name="Millares 2 80 2 2 6 4 3 2" xfId="48805" xr:uid="{00000000-0005-0000-0000-00001D2C0000}"/>
    <cellStyle name="Millares 2 80 2 2 6 4 4" xfId="35243" xr:uid="{00000000-0005-0000-0000-00001E2C0000}"/>
    <cellStyle name="Millares 2 80 2 2 6 5" xfId="11496" xr:uid="{00000000-0005-0000-0000-00001F2C0000}"/>
    <cellStyle name="Millares 2 80 2 2 6 5 2" xfId="25064" xr:uid="{00000000-0005-0000-0000-0000202C0000}"/>
    <cellStyle name="Millares 2 80 2 2 6 5 2 2" xfId="52197" xr:uid="{00000000-0005-0000-0000-0000212C0000}"/>
    <cellStyle name="Millares 2 80 2 2 6 5 3" xfId="38635" xr:uid="{00000000-0005-0000-0000-0000222C0000}"/>
    <cellStyle name="Millares 2 80 2 2 6 6" xfId="18283" xr:uid="{00000000-0005-0000-0000-0000232C0000}"/>
    <cellStyle name="Millares 2 80 2 2 6 6 2" xfId="45416" xr:uid="{00000000-0005-0000-0000-0000242C0000}"/>
    <cellStyle name="Millares 2 80 2 2 6 7" xfId="31854" xr:uid="{00000000-0005-0000-0000-0000252C0000}"/>
    <cellStyle name="Millares 2 80 2 2 7" xfId="4489" xr:uid="{00000000-0005-0000-0000-0000262C0000}"/>
    <cellStyle name="Millares 2 80 2 2 7 2" xfId="8098" xr:uid="{00000000-0005-0000-0000-0000272C0000}"/>
    <cellStyle name="Millares 2 80 2 2 7 2 2" xfId="14888" xr:uid="{00000000-0005-0000-0000-0000282C0000}"/>
    <cellStyle name="Millares 2 80 2 2 7 2 2 2" xfId="28456" xr:uid="{00000000-0005-0000-0000-0000292C0000}"/>
    <cellStyle name="Millares 2 80 2 2 7 2 2 2 2" xfId="55589" xr:uid="{00000000-0005-0000-0000-00002A2C0000}"/>
    <cellStyle name="Millares 2 80 2 2 7 2 2 3" xfId="42027" xr:uid="{00000000-0005-0000-0000-00002B2C0000}"/>
    <cellStyle name="Millares 2 80 2 2 7 2 3" xfId="21675" xr:uid="{00000000-0005-0000-0000-00002C2C0000}"/>
    <cellStyle name="Millares 2 80 2 2 7 2 3 2" xfId="48808" xr:uid="{00000000-0005-0000-0000-00002D2C0000}"/>
    <cellStyle name="Millares 2 80 2 2 7 2 4" xfId="35246" xr:uid="{00000000-0005-0000-0000-00002E2C0000}"/>
    <cellStyle name="Millares 2 80 2 2 7 3" xfId="11499" xr:uid="{00000000-0005-0000-0000-00002F2C0000}"/>
    <cellStyle name="Millares 2 80 2 2 7 3 2" xfId="25067" xr:uid="{00000000-0005-0000-0000-0000302C0000}"/>
    <cellStyle name="Millares 2 80 2 2 7 3 2 2" xfId="52200" xr:uid="{00000000-0005-0000-0000-0000312C0000}"/>
    <cellStyle name="Millares 2 80 2 2 7 3 3" xfId="38638" xr:uid="{00000000-0005-0000-0000-0000322C0000}"/>
    <cellStyle name="Millares 2 80 2 2 7 4" xfId="18286" xr:uid="{00000000-0005-0000-0000-0000332C0000}"/>
    <cellStyle name="Millares 2 80 2 2 7 4 2" xfId="45419" xr:uid="{00000000-0005-0000-0000-0000342C0000}"/>
    <cellStyle name="Millares 2 80 2 2 7 5" xfId="31857" xr:uid="{00000000-0005-0000-0000-0000352C0000}"/>
    <cellStyle name="Millares 2 80 2 2 8" xfId="4490" xr:uid="{00000000-0005-0000-0000-0000362C0000}"/>
    <cellStyle name="Millares 2 80 2 2 8 2" xfId="8099" xr:uid="{00000000-0005-0000-0000-0000372C0000}"/>
    <cellStyle name="Millares 2 80 2 2 8 2 2" xfId="14889" xr:uid="{00000000-0005-0000-0000-0000382C0000}"/>
    <cellStyle name="Millares 2 80 2 2 8 2 2 2" xfId="28457" xr:uid="{00000000-0005-0000-0000-0000392C0000}"/>
    <cellStyle name="Millares 2 80 2 2 8 2 2 2 2" xfId="55590" xr:uid="{00000000-0005-0000-0000-00003A2C0000}"/>
    <cellStyle name="Millares 2 80 2 2 8 2 2 3" xfId="42028" xr:uid="{00000000-0005-0000-0000-00003B2C0000}"/>
    <cellStyle name="Millares 2 80 2 2 8 2 3" xfId="21676" xr:uid="{00000000-0005-0000-0000-00003C2C0000}"/>
    <cellStyle name="Millares 2 80 2 2 8 2 3 2" xfId="48809" xr:uid="{00000000-0005-0000-0000-00003D2C0000}"/>
    <cellStyle name="Millares 2 80 2 2 8 2 4" xfId="35247" xr:uid="{00000000-0005-0000-0000-00003E2C0000}"/>
    <cellStyle name="Millares 2 80 2 2 8 3" xfId="11500" xr:uid="{00000000-0005-0000-0000-00003F2C0000}"/>
    <cellStyle name="Millares 2 80 2 2 8 3 2" xfId="25068" xr:uid="{00000000-0005-0000-0000-0000402C0000}"/>
    <cellStyle name="Millares 2 80 2 2 8 3 2 2" xfId="52201" xr:uid="{00000000-0005-0000-0000-0000412C0000}"/>
    <cellStyle name="Millares 2 80 2 2 8 3 3" xfId="38639" xr:uid="{00000000-0005-0000-0000-0000422C0000}"/>
    <cellStyle name="Millares 2 80 2 2 8 4" xfId="18287" xr:uid="{00000000-0005-0000-0000-0000432C0000}"/>
    <cellStyle name="Millares 2 80 2 2 8 4 2" xfId="45420" xr:uid="{00000000-0005-0000-0000-0000442C0000}"/>
    <cellStyle name="Millares 2 80 2 2 8 5" xfId="31858" xr:uid="{00000000-0005-0000-0000-0000452C0000}"/>
    <cellStyle name="Millares 2 80 2 2 9" xfId="8061" xr:uid="{00000000-0005-0000-0000-0000462C0000}"/>
    <cellStyle name="Millares 2 80 2 2 9 2" xfId="14851" xr:uid="{00000000-0005-0000-0000-0000472C0000}"/>
    <cellStyle name="Millares 2 80 2 2 9 2 2" xfId="28419" xr:uid="{00000000-0005-0000-0000-0000482C0000}"/>
    <cellStyle name="Millares 2 80 2 2 9 2 2 2" xfId="55552" xr:uid="{00000000-0005-0000-0000-0000492C0000}"/>
    <cellStyle name="Millares 2 80 2 2 9 2 3" xfId="41990" xr:uid="{00000000-0005-0000-0000-00004A2C0000}"/>
    <cellStyle name="Millares 2 80 2 2 9 3" xfId="21638" xr:uid="{00000000-0005-0000-0000-00004B2C0000}"/>
    <cellStyle name="Millares 2 80 2 2 9 3 2" xfId="48771" xr:uid="{00000000-0005-0000-0000-00004C2C0000}"/>
    <cellStyle name="Millares 2 80 2 2 9 4" xfId="35209" xr:uid="{00000000-0005-0000-0000-00004D2C0000}"/>
    <cellStyle name="Millares 2 80 2 3" xfId="4491" xr:uid="{00000000-0005-0000-0000-00004E2C0000}"/>
    <cellStyle name="Millares 2 80 2 3 10" xfId="31859" xr:uid="{00000000-0005-0000-0000-00004F2C0000}"/>
    <cellStyle name="Millares 2 80 2 3 2" xfId="4492" xr:uid="{00000000-0005-0000-0000-0000502C0000}"/>
    <cellStyle name="Millares 2 80 2 3 2 2" xfId="4493" xr:uid="{00000000-0005-0000-0000-0000512C0000}"/>
    <cellStyle name="Millares 2 80 2 3 2 2 2" xfId="4494" xr:uid="{00000000-0005-0000-0000-0000522C0000}"/>
    <cellStyle name="Millares 2 80 2 3 2 2 2 2" xfId="8103" xr:uid="{00000000-0005-0000-0000-0000532C0000}"/>
    <cellStyle name="Millares 2 80 2 3 2 2 2 2 2" xfId="14893" xr:uid="{00000000-0005-0000-0000-0000542C0000}"/>
    <cellStyle name="Millares 2 80 2 3 2 2 2 2 2 2" xfId="28461" xr:uid="{00000000-0005-0000-0000-0000552C0000}"/>
    <cellStyle name="Millares 2 80 2 3 2 2 2 2 2 2 2" xfId="55594" xr:uid="{00000000-0005-0000-0000-0000562C0000}"/>
    <cellStyle name="Millares 2 80 2 3 2 2 2 2 2 3" xfId="42032" xr:uid="{00000000-0005-0000-0000-0000572C0000}"/>
    <cellStyle name="Millares 2 80 2 3 2 2 2 2 3" xfId="21680" xr:uid="{00000000-0005-0000-0000-0000582C0000}"/>
    <cellStyle name="Millares 2 80 2 3 2 2 2 2 3 2" xfId="48813" xr:uid="{00000000-0005-0000-0000-0000592C0000}"/>
    <cellStyle name="Millares 2 80 2 3 2 2 2 2 4" xfId="35251" xr:uid="{00000000-0005-0000-0000-00005A2C0000}"/>
    <cellStyle name="Millares 2 80 2 3 2 2 2 3" xfId="11504" xr:uid="{00000000-0005-0000-0000-00005B2C0000}"/>
    <cellStyle name="Millares 2 80 2 3 2 2 2 3 2" xfId="25072" xr:uid="{00000000-0005-0000-0000-00005C2C0000}"/>
    <cellStyle name="Millares 2 80 2 3 2 2 2 3 2 2" xfId="52205" xr:uid="{00000000-0005-0000-0000-00005D2C0000}"/>
    <cellStyle name="Millares 2 80 2 3 2 2 2 3 3" xfId="38643" xr:uid="{00000000-0005-0000-0000-00005E2C0000}"/>
    <cellStyle name="Millares 2 80 2 3 2 2 2 4" xfId="18291" xr:uid="{00000000-0005-0000-0000-00005F2C0000}"/>
    <cellStyle name="Millares 2 80 2 3 2 2 2 4 2" xfId="45424" xr:uid="{00000000-0005-0000-0000-0000602C0000}"/>
    <cellStyle name="Millares 2 80 2 3 2 2 2 5" xfId="31862" xr:uid="{00000000-0005-0000-0000-0000612C0000}"/>
    <cellStyle name="Millares 2 80 2 3 2 2 3" xfId="4495" xr:uid="{00000000-0005-0000-0000-0000622C0000}"/>
    <cellStyle name="Millares 2 80 2 3 2 2 3 2" xfId="8104" xr:uid="{00000000-0005-0000-0000-0000632C0000}"/>
    <cellStyle name="Millares 2 80 2 3 2 2 3 2 2" xfId="14894" xr:uid="{00000000-0005-0000-0000-0000642C0000}"/>
    <cellStyle name="Millares 2 80 2 3 2 2 3 2 2 2" xfId="28462" xr:uid="{00000000-0005-0000-0000-0000652C0000}"/>
    <cellStyle name="Millares 2 80 2 3 2 2 3 2 2 2 2" xfId="55595" xr:uid="{00000000-0005-0000-0000-0000662C0000}"/>
    <cellStyle name="Millares 2 80 2 3 2 2 3 2 2 3" xfId="42033" xr:uid="{00000000-0005-0000-0000-0000672C0000}"/>
    <cellStyle name="Millares 2 80 2 3 2 2 3 2 3" xfId="21681" xr:uid="{00000000-0005-0000-0000-0000682C0000}"/>
    <cellStyle name="Millares 2 80 2 3 2 2 3 2 3 2" xfId="48814" xr:uid="{00000000-0005-0000-0000-0000692C0000}"/>
    <cellStyle name="Millares 2 80 2 3 2 2 3 2 4" xfId="35252" xr:uid="{00000000-0005-0000-0000-00006A2C0000}"/>
    <cellStyle name="Millares 2 80 2 3 2 2 3 3" xfId="11505" xr:uid="{00000000-0005-0000-0000-00006B2C0000}"/>
    <cellStyle name="Millares 2 80 2 3 2 2 3 3 2" xfId="25073" xr:uid="{00000000-0005-0000-0000-00006C2C0000}"/>
    <cellStyle name="Millares 2 80 2 3 2 2 3 3 2 2" xfId="52206" xr:uid="{00000000-0005-0000-0000-00006D2C0000}"/>
    <cellStyle name="Millares 2 80 2 3 2 2 3 3 3" xfId="38644" xr:uid="{00000000-0005-0000-0000-00006E2C0000}"/>
    <cellStyle name="Millares 2 80 2 3 2 2 3 4" xfId="18292" xr:uid="{00000000-0005-0000-0000-00006F2C0000}"/>
    <cellStyle name="Millares 2 80 2 3 2 2 3 4 2" xfId="45425" xr:uid="{00000000-0005-0000-0000-0000702C0000}"/>
    <cellStyle name="Millares 2 80 2 3 2 2 3 5" xfId="31863" xr:uid="{00000000-0005-0000-0000-0000712C0000}"/>
    <cellStyle name="Millares 2 80 2 3 2 2 4" xfId="8102" xr:uid="{00000000-0005-0000-0000-0000722C0000}"/>
    <cellStyle name="Millares 2 80 2 3 2 2 4 2" xfId="14892" xr:uid="{00000000-0005-0000-0000-0000732C0000}"/>
    <cellStyle name="Millares 2 80 2 3 2 2 4 2 2" xfId="28460" xr:uid="{00000000-0005-0000-0000-0000742C0000}"/>
    <cellStyle name="Millares 2 80 2 3 2 2 4 2 2 2" xfId="55593" xr:uid="{00000000-0005-0000-0000-0000752C0000}"/>
    <cellStyle name="Millares 2 80 2 3 2 2 4 2 3" xfId="42031" xr:uid="{00000000-0005-0000-0000-0000762C0000}"/>
    <cellStyle name="Millares 2 80 2 3 2 2 4 3" xfId="21679" xr:uid="{00000000-0005-0000-0000-0000772C0000}"/>
    <cellStyle name="Millares 2 80 2 3 2 2 4 3 2" xfId="48812" xr:uid="{00000000-0005-0000-0000-0000782C0000}"/>
    <cellStyle name="Millares 2 80 2 3 2 2 4 4" xfId="35250" xr:uid="{00000000-0005-0000-0000-0000792C0000}"/>
    <cellStyle name="Millares 2 80 2 3 2 2 5" xfId="11503" xr:uid="{00000000-0005-0000-0000-00007A2C0000}"/>
    <cellStyle name="Millares 2 80 2 3 2 2 5 2" xfId="25071" xr:uid="{00000000-0005-0000-0000-00007B2C0000}"/>
    <cellStyle name="Millares 2 80 2 3 2 2 5 2 2" xfId="52204" xr:uid="{00000000-0005-0000-0000-00007C2C0000}"/>
    <cellStyle name="Millares 2 80 2 3 2 2 5 3" xfId="38642" xr:uid="{00000000-0005-0000-0000-00007D2C0000}"/>
    <cellStyle name="Millares 2 80 2 3 2 2 6" xfId="18290" xr:uid="{00000000-0005-0000-0000-00007E2C0000}"/>
    <cellStyle name="Millares 2 80 2 3 2 2 6 2" xfId="45423" xr:uid="{00000000-0005-0000-0000-00007F2C0000}"/>
    <cellStyle name="Millares 2 80 2 3 2 2 7" xfId="31861" xr:uid="{00000000-0005-0000-0000-0000802C0000}"/>
    <cellStyle name="Millares 2 80 2 3 2 3" xfId="4496" xr:uid="{00000000-0005-0000-0000-0000812C0000}"/>
    <cellStyle name="Millares 2 80 2 3 2 3 2" xfId="4497" xr:uid="{00000000-0005-0000-0000-0000822C0000}"/>
    <cellStyle name="Millares 2 80 2 3 2 3 2 2" xfId="8106" xr:uid="{00000000-0005-0000-0000-0000832C0000}"/>
    <cellStyle name="Millares 2 80 2 3 2 3 2 2 2" xfId="14896" xr:uid="{00000000-0005-0000-0000-0000842C0000}"/>
    <cellStyle name="Millares 2 80 2 3 2 3 2 2 2 2" xfId="28464" xr:uid="{00000000-0005-0000-0000-0000852C0000}"/>
    <cellStyle name="Millares 2 80 2 3 2 3 2 2 2 2 2" xfId="55597" xr:uid="{00000000-0005-0000-0000-0000862C0000}"/>
    <cellStyle name="Millares 2 80 2 3 2 3 2 2 2 3" xfId="42035" xr:uid="{00000000-0005-0000-0000-0000872C0000}"/>
    <cellStyle name="Millares 2 80 2 3 2 3 2 2 3" xfId="21683" xr:uid="{00000000-0005-0000-0000-0000882C0000}"/>
    <cellStyle name="Millares 2 80 2 3 2 3 2 2 3 2" xfId="48816" xr:uid="{00000000-0005-0000-0000-0000892C0000}"/>
    <cellStyle name="Millares 2 80 2 3 2 3 2 2 4" xfId="35254" xr:uid="{00000000-0005-0000-0000-00008A2C0000}"/>
    <cellStyle name="Millares 2 80 2 3 2 3 2 3" xfId="11507" xr:uid="{00000000-0005-0000-0000-00008B2C0000}"/>
    <cellStyle name="Millares 2 80 2 3 2 3 2 3 2" xfId="25075" xr:uid="{00000000-0005-0000-0000-00008C2C0000}"/>
    <cellStyle name="Millares 2 80 2 3 2 3 2 3 2 2" xfId="52208" xr:uid="{00000000-0005-0000-0000-00008D2C0000}"/>
    <cellStyle name="Millares 2 80 2 3 2 3 2 3 3" xfId="38646" xr:uid="{00000000-0005-0000-0000-00008E2C0000}"/>
    <cellStyle name="Millares 2 80 2 3 2 3 2 4" xfId="18294" xr:uid="{00000000-0005-0000-0000-00008F2C0000}"/>
    <cellStyle name="Millares 2 80 2 3 2 3 2 4 2" xfId="45427" xr:uid="{00000000-0005-0000-0000-0000902C0000}"/>
    <cellStyle name="Millares 2 80 2 3 2 3 2 5" xfId="31865" xr:uid="{00000000-0005-0000-0000-0000912C0000}"/>
    <cellStyle name="Millares 2 80 2 3 2 3 3" xfId="8105" xr:uid="{00000000-0005-0000-0000-0000922C0000}"/>
    <cellStyle name="Millares 2 80 2 3 2 3 3 2" xfId="14895" xr:uid="{00000000-0005-0000-0000-0000932C0000}"/>
    <cellStyle name="Millares 2 80 2 3 2 3 3 2 2" xfId="28463" xr:uid="{00000000-0005-0000-0000-0000942C0000}"/>
    <cellStyle name="Millares 2 80 2 3 2 3 3 2 2 2" xfId="55596" xr:uid="{00000000-0005-0000-0000-0000952C0000}"/>
    <cellStyle name="Millares 2 80 2 3 2 3 3 2 3" xfId="42034" xr:uid="{00000000-0005-0000-0000-0000962C0000}"/>
    <cellStyle name="Millares 2 80 2 3 2 3 3 3" xfId="21682" xr:uid="{00000000-0005-0000-0000-0000972C0000}"/>
    <cellStyle name="Millares 2 80 2 3 2 3 3 3 2" xfId="48815" xr:uid="{00000000-0005-0000-0000-0000982C0000}"/>
    <cellStyle name="Millares 2 80 2 3 2 3 3 4" xfId="35253" xr:uid="{00000000-0005-0000-0000-0000992C0000}"/>
    <cellStyle name="Millares 2 80 2 3 2 3 4" xfId="11506" xr:uid="{00000000-0005-0000-0000-00009A2C0000}"/>
    <cellStyle name="Millares 2 80 2 3 2 3 4 2" xfId="25074" xr:uid="{00000000-0005-0000-0000-00009B2C0000}"/>
    <cellStyle name="Millares 2 80 2 3 2 3 4 2 2" xfId="52207" xr:uid="{00000000-0005-0000-0000-00009C2C0000}"/>
    <cellStyle name="Millares 2 80 2 3 2 3 4 3" xfId="38645" xr:uid="{00000000-0005-0000-0000-00009D2C0000}"/>
    <cellStyle name="Millares 2 80 2 3 2 3 5" xfId="18293" xr:uid="{00000000-0005-0000-0000-00009E2C0000}"/>
    <cellStyle name="Millares 2 80 2 3 2 3 5 2" xfId="45426" xr:uid="{00000000-0005-0000-0000-00009F2C0000}"/>
    <cellStyle name="Millares 2 80 2 3 2 3 6" xfId="31864" xr:uid="{00000000-0005-0000-0000-0000A02C0000}"/>
    <cellStyle name="Millares 2 80 2 3 2 4" xfId="4498" xr:uid="{00000000-0005-0000-0000-0000A12C0000}"/>
    <cellStyle name="Millares 2 80 2 3 2 4 2" xfId="8107" xr:uid="{00000000-0005-0000-0000-0000A22C0000}"/>
    <cellStyle name="Millares 2 80 2 3 2 4 2 2" xfId="14897" xr:uid="{00000000-0005-0000-0000-0000A32C0000}"/>
    <cellStyle name="Millares 2 80 2 3 2 4 2 2 2" xfId="28465" xr:uid="{00000000-0005-0000-0000-0000A42C0000}"/>
    <cellStyle name="Millares 2 80 2 3 2 4 2 2 2 2" xfId="55598" xr:uid="{00000000-0005-0000-0000-0000A52C0000}"/>
    <cellStyle name="Millares 2 80 2 3 2 4 2 2 3" xfId="42036" xr:uid="{00000000-0005-0000-0000-0000A62C0000}"/>
    <cellStyle name="Millares 2 80 2 3 2 4 2 3" xfId="21684" xr:uid="{00000000-0005-0000-0000-0000A72C0000}"/>
    <cellStyle name="Millares 2 80 2 3 2 4 2 3 2" xfId="48817" xr:uid="{00000000-0005-0000-0000-0000A82C0000}"/>
    <cellStyle name="Millares 2 80 2 3 2 4 2 4" xfId="35255" xr:uid="{00000000-0005-0000-0000-0000A92C0000}"/>
    <cellStyle name="Millares 2 80 2 3 2 4 3" xfId="11508" xr:uid="{00000000-0005-0000-0000-0000AA2C0000}"/>
    <cellStyle name="Millares 2 80 2 3 2 4 3 2" xfId="25076" xr:uid="{00000000-0005-0000-0000-0000AB2C0000}"/>
    <cellStyle name="Millares 2 80 2 3 2 4 3 2 2" xfId="52209" xr:uid="{00000000-0005-0000-0000-0000AC2C0000}"/>
    <cellStyle name="Millares 2 80 2 3 2 4 3 3" xfId="38647" xr:uid="{00000000-0005-0000-0000-0000AD2C0000}"/>
    <cellStyle name="Millares 2 80 2 3 2 4 4" xfId="18295" xr:uid="{00000000-0005-0000-0000-0000AE2C0000}"/>
    <cellStyle name="Millares 2 80 2 3 2 4 4 2" xfId="45428" xr:uid="{00000000-0005-0000-0000-0000AF2C0000}"/>
    <cellStyle name="Millares 2 80 2 3 2 4 5" xfId="31866" xr:uid="{00000000-0005-0000-0000-0000B02C0000}"/>
    <cellStyle name="Millares 2 80 2 3 2 5" xfId="4499" xr:uid="{00000000-0005-0000-0000-0000B12C0000}"/>
    <cellStyle name="Millares 2 80 2 3 2 5 2" xfId="8108" xr:uid="{00000000-0005-0000-0000-0000B22C0000}"/>
    <cellStyle name="Millares 2 80 2 3 2 5 2 2" xfId="14898" xr:uid="{00000000-0005-0000-0000-0000B32C0000}"/>
    <cellStyle name="Millares 2 80 2 3 2 5 2 2 2" xfId="28466" xr:uid="{00000000-0005-0000-0000-0000B42C0000}"/>
    <cellStyle name="Millares 2 80 2 3 2 5 2 2 2 2" xfId="55599" xr:uid="{00000000-0005-0000-0000-0000B52C0000}"/>
    <cellStyle name="Millares 2 80 2 3 2 5 2 2 3" xfId="42037" xr:uid="{00000000-0005-0000-0000-0000B62C0000}"/>
    <cellStyle name="Millares 2 80 2 3 2 5 2 3" xfId="21685" xr:uid="{00000000-0005-0000-0000-0000B72C0000}"/>
    <cellStyle name="Millares 2 80 2 3 2 5 2 3 2" xfId="48818" xr:uid="{00000000-0005-0000-0000-0000B82C0000}"/>
    <cellStyle name="Millares 2 80 2 3 2 5 2 4" xfId="35256" xr:uid="{00000000-0005-0000-0000-0000B92C0000}"/>
    <cellStyle name="Millares 2 80 2 3 2 5 3" xfId="11509" xr:uid="{00000000-0005-0000-0000-0000BA2C0000}"/>
    <cellStyle name="Millares 2 80 2 3 2 5 3 2" xfId="25077" xr:uid="{00000000-0005-0000-0000-0000BB2C0000}"/>
    <cellStyle name="Millares 2 80 2 3 2 5 3 2 2" xfId="52210" xr:uid="{00000000-0005-0000-0000-0000BC2C0000}"/>
    <cellStyle name="Millares 2 80 2 3 2 5 3 3" xfId="38648" xr:uid="{00000000-0005-0000-0000-0000BD2C0000}"/>
    <cellStyle name="Millares 2 80 2 3 2 5 4" xfId="18296" xr:uid="{00000000-0005-0000-0000-0000BE2C0000}"/>
    <cellStyle name="Millares 2 80 2 3 2 5 4 2" xfId="45429" xr:uid="{00000000-0005-0000-0000-0000BF2C0000}"/>
    <cellStyle name="Millares 2 80 2 3 2 5 5" xfId="31867" xr:uid="{00000000-0005-0000-0000-0000C02C0000}"/>
    <cellStyle name="Millares 2 80 2 3 2 6" xfId="8101" xr:uid="{00000000-0005-0000-0000-0000C12C0000}"/>
    <cellStyle name="Millares 2 80 2 3 2 6 2" xfId="14891" xr:uid="{00000000-0005-0000-0000-0000C22C0000}"/>
    <cellStyle name="Millares 2 80 2 3 2 6 2 2" xfId="28459" xr:uid="{00000000-0005-0000-0000-0000C32C0000}"/>
    <cellStyle name="Millares 2 80 2 3 2 6 2 2 2" xfId="55592" xr:uid="{00000000-0005-0000-0000-0000C42C0000}"/>
    <cellStyle name="Millares 2 80 2 3 2 6 2 3" xfId="42030" xr:uid="{00000000-0005-0000-0000-0000C52C0000}"/>
    <cellStyle name="Millares 2 80 2 3 2 6 3" xfId="21678" xr:uid="{00000000-0005-0000-0000-0000C62C0000}"/>
    <cellStyle name="Millares 2 80 2 3 2 6 3 2" xfId="48811" xr:uid="{00000000-0005-0000-0000-0000C72C0000}"/>
    <cellStyle name="Millares 2 80 2 3 2 6 4" xfId="35249" xr:uid="{00000000-0005-0000-0000-0000C82C0000}"/>
    <cellStyle name="Millares 2 80 2 3 2 7" xfId="11502" xr:uid="{00000000-0005-0000-0000-0000C92C0000}"/>
    <cellStyle name="Millares 2 80 2 3 2 7 2" xfId="25070" xr:uid="{00000000-0005-0000-0000-0000CA2C0000}"/>
    <cellStyle name="Millares 2 80 2 3 2 7 2 2" xfId="52203" xr:uid="{00000000-0005-0000-0000-0000CB2C0000}"/>
    <cellStyle name="Millares 2 80 2 3 2 7 3" xfId="38641" xr:uid="{00000000-0005-0000-0000-0000CC2C0000}"/>
    <cellStyle name="Millares 2 80 2 3 2 8" xfId="18289" xr:uid="{00000000-0005-0000-0000-0000CD2C0000}"/>
    <cellStyle name="Millares 2 80 2 3 2 8 2" xfId="45422" xr:uid="{00000000-0005-0000-0000-0000CE2C0000}"/>
    <cellStyle name="Millares 2 80 2 3 2 9" xfId="31860" xr:uid="{00000000-0005-0000-0000-0000CF2C0000}"/>
    <cellStyle name="Millares 2 80 2 3 3" xfId="4500" xr:uid="{00000000-0005-0000-0000-0000D02C0000}"/>
    <cellStyle name="Millares 2 80 2 3 3 2" xfId="4501" xr:uid="{00000000-0005-0000-0000-0000D12C0000}"/>
    <cellStyle name="Millares 2 80 2 3 3 2 2" xfId="8110" xr:uid="{00000000-0005-0000-0000-0000D22C0000}"/>
    <cellStyle name="Millares 2 80 2 3 3 2 2 2" xfId="14900" xr:uid="{00000000-0005-0000-0000-0000D32C0000}"/>
    <cellStyle name="Millares 2 80 2 3 3 2 2 2 2" xfId="28468" xr:uid="{00000000-0005-0000-0000-0000D42C0000}"/>
    <cellStyle name="Millares 2 80 2 3 3 2 2 2 2 2" xfId="55601" xr:uid="{00000000-0005-0000-0000-0000D52C0000}"/>
    <cellStyle name="Millares 2 80 2 3 3 2 2 2 3" xfId="42039" xr:uid="{00000000-0005-0000-0000-0000D62C0000}"/>
    <cellStyle name="Millares 2 80 2 3 3 2 2 3" xfId="21687" xr:uid="{00000000-0005-0000-0000-0000D72C0000}"/>
    <cellStyle name="Millares 2 80 2 3 3 2 2 3 2" xfId="48820" xr:uid="{00000000-0005-0000-0000-0000D82C0000}"/>
    <cellStyle name="Millares 2 80 2 3 3 2 2 4" xfId="35258" xr:uid="{00000000-0005-0000-0000-0000D92C0000}"/>
    <cellStyle name="Millares 2 80 2 3 3 2 3" xfId="11511" xr:uid="{00000000-0005-0000-0000-0000DA2C0000}"/>
    <cellStyle name="Millares 2 80 2 3 3 2 3 2" xfId="25079" xr:uid="{00000000-0005-0000-0000-0000DB2C0000}"/>
    <cellStyle name="Millares 2 80 2 3 3 2 3 2 2" xfId="52212" xr:uid="{00000000-0005-0000-0000-0000DC2C0000}"/>
    <cellStyle name="Millares 2 80 2 3 3 2 3 3" xfId="38650" xr:uid="{00000000-0005-0000-0000-0000DD2C0000}"/>
    <cellStyle name="Millares 2 80 2 3 3 2 4" xfId="18298" xr:uid="{00000000-0005-0000-0000-0000DE2C0000}"/>
    <cellStyle name="Millares 2 80 2 3 3 2 4 2" xfId="45431" xr:uid="{00000000-0005-0000-0000-0000DF2C0000}"/>
    <cellStyle name="Millares 2 80 2 3 3 2 5" xfId="31869" xr:uid="{00000000-0005-0000-0000-0000E02C0000}"/>
    <cellStyle name="Millares 2 80 2 3 3 3" xfId="4502" xr:uid="{00000000-0005-0000-0000-0000E12C0000}"/>
    <cellStyle name="Millares 2 80 2 3 3 3 2" xfId="8111" xr:uid="{00000000-0005-0000-0000-0000E22C0000}"/>
    <cellStyle name="Millares 2 80 2 3 3 3 2 2" xfId="14901" xr:uid="{00000000-0005-0000-0000-0000E32C0000}"/>
    <cellStyle name="Millares 2 80 2 3 3 3 2 2 2" xfId="28469" xr:uid="{00000000-0005-0000-0000-0000E42C0000}"/>
    <cellStyle name="Millares 2 80 2 3 3 3 2 2 2 2" xfId="55602" xr:uid="{00000000-0005-0000-0000-0000E52C0000}"/>
    <cellStyle name="Millares 2 80 2 3 3 3 2 2 3" xfId="42040" xr:uid="{00000000-0005-0000-0000-0000E62C0000}"/>
    <cellStyle name="Millares 2 80 2 3 3 3 2 3" xfId="21688" xr:uid="{00000000-0005-0000-0000-0000E72C0000}"/>
    <cellStyle name="Millares 2 80 2 3 3 3 2 3 2" xfId="48821" xr:uid="{00000000-0005-0000-0000-0000E82C0000}"/>
    <cellStyle name="Millares 2 80 2 3 3 3 2 4" xfId="35259" xr:uid="{00000000-0005-0000-0000-0000E92C0000}"/>
    <cellStyle name="Millares 2 80 2 3 3 3 3" xfId="11512" xr:uid="{00000000-0005-0000-0000-0000EA2C0000}"/>
    <cellStyle name="Millares 2 80 2 3 3 3 3 2" xfId="25080" xr:uid="{00000000-0005-0000-0000-0000EB2C0000}"/>
    <cellStyle name="Millares 2 80 2 3 3 3 3 2 2" xfId="52213" xr:uid="{00000000-0005-0000-0000-0000EC2C0000}"/>
    <cellStyle name="Millares 2 80 2 3 3 3 3 3" xfId="38651" xr:uid="{00000000-0005-0000-0000-0000ED2C0000}"/>
    <cellStyle name="Millares 2 80 2 3 3 3 4" xfId="18299" xr:uid="{00000000-0005-0000-0000-0000EE2C0000}"/>
    <cellStyle name="Millares 2 80 2 3 3 3 4 2" xfId="45432" xr:uid="{00000000-0005-0000-0000-0000EF2C0000}"/>
    <cellStyle name="Millares 2 80 2 3 3 3 5" xfId="31870" xr:uid="{00000000-0005-0000-0000-0000F02C0000}"/>
    <cellStyle name="Millares 2 80 2 3 3 4" xfId="8109" xr:uid="{00000000-0005-0000-0000-0000F12C0000}"/>
    <cellStyle name="Millares 2 80 2 3 3 4 2" xfId="14899" xr:uid="{00000000-0005-0000-0000-0000F22C0000}"/>
    <cellStyle name="Millares 2 80 2 3 3 4 2 2" xfId="28467" xr:uid="{00000000-0005-0000-0000-0000F32C0000}"/>
    <cellStyle name="Millares 2 80 2 3 3 4 2 2 2" xfId="55600" xr:uid="{00000000-0005-0000-0000-0000F42C0000}"/>
    <cellStyle name="Millares 2 80 2 3 3 4 2 3" xfId="42038" xr:uid="{00000000-0005-0000-0000-0000F52C0000}"/>
    <cellStyle name="Millares 2 80 2 3 3 4 3" xfId="21686" xr:uid="{00000000-0005-0000-0000-0000F62C0000}"/>
    <cellStyle name="Millares 2 80 2 3 3 4 3 2" xfId="48819" xr:uid="{00000000-0005-0000-0000-0000F72C0000}"/>
    <cellStyle name="Millares 2 80 2 3 3 4 4" xfId="35257" xr:uid="{00000000-0005-0000-0000-0000F82C0000}"/>
    <cellStyle name="Millares 2 80 2 3 3 5" xfId="11510" xr:uid="{00000000-0005-0000-0000-0000F92C0000}"/>
    <cellStyle name="Millares 2 80 2 3 3 5 2" xfId="25078" xr:uid="{00000000-0005-0000-0000-0000FA2C0000}"/>
    <cellStyle name="Millares 2 80 2 3 3 5 2 2" xfId="52211" xr:uid="{00000000-0005-0000-0000-0000FB2C0000}"/>
    <cellStyle name="Millares 2 80 2 3 3 5 3" xfId="38649" xr:uid="{00000000-0005-0000-0000-0000FC2C0000}"/>
    <cellStyle name="Millares 2 80 2 3 3 6" xfId="18297" xr:uid="{00000000-0005-0000-0000-0000FD2C0000}"/>
    <cellStyle name="Millares 2 80 2 3 3 6 2" xfId="45430" xr:uid="{00000000-0005-0000-0000-0000FE2C0000}"/>
    <cellStyle name="Millares 2 80 2 3 3 7" xfId="31868" xr:uid="{00000000-0005-0000-0000-0000FF2C0000}"/>
    <cellStyle name="Millares 2 80 2 3 4" xfId="4503" xr:uid="{00000000-0005-0000-0000-0000002D0000}"/>
    <cellStyle name="Millares 2 80 2 3 4 2" xfId="4504" xr:uid="{00000000-0005-0000-0000-0000012D0000}"/>
    <cellStyle name="Millares 2 80 2 3 4 2 2" xfId="8113" xr:uid="{00000000-0005-0000-0000-0000022D0000}"/>
    <cellStyle name="Millares 2 80 2 3 4 2 2 2" xfId="14903" xr:uid="{00000000-0005-0000-0000-0000032D0000}"/>
    <cellStyle name="Millares 2 80 2 3 4 2 2 2 2" xfId="28471" xr:uid="{00000000-0005-0000-0000-0000042D0000}"/>
    <cellStyle name="Millares 2 80 2 3 4 2 2 2 2 2" xfId="55604" xr:uid="{00000000-0005-0000-0000-0000052D0000}"/>
    <cellStyle name="Millares 2 80 2 3 4 2 2 2 3" xfId="42042" xr:uid="{00000000-0005-0000-0000-0000062D0000}"/>
    <cellStyle name="Millares 2 80 2 3 4 2 2 3" xfId="21690" xr:uid="{00000000-0005-0000-0000-0000072D0000}"/>
    <cellStyle name="Millares 2 80 2 3 4 2 2 3 2" xfId="48823" xr:uid="{00000000-0005-0000-0000-0000082D0000}"/>
    <cellStyle name="Millares 2 80 2 3 4 2 2 4" xfId="35261" xr:uid="{00000000-0005-0000-0000-0000092D0000}"/>
    <cellStyle name="Millares 2 80 2 3 4 2 3" xfId="11514" xr:uid="{00000000-0005-0000-0000-00000A2D0000}"/>
    <cellStyle name="Millares 2 80 2 3 4 2 3 2" xfId="25082" xr:uid="{00000000-0005-0000-0000-00000B2D0000}"/>
    <cellStyle name="Millares 2 80 2 3 4 2 3 2 2" xfId="52215" xr:uid="{00000000-0005-0000-0000-00000C2D0000}"/>
    <cellStyle name="Millares 2 80 2 3 4 2 3 3" xfId="38653" xr:uid="{00000000-0005-0000-0000-00000D2D0000}"/>
    <cellStyle name="Millares 2 80 2 3 4 2 4" xfId="18301" xr:uid="{00000000-0005-0000-0000-00000E2D0000}"/>
    <cellStyle name="Millares 2 80 2 3 4 2 4 2" xfId="45434" xr:uid="{00000000-0005-0000-0000-00000F2D0000}"/>
    <cellStyle name="Millares 2 80 2 3 4 2 5" xfId="31872" xr:uid="{00000000-0005-0000-0000-0000102D0000}"/>
    <cellStyle name="Millares 2 80 2 3 4 3" xfId="8112" xr:uid="{00000000-0005-0000-0000-0000112D0000}"/>
    <cellStyle name="Millares 2 80 2 3 4 3 2" xfId="14902" xr:uid="{00000000-0005-0000-0000-0000122D0000}"/>
    <cellStyle name="Millares 2 80 2 3 4 3 2 2" xfId="28470" xr:uid="{00000000-0005-0000-0000-0000132D0000}"/>
    <cellStyle name="Millares 2 80 2 3 4 3 2 2 2" xfId="55603" xr:uid="{00000000-0005-0000-0000-0000142D0000}"/>
    <cellStyle name="Millares 2 80 2 3 4 3 2 3" xfId="42041" xr:uid="{00000000-0005-0000-0000-0000152D0000}"/>
    <cellStyle name="Millares 2 80 2 3 4 3 3" xfId="21689" xr:uid="{00000000-0005-0000-0000-0000162D0000}"/>
    <cellStyle name="Millares 2 80 2 3 4 3 3 2" xfId="48822" xr:uid="{00000000-0005-0000-0000-0000172D0000}"/>
    <cellStyle name="Millares 2 80 2 3 4 3 4" xfId="35260" xr:uid="{00000000-0005-0000-0000-0000182D0000}"/>
    <cellStyle name="Millares 2 80 2 3 4 4" xfId="11513" xr:uid="{00000000-0005-0000-0000-0000192D0000}"/>
    <cellStyle name="Millares 2 80 2 3 4 4 2" xfId="25081" xr:uid="{00000000-0005-0000-0000-00001A2D0000}"/>
    <cellStyle name="Millares 2 80 2 3 4 4 2 2" xfId="52214" xr:uid="{00000000-0005-0000-0000-00001B2D0000}"/>
    <cellStyle name="Millares 2 80 2 3 4 4 3" xfId="38652" xr:uid="{00000000-0005-0000-0000-00001C2D0000}"/>
    <cellStyle name="Millares 2 80 2 3 4 5" xfId="18300" xr:uid="{00000000-0005-0000-0000-00001D2D0000}"/>
    <cellStyle name="Millares 2 80 2 3 4 5 2" xfId="45433" xr:uid="{00000000-0005-0000-0000-00001E2D0000}"/>
    <cellStyle name="Millares 2 80 2 3 4 6" xfId="31871" xr:uid="{00000000-0005-0000-0000-00001F2D0000}"/>
    <cellStyle name="Millares 2 80 2 3 5" xfId="4505" xr:uid="{00000000-0005-0000-0000-0000202D0000}"/>
    <cellStyle name="Millares 2 80 2 3 5 2" xfId="8114" xr:uid="{00000000-0005-0000-0000-0000212D0000}"/>
    <cellStyle name="Millares 2 80 2 3 5 2 2" xfId="14904" xr:uid="{00000000-0005-0000-0000-0000222D0000}"/>
    <cellStyle name="Millares 2 80 2 3 5 2 2 2" xfId="28472" xr:uid="{00000000-0005-0000-0000-0000232D0000}"/>
    <cellStyle name="Millares 2 80 2 3 5 2 2 2 2" xfId="55605" xr:uid="{00000000-0005-0000-0000-0000242D0000}"/>
    <cellStyle name="Millares 2 80 2 3 5 2 2 3" xfId="42043" xr:uid="{00000000-0005-0000-0000-0000252D0000}"/>
    <cellStyle name="Millares 2 80 2 3 5 2 3" xfId="21691" xr:uid="{00000000-0005-0000-0000-0000262D0000}"/>
    <cellStyle name="Millares 2 80 2 3 5 2 3 2" xfId="48824" xr:uid="{00000000-0005-0000-0000-0000272D0000}"/>
    <cellStyle name="Millares 2 80 2 3 5 2 4" xfId="35262" xr:uid="{00000000-0005-0000-0000-0000282D0000}"/>
    <cellStyle name="Millares 2 80 2 3 5 3" xfId="11515" xr:uid="{00000000-0005-0000-0000-0000292D0000}"/>
    <cellStyle name="Millares 2 80 2 3 5 3 2" xfId="25083" xr:uid="{00000000-0005-0000-0000-00002A2D0000}"/>
    <cellStyle name="Millares 2 80 2 3 5 3 2 2" xfId="52216" xr:uid="{00000000-0005-0000-0000-00002B2D0000}"/>
    <cellStyle name="Millares 2 80 2 3 5 3 3" xfId="38654" xr:uid="{00000000-0005-0000-0000-00002C2D0000}"/>
    <cellStyle name="Millares 2 80 2 3 5 4" xfId="18302" xr:uid="{00000000-0005-0000-0000-00002D2D0000}"/>
    <cellStyle name="Millares 2 80 2 3 5 4 2" xfId="45435" xr:uid="{00000000-0005-0000-0000-00002E2D0000}"/>
    <cellStyle name="Millares 2 80 2 3 5 5" xfId="31873" xr:uid="{00000000-0005-0000-0000-00002F2D0000}"/>
    <cellStyle name="Millares 2 80 2 3 6" xfId="4506" xr:uid="{00000000-0005-0000-0000-0000302D0000}"/>
    <cellStyle name="Millares 2 80 2 3 6 2" xfId="8115" xr:uid="{00000000-0005-0000-0000-0000312D0000}"/>
    <cellStyle name="Millares 2 80 2 3 6 2 2" xfId="14905" xr:uid="{00000000-0005-0000-0000-0000322D0000}"/>
    <cellStyle name="Millares 2 80 2 3 6 2 2 2" xfId="28473" xr:uid="{00000000-0005-0000-0000-0000332D0000}"/>
    <cellStyle name="Millares 2 80 2 3 6 2 2 2 2" xfId="55606" xr:uid="{00000000-0005-0000-0000-0000342D0000}"/>
    <cellStyle name="Millares 2 80 2 3 6 2 2 3" xfId="42044" xr:uid="{00000000-0005-0000-0000-0000352D0000}"/>
    <cellStyle name="Millares 2 80 2 3 6 2 3" xfId="21692" xr:uid="{00000000-0005-0000-0000-0000362D0000}"/>
    <cellStyle name="Millares 2 80 2 3 6 2 3 2" xfId="48825" xr:uid="{00000000-0005-0000-0000-0000372D0000}"/>
    <cellStyle name="Millares 2 80 2 3 6 2 4" xfId="35263" xr:uid="{00000000-0005-0000-0000-0000382D0000}"/>
    <cellStyle name="Millares 2 80 2 3 6 3" xfId="11516" xr:uid="{00000000-0005-0000-0000-0000392D0000}"/>
    <cellStyle name="Millares 2 80 2 3 6 3 2" xfId="25084" xr:uid="{00000000-0005-0000-0000-00003A2D0000}"/>
    <cellStyle name="Millares 2 80 2 3 6 3 2 2" xfId="52217" xr:uid="{00000000-0005-0000-0000-00003B2D0000}"/>
    <cellStyle name="Millares 2 80 2 3 6 3 3" xfId="38655" xr:uid="{00000000-0005-0000-0000-00003C2D0000}"/>
    <cellStyle name="Millares 2 80 2 3 6 4" xfId="18303" xr:uid="{00000000-0005-0000-0000-00003D2D0000}"/>
    <cellStyle name="Millares 2 80 2 3 6 4 2" xfId="45436" xr:uid="{00000000-0005-0000-0000-00003E2D0000}"/>
    <cellStyle name="Millares 2 80 2 3 6 5" xfId="31874" xr:uid="{00000000-0005-0000-0000-00003F2D0000}"/>
    <cellStyle name="Millares 2 80 2 3 7" xfId="8100" xr:uid="{00000000-0005-0000-0000-0000402D0000}"/>
    <cellStyle name="Millares 2 80 2 3 7 2" xfId="14890" xr:uid="{00000000-0005-0000-0000-0000412D0000}"/>
    <cellStyle name="Millares 2 80 2 3 7 2 2" xfId="28458" xr:uid="{00000000-0005-0000-0000-0000422D0000}"/>
    <cellStyle name="Millares 2 80 2 3 7 2 2 2" xfId="55591" xr:uid="{00000000-0005-0000-0000-0000432D0000}"/>
    <cellStyle name="Millares 2 80 2 3 7 2 3" xfId="42029" xr:uid="{00000000-0005-0000-0000-0000442D0000}"/>
    <cellStyle name="Millares 2 80 2 3 7 3" xfId="21677" xr:uid="{00000000-0005-0000-0000-0000452D0000}"/>
    <cellStyle name="Millares 2 80 2 3 7 3 2" xfId="48810" xr:uid="{00000000-0005-0000-0000-0000462D0000}"/>
    <cellStyle name="Millares 2 80 2 3 7 4" xfId="35248" xr:uid="{00000000-0005-0000-0000-0000472D0000}"/>
    <cellStyle name="Millares 2 80 2 3 8" xfId="11501" xr:uid="{00000000-0005-0000-0000-0000482D0000}"/>
    <cellStyle name="Millares 2 80 2 3 8 2" xfId="25069" xr:uid="{00000000-0005-0000-0000-0000492D0000}"/>
    <cellStyle name="Millares 2 80 2 3 8 2 2" xfId="52202" xr:uid="{00000000-0005-0000-0000-00004A2D0000}"/>
    <cellStyle name="Millares 2 80 2 3 8 3" xfId="38640" xr:uid="{00000000-0005-0000-0000-00004B2D0000}"/>
    <cellStyle name="Millares 2 80 2 3 9" xfId="18288" xr:uid="{00000000-0005-0000-0000-00004C2D0000}"/>
    <cellStyle name="Millares 2 80 2 3 9 2" xfId="45421" xr:uid="{00000000-0005-0000-0000-00004D2D0000}"/>
    <cellStyle name="Millares 2 80 2 4" xfId="4507" xr:uid="{00000000-0005-0000-0000-00004E2D0000}"/>
    <cellStyle name="Millares 2 80 2 4 2" xfId="4508" xr:uid="{00000000-0005-0000-0000-00004F2D0000}"/>
    <cellStyle name="Millares 2 80 2 4 2 2" xfId="4509" xr:uid="{00000000-0005-0000-0000-0000502D0000}"/>
    <cellStyle name="Millares 2 80 2 4 2 2 2" xfId="8118" xr:uid="{00000000-0005-0000-0000-0000512D0000}"/>
    <cellStyle name="Millares 2 80 2 4 2 2 2 2" xfId="14908" xr:uid="{00000000-0005-0000-0000-0000522D0000}"/>
    <cellStyle name="Millares 2 80 2 4 2 2 2 2 2" xfId="28476" xr:uid="{00000000-0005-0000-0000-0000532D0000}"/>
    <cellStyle name="Millares 2 80 2 4 2 2 2 2 2 2" xfId="55609" xr:uid="{00000000-0005-0000-0000-0000542D0000}"/>
    <cellStyle name="Millares 2 80 2 4 2 2 2 2 3" xfId="42047" xr:uid="{00000000-0005-0000-0000-0000552D0000}"/>
    <cellStyle name="Millares 2 80 2 4 2 2 2 3" xfId="21695" xr:uid="{00000000-0005-0000-0000-0000562D0000}"/>
    <cellStyle name="Millares 2 80 2 4 2 2 2 3 2" xfId="48828" xr:uid="{00000000-0005-0000-0000-0000572D0000}"/>
    <cellStyle name="Millares 2 80 2 4 2 2 2 4" xfId="35266" xr:uid="{00000000-0005-0000-0000-0000582D0000}"/>
    <cellStyle name="Millares 2 80 2 4 2 2 3" xfId="11519" xr:uid="{00000000-0005-0000-0000-0000592D0000}"/>
    <cellStyle name="Millares 2 80 2 4 2 2 3 2" xfId="25087" xr:uid="{00000000-0005-0000-0000-00005A2D0000}"/>
    <cellStyle name="Millares 2 80 2 4 2 2 3 2 2" xfId="52220" xr:uid="{00000000-0005-0000-0000-00005B2D0000}"/>
    <cellStyle name="Millares 2 80 2 4 2 2 3 3" xfId="38658" xr:uid="{00000000-0005-0000-0000-00005C2D0000}"/>
    <cellStyle name="Millares 2 80 2 4 2 2 4" xfId="18306" xr:uid="{00000000-0005-0000-0000-00005D2D0000}"/>
    <cellStyle name="Millares 2 80 2 4 2 2 4 2" xfId="45439" xr:uid="{00000000-0005-0000-0000-00005E2D0000}"/>
    <cellStyle name="Millares 2 80 2 4 2 2 5" xfId="31877" xr:uid="{00000000-0005-0000-0000-00005F2D0000}"/>
    <cellStyle name="Millares 2 80 2 4 2 3" xfId="4510" xr:uid="{00000000-0005-0000-0000-0000602D0000}"/>
    <cellStyle name="Millares 2 80 2 4 2 3 2" xfId="8119" xr:uid="{00000000-0005-0000-0000-0000612D0000}"/>
    <cellStyle name="Millares 2 80 2 4 2 3 2 2" xfId="14909" xr:uid="{00000000-0005-0000-0000-0000622D0000}"/>
    <cellStyle name="Millares 2 80 2 4 2 3 2 2 2" xfId="28477" xr:uid="{00000000-0005-0000-0000-0000632D0000}"/>
    <cellStyle name="Millares 2 80 2 4 2 3 2 2 2 2" xfId="55610" xr:uid="{00000000-0005-0000-0000-0000642D0000}"/>
    <cellStyle name="Millares 2 80 2 4 2 3 2 2 3" xfId="42048" xr:uid="{00000000-0005-0000-0000-0000652D0000}"/>
    <cellStyle name="Millares 2 80 2 4 2 3 2 3" xfId="21696" xr:uid="{00000000-0005-0000-0000-0000662D0000}"/>
    <cellStyle name="Millares 2 80 2 4 2 3 2 3 2" xfId="48829" xr:uid="{00000000-0005-0000-0000-0000672D0000}"/>
    <cellStyle name="Millares 2 80 2 4 2 3 2 4" xfId="35267" xr:uid="{00000000-0005-0000-0000-0000682D0000}"/>
    <cellStyle name="Millares 2 80 2 4 2 3 3" xfId="11520" xr:uid="{00000000-0005-0000-0000-0000692D0000}"/>
    <cellStyle name="Millares 2 80 2 4 2 3 3 2" xfId="25088" xr:uid="{00000000-0005-0000-0000-00006A2D0000}"/>
    <cellStyle name="Millares 2 80 2 4 2 3 3 2 2" xfId="52221" xr:uid="{00000000-0005-0000-0000-00006B2D0000}"/>
    <cellStyle name="Millares 2 80 2 4 2 3 3 3" xfId="38659" xr:uid="{00000000-0005-0000-0000-00006C2D0000}"/>
    <cellStyle name="Millares 2 80 2 4 2 3 4" xfId="18307" xr:uid="{00000000-0005-0000-0000-00006D2D0000}"/>
    <cellStyle name="Millares 2 80 2 4 2 3 4 2" xfId="45440" xr:uid="{00000000-0005-0000-0000-00006E2D0000}"/>
    <cellStyle name="Millares 2 80 2 4 2 3 5" xfId="31878" xr:uid="{00000000-0005-0000-0000-00006F2D0000}"/>
    <cellStyle name="Millares 2 80 2 4 2 4" xfId="8117" xr:uid="{00000000-0005-0000-0000-0000702D0000}"/>
    <cellStyle name="Millares 2 80 2 4 2 4 2" xfId="14907" xr:uid="{00000000-0005-0000-0000-0000712D0000}"/>
    <cellStyle name="Millares 2 80 2 4 2 4 2 2" xfId="28475" xr:uid="{00000000-0005-0000-0000-0000722D0000}"/>
    <cellStyle name="Millares 2 80 2 4 2 4 2 2 2" xfId="55608" xr:uid="{00000000-0005-0000-0000-0000732D0000}"/>
    <cellStyle name="Millares 2 80 2 4 2 4 2 3" xfId="42046" xr:uid="{00000000-0005-0000-0000-0000742D0000}"/>
    <cellStyle name="Millares 2 80 2 4 2 4 3" xfId="21694" xr:uid="{00000000-0005-0000-0000-0000752D0000}"/>
    <cellStyle name="Millares 2 80 2 4 2 4 3 2" xfId="48827" xr:uid="{00000000-0005-0000-0000-0000762D0000}"/>
    <cellStyle name="Millares 2 80 2 4 2 4 4" xfId="35265" xr:uid="{00000000-0005-0000-0000-0000772D0000}"/>
    <cellStyle name="Millares 2 80 2 4 2 5" xfId="11518" xr:uid="{00000000-0005-0000-0000-0000782D0000}"/>
    <cellStyle name="Millares 2 80 2 4 2 5 2" xfId="25086" xr:uid="{00000000-0005-0000-0000-0000792D0000}"/>
    <cellStyle name="Millares 2 80 2 4 2 5 2 2" xfId="52219" xr:uid="{00000000-0005-0000-0000-00007A2D0000}"/>
    <cellStyle name="Millares 2 80 2 4 2 5 3" xfId="38657" xr:uid="{00000000-0005-0000-0000-00007B2D0000}"/>
    <cellStyle name="Millares 2 80 2 4 2 6" xfId="18305" xr:uid="{00000000-0005-0000-0000-00007C2D0000}"/>
    <cellStyle name="Millares 2 80 2 4 2 6 2" xfId="45438" xr:uid="{00000000-0005-0000-0000-00007D2D0000}"/>
    <cellStyle name="Millares 2 80 2 4 2 7" xfId="31876" xr:uid="{00000000-0005-0000-0000-00007E2D0000}"/>
    <cellStyle name="Millares 2 80 2 4 3" xfId="4511" xr:uid="{00000000-0005-0000-0000-00007F2D0000}"/>
    <cellStyle name="Millares 2 80 2 4 3 2" xfId="4512" xr:uid="{00000000-0005-0000-0000-0000802D0000}"/>
    <cellStyle name="Millares 2 80 2 4 3 2 2" xfId="8121" xr:uid="{00000000-0005-0000-0000-0000812D0000}"/>
    <cellStyle name="Millares 2 80 2 4 3 2 2 2" xfId="14911" xr:uid="{00000000-0005-0000-0000-0000822D0000}"/>
    <cellStyle name="Millares 2 80 2 4 3 2 2 2 2" xfId="28479" xr:uid="{00000000-0005-0000-0000-0000832D0000}"/>
    <cellStyle name="Millares 2 80 2 4 3 2 2 2 2 2" xfId="55612" xr:uid="{00000000-0005-0000-0000-0000842D0000}"/>
    <cellStyle name="Millares 2 80 2 4 3 2 2 2 3" xfId="42050" xr:uid="{00000000-0005-0000-0000-0000852D0000}"/>
    <cellStyle name="Millares 2 80 2 4 3 2 2 3" xfId="21698" xr:uid="{00000000-0005-0000-0000-0000862D0000}"/>
    <cellStyle name="Millares 2 80 2 4 3 2 2 3 2" xfId="48831" xr:uid="{00000000-0005-0000-0000-0000872D0000}"/>
    <cellStyle name="Millares 2 80 2 4 3 2 2 4" xfId="35269" xr:uid="{00000000-0005-0000-0000-0000882D0000}"/>
    <cellStyle name="Millares 2 80 2 4 3 2 3" xfId="11522" xr:uid="{00000000-0005-0000-0000-0000892D0000}"/>
    <cellStyle name="Millares 2 80 2 4 3 2 3 2" xfId="25090" xr:uid="{00000000-0005-0000-0000-00008A2D0000}"/>
    <cellStyle name="Millares 2 80 2 4 3 2 3 2 2" xfId="52223" xr:uid="{00000000-0005-0000-0000-00008B2D0000}"/>
    <cellStyle name="Millares 2 80 2 4 3 2 3 3" xfId="38661" xr:uid="{00000000-0005-0000-0000-00008C2D0000}"/>
    <cellStyle name="Millares 2 80 2 4 3 2 4" xfId="18309" xr:uid="{00000000-0005-0000-0000-00008D2D0000}"/>
    <cellStyle name="Millares 2 80 2 4 3 2 4 2" xfId="45442" xr:uid="{00000000-0005-0000-0000-00008E2D0000}"/>
    <cellStyle name="Millares 2 80 2 4 3 2 5" xfId="31880" xr:uid="{00000000-0005-0000-0000-00008F2D0000}"/>
    <cellStyle name="Millares 2 80 2 4 3 3" xfId="8120" xr:uid="{00000000-0005-0000-0000-0000902D0000}"/>
    <cellStyle name="Millares 2 80 2 4 3 3 2" xfId="14910" xr:uid="{00000000-0005-0000-0000-0000912D0000}"/>
    <cellStyle name="Millares 2 80 2 4 3 3 2 2" xfId="28478" xr:uid="{00000000-0005-0000-0000-0000922D0000}"/>
    <cellStyle name="Millares 2 80 2 4 3 3 2 2 2" xfId="55611" xr:uid="{00000000-0005-0000-0000-0000932D0000}"/>
    <cellStyle name="Millares 2 80 2 4 3 3 2 3" xfId="42049" xr:uid="{00000000-0005-0000-0000-0000942D0000}"/>
    <cellStyle name="Millares 2 80 2 4 3 3 3" xfId="21697" xr:uid="{00000000-0005-0000-0000-0000952D0000}"/>
    <cellStyle name="Millares 2 80 2 4 3 3 3 2" xfId="48830" xr:uid="{00000000-0005-0000-0000-0000962D0000}"/>
    <cellStyle name="Millares 2 80 2 4 3 3 4" xfId="35268" xr:uid="{00000000-0005-0000-0000-0000972D0000}"/>
    <cellStyle name="Millares 2 80 2 4 3 4" xfId="11521" xr:uid="{00000000-0005-0000-0000-0000982D0000}"/>
    <cellStyle name="Millares 2 80 2 4 3 4 2" xfId="25089" xr:uid="{00000000-0005-0000-0000-0000992D0000}"/>
    <cellStyle name="Millares 2 80 2 4 3 4 2 2" xfId="52222" xr:uid="{00000000-0005-0000-0000-00009A2D0000}"/>
    <cellStyle name="Millares 2 80 2 4 3 4 3" xfId="38660" xr:uid="{00000000-0005-0000-0000-00009B2D0000}"/>
    <cellStyle name="Millares 2 80 2 4 3 5" xfId="18308" xr:uid="{00000000-0005-0000-0000-00009C2D0000}"/>
    <cellStyle name="Millares 2 80 2 4 3 5 2" xfId="45441" xr:uid="{00000000-0005-0000-0000-00009D2D0000}"/>
    <cellStyle name="Millares 2 80 2 4 3 6" xfId="31879" xr:uid="{00000000-0005-0000-0000-00009E2D0000}"/>
    <cellStyle name="Millares 2 80 2 4 4" xfId="4513" xr:uid="{00000000-0005-0000-0000-00009F2D0000}"/>
    <cellStyle name="Millares 2 80 2 4 4 2" xfId="8122" xr:uid="{00000000-0005-0000-0000-0000A02D0000}"/>
    <cellStyle name="Millares 2 80 2 4 4 2 2" xfId="14912" xr:uid="{00000000-0005-0000-0000-0000A12D0000}"/>
    <cellStyle name="Millares 2 80 2 4 4 2 2 2" xfId="28480" xr:uid="{00000000-0005-0000-0000-0000A22D0000}"/>
    <cellStyle name="Millares 2 80 2 4 4 2 2 2 2" xfId="55613" xr:uid="{00000000-0005-0000-0000-0000A32D0000}"/>
    <cellStyle name="Millares 2 80 2 4 4 2 2 3" xfId="42051" xr:uid="{00000000-0005-0000-0000-0000A42D0000}"/>
    <cellStyle name="Millares 2 80 2 4 4 2 3" xfId="21699" xr:uid="{00000000-0005-0000-0000-0000A52D0000}"/>
    <cellStyle name="Millares 2 80 2 4 4 2 3 2" xfId="48832" xr:uid="{00000000-0005-0000-0000-0000A62D0000}"/>
    <cellStyle name="Millares 2 80 2 4 4 2 4" xfId="35270" xr:uid="{00000000-0005-0000-0000-0000A72D0000}"/>
    <cellStyle name="Millares 2 80 2 4 4 3" xfId="11523" xr:uid="{00000000-0005-0000-0000-0000A82D0000}"/>
    <cellStyle name="Millares 2 80 2 4 4 3 2" xfId="25091" xr:uid="{00000000-0005-0000-0000-0000A92D0000}"/>
    <cellStyle name="Millares 2 80 2 4 4 3 2 2" xfId="52224" xr:uid="{00000000-0005-0000-0000-0000AA2D0000}"/>
    <cellStyle name="Millares 2 80 2 4 4 3 3" xfId="38662" xr:uid="{00000000-0005-0000-0000-0000AB2D0000}"/>
    <cellStyle name="Millares 2 80 2 4 4 4" xfId="18310" xr:uid="{00000000-0005-0000-0000-0000AC2D0000}"/>
    <cellStyle name="Millares 2 80 2 4 4 4 2" xfId="45443" xr:uid="{00000000-0005-0000-0000-0000AD2D0000}"/>
    <cellStyle name="Millares 2 80 2 4 4 5" xfId="31881" xr:uid="{00000000-0005-0000-0000-0000AE2D0000}"/>
    <cellStyle name="Millares 2 80 2 4 5" xfId="4514" xr:uid="{00000000-0005-0000-0000-0000AF2D0000}"/>
    <cellStyle name="Millares 2 80 2 4 5 2" xfId="8123" xr:uid="{00000000-0005-0000-0000-0000B02D0000}"/>
    <cellStyle name="Millares 2 80 2 4 5 2 2" xfId="14913" xr:uid="{00000000-0005-0000-0000-0000B12D0000}"/>
    <cellStyle name="Millares 2 80 2 4 5 2 2 2" xfId="28481" xr:uid="{00000000-0005-0000-0000-0000B22D0000}"/>
    <cellStyle name="Millares 2 80 2 4 5 2 2 2 2" xfId="55614" xr:uid="{00000000-0005-0000-0000-0000B32D0000}"/>
    <cellStyle name="Millares 2 80 2 4 5 2 2 3" xfId="42052" xr:uid="{00000000-0005-0000-0000-0000B42D0000}"/>
    <cellStyle name="Millares 2 80 2 4 5 2 3" xfId="21700" xr:uid="{00000000-0005-0000-0000-0000B52D0000}"/>
    <cellStyle name="Millares 2 80 2 4 5 2 3 2" xfId="48833" xr:uid="{00000000-0005-0000-0000-0000B62D0000}"/>
    <cellStyle name="Millares 2 80 2 4 5 2 4" xfId="35271" xr:uid="{00000000-0005-0000-0000-0000B72D0000}"/>
    <cellStyle name="Millares 2 80 2 4 5 3" xfId="11524" xr:uid="{00000000-0005-0000-0000-0000B82D0000}"/>
    <cellStyle name="Millares 2 80 2 4 5 3 2" xfId="25092" xr:uid="{00000000-0005-0000-0000-0000B92D0000}"/>
    <cellStyle name="Millares 2 80 2 4 5 3 2 2" xfId="52225" xr:uid="{00000000-0005-0000-0000-0000BA2D0000}"/>
    <cellStyle name="Millares 2 80 2 4 5 3 3" xfId="38663" xr:uid="{00000000-0005-0000-0000-0000BB2D0000}"/>
    <cellStyle name="Millares 2 80 2 4 5 4" xfId="18311" xr:uid="{00000000-0005-0000-0000-0000BC2D0000}"/>
    <cellStyle name="Millares 2 80 2 4 5 4 2" xfId="45444" xr:uid="{00000000-0005-0000-0000-0000BD2D0000}"/>
    <cellStyle name="Millares 2 80 2 4 5 5" xfId="31882" xr:uid="{00000000-0005-0000-0000-0000BE2D0000}"/>
    <cellStyle name="Millares 2 80 2 4 6" xfId="8116" xr:uid="{00000000-0005-0000-0000-0000BF2D0000}"/>
    <cellStyle name="Millares 2 80 2 4 6 2" xfId="14906" xr:uid="{00000000-0005-0000-0000-0000C02D0000}"/>
    <cellStyle name="Millares 2 80 2 4 6 2 2" xfId="28474" xr:uid="{00000000-0005-0000-0000-0000C12D0000}"/>
    <cellStyle name="Millares 2 80 2 4 6 2 2 2" xfId="55607" xr:uid="{00000000-0005-0000-0000-0000C22D0000}"/>
    <cellStyle name="Millares 2 80 2 4 6 2 3" xfId="42045" xr:uid="{00000000-0005-0000-0000-0000C32D0000}"/>
    <cellStyle name="Millares 2 80 2 4 6 3" xfId="21693" xr:uid="{00000000-0005-0000-0000-0000C42D0000}"/>
    <cellStyle name="Millares 2 80 2 4 6 3 2" xfId="48826" xr:uid="{00000000-0005-0000-0000-0000C52D0000}"/>
    <cellStyle name="Millares 2 80 2 4 6 4" xfId="35264" xr:uid="{00000000-0005-0000-0000-0000C62D0000}"/>
    <cellStyle name="Millares 2 80 2 4 7" xfId="11517" xr:uid="{00000000-0005-0000-0000-0000C72D0000}"/>
    <cellStyle name="Millares 2 80 2 4 7 2" xfId="25085" xr:uid="{00000000-0005-0000-0000-0000C82D0000}"/>
    <cellStyle name="Millares 2 80 2 4 7 2 2" xfId="52218" xr:uid="{00000000-0005-0000-0000-0000C92D0000}"/>
    <cellStyle name="Millares 2 80 2 4 7 3" xfId="38656" xr:uid="{00000000-0005-0000-0000-0000CA2D0000}"/>
    <cellStyle name="Millares 2 80 2 4 8" xfId="18304" xr:uid="{00000000-0005-0000-0000-0000CB2D0000}"/>
    <cellStyle name="Millares 2 80 2 4 8 2" xfId="45437" xr:uid="{00000000-0005-0000-0000-0000CC2D0000}"/>
    <cellStyle name="Millares 2 80 2 4 9" xfId="31875" xr:uid="{00000000-0005-0000-0000-0000CD2D0000}"/>
    <cellStyle name="Millares 2 80 2 5" xfId="4515" xr:uid="{00000000-0005-0000-0000-0000CE2D0000}"/>
    <cellStyle name="Millares 2 80 2 5 2" xfId="4516" xr:uid="{00000000-0005-0000-0000-0000CF2D0000}"/>
    <cellStyle name="Millares 2 80 2 5 2 2" xfId="4517" xr:uid="{00000000-0005-0000-0000-0000D02D0000}"/>
    <cellStyle name="Millares 2 80 2 5 2 2 2" xfId="8126" xr:uid="{00000000-0005-0000-0000-0000D12D0000}"/>
    <cellStyle name="Millares 2 80 2 5 2 2 2 2" xfId="14916" xr:uid="{00000000-0005-0000-0000-0000D22D0000}"/>
    <cellStyle name="Millares 2 80 2 5 2 2 2 2 2" xfId="28484" xr:uid="{00000000-0005-0000-0000-0000D32D0000}"/>
    <cellStyle name="Millares 2 80 2 5 2 2 2 2 2 2" xfId="55617" xr:uid="{00000000-0005-0000-0000-0000D42D0000}"/>
    <cellStyle name="Millares 2 80 2 5 2 2 2 2 3" xfId="42055" xr:uid="{00000000-0005-0000-0000-0000D52D0000}"/>
    <cellStyle name="Millares 2 80 2 5 2 2 2 3" xfId="21703" xr:uid="{00000000-0005-0000-0000-0000D62D0000}"/>
    <cellStyle name="Millares 2 80 2 5 2 2 2 3 2" xfId="48836" xr:uid="{00000000-0005-0000-0000-0000D72D0000}"/>
    <cellStyle name="Millares 2 80 2 5 2 2 2 4" xfId="35274" xr:uid="{00000000-0005-0000-0000-0000D82D0000}"/>
    <cellStyle name="Millares 2 80 2 5 2 2 3" xfId="11527" xr:uid="{00000000-0005-0000-0000-0000D92D0000}"/>
    <cellStyle name="Millares 2 80 2 5 2 2 3 2" xfId="25095" xr:uid="{00000000-0005-0000-0000-0000DA2D0000}"/>
    <cellStyle name="Millares 2 80 2 5 2 2 3 2 2" xfId="52228" xr:uid="{00000000-0005-0000-0000-0000DB2D0000}"/>
    <cellStyle name="Millares 2 80 2 5 2 2 3 3" xfId="38666" xr:uid="{00000000-0005-0000-0000-0000DC2D0000}"/>
    <cellStyle name="Millares 2 80 2 5 2 2 4" xfId="18314" xr:uid="{00000000-0005-0000-0000-0000DD2D0000}"/>
    <cellStyle name="Millares 2 80 2 5 2 2 4 2" xfId="45447" xr:uid="{00000000-0005-0000-0000-0000DE2D0000}"/>
    <cellStyle name="Millares 2 80 2 5 2 2 5" xfId="31885" xr:uid="{00000000-0005-0000-0000-0000DF2D0000}"/>
    <cellStyle name="Millares 2 80 2 5 2 3" xfId="4518" xr:uid="{00000000-0005-0000-0000-0000E02D0000}"/>
    <cellStyle name="Millares 2 80 2 5 2 3 2" xfId="8127" xr:uid="{00000000-0005-0000-0000-0000E12D0000}"/>
    <cellStyle name="Millares 2 80 2 5 2 3 2 2" xfId="14917" xr:uid="{00000000-0005-0000-0000-0000E22D0000}"/>
    <cellStyle name="Millares 2 80 2 5 2 3 2 2 2" xfId="28485" xr:uid="{00000000-0005-0000-0000-0000E32D0000}"/>
    <cellStyle name="Millares 2 80 2 5 2 3 2 2 2 2" xfId="55618" xr:uid="{00000000-0005-0000-0000-0000E42D0000}"/>
    <cellStyle name="Millares 2 80 2 5 2 3 2 2 3" xfId="42056" xr:uid="{00000000-0005-0000-0000-0000E52D0000}"/>
    <cellStyle name="Millares 2 80 2 5 2 3 2 3" xfId="21704" xr:uid="{00000000-0005-0000-0000-0000E62D0000}"/>
    <cellStyle name="Millares 2 80 2 5 2 3 2 3 2" xfId="48837" xr:uid="{00000000-0005-0000-0000-0000E72D0000}"/>
    <cellStyle name="Millares 2 80 2 5 2 3 2 4" xfId="35275" xr:uid="{00000000-0005-0000-0000-0000E82D0000}"/>
    <cellStyle name="Millares 2 80 2 5 2 3 3" xfId="11528" xr:uid="{00000000-0005-0000-0000-0000E92D0000}"/>
    <cellStyle name="Millares 2 80 2 5 2 3 3 2" xfId="25096" xr:uid="{00000000-0005-0000-0000-0000EA2D0000}"/>
    <cellStyle name="Millares 2 80 2 5 2 3 3 2 2" xfId="52229" xr:uid="{00000000-0005-0000-0000-0000EB2D0000}"/>
    <cellStyle name="Millares 2 80 2 5 2 3 3 3" xfId="38667" xr:uid="{00000000-0005-0000-0000-0000EC2D0000}"/>
    <cellStyle name="Millares 2 80 2 5 2 3 4" xfId="18315" xr:uid="{00000000-0005-0000-0000-0000ED2D0000}"/>
    <cellStyle name="Millares 2 80 2 5 2 3 4 2" xfId="45448" xr:uid="{00000000-0005-0000-0000-0000EE2D0000}"/>
    <cellStyle name="Millares 2 80 2 5 2 3 5" xfId="31886" xr:uid="{00000000-0005-0000-0000-0000EF2D0000}"/>
    <cellStyle name="Millares 2 80 2 5 2 4" xfId="8125" xr:uid="{00000000-0005-0000-0000-0000F02D0000}"/>
    <cellStyle name="Millares 2 80 2 5 2 4 2" xfId="14915" xr:uid="{00000000-0005-0000-0000-0000F12D0000}"/>
    <cellStyle name="Millares 2 80 2 5 2 4 2 2" xfId="28483" xr:uid="{00000000-0005-0000-0000-0000F22D0000}"/>
    <cellStyle name="Millares 2 80 2 5 2 4 2 2 2" xfId="55616" xr:uid="{00000000-0005-0000-0000-0000F32D0000}"/>
    <cellStyle name="Millares 2 80 2 5 2 4 2 3" xfId="42054" xr:uid="{00000000-0005-0000-0000-0000F42D0000}"/>
    <cellStyle name="Millares 2 80 2 5 2 4 3" xfId="21702" xr:uid="{00000000-0005-0000-0000-0000F52D0000}"/>
    <cellStyle name="Millares 2 80 2 5 2 4 3 2" xfId="48835" xr:uid="{00000000-0005-0000-0000-0000F62D0000}"/>
    <cellStyle name="Millares 2 80 2 5 2 4 4" xfId="35273" xr:uid="{00000000-0005-0000-0000-0000F72D0000}"/>
    <cellStyle name="Millares 2 80 2 5 2 5" xfId="11526" xr:uid="{00000000-0005-0000-0000-0000F82D0000}"/>
    <cellStyle name="Millares 2 80 2 5 2 5 2" xfId="25094" xr:uid="{00000000-0005-0000-0000-0000F92D0000}"/>
    <cellStyle name="Millares 2 80 2 5 2 5 2 2" xfId="52227" xr:uid="{00000000-0005-0000-0000-0000FA2D0000}"/>
    <cellStyle name="Millares 2 80 2 5 2 5 3" xfId="38665" xr:uid="{00000000-0005-0000-0000-0000FB2D0000}"/>
    <cellStyle name="Millares 2 80 2 5 2 6" xfId="18313" xr:uid="{00000000-0005-0000-0000-0000FC2D0000}"/>
    <cellStyle name="Millares 2 80 2 5 2 6 2" xfId="45446" xr:uid="{00000000-0005-0000-0000-0000FD2D0000}"/>
    <cellStyle name="Millares 2 80 2 5 2 7" xfId="31884" xr:uid="{00000000-0005-0000-0000-0000FE2D0000}"/>
    <cellStyle name="Millares 2 80 2 5 3" xfId="4519" xr:uid="{00000000-0005-0000-0000-0000FF2D0000}"/>
    <cellStyle name="Millares 2 80 2 5 3 2" xfId="8128" xr:uid="{00000000-0005-0000-0000-0000002E0000}"/>
    <cellStyle name="Millares 2 80 2 5 3 2 2" xfId="14918" xr:uid="{00000000-0005-0000-0000-0000012E0000}"/>
    <cellStyle name="Millares 2 80 2 5 3 2 2 2" xfId="28486" xr:uid="{00000000-0005-0000-0000-0000022E0000}"/>
    <cellStyle name="Millares 2 80 2 5 3 2 2 2 2" xfId="55619" xr:uid="{00000000-0005-0000-0000-0000032E0000}"/>
    <cellStyle name="Millares 2 80 2 5 3 2 2 3" xfId="42057" xr:uid="{00000000-0005-0000-0000-0000042E0000}"/>
    <cellStyle name="Millares 2 80 2 5 3 2 3" xfId="21705" xr:uid="{00000000-0005-0000-0000-0000052E0000}"/>
    <cellStyle name="Millares 2 80 2 5 3 2 3 2" xfId="48838" xr:uid="{00000000-0005-0000-0000-0000062E0000}"/>
    <cellStyle name="Millares 2 80 2 5 3 2 4" xfId="35276" xr:uid="{00000000-0005-0000-0000-0000072E0000}"/>
    <cellStyle name="Millares 2 80 2 5 3 3" xfId="11529" xr:uid="{00000000-0005-0000-0000-0000082E0000}"/>
    <cellStyle name="Millares 2 80 2 5 3 3 2" xfId="25097" xr:uid="{00000000-0005-0000-0000-0000092E0000}"/>
    <cellStyle name="Millares 2 80 2 5 3 3 2 2" xfId="52230" xr:uid="{00000000-0005-0000-0000-00000A2E0000}"/>
    <cellStyle name="Millares 2 80 2 5 3 3 3" xfId="38668" xr:uid="{00000000-0005-0000-0000-00000B2E0000}"/>
    <cellStyle name="Millares 2 80 2 5 3 4" xfId="18316" xr:uid="{00000000-0005-0000-0000-00000C2E0000}"/>
    <cellStyle name="Millares 2 80 2 5 3 4 2" xfId="45449" xr:uid="{00000000-0005-0000-0000-00000D2E0000}"/>
    <cellStyle name="Millares 2 80 2 5 3 5" xfId="31887" xr:uid="{00000000-0005-0000-0000-00000E2E0000}"/>
    <cellStyle name="Millares 2 80 2 5 4" xfId="4520" xr:uid="{00000000-0005-0000-0000-00000F2E0000}"/>
    <cellStyle name="Millares 2 80 2 5 4 2" xfId="8129" xr:uid="{00000000-0005-0000-0000-0000102E0000}"/>
    <cellStyle name="Millares 2 80 2 5 4 2 2" xfId="14919" xr:uid="{00000000-0005-0000-0000-0000112E0000}"/>
    <cellStyle name="Millares 2 80 2 5 4 2 2 2" xfId="28487" xr:uid="{00000000-0005-0000-0000-0000122E0000}"/>
    <cellStyle name="Millares 2 80 2 5 4 2 2 2 2" xfId="55620" xr:uid="{00000000-0005-0000-0000-0000132E0000}"/>
    <cellStyle name="Millares 2 80 2 5 4 2 2 3" xfId="42058" xr:uid="{00000000-0005-0000-0000-0000142E0000}"/>
    <cellStyle name="Millares 2 80 2 5 4 2 3" xfId="21706" xr:uid="{00000000-0005-0000-0000-0000152E0000}"/>
    <cellStyle name="Millares 2 80 2 5 4 2 3 2" xfId="48839" xr:uid="{00000000-0005-0000-0000-0000162E0000}"/>
    <cellStyle name="Millares 2 80 2 5 4 2 4" xfId="35277" xr:uid="{00000000-0005-0000-0000-0000172E0000}"/>
    <cellStyle name="Millares 2 80 2 5 4 3" xfId="11530" xr:uid="{00000000-0005-0000-0000-0000182E0000}"/>
    <cellStyle name="Millares 2 80 2 5 4 3 2" xfId="25098" xr:uid="{00000000-0005-0000-0000-0000192E0000}"/>
    <cellStyle name="Millares 2 80 2 5 4 3 2 2" xfId="52231" xr:uid="{00000000-0005-0000-0000-00001A2E0000}"/>
    <cellStyle name="Millares 2 80 2 5 4 3 3" xfId="38669" xr:uid="{00000000-0005-0000-0000-00001B2E0000}"/>
    <cellStyle name="Millares 2 80 2 5 4 4" xfId="18317" xr:uid="{00000000-0005-0000-0000-00001C2E0000}"/>
    <cellStyle name="Millares 2 80 2 5 4 4 2" xfId="45450" xr:uid="{00000000-0005-0000-0000-00001D2E0000}"/>
    <cellStyle name="Millares 2 80 2 5 4 5" xfId="31888" xr:uid="{00000000-0005-0000-0000-00001E2E0000}"/>
    <cellStyle name="Millares 2 80 2 5 5" xfId="8124" xr:uid="{00000000-0005-0000-0000-00001F2E0000}"/>
    <cellStyle name="Millares 2 80 2 5 5 2" xfId="14914" xr:uid="{00000000-0005-0000-0000-0000202E0000}"/>
    <cellStyle name="Millares 2 80 2 5 5 2 2" xfId="28482" xr:uid="{00000000-0005-0000-0000-0000212E0000}"/>
    <cellStyle name="Millares 2 80 2 5 5 2 2 2" xfId="55615" xr:uid="{00000000-0005-0000-0000-0000222E0000}"/>
    <cellStyle name="Millares 2 80 2 5 5 2 3" xfId="42053" xr:uid="{00000000-0005-0000-0000-0000232E0000}"/>
    <cellStyle name="Millares 2 80 2 5 5 3" xfId="21701" xr:uid="{00000000-0005-0000-0000-0000242E0000}"/>
    <cellStyle name="Millares 2 80 2 5 5 3 2" xfId="48834" xr:uid="{00000000-0005-0000-0000-0000252E0000}"/>
    <cellStyle name="Millares 2 80 2 5 5 4" xfId="35272" xr:uid="{00000000-0005-0000-0000-0000262E0000}"/>
    <cellStyle name="Millares 2 80 2 5 6" xfId="11525" xr:uid="{00000000-0005-0000-0000-0000272E0000}"/>
    <cellStyle name="Millares 2 80 2 5 6 2" xfId="25093" xr:uid="{00000000-0005-0000-0000-0000282E0000}"/>
    <cellStyle name="Millares 2 80 2 5 6 2 2" xfId="52226" xr:uid="{00000000-0005-0000-0000-0000292E0000}"/>
    <cellStyle name="Millares 2 80 2 5 6 3" xfId="38664" xr:uid="{00000000-0005-0000-0000-00002A2E0000}"/>
    <cellStyle name="Millares 2 80 2 5 7" xfId="18312" xr:uid="{00000000-0005-0000-0000-00002B2E0000}"/>
    <cellStyle name="Millares 2 80 2 5 7 2" xfId="45445" xr:uid="{00000000-0005-0000-0000-00002C2E0000}"/>
    <cellStyle name="Millares 2 80 2 5 8" xfId="31883" xr:uid="{00000000-0005-0000-0000-00002D2E0000}"/>
    <cellStyle name="Millares 2 80 2 6" xfId="4521" xr:uid="{00000000-0005-0000-0000-00002E2E0000}"/>
    <cellStyle name="Millares 2 80 2 6 2" xfId="4522" xr:uid="{00000000-0005-0000-0000-00002F2E0000}"/>
    <cellStyle name="Millares 2 80 2 6 2 2" xfId="4523" xr:uid="{00000000-0005-0000-0000-0000302E0000}"/>
    <cellStyle name="Millares 2 80 2 6 2 2 2" xfId="8132" xr:uid="{00000000-0005-0000-0000-0000312E0000}"/>
    <cellStyle name="Millares 2 80 2 6 2 2 2 2" xfId="14922" xr:uid="{00000000-0005-0000-0000-0000322E0000}"/>
    <cellStyle name="Millares 2 80 2 6 2 2 2 2 2" xfId="28490" xr:uid="{00000000-0005-0000-0000-0000332E0000}"/>
    <cellStyle name="Millares 2 80 2 6 2 2 2 2 2 2" xfId="55623" xr:uid="{00000000-0005-0000-0000-0000342E0000}"/>
    <cellStyle name="Millares 2 80 2 6 2 2 2 2 3" xfId="42061" xr:uid="{00000000-0005-0000-0000-0000352E0000}"/>
    <cellStyle name="Millares 2 80 2 6 2 2 2 3" xfId="21709" xr:uid="{00000000-0005-0000-0000-0000362E0000}"/>
    <cellStyle name="Millares 2 80 2 6 2 2 2 3 2" xfId="48842" xr:uid="{00000000-0005-0000-0000-0000372E0000}"/>
    <cellStyle name="Millares 2 80 2 6 2 2 2 4" xfId="35280" xr:uid="{00000000-0005-0000-0000-0000382E0000}"/>
    <cellStyle name="Millares 2 80 2 6 2 2 3" xfId="11533" xr:uid="{00000000-0005-0000-0000-0000392E0000}"/>
    <cellStyle name="Millares 2 80 2 6 2 2 3 2" xfId="25101" xr:uid="{00000000-0005-0000-0000-00003A2E0000}"/>
    <cellStyle name="Millares 2 80 2 6 2 2 3 2 2" xfId="52234" xr:uid="{00000000-0005-0000-0000-00003B2E0000}"/>
    <cellStyle name="Millares 2 80 2 6 2 2 3 3" xfId="38672" xr:uid="{00000000-0005-0000-0000-00003C2E0000}"/>
    <cellStyle name="Millares 2 80 2 6 2 2 4" xfId="18320" xr:uid="{00000000-0005-0000-0000-00003D2E0000}"/>
    <cellStyle name="Millares 2 80 2 6 2 2 4 2" xfId="45453" xr:uid="{00000000-0005-0000-0000-00003E2E0000}"/>
    <cellStyle name="Millares 2 80 2 6 2 2 5" xfId="31891" xr:uid="{00000000-0005-0000-0000-00003F2E0000}"/>
    <cellStyle name="Millares 2 80 2 6 2 3" xfId="4524" xr:uid="{00000000-0005-0000-0000-0000402E0000}"/>
    <cellStyle name="Millares 2 80 2 6 2 3 2" xfId="8133" xr:uid="{00000000-0005-0000-0000-0000412E0000}"/>
    <cellStyle name="Millares 2 80 2 6 2 3 2 2" xfId="14923" xr:uid="{00000000-0005-0000-0000-0000422E0000}"/>
    <cellStyle name="Millares 2 80 2 6 2 3 2 2 2" xfId="28491" xr:uid="{00000000-0005-0000-0000-0000432E0000}"/>
    <cellStyle name="Millares 2 80 2 6 2 3 2 2 2 2" xfId="55624" xr:uid="{00000000-0005-0000-0000-0000442E0000}"/>
    <cellStyle name="Millares 2 80 2 6 2 3 2 2 3" xfId="42062" xr:uid="{00000000-0005-0000-0000-0000452E0000}"/>
    <cellStyle name="Millares 2 80 2 6 2 3 2 3" xfId="21710" xr:uid="{00000000-0005-0000-0000-0000462E0000}"/>
    <cellStyle name="Millares 2 80 2 6 2 3 2 3 2" xfId="48843" xr:uid="{00000000-0005-0000-0000-0000472E0000}"/>
    <cellStyle name="Millares 2 80 2 6 2 3 2 4" xfId="35281" xr:uid="{00000000-0005-0000-0000-0000482E0000}"/>
    <cellStyle name="Millares 2 80 2 6 2 3 3" xfId="11534" xr:uid="{00000000-0005-0000-0000-0000492E0000}"/>
    <cellStyle name="Millares 2 80 2 6 2 3 3 2" xfId="25102" xr:uid="{00000000-0005-0000-0000-00004A2E0000}"/>
    <cellStyle name="Millares 2 80 2 6 2 3 3 2 2" xfId="52235" xr:uid="{00000000-0005-0000-0000-00004B2E0000}"/>
    <cellStyle name="Millares 2 80 2 6 2 3 3 3" xfId="38673" xr:uid="{00000000-0005-0000-0000-00004C2E0000}"/>
    <cellStyle name="Millares 2 80 2 6 2 3 4" xfId="18321" xr:uid="{00000000-0005-0000-0000-00004D2E0000}"/>
    <cellStyle name="Millares 2 80 2 6 2 3 4 2" xfId="45454" xr:uid="{00000000-0005-0000-0000-00004E2E0000}"/>
    <cellStyle name="Millares 2 80 2 6 2 3 5" xfId="31892" xr:uid="{00000000-0005-0000-0000-00004F2E0000}"/>
    <cellStyle name="Millares 2 80 2 6 2 4" xfId="8131" xr:uid="{00000000-0005-0000-0000-0000502E0000}"/>
    <cellStyle name="Millares 2 80 2 6 2 4 2" xfId="14921" xr:uid="{00000000-0005-0000-0000-0000512E0000}"/>
    <cellStyle name="Millares 2 80 2 6 2 4 2 2" xfId="28489" xr:uid="{00000000-0005-0000-0000-0000522E0000}"/>
    <cellStyle name="Millares 2 80 2 6 2 4 2 2 2" xfId="55622" xr:uid="{00000000-0005-0000-0000-0000532E0000}"/>
    <cellStyle name="Millares 2 80 2 6 2 4 2 3" xfId="42060" xr:uid="{00000000-0005-0000-0000-0000542E0000}"/>
    <cellStyle name="Millares 2 80 2 6 2 4 3" xfId="21708" xr:uid="{00000000-0005-0000-0000-0000552E0000}"/>
    <cellStyle name="Millares 2 80 2 6 2 4 3 2" xfId="48841" xr:uid="{00000000-0005-0000-0000-0000562E0000}"/>
    <cellStyle name="Millares 2 80 2 6 2 4 4" xfId="35279" xr:uid="{00000000-0005-0000-0000-0000572E0000}"/>
    <cellStyle name="Millares 2 80 2 6 2 5" xfId="11532" xr:uid="{00000000-0005-0000-0000-0000582E0000}"/>
    <cellStyle name="Millares 2 80 2 6 2 5 2" xfId="25100" xr:uid="{00000000-0005-0000-0000-0000592E0000}"/>
    <cellStyle name="Millares 2 80 2 6 2 5 2 2" xfId="52233" xr:uid="{00000000-0005-0000-0000-00005A2E0000}"/>
    <cellStyle name="Millares 2 80 2 6 2 5 3" xfId="38671" xr:uid="{00000000-0005-0000-0000-00005B2E0000}"/>
    <cellStyle name="Millares 2 80 2 6 2 6" xfId="18319" xr:uid="{00000000-0005-0000-0000-00005C2E0000}"/>
    <cellStyle name="Millares 2 80 2 6 2 6 2" xfId="45452" xr:uid="{00000000-0005-0000-0000-00005D2E0000}"/>
    <cellStyle name="Millares 2 80 2 6 2 7" xfId="31890" xr:uid="{00000000-0005-0000-0000-00005E2E0000}"/>
    <cellStyle name="Millares 2 80 2 6 3" xfId="4525" xr:uid="{00000000-0005-0000-0000-00005F2E0000}"/>
    <cellStyle name="Millares 2 80 2 6 3 2" xfId="8134" xr:uid="{00000000-0005-0000-0000-0000602E0000}"/>
    <cellStyle name="Millares 2 80 2 6 3 2 2" xfId="14924" xr:uid="{00000000-0005-0000-0000-0000612E0000}"/>
    <cellStyle name="Millares 2 80 2 6 3 2 2 2" xfId="28492" xr:uid="{00000000-0005-0000-0000-0000622E0000}"/>
    <cellStyle name="Millares 2 80 2 6 3 2 2 2 2" xfId="55625" xr:uid="{00000000-0005-0000-0000-0000632E0000}"/>
    <cellStyle name="Millares 2 80 2 6 3 2 2 3" xfId="42063" xr:uid="{00000000-0005-0000-0000-0000642E0000}"/>
    <cellStyle name="Millares 2 80 2 6 3 2 3" xfId="21711" xr:uid="{00000000-0005-0000-0000-0000652E0000}"/>
    <cellStyle name="Millares 2 80 2 6 3 2 3 2" xfId="48844" xr:uid="{00000000-0005-0000-0000-0000662E0000}"/>
    <cellStyle name="Millares 2 80 2 6 3 2 4" xfId="35282" xr:uid="{00000000-0005-0000-0000-0000672E0000}"/>
    <cellStyle name="Millares 2 80 2 6 3 3" xfId="11535" xr:uid="{00000000-0005-0000-0000-0000682E0000}"/>
    <cellStyle name="Millares 2 80 2 6 3 3 2" xfId="25103" xr:uid="{00000000-0005-0000-0000-0000692E0000}"/>
    <cellStyle name="Millares 2 80 2 6 3 3 2 2" xfId="52236" xr:uid="{00000000-0005-0000-0000-00006A2E0000}"/>
    <cellStyle name="Millares 2 80 2 6 3 3 3" xfId="38674" xr:uid="{00000000-0005-0000-0000-00006B2E0000}"/>
    <cellStyle name="Millares 2 80 2 6 3 4" xfId="18322" xr:uid="{00000000-0005-0000-0000-00006C2E0000}"/>
    <cellStyle name="Millares 2 80 2 6 3 4 2" xfId="45455" xr:uid="{00000000-0005-0000-0000-00006D2E0000}"/>
    <cellStyle name="Millares 2 80 2 6 3 5" xfId="31893" xr:uid="{00000000-0005-0000-0000-00006E2E0000}"/>
    <cellStyle name="Millares 2 80 2 6 4" xfId="4526" xr:uid="{00000000-0005-0000-0000-00006F2E0000}"/>
    <cellStyle name="Millares 2 80 2 6 4 2" xfId="8135" xr:uid="{00000000-0005-0000-0000-0000702E0000}"/>
    <cellStyle name="Millares 2 80 2 6 4 2 2" xfId="14925" xr:uid="{00000000-0005-0000-0000-0000712E0000}"/>
    <cellStyle name="Millares 2 80 2 6 4 2 2 2" xfId="28493" xr:uid="{00000000-0005-0000-0000-0000722E0000}"/>
    <cellStyle name="Millares 2 80 2 6 4 2 2 2 2" xfId="55626" xr:uid="{00000000-0005-0000-0000-0000732E0000}"/>
    <cellStyle name="Millares 2 80 2 6 4 2 2 3" xfId="42064" xr:uid="{00000000-0005-0000-0000-0000742E0000}"/>
    <cellStyle name="Millares 2 80 2 6 4 2 3" xfId="21712" xr:uid="{00000000-0005-0000-0000-0000752E0000}"/>
    <cellStyle name="Millares 2 80 2 6 4 2 3 2" xfId="48845" xr:uid="{00000000-0005-0000-0000-0000762E0000}"/>
    <cellStyle name="Millares 2 80 2 6 4 2 4" xfId="35283" xr:uid="{00000000-0005-0000-0000-0000772E0000}"/>
    <cellStyle name="Millares 2 80 2 6 4 3" xfId="11536" xr:uid="{00000000-0005-0000-0000-0000782E0000}"/>
    <cellStyle name="Millares 2 80 2 6 4 3 2" xfId="25104" xr:uid="{00000000-0005-0000-0000-0000792E0000}"/>
    <cellStyle name="Millares 2 80 2 6 4 3 2 2" xfId="52237" xr:uid="{00000000-0005-0000-0000-00007A2E0000}"/>
    <cellStyle name="Millares 2 80 2 6 4 3 3" xfId="38675" xr:uid="{00000000-0005-0000-0000-00007B2E0000}"/>
    <cellStyle name="Millares 2 80 2 6 4 4" xfId="18323" xr:uid="{00000000-0005-0000-0000-00007C2E0000}"/>
    <cellStyle name="Millares 2 80 2 6 4 4 2" xfId="45456" xr:uid="{00000000-0005-0000-0000-00007D2E0000}"/>
    <cellStyle name="Millares 2 80 2 6 4 5" xfId="31894" xr:uid="{00000000-0005-0000-0000-00007E2E0000}"/>
    <cellStyle name="Millares 2 80 2 6 5" xfId="8130" xr:uid="{00000000-0005-0000-0000-00007F2E0000}"/>
    <cellStyle name="Millares 2 80 2 6 5 2" xfId="14920" xr:uid="{00000000-0005-0000-0000-0000802E0000}"/>
    <cellStyle name="Millares 2 80 2 6 5 2 2" xfId="28488" xr:uid="{00000000-0005-0000-0000-0000812E0000}"/>
    <cellStyle name="Millares 2 80 2 6 5 2 2 2" xfId="55621" xr:uid="{00000000-0005-0000-0000-0000822E0000}"/>
    <cellStyle name="Millares 2 80 2 6 5 2 3" xfId="42059" xr:uid="{00000000-0005-0000-0000-0000832E0000}"/>
    <cellStyle name="Millares 2 80 2 6 5 3" xfId="21707" xr:uid="{00000000-0005-0000-0000-0000842E0000}"/>
    <cellStyle name="Millares 2 80 2 6 5 3 2" xfId="48840" xr:uid="{00000000-0005-0000-0000-0000852E0000}"/>
    <cellStyle name="Millares 2 80 2 6 5 4" xfId="35278" xr:uid="{00000000-0005-0000-0000-0000862E0000}"/>
    <cellStyle name="Millares 2 80 2 6 6" xfId="11531" xr:uid="{00000000-0005-0000-0000-0000872E0000}"/>
    <cellStyle name="Millares 2 80 2 6 6 2" xfId="25099" xr:uid="{00000000-0005-0000-0000-0000882E0000}"/>
    <cellStyle name="Millares 2 80 2 6 6 2 2" xfId="52232" xr:uid="{00000000-0005-0000-0000-0000892E0000}"/>
    <cellStyle name="Millares 2 80 2 6 6 3" xfId="38670" xr:uid="{00000000-0005-0000-0000-00008A2E0000}"/>
    <cellStyle name="Millares 2 80 2 6 7" xfId="18318" xr:uid="{00000000-0005-0000-0000-00008B2E0000}"/>
    <cellStyle name="Millares 2 80 2 6 7 2" xfId="45451" xr:uid="{00000000-0005-0000-0000-00008C2E0000}"/>
    <cellStyle name="Millares 2 80 2 6 8" xfId="31889" xr:uid="{00000000-0005-0000-0000-00008D2E0000}"/>
    <cellStyle name="Millares 2 80 2 7" xfId="4527" xr:uid="{00000000-0005-0000-0000-00008E2E0000}"/>
    <cellStyle name="Millares 2 80 2 7 2" xfId="4528" xr:uid="{00000000-0005-0000-0000-00008F2E0000}"/>
    <cellStyle name="Millares 2 80 2 7 2 2" xfId="8137" xr:uid="{00000000-0005-0000-0000-0000902E0000}"/>
    <cellStyle name="Millares 2 80 2 7 2 2 2" xfId="14927" xr:uid="{00000000-0005-0000-0000-0000912E0000}"/>
    <cellStyle name="Millares 2 80 2 7 2 2 2 2" xfId="28495" xr:uid="{00000000-0005-0000-0000-0000922E0000}"/>
    <cellStyle name="Millares 2 80 2 7 2 2 2 2 2" xfId="55628" xr:uid="{00000000-0005-0000-0000-0000932E0000}"/>
    <cellStyle name="Millares 2 80 2 7 2 2 2 3" xfId="42066" xr:uid="{00000000-0005-0000-0000-0000942E0000}"/>
    <cellStyle name="Millares 2 80 2 7 2 2 3" xfId="21714" xr:uid="{00000000-0005-0000-0000-0000952E0000}"/>
    <cellStyle name="Millares 2 80 2 7 2 2 3 2" xfId="48847" xr:uid="{00000000-0005-0000-0000-0000962E0000}"/>
    <cellStyle name="Millares 2 80 2 7 2 2 4" xfId="35285" xr:uid="{00000000-0005-0000-0000-0000972E0000}"/>
    <cellStyle name="Millares 2 80 2 7 2 3" xfId="11538" xr:uid="{00000000-0005-0000-0000-0000982E0000}"/>
    <cellStyle name="Millares 2 80 2 7 2 3 2" xfId="25106" xr:uid="{00000000-0005-0000-0000-0000992E0000}"/>
    <cellStyle name="Millares 2 80 2 7 2 3 2 2" xfId="52239" xr:uid="{00000000-0005-0000-0000-00009A2E0000}"/>
    <cellStyle name="Millares 2 80 2 7 2 3 3" xfId="38677" xr:uid="{00000000-0005-0000-0000-00009B2E0000}"/>
    <cellStyle name="Millares 2 80 2 7 2 4" xfId="18325" xr:uid="{00000000-0005-0000-0000-00009C2E0000}"/>
    <cellStyle name="Millares 2 80 2 7 2 4 2" xfId="45458" xr:uid="{00000000-0005-0000-0000-00009D2E0000}"/>
    <cellStyle name="Millares 2 80 2 7 2 5" xfId="31896" xr:uid="{00000000-0005-0000-0000-00009E2E0000}"/>
    <cellStyle name="Millares 2 80 2 7 3" xfId="4529" xr:uid="{00000000-0005-0000-0000-00009F2E0000}"/>
    <cellStyle name="Millares 2 80 2 7 3 2" xfId="8138" xr:uid="{00000000-0005-0000-0000-0000A02E0000}"/>
    <cellStyle name="Millares 2 80 2 7 3 2 2" xfId="14928" xr:uid="{00000000-0005-0000-0000-0000A12E0000}"/>
    <cellStyle name="Millares 2 80 2 7 3 2 2 2" xfId="28496" xr:uid="{00000000-0005-0000-0000-0000A22E0000}"/>
    <cellStyle name="Millares 2 80 2 7 3 2 2 2 2" xfId="55629" xr:uid="{00000000-0005-0000-0000-0000A32E0000}"/>
    <cellStyle name="Millares 2 80 2 7 3 2 2 3" xfId="42067" xr:uid="{00000000-0005-0000-0000-0000A42E0000}"/>
    <cellStyle name="Millares 2 80 2 7 3 2 3" xfId="21715" xr:uid="{00000000-0005-0000-0000-0000A52E0000}"/>
    <cellStyle name="Millares 2 80 2 7 3 2 3 2" xfId="48848" xr:uid="{00000000-0005-0000-0000-0000A62E0000}"/>
    <cellStyle name="Millares 2 80 2 7 3 2 4" xfId="35286" xr:uid="{00000000-0005-0000-0000-0000A72E0000}"/>
    <cellStyle name="Millares 2 80 2 7 3 3" xfId="11539" xr:uid="{00000000-0005-0000-0000-0000A82E0000}"/>
    <cellStyle name="Millares 2 80 2 7 3 3 2" xfId="25107" xr:uid="{00000000-0005-0000-0000-0000A92E0000}"/>
    <cellStyle name="Millares 2 80 2 7 3 3 2 2" xfId="52240" xr:uid="{00000000-0005-0000-0000-0000AA2E0000}"/>
    <cellStyle name="Millares 2 80 2 7 3 3 3" xfId="38678" xr:uid="{00000000-0005-0000-0000-0000AB2E0000}"/>
    <cellStyle name="Millares 2 80 2 7 3 4" xfId="18326" xr:uid="{00000000-0005-0000-0000-0000AC2E0000}"/>
    <cellStyle name="Millares 2 80 2 7 3 4 2" xfId="45459" xr:uid="{00000000-0005-0000-0000-0000AD2E0000}"/>
    <cellStyle name="Millares 2 80 2 7 3 5" xfId="31897" xr:uid="{00000000-0005-0000-0000-0000AE2E0000}"/>
    <cellStyle name="Millares 2 80 2 7 4" xfId="8136" xr:uid="{00000000-0005-0000-0000-0000AF2E0000}"/>
    <cellStyle name="Millares 2 80 2 7 4 2" xfId="14926" xr:uid="{00000000-0005-0000-0000-0000B02E0000}"/>
    <cellStyle name="Millares 2 80 2 7 4 2 2" xfId="28494" xr:uid="{00000000-0005-0000-0000-0000B12E0000}"/>
    <cellStyle name="Millares 2 80 2 7 4 2 2 2" xfId="55627" xr:uid="{00000000-0005-0000-0000-0000B22E0000}"/>
    <cellStyle name="Millares 2 80 2 7 4 2 3" xfId="42065" xr:uid="{00000000-0005-0000-0000-0000B32E0000}"/>
    <cellStyle name="Millares 2 80 2 7 4 3" xfId="21713" xr:uid="{00000000-0005-0000-0000-0000B42E0000}"/>
    <cellStyle name="Millares 2 80 2 7 4 3 2" xfId="48846" xr:uid="{00000000-0005-0000-0000-0000B52E0000}"/>
    <cellStyle name="Millares 2 80 2 7 4 4" xfId="35284" xr:uid="{00000000-0005-0000-0000-0000B62E0000}"/>
    <cellStyle name="Millares 2 80 2 7 5" xfId="11537" xr:uid="{00000000-0005-0000-0000-0000B72E0000}"/>
    <cellStyle name="Millares 2 80 2 7 5 2" xfId="25105" xr:uid="{00000000-0005-0000-0000-0000B82E0000}"/>
    <cellStyle name="Millares 2 80 2 7 5 2 2" xfId="52238" xr:uid="{00000000-0005-0000-0000-0000B92E0000}"/>
    <cellStyle name="Millares 2 80 2 7 5 3" xfId="38676" xr:uid="{00000000-0005-0000-0000-0000BA2E0000}"/>
    <cellStyle name="Millares 2 80 2 7 6" xfId="18324" xr:uid="{00000000-0005-0000-0000-0000BB2E0000}"/>
    <cellStyle name="Millares 2 80 2 7 6 2" xfId="45457" xr:uid="{00000000-0005-0000-0000-0000BC2E0000}"/>
    <cellStyle name="Millares 2 80 2 7 7" xfId="31895" xr:uid="{00000000-0005-0000-0000-0000BD2E0000}"/>
    <cellStyle name="Millares 2 80 2 8" xfId="4530" xr:uid="{00000000-0005-0000-0000-0000BE2E0000}"/>
    <cellStyle name="Millares 2 80 2 8 2" xfId="4531" xr:uid="{00000000-0005-0000-0000-0000BF2E0000}"/>
    <cellStyle name="Millares 2 80 2 8 2 2" xfId="8140" xr:uid="{00000000-0005-0000-0000-0000C02E0000}"/>
    <cellStyle name="Millares 2 80 2 8 2 2 2" xfId="14930" xr:uid="{00000000-0005-0000-0000-0000C12E0000}"/>
    <cellStyle name="Millares 2 80 2 8 2 2 2 2" xfId="28498" xr:uid="{00000000-0005-0000-0000-0000C22E0000}"/>
    <cellStyle name="Millares 2 80 2 8 2 2 2 2 2" xfId="55631" xr:uid="{00000000-0005-0000-0000-0000C32E0000}"/>
    <cellStyle name="Millares 2 80 2 8 2 2 2 3" xfId="42069" xr:uid="{00000000-0005-0000-0000-0000C42E0000}"/>
    <cellStyle name="Millares 2 80 2 8 2 2 3" xfId="21717" xr:uid="{00000000-0005-0000-0000-0000C52E0000}"/>
    <cellStyle name="Millares 2 80 2 8 2 2 3 2" xfId="48850" xr:uid="{00000000-0005-0000-0000-0000C62E0000}"/>
    <cellStyle name="Millares 2 80 2 8 2 2 4" xfId="35288" xr:uid="{00000000-0005-0000-0000-0000C72E0000}"/>
    <cellStyle name="Millares 2 80 2 8 2 3" xfId="11541" xr:uid="{00000000-0005-0000-0000-0000C82E0000}"/>
    <cellStyle name="Millares 2 80 2 8 2 3 2" xfId="25109" xr:uid="{00000000-0005-0000-0000-0000C92E0000}"/>
    <cellStyle name="Millares 2 80 2 8 2 3 2 2" xfId="52242" xr:uid="{00000000-0005-0000-0000-0000CA2E0000}"/>
    <cellStyle name="Millares 2 80 2 8 2 3 3" xfId="38680" xr:uid="{00000000-0005-0000-0000-0000CB2E0000}"/>
    <cellStyle name="Millares 2 80 2 8 2 4" xfId="18328" xr:uid="{00000000-0005-0000-0000-0000CC2E0000}"/>
    <cellStyle name="Millares 2 80 2 8 2 4 2" xfId="45461" xr:uid="{00000000-0005-0000-0000-0000CD2E0000}"/>
    <cellStyle name="Millares 2 80 2 8 2 5" xfId="31899" xr:uid="{00000000-0005-0000-0000-0000CE2E0000}"/>
    <cellStyle name="Millares 2 80 2 8 3" xfId="4532" xr:uid="{00000000-0005-0000-0000-0000CF2E0000}"/>
    <cellStyle name="Millares 2 80 2 8 3 2" xfId="8141" xr:uid="{00000000-0005-0000-0000-0000D02E0000}"/>
    <cellStyle name="Millares 2 80 2 8 3 2 2" xfId="14931" xr:uid="{00000000-0005-0000-0000-0000D12E0000}"/>
    <cellStyle name="Millares 2 80 2 8 3 2 2 2" xfId="28499" xr:uid="{00000000-0005-0000-0000-0000D22E0000}"/>
    <cellStyle name="Millares 2 80 2 8 3 2 2 2 2" xfId="55632" xr:uid="{00000000-0005-0000-0000-0000D32E0000}"/>
    <cellStyle name="Millares 2 80 2 8 3 2 2 3" xfId="42070" xr:uid="{00000000-0005-0000-0000-0000D42E0000}"/>
    <cellStyle name="Millares 2 80 2 8 3 2 3" xfId="21718" xr:uid="{00000000-0005-0000-0000-0000D52E0000}"/>
    <cellStyle name="Millares 2 80 2 8 3 2 3 2" xfId="48851" xr:uid="{00000000-0005-0000-0000-0000D62E0000}"/>
    <cellStyle name="Millares 2 80 2 8 3 2 4" xfId="35289" xr:uid="{00000000-0005-0000-0000-0000D72E0000}"/>
    <cellStyle name="Millares 2 80 2 8 3 3" xfId="11542" xr:uid="{00000000-0005-0000-0000-0000D82E0000}"/>
    <cellStyle name="Millares 2 80 2 8 3 3 2" xfId="25110" xr:uid="{00000000-0005-0000-0000-0000D92E0000}"/>
    <cellStyle name="Millares 2 80 2 8 3 3 2 2" xfId="52243" xr:uid="{00000000-0005-0000-0000-0000DA2E0000}"/>
    <cellStyle name="Millares 2 80 2 8 3 3 3" xfId="38681" xr:uid="{00000000-0005-0000-0000-0000DB2E0000}"/>
    <cellStyle name="Millares 2 80 2 8 3 4" xfId="18329" xr:uid="{00000000-0005-0000-0000-0000DC2E0000}"/>
    <cellStyle name="Millares 2 80 2 8 3 4 2" xfId="45462" xr:uid="{00000000-0005-0000-0000-0000DD2E0000}"/>
    <cellStyle name="Millares 2 80 2 8 3 5" xfId="31900" xr:uid="{00000000-0005-0000-0000-0000DE2E0000}"/>
    <cellStyle name="Millares 2 80 2 8 4" xfId="8139" xr:uid="{00000000-0005-0000-0000-0000DF2E0000}"/>
    <cellStyle name="Millares 2 80 2 8 4 2" xfId="14929" xr:uid="{00000000-0005-0000-0000-0000E02E0000}"/>
    <cellStyle name="Millares 2 80 2 8 4 2 2" xfId="28497" xr:uid="{00000000-0005-0000-0000-0000E12E0000}"/>
    <cellStyle name="Millares 2 80 2 8 4 2 2 2" xfId="55630" xr:uid="{00000000-0005-0000-0000-0000E22E0000}"/>
    <cellStyle name="Millares 2 80 2 8 4 2 3" xfId="42068" xr:uid="{00000000-0005-0000-0000-0000E32E0000}"/>
    <cellStyle name="Millares 2 80 2 8 4 3" xfId="21716" xr:uid="{00000000-0005-0000-0000-0000E42E0000}"/>
    <cellStyle name="Millares 2 80 2 8 4 3 2" xfId="48849" xr:uid="{00000000-0005-0000-0000-0000E52E0000}"/>
    <cellStyle name="Millares 2 80 2 8 4 4" xfId="35287" xr:uid="{00000000-0005-0000-0000-0000E62E0000}"/>
    <cellStyle name="Millares 2 80 2 8 5" xfId="11540" xr:uid="{00000000-0005-0000-0000-0000E72E0000}"/>
    <cellStyle name="Millares 2 80 2 8 5 2" xfId="25108" xr:uid="{00000000-0005-0000-0000-0000E82E0000}"/>
    <cellStyle name="Millares 2 80 2 8 5 2 2" xfId="52241" xr:uid="{00000000-0005-0000-0000-0000E92E0000}"/>
    <cellStyle name="Millares 2 80 2 8 5 3" xfId="38679" xr:uid="{00000000-0005-0000-0000-0000EA2E0000}"/>
    <cellStyle name="Millares 2 80 2 8 6" xfId="18327" xr:uid="{00000000-0005-0000-0000-0000EB2E0000}"/>
    <cellStyle name="Millares 2 80 2 8 6 2" xfId="45460" xr:uid="{00000000-0005-0000-0000-0000EC2E0000}"/>
    <cellStyle name="Millares 2 80 2 8 7" xfId="31898" xr:uid="{00000000-0005-0000-0000-0000ED2E0000}"/>
    <cellStyle name="Millares 2 80 2 9" xfId="4533" xr:uid="{00000000-0005-0000-0000-0000EE2E0000}"/>
    <cellStyle name="Millares 2 80 2 9 2" xfId="8142" xr:uid="{00000000-0005-0000-0000-0000EF2E0000}"/>
    <cellStyle name="Millares 2 80 2 9 2 2" xfId="14932" xr:uid="{00000000-0005-0000-0000-0000F02E0000}"/>
    <cellStyle name="Millares 2 80 2 9 2 2 2" xfId="28500" xr:uid="{00000000-0005-0000-0000-0000F12E0000}"/>
    <cellStyle name="Millares 2 80 2 9 2 2 2 2" xfId="55633" xr:uid="{00000000-0005-0000-0000-0000F22E0000}"/>
    <cellStyle name="Millares 2 80 2 9 2 2 3" xfId="42071" xr:uid="{00000000-0005-0000-0000-0000F32E0000}"/>
    <cellStyle name="Millares 2 80 2 9 2 3" xfId="21719" xr:uid="{00000000-0005-0000-0000-0000F42E0000}"/>
    <cellStyle name="Millares 2 80 2 9 2 3 2" xfId="48852" xr:uid="{00000000-0005-0000-0000-0000F52E0000}"/>
    <cellStyle name="Millares 2 80 2 9 2 4" xfId="35290" xr:uid="{00000000-0005-0000-0000-0000F62E0000}"/>
    <cellStyle name="Millares 2 80 2 9 3" xfId="11543" xr:uid="{00000000-0005-0000-0000-0000F72E0000}"/>
    <cellStyle name="Millares 2 80 2 9 3 2" xfId="25111" xr:uid="{00000000-0005-0000-0000-0000F82E0000}"/>
    <cellStyle name="Millares 2 80 2 9 3 2 2" xfId="52244" xr:uid="{00000000-0005-0000-0000-0000F92E0000}"/>
    <cellStyle name="Millares 2 80 2 9 3 3" xfId="38682" xr:uid="{00000000-0005-0000-0000-0000FA2E0000}"/>
    <cellStyle name="Millares 2 80 2 9 4" xfId="18330" xr:uid="{00000000-0005-0000-0000-0000FB2E0000}"/>
    <cellStyle name="Millares 2 80 2 9 4 2" xfId="45463" xr:uid="{00000000-0005-0000-0000-0000FC2E0000}"/>
    <cellStyle name="Millares 2 80 2 9 5" xfId="31901" xr:uid="{00000000-0005-0000-0000-0000FD2E0000}"/>
    <cellStyle name="Millares 2 80 3" xfId="4534" xr:uid="{00000000-0005-0000-0000-0000FE2E0000}"/>
    <cellStyle name="Millares 2 80 3 10" xfId="8143" xr:uid="{00000000-0005-0000-0000-0000FF2E0000}"/>
    <cellStyle name="Millares 2 80 3 10 2" xfId="14933" xr:uid="{00000000-0005-0000-0000-0000002F0000}"/>
    <cellStyle name="Millares 2 80 3 10 2 2" xfId="28501" xr:uid="{00000000-0005-0000-0000-0000012F0000}"/>
    <cellStyle name="Millares 2 80 3 10 2 2 2" xfId="55634" xr:uid="{00000000-0005-0000-0000-0000022F0000}"/>
    <cellStyle name="Millares 2 80 3 10 2 3" xfId="42072" xr:uid="{00000000-0005-0000-0000-0000032F0000}"/>
    <cellStyle name="Millares 2 80 3 10 3" xfId="21720" xr:uid="{00000000-0005-0000-0000-0000042F0000}"/>
    <cellStyle name="Millares 2 80 3 10 3 2" xfId="48853" xr:uid="{00000000-0005-0000-0000-0000052F0000}"/>
    <cellStyle name="Millares 2 80 3 10 4" xfId="35291" xr:uid="{00000000-0005-0000-0000-0000062F0000}"/>
    <cellStyle name="Millares 2 80 3 11" xfId="11544" xr:uid="{00000000-0005-0000-0000-0000072F0000}"/>
    <cellStyle name="Millares 2 80 3 11 2" xfId="25112" xr:uid="{00000000-0005-0000-0000-0000082F0000}"/>
    <cellStyle name="Millares 2 80 3 11 2 2" xfId="52245" xr:uid="{00000000-0005-0000-0000-0000092F0000}"/>
    <cellStyle name="Millares 2 80 3 11 3" xfId="38683" xr:uid="{00000000-0005-0000-0000-00000A2F0000}"/>
    <cellStyle name="Millares 2 80 3 12" xfId="18331" xr:uid="{00000000-0005-0000-0000-00000B2F0000}"/>
    <cellStyle name="Millares 2 80 3 12 2" xfId="45464" xr:uid="{00000000-0005-0000-0000-00000C2F0000}"/>
    <cellStyle name="Millares 2 80 3 13" xfId="31902" xr:uid="{00000000-0005-0000-0000-00000D2F0000}"/>
    <cellStyle name="Millares 2 80 3 2" xfId="4535" xr:uid="{00000000-0005-0000-0000-00000E2F0000}"/>
    <cellStyle name="Millares 2 80 3 2 10" xfId="31903" xr:uid="{00000000-0005-0000-0000-00000F2F0000}"/>
    <cellStyle name="Millares 2 80 3 2 2" xfId="4536" xr:uid="{00000000-0005-0000-0000-0000102F0000}"/>
    <cellStyle name="Millares 2 80 3 2 2 2" xfId="4537" xr:uid="{00000000-0005-0000-0000-0000112F0000}"/>
    <cellStyle name="Millares 2 80 3 2 2 2 2" xfId="4538" xr:uid="{00000000-0005-0000-0000-0000122F0000}"/>
    <cellStyle name="Millares 2 80 3 2 2 2 2 2" xfId="8147" xr:uid="{00000000-0005-0000-0000-0000132F0000}"/>
    <cellStyle name="Millares 2 80 3 2 2 2 2 2 2" xfId="14937" xr:uid="{00000000-0005-0000-0000-0000142F0000}"/>
    <cellStyle name="Millares 2 80 3 2 2 2 2 2 2 2" xfId="28505" xr:uid="{00000000-0005-0000-0000-0000152F0000}"/>
    <cellStyle name="Millares 2 80 3 2 2 2 2 2 2 2 2" xfId="55638" xr:uid="{00000000-0005-0000-0000-0000162F0000}"/>
    <cellStyle name="Millares 2 80 3 2 2 2 2 2 2 3" xfId="42076" xr:uid="{00000000-0005-0000-0000-0000172F0000}"/>
    <cellStyle name="Millares 2 80 3 2 2 2 2 2 3" xfId="21724" xr:uid="{00000000-0005-0000-0000-0000182F0000}"/>
    <cellStyle name="Millares 2 80 3 2 2 2 2 2 3 2" xfId="48857" xr:uid="{00000000-0005-0000-0000-0000192F0000}"/>
    <cellStyle name="Millares 2 80 3 2 2 2 2 2 4" xfId="35295" xr:uid="{00000000-0005-0000-0000-00001A2F0000}"/>
    <cellStyle name="Millares 2 80 3 2 2 2 2 3" xfId="11548" xr:uid="{00000000-0005-0000-0000-00001B2F0000}"/>
    <cellStyle name="Millares 2 80 3 2 2 2 2 3 2" xfId="25116" xr:uid="{00000000-0005-0000-0000-00001C2F0000}"/>
    <cellStyle name="Millares 2 80 3 2 2 2 2 3 2 2" xfId="52249" xr:uid="{00000000-0005-0000-0000-00001D2F0000}"/>
    <cellStyle name="Millares 2 80 3 2 2 2 2 3 3" xfId="38687" xr:uid="{00000000-0005-0000-0000-00001E2F0000}"/>
    <cellStyle name="Millares 2 80 3 2 2 2 2 4" xfId="18335" xr:uid="{00000000-0005-0000-0000-00001F2F0000}"/>
    <cellStyle name="Millares 2 80 3 2 2 2 2 4 2" xfId="45468" xr:uid="{00000000-0005-0000-0000-0000202F0000}"/>
    <cellStyle name="Millares 2 80 3 2 2 2 2 5" xfId="31906" xr:uid="{00000000-0005-0000-0000-0000212F0000}"/>
    <cellStyle name="Millares 2 80 3 2 2 2 3" xfId="4539" xr:uid="{00000000-0005-0000-0000-0000222F0000}"/>
    <cellStyle name="Millares 2 80 3 2 2 2 3 2" xfId="8148" xr:uid="{00000000-0005-0000-0000-0000232F0000}"/>
    <cellStyle name="Millares 2 80 3 2 2 2 3 2 2" xfId="14938" xr:uid="{00000000-0005-0000-0000-0000242F0000}"/>
    <cellStyle name="Millares 2 80 3 2 2 2 3 2 2 2" xfId="28506" xr:uid="{00000000-0005-0000-0000-0000252F0000}"/>
    <cellStyle name="Millares 2 80 3 2 2 2 3 2 2 2 2" xfId="55639" xr:uid="{00000000-0005-0000-0000-0000262F0000}"/>
    <cellStyle name="Millares 2 80 3 2 2 2 3 2 2 3" xfId="42077" xr:uid="{00000000-0005-0000-0000-0000272F0000}"/>
    <cellStyle name="Millares 2 80 3 2 2 2 3 2 3" xfId="21725" xr:uid="{00000000-0005-0000-0000-0000282F0000}"/>
    <cellStyle name="Millares 2 80 3 2 2 2 3 2 3 2" xfId="48858" xr:uid="{00000000-0005-0000-0000-0000292F0000}"/>
    <cellStyle name="Millares 2 80 3 2 2 2 3 2 4" xfId="35296" xr:uid="{00000000-0005-0000-0000-00002A2F0000}"/>
    <cellStyle name="Millares 2 80 3 2 2 2 3 3" xfId="11549" xr:uid="{00000000-0005-0000-0000-00002B2F0000}"/>
    <cellStyle name="Millares 2 80 3 2 2 2 3 3 2" xfId="25117" xr:uid="{00000000-0005-0000-0000-00002C2F0000}"/>
    <cellStyle name="Millares 2 80 3 2 2 2 3 3 2 2" xfId="52250" xr:uid="{00000000-0005-0000-0000-00002D2F0000}"/>
    <cellStyle name="Millares 2 80 3 2 2 2 3 3 3" xfId="38688" xr:uid="{00000000-0005-0000-0000-00002E2F0000}"/>
    <cellStyle name="Millares 2 80 3 2 2 2 3 4" xfId="18336" xr:uid="{00000000-0005-0000-0000-00002F2F0000}"/>
    <cellStyle name="Millares 2 80 3 2 2 2 3 4 2" xfId="45469" xr:uid="{00000000-0005-0000-0000-0000302F0000}"/>
    <cellStyle name="Millares 2 80 3 2 2 2 3 5" xfId="31907" xr:uid="{00000000-0005-0000-0000-0000312F0000}"/>
    <cellStyle name="Millares 2 80 3 2 2 2 4" xfId="8146" xr:uid="{00000000-0005-0000-0000-0000322F0000}"/>
    <cellStyle name="Millares 2 80 3 2 2 2 4 2" xfId="14936" xr:uid="{00000000-0005-0000-0000-0000332F0000}"/>
    <cellStyle name="Millares 2 80 3 2 2 2 4 2 2" xfId="28504" xr:uid="{00000000-0005-0000-0000-0000342F0000}"/>
    <cellStyle name="Millares 2 80 3 2 2 2 4 2 2 2" xfId="55637" xr:uid="{00000000-0005-0000-0000-0000352F0000}"/>
    <cellStyle name="Millares 2 80 3 2 2 2 4 2 3" xfId="42075" xr:uid="{00000000-0005-0000-0000-0000362F0000}"/>
    <cellStyle name="Millares 2 80 3 2 2 2 4 3" xfId="21723" xr:uid="{00000000-0005-0000-0000-0000372F0000}"/>
    <cellStyle name="Millares 2 80 3 2 2 2 4 3 2" xfId="48856" xr:uid="{00000000-0005-0000-0000-0000382F0000}"/>
    <cellStyle name="Millares 2 80 3 2 2 2 4 4" xfId="35294" xr:uid="{00000000-0005-0000-0000-0000392F0000}"/>
    <cellStyle name="Millares 2 80 3 2 2 2 5" xfId="11547" xr:uid="{00000000-0005-0000-0000-00003A2F0000}"/>
    <cellStyle name="Millares 2 80 3 2 2 2 5 2" xfId="25115" xr:uid="{00000000-0005-0000-0000-00003B2F0000}"/>
    <cellStyle name="Millares 2 80 3 2 2 2 5 2 2" xfId="52248" xr:uid="{00000000-0005-0000-0000-00003C2F0000}"/>
    <cellStyle name="Millares 2 80 3 2 2 2 5 3" xfId="38686" xr:uid="{00000000-0005-0000-0000-00003D2F0000}"/>
    <cellStyle name="Millares 2 80 3 2 2 2 6" xfId="18334" xr:uid="{00000000-0005-0000-0000-00003E2F0000}"/>
    <cellStyle name="Millares 2 80 3 2 2 2 6 2" xfId="45467" xr:uid="{00000000-0005-0000-0000-00003F2F0000}"/>
    <cellStyle name="Millares 2 80 3 2 2 2 7" xfId="31905" xr:uid="{00000000-0005-0000-0000-0000402F0000}"/>
    <cellStyle name="Millares 2 80 3 2 2 3" xfId="4540" xr:uid="{00000000-0005-0000-0000-0000412F0000}"/>
    <cellStyle name="Millares 2 80 3 2 2 3 2" xfId="4541" xr:uid="{00000000-0005-0000-0000-0000422F0000}"/>
    <cellStyle name="Millares 2 80 3 2 2 3 2 2" xfId="8150" xr:uid="{00000000-0005-0000-0000-0000432F0000}"/>
    <cellStyle name="Millares 2 80 3 2 2 3 2 2 2" xfId="14940" xr:uid="{00000000-0005-0000-0000-0000442F0000}"/>
    <cellStyle name="Millares 2 80 3 2 2 3 2 2 2 2" xfId="28508" xr:uid="{00000000-0005-0000-0000-0000452F0000}"/>
    <cellStyle name="Millares 2 80 3 2 2 3 2 2 2 2 2" xfId="55641" xr:uid="{00000000-0005-0000-0000-0000462F0000}"/>
    <cellStyle name="Millares 2 80 3 2 2 3 2 2 2 3" xfId="42079" xr:uid="{00000000-0005-0000-0000-0000472F0000}"/>
    <cellStyle name="Millares 2 80 3 2 2 3 2 2 3" xfId="21727" xr:uid="{00000000-0005-0000-0000-0000482F0000}"/>
    <cellStyle name="Millares 2 80 3 2 2 3 2 2 3 2" xfId="48860" xr:uid="{00000000-0005-0000-0000-0000492F0000}"/>
    <cellStyle name="Millares 2 80 3 2 2 3 2 2 4" xfId="35298" xr:uid="{00000000-0005-0000-0000-00004A2F0000}"/>
    <cellStyle name="Millares 2 80 3 2 2 3 2 3" xfId="11551" xr:uid="{00000000-0005-0000-0000-00004B2F0000}"/>
    <cellStyle name="Millares 2 80 3 2 2 3 2 3 2" xfId="25119" xr:uid="{00000000-0005-0000-0000-00004C2F0000}"/>
    <cellStyle name="Millares 2 80 3 2 2 3 2 3 2 2" xfId="52252" xr:uid="{00000000-0005-0000-0000-00004D2F0000}"/>
    <cellStyle name="Millares 2 80 3 2 2 3 2 3 3" xfId="38690" xr:uid="{00000000-0005-0000-0000-00004E2F0000}"/>
    <cellStyle name="Millares 2 80 3 2 2 3 2 4" xfId="18338" xr:uid="{00000000-0005-0000-0000-00004F2F0000}"/>
    <cellStyle name="Millares 2 80 3 2 2 3 2 4 2" xfId="45471" xr:uid="{00000000-0005-0000-0000-0000502F0000}"/>
    <cellStyle name="Millares 2 80 3 2 2 3 2 5" xfId="31909" xr:uid="{00000000-0005-0000-0000-0000512F0000}"/>
    <cellStyle name="Millares 2 80 3 2 2 3 3" xfId="8149" xr:uid="{00000000-0005-0000-0000-0000522F0000}"/>
    <cellStyle name="Millares 2 80 3 2 2 3 3 2" xfId="14939" xr:uid="{00000000-0005-0000-0000-0000532F0000}"/>
    <cellStyle name="Millares 2 80 3 2 2 3 3 2 2" xfId="28507" xr:uid="{00000000-0005-0000-0000-0000542F0000}"/>
    <cellStyle name="Millares 2 80 3 2 2 3 3 2 2 2" xfId="55640" xr:uid="{00000000-0005-0000-0000-0000552F0000}"/>
    <cellStyle name="Millares 2 80 3 2 2 3 3 2 3" xfId="42078" xr:uid="{00000000-0005-0000-0000-0000562F0000}"/>
    <cellStyle name="Millares 2 80 3 2 2 3 3 3" xfId="21726" xr:uid="{00000000-0005-0000-0000-0000572F0000}"/>
    <cellStyle name="Millares 2 80 3 2 2 3 3 3 2" xfId="48859" xr:uid="{00000000-0005-0000-0000-0000582F0000}"/>
    <cellStyle name="Millares 2 80 3 2 2 3 3 4" xfId="35297" xr:uid="{00000000-0005-0000-0000-0000592F0000}"/>
    <cellStyle name="Millares 2 80 3 2 2 3 4" xfId="11550" xr:uid="{00000000-0005-0000-0000-00005A2F0000}"/>
    <cellStyle name="Millares 2 80 3 2 2 3 4 2" xfId="25118" xr:uid="{00000000-0005-0000-0000-00005B2F0000}"/>
    <cellStyle name="Millares 2 80 3 2 2 3 4 2 2" xfId="52251" xr:uid="{00000000-0005-0000-0000-00005C2F0000}"/>
    <cellStyle name="Millares 2 80 3 2 2 3 4 3" xfId="38689" xr:uid="{00000000-0005-0000-0000-00005D2F0000}"/>
    <cellStyle name="Millares 2 80 3 2 2 3 5" xfId="18337" xr:uid="{00000000-0005-0000-0000-00005E2F0000}"/>
    <cellStyle name="Millares 2 80 3 2 2 3 5 2" xfId="45470" xr:uid="{00000000-0005-0000-0000-00005F2F0000}"/>
    <cellStyle name="Millares 2 80 3 2 2 3 6" xfId="31908" xr:uid="{00000000-0005-0000-0000-0000602F0000}"/>
    <cellStyle name="Millares 2 80 3 2 2 4" xfId="4542" xr:uid="{00000000-0005-0000-0000-0000612F0000}"/>
    <cellStyle name="Millares 2 80 3 2 2 4 2" xfId="8151" xr:uid="{00000000-0005-0000-0000-0000622F0000}"/>
    <cellStyle name="Millares 2 80 3 2 2 4 2 2" xfId="14941" xr:uid="{00000000-0005-0000-0000-0000632F0000}"/>
    <cellStyle name="Millares 2 80 3 2 2 4 2 2 2" xfId="28509" xr:uid="{00000000-0005-0000-0000-0000642F0000}"/>
    <cellStyle name="Millares 2 80 3 2 2 4 2 2 2 2" xfId="55642" xr:uid="{00000000-0005-0000-0000-0000652F0000}"/>
    <cellStyle name="Millares 2 80 3 2 2 4 2 2 3" xfId="42080" xr:uid="{00000000-0005-0000-0000-0000662F0000}"/>
    <cellStyle name="Millares 2 80 3 2 2 4 2 3" xfId="21728" xr:uid="{00000000-0005-0000-0000-0000672F0000}"/>
    <cellStyle name="Millares 2 80 3 2 2 4 2 3 2" xfId="48861" xr:uid="{00000000-0005-0000-0000-0000682F0000}"/>
    <cellStyle name="Millares 2 80 3 2 2 4 2 4" xfId="35299" xr:uid="{00000000-0005-0000-0000-0000692F0000}"/>
    <cellStyle name="Millares 2 80 3 2 2 4 3" xfId="11552" xr:uid="{00000000-0005-0000-0000-00006A2F0000}"/>
    <cellStyle name="Millares 2 80 3 2 2 4 3 2" xfId="25120" xr:uid="{00000000-0005-0000-0000-00006B2F0000}"/>
    <cellStyle name="Millares 2 80 3 2 2 4 3 2 2" xfId="52253" xr:uid="{00000000-0005-0000-0000-00006C2F0000}"/>
    <cellStyle name="Millares 2 80 3 2 2 4 3 3" xfId="38691" xr:uid="{00000000-0005-0000-0000-00006D2F0000}"/>
    <cellStyle name="Millares 2 80 3 2 2 4 4" xfId="18339" xr:uid="{00000000-0005-0000-0000-00006E2F0000}"/>
    <cellStyle name="Millares 2 80 3 2 2 4 4 2" xfId="45472" xr:uid="{00000000-0005-0000-0000-00006F2F0000}"/>
    <cellStyle name="Millares 2 80 3 2 2 4 5" xfId="31910" xr:uid="{00000000-0005-0000-0000-0000702F0000}"/>
    <cellStyle name="Millares 2 80 3 2 2 5" xfId="4543" xr:uid="{00000000-0005-0000-0000-0000712F0000}"/>
    <cellStyle name="Millares 2 80 3 2 2 5 2" xfId="8152" xr:uid="{00000000-0005-0000-0000-0000722F0000}"/>
    <cellStyle name="Millares 2 80 3 2 2 5 2 2" xfId="14942" xr:uid="{00000000-0005-0000-0000-0000732F0000}"/>
    <cellStyle name="Millares 2 80 3 2 2 5 2 2 2" xfId="28510" xr:uid="{00000000-0005-0000-0000-0000742F0000}"/>
    <cellStyle name="Millares 2 80 3 2 2 5 2 2 2 2" xfId="55643" xr:uid="{00000000-0005-0000-0000-0000752F0000}"/>
    <cellStyle name="Millares 2 80 3 2 2 5 2 2 3" xfId="42081" xr:uid="{00000000-0005-0000-0000-0000762F0000}"/>
    <cellStyle name="Millares 2 80 3 2 2 5 2 3" xfId="21729" xr:uid="{00000000-0005-0000-0000-0000772F0000}"/>
    <cellStyle name="Millares 2 80 3 2 2 5 2 3 2" xfId="48862" xr:uid="{00000000-0005-0000-0000-0000782F0000}"/>
    <cellStyle name="Millares 2 80 3 2 2 5 2 4" xfId="35300" xr:uid="{00000000-0005-0000-0000-0000792F0000}"/>
    <cellStyle name="Millares 2 80 3 2 2 5 3" xfId="11553" xr:uid="{00000000-0005-0000-0000-00007A2F0000}"/>
    <cellStyle name="Millares 2 80 3 2 2 5 3 2" xfId="25121" xr:uid="{00000000-0005-0000-0000-00007B2F0000}"/>
    <cellStyle name="Millares 2 80 3 2 2 5 3 2 2" xfId="52254" xr:uid="{00000000-0005-0000-0000-00007C2F0000}"/>
    <cellStyle name="Millares 2 80 3 2 2 5 3 3" xfId="38692" xr:uid="{00000000-0005-0000-0000-00007D2F0000}"/>
    <cellStyle name="Millares 2 80 3 2 2 5 4" xfId="18340" xr:uid="{00000000-0005-0000-0000-00007E2F0000}"/>
    <cellStyle name="Millares 2 80 3 2 2 5 4 2" xfId="45473" xr:uid="{00000000-0005-0000-0000-00007F2F0000}"/>
    <cellStyle name="Millares 2 80 3 2 2 5 5" xfId="31911" xr:uid="{00000000-0005-0000-0000-0000802F0000}"/>
    <cellStyle name="Millares 2 80 3 2 2 6" xfId="8145" xr:uid="{00000000-0005-0000-0000-0000812F0000}"/>
    <cellStyle name="Millares 2 80 3 2 2 6 2" xfId="14935" xr:uid="{00000000-0005-0000-0000-0000822F0000}"/>
    <cellStyle name="Millares 2 80 3 2 2 6 2 2" xfId="28503" xr:uid="{00000000-0005-0000-0000-0000832F0000}"/>
    <cellStyle name="Millares 2 80 3 2 2 6 2 2 2" xfId="55636" xr:uid="{00000000-0005-0000-0000-0000842F0000}"/>
    <cellStyle name="Millares 2 80 3 2 2 6 2 3" xfId="42074" xr:uid="{00000000-0005-0000-0000-0000852F0000}"/>
    <cellStyle name="Millares 2 80 3 2 2 6 3" xfId="21722" xr:uid="{00000000-0005-0000-0000-0000862F0000}"/>
    <cellStyle name="Millares 2 80 3 2 2 6 3 2" xfId="48855" xr:uid="{00000000-0005-0000-0000-0000872F0000}"/>
    <cellStyle name="Millares 2 80 3 2 2 6 4" xfId="35293" xr:uid="{00000000-0005-0000-0000-0000882F0000}"/>
    <cellStyle name="Millares 2 80 3 2 2 7" xfId="11546" xr:uid="{00000000-0005-0000-0000-0000892F0000}"/>
    <cellStyle name="Millares 2 80 3 2 2 7 2" xfId="25114" xr:uid="{00000000-0005-0000-0000-00008A2F0000}"/>
    <cellStyle name="Millares 2 80 3 2 2 7 2 2" xfId="52247" xr:uid="{00000000-0005-0000-0000-00008B2F0000}"/>
    <cellStyle name="Millares 2 80 3 2 2 7 3" xfId="38685" xr:uid="{00000000-0005-0000-0000-00008C2F0000}"/>
    <cellStyle name="Millares 2 80 3 2 2 8" xfId="18333" xr:uid="{00000000-0005-0000-0000-00008D2F0000}"/>
    <cellStyle name="Millares 2 80 3 2 2 8 2" xfId="45466" xr:uid="{00000000-0005-0000-0000-00008E2F0000}"/>
    <cellStyle name="Millares 2 80 3 2 2 9" xfId="31904" xr:uid="{00000000-0005-0000-0000-00008F2F0000}"/>
    <cellStyle name="Millares 2 80 3 2 3" xfId="4544" xr:uid="{00000000-0005-0000-0000-0000902F0000}"/>
    <cellStyle name="Millares 2 80 3 2 3 2" xfId="4545" xr:uid="{00000000-0005-0000-0000-0000912F0000}"/>
    <cellStyle name="Millares 2 80 3 2 3 2 2" xfId="8154" xr:uid="{00000000-0005-0000-0000-0000922F0000}"/>
    <cellStyle name="Millares 2 80 3 2 3 2 2 2" xfId="14944" xr:uid="{00000000-0005-0000-0000-0000932F0000}"/>
    <cellStyle name="Millares 2 80 3 2 3 2 2 2 2" xfId="28512" xr:uid="{00000000-0005-0000-0000-0000942F0000}"/>
    <cellStyle name="Millares 2 80 3 2 3 2 2 2 2 2" xfId="55645" xr:uid="{00000000-0005-0000-0000-0000952F0000}"/>
    <cellStyle name="Millares 2 80 3 2 3 2 2 2 3" xfId="42083" xr:uid="{00000000-0005-0000-0000-0000962F0000}"/>
    <cellStyle name="Millares 2 80 3 2 3 2 2 3" xfId="21731" xr:uid="{00000000-0005-0000-0000-0000972F0000}"/>
    <cellStyle name="Millares 2 80 3 2 3 2 2 3 2" xfId="48864" xr:uid="{00000000-0005-0000-0000-0000982F0000}"/>
    <cellStyle name="Millares 2 80 3 2 3 2 2 4" xfId="35302" xr:uid="{00000000-0005-0000-0000-0000992F0000}"/>
    <cellStyle name="Millares 2 80 3 2 3 2 3" xfId="11555" xr:uid="{00000000-0005-0000-0000-00009A2F0000}"/>
    <cellStyle name="Millares 2 80 3 2 3 2 3 2" xfId="25123" xr:uid="{00000000-0005-0000-0000-00009B2F0000}"/>
    <cellStyle name="Millares 2 80 3 2 3 2 3 2 2" xfId="52256" xr:uid="{00000000-0005-0000-0000-00009C2F0000}"/>
    <cellStyle name="Millares 2 80 3 2 3 2 3 3" xfId="38694" xr:uid="{00000000-0005-0000-0000-00009D2F0000}"/>
    <cellStyle name="Millares 2 80 3 2 3 2 4" xfId="18342" xr:uid="{00000000-0005-0000-0000-00009E2F0000}"/>
    <cellStyle name="Millares 2 80 3 2 3 2 4 2" xfId="45475" xr:uid="{00000000-0005-0000-0000-00009F2F0000}"/>
    <cellStyle name="Millares 2 80 3 2 3 2 5" xfId="31913" xr:uid="{00000000-0005-0000-0000-0000A02F0000}"/>
    <cellStyle name="Millares 2 80 3 2 3 3" xfId="4546" xr:uid="{00000000-0005-0000-0000-0000A12F0000}"/>
    <cellStyle name="Millares 2 80 3 2 3 3 2" xfId="8155" xr:uid="{00000000-0005-0000-0000-0000A22F0000}"/>
    <cellStyle name="Millares 2 80 3 2 3 3 2 2" xfId="14945" xr:uid="{00000000-0005-0000-0000-0000A32F0000}"/>
    <cellStyle name="Millares 2 80 3 2 3 3 2 2 2" xfId="28513" xr:uid="{00000000-0005-0000-0000-0000A42F0000}"/>
    <cellStyle name="Millares 2 80 3 2 3 3 2 2 2 2" xfId="55646" xr:uid="{00000000-0005-0000-0000-0000A52F0000}"/>
    <cellStyle name="Millares 2 80 3 2 3 3 2 2 3" xfId="42084" xr:uid="{00000000-0005-0000-0000-0000A62F0000}"/>
    <cellStyle name="Millares 2 80 3 2 3 3 2 3" xfId="21732" xr:uid="{00000000-0005-0000-0000-0000A72F0000}"/>
    <cellStyle name="Millares 2 80 3 2 3 3 2 3 2" xfId="48865" xr:uid="{00000000-0005-0000-0000-0000A82F0000}"/>
    <cellStyle name="Millares 2 80 3 2 3 3 2 4" xfId="35303" xr:uid="{00000000-0005-0000-0000-0000A92F0000}"/>
    <cellStyle name="Millares 2 80 3 2 3 3 3" xfId="11556" xr:uid="{00000000-0005-0000-0000-0000AA2F0000}"/>
    <cellStyle name="Millares 2 80 3 2 3 3 3 2" xfId="25124" xr:uid="{00000000-0005-0000-0000-0000AB2F0000}"/>
    <cellStyle name="Millares 2 80 3 2 3 3 3 2 2" xfId="52257" xr:uid="{00000000-0005-0000-0000-0000AC2F0000}"/>
    <cellStyle name="Millares 2 80 3 2 3 3 3 3" xfId="38695" xr:uid="{00000000-0005-0000-0000-0000AD2F0000}"/>
    <cellStyle name="Millares 2 80 3 2 3 3 4" xfId="18343" xr:uid="{00000000-0005-0000-0000-0000AE2F0000}"/>
    <cellStyle name="Millares 2 80 3 2 3 3 4 2" xfId="45476" xr:uid="{00000000-0005-0000-0000-0000AF2F0000}"/>
    <cellStyle name="Millares 2 80 3 2 3 3 5" xfId="31914" xr:uid="{00000000-0005-0000-0000-0000B02F0000}"/>
    <cellStyle name="Millares 2 80 3 2 3 4" xfId="8153" xr:uid="{00000000-0005-0000-0000-0000B12F0000}"/>
    <cellStyle name="Millares 2 80 3 2 3 4 2" xfId="14943" xr:uid="{00000000-0005-0000-0000-0000B22F0000}"/>
    <cellStyle name="Millares 2 80 3 2 3 4 2 2" xfId="28511" xr:uid="{00000000-0005-0000-0000-0000B32F0000}"/>
    <cellStyle name="Millares 2 80 3 2 3 4 2 2 2" xfId="55644" xr:uid="{00000000-0005-0000-0000-0000B42F0000}"/>
    <cellStyle name="Millares 2 80 3 2 3 4 2 3" xfId="42082" xr:uid="{00000000-0005-0000-0000-0000B52F0000}"/>
    <cellStyle name="Millares 2 80 3 2 3 4 3" xfId="21730" xr:uid="{00000000-0005-0000-0000-0000B62F0000}"/>
    <cellStyle name="Millares 2 80 3 2 3 4 3 2" xfId="48863" xr:uid="{00000000-0005-0000-0000-0000B72F0000}"/>
    <cellStyle name="Millares 2 80 3 2 3 4 4" xfId="35301" xr:uid="{00000000-0005-0000-0000-0000B82F0000}"/>
    <cellStyle name="Millares 2 80 3 2 3 5" xfId="11554" xr:uid="{00000000-0005-0000-0000-0000B92F0000}"/>
    <cellStyle name="Millares 2 80 3 2 3 5 2" xfId="25122" xr:uid="{00000000-0005-0000-0000-0000BA2F0000}"/>
    <cellStyle name="Millares 2 80 3 2 3 5 2 2" xfId="52255" xr:uid="{00000000-0005-0000-0000-0000BB2F0000}"/>
    <cellStyle name="Millares 2 80 3 2 3 5 3" xfId="38693" xr:uid="{00000000-0005-0000-0000-0000BC2F0000}"/>
    <cellStyle name="Millares 2 80 3 2 3 6" xfId="18341" xr:uid="{00000000-0005-0000-0000-0000BD2F0000}"/>
    <cellStyle name="Millares 2 80 3 2 3 6 2" xfId="45474" xr:uid="{00000000-0005-0000-0000-0000BE2F0000}"/>
    <cellStyle name="Millares 2 80 3 2 3 7" xfId="31912" xr:uid="{00000000-0005-0000-0000-0000BF2F0000}"/>
    <cellStyle name="Millares 2 80 3 2 4" xfId="4547" xr:uid="{00000000-0005-0000-0000-0000C02F0000}"/>
    <cellStyle name="Millares 2 80 3 2 4 2" xfId="4548" xr:uid="{00000000-0005-0000-0000-0000C12F0000}"/>
    <cellStyle name="Millares 2 80 3 2 4 2 2" xfId="8157" xr:uid="{00000000-0005-0000-0000-0000C22F0000}"/>
    <cellStyle name="Millares 2 80 3 2 4 2 2 2" xfId="14947" xr:uid="{00000000-0005-0000-0000-0000C32F0000}"/>
    <cellStyle name="Millares 2 80 3 2 4 2 2 2 2" xfId="28515" xr:uid="{00000000-0005-0000-0000-0000C42F0000}"/>
    <cellStyle name="Millares 2 80 3 2 4 2 2 2 2 2" xfId="55648" xr:uid="{00000000-0005-0000-0000-0000C52F0000}"/>
    <cellStyle name="Millares 2 80 3 2 4 2 2 2 3" xfId="42086" xr:uid="{00000000-0005-0000-0000-0000C62F0000}"/>
    <cellStyle name="Millares 2 80 3 2 4 2 2 3" xfId="21734" xr:uid="{00000000-0005-0000-0000-0000C72F0000}"/>
    <cellStyle name="Millares 2 80 3 2 4 2 2 3 2" xfId="48867" xr:uid="{00000000-0005-0000-0000-0000C82F0000}"/>
    <cellStyle name="Millares 2 80 3 2 4 2 2 4" xfId="35305" xr:uid="{00000000-0005-0000-0000-0000C92F0000}"/>
    <cellStyle name="Millares 2 80 3 2 4 2 3" xfId="11558" xr:uid="{00000000-0005-0000-0000-0000CA2F0000}"/>
    <cellStyle name="Millares 2 80 3 2 4 2 3 2" xfId="25126" xr:uid="{00000000-0005-0000-0000-0000CB2F0000}"/>
    <cellStyle name="Millares 2 80 3 2 4 2 3 2 2" xfId="52259" xr:uid="{00000000-0005-0000-0000-0000CC2F0000}"/>
    <cellStyle name="Millares 2 80 3 2 4 2 3 3" xfId="38697" xr:uid="{00000000-0005-0000-0000-0000CD2F0000}"/>
    <cellStyle name="Millares 2 80 3 2 4 2 4" xfId="18345" xr:uid="{00000000-0005-0000-0000-0000CE2F0000}"/>
    <cellStyle name="Millares 2 80 3 2 4 2 4 2" xfId="45478" xr:uid="{00000000-0005-0000-0000-0000CF2F0000}"/>
    <cellStyle name="Millares 2 80 3 2 4 2 5" xfId="31916" xr:uid="{00000000-0005-0000-0000-0000D02F0000}"/>
    <cellStyle name="Millares 2 80 3 2 4 3" xfId="8156" xr:uid="{00000000-0005-0000-0000-0000D12F0000}"/>
    <cellStyle name="Millares 2 80 3 2 4 3 2" xfId="14946" xr:uid="{00000000-0005-0000-0000-0000D22F0000}"/>
    <cellStyle name="Millares 2 80 3 2 4 3 2 2" xfId="28514" xr:uid="{00000000-0005-0000-0000-0000D32F0000}"/>
    <cellStyle name="Millares 2 80 3 2 4 3 2 2 2" xfId="55647" xr:uid="{00000000-0005-0000-0000-0000D42F0000}"/>
    <cellStyle name="Millares 2 80 3 2 4 3 2 3" xfId="42085" xr:uid="{00000000-0005-0000-0000-0000D52F0000}"/>
    <cellStyle name="Millares 2 80 3 2 4 3 3" xfId="21733" xr:uid="{00000000-0005-0000-0000-0000D62F0000}"/>
    <cellStyle name="Millares 2 80 3 2 4 3 3 2" xfId="48866" xr:uid="{00000000-0005-0000-0000-0000D72F0000}"/>
    <cellStyle name="Millares 2 80 3 2 4 3 4" xfId="35304" xr:uid="{00000000-0005-0000-0000-0000D82F0000}"/>
    <cellStyle name="Millares 2 80 3 2 4 4" xfId="11557" xr:uid="{00000000-0005-0000-0000-0000D92F0000}"/>
    <cellStyle name="Millares 2 80 3 2 4 4 2" xfId="25125" xr:uid="{00000000-0005-0000-0000-0000DA2F0000}"/>
    <cellStyle name="Millares 2 80 3 2 4 4 2 2" xfId="52258" xr:uid="{00000000-0005-0000-0000-0000DB2F0000}"/>
    <cellStyle name="Millares 2 80 3 2 4 4 3" xfId="38696" xr:uid="{00000000-0005-0000-0000-0000DC2F0000}"/>
    <cellStyle name="Millares 2 80 3 2 4 5" xfId="18344" xr:uid="{00000000-0005-0000-0000-0000DD2F0000}"/>
    <cellStyle name="Millares 2 80 3 2 4 5 2" xfId="45477" xr:uid="{00000000-0005-0000-0000-0000DE2F0000}"/>
    <cellStyle name="Millares 2 80 3 2 4 6" xfId="31915" xr:uid="{00000000-0005-0000-0000-0000DF2F0000}"/>
    <cellStyle name="Millares 2 80 3 2 5" xfId="4549" xr:uid="{00000000-0005-0000-0000-0000E02F0000}"/>
    <cellStyle name="Millares 2 80 3 2 5 2" xfId="8158" xr:uid="{00000000-0005-0000-0000-0000E12F0000}"/>
    <cellStyle name="Millares 2 80 3 2 5 2 2" xfId="14948" xr:uid="{00000000-0005-0000-0000-0000E22F0000}"/>
    <cellStyle name="Millares 2 80 3 2 5 2 2 2" xfId="28516" xr:uid="{00000000-0005-0000-0000-0000E32F0000}"/>
    <cellStyle name="Millares 2 80 3 2 5 2 2 2 2" xfId="55649" xr:uid="{00000000-0005-0000-0000-0000E42F0000}"/>
    <cellStyle name="Millares 2 80 3 2 5 2 2 3" xfId="42087" xr:uid="{00000000-0005-0000-0000-0000E52F0000}"/>
    <cellStyle name="Millares 2 80 3 2 5 2 3" xfId="21735" xr:uid="{00000000-0005-0000-0000-0000E62F0000}"/>
    <cellStyle name="Millares 2 80 3 2 5 2 3 2" xfId="48868" xr:uid="{00000000-0005-0000-0000-0000E72F0000}"/>
    <cellStyle name="Millares 2 80 3 2 5 2 4" xfId="35306" xr:uid="{00000000-0005-0000-0000-0000E82F0000}"/>
    <cellStyle name="Millares 2 80 3 2 5 3" xfId="11559" xr:uid="{00000000-0005-0000-0000-0000E92F0000}"/>
    <cellStyle name="Millares 2 80 3 2 5 3 2" xfId="25127" xr:uid="{00000000-0005-0000-0000-0000EA2F0000}"/>
    <cellStyle name="Millares 2 80 3 2 5 3 2 2" xfId="52260" xr:uid="{00000000-0005-0000-0000-0000EB2F0000}"/>
    <cellStyle name="Millares 2 80 3 2 5 3 3" xfId="38698" xr:uid="{00000000-0005-0000-0000-0000EC2F0000}"/>
    <cellStyle name="Millares 2 80 3 2 5 4" xfId="18346" xr:uid="{00000000-0005-0000-0000-0000ED2F0000}"/>
    <cellStyle name="Millares 2 80 3 2 5 4 2" xfId="45479" xr:uid="{00000000-0005-0000-0000-0000EE2F0000}"/>
    <cellStyle name="Millares 2 80 3 2 5 5" xfId="31917" xr:uid="{00000000-0005-0000-0000-0000EF2F0000}"/>
    <cellStyle name="Millares 2 80 3 2 6" xfId="4550" xr:uid="{00000000-0005-0000-0000-0000F02F0000}"/>
    <cellStyle name="Millares 2 80 3 2 6 2" xfId="8159" xr:uid="{00000000-0005-0000-0000-0000F12F0000}"/>
    <cellStyle name="Millares 2 80 3 2 6 2 2" xfId="14949" xr:uid="{00000000-0005-0000-0000-0000F22F0000}"/>
    <cellStyle name="Millares 2 80 3 2 6 2 2 2" xfId="28517" xr:uid="{00000000-0005-0000-0000-0000F32F0000}"/>
    <cellStyle name="Millares 2 80 3 2 6 2 2 2 2" xfId="55650" xr:uid="{00000000-0005-0000-0000-0000F42F0000}"/>
    <cellStyle name="Millares 2 80 3 2 6 2 2 3" xfId="42088" xr:uid="{00000000-0005-0000-0000-0000F52F0000}"/>
    <cellStyle name="Millares 2 80 3 2 6 2 3" xfId="21736" xr:uid="{00000000-0005-0000-0000-0000F62F0000}"/>
    <cellStyle name="Millares 2 80 3 2 6 2 3 2" xfId="48869" xr:uid="{00000000-0005-0000-0000-0000F72F0000}"/>
    <cellStyle name="Millares 2 80 3 2 6 2 4" xfId="35307" xr:uid="{00000000-0005-0000-0000-0000F82F0000}"/>
    <cellStyle name="Millares 2 80 3 2 6 3" xfId="11560" xr:uid="{00000000-0005-0000-0000-0000F92F0000}"/>
    <cellStyle name="Millares 2 80 3 2 6 3 2" xfId="25128" xr:uid="{00000000-0005-0000-0000-0000FA2F0000}"/>
    <cellStyle name="Millares 2 80 3 2 6 3 2 2" xfId="52261" xr:uid="{00000000-0005-0000-0000-0000FB2F0000}"/>
    <cellStyle name="Millares 2 80 3 2 6 3 3" xfId="38699" xr:uid="{00000000-0005-0000-0000-0000FC2F0000}"/>
    <cellStyle name="Millares 2 80 3 2 6 4" xfId="18347" xr:uid="{00000000-0005-0000-0000-0000FD2F0000}"/>
    <cellStyle name="Millares 2 80 3 2 6 4 2" xfId="45480" xr:uid="{00000000-0005-0000-0000-0000FE2F0000}"/>
    <cellStyle name="Millares 2 80 3 2 6 5" xfId="31918" xr:uid="{00000000-0005-0000-0000-0000FF2F0000}"/>
    <cellStyle name="Millares 2 80 3 2 7" xfId="8144" xr:uid="{00000000-0005-0000-0000-000000300000}"/>
    <cellStyle name="Millares 2 80 3 2 7 2" xfId="14934" xr:uid="{00000000-0005-0000-0000-000001300000}"/>
    <cellStyle name="Millares 2 80 3 2 7 2 2" xfId="28502" xr:uid="{00000000-0005-0000-0000-000002300000}"/>
    <cellStyle name="Millares 2 80 3 2 7 2 2 2" xfId="55635" xr:uid="{00000000-0005-0000-0000-000003300000}"/>
    <cellStyle name="Millares 2 80 3 2 7 2 3" xfId="42073" xr:uid="{00000000-0005-0000-0000-000004300000}"/>
    <cellStyle name="Millares 2 80 3 2 7 3" xfId="21721" xr:uid="{00000000-0005-0000-0000-000005300000}"/>
    <cellStyle name="Millares 2 80 3 2 7 3 2" xfId="48854" xr:uid="{00000000-0005-0000-0000-000006300000}"/>
    <cellStyle name="Millares 2 80 3 2 7 4" xfId="35292" xr:uid="{00000000-0005-0000-0000-000007300000}"/>
    <cellStyle name="Millares 2 80 3 2 8" xfId="11545" xr:uid="{00000000-0005-0000-0000-000008300000}"/>
    <cellStyle name="Millares 2 80 3 2 8 2" xfId="25113" xr:uid="{00000000-0005-0000-0000-000009300000}"/>
    <cellStyle name="Millares 2 80 3 2 8 2 2" xfId="52246" xr:uid="{00000000-0005-0000-0000-00000A300000}"/>
    <cellStyle name="Millares 2 80 3 2 8 3" xfId="38684" xr:uid="{00000000-0005-0000-0000-00000B300000}"/>
    <cellStyle name="Millares 2 80 3 2 9" xfId="18332" xr:uid="{00000000-0005-0000-0000-00000C300000}"/>
    <cellStyle name="Millares 2 80 3 2 9 2" xfId="45465" xr:uid="{00000000-0005-0000-0000-00000D300000}"/>
    <cellStyle name="Millares 2 80 3 3" xfId="4551" xr:uid="{00000000-0005-0000-0000-00000E300000}"/>
    <cellStyle name="Millares 2 80 3 3 2" xfId="4552" xr:uid="{00000000-0005-0000-0000-00000F300000}"/>
    <cellStyle name="Millares 2 80 3 3 2 2" xfId="4553" xr:uid="{00000000-0005-0000-0000-000010300000}"/>
    <cellStyle name="Millares 2 80 3 3 2 2 2" xfId="8162" xr:uid="{00000000-0005-0000-0000-000011300000}"/>
    <cellStyle name="Millares 2 80 3 3 2 2 2 2" xfId="14952" xr:uid="{00000000-0005-0000-0000-000012300000}"/>
    <cellStyle name="Millares 2 80 3 3 2 2 2 2 2" xfId="28520" xr:uid="{00000000-0005-0000-0000-000013300000}"/>
    <cellStyle name="Millares 2 80 3 3 2 2 2 2 2 2" xfId="55653" xr:uid="{00000000-0005-0000-0000-000014300000}"/>
    <cellStyle name="Millares 2 80 3 3 2 2 2 2 3" xfId="42091" xr:uid="{00000000-0005-0000-0000-000015300000}"/>
    <cellStyle name="Millares 2 80 3 3 2 2 2 3" xfId="21739" xr:uid="{00000000-0005-0000-0000-000016300000}"/>
    <cellStyle name="Millares 2 80 3 3 2 2 2 3 2" xfId="48872" xr:uid="{00000000-0005-0000-0000-000017300000}"/>
    <cellStyle name="Millares 2 80 3 3 2 2 2 4" xfId="35310" xr:uid="{00000000-0005-0000-0000-000018300000}"/>
    <cellStyle name="Millares 2 80 3 3 2 2 3" xfId="11563" xr:uid="{00000000-0005-0000-0000-000019300000}"/>
    <cellStyle name="Millares 2 80 3 3 2 2 3 2" xfId="25131" xr:uid="{00000000-0005-0000-0000-00001A300000}"/>
    <cellStyle name="Millares 2 80 3 3 2 2 3 2 2" xfId="52264" xr:uid="{00000000-0005-0000-0000-00001B300000}"/>
    <cellStyle name="Millares 2 80 3 3 2 2 3 3" xfId="38702" xr:uid="{00000000-0005-0000-0000-00001C300000}"/>
    <cellStyle name="Millares 2 80 3 3 2 2 4" xfId="18350" xr:uid="{00000000-0005-0000-0000-00001D300000}"/>
    <cellStyle name="Millares 2 80 3 3 2 2 4 2" xfId="45483" xr:uid="{00000000-0005-0000-0000-00001E300000}"/>
    <cellStyle name="Millares 2 80 3 3 2 2 5" xfId="31921" xr:uid="{00000000-0005-0000-0000-00001F300000}"/>
    <cellStyle name="Millares 2 80 3 3 2 3" xfId="4554" xr:uid="{00000000-0005-0000-0000-000020300000}"/>
    <cellStyle name="Millares 2 80 3 3 2 3 2" xfId="8163" xr:uid="{00000000-0005-0000-0000-000021300000}"/>
    <cellStyle name="Millares 2 80 3 3 2 3 2 2" xfId="14953" xr:uid="{00000000-0005-0000-0000-000022300000}"/>
    <cellStyle name="Millares 2 80 3 3 2 3 2 2 2" xfId="28521" xr:uid="{00000000-0005-0000-0000-000023300000}"/>
    <cellStyle name="Millares 2 80 3 3 2 3 2 2 2 2" xfId="55654" xr:uid="{00000000-0005-0000-0000-000024300000}"/>
    <cellStyle name="Millares 2 80 3 3 2 3 2 2 3" xfId="42092" xr:uid="{00000000-0005-0000-0000-000025300000}"/>
    <cellStyle name="Millares 2 80 3 3 2 3 2 3" xfId="21740" xr:uid="{00000000-0005-0000-0000-000026300000}"/>
    <cellStyle name="Millares 2 80 3 3 2 3 2 3 2" xfId="48873" xr:uid="{00000000-0005-0000-0000-000027300000}"/>
    <cellStyle name="Millares 2 80 3 3 2 3 2 4" xfId="35311" xr:uid="{00000000-0005-0000-0000-000028300000}"/>
    <cellStyle name="Millares 2 80 3 3 2 3 3" xfId="11564" xr:uid="{00000000-0005-0000-0000-000029300000}"/>
    <cellStyle name="Millares 2 80 3 3 2 3 3 2" xfId="25132" xr:uid="{00000000-0005-0000-0000-00002A300000}"/>
    <cellStyle name="Millares 2 80 3 3 2 3 3 2 2" xfId="52265" xr:uid="{00000000-0005-0000-0000-00002B300000}"/>
    <cellStyle name="Millares 2 80 3 3 2 3 3 3" xfId="38703" xr:uid="{00000000-0005-0000-0000-00002C300000}"/>
    <cellStyle name="Millares 2 80 3 3 2 3 4" xfId="18351" xr:uid="{00000000-0005-0000-0000-00002D300000}"/>
    <cellStyle name="Millares 2 80 3 3 2 3 4 2" xfId="45484" xr:uid="{00000000-0005-0000-0000-00002E300000}"/>
    <cellStyle name="Millares 2 80 3 3 2 3 5" xfId="31922" xr:uid="{00000000-0005-0000-0000-00002F300000}"/>
    <cellStyle name="Millares 2 80 3 3 2 4" xfId="8161" xr:uid="{00000000-0005-0000-0000-000030300000}"/>
    <cellStyle name="Millares 2 80 3 3 2 4 2" xfId="14951" xr:uid="{00000000-0005-0000-0000-000031300000}"/>
    <cellStyle name="Millares 2 80 3 3 2 4 2 2" xfId="28519" xr:uid="{00000000-0005-0000-0000-000032300000}"/>
    <cellStyle name="Millares 2 80 3 3 2 4 2 2 2" xfId="55652" xr:uid="{00000000-0005-0000-0000-000033300000}"/>
    <cellStyle name="Millares 2 80 3 3 2 4 2 3" xfId="42090" xr:uid="{00000000-0005-0000-0000-000034300000}"/>
    <cellStyle name="Millares 2 80 3 3 2 4 3" xfId="21738" xr:uid="{00000000-0005-0000-0000-000035300000}"/>
    <cellStyle name="Millares 2 80 3 3 2 4 3 2" xfId="48871" xr:uid="{00000000-0005-0000-0000-000036300000}"/>
    <cellStyle name="Millares 2 80 3 3 2 4 4" xfId="35309" xr:uid="{00000000-0005-0000-0000-000037300000}"/>
    <cellStyle name="Millares 2 80 3 3 2 5" xfId="11562" xr:uid="{00000000-0005-0000-0000-000038300000}"/>
    <cellStyle name="Millares 2 80 3 3 2 5 2" xfId="25130" xr:uid="{00000000-0005-0000-0000-000039300000}"/>
    <cellStyle name="Millares 2 80 3 3 2 5 2 2" xfId="52263" xr:uid="{00000000-0005-0000-0000-00003A300000}"/>
    <cellStyle name="Millares 2 80 3 3 2 5 3" xfId="38701" xr:uid="{00000000-0005-0000-0000-00003B300000}"/>
    <cellStyle name="Millares 2 80 3 3 2 6" xfId="18349" xr:uid="{00000000-0005-0000-0000-00003C300000}"/>
    <cellStyle name="Millares 2 80 3 3 2 6 2" xfId="45482" xr:uid="{00000000-0005-0000-0000-00003D300000}"/>
    <cellStyle name="Millares 2 80 3 3 2 7" xfId="31920" xr:uid="{00000000-0005-0000-0000-00003E300000}"/>
    <cellStyle name="Millares 2 80 3 3 3" xfId="4555" xr:uid="{00000000-0005-0000-0000-00003F300000}"/>
    <cellStyle name="Millares 2 80 3 3 3 2" xfId="4556" xr:uid="{00000000-0005-0000-0000-000040300000}"/>
    <cellStyle name="Millares 2 80 3 3 3 2 2" xfId="8165" xr:uid="{00000000-0005-0000-0000-000041300000}"/>
    <cellStyle name="Millares 2 80 3 3 3 2 2 2" xfId="14955" xr:uid="{00000000-0005-0000-0000-000042300000}"/>
    <cellStyle name="Millares 2 80 3 3 3 2 2 2 2" xfId="28523" xr:uid="{00000000-0005-0000-0000-000043300000}"/>
    <cellStyle name="Millares 2 80 3 3 3 2 2 2 2 2" xfId="55656" xr:uid="{00000000-0005-0000-0000-000044300000}"/>
    <cellStyle name="Millares 2 80 3 3 3 2 2 2 3" xfId="42094" xr:uid="{00000000-0005-0000-0000-000045300000}"/>
    <cellStyle name="Millares 2 80 3 3 3 2 2 3" xfId="21742" xr:uid="{00000000-0005-0000-0000-000046300000}"/>
    <cellStyle name="Millares 2 80 3 3 3 2 2 3 2" xfId="48875" xr:uid="{00000000-0005-0000-0000-000047300000}"/>
    <cellStyle name="Millares 2 80 3 3 3 2 2 4" xfId="35313" xr:uid="{00000000-0005-0000-0000-000048300000}"/>
    <cellStyle name="Millares 2 80 3 3 3 2 3" xfId="11566" xr:uid="{00000000-0005-0000-0000-000049300000}"/>
    <cellStyle name="Millares 2 80 3 3 3 2 3 2" xfId="25134" xr:uid="{00000000-0005-0000-0000-00004A300000}"/>
    <cellStyle name="Millares 2 80 3 3 3 2 3 2 2" xfId="52267" xr:uid="{00000000-0005-0000-0000-00004B300000}"/>
    <cellStyle name="Millares 2 80 3 3 3 2 3 3" xfId="38705" xr:uid="{00000000-0005-0000-0000-00004C300000}"/>
    <cellStyle name="Millares 2 80 3 3 3 2 4" xfId="18353" xr:uid="{00000000-0005-0000-0000-00004D300000}"/>
    <cellStyle name="Millares 2 80 3 3 3 2 4 2" xfId="45486" xr:uid="{00000000-0005-0000-0000-00004E300000}"/>
    <cellStyle name="Millares 2 80 3 3 3 2 5" xfId="31924" xr:uid="{00000000-0005-0000-0000-00004F300000}"/>
    <cellStyle name="Millares 2 80 3 3 3 3" xfId="8164" xr:uid="{00000000-0005-0000-0000-000050300000}"/>
    <cellStyle name="Millares 2 80 3 3 3 3 2" xfId="14954" xr:uid="{00000000-0005-0000-0000-000051300000}"/>
    <cellStyle name="Millares 2 80 3 3 3 3 2 2" xfId="28522" xr:uid="{00000000-0005-0000-0000-000052300000}"/>
    <cellStyle name="Millares 2 80 3 3 3 3 2 2 2" xfId="55655" xr:uid="{00000000-0005-0000-0000-000053300000}"/>
    <cellStyle name="Millares 2 80 3 3 3 3 2 3" xfId="42093" xr:uid="{00000000-0005-0000-0000-000054300000}"/>
    <cellStyle name="Millares 2 80 3 3 3 3 3" xfId="21741" xr:uid="{00000000-0005-0000-0000-000055300000}"/>
    <cellStyle name="Millares 2 80 3 3 3 3 3 2" xfId="48874" xr:uid="{00000000-0005-0000-0000-000056300000}"/>
    <cellStyle name="Millares 2 80 3 3 3 3 4" xfId="35312" xr:uid="{00000000-0005-0000-0000-000057300000}"/>
    <cellStyle name="Millares 2 80 3 3 3 4" xfId="11565" xr:uid="{00000000-0005-0000-0000-000058300000}"/>
    <cellStyle name="Millares 2 80 3 3 3 4 2" xfId="25133" xr:uid="{00000000-0005-0000-0000-000059300000}"/>
    <cellStyle name="Millares 2 80 3 3 3 4 2 2" xfId="52266" xr:uid="{00000000-0005-0000-0000-00005A300000}"/>
    <cellStyle name="Millares 2 80 3 3 3 4 3" xfId="38704" xr:uid="{00000000-0005-0000-0000-00005B300000}"/>
    <cellStyle name="Millares 2 80 3 3 3 5" xfId="18352" xr:uid="{00000000-0005-0000-0000-00005C300000}"/>
    <cellStyle name="Millares 2 80 3 3 3 5 2" xfId="45485" xr:uid="{00000000-0005-0000-0000-00005D300000}"/>
    <cellStyle name="Millares 2 80 3 3 3 6" xfId="31923" xr:uid="{00000000-0005-0000-0000-00005E300000}"/>
    <cellStyle name="Millares 2 80 3 3 4" xfId="4557" xr:uid="{00000000-0005-0000-0000-00005F300000}"/>
    <cellStyle name="Millares 2 80 3 3 4 2" xfId="8166" xr:uid="{00000000-0005-0000-0000-000060300000}"/>
    <cellStyle name="Millares 2 80 3 3 4 2 2" xfId="14956" xr:uid="{00000000-0005-0000-0000-000061300000}"/>
    <cellStyle name="Millares 2 80 3 3 4 2 2 2" xfId="28524" xr:uid="{00000000-0005-0000-0000-000062300000}"/>
    <cellStyle name="Millares 2 80 3 3 4 2 2 2 2" xfId="55657" xr:uid="{00000000-0005-0000-0000-000063300000}"/>
    <cellStyle name="Millares 2 80 3 3 4 2 2 3" xfId="42095" xr:uid="{00000000-0005-0000-0000-000064300000}"/>
    <cellStyle name="Millares 2 80 3 3 4 2 3" xfId="21743" xr:uid="{00000000-0005-0000-0000-000065300000}"/>
    <cellStyle name="Millares 2 80 3 3 4 2 3 2" xfId="48876" xr:uid="{00000000-0005-0000-0000-000066300000}"/>
    <cellStyle name="Millares 2 80 3 3 4 2 4" xfId="35314" xr:uid="{00000000-0005-0000-0000-000067300000}"/>
    <cellStyle name="Millares 2 80 3 3 4 3" xfId="11567" xr:uid="{00000000-0005-0000-0000-000068300000}"/>
    <cellStyle name="Millares 2 80 3 3 4 3 2" xfId="25135" xr:uid="{00000000-0005-0000-0000-000069300000}"/>
    <cellStyle name="Millares 2 80 3 3 4 3 2 2" xfId="52268" xr:uid="{00000000-0005-0000-0000-00006A300000}"/>
    <cellStyle name="Millares 2 80 3 3 4 3 3" xfId="38706" xr:uid="{00000000-0005-0000-0000-00006B300000}"/>
    <cellStyle name="Millares 2 80 3 3 4 4" xfId="18354" xr:uid="{00000000-0005-0000-0000-00006C300000}"/>
    <cellStyle name="Millares 2 80 3 3 4 4 2" xfId="45487" xr:uid="{00000000-0005-0000-0000-00006D300000}"/>
    <cellStyle name="Millares 2 80 3 3 4 5" xfId="31925" xr:uid="{00000000-0005-0000-0000-00006E300000}"/>
    <cellStyle name="Millares 2 80 3 3 5" xfId="4558" xr:uid="{00000000-0005-0000-0000-00006F300000}"/>
    <cellStyle name="Millares 2 80 3 3 5 2" xfId="8167" xr:uid="{00000000-0005-0000-0000-000070300000}"/>
    <cellStyle name="Millares 2 80 3 3 5 2 2" xfId="14957" xr:uid="{00000000-0005-0000-0000-000071300000}"/>
    <cellStyle name="Millares 2 80 3 3 5 2 2 2" xfId="28525" xr:uid="{00000000-0005-0000-0000-000072300000}"/>
    <cellStyle name="Millares 2 80 3 3 5 2 2 2 2" xfId="55658" xr:uid="{00000000-0005-0000-0000-000073300000}"/>
    <cellStyle name="Millares 2 80 3 3 5 2 2 3" xfId="42096" xr:uid="{00000000-0005-0000-0000-000074300000}"/>
    <cellStyle name="Millares 2 80 3 3 5 2 3" xfId="21744" xr:uid="{00000000-0005-0000-0000-000075300000}"/>
    <cellStyle name="Millares 2 80 3 3 5 2 3 2" xfId="48877" xr:uid="{00000000-0005-0000-0000-000076300000}"/>
    <cellStyle name="Millares 2 80 3 3 5 2 4" xfId="35315" xr:uid="{00000000-0005-0000-0000-000077300000}"/>
    <cellStyle name="Millares 2 80 3 3 5 3" xfId="11568" xr:uid="{00000000-0005-0000-0000-000078300000}"/>
    <cellStyle name="Millares 2 80 3 3 5 3 2" xfId="25136" xr:uid="{00000000-0005-0000-0000-000079300000}"/>
    <cellStyle name="Millares 2 80 3 3 5 3 2 2" xfId="52269" xr:uid="{00000000-0005-0000-0000-00007A300000}"/>
    <cellStyle name="Millares 2 80 3 3 5 3 3" xfId="38707" xr:uid="{00000000-0005-0000-0000-00007B300000}"/>
    <cellStyle name="Millares 2 80 3 3 5 4" xfId="18355" xr:uid="{00000000-0005-0000-0000-00007C300000}"/>
    <cellStyle name="Millares 2 80 3 3 5 4 2" xfId="45488" xr:uid="{00000000-0005-0000-0000-00007D300000}"/>
    <cellStyle name="Millares 2 80 3 3 5 5" xfId="31926" xr:uid="{00000000-0005-0000-0000-00007E300000}"/>
    <cellStyle name="Millares 2 80 3 3 6" xfId="8160" xr:uid="{00000000-0005-0000-0000-00007F300000}"/>
    <cellStyle name="Millares 2 80 3 3 6 2" xfId="14950" xr:uid="{00000000-0005-0000-0000-000080300000}"/>
    <cellStyle name="Millares 2 80 3 3 6 2 2" xfId="28518" xr:uid="{00000000-0005-0000-0000-000081300000}"/>
    <cellStyle name="Millares 2 80 3 3 6 2 2 2" xfId="55651" xr:uid="{00000000-0005-0000-0000-000082300000}"/>
    <cellStyle name="Millares 2 80 3 3 6 2 3" xfId="42089" xr:uid="{00000000-0005-0000-0000-000083300000}"/>
    <cellStyle name="Millares 2 80 3 3 6 3" xfId="21737" xr:uid="{00000000-0005-0000-0000-000084300000}"/>
    <cellStyle name="Millares 2 80 3 3 6 3 2" xfId="48870" xr:uid="{00000000-0005-0000-0000-000085300000}"/>
    <cellStyle name="Millares 2 80 3 3 6 4" xfId="35308" xr:uid="{00000000-0005-0000-0000-000086300000}"/>
    <cellStyle name="Millares 2 80 3 3 7" xfId="11561" xr:uid="{00000000-0005-0000-0000-000087300000}"/>
    <cellStyle name="Millares 2 80 3 3 7 2" xfId="25129" xr:uid="{00000000-0005-0000-0000-000088300000}"/>
    <cellStyle name="Millares 2 80 3 3 7 2 2" xfId="52262" xr:uid="{00000000-0005-0000-0000-000089300000}"/>
    <cellStyle name="Millares 2 80 3 3 7 3" xfId="38700" xr:uid="{00000000-0005-0000-0000-00008A300000}"/>
    <cellStyle name="Millares 2 80 3 3 8" xfId="18348" xr:uid="{00000000-0005-0000-0000-00008B300000}"/>
    <cellStyle name="Millares 2 80 3 3 8 2" xfId="45481" xr:uid="{00000000-0005-0000-0000-00008C300000}"/>
    <cellStyle name="Millares 2 80 3 3 9" xfId="31919" xr:uid="{00000000-0005-0000-0000-00008D300000}"/>
    <cellStyle name="Millares 2 80 3 4" xfId="4559" xr:uid="{00000000-0005-0000-0000-00008E300000}"/>
    <cellStyle name="Millares 2 80 3 4 2" xfId="4560" xr:uid="{00000000-0005-0000-0000-00008F300000}"/>
    <cellStyle name="Millares 2 80 3 4 2 2" xfId="4561" xr:uid="{00000000-0005-0000-0000-000090300000}"/>
    <cellStyle name="Millares 2 80 3 4 2 2 2" xfId="8170" xr:uid="{00000000-0005-0000-0000-000091300000}"/>
    <cellStyle name="Millares 2 80 3 4 2 2 2 2" xfId="14960" xr:uid="{00000000-0005-0000-0000-000092300000}"/>
    <cellStyle name="Millares 2 80 3 4 2 2 2 2 2" xfId="28528" xr:uid="{00000000-0005-0000-0000-000093300000}"/>
    <cellStyle name="Millares 2 80 3 4 2 2 2 2 2 2" xfId="55661" xr:uid="{00000000-0005-0000-0000-000094300000}"/>
    <cellStyle name="Millares 2 80 3 4 2 2 2 2 3" xfId="42099" xr:uid="{00000000-0005-0000-0000-000095300000}"/>
    <cellStyle name="Millares 2 80 3 4 2 2 2 3" xfId="21747" xr:uid="{00000000-0005-0000-0000-000096300000}"/>
    <cellStyle name="Millares 2 80 3 4 2 2 2 3 2" xfId="48880" xr:uid="{00000000-0005-0000-0000-000097300000}"/>
    <cellStyle name="Millares 2 80 3 4 2 2 2 4" xfId="35318" xr:uid="{00000000-0005-0000-0000-000098300000}"/>
    <cellStyle name="Millares 2 80 3 4 2 2 3" xfId="11571" xr:uid="{00000000-0005-0000-0000-000099300000}"/>
    <cellStyle name="Millares 2 80 3 4 2 2 3 2" xfId="25139" xr:uid="{00000000-0005-0000-0000-00009A300000}"/>
    <cellStyle name="Millares 2 80 3 4 2 2 3 2 2" xfId="52272" xr:uid="{00000000-0005-0000-0000-00009B300000}"/>
    <cellStyle name="Millares 2 80 3 4 2 2 3 3" xfId="38710" xr:uid="{00000000-0005-0000-0000-00009C300000}"/>
    <cellStyle name="Millares 2 80 3 4 2 2 4" xfId="18358" xr:uid="{00000000-0005-0000-0000-00009D300000}"/>
    <cellStyle name="Millares 2 80 3 4 2 2 4 2" xfId="45491" xr:uid="{00000000-0005-0000-0000-00009E300000}"/>
    <cellStyle name="Millares 2 80 3 4 2 2 5" xfId="31929" xr:uid="{00000000-0005-0000-0000-00009F300000}"/>
    <cellStyle name="Millares 2 80 3 4 2 3" xfId="4562" xr:uid="{00000000-0005-0000-0000-0000A0300000}"/>
    <cellStyle name="Millares 2 80 3 4 2 3 2" xfId="8171" xr:uid="{00000000-0005-0000-0000-0000A1300000}"/>
    <cellStyle name="Millares 2 80 3 4 2 3 2 2" xfId="14961" xr:uid="{00000000-0005-0000-0000-0000A2300000}"/>
    <cellStyle name="Millares 2 80 3 4 2 3 2 2 2" xfId="28529" xr:uid="{00000000-0005-0000-0000-0000A3300000}"/>
    <cellStyle name="Millares 2 80 3 4 2 3 2 2 2 2" xfId="55662" xr:uid="{00000000-0005-0000-0000-0000A4300000}"/>
    <cellStyle name="Millares 2 80 3 4 2 3 2 2 3" xfId="42100" xr:uid="{00000000-0005-0000-0000-0000A5300000}"/>
    <cellStyle name="Millares 2 80 3 4 2 3 2 3" xfId="21748" xr:uid="{00000000-0005-0000-0000-0000A6300000}"/>
    <cellStyle name="Millares 2 80 3 4 2 3 2 3 2" xfId="48881" xr:uid="{00000000-0005-0000-0000-0000A7300000}"/>
    <cellStyle name="Millares 2 80 3 4 2 3 2 4" xfId="35319" xr:uid="{00000000-0005-0000-0000-0000A8300000}"/>
    <cellStyle name="Millares 2 80 3 4 2 3 3" xfId="11572" xr:uid="{00000000-0005-0000-0000-0000A9300000}"/>
    <cellStyle name="Millares 2 80 3 4 2 3 3 2" xfId="25140" xr:uid="{00000000-0005-0000-0000-0000AA300000}"/>
    <cellStyle name="Millares 2 80 3 4 2 3 3 2 2" xfId="52273" xr:uid="{00000000-0005-0000-0000-0000AB300000}"/>
    <cellStyle name="Millares 2 80 3 4 2 3 3 3" xfId="38711" xr:uid="{00000000-0005-0000-0000-0000AC300000}"/>
    <cellStyle name="Millares 2 80 3 4 2 3 4" xfId="18359" xr:uid="{00000000-0005-0000-0000-0000AD300000}"/>
    <cellStyle name="Millares 2 80 3 4 2 3 4 2" xfId="45492" xr:uid="{00000000-0005-0000-0000-0000AE300000}"/>
    <cellStyle name="Millares 2 80 3 4 2 3 5" xfId="31930" xr:uid="{00000000-0005-0000-0000-0000AF300000}"/>
    <cellStyle name="Millares 2 80 3 4 2 4" xfId="8169" xr:uid="{00000000-0005-0000-0000-0000B0300000}"/>
    <cellStyle name="Millares 2 80 3 4 2 4 2" xfId="14959" xr:uid="{00000000-0005-0000-0000-0000B1300000}"/>
    <cellStyle name="Millares 2 80 3 4 2 4 2 2" xfId="28527" xr:uid="{00000000-0005-0000-0000-0000B2300000}"/>
    <cellStyle name="Millares 2 80 3 4 2 4 2 2 2" xfId="55660" xr:uid="{00000000-0005-0000-0000-0000B3300000}"/>
    <cellStyle name="Millares 2 80 3 4 2 4 2 3" xfId="42098" xr:uid="{00000000-0005-0000-0000-0000B4300000}"/>
    <cellStyle name="Millares 2 80 3 4 2 4 3" xfId="21746" xr:uid="{00000000-0005-0000-0000-0000B5300000}"/>
    <cellStyle name="Millares 2 80 3 4 2 4 3 2" xfId="48879" xr:uid="{00000000-0005-0000-0000-0000B6300000}"/>
    <cellStyle name="Millares 2 80 3 4 2 4 4" xfId="35317" xr:uid="{00000000-0005-0000-0000-0000B7300000}"/>
    <cellStyle name="Millares 2 80 3 4 2 5" xfId="11570" xr:uid="{00000000-0005-0000-0000-0000B8300000}"/>
    <cellStyle name="Millares 2 80 3 4 2 5 2" xfId="25138" xr:uid="{00000000-0005-0000-0000-0000B9300000}"/>
    <cellStyle name="Millares 2 80 3 4 2 5 2 2" xfId="52271" xr:uid="{00000000-0005-0000-0000-0000BA300000}"/>
    <cellStyle name="Millares 2 80 3 4 2 5 3" xfId="38709" xr:uid="{00000000-0005-0000-0000-0000BB300000}"/>
    <cellStyle name="Millares 2 80 3 4 2 6" xfId="18357" xr:uid="{00000000-0005-0000-0000-0000BC300000}"/>
    <cellStyle name="Millares 2 80 3 4 2 6 2" xfId="45490" xr:uid="{00000000-0005-0000-0000-0000BD300000}"/>
    <cellStyle name="Millares 2 80 3 4 2 7" xfId="31928" xr:uid="{00000000-0005-0000-0000-0000BE300000}"/>
    <cellStyle name="Millares 2 80 3 4 3" xfId="4563" xr:uid="{00000000-0005-0000-0000-0000BF300000}"/>
    <cellStyle name="Millares 2 80 3 4 3 2" xfId="8172" xr:uid="{00000000-0005-0000-0000-0000C0300000}"/>
    <cellStyle name="Millares 2 80 3 4 3 2 2" xfId="14962" xr:uid="{00000000-0005-0000-0000-0000C1300000}"/>
    <cellStyle name="Millares 2 80 3 4 3 2 2 2" xfId="28530" xr:uid="{00000000-0005-0000-0000-0000C2300000}"/>
    <cellStyle name="Millares 2 80 3 4 3 2 2 2 2" xfId="55663" xr:uid="{00000000-0005-0000-0000-0000C3300000}"/>
    <cellStyle name="Millares 2 80 3 4 3 2 2 3" xfId="42101" xr:uid="{00000000-0005-0000-0000-0000C4300000}"/>
    <cellStyle name="Millares 2 80 3 4 3 2 3" xfId="21749" xr:uid="{00000000-0005-0000-0000-0000C5300000}"/>
    <cellStyle name="Millares 2 80 3 4 3 2 3 2" xfId="48882" xr:uid="{00000000-0005-0000-0000-0000C6300000}"/>
    <cellStyle name="Millares 2 80 3 4 3 2 4" xfId="35320" xr:uid="{00000000-0005-0000-0000-0000C7300000}"/>
    <cellStyle name="Millares 2 80 3 4 3 3" xfId="11573" xr:uid="{00000000-0005-0000-0000-0000C8300000}"/>
    <cellStyle name="Millares 2 80 3 4 3 3 2" xfId="25141" xr:uid="{00000000-0005-0000-0000-0000C9300000}"/>
    <cellStyle name="Millares 2 80 3 4 3 3 2 2" xfId="52274" xr:uid="{00000000-0005-0000-0000-0000CA300000}"/>
    <cellStyle name="Millares 2 80 3 4 3 3 3" xfId="38712" xr:uid="{00000000-0005-0000-0000-0000CB300000}"/>
    <cellStyle name="Millares 2 80 3 4 3 4" xfId="18360" xr:uid="{00000000-0005-0000-0000-0000CC300000}"/>
    <cellStyle name="Millares 2 80 3 4 3 4 2" xfId="45493" xr:uid="{00000000-0005-0000-0000-0000CD300000}"/>
    <cellStyle name="Millares 2 80 3 4 3 5" xfId="31931" xr:uid="{00000000-0005-0000-0000-0000CE300000}"/>
    <cellStyle name="Millares 2 80 3 4 4" xfId="4564" xr:uid="{00000000-0005-0000-0000-0000CF300000}"/>
    <cellStyle name="Millares 2 80 3 4 4 2" xfId="8173" xr:uid="{00000000-0005-0000-0000-0000D0300000}"/>
    <cellStyle name="Millares 2 80 3 4 4 2 2" xfId="14963" xr:uid="{00000000-0005-0000-0000-0000D1300000}"/>
    <cellStyle name="Millares 2 80 3 4 4 2 2 2" xfId="28531" xr:uid="{00000000-0005-0000-0000-0000D2300000}"/>
    <cellStyle name="Millares 2 80 3 4 4 2 2 2 2" xfId="55664" xr:uid="{00000000-0005-0000-0000-0000D3300000}"/>
    <cellStyle name="Millares 2 80 3 4 4 2 2 3" xfId="42102" xr:uid="{00000000-0005-0000-0000-0000D4300000}"/>
    <cellStyle name="Millares 2 80 3 4 4 2 3" xfId="21750" xr:uid="{00000000-0005-0000-0000-0000D5300000}"/>
    <cellStyle name="Millares 2 80 3 4 4 2 3 2" xfId="48883" xr:uid="{00000000-0005-0000-0000-0000D6300000}"/>
    <cellStyle name="Millares 2 80 3 4 4 2 4" xfId="35321" xr:uid="{00000000-0005-0000-0000-0000D7300000}"/>
    <cellStyle name="Millares 2 80 3 4 4 3" xfId="11574" xr:uid="{00000000-0005-0000-0000-0000D8300000}"/>
    <cellStyle name="Millares 2 80 3 4 4 3 2" xfId="25142" xr:uid="{00000000-0005-0000-0000-0000D9300000}"/>
    <cellStyle name="Millares 2 80 3 4 4 3 2 2" xfId="52275" xr:uid="{00000000-0005-0000-0000-0000DA300000}"/>
    <cellStyle name="Millares 2 80 3 4 4 3 3" xfId="38713" xr:uid="{00000000-0005-0000-0000-0000DB300000}"/>
    <cellStyle name="Millares 2 80 3 4 4 4" xfId="18361" xr:uid="{00000000-0005-0000-0000-0000DC300000}"/>
    <cellStyle name="Millares 2 80 3 4 4 4 2" xfId="45494" xr:uid="{00000000-0005-0000-0000-0000DD300000}"/>
    <cellStyle name="Millares 2 80 3 4 4 5" xfId="31932" xr:uid="{00000000-0005-0000-0000-0000DE300000}"/>
    <cellStyle name="Millares 2 80 3 4 5" xfId="8168" xr:uid="{00000000-0005-0000-0000-0000DF300000}"/>
    <cellStyle name="Millares 2 80 3 4 5 2" xfId="14958" xr:uid="{00000000-0005-0000-0000-0000E0300000}"/>
    <cellStyle name="Millares 2 80 3 4 5 2 2" xfId="28526" xr:uid="{00000000-0005-0000-0000-0000E1300000}"/>
    <cellStyle name="Millares 2 80 3 4 5 2 2 2" xfId="55659" xr:uid="{00000000-0005-0000-0000-0000E2300000}"/>
    <cellStyle name="Millares 2 80 3 4 5 2 3" xfId="42097" xr:uid="{00000000-0005-0000-0000-0000E3300000}"/>
    <cellStyle name="Millares 2 80 3 4 5 3" xfId="21745" xr:uid="{00000000-0005-0000-0000-0000E4300000}"/>
    <cellStyle name="Millares 2 80 3 4 5 3 2" xfId="48878" xr:uid="{00000000-0005-0000-0000-0000E5300000}"/>
    <cellStyle name="Millares 2 80 3 4 5 4" xfId="35316" xr:uid="{00000000-0005-0000-0000-0000E6300000}"/>
    <cellStyle name="Millares 2 80 3 4 6" xfId="11569" xr:uid="{00000000-0005-0000-0000-0000E7300000}"/>
    <cellStyle name="Millares 2 80 3 4 6 2" xfId="25137" xr:uid="{00000000-0005-0000-0000-0000E8300000}"/>
    <cellStyle name="Millares 2 80 3 4 6 2 2" xfId="52270" xr:uid="{00000000-0005-0000-0000-0000E9300000}"/>
    <cellStyle name="Millares 2 80 3 4 6 3" xfId="38708" xr:uid="{00000000-0005-0000-0000-0000EA300000}"/>
    <cellStyle name="Millares 2 80 3 4 7" xfId="18356" xr:uid="{00000000-0005-0000-0000-0000EB300000}"/>
    <cellStyle name="Millares 2 80 3 4 7 2" xfId="45489" xr:uid="{00000000-0005-0000-0000-0000EC300000}"/>
    <cellStyle name="Millares 2 80 3 4 8" xfId="31927" xr:uid="{00000000-0005-0000-0000-0000ED300000}"/>
    <cellStyle name="Millares 2 80 3 5" xfId="4565" xr:uid="{00000000-0005-0000-0000-0000EE300000}"/>
    <cellStyle name="Millares 2 80 3 5 2" xfId="4566" xr:uid="{00000000-0005-0000-0000-0000EF300000}"/>
    <cellStyle name="Millares 2 80 3 5 2 2" xfId="4567" xr:uid="{00000000-0005-0000-0000-0000F0300000}"/>
    <cellStyle name="Millares 2 80 3 5 2 2 2" xfId="8176" xr:uid="{00000000-0005-0000-0000-0000F1300000}"/>
    <cellStyle name="Millares 2 80 3 5 2 2 2 2" xfId="14966" xr:uid="{00000000-0005-0000-0000-0000F2300000}"/>
    <cellStyle name="Millares 2 80 3 5 2 2 2 2 2" xfId="28534" xr:uid="{00000000-0005-0000-0000-0000F3300000}"/>
    <cellStyle name="Millares 2 80 3 5 2 2 2 2 2 2" xfId="55667" xr:uid="{00000000-0005-0000-0000-0000F4300000}"/>
    <cellStyle name="Millares 2 80 3 5 2 2 2 2 3" xfId="42105" xr:uid="{00000000-0005-0000-0000-0000F5300000}"/>
    <cellStyle name="Millares 2 80 3 5 2 2 2 3" xfId="21753" xr:uid="{00000000-0005-0000-0000-0000F6300000}"/>
    <cellStyle name="Millares 2 80 3 5 2 2 2 3 2" xfId="48886" xr:uid="{00000000-0005-0000-0000-0000F7300000}"/>
    <cellStyle name="Millares 2 80 3 5 2 2 2 4" xfId="35324" xr:uid="{00000000-0005-0000-0000-0000F8300000}"/>
    <cellStyle name="Millares 2 80 3 5 2 2 3" xfId="11577" xr:uid="{00000000-0005-0000-0000-0000F9300000}"/>
    <cellStyle name="Millares 2 80 3 5 2 2 3 2" xfId="25145" xr:uid="{00000000-0005-0000-0000-0000FA300000}"/>
    <cellStyle name="Millares 2 80 3 5 2 2 3 2 2" xfId="52278" xr:uid="{00000000-0005-0000-0000-0000FB300000}"/>
    <cellStyle name="Millares 2 80 3 5 2 2 3 3" xfId="38716" xr:uid="{00000000-0005-0000-0000-0000FC300000}"/>
    <cellStyle name="Millares 2 80 3 5 2 2 4" xfId="18364" xr:uid="{00000000-0005-0000-0000-0000FD300000}"/>
    <cellStyle name="Millares 2 80 3 5 2 2 4 2" xfId="45497" xr:uid="{00000000-0005-0000-0000-0000FE300000}"/>
    <cellStyle name="Millares 2 80 3 5 2 2 5" xfId="31935" xr:uid="{00000000-0005-0000-0000-0000FF300000}"/>
    <cellStyle name="Millares 2 80 3 5 2 3" xfId="4568" xr:uid="{00000000-0005-0000-0000-000000310000}"/>
    <cellStyle name="Millares 2 80 3 5 2 3 2" xfId="8177" xr:uid="{00000000-0005-0000-0000-000001310000}"/>
    <cellStyle name="Millares 2 80 3 5 2 3 2 2" xfId="14967" xr:uid="{00000000-0005-0000-0000-000002310000}"/>
    <cellStyle name="Millares 2 80 3 5 2 3 2 2 2" xfId="28535" xr:uid="{00000000-0005-0000-0000-000003310000}"/>
    <cellStyle name="Millares 2 80 3 5 2 3 2 2 2 2" xfId="55668" xr:uid="{00000000-0005-0000-0000-000004310000}"/>
    <cellStyle name="Millares 2 80 3 5 2 3 2 2 3" xfId="42106" xr:uid="{00000000-0005-0000-0000-000005310000}"/>
    <cellStyle name="Millares 2 80 3 5 2 3 2 3" xfId="21754" xr:uid="{00000000-0005-0000-0000-000006310000}"/>
    <cellStyle name="Millares 2 80 3 5 2 3 2 3 2" xfId="48887" xr:uid="{00000000-0005-0000-0000-000007310000}"/>
    <cellStyle name="Millares 2 80 3 5 2 3 2 4" xfId="35325" xr:uid="{00000000-0005-0000-0000-000008310000}"/>
    <cellStyle name="Millares 2 80 3 5 2 3 3" xfId="11578" xr:uid="{00000000-0005-0000-0000-000009310000}"/>
    <cellStyle name="Millares 2 80 3 5 2 3 3 2" xfId="25146" xr:uid="{00000000-0005-0000-0000-00000A310000}"/>
    <cellStyle name="Millares 2 80 3 5 2 3 3 2 2" xfId="52279" xr:uid="{00000000-0005-0000-0000-00000B310000}"/>
    <cellStyle name="Millares 2 80 3 5 2 3 3 3" xfId="38717" xr:uid="{00000000-0005-0000-0000-00000C310000}"/>
    <cellStyle name="Millares 2 80 3 5 2 3 4" xfId="18365" xr:uid="{00000000-0005-0000-0000-00000D310000}"/>
    <cellStyle name="Millares 2 80 3 5 2 3 4 2" xfId="45498" xr:uid="{00000000-0005-0000-0000-00000E310000}"/>
    <cellStyle name="Millares 2 80 3 5 2 3 5" xfId="31936" xr:uid="{00000000-0005-0000-0000-00000F310000}"/>
    <cellStyle name="Millares 2 80 3 5 2 4" xfId="8175" xr:uid="{00000000-0005-0000-0000-000010310000}"/>
    <cellStyle name="Millares 2 80 3 5 2 4 2" xfId="14965" xr:uid="{00000000-0005-0000-0000-000011310000}"/>
    <cellStyle name="Millares 2 80 3 5 2 4 2 2" xfId="28533" xr:uid="{00000000-0005-0000-0000-000012310000}"/>
    <cellStyle name="Millares 2 80 3 5 2 4 2 2 2" xfId="55666" xr:uid="{00000000-0005-0000-0000-000013310000}"/>
    <cellStyle name="Millares 2 80 3 5 2 4 2 3" xfId="42104" xr:uid="{00000000-0005-0000-0000-000014310000}"/>
    <cellStyle name="Millares 2 80 3 5 2 4 3" xfId="21752" xr:uid="{00000000-0005-0000-0000-000015310000}"/>
    <cellStyle name="Millares 2 80 3 5 2 4 3 2" xfId="48885" xr:uid="{00000000-0005-0000-0000-000016310000}"/>
    <cellStyle name="Millares 2 80 3 5 2 4 4" xfId="35323" xr:uid="{00000000-0005-0000-0000-000017310000}"/>
    <cellStyle name="Millares 2 80 3 5 2 5" xfId="11576" xr:uid="{00000000-0005-0000-0000-000018310000}"/>
    <cellStyle name="Millares 2 80 3 5 2 5 2" xfId="25144" xr:uid="{00000000-0005-0000-0000-000019310000}"/>
    <cellStyle name="Millares 2 80 3 5 2 5 2 2" xfId="52277" xr:uid="{00000000-0005-0000-0000-00001A310000}"/>
    <cellStyle name="Millares 2 80 3 5 2 5 3" xfId="38715" xr:uid="{00000000-0005-0000-0000-00001B310000}"/>
    <cellStyle name="Millares 2 80 3 5 2 6" xfId="18363" xr:uid="{00000000-0005-0000-0000-00001C310000}"/>
    <cellStyle name="Millares 2 80 3 5 2 6 2" xfId="45496" xr:uid="{00000000-0005-0000-0000-00001D310000}"/>
    <cellStyle name="Millares 2 80 3 5 2 7" xfId="31934" xr:uid="{00000000-0005-0000-0000-00001E310000}"/>
    <cellStyle name="Millares 2 80 3 5 3" xfId="4569" xr:uid="{00000000-0005-0000-0000-00001F310000}"/>
    <cellStyle name="Millares 2 80 3 5 3 2" xfId="8178" xr:uid="{00000000-0005-0000-0000-000020310000}"/>
    <cellStyle name="Millares 2 80 3 5 3 2 2" xfId="14968" xr:uid="{00000000-0005-0000-0000-000021310000}"/>
    <cellStyle name="Millares 2 80 3 5 3 2 2 2" xfId="28536" xr:uid="{00000000-0005-0000-0000-000022310000}"/>
    <cellStyle name="Millares 2 80 3 5 3 2 2 2 2" xfId="55669" xr:uid="{00000000-0005-0000-0000-000023310000}"/>
    <cellStyle name="Millares 2 80 3 5 3 2 2 3" xfId="42107" xr:uid="{00000000-0005-0000-0000-000024310000}"/>
    <cellStyle name="Millares 2 80 3 5 3 2 3" xfId="21755" xr:uid="{00000000-0005-0000-0000-000025310000}"/>
    <cellStyle name="Millares 2 80 3 5 3 2 3 2" xfId="48888" xr:uid="{00000000-0005-0000-0000-000026310000}"/>
    <cellStyle name="Millares 2 80 3 5 3 2 4" xfId="35326" xr:uid="{00000000-0005-0000-0000-000027310000}"/>
    <cellStyle name="Millares 2 80 3 5 3 3" xfId="11579" xr:uid="{00000000-0005-0000-0000-000028310000}"/>
    <cellStyle name="Millares 2 80 3 5 3 3 2" xfId="25147" xr:uid="{00000000-0005-0000-0000-000029310000}"/>
    <cellStyle name="Millares 2 80 3 5 3 3 2 2" xfId="52280" xr:uid="{00000000-0005-0000-0000-00002A310000}"/>
    <cellStyle name="Millares 2 80 3 5 3 3 3" xfId="38718" xr:uid="{00000000-0005-0000-0000-00002B310000}"/>
    <cellStyle name="Millares 2 80 3 5 3 4" xfId="18366" xr:uid="{00000000-0005-0000-0000-00002C310000}"/>
    <cellStyle name="Millares 2 80 3 5 3 4 2" xfId="45499" xr:uid="{00000000-0005-0000-0000-00002D310000}"/>
    <cellStyle name="Millares 2 80 3 5 3 5" xfId="31937" xr:uid="{00000000-0005-0000-0000-00002E310000}"/>
    <cellStyle name="Millares 2 80 3 5 4" xfId="4570" xr:uid="{00000000-0005-0000-0000-00002F310000}"/>
    <cellStyle name="Millares 2 80 3 5 4 2" xfId="8179" xr:uid="{00000000-0005-0000-0000-000030310000}"/>
    <cellStyle name="Millares 2 80 3 5 4 2 2" xfId="14969" xr:uid="{00000000-0005-0000-0000-000031310000}"/>
    <cellStyle name="Millares 2 80 3 5 4 2 2 2" xfId="28537" xr:uid="{00000000-0005-0000-0000-000032310000}"/>
    <cellStyle name="Millares 2 80 3 5 4 2 2 2 2" xfId="55670" xr:uid="{00000000-0005-0000-0000-000033310000}"/>
    <cellStyle name="Millares 2 80 3 5 4 2 2 3" xfId="42108" xr:uid="{00000000-0005-0000-0000-000034310000}"/>
    <cellStyle name="Millares 2 80 3 5 4 2 3" xfId="21756" xr:uid="{00000000-0005-0000-0000-000035310000}"/>
    <cellStyle name="Millares 2 80 3 5 4 2 3 2" xfId="48889" xr:uid="{00000000-0005-0000-0000-000036310000}"/>
    <cellStyle name="Millares 2 80 3 5 4 2 4" xfId="35327" xr:uid="{00000000-0005-0000-0000-000037310000}"/>
    <cellStyle name="Millares 2 80 3 5 4 3" xfId="11580" xr:uid="{00000000-0005-0000-0000-000038310000}"/>
    <cellStyle name="Millares 2 80 3 5 4 3 2" xfId="25148" xr:uid="{00000000-0005-0000-0000-000039310000}"/>
    <cellStyle name="Millares 2 80 3 5 4 3 2 2" xfId="52281" xr:uid="{00000000-0005-0000-0000-00003A310000}"/>
    <cellStyle name="Millares 2 80 3 5 4 3 3" xfId="38719" xr:uid="{00000000-0005-0000-0000-00003B310000}"/>
    <cellStyle name="Millares 2 80 3 5 4 4" xfId="18367" xr:uid="{00000000-0005-0000-0000-00003C310000}"/>
    <cellStyle name="Millares 2 80 3 5 4 4 2" xfId="45500" xr:uid="{00000000-0005-0000-0000-00003D310000}"/>
    <cellStyle name="Millares 2 80 3 5 4 5" xfId="31938" xr:uid="{00000000-0005-0000-0000-00003E310000}"/>
    <cellStyle name="Millares 2 80 3 5 5" xfId="8174" xr:uid="{00000000-0005-0000-0000-00003F310000}"/>
    <cellStyle name="Millares 2 80 3 5 5 2" xfId="14964" xr:uid="{00000000-0005-0000-0000-000040310000}"/>
    <cellStyle name="Millares 2 80 3 5 5 2 2" xfId="28532" xr:uid="{00000000-0005-0000-0000-000041310000}"/>
    <cellStyle name="Millares 2 80 3 5 5 2 2 2" xfId="55665" xr:uid="{00000000-0005-0000-0000-000042310000}"/>
    <cellStyle name="Millares 2 80 3 5 5 2 3" xfId="42103" xr:uid="{00000000-0005-0000-0000-000043310000}"/>
    <cellStyle name="Millares 2 80 3 5 5 3" xfId="21751" xr:uid="{00000000-0005-0000-0000-000044310000}"/>
    <cellStyle name="Millares 2 80 3 5 5 3 2" xfId="48884" xr:uid="{00000000-0005-0000-0000-000045310000}"/>
    <cellStyle name="Millares 2 80 3 5 5 4" xfId="35322" xr:uid="{00000000-0005-0000-0000-000046310000}"/>
    <cellStyle name="Millares 2 80 3 5 6" xfId="11575" xr:uid="{00000000-0005-0000-0000-000047310000}"/>
    <cellStyle name="Millares 2 80 3 5 6 2" xfId="25143" xr:uid="{00000000-0005-0000-0000-000048310000}"/>
    <cellStyle name="Millares 2 80 3 5 6 2 2" xfId="52276" xr:uid="{00000000-0005-0000-0000-000049310000}"/>
    <cellStyle name="Millares 2 80 3 5 6 3" xfId="38714" xr:uid="{00000000-0005-0000-0000-00004A310000}"/>
    <cellStyle name="Millares 2 80 3 5 7" xfId="18362" xr:uid="{00000000-0005-0000-0000-00004B310000}"/>
    <cellStyle name="Millares 2 80 3 5 7 2" xfId="45495" xr:uid="{00000000-0005-0000-0000-00004C310000}"/>
    <cellStyle name="Millares 2 80 3 5 8" xfId="31933" xr:uid="{00000000-0005-0000-0000-00004D310000}"/>
    <cellStyle name="Millares 2 80 3 6" xfId="4571" xr:uid="{00000000-0005-0000-0000-00004E310000}"/>
    <cellStyle name="Millares 2 80 3 6 2" xfId="4572" xr:uid="{00000000-0005-0000-0000-00004F310000}"/>
    <cellStyle name="Millares 2 80 3 6 2 2" xfId="8181" xr:uid="{00000000-0005-0000-0000-000050310000}"/>
    <cellStyle name="Millares 2 80 3 6 2 2 2" xfId="14971" xr:uid="{00000000-0005-0000-0000-000051310000}"/>
    <cellStyle name="Millares 2 80 3 6 2 2 2 2" xfId="28539" xr:uid="{00000000-0005-0000-0000-000052310000}"/>
    <cellStyle name="Millares 2 80 3 6 2 2 2 2 2" xfId="55672" xr:uid="{00000000-0005-0000-0000-000053310000}"/>
    <cellStyle name="Millares 2 80 3 6 2 2 2 3" xfId="42110" xr:uid="{00000000-0005-0000-0000-000054310000}"/>
    <cellStyle name="Millares 2 80 3 6 2 2 3" xfId="21758" xr:uid="{00000000-0005-0000-0000-000055310000}"/>
    <cellStyle name="Millares 2 80 3 6 2 2 3 2" xfId="48891" xr:uid="{00000000-0005-0000-0000-000056310000}"/>
    <cellStyle name="Millares 2 80 3 6 2 2 4" xfId="35329" xr:uid="{00000000-0005-0000-0000-000057310000}"/>
    <cellStyle name="Millares 2 80 3 6 2 3" xfId="11582" xr:uid="{00000000-0005-0000-0000-000058310000}"/>
    <cellStyle name="Millares 2 80 3 6 2 3 2" xfId="25150" xr:uid="{00000000-0005-0000-0000-000059310000}"/>
    <cellStyle name="Millares 2 80 3 6 2 3 2 2" xfId="52283" xr:uid="{00000000-0005-0000-0000-00005A310000}"/>
    <cellStyle name="Millares 2 80 3 6 2 3 3" xfId="38721" xr:uid="{00000000-0005-0000-0000-00005B310000}"/>
    <cellStyle name="Millares 2 80 3 6 2 4" xfId="18369" xr:uid="{00000000-0005-0000-0000-00005C310000}"/>
    <cellStyle name="Millares 2 80 3 6 2 4 2" xfId="45502" xr:uid="{00000000-0005-0000-0000-00005D310000}"/>
    <cellStyle name="Millares 2 80 3 6 2 5" xfId="31940" xr:uid="{00000000-0005-0000-0000-00005E310000}"/>
    <cellStyle name="Millares 2 80 3 6 3" xfId="4573" xr:uid="{00000000-0005-0000-0000-00005F310000}"/>
    <cellStyle name="Millares 2 80 3 6 3 2" xfId="8182" xr:uid="{00000000-0005-0000-0000-000060310000}"/>
    <cellStyle name="Millares 2 80 3 6 3 2 2" xfId="14972" xr:uid="{00000000-0005-0000-0000-000061310000}"/>
    <cellStyle name="Millares 2 80 3 6 3 2 2 2" xfId="28540" xr:uid="{00000000-0005-0000-0000-000062310000}"/>
    <cellStyle name="Millares 2 80 3 6 3 2 2 2 2" xfId="55673" xr:uid="{00000000-0005-0000-0000-000063310000}"/>
    <cellStyle name="Millares 2 80 3 6 3 2 2 3" xfId="42111" xr:uid="{00000000-0005-0000-0000-000064310000}"/>
    <cellStyle name="Millares 2 80 3 6 3 2 3" xfId="21759" xr:uid="{00000000-0005-0000-0000-000065310000}"/>
    <cellStyle name="Millares 2 80 3 6 3 2 3 2" xfId="48892" xr:uid="{00000000-0005-0000-0000-000066310000}"/>
    <cellStyle name="Millares 2 80 3 6 3 2 4" xfId="35330" xr:uid="{00000000-0005-0000-0000-000067310000}"/>
    <cellStyle name="Millares 2 80 3 6 3 3" xfId="11583" xr:uid="{00000000-0005-0000-0000-000068310000}"/>
    <cellStyle name="Millares 2 80 3 6 3 3 2" xfId="25151" xr:uid="{00000000-0005-0000-0000-000069310000}"/>
    <cellStyle name="Millares 2 80 3 6 3 3 2 2" xfId="52284" xr:uid="{00000000-0005-0000-0000-00006A310000}"/>
    <cellStyle name="Millares 2 80 3 6 3 3 3" xfId="38722" xr:uid="{00000000-0005-0000-0000-00006B310000}"/>
    <cellStyle name="Millares 2 80 3 6 3 4" xfId="18370" xr:uid="{00000000-0005-0000-0000-00006C310000}"/>
    <cellStyle name="Millares 2 80 3 6 3 4 2" xfId="45503" xr:uid="{00000000-0005-0000-0000-00006D310000}"/>
    <cellStyle name="Millares 2 80 3 6 3 5" xfId="31941" xr:uid="{00000000-0005-0000-0000-00006E310000}"/>
    <cellStyle name="Millares 2 80 3 6 4" xfId="8180" xr:uid="{00000000-0005-0000-0000-00006F310000}"/>
    <cellStyle name="Millares 2 80 3 6 4 2" xfId="14970" xr:uid="{00000000-0005-0000-0000-000070310000}"/>
    <cellStyle name="Millares 2 80 3 6 4 2 2" xfId="28538" xr:uid="{00000000-0005-0000-0000-000071310000}"/>
    <cellStyle name="Millares 2 80 3 6 4 2 2 2" xfId="55671" xr:uid="{00000000-0005-0000-0000-000072310000}"/>
    <cellStyle name="Millares 2 80 3 6 4 2 3" xfId="42109" xr:uid="{00000000-0005-0000-0000-000073310000}"/>
    <cellStyle name="Millares 2 80 3 6 4 3" xfId="21757" xr:uid="{00000000-0005-0000-0000-000074310000}"/>
    <cellStyle name="Millares 2 80 3 6 4 3 2" xfId="48890" xr:uid="{00000000-0005-0000-0000-000075310000}"/>
    <cellStyle name="Millares 2 80 3 6 4 4" xfId="35328" xr:uid="{00000000-0005-0000-0000-000076310000}"/>
    <cellStyle name="Millares 2 80 3 6 5" xfId="11581" xr:uid="{00000000-0005-0000-0000-000077310000}"/>
    <cellStyle name="Millares 2 80 3 6 5 2" xfId="25149" xr:uid="{00000000-0005-0000-0000-000078310000}"/>
    <cellStyle name="Millares 2 80 3 6 5 2 2" xfId="52282" xr:uid="{00000000-0005-0000-0000-000079310000}"/>
    <cellStyle name="Millares 2 80 3 6 5 3" xfId="38720" xr:uid="{00000000-0005-0000-0000-00007A310000}"/>
    <cellStyle name="Millares 2 80 3 6 6" xfId="18368" xr:uid="{00000000-0005-0000-0000-00007B310000}"/>
    <cellStyle name="Millares 2 80 3 6 6 2" xfId="45501" xr:uid="{00000000-0005-0000-0000-00007C310000}"/>
    <cellStyle name="Millares 2 80 3 6 7" xfId="31939" xr:uid="{00000000-0005-0000-0000-00007D310000}"/>
    <cellStyle name="Millares 2 80 3 7" xfId="4574" xr:uid="{00000000-0005-0000-0000-00007E310000}"/>
    <cellStyle name="Millares 2 80 3 7 2" xfId="4575" xr:uid="{00000000-0005-0000-0000-00007F310000}"/>
    <cellStyle name="Millares 2 80 3 7 2 2" xfId="8184" xr:uid="{00000000-0005-0000-0000-000080310000}"/>
    <cellStyle name="Millares 2 80 3 7 2 2 2" xfId="14974" xr:uid="{00000000-0005-0000-0000-000081310000}"/>
    <cellStyle name="Millares 2 80 3 7 2 2 2 2" xfId="28542" xr:uid="{00000000-0005-0000-0000-000082310000}"/>
    <cellStyle name="Millares 2 80 3 7 2 2 2 2 2" xfId="55675" xr:uid="{00000000-0005-0000-0000-000083310000}"/>
    <cellStyle name="Millares 2 80 3 7 2 2 2 3" xfId="42113" xr:uid="{00000000-0005-0000-0000-000084310000}"/>
    <cellStyle name="Millares 2 80 3 7 2 2 3" xfId="21761" xr:uid="{00000000-0005-0000-0000-000085310000}"/>
    <cellStyle name="Millares 2 80 3 7 2 2 3 2" xfId="48894" xr:uid="{00000000-0005-0000-0000-000086310000}"/>
    <cellStyle name="Millares 2 80 3 7 2 2 4" xfId="35332" xr:uid="{00000000-0005-0000-0000-000087310000}"/>
    <cellStyle name="Millares 2 80 3 7 2 3" xfId="11585" xr:uid="{00000000-0005-0000-0000-000088310000}"/>
    <cellStyle name="Millares 2 80 3 7 2 3 2" xfId="25153" xr:uid="{00000000-0005-0000-0000-000089310000}"/>
    <cellStyle name="Millares 2 80 3 7 2 3 2 2" xfId="52286" xr:uid="{00000000-0005-0000-0000-00008A310000}"/>
    <cellStyle name="Millares 2 80 3 7 2 3 3" xfId="38724" xr:uid="{00000000-0005-0000-0000-00008B310000}"/>
    <cellStyle name="Millares 2 80 3 7 2 4" xfId="18372" xr:uid="{00000000-0005-0000-0000-00008C310000}"/>
    <cellStyle name="Millares 2 80 3 7 2 4 2" xfId="45505" xr:uid="{00000000-0005-0000-0000-00008D310000}"/>
    <cellStyle name="Millares 2 80 3 7 2 5" xfId="31943" xr:uid="{00000000-0005-0000-0000-00008E310000}"/>
    <cellStyle name="Millares 2 80 3 7 3" xfId="4576" xr:uid="{00000000-0005-0000-0000-00008F310000}"/>
    <cellStyle name="Millares 2 80 3 7 3 2" xfId="8185" xr:uid="{00000000-0005-0000-0000-000090310000}"/>
    <cellStyle name="Millares 2 80 3 7 3 2 2" xfId="14975" xr:uid="{00000000-0005-0000-0000-000091310000}"/>
    <cellStyle name="Millares 2 80 3 7 3 2 2 2" xfId="28543" xr:uid="{00000000-0005-0000-0000-000092310000}"/>
    <cellStyle name="Millares 2 80 3 7 3 2 2 2 2" xfId="55676" xr:uid="{00000000-0005-0000-0000-000093310000}"/>
    <cellStyle name="Millares 2 80 3 7 3 2 2 3" xfId="42114" xr:uid="{00000000-0005-0000-0000-000094310000}"/>
    <cellStyle name="Millares 2 80 3 7 3 2 3" xfId="21762" xr:uid="{00000000-0005-0000-0000-000095310000}"/>
    <cellStyle name="Millares 2 80 3 7 3 2 3 2" xfId="48895" xr:uid="{00000000-0005-0000-0000-000096310000}"/>
    <cellStyle name="Millares 2 80 3 7 3 2 4" xfId="35333" xr:uid="{00000000-0005-0000-0000-000097310000}"/>
    <cellStyle name="Millares 2 80 3 7 3 3" xfId="11586" xr:uid="{00000000-0005-0000-0000-000098310000}"/>
    <cellStyle name="Millares 2 80 3 7 3 3 2" xfId="25154" xr:uid="{00000000-0005-0000-0000-000099310000}"/>
    <cellStyle name="Millares 2 80 3 7 3 3 2 2" xfId="52287" xr:uid="{00000000-0005-0000-0000-00009A310000}"/>
    <cellStyle name="Millares 2 80 3 7 3 3 3" xfId="38725" xr:uid="{00000000-0005-0000-0000-00009B310000}"/>
    <cellStyle name="Millares 2 80 3 7 3 4" xfId="18373" xr:uid="{00000000-0005-0000-0000-00009C310000}"/>
    <cellStyle name="Millares 2 80 3 7 3 4 2" xfId="45506" xr:uid="{00000000-0005-0000-0000-00009D310000}"/>
    <cellStyle name="Millares 2 80 3 7 3 5" xfId="31944" xr:uid="{00000000-0005-0000-0000-00009E310000}"/>
    <cellStyle name="Millares 2 80 3 7 4" xfId="8183" xr:uid="{00000000-0005-0000-0000-00009F310000}"/>
    <cellStyle name="Millares 2 80 3 7 4 2" xfId="14973" xr:uid="{00000000-0005-0000-0000-0000A0310000}"/>
    <cellStyle name="Millares 2 80 3 7 4 2 2" xfId="28541" xr:uid="{00000000-0005-0000-0000-0000A1310000}"/>
    <cellStyle name="Millares 2 80 3 7 4 2 2 2" xfId="55674" xr:uid="{00000000-0005-0000-0000-0000A2310000}"/>
    <cellStyle name="Millares 2 80 3 7 4 2 3" xfId="42112" xr:uid="{00000000-0005-0000-0000-0000A3310000}"/>
    <cellStyle name="Millares 2 80 3 7 4 3" xfId="21760" xr:uid="{00000000-0005-0000-0000-0000A4310000}"/>
    <cellStyle name="Millares 2 80 3 7 4 3 2" xfId="48893" xr:uid="{00000000-0005-0000-0000-0000A5310000}"/>
    <cellStyle name="Millares 2 80 3 7 4 4" xfId="35331" xr:uid="{00000000-0005-0000-0000-0000A6310000}"/>
    <cellStyle name="Millares 2 80 3 7 5" xfId="11584" xr:uid="{00000000-0005-0000-0000-0000A7310000}"/>
    <cellStyle name="Millares 2 80 3 7 5 2" xfId="25152" xr:uid="{00000000-0005-0000-0000-0000A8310000}"/>
    <cellStyle name="Millares 2 80 3 7 5 2 2" xfId="52285" xr:uid="{00000000-0005-0000-0000-0000A9310000}"/>
    <cellStyle name="Millares 2 80 3 7 5 3" xfId="38723" xr:uid="{00000000-0005-0000-0000-0000AA310000}"/>
    <cellStyle name="Millares 2 80 3 7 6" xfId="18371" xr:uid="{00000000-0005-0000-0000-0000AB310000}"/>
    <cellStyle name="Millares 2 80 3 7 6 2" xfId="45504" xr:uid="{00000000-0005-0000-0000-0000AC310000}"/>
    <cellStyle name="Millares 2 80 3 7 7" xfId="31942" xr:uid="{00000000-0005-0000-0000-0000AD310000}"/>
    <cellStyle name="Millares 2 80 3 8" xfId="4577" xr:uid="{00000000-0005-0000-0000-0000AE310000}"/>
    <cellStyle name="Millares 2 80 3 8 2" xfId="8186" xr:uid="{00000000-0005-0000-0000-0000AF310000}"/>
    <cellStyle name="Millares 2 80 3 8 2 2" xfId="14976" xr:uid="{00000000-0005-0000-0000-0000B0310000}"/>
    <cellStyle name="Millares 2 80 3 8 2 2 2" xfId="28544" xr:uid="{00000000-0005-0000-0000-0000B1310000}"/>
    <cellStyle name="Millares 2 80 3 8 2 2 2 2" xfId="55677" xr:uid="{00000000-0005-0000-0000-0000B2310000}"/>
    <cellStyle name="Millares 2 80 3 8 2 2 3" xfId="42115" xr:uid="{00000000-0005-0000-0000-0000B3310000}"/>
    <cellStyle name="Millares 2 80 3 8 2 3" xfId="21763" xr:uid="{00000000-0005-0000-0000-0000B4310000}"/>
    <cellStyle name="Millares 2 80 3 8 2 3 2" xfId="48896" xr:uid="{00000000-0005-0000-0000-0000B5310000}"/>
    <cellStyle name="Millares 2 80 3 8 2 4" xfId="35334" xr:uid="{00000000-0005-0000-0000-0000B6310000}"/>
    <cellStyle name="Millares 2 80 3 8 3" xfId="11587" xr:uid="{00000000-0005-0000-0000-0000B7310000}"/>
    <cellStyle name="Millares 2 80 3 8 3 2" xfId="25155" xr:uid="{00000000-0005-0000-0000-0000B8310000}"/>
    <cellStyle name="Millares 2 80 3 8 3 2 2" xfId="52288" xr:uid="{00000000-0005-0000-0000-0000B9310000}"/>
    <cellStyle name="Millares 2 80 3 8 3 3" xfId="38726" xr:uid="{00000000-0005-0000-0000-0000BA310000}"/>
    <cellStyle name="Millares 2 80 3 8 4" xfId="18374" xr:uid="{00000000-0005-0000-0000-0000BB310000}"/>
    <cellStyle name="Millares 2 80 3 8 4 2" xfId="45507" xr:uid="{00000000-0005-0000-0000-0000BC310000}"/>
    <cellStyle name="Millares 2 80 3 8 5" xfId="31945" xr:uid="{00000000-0005-0000-0000-0000BD310000}"/>
    <cellStyle name="Millares 2 80 3 9" xfId="4578" xr:uid="{00000000-0005-0000-0000-0000BE310000}"/>
    <cellStyle name="Millares 2 80 3 9 2" xfId="8187" xr:uid="{00000000-0005-0000-0000-0000BF310000}"/>
    <cellStyle name="Millares 2 80 3 9 2 2" xfId="14977" xr:uid="{00000000-0005-0000-0000-0000C0310000}"/>
    <cellStyle name="Millares 2 80 3 9 2 2 2" xfId="28545" xr:uid="{00000000-0005-0000-0000-0000C1310000}"/>
    <cellStyle name="Millares 2 80 3 9 2 2 2 2" xfId="55678" xr:uid="{00000000-0005-0000-0000-0000C2310000}"/>
    <cellStyle name="Millares 2 80 3 9 2 2 3" xfId="42116" xr:uid="{00000000-0005-0000-0000-0000C3310000}"/>
    <cellStyle name="Millares 2 80 3 9 2 3" xfId="21764" xr:uid="{00000000-0005-0000-0000-0000C4310000}"/>
    <cellStyle name="Millares 2 80 3 9 2 3 2" xfId="48897" xr:uid="{00000000-0005-0000-0000-0000C5310000}"/>
    <cellStyle name="Millares 2 80 3 9 2 4" xfId="35335" xr:uid="{00000000-0005-0000-0000-0000C6310000}"/>
    <cellStyle name="Millares 2 80 3 9 3" xfId="11588" xr:uid="{00000000-0005-0000-0000-0000C7310000}"/>
    <cellStyle name="Millares 2 80 3 9 3 2" xfId="25156" xr:uid="{00000000-0005-0000-0000-0000C8310000}"/>
    <cellStyle name="Millares 2 80 3 9 3 2 2" xfId="52289" xr:uid="{00000000-0005-0000-0000-0000C9310000}"/>
    <cellStyle name="Millares 2 80 3 9 3 3" xfId="38727" xr:uid="{00000000-0005-0000-0000-0000CA310000}"/>
    <cellStyle name="Millares 2 80 3 9 4" xfId="18375" xr:uid="{00000000-0005-0000-0000-0000CB310000}"/>
    <cellStyle name="Millares 2 80 3 9 4 2" xfId="45508" xr:uid="{00000000-0005-0000-0000-0000CC310000}"/>
    <cellStyle name="Millares 2 80 3 9 5" xfId="31946" xr:uid="{00000000-0005-0000-0000-0000CD310000}"/>
    <cellStyle name="Millares 2 80 4" xfId="4579" xr:uid="{00000000-0005-0000-0000-0000CE310000}"/>
    <cellStyle name="Millares 2 80 4 10" xfId="31947" xr:uid="{00000000-0005-0000-0000-0000CF310000}"/>
    <cellStyle name="Millares 2 80 4 2" xfId="4580" xr:uid="{00000000-0005-0000-0000-0000D0310000}"/>
    <cellStyle name="Millares 2 80 4 2 2" xfId="4581" xr:uid="{00000000-0005-0000-0000-0000D1310000}"/>
    <cellStyle name="Millares 2 80 4 2 2 2" xfId="4582" xr:uid="{00000000-0005-0000-0000-0000D2310000}"/>
    <cellStyle name="Millares 2 80 4 2 2 2 2" xfId="8191" xr:uid="{00000000-0005-0000-0000-0000D3310000}"/>
    <cellStyle name="Millares 2 80 4 2 2 2 2 2" xfId="14981" xr:uid="{00000000-0005-0000-0000-0000D4310000}"/>
    <cellStyle name="Millares 2 80 4 2 2 2 2 2 2" xfId="28549" xr:uid="{00000000-0005-0000-0000-0000D5310000}"/>
    <cellStyle name="Millares 2 80 4 2 2 2 2 2 2 2" xfId="55682" xr:uid="{00000000-0005-0000-0000-0000D6310000}"/>
    <cellStyle name="Millares 2 80 4 2 2 2 2 2 3" xfId="42120" xr:uid="{00000000-0005-0000-0000-0000D7310000}"/>
    <cellStyle name="Millares 2 80 4 2 2 2 2 3" xfId="21768" xr:uid="{00000000-0005-0000-0000-0000D8310000}"/>
    <cellStyle name="Millares 2 80 4 2 2 2 2 3 2" xfId="48901" xr:uid="{00000000-0005-0000-0000-0000D9310000}"/>
    <cellStyle name="Millares 2 80 4 2 2 2 2 4" xfId="35339" xr:uid="{00000000-0005-0000-0000-0000DA310000}"/>
    <cellStyle name="Millares 2 80 4 2 2 2 3" xfId="11592" xr:uid="{00000000-0005-0000-0000-0000DB310000}"/>
    <cellStyle name="Millares 2 80 4 2 2 2 3 2" xfId="25160" xr:uid="{00000000-0005-0000-0000-0000DC310000}"/>
    <cellStyle name="Millares 2 80 4 2 2 2 3 2 2" xfId="52293" xr:uid="{00000000-0005-0000-0000-0000DD310000}"/>
    <cellStyle name="Millares 2 80 4 2 2 2 3 3" xfId="38731" xr:uid="{00000000-0005-0000-0000-0000DE310000}"/>
    <cellStyle name="Millares 2 80 4 2 2 2 4" xfId="18379" xr:uid="{00000000-0005-0000-0000-0000DF310000}"/>
    <cellStyle name="Millares 2 80 4 2 2 2 4 2" xfId="45512" xr:uid="{00000000-0005-0000-0000-0000E0310000}"/>
    <cellStyle name="Millares 2 80 4 2 2 2 5" xfId="31950" xr:uid="{00000000-0005-0000-0000-0000E1310000}"/>
    <cellStyle name="Millares 2 80 4 2 2 3" xfId="4583" xr:uid="{00000000-0005-0000-0000-0000E2310000}"/>
    <cellStyle name="Millares 2 80 4 2 2 3 2" xfId="8192" xr:uid="{00000000-0005-0000-0000-0000E3310000}"/>
    <cellStyle name="Millares 2 80 4 2 2 3 2 2" xfId="14982" xr:uid="{00000000-0005-0000-0000-0000E4310000}"/>
    <cellStyle name="Millares 2 80 4 2 2 3 2 2 2" xfId="28550" xr:uid="{00000000-0005-0000-0000-0000E5310000}"/>
    <cellStyle name="Millares 2 80 4 2 2 3 2 2 2 2" xfId="55683" xr:uid="{00000000-0005-0000-0000-0000E6310000}"/>
    <cellStyle name="Millares 2 80 4 2 2 3 2 2 3" xfId="42121" xr:uid="{00000000-0005-0000-0000-0000E7310000}"/>
    <cellStyle name="Millares 2 80 4 2 2 3 2 3" xfId="21769" xr:uid="{00000000-0005-0000-0000-0000E8310000}"/>
    <cellStyle name="Millares 2 80 4 2 2 3 2 3 2" xfId="48902" xr:uid="{00000000-0005-0000-0000-0000E9310000}"/>
    <cellStyle name="Millares 2 80 4 2 2 3 2 4" xfId="35340" xr:uid="{00000000-0005-0000-0000-0000EA310000}"/>
    <cellStyle name="Millares 2 80 4 2 2 3 3" xfId="11593" xr:uid="{00000000-0005-0000-0000-0000EB310000}"/>
    <cellStyle name="Millares 2 80 4 2 2 3 3 2" xfId="25161" xr:uid="{00000000-0005-0000-0000-0000EC310000}"/>
    <cellStyle name="Millares 2 80 4 2 2 3 3 2 2" xfId="52294" xr:uid="{00000000-0005-0000-0000-0000ED310000}"/>
    <cellStyle name="Millares 2 80 4 2 2 3 3 3" xfId="38732" xr:uid="{00000000-0005-0000-0000-0000EE310000}"/>
    <cellStyle name="Millares 2 80 4 2 2 3 4" xfId="18380" xr:uid="{00000000-0005-0000-0000-0000EF310000}"/>
    <cellStyle name="Millares 2 80 4 2 2 3 4 2" xfId="45513" xr:uid="{00000000-0005-0000-0000-0000F0310000}"/>
    <cellStyle name="Millares 2 80 4 2 2 3 5" xfId="31951" xr:uid="{00000000-0005-0000-0000-0000F1310000}"/>
    <cellStyle name="Millares 2 80 4 2 2 4" xfId="8190" xr:uid="{00000000-0005-0000-0000-0000F2310000}"/>
    <cellStyle name="Millares 2 80 4 2 2 4 2" xfId="14980" xr:uid="{00000000-0005-0000-0000-0000F3310000}"/>
    <cellStyle name="Millares 2 80 4 2 2 4 2 2" xfId="28548" xr:uid="{00000000-0005-0000-0000-0000F4310000}"/>
    <cellStyle name="Millares 2 80 4 2 2 4 2 2 2" xfId="55681" xr:uid="{00000000-0005-0000-0000-0000F5310000}"/>
    <cellStyle name="Millares 2 80 4 2 2 4 2 3" xfId="42119" xr:uid="{00000000-0005-0000-0000-0000F6310000}"/>
    <cellStyle name="Millares 2 80 4 2 2 4 3" xfId="21767" xr:uid="{00000000-0005-0000-0000-0000F7310000}"/>
    <cellStyle name="Millares 2 80 4 2 2 4 3 2" xfId="48900" xr:uid="{00000000-0005-0000-0000-0000F8310000}"/>
    <cellStyle name="Millares 2 80 4 2 2 4 4" xfId="35338" xr:uid="{00000000-0005-0000-0000-0000F9310000}"/>
    <cellStyle name="Millares 2 80 4 2 2 5" xfId="11591" xr:uid="{00000000-0005-0000-0000-0000FA310000}"/>
    <cellStyle name="Millares 2 80 4 2 2 5 2" xfId="25159" xr:uid="{00000000-0005-0000-0000-0000FB310000}"/>
    <cellStyle name="Millares 2 80 4 2 2 5 2 2" xfId="52292" xr:uid="{00000000-0005-0000-0000-0000FC310000}"/>
    <cellStyle name="Millares 2 80 4 2 2 5 3" xfId="38730" xr:uid="{00000000-0005-0000-0000-0000FD310000}"/>
    <cellStyle name="Millares 2 80 4 2 2 6" xfId="18378" xr:uid="{00000000-0005-0000-0000-0000FE310000}"/>
    <cellStyle name="Millares 2 80 4 2 2 6 2" xfId="45511" xr:uid="{00000000-0005-0000-0000-0000FF310000}"/>
    <cellStyle name="Millares 2 80 4 2 2 7" xfId="31949" xr:uid="{00000000-0005-0000-0000-000000320000}"/>
    <cellStyle name="Millares 2 80 4 2 3" xfId="4584" xr:uid="{00000000-0005-0000-0000-000001320000}"/>
    <cellStyle name="Millares 2 80 4 2 3 2" xfId="4585" xr:uid="{00000000-0005-0000-0000-000002320000}"/>
    <cellStyle name="Millares 2 80 4 2 3 2 2" xfId="8194" xr:uid="{00000000-0005-0000-0000-000003320000}"/>
    <cellStyle name="Millares 2 80 4 2 3 2 2 2" xfId="14984" xr:uid="{00000000-0005-0000-0000-000004320000}"/>
    <cellStyle name="Millares 2 80 4 2 3 2 2 2 2" xfId="28552" xr:uid="{00000000-0005-0000-0000-000005320000}"/>
    <cellStyle name="Millares 2 80 4 2 3 2 2 2 2 2" xfId="55685" xr:uid="{00000000-0005-0000-0000-000006320000}"/>
    <cellStyle name="Millares 2 80 4 2 3 2 2 2 3" xfId="42123" xr:uid="{00000000-0005-0000-0000-000007320000}"/>
    <cellStyle name="Millares 2 80 4 2 3 2 2 3" xfId="21771" xr:uid="{00000000-0005-0000-0000-000008320000}"/>
    <cellStyle name="Millares 2 80 4 2 3 2 2 3 2" xfId="48904" xr:uid="{00000000-0005-0000-0000-000009320000}"/>
    <cellStyle name="Millares 2 80 4 2 3 2 2 4" xfId="35342" xr:uid="{00000000-0005-0000-0000-00000A320000}"/>
    <cellStyle name="Millares 2 80 4 2 3 2 3" xfId="11595" xr:uid="{00000000-0005-0000-0000-00000B320000}"/>
    <cellStyle name="Millares 2 80 4 2 3 2 3 2" xfId="25163" xr:uid="{00000000-0005-0000-0000-00000C320000}"/>
    <cellStyle name="Millares 2 80 4 2 3 2 3 2 2" xfId="52296" xr:uid="{00000000-0005-0000-0000-00000D320000}"/>
    <cellStyle name="Millares 2 80 4 2 3 2 3 3" xfId="38734" xr:uid="{00000000-0005-0000-0000-00000E320000}"/>
    <cellStyle name="Millares 2 80 4 2 3 2 4" xfId="18382" xr:uid="{00000000-0005-0000-0000-00000F320000}"/>
    <cellStyle name="Millares 2 80 4 2 3 2 4 2" xfId="45515" xr:uid="{00000000-0005-0000-0000-000010320000}"/>
    <cellStyle name="Millares 2 80 4 2 3 2 5" xfId="31953" xr:uid="{00000000-0005-0000-0000-000011320000}"/>
    <cellStyle name="Millares 2 80 4 2 3 3" xfId="8193" xr:uid="{00000000-0005-0000-0000-000012320000}"/>
    <cellStyle name="Millares 2 80 4 2 3 3 2" xfId="14983" xr:uid="{00000000-0005-0000-0000-000013320000}"/>
    <cellStyle name="Millares 2 80 4 2 3 3 2 2" xfId="28551" xr:uid="{00000000-0005-0000-0000-000014320000}"/>
    <cellStyle name="Millares 2 80 4 2 3 3 2 2 2" xfId="55684" xr:uid="{00000000-0005-0000-0000-000015320000}"/>
    <cellStyle name="Millares 2 80 4 2 3 3 2 3" xfId="42122" xr:uid="{00000000-0005-0000-0000-000016320000}"/>
    <cellStyle name="Millares 2 80 4 2 3 3 3" xfId="21770" xr:uid="{00000000-0005-0000-0000-000017320000}"/>
    <cellStyle name="Millares 2 80 4 2 3 3 3 2" xfId="48903" xr:uid="{00000000-0005-0000-0000-000018320000}"/>
    <cellStyle name="Millares 2 80 4 2 3 3 4" xfId="35341" xr:uid="{00000000-0005-0000-0000-000019320000}"/>
    <cellStyle name="Millares 2 80 4 2 3 4" xfId="11594" xr:uid="{00000000-0005-0000-0000-00001A320000}"/>
    <cellStyle name="Millares 2 80 4 2 3 4 2" xfId="25162" xr:uid="{00000000-0005-0000-0000-00001B320000}"/>
    <cellStyle name="Millares 2 80 4 2 3 4 2 2" xfId="52295" xr:uid="{00000000-0005-0000-0000-00001C320000}"/>
    <cellStyle name="Millares 2 80 4 2 3 4 3" xfId="38733" xr:uid="{00000000-0005-0000-0000-00001D320000}"/>
    <cellStyle name="Millares 2 80 4 2 3 5" xfId="18381" xr:uid="{00000000-0005-0000-0000-00001E320000}"/>
    <cellStyle name="Millares 2 80 4 2 3 5 2" xfId="45514" xr:uid="{00000000-0005-0000-0000-00001F320000}"/>
    <cellStyle name="Millares 2 80 4 2 3 6" xfId="31952" xr:uid="{00000000-0005-0000-0000-000020320000}"/>
    <cellStyle name="Millares 2 80 4 2 4" xfId="4586" xr:uid="{00000000-0005-0000-0000-000021320000}"/>
    <cellStyle name="Millares 2 80 4 2 4 2" xfId="8195" xr:uid="{00000000-0005-0000-0000-000022320000}"/>
    <cellStyle name="Millares 2 80 4 2 4 2 2" xfId="14985" xr:uid="{00000000-0005-0000-0000-000023320000}"/>
    <cellStyle name="Millares 2 80 4 2 4 2 2 2" xfId="28553" xr:uid="{00000000-0005-0000-0000-000024320000}"/>
    <cellStyle name="Millares 2 80 4 2 4 2 2 2 2" xfId="55686" xr:uid="{00000000-0005-0000-0000-000025320000}"/>
    <cellStyle name="Millares 2 80 4 2 4 2 2 3" xfId="42124" xr:uid="{00000000-0005-0000-0000-000026320000}"/>
    <cellStyle name="Millares 2 80 4 2 4 2 3" xfId="21772" xr:uid="{00000000-0005-0000-0000-000027320000}"/>
    <cellStyle name="Millares 2 80 4 2 4 2 3 2" xfId="48905" xr:uid="{00000000-0005-0000-0000-000028320000}"/>
    <cellStyle name="Millares 2 80 4 2 4 2 4" xfId="35343" xr:uid="{00000000-0005-0000-0000-000029320000}"/>
    <cellStyle name="Millares 2 80 4 2 4 3" xfId="11596" xr:uid="{00000000-0005-0000-0000-00002A320000}"/>
    <cellStyle name="Millares 2 80 4 2 4 3 2" xfId="25164" xr:uid="{00000000-0005-0000-0000-00002B320000}"/>
    <cellStyle name="Millares 2 80 4 2 4 3 2 2" xfId="52297" xr:uid="{00000000-0005-0000-0000-00002C320000}"/>
    <cellStyle name="Millares 2 80 4 2 4 3 3" xfId="38735" xr:uid="{00000000-0005-0000-0000-00002D320000}"/>
    <cellStyle name="Millares 2 80 4 2 4 4" xfId="18383" xr:uid="{00000000-0005-0000-0000-00002E320000}"/>
    <cellStyle name="Millares 2 80 4 2 4 4 2" xfId="45516" xr:uid="{00000000-0005-0000-0000-00002F320000}"/>
    <cellStyle name="Millares 2 80 4 2 4 5" xfId="31954" xr:uid="{00000000-0005-0000-0000-000030320000}"/>
    <cellStyle name="Millares 2 80 4 2 5" xfId="4587" xr:uid="{00000000-0005-0000-0000-000031320000}"/>
    <cellStyle name="Millares 2 80 4 2 5 2" xfId="8196" xr:uid="{00000000-0005-0000-0000-000032320000}"/>
    <cellStyle name="Millares 2 80 4 2 5 2 2" xfId="14986" xr:uid="{00000000-0005-0000-0000-000033320000}"/>
    <cellStyle name="Millares 2 80 4 2 5 2 2 2" xfId="28554" xr:uid="{00000000-0005-0000-0000-000034320000}"/>
    <cellStyle name="Millares 2 80 4 2 5 2 2 2 2" xfId="55687" xr:uid="{00000000-0005-0000-0000-000035320000}"/>
    <cellStyle name="Millares 2 80 4 2 5 2 2 3" xfId="42125" xr:uid="{00000000-0005-0000-0000-000036320000}"/>
    <cellStyle name="Millares 2 80 4 2 5 2 3" xfId="21773" xr:uid="{00000000-0005-0000-0000-000037320000}"/>
    <cellStyle name="Millares 2 80 4 2 5 2 3 2" xfId="48906" xr:uid="{00000000-0005-0000-0000-000038320000}"/>
    <cellStyle name="Millares 2 80 4 2 5 2 4" xfId="35344" xr:uid="{00000000-0005-0000-0000-000039320000}"/>
    <cellStyle name="Millares 2 80 4 2 5 3" xfId="11597" xr:uid="{00000000-0005-0000-0000-00003A320000}"/>
    <cellStyle name="Millares 2 80 4 2 5 3 2" xfId="25165" xr:uid="{00000000-0005-0000-0000-00003B320000}"/>
    <cellStyle name="Millares 2 80 4 2 5 3 2 2" xfId="52298" xr:uid="{00000000-0005-0000-0000-00003C320000}"/>
    <cellStyle name="Millares 2 80 4 2 5 3 3" xfId="38736" xr:uid="{00000000-0005-0000-0000-00003D320000}"/>
    <cellStyle name="Millares 2 80 4 2 5 4" xfId="18384" xr:uid="{00000000-0005-0000-0000-00003E320000}"/>
    <cellStyle name="Millares 2 80 4 2 5 4 2" xfId="45517" xr:uid="{00000000-0005-0000-0000-00003F320000}"/>
    <cellStyle name="Millares 2 80 4 2 5 5" xfId="31955" xr:uid="{00000000-0005-0000-0000-000040320000}"/>
    <cellStyle name="Millares 2 80 4 2 6" xfId="8189" xr:uid="{00000000-0005-0000-0000-000041320000}"/>
    <cellStyle name="Millares 2 80 4 2 6 2" xfId="14979" xr:uid="{00000000-0005-0000-0000-000042320000}"/>
    <cellStyle name="Millares 2 80 4 2 6 2 2" xfId="28547" xr:uid="{00000000-0005-0000-0000-000043320000}"/>
    <cellStyle name="Millares 2 80 4 2 6 2 2 2" xfId="55680" xr:uid="{00000000-0005-0000-0000-000044320000}"/>
    <cellStyle name="Millares 2 80 4 2 6 2 3" xfId="42118" xr:uid="{00000000-0005-0000-0000-000045320000}"/>
    <cellStyle name="Millares 2 80 4 2 6 3" xfId="21766" xr:uid="{00000000-0005-0000-0000-000046320000}"/>
    <cellStyle name="Millares 2 80 4 2 6 3 2" xfId="48899" xr:uid="{00000000-0005-0000-0000-000047320000}"/>
    <cellStyle name="Millares 2 80 4 2 6 4" xfId="35337" xr:uid="{00000000-0005-0000-0000-000048320000}"/>
    <cellStyle name="Millares 2 80 4 2 7" xfId="11590" xr:uid="{00000000-0005-0000-0000-000049320000}"/>
    <cellStyle name="Millares 2 80 4 2 7 2" xfId="25158" xr:uid="{00000000-0005-0000-0000-00004A320000}"/>
    <cellStyle name="Millares 2 80 4 2 7 2 2" xfId="52291" xr:uid="{00000000-0005-0000-0000-00004B320000}"/>
    <cellStyle name="Millares 2 80 4 2 7 3" xfId="38729" xr:uid="{00000000-0005-0000-0000-00004C320000}"/>
    <cellStyle name="Millares 2 80 4 2 8" xfId="18377" xr:uid="{00000000-0005-0000-0000-00004D320000}"/>
    <cellStyle name="Millares 2 80 4 2 8 2" xfId="45510" xr:uid="{00000000-0005-0000-0000-00004E320000}"/>
    <cellStyle name="Millares 2 80 4 2 9" xfId="31948" xr:uid="{00000000-0005-0000-0000-00004F320000}"/>
    <cellStyle name="Millares 2 80 4 3" xfId="4588" xr:uid="{00000000-0005-0000-0000-000050320000}"/>
    <cellStyle name="Millares 2 80 4 3 2" xfId="4589" xr:uid="{00000000-0005-0000-0000-000051320000}"/>
    <cellStyle name="Millares 2 80 4 3 2 2" xfId="8198" xr:uid="{00000000-0005-0000-0000-000052320000}"/>
    <cellStyle name="Millares 2 80 4 3 2 2 2" xfId="14988" xr:uid="{00000000-0005-0000-0000-000053320000}"/>
    <cellStyle name="Millares 2 80 4 3 2 2 2 2" xfId="28556" xr:uid="{00000000-0005-0000-0000-000054320000}"/>
    <cellStyle name="Millares 2 80 4 3 2 2 2 2 2" xfId="55689" xr:uid="{00000000-0005-0000-0000-000055320000}"/>
    <cellStyle name="Millares 2 80 4 3 2 2 2 3" xfId="42127" xr:uid="{00000000-0005-0000-0000-000056320000}"/>
    <cellStyle name="Millares 2 80 4 3 2 2 3" xfId="21775" xr:uid="{00000000-0005-0000-0000-000057320000}"/>
    <cellStyle name="Millares 2 80 4 3 2 2 3 2" xfId="48908" xr:uid="{00000000-0005-0000-0000-000058320000}"/>
    <cellStyle name="Millares 2 80 4 3 2 2 4" xfId="35346" xr:uid="{00000000-0005-0000-0000-000059320000}"/>
    <cellStyle name="Millares 2 80 4 3 2 3" xfId="11599" xr:uid="{00000000-0005-0000-0000-00005A320000}"/>
    <cellStyle name="Millares 2 80 4 3 2 3 2" xfId="25167" xr:uid="{00000000-0005-0000-0000-00005B320000}"/>
    <cellStyle name="Millares 2 80 4 3 2 3 2 2" xfId="52300" xr:uid="{00000000-0005-0000-0000-00005C320000}"/>
    <cellStyle name="Millares 2 80 4 3 2 3 3" xfId="38738" xr:uid="{00000000-0005-0000-0000-00005D320000}"/>
    <cellStyle name="Millares 2 80 4 3 2 4" xfId="18386" xr:uid="{00000000-0005-0000-0000-00005E320000}"/>
    <cellStyle name="Millares 2 80 4 3 2 4 2" xfId="45519" xr:uid="{00000000-0005-0000-0000-00005F320000}"/>
    <cellStyle name="Millares 2 80 4 3 2 5" xfId="31957" xr:uid="{00000000-0005-0000-0000-000060320000}"/>
    <cellStyle name="Millares 2 80 4 3 3" xfId="4590" xr:uid="{00000000-0005-0000-0000-000061320000}"/>
    <cellStyle name="Millares 2 80 4 3 3 2" xfId="8199" xr:uid="{00000000-0005-0000-0000-000062320000}"/>
    <cellStyle name="Millares 2 80 4 3 3 2 2" xfId="14989" xr:uid="{00000000-0005-0000-0000-000063320000}"/>
    <cellStyle name="Millares 2 80 4 3 3 2 2 2" xfId="28557" xr:uid="{00000000-0005-0000-0000-000064320000}"/>
    <cellStyle name="Millares 2 80 4 3 3 2 2 2 2" xfId="55690" xr:uid="{00000000-0005-0000-0000-000065320000}"/>
    <cellStyle name="Millares 2 80 4 3 3 2 2 3" xfId="42128" xr:uid="{00000000-0005-0000-0000-000066320000}"/>
    <cellStyle name="Millares 2 80 4 3 3 2 3" xfId="21776" xr:uid="{00000000-0005-0000-0000-000067320000}"/>
    <cellStyle name="Millares 2 80 4 3 3 2 3 2" xfId="48909" xr:uid="{00000000-0005-0000-0000-000068320000}"/>
    <cellStyle name="Millares 2 80 4 3 3 2 4" xfId="35347" xr:uid="{00000000-0005-0000-0000-000069320000}"/>
    <cellStyle name="Millares 2 80 4 3 3 3" xfId="11600" xr:uid="{00000000-0005-0000-0000-00006A320000}"/>
    <cellStyle name="Millares 2 80 4 3 3 3 2" xfId="25168" xr:uid="{00000000-0005-0000-0000-00006B320000}"/>
    <cellStyle name="Millares 2 80 4 3 3 3 2 2" xfId="52301" xr:uid="{00000000-0005-0000-0000-00006C320000}"/>
    <cellStyle name="Millares 2 80 4 3 3 3 3" xfId="38739" xr:uid="{00000000-0005-0000-0000-00006D320000}"/>
    <cellStyle name="Millares 2 80 4 3 3 4" xfId="18387" xr:uid="{00000000-0005-0000-0000-00006E320000}"/>
    <cellStyle name="Millares 2 80 4 3 3 4 2" xfId="45520" xr:uid="{00000000-0005-0000-0000-00006F320000}"/>
    <cellStyle name="Millares 2 80 4 3 3 5" xfId="31958" xr:uid="{00000000-0005-0000-0000-000070320000}"/>
    <cellStyle name="Millares 2 80 4 3 4" xfId="8197" xr:uid="{00000000-0005-0000-0000-000071320000}"/>
    <cellStyle name="Millares 2 80 4 3 4 2" xfId="14987" xr:uid="{00000000-0005-0000-0000-000072320000}"/>
    <cellStyle name="Millares 2 80 4 3 4 2 2" xfId="28555" xr:uid="{00000000-0005-0000-0000-000073320000}"/>
    <cellStyle name="Millares 2 80 4 3 4 2 2 2" xfId="55688" xr:uid="{00000000-0005-0000-0000-000074320000}"/>
    <cellStyle name="Millares 2 80 4 3 4 2 3" xfId="42126" xr:uid="{00000000-0005-0000-0000-000075320000}"/>
    <cellStyle name="Millares 2 80 4 3 4 3" xfId="21774" xr:uid="{00000000-0005-0000-0000-000076320000}"/>
    <cellStyle name="Millares 2 80 4 3 4 3 2" xfId="48907" xr:uid="{00000000-0005-0000-0000-000077320000}"/>
    <cellStyle name="Millares 2 80 4 3 4 4" xfId="35345" xr:uid="{00000000-0005-0000-0000-000078320000}"/>
    <cellStyle name="Millares 2 80 4 3 5" xfId="11598" xr:uid="{00000000-0005-0000-0000-000079320000}"/>
    <cellStyle name="Millares 2 80 4 3 5 2" xfId="25166" xr:uid="{00000000-0005-0000-0000-00007A320000}"/>
    <cellStyle name="Millares 2 80 4 3 5 2 2" xfId="52299" xr:uid="{00000000-0005-0000-0000-00007B320000}"/>
    <cellStyle name="Millares 2 80 4 3 5 3" xfId="38737" xr:uid="{00000000-0005-0000-0000-00007C320000}"/>
    <cellStyle name="Millares 2 80 4 3 6" xfId="18385" xr:uid="{00000000-0005-0000-0000-00007D320000}"/>
    <cellStyle name="Millares 2 80 4 3 6 2" xfId="45518" xr:uid="{00000000-0005-0000-0000-00007E320000}"/>
    <cellStyle name="Millares 2 80 4 3 7" xfId="31956" xr:uid="{00000000-0005-0000-0000-00007F320000}"/>
    <cellStyle name="Millares 2 80 4 4" xfId="4591" xr:uid="{00000000-0005-0000-0000-000080320000}"/>
    <cellStyle name="Millares 2 80 4 4 2" xfId="4592" xr:uid="{00000000-0005-0000-0000-000081320000}"/>
    <cellStyle name="Millares 2 80 4 4 2 2" xfId="8201" xr:uid="{00000000-0005-0000-0000-000082320000}"/>
    <cellStyle name="Millares 2 80 4 4 2 2 2" xfId="14991" xr:uid="{00000000-0005-0000-0000-000083320000}"/>
    <cellStyle name="Millares 2 80 4 4 2 2 2 2" xfId="28559" xr:uid="{00000000-0005-0000-0000-000084320000}"/>
    <cellStyle name="Millares 2 80 4 4 2 2 2 2 2" xfId="55692" xr:uid="{00000000-0005-0000-0000-000085320000}"/>
    <cellStyle name="Millares 2 80 4 4 2 2 2 3" xfId="42130" xr:uid="{00000000-0005-0000-0000-000086320000}"/>
    <cellStyle name="Millares 2 80 4 4 2 2 3" xfId="21778" xr:uid="{00000000-0005-0000-0000-000087320000}"/>
    <cellStyle name="Millares 2 80 4 4 2 2 3 2" xfId="48911" xr:uid="{00000000-0005-0000-0000-000088320000}"/>
    <cellStyle name="Millares 2 80 4 4 2 2 4" xfId="35349" xr:uid="{00000000-0005-0000-0000-000089320000}"/>
    <cellStyle name="Millares 2 80 4 4 2 3" xfId="11602" xr:uid="{00000000-0005-0000-0000-00008A320000}"/>
    <cellStyle name="Millares 2 80 4 4 2 3 2" xfId="25170" xr:uid="{00000000-0005-0000-0000-00008B320000}"/>
    <cellStyle name="Millares 2 80 4 4 2 3 2 2" xfId="52303" xr:uid="{00000000-0005-0000-0000-00008C320000}"/>
    <cellStyle name="Millares 2 80 4 4 2 3 3" xfId="38741" xr:uid="{00000000-0005-0000-0000-00008D320000}"/>
    <cellStyle name="Millares 2 80 4 4 2 4" xfId="18389" xr:uid="{00000000-0005-0000-0000-00008E320000}"/>
    <cellStyle name="Millares 2 80 4 4 2 4 2" xfId="45522" xr:uid="{00000000-0005-0000-0000-00008F320000}"/>
    <cellStyle name="Millares 2 80 4 4 2 5" xfId="31960" xr:uid="{00000000-0005-0000-0000-000090320000}"/>
    <cellStyle name="Millares 2 80 4 4 3" xfId="8200" xr:uid="{00000000-0005-0000-0000-000091320000}"/>
    <cellStyle name="Millares 2 80 4 4 3 2" xfId="14990" xr:uid="{00000000-0005-0000-0000-000092320000}"/>
    <cellStyle name="Millares 2 80 4 4 3 2 2" xfId="28558" xr:uid="{00000000-0005-0000-0000-000093320000}"/>
    <cellStyle name="Millares 2 80 4 4 3 2 2 2" xfId="55691" xr:uid="{00000000-0005-0000-0000-000094320000}"/>
    <cellStyle name="Millares 2 80 4 4 3 2 3" xfId="42129" xr:uid="{00000000-0005-0000-0000-000095320000}"/>
    <cellStyle name="Millares 2 80 4 4 3 3" xfId="21777" xr:uid="{00000000-0005-0000-0000-000096320000}"/>
    <cellStyle name="Millares 2 80 4 4 3 3 2" xfId="48910" xr:uid="{00000000-0005-0000-0000-000097320000}"/>
    <cellStyle name="Millares 2 80 4 4 3 4" xfId="35348" xr:uid="{00000000-0005-0000-0000-000098320000}"/>
    <cellStyle name="Millares 2 80 4 4 4" xfId="11601" xr:uid="{00000000-0005-0000-0000-000099320000}"/>
    <cellStyle name="Millares 2 80 4 4 4 2" xfId="25169" xr:uid="{00000000-0005-0000-0000-00009A320000}"/>
    <cellStyle name="Millares 2 80 4 4 4 2 2" xfId="52302" xr:uid="{00000000-0005-0000-0000-00009B320000}"/>
    <cellStyle name="Millares 2 80 4 4 4 3" xfId="38740" xr:uid="{00000000-0005-0000-0000-00009C320000}"/>
    <cellStyle name="Millares 2 80 4 4 5" xfId="18388" xr:uid="{00000000-0005-0000-0000-00009D320000}"/>
    <cellStyle name="Millares 2 80 4 4 5 2" xfId="45521" xr:uid="{00000000-0005-0000-0000-00009E320000}"/>
    <cellStyle name="Millares 2 80 4 4 6" xfId="31959" xr:uid="{00000000-0005-0000-0000-00009F320000}"/>
    <cellStyle name="Millares 2 80 4 5" xfId="4593" xr:uid="{00000000-0005-0000-0000-0000A0320000}"/>
    <cellStyle name="Millares 2 80 4 5 2" xfId="8202" xr:uid="{00000000-0005-0000-0000-0000A1320000}"/>
    <cellStyle name="Millares 2 80 4 5 2 2" xfId="14992" xr:uid="{00000000-0005-0000-0000-0000A2320000}"/>
    <cellStyle name="Millares 2 80 4 5 2 2 2" xfId="28560" xr:uid="{00000000-0005-0000-0000-0000A3320000}"/>
    <cellStyle name="Millares 2 80 4 5 2 2 2 2" xfId="55693" xr:uid="{00000000-0005-0000-0000-0000A4320000}"/>
    <cellStyle name="Millares 2 80 4 5 2 2 3" xfId="42131" xr:uid="{00000000-0005-0000-0000-0000A5320000}"/>
    <cellStyle name="Millares 2 80 4 5 2 3" xfId="21779" xr:uid="{00000000-0005-0000-0000-0000A6320000}"/>
    <cellStyle name="Millares 2 80 4 5 2 3 2" xfId="48912" xr:uid="{00000000-0005-0000-0000-0000A7320000}"/>
    <cellStyle name="Millares 2 80 4 5 2 4" xfId="35350" xr:uid="{00000000-0005-0000-0000-0000A8320000}"/>
    <cellStyle name="Millares 2 80 4 5 3" xfId="11603" xr:uid="{00000000-0005-0000-0000-0000A9320000}"/>
    <cellStyle name="Millares 2 80 4 5 3 2" xfId="25171" xr:uid="{00000000-0005-0000-0000-0000AA320000}"/>
    <cellStyle name="Millares 2 80 4 5 3 2 2" xfId="52304" xr:uid="{00000000-0005-0000-0000-0000AB320000}"/>
    <cellStyle name="Millares 2 80 4 5 3 3" xfId="38742" xr:uid="{00000000-0005-0000-0000-0000AC320000}"/>
    <cellStyle name="Millares 2 80 4 5 4" xfId="18390" xr:uid="{00000000-0005-0000-0000-0000AD320000}"/>
    <cellStyle name="Millares 2 80 4 5 4 2" xfId="45523" xr:uid="{00000000-0005-0000-0000-0000AE320000}"/>
    <cellStyle name="Millares 2 80 4 5 5" xfId="31961" xr:uid="{00000000-0005-0000-0000-0000AF320000}"/>
    <cellStyle name="Millares 2 80 4 6" xfId="4594" xr:uid="{00000000-0005-0000-0000-0000B0320000}"/>
    <cellStyle name="Millares 2 80 4 6 2" xfId="8203" xr:uid="{00000000-0005-0000-0000-0000B1320000}"/>
    <cellStyle name="Millares 2 80 4 6 2 2" xfId="14993" xr:uid="{00000000-0005-0000-0000-0000B2320000}"/>
    <cellStyle name="Millares 2 80 4 6 2 2 2" xfId="28561" xr:uid="{00000000-0005-0000-0000-0000B3320000}"/>
    <cellStyle name="Millares 2 80 4 6 2 2 2 2" xfId="55694" xr:uid="{00000000-0005-0000-0000-0000B4320000}"/>
    <cellStyle name="Millares 2 80 4 6 2 2 3" xfId="42132" xr:uid="{00000000-0005-0000-0000-0000B5320000}"/>
    <cellStyle name="Millares 2 80 4 6 2 3" xfId="21780" xr:uid="{00000000-0005-0000-0000-0000B6320000}"/>
    <cellStyle name="Millares 2 80 4 6 2 3 2" xfId="48913" xr:uid="{00000000-0005-0000-0000-0000B7320000}"/>
    <cellStyle name="Millares 2 80 4 6 2 4" xfId="35351" xr:uid="{00000000-0005-0000-0000-0000B8320000}"/>
    <cellStyle name="Millares 2 80 4 6 3" xfId="11604" xr:uid="{00000000-0005-0000-0000-0000B9320000}"/>
    <cellStyle name="Millares 2 80 4 6 3 2" xfId="25172" xr:uid="{00000000-0005-0000-0000-0000BA320000}"/>
    <cellStyle name="Millares 2 80 4 6 3 2 2" xfId="52305" xr:uid="{00000000-0005-0000-0000-0000BB320000}"/>
    <cellStyle name="Millares 2 80 4 6 3 3" xfId="38743" xr:uid="{00000000-0005-0000-0000-0000BC320000}"/>
    <cellStyle name="Millares 2 80 4 6 4" xfId="18391" xr:uid="{00000000-0005-0000-0000-0000BD320000}"/>
    <cellStyle name="Millares 2 80 4 6 4 2" xfId="45524" xr:uid="{00000000-0005-0000-0000-0000BE320000}"/>
    <cellStyle name="Millares 2 80 4 6 5" xfId="31962" xr:uid="{00000000-0005-0000-0000-0000BF320000}"/>
    <cellStyle name="Millares 2 80 4 7" xfId="8188" xr:uid="{00000000-0005-0000-0000-0000C0320000}"/>
    <cellStyle name="Millares 2 80 4 7 2" xfId="14978" xr:uid="{00000000-0005-0000-0000-0000C1320000}"/>
    <cellStyle name="Millares 2 80 4 7 2 2" xfId="28546" xr:uid="{00000000-0005-0000-0000-0000C2320000}"/>
    <cellStyle name="Millares 2 80 4 7 2 2 2" xfId="55679" xr:uid="{00000000-0005-0000-0000-0000C3320000}"/>
    <cellStyle name="Millares 2 80 4 7 2 3" xfId="42117" xr:uid="{00000000-0005-0000-0000-0000C4320000}"/>
    <cellStyle name="Millares 2 80 4 7 3" xfId="21765" xr:uid="{00000000-0005-0000-0000-0000C5320000}"/>
    <cellStyle name="Millares 2 80 4 7 3 2" xfId="48898" xr:uid="{00000000-0005-0000-0000-0000C6320000}"/>
    <cellStyle name="Millares 2 80 4 7 4" xfId="35336" xr:uid="{00000000-0005-0000-0000-0000C7320000}"/>
    <cellStyle name="Millares 2 80 4 8" xfId="11589" xr:uid="{00000000-0005-0000-0000-0000C8320000}"/>
    <cellStyle name="Millares 2 80 4 8 2" xfId="25157" xr:uid="{00000000-0005-0000-0000-0000C9320000}"/>
    <cellStyle name="Millares 2 80 4 8 2 2" xfId="52290" xr:uid="{00000000-0005-0000-0000-0000CA320000}"/>
    <cellStyle name="Millares 2 80 4 8 3" xfId="38728" xr:uid="{00000000-0005-0000-0000-0000CB320000}"/>
    <cellStyle name="Millares 2 80 4 9" xfId="18376" xr:uid="{00000000-0005-0000-0000-0000CC320000}"/>
    <cellStyle name="Millares 2 80 4 9 2" xfId="45509" xr:uid="{00000000-0005-0000-0000-0000CD320000}"/>
    <cellStyle name="Millares 2 80 5" xfId="4595" xr:uid="{00000000-0005-0000-0000-0000CE320000}"/>
    <cellStyle name="Millares 2 80 5 2" xfId="4596" xr:uid="{00000000-0005-0000-0000-0000CF320000}"/>
    <cellStyle name="Millares 2 80 5 2 2" xfId="4597" xr:uid="{00000000-0005-0000-0000-0000D0320000}"/>
    <cellStyle name="Millares 2 80 5 2 2 2" xfId="8206" xr:uid="{00000000-0005-0000-0000-0000D1320000}"/>
    <cellStyle name="Millares 2 80 5 2 2 2 2" xfId="14996" xr:uid="{00000000-0005-0000-0000-0000D2320000}"/>
    <cellStyle name="Millares 2 80 5 2 2 2 2 2" xfId="28564" xr:uid="{00000000-0005-0000-0000-0000D3320000}"/>
    <cellStyle name="Millares 2 80 5 2 2 2 2 2 2" xfId="55697" xr:uid="{00000000-0005-0000-0000-0000D4320000}"/>
    <cellStyle name="Millares 2 80 5 2 2 2 2 3" xfId="42135" xr:uid="{00000000-0005-0000-0000-0000D5320000}"/>
    <cellStyle name="Millares 2 80 5 2 2 2 3" xfId="21783" xr:uid="{00000000-0005-0000-0000-0000D6320000}"/>
    <cellStyle name="Millares 2 80 5 2 2 2 3 2" xfId="48916" xr:uid="{00000000-0005-0000-0000-0000D7320000}"/>
    <cellStyle name="Millares 2 80 5 2 2 2 4" xfId="35354" xr:uid="{00000000-0005-0000-0000-0000D8320000}"/>
    <cellStyle name="Millares 2 80 5 2 2 3" xfId="11607" xr:uid="{00000000-0005-0000-0000-0000D9320000}"/>
    <cellStyle name="Millares 2 80 5 2 2 3 2" xfId="25175" xr:uid="{00000000-0005-0000-0000-0000DA320000}"/>
    <cellStyle name="Millares 2 80 5 2 2 3 2 2" xfId="52308" xr:uid="{00000000-0005-0000-0000-0000DB320000}"/>
    <cellStyle name="Millares 2 80 5 2 2 3 3" xfId="38746" xr:uid="{00000000-0005-0000-0000-0000DC320000}"/>
    <cellStyle name="Millares 2 80 5 2 2 4" xfId="18394" xr:uid="{00000000-0005-0000-0000-0000DD320000}"/>
    <cellStyle name="Millares 2 80 5 2 2 4 2" xfId="45527" xr:uid="{00000000-0005-0000-0000-0000DE320000}"/>
    <cellStyle name="Millares 2 80 5 2 2 5" xfId="31965" xr:uid="{00000000-0005-0000-0000-0000DF320000}"/>
    <cellStyle name="Millares 2 80 5 2 3" xfId="4598" xr:uid="{00000000-0005-0000-0000-0000E0320000}"/>
    <cellStyle name="Millares 2 80 5 2 3 2" xfId="8207" xr:uid="{00000000-0005-0000-0000-0000E1320000}"/>
    <cellStyle name="Millares 2 80 5 2 3 2 2" xfId="14997" xr:uid="{00000000-0005-0000-0000-0000E2320000}"/>
    <cellStyle name="Millares 2 80 5 2 3 2 2 2" xfId="28565" xr:uid="{00000000-0005-0000-0000-0000E3320000}"/>
    <cellStyle name="Millares 2 80 5 2 3 2 2 2 2" xfId="55698" xr:uid="{00000000-0005-0000-0000-0000E4320000}"/>
    <cellStyle name="Millares 2 80 5 2 3 2 2 3" xfId="42136" xr:uid="{00000000-0005-0000-0000-0000E5320000}"/>
    <cellStyle name="Millares 2 80 5 2 3 2 3" xfId="21784" xr:uid="{00000000-0005-0000-0000-0000E6320000}"/>
    <cellStyle name="Millares 2 80 5 2 3 2 3 2" xfId="48917" xr:uid="{00000000-0005-0000-0000-0000E7320000}"/>
    <cellStyle name="Millares 2 80 5 2 3 2 4" xfId="35355" xr:uid="{00000000-0005-0000-0000-0000E8320000}"/>
    <cellStyle name="Millares 2 80 5 2 3 3" xfId="11608" xr:uid="{00000000-0005-0000-0000-0000E9320000}"/>
    <cellStyle name="Millares 2 80 5 2 3 3 2" xfId="25176" xr:uid="{00000000-0005-0000-0000-0000EA320000}"/>
    <cellStyle name="Millares 2 80 5 2 3 3 2 2" xfId="52309" xr:uid="{00000000-0005-0000-0000-0000EB320000}"/>
    <cellStyle name="Millares 2 80 5 2 3 3 3" xfId="38747" xr:uid="{00000000-0005-0000-0000-0000EC320000}"/>
    <cellStyle name="Millares 2 80 5 2 3 4" xfId="18395" xr:uid="{00000000-0005-0000-0000-0000ED320000}"/>
    <cellStyle name="Millares 2 80 5 2 3 4 2" xfId="45528" xr:uid="{00000000-0005-0000-0000-0000EE320000}"/>
    <cellStyle name="Millares 2 80 5 2 3 5" xfId="31966" xr:uid="{00000000-0005-0000-0000-0000EF320000}"/>
    <cellStyle name="Millares 2 80 5 2 4" xfId="8205" xr:uid="{00000000-0005-0000-0000-0000F0320000}"/>
    <cellStyle name="Millares 2 80 5 2 4 2" xfId="14995" xr:uid="{00000000-0005-0000-0000-0000F1320000}"/>
    <cellStyle name="Millares 2 80 5 2 4 2 2" xfId="28563" xr:uid="{00000000-0005-0000-0000-0000F2320000}"/>
    <cellStyle name="Millares 2 80 5 2 4 2 2 2" xfId="55696" xr:uid="{00000000-0005-0000-0000-0000F3320000}"/>
    <cellStyle name="Millares 2 80 5 2 4 2 3" xfId="42134" xr:uid="{00000000-0005-0000-0000-0000F4320000}"/>
    <cellStyle name="Millares 2 80 5 2 4 3" xfId="21782" xr:uid="{00000000-0005-0000-0000-0000F5320000}"/>
    <cellStyle name="Millares 2 80 5 2 4 3 2" xfId="48915" xr:uid="{00000000-0005-0000-0000-0000F6320000}"/>
    <cellStyle name="Millares 2 80 5 2 4 4" xfId="35353" xr:uid="{00000000-0005-0000-0000-0000F7320000}"/>
    <cellStyle name="Millares 2 80 5 2 5" xfId="11606" xr:uid="{00000000-0005-0000-0000-0000F8320000}"/>
    <cellStyle name="Millares 2 80 5 2 5 2" xfId="25174" xr:uid="{00000000-0005-0000-0000-0000F9320000}"/>
    <cellStyle name="Millares 2 80 5 2 5 2 2" xfId="52307" xr:uid="{00000000-0005-0000-0000-0000FA320000}"/>
    <cellStyle name="Millares 2 80 5 2 5 3" xfId="38745" xr:uid="{00000000-0005-0000-0000-0000FB320000}"/>
    <cellStyle name="Millares 2 80 5 2 6" xfId="18393" xr:uid="{00000000-0005-0000-0000-0000FC320000}"/>
    <cellStyle name="Millares 2 80 5 2 6 2" xfId="45526" xr:uid="{00000000-0005-0000-0000-0000FD320000}"/>
    <cellStyle name="Millares 2 80 5 2 7" xfId="31964" xr:uid="{00000000-0005-0000-0000-0000FE320000}"/>
    <cellStyle name="Millares 2 80 5 3" xfId="4599" xr:uid="{00000000-0005-0000-0000-0000FF320000}"/>
    <cellStyle name="Millares 2 80 5 3 2" xfId="4600" xr:uid="{00000000-0005-0000-0000-000000330000}"/>
    <cellStyle name="Millares 2 80 5 3 2 2" xfId="8209" xr:uid="{00000000-0005-0000-0000-000001330000}"/>
    <cellStyle name="Millares 2 80 5 3 2 2 2" xfId="14999" xr:uid="{00000000-0005-0000-0000-000002330000}"/>
    <cellStyle name="Millares 2 80 5 3 2 2 2 2" xfId="28567" xr:uid="{00000000-0005-0000-0000-000003330000}"/>
    <cellStyle name="Millares 2 80 5 3 2 2 2 2 2" xfId="55700" xr:uid="{00000000-0005-0000-0000-000004330000}"/>
    <cellStyle name="Millares 2 80 5 3 2 2 2 3" xfId="42138" xr:uid="{00000000-0005-0000-0000-000005330000}"/>
    <cellStyle name="Millares 2 80 5 3 2 2 3" xfId="21786" xr:uid="{00000000-0005-0000-0000-000006330000}"/>
    <cellStyle name="Millares 2 80 5 3 2 2 3 2" xfId="48919" xr:uid="{00000000-0005-0000-0000-000007330000}"/>
    <cellStyle name="Millares 2 80 5 3 2 2 4" xfId="35357" xr:uid="{00000000-0005-0000-0000-000008330000}"/>
    <cellStyle name="Millares 2 80 5 3 2 3" xfId="11610" xr:uid="{00000000-0005-0000-0000-000009330000}"/>
    <cellStyle name="Millares 2 80 5 3 2 3 2" xfId="25178" xr:uid="{00000000-0005-0000-0000-00000A330000}"/>
    <cellStyle name="Millares 2 80 5 3 2 3 2 2" xfId="52311" xr:uid="{00000000-0005-0000-0000-00000B330000}"/>
    <cellStyle name="Millares 2 80 5 3 2 3 3" xfId="38749" xr:uid="{00000000-0005-0000-0000-00000C330000}"/>
    <cellStyle name="Millares 2 80 5 3 2 4" xfId="18397" xr:uid="{00000000-0005-0000-0000-00000D330000}"/>
    <cellStyle name="Millares 2 80 5 3 2 4 2" xfId="45530" xr:uid="{00000000-0005-0000-0000-00000E330000}"/>
    <cellStyle name="Millares 2 80 5 3 2 5" xfId="31968" xr:uid="{00000000-0005-0000-0000-00000F330000}"/>
    <cellStyle name="Millares 2 80 5 3 3" xfId="8208" xr:uid="{00000000-0005-0000-0000-000010330000}"/>
    <cellStyle name="Millares 2 80 5 3 3 2" xfId="14998" xr:uid="{00000000-0005-0000-0000-000011330000}"/>
    <cellStyle name="Millares 2 80 5 3 3 2 2" xfId="28566" xr:uid="{00000000-0005-0000-0000-000012330000}"/>
    <cellStyle name="Millares 2 80 5 3 3 2 2 2" xfId="55699" xr:uid="{00000000-0005-0000-0000-000013330000}"/>
    <cellStyle name="Millares 2 80 5 3 3 2 3" xfId="42137" xr:uid="{00000000-0005-0000-0000-000014330000}"/>
    <cellStyle name="Millares 2 80 5 3 3 3" xfId="21785" xr:uid="{00000000-0005-0000-0000-000015330000}"/>
    <cellStyle name="Millares 2 80 5 3 3 3 2" xfId="48918" xr:uid="{00000000-0005-0000-0000-000016330000}"/>
    <cellStyle name="Millares 2 80 5 3 3 4" xfId="35356" xr:uid="{00000000-0005-0000-0000-000017330000}"/>
    <cellStyle name="Millares 2 80 5 3 4" xfId="11609" xr:uid="{00000000-0005-0000-0000-000018330000}"/>
    <cellStyle name="Millares 2 80 5 3 4 2" xfId="25177" xr:uid="{00000000-0005-0000-0000-000019330000}"/>
    <cellStyle name="Millares 2 80 5 3 4 2 2" xfId="52310" xr:uid="{00000000-0005-0000-0000-00001A330000}"/>
    <cellStyle name="Millares 2 80 5 3 4 3" xfId="38748" xr:uid="{00000000-0005-0000-0000-00001B330000}"/>
    <cellStyle name="Millares 2 80 5 3 5" xfId="18396" xr:uid="{00000000-0005-0000-0000-00001C330000}"/>
    <cellStyle name="Millares 2 80 5 3 5 2" xfId="45529" xr:uid="{00000000-0005-0000-0000-00001D330000}"/>
    <cellStyle name="Millares 2 80 5 3 6" xfId="31967" xr:uid="{00000000-0005-0000-0000-00001E330000}"/>
    <cellStyle name="Millares 2 80 5 4" xfId="4601" xr:uid="{00000000-0005-0000-0000-00001F330000}"/>
    <cellStyle name="Millares 2 80 5 4 2" xfId="8210" xr:uid="{00000000-0005-0000-0000-000020330000}"/>
    <cellStyle name="Millares 2 80 5 4 2 2" xfId="15000" xr:uid="{00000000-0005-0000-0000-000021330000}"/>
    <cellStyle name="Millares 2 80 5 4 2 2 2" xfId="28568" xr:uid="{00000000-0005-0000-0000-000022330000}"/>
    <cellStyle name="Millares 2 80 5 4 2 2 2 2" xfId="55701" xr:uid="{00000000-0005-0000-0000-000023330000}"/>
    <cellStyle name="Millares 2 80 5 4 2 2 3" xfId="42139" xr:uid="{00000000-0005-0000-0000-000024330000}"/>
    <cellStyle name="Millares 2 80 5 4 2 3" xfId="21787" xr:uid="{00000000-0005-0000-0000-000025330000}"/>
    <cellStyle name="Millares 2 80 5 4 2 3 2" xfId="48920" xr:uid="{00000000-0005-0000-0000-000026330000}"/>
    <cellStyle name="Millares 2 80 5 4 2 4" xfId="35358" xr:uid="{00000000-0005-0000-0000-000027330000}"/>
    <cellStyle name="Millares 2 80 5 4 3" xfId="11611" xr:uid="{00000000-0005-0000-0000-000028330000}"/>
    <cellStyle name="Millares 2 80 5 4 3 2" xfId="25179" xr:uid="{00000000-0005-0000-0000-000029330000}"/>
    <cellStyle name="Millares 2 80 5 4 3 2 2" xfId="52312" xr:uid="{00000000-0005-0000-0000-00002A330000}"/>
    <cellStyle name="Millares 2 80 5 4 3 3" xfId="38750" xr:uid="{00000000-0005-0000-0000-00002B330000}"/>
    <cellStyle name="Millares 2 80 5 4 4" xfId="18398" xr:uid="{00000000-0005-0000-0000-00002C330000}"/>
    <cellStyle name="Millares 2 80 5 4 4 2" xfId="45531" xr:uid="{00000000-0005-0000-0000-00002D330000}"/>
    <cellStyle name="Millares 2 80 5 4 5" xfId="31969" xr:uid="{00000000-0005-0000-0000-00002E330000}"/>
    <cellStyle name="Millares 2 80 5 5" xfId="4602" xr:uid="{00000000-0005-0000-0000-00002F330000}"/>
    <cellStyle name="Millares 2 80 5 5 2" xfId="8211" xr:uid="{00000000-0005-0000-0000-000030330000}"/>
    <cellStyle name="Millares 2 80 5 5 2 2" xfId="15001" xr:uid="{00000000-0005-0000-0000-000031330000}"/>
    <cellStyle name="Millares 2 80 5 5 2 2 2" xfId="28569" xr:uid="{00000000-0005-0000-0000-000032330000}"/>
    <cellStyle name="Millares 2 80 5 5 2 2 2 2" xfId="55702" xr:uid="{00000000-0005-0000-0000-000033330000}"/>
    <cellStyle name="Millares 2 80 5 5 2 2 3" xfId="42140" xr:uid="{00000000-0005-0000-0000-000034330000}"/>
    <cellStyle name="Millares 2 80 5 5 2 3" xfId="21788" xr:uid="{00000000-0005-0000-0000-000035330000}"/>
    <cellStyle name="Millares 2 80 5 5 2 3 2" xfId="48921" xr:uid="{00000000-0005-0000-0000-000036330000}"/>
    <cellStyle name="Millares 2 80 5 5 2 4" xfId="35359" xr:uid="{00000000-0005-0000-0000-000037330000}"/>
    <cellStyle name="Millares 2 80 5 5 3" xfId="11612" xr:uid="{00000000-0005-0000-0000-000038330000}"/>
    <cellStyle name="Millares 2 80 5 5 3 2" xfId="25180" xr:uid="{00000000-0005-0000-0000-000039330000}"/>
    <cellStyle name="Millares 2 80 5 5 3 2 2" xfId="52313" xr:uid="{00000000-0005-0000-0000-00003A330000}"/>
    <cellStyle name="Millares 2 80 5 5 3 3" xfId="38751" xr:uid="{00000000-0005-0000-0000-00003B330000}"/>
    <cellStyle name="Millares 2 80 5 5 4" xfId="18399" xr:uid="{00000000-0005-0000-0000-00003C330000}"/>
    <cellStyle name="Millares 2 80 5 5 4 2" xfId="45532" xr:uid="{00000000-0005-0000-0000-00003D330000}"/>
    <cellStyle name="Millares 2 80 5 5 5" xfId="31970" xr:uid="{00000000-0005-0000-0000-00003E330000}"/>
    <cellStyle name="Millares 2 80 5 6" xfId="8204" xr:uid="{00000000-0005-0000-0000-00003F330000}"/>
    <cellStyle name="Millares 2 80 5 6 2" xfId="14994" xr:uid="{00000000-0005-0000-0000-000040330000}"/>
    <cellStyle name="Millares 2 80 5 6 2 2" xfId="28562" xr:uid="{00000000-0005-0000-0000-000041330000}"/>
    <cellStyle name="Millares 2 80 5 6 2 2 2" xfId="55695" xr:uid="{00000000-0005-0000-0000-000042330000}"/>
    <cellStyle name="Millares 2 80 5 6 2 3" xfId="42133" xr:uid="{00000000-0005-0000-0000-000043330000}"/>
    <cellStyle name="Millares 2 80 5 6 3" xfId="21781" xr:uid="{00000000-0005-0000-0000-000044330000}"/>
    <cellStyle name="Millares 2 80 5 6 3 2" xfId="48914" xr:uid="{00000000-0005-0000-0000-000045330000}"/>
    <cellStyle name="Millares 2 80 5 6 4" xfId="35352" xr:uid="{00000000-0005-0000-0000-000046330000}"/>
    <cellStyle name="Millares 2 80 5 7" xfId="11605" xr:uid="{00000000-0005-0000-0000-000047330000}"/>
    <cellStyle name="Millares 2 80 5 7 2" xfId="25173" xr:uid="{00000000-0005-0000-0000-000048330000}"/>
    <cellStyle name="Millares 2 80 5 7 2 2" xfId="52306" xr:uid="{00000000-0005-0000-0000-000049330000}"/>
    <cellStyle name="Millares 2 80 5 7 3" xfId="38744" xr:uid="{00000000-0005-0000-0000-00004A330000}"/>
    <cellStyle name="Millares 2 80 5 8" xfId="18392" xr:uid="{00000000-0005-0000-0000-00004B330000}"/>
    <cellStyle name="Millares 2 80 5 8 2" xfId="45525" xr:uid="{00000000-0005-0000-0000-00004C330000}"/>
    <cellStyle name="Millares 2 80 5 9" xfId="31963" xr:uid="{00000000-0005-0000-0000-00004D330000}"/>
    <cellStyle name="Millares 2 80 6" xfId="4603" xr:uid="{00000000-0005-0000-0000-00004E330000}"/>
    <cellStyle name="Millares 2 80 6 2" xfId="4604" xr:uid="{00000000-0005-0000-0000-00004F330000}"/>
    <cellStyle name="Millares 2 80 6 2 2" xfId="4605" xr:uid="{00000000-0005-0000-0000-000050330000}"/>
    <cellStyle name="Millares 2 80 6 2 2 2" xfId="8214" xr:uid="{00000000-0005-0000-0000-000051330000}"/>
    <cellStyle name="Millares 2 80 6 2 2 2 2" xfId="15004" xr:uid="{00000000-0005-0000-0000-000052330000}"/>
    <cellStyle name="Millares 2 80 6 2 2 2 2 2" xfId="28572" xr:uid="{00000000-0005-0000-0000-000053330000}"/>
    <cellStyle name="Millares 2 80 6 2 2 2 2 2 2" xfId="55705" xr:uid="{00000000-0005-0000-0000-000054330000}"/>
    <cellStyle name="Millares 2 80 6 2 2 2 2 3" xfId="42143" xr:uid="{00000000-0005-0000-0000-000055330000}"/>
    <cellStyle name="Millares 2 80 6 2 2 2 3" xfId="21791" xr:uid="{00000000-0005-0000-0000-000056330000}"/>
    <cellStyle name="Millares 2 80 6 2 2 2 3 2" xfId="48924" xr:uid="{00000000-0005-0000-0000-000057330000}"/>
    <cellStyle name="Millares 2 80 6 2 2 2 4" xfId="35362" xr:uid="{00000000-0005-0000-0000-000058330000}"/>
    <cellStyle name="Millares 2 80 6 2 2 3" xfId="11615" xr:uid="{00000000-0005-0000-0000-000059330000}"/>
    <cellStyle name="Millares 2 80 6 2 2 3 2" xfId="25183" xr:uid="{00000000-0005-0000-0000-00005A330000}"/>
    <cellStyle name="Millares 2 80 6 2 2 3 2 2" xfId="52316" xr:uid="{00000000-0005-0000-0000-00005B330000}"/>
    <cellStyle name="Millares 2 80 6 2 2 3 3" xfId="38754" xr:uid="{00000000-0005-0000-0000-00005C330000}"/>
    <cellStyle name="Millares 2 80 6 2 2 4" xfId="18402" xr:uid="{00000000-0005-0000-0000-00005D330000}"/>
    <cellStyle name="Millares 2 80 6 2 2 4 2" xfId="45535" xr:uid="{00000000-0005-0000-0000-00005E330000}"/>
    <cellStyle name="Millares 2 80 6 2 2 5" xfId="31973" xr:uid="{00000000-0005-0000-0000-00005F330000}"/>
    <cellStyle name="Millares 2 80 6 2 3" xfId="4606" xr:uid="{00000000-0005-0000-0000-000060330000}"/>
    <cellStyle name="Millares 2 80 6 2 3 2" xfId="8215" xr:uid="{00000000-0005-0000-0000-000061330000}"/>
    <cellStyle name="Millares 2 80 6 2 3 2 2" xfId="15005" xr:uid="{00000000-0005-0000-0000-000062330000}"/>
    <cellStyle name="Millares 2 80 6 2 3 2 2 2" xfId="28573" xr:uid="{00000000-0005-0000-0000-000063330000}"/>
    <cellStyle name="Millares 2 80 6 2 3 2 2 2 2" xfId="55706" xr:uid="{00000000-0005-0000-0000-000064330000}"/>
    <cellStyle name="Millares 2 80 6 2 3 2 2 3" xfId="42144" xr:uid="{00000000-0005-0000-0000-000065330000}"/>
    <cellStyle name="Millares 2 80 6 2 3 2 3" xfId="21792" xr:uid="{00000000-0005-0000-0000-000066330000}"/>
    <cellStyle name="Millares 2 80 6 2 3 2 3 2" xfId="48925" xr:uid="{00000000-0005-0000-0000-000067330000}"/>
    <cellStyle name="Millares 2 80 6 2 3 2 4" xfId="35363" xr:uid="{00000000-0005-0000-0000-000068330000}"/>
    <cellStyle name="Millares 2 80 6 2 3 3" xfId="11616" xr:uid="{00000000-0005-0000-0000-000069330000}"/>
    <cellStyle name="Millares 2 80 6 2 3 3 2" xfId="25184" xr:uid="{00000000-0005-0000-0000-00006A330000}"/>
    <cellStyle name="Millares 2 80 6 2 3 3 2 2" xfId="52317" xr:uid="{00000000-0005-0000-0000-00006B330000}"/>
    <cellStyle name="Millares 2 80 6 2 3 3 3" xfId="38755" xr:uid="{00000000-0005-0000-0000-00006C330000}"/>
    <cellStyle name="Millares 2 80 6 2 3 4" xfId="18403" xr:uid="{00000000-0005-0000-0000-00006D330000}"/>
    <cellStyle name="Millares 2 80 6 2 3 4 2" xfId="45536" xr:uid="{00000000-0005-0000-0000-00006E330000}"/>
    <cellStyle name="Millares 2 80 6 2 3 5" xfId="31974" xr:uid="{00000000-0005-0000-0000-00006F330000}"/>
    <cellStyle name="Millares 2 80 6 2 4" xfId="8213" xr:uid="{00000000-0005-0000-0000-000070330000}"/>
    <cellStyle name="Millares 2 80 6 2 4 2" xfId="15003" xr:uid="{00000000-0005-0000-0000-000071330000}"/>
    <cellStyle name="Millares 2 80 6 2 4 2 2" xfId="28571" xr:uid="{00000000-0005-0000-0000-000072330000}"/>
    <cellStyle name="Millares 2 80 6 2 4 2 2 2" xfId="55704" xr:uid="{00000000-0005-0000-0000-000073330000}"/>
    <cellStyle name="Millares 2 80 6 2 4 2 3" xfId="42142" xr:uid="{00000000-0005-0000-0000-000074330000}"/>
    <cellStyle name="Millares 2 80 6 2 4 3" xfId="21790" xr:uid="{00000000-0005-0000-0000-000075330000}"/>
    <cellStyle name="Millares 2 80 6 2 4 3 2" xfId="48923" xr:uid="{00000000-0005-0000-0000-000076330000}"/>
    <cellStyle name="Millares 2 80 6 2 4 4" xfId="35361" xr:uid="{00000000-0005-0000-0000-000077330000}"/>
    <cellStyle name="Millares 2 80 6 2 5" xfId="11614" xr:uid="{00000000-0005-0000-0000-000078330000}"/>
    <cellStyle name="Millares 2 80 6 2 5 2" xfId="25182" xr:uid="{00000000-0005-0000-0000-000079330000}"/>
    <cellStyle name="Millares 2 80 6 2 5 2 2" xfId="52315" xr:uid="{00000000-0005-0000-0000-00007A330000}"/>
    <cellStyle name="Millares 2 80 6 2 5 3" xfId="38753" xr:uid="{00000000-0005-0000-0000-00007B330000}"/>
    <cellStyle name="Millares 2 80 6 2 6" xfId="18401" xr:uid="{00000000-0005-0000-0000-00007C330000}"/>
    <cellStyle name="Millares 2 80 6 2 6 2" xfId="45534" xr:uid="{00000000-0005-0000-0000-00007D330000}"/>
    <cellStyle name="Millares 2 80 6 2 7" xfId="31972" xr:uid="{00000000-0005-0000-0000-00007E330000}"/>
    <cellStyle name="Millares 2 80 6 3" xfId="4607" xr:uid="{00000000-0005-0000-0000-00007F330000}"/>
    <cellStyle name="Millares 2 80 6 3 2" xfId="8216" xr:uid="{00000000-0005-0000-0000-000080330000}"/>
    <cellStyle name="Millares 2 80 6 3 2 2" xfId="15006" xr:uid="{00000000-0005-0000-0000-000081330000}"/>
    <cellStyle name="Millares 2 80 6 3 2 2 2" xfId="28574" xr:uid="{00000000-0005-0000-0000-000082330000}"/>
    <cellStyle name="Millares 2 80 6 3 2 2 2 2" xfId="55707" xr:uid="{00000000-0005-0000-0000-000083330000}"/>
    <cellStyle name="Millares 2 80 6 3 2 2 3" xfId="42145" xr:uid="{00000000-0005-0000-0000-000084330000}"/>
    <cellStyle name="Millares 2 80 6 3 2 3" xfId="21793" xr:uid="{00000000-0005-0000-0000-000085330000}"/>
    <cellStyle name="Millares 2 80 6 3 2 3 2" xfId="48926" xr:uid="{00000000-0005-0000-0000-000086330000}"/>
    <cellStyle name="Millares 2 80 6 3 2 4" xfId="35364" xr:uid="{00000000-0005-0000-0000-000087330000}"/>
    <cellStyle name="Millares 2 80 6 3 3" xfId="11617" xr:uid="{00000000-0005-0000-0000-000088330000}"/>
    <cellStyle name="Millares 2 80 6 3 3 2" xfId="25185" xr:uid="{00000000-0005-0000-0000-000089330000}"/>
    <cellStyle name="Millares 2 80 6 3 3 2 2" xfId="52318" xr:uid="{00000000-0005-0000-0000-00008A330000}"/>
    <cellStyle name="Millares 2 80 6 3 3 3" xfId="38756" xr:uid="{00000000-0005-0000-0000-00008B330000}"/>
    <cellStyle name="Millares 2 80 6 3 4" xfId="18404" xr:uid="{00000000-0005-0000-0000-00008C330000}"/>
    <cellStyle name="Millares 2 80 6 3 4 2" xfId="45537" xr:uid="{00000000-0005-0000-0000-00008D330000}"/>
    <cellStyle name="Millares 2 80 6 3 5" xfId="31975" xr:uid="{00000000-0005-0000-0000-00008E330000}"/>
    <cellStyle name="Millares 2 80 6 4" xfId="4608" xr:uid="{00000000-0005-0000-0000-00008F330000}"/>
    <cellStyle name="Millares 2 80 6 4 2" xfId="8217" xr:uid="{00000000-0005-0000-0000-000090330000}"/>
    <cellStyle name="Millares 2 80 6 4 2 2" xfId="15007" xr:uid="{00000000-0005-0000-0000-000091330000}"/>
    <cellStyle name="Millares 2 80 6 4 2 2 2" xfId="28575" xr:uid="{00000000-0005-0000-0000-000092330000}"/>
    <cellStyle name="Millares 2 80 6 4 2 2 2 2" xfId="55708" xr:uid="{00000000-0005-0000-0000-000093330000}"/>
    <cellStyle name="Millares 2 80 6 4 2 2 3" xfId="42146" xr:uid="{00000000-0005-0000-0000-000094330000}"/>
    <cellStyle name="Millares 2 80 6 4 2 3" xfId="21794" xr:uid="{00000000-0005-0000-0000-000095330000}"/>
    <cellStyle name="Millares 2 80 6 4 2 3 2" xfId="48927" xr:uid="{00000000-0005-0000-0000-000096330000}"/>
    <cellStyle name="Millares 2 80 6 4 2 4" xfId="35365" xr:uid="{00000000-0005-0000-0000-000097330000}"/>
    <cellStyle name="Millares 2 80 6 4 3" xfId="11618" xr:uid="{00000000-0005-0000-0000-000098330000}"/>
    <cellStyle name="Millares 2 80 6 4 3 2" xfId="25186" xr:uid="{00000000-0005-0000-0000-000099330000}"/>
    <cellStyle name="Millares 2 80 6 4 3 2 2" xfId="52319" xr:uid="{00000000-0005-0000-0000-00009A330000}"/>
    <cellStyle name="Millares 2 80 6 4 3 3" xfId="38757" xr:uid="{00000000-0005-0000-0000-00009B330000}"/>
    <cellStyle name="Millares 2 80 6 4 4" xfId="18405" xr:uid="{00000000-0005-0000-0000-00009C330000}"/>
    <cellStyle name="Millares 2 80 6 4 4 2" xfId="45538" xr:uid="{00000000-0005-0000-0000-00009D330000}"/>
    <cellStyle name="Millares 2 80 6 4 5" xfId="31976" xr:uid="{00000000-0005-0000-0000-00009E330000}"/>
    <cellStyle name="Millares 2 80 6 5" xfId="8212" xr:uid="{00000000-0005-0000-0000-00009F330000}"/>
    <cellStyle name="Millares 2 80 6 5 2" xfId="15002" xr:uid="{00000000-0005-0000-0000-0000A0330000}"/>
    <cellStyle name="Millares 2 80 6 5 2 2" xfId="28570" xr:uid="{00000000-0005-0000-0000-0000A1330000}"/>
    <cellStyle name="Millares 2 80 6 5 2 2 2" xfId="55703" xr:uid="{00000000-0005-0000-0000-0000A2330000}"/>
    <cellStyle name="Millares 2 80 6 5 2 3" xfId="42141" xr:uid="{00000000-0005-0000-0000-0000A3330000}"/>
    <cellStyle name="Millares 2 80 6 5 3" xfId="21789" xr:uid="{00000000-0005-0000-0000-0000A4330000}"/>
    <cellStyle name="Millares 2 80 6 5 3 2" xfId="48922" xr:uid="{00000000-0005-0000-0000-0000A5330000}"/>
    <cellStyle name="Millares 2 80 6 5 4" xfId="35360" xr:uid="{00000000-0005-0000-0000-0000A6330000}"/>
    <cellStyle name="Millares 2 80 6 6" xfId="11613" xr:uid="{00000000-0005-0000-0000-0000A7330000}"/>
    <cellStyle name="Millares 2 80 6 6 2" xfId="25181" xr:uid="{00000000-0005-0000-0000-0000A8330000}"/>
    <cellStyle name="Millares 2 80 6 6 2 2" xfId="52314" xr:uid="{00000000-0005-0000-0000-0000A9330000}"/>
    <cellStyle name="Millares 2 80 6 6 3" xfId="38752" xr:uid="{00000000-0005-0000-0000-0000AA330000}"/>
    <cellStyle name="Millares 2 80 6 7" xfId="18400" xr:uid="{00000000-0005-0000-0000-0000AB330000}"/>
    <cellStyle name="Millares 2 80 6 7 2" xfId="45533" xr:uid="{00000000-0005-0000-0000-0000AC330000}"/>
    <cellStyle name="Millares 2 80 6 8" xfId="31971" xr:uid="{00000000-0005-0000-0000-0000AD330000}"/>
    <cellStyle name="Millares 2 80 7" xfId="4609" xr:uid="{00000000-0005-0000-0000-0000AE330000}"/>
    <cellStyle name="Millares 2 80 7 2" xfId="4610" xr:uid="{00000000-0005-0000-0000-0000AF330000}"/>
    <cellStyle name="Millares 2 80 7 2 2" xfId="4611" xr:uid="{00000000-0005-0000-0000-0000B0330000}"/>
    <cellStyle name="Millares 2 80 7 2 2 2" xfId="8220" xr:uid="{00000000-0005-0000-0000-0000B1330000}"/>
    <cellStyle name="Millares 2 80 7 2 2 2 2" xfId="15010" xr:uid="{00000000-0005-0000-0000-0000B2330000}"/>
    <cellStyle name="Millares 2 80 7 2 2 2 2 2" xfId="28578" xr:uid="{00000000-0005-0000-0000-0000B3330000}"/>
    <cellStyle name="Millares 2 80 7 2 2 2 2 2 2" xfId="55711" xr:uid="{00000000-0005-0000-0000-0000B4330000}"/>
    <cellStyle name="Millares 2 80 7 2 2 2 2 3" xfId="42149" xr:uid="{00000000-0005-0000-0000-0000B5330000}"/>
    <cellStyle name="Millares 2 80 7 2 2 2 3" xfId="21797" xr:uid="{00000000-0005-0000-0000-0000B6330000}"/>
    <cellStyle name="Millares 2 80 7 2 2 2 3 2" xfId="48930" xr:uid="{00000000-0005-0000-0000-0000B7330000}"/>
    <cellStyle name="Millares 2 80 7 2 2 2 4" xfId="35368" xr:uid="{00000000-0005-0000-0000-0000B8330000}"/>
    <cellStyle name="Millares 2 80 7 2 2 3" xfId="11621" xr:uid="{00000000-0005-0000-0000-0000B9330000}"/>
    <cellStyle name="Millares 2 80 7 2 2 3 2" xfId="25189" xr:uid="{00000000-0005-0000-0000-0000BA330000}"/>
    <cellStyle name="Millares 2 80 7 2 2 3 2 2" xfId="52322" xr:uid="{00000000-0005-0000-0000-0000BB330000}"/>
    <cellStyle name="Millares 2 80 7 2 2 3 3" xfId="38760" xr:uid="{00000000-0005-0000-0000-0000BC330000}"/>
    <cellStyle name="Millares 2 80 7 2 2 4" xfId="18408" xr:uid="{00000000-0005-0000-0000-0000BD330000}"/>
    <cellStyle name="Millares 2 80 7 2 2 4 2" xfId="45541" xr:uid="{00000000-0005-0000-0000-0000BE330000}"/>
    <cellStyle name="Millares 2 80 7 2 2 5" xfId="31979" xr:uid="{00000000-0005-0000-0000-0000BF330000}"/>
    <cellStyle name="Millares 2 80 7 2 3" xfId="4612" xr:uid="{00000000-0005-0000-0000-0000C0330000}"/>
    <cellStyle name="Millares 2 80 7 2 3 2" xfId="8221" xr:uid="{00000000-0005-0000-0000-0000C1330000}"/>
    <cellStyle name="Millares 2 80 7 2 3 2 2" xfId="15011" xr:uid="{00000000-0005-0000-0000-0000C2330000}"/>
    <cellStyle name="Millares 2 80 7 2 3 2 2 2" xfId="28579" xr:uid="{00000000-0005-0000-0000-0000C3330000}"/>
    <cellStyle name="Millares 2 80 7 2 3 2 2 2 2" xfId="55712" xr:uid="{00000000-0005-0000-0000-0000C4330000}"/>
    <cellStyle name="Millares 2 80 7 2 3 2 2 3" xfId="42150" xr:uid="{00000000-0005-0000-0000-0000C5330000}"/>
    <cellStyle name="Millares 2 80 7 2 3 2 3" xfId="21798" xr:uid="{00000000-0005-0000-0000-0000C6330000}"/>
    <cellStyle name="Millares 2 80 7 2 3 2 3 2" xfId="48931" xr:uid="{00000000-0005-0000-0000-0000C7330000}"/>
    <cellStyle name="Millares 2 80 7 2 3 2 4" xfId="35369" xr:uid="{00000000-0005-0000-0000-0000C8330000}"/>
    <cellStyle name="Millares 2 80 7 2 3 3" xfId="11622" xr:uid="{00000000-0005-0000-0000-0000C9330000}"/>
    <cellStyle name="Millares 2 80 7 2 3 3 2" xfId="25190" xr:uid="{00000000-0005-0000-0000-0000CA330000}"/>
    <cellStyle name="Millares 2 80 7 2 3 3 2 2" xfId="52323" xr:uid="{00000000-0005-0000-0000-0000CB330000}"/>
    <cellStyle name="Millares 2 80 7 2 3 3 3" xfId="38761" xr:uid="{00000000-0005-0000-0000-0000CC330000}"/>
    <cellStyle name="Millares 2 80 7 2 3 4" xfId="18409" xr:uid="{00000000-0005-0000-0000-0000CD330000}"/>
    <cellStyle name="Millares 2 80 7 2 3 4 2" xfId="45542" xr:uid="{00000000-0005-0000-0000-0000CE330000}"/>
    <cellStyle name="Millares 2 80 7 2 3 5" xfId="31980" xr:uid="{00000000-0005-0000-0000-0000CF330000}"/>
    <cellStyle name="Millares 2 80 7 2 4" xfId="8219" xr:uid="{00000000-0005-0000-0000-0000D0330000}"/>
    <cellStyle name="Millares 2 80 7 2 4 2" xfId="15009" xr:uid="{00000000-0005-0000-0000-0000D1330000}"/>
    <cellStyle name="Millares 2 80 7 2 4 2 2" xfId="28577" xr:uid="{00000000-0005-0000-0000-0000D2330000}"/>
    <cellStyle name="Millares 2 80 7 2 4 2 2 2" xfId="55710" xr:uid="{00000000-0005-0000-0000-0000D3330000}"/>
    <cellStyle name="Millares 2 80 7 2 4 2 3" xfId="42148" xr:uid="{00000000-0005-0000-0000-0000D4330000}"/>
    <cellStyle name="Millares 2 80 7 2 4 3" xfId="21796" xr:uid="{00000000-0005-0000-0000-0000D5330000}"/>
    <cellStyle name="Millares 2 80 7 2 4 3 2" xfId="48929" xr:uid="{00000000-0005-0000-0000-0000D6330000}"/>
    <cellStyle name="Millares 2 80 7 2 4 4" xfId="35367" xr:uid="{00000000-0005-0000-0000-0000D7330000}"/>
    <cellStyle name="Millares 2 80 7 2 5" xfId="11620" xr:uid="{00000000-0005-0000-0000-0000D8330000}"/>
    <cellStyle name="Millares 2 80 7 2 5 2" xfId="25188" xr:uid="{00000000-0005-0000-0000-0000D9330000}"/>
    <cellStyle name="Millares 2 80 7 2 5 2 2" xfId="52321" xr:uid="{00000000-0005-0000-0000-0000DA330000}"/>
    <cellStyle name="Millares 2 80 7 2 5 3" xfId="38759" xr:uid="{00000000-0005-0000-0000-0000DB330000}"/>
    <cellStyle name="Millares 2 80 7 2 6" xfId="18407" xr:uid="{00000000-0005-0000-0000-0000DC330000}"/>
    <cellStyle name="Millares 2 80 7 2 6 2" xfId="45540" xr:uid="{00000000-0005-0000-0000-0000DD330000}"/>
    <cellStyle name="Millares 2 80 7 2 7" xfId="31978" xr:uid="{00000000-0005-0000-0000-0000DE330000}"/>
    <cellStyle name="Millares 2 80 7 3" xfId="4613" xr:uid="{00000000-0005-0000-0000-0000DF330000}"/>
    <cellStyle name="Millares 2 80 7 3 2" xfId="8222" xr:uid="{00000000-0005-0000-0000-0000E0330000}"/>
    <cellStyle name="Millares 2 80 7 3 2 2" xfId="15012" xr:uid="{00000000-0005-0000-0000-0000E1330000}"/>
    <cellStyle name="Millares 2 80 7 3 2 2 2" xfId="28580" xr:uid="{00000000-0005-0000-0000-0000E2330000}"/>
    <cellStyle name="Millares 2 80 7 3 2 2 2 2" xfId="55713" xr:uid="{00000000-0005-0000-0000-0000E3330000}"/>
    <cellStyle name="Millares 2 80 7 3 2 2 3" xfId="42151" xr:uid="{00000000-0005-0000-0000-0000E4330000}"/>
    <cellStyle name="Millares 2 80 7 3 2 3" xfId="21799" xr:uid="{00000000-0005-0000-0000-0000E5330000}"/>
    <cellStyle name="Millares 2 80 7 3 2 3 2" xfId="48932" xr:uid="{00000000-0005-0000-0000-0000E6330000}"/>
    <cellStyle name="Millares 2 80 7 3 2 4" xfId="35370" xr:uid="{00000000-0005-0000-0000-0000E7330000}"/>
    <cellStyle name="Millares 2 80 7 3 3" xfId="11623" xr:uid="{00000000-0005-0000-0000-0000E8330000}"/>
    <cellStyle name="Millares 2 80 7 3 3 2" xfId="25191" xr:uid="{00000000-0005-0000-0000-0000E9330000}"/>
    <cellStyle name="Millares 2 80 7 3 3 2 2" xfId="52324" xr:uid="{00000000-0005-0000-0000-0000EA330000}"/>
    <cellStyle name="Millares 2 80 7 3 3 3" xfId="38762" xr:uid="{00000000-0005-0000-0000-0000EB330000}"/>
    <cellStyle name="Millares 2 80 7 3 4" xfId="18410" xr:uid="{00000000-0005-0000-0000-0000EC330000}"/>
    <cellStyle name="Millares 2 80 7 3 4 2" xfId="45543" xr:uid="{00000000-0005-0000-0000-0000ED330000}"/>
    <cellStyle name="Millares 2 80 7 3 5" xfId="31981" xr:uid="{00000000-0005-0000-0000-0000EE330000}"/>
    <cellStyle name="Millares 2 80 7 4" xfId="4614" xr:uid="{00000000-0005-0000-0000-0000EF330000}"/>
    <cellStyle name="Millares 2 80 7 4 2" xfId="8223" xr:uid="{00000000-0005-0000-0000-0000F0330000}"/>
    <cellStyle name="Millares 2 80 7 4 2 2" xfId="15013" xr:uid="{00000000-0005-0000-0000-0000F1330000}"/>
    <cellStyle name="Millares 2 80 7 4 2 2 2" xfId="28581" xr:uid="{00000000-0005-0000-0000-0000F2330000}"/>
    <cellStyle name="Millares 2 80 7 4 2 2 2 2" xfId="55714" xr:uid="{00000000-0005-0000-0000-0000F3330000}"/>
    <cellStyle name="Millares 2 80 7 4 2 2 3" xfId="42152" xr:uid="{00000000-0005-0000-0000-0000F4330000}"/>
    <cellStyle name="Millares 2 80 7 4 2 3" xfId="21800" xr:uid="{00000000-0005-0000-0000-0000F5330000}"/>
    <cellStyle name="Millares 2 80 7 4 2 3 2" xfId="48933" xr:uid="{00000000-0005-0000-0000-0000F6330000}"/>
    <cellStyle name="Millares 2 80 7 4 2 4" xfId="35371" xr:uid="{00000000-0005-0000-0000-0000F7330000}"/>
    <cellStyle name="Millares 2 80 7 4 3" xfId="11624" xr:uid="{00000000-0005-0000-0000-0000F8330000}"/>
    <cellStyle name="Millares 2 80 7 4 3 2" xfId="25192" xr:uid="{00000000-0005-0000-0000-0000F9330000}"/>
    <cellStyle name="Millares 2 80 7 4 3 2 2" xfId="52325" xr:uid="{00000000-0005-0000-0000-0000FA330000}"/>
    <cellStyle name="Millares 2 80 7 4 3 3" xfId="38763" xr:uid="{00000000-0005-0000-0000-0000FB330000}"/>
    <cellStyle name="Millares 2 80 7 4 4" xfId="18411" xr:uid="{00000000-0005-0000-0000-0000FC330000}"/>
    <cellStyle name="Millares 2 80 7 4 4 2" xfId="45544" xr:uid="{00000000-0005-0000-0000-0000FD330000}"/>
    <cellStyle name="Millares 2 80 7 4 5" xfId="31982" xr:uid="{00000000-0005-0000-0000-0000FE330000}"/>
    <cellStyle name="Millares 2 80 7 5" xfId="8218" xr:uid="{00000000-0005-0000-0000-0000FF330000}"/>
    <cellStyle name="Millares 2 80 7 5 2" xfId="15008" xr:uid="{00000000-0005-0000-0000-000000340000}"/>
    <cellStyle name="Millares 2 80 7 5 2 2" xfId="28576" xr:uid="{00000000-0005-0000-0000-000001340000}"/>
    <cellStyle name="Millares 2 80 7 5 2 2 2" xfId="55709" xr:uid="{00000000-0005-0000-0000-000002340000}"/>
    <cellStyle name="Millares 2 80 7 5 2 3" xfId="42147" xr:uid="{00000000-0005-0000-0000-000003340000}"/>
    <cellStyle name="Millares 2 80 7 5 3" xfId="21795" xr:uid="{00000000-0005-0000-0000-000004340000}"/>
    <cellStyle name="Millares 2 80 7 5 3 2" xfId="48928" xr:uid="{00000000-0005-0000-0000-000005340000}"/>
    <cellStyle name="Millares 2 80 7 5 4" xfId="35366" xr:uid="{00000000-0005-0000-0000-000006340000}"/>
    <cellStyle name="Millares 2 80 7 6" xfId="11619" xr:uid="{00000000-0005-0000-0000-000007340000}"/>
    <cellStyle name="Millares 2 80 7 6 2" xfId="25187" xr:uid="{00000000-0005-0000-0000-000008340000}"/>
    <cellStyle name="Millares 2 80 7 6 2 2" xfId="52320" xr:uid="{00000000-0005-0000-0000-000009340000}"/>
    <cellStyle name="Millares 2 80 7 6 3" xfId="38758" xr:uid="{00000000-0005-0000-0000-00000A340000}"/>
    <cellStyle name="Millares 2 80 7 7" xfId="18406" xr:uid="{00000000-0005-0000-0000-00000B340000}"/>
    <cellStyle name="Millares 2 80 7 7 2" xfId="45539" xr:uid="{00000000-0005-0000-0000-00000C340000}"/>
    <cellStyle name="Millares 2 80 7 8" xfId="31977" xr:uid="{00000000-0005-0000-0000-00000D340000}"/>
    <cellStyle name="Millares 2 80 8" xfId="4615" xr:uid="{00000000-0005-0000-0000-00000E340000}"/>
    <cellStyle name="Millares 2 80 8 2" xfId="4616" xr:uid="{00000000-0005-0000-0000-00000F340000}"/>
    <cellStyle name="Millares 2 80 8 2 2" xfId="8225" xr:uid="{00000000-0005-0000-0000-000010340000}"/>
    <cellStyle name="Millares 2 80 8 2 2 2" xfId="15015" xr:uid="{00000000-0005-0000-0000-000011340000}"/>
    <cellStyle name="Millares 2 80 8 2 2 2 2" xfId="28583" xr:uid="{00000000-0005-0000-0000-000012340000}"/>
    <cellStyle name="Millares 2 80 8 2 2 2 2 2" xfId="55716" xr:uid="{00000000-0005-0000-0000-000013340000}"/>
    <cellStyle name="Millares 2 80 8 2 2 2 3" xfId="42154" xr:uid="{00000000-0005-0000-0000-000014340000}"/>
    <cellStyle name="Millares 2 80 8 2 2 3" xfId="21802" xr:uid="{00000000-0005-0000-0000-000015340000}"/>
    <cellStyle name="Millares 2 80 8 2 2 3 2" xfId="48935" xr:uid="{00000000-0005-0000-0000-000016340000}"/>
    <cellStyle name="Millares 2 80 8 2 2 4" xfId="35373" xr:uid="{00000000-0005-0000-0000-000017340000}"/>
    <cellStyle name="Millares 2 80 8 2 3" xfId="11626" xr:uid="{00000000-0005-0000-0000-000018340000}"/>
    <cellStyle name="Millares 2 80 8 2 3 2" xfId="25194" xr:uid="{00000000-0005-0000-0000-000019340000}"/>
    <cellStyle name="Millares 2 80 8 2 3 2 2" xfId="52327" xr:uid="{00000000-0005-0000-0000-00001A340000}"/>
    <cellStyle name="Millares 2 80 8 2 3 3" xfId="38765" xr:uid="{00000000-0005-0000-0000-00001B340000}"/>
    <cellStyle name="Millares 2 80 8 2 4" xfId="18413" xr:uid="{00000000-0005-0000-0000-00001C340000}"/>
    <cellStyle name="Millares 2 80 8 2 4 2" xfId="45546" xr:uid="{00000000-0005-0000-0000-00001D340000}"/>
    <cellStyle name="Millares 2 80 8 2 5" xfId="31984" xr:uid="{00000000-0005-0000-0000-00001E340000}"/>
    <cellStyle name="Millares 2 80 8 3" xfId="4617" xr:uid="{00000000-0005-0000-0000-00001F340000}"/>
    <cellStyle name="Millares 2 80 8 3 2" xfId="8226" xr:uid="{00000000-0005-0000-0000-000020340000}"/>
    <cellStyle name="Millares 2 80 8 3 2 2" xfId="15016" xr:uid="{00000000-0005-0000-0000-000021340000}"/>
    <cellStyle name="Millares 2 80 8 3 2 2 2" xfId="28584" xr:uid="{00000000-0005-0000-0000-000022340000}"/>
    <cellStyle name="Millares 2 80 8 3 2 2 2 2" xfId="55717" xr:uid="{00000000-0005-0000-0000-000023340000}"/>
    <cellStyle name="Millares 2 80 8 3 2 2 3" xfId="42155" xr:uid="{00000000-0005-0000-0000-000024340000}"/>
    <cellStyle name="Millares 2 80 8 3 2 3" xfId="21803" xr:uid="{00000000-0005-0000-0000-000025340000}"/>
    <cellStyle name="Millares 2 80 8 3 2 3 2" xfId="48936" xr:uid="{00000000-0005-0000-0000-000026340000}"/>
    <cellStyle name="Millares 2 80 8 3 2 4" xfId="35374" xr:uid="{00000000-0005-0000-0000-000027340000}"/>
    <cellStyle name="Millares 2 80 8 3 3" xfId="11627" xr:uid="{00000000-0005-0000-0000-000028340000}"/>
    <cellStyle name="Millares 2 80 8 3 3 2" xfId="25195" xr:uid="{00000000-0005-0000-0000-000029340000}"/>
    <cellStyle name="Millares 2 80 8 3 3 2 2" xfId="52328" xr:uid="{00000000-0005-0000-0000-00002A340000}"/>
    <cellStyle name="Millares 2 80 8 3 3 3" xfId="38766" xr:uid="{00000000-0005-0000-0000-00002B340000}"/>
    <cellStyle name="Millares 2 80 8 3 4" xfId="18414" xr:uid="{00000000-0005-0000-0000-00002C340000}"/>
    <cellStyle name="Millares 2 80 8 3 4 2" xfId="45547" xr:uid="{00000000-0005-0000-0000-00002D340000}"/>
    <cellStyle name="Millares 2 80 8 3 5" xfId="31985" xr:uid="{00000000-0005-0000-0000-00002E340000}"/>
    <cellStyle name="Millares 2 80 8 4" xfId="8224" xr:uid="{00000000-0005-0000-0000-00002F340000}"/>
    <cellStyle name="Millares 2 80 8 4 2" xfId="15014" xr:uid="{00000000-0005-0000-0000-000030340000}"/>
    <cellStyle name="Millares 2 80 8 4 2 2" xfId="28582" xr:uid="{00000000-0005-0000-0000-000031340000}"/>
    <cellStyle name="Millares 2 80 8 4 2 2 2" xfId="55715" xr:uid="{00000000-0005-0000-0000-000032340000}"/>
    <cellStyle name="Millares 2 80 8 4 2 3" xfId="42153" xr:uid="{00000000-0005-0000-0000-000033340000}"/>
    <cellStyle name="Millares 2 80 8 4 3" xfId="21801" xr:uid="{00000000-0005-0000-0000-000034340000}"/>
    <cellStyle name="Millares 2 80 8 4 3 2" xfId="48934" xr:uid="{00000000-0005-0000-0000-000035340000}"/>
    <cellStyle name="Millares 2 80 8 4 4" xfId="35372" xr:uid="{00000000-0005-0000-0000-000036340000}"/>
    <cellStyle name="Millares 2 80 8 5" xfId="11625" xr:uid="{00000000-0005-0000-0000-000037340000}"/>
    <cellStyle name="Millares 2 80 8 5 2" xfId="25193" xr:uid="{00000000-0005-0000-0000-000038340000}"/>
    <cellStyle name="Millares 2 80 8 5 2 2" xfId="52326" xr:uid="{00000000-0005-0000-0000-000039340000}"/>
    <cellStyle name="Millares 2 80 8 5 3" xfId="38764" xr:uid="{00000000-0005-0000-0000-00003A340000}"/>
    <cellStyle name="Millares 2 80 8 6" xfId="18412" xr:uid="{00000000-0005-0000-0000-00003B340000}"/>
    <cellStyle name="Millares 2 80 8 6 2" xfId="45545" xr:uid="{00000000-0005-0000-0000-00003C340000}"/>
    <cellStyle name="Millares 2 80 8 7" xfId="31983" xr:uid="{00000000-0005-0000-0000-00003D340000}"/>
    <cellStyle name="Millares 2 80 9" xfId="4618" xr:uid="{00000000-0005-0000-0000-00003E340000}"/>
    <cellStyle name="Millares 2 80 9 2" xfId="4619" xr:uid="{00000000-0005-0000-0000-00003F340000}"/>
    <cellStyle name="Millares 2 80 9 2 2" xfId="8228" xr:uid="{00000000-0005-0000-0000-000040340000}"/>
    <cellStyle name="Millares 2 80 9 2 2 2" xfId="15018" xr:uid="{00000000-0005-0000-0000-000041340000}"/>
    <cellStyle name="Millares 2 80 9 2 2 2 2" xfId="28586" xr:uid="{00000000-0005-0000-0000-000042340000}"/>
    <cellStyle name="Millares 2 80 9 2 2 2 2 2" xfId="55719" xr:uid="{00000000-0005-0000-0000-000043340000}"/>
    <cellStyle name="Millares 2 80 9 2 2 2 3" xfId="42157" xr:uid="{00000000-0005-0000-0000-000044340000}"/>
    <cellStyle name="Millares 2 80 9 2 2 3" xfId="21805" xr:uid="{00000000-0005-0000-0000-000045340000}"/>
    <cellStyle name="Millares 2 80 9 2 2 3 2" xfId="48938" xr:uid="{00000000-0005-0000-0000-000046340000}"/>
    <cellStyle name="Millares 2 80 9 2 2 4" xfId="35376" xr:uid="{00000000-0005-0000-0000-000047340000}"/>
    <cellStyle name="Millares 2 80 9 2 3" xfId="11629" xr:uid="{00000000-0005-0000-0000-000048340000}"/>
    <cellStyle name="Millares 2 80 9 2 3 2" xfId="25197" xr:uid="{00000000-0005-0000-0000-000049340000}"/>
    <cellStyle name="Millares 2 80 9 2 3 2 2" xfId="52330" xr:uid="{00000000-0005-0000-0000-00004A340000}"/>
    <cellStyle name="Millares 2 80 9 2 3 3" xfId="38768" xr:uid="{00000000-0005-0000-0000-00004B340000}"/>
    <cellStyle name="Millares 2 80 9 2 4" xfId="18416" xr:uid="{00000000-0005-0000-0000-00004C340000}"/>
    <cellStyle name="Millares 2 80 9 2 4 2" xfId="45549" xr:uid="{00000000-0005-0000-0000-00004D340000}"/>
    <cellStyle name="Millares 2 80 9 2 5" xfId="31987" xr:uid="{00000000-0005-0000-0000-00004E340000}"/>
    <cellStyle name="Millares 2 80 9 3" xfId="4620" xr:uid="{00000000-0005-0000-0000-00004F340000}"/>
    <cellStyle name="Millares 2 80 9 3 2" xfId="8229" xr:uid="{00000000-0005-0000-0000-000050340000}"/>
    <cellStyle name="Millares 2 80 9 3 2 2" xfId="15019" xr:uid="{00000000-0005-0000-0000-000051340000}"/>
    <cellStyle name="Millares 2 80 9 3 2 2 2" xfId="28587" xr:uid="{00000000-0005-0000-0000-000052340000}"/>
    <cellStyle name="Millares 2 80 9 3 2 2 2 2" xfId="55720" xr:uid="{00000000-0005-0000-0000-000053340000}"/>
    <cellStyle name="Millares 2 80 9 3 2 2 3" xfId="42158" xr:uid="{00000000-0005-0000-0000-000054340000}"/>
    <cellStyle name="Millares 2 80 9 3 2 3" xfId="21806" xr:uid="{00000000-0005-0000-0000-000055340000}"/>
    <cellStyle name="Millares 2 80 9 3 2 3 2" xfId="48939" xr:uid="{00000000-0005-0000-0000-000056340000}"/>
    <cellStyle name="Millares 2 80 9 3 2 4" xfId="35377" xr:uid="{00000000-0005-0000-0000-000057340000}"/>
    <cellStyle name="Millares 2 80 9 3 3" xfId="11630" xr:uid="{00000000-0005-0000-0000-000058340000}"/>
    <cellStyle name="Millares 2 80 9 3 3 2" xfId="25198" xr:uid="{00000000-0005-0000-0000-000059340000}"/>
    <cellStyle name="Millares 2 80 9 3 3 2 2" xfId="52331" xr:uid="{00000000-0005-0000-0000-00005A340000}"/>
    <cellStyle name="Millares 2 80 9 3 3 3" xfId="38769" xr:uid="{00000000-0005-0000-0000-00005B340000}"/>
    <cellStyle name="Millares 2 80 9 3 4" xfId="18417" xr:uid="{00000000-0005-0000-0000-00005C340000}"/>
    <cellStyle name="Millares 2 80 9 3 4 2" xfId="45550" xr:uid="{00000000-0005-0000-0000-00005D340000}"/>
    <cellStyle name="Millares 2 80 9 3 5" xfId="31988" xr:uid="{00000000-0005-0000-0000-00005E340000}"/>
    <cellStyle name="Millares 2 80 9 4" xfId="8227" xr:uid="{00000000-0005-0000-0000-00005F340000}"/>
    <cellStyle name="Millares 2 80 9 4 2" xfId="15017" xr:uid="{00000000-0005-0000-0000-000060340000}"/>
    <cellStyle name="Millares 2 80 9 4 2 2" xfId="28585" xr:uid="{00000000-0005-0000-0000-000061340000}"/>
    <cellStyle name="Millares 2 80 9 4 2 2 2" xfId="55718" xr:uid="{00000000-0005-0000-0000-000062340000}"/>
    <cellStyle name="Millares 2 80 9 4 2 3" xfId="42156" xr:uid="{00000000-0005-0000-0000-000063340000}"/>
    <cellStyle name="Millares 2 80 9 4 3" xfId="21804" xr:uid="{00000000-0005-0000-0000-000064340000}"/>
    <cellStyle name="Millares 2 80 9 4 3 2" xfId="48937" xr:uid="{00000000-0005-0000-0000-000065340000}"/>
    <cellStyle name="Millares 2 80 9 4 4" xfId="35375" xr:uid="{00000000-0005-0000-0000-000066340000}"/>
    <cellStyle name="Millares 2 80 9 5" xfId="11628" xr:uid="{00000000-0005-0000-0000-000067340000}"/>
    <cellStyle name="Millares 2 80 9 5 2" xfId="25196" xr:uid="{00000000-0005-0000-0000-000068340000}"/>
    <cellStyle name="Millares 2 80 9 5 2 2" xfId="52329" xr:uid="{00000000-0005-0000-0000-000069340000}"/>
    <cellStyle name="Millares 2 80 9 5 3" xfId="38767" xr:uid="{00000000-0005-0000-0000-00006A340000}"/>
    <cellStyle name="Millares 2 80 9 6" xfId="18415" xr:uid="{00000000-0005-0000-0000-00006B340000}"/>
    <cellStyle name="Millares 2 80 9 6 2" xfId="45548" xr:uid="{00000000-0005-0000-0000-00006C340000}"/>
    <cellStyle name="Millares 2 80 9 7" xfId="31986" xr:uid="{00000000-0005-0000-0000-00006D340000}"/>
    <cellStyle name="Millares 2 81" xfId="58351" xr:uid="{00000000-0005-0000-0000-00006E340000}"/>
    <cellStyle name="Millares 2 9" xfId="2443" xr:uid="{00000000-0005-0000-0000-00006F340000}"/>
    <cellStyle name="Millares 2 9 2" xfId="4621" xr:uid="{00000000-0005-0000-0000-000070340000}"/>
    <cellStyle name="Millares 2 9 2 10" xfId="31989" xr:uid="{00000000-0005-0000-0000-000071340000}"/>
    <cellStyle name="Millares 2 9 2 2" xfId="4622" xr:uid="{00000000-0005-0000-0000-000072340000}"/>
    <cellStyle name="Millares 2 9 2 2 2" xfId="4623" xr:uid="{00000000-0005-0000-0000-000073340000}"/>
    <cellStyle name="Millares 2 9 2 2 2 2" xfId="4624" xr:uid="{00000000-0005-0000-0000-000074340000}"/>
    <cellStyle name="Millares 2 9 2 2 2 2 2" xfId="8233" xr:uid="{00000000-0005-0000-0000-000075340000}"/>
    <cellStyle name="Millares 2 9 2 2 2 2 2 2" xfId="15023" xr:uid="{00000000-0005-0000-0000-000076340000}"/>
    <cellStyle name="Millares 2 9 2 2 2 2 2 2 2" xfId="28591" xr:uid="{00000000-0005-0000-0000-000077340000}"/>
    <cellStyle name="Millares 2 9 2 2 2 2 2 2 2 2" xfId="55724" xr:uid="{00000000-0005-0000-0000-000078340000}"/>
    <cellStyle name="Millares 2 9 2 2 2 2 2 2 3" xfId="42162" xr:uid="{00000000-0005-0000-0000-000079340000}"/>
    <cellStyle name="Millares 2 9 2 2 2 2 2 3" xfId="21810" xr:uid="{00000000-0005-0000-0000-00007A340000}"/>
    <cellStyle name="Millares 2 9 2 2 2 2 2 3 2" xfId="48943" xr:uid="{00000000-0005-0000-0000-00007B340000}"/>
    <cellStyle name="Millares 2 9 2 2 2 2 2 4" xfId="35381" xr:uid="{00000000-0005-0000-0000-00007C340000}"/>
    <cellStyle name="Millares 2 9 2 2 2 2 3" xfId="11634" xr:uid="{00000000-0005-0000-0000-00007D340000}"/>
    <cellStyle name="Millares 2 9 2 2 2 2 3 2" xfId="25202" xr:uid="{00000000-0005-0000-0000-00007E340000}"/>
    <cellStyle name="Millares 2 9 2 2 2 2 3 2 2" xfId="52335" xr:uid="{00000000-0005-0000-0000-00007F340000}"/>
    <cellStyle name="Millares 2 9 2 2 2 2 3 3" xfId="38773" xr:uid="{00000000-0005-0000-0000-000080340000}"/>
    <cellStyle name="Millares 2 9 2 2 2 2 4" xfId="18421" xr:uid="{00000000-0005-0000-0000-000081340000}"/>
    <cellStyle name="Millares 2 9 2 2 2 2 4 2" xfId="45554" xr:uid="{00000000-0005-0000-0000-000082340000}"/>
    <cellStyle name="Millares 2 9 2 2 2 2 5" xfId="31992" xr:uid="{00000000-0005-0000-0000-000083340000}"/>
    <cellStyle name="Millares 2 9 2 2 2 3" xfId="4625" xr:uid="{00000000-0005-0000-0000-000084340000}"/>
    <cellStyle name="Millares 2 9 2 2 2 3 2" xfId="8234" xr:uid="{00000000-0005-0000-0000-000085340000}"/>
    <cellStyle name="Millares 2 9 2 2 2 3 2 2" xfId="15024" xr:uid="{00000000-0005-0000-0000-000086340000}"/>
    <cellStyle name="Millares 2 9 2 2 2 3 2 2 2" xfId="28592" xr:uid="{00000000-0005-0000-0000-000087340000}"/>
    <cellStyle name="Millares 2 9 2 2 2 3 2 2 2 2" xfId="55725" xr:uid="{00000000-0005-0000-0000-000088340000}"/>
    <cellStyle name="Millares 2 9 2 2 2 3 2 2 3" xfId="42163" xr:uid="{00000000-0005-0000-0000-000089340000}"/>
    <cellStyle name="Millares 2 9 2 2 2 3 2 3" xfId="21811" xr:uid="{00000000-0005-0000-0000-00008A340000}"/>
    <cellStyle name="Millares 2 9 2 2 2 3 2 3 2" xfId="48944" xr:uid="{00000000-0005-0000-0000-00008B340000}"/>
    <cellStyle name="Millares 2 9 2 2 2 3 2 4" xfId="35382" xr:uid="{00000000-0005-0000-0000-00008C340000}"/>
    <cellStyle name="Millares 2 9 2 2 2 3 3" xfId="11635" xr:uid="{00000000-0005-0000-0000-00008D340000}"/>
    <cellStyle name="Millares 2 9 2 2 2 3 3 2" xfId="25203" xr:uid="{00000000-0005-0000-0000-00008E340000}"/>
    <cellStyle name="Millares 2 9 2 2 2 3 3 2 2" xfId="52336" xr:uid="{00000000-0005-0000-0000-00008F340000}"/>
    <cellStyle name="Millares 2 9 2 2 2 3 3 3" xfId="38774" xr:uid="{00000000-0005-0000-0000-000090340000}"/>
    <cellStyle name="Millares 2 9 2 2 2 3 4" xfId="18422" xr:uid="{00000000-0005-0000-0000-000091340000}"/>
    <cellStyle name="Millares 2 9 2 2 2 3 4 2" xfId="45555" xr:uid="{00000000-0005-0000-0000-000092340000}"/>
    <cellStyle name="Millares 2 9 2 2 2 3 5" xfId="31993" xr:uid="{00000000-0005-0000-0000-000093340000}"/>
    <cellStyle name="Millares 2 9 2 2 2 4" xfId="8232" xr:uid="{00000000-0005-0000-0000-000094340000}"/>
    <cellStyle name="Millares 2 9 2 2 2 4 2" xfId="15022" xr:uid="{00000000-0005-0000-0000-000095340000}"/>
    <cellStyle name="Millares 2 9 2 2 2 4 2 2" xfId="28590" xr:uid="{00000000-0005-0000-0000-000096340000}"/>
    <cellStyle name="Millares 2 9 2 2 2 4 2 2 2" xfId="55723" xr:uid="{00000000-0005-0000-0000-000097340000}"/>
    <cellStyle name="Millares 2 9 2 2 2 4 2 3" xfId="42161" xr:uid="{00000000-0005-0000-0000-000098340000}"/>
    <cellStyle name="Millares 2 9 2 2 2 4 3" xfId="21809" xr:uid="{00000000-0005-0000-0000-000099340000}"/>
    <cellStyle name="Millares 2 9 2 2 2 4 3 2" xfId="48942" xr:uid="{00000000-0005-0000-0000-00009A340000}"/>
    <cellStyle name="Millares 2 9 2 2 2 4 4" xfId="35380" xr:uid="{00000000-0005-0000-0000-00009B340000}"/>
    <cellStyle name="Millares 2 9 2 2 2 5" xfId="11633" xr:uid="{00000000-0005-0000-0000-00009C340000}"/>
    <cellStyle name="Millares 2 9 2 2 2 5 2" xfId="25201" xr:uid="{00000000-0005-0000-0000-00009D340000}"/>
    <cellStyle name="Millares 2 9 2 2 2 5 2 2" xfId="52334" xr:uid="{00000000-0005-0000-0000-00009E340000}"/>
    <cellStyle name="Millares 2 9 2 2 2 5 3" xfId="38772" xr:uid="{00000000-0005-0000-0000-00009F340000}"/>
    <cellStyle name="Millares 2 9 2 2 2 6" xfId="18420" xr:uid="{00000000-0005-0000-0000-0000A0340000}"/>
    <cellStyle name="Millares 2 9 2 2 2 6 2" xfId="45553" xr:uid="{00000000-0005-0000-0000-0000A1340000}"/>
    <cellStyle name="Millares 2 9 2 2 2 7" xfId="31991" xr:uid="{00000000-0005-0000-0000-0000A2340000}"/>
    <cellStyle name="Millares 2 9 2 2 3" xfId="4626" xr:uid="{00000000-0005-0000-0000-0000A3340000}"/>
    <cellStyle name="Millares 2 9 2 2 3 2" xfId="4627" xr:uid="{00000000-0005-0000-0000-0000A4340000}"/>
    <cellStyle name="Millares 2 9 2 2 3 2 2" xfId="8236" xr:uid="{00000000-0005-0000-0000-0000A5340000}"/>
    <cellStyle name="Millares 2 9 2 2 3 2 2 2" xfId="15026" xr:uid="{00000000-0005-0000-0000-0000A6340000}"/>
    <cellStyle name="Millares 2 9 2 2 3 2 2 2 2" xfId="28594" xr:uid="{00000000-0005-0000-0000-0000A7340000}"/>
    <cellStyle name="Millares 2 9 2 2 3 2 2 2 2 2" xfId="55727" xr:uid="{00000000-0005-0000-0000-0000A8340000}"/>
    <cellStyle name="Millares 2 9 2 2 3 2 2 2 3" xfId="42165" xr:uid="{00000000-0005-0000-0000-0000A9340000}"/>
    <cellStyle name="Millares 2 9 2 2 3 2 2 3" xfId="21813" xr:uid="{00000000-0005-0000-0000-0000AA340000}"/>
    <cellStyle name="Millares 2 9 2 2 3 2 2 3 2" xfId="48946" xr:uid="{00000000-0005-0000-0000-0000AB340000}"/>
    <cellStyle name="Millares 2 9 2 2 3 2 2 4" xfId="35384" xr:uid="{00000000-0005-0000-0000-0000AC340000}"/>
    <cellStyle name="Millares 2 9 2 2 3 2 3" xfId="11637" xr:uid="{00000000-0005-0000-0000-0000AD340000}"/>
    <cellStyle name="Millares 2 9 2 2 3 2 3 2" xfId="25205" xr:uid="{00000000-0005-0000-0000-0000AE340000}"/>
    <cellStyle name="Millares 2 9 2 2 3 2 3 2 2" xfId="52338" xr:uid="{00000000-0005-0000-0000-0000AF340000}"/>
    <cellStyle name="Millares 2 9 2 2 3 2 3 3" xfId="38776" xr:uid="{00000000-0005-0000-0000-0000B0340000}"/>
    <cellStyle name="Millares 2 9 2 2 3 2 4" xfId="18424" xr:uid="{00000000-0005-0000-0000-0000B1340000}"/>
    <cellStyle name="Millares 2 9 2 2 3 2 4 2" xfId="45557" xr:uid="{00000000-0005-0000-0000-0000B2340000}"/>
    <cellStyle name="Millares 2 9 2 2 3 2 5" xfId="31995" xr:uid="{00000000-0005-0000-0000-0000B3340000}"/>
    <cellStyle name="Millares 2 9 2 2 3 3" xfId="8235" xr:uid="{00000000-0005-0000-0000-0000B4340000}"/>
    <cellStyle name="Millares 2 9 2 2 3 3 2" xfId="15025" xr:uid="{00000000-0005-0000-0000-0000B5340000}"/>
    <cellStyle name="Millares 2 9 2 2 3 3 2 2" xfId="28593" xr:uid="{00000000-0005-0000-0000-0000B6340000}"/>
    <cellStyle name="Millares 2 9 2 2 3 3 2 2 2" xfId="55726" xr:uid="{00000000-0005-0000-0000-0000B7340000}"/>
    <cellStyle name="Millares 2 9 2 2 3 3 2 3" xfId="42164" xr:uid="{00000000-0005-0000-0000-0000B8340000}"/>
    <cellStyle name="Millares 2 9 2 2 3 3 3" xfId="21812" xr:uid="{00000000-0005-0000-0000-0000B9340000}"/>
    <cellStyle name="Millares 2 9 2 2 3 3 3 2" xfId="48945" xr:uid="{00000000-0005-0000-0000-0000BA340000}"/>
    <cellStyle name="Millares 2 9 2 2 3 3 4" xfId="35383" xr:uid="{00000000-0005-0000-0000-0000BB340000}"/>
    <cellStyle name="Millares 2 9 2 2 3 4" xfId="11636" xr:uid="{00000000-0005-0000-0000-0000BC340000}"/>
    <cellStyle name="Millares 2 9 2 2 3 4 2" xfId="25204" xr:uid="{00000000-0005-0000-0000-0000BD340000}"/>
    <cellStyle name="Millares 2 9 2 2 3 4 2 2" xfId="52337" xr:uid="{00000000-0005-0000-0000-0000BE340000}"/>
    <cellStyle name="Millares 2 9 2 2 3 4 3" xfId="38775" xr:uid="{00000000-0005-0000-0000-0000BF340000}"/>
    <cellStyle name="Millares 2 9 2 2 3 5" xfId="18423" xr:uid="{00000000-0005-0000-0000-0000C0340000}"/>
    <cellStyle name="Millares 2 9 2 2 3 5 2" xfId="45556" xr:uid="{00000000-0005-0000-0000-0000C1340000}"/>
    <cellStyle name="Millares 2 9 2 2 3 6" xfId="31994" xr:uid="{00000000-0005-0000-0000-0000C2340000}"/>
    <cellStyle name="Millares 2 9 2 2 4" xfId="4628" xr:uid="{00000000-0005-0000-0000-0000C3340000}"/>
    <cellStyle name="Millares 2 9 2 2 4 2" xfId="8237" xr:uid="{00000000-0005-0000-0000-0000C4340000}"/>
    <cellStyle name="Millares 2 9 2 2 4 2 2" xfId="15027" xr:uid="{00000000-0005-0000-0000-0000C5340000}"/>
    <cellStyle name="Millares 2 9 2 2 4 2 2 2" xfId="28595" xr:uid="{00000000-0005-0000-0000-0000C6340000}"/>
    <cellStyle name="Millares 2 9 2 2 4 2 2 2 2" xfId="55728" xr:uid="{00000000-0005-0000-0000-0000C7340000}"/>
    <cellStyle name="Millares 2 9 2 2 4 2 2 3" xfId="42166" xr:uid="{00000000-0005-0000-0000-0000C8340000}"/>
    <cellStyle name="Millares 2 9 2 2 4 2 3" xfId="21814" xr:uid="{00000000-0005-0000-0000-0000C9340000}"/>
    <cellStyle name="Millares 2 9 2 2 4 2 3 2" xfId="48947" xr:uid="{00000000-0005-0000-0000-0000CA340000}"/>
    <cellStyle name="Millares 2 9 2 2 4 2 4" xfId="35385" xr:uid="{00000000-0005-0000-0000-0000CB340000}"/>
    <cellStyle name="Millares 2 9 2 2 4 3" xfId="11638" xr:uid="{00000000-0005-0000-0000-0000CC340000}"/>
    <cellStyle name="Millares 2 9 2 2 4 3 2" xfId="25206" xr:uid="{00000000-0005-0000-0000-0000CD340000}"/>
    <cellStyle name="Millares 2 9 2 2 4 3 2 2" xfId="52339" xr:uid="{00000000-0005-0000-0000-0000CE340000}"/>
    <cellStyle name="Millares 2 9 2 2 4 3 3" xfId="38777" xr:uid="{00000000-0005-0000-0000-0000CF340000}"/>
    <cellStyle name="Millares 2 9 2 2 4 4" xfId="18425" xr:uid="{00000000-0005-0000-0000-0000D0340000}"/>
    <cellStyle name="Millares 2 9 2 2 4 4 2" xfId="45558" xr:uid="{00000000-0005-0000-0000-0000D1340000}"/>
    <cellStyle name="Millares 2 9 2 2 4 5" xfId="31996" xr:uid="{00000000-0005-0000-0000-0000D2340000}"/>
    <cellStyle name="Millares 2 9 2 2 5" xfId="4629" xr:uid="{00000000-0005-0000-0000-0000D3340000}"/>
    <cellStyle name="Millares 2 9 2 2 5 2" xfId="8238" xr:uid="{00000000-0005-0000-0000-0000D4340000}"/>
    <cellStyle name="Millares 2 9 2 2 5 2 2" xfId="15028" xr:uid="{00000000-0005-0000-0000-0000D5340000}"/>
    <cellStyle name="Millares 2 9 2 2 5 2 2 2" xfId="28596" xr:uid="{00000000-0005-0000-0000-0000D6340000}"/>
    <cellStyle name="Millares 2 9 2 2 5 2 2 2 2" xfId="55729" xr:uid="{00000000-0005-0000-0000-0000D7340000}"/>
    <cellStyle name="Millares 2 9 2 2 5 2 2 3" xfId="42167" xr:uid="{00000000-0005-0000-0000-0000D8340000}"/>
    <cellStyle name="Millares 2 9 2 2 5 2 3" xfId="21815" xr:uid="{00000000-0005-0000-0000-0000D9340000}"/>
    <cellStyle name="Millares 2 9 2 2 5 2 3 2" xfId="48948" xr:uid="{00000000-0005-0000-0000-0000DA340000}"/>
    <cellStyle name="Millares 2 9 2 2 5 2 4" xfId="35386" xr:uid="{00000000-0005-0000-0000-0000DB340000}"/>
    <cellStyle name="Millares 2 9 2 2 5 3" xfId="11639" xr:uid="{00000000-0005-0000-0000-0000DC340000}"/>
    <cellStyle name="Millares 2 9 2 2 5 3 2" xfId="25207" xr:uid="{00000000-0005-0000-0000-0000DD340000}"/>
    <cellStyle name="Millares 2 9 2 2 5 3 2 2" xfId="52340" xr:uid="{00000000-0005-0000-0000-0000DE340000}"/>
    <cellStyle name="Millares 2 9 2 2 5 3 3" xfId="38778" xr:uid="{00000000-0005-0000-0000-0000DF340000}"/>
    <cellStyle name="Millares 2 9 2 2 5 4" xfId="18426" xr:uid="{00000000-0005-0000-0000-0000E0340000}"/>
    <cellStyle name="Millares 2 9 2 2 5 4 2" xfId="45559" xr:uid="{00000000-0005-0000-0000-0000E1340000}"/>
    <cellStyle name="Millares 2 9 2 2 5 5" xfId="31997" xr:uid="{00000000-0005-0000-0000-0000E2340000}"/>
    <cellStyle name="Millares 2 9 2 2 6" xfId="8231" xr:uid="{00000000-0005-0000-0000-0000E3340000}"/>
    <cellStyle name="Millares 2 9 2 2 6 2" xfId="15021" xr:uid="{00000000-0005-0000-0000-0000E4340000}"/>
    <cellStyle name="Millares 2 9 2 2 6 2 2" xfId="28589" xr:uid="{00000000-0005-0000-0000-0000E5340000}"/>
    <cellStyle name="Millares 2 9 2 2 6 2 2 2" xfId="55722" xr:uid="{00000000-0005-0000-0000-0000E6340000}"/>
    <cellStyle name="Millares 2 9 2 2 6 2 3" xfId="42160" xr:uid="{00000000-0005-0000-0000-0000E7340000}"/>
    <cellStyle name="Millares 2 9 2 2 6 3" xfId="21808" xr:uid="{00000000-0005-0000-0000-0000E8340000}"/>
    <cellStyle name="Millares 2 9 2 2 6 3 2" xfId="48941" xr:uid="{00000000-0005-0000-0000-0000E9340000}"/>
    <cellStyle name="Millares 2 9 2 2 6 4" xfId="35379" xr:uid="{00000000-0005-0000-0000-0000EA340000}"/>
    <cellStyle name="Millares 2 9 2 2 7" xfId="11632" xr:uid="{00000000-0005-0000-0000-0000EB340000}"/>
    <cellStyle name="Millares 2 9 2 2 7 2" xfId="25200" xr:uid="{00000000-0005-0000-0000-0000EC340000}"/>
    <cellStyle name="Millares 2 9 2 2 7 2 2" xfId="52333" xr:uid="{00000000-0005-0000-0000-0000ED340000}"/>
    <cellStyle name="Millares 2 9 2 2 7 3" xfId="38771" xr:uid="{00000000-0005-0000-0000-0000EE340000}"/>
    <cellStyle name="Millares 2 9 2 2 8" xfId="18419" xr:uid="{00000000-0005-0000-0000-0000EF340000}"/>
    <cellStyle name="Millares 2 9 2 2 8 2" xfId="45552" xr:uid="{00000000-0005-0000-0000-0000F0340000}"/>
    <cellStyle name="Millares 2 9 2 2 9" xfId="31990" xr:uid="{00000000-0005-0000-0000-0000F1340000}"/>
    <cellStyle name="Millares 2 9 2 3" xfId="4630" xr:uid="{00000000-0005-0000-0000-0000F2340000}"/>
    <cellStyle name="Millares 2 9 2 3 2" xfId="4631" xr:uid="{00000000-0005-0000-0000-0000F3340000}"/>
    <cellStyle name="Millares 2 9 2 3 2 2" xfId="8240" xr:uid="{00000000-0005-0000-0000-0000F4340000}"/>
    <cellStyle name="Millares 2 9 2 3 2 2 2" xfId="15030" xr:uid="{00000000-0005-0000-0000-0000F5340000}"/>
    <cellStyle name="Millares 2 9 2 3 2 2 2 2" xfId="28598" xr:uid="{00000000-0005-0000-0000-0000F6340000}"/>
    <cellStyle name="Millares 2 9 2 3 2 2 2 2 2" xfId="55731" xr:uid="{00000000-0005-0000-0000-0000F7340000}"/>
    <cellStyle name="Millares 2 9 2 3 2 2 2 3" xfId="42169" xr:uid="{00000000-0005-0000-0000-0000F8340000}"/>
    <cellStyle name="Millares 2 9 2 3 2 2 3" xfId="21817" xr:uid="{00000000-0005-0000-0000-0000F9340000}"/>
    <cellStyle name="Millares 2 9 2 3 2 2 3 2" xfId="48950" xr:uid="{00000000-0005-0000-0000-0000FA340000}"/>
    <cellStyle name="Millares 2 9 2 3 2 2 4" xfId="35388" xr:uid="{00000000-0005-0000-0000-0000FB340000}"/>
    <cellStyle name="Millares 2 9 2 3 2 3" xfId="11641" xr:uid="{00000000-0005-0000-0000-0000FC340000}"/>
    <cellStyle name="Millares 2 9 2 3 2 3 2" xfId="25209" xr:uid="{00000000-0005-0000-0000-0000FD340000}"/>
    <cellStyle name="Millares 2 9 2 3 2 3 2 2" xfId="52342" xr:uid="{00000000-0005-0000-0000-0000FE340000}"/>
    <cellStyle name="Millares 2 9 2 3 2 3 3" xfId="38780" xr:uid="{00000000-0005-0000-0000-0000FF340000}"/>
    <cellStyle name="Millares 2 9 2 3 2 4" xfId="18428" xr:uid="{00000000-0005-0000-0000-000000350000}"/>
    <cellStyle name="Millares 2 9 2 3 2 4 2" xfId="45561" xr:uid="{00000000-0005-0000-0000-000001350000}"/>
    <cellStyle name="Millares 2 9 2 3 2 5" xfId="31999" xr:uid="{00000000-0005-0000-0000-000002350000}"/>
    <cellStyle name="Millares 2 9 2 3 3" xfId="4632" xr:uid="{00000000-0005-0000-0000-000003350000}"/>
    <cellStyle name="Millares 2 9 2 3 3 2" xfId="8241" xr:uid="{00000000-0005-0000-0000-000004350000}"/>
    <cellStyle name="Millares 2 9 2 3 3 2 2" xfId="15031" xr:uid="{00000000-0005-0000-0000-000005350000}"/>
    <cellStyle name="Millares 2 9 2 3 3 2 2 2" xfId="28599" xr:uid="{00000000-0005-0000-0000-000006350000}"/>
    <cellStyle name="Millares 2 9 2 3 3 2 2 2 2" xfId="55732" xr:uid="{00000000-0005-0000-0000-000007350000}"/>
    <cellStyle name="Millares 2 9 2 3 3 2 2 3" xfId="42170" xr:uid="{00000000-0005-0000-0000-000008350000}"/>
    <cellStyle name="Millares 2 9 2 3 3 2 3" xfId="21818" xr:uid="{00000000-0005-0000-0000-000009350000}"/>
    <cellStyle name="Millares 2 9 2 3 3 2 3 2" xfId="48951" xr:uid="{00000000-0005-0000-0000-00000A350000}"/>
    <cellStyle name="Millares 2 9 2 3 3 2 4" xfId="35389" xr:uid="{00000000-0005-0000-0000-00000B350000}"/>
    <cellStyle name="Millares 2 9 2 3 3 3" xfId="11642" xr:uid="{00000000-0005-0000-0000-00000C350000}"/>
    <cellStyle name="Millares 2 9 2 3 3 3 2" xfId="25210" xr:uid="{00000000-0005-0000-0000-00000D350000}"/>
    <cellStyle name="Millares 2 9 2 3 3 3 2 2" xfId="52343" xr:uid="{00000000-0005-0000-0000-00000E350000}"/>
    <cellStyle name="Millares 2 9 2 3 3 3 3" xfId="38781" xr:uid="{00000000-0005-0000-0000-00000F350000}"/>
    <cellStyle name="Millares 2 9 2 3 3 4" xfId="18429" xr:uid="{00000000-0005-0000-0000-000010350000}"/>
    <cellStyle name="Millares 2 9 2 3 3 4 2" xfId="45562" xr:uid="{00000000-0005-0000-0000-000011350000}"/>
    <cellStyle name="Millares 2 9 2 3 3 5" xfId="32000" xr:uid="{00000000-0005-0000-0000-000012350000}"/>
    <cellStyle name="Millares 2 9 2 3 4" xfId="8239" xr:uid="{00000000-0005-0000-0000-000013350000}"/>
    <cellStyle name="Millares 2 9 2 3 4 2" xfId="15029" xr:uid="{00000000-0005-0000-0000-000014350000}"/>
    <cellStyle name="Millares 2 9 2 3 4 2 2" xfId="28597" xr:uid="{00000000-0005-0000-0000-000015350000}"/>
    <cellStyle name="Millares 2 9 2 3 4 2 2 2" xfId="55730" xr:uid="{00000000-0005-0000-0000-000016350000}"/>
    <cellStyle name="Millares 2 9 2 3 4 2 3" xfId="42168" xr:uid="{00000000-0005-0000-0000-000017350000}"/>
    <cellStyle name="Millares 2 9 2 3 4 3" xfId="21816" xr:uid="{00000000-0005-0000-0000-000018350000}"/>
    <cellStyle name="Millares 2 9 2 3 4 3 2" xfId="48949" xr:uid="{00000000-0005-0000-0000-000019350000}"/>
    <cellStyle name="Millares 2 9 2 3 4 4" xfId="35387" xr:uid="{00000000-0005-0000-0000-00001A350000}"/>
    <cellStyle name="Millares 2 9 2 3 5" xfId="11640" xr:uid="{00000000-0005-0000-0000-00001B350000}"/>
    <cellStyle name="Millares 2 9 2 3 5 2" xfId="25208" xr:uid="{00000000-0005-0000-0000-00001C350000}"/>
    <cellStyle name="Millares 2 9 2 3 5 2 2" xfId="52341" xr:uid="{00000000-0005-0000-0000-00001D350000}"/>
    <cellStyle name="Millares 2 9 2 3 5 3" xfId="38779" xr:uid="{00000000-0005-0000-0000-00001E350000}"/>
    <cellStyle name="Millares 2 9 2 3 6" xfId="18427" xr:uid="{00000000-0005-0000-0000-00001F350000}"/>
    <cellStyle name="Millares 2 9 2 3 6 2" xfId="45560" xr:uid="{00000000-0005-0000-0000-000020350000}"/>
    <cellStyle name="Millares 2 9 2 3 7" xfId="31998" xr:uid="{00000000-0005-0000-0000-000021350000}"/>
    <cellStyle name="Millares 2 9 2 4" xfId="4633" xr:uid="{00000000-0005-0000-0000-000022350000}"/>
    <cellStyle name="Millares 2 9 2 4 2" xfId="4634" xr:uid="{00000000-0005-0000-0000-000023350000}"/>
    <cellStyle name="Millares 2 9 2 4 2 2" xfId="8243" xr:uid="{00000000-0005-0000-0000-000024350000}"/>
    <cellStyle name="Millares 2 9 2 4 2 2 2" xfId="15033" xr:uid="{00000000-0005-0000-0000-000025350000}"/>
    <cellStyle name="Millares 2 9 2 4 2 2 2 2" xfId="28601" xr:uid="{00000000-0005-0000-0000-000026350000}"/>
    <cellStyle name="Millares 2 9 2 4 2 2 2 2 2" xfId="55734" xr:uid="{00000000-0005-0000-0000-000027350000}"/>
    <cellStyle name="Millares 2 9 2 4 2 2 2 3" xfId="42172" xr:uid="{00000000-0005-0000-0000-000028350000}"/>
    <cellStyle name="Millares 2 9 2 4 2 2 3" xfId="21820" xr:uid="{00000000-0005-0000-0000-000029350000}"/>
    <cellStyle name="Millares 2 9 2 4 2 2 3 2" xfId="48953" xr:uid="{00000000-0005-0000-0000-00002A350000}"/>
    <cellStyle name="Millares 2 9 2 4 2 2 4" xfId="35391" xr:uid="{00000000-0005-0000-0000-00002B350000}"/>
    <cellStyle name="Millares 2 9 2 4 2 3" xfId="11644" xr:uid="{00000000-0005-0000-0000-00002C350000}"/>
    <cellStyle name="Millares 2 9 2 4 2 3 2" xfId="25212" xr:uid="{00000000-0005-0000-0000-00002D350000}"/>
    <cellStyle name="Millares 2 9 2 4 2 3 2 2" xfId="52345" xr:uid="{00000000-0005-0000-0000-00002E350000}"/>
    <cellStyle name="Millares 2 9 2 4 2 3 3" xfId="38783" xr:uid="{00000000-0005-0000-0000-00002F350000}"/>
    <cellStyle name="Millares 2 9 2 4 2 4" xfId="18431" xr:uid="{00000000-0005-0000-0000-000030350000}"/>
    <cellStyle name="Millares 2 9 2 4 2 4 2" xfId="45564" xr:uid="{00000000-0005-0000-0000-000031350000}"/>
    <cellStyle name="Millares 2 9 2 4 2 5" xfId="32002" xr:uid="{00000000-0005-0000-0000-000032350000}"/>
    <cellStyle name="Millares 2 9 2 4 3" xfId="8242" xr:uid="{00000000-0005-0000-0000-000033350000}"/>
    <cellStyle name="Millares 2 9 2 4 3 2" xfId="15032" xr:uid="{00000000-0005-0000-0000-000034350000}"/>
    <cellStyle name="Millares 2 9 2 4 3 2 2" xfId="28600" xr:uid="{00000000-0005-0000-0000-000035350000}"/>
    <cellStyle name="Millares 2 9 2 4 3 2 2 2" xfId="55733" xr:uid="{00000000-0005-0000-0000-000036350000}"/>
    <cellStyle name="Millares 2 9 2 4 3 2 3" xfId="42171" xr:uid="{00000000-0005-0000-0000-000037350000}"/>
    <cellStyle name="Millares 2 9 2 4 3 3" xfId="21819" xr:uid="{00000000-0005-0000-0000-000038350000}"/>
    <cellStyle name="Millares 2 9 2 4 3 3 2" xfId="48952" xr:uid="{00000000-0005-0000-0000-000039350000}"/>
    <cellStyle name="Millares 2 9 2 4 3 4" xfId="35390" xr:uid="{00000000-0005-0000-0000-00003A350000}"/>
    <cellStyle name="Millares 2 9 2 4 4" xfId="11643" xr:uid="{00000000-0005-0000-0000-00003B350000}"/>
    <cellStyle name="Millares 2 9 2 4 4 2" xfId="25211" xr:uid="{00000000-0005-0000-0000-00003C350000}"/>
    <cellStyle name="Millares 2 9 2 4 4 2 2" xfId="52344" xr:uid="{00000000-0005-0000-0000-00003D350000}"/>
    <cellStyle name="Millares 2 9 2 4 4 3" xfId="38782" xr:uid="{00000000-0005-0000-0000-00003E350000}"/>
    <cellStyle name="Millares 2 9 2 4 5" xfId="18430" xr:uid="{00000000-0005-0000-0000-00003F350000}"/>
    <cellStyle name="Millares 2 9 2 4 5 2" xfId="45563" xr:uid="{00000000-0005-0000-0000-000040350000}"/>
    <cellStyle name="Millares 2 9 2 4 6" xfId="32001" xr:uid="{00000000-0005-0000-0000-000041350000}"/>
    <cellStyle name="Millares 2 9 2 5" xfId="4635" xr:uid="{00000000-0005-0000-0000-000042350000}"/>
    <cellStyle name="Millares 2 9 2 5 2" xfId="8244" xr:uid="{00000000-0005-0000-0000-000043350000}"/>
    <cellStyle name="Millares 2 9 2 5 2 2" xfId="15034" xr:uid="{00000000-0005-0000-0000-000044350000}"/>
    <cellStyle name="Millares 2 9 2 5 2 2 2" xfId="28602" xr:uid="{00000000-0005-0000-0000-000045350000}"/>
    <cellStyle name="Millares 2 9 2 5 2 2 2 2" xfId="55735" xr:uid="{00000000-0005-0000-0000-000046350000}"/>
    <cellStyle name="Millares 2 9 2 5 2 2 3" xfId="42173" xr:uid="{00000000-0005-0000-0000-000047350000}"/>
    <cellStyle name="Millares 2 9 2 5 2 3" xfId="21821" xr:uid="{00000000-0005-0000-0000-000048350000}"/>
    <cellStyle name="Millares 2 9 2 5 2 3 2" xfId="48954" xr:uid="{00000000-0005-0000-0000-000049350000}"/>
    <cellStyle name="Millares 2 9 2 5 2 4" xfId="35392" xr:uid="{00000000-0005-0000-0000-00004A350000}"/>
    <cellStyle name="Millares 2 9 2 5 3" xfId="11645" xr:uid="{00000000-0005-0000-0000-00004B350000}"/>
    <cellStyle name="Millares 2 9 2 5 3 2" xfId="25213" xr:uid="{00000000-0005-0000-0000-00004C350000}"/>
    <cellStyle name="Millares 2 9 2 5 3 2 2" xfId="52346" xr:uid="{00000000-0005-0000-0000-00004D350000}"/>
    <cellStyle name="Millares 2 9 2 5 3 3" xfId="38784" xr:uid="{00000000-0005-0000-0000-00004E350000}"/>
    <cellStyle name="Millares 2 9 2 5 4" xfId="18432" xr:uid="{00000000-0005-0000-0000-00004F350000}"/>
    <cellStyle name="Millares 2 9 2 5 4 2" xfId="45565" xr:uid="{00000000-0005-0000-0000-000050350000}"/>
    <cellStyle name="Millares 2 9 2 5 5" xfId="32003" xr:uid="{00000000-0005-0000-0000-000051350000}"/>
    <cellStyle name="Millares 2 9 2 6" xfId="4636" xr:uid="{00000000-0005-0000-0000-000052350000}"/>
    <cellStyle name="Millares 2 9 2 6 2" xfId="8245" xr:uid="{00000000-0005-0000-0000-000053350000}"/>
    <cellStyle name="Millares 2 9 2 6 2 2" xfId="15035" xr:uid="{00000000-0005-0000-0000-000054350000}"/>
    <cellStyle name="Millares 2 9 2 6 2 2 2" xfId="28603" xr:uid="{00000000-0005-0000-0000-000055350000}"/>
    <cellStyle name="Millares 2 9 2 6 2 2 2 2" xfId="55736" xr:uid="{00000000-0005-0000-0000-000056350000}"/>
    <cellStyle name="Millares 2 9 2 6 2 2 3" xfId="42174" xr:uid="{00000000-0005-0000-0000-000057350000}"/>
    <cellStyle name="Millares 2 9 2 6 2 3" xfId="21822" xr:uid="{00000000-0005-0000-0000-000058350000}"/>
    <cellStyle name="Millares 2 9 2 6 2 3 2" xfId="48955" xr:uid="{00000000-0005-0000-0000-000059350000}"/>
    <cellStyle name="Millares 2 9 2 6 2 4" xfId="35393" xr:uid="{00000000-0005-0000-0000-00005A350000}"/>
    <cellStyle name="Millares 2 9 2 6 3" xfId="11646" xr:uid="{00000000-0005-0000-0000-00005B350000}"/>
    <cellStyle name="Millares 2 9 2 6 3 2" xfId="25214" xr:uid="{00000000-0005-0000-0000-00005C350000}"/>
    <cellStyle name="Millares 2 9 2 6 3 2 2" xfId="52347" xr:uid="{00000000-0005-0000-0000-00005D350000}"/>
    <cellStyle name="Millares 2 9 2 6 3 3" xfId="38785" xr:uid="{00000000-0005-0000-0000-00005E350000}"/>
    <cellStyle name="Millares 2 9 2 6 4" xfId="18433" xr:uid="{00000000-0005-0000-0000-00005F350000}"/>
    <cellStyle name="Millares 2 9 2 6 4 2" xfId="45566" xr:uid="{00000000-0005-0000-0000-000060350000}"/>
    <cellStyle name="Millares 2 9 2 6 5" xfId="32004" xr:uid="{00000000-0005-0000-0000-000061350000}"/>
    <cellStyle name="Millares 2 9 2 7" xfId="8230" xr:uid="{00000000-0005-0000-0000-000062350000}"/>
    <cellStyle name="Millares 2 9 2 7 2" xfId="15020" xr:uid="{00000000-0005-0000-0000-000063350000}"/>
    <cellStyle name="Millares 2 9 2 7 2 2" xfId="28588" xr:uid="{00000000-0005-0000-0000-000064350000}"/>
    <cellStyle name="Millares 2 9 2 7 2 2 2" xfId="55721" xr:uid="{00000000-0005-0000-0000-000065350000}"/>
    <cellStyle name="Millares 2 9 2 7 2 3" xfId="42159" xr:uid="{00000000-0005-0000-0000-000066350000}"/>
    <cellStyle name="Millares 2 9 2 7 3" xfId="21807" xr:uid="{00000000-0005-0000-0000-000067350000}"/>
    <cellStyle name="Millares 2 9 2 7 3 2" xfId="48940" xr:uid="{00000000-0005-0000-0000-000068350000}"/>
    <cellStyle name="Millares 2 9 2 7 4" xfId="35378" xr:uid="{00000000-0005-0000-0000-000069350000}"/>
    <cellStyle name="Millares 2 9 2 8" xfId="11631" xr:uid="{00000000-0005-0000-0000-00006A350000}"/>
    <cellStyle name="Millares 2 9 2 8 2" xfId="25199" xr:uid="{00000000-0005-0000-0000-00006B350000}"/>
    <cellStyle name="Millares 2 9 2 8 2 2" xfId="52332" xr:uid="{00000000-0005-0000-0000-00006C350000}"/>
    <cellStyle name="Millares 2 9 2 8 3" xfId="38770" xr:uid="{00000000-0005-0000-0000-00006D350000}"/>
    <cellStyle name="Millares 2 9 2 9" xfId="18418" xr:uid="{00000000-0005-0000-0000-00006E350000}"/>
    <cellStyle name="Millares 2 9 2 9 2" xfId="45551" xr:uid="{00000000-0005-0000-0000-00006F350000}"/>
    <cellStyle name="Millares 2 9 3" xfId="4637" xr:uid="{00000000-0005-0000-0000-000070350000}"/>
    <cellStyle name="Millares 2 9 3 2" xfId="4638" xr:uid="{00000000-0005-0000-0000-000071350000}"/>
    <cellStyle name="Millares 2 9 3 2 2" xfId="4639" xr:uid="{00000000-0005-0000-0000-000072350000}"/>
    <cellStyle name="Millares 2 9 3 2 2 2" xfId="8248" xr:uid="{00000000-0005-0000-0000-000073350000}"/>
    <cellStyle name="Millares 2 9 3 2 2 2 2" xfId="15038" xr:uid="{00000000-0005-0000-0000-000074350000}"/>
    <cellStyle name="Millares 2 9 3 2 2 2 2 2" xfId="28606" xr:uid="{00000000-0005-0000-0000-000075350000}"/>
    <cellStyle name="Millares 2 9 3 2 2 2 2 2 2" xfId="55739" xr:uid="{00000000-0005-0000-0000-000076350000}"/>
    <cellStyle name="Millares 2 9 3 2 2 2 2 3" xfId="42177" xr:uid="{00000000-0005-0000-0000-000077350000}"/>
    <cellStyle name="Millares 2 9 3 2 2 2 3" xfId="21825" xr:uid="{00000000-0005-0000-0000-000078350000}"/>
    <cellStyle name="Millares 2 9 3 2 2 2 3 2" xfId="48958" xr:uid="{00000000-0005-0000-0000-000079350000}"/>
    <cellStyle name="Millares 2 9 3 2 2 2 4" xfId="35396" xr:uid="{00000000-0005-0000-0000-00007A350000}"/>
    <cellStyle name="Millares 2 9 3 2 2 3" xfId="11649" xr:uid="{00000000-0005-0000-0000-00007B350000}"/>
    <cellStyle name="Millares 2 9 3 2 2 3 2" xfId="25217" xr:uid="{00000000-0005-0000-0000-00007C350000}"/>
    <cellStyle name="Millares 2 9 3 2 2 3 2 2" xfId="52350" xr:uid="{00000000-0005-0000-0000-00007D350000}"/>
    <cellStyle name="Millares 2 9 3 2 2 3 3" xfId="38788" xr:uid="{00000000-0005-0000-0000-00007E350000}"/>
    <cellStyle name="Millares 2 9 3 2 2 4" xfId="18436" xr:uid="{00000000-0005-0000-0000-00007F350000}"/>
    <cellStyle name="Millares 2 9 3 2 2 4 2" xfId="45569" xr:uid="{00000000-0005-0000-0000-000080350000}"/>
    <cellStyle name="Millares 2 9 3 2 2 5" xfId="32007" xr:uid="{00000000-0005-0000-0000-000081350000}"/>
    <cellStyle name="Millares 2 9 3 2 3" xfId="4640" xr:uid="{00000000-0005-0000-0000-000082350000}"/>
    <cellStyle name="Millares 2 9 3 2 3 2" xfId="8249" xr:uid="{00000000-0005-0000-0000-000083350000}"/>
    <cellStyle name="Millares 2 9 3 2 3 2 2" xfId="15039" xr:uid="{00000000-0005-0000-0000-000084350000}"/>
    <cellStyle name="Millares 2 9 3 2 3 2 2 2" xfId="28607" xr:uid="{00000000-0005-0000-0000-000085350000}"/>
    <cellStyle name="Millares 2 9 3 2 3 2 2 2 2" xfId="55740" xr:uid="{00000000-0005-0000-0000-000086350000}"/>
    <cellStyle name="Millares 2 9 3 2 3 2 2 3" xfId="42178" xr:uid="{00000000-0005-0000-0000-000087350000}"/>
    <cellStyle name="Millares 2 9 3 2 3 2 3" xfId="21826" xr:uid="{00000000-0005-0000-0000-000088350000}"/>
    <cellStyle name="Millares 2 9 3 2 3 2 3 2" xfId="48959" xr:uid="{00000000-0005-0000-0000-000089350000}"/>
    <cellStyle name="Millares 2 9 3 2 3 2 4" xfId="35397" xr:uid="{00000000-0005-0000-0000-00008A350000}"/>
    <cellStyle name="Millares 2 9 3 2 3 3" xfId="11650" xr:uid="{00000000-0005-0000-0000-00008B350000}"/>
    <cellStyle name="Millares 2 9 3 2 3 3 2" xfId="25218" xr:uid="{00000000-0005-0000-0000-00008C350000}"/>
    <cellStyle name="Millares 2 9 3 2 3 3 2 2" xfId="52351" xr:uid="{00000000-0005-0000-0000-00008D350000}"/>
    <cellStyle name="Millares 2 9 3 2 3 3 3" xfId="38789" xr:uid="{00000000-0005-0000-0000-00008E350000}"/>
    <cellStyle name="Millares 2 9 3 2 3 4" xfId="18437" xr:uid="{00000000-0005-0000-0000-00008F350000}"/>
    <cellStyle name="Millares 2 9 3 2 3 4 2" xfId="45570" xr:uid="{00000000-0005-0000-0000-000090350000}"/>
    <cellStyle name="Millares 2 9 3 2 3 5" xfId="32008" xr:uid="{00000000-0005-0000-0000-000091350000}"/>
    <cellStyle name="Millares 2 9 3 2 4" xfId="8247" xr:uid="{00000000-0005-0000-0000-000092350000}"/>
    <cellStyle name="Millares 2 9 3 2 4 2" xfId="15037" xr:uid="{00000000-0005-0000-0000-000093350000}"/>
    <cellStyle name="Millares 2 9 3 2 4 2 2" xfId="28605" xr:uid="{00000000-0005-0000-0000-000094350000}"/>
    <cellStyle name="Millares 2 9 3 2 4 2 2 2" xfId="55738" xr:uid="{00000000-0005-0000-0000-000095350000}"/>
    <cellStyle name="Millares 2 9 3 2 4 2 3" xfId="42176" xr:uid="{00000000-0005-0000-0000-000096350000}"/>
    <cellStyle name="Millares 2 9 3 2 4 3" xfId="21824" xr:uid="{00000000-0005-0000-0000-000097350000}"/>
    <cellStyle name="Millares 2 9 3 2 4 3 2" xfId="48957" xr:uid="{00000000-0005-0000-0000-000098350000}"/>
    <cellStyle name="Millares 2 9 3 2 4 4" xfId="35395" xr:uid="{00000000-0005-0000-0000-000099350000}"/>
    <cellStyle name="Millares 2 9 3 2 5" xfId="11648" xr:uid="{00000000-0005-0000-0000-00009A350000}"/>
    <cellStyle name="Millares 2 9 3 2 5 2" xfId="25216" xr:uid="{00000000-0005-0000-0000-00009B350000}"/>
    <cellStyle name="Millares 2 9 3 2 5 2 2" xfId="52349" xr:uid="{00000000-0005-0000-0000-00009C350000}"/>
    <cellStyle name="Millares 2 9 3 2 5 3" xfId="38787" xr:uid="{00000000-0005-0000-0000-00009D350000}"/>
    <cellStyle name="Millares 2 9 3 2 6" xfId="18435" xr:uid="{00000000-0005-0000-0000-00009E350000}"/>
    <cellStyle name="Millares 2 9 3 2 6 2" xfId="45568" xr:uid="{00000000-0005-0000-0000-00009F350000}"/>
    <cellStyle name="Millares 2 9 3 2 7" xfId="32006" xr:uid="{00000000-0005-0000-0000-0000A0350000}"/>
    <cellStyle name="Millares 2 9 3 3" xfId="4641" xr:uid="{00000000-0005-0000-0000-0000A1350000}"/>
    <cellStyle name="Millares 2 9 3 3 2" xfId="4642" xr:uid="{00000000-0005-0000-0000-0000A2350000}"/>
    <cellStyle name="Millares 2 9 3 3 2 2" xfId="8251" xr:uid="{00000000-0005-0000-0000-0000A3350000}"/>
    <cellStyle name="Millares 2 9 3 3 2 2 2" xfId="15041" xr:uid="{00000000-0005-0000-0000-0000A4350000}"/>
    <cellStyle name="Millares 2 9 3 3 2 2 2 2" xfId="28609" xr:uid="{00000000-0005-0000-0000-0000A5350000}"/>
    <cellStyle name="Millares 2 9 3 3 2 2 2 2 2" xfId="55742" xr:uid="{00000000-0005-0000-0000-0000A6350000}"/>
    <cellStyle name="Millares 2 9 3 3 2 2 2 3" xfId="42180" xr:uid="{00000000-0005-0000-0000-0000A7350000}"/>
    <cellStyle name="Millares 2 9 3 3 2 2 3" xfId="21828" xr:uid="{00000000-0005-0000-0000-0000A8350000}"/>
    <cellStyle name="Millares 2 9 3 3 2 2 3 2" xfId="48961" xr:uid="{00000000-0005-0000-0000-0000A9350000}"/>
    <cellStyle name="Millares 2 9 3 3 2 2 4" xfId="35399" xr:uid="{00000000-0005-0000-0000-0000AA350000}"/>
    <cellStyle name="Millares 2 9 3 3 2 3" xfId="11652" xr:uid="{00000000-0005-0000-0000-0000AB350000}"/>
    <cellStyle name="Millares 2 9 3 3 2 3 2" xfId="25220" xr:uid="{00000000-0005-0000-0000-0000AC350000}"/>
    <cellStyle name="Millares 2 9 3 3 2 3 2 2" xfId="52353" xr:uid="{00000000-0005-0000-0000-0000AD350000}"/>
    <cellStyle name="Millares 2 9 3 3 2 3 3" xfId="38791" xr:uid="{00000000-0005-0000-0000-0000AE350000}"/>
    <cellStyle name="Millares 2 9 3 3 2 4" xfId="18439" xr:uid="{00000000-0005-0000-0000-0000AF350000}"/>
    <cellStyle name="Millares 2 9 3 3 2 4 2" xfId="45572" xr:uid="{00000000-0005-0000-0000-0000B0350000}"/>
    <cellStyle name="Millares 2 9 3 3 2 5" xfId="32010" xr:uid="{00000000-0005-0000-0000-0000B1350000}"/>
    <cellStyle name="Millares 2 9 3 3 3" xfId="8250" xr:uid="{00000000-0005-0000-0000-0000B2350000}"/>
    <cellStyle name="Millares 2 9 3 3 3 2" xfId="15040" xr:uid="{00000000-0005-0000-0000-0000B3350000}"/>
    <cellStyle name="Millares 2 9 3 3 3 2 2" xfId="28608" xr:uid="{00000000-0005-0000-0000-0000B4350000}"/>
    <cellStyle name="Millares 2 9 3 3 3 2 2 2" xfId="55741" xr:uid="{00000000-0005-0000-0000-0000B5350000}"/>
    <cellStyle name="Millares 2 9 3 3 3 2 3" xfId="42179" xr:uid="{00000000-0005-0000-0000-0000B6350000}"/>
    <cellStyle name="Millares 2 9 3 3 3 3" xfId="21827" xr:uid="{00000000-0005-0000-0000-0000B7350000}"/>
    <cellStyle name="Millares 2 9 3 3 3 3 2" xfId="48960" xr:uid="{00000000-0005-0000-0000-0000B8350000}"/>
    <cellStyle name="Millares 2 9 3 3 3 4" xfId="35398" xr:uid="{00000000-0005-0000-0000-0000B9350000}"/>
    <cellStyle name="Millares 2 9 3 3 4" xfId="11651" xr:uid="{00000000-0005-0000-0000-0000BA350000}"/>
    <cellStyle name="Millares 2 9 3 3 4 2" xfId="25219" xr:uid="{00000000-0005-0000-0000-0000BB350000}"/>
    <cellStyle name="Millares 2 9 3 3 4 2 2" xfId="52352" xr:uid="{00000000-0005-0000-0000-0000BC350000}"/>
    <cellStyle name="Millares 2 9 3 3 4 3" xfId="38790" xr:uid="{00000000-0005-0000-0000-0000BD350000}"/>
    <cellStyle name="Millares 2 9 3 3 5" xfId="18438" xr:uid="{00000000-0005-0000-0000-0000BE350000}"/>
    <cellStyle name="Millares 2 9 3 3 5 2" xfId="45571" xr:uid="{00000000-0005-0000-0000-0000BF350000}"/>
    <cellStyle name="Millares 2 9 3 3 6" xfId="32009" xr:uid="{00000000-0005-0000-0000-0000C0350000}"/>
    <cellStyle name="Millares 2 9 3 4" xfId="4643" xr:uid="{00000000-0005-0000-0000-0000C1350000}"/>
    <cellStyle name="Millares 2 9 3 4 2" xfId="8252" xr:uid="{00000000-0005-0000-0000-0000C2350000}"/>
    <cellStyle name="Millares 2 9 3 4 2 2" xfId="15042" xr:uid="{00000000-0005-0000-0000-0000C3350000}"/>
    <cellStyle name="Millares 2 9 3 4 2 2 2" xfId="28610" xr:uid="{00000000-0005-0000-0000-0000C4350000}"/>
    <cellStyle name="Millares 2 9 3 4 2 2 2 2" xfId="55743" xr:uid="{00000000-0005-0000-0000-0000C5350000}"/>
    <cellStyle name="Millares 2 9 3 4 2 2 3" xfId="42181" xr:uid="{00000000-0005-0000-0000-0000C6350000}"/>
    <cellStyle name="Millares 2 9 3 4 2 3" xfId="21829" xr:uid="{00000000-0005-0000-0000-0000C7350000}"/>
    <cellStyle name="Millares 2 9 3 4 2 3 2" xfId="48962" xr:uid="{00000000-0005-0000-0000-0000C8350000}"/>
    <cellStyle name="Millares 2 9 3 4 2 4" xfId="35400" xr:uid="{00000000-0005-0000-0000-0000C9350000}"/>
    <cellStyle name="Millares 2 9 3 4 3" xfId="11653" xr:uid="{00000000-0005-0000-0000-0000CA350000}"/>
    <cellStyle name="Millares 2 9 3 4 3 2" xfId="25221" xr:uid="{00000000-0005-0000-0000-0000CB350000}"/>
    <cellStyle name="Millares 2 9 3 4 3 2 2" xfId="52354" xr:uid="{00000000-0005-0000-0000-0000CC350000}"/>
    <cellStyle name="Millares 2 9 3 4 3 3" xfId="38792" xr:uid="{00000000-0005-0000-0000-0000CD350000}"/>
    <cellStyle name="Millares 2 9 3 4 4" xfId="18440" xr:uid="{00000000-0005-0000-0000-0000CE350000}"/>
    <cellStyle name="Millares 2 9 3 4 4 2" xfId="45573" xr:uid="{00000000-0005-0000-0000-0000CF350000}"/>
    <cellStyle name="Millares 2 9 3 4 5" xfId="32011" xr:uid="{00000000-0005-0000-0000-0000D0350000}"/>
    <cellStyle name="Millares 2 9 3 5" xfId="4644" xr:uid="{00000000-0005-0000-0000-0000D1350000}"/>
    <cellStyle name="Millares 2 9 3 5 2" xfId="8253" xr:uid="{00000000-0005-0000-0000-0000D2350000}"/>
    <cellStyle name="Millares 2 9 3 5 2 2" xfId="15043" xr:uid="{00000000-0005-0000-0000-0000D3350000}"/>
    <cellStyle name="Millares 2 9 3 5 2 2 2" xfId="28611" xr:uid="{00000000-0005-0000-0000-0000D4350000}"/>
    <cellStyle name="Millares 2 9 3 5 2 2 2 2" xfId="55744" xr:uid="{00000000-0005-0000-0000-0000D5350000}"/>
    <cellStyle name="Millares 2 9 3 5 2 2 3" xfId="42182" xr:uid="{00000000-0005-0000-0000-0000D6350000}"/>
    <cellStyle name="Millares 2 9 3 5 2 3" xfId="21830" xr:uid="{00000000-0005-0000-0000-0000D7350000}"/>
    <cellStyle name="Millares 2 9 3 5 2 3 2" xfId="48963" xr:uid="{00000000-0005-0000-0000-0000D8350000}"/>
    <cellStyle name="Millares 2 9 3 5 2 4" xfId="35401" xr:uid="{00000000-0005-0000-0000-0000D9350000}"/>
    <cellStyle name="Millares 2 9 3 5 3" xfId="11654" xr:uid="{00000000-0005-0000-0000-0000DA350000}"/>
    <cellStyle name="Millares 2 9 3 5 3 2" xfId="25222" xr:uid="{00000000-0005-0000-0000-0000DB350000}"/>
    <cellStyle name="Millares 2 9 3 5 3 2 2" xfId="52355" xr:uid="{00000000-0005-0000-0000-0000DC350000}"/>
    <cellStyle name="Millares 2 9 3 5 3 3" xfId="38793" xr:uid="{00000000-0005-0000-0000-0000DD350000}"/>
    <cellStyle name="Millares 2 9 3 5 4" xfId="18441" xr:uid="{00000000-0005-0000-0000-0000DE350000}"/>
    <cellStyle name="Millares 2 9 3 5 4 2" xfId="45574" xr:uid="{00000000-0005-0000-0000-0000DF350000}"/>
    <cellStyle name="Millares 2 9 3 5 5" xfId="32012" xr:uid="{00000000-0005-0000-0000-0000E0350000}"/>
    <cellStyle name="Millares 2 9 3 6" xfId="8246" xr:uid="{00000000-0005-0000-0000-0000E1350000}"/>
    <cellStyle name="Millares 2 9 3 6 2" xfId="15036" xr:uid="{00000000-0005-0000-0000-0000E2350000}"/>
    <cellStyle name="Millares 2 9 3 6 2 2" xfId="28604" xr:uid="{00000000-0005-0000-0000-0000E3350000}"/>
    <cellStyle name="Millares 2 9 3 6 2 2 2" xfId="55737" xr:uid="{00000000-0005-0000-0000-0000E4350000}"/>
    <cellStyle name="Millares 2 9 3 6 2 3" xfId="42175" xr:uid="{00000000-0005-0000-0000-0000E5350000}"/>
    <cellStyle name="Millares 2 9 3 6 3" xfId="21823" xr:uid="{00000000-0005-0000-0000-0000E6350000}"/>
    <cellStyle name="Millares 2 9 3 6 3 2" xfId="48956" xr:uid="{00000000-0005-0000-0000-0000E7350000}"/>
    <cellStyle name="Millares 2 9 3 6 4" xfId="35394" xr:uid="{00000000-0005-0000-0000-0000E8350000}"/>
    <cellStyle name="Millares 2 9 3 7" xfId="11647" xr:uid="{00000000-0005-0000-0000-0000E9350000}"/>
    <cellStyle name="Millares 2 9 3 7 2" xfId="25215" xr:uid="{00000000-0005-0000-0000-0000EA350000}"/>
    <cellStyle name="Millares 2 9 3 7 2 2" xfId="52348" xr:uid="{00000000-0005-0000-0000-0000EB350000}"/>
    <cellStyle name="Millares 2 9 3 7 3" xfId="38786" xr:uid="{00000000-0005-0000-0000-0000EC350000}"/>
    <cellStyle name="Millares 2 9 3 8" xfId="18434" xr:uid="{00000000-0005-0000-0000-0000ED350000}"/>
    <cellStyle name="Millares 2 9 3 8 2" xfId="45567" xr:uid="{00000000-0005-0000-0000-0000EE350000}"/>
    <cellStyle name="Millares 2 9 3 9" xfId="32005" xr:uid="{00000000-0005-0000-0000-0000EF350000}"/>
    <cellStyle name="Millares 2 9 4" xfId="4645" xr:uid="{00000000-0005-0000-0000-0000F0350000}"/>
    <cellStyle name="Millares 2 9 4 2" xfId="4646" xr:uid="{00000000-0005-0000-0000-0000F1350000}"/>
    <cellStyle name="Millares 2 9 4 2 2" xfId="4647" xr:uid="{00000000-0005-0000-0000-0000F2350000}"/>
    <cellStyle name="Millares 2 9 4 2 2 2" xfId="8256" xr:uid="{00000000-0005-0000-0000-0000F3350000}"/>
    <cellStyle name="Millares 2 9 4 2 2 2 2" xfId="15046" xr:uid="{00000000-0005-0000-0000-0000F4350000}"/>
    <cellStyle name="Millares 2 9 4 2 2 2 2 2" xfId="28614" xr:uid="{00000000-0005-0000-0000-0000F5350000}"/>
    <cellStyle name="Millares 2 9 4 2 2 2 2 2 2" xfId="55747" xr:uid="{00000000-0005-0000-0000-0000F6350000}"/>
    <cellStyle name="Millares 2 9 4 2 2 2 2 3" xfId="42185" xr:uid="{00000000-0005-0000-0000-0000F7350000}"/>
    <cellStyle name="Millares 2 9 4 2 2 2 3" xfId="21833" xr:uid="{00000000-0005-0000-0000-0000F8350000}"/>
    <cellStyle name="Millares 2 9 4 2 2 2 3 2" xfId="48966" xr:uid="{00000000-0005-0000-0000-0000F9350000}"/>
    <cellStyle name="Millares 2 9 4 2 2 2 4" xfId="35404" xr:uid="{00000000-0005-0000-0000-0000FA350000}"/>
    <cellStyle name="Millares 2 9 4 2 2 3" xfId="11657" xr:uid="{00000000-0005-0000-0000-0000FB350000}"/>
    <cellStyle name="Millares 2 9 4 2 2 3 2" xfId="25225" xr:uid="{00000000-0005-0000-0000-0000FC350000}"/>
    <cellStyle name="Millares 2 9 4 2 2 3 2 2" xfId="52358" xr:uid="{00000000-0005-0000-0000-0000FD350000}"/>
    <cellStyle name="Millares 2 9 4 2 2 3 3" xfId="38796" xr:uid="{00000000-0005-0000-0000-0000FE350000}"/>
    <cellStyle name="Millares 2 9 4 2 2 4" xfId="18444" xr:uid="{00000000-0005-0000-0000-0000FF350000}"/>
    <cellStyle name="Millares 2 9 4 2 2 4 2" xfId="45577" xr:uid="{00000000-0005-0000-0000-000000360000}"/>
    <cellStyle name="Millares 2 9 4 2 2 5" xfId="32015" xr:uid="{00000000-0005-0000-0000-000001360000}"/>
    <cellStyle name="Millares 2 9 4 2 3" xfId="4648" xr:uid="{00000000-0005-0000-0000-000002360000}"/>
    <cellStyle name="Millares 2 9 4 2 3 2" xfId="8257" xr:uid="{00000000-0005-0000-0000-000003360000}"/>
    <cellStyle name="Millares 2 9 4 2 3 2 2" xfId="15047" xr:uid="{00000000-0005-0000-0000-000004360000}"/>
    <cellStyle name="Millares 2 9 4 2 3 2 2 2" xfId="28615" xr:uid="{00000000-0005-0000-0000-000005360000}"/>
    <cellStyle name="Millares 2 9 4 2 3 2 2 2 2" xfId="55748" xr:uid="{00000000-0005-0000-0000-000006360000}"/>
    <cellStyle name="Millares 2 9 4 2 3 2 2 3" xfId="42186" xr:uid="{00000000-0005-0000-0000-000007360000}"/>
    <cellStyle name="Millares 2 9 4 2 3 2 3" xfId="21834" xr:uid="{00000000-0005-0000-0000-000008360000}"/>
    <cellStyle name="Millares 2 9 4 2 3 2 3 2" xfId="48967" xr:uid="{00000000-0005-0000-0000-000009360000}"/>
    <cellStyle name="Millares 2 9 4 2 3 2 4" xfId="35405" xr:uid="{00000000-0005-0000-0000-00000A360000}"/>
    <cellStyle name="Millares 2 9 4 2 3 3" xfId="11658" xr:uid="{00000000-0005-0000-0000-00000B360000}"/>
    <cellStyle name="Millares 2 9 4 2 3 3 2" xfId="25226" xr:uid="{00000000-0005-0000-0000-00000C360000}"/>
    <cellStyle name="Millares 2 9 4 2 3 3 2 2" xfId="52359" xr:uid="{00000000-0005-0000-0000-00000D360000}"/>
    <cellStyle name="Millares 2 9 4 2 3 3 3" xfId="38797" xr:uid="{00000000-0005-0000-0000-00000E360000}"/>
    <cellStyle name="Millares 2 9 4 2 3 4" xfId="18445" xr:uid="{00000000-0005-0000-0000-00000F360000}"/>
    <cellStyle name="Millares 2 9 4 2 3 4 2" xfId="45578" xr:uid="{00000000-0005-0000-0000-000010360000}"/>
    <cellStyle name="Millares 2 9 4 2 3 5" xfId="32016" xr:uid="{00000000-0005-0000-0000-000011360000}"/>
    <cellStyle name="Millares 2 9 4 2 4" xfId="8255" xr:uid="{00000000-0005-0000-0000-000012360000}"/>
    <cellStyle name="Millares 2 9 4 2 4 2" xfId="15045" xr:uid="{00000000-0005-0000-0000-000013360000}"/>
    <cellStyle name="Millares 2 9 4 2 4 2 2" xfId="28613" xr:uid="{00000000-0005-0000-0000-000014360000}"/>
    <cellStyle name="Millares 2 9 4 2 4 2 2 2" xfId="55746" xr:uid="{00000000-0005-0000-0000-000015360000}"/>
    <cellStyle name="Millares 2 9 4 2 4 2 3" xfId="42184" xr:uid="{00000000-0005-0000-0000-000016360000}"/>
    <cellStyle name="Millares 2 9 4 2 4 3" xfId="21832" xr:uid="{00000000-0005-0000-0000-000017360000}"/>
    <cellStyle name="Millares 2 9 4 2 4 3 2" xfId="48965" xr:uid="{00000000-0005-0000-0000-000018360000}"/>
    <cellStyle name="Millares 2 9 4 2 4 4" xfId="35403" xr:uid="{00000000-0005-0000-0000-000019360000}"/>
    <cellStyle name="Millares 2 9 4 2 5" xfId="11656" xr:uid="{00000000-0005-0000-0000-00001A360000}"/>
    <cellStyle name="Millares 2 9 4 2 5 2" xfId="25224" xr:uid="{00000000-0005-0000-0000-00001B360000}"/>
    <cellStyle name="Millares 2 9 4 2 5 2 2" xfId="52357" xr:uid="{00000000-0005-0000-0000-00001C360000}"/>
    <cellStyle name="Millares 2 9 4 2 5 3" xfId="38795" xr:uid="{00000000-0005-0000-0000-00001D360000}"/>
    <cellStyle name="Millares 2 9 4 2 6" xfId="18443" xr:uid="{00000000-0005-0000-0000-00001E360000}"/>
    <cellStyle name="Millares 2 9 4 2 6 2" xfId="45576" xr:uid="{00000000-0005-0000-0000-00001F360000}"/>
    <cellStyle name="Millares 2 9 4 2 7" xfId="32014" xr:uid="{00000000-0005-0000-0000-000020360000}"/>
    <cellStyle name="Millares 2 9 4 3" xfId="4649" xr:uid="{00000000-0005-0000-0000-000021360000}"/>
    <cellStyle name="Millares 2 9 4 3 2" xfId="8258" xr:uid="{00000000-0005-0000-0000-000022360000}"/>
    <cellStyle name="Millares 2 9 4 3 2 2" xfId="15048" xr:uid="{00000000-0005-0000-0000-000023360000}"/>
    <cellStyle name="Millares 2 9 4 3 2 2 2" xfId="28616" xr:uid="{00000000-0005-0000-0000-000024360000}"/>
    <cellStyle name="Millares 2 9 4 3 2 2 2 2" xfId="55749" xr:uid="{00000000-0005-0000-0000-000025360000}"/>
    <cellStyle name="Millares 2 9 4 3 2 2 3" xfId="42187" xr:uid="{00000000-0005-0000-0000-000026360000}"/>
    <cellStyle name="Millares 2 9 4 3 2 3" xfId="21835" xr:uid="{00000000-0005-0000-0000-000027360000}"/>
    <cellStyle name="Millares 2 9 4 3 2 3 2" xfId="48968" xr:uid="{00000000-0005-0000-0000-000028360000}"/>
    <cellStyle name="Millares 2 9 4 3 2 4" xfId="35406" xr:uid="{00000000-0005-0000-0000-000029360000}"/>
    <cellStyle name="Millares 2 9 4 3 3" xfId="11659" xr:uid="{00000000-0005-0000-0000-00002A360000}"/>
    <cellStyle name="Millares 2 9 4 3 3 2" xfId="25227" xr:uid="{00000000-0005-0000-0000-00002B360000}"/>
    <cellStyle name="Millares 2 9 4 3 3 2 2" xfId="52360" xr:uid="{00000000-0005-0000-0000-00002C360000}"/>
    <cellStyle name="Millares 2 9 4 3 3 3" xfId="38798" xr:uid="{00000000-0005-0000-0000-00002D360000}"/>
    <cellStyle name="Millares 2 9 4 3 4" xfId="18446" xr:uid="{00000000-0005-0000-0000-00002E360000}"/>
    <cellStyle name="Millares 2 9 4 3 4 2" xfId="45579" xr:uid="{00000000-0005-0000-0000-00002F360000}"/>
    <cellStyle name="Millares 2 9 4 3 5" xfId="32017" xr:uid="{00000000-0005-0000-0000-000030360000}"/>
    <cellStyle name="Millares 2 9 4 4" xfId="4650" xr:uid="{00000000-0005-0000-0000-000031360000}"/>
    <cellStyle name="Millares 2 9 4 4 2" xfId="8259" xr:uid="{00000000-0005-0000-0000-000032360000}"/>
    <cellStyle name="Millares 2 9 4 4 2 2" xfId="15049" xr:uid="{00000000-0005-0000-0000-000033360000}"/>
    <cellStyle name="Millares 2 9 4 4 2 2 2" xfId="28617" xr:uid="{00000000-0005-0000-0000-000034360000}"/>
    <cellStyle name="Millares 2 9 4 4 2 2 2 2" xfId="55750" xr:uid="{00000000-0005-0000-0000-000035360000}"/>
    <cellStyle name="Millares 2 9 4 4 2 2 3" xfId="42188" xr:uid="{00000000-0005-0000-0000-000036360000}"/>
    <cellStyle name="Millares 2 9 4 4 2 3" xfId="21836" xr:uid="{00000000-0005-0000-0000-000037360000}"/>
    <cellStyle name="Millares 2 9 4 4 2 3 2" xfId="48969" xr:uid="{00000000-0005-0000-0000-000038360000}"/>
    <cellStyle name="Millares 2 9 4 4 2 4" xfId="35407" xr:uid="{00000000-0005-0000-0000-000039360000}"/>
    <cellStyle name="Millares 2 9 4 4 3" xfId="11660" xr:uid="{00000000-0005-0000-0000-00003A360000}"/>
    <cellStyle name="Millares 2 9 4 4 3 2" xfId="25228" xr:uid="{00000000-0005-0000-0000-00003B360000}"/>
    <cellStyle name="Millares 2 9 4 4 3 2 2" xfId="52361" xr:uid="{00000000-0005-0000-0000-00003C360000}"/>
    <cellStyle name="Millares 2 9 4 4 3 3" xfId="38799" xr:uid="{00000000-0005-0000-0000-00003D360000}"/>
    <cellStyle name="Millares 2 9 4 4 4" xfId="18447" xr:uid="{00000000-0005-0000-0000-00003E360000}"/>
    <cellStyle name="Millares 2 9 4 4 4 2" xfId="45580" xr:uid="{00000000-0005-0000-0000-00003F360000}"/>
    <cellStyle name="Millares 2 9 4 4 5" xfId="32018" xr:uid="{00000000-0005-0000-0000-000040360000}"/>
    <cellStyle name="Millares 2 9 4 5" xfId="8254" xr:uid="{00000000-0005-0000-0000-000041360000}"/>
    <cellStyle name="Millares 2 9 4 5 2" xfId="15044" xr:uid="{00000000-0005-0000-0000-000042360000}"/>
    <cellStyle name="Millares 2 9 4 5 2 2" xfId="28612" xr:uid="{00000000-0005-0000-0000-000043360000}"/>
    <cellStyle name="Millares 2 9 4 5 2 2 2" xfId="55745" xr:uid="{00000000-0005-0000-0000-000044360000}"/>
    <cellStyle name="Millares 2 9 4 5 2 3" xfId="42183" xr:uid="{00000000-0005-0000-0000-000045360000}"/>
    <cellStyle name="Millares 2 9 4 5 3" xfId="21831" xr:uid="{00000000-0005-0000-0000-000046360000}"/>
    <cellStyle name="Millares 2 9 4 5 3 2" xfId="48964" xr:uid="{00000000-0005-0000-0000-000047360000}"/>
    <cellStyle name="Millares 2 9 4 5 4" xfId="35402" xr:uid="{00000000-0005-0000-0000-000048360000}"/>
    <cellStyle name="Millares 2 9 4 6" xfId="11655" xr:uid="{00000000-0005-0000-0000-000049360000}"/>
    <cellStyle name="Millares 2 9 4 6 2" xfId="25223" xr:uid="{00000000-0005-0000-0000-00004A360000}"/>
    <cellStyle name="Millares 2 9 4 6 2 2" xfId="52356" xr:uid="{00000000-0005-0000-0000-00004B360000}"/>
    <cellStyle name="Millares 2 9 4 6 3" xfId="38794" xr:uid="{00000000-0005-0000-0000-00004C360000}"/>
    <cellStyle name="Millares 2 9 4 7" xfId="18442" xr:uid="{00000000-0005-0000-0000-00004D360000}"/>
    <cellStyle name="Millares 2 9 4 7 2" xfId="45575" xr:uid="{00000000-0005-0000-0000-00004E360000}"/>
    <cellStyle name="Millares 2 9 4 8" xfId="32013" xr:uid="{00000000-0005-0000-0000-00004F360000}"/>
    <cellStyle name="Millares 2 9 5" xfId="4651" xr:uid="{00000000-0005-0000-0000-000050360000}"/>
    <cellStyle name="Millares 2 9 5 2" xfId="4652" xr:uid="{00000000-0005-0000-0000-000051360000}"/>
    <cellStyle name="Millares 2 9 5 2 2" xfId="4653" xr:uid="{00000000-0005-0000-0000-000052360000}"/>
    <cellStyle name="Millares 2 9 5 2 2 2" xfId="8262" xr:uid="{00000000-0005-0000-0000-000053360000}"/>
    <cellStyle name="Millares 2 9 5 2 2 2 2" xfId="15052" xr:uid="{00000000-0005-0000-0000-000054360000}"/>
    <cellStyle name="Millares 2 9 5 2 2 2 2 2" xfId="28620" xr:uid="{00000000-0005-0000-0000-000055360000}"/>
    <cellStyle name="Millares 2 9 5 2 2 2 2 2 2" xfId="55753" xr:uid="{00000000-0005-0000-0000-000056360000}"/>
    <cellStyle name="Millares 2 9 5 2 2 2 2 3" xfId="42191" xr:uid="{00000000-0005-0000-0000-000057360000}"/>
    <cellStyle name="Millares 2 9 5 2 2 2 3" xfId="21839" xr:uid="{00000000-0005-0000-0000-000058360000}"/>
    <cellStyle name="Millares 2 9 5 2 2 2 3 2" xfId="48972" xr:uid="{00000000-0005-0000-0000-000059360000}"/>
    <cellStyle name="Millares 2 9 5 2 2 2 4" xfId="35410" xr:uid="{00000000-0005-0000-0000-00005A360000}"/>
    <cellStyle name="Millares 2 9 5 2 2 3" xfId="11663" xr:uid="{00000000-0005-0000-0000-00005B360000}"/>
    <cellStyle name="Millares 2 9 5 2 2 3 2" xfId="25231" xr:uid="{00000000-0005-0000-0000-00005C360000}"/>
    <cellStyle name="Millares 2 9 5 2 2 3 2 2" xfId="52364" xr:uid="{00000000-0005-0000-0000-00005D360000}"/>
    <cellStyle name="Millares 2 9 5 2 2 3 3" xfId="38802" xr:uid="{00000000-0005-0000-0000-00005E360000}"/>
    <cellStyle name="Millares 2 9 5 2 2 4" xfId="18450" xr:uid="{00000000-0005-0000-0000-00005F360000}"/>
    <cellStyle name="Millares 2 9 5 2 2 4 2" xfId="45583" xr:uid="{00000000-0005-0000-0000-000060360000}"/>
    <cellStyle name="Millares 2 9 5 2 2 5" xfId="32021" xr:uid="{00000000-0005-0000-0000-000061360000}"/>
    <cellStyle name="Millares 2 9 5 2 3" xfId="4654" xr:uid="{00000000-0005-0000-0000-000062360000}"/>
    <cellStyle name="Millares 2 9 5 2 3 2" xfId="8263" xr:uid="{00000000-0005-0000-0000-000063360000}"/>
    <cellStyle name="Millares 2 9 5 2 3 2 2" xfId="15053" xr:uid="{00000000-0005-0000-0000-000064360000}"/>
    <cellStyle name="Millares 2 9 5 2 3 2 2 2" xfId="28621" xr:uid="{00000000-0005-0000-0000-000065360000}"/>
    <cellStyle name="Millares 2 9 5 2 3 2 2 2 2" xfId="55754" xr:uid="{00000000-0005-0000-0000-000066360000}"/>
    <cellStyle name="Millares 2 9 5 2 3 2 2 3" xfId="42192" xr:uid="{00000000-0005-0000-0000-000067360000}"/>
    <cellStyle name="Millares 2 9 5 2 3 2 3" xfId="21840" xr:uid="{00000000-0005-0000-0000-000068360000}"/>
    <cellStyle name="Millares 2 9 5 2 3 2 3 2" xfId="48973" xr:uid="{00000000-0005-0000-0000-000069360000}"/>
    <cellStyle name="Millares 2 9 5 2 3 2 4" xfId="35411" xr:uid="{00000000-0005-0000-0000-00006A360000}"/>
    <cellStyle name="Millares 2 9 5 2 3 3" xfId="11664" xr:uid="{00000000-0005-0000-0000-00006B360000}"/>
    <cellStyle name="Millares 2 9 5 2 3 3 2" xfId="25232" xr:uid="{00000000-0005-0000-0000-00006C360000}"/>
    <cellStyle name="Millares 2 9 5 2 3 3 2 2" xfId="52365" xr:uid="{00000000-0005-0000-0000-00006D360000}"/>
    <cellStyle name="Millares 2 9 5 2 3 3 3" xfId="38803" xr:uid="{00000000-0005-0000-0000-00006E360000}"/>
    <cellStyle name="Millares 2 9 5 2 3 4" xfId="18451" xr:uid="{00000000-0005-0000-0000-00006F360000}"/>
    <cellStyle name="Millares 2 9 5 2 3 4 2" xfId="45584" xr:uid="{00000000-0005-0000-0000-000070360000}"/>
    <cellStyle name="Millares 2 9 5 2 3 5" xfId="32022" xr:uid="{00000000-0005-0000-0000-000071360000}"/>
    <cellStyle name="Millares 2 9 5 2 4" xfId="8261" xr:uid="{00000000-0005-0000-0000-000072360000}"/>
    <cellStyle name="Millares 2 9 5 2 4 2" xfId="15051" xr:uid="{00000000-0005-0000-0000-000073360000}"/>
    <cellStyle name="Millares 2 9 5 2 4 2 2" xfId="28619" xr:uid="{00000000-0005-0000-0000-000074360000}"/>
    <cellStyle name="Millares 2 9 5 2 4 2 2 2" xfId="55752" xr:uid="{00000000-0005-0000-0000-000075360000}"/>
    <cellStyle name="Millares 2 9 5 2 4 2 3" xfId="42190" xr:uid="{00000000-0005-0000-0000-000076360000}"/>
    <cellStyle name="Millares 2 9 5 2 4 3" xfId="21838" xr:uid="{00000000-0005-0000-0000-000077360000}"/>
    <cellStyle name="Millares 2 9 5 2 4 3 2" xfId="48971" xr:uid="{00000000-0005-0000-0000-000078360000}"/>
    <cellStyle name="Millares 2 9 5 2 4 4" xfId="35409" xr:uid="{00000000-0005-0000-0000-000079360000}"/>
    <cellStyle name="Millares 2 9 5 2 5" xfId="11662" xr:uid="{00000000-0005-0000-0000-00007A360000}"/>
    <cellStyle name="Millares 2 9 5 2 5 2" xfId="25230" xr:uid="{00000000-0005-0000-0000-00007B360000}"/>
    <cellStyle name="Millares 2 9 5 2 5 2 2" xfId="52363" xr:uid="{00000000-0005-0000-0000-00007C360000}"/>
    <cellStyle name="Millares 2 9 5 2 5 3" xfId="38801" xr:uid="{00000000-0005-0000-0000-00007D360000}"/>
    <cellStyle name="Millares 2 9 5 2 6" xfId="18449" xr:uid="{00000000-0005-0000-0000-00007E360000}"/>
    <cellStyle name="Millares 2 9 5 2 6 2" xfId="45582" xr:uid="{00000000-0005-0000-0000-00007F360000}"/>
    <cellStyle name="Millares 2 9 5 2 7" xfId="32020" xr:uid="{00000000-0005-0000-0000-000080360000}"/>
    <cellStyle name="Millares 2 9 5 3" xfId="4655" xr:uid="{00000000-0005-0000-0000-000081360000}"/>
    <cellStyle name="Millares 2 9 5 3 2" xfId="8264" xr:uid="{00000000-0005-0000-0000-000082360000}"/>
    <cellStyle name="Millares 2 9 5 3 2 2" xfId="15054" xr:uid="{00000000-0005-0000-0000-000083360000}"/>
    <cellStyle name="Millares 2 9 5 3 2 2 2" xfId="28622" xr:uid="{00000000-0005-0000-0000-000084360000}"/>
    <cellStyle name="Millares 2 9 5 3 2 2 2 2" xfId="55755" xr:uid="{00000000-0005-0000-0000-000085360000}"/>
    <cellStyle name="Millares 2 9 5 3 2 2 3" xfId="42193" xr:uid="{00000000-0005-0000-0000-000086360000}"/>
    <cellStyle name="Millares 2 9 5 3 2 3" xfId="21841" xr:uid="{00000000-0005-0000-0000-000087360000}"/>
    <cellStyle name="Millares 2 9 5 3 2 3 2" xfId="48974" xr:uid="{00000000-0005-0000-0000-000088360000}"/>
    <cellStyle name="Millares 2 9 5 3 2 4" xfId="35412" xr:uid="{00000000-0005-0000-0000-000089360000}"/>
    <cellStyle name="Millares 2 9 5 3 3" xfId="11665" xr:uid="{00000000-0005-0000-0000-00008A360000}"/>
    <cellStyle name="Millares 2 9 5 3 3 2" xfId="25233" xr:uid="{00000000-0005-0000-0000-00008B360000}"/>
    <cellStyle name="Millares 2 9 5 3 3 2 2" xfId="52366" xr:uid="{00000000-0005-0000-0000-00008C360000}"/>
    <cellStyle name="Millares 2 9 5 3 3 3" xfId="38804" xr:uid="{00000000-0005-0000-0000-00008D360000}"/>
    <cellStyle name="Millares 2 9 5 3 4" xfId="18452" xr:uid="{00000000-0005-0000-0000-00008E360000}"/>
    <cellStyle name="Millares 2 9 5 3 4 2" xfId="45585" xr:uid="{00000000-0005-0000-0000-00008F360000}"/>
    <cellStyle name="Millares 2 9 5 3 5" xfId="32023" xr:uid="{00000000-0005-0000-0000-000090360000}"/>
    <cellStyle name="Millares 2 9 5 4" xfId="4656" xr:uid="{00000000-0005-0000-0000-000091360000}"/>
    <cellStyle name="Millares 2 9 5 4 2" xfId="8265" xr:uid="{00000000-0005-0000-0000-000092360000}"/>
    <cellStyle name="Millares 2 9 5 4 2 2" xfId="15055" xr:uid="{00000000-0005-0000-0000-000093360000}"/>
    <cellStyle name="Millares 2 9 5 4 2 2 2" xfId="28623" xr:uid="{00000000-0005-0000-0000-000094360000}"/>
    <cellStyle name="Millares 2 9 5 4 2 2 2 2" xfId="55756" xr:uid="{00000000-0005-0000-0000-000095360000}"/>
    <cellStyle name="Millares 2 9 5 4 2 2 3" xfId="42194" xr:uid="{00000000-0005-0000-0000-000096360000}"/>
    <cellStyle name="Millares 2 9 5 4 2 3" xfId="21842" xr:uid="{00000000-0005-0000-0000-000097360000}"/>
    <cellStyle name="Millares 2 9 5 4 2 3 2" xfId="48975" xr:uid="{00000000-0005-0000-0000-000098360000}"/>
    <cellStyle name="Millares 2 9 5 4 2 4" xfId="35413" xr:uid="{00000000-0005-0000-0000-000099360000}"/>
    <cellStyle name="Millares 2 9 5 4 3" xfId="11666" xr:uid="{00000000-0005-0000-0000-00009A360000}"/>
    <cellStyle name="Millares 2 9 5 4 3 2" xfId="25234" xr:uid="{00000000-0005-0000-0000-00009B360000}"/>
    <cellStyle name="Millares 2 9 5 4 3 2 2" xfId="52367" xr:uid="{00000000-0005-0000-0000-00009C360000}"/>
    <cellStyle name="Millares 2 9 5 4 3 3" xfId="38805" xr:uid="{00000000-0005-0000-0000-00009D360000}"/>
    <cellStyle name="Millares 2 9 5 4 4" xfId="18453" xr:uid="{00000000-0005-0000-0000-00009E360000}"/>
    <cellStyle name="Millares 2 9 5 4 4 2" xfId="45586" xr:uid="{00000000-0005-0000-0000-00009F360000}"/>
    <cellStyle name="Millares 2 9 5 4 5" xfId="32024" xr:uid="{00000000-0005-0000-0000-0000A0360000}"/>
    <cellStyle name="Millares 2 9 5 5" xfId="8260" xr:uid="{00000000-0005-0000-0000-0000A1360000}"/>
    <cellStyle name="Millares 2 9 5 5 2" xfId="15050" xr:uid="{00000000-0005-0000-0000-0000A2360000}"/>
    <cellStyle name="Millares 2 9 5 5 2 2" xfId="28618" xr:uid="{00000000-0005-0000-0000-0000A3360000}"/>
    <cellStyle name="Millares 2 9 5 5 2 2 2" xfId="55751" xr:uid="{00000000-0005-0000-0000-0000A4360000}"/>
    <cellStyle name="Millares 2 9 5 5 2 3" xfId="42189" xr:uid="{00000000-0005-0000-0000-0000A5360000}"/>
    <cellStyle name="Millares 2 9 5 5 3" xfId="21837" xr:uid="{00000000-0005-0000-0000-0000A6360000}"/>
    <cellStyle name="Millares 2 9 5 5 3 2" xfId="48970" xr:uid="{00000000-0005-0000-0000-0000A7360000}"/>
    <cellStyle name="Millares 2 9 5 5 4" xfId="35408" xr:uid="{00000000-0005-0000-0000-0000A8360000}"/>
    <cellStyle name="Millares 2 9 5 6" xfId="11661" xr:uid="{00000000-0005-0000-0000-0000A9360000}"/>
    <cellStyle name="Millares 2 9 5 6 2" xfId="25229" xr:uid="{00000000-0005-0000-0000-0000AA360000}"/>
    <cellStyle name="Millares 2 9 5 6 2 2" xfId="52362" xr:uid="{00000000-0005-0000-0000-0000AB360000}"/>
    <cellStyle name="Millares 2 9 5 6 3" xfId="38800" xr:uid="{00000000-0005-0000-0000-0000AC360000}"/>
    <cellStyle name="Millares 2 9 5 7" xfId="18448" xr:uid="{00000000-0005-0000-0000-0000AD360000}"/>
    <cellStyle name="Millares 2 9 5 7 2" xfId="45581" xr:uid="{00000000-0005-0000-0000-0000AE360000}"/>
    <cellStyle name="Millares 2 9 5 8" xfId="32019" xr:uid="{00000000-0005-0000-0000-0000AF360000}"/>
    <cellStyle name="Millares 2 9 6" xfId="4657" xr:uid="{00000000-0005-0000-0000-0000B0360000}"/>
    <cellStyle name="Millares 2 9 6 2" xfId="4658" xr:uid="{00000000-0005-0000-0000-0000B1360000}"/>
    <cellStyle name="Millares 2 9 6 2 2" xfId="8267" xr:uid="{00000000-0005-0000-0000-0000B2360000}"/>
    <cellStyle name="Millares 2 9 6 2 2 2" xfId="15057" xr:uid="{00000000-0005-0000-0000-0000B3360000}"/>
    <cellStyle name="Millares 2 9 6 2 2 2 2" xfId="28625" xr:uid="{00000000-0005-0000-0000-0000B4360000}"/>
    <cellStyle name="Millares 2 9 6 2 2 2 2 2" xfId="55758" xr:uid="{00000000-0005-0000-0000-0000B5360000}"/>
    <cellStyle name="Millares 2 9 6 2 2 2 3" xfId="42196" xr:uid="{00000000-0005-0000-0000-0000B6360000}"/>
    <cellStyle name="Millares 2 9 6 2 2 3" xfId="21844" xr:uid="{00000000-0005-0000-0000-0000B7360000}"/>
    <cellStyle name="Millares 2 9 6 2 2 3 2" xfId="48977" xr:uid="{00000000-0005-0000-0000-0000B8360000}"/>
    <cellStyle name="Millares 2 9 6 2 2 4" xfId="35415" xr:uid="{00000000-0005-0000-0000-0000B9360000}"/>
    <cellStyle name="Millares 2 9 6 2 3" xfId="11668" xr:uid="{00000000-0005-0000-0000-0000BA360000}"/>
    <cellStyle name="Millares 2 9 6 2 3 2" xfId="25236" xr:uid="{00000000-0005-0000-0000-0000BB360000}"/>
    <cellStyle name="Millares 2 9 6 2 3 2 2" xfId="52369" xr:uid="{00000000-0005-0000-0000-0000BC360000}"/>
    <cellStyle name="Millares 2 9 6 2 3 3" xfId="38807" xr:uid="{00000000-0005-0000-0000-0000BD360000}"/>
    <cellStyle name="Millares 2 9 6 2 4" xfId="18455" xr:uid="{00000000-0005-0000-0000-0000BE360000}"/>
    <cellStyle name="Millares 2 9 6 2 4 2" xfId="45588" xr:uid="{00000000-0005-0000-0000-0000BF360000}"/>
    <cellStyle name="Millares 2 9 6 2 5" xfId="32026" xr:uid="{00000000-0005-0000-0000-0000C0360000}"/>
    <cellStyle name="Millares 2 9 6 3" xfId="4659" xr:uid="{00000000-0005-0000-0000-0000C1360000}"/>
    <cellStyle name="Millares 2 9 6 3 2" xfId="8268" xr:uid="{00000000-0005-0000-0000-0000C2360000}"/>
    <cellStyle name="Millares 2 9 6 3 2 2" xfId="15058" xr:uid="{00000000-0005-0000-0000-0000C3360000}"/>
    <cellStyle name="Millares 2 9 6 3 2 2 2" xfId="28626" xr:uid="{00000000-0005-0000-0000-0000C4360000}"/>
    <cellStyle name="Millares 2 9 6 3 2 2 2 2" xfId="55759" xr:uid="{00000000-0005-0000-0000-0000C5360000}"/>
    <cellStyle name="Millares 2 9 6 3 2 2 3" xfId="42197" xr:uid="{00000000-0005-0000-0000-0000C6360000}"/>
    <cellStyle name="Millares 2 9 6 3 2 3" xfId="21845" xr:uid="{00000000-0005-0000-0000-0000C7360000}"/>
    <cellStyle name="Millares 2 9 6 3 2 3 2" xfId="48978" xr:uid="{00000000-0005-0000-0000-0000C8360000}"/>
    <cellStyle name="Millares 2 9 6 3 2 4" xfId="35416" xr:uid="{00000000-0005-0000-0000-0000C9360000}"/>
    <cellStyle name="Millares 2 9 6 3 3" xfId="11669" xr:uid="{00000000-0005-0000-0000-0000CA360000}"/>
    <cellStyle name="Millares 2 9 6 3 3 2" xfId="25237" xr:uid="{00000000-0005-0000-0000-0000CB360000}"/>
    <cellStyle name="Millares 2 9 6 3 3 2 2" xfId="52370" xr:uid="{00000000-0005-0000-0000-0000CC360000}"/>
    <cellStyle name="Millares 2 9 6 3 3 3" xfId="38808" xr:uid="{00000000-0005-0000-0000-0000CD360000}"/>
    <cellStyle name="Millares 2 9 6 3 4" xfId="18456" xr:uid="{00000000-0005-0000-0000-0000CE360000}"/>
    <cellStyle name="Millares 2 9 6 3 4 2" xfId="45589" xr:uid="{00000000-0005-0000-0000-0000CF360000}"/>
    <cellStyle name="Millares 2 9 6 3 5" xfId="32027" xr:uid="{00000000-0005-0000-0000-0000D0360000}"/>
    <cellStyle name="Millares 2 9 6 4" xfId="8266" xr:uid="{00000000-0005-0000-0000-0000D1360000}"/>
    <cellStyle name="Millares 2 9 6 4 2" xfId="15056" xr:uid="{00000000-0005-0000-0000-0000D2360000}"/>
    <cellStyle name="Millares 2 9 6 4 2 2" xfId="28624" xr:uid="{00000000-0005-0000-0000-0000D3360000}"/>
    <cellStyle name="Millares 2 9 6 4 2 2 2" xfId="55757" xr:uid="{00000000-0005-0000-0000-0000D4360000}"/>
    <cellStyle name="Millares 2 9 6 4 2 3" xfId="42195" xr:uid="{00000000-0005-0000-0000-0000D5360000}"/>
    <cellStyle name="Millares 2 9 6 4 3" xfId="21843" xr:uid="{00000000-0005-0000-0000-0000D6360000}"/>
    <cellStyle name="Millares 2 9 6 4 3 2" xfId="48976" xr:uid="{00000000-0005-0000-0000-0000D7360000}"/>
    <cellStyle name="Millares 2 9 6 4 4" xfId="35414" xr:uid="{00000000-0005-0000-0000-0000D8360000}"/>
    <cellStyle name="Millares 2 9 6 5" xfId="11667" xr:uid="{00000000-0005-0000-0000-0000D9360000}"/>
    <cellStyle name="Millares 2 9 6 5 2" xfId="25235" xr:uid="{00000000-0005-0000-0000-0000DA360000}"/>
    <cellStyle name="Millares 2 9 6 5 2 2" xfId="52368" xr:uid="{00000000-0005-0000-0000-0000DB360000}"/>
    <cellStyle name="Millares 2 9 6 5 3" xfId="38806" xr:uid="{00000000-0005-0000-0000-0000DC360000}"/>
    <cellStyle name="Millares 2 9 6 6" xfId="18454" xr:uid="{00000000-0005-0000-0000-0000DD360000}"/>
    <cellStyle name="Millares 2 9 6 6 2" xfId="45587" xr:uid="{00000000-0005-0000-0000-0000DE360000}"/>
    <cellStyle name="Millares 2 9 6 7" xfId="32025" xr:uid="{00000000-0005-0000-0000-0000DF360000}"/>
    <cellStyle name="Millares 2 9 7" xfId="4660" xr:uid="{00000000-0005-0000-0000-0000E0360000}"/>
    <cellStyle name="Millares 2 9 7 2" xfId="4661" xr:uid="{00000000-0005-0000-0000-0000E1360000}"/>
    <cellStyle name="Millares 2 9 7 2 2" xfId="8270" xr:uid="{00000000-0005-0000-0000-0000E2360000}"/>
    <cellStyle name="Millares 2 9 7 2 2 2" xfId="15060" xr:uid="{00000000-0005-0000-0000-0000E3360000}"/>
    <cellStyle name="Millares 2 9 7 2 2 2 2" xfId="28628" xr:uid="{00000000-0005-0000-0000-0000E4360000}"/>
    <cellStyle name="Millares 2 9 7 2 2 2 2 2" xfId="55761" xr:uid="{00000000-0005-0000-0000-0000E5360000}"/>
    <cellStyle name="Millares 2 9 7 2 2 2 3" xfId="42199" xr:uid="{00000000-0005-0000-0000-0000E6360000}"/>
    <cellStyle name="Millares 2 9 7 2 2 3" xfId="21847" xr:uid="{00000000-0005-0000-0000-0000E7360000}"/>
    <cellStyle name="Millares 2 9 7 2 2 3 2" xfId="48980" xr:uid="{00000000-0005-0000-0000-0000E8360000}"/>
    <cellStyle name="Millares 2 9 7 2 2 4" xfId="35418" xr:uid="{00000000-0005-0000-0000-0000E9360000}"/>
    <cellStyle name="Millares 2 9 7 2 3" xfId="11671" xr:uid="{00000000-0005-0000-0000-0000EA360000}"/>
    <cellStyle name="Millares 2 9 7 2 3 2" xfId="25239" xr:uid="{00000000-0005-0000-0000-0000EB360000}"/>
    <cellStyle name="Millares 2 9 7 2 3 2 2" xfId="52372" xr:uid="{00000000-0005-0000-0000-0000EC360000}"/>
    <cellStyle name="Millares 2 9 7 2 3 3" xfId="38810" xr:uid="{00000000-0005-0000-0000-0000ED360000}"/>
    <cellStyle name="Millares 2 9 7 2 4" xfId="18458" xr:uid="{00000000-0005-0000-0000-0000EE360000}"/>
    <cellStyle name="Millares 2 9 7 2 4 2" xfId="45591" xr:uid="{00000000-0005-0000-0000-0000EF360000}"/>
    <cellStyle name="Millares 2 9 7 2 5" xfId="32029" xr:uid="{00000000-0005-0000-0000-0000F0360000}"/>
    <cellStyle name="Millares 2 9 7 3" xfId="4662" xr:uid="{00000000-0005-0000-0000-0000F1360000}"/>
    <cellStyle name="Millares 2 9 7 3 2" xfId="8271" xr:uid="{00000000-0005-0000-0000-0000F2360000}"/>
    <cellStyle name="Millares 2 9 7 3 2 2" xfId="15061" xr:uid="{00000000-0005-0000-0000-0000F3360000}"/>
    <cellStyle name="Millares 2 9 7 3 2 2 2" xfId="28629" xr:uid="{00000000-0005-0000-0000-0000F4360000}"/>
    <cellStyle name="Millares 2 9 7 3 2 2 2 2" xfId="55762" xr:uid="{00000000-0005-0000-0000-0000F5360000}"/>
    <cellStyle name="Millares 2 9 7 3 2 2 3" xfId="42200" xr:uid="{00000000-0005-0000-0000-0000F6360000}"/>
    <cellStyle name="Millares 2 9 7 3 2 3" xfId="21848" xr:uid="{00000000-0005-0000-0000-0000F7360000}"/>
    <cellStyle name="Millares 2 9 7 3 2 3 2" xfId="48981" xr:uid="{00000000-0005-0000-0000-0000F8360000}"/>
    <cellStyle name="Millares 2 9 7 3 2 4" xfId="35419" xr:uid="{00000000-0005-0000-0000-0000F9360000}"/>
    <cellStyle name="Millares 2 9 7 3 3" xfId="11672" xr:uid="{00000000-0005-0000-0000-0000FA360000}"/>
    <cellStyle name="Millares 2 9 7 3 3 2" xfId="25240" xr:uid="{00000000-0005-0000-0000-0000FB360000}"/>
    <cellStyle name="Millares 2 9 7 3 3 2 2" xfId="52373" xr:uid="{00000000-0005-0000-0000-0000FC360000}"/>
    <cellStyle name="Millares 2 9 7 3 3 3" xfId="38811" xr:uid="{00000000-0005-0000-0000-0000FD360000}"/>
    <cellStyle name="Millares 2 9 7 3 4" xfId="18459" xr:uid="{00000000-0005-0000-0000-0000FE360000}"/>
    <cellStyle name="Millares 2 9 7 3 4 2" xfId="45592" xr:uid="{00000000-0005-0000-0000-0000FF360000}"/>
    <cellStyle name="Millares 2 9 7 3 5" xfId="32030" xr:uid="{00000000-0005-0000-0000-000000370000}"/>
    <cellStyle name="Millares 2 9 7 4" xfId="8269" xr:uid="{00000000-0005-0000-0000-000001370000}"/>
    <cellStyle name="Millares 2 9 7 4 2" xfId="15059" xr:uid="{00000000-0005-0000-0000-000002370000}"/>
    <cellStyle name="Millares 2 9 7 4 2 2" xfId="28627" xr:uid="{00000000-0005-0000-0000-000003370000}"/>
    <cellStyle name="Millares 2 9 7 4 2 2 2" xfId="55760" xr:uid="{00000000-0005-0000-0000-000004370000}"/>
    <cellStyle name="Millares 2 9 7 4 2 3" xfId="42198" xr:uid="{00000000-0005-0000-0000-000005370000}"/>
    <cellStyle name="Millares 2 9 7 4 3" xfId="21846" xr:uid="{00000000-0005-0000-0000-000006370000}"/>
    <cellStyle name="Millares 2 9 7 4 3 2" xfId="48979" xr:uid="{00000000-0005-0000-0000-000007370000}"/>
    <cellStyle name="Millares 2 9 7 4 4" xfId="35417" xr:uid="{00000000-0005-0000-0000-000008370000}"/>
    <cellStyle name="Millares 2 9 7 5" xfId="11670" xr:uid="{00000000-0005-0000-0000-000009370000}"/>
    <cellStyle name="Millares 2 9 7 5 2" xfId="25238" xr:uid="{00000000-0005-0000-0000-00000A370000}"/>
    <cellStyle name="Millares 2 9 7 5 2 2" xfId="52371" xr:uid="{00000000-0005-0000-0000-00000B370000}"/>
    <cellStyle name="Millares 2 9 7 5 3" xfId="38809" xr:uid="{00000000-0005-0000-0000-00000C370000}"/>
    <cellStyle name="Millares 2 9 7 6" xfId="18457" xr:uid="{00000000-0005-0000-0000-00000D370000}"/>
    <cellStyle name="Millares 2 9 7 6 2" xfId="45590" xr:uid="{00000000-0005-0000-0000-00000E370000}"/>
    <cellStyle name="Millares 2 9 7 7" xfId="32028" xr:uid="{00000000-0005-0000-0000-00000F370000}"/>
    <cellStyle name="Millares 2 9 8" xfId="4663" xr:uid="{00000000-0005-0000-0000-000010370000}"/>
    <cellStyle name="Millares 2 9 8 2" xfId="8272" xr:uid="{00000000-0005-0000-0000-000011370000}"/>
    <cellStyle name="Millares 2 9 8 2 2" xfId="15062" xr:uid="{00000000-0005-0000-0000-000012370000}"/>
    <cellStyle name="Millares 2 9 8 2 2 2" xfId="28630" xr:uid="{00000000-0005-0000-0000-000013370000}"/>
    <cellStyle name="Millares 2 9 8 2 2 2 2" xfId="55763" xr:uid="{00000000-0005-0000-0000-000014370000}"/>
    <cellStyle name="Millares 2 9 8 2 2 3" xfId="42201" xr:uid="{00000000-0005-0000-0000-000015370000}"/>
    <cellStyle name="Millares 2 9 8 2 3" xfId="21849" xr:uid="{00000000-0005-0000-0000-000016370000}"/>
    <cellStyle name="Millares 2 9 8 2 3 2" xfId="48982" xr:uid="{00000000-0005-0000-0000-000017370000}"/>
    <cellStyle name="Millares 2 9 8 2 4" xfId="35420" xr:uid="{00000000-0005-0000-0000-000018370000}"/>
    <cellStyle name="Millares 2 9 8 3" xfId="11673" xr:uid="{00000000-0005-0000-0000-000019370000}"/>
    <cellStyle name="Millares 2 9 8 3 2" xfId="25241" xr:uid="{00000000-0005-0000-0000-00001A370000}"/>
    <cellStyle name="Millares 2 9 8 3 2 2" xfId="52374" xr:uid="{00000000-0005-0000-0000-00001B370000}"/>
    <cellStyle name="Millares 2 9 8 3 3" xfId="38812" xr:uid="{00000000-0005-0000-0000-00001C370000}"/>
    <cellStyle name="Millares 2 9 8 4" xfId="18460" xr:uid="{00000000-0005-0000-0000-00001D370000}"/>
    <cellStyle name="Millares 2 9 8 4 2" xfId="45593" xr:uid="{00000000-0005-0000-0000-00001E370000}"/>
    <cellStyle name="Millares 2 9 8 5" xfId="32031" xr:uid="{00000000-0005-0000-0000-00001F370000}"/>
    <cellStyle name="Millares 2 9 9" xfId="4664" xr:uid="{00000000-0005-0000-0000-000020370000}"/>
    <cellStyle name="Millares 2 9 9 2" xfId="8273" xr:uid="{00000000-0005-0000-0000-000021370000}"/>
    <cellStyle name="Millares 2 9 9 2 2" xfId="15063" xr:uid="{00000000-0005-0000-0000-000022370000}"/>
    <cellStyle name="Millares 2 9 9 2 2 2" xfId="28631" xr:uid="{00000000-0005-0000-0000-000023370000}"/>
    <cellStyle name="Millares 2 9 9 2 2 2 2" xfId="55764" xr:uid="{00000000-0005-0000-0000-000024370000}"/>
    <cellStyle name="Millares 2 9 9 2 2 3" xfId="42202" xr:uid="{00000000-0005-0000-0000-000025370000}"/>
    <cellStyle name="Millares 2 9 9 2 3" xfId="21850" xr:uid="{00000000-0005-0000-0000-000026370000}"/>
    <cellStyle name="Millares 2 9 9 2 3 2" xfId="48983" xr:uid="{00000000-0005-0000-0000-000027370000}"/>
    <cellStyle name="Millares 2 9 9 2 4" xfId="35421" xr:uid="{00000000-0005-0000-0000-000028370000}"/>
    <cellStyle name="Millares 2 9 9 3" xfId="11674" xr:uid="{00000000-0005-0000-0000-000029370000}"/>
    <cellStyle name="Millares 2 9 9 3 2" xfId="25242" xr:uid="{00000000-0005-0000-0000-00002A370000}"/>
    <cellStyle name="Millares 2 9 9 3 2 2" xfId="52375" xr:uid="{00000000-0005-0000-0000-00002B370000}"/>
    <cellStyle name="Millares 2 9 9 3 3" xfId="38813" xr:uid="{00000000-0005-0000-0000-00002C370000}"/>
    <cellStyle name="Millares 2 9 9 4" xfId="18461" xr:uid="{00000000-0005-0000-0000-00002D370000}"/>
    <cellStyle name="Millares 2 9 9 4 2" xfId="45594" xr:uid="{00000000-0005-0000-0000-00002E370000}"/>
    <cellStyle name="Millares 2 9 9 5" xfId="32032" xr:uid="{00000000-0005-0000-0000-00002F370000}"/>
    <cellStyle name="Millares 2_3.- Metrado SAN ANDRES (Ricardo Villavicencio)_ Rev.02" xfId="141" xr:uid="{00000000-0005-0000-0000-000030370000}"/>
    <cellStyle name="Millares 20" xfId="7457" xr:uid="{00000000-0005-0000-0000-000031370000}"/>
    <cellStyle name="Millares 204 6" xfId="36" xr:uid="{00000000-0005-0000-0000-000032370000}"/>
    <cellStyle name="Millares 21" xfId="10854" xr:uid="{00000000-0005-0000-0000-000033370000}"/>
    <cellStyle name="Millares 219 2" xfId="40" xr:uid="{00000000-0005-0000-0000-000034370000}"/>
    <cellStyle name="Millares 22" xfId="10858" xr:uid="{00000000-0005-0000-0000-000035370000}"/>
    <cellStyle name="Millares 22 2" xfId="58349" xr:uid="{00000000-0005-0000-0000-000036370000}"/>
    <cellStyle name="Millares 220" xfId="35" xr:uid="{00000000-0005-0000-0000-000037370000}"/>
    <cellStyle name="Millares 222" xfId="32" xr:uid="{00000000-0005-0000-0000-000038370000}"/>
    <cellStyle name="Millares 223" xfId="17" xr:uid="{00000000-0005-0000-0000-000039370000}"/>
    <cellStyle name="Millares 23" xfId="2444" xr:uid="{00000000-0005-0000-0000-00003A370000}"/>
    <cellStyle name="Millares 24" xfId="2445" xr:uid="{00000000-0005-0000-0000-00003B370000}"/>
    <cellStyle name="Millares 25" xfId="2446" xr:uid="{00000000-0005-0000-0000-00003C370000}"/>
    <cellStyle name="Millares 26" xfId="2447" xr:uid="{00000000-0005-0000-0000-00003D370000}"/>
    <cellStyle name="Millares 27" xfId="17642" xr:uid="{00000000-0005-0000-0000-00003E370000}"/>
    <cellStyle name="Millares 28" xfId="17648" xr:uid="{00000000-0005-0000-0000-00003F370000}"/>
    <cellStyle name="Millares 29" xfId="31216" xr:uid="{00000000-0005-0000-0000-000040370000}"/>
    <cellStyle name="Millares 3" xfId="64" xr:uid="{00000000-0005-0000-0000-000041370000}"/>
    <cellStyle name="Millares 3 2" xfId="80" xr:uid="{00000000-0005-0000-0000-000042370000}"/>
    <cellStyle name="Millares 3 2 2" xfId="202" xr:uid="{00000000-0005-0000-0000-000043370000}"/>
    <cellStyle name="Millares 3 2 2 2" xfId="4665" xr:uid="{00000000-0005-0000-0000-000044370000}"/>
    <cellStyle name="Millares 3 2 2 3" xfId="4666" xr:uid="{00000000-0005-0000-0000-000045370000}"/>
    <cellStyle name="Millares 3 2 2 3 2" xfId="4667" xr:uid="{00000000-0005-0000-0000-000046370000}"/>
    <cellStyle name="Millares 3 2 2 3 3" xfId="4668" xr:uid="{00000000-0005-0000-0000-000047370000}"/>
    <cellStyle name="Millares 3 2 3" xfId="4669" xr:uid="{00000000-0005-0000-0000-000048370000}"/>
    <cellStyle name="Millares 3 2 3 2 2" xfId="58378" xr:uid="{00000000-0005-0000-0000-000049370000}"/>
    <cellStyle name="Millares 3 2 3 3 3" xfId="11" xr:uid="{00000000-0005-0000-0000-00004A370000}"/>
    <cellStyle name="Millares 3 2 4" xfId="4670" xr:uid="{00000000-0005-0000-0000-00004B370000}"/>
    <cellStyle name="Millares 3 2 5" xfId="4671" xr:uid="{00000000-0005-0000-0000-00004C370000}"/>
    <cellStyle name="Millares 3 3" xfId="142" xr:uid="{00000000-0005-0000-0000-00004D370000}"/>
    <cellStyle name="Millares 3 3 2" xfId="4672" xr:uid="{00000000-0005-0000-0000-00004E370000}"/>
    <cellStyle name="Millares 3 3 3" xfId="4673" xr:uid="{00000000-0005-0000-0000-00004F370000}"/>
    <cellStyle name="Millares 3 3 4" xfId="4674" xr:uid="{00000000-0005-0000-0000-000050370000}"/>
    <cellStyle name="Millares 3 3 4 2" xfId="4675" xr:uid="{00000000-0005-0000-0000-000051370000}"/>
    <cellStyle name="Millares 3 4" xfId="2448" xr:uid="{00000000-0005-0000-0000-000052370000}"/>
    <cellStyle name="Millares 3 5" xfId="2449" xr:uid="{00000000-0005-0000-0000-000053370000}"/>
    <cellStyle name="Millares 3 5 2" xfId="4676" xr:uid="{00000000-0005-0000-0000-000054370000}"/>
    <cellStyle name="Millares 3 6" xfId="2450" xr:uid="{00000000-0005-0000-0000-000055370000}"/>
    <cellStyle name="Millares 3 7" xfId="4677" xr:uid="{00000000-0005-0000-0000-000056370000}"/>
    <cellStyle name="Millares 3 8" xfId="4678" xr:uid="{00000000-0005-0000-0000-000057370000}"/>
    <cellStyle name="Millares 30" xfId="58350" xr:uid="{00000000-0005-0000-0000-000058370000}"/>
    <cellStyle name="Millares 31" xfId="2451" xr:uid="{00000000-0005-0000-0000-000059370000}"/>
    <cellStyle name="Millares 32" xfId="2452" xr:uid="{00000000-0005-0000-0000-00005A370000}"/>
    <cellStyle name="Millares 33" xfId="2453" xr:uid="{00000000-0005-0000-0000-00005B370000}"/>
    <cellStyle name="Millares 34" xfId="2454" xr:uid="{00000000-0005-0000-0000-00005C370000}"/>
    <cellStyle name="Millares 35" xfId="2455" xr:uid="{00000000-0005-0000-0000-00005D370000}"/>
    <cellStyle name="Millares 36" xfId="2456" xr:uid="{00000000-0005-0000-0000-00005E370000}"/>
    <cellStyle name="Millares 4" xfId="65" xr:uid="{00000000-0005-0000-0000-00005F370000}"/>
    <cellStyle name="Millares 4 10" xfId="2457" xr:uid="{00000000-0005-0000-0000-000060370000}"/>
    <cellStyle name="Millares 4 11" xfId="2458" xr:uid="{00000000-0005-0000-0000-000061370000}"/>
    <cellStyle name="Millares 4 12" xfId="2459" xr:uid="{00000000-0005-0000-0000-000062370000}"/>
    <cellStyle name="Millares 4 13" xfId="2460" xr:uid="{00000000-0005-0000-0000-000063370000}"/>
    <cellStyle name="Millares 4 13 2" xfId="2461" xr:uid="{00000000-0005-0000-0000-000064370000}"/>
    <cellStyle name="Millares 4 13 2 2" xfId="7464" xr:uid="{00000000-0005-0000-0000-000065370000}"/>
    <cellStyle name="Millares 4 13 2 2 2" xfId="14254" xr:uid="{00000000-0005-0000-0000-000066370000}"/>
    <cellStyle name="Millares 4 13 2 2 2 2" xfId="27822" xr:uid="{00000000-0005-0000-0000-000067370000}"/>
    <cellStyle name="Millares 4 13 2 2 2 2 2" xfId="54955" xr:uid="{00000000-0005-0000-0000-000068370000}"/>
    <cellStyle name="Millares 4 13 2 2 2 3" xfId="41393" xr:uid="{00000000-0005-0000-0000-000069370000}"/>
    <cellStyle name="Millares 4 13 2 2 3" xfId="21041" xr:uid="{00000000-0005-0000-0000-00006A370000}"/>
    <cellStyle name="Millares 4 13 2 2 3 2" xfId="48174" xr:uid="{00000000-0005-0000-0000-00006B370000}"/>
    <cellStyle name="Millares 4 13 2 2 4" xfId="34612" xr:uid="{00000000-0005-0000-0000-00006C370000}"/>
    <cellStyle name="Millares 4 13 2 3" xfId="10865" xr:uid="{00000000-0005-0000-0000-00006D370000}"/>
    <cellStyle name="Millares 4 13 2 3 2" xfId="24433" xr:uid="{00000000-0005-0000-0000-00006E370000}"/>
    <cellStyle name="Millares 4 13 2 3 2 2" xfId="51566" xr:uid="{00000000-0005-0000-0000-00006F370000}"/>
    <cellStyle name="Millares 4 13 2 3 3" xfId="38004" xr:uid="{00000000-0005-0000-0000-000070370000}"/>
    <cellStyle name="Millares 4 13 2 4" xfId="17652" xr:uid="{00000000-0005-0000-0000-000071370000}"/>
    <cellStyle name="Millares 4 13 2 4 2" xfId="44785" xr:uid="{00000000-0005-0000-0000-000072370000}"/>
    <cellStyle name="Millares 4 13 2 5" xfId="31223" xr:uid="{00000000-0005-0000-0000-000073370000}"/>
    <cellStyle name="Millares 4 13 3" xfId="7463" xr:uid="{00000000-0005-0000-0000-000074370000}"/>
    <cellStyle name="Millares 4 13 3 2" xfId="14253" xr:uid="{00000000-0005-0000-0000-000075370000}"/>
    <cellStyle name="Millares 4 13 3 2 2" xfId="27821" xr:uid="{00000000-0005-0000-0000-000076370000}"/>
    <cellStyle name="Millares 4 13 3 2 2 2" xfId="54954" xr:uid="{00000000-0005-0000-0000-000077370000}"/>
    <cellStyle name="Millares 4 13 3 2 3" xfId="41392" xr:uid="{00000000-0005-0000-0000-000078370000}"/>
    <cellStyle name="Millares 4 13 3 3" xfId="21040" xr:uid="{00000000-0005-0000-0000-000079370000}"/>
    <cellStyle name="Millares 4 13 3 3 2" xfId="48173" xr:uid="{00000000-0005-0000-0000-00007A370000}"/>
    <cellStyle name="Millares 4 13 3 4" xfId="34611" xr:uid="{00000000-0005-0000-0000-00007B370000}"/>
    <cellStyle name="Millares 4 13 4" xfId="10864" xr:uid="{00000000-0005-0000-0000-00007C370000}"/>
    <cellStyle name="Millares 4 13 4 2" xfId="24432" xr:uid="{00000000-0005-0000-0000-00007D370000}"/>
    <cellStyle name="Millares 4 13 4 2 2" xfId="51565" xr:uid="{00000000-0005-0000-0000-00007E370000}"/>
    <cellStyle name="Millares 4 13 4 3" xfId="38003" xr:uid="{00000000-0005-0000-0000-00007F370000}"/>
    <cellStyle name="Millares 4 13 5" xfId="17651" xr:uid="{00000000-0005-0000-0000-000080370000}"/>
    <cellStyle name="Millares 4 13 5 2" xfId="44784" xr:uid="{00000000-0005-0000-0000-000081370000}"/>
    <cellStyle name="Millares 4 13 6" xfId="31222" xr:uid="{00000000-0005-0000-0000-000082370000}"/>
    <cellStyle name="Millares 4 14" xfId="2462" xr:uid="{00000000-0005-0000-0000-000083370000}"/>
    <cellStyle name="Millares 4 14 2" xfId="7465" xr:uid="{00000000-0005-0000-0000-000084370000}"/>
    <cellStyle name="Millares 4 14 2 2" xfId="14255" xr:uid="{00000000-0005-0000-0000-000085370000}"/>
    <cellStyle name="Millares 4 14 2 2 2" xfId="27823" xr:uid="{00000000-0005-0000-0000-000086370000}"/>
    <cellStyle name="Millares 4 14 2 2 2 2" xfId="54956" xr:uid="{00000000-0005-0000-0000-000087370000}"/>
    <cellStyle name="Millares 4 14 2 2 3" xfId="41394" xr:uid="{00000000-0005-0000-0000-000088370000}"/>
    <cellStyle name="Millares 4 14 2 3" xfId="21042" xr:uid="{00000000-0005-0000-0000-000089370000}"/>
    <cellStyle name="Millares 4 14 2 3 2" xfId="48175" xr:uid="{00000000-0005-0000-0000-00008A370000}"/>
    <cellStyle name="Millares 4 14 2 4" xfId="34613" xr:uid="{00000000-0005-0000-0000-00008B370000}"/>
    <cellStyle name="Millares 4 14 3" xfId="10866" xr:uid="{00000000-0005-0000-0000-00008C370000}"/>
    <cellStyle name="Millares 4 14 3 2" xfId="24434" xr:uid="{00000000-0005-0000-0000-00008D370000}"/>
    <cellStyle name="Millares 4 14 3 2 2" xfId="51567" xr:uid="{00000000-0005-0000-0000-00008E370000}"/>
    <cellStyle name="Millares 4 14 3 3" xfId="38005" xr:uid="{00000000-0005-0000-0000-00008F370000}"/>
    <cellStyle name="Millares 4 14 4" xfId="17653" xr:uid="{00000000-0005-0000-0000-000090370000}"/>
    <cellStyle name="Millares 4 14 4 2" xfId="44786" xr:uid="{00000000-0005-0000-0000-000091370000}"/>
    <cellStyle name="Millares 4 14 5" xfId="31224" xr:uid="{00000000-0005-0000-0000-000092370000}"/>
    <cellStyle name="Millares 4 2" xfId="143" xr:uid="{00000000-0005-0000-0000-000093370000}"/>
    <cellStyle name="Millares 4 2 2" xfId="2463" xr:uid="{00000000-0005-0000-0000-000094370000}"/>
    <cellStyle name="Millares 4 2 2 2" xfId="7466" xr:uid="{00000000-0005-0000-0000-000095370000}"/>
    <cellStyle name="Millares 4 2 2 2 2" xfId="14256" xr:uid="{00000000-0005-0000-0000-000096370000}"/>
    <cellStyle name="Millares 4 2 2 2 2 2" xfId="27824" xr:uid="{00000000-0005-0000-0000-000097370000}"/>
    <cellStyle name="Millares 4 2 2 2 2 2 2" xfId="54957" xr:uid="{00000000-0005-0000-0000-000098370000}"/>
    <cellStyle name="Millares 4 2 2 2 2 3" xfId="41395" xr:uid="{00000000-0005-0000-0000-000099370000}"/>
    <cellStyle name="Millares 4 2 2 2 3" xfId="21043" xr:uid="{00000000-0005-0000-0000-00009A370000}"/>
    <cellStyle name="Millares 4 2 2 2 3 2" xfId="48176" xr:uid="{00000000-0005-0000-0000-00009B370000}"/>
    <cellStyle name="Millares 4 2 2 2 4" xfId="34614" xr:uid="{00000000-0005-0000-0000-00009C370000}"/>
    <cellStyle name="Millares 4 2 2 3" xfId="10867" xr:uid="{00000000-0005-0000-0000-00009D370000}"/>
    <cellStyle name="Millares 4 2 2 3 2" xfId="24435" xr:uid="{00000000-0005-0000-0000-00009E370000}"/>
    <cellStyle name="Millares 4 2 2 3 2 2" xfId="51568" xr:uid="{00000000-0005-0000-0000-00009F370000}"/>
    <cellStyle name="Millares 4 2 2 3 3" xfId="38006" xr:uid="{00000000-0005-0000-0000-0000A0370000}"/>
    <cellStyle name="Millares 4 2 2 4" xfId="17654" xr:uid="{00000000-0005-0000-0000-0000A1370000}"/>
    <cellStyle name="Millares 4 2 2 4 2" xfId="44787" xr:uid="{00000000-0005-0000-0000-0000A2370000}"/>
    <cellStyle name="Millares 4 2 2 5" xfId="31225" xr:uid="{00000000-0005-0000-0000-0000A3370000}"/>
    <cellStyle name="Millares 4 3" xfId="144" xr:uid="{00000000-0005-0000-0000-0000A4370000}"/>
    <cellStyle name="Millares 4 3 2" xfId="2464" xr:uid="{00000000-0005-0000-0000-0000A5370000}"/>
    <cellStyle name="Millares 4 3 2 2" xfId="7467" xr:uid="{00000000-0005-0000-0000-0000A6370000}"/>
    <cellStyle name="Millares 4 3 2 2 2" xfId="14257" xr:uid="{00000000-0005-0000-0000-0000A7370000}"/>
    <cellStyle name="Millares 4 3 2 2 2 2" xfId="27825" xr:uid="{00000000-0005-0000-0000-0000A8370000}"/>
    <cellStyle name="Millares 4 3 2 2 2 2 2" xfId="54958" xr:uid="{00000000-0005-0000-0000-0000A9370000}"/>
    <cellStyle name="Millares 4 3 2 2 2 3" xfId="41396" xr:uid="{00000000-0005-0000-0000-0000AA370000}"/>
    <cellStyle name="Millares 4 3 2 2 3" xfId="21044" xr:uid="{00000000-0005-0000-0000-0000AB370000}"/>
    <cellStyle name="Millares 4 3 2 2 3 2" xfId="48177" xr:uid="{00000000-0005-0000-0000-0000AC370000}"/>
    <cellStyle name="Millares 4 3 2 2 4" xfId="34615" xr:uid="{00000000-0005-0000-0000-0000AD370000}"/>
    <cellStyle name="Millares 4 3 2 3" xfId="10868" xr:uid="{00000000-0005-0000-0000-0000AE370000}"/>
    <cellStyle name="Millares 4 3 2 3 2" xfId="24436" xr:uid="{00000000-0005-0000-0000-0000AF370000}"/>
    <cellStyle name="Millares 4 3 2 3 2 2" xfId="51569" xr:uid="{00000000-0005-0000-0000-0000B0370000}"/>
    <cellStyle name="Millares 4 3 2 3 3" xfId="38007" xr:uid="{00000000-0005-0000-0000-0000B1370000}"/>
    <cellStyle name="Millares 4 3 2 4" xfId="17655" xr:uid="{00000000-0005-0000-0000-0000B2370000}"/>
    <cellStyle name="Millares 4 3 2 4 2" xfId="44788" xr:uid="{00000000-0005-0000-0000-0000B3370000}"/>
    <cellStyle name="Millares 4 3 2 5" xfId="31226" xr:uid="{00000000-0005-0000-0000-0000B4370000}"/>
    <cellStyle name="Millares 4 4" xfId="194" xr:uid="{00000000-0005-0000-0000-0000B5370000}"/>
    <cellStyle name="Millares 4 4 2" xfId="2465" xr:uid="{00000000-0005-0000-0000-0000B6370000}"/>
    <cellStyle name="Millares 4 4 2 2" xfId="7468" xr:uid="{00000000-0005-0000-0000-0000B7370000}"/>
    <cellStyle name="Millares 4 4 2 2 2" xfId="14258" xr:uid="{00000000-0005-0000-0000-0000B8370000}"/>
    <cellStyle name="Millares 4 4 2 2 2 2" xfId="27826" xr:uid="{00000000-0005-0000-0000-0000B9370000}"/>
    <cellStyle name="Millares 4 4 2 2 2 2 2" xfId="54959" xr:uid="{00000000-0005-0000-0000-0000BA370000}"/>
    <cellStyle name="Millares 4 4 2 2 2 3" xfId="41397" xr:uid="{00000000-0005-0000-0000-0000BB370000}"/>
    <cellStyle name="Millares 4 4 2 2 3" xfId="21045" xr:uid="{00000000-0005-0000-0000-0000BC370000}"/>
    <cellStyle name="Millares 4 4 2 2 3 2" xfId="48178" xr:uid="{00000000-0005-0000-0000-0000BD370000}"/>
    <cellStyle name="Millares 4 4 2 2 4" xfId="34616" xr:uid="{00000000-0005-0000-0000-0000BE370000}"/>
    <cellStyle name="Millares 4 4 2 3" xfId="10869" xr:uid="{00000000-0005-0000-0000-0000BF370000}"/>
    <cellStyle name="Millares 4 4 2 3 2" xfId="24437" xr:uid="{00000000-0005-0000-0000-0000C0370000}"/>
    <cellStyle name="Millares 4 4 2 3 2 2" xfId="51570" xr:uid="{00000000-0005-0000-0000-0000C1370000}"/>
    <cellStyle name="Millares 4 4 2 3 3" xfId="38008" xr:uid="{00000000-0005-0000-0000-0000C2370000}"/>
    <cellStyle name="Millares 4 4 2 4" xfId="17656" xr:uid="{00000000-0005-0000-0000-0000C3370000}"/>
    <cellStyle name="Millares 4 4 2 4 2" xfId="44789" xr:uid="{00000000-0005-0000-0000-0000C4370000}"/>
    <cellStyle name="Millares 4 4 2 5" xfId="31227" xr:uid="{00000000-0005-0000-0000-0000C5370000}"/>
    <cellStyle name="Millares 4 5" xfId="2466" xr:uid="{00000000-0005-0000-0000-0000C6370000}"/>
    <cellStyle name="Millares 4 5 2" xfId="2467" xr:uid="{00000000-0005-0000-0000-0000C7370000}"/>
    <cellStyle name="Millares 4 5 2 2" xfId="7470" xr:uid="{00000000-0005-0000-0000-0000C8370000}"/>
    <cellStyle name="Millares 4 5 2 2 2" xfId="14260" xr:uid="{00000000-0005-0000-0000-0000C9370000}"/>
    <cellStyle name="Millares 4 5 2 2 2 2" xfId="27828" xr:uid="{00000000-0005-0000-0000-0000CA370000}"/>
    <cellStyle name="Millares 4 5 2 2 2 2 2" xfId="54961" xr:uid="{00000000-0005-0000-0000-0000CB370000}"/>
    <cellStyle name="Millares 4 5 2 2 2 3" xfId="41399" xr:uid="{00000000-0005-0000-0000-0000CC370000}"/>
    <cellStyle name="Millares 4 5 2 2 3" xfId="21047" xr:uid="{00000000-0005-0000-0000-0000CD370000}"/>
    <cellStyle name="Millares 4 5 2 2 3 2" xfId="48180" xr:uid="{00000000-0005-0000-0000-0000CE370000}"/>
    <cellStyle name="Millares 4 5 2 2 4" xfId="34618" xr:uid="{00000000-0005-0000-0000-0000CF370000}"/>
    <cellStyle name="Millares 4 5 2 3" xfId="10871" xr:uid="{00000000-0005-0000-0000-0000D0370000}"/>
    <cellStyle name="Millares 4 5 2 3 2" xfId="24439" xr:uid="{00000000-0005-0000-0000-0000D1370000}"/>
    <cellStyle name="Millares 4 5 2 3 2 2" xfId="51572" xr:uid="{00000000-0005-0000-0000-0000D2370000}"/>
    <cellStyle name="Millares 4 5 2 3 3" xfId="38010" xr:uid="{00000000-0005-0000-0000-0000D3370000}"/>
    <cellStyle name="Millares 4 5 2 4" xfId="17658" xr:uid="{00000000-0005-0000-0000-0000D4370000}"/>
    <cellStyle name="Millares 4 5 2 4 2" xfId="44791" xr:uid="{00000000-0005-0000-0000-0000D5370000}"/>
    <cellStyle name="Millares 4 5 2 5" xfId="31229" xr:uid="{00000000-0005-0000-0000-0000D6370000}"/>
    <cellStyle name="Millares 4 5 3" xfId="7469" xr:uid="{00000000-0005-0000-0000-0000D7370000}"/>
    <cellStyle name="Millares 4 5 3 2" xfId="14259" xr:uid="{00000000-0005-0000-0000-0000D8370000}"/>
    <cellStyle name="Millares 4 5 3 2 2" xfId="27827" xr:uid="{00000000-0005-0000-0000-0000D9370000}"/>
    <cellStyle name="Millares 4 5 3 2 2 2" xfId="54960" xr:uid="{00000000-0005-0000-0000-0000DA370000}"/>
    <cellStyle name="Millares 4 5 3 2 3" xfId="41398" xr:uid="{00000000-0005-0000-0000-0000DB370000}"/>
    <cellStyle name="Millares 4 5 3 3" xfId="21046" xr:uid="{00000000-0005-0000-0000-0000DC370000}"/>
    <cellStyle name="Millares 4 5 3 3 2" xfId="48179" xr:uid="{00000000-0005-0000-0000-0000DD370000}"/>
    <cellStyle name="Millares 4 5 3 4" xfId="34617" xr:uid="{00000000-0005-0000-0000-0000DE370000}"/>
    <cellStyle name="Millares 4 5 4" xfId="10870" xr:uid="{00000000-0005-0000-0000-0000DF370000}"/>
    <cellStyle name="Millares 4 5 4 2" xfId="24438" xr:uid="{00000000-0005-0000-0000-0000E0370000}"/>
    <cellStyle name="Millares 4 5 4 2 2" xfId="51571" xr:uid="{00000000-0005-0000-0000-0000E1370000}"/>
    <cellStyle name="Millares 4 5 4 3" xfId="38009" xr:uid="{00000000-0005-0000-0000-0000E2370000}"/>
    <cellStyle name="Millares 4 5 5" xfId="17657" xr:uid="{00000000-0005-0000-0000-0000E3370000}"/>
    <cellStyle name="Millares 4 5 5 2" xfId="44790" xr:uid="{00000000-0005-0000-0000-0000E4370000}"/>
    <cellStyle name="Millares 4 5 6" xfId="31228" xr:uid="{00000000-0005-0000-0000-0000E5370000}"/>
    <cellStyle name="Millares 4 6" xfId="2468" xr:uid="{00000000-0005-0000-0000-0000E6370000}"/>
    <cellStyle name="Millares 4 7" xfId="2469" xr:uid="{00000000-0005-0000-0000-0000E7370000}"/>
    <cellStyle name="Millares 4 8" xfId="2470" xr:uid="{00000000-0005-0000-0000-0000E8370000}"/>
    <cellStyle name="Millares 4 9" xfId="2471" xr:uid="{00000000-0005-0000-0000-0000E9370000}"/>
    <cellStyle name="Millares 40" xfId="2472" xr:uid="{00000000-0005-0000-0000-0000EA370000}"/>
    <cellStyle name="Millares 41" xfId="2473" xr:uid="{00000000-0005-0000-0000-0000EB370000}"/>
    <cellStyle name="Millares 42" xfId="2474" xr:uid="{00000000-0005-0000-0000-0000EC370000}"/>
    <cellStyle name="Millares 43" xfId="2475" xr:uid="{00000000-0005-0000-0000-0000ED370000}"/>
    <cellStyle name="Millares 5" xfId="13" xr:uid="{00000000-0005-0000-0000-0000EE370000}"/>
    <cellStyle name="Millares 5 10" xfId="4679" xr:uid="{00000000-0005-0000-0000-0000EF370000}"/>
    <cellStyle name="Millares 5 10 2" xfId="8274" xr:uid="{00000000-0005-0000-0000-0000F0370000}"/>
    <cellStyle name="Millares 5 10 2 2" xfId="15064" xr:uid="{00000000-0005-0000-0000-0000F1370000}"/>
    <cellStyle name="Millares 5 10 2 2 2" xfId="28632" xr:uid="{00000000-0005-0000-0000-0000F2370000}"/>
    <cellStyle name="Millares 5 10 2 2 2 2" xfId="55765" xr:uid="{00000000-0005-0000-0000-0000F3370000}"/>
    <cellStyle name="Millares 5 10 2 2 3" xfId="42203" xr:uid="{00000000-0005-0000-0000-0000F4370000}"/>
    <cellStyle name="Millares 5 10 2 3" xfId="21851" xr:uid="{00000000-0005-0000-0000-0000F5370000}"/>
    <cellStyle name="Millares 5 10 2 3 2" xfId="48984" xr:uid="{00000000-0005-0000-0000-0000F6370000}"/>
    <cellStyle name="Millares 5 10 2 4" xfId="35422" xr:uid="{00000000-0005-0000-0000-0000F7370000}"/>
    <cellStyle name="Millares 5 10 3" xfId="11675" xr:uid="{00000000-0005-0000-0000-0000F8370000}"/>
    <cellStyle name="Millares 5 10 3 2" xfId="25243" xr:uid="{00000000-0005-0000-0000-0000F9370000}"/>
    <cellStyle name="Millares 5 10 3 2 2" xfId="52376" xr:uid="{00000000-0005-0000-0000-0000FA370000}"/>
    <cellStyle name="Millares 5 10 3 3" xfId="38814" xr:uid="{00000000-0005-0000-0000-0000FB370000}"/>
    <cellStyle name="Millares 5 10 4" xfId="18462" xr:uid="{00000000-0005-0000-0000-0000FC370000}"/>
    <cellStyle name="Millares 5 10 4 2" xfId="45595" xr:uid="{00000000-0005-0000-0000-0000FD370000}"/>
    <cellStyle name="Millares 5 10 5" xfId="32033" xr:uid="{00000000-0005-0000-0000-0000FE370000}"/>
    <cellStyle name="Millares 5 11" xfId="4680" xr:uid="{00000000-0005-0000-0000-0000FF370000}"/>
    <cellStyle name="Millares 5 11 2" xfId="8275" xr:uid="{00000000-0005-0000-0000-000000380000}"/>
    <cellStyle name="Millares 5 11 2 2" xfId="15065" xr:uid="{00000000-0005-0000-0000-000001380000}"/>
    <cellStyle name="Millares 5 11 2 2 2" xfId="28633" xr:uid="{00000000-0005-0000-0000-000002380000}"/>
    <cellStyle name="Millares 5 11 2 2 2 2" xfId="55766" xr:uid="{00000000-0005-0000-0000-000003380000}"/>
    <cellStyle name="Millares 5 11 2 2 3" xfId="42204" xr:uid="{00000000-0005-0000-0000-000004380000}"/>
    <cellStyle name="Millares 5 11 2 3" xfId="21852" xr:uid="{00000000-0005-0000-0000-000005380000}"/>
    <cellStyle name="Millares 5 11 2 3 2" xfId="48985" xr:uid="{00000000-0005-0000-0000-000006380000}"/>
    <cellStyle name="Millares 5 11 2 4" xfId="35423" xr:uid="{00000000-0005-0000-0000-000007380000}"/>
    <cellStyle name="Millares 5 11 3" xfId="11676" xr:uid="{00000000-0005-0000-0000-000008380000}"/>
    <cellStyle name="Millares 5 11 3 2" xfId="25244" xr:uid="{00000000-0005-0000-0000-000009380000}"/>
    <cellStyle name="Millares 5 11 3 2 2" xfId="52377" xr:uid="{00000000-0005-0000-0000-00000A380000}"/>
    <cellStyle name="Millares 5 11 3 3" xfId="38815" xr:uid="{00000000-0005-0000-0000-00000B380000}"/>
    <cellStyle name="Millares 5 11 4" xfId="18463" xr:uid="{00000000-0005-0000-0000-00000C380000}"/>
    <cellStyle name="Millares 5 11 4 2" xfId="45596" xr:uid="{00000000-0005-0000-0000-00000D380000}"/>
    <cellStyle name="Millares 5 11 5" xfId="32034" xr:uid="{00000000-0005-0000-0000-00000E380000}"/>
    <cellStyle name="Millares 5 12" xfId="77" xr:uid="{00000000-0005-0000-0000-00000F380000}"/>
    <cellStyle name="Millares 5 2" xfId="145" xr:uid="{00000000-0005-0000-0000-000010380000}"/>
    <cellStyle name="Millares 5 3" xfId="146" xr:uid="{00000000-0005-0000-0000-000011380000}"/>
    <cellStyle name="Millares 5 3 2" xfId="199" xr:uid="{00000000-0005-0000-0000-000012380000}"/>
    <cellStyle name="Millares 5 3 2 2" xfId="4681" xr:uid="{00000000-0005-0000-0000-000013380000}"/>
    <cellStyle name="Millares 5 3 2 2 2" xfId="4682" xr:uid="{00000000-0005-0000-0000-000014380000}"/>
    <cellStyle name="Millares 5 3 2 2 2 2" xfId="4683" xr:uid="{00000000-0005-0000-0000-000015380000}"/>
    <cellStyle name="Millares 5 3 2 2 2 2 2" xfId="8278" xr:uid="{00000000-0005-0000-0000-000016380000}"/>
    <cellStyle name="Millares 5 3 2 2 2 2 2 2" xfId="15068" xr:uid="{00000000-0005-0000-0000-000017380000}"/>
    <cellStyle name="Millares 5 3 2 2 2 2 2 2 2" xfId="28636" xr:uid="{00000000-0005-0000-0000-000018380000}"/>
    <cellStyle name="Millares 5 3 2 2 2 2 2 2 2 2" xfId="55769" xr:uid="{00000000-0005-0000-0000-000019380000}"/>
    <cellStyle name="Millares 5 3 2 2 2 2 2 2 3" xfId="42207" xr:uid="{00000000-0005-0000-0000-00001A380000}"/>
    <cellStyle name="Millares 5 3 2 2 2 2 2 3" xfId="21855" xr:uid="{00000000-0005-0000-0000-00001B380000}"/>
    <cellStyle name="Millares 5 3 2 2 2 2 2 3 2" xfId="48988" xr:uid="{00000000-0005-0000-0000-00001C380000}"/>
    <cellStyle name="Millares 5 3 2 2 2 2 2 4" xfId="35426" xr:uid="{00000000-0005-0000-0000-00001D380000}"/>
    <cellStyle name="Millares 5 3 2 2 2 2 3" xfId="11679" xr:uid="{00000000-0005-0000-0000-00001E380000}"/>
    <cellStyle name="Millares 5 3 2 2 2 2 3 2" xfId="25247" xr:uid="{00000000-0005-0000-0000-00001F380000}"/>
    <cellStyle name="Millares 5 3 2 2 2 2 3 2 2" xfId="52380" xr:uid="{00000000-0005-0000-0000-000020380000}"/>
    <cellStyle name="Millares 5 3 2 2 2 2 3 3" xfId="38818" xr:uid="{00000000-0005-0000-0000-000021380000}"/>
    <cellStyle name="Millares 5 3 2 2 2 2 4" xfId="18466" xr:uid="{00000000-0005-0000-0000-000022380000}"/>
    <cellStyle name="Millares 5 3 2 2 2 2 4 2" xfId="45599" xr:uid="{00000000-0005-0000-0000-000023380000}"/>
    <cellStyle name="Millares 5 3 2 2 2 2 5" xfId="32037" xr:uid="{00000000-0005-0000-0000-000024380000}"/>
    <cellStyle name="Millares 5 3 2 2 2 3" xfId="4684" xr:uid="{00000000-0005-0000-0000-000025380000}"/>
    <cellStyle name="Millares 5 3 2 2 2 3 2" xfId="8279" xr:uid="{00000000-0005-0000-0000-000026380000}"/>
    <cellStyle name="Millares 5 3 2 2 2 3 2 2" xfId="15069" xr:uid="{00000000-0005-0000-0000-000027380000}"/>
    <cellStyle name="Millares 5 3 2 2 2 3 2 2 2" xfId="28637" xr:uid="{00000000-0005-0000-0000-000028380000}"/>
    <cellStyle name="Millares 5 3 2 2 2 3 2 2 2 2" xfId="55770" xr:uid="{00000000-0005-0000-0000-000029380000}"/>
    <cellStyle name="Millares 5 3 2 2 2 3 2 2 3" xfId="42208" xr:uid="{00000000-0005-0000-0000-00002A380000}"/>
    <cellStyle name="Millares 5 3 2 2 2 3 2 3" xfId="21856" xr:uid="{00000000-0005-0000-0000-00002B380000}"/>
    <cellStyle name="Millares 5 3 2 2 2 3 2 3 2" xfId="48989" xr:uid="{00000000-0005-0000-0000-00002C380000}"/>
    <cellStyle name="Millares 5 3 2 2 2 3 2 4" xfId="35427" xr:uid="{00000000-0005-0000-0000-00002D380000}"/>
    <cellStyle name="Millares 5 3 2 2 2 3 3" xfId="11680" xr:uid="{00000000-0005-0000-0000-00002E380000}"/>
    <cellStyle name="Millares 5 3 2 2 2 3 3 2" xfId="25248" xr:uid="{00000000-0005-0000-0000-00002F380000}"/>
    <cellStyle name="Millares 5 3 2 2 2 3 3 2 2" xfId="52381" xr:uid="{00000000-0005-0000-0000-000030380000}"/>
    <cellStyle name="Millares 5 3 2 2 2 3 3 3" xfId="38819" xr:uid="{00000000-0005-0000-0000-000031380000}"/>
    <cellStyle name="Millares 5 3 2 2 2 3 4" xfId="18467" xr:uid="{00000000-0005-0000-0000-000032380000}"/>
    <cellStyle name="Millares 5 3 2 2 2 3 4 2" xfId="45600" xr:uid="{00000000-0005-0000-0000-000033380000}"/>
    <cellStyle name="Millares 5 3 2 2 2 3 5" xfId="32038" xr:uid="{00000000-0005-0000-0000-000034380000}"/>
    <cellStyle name="Millares 5 3 2 2 2 4" xfId="8277" xr:uid="{00000000-0005-0000-0000-000035380000}"/>
    <cellStyle name="Millares 5 3 2 2 2 4 2" xfId="15067" xr:uid="{00000000-0005-0000-0000-000036380000}"/>
    <cellStyle name="Millares 5 3 2 2 2 4 2 2" xfId="28635" xr:uid="{00000000-0005-0000-0000-000037380000}"/>
    <cellStyle name="Millares 5 3 2 2 2 4 2 2 2" xfId="55768" xr:uid="{00000000-0005-0000-0000-000038380000}"/>
    <cellStyle name="Millares 5 3 2 2 2 4 2 3" xfId="42206" xr:uid="{00000000-0005-0000-0000-000039380000}"/>
    <cellStyle name="Millares 5 3 2 2 2 4 3" xfId="21854" xr:uid="{00000000-0005-0000-0000-00003A380000}"/>
    <cellStyle name="Millares 5 3 2 2 2 4 3 2" xfId="48987" xr:uid="{00000000-0005-0000-0000-00003B380000}"/>
    <cellStyle name="Millares 5 3 2 2 2 4 4" xfId="35425" xr:uid="{00000000-0005-0000-0000-00003C380000}"/>
    <cellStyle name="Millares 5 3 2 2 2 5" xfId="11678" xr:uid="{00000000-0005-0000-0000-00003D380000}"/>
    <cellStyle name="Millares 5 3 2 2 2 5 2" xfId="25246" xr:uid="{00000000-0005-0000-0000-00003E380000}"/>
    <cellStyle name="Millares 5 3 2 2 2 5 2 2" xfId="52379" xr:uid="{00000000-0005-0000-0000-00003F380000}"/>
    <cellStyle name="Millares 5 3 2 2 2 5 3" xfId="38817" xr:uid="{00000000-0005-0000-0000-000040380000}"/>
    <cellStyle name="Millares 5 3 2 2 2 6" xfId="18465" xr:uid="{00000000-0005-0000-0000-000041380000}"/>
    <cellStyle name="Millares 5 3 2 2 2 6 2" xfId="45598" xr:uid="{00000000-0005-0000-0000-000042380000}"/>
    <cellStyle name="Millares 5 3 2 2 2 7" xfId="32036" xr:uid="{00000000-0005-0000-0000-000043380000}"/>
    <cellStyle name="Millares 5 3 2 2 3" xfId="4685" xr:uid="{00000000-0005-0000-0000-000044380000}"/>
    <cellStyle name="Millares 5 3 2 2 3 2" xfId="4686" xr:uid="{00000000-0005-0000-0000-000045380000}"/>
    <cellStyle name="Millares 5 3 2 2 3 2 2" xfId="8281" xr:uid="{00000000-0005-0000-0000-000046380000}"/>
    <cellStyle name="Millares 5 3 2 2 3 2 2 2" xfId="15071" xr:uid="{00000000-0005-0000-0000-000047380000}"/>
    <cellStyle name="Millares 5 3 2 2 3 2 2 2 2" xfId="28639" xr:uid="{00000000-0005-0000-0000-000048380000}"/>
    <cellStyle name="Millares 5 3 2 2 3 2 2 2 2 2" xfId="55772" xr:uid="{00000000-0005-0000-0000-000049380000}"/>
    <cellStyle name="Millares 5 3 2 2 3 2 2 2 3" xfId="42210" xr:uid="{00000000-0005-0000-0000-00004A380000}"/>
    <cellStyle name="Millares 5 3 2 2 3 2 2 3" xfId="21858" xr:uid="{00000000-0005-0000-0000-00004B380000}"/>
    <cellStyle name="Millares 5 3 2 2 3 2 2 3 2" xfId="48991" xr:uid="{00000000-0005-0000-0000-00004C380000}"/>
    <cellStyle name="Millares 5 3 2 2 3 2 2 4" xfId="35429" xr:uid="{00000000-0005-0000-0000-00004D380000}"/>
    <cellStyle name="Millares 5 3 2 2 3 2 3" xfId="11682" xr:uid="{00000000-0005-0000-0000-00004E380000}"/>
    <cellStyle name="Millares 5 3 2 2 3 2 3 2" xfId="25250" xr:uid="{00000000-0005-0000-0000-00004F380000}"/>
    <cellStyle name="Millares 5 3 2 2 3 2 3 2 2" xfId="52383" xr:uid="{00000000-0005-0000-0000-000050380000}"/>
    <cellStyle name="Millares 5 3 2 2 3 2 3 3" xfId="38821" xr:uid="{00000000-0005-0000-0000-000051380000}"/>
    <cellStyle name="Millares 5 3 2 2 3 2 4" xfId="18469" xr:uid="{00000000-0005-0000-0000-000052380000}"/>
    <cellStyle name="Millares 5 3 2 2 3 2 4 2" xfId="45602" xr:uid="{00000000-0005-0000-0000-000053380000}"/>
    <cellStyle name="Millares 5 3 2 2 3 2 5" xfId="32040" xr:uid="{00000000-0005-0000-0000-000054380000}"/>
    <cellStyle name="Millares 5 3 2 2 3 3" xfId="8280" xr:uid="{00000000-0005-0000-0000-000055380000}"/>
    <cellStyle name="Millares 5 3 2 2 3 3 2" xfId="15070" xr:uid="{00000000-0005-0000-0000-000056380000}"/>
    <cellStyle name="Millares 5 3 2 2 3 3 2 2" xfId="28638" xr:uid="{00000000-0005-0000-0000-000057380000}"/>
    <cellStyle name="Millares 5 3 2 2 3 3 2 2 2" xfId="55771" xr:uid="{00000000-0005-0000-0000-000058380000}"/>
    <cellStyle name="Millares 5 3 2 2 3 3 2 3" xfId="42209" xr:uid="{00000000-0005-0000-0000-000059380000}"/>
    <cellStyle name="Millares 5 3 2 2 3 3 3" xfId="21857" xr:uid="{00000000-0005-0000-0000-00005A380000}"/>
    <cellStyle name="Millares 5 3 2 2 3 3 3 2" xfId="48990" xr:uid="{00000000-0005-0000-0000-00005B380000}"/>
    <cellStyle name="Millares 5 3 2 2 3 3 4" xfId="35428" xr:uid="{00000000-0005-0000-0000-00005C380000}"/>
    <cellStyle name="Millares 5 3 2 2 3 4" xfId="11681" xr:uid="{00000000-0005-0000-0000-00005D380000}"/>
    <cellStyle name="Millares 5 3 2 2 3 4 2" xfId="25249" xr:uid="{00000000-0005-0000-0000-00005E380000}"/>
    <cellStyle name="Millares 5 3 2 2 3 4 2 2" xfId="52382" xr:uid="{00000000-0005-0000-0000-00005F380000}"/>
    <cellStyle name="Millares 5 3 2 2 3 4 3" xfId="38820" xr:uid="{00000000-0005-0000-0000-000060380000}"/>
    <cellStyle name="Millares 5 3 2 2 3 5" xfId="18468" xr:uid="{00000000-0005-0000-0000-000061380000}"/>
    <cellStyle name="Millares 5 3 2 2 3 5 2" xfId="45601" xr:uid="{00000000-0005-0000-0000-000062380000}"/>
    <cellStyle name="Millares 5 3 2 2 3 6" xfId="32039" xr:uid="{00000000-0005-0000-0000-000063380000}"/>
    <cellStyle name="Millares 5 3 2 2 4" xfId="4687" xr:uid="{00000000-0005-0000-0000-000064380000}"/>
    <cellStyle name="Millares 5 3 2 2 4 2" xfId="8282" xr:uid="{00000000-0005-0000-0000-000065380000}"/>
    <cellStyle name="Millares 5 3 2 2 4 2 2" xfId="15072" xr:uid="{00000000-0005-0000-0000-000066380000}"/>
    <cellStyle name="Millares 5 3 2 2 4 2 2 2" xfId="28640" xr:uid="{00000000-0005-0000-0000-000067380000}"/>
    <cellStyle name="Millares 5 3 2 2 4 2 2 2 2" xfId="55773" xr:uid="{00000000-0005-0000-0000-000068380000}"/>
    <cellStyle name="Millares 5 3 2 2 4 2 2 3" xfId="42211" xr:uid="{00000000-0005-0000-0000-000069380000}"/>
    <cellStyle name="Millares 5 3 2 2 4 2 3" xfId="21859" xr:uid="{00000000-0005-0000-0000-00006A380000}"/>
    <cellStyle name="Millares 5 3 2 2 4 2 3 2" xfId="48992" xr:uid="{00000000-0005-0000-0000-00006B380000}"/>
    <cellStyle name="Millares 5 3 2 2 4 2 4" xfId="35430" xr:uid="{00000000-0005-0000-0000-00006C380000}"/>
    <cellStyle name="Millares 5 3 2 2 4 3" xfId="11683" xr:uid="{00000000-0005-0000-0000-00006D380000}"/>
    <cellStyle name="Millares 5 3 2 2 4 3 2" xfId="25251" xr:uid="{00000000-0005-0000-0000-00006E380000}"/>
    <cellStyle name="Millares 5 3 2 2 4 3 2 2" xfId="52384" xr:uid="{00000000-0005-0000-0000-00006F380000}"/>
    <cellStyle name="Millares 5 3 2 2 4 3 3" xfId="38822" xr:uid="{00000000-0005-0000-0000-000070380000}"/>
    <cellStyle name="Millares 5 3 2 2 4 4" xfId="18470" xr:uid="{00000000-0005-0000-0000-000071380000}"/>
    <cellStyle name="Millares 5 3 2 2 4 4 2" xfId="45603" xr:uid="{00000000-0005-0000-0000-000072380000}"/>
    <cellStyle name="Millares 5 3 2 2 4 5" xfId="32041" xr:uid="{00000000-0005-0000-0000-000073380000}"/>
    <cellStyle name="Millares 5 3 2 2 5" xfId="4688" xr:uid="{00000000-0005-0000-0000-000074380000}"/>
    <cellStyle name="Millares 5 3 2 2 5 2" xfId="8283" xr:uid="{00000000-0005-0000-0000-000075380000}"/>
    <cellStyle name="Millares 5 3 2 2 5 2 2" xfId="15073" xr:uid="{00000000-0005-0000-0000-000076380000}"/>
    <cellStyle name="Millares 5 3 2 2 5 2 2 2" xfId="28641" xr:uid="{00000000-0005-0000-0000-000077380000}"/>
    <cellStyle name="Millares 5 3 2 2 5 2 2 2 2" xfId="55774" xr:uid="{00000000-0005-0000-0000-000078380000}"/>
    <cellStyle name="Millares 5 3 2 2 5 2 2 3" xfId="42212" xr:uid="{00000000-0005-0000-0000-000079380000}"/>
    <cellStyle name="Millares 5 3 2 2 5 2 3" xfId="21860" xr:uid="{00000000-0005-0000-0000-00007A380000}"/>
    <cellStyle name="Millares 5 3 2 2 5 2 3 2" xfId="48993" xr:uid="{00000000-0005-0000-0000-00007B380000}"/>
    <cellStyle name="Millares 5 3 2 2 5 2 4" xfId="35431" xr:uid="{00000000-0005-0000-0000-00007C380000}"/>
    <cellStyle name="Millares 5 3 2 2 5 3" xfId="11684" xr:uid="{00000000-0005-0000-0000-00007D380000}"/>
    <cellStyle name="Millares 5 3 2 2 5 3 2" xfId="25252" xr:uid="{00000000-0005-0000-0000-00007E380000}"/>
    <cellStyle name="Millares 5 3 2 2 5 3 2 2" xfId="52385" xr:uid="{00000000-0005-0000-0000-00007F380000}"/>
    <cellStyle name="Millares 5 3 2 2 5 3 3" xfId="38823" xr:uid="{00000000-0005-0000-0000-000080380000}"/>
    <cellStyle name="Millares 5 3 2 2 5 4" xfId="18471" xr:uid="{00000000-0005-0000-0000-000081380000}"/>
    <cellStyle name="Millares 5 3 2 2 5 4 2" xfId="45604" xr:uid="{00000000-0005-0000-0000-000082380000}"/>
    <cellStyle name="Millares 5 3 2 2 5 5" xfId="32042" xr:uid="{00000000-0005-0000-0000-000083380000}"/>
    <cellStyle name="Millares 5 3 2 2 6" xfId="8276" xr:uid="{00000000-0005-0000-0000-000084380000}"/>
    <cellStyle name="Millares 5 3 2 2 6 2" xfId="15066" xr:uid="{00000000-0005-0000-0000-000085380000}"/>
    <cellStyle name="Millares 5 3 2 2 6 2 2" xfId="28634" xr:uid="{00000000-0005-0000-0000-000086380000}"/>
    <cellStyle name="Millares 5 3 2 2 6 2 2 2" xfId="55767" xr:uid="{00000000-0005-0000-0000-000087380000}"/>
    <cellStyle name="Millares 5 3 2 2 6 2 3" xfId="42205" xr:uid="{00000000-0005-0000-0000-000088380000}"/>
    <cellStyle name="Millares 5 3 2 2 6 3" xfId="21853" xr:uid="{00000000-0005-0000-0000-000089380000}"/>
    <cellStyle name="Millares 5 3 2 2 6 3 2" xfId="48986" xr:uid="{00000000-0005-0000-0000-00008A380000}"/>
    <cellStyle name="Millares 5 3 2 2 6 4" xfId="35424" xr:uid="{00000000-0005-0000-0000-00008B380000}"/>
    <cellStyle name="Millares 5 3 2 2 7" xfId="11677" xr:uid="{00000000-0005-0000-0000-00008C380000}"/>
    <cellStyle name="Millares 5 3 2 2 7 2" xfId="25245" xr:uid="{00000000-0005-0000-0000-00008D380000}"/>
    <cellStyle name="Millares 5 3 2 2 7 2 2" xfId="52378" xr:uid="{00000000-0005-0000-0000-00008E380000}"/>
    <cellStyle name="Millares 5 3 2 2 7 3" xfId="38816" xr:uid="{00000000-0005-0000-0000-00008F380000}"/>
    <cellStyle name="Millares 5 3 2 2 8" xfId="18464" xr:uid="{00000000-0005-0000-0000-000090380000}"/>
    <cellStyle name="Millares 5 3 2 2 8 2" xfId="45597" xr:uid="{00000000-0005-0000-0000-000091380000}"/>
    <cellStyle name="Millares 5 3 2 2 9" xfId="32035" xr:uid="{00000000-0005-0000-0000-000092380000}"/>
    <cellStyle name="Millares 5 3 2 3" xfId="4689" xr:uid="{00000000-0005-0000-0000-000093380000}"/>
    <cellStyle name="Millares 5 3 2 3 2" xfId="4690" xr:uid="{00000000-0005-0000-0000-000094380000}"/>
    <cellStyle name="Millares 5 3 2 3 2 2" xfId="8285" xr:uid="{00000000-0005-0000-0000-000095380000}"/>
    <cellStyle name="Millares 5 3 2 3 2 2 2" xfId="15075" xr:uid="{00000000-0005-0000-0000-000096380000}"/>
    <cellStyle name="Millares 5 3 2 3 2 2 2 2" xfId="28643" xr:uid="{00000000-0005-0000-0000-000097380000}"/>
    <cellStyle name="Millares 5 3 2 3 2 2 2 2 2" xfId="55776" xr:uid="{00000000-0005-0000-0000-000098380000}"/>
    <cellStyle name="Millares 5 3 2 3 2 2 2 3" xfId="42214" xr:uid="{00000000-0005-0000-0000-000099380000}"/>
    <cellStyle name="Millares 5 3 2 3 2 2 3" xfId="21862" xr:uid="{00000000-0005-0000-0000-00009A380000}"/>
    <cellStyle name="Millares 5 3 2 3 2 2 3 2" xfId="48995" xr:uid="{00000000-0005-0000-0000-00009B380000}"/>
    <cellStyle name="Millares 5 3 2 3 2 2 4" xfId="35433" xr:uid="{00000000-0005-0000-0000-00009C380000}"/>
    <cellStyle name="Millares 5 3 2 3 2 3" xfId="11686" xr:uid="{00000000-0005-0000-0000-00009D380000}"/>
    <cellStyle name="Millares 5 3 2 3 2 3 2" xfId="25254" xr:uid="{00000000-0005-0000-0000-00009E380000}"/>
    <cellStyle name="Millares 5 3 2 3 2 3 2 2" xfId="52387" xr:uid="{00000000-0005-0000-0000-00009F380000}"/>
    <cellStyle name="Millares 5 3 2 3 2 3 3" xfId="38825" xr:uid="{00000000-0005-0000-0000-0000A0380000}"/>
    <cellStyle name="Millares 5 3 2 3 2 4" xfId="18473" xr:uid="{00000000-0005-0000-0000-0000A1380000}"/>
    <cellStyle name="Millares 5 3 2 3 2 4 2" xfId="45606" xr:uid="{00000000-0005-0000-0000-0000A2380000}"/>
    <cellStyle name="Millares 5 3 2 3 2 5" xfId="32044" xr:uid="{00000000-0005-0000-0000-0000A3380000}"/>
    <cellStyle name="Millares 5 3 2 3 3" xfId="4691" xr:uid="{00000000-0005-0000-0000-0000A4380000}"/>
    <cellStyle name="Millares 5 3 2 3 3 2" xfId="8286" xr:uid="{00000000-0005-0000-0000-0000A5380000}"/>
    <cellStyle name="Millares 5 3 2 3 3 2 2" xfId="15076" xr:uid="{00000000-0005-0000-0000-0000A6380000}"/>
    <cellStyle name="Millares 5 3 2 3 3 2 2 2" xfId="28644" xr:uid="{00000000-0005-0000-0000-0000A7380000}"/>
    <cellStyle name="Millares 5 3 2 3 3 2 2 2 2" xfId="55777" xr:uid="{00000000-0005-0000-0000-0000A8380000}"/>
    <cellStyle name="Millares 5 3 2 3 3 2 2 3" xfId="42215" xr:uid="{00000000-0005-0000-0000-0000A9380000}"/>
    <cellStyle name="Millares 5 3 2 3 3 2 3" xfId="21863" xr:uid="{00000000-0005-0000-0000-0000AA380000}"/>
    <cellStyle name="Millares 5 3 2 3 3 2 3 2" xfId="48996" xr:uid="{00000000-0005-0000-0000-0000AB380000}"/>
    <cellStyle name="Millares 5 3 2 3 3 2 4" xfId="35434" xr:uid="{00000000-0005-0000-0000-0000AC380000}"/>
    <cellStyle name="Millares 5 3 2 3 3 3" xfId="11687" xr:uid="{00000000-0005-0000-0000-0000AD380000}"/>
    <cellStyle name="Millares 5 3 2 3 3 3 2" xfId="25255" xr:uid="{00000000-0005-0000-0000-0000AE380000}"/>
    <cellStyle name="Millares 5 3 2 3 3 3 2 2" xfId="52388" xr:uid="{00000000-0005-0000-0000-0000AF380000}"/>
    <cellStyle name="Millares 5 3 2 3 3 3 3" xfId="38826" xr:uid="{00000000-0005-0000-0000-0000B0380000}"/>
    <cellStyle name="Millares 5 3 2 3 3 4" xfId="18474" xr:uid="{00000000-0005-0000-0000-0000B1380000}"/>
    <cellStyle name="Millares 5 3 2 3 3 4 2" xfId="45607" xr:uid="{00000000-0005-0000-0000-0000B2380000}"/>
    <cellStyle name="Millares 5 3 2 3 3 5" xfId="32045" xr:uid="{00000000-0005-0000-0000-0000B3380000}"/>
    <cellStyle name="Millares 5 3 2 3 4" xfId="8284" xr:uid="{00000000-0005-0000-0000-0000B4380000}"/>
    <cellStyle name="Millares 5 3 2 3 4 2" xfId="15074" xr:uid="{00000000-0005-0000-0000-0000B5380000}"/>
    <cellStyle name="Millares 5 3 2 3 4 2 2" xfId="28642" xr:uid="{00000000-0005-0000-0000-0000B6380000}"/>
    <cellStyle name="Millares 5 3 2 3 4 2 2 2" xfId="55775" xr:uid="{00000000-0005-0000-0000-0000B7380000}"/>
    <cellStyle name="Millares 5 3 2 3 4 2 3" xfId="42213" xr:uid="{00000000-0005-0000-0000-0000B8380000}"/>
    <cellStyle name="Millares 5 3 2 3 4 3" xfId="21861" xr:uid="{00000000-0005-0000-0000-0000B9380000}"/>
    <cellStyle name="Millares 5 3 2 3 4 3 2" xfId="48994" xr:uid="{00000000-0005-0000-0000-0000BA380000}"/>
    <cellStyle name="Millares 5 3 2 3 4 4" xfId="35432" xr:uid="{00000000-0005-0000-0000-0000BB380000}"/>
    <cellStyle name="Millares 5 3 2 3 5" xfId="11685" xr:uid="{00000000-0005-0000-0000-0000BC380000}"/>
    <cellStyle name="Millares 5 3 2 3 5 2" xfId="25253" xr:uid="{00000000-0005-0000-0000-0000BD380000}"/>
    <cellStyle name="Millares 5 3 2 3 5 2 2" xfId="52386" xr:uid="{00000000-0005-0000-0000-0000BE380000}"/>
    <cellStyle name="Millares 5 3 2 3 5 3" xfId="38824" xr:uid="{00000000-0005-0000-0000-0000BF380000}"/>
    <cellStyle name="Millares 5 3 2 3 6" xfId="18472" xr:uid="{00000000-0005-0000-0000-0000C0380000}"/>
    <cellStyle name="Millares 5 3 2 3 6 2" xfId="45605" xr:uid="{00000000-0005-0000-0000-0000C1380000}"/>
    <cellStyle name="Millares 5 3 2 3 7" xfId="32043" xr:uid="{00000000-0005-0000-0000-0000C2380000}"/>
    <cellStyle name="Millares 5 3 2 4" xfId="4692" xr:uid="{00000000-0005-0000-0000-0000C3380000}"/>
    <cellStyle name="Millares 5 3 2 4 2" xfId="4693" xr:uid="{00000000-0005-0000-0000-0000C4380000}"/>
    <cellStyle name="Millares 5 3 2 4 2 2" xfId="8288" xr:uid="{00000000-0005-0000-0000-0000C5380000}"/>
    <cellStyle name="Millares 5 3 2 4 2 2 2" xfId="15078" xr:uid="{00000000-0005-0000-0000-0000C6380000}"/>
    <cellStyle name="Millares 5 3 2 4 2 2 2 2" xfId="28646" xr:uid="{00000000-0005-0000-0000-0000C7380000}"/>
    <cellStyle name="Millares 5 3 2 4 2 2 2 2 2" xfId="55779" xr:uid="{00000000-0005-0000-0000-0000C8380000}"/>
    <cellStyle name="Millares 5 3 2 4 2 2 2 3" xfId="42217" xr:uid="{00000000-0005-0000-0000-0000C9380000}"/>
    <cellStyle name="Millares 5 3 2 4 2 2 3" xfId="21865" xr:uid="{00000000-0005-0000-0000-0000CA380000}"/>
    <cellStyle name="Millares 5 3 2 4 2 2 3 2" xfId="48998" xr:uid="{00000000-0005-0000-0000-0000CB380000}"/>
    <cellStyle name="Millares 5 3 2 4 2 2 4" xfId="35436" xr:uid="{00000000-0005-0000-0000-0000CC380000}"/>
    <cellStyle name="Millares 5 3 2 4 2 3" xfId="11689" xr:uid="{00000000-0005-0000-0000-0000CD380000}"/>
    <cellStyle name="Millares 5 3 2 4 2 3 2" xfId="25257" xr:uid="{00000000-0005-0000-0000-0000CE380000}"/>
    <cellStyle name="Millares 5 3 2 4 2 3 2 2" xfId="52390" xr:uid="{00000000-0005-0000-0000-0000CF380000}"/>
    <cellStyle name="Millares 5 3 2 4 2 3 3" xfId="38828" xr:uid="{00000000-0005-0000-0000-0000D0380000}"/>
    <cellStyle name="Millares 5 3 2 4 2 4" xfId="18476" xr:uid="{00000000-0005-0000-0000-0000D1380000}"/>
    <cellStyle name="Millares 5 3 2 4 2 4 2" xfId="45609" xr:uid="{00000000-0005-0000-0000-0000D2380000}"/>
    <cellStyle name="Millares 5 3 2 4 2 5" xfId="32047" xr:uid="{00000000-0005-0000-0000-0000D3380000}"/>
    <cellStyle name="Millares 5 3 2 4 3" xfId="8287" xr:uid="{00000000-0005-0000-0000-0000D4380000}"/>
    <cellStyle name="Millares 5 3 2 4 3 2" xfId="15077" xr:uid="{00000000-0005-0000-0000-0000D5380000}"/>
    <cellStyle name="Millares 5 3 2 4 3 2 2" xfId="28645" xr:uid="{00000000-0005-0000-0000-0000D6380000}"/>
    <cellStyle name="Millares 5 3 2 4 3 2 2 2" xfId="55778" xr:uid="{00000000-0005-0000-0000-0000D7380000}"/>
    <cellStyle name="Millares 5 3 2 4 3 2 3" xfId="42216" xr:uid="{00000000-0005-0000-0000-0000D8380000}"/>
    <cellStyle name="Millares 5 3 2 4 3 3" xfId="21864" xr:uid="{00000000-0005-0000-0000-0000D9380000}"/>
    <cellStyle name="Millares 5 3 2 4 3 3 2" xfId="48997" xr:uid="{00000000-0005-0000-0000-0000DA380000}"/>
    <cellStyle name="Millares 5 3 2 4 3 4" xfId="35435" xr:uid="{00000000-0005-0000-0000-0000DB380000}"/>
    <cellStyle name="Millares 5 3 2 4 4" xfId="11688" xr:uid="{00000000-0005-0000-0000-0000DC380000}"/>
    <cellStyle name="Millares 5 3 2 4 4 2" xfId="25256" xr:uid="{00000000-0005-0000-0000-0000DD380000}"/>
    <cellStyle name="Millares 5 3 2 4 4 2 2" xfId="52389" xr:uid="{00000000-0005-0000-0000-0000DE380000}"/>
    <cellStyle name="Millares 5 3 2 4 4 3" xfId="38827" xr:uid="{00000000-0005-0000-0000-0000DF380000}"/>
    <cellStyle name="Millares 5 3 2 4 5" xfId="18475" xr:uid="{00000000-0005-0000-0000-0000E0380000}"/>
    <cellStyle name="Millares 5 3 2 4 5 2" xfId="45608" xr:uid="{00000000-0005-0000-0000-0000E1380000}"/>
    <cellStyle name="Millares 5 3 2 4 6" xfId="32046" xr:uid="{00000000-0005-0000-0000-0000E2380000}"/>
    <cellStyle name="Millares 5 3 2 5" xfId="4694" xr:uid="{00000000-0005-0000-0000-0000E3380000}"/>
    <cellStyle name="Millares 5 3 2 5 2" xfId="8289" xr:uid="{00000000-0005-0000-0000-0000E4380000}"/>
    <cellStyle name="Millares 5 3 2 5 2 2" xfId="15079" xr:uid="{00000000-0005-0000-0000-0000E5380000}"/>
    <cellStyle name="Millares 5 3 2 5 2 2 2" xfId="28647" xr:uid="{00000000-0005-0000-0000-0000E6380000}"/>
    <cellStyle name="Millares 5 3 2 5 2 2 2 2" xfId="55780" xr:uid="{00000000-0005-0000-0000-0000E7380000}"/>
    <cellStyle name="Millares 5 3 2 5 2 2 3" xfId="42218" xr:uid="{00000000-0005-0000-0000-0000E8380000}"/>
    <cellStyle name="Millares 5 3 2 5 2 3" xfId="21866" xr:uid="{00000000-0005-0000-0000-0000E9380000}"/>
    <cellStyle name="Millares 5 3 2 5 2 3 2" xfId="48999" xr:uid="{00000000-0005-0000-0000-0000EA380000}"/>
    <cellStyle name="Millares 5 3 2 5 2 4" xfId="35437" xr:uid="{00000000-0005-0000-0000-0000EB380000}"/>
    <cellStyle name="Millares 5 3 2 5 3" xfId="11690" xr:uid="{00000000-0005-0000-0000-0000EC380000}"/>
    <cellStyle name="Millares 5 3 2 5 3 2" xfId="25258" xr:uid="{00000000-0005-0000-0000-0000ED380000}"/>
    <cellStyle name="Millares 5 3 2 5 3 2 2" xfId="52391" xr:uid="{00000000-0005-0000-0000-0000EE380000}"/>
    <cellStyle name="Millares 5 3 2 5 3 3" xfId="38829" xr:uid="{00000000-0005-0000-0000-0000EF380000}"/>
    <cellStyle name="Millares 5 3 2 5 4" xfId="18477" xr:uid="{00000000-0005-0000-0000-0000F0380000}"/>
    <cellStyle name="Millares 5 3 2 5 4 2" xfId="45610" xr:uid="{00000000-0005-0000-0000-0000F1380000}"/>
    <cellStyle name="Millares 5 3 2 5 5" xfId="32048" xr:uid="{00000000-0005-0000-0000-0000F2380000}"/>
    <cellStyle name="Millares 5 3 2 6" xfId="4695" xr:uid="{00000000-0005-0000-0000-0000F3380000}"/>
    <cellStyle name="Millares 5 3 2 6 2" xfId="8290" xr:uid="{00000000-0005-0000-0000-0000F4380000}"/>
    <cellStyle name="Millares 5 3 2 6 2 2" xfId="15080" xr:uid="{00000000-0005-0000-0000-0000F5380000}"/>
    <cellStyle name="Millares 5 3 2 6 2 2 2" xfId="28648" xr:uid="{00000000-0005-0000-0000-0000F6380000}"/>
    <cellStyle name="Millares 5 3 2 6 2 2 2 2" xfId="55781" xr:uid="{00000000-0005-0000-0000-0000F7380000}"/>
    <cellStyle name="Millares 5 3 2 6 2 2 3" xfId="42219" xr:uid="{00000000-0005-0000-0000-0000F8380000}"/>
    <cellStyle name="Millares 5 3 2 6 2 3" xfId="21867" xr:uid="{00000000-0005-0000-0000-0000F9380000}"/>
    <cellStyle name="Millares 5 3 2 6 2 3 2" xfId="49000" xr:uid="{00000000-0005-0000-0000-0000FA380000}"/>
    <cellStyle name="Millares 5 3 2 6 2 4" xfId="35438" xr:uid="{00000000-0005-0000-0000-0000FB380000}"/>
    <cellStyle name="Millares 5 3 2 6 3" xfId="11691" xr:uid="{00000000-0005-0000-0000-0000FC380000}"/>
    <cellStyle name="Millares 5 3 2 6 3 2" xfId="25259" xr:uid="{00000000-0005-0000-0000-0000FD380000}"/>
    <cellStyle name="Millares 5 3 2 6 3 2 2" xfId="52392" xr:uid="{00000000-0005-0000-0000-0000FE380000}"/>
    <cellStyle name="Millares 5 3 2 6 3 3" xfId="38830" xr:uid="{00000000-0005-0000-0000-0000FF380000}"/>
    <cellStyle name="Millares 5 3 2 6 4" xfId="18478" xr:uid="{00000000-0005-0000-0000-000000390000}"/>
    <cellStyle name="Millares 5 3 2 6 4 2" xfId="45611" xr:uid="{00000000-0005-0000-0000-000001390000}"/>
    <cellStyle name="Millares 5 3 2 6 5" xfId="32049" xr:uid="{00000000-0005-0000-0000-000002390000}"/>
    <cellStyle name="Millares 5 3 3" xfId="4696" xr:uid="{00000000-0005-0000-0000-000003390000}"/>
    <cellStyle name="Millares 5 3 3 2" xfId="4697" xr:uid="{00000000-0005-0000-0000-000004390000}"/>
    <cellStyle name="Millares 5 3 3 2 2" xfId="4698" xr:uid="{00000000-0005-0000-0000-000005390000}"/>
    <cellStyle name="Millares 5 3 3 2 2 2" xfId="8293" xr:uid="{00000000-0005-0000-0000-000006390000}"/>
    <cellStyle name="Millares 5 3 3 2 2 2 2" xfId="15083" xr:uid="{00000000-0005-0000-0000-000007390000}"/>
    <cellStyle name="Millares 5 3 3 2 2 2 2 2" xfId="28651" xr:uid="{00000000-0005-0000-0000-000008390000}"/>
    <cellStyle name="Millares 5 3 3 2 2 2 2 2 2" xfId="55784" xr:uid="{00000000-0005-0000-0000-000009390000}"/>
    <cellStyle name="Millares 5 3 3 2 2 2 2 3" xfId="42222" xr:uid="{00000000-0005-0000-0000-00000A390000}"/>
    <cellStyle name="Millares 5 3 3 2 2 2 3" xfId="21870" xr:uid="{00000000-0005-0000-0000-00000B390000}"/>
    <cellStyle name="Millares 5 3 3 2 2 2 3 2" xfId="49003" xr:uid="{00000000-0005-0000-0000-00000C390000}"/>
    <cellStyle name="Millares 5 3 3 2 2 2 4" xfId="35441" xr:uid="{00000000-0005-0000-0000-00000D390000}"/>
    <cellStyle name="Millares 5 3 3 2 2 3" xfId="11694" xr:uid="{00000000-0005-0000-0000-00000E390000}"/>
    <cellStyle name="Millares 5 3 3 2 2 3 2" xfId="25262" xr:uid="{00000000-0005-0000-0000-00000F390000}"/>
    <cellStyle name="Millares 5 3 3 2 2 3 2 2" xfId="52395" xr:uid="{00000000-0005-0000-0000-000010390000}"/>
    <cellStyle name="Millares 5 3 3 2 2 3 3" xfId="38833" xr:uid="{00000000-0005-0000-0000-000011390000}"/>
    <cellStyle name="Millares 5 3 3 2 2 4" xfId="18481" xr:uid="{00000000-0005-0000-0000-000012390000}"/>
    <cellStyle name="Millares 5 3 3 2 2 4 2" xfId="45614" xr:uid="{00000000-0005-0000-0000-000013390000}"/>
    <cellStyle name="Millares 5 3 3 2 2 5" xfId="32052" xr:uid="{00000000-0005-0000-0000-000014390000}"/>
    <cellStyle name="Millares 5 3 3 2 3" xfId="4699" xr:uid="{00000000-0005-0000-0000-000015390000}"/>
    <cellStyle name="Millares 5 3 3 2 3 2" xfId="8294" xr:uid="{00000000-0005-0000-0000-000016390000}"/>
    <cellStyle name="Millares 5 3 3 2 3 2 2" xfId="15084" xr:uid="{00000000-0005-0000-0000-000017390000}"/>
    <cellStyle name="Millares 5 3 3 2 3 2 2 2" xfId="28652" xr:uid="{00000000-0005-0000-0000-000018390000}"/>
    <cellStyle name="Millares 5 3 3 2 3 2 2 2 2" xfId="55785" xr:uid="{00000000-0005-0000-0000-000019390000}"/>
    <cellStyle name="Millares 5 3 3 2 3 2 2 3" xfId="42223" xr:uid="{00000000-0005-0000-0000-00001A390000}"/>
    <cellStyle name="Millares 5 3 3 2 3 2 3" xfId="21871" xr:uid="{00000000-0005-0000-0000-00001B390000}"/>
    <cellStyle name="Millares 5 3 3 2 3 2 3 2" xfId="49004" xr:uid="{00000000-0005-0000-0000-00001C390000}"/>
    <cellStyle name="Millares 5 3 3 2 3 2 4" xfId="35442" xr:uid="{00000000-0005-0000-0000-00001D390000}"/>
    <cellStyle name="Millares 5 3 3 2 3 3" xfId="11695" xr:uid="{00000000-0005-0000-0000-00001E390000}"/>
    <cellStyle name="Millares 5 3 3 2 3 3 2" xfId="25263" xr:uid="{00000000-0005-0000-0000-00001F390000}"/>
    <cellStyle name="Millares 5 3 3 2 3 3 2 2" xfId="52396" xr:uid="{00000000-0005-0000-0000-000020390000}"/>
    <cellStyle name="Millares 5 3 3 2 3 3 3" xfId="38834" xr:uid="{00000000-0005-0000-0000-000021390000}"/>
    <cellStyle name="Millares 5 3 3 2 3 4" xfId="18482" xr:uid="{00000000-0005-0000-0000-000022390000}"/>
    <cellStyle name="Millares 5 3 3 2 3 4 2" xfId="45615" xr:uid="{00000000-0005-0000-0000-000023390000}"/>
    <cellStyle name="Millares 5 3 3 2 3 5" xfId="32053" xr:uid="{00000000-0005-0000-0000-000024390000}"/>
    <cellStyle name="Millares 5 3 3 2 4" xfId="8292" xr:uid="{00000000-0005-0000-0000-000025390000}"/>
    <cellStyle name="Millares 5 3 3 2 4 2" xfId="15082" xr:uid="{00000000-0005-0000-0000-000026390000}"/>
    <cellStyle name="Millares 5 3 3 2 4 2 2" xfId="28650" xr:uid="{00000000-0005-0000-0000-000027390000}"/>
    <cellStyle name="Millares 5 3 3 2 4 2 2 2" xfId="55783" xr:uid="{00000000-0005-0000-0000-000028390000}"/>
    <cellStyle name="Millares 5 3 3 2 4 2 3" xfId="42221" xr:uid="{00000000-0005-0000-0000-000029390000}"/>
    <cellStyle name="Millares 5 3 3 2 4 3" xfId="21869" xr:uid="{00000000-0005-0000-0000-00002A390000}"/>
    <cellStyle name="Millares 5 3 3 2 4 3 2" xfId="49002" xr:uid="{00000000-0005-0000-0000-00002B390000}"/>
    <cellStyle name="Millares 5 3 3 2 4 4" xfId="35440" xr:uid="{00000000-0005-0000-0000-00002C390000}"/>
    <cellStyle name="Millares 5 3 3 2 5" xfId="11693" xr:uid="{00000000-0005-0000-0000-00002D390000}"/>
    <cellStyle name="Millares 5 3 3 2 5 2" xfId="25261" xr:uid="{00000000-0005-0000-0000-00002E390000}"/>
    <cellStyle name="Millares 5 3 3 2 5 2 2" xfId="52394" xr:uid="{00000000-0005-0000-0000-00002F390000}"/>
    <cellStyle name="Millares 5 3 3 2 5 3" xfId="38832" xr:uid="{00000000-0005-0000-0000-000030390000}"/>
    <cellStyle name="Millares 5 3 3 2 6" xfId="18480" xr:uid="{00000000-0005-0000-0000-000031390000}"/>
    <cellStyle name="Millares 5 3 3 2 6 2" xfId="45613" xr:uid="{00000000-0005-0000-0000-000032390000}"/>
    <cellStyle name="Millares 5 3 3 2 7" xfId="32051" xr:uid="{00000000-0005-0000-0000-000033390000}"/>
    <cellStyle name="Millares 5 3 3 3" xfId="4700" xr:uid="{00000000-0005-0000-0000-000034390000}"/>
    <cellStyle name="Millares 5 3 3 3 2" xfId="4701" xr:uid="{00000000-0005-0000-0000-000035390000}"/>
    <cellStyle name="Millares 5 3 3 3 2 2" xfId="8296" xr:uid="{00000000-0005-0000-0000-000036390000}"/>
    <cellStyle name="Millares 5 3 3 3 2 2 2" xfId="15086" xr:uid="{00000000-0005-0000-0000-000037390000}"/>
    <cellStyle name="Millares 5 3 3 3 2 2 2 2" xfId="28654" xr:uid="{00000000-0005-0000-0000-000038390000}"/>
    <cellStyle name="Millares 5 3 3 3 2 2 2 2 2" xfId="55787" xr:uid="{00000000-0005-0000-0000-000039390000}"/>
    <cellStyle name="Millares 5 3 3 3 2 2 2 3" xfId="42225" xr:uid="{00000000-0005-0000-0000-00003A390000}"/>
    <cellStyle name="Millares 5 3 3 3 2 2 3" xfId="21873" xr:uid="{00000000-0005-0000-0000-00003B390000}"/>
    <cellStyle name="Millares 5 3 3 3 2 2 3 2" xfId="49006" xr:uid="{00000000-0005-0000-0000-00003C390000}"/>
    <cellStyle name="Millares 5 3 3 3 2 2 4" xfId="35444" xr:uid="{00000000-0005-0000-0000-00003D390000}"/>
    <cellStyle name="Millares 5 3 3 3 2 3" xfId="11697" xr:uid="{00000000-0005-0000-0000-00003E390000}"/>
    <cellStyle name="Millares 5 3 3 3 2 3 2" xfId="25265" xr:uid="{00000000-0005-0000-0000-00003F390000}"/>
    <cellStyle name="Millares 5 3 3 3 2 3 2 2" xfId="52398" xr:uid="{00000000-0005-0000-0000-000040390000}"/>
    <cellStyle name="Millares 5 3 3 3 2 3 3" xfId="38836" xr:uid="{00000000-0005-0000-0000-000041390000}"/>
    <cellStyle name="Millares 5 3 3 3 2 4" xfId="18484" xr:uid="{00000000-0005-0000-0000-000042390000}"/>
    <cellStyle name="Millares 5 3 3 3 2 4 2" xfId="45617" xr:uid="{00000000-0005-0000-0000-000043390000}"/>
    <cellStyle name="Millares 5 3 3 3 2 5" xfId="32055" xr:uid="{00000000-0005-0000-0000-000044390000}"/>
    <cellStyle name="Millares 5 3 3 3 3" xfId="8295" xr:uid="{00000000-0005-0000-0000-000045390000}"/>
    <cellStyle name="Millares 5 3 3 3 3 2" xfId="15085" xr:uid="{00000000-0005-0000-0000-000046390000}"/>
    <cellStyle name="Millares 5 3 3 3 3 2 2" xfId="28653" xr:uid="{00000000-0005-0000-0000-000047390000}"/>
    <cellStyle name="Millares 5 3 3 3 3 2 2 2" xfId="55786" xr:uid="{00000000-0005-0000-0000-000048390000}"/>
    <cellStyle name="Millares 5 3 3 3 3 2 3" xfId="42224" xr:uid="{00000000-0005-0000-0000-000049390000}"/>
    <cellStyle name="Millares 5 3 3 3 3 3" xfId="21872" xr:uid="{00000000-0005-0000-0000-00004A390000}"/>
    <cellStyle name="Millares 5 3 3 3 3 3 2" xfId="49005" xr:uid="{00000000-0005-0000-0000-00004B390000}"/>
    <cellStyle name="Millares 5 3 3 3 3 4" xfId="35443" xr:uid="{00000000-0005-0000-0000-00004C390000}"/>
    <cellStyle name="Millares 5 3 3 3 4" xfId="11696" xr:uid="{00000000-0005-0000-0000-00004D390000}"/>
    <cellStyle name="Millares 5 3 3 3 4 2" xfId="25264" xr:uid="{00000000-0005-0000-0000-00004E390000}"/>
    <cellStyle name="Millares 5 3 3 3 4 2 2" xfId="52397" xr:uid="{00000000-0005-0000-0000-00004F390000}"/>
    <cellStyle name="Millares 5 3 3 3 4 3" xfId="38835" xr:uid="{00000000-0005-0000-0000-000050390000}"/>
    <cellStyle name="Millares 5 3 3 3 5" xfId="18483" xr:uid="{00000000-0005-0000-0000-000051390000}"/>
    <cellStyle name="Millares 5 3 3 3 5 2" xfId="45616" xr:uid="{00000000-0005-0000-0000-000052390000}"/>
    <cellStyle name="Millares 5 3 3 3 6" xfId="32054" xr:uid="{00000000-0005-0000-0000-000053390000}"/>
    <cellStyle name="Millares 5 3 3 4" xfId="4702" xr:uid="{00000000-0005-0000-0000-000054390000}"/>
    <cellStyle name="Millares 5 3 3 4 2" xfId="8297" xr:uid="{00000000-0005-0000-0000-000055390000}"/>
    <cellStyle name="Millares 5 3 3 4 2 2" xfId="15087" xr:uid="{00000000-0005-0000-0000-000056390000}"/>
    <cellStyle name="Millares 5 3 3 4 2 2 2" xfId="28655" xr:uid="{00000000-0005-0000-0000-000057390000}"/>
    <cellStyle name="Millares 5 3 3 4 2 2 2 2" xfId="55788" xr:uid="{00000000-0005-0000-0000-000058390000}"/>
    <cellStyle name="Millares 5 3 3 4 2 2 3" xfId="42226" xr:uid="{00000000-0005-0000-0000-000059390000}"/>
    <cellStyle name="Millares 5 3 3 4 2 3" xfId="21874" xr:uid="{00000000-0005-0000-0000-00005A390000}"/>
    <cellStyle name="Millares 5 3 3 4 2 3 2" xfId="49007" xr:uid="{00000000-0005-0000-0000-00005B390000}"/>
    <cellStyle name="Millares 5 3 3 4 2 4" xfId="35445" xr:uid="{00000000-0005-0000-0000-00005C390000}"/>
    <cellStyle name="Millares 5 3 3 4 3" xfId="11698" xr:uid="{00000000-0005-0000-0000-00005D390000}"/>
    <cellStyle name="Millares 5 3 3 4 3 2" xfId="25266" xr:uid="{00000000-0005-0000-0000-00005E390000}"/>
    <cellStyle name="Millares 5 3 3 4 3 2 2" xfId="52399" xr:uid="{00000000-0005-0000-0000-00005F390000}"/>
    <cellStyle name="Millares 5 3 3 4 3 3" xfId="38837" xr:uid="{00000000-0005-0000-0000-000060390000}"/>
    <cellStyle name="Millares 5 3 3 4 4" xfId="18485" xr:uid="{00000000-0005-0000-0000-000061390000}"/>
    <cellStyle name="Millares 5 3 3 4 4 2" xfId="45618" xr:uid="{00000000-0005-0000-0000-000062390000}"/>
    <cellStyle name="Millares 5 3 3 4 5" xfId="32056" xr:uid="{00000000-0005-0000-0000-000063390000}"/>
    <cellStyle name="Millares 5 3 3 5" xfId="4703" xr:uid="{00000000-0005-0000-0000-000064390000}"/>
    <cellStyle name="Millares 5 3 3 5 2" xfId="8298" xr:uid="{00000000-0005-0000-0000-000065390000}"/>
    <cellStyle name="Millares 5 3 3 5 2 2" xfId="15088" xr:uid="{00000000-0005-0000-0000-000066390000}"/>
    <cellStyle name="Millares 5 3 3 5 2 2 2" xfId="28656" xr:uid="{00000000-0005-0000-0000-000067390000}"/>
    <cellStyle name="Millares 5 3 3 5 2 2 2 2" xfId="55789" xr:uid="{00000000-0005-0000-0000-000068390000}"/>
    <cellStyle name="Millares 5 3 3 5 2 2 3" xfId="42227" xr:uid="{00000000-0005-0000-0000-000069390000}"/>
    <cellStyle name="Millares 5 3 3 5 2 3" xfId="21875" xr:uid="{00000000-0005-0000-0000-00006A390000}"/>
    <cellStyle name="Millares 5 3 3 5 2 3 2" xfId="49008" xr:uid="{00000000-0005-0000-0000-00006B390000}"/>
    <cellStyle name="Millares 5 3 3 5 2 4" xfId="35446" xr:uid="{00000000-0005-0000-0000-00006C390000}"/>
    <cellStyle name="Millares 5 3 3 5 3" xfId="11699" xr:uid="{00000000-0005-0000-0000-00006D390000}"/>
    <cellStyle name="Millares 5 3 3 5 3 2" xfId="25267" xr:uid="{00000000-0005-0000-0000-00006E390000}"/>
    <cellStyle name="Millares 5 3 3 5 3 2 2" xfId="52400" xr:uid="{00000000-0005-0000-0000-00006F390000}"/>
    <cellStyle name="Millares 5 3 3 5 3 3" xfId="38838" xr:uid="{00000000-0005-0000-0000-000070390000}"/>
    <cellStyle name="Millares 5 3 3 5 4" xfId="18486" xr:uid="{00000000-0005-0000-0000-000071390000}"/>
    <cellStyle name="Millares 5 3 3 5 4 2" xfId="45619" xr:uid="{00000000-0005-0000-0000-000072390000}"/>
    <cellStyle name="Millares 5 3 3 5 5" xfId="32057" xr:uid="{00000000-0005-0000-0000-000073390000}"/>
    <cellStyle name="Millares 5 3 3 6" xfId="8291" xr:uid="{00000000-0005-0000-0000-000074390000}"/>
    <cellStyle name="Millares 5 3 3 6 2" xfId="15081" xr:uid="{00000000-0005-0000-0000-000075390000}"/>
    <cellStyle name="Millares 5 3 3 6 2 2" xfId="28649" xr:uid="{00000000-0005-0000-0000-000076390000}"/>
    <cellStyle name="Millares 5 3 3 6 2 2 2" xfId="55782" xr:uid="{00000000-0005-0000-0000-000077390000}"/>
    <cellStyle name="Millares 5 3 3 6 2 3" xfId="42220" xr:uid="{00000000-0005-0000-0000-000078390000}"/>
    <cellStyle name="Millares 5 3 3 6 3" xfId="21868" xr:uid="{00000000-0005-0000-0000-000079390000}"/>
    <cellStyle name="Millares 5 3 3 6 3 2" xfId="49001" xr:uid="{00000000-0005-0000-0000-00007A390000}"/>
    <cellStyle name="Millares 5 3 3 6 4" xfId="35439" xr:uid="{00000000-0005-0000-0000-00007B390000}"/>
    <cellStyle name="Millares 5 3 3 7" xfId="11692" xr:uid="{00000000-0005-0000-0000-00007C390000}"/>
    <cellStyle name="Millares 5 3 3 7 2" xfId="25260" xr:uid="{00000000-0005-0000-0000-00007D390000}"/>
    <cellStyle name="Millares 5 3 3 7 2 2" xfId="52393" xr:uid="{00000000-0005-0000-0000-00007E390000}"/>
    <cellStyle name="Millares 5 3 3 7 3" xfId="38831" xr:uid="{00000000-0005-0000-0000-00007F390000}"/>
    <cellStyle name="Millares 5 3 3 8" xfId="18479" xr:uid="{00000000-0005-0000-0000-000080390000}"/>
    <cellStyle name="Millares 5 3 3 8 2" xfId="45612" xr:uid="{00000000-0005-0000-0000-000081390000}"/>
    <cellStyle name="Millares 5 3 3 9" xfId="32050" xr:uid="{00000000-0005-0000-0000-000082390000}"/>
    <cellStyle name="Millares 5 3 4" xfId="4704" xr:uid="{00000000-0005-0000-0000-000083390000}"/>
    <cellStyle name="Millares 5 3 4 2" xfId="4705" xr:uid="{00000000-0005-0000-0000-000084390000}"/>
    <cellStyle name="Millares 5 3 4 2 2" xfId="4706" xr:uid="{00000000-0005-0000-0000-000085390000}"/>
    <cellStyle name="Millares 5 3 4 2 2 2" xfId="8301" xr:uid="{00000000-0005-0000-0000-000086390000}"/>
    <cellStyle name="Millares 5 3 4 2 2 2 2" xfId="15091" xr:uid="{00000000-0005-0000-0000-000087390000}"/>
    <cellStyle name="Millares 5 3 4 2 2 2 2 2" xfId="28659" xr:uid="{00000000-0005-0000-0000-000088390000}"/>
    <cellStyle name="Millares 5 3 4 2 2 2 2 2 2" xfId="55792" xr:uid="{00000000-0005-0000-0000-000089390000}"/>
    <cellStyle name="Millares 5 3 4 2 2 2 2 3" xfId="42230" xr:uid="{00000000-0005-0000-0000-00008A390000}"/>
    <cellStyle name="Millares 5 3 4 2 2 2 3" xfId="21878" xr:uid="{00000000-0005-0000-0000-00008B390000}"/>
    <cellStyle name="Millares 5 3 4 2 2 2 3 2" xfId="49011" xr:uid="{00000000-0005-0000-0000-00008C390000}"/>
    <cellStyle name="Millares 5 3 4 2 2 2 4" xfId="35449" xr:uid="{00000000-0005-0000-0000-00008D390000}"/>
    <cellStyle name="Millares 5 3 4 2 2 3" xfId="11702" xr:uid="{00000000-0005-0000-0000-00008E390000}"/>
    <cellStyle name="Millares 5 3 4 2 2 3 2" xfId="25270" xr:uid="{00000000-0005-0000-0000-00008F390000}"/>
    <cellStyle name="Millares 5 3 4 2 2 3 2 2" xfId="52403" xr:uid="{00000000-0005-0000-0000-000090390000}"/>
    <cellStyle name="Millares 5 3 4 2 2 3 3" xfId="38841" xr:uid="{00000000-0005-0000-0000-000091390000}"/>
    <cellStyle name="Millares 5 3 4 2 2 4" xfId="18489" xr:uid="{00000000-0005-0000-0000-000092390000}"/>
    <cellStyle name="Millares 5 3 4 2 2 4 2" xfId="45622" xr:uid="{00000000-0005-0000-0000-000093390000}"/>
    <cellStyle name="Millares 5 3 4 2 2 5" xfId="32060" xr:uid="{00000000-0005-0000-0000-000094390000}"/>
    <cellStyle name="Millares 5 3 4 2 3" xfId="4707" xr:uid="{00000000-0005-0000-0000-000095390000}"/>
    <cellStyle name="Millares 5 3 4 2 3 2" xfId="8302" xr:uid="{00000000-0005-0000-0000-000096390000}"/>
    <cellStyle name="Millares 5 3 4 2 3 2 2" xfId="15092" xr:uid="{00000000-0005-0000-0000-000097390000}"/>
    <cellStyle name="Millares 5 3 4 2 3 2 2 2" xfId="28660" xr:uid="{00000000-0005-0000-0000-000098390000}"/>
    <cellStyle name="Millares 5 3 4 2 3 2 2 2 2" xfId="55793" xr:uid="{00000000-0005-0000-0000-000099390000}"/>
    <cellStyle name="Millares 5 3 4 2 3 2 2 3" xfId="42231" xr:uid="{00000000-0005-0000-0000-00009A390000}"/>
    <cellStyle name="Millares 5 3 4 2 3 2 3" xfId="21879" xr:uid="{00000000-0005-0000-0000-00009B390000}"/>
    <cellStyle name="Millares 5 3 4 2 3 2 3 2" xfId="49012" xr:uid="{00000000-0005-0000-0000-00009C390000}"/>
    <cellStyle name="Millares 5 3 4 2 3 2 4" xfId="35450" xr:uid="{00000000-0005-0000-0000-00009D390000}"/>
    <cellStyle name="Millares 5 3 4 2 3 3" xfId="11703" xr:uid="{00000000-0005-0000-0000-00009E390000}"/>
    <cellStyle name="Millares 5 3 4 2 3 3 2" xfId="25271" xr:uid="{00000000-0005-0000-0000-00009F390000}"/>
    <cellStyle name="Millares 5 3 4 2 3 3 2 2" xfId="52404" xr:uid="{00000000-0005-0000-0000-0000A0390000}"/>
    <cellStyle name="Millares 5 3 4 2 3 3 3" xfId="38842" xr:uid="{00000000-0005-0000-0000-0000A1390000}"/>
    <cellStyle name="Millares 5 3 4 2 3 4" xfId="18490" xr:uid="{00000000-0005-0000-0000-0000A2390000}"/>
    <cellStyle name="Millares 5 3 4 2 3 4 2" xfId="45623" xr:uid="{00000000-0005-0000-0000-0000A3390000}"/>
    <cellStyle name="Millares 5 3 4 2 3 5" xfId="32061" xr:uid="{00000000-0005-0000-0000-0000A4390000}"/>
    <cellStyle name="Millares 5 3 4 2 4" xfId="8300" xr:uid="{00000000-0005-0000-0000-0000A5390000}"/>
    <cellStyle name="Millares 5 3 4 2 4 2" xfId="15090" xr:uid="{00000000-0005-0000-0000-0000A6390000}"/>
    <cellStyle name="Millares 5 3 4 2 4 2 2" xfId="28658" xr:uid="{00000000-0005-0000-0000-0000A7390000}"/>
    <cellStyle name="Millares 5 3 4 2 4 2 2 2" xfId="55791" xr:uid="{00000000-0005-0000-0000-0000A8390000}"/>
    <cellStyle name="Millares 5 3 4 2 4 2 3" xfId="42229" xr:uid="{00000000-0005-0000-0000-0000A9390000}"/>
    <cellStyle name="Millares 5 3 4 2 4 3" xfId="21877" xr:uid="{00000000-0005-0000-0000-0000AA390000}"/>
    <cellStyle name="Millares 5 3 4 2 4 3 2" xfId="49010" xr:uid="{00000000-0005-0000-0000-0000AB390000}"/>
    <cellStyle name="Millares 5 3 4 2 4 4" xfId="35448" xr:uid="{00000000-0005-0000-0000-0000AC390000}"/>
    <cellStyle name="Millares 5 3 4 2 5" xfId="11701" xr:uid="{00000000-0005-0000-0000-0000AD390000}"/>
    <cellStyle name="Millares 5 3 4 2 5 2" xfId="25269" xr:uid="{00000000-0005-0000-0000-0000AE390000}"/>
    <cellStyle name="Millares 5 3 4 2 5 2 2" xfId="52402" xr:uid="{00000000-0005-0000-0000-0000AF390000}"/>
    <cellStyle name="Millares 5 3 4 2 5 3" xfId="38840" xr:uid="{00000000-0005-0000-0000-0000B0390000}"/>
    <cellStyle name="Millares 5 3 4 2 6" xfId="18488" xr:uid="{00000000-0005-0000-0000-0000B1390000}"/>
    <cellStyle name="Millares 5 3 4 2 6 2" xfId="45621" xr:uid="{00000000-0005-0000-0000-0000B2390000}"/>
    <cellStyle name="Millares 5 3 4 2 7" xfId="32059" xr:uid="{00000000-0005-0000-0000-0000B3390000}"/>
    <cellStyle name="Millares 5 3 4 3" xfId="4708" xr:uid="{00000000-0005-0000-0000-0000B4390000}"/>
    <cellStyle name="Millares 5 3 4 3 2" xfId="8303" xr:uid="{00000000-0005-0000-0000-0000B5390000}"/>
    <cellStyle name="Millares 5 3 4 3 2 2" xfId="15093" xr:uid="{00000000-0005-0000-0000-0000B6390000}"/>
    <cellStyle name="Millares 5 3 4 3 2 2 2" xfId="28661" xr:uid="{00000000-0005-0000-0000-0000B7390000}"/>
    <cellStyle name="Millares 5 3 4 3 2 2 2 2" xfId="55794" xr:uid="{00000000-0005-0000-0000-0000B8390000}"/>
    <cellStyle name="Millares 5 3 4 3 2 2 3" xfId="42232" xr:uid="{00000000-0005-0000-0000-0000B9390000}"/>
    <cellStyle name="Millares 5 3 4 3 2 3" xfId="21880" xr:uid="{00000000-0005-0000-0000-0000BA390000}"/>
    <cellStyle name="Millares 5 3 4 3 2 3 2" xfId="49013" xr:uid="{00000000-0005-0000-0000-0000BB390000}"/>
    <cellStyle name="Millares 5 3 4 3 2 4" xfId="35451" xr:uid="{00000000-0005-0000-0000-0000BC390000}"/>
    <cellStyle name="Millares 5 3 4 3 3" xfId="11704" xr:uid="{00000000-0005-0000-0000-0000BD390000}"/>
    <cellStyle name="Millares 5 3 4 3 3 2" xfId="25272" xr:uid="{00000000-0005-0000-0000-0000BE390000}"/>
    <cellStyle name="Millares 5 3 4 3 3 2 2" xfId="52405" xr:uid="{00000000-0005-0000-0000-0000BF390000}"/>
    <cellStyle name="Millares 5 3 4 3 3 3" xfId="38843" xr:uid="{00000000-0005-0000-0000-0000C0390000}"/>
    <cellStyle name="Millares 5 3 4 3 4" xfId="18491" xr:uid="{00000000-0005-0000-0000-0000C1390000}"/>
    <cellStyle name="Millares 5 3 4 3 4 2" xfId="45624" xr:uid="{00000000-0005-0000-0000-0000C2390000}"/>
    <cellStyle name="Millares 5 3 4 3 5" xfId="32062" xr:uid="{00000000-0005-0000-0000-0000C3390000}"/>
    <cellStyle name="Millares 5 3 4 4" xfId="4709" xr:uid="{00000000-0005-0000-0000-0000C4390000}"/>
    <cellStyle name="Millares 5 3 4 4 2" xfId="8304" xr:uid="{00000000-0005-0000-0000-0000C5390000}"/>
    <cellStyle name="Millares 5 3 4 4 2 2" xfId="15094" xr:uid="{00000000-0005-0000-0000-0000C6390000}"/>
    <cellStyle name="Millares 5 3 4 4 2 2 2" xfId="28662" xr:uid="{00000000-0005-0000-0000-0000C7390000}"/>
    <cellStyle name="Millares 5 3 4 4 2 2 2 2" xfId="55795" xr:uid="{00000000-0005-0000-0000-0000C8390000}"/>
    <cellStyle name="Millares 5 3 4 4 2 2 3" xfId="42233" xr:uid="{00000000-0005-0000-0000-0000C9390000}"/>
    <cellStyle name="Millares 5 3 4 4 2 3" xfId="21881" xr:uid="{00000000-0005-0000-0000-0000CA390000}"/>
    <cellStyle name="Millares 5 3 4 4 2 3 2" xfId="49014" xr:uid="{00000000-0005-0000-0000-0000CB390000}"/>
    <cellStyle name="Millares 5 3 4 4 2 4" xfId="35452" xr:uid="{00000000-0005-0000-0000-0000CC390000}"/>
    <cellStyle name="Millares 5 3 4 4 3" xfId="11705" xr:uid="{00000000-0005-0000-0000-0000CD390000}"/>
    <cellStyle name="Millares 5 3 4 4 3 2" xfId="25273" xr:uid="{00000000-0005-0000-0000-0000CE390000}"/>
    <cellStyle name="Millares 5 3 4 4 3 2 2" xfId="52406" xr:uid="{00000000-0005-0000-0000-0000CF390000}"/>
    <cellStyle name="Millares 5 3 4 4 3 3" xfId="38844" xr:uid="{00000000-0005-0000-0000-0000D0390000}"/>
    <cellStyle name="Millares 5 3 4 4 4" xfId="18492" xr:uid="{00000000-0005-0000-0000-0000D1390000}"/>
    <cellStyle name="Millares 5 3 4 4 4 2" xfId="45625" xr:uid="{00000000-0005-0000-0000-0000D2390000}"/>
    <cellStyle name="Millares 5 3 4 4 5" xfId="32063" xr:uid="{00000000-0005-0000-0000-0000D3390000}"/>
    <cellStyle name="Millares 5 3 4 5" xfId="8299" xr:uid="{00000000-0005-0000-0000-0000D4390000}"/>
    <cellStyle name="Millares 5 3 4 5 2" xfId="15089" xr:uid="{00000000-0005-0000-0000-0000D5390000}"/>
    <cellStyle name="Millares 5 3 4 5 2 2" xfId="28657" xr:uid="{00000000-0005-0000-0000-0000D6390000}"/>
    <cellStyle name="Millares 5 3 4 5 2 2 2" xfId="55790" xr:uid="{00000000-0005-0000-0000-0000D7390000}"/>
    <cellStyle name="Millares 5 3 4 5 2 3" xfId="42228" xr:uid="{00000000-0005-0000-0000-0000D8390000}"/>
    <cellStyle name="Millares 5 3 4 5 3" xfId="21876" xr:uid="{00000000-0005-0000-0000-0000D9390000}"/>
    <cellStyle name="Millares 5 3 4 5 3 2" xfId="49009" xr:uid="{00000000-0005-0000-0000-0000DA390000}"/>
    <cellStyle name="Millares 5 3 4 5 4" xfId="35447" xr:uid="{00000000-0005-0000-0000-0000DB390000}"/>
    <cellStyle name="Millares 5 3 4 6" xfId="11700" xr:uid="{00000000-0005-0000-0000-0000DC390000}"/>
    <cellStyle name="Millares 5 3 4 6 2" xfId="25268" xr:uid="{00000000-0005-0000-0000-0000DD390000}"/>
    <cellStyle name="Millares 5 3 4 6 2 2" xfId="52401" xr:uid="{00000000-0005-0000-0000-0000DE390000}"/>
    <cellStyle name="Millares 5 3 4 6 3" xfId="38839" xr:uid="{00000000-0005-0000-0000-0000DF390000}"/>
    <cellStyle name="Millares 5 3 4 7" xfId="18487" xr:uid="{00000000-0005-0000-0000-0000E0390000}"/>
    <cellStyle name="Millares 5 3 4 7 2" xfId="45620" xr:uid="{00000000-0005-0000-0000-0000E1390000}"/>
    <cellStyle name="Millares 5 3 4 8" xfId="32058" xr:uid="{00000000-0005-0000-0000-0000E2390000}"/>
    <cellStyle name="Millares 5 3 5" xfId="4710" xr:uid="{00000000-0005-0000-0000-0000E3390000}"/>
    <cellStyle name="Millares 5 3 5 2" xfId="4711" xr:uid="{00000000-0005-0000-0000-0000E4390000}"/>
    <cellStyle name="Millares 5 3 5 2 2" xfId="4712" xr:uid="{00000000-0005-0000-0000-0000E5390000}"/>
    <cellStyle name="Millares 5 3 5 2 2 2" xfId="8307" xr:uid="{00000000-0005-0000-0000-0000E6390000}"/>
    <cellStyle name="Millares 5 3 5 2 2 2 2" xfId="15097" xr:uid="{00000000-0005-0000-0000-0000E7390000}"/>
    <cellStyle name="Millares 5 3 5 2 2 2 2 2" xfId="28665" xr:uid="{00000000-0005-0000-0000-0000E8390000}"/>
    <cellStyle name="Millares 5 3 5 2 2 2 2 2 2" xfId="55798" xr:uid="{00000000-0005-0000-0000-0000E9390000}"/>
    <cellStyle name="Millares 5 3 5 2 2 2 2 3" xfId="42236" xr:uid="{00000000-0005-0000-0000-0000EA390000}"/>
    <cellStyle name="Millares 5 3 5 2 2 2 3" xfId="21884" xr:uid="{00000000-0005-0000-0000-0000EB390000}"/>
    <cellStyle name="Millares 5 3 5 2 2 2 3 2" xfId="49017" xr:uid="{00000000-0005-0000-0000-0000EC390000}"/>
    <cellStyle name="Millares 5 3 5 2 2 2 4" xfId="35455" xr:uid="{00000000-0005-0000-0000-0000ED390000}"/>
    <cellStyle name="Millares 5 3 5 2 2 3" xfId="11708" xr:uid="{00000000-0005-0000-0000-0000EE390000}"/>
    <cellStyle name="Millares 5 3 5 2 2 3 2" xfId="25276" xr:uid="{00000000-0005-0000-0000-0000EF390000}"/>
    <cellStyle name="Millares 5 3 5 2 2 3 2 2" xfId="52409" xr:uid="{00000000-0005-0000-0000-0000F0390000}"/>
    <cellStyle name="Millares 5 3 5 2 2 3 3" xfId="38847" xr:uid="{00000000-0005-0000-0000-0000F1390000}"/>
    <cellStyle name="Millares 5 3 5 2 2 4" xfId="18495" xr:uid="{00000000-0005-0000-0000-0000F2390000}"/>
    <cellStyle name="Millares 5 3 5 2 2 4 2" xfId="45628" xr:uid="{00000000-0005-0000-0000-0000F3390000}"/>
    <cellStyle name="Millares 5 3 5 2 2 5" xfId="32066" xr:uid="{00000000-0005-0000-0000-0000F4390000}"/>
    <cellStyle name="Millares 5 3 5 2 3" xfId="4713" xr:uid="{00000000-0005-0000-0000-0000F5390000}"/>
    <cellStyle name="Millares 5 3 5 2 3 2" xfId="8308" xr:uid="{00000000-0005-0000-0000-0000F6390000}"/>
    <cellStyle name="Millares 5 3 5 2 3 2 2" xfId="15098" xr:uid="{00000000-0005-0000-0000-0000F7390000}"/>
    <cellStyle name="Millares 5 3 5 2 3 2 2 2" xfId="28666" xr:uid="{00000000-0005-0000-0000-0000F8390000}"/>
    <cellStyle name="Millares 5 3 5 2 3 2 2 2 2" xfId="55799" xr:uid="{00000000-0005-0000-0000-0000F9390000}"/>
    <cellStyle name="Millares 5 3 5 2 3 2 2 3" xfId="42237" xr:uid="{00000000-0005-0000-0000-0000FA390000}"/>
    <cellStyle name="Millares 5 3 5 2 3 2 3" xfId="21885" xr:uid="{00000000-0005-0000-0000-0000FB390000}"/>
    <cellStyle name="Millares 5 3 5 2 3 2 3 2" xfId="49018" xr:uid="{00000000-0005-0000-0000-0000FC390000}"/>
    <cellStyle name="Millares 5 3 5 2 3 2 4" xfId="35456" xr:uid="{00000000-0005-0000-0000-0000FD390000}"/>
    <cellStyle name="Millares 5 3 5 2 3 3" xfId="11709" xr:uid="{00000000-0005-0000-0000-0000FE390000}"/>
    <cellStyle name="Millares 5 3 5 2 3 3 2" xfId="25277" xr:uid="{00000000-0005-0000-0000-0000FF390000}"/>
    <cellStyle name="Millares 5 3 5 2 3 3 2 2" xfId="52410" xr:uid="{00000000-0005-0000-0000-0000003A0000}"/>
    <cellStyle name="Millares 5 3 5 2 3 3 3" xfId="38848" xr:uid="{00000000-0005-0000-0000-0000013A0000}"/>
    <cellStyle name="Millares 5 3 5 2 3 4" xfId="18496" xr:uid="{00000000-0005-0000-0000-0000023A0000}"/>
    <cellStyle name="Millares 5 3 5 2 3 4 2" xfId="45629" xr:uid="{00000000-0005-0000-0000-0000033A0000}"/>
    <cellStyle name="Millares 5 3 5 2 3 5" xfId="32067" xr:uid="{00000000-0005-0000-0000-0000043A0000}"/>
    <cellStyle name="Millares 5 3 5 2 4" xfId="8306" xr:uid="{00000000-0005-0000-0000-0000053A0000}"/>
    <cellStyle name="Millares 5 3 5 2 4 2" xfId="15096" xr:uid="{00000000-0005-0000-0000-0000063A0000}"/>
    <cellStyle name="Millares 5 3 5 2 4 2 2" xfId="28664" xr:uid="{00000000-0005-0000-0000-0000073A0000}"/>
    <cellStyle name="Millares 5 3 5 2 4 2 2 2" xfId="55797" xr:uid="{00000000-0005-0000-0000-0000083A0000}"/>
    <cellStyle name="Millares 5 3 5 2 4 2 3" xfId="42235" xr:uid="{00000000-0005-0000-0000-0000093A0000}"/>
    <cellStyle name="Millares 5 3 5 2 4 3" xfId="21883" xr:uid="{00000000-0005-0000-0000-00000A3A0000}"/>
    <cellStyle name="Millares 5 3 5 2 4 3 2" xfId="49016" xr:uid="{00000000-0005-0000-0000-00000B3A0000}"/>
    <cellStyle name="Millares 5 3 5 2 4 4" xfId="35454" xr:uid="{00000000-0005-0000-0000-00000C3A0000}"/>
    <cellStyle name="Millares 5 3 5 2 5" xfId="11707" xr:uid="{00000000-0005-0000-0000-00000D3A0000}"/>
    <cellStyle name="Millares 5 3 5 2 5 2" xfId="25275" xr:uid="{00000000-0005-0000-0000-00000E3A0000}"/>
    <cellStyle name="Millares 5 3 5 2 5 2 2" xfId="52408" xr:uid="{00000000-0005-0000-0000-00000F3A0000}"/>
    <cellStyle name="Millares 5 3 5 2 5 3" xfId="38846" xr:uid="{00000000-0005-0000-0000-0000103A0000}"/>
    <cellStyle name="Millares 5 3 5 2 6" xfId="18494" xr:uid="{00000000-0005-0000-0000-0000113A0000}"/>
    <cellStyle name="Millares 5 3 5 2 6 2" xfId="45627" xr:uid="{00000000-0005-0000-0000-0000123A0000}"/>
    <cellStyle name="Millares 5 3 5 2 7" xfId="32065" xr:uid="{00000000-0005-0000-0000-0000133A0000}"/>
    <cellStyle name="Millares 5 3 5 3" xfId="4714" xr:uid="{00000000-0005-0000-0000-0000143A0000}"/>
    <cellStyle name="Millares 5 3 5 3 2" xfId="8309" xr:uid="{00000000-0005-0000-0000-0000153A0000}"/>
    <cellStyle name="Millares 5 3 5 3 2 2" xfId="15099" xr:uid="{00000000-0005-0000-0000-0000163A0000}"/>
    <cellStyle name="Millares 5 3 5 3 2 2 2" xfId="28667" xr:uid="{00000000-0005-0000-0000-0000173A0000}"/>
    <cellStyle name="Millares 5 3 5 3 2 2 2 2" xfId="55800" xr:uid="{00000000-0005-0000-0000-0000183A0000}"/>
    <cellStyle name="Millares 5 3 5 3 2 2 3" xfId="42238" xr:uid="{00000000-0005-0000-0000-0000193A0000}"/>
    <cellStyle name="Millares 5 3 5 3 2 3" xfId="21886" xr:uid="{00000000-0005-0000-0000-00001A3A0000}"/>
    <cellStyle name="Millares 5 3 5 3 2 3 2" xfId="49019" xr:uid="{00000000-0005-0000-0000-00001B3A0000}"/>
    <cellStyle name="Millares 5 3 5 3 2 4" xfId="35457" xr:uid="{00000000-0005-0000-0000-00001C3A0000}"/>
    <cellStyle name="Millares 5 3 5 3 3" xfId="11710" xr:uid="{00000000-0005-0000-0000-00001D3A0000}"/>
    <cellStyle name="Millares 5 3 5 3 3 2" xfId="25278" xr:uid="{00000000-0005-0000-0000-00001E3A0000}"/>
    <cellStyle name="Millares 5 3 5 3 3 2 2" xfId="52411" xr:uid="{00000000-0005-0000-0000-00001F3A0000}"/>
    <cellStyle name="Millares 5 3 5 3 3 3" xfId="38849" xr:uid="{00000000-0005-0000-0000-0000203A0000}"/>
    <cellStyle name="Millares 5 3 5 3 4" xfId="18497" xr:uid="{00000000-0005-0000-0000-0000213A0000}"/>
    <cellStyle name="Millares 5 3 5 3 4 2" xfId="45630" xr:uid="{00000000-0005-0000-0000-0000223A0000}"/>
    <cellStyle name="Millares 5 3 5 3 5" xfId="32068" xr:uid="{00000000-0005-0000-0000-0000233A0000}"/>
    <cellStyle name="Millares 5 3 5 4" xfId="4715" xr:uid="{00000000-0005-0000-0000-0000243A0000}"/>
    <cellStyle name="Millares 5 3 5 4 2" xfId="8310" xr:uid="{00000000-0005-0000-0000-0000253A0000}"/>
    <cellStyle name="Millares 5 3 5 4 2 2" xfId="15100" xr:uid="{00000000-0005-0000-0000-0000263A0000}"/>
    <cellStyle name="Millares 5 3 5 4 2 2 2" xfId="28668" xr:uid="{00000000-0005-0000-0000-0000273A0000}"/>
    <cellStyle name="Millares 5 3 5 4 2 2 2 2" xfId="55801" xr:uid="{00000000-0005-0000-0000-0000283A0000}"/>
    <cellStyle name="Millares 5 3 5 4 2 2 3" xfId="42239" xr:uid="{00000000-0005-0000-0000-0000293A0000}"/>
    <cellStyle name="Millares 5 3 5 4 2 3" xfId="21887" xr:uid="{00000000-0005-0000-0000-00002A3A0000}"/>
    <cellStyle name="Millares 5 3 5 4 2 3 2" xfId="49020" xr:uid="{00000000-0005-0000-0000-00002B3A0000}"/>
    <cellStyle name="Millares 5 3 5 4 2 4" xfId="35458" xr:uid="{00000000-0005-0000-0000-00002C3A0000}"/>
    <cellStyle name="Millares 5 3 5 4 3" xfId="11711" xr:uid="{00000000-0005-0000-0000-00002D3A0000}"/>
    <cellStyle name="Millares 5 3 5 4 3 2" xfId="25279" xr:uid="{00000000-0005-0000-0000-00002E3A0000}"/>
    <cellStyle name="Millares 5 3 5 4 3 2 2" xfId="52412" xr:uid="{00000000-0005-0000-0000-00002F3A0000}"/>
    <cellStyle name="Millares 5 3 5 4 3 3" xfId="38850" xr:uid="{00000000-0005-0000-0000-0000303A0000}"/>
    <cellStyle name="Millares 5 3 5 4 4" xfId="18498" xr:uid="{00000000-0005-0000-0000-0000313A0000}"/>
    <cellStyle name="Millares 5 3 5 4 4 2" xfId="45631" xr:uid="{00000000-0005-0000-0000-0000323A0000}"/>
    <cellStyle name="Millares 5 3 5 4 5" xfId="32069" xr:uid="{00000000-0005-0000-0000-0000333A0000}"/>
    <cellStyle name="Millares 5 3 5 5" xfId="8305" xr:uid="{00000000-0005-0000-0000-0000343A0000}"/>
    <cellStyle name="Millares 5 3 5 5 2" xfId="15095" xr:uid="{00000000-0005-0000-0000-0000353A0000}"/>
    <cellStyle name="Millares 5 3 5 5 2 2" xfId="28663" xr:uid="{00000000-0005-0000-0000-0000363A0000}"/>
    <cellStyle name="Millares 5 3 5 5 2 2 2" xfId="55796" xr:uid="{00000000-0005-0000-0000-0000373A0000}"/>
    <cellStyle name="Millares 5 3 5 5 2 3" xfId="42234" xr:uid="{00000000-0005-0000-0000-0000383A0000}"/>
    <cellStyle name="Millares 5 3 5 5 3" xfId="21882" xr:uid="{00000000-0005-0000-0000-0000393A0000}"/>
    <cellStyle name="Millares 5 3 5 5 3 2" xfId="49015" xr:uid="{00000000-0005-0000-0000-00003A3A0000}"/>
    <cellStyle name="Millares 5 3 5 5 4" xfId="35453" xr:uid="{00000000-0005-0000-0000-00003B3A0000}"/>
    <cellStyle name="Millares 5 3 5 6" xfId="11706" xr:uid="{00000000-0005-0000-0000-00003C3A0000}"/>
    <cellStyle name="Millares 5 3 5 6 2" xfId="25274" xr:uid="{00000000-0005-0000-0000-00003D3A0000}"/>
    <cellStyle name="Millares 5 3 5 6 2 2" xfId="52407" xr:uid="{00000000-0005-0000-0000-00003E3A0000}"/>
    <cellStyle name="Millares 5 3 5 6 3" xfId="38845" xr:uid="{00000000-0005-0000-0000-00003F3A0000}"/>
    <cellStyle name="Millares 5 3 5 7" xfId="18493" xr:uid="{00000000-0005-0000-0000-0000403A0000}"/>
    <cellStyle name="Millares 5 3 5 7 2" xfId="45626" xr:uid="{00000000-0005-0000-0000-0000413A0000}"/>
    <cellStyle name="Millares 5 3 5 8" xfId="32064" xr:uid="{00000000-0005-0000-0000-0000423A0000}"/>
    <cellStyle name="Millares 5 3 6" xfId="4716" xr:uid="{00000000-0005-0000-0000-0000433A0000}"/>
    <cellStyle name="Millares 5 3 6 2" xfId="4717" xr:uid="{00000000-0005-0000-0000-0000443A0000}"/>
    <cellStyle name="Millares 5 3 6 2 2" xfId="8312" xr:uid="{00000000-0005-0000-0000-0000453A0000}"/>
    <cellStyle name="Millares 5 3 6 2 2 2" xfId="15102" xr:uid="{00000000-0005-0000-0000-0000463A0000}"/>
    <cellStyle name="Millares 5 3 6 2 2 2 2" xfId="28670" xr:uid="{00000000-0005-0000-0000-0000473A0000}"/>
    <cellStyle name="Millares 5 3 6 2 2 2 2 2" xfId="55803" xr:uid="{00000000-0005-0000-0000-0000483A0000}"/>
    <cellStyle name="Millares 5 3 6 2 2 2 3" xfId="42241" xr:uid="{00000000-0005-0000-0000-0000493A0000}"/>
    <cellStyle name="Millares 5 3 6 2 2 3" xfId="21889" xr:uid="{00000000-0005-0000-0000-00004A3A0000}"/>
    <cellStyle name="Millares 5 3 6 2 2 3 2" xfId="49022" xr:uid="{00000000-0005-0000-0000-00004B3A0000}"/>
    <cellStyle name="Millares 5 3 6 2 2 4" xfId="35460" xr:uid="{00000000-0005-0000-0000-00004C3A0000}"/>
    <cellStyle name="Millares 5 3 6 2 3" xfId="11713" xr:uid="{00000000-0005-0000-0000-00004D3A0000}"/>
    <cellStyle name="Millares 5 3 6 2 3 2" xfId="25281" xr:uid="{00000000-0005-0000-0000-00004E3A0000}"/>
    <cellStyle name="Millares 5 3 6 2 3 2 2" xfId="52414" xr:uid="{00000000-0005-0000-0000-00004F3A0000}"/>
    <cellStyle name="Millares 5 3 6 2 3 3" xfId="38852" xr:uid="{00000000-0005-0000-0000-0000503A0000}"/>
    <cellStyle name="Millares 5 3 6 2 4" xfId="18500" xr:uid="{00000000-0005-0000-0000-0000513A0000}"/>
    <cellStyle name="Millares 5 3 6 2 4 2" xfId="45633" xr:uid="{00000000-0005-0000-0000-0000523A0000}"/>
    <cellStyle name="Millares 5 3 6 2 5" xfId="32071" xr:uid="{00000000-0005-0000-0000-0000533A0000}"/>
    <cellStyle name="Millares 5 3 6 3" xfId="4718" xr:uid="{00000000-0005-0000-0000-0000543A0000}"/>
    <cellStyle name="Millares 5 3 6 3 2" xfId="8313" xr:uid="{00000000-0005-0000-0000-0000553A0000}"/>
    <cellStyle name="Millares 5 3 6 3 2 2" xfId="15103" xr:uid="{00000000-0005-0000-0000-0000563A0000}"/>
    <cellStyle name="Millares 5 3 6 3 2 2 2" xfId="28671" xr:uid="{00000000-0005-0000-0000-0000573A0000}"/>
    <cellStyle name="Millares 5 3 6 3 2 2 2 2" xfId="55804" xr:uid="{00000000-0005-0000-0000-0000583A0000}"/>
    <cellStyle name="Millares 5 3 6 3 2 2 3" xfId="42242" xr:uid="{00000000-0005-0000-0000-0000593A0000}"/>
    <cellStyle name="Millares 5 3 6 3 2 3" xfId="21890" xr:uid="{00000000-0005-0000-0000-00005A3A0000}"/>
    <cellStyle name="Millares 5 3 6 3 2 3 2" xfId="49023" xr:uid="{00000000-0005-0000-0000-00005B3A0000}"/>
    <cellStyle name="Millares 5 3 6 3 2 4" xfId="35461" xr:uid="{00000000-0005-0000-0000-00005C3A0000}"/>
    <cellStyle name="Millares 5 3 6 3 3" xfId="11714" xr:uid="{00000000-0005-0000-0000-00005D3A0000}"/>
    <cellStyle name="Millares 5 3 6 3 3 2" xfId="25282" xr:uid="{00000000-0005-0000-0000-00005E3A0000}"/>
    <cellStyle name="Millares 5 3 6 3 3 2 2" xfId="52415" xr:uid="{00000000-0005-0000-0000-00005F3A0000}"/>
    <cellStyle name="Millares 5 3 6 3 3 3" xfId="38853" xr:uid="{00000000-0005-0000-0000-0000603A0000}"/>
    <cellStyle name="Millares 5 3 6 3 4" xfId="18501" xr:uid="{00000000-0005-0000-0000-0000613A0000}"/>
    <cellStyle name="Millares 5 3 6 3 4 2" xfId="45634" xr:uid="{00000000-0005-0000-0000-0000623A0000}"/>
    <cellStyle name="Millares 5 3 6 3 5" xfId="32072" xr:uid="{00000000-0005-0000-0000-0000633A0000}"/>
    <cellStyle name="Millares 5 3 6 4" xfId="8311" xr:uid="{00000000-0005-0000-0000-0000643A0000}"/>
    <cellStyle name="Millares 5 3 6 4 2" xfId="15101" xr:uid="{00000000-0005-0000-0000-0000653A0000}"/>
    <cellStyle name="Millares 5 3 6 4 2 2" xfId="28669" xr:uid="{00000000-0005-0000-0000-0000663A0000}"/>
    <cellStyle name="Millares 5 3 6 4 2 2 2" xfId="55802" xr:uid="{00000000-0005-0000-0000-0000673A0000}"/>
    <cellStyle name="Millares 5 3 6 4 2 3" xfId="42240" xr:uid="{00000000-0005-0000-0000-0000683A0000}"/>
    <cellStyle name="Millares 5 3 6 4 3" xfId="21888" xr:uid="{00000000-0005-0000-0000-0000693A0000}"/>
    <cellStyle name="Millares 5 3 6 4 3 2" xfId="49021" xr:uid="{00000000-0005-0000-0000-00006A3A0000}"/>
    <cellStyle name="Millares 5 3 6 4 4" xfId="35459" xr:uid="{00000000-0005-0000-0000-00006B3A0000}"/>
    <cellStyle name="Millares 5 3 6 5" xfId="11712" xr:uid="{00000000-0005-0000-0000-00006C3A0000}"/>
    <cellStyle name="Millares 5 3 6 5 2" xfId="25280" xr:uid="{00000000-0005-0000-0000-00006D3A0000}"/>
    <cellStyle name="Millares 5 3 6 5 2 2" xfId="52413" xr:uid="{00000000-0005-0000-0000-00006E3A0000}"/>
    <cellStyle name="Millares 5 3 6 5 3" xfId="38851" xr:uid="{00000000-0005-0000-0000-00006F3A0000}"/>
    <cellStyle name="Millares 5 3 6 6" xfId="18499" xr:uid="{00000000-0005-0000-0000-0000703A0000}"/>
    <cellStyle name="Millares 5 3 6 6 2" xfId="45632" xr:uid="{00000000-0005-0000-0000-0000713A0000}"/>
    <cellStyle name="Millares 5 3 6 7" xfId="32070" xr:uid="{00000000-0005-0000-0000-0000723A0000}"/>
    <cellStyle name="Millares 5 3 7" xfId="4719" xr:uid="{00000000-0005-0000-0000-0000733A0000}"/>
    <cellStyle name="Millares 5 3 7 2" xfId="4720" xr:uid="{00000000-0005-0000-0000-0000743A0000}"/>
    <cellStyle name="Millares 5 3 7 2 2" xfId="8315" xr:uid="{00000000-0005-0000-0000-0000753A0000}"/>
    <cellStyle name="Millares 5 3 7 2 2 2" xfId="15105" xr:uid="{00000000-0005-0000-0000-0000763A0000}"/>
    <cellStyle name="Millares 5 3 7 2 2 2 2" xfId="28673" xr:uid="{00000000-0005-0000-0000-0000773A0000}"/>
    <cellStyle name="Millares 5 3 7 2 2 2 2 2" xfId="55806" xr:uid="{00000000-0005-0000-0000-0000783A0000}"/>
    <cellStyle name="Millares 5 3 7 2 2 2 3" xfId="42244" xr:uid="{00000000-0005-0000-0000-0000793A0000}"/>
    <cellStyle name="Millares 5 3 7 2 2 3" xfId="21892" xr:uid="{00000000-0005-0000-0000-00007A3A0000}"/>
    <cellStyle name="Millares 5 3 7 2 2 3 2" xfId="49025" xr:uid="{00000000-0005-0000-0000-00007B3A0000}"/>
    <cellStyle name="Millares 5 3 7 2 2 4" xfId="35463" xr:uid="{00000000-0005-0000-0000-00007C3A0000}"/>
    <cellStyle name="Millares 5 3 7 2 3" xfId="11716" xr:uid="{00000000-0005-0000-0000-00007D3A0000}"/>
    <cellStyle name="Millares 5 3 7 2 3 2" xfId="25284" xr:uid="{00000000-0005-0000-0000-00007E3A0000}"/>
    <cellStyle name="Millares 5 3 7 2 3 2 2" xfId="52417" xr:uid="{00000000-0005-0000-0000-00007F3A0000}"/>
    <cellStyle name="Millares 5 3 7 2 3 3" xfId="38855" xr:uid="{00000000-0005-0000-0000-0000803A0000}"/>
    <cellStyle name="Millares 5 3 7 2 4" xfId="18503" xr:uid="{00000000-0005-0000-0000-0000813A0000}"/>
    <cellStyle name="Millares 5 3 7 2 4 2" xfId="45636" xr:uid="{00000000-0005-0000-0000-0000823A0000}"/>
    <cellStyle name="Millares 5 3 7 2 5" xfId="32074" xr:uid="{00000000-0005-0000-0000-0000833A0000}"/>
    <cellStyle name="Millares 5 3 7 3" xfId="4721" xr:uid="{00000000-0005-0000-0000-0000843A0000}"/>
    <cellStyle name="Millares 5 3 7 3 2" xfId="8316" xr:uid="{00000000-0005-0000-0000-0000853A0000}"/>
    <cellStyle name="Millares 5 3 7 3 2 2" xfId="15106" xr:uid="{00000000-0005-0000-0000-0000863A0000}"/>
    <cellStyle name="Millares 5 3 7 3 2 2 2" xfId="28674" xr:uid="{00000000-0005-0000-0000-0000873A0000}"/>
    <cellStyle name="Millares 5 3 7 3 2 2 2 2" xfId="55807" xr:uid="{00000000-0005-0000-0000-0000883A0000}"/>
    <cellStyle name="Millares 5 3 7 3 2 2 3" xfId="42245" xr:uid="{00000000-0005-0000-0000-0000893A0000}"/>
    <cellStyle name="Millares 5 3 7 3 2 3" xfId="21893" xr:uid="{00000000-0005-0000-0000-00008A3A0000}"/>
    <cellStyle name="Millares 5 3 7 3 2 3 2" xfId="49026" xr:uid="{00000000-0005-0000-0000-00008B3A0000}"/>
    <cellStyle name="Millares 5 3 7 3 2 4" xfId="35464" xr:uid="{00000000-0005-0000-0000-00008C3A0000}"/>
    <cellStyle name="Millares 5 3 7 3 3" xfId="11717" xr:uid="{00000000-0005-0000-0000-00008D3A0000}"/>
    <cellStyle name="Millares 5 3 7 3 3 2" xfId="25285" xr:uid="{00000000-0005-0000-0000-00008E3A0000}"/>
    <cellStyle name="Millares 5 3 7 3 3 2 2" xfId="52418" xr:uid="{00000000-0005-0000-0000-00008F3A0000}"/>
    <cellStyle name="Millares 5 3 7 3 3 3" xfId="38856" xr:uid="{00000000-0005-0000-0000-0000903A0000}"/>
    <cellStyle name="Millares 5 3 7 3 4" xfId="18504" xr:uid="{00000000-0005-0000-0000-0000913A0000}"/>
    <cellStyle name="Millares 5 3 7 3 4 2" xfId="45637" xr:uid="{00000000-0005-0000-0000-0000923A0000}"/>
    <cellStyle name="Millares 5 3 7 3 5" xfId="32075" xr:uid="{00000000-0005-0000-0000-0000933A0000}"/>
    <cellStyle name="Millares 5 3 7 4" xfId="8314" xr:uid="{00000000-0005-0000-0000-0000943A0000}"/>
    <cellStyle name="Millares 5 3 7 4 2" xfId="15104" xr:uid="{00000000-0005-0000-0000-0000953A0000}"/>
    <cellStyle name="Millares 5 3 7 4 2 2" xfId="28672" xr:uid="{00000000-0005-0000-0000-0000963A0000}"/>
    <cellStyle name="Millares 5 3 7 4 2 2 2" xfId="55805" xr:uid="{00000000-0005-0000-0000-0000973A0000}"/>
    <cellStyle name="Millares 5 3 7 4 2 3" xfId="42243" xr:uid="{00000000-0005-0000-0000-0000983A0000}"/>
    <cellStyle name="Millares 5 3 7 4 3" xfId="21891" xr:uid="{00000000-0005-0000-0000-0000993A0000}"/>
    <cellStyle name="Millares 5 3 7 4 3 2" xfId="49024" xr:uid="{00000000-0005-0000-0000-00009A3A0000}"/>
    <cellStyle name="Millares 5 3 7 4 4" xfId="35462" xr:uid="{00000000-0005-0000-0000-00009B3A0000}"/>
    <cellStyle name="Millares 5 3 7 5" xfId="11715" xr:uid="{00000000-0005-0000-0000-00009C3A0000}"/>
    <cellStyle name="Millares 5 3 7 5 2" xfId="25283" xr:uid="{00000000-0005-0000-0000-00009D3A0000}"/>
    <cellStyle name="Millares 5 3 7 5 2 2" xfId="52416" xr:uid="{00000000-0005-0000-0000-00009E3A0000}"/>
    <cellStyle name="Millares 5 3 7 5 3" xfId="38854" xr:uid="{00000000-0005-0000-0000-00009F3A0000}"/>
    <cellStyle name="Millares 5 3 7 6" xfId="18502" xr:uid="{00000000-0005-0000-0000-0000A03A0000}"/>
    <cellStyle name="Millares 5 3 7 6 2" xfId="45635" xr:uid="{00000000-0005-0000-0000-0000A13A0000}"/>
    <cellStyle name="Millares 5 3 7 7" xfId="32073" xr:uid="{00000000-0005-0000-0000-0000A23A0000}"/>
    <cellStyle name="Millares 5 3 8" xfId="4722" xr:uid="{00000000-0005-0000-0000-0000A33A0000}"/>
    <cellStyle name="Millares 5 3 8 2" xfId="8317" xr:uid="{00000000-0005-0000-0000-0000A43A0000}"/>
    <cellStyle name="Millares 5 3 8 2 2" xfId="15107" xr:uid="{00000000-0005-0000-0000-0000A53A0000}"/>
    <cellStyle name="Millares 5 3 8 2 2 2" xfId="28675" xr:uid="{00000000-0005-0000-0000-0000A63A0000}"/>
    <cellStyle name="Millares 5 3 8 2 2 2 2" xfId="55808" xr:uid="{00000000-0005-0000-0000-0000A73A0000}"/>
    <cellStyle name="Millares 5 3 8 2 2 3" xfId="42246" xr:uid="{00000000-0005-0000-0000-0000A83A0000}"/>
    <cellStyle name="Millares 5 3 8 2 3" xfId="21894" xr:uid="{00000000-0005-0000-0000-0000A93A0000}"/>
    <cellStyle name="Millares 5 3 8 2 3 2" xfId="49027" xr:uid="{00000000-0005-0000-0000-0000AA3A0000}"/>
    <cellStyle name="Millares 5 3 8 2 4" xfId="35465" xr:uid="{00000000-0005-0000-0000-0000AB3A0000}"/>
    <cellStyle name="Millares 5 3 8 3" xfId="11718" xr:uid="{00000000-0005-0000-0000-0000AC3A0000}"/>
    <cellStyle name="Millares 5 3 8 3 2" xfId="25286" xr:uid="{00000000-0005-0000-0000-0000AD3A0000}"/>
    <cellStyle name="Millares 5 3 8 3 2 2" xfId="52419" xr:uid="{00000000-0005-0000-0000-0000AE3A0000}"/>
    <cellStyle name="Millares 5 3 8 3 3" xfId="38857" xr:uid="{00000000-0005-0000-0000-0000AF3A0000}"/>
    <cellStyle name="Millares 5 3 8 4" xfId="18505" xr:uid="{00000000-0005-0000-0000-0000B03A0000}"/>
    <cellStyle name="Millares 5 3 8 4 2" xfId="45638" xr:uid="{00000000-0005-0000-0000-0000B13A0000}"/>
    <cellStyle name="Millares 5 3 8 5" xfId="32076" xr:uid="{00000000-0005-0000-0000-0000B23A0000}"/>
    <cellStyle name="Millares 5 3 9" xfId="4723" xr:uid="{00000000-0005-0000-0000-0000B33A0000}"/>
    <cellStyle name="Millares 5 3 9 2" xfId="8318" xr:uid="{00000000-0005-0000-0000-0000B43A0000}"/>
    <cellStyle name="Millares 5 3 9 2 2" xfId="15108" xr:uid="{00000000-0005-0000-0000-0000B53A0000}"/>
    <cellStyle name="Millares 5 3 9 2 2 2" xfId="28676" xr:uid="{00000000-0005-0000-0000-0000B63A0000}"/>
    <cellStyle name="Millares 5 3 9 2 2 2 2" xfId="55809" xr:uid="{00000000-0005-0000-0000-0000B73A0000}"/>
    <cellStyle name="Millares 5 3 9 2 2 3" xfId="42247" xr:uid="{00000000-0005-0000-0000-0000B83A0000}"/>
    <cellStyle name="Millares 5 3 9 2 3" xfId="21895" xr:uid="{00000000-0005-0000-0000-0000B93A0000}"/>
    <cellStyle name="Millares 5 3 9 2 3 2" xfId="49028" xr:uid="{00000000-0005-0000-0000-0000BA3A0000}"/>
    <cellStyle name="Millares 5 3 9 2 4" xfId="35466" xr:uid="{00000000-0005-0000-0000-0000BB3A0000}"/>
    <cellStyle name="Millares 5 3 9 3" xfId="11719" xr:uid="{00000000-0005-0000-0000-0000BC3A0000}"/>
    <cellStyle name="Millares 5 3 9 3 2" xfId="25287" xr:uid="{00000000-0005-0000-0000-0000BD3A0000}"/>
    <cellStyle name="Millares 5 3 9 3 2 2" xfId="52420" xr:uid="{00000000-0005-0000-0000-0000BE3A0000}"/>
    <cellStyle name="Millares 5 3 9 3 3" xfId="38858" xr:uid="{00000000-0005-0000-0000-0000BF3A0000}"/>
    <cellStyle name="Millares 5 3 9 4" xfId="18506" xr:uid="{00000000-0005-0000-0000-0000C03A0000}"/>
    <cellStyle name="Millares 5 3 9 4 2" xfId="45639" xr:uid="{00000000-0005-0000-0000-0000C13A0000}"/>
    <cellStyle name="Millares 5 3 9 5" xfId="32077" xr:uid="{00000000-0005-0000-0000-0000C23A0000}"/>
    <cellStyle name="Millares 5 4" xfId="4724" xr:uid="{00000000-0005-0000-0000-0000C33A0000}"/>
    <cellStyle name="Millares 5 4 10" xfId="8319" xr:uid="{00000000-0005-0000-0000-0000C43A0000}"/>
    <cellStyle name="Millares 5 4 10 2" xfId="15109" xr:uid="{00000000-0005-0000-0000-0000C53A0000}"/>
    <cellStyle name="Millares 5 4 10 2 2" xfId="28677" xr:uid="{00000000-0005-0000-0000-0000C63A0000}"/>
    <cellStyle name="Millares 5 4 10 2 2 2" xfId="55810" xr:uid="{00000000-0005-0000-0000-0000C73A0000}"/>
    <cellStyle name="Millares 5 4 10 2 3" xfId="42248" xr:uid="{00000000-0005-0000-0000-0000C83A0000}"/>
    <cellStyle name="Millares 5 4 10 3" xfId="21896" xr:uid="{00000000-0005-0000-0000-0000C93A0000}"/>
    <cellStyle name="Millares 5 4 10 3 2" xfId="49029" xr:uid="{00000000-0005-0000-0000-0000CA3A0000}"/>
    <cellStyle name="Millares 5 4 10 4" xfId="35467" xr:uid="{00000000-0005-0000-0000-0000CB3A0000}"/>
    <cellStyle name="Millares 5 4 11" xfId="11720" xr:uid="{00000000-0005-0000-0000-0000CC3A0000}"/>
    <cellStyle name="Millares 5 4 11 2" xfId="25288" xr:uid="{00000000-0005-0000-0000-0000CD3A0000}"/>
    <cellStyle name="Millares 5 4 11 2 2" xfId="52421" xr:uid="{00000000-0005-0000-0000-0000CE3A0000}"/>
    <cellStyle name="Millares 5 4 11 3" xfId="38859" xr:uid="{00000000-0005-0000-0000-0000CF3A0000}"/>
    <cellStyle name="Millares 5 4 12" xfId="18507" xr:uid="{00000000-0005-0000-0000-0000D03A0000}"/>
    <cellStyle name="Millares 5 4 12 2" xfId="45640" xr:uid="{00000000-0005-0000-0000-0000D13A0000}"/>
    <cellStyle name="Millares 5 4 13" xfId="32078" xr:uid="{00000000-0005-0000-0000-0000D23A0000}"/>
    <cellStyle name="Millares 5 4 2" xfId="4725" xr:uid="{00000000-0005-0000-0000-0000D33A0000}"/>
    <cellStyle name="Millares 5 4 2 10" xfId="32079" xr:uid="{00000000-0005-0000-0000-0000D43A0000}"/>
    <cellStyle name="Millares 5 4 2 2" xfId="4726" xr:uid="{00000000-0005-0000-0000-0000D53A0000}"/>
    <cellStyle name="Millares 5 4 2 2 2" xfId="4727" xr:uid="{00000000-0005-0000-0000-0000D63A0000}"/>
    <cellStyle name="Millares 5 4 2 2 2 2" xfId="4728" xr:uid="{00000000-0005-0000-0000-0000D73A0000}"/>
    <cellStyle name="Millares 5 4 2 2 2 2 2" xfId="8323" xr:uid="{00000000-0005-0000-0000-0000D83A0000}"/>
    <cellStyle name="Millares 5 4 2 2 2 2 2 2" xfId="15113" xr:uid="{00000000-0005-0000-0000-0000D93A0000}"/>
    <cellStyle name="Millares 5 4 2 2 2 2 2 2 2" xfId="28681" xr:uid="{00000000-0005-0000-0000-0000DA3A0000}"/>
    <cellStyle name="Millares 5 4 2 2 2 2 2 2 2 2" xfId="55814" xr:uid="{00000000-0005-0000-0000-0000DB3A0000}"/>
    <cellStyle name="Millares 5 4 2 2 2 2 2 2 3" xfId="42252" xr:uid="{00000000-0005-0000-0000-0000DC3A0000}"/>
    <cellStyle name="Millares 5 4 2 2 2 2 2 3" xfId="21900" xr:uid="{00000000-0005-0000-0000-0000DD3A0000}"/>
    <cellStyle name="Millares 5 4 2 2 2 2 2 3 2" xfId="49033" xr:uid="{00000000-0005-0000-0000-0000DE3A0000}"/>
    <cellStyle name="Millares 5 4 2 2 2 2 2 4" xfId="35471" xr:uid="{00000000-0005-0000-0000-0000DF3A0000}"/>
    <cellStyle name="Millares 5 4 2 2 2 2 3" xfId="11724" xr:uid="{00000000-0005-0000-0000-0000E03A0000}"/>
    <cellStyle name="Millares 5 4 2 2 2 2 3 2" xfId="25292" xr:uid="{00000000-0005-0000-0000-0000E13A0000}"/>
    <cellStyle name="Millares 5 4 2 2 2 2 3 2 2" xfId="52425" xr:uid="{00000000-0005-0000-0000-0000E23A0000}"/>
    <cellStyle name="Millares 5 4 2 2 2 2 3 3" xfId="38863" xr:uid="{00000000-0005-0000-0000-0000E33A0000}"/>
    <cellStyle name="Millares 5 4 2 2 2 2 4" xfId="18511" xr:uid="{00000000-0005-0000-0000-0000E43A0000}"/>
    <cellStyle name="Millares 5 4 2 2 2 2 4 2" xfId="45644" xr:uid="{00000000-0005-0000-0000-0000E53A0000}"/>
    <cellStyle name="Millares 5 4 2 2 2 2 5" xfId="32082" xr:uid="{00000000-0005-0000-0000-0000E63A0000}"/>
    <cellStyle name="Millares 5 4 2 2 2 3" xfId="4729" xr:uid="{00000000-0005-0000-0000-0000E73A0000}"/>
    <cellStyle name="Millares 5 4 2 2 2 3 2" xfId="8324" xr:uid="{00000000-0005-0000-0000-0000E83A0000}"/>
    <cellStyle name="Millares 5 4 2 2 2 3 2 2" xfId="15114" xr:uid="{00000000-0005-0000-0000-0000E93A0000}"/>
    <cellStyle name="Millares 5 4 2 2 2 3 2 2 2" xfId="28682" xr:uid="{00000000-0005-0000-0000-0000EA3A0000}"/>
    <cellStyle name="Millares 5 4 2 2 2 3 2 2 2 2" xfId="55815" xr:uid="{00000000-0005-0000-0000-0000EB3A0000}"/>
    <cellStyle name="Millares 5 4 2 2 2 3 2 2 3" xfId="42253" xr:uid="{00000000-0005-0000-0000-0000EC3A0000}"/>
    <cellStyle name="Millares 5 4 2 2 2 3 2 3" xfId="21901" xr:uid="{00000000-0005-0000-0000-0000ED3A0000}"/>
    <cellStyle name="Millares 5 4 2 2 2 3 2 3 2" xfId="49034" xr:uid="{00000000-0005-0000-0000-0000EE3A0000}"/>
    <cellStyle name="Millares 5 4 2 2 2 3 2 4" xfId="35472" xr:uid="{00000000-0005-0000-0000-0000EF3A0000}"/>
    <cellStyle name="Millares 5 4 2 2 2 3 3" xfId="11725" xr:uid="{00000000-0005-0000-0000-0000F03A0000}"/>
    <cellStyle name="Millares 5 4 2 2 2 3 3 2" xfId="25293" xr:uid="{00000000-0005-0000-0000-0000F13A0000}"/>
    <cellStyle name="Millares 5 4 2 2 2 3 3 2 2" xfId="52426" xr:uid="{00000000-0005-0000-0000-0000F23A0000}"/>
    <cellStyle name="Millares 5 4 2 2 2 3 3 3" xfId="38864" xr:uid="{00000000-0005-0000-0000-0000F33A0000}"/>
    <cellStyle name="Millares 5 4 2 2 2 3 4" xfId="18512" xr:uid="{00000000-0005-0000-0000-0000F43A0000}"/>
    <cellStyle name="Millares 5 4 2 2 2 3 4 2" xfId="45645" xr:uid="{00000000-0005-0000-0000-0000F53A0000}"/>
    <cellStyle name="Millares 5 4 2 2 2 3 5" xfId="32083" xr:uid="{00000000-0005-0000-0000-0000F63A0000}"/>
    <cellStyle name="Millares 5 4 2 2 2 4" xfId="8322" xr:uid="{00000000-0005-0000-0000-0000F73A0000}"/>
    <cellStyle name="Millares 5 4 2 2 2 4 2" xfId="15112" xr:uid="{00000000-0005-0000-0000-0000F83A0000}"/>
    <cellStyle name="Millares 5 4 2 2 2 4 2 2" xfId="28680" xr:uid="{00000000-0005-0000-0000-0000F93A0000}"/>
    <cellStyle name="Millares 5 4 2 2 2 4 2 2 2" xfId="55813" xr:uid="{00000000-0005-0000-0000-0000FA3A0000}"/>
    <cellStyle name="Millares 5 4 2 2 2 4 2 3" xfId="42251" xr:uid="{00000000-0005-0000-0000-0000FB3A0000}"/>
    <cellStyle name="Millares 5 4 2 2 2 4 3" xfId="21899" xr:uid="{00000000-0005-0000-0000-0000FC3A0000}"/>
    <cellStyle name="Millares 5 4 2 2 2 4 3 2" xfId="49032" xr:uid="{00000000-0005-0000-0000-0000FD3A0000}"/>
    <cellStyle name="Millares 5 4 2 2 2 4 4" xfId="35470" xr:uid="{00000000-0005-0000-0000-0000FE3A0000}"/>
    <cellStyle name="Millares 5 4 2 2 2 5" xfId="11723" xr:uid="{00000000-0005-0000-0000-0000FF3A0000}"/>
    <cellStyle name="Millares 5 4 2 2 2 5 2" xfId="25291" xr:uid="{00000000-0005-0000-0000-0000003B0000}"/>
    <cellStyle name="Millares 5 4 2 2 2 5 2 2" xfId="52424" xr:uid="{00000000-0005-0000-0000-0000013B0000}"/>
    <cellStyle name="Millares 5 4 2 2 2 5 3" xfId="38862" xr:uid="{00000000-0005-0000-0000-0000023B0000}"/>
    <cellStyle name="Millares 5 4 2 2 2 6" xfId="18510" xr:uid="{00000000-0005-0000-0000-0000033B0000}"/>
    <cellStyle name="Millares 5 4 2 2 2 6 2" xfId="45643" xr:uid="{00000000-0005-0000-0000-0000043B0000}"/>
    <cellStyle name="Millares 5 4 2 2 2 7" xfId="32081" xr:uid="{00000000-0005-0000-0000-0000053B0000}"/>
    <cellStyle name="Millares 5 4 2 2 3" xfId="4730" xr:uid="{00000000-0005-0000-0000-0000063B0000}"/>
    <cellStyle name="Millares 5 4 2 2 3 2" xfId="4731" xr:uid="{00000000-0005-0000-0000-0000073B0000}"/>
    <cellStyle name="Millares 5 4 2 2 3 2 2" xfId="8326" xr:uid="{00000000-0005-0000-0000-0000083B0000}"/>
    <cellStyle name="Millares 5 4 2 2 3 2 2 2" xfId="15116" xr:uid="{00000000-0005-0000-0000-0000093B0000}"/>
    <cellStyle name="Millares 5 4 2 2 3 2 2 2 2" xfId="28684" xr:uid="{00000000-0005-0000-0000-00000A3B0000}"/>
    <cellStyle name="Millares 5 4 2 2 3 2 2 2 2 2" xfId="55817" xr:uid="{00000000-0005-0000-0000-00000B3B0000}"/>
    <cellStyle name="Millares 5 4 2 2 3 2 2 2 3" xfId="42255" xr:uid="{00000000-0005-0000-0000-00000C3B0000}"/>
    <cellStyle name="Millares 5 4 2 2 3 2 2 3" xfId="21903" xr:uid="{00000000-0005-0000-0000-00000D3B0000}"/>
    <cellStyle name="Millares 5 4 2 2 3 2 2 3 2" xfId="49036" xr:uid="{00000000-0005-0000-0000-00000E3B0000}"/>
    <cellStyle name="Millares 5 4 2 2 3 2 2 4" xfId="35474" xr:uid="{00000000-0005-0000-0000-00000F3B0000}"/>
    <cellStyle name="Millares 5 4 2 2 3 2 3" xfId="11727" xr:uid="{00000000-0005-0000-0000-0000103B0000}"/>
    <cellStyle name="Millares 5 4 2 2 3 2 3 2" xfId="25295" xr:uid="{00000000-0005-0000-0000-0000113B0000}"/>
    <cellStyle name="Millares 5 4 2 2 3 2 3 2 2" xfId="52428" xr:uid="{00000000-0005-0000-0000-0000123B0000}"/>
    <cellStyle name="Millares 5 4 2 2 3 2 3 3" xfId="38866" xr:uid="{00000000-0005-0000-0000-0000133B0000}"/>
    <cellStyle name="Millares 5 4 2 2 3 2 4" xfId="18514" xr:uid="{00000000-0005-0000-0000-0000143B0000}"/>
    <cellStyle name="Millares 5 4 2 2 3 2 4 2" xfId="45647" xr:uid="{00000000-0005-0000-0000-0000153B0000}"/>
    <cellStyle name="Millares 5 4 2 2 3 2 5" xfId="32085" xr:uid="{00000000-0005-0000-0000-0000163B0000}"/>
    <cellStyle name="Millares 5 4 2 2 3 3" xfId="8325" xr:uid="{00000000-0005-0000-0000-0000173B0000}"/>
    <cellStyle name="Millares 5 4 2 2 3 3 2" xfId="15115" xr:uid="{00000000-0005-0000-0000-0000183B0000}"/>
    <cellStyle name="Millares 5 4 2 2 3 3 2 2" xfId="28683" xr:uid="{00000000-0005-0000-0000-0000193B0000}"/>
    <cellStyle name="Millares 5 4 2 2 3 3 2 2 2" xfId="55816" xr:uid="{00000000-0005-0000-0000-00001A3B0000}"/>
    <cellStyle name="Millares 5 4 2 2 3 3 2 3" xfId="42254" xr:uid="{00000000-0005-0000-0000-00001B3B0000}"/>
    <cellStyle name="Millares 5 4 2 2 3 3 3" xfId="21902" xr:uid="{00000000-0005-0000-0000-00001C3B0000}"/>
    <cellStyle name="Millares 5 4 2 2 3 3 3 2" xfId="49035" xr:uid="{00000000-0005-0000-0000-00001D3B0000}"/>
    <cellStyle name="Millares 5 4 2 2 3 3 4" xfId="35473" xr:uid="{00000000-0005-0000-0000-00001E3B0000}"/>
    <cellStyle name="Millares 5 4 2 2 3 4" xfId="11726" xr:uid="{00000000-0005-0000-0000-00001F3B0000}"/>
    <cellStyle name="Millares 5 4 2 2 3 4 2" xfId="25294" xr:uid="{00000000-0005-0000-0000-0000203B0000}"/>
    <cellStyle name="Millares 5 4 2 2 3 4 2 2" xfId="52427" xr:uid="{00000000-0005-0000-0000-0000213B0000}"/>
    <cellStyle name="Millares 5 4 2 2 3 4 3" xfId="38865" xr:uid="{00000000-0005-0000-0000-0000223B0000}"/>
    <cellStyle name="Millares 5 4 2 2 3 5" xfId="18513" xr:uid="{00000000-0005-0000-0000-0000233B0000}"/>
    <cellStyle name="Millares 5 4 2 2 3 5 2" xfId="45646" xr:uid="{00000000-0005-0000-0000-0000243B0000}"/>
    <cellStyle name="Millares 5 4 2 2 3 6" xfId="32084" xr:uid="{00000000-0005-0000-0000-0000253B0000}"/>
    <cellStyle name="Millares 5 4 2 2 4" xfId="4732" xr:uid="{00000000-0005-0000-0000-0000263B0000}"/>
    <cellStyle name="Millares 5 4 2 2 4 2" xfId="8327" xr:uid="{00000000-0005-0000-0000-0000273B0000}"/>
    <cellStyle name="Millares 5 4 2 2 4 2 2" xfId="15117" xr:uid="{00000000-0005-0000-0000-0000283B0000}"/>
    <cellStyle name="Millares 5 4 2 2 4 2 2 2" xfId="28685" xr:uid="{00000000-0005-0000-0000-0000293B0000}"/>
    <cellStyle name="Millares 5 4 2 2 4 2 2 2 2" xfId="55818" xr:uid="{00000000-0005-0000-0000-00002A3B0000}"/>
    <cellStyle name="Millares 5 4 2 2 4 2 2 3" xfId="42256" xr:uid="{00000000-0005-0000-0000-00002B3B0000}"/>
    <cellStyle name="Millares 5 4 2 2 4 2 3" xfId="21904" xr:uid="{00000000-0005-0000-0000-00002C3B0000}"/>
    <cellStyle name="Millares 5 4 2 2 4 2 3 2" xfId="49037" xr:uid="{00000000-0005-0000-0000-00002D3B0000}"/>
    <cellStyle name="Millares 5 4 2 2 4 2 4" xfId="35475" xr:uid="{00000000-0005-0000-0000-00002E3B0000}"/>
    <cellStyle name="Millares 5 4 2 2 4 3" xfId="11728" xr:uid="{00000000-0005-0000-0000-00002F3B0000}"/>
    <cellStyle name="Millares 5 4 2 2 4 3 2" xfId="25296" xr:uid="{00000000-0005-0000-0000-0000303B0000}"/>
    <cellStyle name="Millares 5 4 2 2 4 3 2 2" xfId="52429" xr:uid="{00000000-0005-0000-0000-0000313B0000}"/>
    <cellStyle name="Millares 5 4 2 2 4 3 3" xfId="38867" xr:uid="{00000000-0005-0000-0000-0000323B0000}"/>
    <cellStyle name="Millares 5 4 2 2 4 4" xfId="18515" xr:uid="{00000000-0005-0000-0000-0000333B0000}"/>
    <cellStyle name="Millares 5 4 2 2 4 4 2" xfId="45648" xr:uid="{00000000-0005-0000-0000-0000343B0000}"/>
    <cellStyle name="Millares 5 4 2 2 4 5" xfId="32086" xr:uid="{00000000-0005-0000-0000-0000353B0000}"/>
    <cellStyle name="Millares 5 4 2 2 5" xfId="4733" xr:uid="{00000000-0005-0000-0000-0000363B0000}"/>
    <cellStyle name="Millares 5 4 2 2 5 2" xfId="8328" xr:uid="{00000000-0005-0000-0000-0000373B0000}"/>
    <cellStyle name="Millares 5 4 2 2 5 2 2" xfId="15118" xr:uid="{00000000-0005-0000-0000-0000383B0000}"/>
    <cellStyle name="Millares 5 4 2 2 5 2 2 2" xfId="28686" xr:uid="{00000000-0005-0000-0000-0000393B0000}"/>
    <cellStyle name="Millares 5 4 2 2 5 2 2 2 2" xfId="55819" xr:uid="{00000000-0005-0000-0000-00003A3B0000}"/>
    <cellStyle name="Millares 5 4 2 2 5 2 2 3" xfId="42257" xr:uid="{00000000-0005-0000-0000-00003B3B0000}"/>
    <cellStyle name="Millares 5 4 2 2 5 2 3" xfId="21905" xr:uid="{00000000-0005-0000-0000-00003C3B0000}"/>
    <cellStyle name="Millares 5 4 2 2 5 2 3 2" xfId="49038" xr:uid="{00000000-0005-0000-0000-00003D3B0000}"/>
    <cellStyle name="Millares 5 4 2 2 5 2 4" xfId="35476" xr:uid="{00000000-0005-0000-0000-00003E3B0000}"/>
    <cellStyle name="Millares 5 4 2 2 5 3" xfId="11729" xr:uid="{00000000-0005-0000-0000-00003F3B0000}"/>
    <cellStyle name="Millares 5 4 2 2 5 3 2" xfId="25297" xr:uid="{00000000-0005-0000-0000-0000403B0000}"/>
    <cellStyle name="Millares 5 4 2 2 5 3 2 2" xfId="52430" xr:uid="{00000000-0005-0000-0000-0000413B0000}"/>
    <cellStyle name="Millares 5 4 2 2 5 3 3" xfId="38868" xr:uid="{00000000-0005-0000-0000-0000423B0000}"/>
    <cellStyle name="Millares 5 4 2 2 5 4" xfId="18516" xr:uid="{00000000-0005-0000-0000-0000433B0000}"/>
    <cellStyle name="Millares 5 4 2 2 5 4 2" xfId="45649" xr:uid="{00000000-0005-0000-0000-0000443B0000}"/>
    <cellStyle name="Millares 5 4 2 2 5 5" xfId="32087" xr:uid="{00000000-0005-0000-0000-0000453B0000}"/>
    <cellStyle name="Millares 5 4 2 2 6" xfId="8321" xr:uid="{00000000-0005-0000-0000-0000463B0000}"/>
    <cellStyle name="Millares 5 4 2 2 6 2" xfId="15111" xr:uid="{00000000-0005-0000-0000-0000473B0000}"/>
    <cellStyle name="Millares 5 4 2 2 6 2 2" xfId="28679" xr:uid="{00000000-0005-0000-0000-0000483B0000}"/>
    <cellStyle name="Millares 5 4 2 2 6 2 2 2" xfId="55812" xr:uid="{00000000-0005-0000-0000-0000493B0000}"/>
    <cellStyle name="Millares 5 4 2 2 6 2 3" xfId="42250" xr:uid="{00000000-0005-0000-0000-00004A3B0000}"/>
    <cellStyle name="Millares 5 4 2 2 6 3" xfId="21898" xr:uid="{00000000-0005-0000-0000-00004B3B0000}"/>
    <cellStyle name="Millares 5 4 2 2 6 3 2" xfId="49031" xr:uid="{00000000-0005-0000-0000-00004C3B0000}"/>
    <cellStyle name="Millares 5 4 2 2 6 4" xfId="35469" xr:uid="{00000000-0005-0000-0000-00004D3B0000}"/>
    <cellStyle name="Millares 5 4 2 2 7" xfId="11722" xr:uid="{00000000-0005-0000-0000-00004E3B0000}"/>
    <cellStyle name="Millares 5 4 2 2 7 2" xfId="25290" xr:uid="{00000000-0005-0000-0000-00004F3B0000}"/>
    <cellStyle name="Millares 5 4 2 2 7 2 2" xfId="52423" xr:uid="{00000000-0005-0000-0000-0000503B0000}"/>
    <cellStyle name="Millares 5 4 2 2 7 3" xfId="38861" xr:uid="{00000000-0005-0000-0000-0000513B0000}"/>
    <cellStyle name="Millares 5 4 2 2 8" xfId="18509" xr:uid="{00000000-0005-0000-0000-0000523B0000}"/>
    <cellStyle name="Millares 5 4 2 2 8 2" xfId="45642" xr:uid="{00000000-0005-0000-0000-0000533B0000}"/>
    <cellStyle name="Millares 5 4 2 2 9" xfId="32080" xr:uid="{00000000-0005-0000-0000-0000543B0000}"/>
    <cellStyle name="Millares 5 4 2 3" xfId="4734" xr:uid="{00000000-0005-0000-0000-0000553B0000}"/>
    <cellStyle name="Millares 5 4 2 3 2" xfId="4735" xr:uid="{00000000-0005-0000-0000-0000563B0000}"/>
    <cellStyle name="Millares 5 4 2 3 2 2" xfId="8330" xr:uid="{00000000-0005-0000-0000-0000573B0000}"/>
    <cellStyle name="Millares 5 4 2 3 2 2 2" xfId="15120" xr:uid="{00000000-0005-0000-0000-0000583B0000}"/>
    <cellStyle name="Millares 5 4 2 3 2 2 2 2" xfId="28688" xr:uid="{00000000-0005-0000-0000-0000593B0000}"/>
    <cellStyle name="Millares 5 4 2 3 2 2 2 2 2" xfId="55821" xr:uid="{00000000-0005-0000-0000-00005A3B0000}"/>
    <cellStyle name="Millares 5 4 2 3 2 2 2 3" xfId="42259" xr:uid="{00000000-0005-0000-0000-00005B3B0000}"/>
    <cellStyle name="Millares 5 4 2 3 2 2 3" xfId="21907" xr:uid="{00000000-0005-0000-0000-00005C3B0000}"/>
    <cellStyle name="Millares 5 4 2 3 2 2 3 2" xfId="49040" xr:uid="{00000000-0005-0000-0000-00005D3B0000}"/>
    <cellStyle name="Millares 5 4 2 3 2 2 4" xfId="35478" xr:uid="{00000000-0005-0000-0000-00005E3B0000}"/>
    <cellStyle name="Millares 5 4 2 3 2 3" xfId="11731" xr:uid="{00000000-0005-0000-0000-00005F3B0000}"/>
    <cellStyle name="Millares 5 4 2 3 2 3 2" xfId="25299" xr:uid="{00000000-0005-0000-0000-0000603B0000}"/>
    <cellStyle name="Millares 5 4 2 3 2 3 2 2" xfId="52432" xr:uid="{00000000-0005-0000-0000-0000613B0000}"/>
    <cellStyle name="Millares 5 4 2 3 2 3 3" xfId="38870" xr:uid="{00000000-0005-0000-0000-0000623B0000}"/>
    <cellStyle name="Millares 5 4 2 3 2 4" xfId="18518" xr:uid="{00000000-0005-0000-0000-0000633B0000}"/>
    <cellStyle name="Millares 5 4 2 3 2 4 2" xfId="45651" xr:uid="{00000000-0005-0000-0000-0000643B0000}"/>
    <cellStyle name="Millares 5 4 2 3 2 5" xfId="32089" xr:uid="{00000000-0005-0000-0000-0000653B0000}"/>
    <cellStyle name="Millares 5 4 2 3 3" xfId="4736" xr:uid="{00000000-0005-0000-0000-0000663B0000}"/>
    <cellStyle name="Millares 5 4 2 3 3 2" xfId="8331" xr:uid="{00000000-0005-0000-0000-0000673B0000}"/>
    <cellStyle name="Millares 5 4 2 3 3 2 2" xfId="15121" xr:uid="{00000000-0005-0000-0000-0000683B0000}"/>
    <cellStyle name="Millares 5 4 2 3 3 2 2 2" xfId="28689" xr:uid="{00000000-0005-0000-0000-0000693B0000}"/>
    <cellStyle name="Millares 5 4 2 3 3 2 2 2 2" xfId="55822" xr:uid="{00000000-0005-0000-0000-00006A3B0000}"/>
    <cellStyle name="Millares 5 4 2 3 3 2 2 3" xfId="42260" xr:uid="{00000000-0005-0000-0000-00006B3B0000}"/>
    <cellStyle name="Millares 5 4 2 3 3 2 3" xfId="21908" xr:uid="{00000000-0005-0000-0000-00006C3B0000}"/>
    <cellStyle name="Millares 5 4 2 3 3 2 3 2" xfId="49041" xr:uid="{00000000-0005-0000-0000-00006D3B0000}"/>
    <cellStyle name="Millares 5 4 2 3 3 2 4" xfId="35479" xr:uid="{00000000-0005-0000-0000-00006E3B0000}"/>
    <cellStyle name="Millares 5 4 2 3 3 3" xfId="11732" xr:uid="{00000000-0005-0000-0000-00006F3B0000}"/>
    <cellStyle name="Millares 5 4 2 3 3 3 2" xfId="25300" xr:uid="{00000000-0005-0000-0000-0000703B0000}"/>
    <cellStyle name="Millares 5 4 2 3 3 3 2 2" xfId="52433" xr:uid="{00000000-0005-0000-0000-0000713B0000}"/>
    <cellStyle name="Millares 5 4 2 3 3 3 3" xfId="38871" xr:uid="{00000000-0005-0000-0000-0000723B0000}"/>
    <cellStyle name="Millares 5 4 2 3 3 4" xfId="18519" xr:uid="{00000000-0005-0000-0000-0000733B0000}"/>
    <cellStyle name="Millares 5 4 2 3 3 4 2" xfId="45652" xr:uid="{00000000-0005-0000-0000-0000743B0000}"/>
    <cellStyle name="Millares 5 4 2 3 3 5" xfId="32090" xr:uid="{00000000-0005-0000-0000-0000753B0000}"/>
    <cellStyle name="Millares 5 4 2 3 4" xfId="8329" xr:uid="{00000000-0005-0000-0000-0000763B0000}"/>
    <cellStyle name="Millares 5 4 2 3 4 2" xfId="15119" xr:uid="{00000000-0005-0000-0000-0000773B0000}"/>
    <cellStyle name="Millares 5 4 2 3 4 2 2" xfId="28687" xr:uid="{00000000-0005-0000-0000-0000783B0000}"/>
    <cellStyle name="Millares 5 4 2 3 4 2 2 2" xfId="55820" xr:uid="{00000000-0005-0000-0000-0000793B0000}"/>
    <cellStyle name="Millares 5 4 2 3 4 2 3" xfId="42258" xr:uid="{00000000-0005-0000-0000-00007A3B0000}"/>
    <cellStyle name="Millares 5 4 2 3 4 3" xfId="21906" xr:uid="{00000000-0005-0000-0000-00007B3B0000}"/>
    <cellStyle name="Millares 5 4 2 3 4 3 2" xfId="49039" xr:uid="{00000000-0005-0000-0000-00007C3B0000}"/>
    <cellStyle name="Millares 5 4 2 3 4 4" xfId="35477" xr:uid="{00000000-0005-0000-0000-00007D3B0000}"/>
    <cellStyle name="Millares 5 4 2 3 5" xfId="11730" xr:uid="{00000000-0005-0000-0000-00007E3B0000}"/>
    <cellStyle name="Millares 5 4 2 3 5 2" xfId="25298" xr:uid="{00000000-0005-0000-0000-00007F3B0000}"/>
    <cellStyle name="Millares 5 4 2 3 5 2 2" xfId="52431" xr:uid="{00000000-0005-0000-0000-0000803B0000}"/>
    <cellStyle name="Millares 5 4 2 3 5 3" xfId="38869" xr:uid="{00000000-0005-0000-0000-0000813B0000}"/>
    <cellStyle name="Millares 5 4 2 3 6" xfId="18517" xr:uid="{00000000-0005-0000-0000-0000823B0000}"/>
    <cellStyle name="Millares 5 4 2 3 6 2" xfId="45650" xr:uid="{00000000-0005-0000-0000-0000833B0000}"/>
    <cellStyle name="Millares 5 4 2 3 7" xfId="32088" xr:uid="{00000000-0005-0000-0000-0000843B0000}"/>
    <cellStyle name="Millares 5 4 2 4" xfId="4737" xr:uid="{00000000-0005-0000-0000-0000853B0000}"/>
    <cellStyle name="Millares 5 4 2 4 2" xfId="4738" xr:uid="{00000000-0005-0000-0000-0000863B0000}"/>
    <cellStyle name="Millares 5 4 2 4 2 2" xfId="8333" xr:uid="{00000000-0005-0000-0000-0000873B0000}"/>
    <cellStyle name="Millares 5 4 2 4 2 2 2" xfId="15123" xr:uid="{00000000-0005-0000-0000-0000883B0000}"/>
    <cellStyle name="Millares 5 4 2 4 2 2 2 2" xfId="28691" xr:uid="{00000000-0005-0000-0000-0000893B0000}"/>
    <cellStyle name="Millares 5 4 2 4 2 2 2 2 2" xfId="55824" xr:uid="{00000000-0005-0000-0000-00008A3B0000}"/>
    <cellStyle name="Millares 5 4 2 4 2 2 2 3" xfId="42262" xr:uid="{00000000-0005-0000-0000-00008B3B0000}"/>
    <cellStyle name="Millares 5 4 2 4 2 2 3" xfId="21910" xr:uid="{00000000-0005-0000-0000-00008C3B0000}"/>
    <cellStyle name="Millares 5 4 2 4 2 2 3 2" xfId="49043" xr:uid="{00000000-0005-0000-0000-00008D3B0000}"/>
    <cellStyle name="Millares 5 4 2 4 2 2 4" xfId="35481" xr:uid="{00000000-0005-0000-0000-00008E3B0000}"/>
    <cellStyle name="Millares 5 4 2 4 2 3" xfId="11734" xr:uid="{00000000-0005-0000-0000-00008F3B0000}"/>
    <cellStyle name="Millares 5 4 2 4 2 3 2" xfId="25302" xr:uid="{00000000-0005-0000-0000-0000903B0000}"/>
    <cellStyle name="Millares 5 4 2 4 2 3 2 2" xfId="52435" xr:uid="{00000000-0005-0000-0000-0000913B0000}"/>
    <cellStyle name="Millares 5 4 2 4 2 3 3" xfId="38873" xr:uid="{00000000-0005-0000-0000-0000923B0000}"/>
    <cellStyle name="Millares 5 4 2 4 2 4" xfId="18521" xr:uid="{00000000-0005-0000-0000-0000933B0000}"/>
    <cellStyle name="Millares 5 4 2 4 2 4 2" xfId="45654" xr:uid="{00000000-0005-0000-0000-0000943B0000}"/>
    <cellStyle name="Millares 5 4 2 4 2 5" xfId="32092" xr:uid="{00000000-0005-0000-0000-0000953B0000}"/>
    <cellStyle name="Millares 5 4 2 4 3" xfId="8332" xr:uid="{00000000-0005-0000-0000-0000963B0000}"/>
    <cellStyle name="Millares 5 4 2 4 3 2" xfId="15122" xr:uid="{00000000-0005-0000-0000-0000973B0000}"/>
    <cellStyle name="Millares 5 4 2 4 3 2 2" xfId="28690" xr:uid="{00000000-0005-0000-0000-0000983B0000}"/>
    <cellStyle name="Millares 5 4 2 4 3 2 2 2" xfId="55823" xr:uid="{00000000-0005-0000-0000-0000993B0000}"/>
    <cellStyle name="Millares 5 4 2 4 3 2 3" xfId="42261" xr:uid="{00000000-0005-0000-0000-00009A3B0000}"/>
    <cellStyle name="Millares 5 4 2 4 3 3" xfId="21909" xr:uid="{00000000-0005-0000-0000-00009B3B0000}"/>
    <cellStyle name="Millares 5 4 2 4 3 3 2" xfId="49042" xr:uid="{00000000-0005-0000-0000-00009C3B0000}"/>
    <cellStyle name="Millares 5 4 2 4 3 4" xfId="35480" xr:uid="{00000000-0005-0000-0000-00009D3B0000}"/>
    <cellStyle name="Millares 5 4 2 4 4" xfId="11733" xr:uid="{00000000-0005-0000-0000-00009E3B0000}"/>
    <cellStyle name="Millares 5 4 2 4 4 2" xfId="25301" xr:uid="{00000000-0005-0000-0000-00009F3B0000}"/>
    <cellStyle name="Millares 5 4 2 4 4 2 2" xfId="52434" xr:uid="{00000000-0005-0000-0000-0000A03B0000}"/>
    <cellStyle name="Millares 5 4 2 4 4 3" xfId="38872" xr:uid="{00000000-0005-0000-0000-0000A13B0000}"/>
    <cellStyle name="Millares 5 4 2 4 5" xfId="18520" xr:uid="{00000000-0005-0000-0000-0000A23B0000}"/>
    <cellStyle name="Millares 5 4 2 4 5 2" xfId="45653" xr:uid="{00000000-0005-0000-0000-0000A33B0000}"/>
    <cellStyle name="Millares 5 4 2 4 6" xfId="32091" xr:uid="{00000000-0005-0000-0000-0000A43B0000}"/>
    <cellStyle name="Millares 5 4 2 5" xfId="4739" xr:uid="{00000000-0005-0000-0000-0000A53B0000}"/>
    <cellStyle name="Millares 5 4 2 5 2" xfId="8334" xr:uid="{00000000-0005-0000-0000-0000A63B0000}"/>
    <cellStyle name="Millares 5 4 2 5 2 2" xfId="15124" xr:uid="{00000000-0005-0000-0000-0000A73B0000}"/>
    <cellStyle name="Millares 5 4 2 5 2 2 2" xfId="28692" xr:uid="{00000000-0005-0000-0000-0000A83B0000}"/>
    <cellStyle name="Millares 5 4 2 5 2 2 2 2" xfId="55825" xr:uid="{00000000-0005-0000-0000-0000A93B0000}"/>
    <cellStyle name="Millares 5 4 2 5 2 2 3" xfId="42263" xr:uid="{00000000-0005-0000-0000-0000AA3B0000}"/>
    <cellStyle name="Millares 5 4 2 5 2 3" xfId="21911" xr:uid="{00000000-0005-0000-0000-0000AB3B0000}"/>
    <cellStyle name="Millares 5 4 2 5 2 3 2" xfId="49044" xr:uid="{00000000-0005-0000-0000-0000AC3B0000}"/>
    <cellStyle name="Millares 5 4 2 5 2 4" xfId="35482" xr:uid="{00000000-0005-0000-0000-0000AD3B0000}"/>
    <cellStyle name="Millares 5 4 2 5 3" xfId="11735" xr:uid="{00000000-0005-0000-0000-0000AE3B0000}"/>
    <cellStyle name="Millares 5 4 2 5 3 2" xfId="25303" xr:uid="{00000000-0005-0000-0000-0000AF3B0000}"/>
    <cellStyle name="Millares 5 4 2 5 3 2 2" xfId="52436" xr:uid="{00000000-0005-0000-0000-0000B03B0000}"/>
    <cellStyle name="Millares 5 4 2 5 3 3" xfId="38874" xr:uid="{00000000-0005-0000-0000-0000B13B0000}"/>
    <cellStyle name="Millares 5 4 2 5 4" xfId="18522" xr:uid="{00000000-0005-0000-0000-0000B23B0000}"/>
    <cellStyle name="Millares 5 4 2 5 4 2" xfId="45655" xr:uid="{00000000-0005-0000-0000-0000B33B0000}"/>
    <cellStyle name="Millares 5 4 2 5 5" xfId="32093" xr:uid="{00000000-0005-0000-0000-0000B43B0000}"/>
    <cellStyle name="Millares 5 4 2 6" xfId="4740" xr:uid="{00000000-0005-0000-0000-0000B53B0000}"/>
    <cellStyle name="Millares 5 4 2 6 2" xfId="8335" xr:uid="{00000000-0005-0000-0000-0000B63B0000}"/>
    <cellStyle name="Millares 5 4 2 6 2 2" xfId="15125" xr:uid="{00000000-0005-0000-0000-0000B73B0000}"/>
    <cellStyle name="Millares 5 4 2 6 2 2 2" xfId="28693" xr:uid="{00000000-0005-0000-0000-0000B83B0000}"/>
    <cellStyle name="Millares 5 4 2 6 2 2 2 2" xfId="55826" xr:uid="{00000000-0005-0000-0000-0000B93B0000}"/>
    <cellStyle name="Millares 5 4 2 6 2 2 3" xfId="42264" xr:uid="{00000000-0005-0000-0000-0000BA3B0000}"/>
    <cellStyle name="Millares 5 4 2 6 2 3" xfId="21912" xr:uid="{00000000-0005-0000-0000-0000BB3B0000}"/>
    <cellStyle name="Millares 5 4 2 6 2 3 2" xfId="49045" xr:uid="{00000000-0005-0000-0000-0000BC3B0000}"/>
    <cellStyle name="Millares 5 4 2 6 2 4" xfId="35483" xr:uid="{00000000-0005-0000-0000-0000BD3B0000}"/>
    <cellStyle name="Millares 5 4 2 6 3" xfId="11736" xr:uid="{00000000-0005-0000-0000-0000BE3B0000}"/>
    <cellStyle name="Millares 5 4 2 6 3 2" xfId="25304" xr:uid="{00000000-0005-0000-0000-0000BF3B0000}"/>
    <cellStyle name="Millares 5 4 2 6 3 2 2" xfId="52437" xr:uid="{00000000-0005-0000-0000-0000C03B0000}"/>
    <cellStyle name="Millares 5 4 2 6 3 3" xfId="38875" xr:uid="{00000000-0005-0000-0000-0000C13B0000}"/>
    <cellStyle name="Millares 5 4 2 6 4" xfId="18523" xr:uid="{00000000-0005-0000-0000-0000C23B0000}"/>
    <cellStyle name="Millares 5 4 2 6 4 2" xfId="45656" xr:uid="{00000000-0005-0000-0000-0000C33B0000}"/>
    <cellStyle name="Millares 5 4 2 6 5" xfId="32094" xr:uid="{00000000-0005-0000-0000-0000C43B0000}"/>
    <cellStyle name="Millares 5 4 2 7" xfId="8320" xr:uid="{00000000-0005-0000-0000-0000C53B0000}"/>
    <cellStyle name="Millares 5 4 2 7 2" xfId="15110" xr:uid="{00000000-0005-0000-0000-0000C63B0000}"/>
    <cellStyle name="Millares 5 4 2 7 2 2" xfId="28678" xr:uid="{00000000-0005-0000-0000-0000C73B0000}"/>
    <cellStyle name="Millares 5 4 2 7 2 2 2" xfId="55811" xr:uid="{00000000-0005-0000-0000-0000C83B0000}"/>
    <cellStyle name="Millares 5 4 2 7 2 3" xfId="42249" xr:uid="{00000000-0005-0000-0000-0000C93B0000}"/>
    <cellStyle name="Millares 5 4 2 7 3" xfId="21897" xr:uid="{00000000-0005-0000-0000-0000CA3B0000}"/>
    <cellStyle name="Millares 5 4 2 7 3 2" xfId="49030" xr:uid="{00000000-0005-0000-0000-0000CB3B0000}"/>
    <cellStyle name="Millares 5 4 2 7 4" xfId="35468" xr:uid="{00000000-0005-0000-0000-0000CC3B0000}"/>
    <cellStyle name="Millares 5 4 2 8" xfId="11721" xr:uid="{00000000-0005-0000-0000-0000CD3B0000}"/>
    <cellStyle name="Millares 5 4 2 8 2" xfId="25289" xr:uid="{00000000-0005-0000-0000-0000CE3B0000}"/>
    <cellStyle name="Millares 5 4 2 8 2 2" xfId="52422" xr:uid="{00000000-0005-0000-0000-0000CF3B0000}"/>
    <cellStyle name="Millares 5 4 2 8 3" xfId="38860" xr:uid="{00000000-0005-0000-0000-0000D03B0000}"/>
    <cellStyle name="Millares 5 4 2 9" xfId="18508" xr:uid="{00000000-0005-0000-0000-0000D13B0000}"/>
    <cellStyle name="Millares 5 4 2 9 2" xfId="45641" xr:uid="{00000000-0005-0000-0000-0000D23B0000}"/>
    <cellStyle name="Millares 5 4 3" xfId="4741" xr:uid="{00000000-0005-0000-0000-0000D33B0000}"/>
    <cellStyle name="Millares 5 4 3 2" xfId="4742" xr:uid="{00000000-0005-0000-0000-0000D43B0000}"/>
    <cellStyle name="Millares 5 4 3 2 2" xfId="4743" xr:uid="{00000000-0005-0000-0000-0000D53B0000}"/>
    <cellStyle name="Millares 5 4 3 2 2 2" xfId="8338" xr:uid="{00000000-0005-0000-0000-0000D63B0000}"/>
    <cellStyle name="Millares 5 4 3 2 2 2 2" xfId="15128" xr:uid="{00000000-0005-0000-0000-0000D73B0000}"/>
    <cellStyle name="Millares 5 4 3 2 2 2 2 2" xfId="28696" xr:uid="{00000000-0005-0000-0000-0000D83B0000}"/>
    <cellStyle name="Millares 5 4 3 2 2 2 2 2 2" xfId="55829" xr:uid="{00000000-0005-0000-0000-0000D93B0000}"/>
    <cellStyle name="Millares 5 4 3 2 2 2 2 3" xfId="42267" xr:uid="{00000000-0005-0000-0000-0000DA3B0000}"/>
    <cellStyle name="Millares 5 4 3 2 2 2 3" xfId="21915" xr:uid="{00000000-0005-0000-0000-0000DB3B0000}"/>
    <cellStyle name="Millares 5 4 3 2 2 2 3 2" xfId="49048" xr:uid="{00000000-0005-0000-0000-0000DC3B0000}"/>
    <cellStyle name="Millares 5 4 3 2 2 2 4" xfId="35486" xr:uid="{00000000-0005-0000-0000-0000DD3B0000}"/>
    <cellStyle name="Millares 5 4 3 2 2 3" xfId="11739" xr:uid="{00000000-0005-0000-0000-0000DE3B0000}"/>
    <cellStyle name="Millares 5 4 3 2 2 3 2" xfId="25307" xr:uid="{00000000-0005-0000-0000-0000DF3B0000}"/>
    <cellStyle name="Millares 5 4 3 2 2 3 2 2" xfId="52440" xr:uid="{00000000-0005-0000-0000-0000E03B0000}"/>
    <cellStyle name="Millares 5 4 3 2 2 3 3" xfId="38878" xr:uid="{00000000-0005-0000-0000-0000E13B0000}"/>
    <cellStyle name="Millares 5 4 3 2 2 4" xfId="18526" xr:uid="{00000000-0005-0000-0000-0000E23B0000}"/>
    <cellStyle name="Millares 5 4 3 2 2 4 2" xfId="45659" xr:uid="{00000000-0005-0000-0000-0000E33B0000}"/>
    <cellStyle name="Millares 5 4 3 2 2 5" xfId="32097" xr:uid="{00000000-0005-0000-0000-0000E43B0000}"/>
    <cellStyle name="Millares 5 4 3 2 3" xfId="4744" xr:uid="{00000000-0005-0000-0000-0000E53B0000}"/>
    <cellStyle name="Millares 5 4 3 2 3 2" xfId="8339" xr:uid="{00000000-0005-0000-0000-0000E63B0000}"/>
    <cellStyle name="Millares 5 4 3 2 3 2 2" xfId="15129" xr:uid="{00000000-0005-0000-0000-0000E73B0000}"/>
    <cellStyle name="Millares 5 4 3 2 3 2 2 2" xfId="28697" xr:uid="{00000000-0005-0000-0000-0000E83B0000}"/>
    <cellStyle name="Millares 5 4 3 2 3 2 2 2 2" xfId="55830" xr:uid="{00000000-0005-0000-0000-0000E93B0000}"/>
    <cellStyle name="Millares 5 4 3 2 3 2 2 3" xfId="42268" xr:uid="{00000000-0005-0000-0000-0000EA3B0000}"/>
    <cellStyle name="Millares 5 4 3 2 3 2 3" xfId="21916" xr:uid="{00000000-0005-0000-0000-0000EB3B0000}"/>
    <cellStyle name="Millares 5 4 3 2 3 2 3 2" xfId="49049" xr:uid="{00000000-0005-0000-0000-0000EC3B0000}"/>
    <cellStyle name="Millares 5 4 3 2 3 2 4" xfId="35487" xr:uid="{00000000-0005-0000-0000-0000ED3B0000}"/>
    <cellStyle name="Millares 5 4 3 2 3 3" xfId="11740" xr:uid="{00000000-0005-0000-0000-0000EE3B0000}"/>
    <cellStyle name="Millares 5 4 3 2 3 3 2" xfId="25308" xr:uid="{00000000-0005-0000-0000-0000EF3B0000}"/>
    <cellStyle name="Millares 5 4 3 2 3 3 2 2" xfId="52441" xr:uid="{00000000-0005-0000-0000-0000F03B0000}"/>
    <cellStyle name="Millares 5 4 3 2 3 3 3" xfId="38879" xr:uid="{00000000-0005-0000-0000-0000F13B0000}"/>
    <cellStyle name="Millares 5 4 3 2 3 4" xfId="18527" xr:uid="{00000000-0005-0000-0000-0000F23B0000}"/>
    <cellStyle name="Millares 5 4 3 2 3 4 2" xfId="45660" xr:uid="{00000000-0005-0000-0000-0000F33B0000}"/>
    <cellStyle name="Millares 5 4 3 2 3 5" xfId="32098" xr:uid="{00000000-0005-0000-0000-0000F43B0000}"/>
    <cellStyle name="Millares 5 4 3 2 4" xfId="8337" xr:uid="{00000000-0005-0000-0000-0000F53B0000}"/>
    <cellStyle name="Millares 5 4 3 2 4 2" xfId="15127" xr:uid="{00000000-0005-0000-0000-0000F63B0000}"/>
    <cellStyle name="Millares 5 4 3 2 4 2 2" xfId="28695" xr:uid="{00000000-0005-0000-0000-0000F73B0000}"/>
    <cellStyle name="Millares 5 4 3 2 4 2 2 2" xfId="55828" xr:uid="{00000000-0005-0000-0000-0000F83B0000}"/>
    <cellStyle name="Millares 5 4 3 2 4 2 3" xfId="42266" xr:uid="{00000000-0005-0000-0000-0000F93B0000}"/>
    <cellStyle name="Millares 5 4 3 2 4 3" xfId="21914" xr:uid="{00000000-0005-0000-0000-0000FA3B0000}"/>
    <cellStyle name="Millares 5 4 3 2 4 3 2" xfId="49047" xr:uid="{00000000-0005-0000-0000-0000FB3B0000}"/>
    <cellStyle name="Millares 5 4 3 2 4 4" xfId="35485" xr:uid="{00000000-0005-0000-0000-0000FC3B0000}"/>
    <cellStyle name="Millares 5 4 3 2 5" xfId="11738" xr:uid="{00000000-0005-0000-0000-0000FD3B0000}"/>
    <cellStyle name="Millares 5 4 3 2 5 2" xfId="25306" xr:uid="{00000000-0005-0000-0000-0000FE3B0000}"/>
    <cellStyle name="Millares 5 4 3 2 5 2 2" xfId="52439" xr:uid="{00000000-0005-0000-0000-0000FF3B0000}"/>
    <cellStyle name="Millares 5 4 3 2 5 3" xfId="38877" xr:uid="{00000000-0005-0000-0000-0000003C0000}"/>
    <cellStyle name="Millares 5 4 3 2 6" xfId="18525" xr:uid="{00000000-0005-0000-0000-0000013C0000}"/>
    <cellStyle name="Millares 5 4 3 2 6 2" xfId="45658" xr:uid="{00000000-0005-0000-0000-0000023C0000}"/>
    <cellStyle name="Millares 5 4 3 2 7" xfId="32096" xr:uid="{00000000-0005-0000-0000-0000033C0000}"/>
    <cellStyle name="Millares 5 4 3 3" xfId="4745" xr:uid="{00000000-0005-0000-0000-0000043C0000}"/>
    <cellStyle name="Millares 5 4 3 3 2" xfId="4746" xr:uid="{00000000-0005-0000-0000-0000053C0000}"/>
    <cellStyle name="Millares 5 4 3 3 2 2" xfId="8341" xr:uid="{00000000-0005-0000-0000-0000063C0000}"/>
    <cellStyle name="Millares 5 4 3 3 2 2 2" xfId="15131" xr:uid="{00000000-0005-0000-0000-0000073C0000}"/>
    <cellStyle name="Millares 5 4 3 3 2 2 2 2" xfId="28699" xr:uid="{00000000-0005-0000-0000-0000083C0000}"/>
    <cellStyle name="Millares 5 4 3 3 2 2 2 2 2" xfId="55832" xr:uid="{00000000-0005-0000-0000-0000093C0000}"/>
    <cellStyle name="Millares 5 4 3 3 2 2 2 3" xfId="42270" xr:uid="{00000000-0005-0000-0000-00000A3C0000}"/>
    <cellStyle name="Millares 5 4 3 3 2 2 3" xfId="21918" xr:uid="{00000000-0005-0000-0000-00000B3C0000}"/>
    <cellStyle name="Millares 5 4 3 3 2 2 3 2" xfId="49051" xr:uid="{00000000-0005-0000-0000-00000C3C0000}"/>
    <cellStyle name="Millares 5 4 3 3 2 2 4" xfId="35489" xr:uid="{00000000-0005-0000-0000-00000D3C0000}"/>
    <cellStyle name="Millares 5 4 3 3 2 3" xfId="11742" xr:uid="{00000000-0005-0000-0000-00000E3C0000}"/>
    <cellStyle name="Millares 5 4 3 3 2 3 2" xfId="25310" xr:uid="{00000000-0005-0000-0000-00000F3C0000}"/>
    <cellStyle name="Millares 5 4 3 3 2 3 2 2" xfId="52443" xr:uid="{00000000-0005-0000-0000-0000103C0000}"/>
    <cellStyle name="Millares 5 4 3 3 2 3 3" xfId="38881" xr:uid="{00000000-0005-0000-0000-0000113C0000}"/>
    <cellStyle name="Millares 5 4 3 3 2 4" xfId="18529" xr:uid="{00000000-0005-0000-0000-0000123C0000}"/>
    <cellStyle name="Millares 5 4 3 3 2 4 2" xfId="45662" xr:uid="{00000000-0005-0000-0000-0000133C0000}"/>
    <cellStyle name="Millares 5 4 3 3 2 5" xfId="32100" xr:uid="{00000000-0005-0000-0000-0000143C0000}"/>
    <cellStyle name="Millares 5 4 3 3 3" xfId="8340" xr:uid="{00000000-0005-0000-0000-0000153C0000}"/>
    <cellStyle name="Millares 5 4 3 3 3 2" xfId="15130" xr:uid="{00000000-0005-0000-0000-0000163C0000}"/>
    <cellStyle name="Millares 5 4 3 3 3 2 2" xfId="28698" xr:uid="{00000000-0005-0000-0000-0000173C0000}"/>
    <cellStyle name="Millares 5 4 3 3 3 2 2 2" xfId="55831" xr:uid="{00000000-0005-0000-0000-0000183C0000}"/>
    <cellStyle name="Millares 5 4 3 3 3 2 3" xfId="42269" xr:uid="{00000000-0005-0000-0000-0000193C0000}"/>
    <cellStyle name="Millares 5 4 3 3 3 3" xfId="21917" xr:uid="{00000000-0005-0000-0000-00001A3C0000}"/>
    <cellStyle name="Millares 5 4 3 3 3 3 2" xfId="49050" xr:uid="{00000000-0005-0000-0000-00001B3C0000}"/>
    <cellStyle name="Millares 5 4 3 3 3 4" xfId="35488" xr:uid="{00000000-0005-0000-0000-00001C3C0000}"/>
    <cellStyle name="Millares 5 4 3 3 4" xfId="11741" xr:uid="{00000000-0005-0000-0000-00001D3C0000}"/>
    <cellStyle name="Millares 5 4 3 3 4 2" xfId="25309" xr:uid="{00000000-0005-0000-0000-00001E3C0000}"/>
    <cellStyle name="Millares 5 4 3 3 4 2 2" xfId="52442" xr:uid="{00000000-0005-0000-0000-00001F3C0000}"/>
    <cellStyle name="Millares 5 4 3 3 4 3" xfId="38880" xr:uid="{00000000-0005-0000-0000-0000203C0000}"/>
    <cellStyle name="Millares 5 4 3 3 5" xfId="18528" xr:uid="{00000000-0005-0000-0000-0000213C0000}"/>
    <cellStyle name="Millares 5 4 3 3 5 2" xfId="45661" xr:uid="{00000000-0005-0000-0000-0000223C0000}"/>
    <cellStyle name="Millares 5 4 3 3 6" xfId="32099" xr:uid="{00000000-0005-0000-0000-0000233C0000}"/>
    <cellStyle name="Millares 5 4 3 4" xfId="4747" xr:uid="{00000000-0005-0000-0000-0000243C0000}"/>
    <cellStyle name="Millares 5 4 3 4 2" xfId="8342" xr:uid="{00000000-0005-0000-0000-0000253C0000}"/>
    <cellStyle name="Millares 5 4 3 4 2 2" xfId="15132" xr:uid="{00000000-0005-0000-0000-0000263C0000}"/>
    <cellStyle name="Millares 5 4 3 4 2 2 2" xfId="28700" xr:uid="{00000000-0005-0000-0000-0000273C0000}"/>
    <cellStyle name="Millares 5 4 3 4 2 2 2 2" xfId="55833" xr:uid="{00000000-0005-0000-0000-0000283C0000}"/>
    <cellStyle name="Millares 5 4 3 4 2 2 3" xfId="42271" xr:uid="{00000000-0005-0000-0000-0000293C0000}"/>
    <cellStyle name="Millares 5 4 3 4 2 3" xfId="21919" xr:uid="{00000000-0005-0000-0000-00002A3C0000}"/>
    <cellStyle name="Millares 5 4 3 4 2 3 2" xfId="49052" xr:uid="{00000000-0005-0000-0000-00002B3C0000}"/>
    <cellStyle name="Millares 5 4 3 4 2 4" xfId="35490" xr:uid="{00000000-0005-0000-0000-00002C3C0000}"/>
    <cellStyle name="Millares 5 4 3 4 3" xfId="11743" xr:uid="{00000000-0005-0000-0000-00002D3C0000}"/>
    <cellStyle name="Millares 5 4 3 4 3 2" xfId="25311" xr:uid="{00000000-0005-0000-0000-00002E3C0000}"/>
    <cellStyle name="Millares 5 4 3 4 3 2 2" xfId="52444" xr:uid="{00000000-0005-0000-0000-00002F3C0000}"/>
    <cellStyle name="Millares 5 4 3 4 3 3" xfId="38882" xr:uid="{00000000-0005-0000-0000-0000303C0000}"/>
    <cellStyle name="Millares 5 4 3 4 4" xfId="18530" xr:uid="{00000000-0005-0000-0000-0000313C0000}"/>
    <cellStyle name="Millares 5 4 3 4 4 2" xfId="45663" xr:uid="{00000000-0005-0000-0000-0000323C0000}"/>
    <cellStyle name="Millares 5 4 3 4 5" xfId="32101" xr:uid="{00000000-0005-0000-0000-0000333C0000}"/>
    <cellStyle name="Millares 5 4 3 5" xfId="4748" xr:uid="{00000000-0005-0000-0000-0000343C0000}"/>
    <cellStyle name="Millares 5 4 3 5 2" xfId="8343" xr:uid="{00000000-0005-0000-0000-0000353C0000}"/>
    <cellStyle name="Millares 5 4 3 5 2 2" xfId="15133" xr:uid="{00000000-0005-0000-0000-0000363C0000}"/>
    <cellStyle name="Millares 5 4 3 5 2 2 2" xfId="28701" xr:uid="{00000000-0005-0000-0000-0000373C0000}"/>
    <cellStyle name="Millares 5 4 3 5 2 2 2 2" xfId="55834" xr:uid="{00000000-0005-0000-0000-0000383C0000}"/>
    <cellStyle name="Millares 5 4 3 5 2 2 3" xfId="42272" xr:uid="{00000000-0005-0000-0000-0000393C0000}"/>
    <cellStyle name="Millares 5 4 3 5 2 3" xfId="21920" xr:uid="{00000000-0005-0000-0000-00003A3C0000}"/>
    <cellStyle name="Millares 5 4 3 5 2 3 2" xfId="49053" xr:uid="{00000000-0005-0000-0000-00003B3C0000}"/>
    <cellStyle name="Millares 5 4 3 5 2 4" xfId="35491" xr:uid="{00000000-0005-0000-0000-00003C3C0000}"/>
    <cellStyle name="Millares 5 4 3 5 3" xfId="11744" xr:uid="{00000000-0005-0000-0000-00003D3C0000}"/>
    <cellStyle name="Millares 5 4 3 5 3 2" xfId="25312" xr:uid="{00000000-0005-0000-0000-00003E3C0000}"/>
    <cellStyle name="Millares 5 4 3 5 3 2 2" xfId="52445" xr:uid="{00000000-0005-0000-0000-00003F3C0000}"/>
    <cellStyle name="Millares 5 4 3 5 3 3" xfId="38883" xr:uid="{00000000-0005-0000-0000-0000403C0000}"/>
    <cellStyle name="Millares 5 4 3 5 4" xfId="18531" xr:uid="{00000000-0005-0000-0000-0000413C0000}"/>
    <cellStyle name="Millares 5 4 3 5 4 2" xfId="45664" xr:uid="{00000000-0005-0000-0000-0000423C0000}"/>
    <cellStyle name="Millares 5 4 3 5 5" xfId="32102" xr:uid="{00000000-0005-0000-0000-0000433C0000}"/>
    <cellStyle name="Millares 5 4 3 6" xfId="8336" xr:uid="{00000000-0005-0000-0000-0000443C0000}"/>
    <cellStyle name="Millares 5 4 3 6 2" xfId="15126" xr:uid="{00000000-0005-0000-0000-0000453C0000}"/>
    <cellStyle name="Millares 5 4 3 6 2 2" xfId="28694" xr:uid="{00000000-0005-0000-0000-0000463C0000}"/>
    <cellStyle name="Millares 5 4 3 6 2 2 2" xfId="55827" xr:uid="{00000000-0005-0000-0000-0000473C0000}"/>
    <cellStyle name="Millares 5 4 3 6 2 3" xfId="42265" xr:uid="{00000000-0005-0000-0000-0000483C0000}"/>
    <cellStyle name="Millares 5 4 3 6 3" xfId="21913" xr:uid="{00000000-0005-0000-0000-0000493C0000}"/>
    <cellStyle name="Millares 5 4 3 6 3 2" xfId="49046" xr:uid="{00000000-0005-0000-0000-00004A3C0000}"/>
    <cellStyle name="Millares 5 4 3 6 4" xfId="35484" xr:uid="{00000000-0005-0000-0000-00004B3C0000}"/>
    <cellStyle name="Millares 5 4 3 7" xfId="11737" xr:uid="{00000000-0005-0000-0000-00004C3C0000}"/>
    <cellStyle name="Millares 5 4 3 7 2" xfId="25305" xr:uid="{00000000-0005-0000-0000-00004D3C0000}"/>
    <cellStyle name="Millares 5 4 3 7 2 2" xfId="52438" xr:uid="{00000000-0005-0000-0000-00004E3C0000}"/>
    <cellStyle name="Millares 5 4 3 7 3" xfId="38876" xr:uid="{00000000-0005-0000-0000-00004F3C0000}"/>
    <cellStyle name="Millares 5 4 3 8" xfId="18524" xr:uid="{00000000-0005-0000-0000-0000503C0000}"/>
    <cellStyle name="Millares 5 4 3 8 2" xfId="45657" xr:uid="{00000000-0005-0000-0000-0000513C0000}"/>
    <cellStyle name="Millares 5 4 3 9" xfId="32095" xr:uid="{00000000-0005-0000-0000-0000523C0000}"/>
    <cellStyle name="Millares 5 4 4" xfId="4749" xr:uid="{00000000-0005-0000-0000-0000533C0000}"/>
    <cellStyle name="Millares 5 4 4 2" xfId="4750" xr:uid="{00000000-0005-0000-0000-0000543C0000}"/>
    <cellStyle name="Millares 5 4 4 2 2" xfId="4751" xr:uid="{00000000-0005-0000-0000-0000553C0000}"/>
    <cellStyle name="Millares 5 4 4 2 2 2" xfId="8346" xr:uid="{00000000-0005-0000-0000-0000563C0000}"/>
    <cellStyle name="Millares 5 4 4 2 2 2 2" xfId="15136" xr:uid="{00000000-0005-0000-0000-0000573C0000}"/>
    <cellStyle name="Millares 5 4 4 2 2 2 2 2" xfId="28704" xr:uid="{00000000-0005-0000-0000-0000583C0000}"/>
    <cellStyle name="Millares 5 4 4 2 2 2 2 2 2" xfId="55837" xr:uid="{00000000-0005-0000-0000-0000593C0000}"/>
    <cellStyle name="Millares 5 4 4 2 2 2 2 3" xfId="42275" xr:uid="{00000000-0005-0000-0000-00005A3C0000}"/>
    <cellStyle name="Millares 5 4 4 2 2 2 3" xfId="21923" xr:uid="{00000000-0005-0000-0000-00005B3C0000}"/>
    <cellStyle name="Millares 5 4 4 2 2 2 3 2" xfId="49056" xr:uid="{00000000-0005-0000-0000-00005C3C0000}"/>
    <cellStyle name="Millares 5 4 4 2 2 2 4" xfId="35494" xr:uid="{00000000-0005-0000-0000-00005D3C0000}"/>
    <cellStyle name="Millares 5 4 4 2 2 3" xfId="11747" xr:uid="{00000000-0005-0000-0000-00005E3C0000}"/>
    <cellStyle name="Millares 5 4 4 2 2 3 2" xfId="25315" xr:uid="{00000000-0005-0000-0000-00005F3C0000}"/>
    <cellStyle name="Millares 5 4 4 2 2 3 2 2" xfId="52448" xr:uid="{00000000-0005-0000-0000-0000603C0000}"/>
    <cellStyle name="Millares 5 4 4 2 2 3 3" xfId="38886" xr:uid="{00000000-0005-0000-0000-0000613C0000}"/>
    <cellStyle name="Millares 5 4 4 2 2 4" xfId="18534" xr:uid="{00000000-0005-0000-0000-0000623C0000}"/>
    <cellStyle name="Millares 5 4 4 2 2 4 2" xfId="45667" xr:uid="{00000000-0005-0000-0000-0000633C0000}"/>
    <cellStyle name="Millares 5 4 4 2 2 5" xfId="32105" xr:uid="{00000000-0005-0000-0000-0000643C0000}"/>
    <cellStyle name="Millares 5 4 4 2 3" xfId="4752" xr:uid="{00000000-0005-0000-0000-0000653C0000}"/>
    <cellStyle name="Millares 5 4 4 2 3 2" xfId="8347" xr:uid="{00000000-0005-0000-0000-0000663C0000}"/>
    <cellStyle name="Millares 5 4 4 2 3 2 2" xfId="15137" xr:uid="{00000000-0005-0000-0000-0000673C0000}"/>
    <cellStyle name="Millares 5 4 4 2 3 2 2 2" xfId="28705" xr:uid="{00000000-0005-0000-0000-0000683C0000}"/>
    <cellStyle name="Millares 5 4 4 2 3 2 2 2 2" xfId="55838" xr:uid="{00000000-0005-0000-0000-0000693C0000}"/>
    <cellStyle name="Millares 5 4 4 2 3 2 2 3" xfId="42276" xr:uid="{00000000-0005-0000-0000-00006A3C0000}"/>
    <cellStyle name="Millares 5 4 4 2 3 2 3" xfId="21924" xr:uid="{00000000-0005-0000-0000-00006B3C0000}"/>
    <cellStyle name="Millares 5 4 4 2 3 2 3 2" xfId="49057" xr:uid="{00000000-0005-0000-0000-00006C3C0000}"/>
    <cellStyle name="Millares 5 4 4 2 3 2 4" xfId="35495" xr:uid="{00000000-0005-0000-0000-00006D3C0000}"/>
    <cellStyle name="Millares 5 4 4 2 3 3" xfId="11748" xr:uid="{00000000-0005-0000-0000-00006E3C0000}"/>
    <cellStyle name="Millares 5 4 4 2 3 3 2" xfId="25316" xr:uid="{00000000-0005-0000-0000-00006F3C0000}"/>
    <cellStyle name="Millares 5 4 4 2 3 3 2 2" xfId="52449" xr:uid="{00000000-0005-0000-0000-0000703C0000}"/>
    <cellStyle name="Millares 5 4 4 2 3 3 3" xfId="38887" xr:uid="{00000000-0005-0000-0000-0000713C0000}"/>
    <cellStyle name="Millares 5 4 4 2 3 4" xfId="18535" xr:uid="{00000000-0005-0000-0000-0000723C0000}"/>
    <cellStyle name="Millares 5 4 4 2 3 4 2" xfId="45668" xr:uid="{00000000-0005-0000-0000-0000733C0000}"/>
    <cellStyle name="Millares 5 4 4 2 3 5" xfId="32106" xr:uid="{00000000-0005-0000-0000-0000743C0000}"/>
    <cellStyle name="Millares 5 4 4 2 4" xfId="8345" xr:uid="{00000000-0005-0000-0000-0000753C0000}"/>
    <cellStyle name="Millares 5 4 4 2 4 2" xfId="15135" xr:uid="{00000000-0005-0000-0000-0000763C0000}"/>
    <cellStyle name="Millares 5 4 4 2 4 2 2" xfId="28703" xr:uid="{00000000-0005-0000-0000-0000773C0000}"/>
    <cellStyle name="Millares 5 4 4 2 4 2 2 2" xfId="55836" xr:uid="{00000000-0005-0000-0000-0000783C0000}"/>
    <cellStyle name="Millares 5 4 4 2 4 2 3" xfId="42274" xr:uid="{00000000-0005-0000-0000-0000793C0000}"/>
    <cellStyle name="Millares 5 4 4 2 4 3" xfId="21922" xr:uid="{00000000-0005-0000-0000-00007A3C0000}"/>
    <cellStyle name="Millares 5 4 4 2 4 3 2" xfId="49055" xr:uid="{00000000-0005-0000-0000-00007B3C0000}"/>
    <cellStyle name="Millares 5 4 4 2 4 4" xfId="35493" xr:uid="{00000000-0005-0000-0000-00007C3C0000}"/>
    <cellStyle name="Millares 5 4 4 2 5" xfId="11746" xr:uid="{00000000-0005-0000-0000-00007D3C0000}"/>
    <cellStyle name="Millares 5 4 4 2 5 2" xfId="25314" xr:uid="{00000000-0005-0000-0000-00007E3C0000}"/>
    <cellStyle name="Millares 5 4 4 2 5 2 2" xfId="52447" xr:uid="{00000000-0005-0000-0000-00007F3C0000}"/>
    <cellStyle name="Millares 5 4 4 2 5 3" xfId="38885" xr:uid="{00000000-0005-0000-0000-0000803C0000}"/>
    <cellStyle name="Millares 5 4 4 2 6" xfId="18533" xr:uid="{00000000-0005-0000-0000-0000813C0000}"/>
    <cellStyle name="Millares 5 4 4 2 6 2" xfId="45666" xr:uid="{00000000-0005-0000-0000-0000823C0000}"/>
    <cellStyle name="Millares 5 4 4 2 7" xfId="32104" xr:uid="{00000000-0005-0000-0000-0000833C0000}"/>
    <cellStyle name="Millares 5 4 4 3" xfId="4753" xr:uid="{00000000-0005-0000-0000-0000843C0000}"/>
    <cellStyle name="Millares 5 4 4 3 2" xfId="8348" xr:uid="{00000000-0005-0000-0000-0000853C0000}"/>
    <cellStyle name="Millares 5 4 4 3 2 2" xfId="15138" xr:uid="{00000000-0005-0000-0000-0000863C0000}"/>
    <cellStyle name="Millares 5 4 4 3 2 2 2" xfId="28706" xr:uid="{00000000-0005-0000-0000-0000873C0000}"/>
    <cellStyle name="Millares 5 4 4 3 2 2 2 2" xfId="55839" xr:uid="{00000000-0005-0000-0000-0000883C0000}"/>
    <cellStyle name="Millares 5 4 4 3 2 2 3" xfId="42277" xr:uid="{00000000-0005-0000-0000-0000893C0000}"/>
    <cellStyle name="Millares 5 4 4 3 2 3" xfId="21925" xr:uid="{00000000-0005-0000-0000-00008A3C0000}"/>
    <cellStyle name="Millares 5 4 4 3 2 3 2" xfId="49058" xr:uid="{00000000-0005-0000-0000-00008B3C0000}"/>
    <cellStyle name="Millares 5 4 4 3 2 4" xfId="35496" xr:uid="{00000000-0005-0000-0000-00008C3C0000}"/>
    <cellStyle name="Millares 5 4 4 3 3" xfId="11749" xr:uid="{00000000-0005-0000-0000-00008D3C0000}"/>
    <cellStyle name="Millares 5 4 4 3 3 2" xfId="25317" xr:uid="{00000000-0005-0000-0000-00008E3C0000}"/>
    <cellStyle name="Millares 5 4 4 3 3 2 2" xfId="52450" xr:uid="{00000000-0005-0000-0000-00008F3C0000}"/>
    <cellStyle name="Millares 5 4 4 3 3 3" xfId="38888" xr:uid="{00000000-0005-0000-0000-0000903C0000}"/>
    <cellStyle name="Millares 5 4 4 3 4" xfId="18536" xr:uid="{00000000-0005-0000-0000-0000913C0000}"/>
    <cellStyle name="Millares 5 4 4 3 4 2" xfId="45669" xr:uid="{00000000-0005-0000-0000-0000923C0000}"/>
    <cellStyle name="Millares 5 4 4 3 5" xfId="32107" xr:uid="{00000000-0005-0000-0000-0000933C0000}"/>
    <cellStyle name="Millares 5 4 4 4" xfId="4754" xr:uid="{00000000-0005-0000-0000-0000943C0000}"/>
    <cellStyle name="Millares 5 4 4 4 2" xfId="8349" xr:uid="{00000000-0005-0000-0000-0000953C0000}"/>
    <cellStyle name="Millares 5 4 4 4 2 2" xfId="15139" xr:uid="{00000000-0005-0000-0000-0000963C0000}"/>
    <cellStyle name="Millares 5 4 4 4 2 2 2" xfId="28707" xr:uid="{00000000-0005-0000-0000-0000973C0000}"/>
    <cellStyle name="Millares 5 4 4 4 2 2 2 2" xfId="55840" xr:uid="{00000000-0005-0000-0000-0000983C0000}"/>
    <cellStyle name="Millares 5 4 4 4 2 2 3" xfId="42278" xr:uid="{00000000-0005-0000-0000-0000993C0000}"/>
    <cellStyle name="Millares 5 4 4 4 2 3" xfId="21926" xr:uid="{00000000-0005-0000-0000-00009A3C0000}"/>
    <cellStyle name="Millares 5 4 4 4 2 3 2" xfId="49059" xr:uid="{00000000-0005-0000-0000-00009B3C0000}"/>
    <cellStyle name="Millares 5 4 4 4 2 4" xfId="35497" xr:uid="{00000000-0005-0000-0000-00009C3C0000}"/>
    <cellStyle name="Millares 5 4 4 4 3" xfId="11750" xr:uid="{00000000-0005-0000-0000-00009D3C0000}"/>
    <cellStyle name="Millares 5 4 4 4 3 2" xfId="25318" xr:uid="{00000000-0005-0000-0000-00009E3C0000}"/>
    <cellStyle name="Millares 5 4 4 4 3 2 2" xfId="52451" xr:uid="{00000000-0005-0000-0000-00009F3C0000}"/>
    <cellStyle name="Millares 5 4 4 4 3 3" xfId="38889" xr:uid="{00000000-0005-0000-0000-0000A03C0000}"/>
    <cellStyle name="Millares 5 4 4 4 4" xfId="18537" xr:uid="{00000000-0005-0000-0000-0000A13C0000}"/>
    <cellStyle name="Millares 5 4 4 4 4 2" xfId="45670" xr:uid="{00000000-0005-0000-0000-0000A23C0000}"/>
    <cellStyle name="Millares 5 4 4 4 5" xfId="32108" xr:uid="{00000000-0005-0000-0000-0000A33C0000}"/>
    <cellStyle name="Millares 5 4 4 5" xfId="8344" xr:uid="{00000000-0005-0000-0000-0000A43C0000}"/>
    <cellStyle name="Millares 5 4 4 5 2" xfId="15134" xr:uid="{00000000-0005-0000-0000-0000A53C0000}"/>
    <cellStyle name="Millares 5 4 4 5 2 2" xfId="28702" xr:uid="{00000000-0005-0000-0000-0000A63C0000}"/>
    <cellStyle name="Millares 5 4 4 5 2 2 2" xfId="55835" xr:uid="{00000000-0005-0000-0000-0000A73C0000}"/>
    <cellStyle name="Millares 5 4 4 5 2 3" xfId="42273" xr:uid="{00000000-0005-0000-0000-0000A83C0000}"/>
    <cellStyle name="Millares 5 4 4 5 3" xfId="21921" xr:uid="{00000000-0005-0000-0000-0000A93C0000}"/>
    <cellStyle name="Millares 5 4 4 5 3 2" xfId="49054" xr:uid="{00000000-0005-0000-0000-0000AA3C0000}"/>
    <cellStyle name="Millares 5 4 4 5 4" xfId="35492" xr:uid="{00000000-0005-0000-0000-0000AB3C0000}"/>
    <cellStyle name="Millares 5 4 4 6" xfId="11745" xr:uid="{00000000-0005-0000-0000-0000AC3C0000}"/>
    <cellStyle name="Millares 5 4 4 6 2" xfId="25313" xr:uid="{00000000-0005-0000-0000-0000AD3C0000}"/>
    <cellStyle name="Millares 5 4 4 6 2 2" xfId="52446" xr:uid="{00000000-0005-0000-0000-0000AE3C0000}"/>
    <cellStyle name="Millares 5 4 4 6 3" xfId="38884" xr:uid="{00000000-0005-0000-0000-0000AF3C0000}"/>
    <cellStyle name="Millares 5 4 4 7" xfId="18532" xr:uid="{00000000-0005-0000-0000-0000B03C0000}"/>
    <cellStyle name="Millares 5 4 4 7 2" xfId="45665" xr:uid="{00000000-0005-0000-0000-0000B13C0000}"/>
    <cellStyle name="Millares 5 4 4 8" xfId="32103" xr:uid="{00000000-0005-0000-0000-0000B23C0000}"/>
    <cellStyle name="Millares 5 4 5" xfId="4755" xr:uid="{00000000-0005-0000-0000-0000B33C0000}"/>
    <cellStyle name="Millares 5 4 5 2" xfId="4756" xr:uid="{00000000-0005-0000-0000-0000B43C0000}"/>
    <cellStyle name="Millares 5 4 5 2 2" xfId="4757" xr:uid="{00000000-0005-0000-0000-0000B53C0000}"/>
    <cellStyle name="Millares 5 4 5 2 2 2" xfId="8352" xr:uid="{00000000-0005-0000-0000-0000B63C0000}"/>
    <cellStyle name="Millares 5 4 5 2 2 2 2" xfId="15142" xr:uid="{00000000-0005-0000-0000-0000B73C0000}"/>
    <cellStyle name="Millares 5 4 5 2 2 2 2 2" xfId="28710" xr:uid="{00000000-0005-0000-0000-0000B83C0000}"/>
    <cellStyle name="Millares 5 4 5 2 2 2 2 2 2" xfId="55843" xr:uid="{00000000-0005-0000-0000-0000B93C0000}"/>
    <cellStyle name="Millares 5 4 5 2 2 2 2 3" xfId="42281" xr:uid="{00000000-0005-0000-0000-0000BA3C0000}"/>
    <cellStyle name="Millares 5 4 5 2 2 2 3" xfId="21929" xr:uid="{00000000-0005-0000-0000-0000BB3C0000}"/>
    <cellStyle name="Millares 5 4 5 2 2 2 3 2" xfId="49062" xr:uid="{00000000-0005-0000-0000-0000BC3C0000}"/>
    <cellStyle name="Millares 5 4 5 2 2 2 4" xfId="35500" xr:uid="{00000000-0005-0000-0000-0000BD3C0000}"/>
    <cellStyle name="Millares 5 4 5 2 2 3" xfId="11753" xr:uid="{00000000-0005-0000-0000-0000BE3C0000}"/>
    <cellStyle name="Millares 5 4 5 2 2 3 2" xfId="25321" xr:uid="{00000000-0005-0000-0000-0000BF3C0000}"/>
    <cellStyle name="Millares 5 4 5 2 2 3 2 2" xfId="52454" xr:uid="{00000000-0005-0000-0000-0000C03C0000}"/>
    <cellStyle name="Millares 5 4 5 2 2 3 3" xfId="38892" xr:uid="{00000000-0005-0000-0000-0000C13C0000}"/>
    <cellStyle name="Millares 5 4 5 2 2 4" xfId="18540" xr:uid="{00000000-0005-0000-0000-0000C23C0000}"/>
    <cellStyle name="Millares 5 4 5 2 2 4 2" xfId="45673" xr:uid="{00000000-0005-0000-0000-0000C33C0000}"/>
    <cellStyle name="Millares 5 4 5 2 2 5" xfId="32111" xr:uid="{00000000-0005-0000-0000-0000C43C0000}"/>
    <cellStyle name="Millares 5 4 5 2 3" xfId="4758" xr:uid="{00000000-0005-0000-0000-0000C53C0000}"/>
    <cellStyle name="Millares 5 4 5 2 3 2" xfId="8353" xr:uid="{00000000-0005-0000-0000-0000C63C0000}"/>
    <cellStyle name="Millares 5 4 5 2 3 2 2" xfId="15143" xr:uid="{00000000-0005-0000-0000-0000C73C0000}"/>
    <cellStyle name="Millares 5 4 5 2 3 2 2 2" xfId="28711" xr:uid="{00000000-0005-0000-0000-0000C83C0000}"/>
    <cellStyle name="Millares 5 4 5 2 3 2 2 2 2" xfId="55844" xr:uid="{00000000-0005-0000-0000-0000C93C0000}"/>
    <cellStyle name="Millares 5 4 5 2 3 2 2 3" xfId="42282" xr:uid="{00000000-0005-0000-0000-0000CA3C0000}"/>
    <cellStyle name="Millares 5 4 5 2 3 2 3" xfId="21930" xr:uid="{00000000-0005-0000-0000-0000CB3C0000}"/>
    <cellStyle name="Millares 5 4 5 2 3 2 3 2" xfId="49063" xr:uid="{00000000-0005-0000-0000-0000CC3C0000}"/>
    <cellStyle name="Millares 5 4 5 2 3 2 4" xfId="35501" xr:uid="{00000000-0005-0000-0000-0000CD3C0000}"/>
    <cellStyle name="Millares 5 4 5 2 3 3" xfId="11754" xr:uid="{00000000-0005-0000-0000-0000CE3C0000}"/>
    <cellStyle name="Millares 5 4 5 2 3 3 2" xfId="25322" xr:uid="{00000000-0005-0000-0000-0000CF3C0000}"/>
    <cellStyle name="Millares 5 4 5 2 3 3 2 2" xfId="52455" xr:uid="{00000000-0005-0000-0000-0000D03C0000}"/>
    <cellStyle name="Millares 5 4 5 2 3 3 3" xfId="38893" xr:uid="{00000000-0005-0000-0000-0000D13C0000}"/>
    <cellStyle name="Millares 5 4 5 2 3 4" xfId="18541" xr:uid="{00000000-0005-0000-0000-0000D23C0000}"/>
    <cellStyle name="Millares 5 4 5 2 3 4 2" xfId="45674" xr:uid="{00000000-0005-0000-0000-0000D33C0000}"/>
    <cellStyle name="Millares 5 4 5 2 3 5" xfId="32112" xr:uid="{00000000-0005-0000-0000-0000D43C0000}"/>
    <cellStyle name="Millares 5 4 5 2 4" xfId="8351" xr:uid="{00000000-0005-0000-0000-0000D53C0000}"/>
    <cellStyle name="Millares 5 4 5 2 4 2" xfId="15141" xr:uid="{00000000-0005-0000-0000-0000D63C0000}"/>
    <cellStyle name="Millares 5 4 5 2 4 2 2" xfId="28709" xr:uid="{00000000-0005-0000-0000-0000D73C0000}"/>
    <cellStyle name="Millares 5 4 5 2 4 2 2 2" xfId="55842" xr:uid="{00000000-0005-0000-0000-0000D83C0000}"/>
    <cellStyle name="Millares 5 4 5 2 4 2 3" xfId="42280" xr:uid="{00000000-0005-0000-0000-0000D93C0000}"/>
    <cellStyle name="Millares 5 4 5 2 4 3" xfId="21928" xr:uid="{00000000-0005-0000-0000-0000DA3C0000}"/>
    <cellStyle name="Millares 5 4 5 2 4 3 2" xfId="49061" xr:uid="{00000000-0005-0000-0000-0000DB3C0000}"/>
    <cellStyle name="Millares 5 4 5 2 4 4" xfId="35499" xr:uid="{00000000-0005-0000-0000-0000DC3C0000}"/>
    <cellStyle name="Millares 5 4 5 2 5" xfId="11752" xr:uid="{00000000-0005-0000-0000-0000DD3C0000}"/>
    <cellStyle name="Millares 5 4 5 2 5 2" xfId="25320" xr:uid="{00000000-0005-0000-0000-0000DE3C0000}"/>
    <cellStyle name="Millares 5 4 5 2 5 2 2" xfId="52453" xr:uid="{00000000-0005-0000-0000-0000DF3C0000}"/>
    <cellStyle name="Millares 5 4 5 2 5 3" xfId="38891" xr:uid="{00000000-0005-0000-0000-0000E03C0000}"/>
    <cellStyle name="Millares 5 4 5 2 6" xfId="18539" xr:uid="{00000000-0005-0000-0000-0000E13C0000}"/>
    <cellStyle name="Millares 5 4 5 2 6 2" xfId="45672" xr:uid="{00000000-0005-0000-0000-0000E23C0000}"/>
    <cellStyle name="Millares 5 4 5 2 7" xfId="32110" xr:uid="{00000000-0005-0000-0000-0000E33C0000}"/>
    <cellStyle name="Millares 5 4 5 3" xfId="4759" xr:uid="{00000000-0005-0000-0000-0000E43C0000}"/>
    <cellStyle name="Millares 5 4 5 3 2" xfId="8354" xr:uid="{00000000-0005-0000-0000-0000E53C0000}"/>
    <cellStyle name="Millares 5 4 5 3 2 2" xfId="15144" xr:uid="{00000000-0005-0000-0000-0000E63C0000}"/>
    <cellStyle name="Millares 5 4 5 3 2 2 2" xfId="28712" xr:uid="{00000000-0005-0000-0000-0000E73C0000}"/>
    <cellStyle name="Millares 5 4 5 3 2 2 2 2" xfId="55845" xr:uid="{00000000-0005-0000-0000-0000E83C0000}"/>
    <cellStyle name="Millares 5 4 5 3 2 2 3" xfId="42283" xr:uid="{00000000-0005-0000-0000-0000E93C0000}"/>
    <cellStyle name="Millares 5 4 5 3 2 3" xfId="21931" xr:uid="{00000000-0005-0000-0000-0000EA3C0000}"/>
    <cellStyle name="Millares 5 4 5 3 2 3 2" xfId="49064" xr:uid="{00000000-0005-0000-0000-0000EB3C0000}"/>
    <cellStyle name="Millares 5 4 5 3 2 4" xfId="35502" xr:uid="{00000000-0005-0000-0000-0000EC3C0000}"/>
    <cellStyle name="Millares 5 4 5 3 3" xfId="11755" xr:uid="{00000000-0005-0000-0000-0000ED3C0000}"/>
    <cellStyle name="Millares 5 4 5 3 3 2" xfId="25323" xr:uid="{00000000-0005-0000-0000-0000EE3C0000}"/>
    <cellStyle name="Millares 5 4 5 3 3 2 2" xfId="52456" xr:uid="{00000000-0005-0000-0000-0000EF3C0000}"/>
    <cellStyle name="Millares 5 4 5 3 3 3" xfId="38894" xr:uid="{00000000-0005-0000-0000-0000F03C0000}"/>
    <cellStyle name="Millares 5 4 5 3 4" xfId="18542" xr:uid="{00000000-0005-0000-0000-0000F13C0000}"/>
    <cellStyle name="Millares 5 4 5 3 4 2" xfId="45675" xr:uid="{00000000-0005-0000-0000-0000F23C0000}"/>
    <cellStyle name="Millares 5 4 5 3 5" xfId="32113" xr:uid="{00000000-0005-0000-0000-0000F33C0000}"/>
    <cellStyle name="Millares 5 4 5 4" xfId="4760" xr:uid="{00000000-0005-0000-0000-0000F43C0000}"/>
    <cellStyle name="Millares 5 4 5 4 2" xfId="8355" xr:uid="{00000000-0005-0000-0000-0000F53C0000}"/>
    <cellStyle name="Millares 5 4 5 4 2 2" xfId="15145" xr:uid="{00000000-0005-0000-0000-0000F63C0000}"/>
    <cellStyle name="Millares 5 4 5 4 2 2 2" xfId="28713" xr:uid="{00000000-0005-0000-0000-0000F73C0000}"/>
    <cellStyle name="Millares 5 4 5 4 2 2 2 2" xfId="55846" xr:uid="{00000000-0005-0000-0000-0000F83C0000}"/>
    <cellStyle name="Millares 5 4 5 4 2 2 3" xfId="42284" xr:uid="{00000000-0005-0000-0000-0000F93C0000}"/>
    <cellStyle name="Millares 5 4 5 4 2 3" xfId="21932" xr:uid="{00000000-0005-0000-0000-0000FA3C0000}"/>
    <cellStyle name="Millares 5 4 5 4 2 3 2" xfId="49065" xr:uid="{00000000-0005-0000-0000-0000FB3C0000}"/>
    <cellStyle name="Millares 5 4 5 4 2 4" xfId="35503" xr:uid="{00000000-0005-0000-0000-0000FC3C0000}"/>
    <cellStyle name="Millares 5 4 5 4 3" xfId="11756" xr:uid="{00000000-0005-0000-0000-0000FD3C0000}"/>
    <cellStyle name="Millares 5 4 5 4 3 2" xfId="25324" xr:uid="{00000000-0005-0000-0000-0000FE3C0000}"/>
    <cellStyle name="Millares 5 4 5 4 3 2 2" xfId="52457" xr:uid="{00000000-0005-0000-0000-0000FF3C0000}"/>
    <cellStyle name="Millares 5 4 5 4 3 3" xfId="38895" xr:uid="{00000000-0005-0000-0000-0000003D0000}"/>
    <cellStyle name="Millares 5 4 5 4 4" xfId="18543" xr:uid="{00000000-0005-0000-0000-0000013D0000}"/>
    <cellStyle name="Millares 5 4 5 4 4 2" xfId="45676" xr:uid="{00000000-0005-0000-0000-0000023D0000}"/>
    <cellStyle name="Millares 5 4 5 4 5" xfId="32114" xr:uid="{00000000-0005-0000-0000-0000033D0000}"/>
    <cellStyle name="Millares 5 4 5 5" xfId="8350" xr:uid="{00000000-0005-0000-0000-0000043D0000}"/>
    <cellStyle name="Millares 5 4 5 5 2" xfId="15140" xr:uid="{00000000-0005-0000-0000-0000053D0000}"/>
    <cellStyle name="Millares 5 4 5 5 2 2" xfId="28708" xr:uid="{00000000-0005-0000-0000-0000063D0000}"/>
    <cellStyle name="Millares 5 4 5 5 2 2 2" xfId="55841" xr:uid="{00000000-0005-0000-0000-0000073D0000}"/>
    <cellStyle name="Millares 5 4 5 5 2 3" xfId="42279" xr:uid="{00000000-0005-0000-0000-0000083D0000}"/>
    <cellStyle name="Millares 5 4 5 5 3" xfId="21927" xr:uid="{00000000-0005-0000-0000-0000093D0000}"/>
    <cellStyle name="Millares 5 4 5 5 3 2" xfId="49060" xr:uid="{00000000-0005-0000-0000-00000A3D0000}"/>
    <cellStyle name="Millares 5 4 5 5 4" xfId="35498" xr:uid="{00000000-0005-0000-0000-00000B3D0000}"/>
    <cellStyle name="Millares 5 4 5 6" xfId="11751" xr:uid="{00000000-0005-0000-0000-00000C3D0000}"/>
    <cellStyle name="Millares 5 4 5 6 2" xfId="25319" xr:uid="{00000000-0005-0000-0000-00000D3D0000}"/>
    <cellStyle name="Millares 5 4 5 6 2 2" xfId="52452" xr:uid="{00000000-0005-0000-0000-00000E3D0000}"/>
    <cellStyle name="Millares 5 4 5 6 3" xfId="38890" xr:uid="{00000000-0005-0000-0000-00000F3D0000}"/>
    <cellStyle name="Millares 5 4 5 7" xfId="18538" xr:uid="{00000000-0005-0000-0000-0000103D0000}"/>
    <cellStyle name="Millares 5 4 5 7 2" xfId="45671" xr:uid="{00000000-0005-0000-0000-0000113D0000}"/>
    <cellStyle name="Millares 5 4 5 8" xfId="32109" xr:uid="{00000000-0005-0000-0000-0000123D0000}"/>
    <cellStyle name="Millares 5 4 6" xfId="4761" xr:uid="{00000000-0005-0000-0000-0000133D0000}"/>
    <cellStyle name="Millares 5 4 6 2" xfId="4762" xr:uid="{00000000-0005-0000-0000-0000143D0000}"/>
    <cellStyle name="Millares 5 4 6 2 2" xfId="8357" xr:uid="{00000000-0005-0000-0000-0000153D0000}"/>
    <cellStyle name="Millares 5 4 6 2 2 2" xfId="15147" xr:uid="{00000000-0005-0000-0000-0000163D0000}"/>
    <cellStyle name="Millares 5 4 6 2 2 2 2" xfId="28715" xr:uid="{00000000-0005-0000-0000-0000173D0000}"/>
    <cellStyle name="Millares 5 4 6 2 2 2 2 2" xfId="55848" xr:uid="{00000000-0005-0000-0000-0000183D0000}"/>
    <cellStyle name="Millares 5 4 6 2 2 2 3" xfId="42286" xr:uid="{00000000-0005-0000-0000-0000193D0000}"/>
    <cellStyle name="Millares 5 4 6 2 2 3" xfId="21934" xr:uid="{00000000-0005-0000-0000-00001A3D0000}"/>
    <cellStyle name="Millares 5 4 6 2 2 3 2" xfId="49067" xr:uid="{00000000-0005-0000-0000-00001B3D0000}"/>
    <cellStyle name="Millares 5 4 6 2 2 4" xfId="35505" xr:uid="{00000000-0005-0000-0000-00001C3D0000}"/>
    <cellStyle name="Millares 5 4 6 2 3" xfId="11758" xr:uid="{00000000-0005-0000-0000-00001D3D0000}"/>
    <cellStyle name="Millares 5 4 6 2 3 2" xfId="25326" xr:uid="{00000000-0005-0000-0000-00001E3D0000}"/>
    <cellStyle name="Millares 5 4 6 2 3 2 2" xfId="52459" xr:uid="{00000000-0005-0000-0000-00001F3D0000}"/>
    <cellStyle name="Millares 5 4 6 2 3 3" xfId="38897" xr:uid="{00000000-0005-0000-0000-0000203D0000}"/>
    <cellStyle name="Millares 5 4 6 2 4" xfId="18545" xr:uid="{00000000-0005-0000-0000-0000213D0000}"/>
    <cellStyle name="Millares 5 4 6 2 4 2" xfId="45678" xr:uid="{00000000-0005-0000-0000-0000223D0000}"/>
    <cellStyle name="Millares 5 4 6 2 5" xfId="32116" xr:uid="{00000000-0005-0000-0000-0000233D0000}"/>
    <cellStyle name="Millares 5 4 6 3" xfId="4763" xr:uid="{00000000-0005-0000-0000-0000243D0000}"/>
    <cellStyle name="Millares 5 4 6 3 2" xfId="8358" xr:uid="{00000000-0005-0000-0000-0000253D0000}"/>
    <cellStyle name="Millares 5 4 6 3 2 2" xfId="15148" xr:uid="{00000000-0005-0000-0000-0000263D0000}"/>
    <cellStyle name="Millares 5 4 6 3 2 2 2" xfId="28716" xr:uid="{00000000-0005-0000-0000-0000273D0000}"/>
    <cellStyle name="Millares 5 4 6 3 2 2 2 2" xfId="55849" xr:uid="{00000000-0005-0000-0000-0000283D0000}"/>
    <cellStyle name="Millares 5 4 6 3 2 2 3" xfId="42287" xr:uid="{00000000-0005-0000-0000-0000293D0000}"/>
    <cellStyle name="Millares 5 4 6 3 2 3" xfId="21935" xr:uid="{00000000-0005-0000-0000-00002A3D0000}"/>
    <cellStyle name="Millares 5 4 6 3 2 3 2" xfId="49068" xr:uid="{00000000-0005-0000-0000-00002B3D0000}"/>
    <cellStyle name="Millares 5 4 6 3 2 4" xfId="35506" xr:uid="{00000000-0005-0000-0000-00002C3D0000}"/>
    <cellStyle name="Millares 5 4 6 3 3" xfId="11759" xr:uid="{00000000-0005-0000-0000-00002D3D0000}"/>
    <cellStyle name="Millares 5 4 6 3 3 2" xfId="25327" xr:uid="{00000000-0005-0000-0000-00002E3D0000}"/>
    <cellStyle name="Millares 5 4 6 3 3 2 2" xfId="52460" xr:uid="{00000000-0005-0000-0000-00002F3D0000}"/>
    <cellStyle name="Millares 5 4 6 3 3 3" xfId="38898" xr:uid="{00000000-0005-0000-0000-0000303D0000}"/>
    <cellStyle name="Millares 5 4 6 3 4" xfId="18546" xr:uid="{00000000-0005-0000-0000-0000313D0000}"/>
    <cellStyle name="Millares 5 4 6 3 4 2" xfId="45679" xr:uid="{00000000-0005-0000-0000-0000323D0000}"/>
    <cellStyle name="Millares 5 4 6 3 5" xfId="32117" xr:uid="{00000000-0005-0000-0000-0000333D0000}"/>
    <cellStyle name="Millares 5 4 6 4" xfId="8356" xr:uid="{00000000-0005-0000-0000-0000343D0000}"/>
    <cellStyle name="Millares 5 4 6 4 2" xfId="15146" xr:uid="{00000000-0005-0000-0000-0000353D0000}"/>
    <cellStyle name="Millares 5 4 6 4 2 2" xfId="28714" xr:uid="{00000000-0005-0000-0000-0000363D0000}"/>
    <cellStyle name="Millares 5 4 6 4 2 2 2" xfId="55847" xr:uid="{00000000-0005-0000-0000-0000373D0000}"/>
    <cellStyle name="Millares 5 4 6 4 2 3" xfId="42285" xr:uid="{00000000-0005-0000-0000-0000383D0000}"/>
    <cellStyle name="Millares 5 4 6 4 3" xfId="21933" xr:uid="{00000000-0005-0000-0000-0000393D0000}"/>
    <cellStyle name="Millares 5 4 6 4 3 2" xfId="49066" xr:uid="{00000000-0005-0000-0000-00003A3D0000}"/>
    <cellStyle name="Millares 5 4 6 4 4" xfId="35504" xr:uid="{00000000-0005-0000-0000-00003B3D0000}"/>
    <cellStyle name="Millares 5 4 6 5" xfId="11757" xr:uid="{00000000-0005-0000-0000-00003C3D0000}"/>
    <cellStyle name="Millares 5 4 6 5 2" xfId="25325" xr:uid="{00000000-0005-0000-0000-00003D3D0000}"/>
    <cellStyle name="Millares 5 4 6 5 2 2" xfId="52458" xr:uid="{00000000-0005-0000-0000-00003E3D0000}"/>
    <cellStyle name="Millares 5 4 6 5 3" xfId="38896" xr:uid="{00000000-0005-0000-0000-00003F3D0000}"/>
    <cellStyle name="Millares 5 4 6 6" xfId="18544" xr:uid="{00000000-0005-0000-0000-0000403D0000}"/>
    <cellStyle name="Millares 5 4 6 6 2" xfId="45677" xr:uid="{00000000-0005-0000-0000-0000413D0000}"/>
    <cellStyle name="Millares 5 4 6 7" xfId="32115" xr:uid="{00000000-0005-0000-0000-0000423D0000}"/>
    <cellStyle name="Millares 5 4 7" xfId="4764" xr:uid="{00000000-0005-0000-0000-0000433D0000}"/>
    <cellStyle name="Millares 5 4 7 2" xfId="4765" xr:uid="{00000000-0005-0000-0000-0000443D0000}"/>
    <cellStyle name="Millares 5 4 7 2 2" xfId="8360" xr:uid="{00000000-0005-0000-0000-0000453D0000}"/>
    <cellStyle name="Millares 5 4 7 2 2 2" xfId="15150" xr:uid="{00000000-0005-0000-0000-0000463D0000}"/>
    <cellStyle name="Millares 5 4 7 2 2 2 2" xfId="28718" xr:uid="{00000000-0005-0000-0000-0000473D0000}"/>
    <cellStyle name="Millares 5 4 7 2 2 2 2 2" xfId="55851" xr:uid="{00000000-0005-0000-0000-0000483D0000}"/>
    <cellStyle name="Millares 5 4 7 2 2 2 3" xfId="42289" xr:uid="{00000000-0005-0000-0000-0000493D0000}"/>
    <cellStyle name="Millares 5 4 7 2 2 3" xfId="21937" xr:uid="{00000000-0005-0000-0000-00004A3D0000}"/>
    <cellStyle name="Millares 5 4 7 2 2 3 2" xfId="49070" xr:uid="{00000000-0005-0000-0000-00004B3D0000}"/>
    <cellStyle name="Millares 5 4 7 2 2 4" xfId="35508" xr:uid="{00000000-0005-0000-0000-00004C3D0000}"/>
    <cellStyle name="Millares 5 4 7 2 3" xfId="11761" xr:uid="{00000000-0005-0000-0000-00004D3D0000}"/>
    <cellStyle name="Millares 5 4 7 2 3 2" xfId="25329" xr:uid="{00000000-0005-0000-0000-00004E3D0000}"/>
    <cellStyle name="Millares 5 4 7 2 3 2 2" xfId="52462" xr:uid="{00000000-0005-0000-0000-00004F3D0000}"/>
    <cellStyle name="Millares 5 4 7 2 3 3" xfId="38900" xr:uid="{00000000-0005-0000-0000-0000503D0000}"/>
    <cellStyle name="Millares 5 4 7 2 4" xfId="18548" xr:uid="{00000000-0005-0000-0000-0000513D0000}"/>
    <cellStyle name="Millares 5 4 7 2 4 2" xfId="45681" xr:uid="{00000000-0005-0000-0000-0000523D0000}"/>
    <cellStyle name="Millares 5 4 7 2 5" xfId="32119" xr:uid="{00000000-0005-0000-0000-0000533D0000}"/>
    <cellStyle name="Millares 5 4 7 3" xfId="8359" xr:uid="{00000000-0005-0000-0000-0000543D0000}"/>
    <cellStyle name="Millares 5 4 7 3 2" xfId="15149" xr:uid="{00000000-0005-0000-0000-0000553D0000}"/>
    <cellStyle name="Millares 5 4 7 3 2 2" xfId="28717" xr:uid="{00000000-0005-0000-0000-0000563D0000}"/>
    <cellStyle name="Millares 5 4 7 3 2 2 2" xfId="55850" xr:uid="{00000000-0005-0000-0000-0000573D0000}"/>
    <cellStyle name="Millares 5 4 7 3 2 3" xfId="42288" xr:uid="{00000000-0005-0000-0000-0000583D0000}"/>
    <cellStyle name="Millares 5 4 7 3 3" xfId="21936" xr:uid="{00000000-0005-0000-0000-0000593D0000}"/>
    <cellStyle name="Millares 5 4 7 3 3 2" xfId="49069" xr:uid="{00000000-0005-0000-0000-00005A3D0000}"/>
    <cellStyle name="Millares 5 4 7 3 4" xfId="35507" xr:uid="{00000000-0005-0000-0000-00005B3D0000}"/>
    <cellStyle name="Millares 5 4 7 4" xfId="11760" xr:uid="{00000000-0005-0000-0000-00005C3D0000}"/>
    <cellStyle name="Millares 5 4 7 4 2" xfId="25328" xr:uid="{00000000-0005-0000-0000-00005D3D0000}"/>
    <cellStyle name="Millares 5 4 7 4 2 2" xfId="52461" xr:uid="{00000000-0005-0000-0000-00005E3D0000}"/>
    <cellStyle name="Millares 5 4 7 4 3" xfId="38899" xr:uid="{00000000-0005-0000-0000-00005F3D0000}"/>
    <cellStyle name="Millares 5 4 7 5" xfId="18547" xr:uid="{00000000-0005-0000-0000-0000603D0000}"/>
    <cellStyle name="Millares 5 4 7 5 2" xfId="45680" xr:uid="{00000000-0005-0000-0000-0000613D0000}"/>
    <cellStyle name="Millares 5 4 7 6" xfId="32118" xr:uid="{00000000-0005-0000-0000-0000623D0000}"/>
    <cellStyle name="Millares 5 4 8" xfId="4766" xr:uid="{00000000-0005-0000-0000-0000633D0000}"/>
    <cellStyle name="Millares 5 4 8 2" xfId="8361" xr:uid="{00000000-0005-0000-0000-0000643D0000}"/>
    <cellStyle name="Millares 5 4 8 2 2" xfId="15151" xr:uid="{00000000-0005-0000-0000-0000653D0000}"/>
    <cellStyle name="Millares 5 4 8 2 2 2" xfId="28719" xr:uid="{00000000-0005-0000-0000-0000663D0000}"/>
    <cellStyle name="Millares 5 4 8 2 2 2 2" xfId="55852" xr:uid="{00000000-0005-0000-0000-0000673D0000}"/>
    <cellStyle name="Millares 5 4 8 2 2 3" xfId="42290" xr:uid="{00000000-0005-0000-0000-0000683D0000}"/>
    <cellStyle name="Millares 5 4 8 2 3" xfId="21938" xr:uid="{00000000-0005-0000-0000-0000693D0000}"/>
    <cellStyle name="Millares 5 4 8 2 3 2" xfId="49071" xr:uid="{00000000-0005-0000-0000-00006A3D0000}"/>
    <cellStyle name="Millares 5 4 8 2 4" xfId="35509" xr:uid="{00000000-0005-0000-0000-00006B3D0000}"/>
    <cellStyle name="Millares 5 4 8 3" xfId="11762" xr:uid="{00000000-0005-0000-0000-00006C3D0000}"/>
    <cellStyle name="Millares 5 4 8 3 2" xfId="25330" xr:uid="{00000000-0005-0000-0000-00006D3D0000}"/>
    <cellStyle name="Millares 5 4 8 3 2 2" xfId="52463" xr:uid="{00000000-0005-0000-0000-00006E3D0000}"/>
    <cellStyle name="Millares 5 4 8 3 3" xfId="38901" xr:uid="{00000000-0005-0000-0000-00006F3D0000}"/>
    <cellStyle name="Millares 5 4 8 4" xfId="18549" xr:uid="{00000000-0005-0000-0000-0000703D0000}"/>
    <cellStyle name="Millares 5 4 8 4 2" xfId="45682" xr:uid="{00000000-0005-0000-0000-0000713D0000}"/>
    <cellStyle name="Millares 5 4 8 5" xfId="32120" xr:uid="{00000000-0005-0000-0000-0000723D0000}"/>
    <cellStyle name="Millares 5 4 9" xfId="4767" xr:uid="{00000000-0005-0000-0000-0000733D0000}"/>
    <cellStyle name="Millares 5 4 9 2" xfId="8362" xr:uid="{00000000-0005-0000-0000-0000743D0000}"/>
    <cellStyle name="Millares 5 4 9 2 2" xfId="15152" xr:uid="{00000000-0005-0000-0000-0000753D0000}"/>
    <cellStyle name="Millares 5 4 9 2 2 2" xfId="28720" xr:uid="{00000000-0005-0000-0000-0000763D0000}"/>
    <cellStyle name="Millares 5 4 9 2 2 2 2" xfId="55853" xr:uid="{00000000-0005-0000-0000-0000773D0000}"/>
    <cellStyle name="Millares 5 4 9 2 2 3" xfId="42291" xr:uid="{00000000-0005-0000-0000-0000783D0000}"/>
    <cellStyle name="Millares 5 4 9 2 3" xfId="21939" xr:uid="{00000000-0005-0000-0000-0000793D0000}"/>
    <cellStyle name="Millares 5 4 9 2 3 2" xfId="49072" xr:uid="{00000000-0005-0000-0000-00007A3D0000}"/>
    <cellStyle name="Millares 5 4 9 2 4" xfId="35510" xr:uid="{00000000-0005-0000-0000-00007B3D0000}"/>
    <cellStyle name="Millares 5 4 9 3" xfId="11763" xr:uid="{00000000-0005-0000-0000-00007C3D0000}"/>
    <cellStyle name="Millares 5 4 9 3 2" xfId="25331" xr:uid="{00000000-0005-0000-0000-00007D3D0000}"/>
    <cellStyle name="Millares 5 4 9 3 2 2" xfId="52464" xr:uid="{00000000-0005-0000-0000-00007E3D0000}"/>
    <cellStyle name="Millares 5 4 9 3 3" xfId="38902" xr:uid="{00000000-0005-0000-0000-00007F3D0000}"/>
    <cellStyle name="Millares 5 4 9 4" xfId="18550" xr:uid="{00000000-0005-0000-0000-0000803D0000}"/>
    <cellStyle name="Millares 5 4 9 4 2" xfId="45683" xr:uid="{00000000-0005-0000-0000-0000813D0000}"/>
    <cellStyle name="Millares 5 4 9 5" xfId="32121" xr:uid="{00000000-0005-0000-0000-0000823D0000}"/>
    <cellStyle name="Millares 5 5" xfId="4768" xr:uid="{00000000-0005-0000-0000-0000833D0000}"/>
    <cellStyle name="Millares 5 5 10" xfId="32122" xr:uid="{00000000-0005-0000-0000-0000843D0000}"/>
    <cellStyle name="Millares 5 5 2" xfId="4769" xr:uid="{00000000-0005-0000-0000-0000853D0000}"/>
    <cellStyle name="Millares 5 5 2 2" xfId="4770" xr:uid="{00000000-0005-0000-0000-0000863D0000}"/>
    <cellStyle name="Millares 5 5 2 2 2" xfId="4771" xr:uid="{00000000-0005-0000-0000-0000873D0000}"/>
    <cellStyle name="Millares 5 5 2 2 2 2" xfId="8366" xr:uid="{00000000-0005-0000-0000-0000883D0000}"/>
    <cellStyle name="Millares 5 5 2 2 2 2 2" xfId="15156" xr:uid="{00000000-0005-0000-0000-0000893D0000}"/>
    <cellStyle name="Millares 5 5 2 2 2 2 2 2" xfId="28724" xr:uid="{00000000-0005-0000-0000-00008A3D0000}"/>
    <cellStyle name="Millares 5 5 2 2 2 2 2 2 2" xfId="55857" xr:uid="{00000000-0005-0000-0000-00008B3D0000}"/>
    <cellStyle name="Millares 5 5 2 2 2 2 2 3" xfId="42295" xr:uid="{00000000-0005-0000-0000-00008C3D0000}"/>
    <cellStyle name="Millares 5 5 2 2 2 2 3" xfId="21943" xr:uid="{00000000-0005-0000-0000-00008D3D0000}"/>
    <cellStyle name="Millares 5 5 2 2 2 2 3 2" xfId="49076" xr:uid="{00000000-0005-0000-0000-00008E3D0000}"/>
    <cellStyle name="Millares 5 5 2 2 2 2 4" xfId="35514" xr:uid="{00000000-0005-0000-0000-00008F3D0000}"/>
    <cellStyle name="Millares 5 5 2 2 2 3" xfId="11767" xr:uid="{00000000-0005-0000-0000-0000903D0000}"/>
    <cellStyle name="Millares 5 5 2 2 2 3 2" xfId="25335" xr:uid="{00000000-0005-0000-0000-0000913D0000}"/>
    <cellStyle name="Millares 5 5 2 2 2 3 2 2" xfId="52468" xr:uid="{00000000-0005-0000-0000-0000923D0000}"/>
    <cellStyle name="Millares 5 5 2 2 2 3 3" xfId="38906" xr:uid="{00000000-0005-0000-0000-0000933D0000}"/>
    <cellStyle name="Millares 5 5 2 2 2 4" xfId="18554" xr:uid="{00000000-0005-0000-0000-0000943D0000}"/>
    <cellStyle name="Millares 5 5 2 2 2 4 2" xfId="45687" xr:uid="{00000000-0005-0000-0000-0000953D0000}"/>
    <cellStyle name="Millares 5 5 2 2 2 5" xfId="32125" xr:uid="{00000000-0005-0000-0000-0000963D0000}"/>
    <cellStyle name="Millares 5 5 2 2 3" xfId="4772" xr:uid="{00000000-0005-0000-0000-0000973D0000}"/>
    <cellStyle name="Millares 5 5 2 2 3 2" xfId="8367" xr:uid="{00000000-0005-0000-0000-0000983D0000}"/>
    <cellStyle name="Millares 5 5 2 2 3 2 2" xfId="15157" xr:uid="{00000000-0005-0000-0000-0000993D0000}"/>
    <cellStyle name="Millares 5 5 2 2 3 2 2 2" xfId="28725" xr:uid="{00000000-0005-0000-0000-00009A3D0000}"/>
    <cellStyle name="Millares 5 5 2 2 3 2 2 2 2" xfId="55858" xr:uid="{00000000-0005-0000-0000-00009B3D0000}"/>
    <cellStyle name="Millares 5 5 2 2 3 2 2 3" xfId="42296" xr:uid="{00000000-0005-0000-0000-00009C3D0000}"/>
    <cellStyle name="Millares 5 5 2 2 3 2 3" xfId="21944" xr:uid="{00000000-0005-0000-0000-00009D3D0000}"/>
    <cellStyle name="Millares 5 5 2 2 3 2 3 2" xfId="49077" xr:uid="{00000000-0005-0000-0000-00009E3D0000}"/>
    <cellStyle name="Millares 5 5 2 2 3 2 4" xfId="35515" xr:uid="{00000000-0005-0000-0000-00009F3D0000}"/>
    <cellStyle name="Millares 5 5 2 2 3 3" xfId="11768" xr:uid="{00000000-0005-0000-0000-0000A03D0000}"/>
    <cellStyle name="Millares 5 5 2 2 3 3 2" xfId="25336" xr:uid="{00000000-0005-0000-0000-0000A13D0000}"/>
    <cellStyle name="Millares 5 5 2 2 3 3 2 2" xfId="52469" xr:uid="{00000000-0005-0000-0000-0000A23D0000}"/>
    <cellStyle name="Millares 5 5 2 2 3 3 3" xfId="38907" xr:uid="{00000000-0005-0000-0000-0000A33D0000}"/>
    <cellStyle name="Millares 5 5 2 2 3 4" xfId="18555" xr:uid="{00000000-0005-0000-0000-0000A43D0000}"/>
    <cellStyle name="Millares 5 5 2 2 3 4 2" xfId="45688" xr:uid="{00000000-0005-0000-0000-0000A53D0000}"/>
    <cellStyle name="Millares 5 5 2 2 3 5" xfId="32126" xr:uid="{00000000-0005-0000-0000-0000A63D0000}"/>
    <cellStyle name="Millares 5 5 2 2 4" xfId="8365" xr:uid="{00000000-0005-0000-0000-0000A73D0000}"/>
    <cellStyle name="Millares 5 5 2 2 4 2" xfId="15155" xr:uid="{00000000-0005-0000-0000-0000A83D0000}"/>
    <cellStyle name="Millares 5 5 2 2 4 2 2" xfId="28723" xr:uid="{00000000-0005-0000-0000-0000A93D0000}"/>
    <cellStyle name="Millares 5 5 2 2 4 2 2 2" xfId="55856" xr:uid="{00000000-0005-0000-0000-0000AA3D0000}"/>
    <cellStyle name="Millares 5 5 2 2 4 2 3" xfId="42294" xr:uid="{00000000-0005-0000-0000-0000AB3D0000}"/>
    <cellStyle name="Millares 5 5 2 2 4 3" xfId="21942" xr:uid="{00000000-0005-0000-0000-0000AC3D0000}"/>
    <cellStyle name="Millares 5 5 2 2 4 3 2" xfId="49075" xr:uid="{00000000-0005-0000-0000-0000AD3D0000}"/>
    <cellStyle name="Millares 5 5 2 2 4 4" xfId="35513" xr:uid="{00000000-0005-0000-0000-0000AE3D0000}"/>
    <cellStyle name="Millares 5 5 2 2 5" xfId="11766" xr:uid="{00000000-0005-0000-0000-0000AF3D0000}"/>
    <cellStyle name="Millares 5 5 2 2 5 2" xfId="25334" xr:uid="{00000000-0005-0000-0000-0000B03D0000}"/>
    <cellStyle name="Millares 5 5 2 2 5 2 2" xfId="52467" xr:uid="{00000000-0005-0000-0000-0000B13D0000}"/>
    <cellStyle name="Millares 5 5 2 2 5 3" xfId="38905" xr:uid="{00000000-0005-0000-0000-0000B23D0000}"/>
    <cellStyle name="Millares 5 5 2 2 6" xfId="18553" xr:uid="{00000000-0005-0000-0000-0000B33D0000}"/>
    <cellStyle name="Millares 5 5 2 2 6 2" xfId="45686" xr:uid="{00000000-0005-0000-0000-0000B43D0000}"/>
    <cellStyle name="Millares 5 5 2 2 7" xfId="32124" xr:uid="{00000000-0005-0000-0000-0000B53D0000}"/>
    <cellStyle name="Millares 5 5 2 3" xfId="4773" xr:uid="{00000000-0005-0000-0000-0000B63D0000}"/>
    <cellStyle name="Millares 5 5 2 3 2" xfId="4774" xr:uid="{00000000-0005-0000-0000-0000B73D0000}"/>
    <cellStyle name="Millares 5 5 2 3 2 2" xfId="8369" xr:uid="{00000000-0005-0000-0000-0000B83D0000}"/>
    <cellStyle name="Millares 5 5 2 3 2 2 2" xfId="15159" xr:uid="{00000000-0005-0000-0000-0000B93D0000}"/>
    <cellStyle name="Millares 5 5 2 3 2 2 2 2" xfId="28727" xr:uid="{00000000-0005-0000-0000-0000BA3D0000}"/>
    <cellStyle name="Millares 5 5 2 3 2 2 2 2 2" xfId="55860" xr:uid="{00000000-0005-0000-0000-0000BB3D0000}"/>
    <cellStyle name="Millares 5 5 2 3 2 2 2 3" xfId="42298" xr:uid="{00000000-0005-0000-0000-0000BC3D0000}"/>
    <cellStyle name="Millares 5 5 2 3 2 2 3" xfId="21946" xr:uid="{00000000-0005-0000-0000-0000BD3D0000}"/>
    <cellStyle name="Millares 5 5 2 3 2 2 3 2" xfId="49079" xr:uid="{00000000-0005-0000-0000-0000BE3D0000}"/>
    <cellStyle name="Millares 5 5 2 3 2 2 4" xfId="35517" xr:uid="{00000000-0005-0000-0000-0000BF3D0000}"/>
    <cellStyle name="Millares 5 5 2 3 2 3" xfId="11770" xr:uid="{00000000-0005-0000-0000-0000C03D0000}"/>
    <cellStyle name="Millares 5 5 2 3 2 3 2" xfId="25338" xr:uid="{00000000-0005-0000-0000-0000C13D0000}"/>
    <cellStyle name="Millares 5 5 2 3 2 3 2 2" xfId="52471" xr:uid="{00000000-0005-0000-0000-0000C23D0000}"/>
    <cellStyle name="Millares 5 5 2 3 2 3 3" xfId="38909" xr:uid="{00000000-0005-0000-0000-0000C33D0000}"/>
    <cellStyle name="Millares 5 5 2 3 2 4" xfId="18557" xr:uid="{00000000-0005-0000-0000-0000C43D0000}"/>
    <cellStyle name="Millares 5 5 2 3 2 4 2" xfId="45690" xr:uid="{00000000-0005-0000-0000-0000C53D0000}"/>
    <cellStyle name="Millares 5 5 2 3 2 5" xfId="32128" xr:uid="{00000000-0005-0000-0000-0000C63D0000}"/>
    <cellStyle name="Millares 5 5 2 3 3" xfId="8368" xr:uid="{00000000-0005-0000-0000-0000C73D0000}"/>
    <cellStyle name="Millares 5 5 2 3 3 2" xfId="15158" xr:uid="{00000000-0005-0000-0000-0000C83D0000}"/>
    <cellStyle name="Millares 5 5 2 3 3 2 2" xfId="28726" xr:uid="{00000000-0005-0000-0000-0000C93D0000}"/>
    <cellStyle name="Millares 5 5 2 3 3 2 2 2" xfId="55859" xr:uid="{00000000-0005-0000-0000-0000CA3D0000}"/>
    <cellStyle name="Millares 5 5 2 3 3 2 3" xfId="42297" xr:uid="{00000000-0005-0000-0000-0000CB3D0000}"/>
    <cellStyle name="Millares 5 5 2 3 3 3" xfId="21945" xr:uid="{00000000-0005-0000-0000-0000CC3D0000}"/>
    <cellStyle name="Millares 5 5 2 3 3 3 2" xfId="49078" xr:uid="{00000000-0005-0000-0000-0000CD3D0000}"/>
    <cellStyle name="Millares 5 5 2 3 3 4" xfId="35516" xr:uid="{00000000-0005-0000-0000-0000CE3D0000}"/>
    <cellStyle name="Millares 5 5 2 3 4" xfId="11769" xr:uid="{00000000-0005-0000-0000-0000CF3D0000}"/>
    <cellStyle name="Millares 5 5 2 3 4 2" xfId="25337" xr:uid="{00000000-0005-0000-0000-0000D03D0000}"/>
    <cellStyle name="Millares 5 5 2 3 4 2 2" xfId="52470" xr:uid="{00000000-0005-0000-0000-0000D13D0000}"/>
    <cellStyle name="Millares 5 5 2 3 4 3" xfId="38908" xr:uid="{00000000-0005-0000-0000-0000D23D0000}"/>
    <cellStyle name="Millares 5 5 2 3 5" xfId="18556" xr:uid="{00000000-0005-0000-0000-0000D33D0000}"/>
    <cellStyle name="Millares 5 5 2 3 5 2" xfId="45689" xr:uid="{00000000-0005-0000-0000-0000D43D0000}"/>
    <cellStyle name="Millares 5 5 2 3 6" xfId="32127" xr:uid="{00000000-0005-0000-0000-0000D53D0000}"/>
    <cellStyle name="Millares 5 5 2 4" xfId="4775" xr:uid="{00000000-0005-0000-0000-0000D63D0000}"/>
    <cellStyle name="Millares 5 5 2 4 2" xfId="8370" xr:uid="{00000000-0005-0000-0000-0000D73D0000}"/>
    <cellStyle name="Millares 5 5 2 4 2 2" xfId="15160" xr:uid="{00000000-0005-0000-0000-0000D83D0000}"/>
    <cellStyle name="Millares 5 5 2 4 2 2 2" xfId="28728" xr:uid="{00000000-0005-0000-0000-0000D93D0000}"/>
    <cellStyle name="Millares 5 5 2 4 2 2 2 2" xfId="55861" xr:uid="{00000000-0005-0000-0000-0000DA3D0000}"/>
    <cellStyle name="Millares 5 5 2 4 2 2 3" xfId="42299" xr:uid="{00000000-0005-0000-0000-0000DB3D0000}"/>
    <cellStyle name="Millares 5 5 2 4 2 3" xfId="21947" xr:uid="{00000000-0005-0000-0000-0000DC3D0000}"/>
    <cellStyle name="Millares 5 5 2 4 2 3 2" xfId="49080" xr:uid="{00000000-0005-0000-0000-0000DD3D0000}"/>
    <cellStyle name="Millares 5 5 2 4 2 4" xfId="35518" xr:uid="{00000000-0005-0000-0000-0000DE3D0000}"/>
    <cellStyle name="Millares 5 5 2 4 3" xfId="11771" xr:uid="{00000000-0005-0000-0000-0000DF3D0000}"/>
    <cellStyle name="Millares 5 5 2 4 3 2" xfId="25339" xr:uid="{00000000-0005-0000-0000-0000E03D0000}"/>
    <cellStyle name="Millares 5 5 2 4 3 2 2" xfId="52472" xr:uid="{00000000-0005-0000-0000-0000E13D0000}"/>
    <cellStyle name="Millares 5 5 2 4 3 3" xfId="38910" xr:uid="{00000000-0005-0000-0000-0000E23D0000}"/>
    <cellStyle name="Millares 5 5 2 4 4" xfId="18558" xr:uid="{00000000-0005-0000-0000-0000E33D0000}"/>
    <cellStyle name="Millares 5 5 2 4 4 2" xfId="45691" xr:uid="{00000000-0005-0000-0000-0000E43D0000}"/>
    <cellStyle name="Millares 5 5 2 4 5" xfId="32129" xr:uid="{00000000-0005-0000-0000-0000E53D0000}"/>
    <cellStyle name="Millares 5 5 2 5" xfId="4776" xr:uid="{00000000-0005-0000-0000-0000E63D0000}"/>
    <cellStyle name="Millares 5 5 2 5 2" xfId="8371" xr:uid="{00000000-0005-0000-0000-0000E73D0000}"/>
    <cellStyle name="Millares 5 5 2 5 2 2" xfId="15161" xr:uid="{00000000-0005-0000-0000-0000E83D0000}"/>
    <cellStyle name="Millares 5 5 2 5 2 2 2" xfId="28729" xr:uid="{00000000-0005-0000-0000-0000E93D0000}"/>
    <cellStyle name="Millares 5 5 2 5 2 2 2 2" xfId="55862" xr:uid="{00000000-0005-0000-0000-0000EA3D0000}"/>
    <cellStyle name="Millares 5 5 2 5 2 2 3" xfId="42300" xr:uid="{00000000-0005-0000-0000-0000EB3D0000}"/>
    <cellStyle name="Millares 5 5 2 5 2 3" xfId="21948" xr:uid="{00000000-0005-0000-0000-0000EC3D0000}"/>
    <cellStyle name="Millares 5 5 2 5 2 3 2" xfId="49081" xr:uid="{00000000-0005-0000-0000-0000ED3D0000}"/>
    <cellStyle name="Millares 5 5 2 5 2 4" xfId="35519" xr:uid="{00000000-0005-0000-0000-0000EE3D0000}"/>
    <cellStyle name="Millares 5 5 2 5 3" xfId="11772" xr:uid="{00000000-0005-0000-0000-0000EF3D0000}"/>
    <cellStyle name="Millares 5 5 2 5 3 2" xfId="25340" xr:uid="{00000000-0005-0000-0000-0000F03D0000}"/>
    <cellStyle name="Millares 5 5 2 5 3 2 2" xfId="52473" xr:uid="{00000000-0005-0000-0000-0000F13D0000}"/>
    <cellStyle name="Millares 5 5 2 5 3 3" xfId="38911" xr:uid="{00000000-0005-0000-0000-0000F23D0000}"/>
    <cellStyle name="Millares 5 5 2 5 4" xfId="18559" xr:uid="{00000000-0005-0000-0000-0000F33D0000}"/>
    <cellStyle name="Millares 5 5 2 5 4 2" xfId="45692" xr:uid="{00000000-0005-0000-0000-0000F43D0000}"/>
    <cellStyle name="Millares 5 5 2 5 5" xfId="32130" xr:uid="{00000000-0005-0000-0000-0000F53D0000}"/>
    <cellStyle name="Millares 5 5 2 6" xfId="8364" xr:uid="{00000000-0005-0000-0000-0000F63D0000}"/>
    <cellStyle name="Millares 5 5 2 6 2" xfId="15154" xr:uid="{00000000-0005-0000-0000-0000F73D0000}"/>
    <cellStyle name="Millares 5 5 2 6 2 2" xfId="28722" xr:uid="{00000000-0005-0000-0000-0000F83D0000}"/>
    <cellStyle name="Millares 5 5 2 6 2 2 2" xfId="55855" xr:uid="{00000000-0005-0000-0000-0000F93D0000}"/>
    <cellStyle name="Millares 5 5 2 6 2 3" xfId="42293" xr:uid="{00000000-0005-0000-0000-0000FA3D0000}"/>
    <cellStyle name="Millares 5 5 2 6 3" xfId="21941" xr:uid="{00000000-0005-0000-0000-0000FB3D0000}"/>
    <cellStyle name="Millares 5 5 2 6 3 2" xfId="49074" xr:uid="{00000000-0005-0000-0000-0000FC3D0000}"/>
    <cellStyle name="Millares 5 5 2 6 4" xfId="35512" xr:uid="{00000000-0005-0000-0000-0000FD3D0000}"/>
    <cellStyle name="Millares 5 5 2 7" xfId="11765" xr:uid="{00000000-0005-0000-0000-0000FE3D0000}"/>
    <cellStyle name="Millares 5 5 2 7 2" xfId="25333" xr:uid="{00000000-0005-0000-0000-0000FF3D0000}"/>
    <cellStyle name="Millares 5 5 2 7 2 2" xfId="52466" xr:uid="{00000000-0005-0000-0000-0000003E0000}"/>
    <cellStyle name="Millares 5 5 2 7 3" xfId="38904" xr:uid="{00000000-0005-0000-0000-0000013E0000}"/>
    <cellStyle name="Millares 5 5 2 8" xfId="18552" xr:uid="{00000000-0005-0000-0000-0000023E0000}"/>
    <cellStyle name="Millares 5 5 2 8 2" xfId="45685" xr:uid="{00000000-0005-0000-0000-0000033E0000}"/>
    <cellStyle name="Millares 5 5 2 9" xfId="32123" xr:uid="{00000000-0005-0000-0000-0000043E0000}"/>
    <cellStyle name="Millares 5 5 3" xfId="4777" xr:uid="{00000000-0005-0000-0000-0000053E0000}"/>
    <cellStyle name="Millares 5 5 3 2" xfId="4778" xr:uid="{00000000-0005-0000-0000-0000063E0000}"/>
    <cellStyle name="Millares 5 5 3 2 2" xfId="8373" xr:uid="{00000000-0005-0000-0000-0000073E0000}"/>
    <cellStyle name="Millares 5 5 3 2 2 2" xfId="15163" xr:uid="{00000000-0005-0000-0000-0000083E0000}"/>
    <cellStyle name="Millares 5 5 3 2 2 2 2" xfId="28731" xr:uid="{00000000-0005-0000-0000-0000093E0000}"/>
    <cellStyle name="Millares 5 5 3 2 2 2 2 2" xfId="55864" xr:uid="{00000000-0005-0000-0000-00000A3E0000}"/>
    <cellStyle name="Millares 5 5 3 2 2 2 3" xfId="42302" xr:uid="{00000000-0005-0000-0000-00000B3E0000}"/>
    <cellStyle name="Millares 5 5 3 2 2 3" xfId="21950" xr:uid="{00000000-0005-0000-0000-00000C3E0000}"/>
    <cellStyle name="Millares 5 5 3 2 2 3 2" xfId="49083" xr:uid="{00000000-0005-0000-0000-00000D3E0000}"/>
    <cellStyle name="Millares 5 5 3 2 2 4" xfId="35521" xr:uid="{00000000-0005-0000-0000-00000E3E0000}"/>
    <cellStyle name="Millares 5 5 3 2 3" xfId="11774" xr:uid="{00000000-0005-0000-0000-00000F3E0000}"/>
    <cellStyle name="Millares 5 5 3 2 3 2" xfId="25342" xr:uid="{00000000-0005-0000-0000-0000103E0000}"/>
    <cellStyle name="Millares 5 5 3 2 3 2 2" xfId="52475" xr:uid="{00000000-0005-0000-0000-0000113E0000}"/>
    <cellStyle name="Millares 5 5 3 2 3 3" xfId="38913" xr:uid="{00000000-0005-0000-0000-0000123E0000}"/>
    <cellStyle name="Millares 5 5 3 2 4" xfId="18561" xr:uid="{00000000-0005-0000-0000-0000133E0000}"/>
    <cellStyle name="Millares 5 5 3 2 4 2" xfId="45694" xr:uid="{00000000-0005-0000-0000-0000143E0000}"/>
    <cellStyle name="Millares 5 5 3 2 5" xfId="32132" xr:uid="{00000000-0005-0000-0000-0000153E0000}"/>
    <cellStyle name="Millares 5 5 3 3" xfId="4779" xr:uid="{00000000-0005-0000-0000-0000163E0000}"/>
    <cellStyle name="Millares 5 5 3 3 2" xfId="8374" xr:uid="{00000000-0005-0000-0000-0000173E0000}"/>
    <cellStyle name="Millares 5 5 3 3 2 2" xfId="15164" xr:uid="{00000000-0005-0000-0000-0000183E0000}"/>
    <cellStyle name="Millares 5 5 3 3 2 2 2" xfId="28732" xr:uid="{00000000-0005-0000-0000-0000193E0000}"/>
    <cellStyle name="Millares 5 5 3 3 2 2 2 2" xfId="55865" xr:uid="{00000000-0005-0000-0000-00001A3E0000}"/>
    <cellStyle name="Millares 5 5 3 3 2 2 3" xfId="42303" xr:uid="{00000000-0005-0000-0000-00001B3E0000}"/>
    <cellStyle name="Millares 5 5 3 3 2 3" xfId="21951" xr:uid="{00000000-0005-0000-0000-00001C3E0000}"/>
    <cellStyle name="Millares 5 5 3 3 2 3 2" xfId="49084" xr:uid="{00000000-0005-0000-0000-00001D3E0000}"/>
    <cellStyle name="Millares 5 5 3 3 2 4" xfId="35522" xr:uid="{00000000-0005-0000-0000-00001E3E0000}"/>
    <cellStyle name="Millares 5 5 3 3 3" xfId="11775" xr:uid="{00000000-0005-0000-0000-00001F3E0000}"/>
    <cellStyle name="Millares 5 5 3 3 3 2" xfId="25343" xr:uid="{00000000-0005-0000-0000-0000203E0000}"/>
    <cellStyle name="Millares 5 5 3 3 3 2 2" xfId="52476" xr:uid="{00000000-0005-0000-0000-0000213E0000}"/>
    <cellStyle name="Millares 5 5 3 3 3 3" xfId="38914" xr:uid="{00000000-0005-0000-0000-0000223E0000}"/>
    <cellStyle name="Millares 5 5 3 3 4" xfId="18562" xr:uid="{00000000-0005-0000-0000-0000233E0000}"/>
    <cellStyle name="Millares 5 5 3 3 4 2" xfId="45695" xr:uid="{00000000-0005-0000-0000-0000243E0000}"/>
    <cellStyle name="Millares 5 5 3 3 5" xfId="32133" xr:uid="{00000000-0005-0000-0000-0000253E0000}"/>
    <cellStyle name="Millares 5 5 3 4" xfId="8372" xr:uid="{00000000-0005-0000-0000-0000263E0000}"/>
    <cellStyle name="Millares 5 5 3 4 2" xfId="15162" xr:uid="{00000000-0005-0000-0000-0000273E0000}"/>
    <cellStyle name="Millares 5 5 3 4 2 2" xfId="28730" xr:uid="{00000000-0005-0000-0000-0000283E0000}"/>
    <cellStyle name="Millares 5 5 3 4 2 2 2" xfId="55863" xr:uid="{00000000-0005-0000-0000-0000293E0000}"/>
    <cellStyle name="Millares 5 5 3 4 2 3" xfId="42301" xr:uid="{00000000-0005-0000-0000-00002A3E0000}"/>
    <cellStyle name="Millares 5 5 3 4 3" xfId="21949" xr:uid="{00000000-0005-0000-0000-00002B3E0000}"/>
    <cellStyle name="Millares 5 5 3 4 3 2" xfId="49082" xr:uid="{00000000-0005-0000-0000-00002C3E0000}"/>
    <cellStyle name="Millares 5 5 3 4 4" xfId="35520" xr:uid="{00000000-0005-0000-0000-00002D3E0000}"/>
    <cellStyle name="Millares 5 5 3 5" xfId="11773" xr:uid="{00000000-0005-0000-0000-00002E3E0000}"/>
    <cellStyle name="Millares 5 5 3 5 2" xfId="25341" xr:uid="{00000000-0005-0000-0000-00002F3E0000}"/>
    <cellStyle name="Millares 5 5 3 5 2 2" xfId="52474" xr:uid="{00000000-0005-0000-0000-0000303E0000}"/>
    <cellStyle name="Millares 5 5 3 5 3" xfId="38912" xr:uid="{00000000-0005-0000-0000-0000313E0000}"/>
    <cellStyle name="Millares 5 5 3 6" xfId="18560" xr:uid="{00000000-0005-0000-0000-0000323E0000}"/>
    <cellStyle name="Millares 5 5 3 6 2" xfId="45693" xr:uid="{00000000-0005-0000-0000-0000333E0000}"/>
    <cellStyle name="Millares 5 5 3 7" xfId="32131" xr:uid="{00000000-0005-0000-0000-0000343E0000}"/>
    <cellStyle name="Millares 5 5 4" xfId="4780" xr:uid="{00000000-0005-0000-0000-0000353E0000}"/>
    <cellStyle name="Millares 5 5 4 2" xfId="4781" xr:uid="{00000000-0005-0000-0000-0000363E0000}"/>
    <cellStyle name="Millares 5 5 4 2 2" xfId="8376" xr:uid="{00000000-0005-0000-0000-0000373E0000}"/>
    <cellStyle name="Millares 5 5 4 2 2 2" xfId="15166" xr:uid="{00000000-0005-0000-0000-0000383E0000}"/>
    <cellStyle name="Millares 5 5 4 2 2 2 2" xfId="28734" xr:uid="{00000000-0005-0000-0000-0000393E0000}"/>
    <cellStyle name="Millares 5 5 4 2 2 2 2 2" xfId="55867" xr:uid="{00000000-0005-0000-0000-00003A3E0000}"/>
    <cellStyle name="Millares 5 5 4 2 2 2 3" xfId="42305" xr:uid="{00000000-0005-0000-0000-00003B3E0000}"/>
    <cellStyle name="Millares 5 5 4 2 2 3" xfId="21953" xr:uid="{00000000-0005-0000-0000-00003C3E0000}"/>
    <cellStyle name="Millares 5 5 4 2 2 3 2" xfId="49086" xr:uid="{00000000-0005-0000-0000-00003D3E0000}"/>
    <cellStyle name="Millares 5 5 4 2 2 4" xfId="35524" xr:uid="{00000000-0005-0000-0000-00003E3E0000}"/>
    <cellStyle name="Millares 5 5 4 2 3" xfId="11777" xr:uid="{00000000-0005-0000-0000-00003F3E0000}"/>
    <cellStyle name="Millares 5 5 4 2 3 2" xfId="25345" xr:uid="{00000000-0005-0000-0000-0000403E0000}"/>
    <cellStyle name="Millares 5 5 4 2 3 2 2" xfId="52478" xr:uid="{00000000-0005-0000-0000-0000413E0000}"/>
    <cellStyle name="Millares 5 5 4 2 3 3" xfId="38916" xr:uid="{00000000-0005-0000-0000-0000423E0000}"/>
    <cellStyle name="Millares 5 5 4 2 4" xfId="18564" xr:uid="{00000000-0005-0000-0000-0000433E0000}"/>
    <cellStyle name="Millares 5 5 4 2 4 2" xfId="45697" xr:uid="{00000000-0005-0000-0000-0000443E0000}"/>
    <cellStyle name="Millares 5 5 4 2 5" xfId="32135" xr:uid="{00000000-0005-0000-0000-0000453E0000}"/>
    <cellStyle name="Millares 5 5 4 3" xfId="8375" xr:uid="{00000000-0005-0000-0000-0000463E0000}"/>
    <cellStyle name="Millares 5 5 4 3 2" xfId="15165" xr:uid="{00000000-0005-0000-0000-0000473E0000}"/>
    <cellStyle name="Millares 5 5 4 3 2 2" xfId="28733" xr:uid="{00000000-0005-0000-0000-0000483E0000}"/>
    <cellStyle name="Millares 5 5 4 3 2 2 2" xfId="55866" xr:uid="{00000000-0005-0000-0000-0000493E0000}"/>
    <cellStyle name="Millares 5 5 4 3 2 3" xfId="42304" xr:uid="{00000000-0005-0000-0000-00004A3E0000}"/>
    <cellStyle name="Millares 5 5 4 3 3" xfId="21952" xr:uid="{00000000-0005-0000-0000-00004B3E0000}"/>
    <cellStyle name="Millares 5 5 4 3 3 2" xfId="49085" xr:uid="{00000000-0005-0000-0000-00004C3E0000}"/>
    <cellStyle name="Millares 5 5 4 3 4" xfId="35523" xr:uid="{00000000-0005-0000-0000-00004D3E0000}"/>
    <cellStyle name="Millares 5 5 4 4" xfId="11776" xr:uid="{00000000-0005-0000-0000-00004E3E0000}"/>
    <cellStyle name="Millares 5 5 4 4 2" xfId="25344" xr:uid="{00000000-0005-0000-0000-00004F3E0000}"/>
    <cellStyle name="Millares 5 5 4 4 2 2" xfId="52477" xr:uid="{00000000-0005-0000-0000-0000503E0000}"/>
    <cellStyle name="Millares 5 5 4 4 3" xfId="38915" xr:uid="{00000000-0005-0000-0000-0000513E0000}"/>
    <cellStyle name="Millares 5 5 4 5" xfId="18563" xr:uid="{00000000-0005-0000-0000-0000523E0000}"/>
    <cellStyle name="Millares 5 5 4 5 2" xfId="45696" xr:uid="{00000000-0005-0000-0000-0000533E0000}"/>
    <cellStyle name="Millares 5 5 4 6" xfId="32134" xr:uid="{00000000-0005-0000-0000-0000543E0000}"/>
    <cellStyle name="Millares 5 5 5" xfId="4782" xr:uid="{00000000-0005-0000-0000-0000553E0000}"/>
    <cellStyle name="Millares 5 5 5 2" xfId="8377" xr:uid="{00000000-0005-0000-0000-0000563E0000}"/>
    <cellStyle name="Millares 5 5 5 2 2" xfId="15167" xr:uid="{00000000-0005-0000-0000-0000573E0000}"/>
    <cellStyle name="Millares 5 5 5 2 2 2" xfId="28735" xr:uid="{00000000-0005-0000-0000-0000583E0000}"/>
    <cellStyle name="Millares 5 5 5 2 2 2 2" xfId="55868" xr:uid="{00000000-0005-0000-0000-0000593E0000}"/>
    <cellStyle name="Millares 5 5 5 2 2 3" xfId="42306" xr:uid="{00000000-0005-0000-0000-00005A3E0000}"/>
    <cellStyle name="Millares 5 5 5 2 3" xfId="21954" xr:uid="{00000000-0005-0000-0000-00005B3E0000}"/>
    <cellStyle name="Millares 5 5 5 2 3 2" xfId="49087" xr:uid="{00000000-0005-0000-0000-00005C3E0000}"/>
    <cellStyle name="Millares 5 5 5 2 4" xfId="35525" xr:uid="{00000000-0005-0000-0000-00005D3E0000}"/>
    <cellStyle name="Millares 5 5 5 3" xfId="11778" xr:uid="{00000000-0005-0000-0000-00005E3E0000}"/>
    <cellStyle name="Millares 5 5 5 3 2" xfId="25346" xr:uid="{00000000-0005-0000-0000-00005F3E0000}"/>
    <cellStyle name="Millares 5 5 5 3 2 2" xfId="52479" xr:uid="{00000000-0005-0000-0000-0000603E0000}"/>
    <cellStyle name="Millares 5 5 5 3 3" xfId="38917" xr:uid="{00000000-0005-0000-0000-0000613E0000}"/>
    <cellStyle name="Millares 5 5 5 4" xfId="18565" xr:uid="{00000000-0005-0000-0000-0000623E0000}"/>
    <cellStyle name="Millares 5 5 5 4 2" xfId="45698" xr:uid="{00000000-0005-0000-0000-0000633E0000}"/>
    <cellStyle name="Millares 5 5 5 5" xfId="32136" xr:uid="{00000000-0005-0000-0000-0000643E0000}"/>
    <cellStyle name="Millares 5 5 6" xfId="4783" xr:uid="{00000000-0005-0000-0000-0000653E0000}"/>
    <cellStyle name="Millares 5 5 6 2" xfId="8378" xr:uid="{00000000-0005-0000-0000-0000663E0000}"/>
    <cellStyle name="Millares 5 5 6 2 2" xfId="15168" xr:uid="{00000000-0005-0000-0000-0000673E0000}"/>
    <cellStyle name="Millares 5 5 6 2 2 2" xfId="28736" xr:uid="{00000000-0005-0000-0000-0000683E0000}"/>
    <cellStyle name="Millares 5 5 6 2 2 2 2" xfId="55869" xr:uid="{00000000-0005-0000-0000-0000693E0000}"/>
    <cellStyle name="Millares 5 5 6 2 2 3" xfId="42307" xr:uid="{00000000-0005-0000-0000-00006A3E0000}"/>
    <cellStyle name="Millares 5 5 6 2 3" xfId="21955" xr:uid="{00000000-0005-0000-0000-00006B3E0000}"/>
    <cellStyle name="Millares 5 5 6 2 3 2" xfId="49088" xr:uid="{00000000-0005-0000-0000-00006C3E0000}"/>
    <cellStyle name="Millares 5 5 6 2 4" xfId="35526" xr:uid="{00000000-0005-0000-0000-00006D3E0000}"/>
    <cellStyle name="Millares 5 5 6 3" xfId="11779" xr:uid="{00000000-0005-0000-0000-00006E3E0000}"/>
    <cellStyle name="Millares 5 5 6 3 2" xfId="25347" xr:uid="{00000000-0005-0000-0000-00006F3E0000}"/>
    <cellStyle name="Millares 5 5 6 3 2 2" xfId="52480" xr:uid="{00000000-0005-0000-0000-0000703E0000}"/>
    <cellStyle name="Millares 5 5 6 3 3" xfId="38918" xr:uid="{00000000-0005-0000-0000-0000713E0000}"/>
    <cellStyle name="Millares 5 5 6 4" xfId="18566" xr:uid="{00000000-0005-0000-0000-0000723E0000}"/>
    <cellStyle name="Millares 5 5 6 4 2" xfId="45699" xr:uid="{00000000-0005-0000-0000-0000733E0000}"/>
    <cellStyle name="Millares 5 5 6 5" xfId="32137" xr:uid="{00000000-0005-0000-0000-0000743E0000}"/>
    <cellStyle name="Millares 5 5 7" xfId="8363" xr:uid="{00000000-0005-0000-0000-0000753E0000}"/>
    <cellStyle name="Millares 5 5 7 2" xfId="15153" xr:uid="{00000000-0005-0000-0000-0000763E0000}"/>
    <cellStyle name="Millares 5 5 7 2 2" xfId="28721" xr:uid="{00000000-0005-0000-0000-0000773E0000}"/>
    <cellStyle name="Millares 5 5 7 2 2 2" xfId="55854" xr:uid="{00000000-0005-0000-0000-0000783E0000}"/>
    <cellStyle name="Millares 5 5 7 2 3" xfId="42292" xr:uid="{00000000-0005-0000-0000-0000793E0000}"/>
    <cellStyle name="Millares 5 5 7 3" xfId="21940" xr:uid="{00000000-0005-0000-0000-00007A3E0000}"/>
    <cellStyle name="Millares 5 5 7 3 2" xfId="49073" xr:uid="{00000000-0005-0000-0000-00007B3E0000}"/>
    <cellStyle name="Millares 5 5 7 4" xfId="35511" xr:uid="{00000000-0005-0000-0000-00007C3E0000}"/>
    <cellStyle name="Millares 5 5 8" xfId="11764" xr:uid="{00000000-0005-0000-0000-00007D3E0000}"/>
    <cellStyle name="Millares 5 5 8 2" xfId="25332" xr:uid="{00000000-0005-0000-0000-00007E3E0000}"/>
    <cellStyle name="Millares 5 5 8 2 2" xfId="52465" xr:uid="{00000000-0005-0000-0000-00007F3E0000}"/>
    <cellStyle name="Millares 5 5 8 3" xfId="38903" xr:uid="{00000000-0005-0000-0000-0000803E0000}"/>
    <cellStyle name="Millares 5 5 9" xfId="18551" xr:uid="{00000000-0005-0000-0000-0000813E0000}"/>
    <cellStyle name="Millares 5 5 9 2" xfId="45684" xr:uid="{00000000-0005-0000-0000-0000823E0000}"/>
    <cellStyle name="Millares 5 6" xfId="4784" xr:uid="{00000000-0005-0000-0000-0000833E0000}"/>
    <cellStyle name="Millares 5 6 2" xfId="4785" xr:uid="{00000000-0005-0000-0000-0000843E0000}"/>
    <cellStyle name="Millares 5 6 2 2" xfId="4786" xr:uid="{00000000-0005-0000-0000-0000853E0000}"/>
    <cellStyle name="Millares 5 6 2 2 2" xfId="8381" xr:uid="{00000000-0005-0000-0000-0000863E0000}"/>
    <cellStyle name="Millares 5 6 2 2 2 2" xfId="15171" xr:uid="{00000000-0005-0000-0000-0000873E0000}"/>
    <cellStyle name="Millares 5 6 2 2 2 2 2" xfId="28739" xr:uid="{00000000-0005-0000-0000-0000883E0000}"/>
    <cellStyle name="Millares 5 6 2 2 2 2 2 2" xfId="55872" xr:uid="{00000000-0005-0000-0000-0000893E0000}"/>
    <cellStyle name="Millares 5 6 2 2 2 2 3" xfId="42310" xr:uid="{00000000-0005-0000-0000-00008A3E0000}"/>
    <cellStyle name="Millares 5 6 2 2 2 3" xfId="21958" xr:uid="{00000000-0005-0000-0000-00008B3E0000}"/>
    <cellStyle name="Millares 5 6 2 2 2 3 2" xfId="49091" xr:uid="{00000000-0005-0000-0000-00008C3E0000}"/>
    <cellStyle name="Millares 5 6 2 2 2 4" xfId="35529" xr:uid="{00000000-0005-0000-0000-00008D3E0000}"/>
    <cellStyle name="Millares 5 6 2 2 3" xfId="11782" xr:uid="{00000000-0005-0000-0000-00008E3E0000}"/>
    <cellStyle name="Millares 5 6 2 2 3 2" xfId="25350" xr:uid="{00000000-0005-0000-0000-00008F3E0000}"/>
    <cellStyle name="Millares 5 6 2 2 3 2 2" xfId="52483" xr:uid="{00000000-0005-0000-0000-0000903E0000}"/>
    <cellStyle name="Millares 5 6 2 2 3 3" xfId="38921" xr:uid="{00000000-0005-0000-0000-0000913E0000}"/>
    <cellStyle name="Millares 5 6 2 2 4" xfId="18569" xr:uid="{00000000-0005-0000-0000-0000923E0000}"/>
    <cellStyle name="Millares 5 6 2 2 4 2" xfId="45702" xr:uid="{00000000-0005-0000-0000-0000933E0000}"/>
    <cellStyle name="Millares 5 6 2 2 5" xfId="32140" xr:uid="{00000000-0005-0000-0000-0000943E0000}"/>
    <cellStyle name="Millares 5 6 2 3" xfId="4787" xr:uid="{00000000-0005-0000-0000-0000953E0000}"/>
    <cellStyle name="Millares 5 6 2 3 2" xfId="8382" xr:uid="{00000000-0005-0000-0000-0000963E0000}"/>
    <cellStyle name="Millares 5 6 2 3 2 2" xfId="15172" xr:uid="{00000000-0005-0000-0000-0000973E0000}"/>
    <cellStyle name="Millares 5 6 2 3 2 2 2" xfId="28740" xr:uid="{00000000-0005-0000-0000-0000983E0000}"/>
    <cellStyle name="Millares 5 6 2 3 2 2 2 2" xfId="55873" xr:uid="{00000000-0005-0000-0000-0000993E0000}"/>
    <cellStyle name="Millares 5 6 2 3 2 2 3" xfId="42311" xr:uid="{00000000-0005-0000-0000-00009A3E0000}"/>
    <cellStyle name="Millares 5 6 2 3 2 3" xfId="21959" xr:uid="{00000000-0005-0000-0000-00009B3E0000}"/>
    <cellStyle name="Millares 5 6 2 3 2 3 2" xfId="49092" xr:uid="{00000000-0005-0000-0000-00009C3E0000}"/>
    <cellStyle name="Millares 5 6 2 3 2 4" xfId="35530" xr:uid="{00000000-0005-0000-0000-00009D3E0000}"/>
    <cellStyle name="Millares 5 6 2 3 3" xfId="11783" xr:uid="{00000000-0005-0000-0000-00009E3E0000}"/>
    <cellStyle name="Millares 5 6 2 3 3 2" xfId="25351" xr:uid="{00000000-0005-0000-0000-00009F3E0000}"/>
    <cellStyle name="Millares 5 6 2 3 3 2 2" xfId="52484" xr:uid="{00000000-0005-0000-0000-0000A03E0000}"/>
    <cellStyle name="Millares 5 6 2 3 3 3" xfId="38922" xr:uid="{00000000-0005-0000-0000-0000A13E0000}"/>
    <cellStyle name="Millares 5 6 2 3 4" xfId="18570" xr:uid="{00000000-0005-0000-0000-0000A23E0000}"/>
    <cellStyle name="Millares 5 6 2 3 4 2" xfId="45703" xr:uid="{00000000-0005-0000-0000-0000A33E0000}"/>
    <cellStyle name="Millares 5 6 2 3 5" xfId="32141" xr:uid="{00000000-0005-0000-0000-0000A43E0000}"/>
    <cellStyle name="Millares 5 6 2 4" xfId="8380" xr:uid="{00000000-0005-0000-0000-0000A53E0000}"/>
    <cellStyle name="Millares 5 6 2 4 2" xfId="15170" xr:uid="{00000000-0005-0000-0000-0000A63E0000}"/>
    <cellStyle name="Millares 5 6 2 4 2 2" xfId="28738" xr:uid="{00000000-0005-0000-0000-0000A73E0000}"/>
    <cellStyle name="Millares 5 6 2 4 2 2 2" xfId="55871" xr:uid="{00000000-0005-0000-0000-0000A83E0000}"/>
    <cellStyle name="Millares 5 6 2 4 2 3" xfId="42309" xr:uid="{00000000-0005-0000-0000-0000A93E0000}"/>
    <cellStyle name="Millares 5 6 2 4 3" xfId="21957" xr:uid="{00000000-0005-0000-0000-0000AA3E0000}"/>
    <cellStyle name="Millares 5 6 2 4 3 2" xfId="49090" xr:uid="{00000000-0005-0000-0000-0000AB3E0000}"/>
    <cellStyle name="Millares 5 6 2 4 4" xfId="35528" xr:uid="{00000000-0005-0000-0000-0000AC3E0000}"/>
    <cellStyle name="Millares 5 6 2 5" xfId="11781" xr:uid="{00000000-0005-0000-0000-0000AD3E0000}"/>
    <cellStyle name="Millares 5 6 2 5 2" xfId="25349" xr:uid="{00000000-0005-0000-0000-0000AE3E0000}"/>
    <cellStyle name="Millares 5 6 2 5 2 2" xfId="52482" xr:uid="{00000000-0005-0000-0000-0000AF3E0000}"/>
    <cellStyle name="Millares 5 6 2 5 3" xfId="38920" xr:uid="{00000000-0005-0000-0000-0000B03E0000}"/>
    <cellStyle name="Millares 5 6 2 6" xfId="18568" xr:uid="{00000000-0005-0000-0000-0000B13E0000}"/>
    <cellStyle name="Millares 5 6 2 6 2" xfId="45701" xr:uid="{00000000-0005-0000-0000-0000B23E0000}"/>
    <cellStyle name="Millares 5 6 2 7" xfId="32139" xr:uid="{00000000-0005-0000-0000-0000B33E0000}"/>
    <cellStyle name="Millares 5 6 3" xfId="4788" xr:uid="{00000000-0005-0000-0000-0000B43E0000}"/>
    <cellStyle name="Millares 5 6 3 2" xfId="4789" xr:uid="{00000000-0005-0000-0000-0000B53E0000}"/>
    <cellStyle name="Millares 5 6 3 2 2" xfId="8384" xr:uid="{00000000-0005-0000-0000-0000B63E0000}"/>
    <cellStyle name="Millares 5 6 3 2 2 2" xfId="15174" xr:uid="{00000000-0005-0000-0000-0000B73E0000}"/>
    <cellStyle name="Millares 5 6 3 2 2 2 2" xfId="28742" xr:uid="{00000000-0005-0000-0000-0000B83E0000}"/>
    <cellStyle name="Millares 5 6 3 2 2 2 2 2" xfId="55875" xr:uid="{00000000-0005-0000-0000-0000B93E0000}"/>
    <cellStyle name="Millares 5 6 3 2 2 2 3" xfId="42313" xr:uid="{00000000-0005-0000-0000-0000BA3E0000}"/>
    <cellStyle name="Millares 5 6 3 2 2 3" xfId="21961" xr:uid="{00000000-0005-0000-0000-0000BB3E0000}"/>
    <cellStyle name="Millares 5 6 3 2 2 3 2" xfId="49094" xr:uid="{00000000-0005-0000-0000-0000BC3E0000}"/>
    <cellStyle name="Millares 5 6 3 2 2 4" xfId="35532" xr:uid="{00000000-0005-0000-0000-0000BD3E0000}"/>
    <cellStyle name="Millares 5 6 3 2 3" xfId="11785" xr:uid="{00000000-0005-0000-0000-0000BE3E0000}"/>
    <cellStyle name="Millares 5 6 3 2 3 2" xfId="25353" xr:uid="{00000000-0005-0000-0000-0000BF3E0000}"/>
    <cellStyle name="Millares 5 6 3 2 3 2 2" xfId="52486" xr:uid="{00000000-0005-0000-0000-0000C03E0000}"/>
    <cellStyle name="Millares 5 6 3 2 3 3" xfId="38924" xr:uid="{00000000-0005-0000-0000-0000C13E0000}"/>
    <cellStyle name="Millares 5 6 3 2 4" xfId="18572" xr:uid="{00000000-0005-0000-0000-0000C23E0000}"/>
    <cellStyle name="Millares 5 6 3 2 4 2" xfId="45705" xr:uid="{00000000-0005-0000-0000-0000C33E0000}"/>
    <cellStyle name="Millares 5 6 3 2 5" xfId="32143" xr:uid="{00000000-0005-0000-0000-0000C43E0000}"/>
    <cellStyle name="Millares 5 6 3 3" xfId="8383" xr:uid="{00000000-0005-0000-0000-0000C53E0000}"/>
    <cellStyle name="Millares 5 6 3 3 2" xfId="15173" xr:uid="{00000000-0005-0000-0000-0000C63E0000}"/>
    <cellStyle name="Millares 5 6 3 3 2 2" xfId="28741" xr:uid="{00000000-0005-0000-0000-0000C73E0000}"/>
    <cellStyle name="Millares 5 6 3 3 2 2 2" xfId="55874" xr:uid="{00000000-0005-0000-0000-0000C83E0000}"/>
    <cellStyle name="Millares 5 6 3 3 2 3" xfId="42312" xr:uid="{00000000-0005-0000-0000-0000C93E0000}"/>
    <cellStyle name="Millares 5 6 3 3 3" xfId="21960" xr:uid="{00000000-0005-0000-0000-0000CA3E0000}"/>
    <cellStyle name="Millares 5 6 3 3 3 2" xfId="49093" xr:uid="{00000000-0005-0000-0000-0000CB3E0000}"/>
    <cellStyle name="Millares 5 6 3 3 4" xfId="35531" xr:uid="{00000000-0005-0000-0000-0000CC3E0000}"/>
    <cellStyle name="Millares 5 6 3 4" xfId="11784" xr:uid="{00000000-0005-0000-0000-0000CD3E0000}"/>
    <cellStyle name="Millares 5 6 3 4 2" xfId="25352" xr:uid="{00000000-0005-0000-0000-0000CE3E0000}"/>
    <cellStyle name="Millares 5 6 3 4 2 2" xfId="52485" xr:uid="{00000000-0005-0000-0000-0000CF3E0000}"/>
    <cellStyle name="Millares 5 6 3 4 3" xfId="38923" xr:uid="{00000000-0005-0000-0000-0000D03E0000}"/>
    <cellStyle name="Millares 5 6 3 5" xfId="18571" xr:uid="{00000000-0005-0000-0000-0000D13E0000}"/>
    <cellStyle name="Millares 5 6 3 5 2" xfId="45704" xr:uid="{00000000-0005-0000-0000-0000D23E0000}"/>
    <cellStyle name="Millares 5 6 3 6" xfId="32142" xr:uid="{00000000-0005-0000-0000-0000D33E0000}"/>
    <cellStyle name="Millares 5 6 4" xfId="4790" xr:uid="{00000000-0005-0000-0000-0000D43E0000}"/>
    <cellStyle name="Millares 5 6 4 2" xfId="8385" xr:uid="{00000000-0005-0000-0000-0000D53E0000}"/>
    <cellStyle name="Millares 5 6 4 2 2" xfId="15175" xr:uid="{00000000-0005-0000-0000-0000D63E0000}"/>
    <cellStyle name="Millares 5 6 4 2 2 2" xfId="28743" xr:uid="{00000000-0005-0000-0000-0000D73E0000}"/>
    <cellStyle name="Millares 5 6 4 2 2 2 2" xfId="55876" xr:uid="{00000000-0005-0000-0000-0000D83E0000}"/>
    <cellStyle name="Millares 5 6 4 2 2 3" xfId="42314" xr:uid="{00000000-0005-0000-0000-0000D93E0000}"/>
    <cellStyle name="Millares 5 6 4 2 3" xfId="21962" xr:uid="{00000000-0005-0000-0000-0000DA3E0000}"/>
    <cellStyle name="Millares 5 6 4 2 3 2" xfId="49095" xr:uid="{00000000-0005-0000-0000-0000DB3E0000}"/>
    <cellStyle name="Millares 5 6 4 2 4" xfId="35533" xr:uid="{00000000-0005-0000-0000-0000DC3E0000}"/>
    <cellStyle name="Millares 5 6 4 3" xfId="11786" xr:uid="{00000000-0005-0000-0000-0000DD3E0000}"/>
    <cellStyle name="Millares 5 6 4 3 2" xfId="25354" xr:uid="{00000000-0005-0000-0000-0000DE3E0000}"/>
    <cellStyle name="Millares 5 6 4 3 2 2" xfId="52487" xr:uid="{00000000-0005-0000-0000-0000DF3E0000}"/>
    <cellStyle name="Millares 5 6 4 3 3" xfId="38925" xr:uid="{00000000-0005-0000-0000-0000E03E0000}"/>
    <cellStyle name="Millares 5 6 4 4" xfId="18573" xr:uid="{00000000-0005-0000-0000-0000E13E0000}"/>
    <cellStyle name="Millares 5 6 4 4 2" xfId="45706" xr:uid="{00000000-0005-0000-0000-0000E23E0000}"/>
    <cellStyle name="Millares 5 6 4 5" xfId="32144" xr:uid="{00000000-0005-0000-0000-0000E33E0000}"/>
    <cellStyle name="Millares 5 6 5" xfId="4791" xr:uid="{00000000-0005-0000-0000-0000E43E0000}"/>
    <cellStyle name="Millares 5 6 5 2" xfId="8386" xr:uid="{00000000-0005-0000-0000-0000E53E0000}"/>
    <cellStyle name="Millares 5 6 5 2 2" xfId="15176" xr:uid="{00000000-0005-0000-0000-0000E63E0000}"/>
    <cellStyle name="Millares 5 6 5 2 2 2" xfId="28744" xr:uid="{00000000-0005-0000-0000-0000E73E0000}"/>
    <cellStyle name="Millares 5 6 5 2 2 2 2" xfId="55877" xr:uid="{00000000-0005-0000-0000-0000E83E0000}"/>
    <cellStyle name="Millares 5 6 5 2 2 3" xfId="42315" xr:uid="{00000000-0005-0000-0000-0000E93E0000}"/>
    <cellStyle name="Millares 5 6 5 2 3" xfId="21963" xr:uid="{00000000-0005-0000-0000-0000EA3E0000}"/>
    <cellStyle name="Millares 5 6 5 2 3 2" xfId="49096" xr:uid="{00000000-0005-0000-0000-0000EB3E0000}"/>
    <cellStyle name="Millares 5 6 5 2 4" xfId="35534" xr:uid="{00000000-0005-0000-0000-0000EC3E0000}"/>
    <cellStyle name="Millares 5 6 5 3" xfId="11787" xr:uid="{00000000-0005-0000-0000-0000ED3E0000}"/>
    <cellStyle name="Millares 5 6 5 3 2" xfId="25355" xr:uid="{00000000-0005-0000-0000-0000EE3E0000}"/>
    <cellStyle name="Millares 5 6 5 3 2 2" xfId="52488" xr:uid="{00000000-0005-0000-0000-0000EF3E0000}"/>
    <cellStyle name="Millares 5 6 5 3 3" xfId="38926" xr:uid="{00000000-0005-0000-0000-0000F03E0000}"/>
    <cellStyle name="Millares 5 6 5 4" xfId="18574" xr:uid="{00000000-0005-0000-0000-0000F13E0000}"/>
    <cellStyle name="Millares 5 6 5 4 2" xfId="45707" xr:uid="{00000000-0005-0000-0000-0000F23E0000}"/>
    <cellStyle name="Millares 5 6 5 5" xfId="32145" xr:uid="{00000000-0005-0000-0000-0000F33E0000}"/>
    <cellStyle name="Millares 5 6 6" xfId="8379" xr:uid="{00000000-0005-0000-0000-0000F43E0000}"/>
    <cellStyle name="Millares 5 6 6 2" xfId="15169" xr:uid="{00000000-0005-0000-0000-0000F53E0000}"/>
    <cellStyle name="Millares 5 6 6 2 2" xfId="28737" xr:uid="{00000000-0005-0000-0000-0000F63E0000}"/>
    <cellStyle name="Millares 5 6 6 2 2 2" xfId="55870" xr:uid="{00000000-0005-0000-0000-0000F73E0000}"/>
    <cellStyle name="Millares 5 6 6 2 3" xfId="42308" xr:uid="{00000000-0005-0000-0000-0000F83E0000}"/>
    <cellStyle name="Millares 5 6 6 3" xfId="21956" xr:uid="{00000000-0005-0000-0000-0000F93E0000}"/>
    <cellStyle name="Millares 5 6 6 3 2" xfId="49089" xr:uid="{00000000-0005-0000-0000-0000FA3E0000}"/>
    <cellStyle name="Millares 5 6 6 4" xfId="35527" xr:uid="{00000000-0005-0000-0000-0000FB3E0000}"/>
    <cellStyle name="Millares 5 6 7" xfId="11780" xr:uid="{00000000-0005-0000-0000-0000FC3E0000}"/>
    <cellStyle name="Millares 5 6 7 2" xfId="25348" xr:uid="{00000000-0005-0000-0000-0000FD3E0000}"/>
    <cellStyle name="Millares 5 6 7 2 2" xfId="52481" xr:uid="{00000000-0005-0000-0000-0000FE3E0000}"/>
    <cellStyle name="Millares 5 6 7 3" xfId="38919" xr:uid="{00000000-0005-0000-0000-0000FF3E0000}"/>
    <cellStyle name="Millares 5 6 8" xfId="18567" xr:uid="{00000000-0005-0000-0000-0000003F0000}"/>
    <cellStyle name="Millares 5 6 8 2" xfId="45700" xr:uid="{00000000-0005-0000-0000-0000013F0000}"/>
    <cellStyle name="Millares 5 6 9" xfId="32138" xr:uid="{00000000-0005-0000-0000-0000023F0000}"/>
    <cellStyle name="Millares 5 7" xfId="4792" xr:uid="{00000000-0005-0000-0000-0000033F0000}"/>
    <cellStyle name="Millares 5 7 2" xfId="4793" xr:uid="{00000000-0005-0000-0000-0000043F0000}"/>
    <cellStyle name="Millares 5 7 2 2" xfId="4794" xr:uid="{00000000-0005-0000-0000-0000053F0000}"/>
    <cellStyle name="Millares 5 7 2 2 2" xfId="8389" xr:uid="{00000000-0005-0000-0000-0000063F0000}"/>
    <cellStyle name="Millares 5 7 2 2 2 2" xfId="15179" xr:uid="{00000000-0005-0000-0000-0000073F0000}"/>
    <cellStyle name="Millares 5 7 2 2 2 2 2" xfId="28747" xr:uid="{00000000-0005-0000-0000-0000083F0000}"/>
    <cellStyle name="Millares 5 7 2 2 2 2 2 2" xfId="55880" xr:uid="{00000000-0005-0000-0000-0000093F0000}"/>
    <cellStyle name="Millares 5 7 2 2 2 2 3" xfId="42318" xr:uid="{00000000-0005-0000-0000-00000A3F0000}"/>
    <cellStyle name="Millares 5 7 2 2 2 3" xfId="21966" xr:uid="{00000000-0005-0000-0000-00000B3F0000}"/>
    <cellStyle name="Millares 5 7 2 2 2 3 2" xfId="49099" xr:uid="{00000000-0005-0000-0000-00000C3F0000}"/>
    <cellStyle name="Millares 5 7 2 2 2 4" xfId="35537" xr:uid="{00000000-0005-0000-0000-00000D3F0000}"/>
    <cellStyle name="Millares 5 7 2 2 3" xfId="11790" xr:uid="{00000000-0005-0000-0000-00000E3F0000}"/>
    <cellStyle name="Millares 5 7 2 2 3 2" xfId="25358" xr:uid="{00000000-0005-0000-0000-00000F3F0000}"/>
    <cellStyle name="Millares 5 7 2 2 3 2 2" xfId="52491" xr:uid="{00000000-0005-0000-0000-0000103F0000}"/>
    <cellStyle name="Millares 5 7 2 2 3 3" xfId="38929" xr:uid="{00000000-0005-0000-0000-0000113F0000}"/>
    <cellStyle name="Millares 5 7 2 2 4" xfId="18577" xr:uid="{00000000-0005-0000-0000-0000123F0000}"/>
    <cellStyle name="Millares 5 7 2 2 4 2" xfId="45710" xr:uid="{00000000-0005-0000-0000-0000133F0000}"/>
    <cellStyle name="Millares 5 7 2 2 5" xfId="32148" xr:uid="{00000000-0005-0000-0000-0000143F0000}"/>
    <cellStyle name="Millares 5 7 2 3" xfId="4795" xr:uid="{00000000-0005-0000-0000-0000153F0000}"/>
    <cellStyle name="Millares 5 7 2 3 2" xfId="8390" xr:uid="{00000000-0005-0000-0000-0000163F0000}"/>
    <cellStyle name="Millares 5 7 2 3 2 2" xfId="15180" xr:uid="{00000000-0005-0000-0000-0000173F0000}"/>
    <cellStyle name="Millares 5 7 2 3 2 2 2" xfId="28748" xr:uid="{00000000-0005-0000-0000-0000183F0000}"/>
    <cellStyle name="Millares 5 7 2 3 2 2 2 2" xfId="55881" xr:uid="{00000000-0005-0000-0000-0000193F0000}"/>
    <cellStyle name="Millares 5 7 2 3 2 2 3" xfId="42319" xr:uid="{00000000-0005-0000-0000-00001A3F0000}"/>
    <cellStyle name="Millares 5 7 2 3 2 3" xfId="21967" xr:uid="{00000000-0005-0000-0000-00001B3F0000}"/>
    <cellStyle name="Millares 5 7 2 3 2 3 2" xfId="49100" xr:uid="{00000000-0005-0000-0000-00001C3F0000}"/>
    <cellStyle name="Millares 5 7 2 3 2 4" xfId="35538" xr:uid="{00000000-0005-0000-0000-00001D3F0000}"/>
    <cellStyle name="Millares 5 7 2 3 3" xfId="11791" xr:uid="{00000000-0005-0000-0000-00001E3F0000}"/>
    <cellStyle name="Millares 5 7 2 3 3 2" xfId="25359" xr:uid="{00000000-0005-0000-0000-00001F3F0000}"/>
    <cellStyle name="Millares 5 7 2 3 3 2 2" xfId="52492" xr:uid="{00000000-0005-0000-0000-0000203F0000}"/>
    <cellStyle name="Millares 5 7 2 3 3 3" xfId="38930" xr:uid="{00000000-0005-0000-0000-0000213F0000}"/>
    <cellStyle name="Millares 5 7 2 3 4" xfId="18578" xr:uid="{00000000-0005-0000-0000-0000223F0000}"/>
    <cellStyle name="Millares 5 7 2 3 4 2" xfId="45711" xr:uid="{00000000-0005-0000-0000-0000233F0000}"/>
    <cellStyle name="Millares 5 7 2 3 5" xfId="32149" xr:uid="{00000000-0005-0000-0000-0000243F0000}"/>
    <cellStyle name="Millares 5 7 2 4" xfId="8388" xr:uid="{00000000-0005-0000-0000-0000253F0000}"/>
    <cellStyle name="Millares 5 7 2 4 2" xfId="15178" xr:uid="{00000000-0005-0000-0000-0000263F0000}"/>
    <cellStyle name="Millares 5 7 2 4 2 2" xfId="28746" xr:uid="{00000000-0005-0000-0000-0000273F0000}"/>
    <cellStyle name="Millares 5 7 2 4 2 2 2" xfId="55879" xr:uid="{00000000-0005-0000-0000-0000283F0000}"/>
    <cellStyle name="Millares 5 7 2 4 2 3" xfId="42317" xr:uid="{00000000-0005-0000-0000-0000293F0000}"/>
    <cellStyle name="Millares 5 7 2 4 3" xfId="21965" xr:uid="{00000000-0005-0000-0000-00002A3F0000}"/>
    <cellStyle name="Millares 5 7 2 4 3 2" xfId="49098" xr:uid="{00000000-0005-0000-0000-00002B3F0000}"/>
    <cellStyle name="Millares 5 7 2 4 4" xfId="35536" xr:uid="{00000000-0005-0000-0000-00002C3F0000}"/>
    <cellStyle name="Millares 5 7 2 5" xfId="11789" xr:uid="{00000000-0005-0000-0000-00002D3F0000}"/>
    <cellStyle name="Millares 5 7 2 5 2" xfId="25357" xr:uid="{00000000-0005-0000-0000-00002E3F0000}"/>
    <cellStyle name="Millares 5 7 2 5 2 2" xfId="52490" xr:uid="{00000000-0005-0000-0000-00002F3F0000}"/>
    <cellStyle name="Millares 5 7 2 5 3" xfId="38928" xr:uid="{00000000-0005-0000-0000-0000303F0000}"/>
    <cellStyle name="Millares 5 7 2 6" xfId="18576" xr:uid="{00000000-0005-0000-0000-0000313F0000}"/>
    <cellStyle name="Millares 5 7 2 6 2" xfId="45709" xr:uid="{00000000-0005-0000-0000-0000323F0000}"/>
    <cellStyle name="Millares 5 7 2 7" xfId="32147" xr:uid="{00000000-0005-0000-0000-0000333F0000}"/>
    <cellStyle name="Millares 5 7 3" xfId="4796" xr:uid="{00000000-0005-0000-0000-0000343F0000}"/>
    <cellStyle name="Millares 5 7 3 2" xfId="8391" xr:uid="{00000000-0005-0000-0000-0000353F0000}"/>
    <cellStyle name="Millares 5 7 3 2 2" xfId="15181" xr:uid="{00000000-0005-0000-0000-0000363F0000}"/>
    <cellStyle name="Millares 5 7 3 2 2 2" xfId="28749" xr:uid="{00000000-0005-0000-0000-0000373F0000}"/>
    <cellStyle name="Millares 5 7 3 2 2 2 2" xfId="55882" xr:uid="{00000000-0005-0000-0000-0000383F0000}"/>
    <cellStyle name="Millares 5 7 3 2 2 3" xfId="42320" xr:uid="{00000000-0005-0000-0000-0000393F0000}"/>
    <cellStyle name="Millares 5 7 3 2 3" xfId="21968" xr:uid="{00000000-0005-0000-0000-00003A3F0000}"/>
    <cellStyle name="Millares 5 7 3 2 3 2" xfId="49101" xr:uid="{00000000-0005-0000-0000-00003B3F0000}"/>
    <cellStyle name="Millares 5 7 3 2 4" xfId="35539" xr:uid="{00000000-0005-0000-0000-00003C3F0000}"/>
    <cellStyle name="Millares 5 7 3 3" xfId="11792" xr:uid="{00000000-0005-0000-0000-00003D3F0000}"/>
    <cellStyle name="Millares 5 7 3 3 2" xfId="25360" xr:uid="{00000000-0005-0000-0000-00003E3F0000}"/>
    <cellStyle name="Millares 5 7 3 3 2 2" xfId="52493" xr:uid="{00000000-0005-0000-0000-00003F3F0000}"/>
    <cellStyle name="Millares 5 7 3 3 3" xfId="38931" xr:uid="{00000000-0005-0000-0000-0000403F0000}"/>
    <cellStyle name="Millares 5 7 3 4" xfId="18579" xr:uid="{00000000-0005-0000-0000-0000413F0000}"/>
    <cellStyle name="Millares 5 7 3 4 2" xfId="45712" xr:uid="{00000000-0005-0000-0000-0000423F0000}"/>
    <cellStyle name="Millares 5 7 3 5" xfId="32150" xr:uid="{00000000-0005-0000-0000-0000433F0000}"/>
    <cellStyle name="Millares 5 7 4" xfId="4797" xr:uid="{00000000-0005-0000-0000-0000443F0000}"/>
    <cellStyle name="Millares 5 7 4 2" xfId="8392" xr:uid="{00000000-0005-0000-0000-0000453F0000}"/>
    <cellStyle name="Millares 5 7 4 2 2" xfId="15182" xr:uid="{00000000-0005-0000-0000-0000463F0000}"/>
    <cellStyle name="Millares 5 7 4 2 2 2" xfId="28750" xr:uid="{00000000-0005-0000-0000-0000473F0000}"/>
    <cellStyle name="Millares 5 7 4 2 2 2 2" xfId="55883" xr:uid="{00000000-0005-0000-0000-0000483F0000}"/>
    <cellStyle name="Millares 5 7 4 2 2 3" xfId="42321" xr:uid="{00000000-0005-0000-0000-0000493F0000}"/>
    <cellStyle name="Millares 5 7 4 2 3" xfId="21969" xr:uid="{00000000-0005-0000-0000-00004A3F0000}"/>
    <cellStyle name="Millares 5 7 4 2 3 2" xfId="49102" xr:uid="{00000000-0005-0000-0000-00004B3F0000}"/>
    <cellStyle name="Millares 5 7 4 2 4" xfId="35540" xr:uid="{00000000-0005-0000-0000-00004C3F0000}"/>
    <cellStyle name="Millares 5 7 4 3" xfId="11793" xr:uid="{00000000-0005-0000-0000-00004D3F0000}"/>
    <cellStyle name="Millares 5 7 4 3 2" xfId="25361" xr:uid="{00000000-0005-0000-0000-00004E3F0000}"/>
    <cellStyle name="Millares 5 7 4 3 2 2" xfId="52494" xr:uid="{00000000-0005-0000-0000-00004F3F0000}"/>
    <cellStyle name="Millares 5 7 4 3 3" xfId="38932" xr:uid="{00000000-0005-0000-0000-0000503F0000}"/>
    <cellStyle name="Millares 5 7 4 4" xfId="18580" xr:uid="{00000000-0005-0000-0000-0000513F0000}"/>
    <cellStyle name="Millares 5 7 4 4 2" xfId="45713" xr:uid="{00000000-0005-0000-0000-0000523F0000}"/>
    <cellStyle name="Millares 5 7 4 5" xfId="32151" xr:uid="{00000000-0005-0000-0000-0000533F0000}"/>
    <cellStyle name="Millares 5 7 5" xfId="8387" xr:uid="{00000000-0005-0000-0000-0000543F0000}"/>
    <cellStyle name="Millares 5 7 5 2" xfId="15177" xr:uid="{00000000-0005-0000-0000-0000553F0000}"/>
    <cellStyle name="Millares 5 7 5 2 2" xfId="28745" xr:uid="{00000000-0005-0000-0000-0000563F0000}"/>
    <cellStyle name="Millares 5 7 5 2 2 2" xfId="55878" xr:uid="{00000000-0005-0000-0000-0000573F0000}"/>
    <cellStyle name="Millares 5 7 5 2 3" xfId="42316" xr:uid="{00000000-0005-0000-0000-0000583F0000}"/>
    <cellStyle name="Millares 5 7 5 3" xfId="21964" xr:uid="{00000000-0005-0000-0000-0000593F0000}"/>
    <cellStyle name="Millares 5 7 5 3 2" xfId="49097" xr:uid="{00000000-0005-0000-0000-00005A3F0000}"/>
    <cellStyle name="Millares 5 7 5 4" xfId="35535" xr:uid="{00000000-0005-0000-0000-00005B3F0000}"/>
    <cellStyle name="Millares 5 7 6" xfId="11788" xr:uid="{00000000-0005-0000-0000-00005C3F0000}"/>
    <cellStyle name="Millares 5 7 6 2" xfId="25356" xr:uid="{00000000-0005-0000-0000-00005D3F0000}"/>
    <cellStyle name="Millares 5 7 6 2 2" xfId="52489" xr:uid="{00000000-0005-0000-0000-00005E3F0000}"/>
    <cellStyle name="Millares 5 7 6 3" xfId="38927" xr:uid="{00000000-0005-0000-0000-00005F3F0000}"/>
    <cellStyle name="Millares 5 7 7" xfId="18575" xr:uid="{00000000-0005-0000-0000-0000603F0000}"/>
    <cellStyle name="Millares 5 7 7 2" xfId="45708" xr:uid="{00000000-0005-0000-0000-0000613F0000}"/>
    <cellStyle name="Millares 5 7 8" xfId="32146" xr:uid="{00000000-0005-0000-0000-0000623F0000}"/>
    <cellStyle name="Millares 5 8" xfId="4798" xr:uid="{00000000-0005-0000-0000-0000633F0000}"/>
    <cellStyle name="Millares 5 8 2" xfId="4799" xr:uid="{00000000-0005-0000-0000-0000643F0000}"/>
    <cellStyle name="Millares 5 8 2 2" xfId="4800" xr:uid="{00000000-0005-0000-0000-0000653F0000}"/>
    <cellStyle name="Millares 5 8 2 2 2" xfId="8395" xr:uid="{00000000-0005-0000-0000-0000663F0000}"/>
    <cellStyle name="Millares 5 8 2 2 2 2" xfId="15185" xr:uid="{00000000-0005-0000-0000-0000673F0000}"/>
    <cellStyle name="Millares 5 8 2 2 2 2 2" xfId="28753" xr:uid="{00000000-0005-0000-0000-0000683F0000}"/>
    <cellStyle name="Millares 5 8 2 2 2 2 2 2" xfId="55886" xr:uid="{00000000-0005-0000-0000-0000693F0000}"/>
    <cellStyle name="Millares 5 8 2 2 2 2 3" xfId="42324" xr:uid="{00000000-0005-0000-0000-00006A3F0000}"/>
    <cellStyle name="Millares 5 8 2 2 2 3" xfId="21972" xr:uid="{00000000-0005-0000-0000-00006B3F0000}"/>
    <cellStyle name="Millares 5 8 2 2 2 3 2" xfId="49105" xr:uid="{00000000-0005-0000-0000-00006C3F0000}"/>
    <cellStyle name="Millares 5 8 2 2 2 4" xfId="35543" xr:uid="{00000000-0005-0000-0000-00006D3F0000}"/>
    <cellStyle name="Millares 5 8 2 2 3" xfId="11796" xr:uid="{00000000-0005-0000-0000-00006E3F0000}"/>
    <cellStyle name="Millares 5 8 2 2 3 2" xfId="25364" xr:uid="{00000000-0005-0000-0000-00006F3F0000}"/>
    <cellStyle name="Millares 5 8 2 2 3 2 2" xfId="52497" xr:uid="{00000000-0005-0000-0000-0000703F0000}"/>
    <cellStyle name="Millares 5 8 2 2 3 3" xfId="38935" xr:uid="{00000000-0005-0000-0000-0000713F0000}"/>
    <cellStyle name="Millares 5 8 2 2 4" xfId="18583" xr:uid="{00000000-0005-0000-0000-0000723F0000}"/>
    <cellStyle name="Millares 5 8 2 2 4 2" xfId="45716" xr:uid="{00000000-0005-0000-0000-0000733F0000}"/>
    <cellStyle name="Millares 5 8 2 2 5" xfId="32154" xr:uid="{00000000-0005-0000-0000-0000743F0000}"/>
    <cellStyle name="Millares 5 8 2 3" xfId="4801" xr:uid="{00000000-0005-0000-0000-0000753F0000}"/>
    <cellStyle name="Millares 5 8 2 3 2" xfId="8396" xr:uid="{00000000-0005-0000-0000-0000763F0000}"/>
    <cellStyle name="Millares 5 8 2 3 2 2" xfId="15186" xr:uid="{00000000-0005-0000-0000-0000773F0000}"/>
    <cellStyle name="Millares 5 8 2 3 2 2 2" xfId="28754" xr:uid="{00000000-0005-0000-0000-0000783F0000}"/>
    <cellStyle name="Millares 5 8 2 3 2 2 2 2" xfId="55887" xr:uid="{00000000-0005-0000-0000-0000793F0000}"/>
    <cellStyle name="Millares 5 8 2 3 2 2 3" xfId="42325" xr:uid="{00000000-0005-0000-0000-00007A3F0000}"/>
    <cellStyle name="Millares 5 8 2 3 2 3" xfId="21973" xr:uid="{00000000-0005-0000-0000-00007B3F0000}"/>
    <cellStyle name="Millares 5 8 2 3 2 3 2" xfId="49106" xr:uid="{00000000-0005-0000-0000-00007C3F0000}"/>
    <cellStyle name="Millares 5 8 2 3 2 4" xfId="35544" xr:uid="{00000000-0005-0000-0000-00007D3F0000}"/>
    <cellStyle name="Millares 5 8 2 3 3" xfId="11797" xr:uid="{00000000-0005-0000-0000-00007E3F0000}"/>
    <cellStyle name="Millares 5 8 2 3 3 2" xfId="25365" xr:uid="{00000000-0005-0000-0000-00007F3F0000}"/>
    <cellStyle name="Millares 5 8 2 3 3 2 2" xfId="52498" xr:uid="{00000000-0005-0000-0000-0000803F0000}"/>
    <cellStyle name="Millares 5 8 2 3 3 3" xfId="38936" xr:uid="{00000000-0005-0000-0000-0000813F0000}"/>
    <cellStyle name="Millares 5 8 2 3 4" xfId="18584" xr:uid="{00000000-0005-0000-0000-0000823F0000}"/>
    <cellStyle name="Millares 5 8 2 3 4 2" xfId="45717" xr:uid="{00000000-0005-0000-0000-0000833F0000}"/>
    <cellStyle name="Millares 5 8 2 3 5" xfId="32155" xr:uid="{00000000-0005-0000-0000-0000843F0000}"/>
    <cellStyle name="Millares 5 8 2 4" xfId="8394" xr:uid="{00000000-0005-0000-0000-0000853F0000}"/>
    <cellStyle name="Millares 5 8 2 4 2" xfId="15184" xr:uid="{00000000-0005-0000-0000-0000863F0000}"/>
    <cellStyle name="Millares 5 8 2 4 2 2" xfId="28752" xr:uid="{00000000-0005-0000-0000-0000873F0000}"/>
    <cellStyle name="Millares 5 8 2 4 2 2 2" xfId="55885" xr:uid="{00000000-0005-0000-0000-0000883F0000}"/>
    <cellStyle name="Millares 5 8 2 4 2 3" xfId="42323" xr:uid="{00000000-0005-0000-0000-0000893F0000}"/>
    <cellStyle name="Millares 5 8 2 4 3" xfId="21971" xr:uid="{00000000-0005-0000-0000-00008A3F0000}"/>
    <cellStyle name="Millares 5 8 2 4 3 2" xfId="49104" xr:uid="{00000000-0005-0000-0000-00008B3F0000}"/>
    <cellStyle name="Millares 5 8 2 4 4" xfId="35542" xr:uid="{00000000-0005-0000-0000-00008C3F0000}"/>
    <cellStyle name="Millares 5 8 2 5" xfId="11795" xr:uid="{00000000-0005-0000-0000-00008D3F0000}"/>
    <cellStyle name="Millares 5 8 2 5 2" xfId="25363" xr:uid="{00000000-0005-0000-0000-00008E3F0000}"/>
    <cellStyle name="Millares 5 8 2 5 2 2" xfId="52496" xr:uid="{00000000-0005-0000-0000-00008F3F0000}"/>
    <cellStyle name="Millares 5 8 2 5 3" xfId="38934" xr:uid="{00000000-0005-0000-0000-0000903F0000}"/>
    <cellStyle name="Millares 5 8 2 6" xfId="18582" xr:uid="{00000000-0005-0000-0000-0000913F0000}"/>
    <cellStyle name="Millares 5 8 2 6 2" xfId="45715" xr:uid="{00000000-0005-0000-0000-0000923F0000}"/>
    <cellStyle name="Millares 5 8 2 7" xfId="32153" xr:uid="{00000000-0005-0000-0000-0000933F0000}"/>
    <cellStyle name="Millares 5 8 3" xfId="4802" xr:uid="{00000000-0005-0000-0000-0000943F0000}"/>
    <cellStyle name="Millares 5 8 3 2" xfId="8397" xr:uid="{00000000-0005-0000-0000-0000953F0000}"/>
    <cellStyle name="Millares 5 8 3 2 2" xfId="15187" xr:uid="{00000000-0005-0000-0000-0000963F0000}"/>
    <cellStyle name="Millares 5 8 3 2 2 2" xfId="28755" xr:uid="{00000000-0005-0000-0000-0000973F0000}"/>
    <cellStyle name="Millares 5 8 3 2 2 2 2" xfId="55888" xr:uid="{00000000-0005-0000-0000-0000983F0000}"/>
    <cellStyle name="Millares 5 8 3 2 2 3" xfId="42326" xr:uid="{00000000-0005-0000-0000-0000993F0000}"/>
    <cellStyle name="Millares 5 8 3 2 3" xfId="21974" xr:uid="{00000000-0005-0000-0000-00009A3F0000}"/>
    <cellStyle name="Millares 5 8 3 2 3 2" xfId="49107" xr:uid="{00000000-0005-0000-0000-00009B3F0000}"/>
    <cellStyle name="Millares 5 8 3 2 4" xfId="35545" xr:uid="{00000000-0005-0000-0000-00009C3F0000}"/>
    <cellStyle name="Millares 5 8 3 3" xfId="11798" xr:uid="{00000000-0005-0000-0000-00009D3F0000}"/>
    <cellStyle name="Millares 5 8 3 3 2" xfId="25366" xr:uid="{00000000-0005-0000-0000-00009E3F0000}"/>
    <cellStyle name="Millares 5 8 3 3 2 2" xfId="52499" xr:uid="{00000000-0005-0000-0000-00009F3F0000}"/>
    <cellStyle name="Millares 5 8 3 3 3" xfId="38937" xr:uid="{00000000-0005-0000-0000-0000A03F0000}"/>
    <cellStyle name="Millares 5 8 3 4" xfId="18585" xr:uid="{00000000-0005-0000-0000-0000A13F0000}"/>
    <cellStyle name="Millares 5 8 3 4 2" xfId="45718" xr:uid="{00000000-0005-0000-0000-0000A23F0000}"/>
    <cellStyle name="Millares 5 8 3 5" xfId="32156" xr:uid="{00000000-0005-0000-0000-0000A33F0000}"/>
    <cellStyle name="Millares 5 8 4" xfId="4803" xr:uid="{00000000-0005-0000-0000-0000A43F0000}"/>
    <cellStyle name="Millares 5 8 4 2" xfId="8398" xr:uid="{00000000-0005-0000-0000-0000A53F0000}"/>
    <cellStyle name="Millares 5 8 4 2 2" xfId="15188" xr:uid="{00000000-0005-0000-0000-0000A63F0000}"/>
    <cellStyle name="Millares 5 8 4 2 2 2" xfId="28756" xr:uid="{00000000-0005-0000-0000-0000A73F0000}"/>
    <cellStyle name="Millares 5 8 4 2 2 2 2" xfId="55889" xr:uid="{00000000-0005-0000-0000-0000A83F0000}"/>
    <cellStyle name="Millares 5 8 4 2 2 3" xfId="42327" xr:uid="{00000000-0005-0000-0000-0000A93F0000}"/>
    <cellStyle name="Millares 5 8 4 2 3" xfId="21975" xr:uid="{00000000-0005-0000-0000-0000AA3F0000}"/>
    <cellStyle name="Millares 5 8 4 2 3 2" xfId="49108" xr:uid="{00000000-0005-0000-0000-0000AB3F0000}"/>
    <cellStyle name="Millares 5 8 4 2 4" xfId="35546" xr:uid="{00000000-0005-0000-0000-0000AC3F0000}"/>
    <cellStyle name="Millares 5 8 4 3" xfId="11799" xr:uid="{00000000-0005-0000-0000-0000AD3F0000}"/>
    <cellStyle name="Millares 5 8 4 3 2" xfId="25367" xr:uid="{00000000-0005-0000-0000-0000AE3F0000}"/>
    <cellStyle name="Millares 5 8 4 3 2 2" xfId="52500" xr:uid="{00000000-0005-0000-0000-0000AF3F0000}"/>
    <cellStyle name="Millares 5 8 4 3 3" xfId="38938" xr:uid="{00000000-0005-0000-0000-0000B03F0000}"/>
    <cellStyle name="Millares 5 8 4 4" xfId="18586" xr:uid="{00000000-0005-0000-0000-0000B13F0000}"/>
    <cellStyle name="Millares 5 8 4 4 2" xfId="45719" xr:uid="{00000000-0005-0000-0000-0000B23F0000}"/>
    <cellStyle name="Millares 5 8 4 5" xfId="32157" xr:uid="{00000000-0005-0000-0000-0000B33F0000}"/>
    <cellStyle name="Millares 5 8 5" xfId="8393" xr:uid="{00000000-0005-0000-0000-0000B43F0000}"/>
    <cellStyle name="Millares 5 8 5 2" xfId="15183" xr:uid="{00000000-0005-0000-0000-0000B53F0000}"/>
    <cellStyle name="Millares 5 8 5 2 2" xfId="28751" xr:uid="{00000000-0005-0000-0000-0000B63F0000}"/>
    <cellStyle name="Millares 5 8 5 2 2 2" xfId="55884" xr:uid="{00000000-0005-0000-0000-0000B73F0000}"/>
    <cellStyle name="Millares 5 8 5 2 3" xfId="42322" xr:uid="{00000000-0005-0000-0000-0000B83F0000}"/>
    <cellStyle name="Millares 5 8 5 3" xfId="21970" xr:uid="{00000000-0005-0000-0000-0000B93F0000}"/>
    <cellStyle name="Millares 5 8 5 3 2" xfId="49103" xr:uid="{00000000-0005-0000-0000-0000BA3F0000}"/>
    <cellStyle name="Millares 5 8 5 4" xfId="35541" xr:uid="{00000000-0005-0000-0000-0000BB3F0000}"/>
    <cellStyle name="Millares 5 8 6" xfId="11794" xr:uid="{00000000-0005-0000-0000-0000BC3F0000}"/>
    <cellStyle name="Millares 5 8 6 2" xfId="25362" xr:uid="{00000000-0005-0000-0000-0000BD3F0000}"/>
    <cellStyle name="Millares 5 8 6 2 2" xfId="52495" xr:uid="{00000000-0005-0000-0000-0000BE3F0000}"/>
    <cellStyle name="Millares 5 8 6 3" xfId="38933" xr:uid="{00000000-0005-0000-0000-0000BF3F0000}"/>
    <cellStyle name="Millares 5 8 7" xfId="18581" xr:uid="{00000000-0005-0000-0000-0000C03F0000}"/>
    <cellStyle name="Millares 5 8 7 2" xfId="45714" xr:uid="{00000000-0005-0000-0000-0000C13F0000}"/>
    <cellStyle name="Millares 5 8 8" xfId="32152" xr:uid="{00000000-0005-0000-0000-0000C23F0000}"/>
    <cellStyle name="Millares 5 9" xfId="4804" xr:uid="{00000000-0005-0000-0000-0000C33F0000}"/>
    <cellStyle name="Millares 5 9 2" xfId="4805" xr:uid="{00000000-0005-0000-0000-0000C43F0000}"/>
    <cellStyle name="Millares 5 9 2 2" xfId="8400" xr:uid="{00000000-0005-0000-0000-0000C53F0000}"/>
    <cellStyle name="Millares 5 9 2 2 2" xfId="15190" xr:uid="{00000000-0005-0000-0000-0000C63F0000}"/>
    <cellStyle name="Millares 5 9 2 2 2 2" xfId="28758" xr:uid="{00000000-0005-0000-0000-0000C73F0000}"/>
    <cellStyle name="Millares 5 9 2 2 2 2 2" xfId="55891" xr:uid="{00000000-0005-0000-0000-0000C83F0000}"/>
    <cellStyle name="Millares 5 9 2 2 2 3" xfId="42329" xr:uid="{00000000-0005-0000-0000-0000C93F0000}"/>
    <cellStyle name="Millares 5 9 2 2 3" xfId="21977" xr:uid="{00000000-0005-0000-0000-0000CA3F0000}"/>
    <cellStyle name="Millares 5 9 2 2 3 2" xfId="49110" xr:uid="{00000000-0005-0000-0000-0000CB3F0000}"/>
    <cellStyle name="Millares 5 9 2 2 4" xfId="35548" xr:uid="{00000000-0005-0000-0000-0000CC3F0000}"/>
    <cellStyle name="Millares 5 9 2 3" xfId="11801" xr:uid="{00000000-0005-0000-0000-0000CD3F0000}"/>
    <cellStyle name="Millares 5 9 2 3 2" xfId="25369" xr:uid="{00000000-0005-0000-0000-0000CE3F0000}"/>
    <cellStyle name="Millares 5 9 2 3 2 2" xfId="52502" xr:uid="{00000000-0005-0000-0000-0000CF3F0000}"/>
    <cellStyle name="Millares 5 9 2 3 3" xfId="38940" xr:uid="{00000000-0005-0000-0000-0000D03F0000}"/>
    <cellStyle name="Millares 5 9 2 4" xfId="18588" xr:uid="{00000000-0005-0000-0000-0000D13F0000}"/>
    <cellStyle name="Millares 5 9 2 4 2" xfId="45721" xr:uid="{00000000-0005-0000-0000-0000D23F0000}"/>
    <cellStyle name="Millares 5 9 2 5" xfId="32159" xr:uid="{00000000-0005-0000-0000-0000D33F0000}"/>
    <cellStyle name="Millares 5 9 3" xfId="8399" xr:uid="{00000000-0005-0000-0000-0000D43F0000}"/>
    <cellStyle name="Millares 5 9 3 2" xfId="15189" xr:uid="{00000000-0005-0000-0000-0000D53F0000}"/>
    <cellStyle name="Millares 5 9 3 2 2" xfId="28757" xr:uid="{00000000-0005-0000-0000-0000D63F0000}"/>
    <cellStyle name="Millares 5 9 3 2 2 2" xfId="55890" xr:uid="{00000000-0005-0000-0000-0000D73F0000}"/>
    <cellStyle name="Millares 5 9 3 2 3" xfId="42328" xr:uid="{00000000-0005-0000-0000-0000D83F0000}"/>
    <cellStyle name="Millares 5 9 3 3" xfId="21976" xr:uid="{00000000-0005-0000-0000-0000D93F0000}"/>
    <cellStyle name="Millares 5 9 3 3 2" xfId="49109" xr:uid="{00000000-0005-0000-0000-0000DA3F0000}"/>
    <cellStyle name="Millares 5 9 3 4" xfId="35547" xr:uid="{00000000-0005-0000-0000-0000DB3F0000}"/>
    <cellStyle name="Millares 5 9 4" xfId="11800" xr:uid="{00000000-0005-0000-0000-0000DC3F0000}"/>
    <cellStyle name="Millares 5 9 4 2" xfId="25368" xr:uid="{00000000-0005-0000-0000-0000DD3F0000}"/>
    <cellStyle name="Millares 5 9 4 2 2" xfId="52501" xr:uid="{00000000-0005-0000-0000-0000DE3F0000}"/>
    <cellStyle name="Millares 5 9 4 3" xfId="38939" xr:uid="{00000000-0005-0000-0000-0000DF3F0000}"/>
    <cellStyle name="Millares 5 9 5" xfId="18587" xr:uid="{00000000-0005-0000-0000-0000E03F0000}"/>
    <cellStyle name="Millares 5 9 5 2" xfId="45720" xr:uid="{00000000-0005-0000-0000-0000E13F0000}"/>
    <cellStyle name="Millares 5 9 6" xfId="32158" xr:uid="{00000000-0005-0000-0000-0000E23F0000}"/>
    <cellStyle name="Millares 6" xfId="26" xr:uid="{00000000-0005-0000-0000-0000E33F0000}"/>
    <cellStyle name="Millares 6 10" xfId="4806" xr:uid="{00000000-0005-0000-0000-0000E43F0000}"/>
    <cellStyle name="Millares 6 10 2" xfId="8401" xr:uid="{00000000-0005-0000-0000-0000E53F0000}"/>
    <cellStyle name="Millares 6 10 2 2" xfId="15191" xr:uid="{00000000-0005-0000-0000-0000E63F0000}"/>
    <cellStyle name="Millares 6 10 2 2 2" xfId="28759" xr:uid="{00000000-0005-0000-0000-0000E73F0000}"/>
    <cellStyle name="Millares 6 10 2 2 2 2" xfId="55892" xr:uid="{00000000-0005-0000-0000-0000E83F0000}"/>
    <cellStyle name="Millares 6 10 2 2 3" xfId="42330" xr:uid="{00000000-0005-0000-0000-0000E93F0000}"/>
    <cellStyle name="Millares 6 10 2 3" xfId="21978" xr:uid="{00000000-0005-0000-0000-0000EA3F0000}"/>
    <cellStyle name="Millares 6 10 2 3 2" xfId="49111" xr:uid="{00000000-0005-0000-0000-0000EB3F0000}"/>
    <cellStyle name="Millares 6 10 2 4" xfId="35549" xr:uid="{00000000-0005-0000-0000-0000EC3F0000}"/>
    <cellStyle name="Millares 6 10 3" xfId="11802" xr:uid="{00000000-0005-0000-0000-0000ED3F0000}"/>
    <cellStyle name="Millares 6 10 3 2" xfId="25370" xr:uid="{00000000-0005-0000-0000-0000EE3F0000}"/>
    <cellStyle name="Millares 6 10 3 2 2" xfId="52503" xr:uid="{00000000-0005-0000-0000-0000EF3F0000}"/>
    <cellStyle name="Millares 6 10 3 3" xfId="38941" xr:uid="{00000000-0005-0000-0000-0000F03F0000}"/>
    <cellStyle name="Millares 6 10 4" xfId="18589" xr:uid="{00000000-0005-0000-0000-0000F13F0000}"/>
    <cellStyle name="Millares 6 10 4 2" xfId="45722" xr:uid="{00000000-0005-0000-0000-0000F23F0000}"/>
    <cellStyle name="Millares 6 10 5" xfId="32160" xr:uid="{00000000-0005-0000-0000-0000F33F0000}"/>
    <cellStyle name="Millares 6 11" xfId="84" xr:uid="{00000000-0005-0000-0000-0000F43F0000}"/>
    <cellStyle name="Millares 6 12" xfId="58382" xr:uid="{168EAD7B-14BE-497B-8EC4-2A51B9ECE54B}"/>
    <cellStyle name="Millares 6 2" xfId="2476" xr:uid="{00000000-0005-0000-0000-0000F53F0000}"/>
    <cellStyle name="Millares 6 2 2 4" xfId="7390" xr:uid="{00000000-0005-0000-0000-0000F63F0000}"/>
    <cellStyle name="Millares 6 3" xfId="4807" xr:uid="{00000000-0005-0000-0000-0000F73F0000}"/>
    <cellStyle name="Millares 6 3 10" xfId="11803" xr:uid="{00000000-0005-0000-0000-0000F83F0000}"/>
    <cellStyle name="Millares 6 3 10 2" xfId="25371" xr:uid="{00000000-0005-0000-0000-0000F93F0000}"/>
    <cellStyle name="Millares 6 3 10 2 2" xfId="52504" xr:uid="{00000000-0005-0000-0000-0000FA3F0000}"/>
    <cellStyle name="Millares 6 3 10 3" xfId="38942" xr:uid="{00000000-0005-0000-0000-0000FB3F0000}"/>
    <cellStyle name="Millares 6 3 11" xfId="18590" xr:uid="{00000000-0005-0000-0000-0000FC3F0000}"/>
    <cellStyle name="Millares 6 3 11 2" xfId="45723" xr:uid="{00000000-0005-0000-0000-0000FD3F0000}"/>
    <cellStyle name="Millares 6 3 12" xfId="32161" xr:uid="{00000000-0005-0000-0000-0000FE3F0000}"/>
    <cellStyle name="Millares 6 3 2" xfId="4808" xr:uid="{00000000-0005-0000-0000-0000FF3F0000}"/>
    <cellStyle name="Millares 6 3 2 10" xfId="32162" xr:uid="{00000000-0005-0000-0000-000000400000}"/>
    <cellStyle name="Millares 6 3 2 2" xfId="4809" xr:uid="{00000000-0005-0000-0000-000001400000}"/>
    <cellStyle name="Millares 6 3 2 2 2" xfId="4810" xr:uid="{00000000-0005-0000-0000-000002400000}"/>
    <cellStyle name="Millares 6 3 2 2 2 2" xfId="4811" xr:uid="{00000000-0005-0000-0000-000003400000}"/>
    <cellStyle name="Millares 6 3 2 2 2 2 2" xfId="8406" xr:uid="{00000000-0005-0000-0000-000004400000}"/>
    <cellStyle name="Millares 6 3 2 2 2 2 2 2" xfId="15196" xr:uid="{00000000-0005-0000-0000-000005400000}"/>
    <cellStyle name="Millares 6 3 2 2 2 2 2 2 2" xfId="28764" xr:uid="{00000000-0005-0000-0000-000006400000}"/>
    <cellStyle name="Millares 6 3 2 2 2 2 2 2 2 2" xfId="55897" xr:uid="{00000000-0005-0000-0000-000007400000}"/>
    <cellStyle name="Millares 6 3 2 2 2 2 2 2 3" xfId="42335" xr:uid="{00000000-0005-0000-0000-000008400000}"/>
    <cellStyle name="Millares 6 3 2 2 2 2 2 3" xfId="21983" xr:uid="{00000000-0005-0000-0000-000009400000}"/>
    <cellStyle name="Millares 6 3 2 2 2 2 2 3 2" xfId="49116" xr:uid="{00000000-0005-0000-0000-00000A400000}"/>
    <cellStyle name="Millares 6 3 2 2 2 2 2 4" xfId="35554" xr:uid="{00000000-0005-0000-0000-00000B400000}"/>
    <cellStyle name="Millares 6 3 2 2 2 2 3" xfId="11807" xr:uid="{00000000-0005-0000-0000-00000C400000}"/>
    <cellStyle name="Millares 6 3 2 2 2 2 3 2" xfId="25375" xr:uid="{00000000-0005-0000-0000-00000D400000}"/>
    <cellStyle name="Millares 6 3 2 2 2 2 3 2 2" xfId="52508" xr:uid="{00000000-0005-0000-0000-00000E400000}"/>
    <cellStyle name="Millares 6 3 2 2 2 2 3 3" xfId="38946" xr:uid="{00000000-0005-0000-0000-00000F400000}"/>
    <cellStyle name="Millares 6 3 2 2 2 2 4" xfId="18594" xr:uid="{00000000-0005-0000-0000-000010400000}"/>
    <cellStyle name="Millares 6 3 2 2 2 2 4 2" xfId="45727" xr:uid="{00000000-0005-0000-0000-000011400000}"/>
    <cellStyle name="Millares 6 3 2 2 2 2 5" xfId="32165" xr:uid="{00000000-0005-0000-0000-000012400000}"/>
    <cellStyle name="Millares 6 3 2 2 2 3" xfId="4812" xr:uid="{00000000-0005-0000-0000-000013400000}"/>
    <cellStyle name="Millares 6 3 2 2 2 3 2" xfId="8407" xr:uid="{00000000-0005-0000-0000-000014400000}"/>
    <cellStyle name="Millares 6 3 2 2 2 3 2 2" xfId="15197" xr:uid="{00000000-0005-0000-0000-000015400000}"/>
    <cellStyle name="Millares 6 3 2 2 2 3 2 2 2" xfId="28765" xr:uid="{00000000-0005-0000-0000-000016400000}"/>
    <cellStyle name="Millares 6 3 2 2 2 3 2 2 2 2" xfId="55898" xr:uid="{00000000-0005-0000-0000-000017400000}"/>
    <cellStyle name="Millares 6 3 2 2 2 3 2 2 3" xfId="42336" xr:uid="{00000000-0005-0000-0000-000018400000}"/>
    <cellStyle name="Millares 6 3 2 2 2 3 2 3" xfId="21984" xr:uid="{00000000-0005-0000-0000-000019400000}"/>
    <cellStyle name="Millares 6 3 2 2 2 3 2 3 2" xfId="49117" xr:uid="{00000000-0005-0000-0000-00001A400000}"/>
    <cellStyle name="Millares 6 3 2 2 2 3 2 4" xfId="35555" xr:uid="{00000000-0005-0000-0000-00001B400000}"/>
    <cellStyle name="Millares 6 3 2 2 2 3 3" xfId="11808" xr:uid="{00000000-0005-0000-0000-00001C400000}"/>
    <cellStyle name="Millares 6 3 2 2 2 3 3 2" xfId="25376" xr:uid="{00000000-0005-0000-0000-00001D400000}"/>
    <cellStyle name="Millares 6 3 2 2 2 3 3 2 2" xfId="52509" xr:uid="{00000000-0005-0000-0000-00001E400000}"/>
    <cellStyle name="Millares 6 3 2 2 2 3 3 3" xfId="38947" xr:uid="{00000000-0005-0000-0000-00001F400000}"/>
    <cellStyle name="Millares 6 3 2 2 2 3 4" xfId="18595" xr:uid="{00000000-0005-0000-0000-000020400000}"/>
    <cellStyle name="Millares 6 3 2 2 2 3 4 2" xfId="45728" xr:uid="{00000000-0005-0000-0000-000021400000}"/>
    <cellStyle name="Millares 6 3 2 2 2 3 5" xfId="32166" xr:uid="{00000000-0005-0000-0000-000022400000}"/>
    <cellStyle name="Millares 6 3 2 2 2 4" xfId="8405" xr:uid="{00000000-0005-0000-0000-000023400000}"/>
    <cellStyle name="Millares 6 3 2 2 2 4 2" xfId="15195" xr:uid="{00000000-0005-0000-0000-000024400000}"/>
    <cellStyle name="Millares 6 3 2 2 2 4 2 2" xfId="28763" xr:uid="{00000000-0005-0000-0000-000025400000}"/>
    <cellStyle name="Millares 6 3 2 2 2 4 2 2 2" xfId="55896" xr:uid="{00000000-0005-0000-0000-000026400000}"/>
    <cellStyle name="Millares 6 3 2 2 2 4 2 3" xfId="42334" xr:uid="{00000000-0005-0000-0000-000027400000}"/>
    <cellStyle name="Millares 6 3 2 2 2 4 3" xfId="21982" xr:uid="{00000000-0005-0000-0000-000028400000}"/>
    <cellStyle name="Millares 6 3 2 2 2 4 3 2" xfId="49115" xr:uid="{00000000-0005-0000-0000-000029400000}"/>
    <cellStyle name="Millares 6 3 2 2 2 4 4" xfId="35553" xr:uid="{00000000-0005-0000-0000-00002A400000}"/>
    <cellStyle name="Millares 6 3 2 2 2 5" xfId="11806" xr:uid="{00000000-0005-0000-0000-00002B400000}"/>
    <cellStyle name="Millares 6 3 2 2 2 5 2" xfId="25374" xr:uid="{00000000-0005-0000-0000-00002C400000}"/>
    <cellStyle name="Millares 6 3 2 2 2 5 2 2" xfId="52507" xr:uid="{00000000-0005-0000-0000-00002D400000}"/>
    <cellStyle name="Millares 6 3 2 2 2 5 3" xfId="38945" xr:uid="{00000000-0005-0000-0000-00002E400000}"/>
    <cellStyle name="Millares 6 3 2 2 2 6" xfId="18593" xr:uid="{00000000-0005-0000-0000-00002F400000}"/>
    <cellStyle name="Millares 6 3 2 2 2 6 2" xfId="45726" xr:uid="{00000000-0005-0000-0000-000030400000}"/>
    <cellStyle name="Millares 6 3 2 2 2 7" xfId="32164" xr:uid="{00000000-0005-0000-0000-000031400000}"/>
    <cellStyle name="Millares 6 3 2 2 3" xfId="4813" xr:uid="{00000000-0005-0000-0000-000032400000}"/>
    <cellStyle name="Millares 6 3 2 2 3 2" xfId="4814" xr:uid="{00000000-0005-0000-0000-000033400000}"/>
    <cellStyle name="Millares 6 3 2 2 3 2 2" xfId="8409" xr:uid="{00000000-0005-0000-0000-000034400000}"/>
    <cellStyle name="Millares 6 3 2 2 3 2 2 2" xfId="15199" xr:uid="{00000000-0005-0000-0000-000035400000}"/>
    <cellStyle name="Millares 6 3 2 2 3 2 2 2 2" xfId="28767" xr:uid="{00000000-0005-0000-0000-000036400000}"/>
    <cellStyle name="Millares 6 3 2 2 3 2 2 2 2 2" xfId="55900" xr:uid="{00000000-0005-0000-0000-000037400000}"/>
    <cellStyle name="Millares 6 3 2 2 3 2 2 2 3" xfId="42338" xr:uid="{00000000-0005-0000-0000-000038400000}"/>
    <cellStyle name="Millares 6 3 2 2 3 2 2 3" xfId="21986" xr:uid="{00000000-0005-0000-0000-000039400000}"/>
    <cellStyle name="Millares 6 3 2 2 3 2 2 3 2" xfId="49119" xr:uid="{00000000-0005-0000-0000-00003A400000}"/>
    <cellStyle name="Millares 6 3 2 2 3 2 2 4" xfId="35557" xr:uid="{00000000-0005-0000-0000-00003B400000}"/>
    <cellStyle name="Millares 6 3 2 2 3 2 3" xfId="11810" xr:uid="{00000000-0005-0000-0000-00003C400000}"/>
    <cellStyle name="Millares 6 3 2 2 3 2 3 2" xfId="25378" xr:uid="{00000000-0005-0000-0000-00003D400000}"/>
    <cellStyle name="Millares 6 3 2 2 3 2 3 2 2" xfId="52511" xr:uid="{00000000-0005-0000-0000-00003E400000}"/>
    <cellStyle name="Millares 6 3 2 2 3 2 3 3" xfId="38949" xr:uid="{00000000-0005-0000-0000-00003F400000}"/>
    <cellStyle name="Millares 6 3 2 2 3 2 4" xfId="18597" xr:uid="{00000000-0005-0000-0000-000040400000}"/>
    <cellStyle name="Millares 6 3 2 2 3 2 4 2" xfId="45730" xr:uid="{00000000-0005-0000-0000-000041400000}"/>
    <cellStyle name="Millares 6 3 2 2 3 2 5" xfId="32168" xr:uid="{00000000-0005-0000-0000-000042400000}"/>
    <cellStyle name="Millares 6 3 2 2 3 3" xfId="8408" xr:uid="{00000000-0005-0000-0000-000043400000}"/>
    <cellStyle name="Millares 6 3 2 2 3 3 2" xfId="15198" xr:uid="{00000000-0005-0000-0000-000044400000}"/>
    <cellStyle name="Millares 6 3 2 2 3 3 2 2" xfId="28766" xr:uid="{00000000-0005-0000-0000-000045400000}"/>
    <cellStyle name="Millares 6 3 2 2 3 3 2 2 2" xfId="55899" xr:uid="{00000000-0005-0000-0000-000046400000}"/>
    <cellStyle name="Millares 6 3 2 2 3 3 2 3" xfId="42337" xr:uid="{00000000-0005-0000-0000-000047400000}"/>
    <cellStyle name="Millares 6 3 2 2 3 3 3" xfId="21985" xr:uid="{00000000-0005-0000-0000-000048400000}"/>
    <cellStyle name="Millares 6 3 2 2 3 3 3 2" xfId="49118" xr:uid="{00000000-0005-0000-0000-000049400000}"/>
    <cellStyle name="Millares 6 3 2 2 3 3 4" xfId="35556" xr:uid="{00000000-0005-0000-0000-00004A400000}"/>
    <cellStyle name="Millares 6 3 2 2 3 4" xfId="11809" xr:uid="{00000000-0005-0000-0000-00004B400000}"/>
    <cellStyle name="Millares 6 3 2 2 3 4 2" xfId="25377" xr:uid="{00000000-0005-0000-0000-00004C400000}"/>
    <cellStyle name="Millares 6 3 2 2 3 4 2 2" xfId="52510" xr:uid="{00000000-0005-0000-0000-00004D400000}"/>
    <cellStyle name="Millares 6 3 2 2 3 4 3" xfId="38948" xr:uid="{00000000-0005-0000-0000-00004E400000}"/>
    <cellStyle name="Millares 6 3 2 2 3 5" xfId="18596" xr:uid="{00000000-0005-0000-0000-00004F400000}"/>
    <cellStyle name="Millares 6 3 2 2 3 5 2" xfId="45729" xr:uid="{00000000-0005-0000-0000-000050400000}"/>
    <cellStyle name="Millares 6 3 2 2 3 6" xfId="32167" xr:uid="{00000000-0005-0000-0000-000051400000}"/>
    <cellStyle name="Millares 6 3 2 2 4" xfId="4815" xr:uid="{00000000-0005-0000-0000-000052400000}"/>
    <cellStyle name="Millares 6 3 2 2 4 2" xfId="8410" xr:uid="{00000000-0005-0000-0000-000053400000}"/>
    <cellStyle name="Millares 6 3 2 2 4 2 2" xfId="15200" xr:uid="{00000000-0005-0000-0000-000054400000}"/>
    <cellStyle name="Millares 6 3 2 2 4 2 2 2" xfId="28768" xr:uid="{00000000-0005-0000-0000-000055400000}"/>
    <cellStyle name="Millares 6 3 2 2 4 2 2 2 2" xfId="55901" xr:uid="{00000000-0005-0000-0000-000056400000}"/>
    <cellStyle name="Millares 6 3 2 2 4 2 2 3" xfId="42339" xr:uid="{00000000-0005-0000-0000-000057400000}"/>
    <cellStyle name="Millares 6 3 2 2 4 2 3" xfId="21987" xr:uid="{00000000-0005-0000-0000-000058400000}"/>
    <cellStyle name="Millares 6 3 2 2 4 2 3 2" xfId="49120" xr:uid="{00000000-0005-0000-0000-000059400000}"/>
    <cellStyle name="Millares 6 3 2 2 4 2 4" xfId="35558" xr:uid="{00000000-0005-0000-0000-00005A400000}"/>
    <cellStyle name="Millares 6 3 2 2 4 3" xfId="11811" xr:uid="{00000000-0005-0000-0000-00005B400000}"/>
    <cellStyle name="Millares 6 3 2 2 4 3 2" xfId="25379" xr:uid="{00000000-0005-0000-0000-00005C400000}"/>
    <cellStyle name="Millares 6 3 2 2 4 3 2 2" xfId="52512" xr:uid="{00000000-0005-0000-0000-00005D400000}"/>
    <cellStyle name="Millares 6 3 2 2 4 3 3" xfId="38950" xr:uid="{00000000-0005-0000-0000-00005E400000}"/>
    <cellStyle name="Millares 6 3 2 2 4 4" xfId="18598" xr:uid="{00000000-0005-0000-0000-00005F400000}"/>
    <cellStyle name="Millares 6 3 2 2 4 4 2" xfId="45731" xr:uid="{00000000-0005-0000-0000-000060400000}"/>
    <cellStyle name="Millares 6 3 2 2 4 5" xfId="32169" xr:uid="{00000000-0005-0000-0000-000061400000}"/>
    <cellStyle name="Millares 6 3 2 2 5" xfId="4816" xr:uid="{00000000-0005-0000-0000-000062400000}"/>
    <cellStyle name="Millares 6 3 2 2 5 2" xfId="8411" xr:uid="{00000000-0005-0000-0000-000063400000}"/>
    <cellStyle name="Millares 6 3 2 2 5 2 2" xfId="15201" xr:uid="{00000000-0005-0000-0000-000064400000}"/>
    <cellStyle name="Millares 6 3 2 2 5 2 2 2" xfId="28769" xr:uid="{00000000-0005-0000-0000-000065400000}"/>
    <cellStyle name="Millares 6 3 2 2 5 2 2 2 2" xfId="55902" xr:uid="{00000000-0005-0000-0000-000066400000}"/>
    <cellStyle name="Millares 6 3 2 2 5 2 2 3" xfId="42340" xr:uid="{00000000-0005-0000-0000-000067400000}"/>
    <cellStyle name="Millares 6 3 2 2 5 2 3" xfId="21988" xr:uid="{00000000-0005-0000-0000-000068400000}"/>
    <cellStyle name="Millares 6 3 2 2 5 2 3 2" xfId="49121" xr:uid="{00000000-0005-0000-0000-000069400000}"/>
    <cellStyle name="Millares 6 3 2 2 5 2 4" xfId="35559" xr:uid="{00000000-0005-0000-0000-00006A400000}"/>
    <cellStyle name="Millares 6 3 2 2 5 3" xfId="11812" xr:uid="{00000000-0005-0000-0000-00006B400000}"/>
    <cellStyle name="Millares 6 3 2 2 5 3 2" xfId="25380" xr:uid="{00000000-0005-0000-0000-00006C400000}"/>
    <cellStyle name="Millares 6 3 2 2 5 3 2 2" xfId="52513" xr:uid="{00000000-0005-0000-0000-00006D400000}"/>
    <cellStyle name="Millares 6 3 2 2 5 3 3" xfId="38951" xr:uid="{00000000-0005-0000-0000-00006E400000}"/>
    <cellStyle name="Millares 6 3 2 2 5 4" xfId="18599" xr:uid="{00000000-0005-0000-0000-00006F400000}"/>
    <cellStyle name="Millares 6 3 2 2 5 4 2" xfId="45732" xr:uid="{00000000-0005-0000-0000-000070400000}"/>
    <cellStyle name="Millares 6 3 2 2 5 5" xfId="32170" xr:uid="{00000000-0005-0000-0000-000071400000}"/>
    <cellStyle name="Millares 6 3 2 2 6" xfId="8404" xr:uid="{00000000-0005-0000-0000-000072400000}"/>
    <cellStyle name="Millares 6 3 2 2 6 2" xfId="15194" xr:uid="{00000000-0005-0000-0000-000073400000}"/>
    <cellStyle name="Millares 6 3 2 2 6 2 2" xfId="28762" xr:uid="{00000000-0005-0000-0000-000074400000}"/>
    <cellStyle name="Millares 6 3 2 2 6 2 2 2" xfId="55895" xr:uid="{00000000-0005-0000-0000-000075400000}"/>
    <cellStyle name="Millares 6 3 2 2 6 2 3" xfId="42333" xr:uid="{00000000-0005-0000-0000-000076400000}"/>
    <cellStyle name="Millares 6 3 2 2 6 3" xfId="21981" xr:uid="{00000000-0005-0000-0000-000077400000}"/>
    <cellStyle name="Millares 6 3 2 2 6 3 2" xfId="49114" xr:uid="{00000000-0005-0000-0000-000078400000}"/>
    <cellStyle name="Millares 6 3 2 2 6 4" xfId="35552" xr:uid="{00000000-0005-0000-0000-000079400000}"/>
    <cellStyle name="Millares 6 3 2 2 7" xfId="11805" xr:uid="{00000000-0005-0000-0000-00007A400000}"/>
    <cellStyle name="Millares 6 3 2 2 7 2" xfId="25373" xr:uid="{00000000-0005-0000-0000-00007B400000}"/>
    <cellStyle name="Millares 6 3 2 2 7 2 2" xfId="52506" xr:uid="{00000000-0005-0000-0000-00007C400000}"/>
    <cellStyle name="Millares 6 3 2 2 7 3" xfId="38944" xr:uid="{00000000-0005-0000-0000-00007D400000}"/>
    <cellStyle name="Millares 6 3 2 2 8" xfId="18592" xr:uid="{00000000-0005-0000-0000-00007E400000}"/>
    <cellStyle name="Millares 6 3 2 2 8 2" xfId="45725" xr:uid="{00000000-0005-0000-0000-00007F400000}"/>
    <cellStyle name="Millares 6 3 2 2 9" xfId="32163" xr:uid="{00000000-0005-0000-0000-000080400000}"/>
    <cellStyle name="Millares 6 3 2 3" xfId="4817" xr:uid="{00000000-0005-0000-0000-000081400000}"/>
    <cellStyle name="Millares 6 3 2 3 2" xfId="4818" xr:uid="{00000000-0005-0000-0000-000082400000}"/>
    <cellStyle name="Millares 6 3 2 3 2 2" xfId="8413" xr:uid="{00000000-0005-0000-0000-000083400000}"/>
    <cellStyle name="Millares 6 3 2 3 2 2 2" xfId="15203" xr:uid="{00000000-0005-0000-0000-000084400000}"/>
    <cellStyle name="Millares 6 3 2 3 2 2 2 2" xfId="28771" xr:uid="{00000000-0005-0000-0000-000085400000}"/>
    <cellStyle name="Millares 6 3 2 3 2 2 2 2 2" xfId="55904" xr:uid="{00000000-0005-0000-0000-000086400000}"/>
    <cellStyle name="Millares 6 3 2 3 2 2 2 3" xfId="42342" xr:uid="{00000000-0005-0000-0000-000087400000}"/>
    <cellStyle name="Millares 6 3 2 3 2 2 3" xfId="21990" xr:uid="{00000000-0005-0000-0000-000088400000}"/>
    <cellStyle name="Millares 6 3 2 3 2 2 3 2" xfId="49123" xr:uid="{00000000-0005-0000-0000-000089400000}"/>
    <cellStyle name="Millares 6 3 2 3 2 2 4" xfId="35561" xr:uid="{00000000-0005-0000-0000-00008A400000}"/>
    <cellStyle name="Millares 6 3 2 3 2 3" xfId="11814" xr:uid="{00000000-0005-0000-0000-00008B400000}"/>
    <cellStyle name="Millares 6 3 2 3 2 3 2" xfId="25382" xr:uid="{00000000-0005-0000-0000-00008C400000}"/>
    <cellStyle name="Millares 6 3 2 3 2 3 2 2" xfId="52515" xr:uid="{00000000-0005-0000-0000-00008D400000}"/>
    <cellStyle name="Millares 6 3 2 3 2 3 3" xfId="38953" xr:uid="{00000000-0005-0000-0000-00008E400000}"/>
    <cellStyle name="Millares 6 3 2 3 2 4" xfId="18601" xr:uid="{00000000-0005-0000-0000-00008F400000}"/>
    <cellStyle name="Millares 6 3 2 3 2 4 2" xfId="45734" xr:uid="{00000000-0005-0000-0000-000090400000}"/>
    <cellStyle name="Millares 6 3 2 3 2 5" xfId="32172" xr:uid="{00000000-0005-0000-0000-000091400000}"/>
    <cellStyle name="Millares 6 3 2 3 3" xfId="4819" xr:uid="{00000000-0005-0000-0000-000092400000}"/>
    <cellStyle name="Millares 6 3 2 3 3 2" xfId="8414" xr:uid="{00000000-0005-0000-0000-000093400000}"/>
    <cellStyle name="Millares 6 3 2 3 3 2 2" xfId="15204" xr:uid="{00000000-0005-0000-0000-000094400000}"/>
    <cellStyle name="Millares 6 3 2 3 3 2 2 2" xfId="28772" xr:uid="{00000000-0005-0000-0000-000095400000}"/>
    <cellStyle name="Millares 6 3 2 3 3 2 2 2 2" xfId="55905" xr:uid="{00000000-0005-0000-0000-000096400000}"/>
    <cellStyle name="Millares 6 3 2 3 3 2 2 3" xfId="42343" xr:uid="{00000000-0005-0000-0000-000097400000}"/>
    <cellStyle name="Millares 6 3 2 3 3 2 3" xfId="21991" xr:uid="{00000000-0005-0000-0000-000098400000}"/>
    <cellStyle name="Millares 6 3 2 3 3 2 3 2" xfId="49124" xr:uid="{00000000-0005-0000-0000-000099400000}"/>
    <cellStyle name="Millares 6 3 2 3 3 2 4" xfId="35562" xr:uid="{00000000-0005-0000-0000-00009A400000}"/>
    <cellStyle name="Millares 6 3 2 3 3 3" xfId="11815" xr:uid="{00000000-0005-0000-0000-00009B400000}"/>
    <cellStyle name="Millares 6 3 2 3 3 3 2" xfId="25383" xr:uid="{00000000-0005-0000-0000-00009C400000}"/>
    <cellStyle name="Millares 6 3 2 3 3 3 2 2" xfId="52516" xr:uid="{00000000-0005-0000-0000-00009D400000}"/>
    <cellStyle name="Millares 6 3 2 3 3 3 3" xfId="38954" xr:uid="{00000000-0005-0000-0000-00009E400000}"/>
    <cellStyle name="Millares 6 3 2 3 3 4" xfId="18602" xr:uid="{00000000-0005-0000-0000-00009F400000}"/>
    <cellStyle name="Millares 6 3 2 3 3 4 2" xfId="45735" xr:uid="{00000000-0005-0000-0000-0000A0400000}"/>
    <cellStyle name="Millares 6 3 2 3 3 5" xfId="32173" xr:uid="{00000000-0005-0000-0000-0000A1400000}"/>
    <cellStyle name="Millares 6 3 2 3 4" xfId="8412" xr:uid="{00000000-0005-0000-0000-0000A2400000}"/>
    <cellStyle name="Millares 6 3 2 3 4 2" xfId="15202" xr:uid="{00000000-0005-0000-0000-0000A3400000}"/>
    <cellStyle name="Millares 6 3 2 3 4 2 2" xfId="28770" xr:uid="{00000000-0005-0000-0000-0000A4400000}"/>
    <cellStyle name="Millares 6 3 2 3 4 2 2 2" xfId="55903" xr:uid="{00000000-0005-0000-0000-0000A5400000}"/>
    <cellStyle name="Millares 6 3 2 3 4 2 3" xfId="42341" xr:uid="{00000000-0005-0000-0000-0000A6400000}"/>
    <cellStyle name="Millares 6 3 2 3 4 3" xfId="21989" xr:uid="{00000000-0005-0000-0000-0000A7400000}"/>
    <cellStyle name="Millares 6 3 2 3 4 3 2" xfId="49122" xr:uid="{00000000-0005-0000-0000-0000A8400000}"/>
    <cellStyle name="Millares 6 3 2 3 4 4" xfId="35560" xr:uid="{00000000-0005-0000-0000-0000A9400000}"/>
    <cellStyle name="Millares 6 3 2 3 5" xfId="11813" xr:uid="{00000000-0005-0000-0000-0000AA400000}"/>
    <cellStyle name="Millares 6 3 2 3 5 2" xfId="25381" xr:uid="{00000000-0005-0000-0000-0000AB400000}"/>
    <cellStyle name="Millares 6 3 2 3 5 2 2" xfId="52514" xr:uid="{00000000-0005-0000-0000-0000AC400000}"/>
    <cellStyle name="Millares 6 3 2 3 5 3" xfId="38952" xr:uid="{00000000-0005-0000-0000-0000AD400000}"/>
    <cellStyle name="Millares 6 3 2 3 6" xfId="18600" xr:uid="{00000000-0005-0000-0000-0000AE400000}"/>
    <cellStyle name="Millares 6 3 2 3 6 2" xfId="45733" xr:uid="{00000000-0005-0000-0000-0000AF400000}"/>
    <cellStyle name="Millares 6 3 2 3 7" xfId="32171" xr:uid="{00000000-0005-0000-0000-0000B0400000}"/>
    <cellStyle name="Millares 6 3 2 4" xfId="4820" xr:uid="{00000000-0005-0000-0000-0000B1400000}"/>
    <cellStyle name="Millares 6 3 2 4 2" xfId="4821" xr:uid="{00000000-0005-0000-0000-0000B2400000}"/>
    <cellStyle name="Millares 6 3 2 4 2 2" xfId="8416" xr:uid="{00000000-0005-0000-0000-0000B3400000}"/>
    <cellStyle name="Millares 6 3 2 4 2 2 2" xfId="15206" xr:uid="{00000000-0005-0000-0000-0000B4400000}"/>
    <cellStyle name="Millares 6 3 2 4 2 2 2 2" xfId="28774" xr:uid="{00000000-0005-0000-0000-0000B5400000}"/>
    <cellStyle name="Millares 6 3 2 4 2 2 2 2 2" xfId="55907" xr:uid="{00000000-0005-0000-0000-0000B6400000}"/>
    <cellStyle name="Millares 6 3 2 4 2 2 2 3" xfId="42345" xr:uid="{00000000-0005-0000-0000-0000B7400000}"/>
    <cellStyle name="Millares 6 3 2 4 2 2 3" xfId="21993" xr:uid="{00000000-0005-0000-0000-0000B8400000}"/>
    <cellStyle name="Millares 6 3 2 4 2 2 3 2" xfId="49126" xr:uid="{00000000-0005-0000-0000-0000B9400000}"/>
    <cellStyle name="Millares 6 3 2 4 2 2 4" xfId="35564" xr:uid="{00000000-0005-0000-0000-0000BA400000}"/>
    <cellStyle name="Millares 6 3 2 4 2 3" xfId="11817" xr:uid="{00000000-0005-0000-0000-0000BB400000}"/>
    <cellStyle name="Millares 6 3 2 4 2 3 2" xfId="25385" xr:uid="{00000000-0005-0000-0000-0000BC400000}"/>
    <cellStyle name="Millares 6 3 2 4 2 3 2 2" xfId="52518" xr:uid="{00000000-0005-0000-0000-0000BD400000}"/>
    <cellStyle name="Millares 6 3 2 4 2 3 3" xfId="38956" xr:uid="{00000000-0005-0000-0000-0000BE400000}"/>
    <cellStyle name="Millares 6 3 2 4 2 4" xfId="18604" xr:uid="{00000000-0005-0000-0000-0000BF400000}"/>
    <cellStyle name="Millares 6 3 2 4 2 4 2" xfId="45737" xr:uid="{00000000-0005-0000-0000-0000C0400000}"/>
    <cellStyle name="Millares 6 3 2 4 2 5" xfId="32175" xr:uid="{00000000-0005-0000-0000-0000C1400000}"/>
    <cellStyle name="Millares 6 3 2 4 3" xfId="8415" xr:uid="{00000000-0005-0000-0000-0000C2400000}"/>
    <cellStyle name="Millares 6 3 2 4 3 2" xfId="15205" xr:uid="{00000000-0005-0000-0000-0000C3400000}"/>
    <cellStyle name="Millares 6 3 2 4 3 2 2" xfId="28773" xr:uid="{00000000-0005-0000-0000-0000C4400000}"/>
    <cellStyle name="Millares 6 3 2 4 3 2 2 2" xfId="55906" xr:uid="{00000000-0005-0000-0000-0000C5400000}"/>
    <cellStyle name="Millares 6 3 2 4 3 2 3" xfId="42344" xr:uid="{00000000-0005-0000-0000-0000C6400000}"/>
    <cellStyle name="Millares 6 3 2 4 3 3" xfId="21992" xr:uid="{00000000-0005-0000-0000-0000C7400000}"/>
    <cellStyle name="Millares 6 3 2 4 3 3 2" xfId="49125" xr:uid="{00000000-0005-0000-0000-0000C8400000}"/>
    <cellStyle name="Millares 6 3 2 4 3 4" xfId="35563" xr:uid="{00000000-0005-0000-0000-0000C9400000}"/>
    <cellStyle name="Millares 6 3 2 4 4" xfId="11816" xr:uid="{00000000-0005-0000-0000-0000CA400000}"/>
    <cellStyle name="Millares 6 3 2 4 4 2" xfId="25384" xr:uid="{00000000-0005-0000-0000-0000CB400000}"/>
    <cellStyle name="Millares 6 3 2 4 4 2 2" xfId="52517" xr:uid="{00000000-0005-0000-0000-0000CC400000}"/>
    <cellStyle name="Millares 6 3 2 4 4 3" xfId="38955" xr:uid="{00000000-0005-0000-0000-0000CD400000}"/>
    <cellStyle name="Millares 6 3 2 4 5" xfId="18603" xr:uid="{00000000-0005-0000-0000-0000CE400000}"/>
    <cellStyle name="Millares 6 3 2 4 5 2" xfId="45736" xr:uid="{00000000-0005-0000-0000-0000CF400000}"/>
    <cellStyle name="Millares 6 3 2 4 6" xfId="32174" xr:uid="{00000000-0005-0000-0000-0000D0400000}"/>
    <cellStyle name="Millares 6 3 2 5" xfId="4822" xr:uid="{00000000-0005-0000-0000-0000D1400000}"/>
    <cellStyle name="Millares 6 3 2 5 2" xfId="8417" xr:uid="{00000000-0005-0000-0000-0000D2400000}"/>
    <cellStyle name="Millares 6 3 2 5 2 2" xfId="15207" xr:uid="{00000000-0005-0000-0000-0000D3400000}"/>
    <cellStyle name="Millares 6 3 2 5 2 2 2" xfId="28775" xr:uid="{00000000-0005-0000-0000-0000D4400000}"/>
    <cellStyle name="Millares 6 3 2 5 2 2 2 2" xfId="55908" xr:uid="{00000000-0005-0000-0000-0000D5400000}"/>
    <cellStyle name="Millares 6 3 2 5 2 2 3" xfId="42346" xr:uid="{00000000-0005-0000-0000-0000D6400000}"/>
    <cellStyle name="Millares 6 3 2 5 2 3" xfId="21994" xr:uid="{00000000-0005-0000-0000-0000D7400000}"/>
    <cellStyle name="Millares 6 3 2 5 2 3 2" xfId="49127" xr:uid="{00000000-0005-0000-0000-0000D8400000}"/>
    <cellStyle name="Millares 6 3 2 5 2 4" xfId="35565" xr:uid="{00000000-0005-0000-0000-0000D9400000}"/>
    <cellStyle name="Millares 6 3 2 5 3" xfId="11818" xr:uid="{00000000-0005-0000-0000-0000DA400000}"/>
    <cellStyle name="Millares 6 3 2 5 3 2" xfId="25386" xr:uid="{00000000-0005-0000-0000-0000DB400000}"/>
    <cellStyle name="Millares 6 3 2 5 3 2 2" xfId="52519" xr:uid="{00000000-0005-0000-0000-0000DC400000}"/>
    <cellStyle name="Millares 6 3 2 5 3 3" xfId="38957" xr:uid="{00000000-0005-0000-0000-0000DD400000}"/>
    <cellStyle name="Millares 6 3 2 5 4" xfId="18605" xr:uid="{00000000-0005-0000-0000-0000DE400000}"/>
    <cellStyle name="Millares 6 3 2 5 4 2" xfId="45738" xr:uid="{00000000-0005-0000-0000-0000DF400000}"/>
    <cellStyle name="Millares 6 3 2 5 5" xfId="32176" xr:uid="{00000000-0005-0000-0000-0000E0400000}"/>
    <cellStyle name="Millares 6 3 2 6" xfId="4823" xr:uid="{00000000-0005-0000-0000-0000E1400000}"/>
    <cellStyle name="Millares 6 3 2 6 2" xfId="8418" xr:uid="{00000000-0005-0000-0000-0000E2400000}"/>
    <cellStyle name="Millares 6 3 2 6 2 2" xfId="15208" xr:uid="{00000000-0005-0000-0000-0000E3400000}"/>
    <cellStyle name="Millares 6 3 2 6 2 2 2" xfId="28776" xr:uid="{00000000-0005-0000-0000-0000E4400000}"/>
    <cellStyle name="Millares 6 3 2 6 2 2 2 2" xfId="55909" xr:uid="{00000000-0005-0000-0000-0000E5400000}"/>
    <cellStyle name="Millares 6 3 2 6 2 2 3" xfId="42347" xr:uid="{00000000-0005-0000-0000-0000E6400000}"/>
    <cellStyle name="Millares 6 3 2 6 2 3" xfId="21995" xr:uid="{00000000-0005-0000-0000-0000E7400000}"/>
    <cellStyle name="Millares 6 3 2 6 2 3 2" xfId="49128" xr:uid="{00000000-0005-0000-0000-0000E8400000}"/>
    <cellStyle name="Millares 6 3 2 6 2 4" xfId="35566" xr:uid="{00000000-0005-0000-0000-0000E9400000}"/>
    <cellStyle name="Millares 6 3 2 6 3" xfId="11819" xr:uid="{00000000-0005-0000-0000-0000EA400000}"/>
    <cellStyle name="Millares 6 3 2 6 3 2" xfId="25387" xr:uid="{00000000-0005-0000-0000-0000EB400000}"/>
    <cellStyle name="Millares 6 3 2 6 3 2 2" xfId="52520" xr:uid="{00000000-0005-0000-0000-0000EC400000}"/>
    <cellStyle name="Millares 6 3 2 6 3 3" xfId="38958" xr:uid="{00000000-0005-0000-0000-0000ED400000}"/>
    <cellStyle name="Millares 6 3 2 6 4" xfId="18606" xr:uid="{00000000-0005-0000-0000-0000EE400000}"/>
    <cellStyle name="Millares 6 3 2 6 4 2" xfId="45739" xr:uid="{00000000-0005-0000-0000-0000EF400000}"/>
    <cellStyle name="Millares 6 3 2 6 5" xfId="32177" xr:uid="{00000000-0005-0000-0000-0000F0400000}"/>
    <cellStyle name="Millares 6 3 2 7" xfId="8403" xr:uid="{00000000-0005-0000-0000-0000F1400000}"/>
    <cellStyle name="Millares 6 3 2 7 2" xfId="15193" xr:uid="{00000000-0005-0000-0000-0000F2400000}"/>
    <cellStyle name="Millares 6 3 2 7 2 2" xfId="28761" xr:uid="{00000000-0005-0000-0000-0000F3400000}"/>
    <cellStyle name="Millares 6 3 2 7 2 2 2" xfId="55894" xr:uid="{00000000-0005-0000-0000-0000F4400000}"/>
    <cellStyle name="Millares 6 3 2 7 2 3" xfId="42332" xr:uid="{00000000-0005-0000-0000-0000F5400000}"/>
    <cellStyle name="Millares 6 3 2 7 3" xfId="21980" xr:uid="{00000000-0005-0000-0000-0000F6400000}"/>
    <cellStyle name="Millares 6 3 2 7 3 2" xfId="49113" xr:uid="{00000000-0005-0000-0000-0000F7400000}"/>
    <cellStyle name="Millares 6 3 2 7 4" xfId="35551" xr:uid="{00000000-0005-0000-0000-0000F8400000}"/>
    <cellStyle name="Millares 6 3 2 8" xfId="11804" xr:uid="{00000000-0005-0000-0000-0000F9400000}"/>
    <cellStyle name="Millares 6 3 2 8 2" xfId="25372" xr:uid="{00000000-0005-0000-0000-0000FA400000}"/>
    <cellStyle name="Millares 6 3 2 8 2 2" xfId="52505" xr:uid="{00000000-0005-0000-0000-0000FB400000}"/>
    <cellStyle name="Millares 6 3 2 8 3" xfId="38943" xr:uid="{00000000-0005-0000-0000-0000FC400000}"/>
    <cellStyle name="Millares 6 3 2 9" xfId="18591" xr:uid="{00000000-0005-0000-0000-0000FD400000}"/>
    <cellStyle name="Millares 6 3 2 9 2" xfId="45724" xr:uid="{00000000-0005-0000-0000-0000FE400000}"/>
    <cellStyle name="Millares 6 3 3" xfId="4824" xr:uid="{00000000-0005-0000-0000-0000FF400000}"/>
    <cellStyle name="Millares 6 3 3 2" xfId="4825" xr:uid="{00000000-0005-0000-0000-000000410000}"/>
    <cellStyle name="Millares 6 3 3 2 2" xfId="4826" xr:uid="{00000000-0005-0000-0000-000001410000}"/>
    <cellStyle name="Millares 6 3 3 2 2 2" xfId="8421" xr:uid="{00000000-0005-0000-0000-000002410000}"/>
    <cellStyle name="Millares 6 3 3 2 2 2 2" xfId="15211" xr:uid="{00000000-0005-0000-0000-000003410000}"/>
    <cellStyle name="Millares 6 3 3 2 2 2 2 2" xfId="28779" xr:uid="{00000000-0005-0000-0000-000004410000}"/>
    <cellStyle name="Millares 6 3 3 2 2 2 2 2 2" xfId="55912" xr:uid="{00000000-0005-0000-0000-000005410000}"/>
    <cellStyle name="Millares 6 3 3 2 2 2 2 3" xfId="42350" xr:uid="{00000000-0005-0000-0000-000006410000}"/>
    <cellStyle name="Millares 6 3 3 2 2 2 3" xfId="21998" xr:uid="{00000000-0005-0000-0000-000007410000}"/>
    <cellStyle name="Millares 6 3 3 2 2 2 3 2" xfId="49131" xr:uid="{00000000-0005-0000-0000-000008410000}"/>
    <cellStyle name="Millares 6 3 3 2 2 2 4" xfId="35569" xr:uid="{00000000-0005-0000-0000-000009410000}"/>
    <cellStyle name="Millares 6 3 3 2 2 3" xfId="11822" xr:uid="{00000000-0005-0000-0000-00000A410000}"/>
    <cellStyle name="Millares 6 3 3 2 2 3 2" xfId="25390" xr:uid="{00000000-0005-0000-0000-00000B410000}"/>
    <cellStyle name="Millares 6 3 3 2 2 3 2 2" xfId="52523" xr:uid="{00000000-0005-0000-0000-00000C410000}"/>
    <cellStyle name="Millares 6 3 3 2 2 3 3" xfId="38961" xr:uid="{00000000-0005-0000-0000-00000D410000}"/>
    <cellStyle name="Millares 6 3 3 2 2 4" xfId="18609" xr:uid="{00000000-0005-0000-0000-00000E410000}"/>
    <cellStyle name="Millares 6 3 3 2 2 4 2" xfId="45742" xr:uid="{00000000-0005-0000-0000-00000F410000}"/>
    <cellStyle name="Millares 6 3 3 2 2 5" xfId="32180" xr:uid="{00000000-0005-0000-0000-000010410000}"/>
    <cellStyle name="Millares 6 3 3 2 3" xfId="4827" xr:uid="{00000000-0005-0000-0000-000011410000}"/>
    <cellStyle name="Millares 6 3 3 2 3 2" xfId="8422" xr:uid="{00000000-0005-0000-0000-000012410000}"/>
    <cellStyle name="Millares 6 3 3 2 3 2 2" xfId="15212" xr:uid="{00000000-0005-0000-0000-000013410000}"/>
    <cellStyle name="Millares 6 3 3 2 3 2 2 2" xfId="28780" xr:uid="{00000000-0005-0000-0000-000014410000}"/>
    <cellStyle name="Millares 6 3 3 2 3 2 2 2 2" xfId="55913" xr:uid="{00000000-0005-0000-0000-000015410000}"/>
    <cellStyle name="Millares 6 3 3 2 3 2 2 3" xfId="42351" xr:uid="{00000000-0005-0000-0000-000016410000}"/>
    <cellStyle name="Millares 6 3 3 2 3 2 3" xfId="21999" xr:uid="{00000000-0005-0000-0000-000017410000}"/>
    <cellStyle name="Millares 6 3 3 2 3 2 3 2" xfId="49132" xr:uid="{00000000-0005-0000-0000-000018410000}"/>
    <cellStyle name="Millares 6 3 3 2 3 2 4" xfId="35570" xr:uid="{00000000-0005-0000-0000-000019410000}"/>
    <cellStyle name="Millares 6 3 3 2 3 3" xfId="11823" xr:uid="{00000000-0005-0000-0000-00001A410000}"/>
    <cellStyle name="Millares 6 3 3 2 3 3 2" xfId="25391" xr:uid="{00000000-0005-0000-0000-00001B410000}"/>
    <cellStyle name="Millares 6 3 3 2 3 3 2 2" xfId="52524" xr:uid="{00000000-0005-0000-0000-00001C410000}"/>
    <cellStyle name="Millares 6 3 3 2 3 3 3" xfId="38962" xr:uid="{00000000-0005-0000-0000-00001D410000}"/>
    <cellStyle name="Millares 6 3 3 2 3 4" xfId="18610" xr:uid="{00000000-0005-0000-0000-00001E410000}"/>
    <cellStyle name="Millares 6 3 3 2 3 4 2" xfId="45743" xr:uid="{00000000-0005-0000-0000-00001F410000}"/>
    <cellStyle name="Millares 6 3 3 2 3 5" xfId="32181" xr:uid="{00000000-0005-0000-0000-000020410000}"/>
    <cellStyle name="Millares 6 3 3 2 4" xfId="8420" xr:uid="{00000000-0005-0000-0000-000021410000}"/>
    <cellStyle name="Millares 6 3 3 2 4 2" xfId="15210" xr:uid="{00000000-0005-0000-0000-000022410000}"/>
    <cellStyle name="Millares 6 3 3 2 4 2 2" xfId="28778" xr:uid="{00000000-0005-0000-0000-000023410000}"/>
    <cellStyle name="Millares 6 3 3 2 4 2 2 2" xfId="55911" xr:uid="{00000000-0005-0000-0000-000024410000}"/>
    <cellStyle name="Millares 6 3 3 2 4 2 3" xfId="42349" xr:uid="{00000000-0005-0000-0000-000025410000}"/>
    <cellStyle name="Millares 6 3 3 2 4 3" xfId="21997" xr:uid="{00000000-0005-0000-0000-000026410000}"/>
    <cellStyle name="Millares 6 3 3 2 4 3 2" xfId="49130" xr:uid="{00000000-0005-0000-0000-000027410000}"/>
    <cellStyle name="Millares 6 3 3 2 4 4" xfId="35568" xr:uid="{00000000-0005-0000-0000-000028410000}"/>
    <cellStyle name="Millares 6 3 3 2 5" xfId="11821" xr:uid="{00000000-0005-0000-0000-000029410000}"/>
    <cellStyle name="Millares 6 3 3 2 5 2" xfId="25389" xr:uid="{00000000-0005-0000-0000-00002A410000}"/>
    <cellStyle name="Millares 6 3 3 2 5 2 2" xfId="52522" xr:uid="{00000000-0005-0000-0000-00002B410000}"/>
    <cellStyle name="Millares 6 3 3 2 5 3" xfId="38960" xr:uid="{00000000-0005-0000-0000-00002C410000}"/>
    <cellStyle name="Millares 6 3 3 2 6" xfId="18608" xr:uid="{00000000-0005-0000-0000-00002D410000}"/>
    <cellStyle name="Millares 6 3 3 2 6 2" xfId="45741" xr:uid="{00000000-0005-0000-0000-00002E410000}"/>
    <cellStyle name="Millares 6 3 3 2 7" xfId="32179" xr:uid="{00000000-0005-0000-0000-00002F410000}"/>
    <cellStyle name="Millares 6 3 3 3" xfId="4828" xr:uid="{00000000-0005-0000-0000-000030410000}"/>
    <cellStyle name="Millares 6 3 3 3 2" xfId="4829" xr:uid="{00000000-0005-0000-0000-000031410000}"/>
    <cellStyle name="Millares 6 3 3 3 2 2" xfId="8424" xr:uid="{00000000-0005-0000-0000-000032410000}"/>
    <cellStyle name="Millares 6 3 3 3 2 2 2" xfId="15214" xr:uid="{00000000-0005-0000-0000-000033410000}"/>
    <cellStyle name="Millares 6 3 3 3 2 2 2 2" xfId="28782" xr:uid="{00000000-0005-0000-0000-000034410000}"/>
    <cellStyle name="Millares 6 3 3 3 2 2 2 2 2" xfId="55915" xr:uid="{00000000-0005-0000-0000-000035410000}"/>
    <cellStyle name="Millares 6 3 3 3 2 2 2 3" xfId="42353" xr:uid="{00000000-0005-0000-0000-000036410000}"/>
    <cellStyle name="Millares 6 3 3 3 2 2 3" xfId="22001" xr:uid="{00000000-0005-0000-0000-000037410000}"/>
    <cellStyle name="Millares 6 3 3 3 2 2 3 2" xfId="49134" xr:uid="{00000000-0005-0000-0000-000038410000}"/>
    <cellStyle name="Millares 6 3 3 3 2 2 4" xfId="35572" xr:uid="{00000000-0005-0000-0000-000039410000}"/>
    <cellStyle name="Millares 6 3 3 3 2 3" xfId="11825" xr:uid="{00000000-0005-0000-0000-00003A410000}"/>
    <cellStyle name="Millares 6 3 3 3 2 3 2" xfId="25393" xr:uid="{00000000-0005-0000-0000-00003B410000}"/>
    <cellStyle name="Millares 6 3 3 3 2 3 2 2" xfId="52526" xr:uid="{00000000-0005-0000-0000-00003C410000}"/>
    <cellStyle name="Millares 6 3 3 3 2 3 3" xfId="38964" xr:uid="{00000000-0005-0000-0000-00003D410000}"/>
    <cellStyle name="Millares 6 3 3 3 2 4" xfId="18612" xr:uid="{00000000-0005-0000-0000-00003E410000}"/>
    <cellStyle name="Millares 6 3 3 3 2 4 2" xfId="45745" xr:uid="{00000000-0005-0000-0000-00003F410000}"/>
    <cellStyle name="Millares 6 3 3 3 2 5" xfId="32183" xr:uid="{00000000-0005-0000-0000-000040410000}"/>
    <cellStyle name="Millares 6 3 3 3 3" xfId="8423" xr:uid="{00000000-0005-0000-0000-000041410000}"/>
    <cellStyle name="Millares 6 3 3 3 3 2" xfId="15213" xr:uid="{00000000-0005-0000-0000-000042410000}"/>
    <cellStyle name="Millares 6 3 3 3 3 2 2" xfId="28781" xr:uid="{00000000-0005-0000-0000-000043410000}"/>
    <cellStyle name="Millares 6 3 3 3 3 2 2 2" xfId="55914" xr:uid="{00000000-0005-0000-0000-000044410000}"/>
    <cellStyle name="Millares 6 3 3 3 3 2 3" xfId="42352" xr:uid="{00000000-0005-0000-0000-000045410000}"/>
    <cellStyle name="Millares 6 3 3 3 3 3" xfId="22000" xr:uid="{00000000-0005-0000-0000-000046410000}"/>
    <cellStyle name="Millares 6 3 3 3 3 3 2" xfId="49133" xr:uid="{00000000-0005-0000-0000-000047410000}"/>
    <cellStyle name="Millares 6 3 3 3 3 4" xfId="35571" xr:uid="{00000000-0005-0000-0000-000048410000}"/>
    <cellStyle name="Millares 6 3 3 3 4" xfId="11824" xr:uid="{00000000-0005-0000-0000-000049410000}"/>
    <cellStyle name="Millares 6 3 3 3 4 2" xfId="25392" xr:uid="{00000000-0005-0000-0000-00004A410000}"/>
    <cellStyle name="Millares 6 3 3 3 4 2 2" xfId="52525" xr:uid="{00000000-0005-0000-0000-00004B410000}"/>
    <cellStyle name="Millares 6 3 3 3 4 3" xfId="38963" xr:uid="{00000000-0005-0000-0000-00004C410000}"/>
    <cellStyle name="Millares 6 3 3 3 5" xfId="18611" xr:uid="{00000000-0005-0000-0000-00004D410000}"/>
    <cellStyle name="Millares 6 3 3 3 5 2" xfId="45744" xr:uid="{00000000-0005-0000-0000-00004E410000}"/>
    <cellStyle name="Millares 6 3 3 3 6" xfId="32182" xr:uid="{00000000-0005-0000-0000-00004F410000}"/>
    <cellStyle name="Millares 6 3 3 4" xfId="4830" xr:uid="{00000000-0005-0000-0000-000050410000}"/>
    <cellStyle name="Millares 6 3 3 4 2" xfId="8425" xr:uid="{00000000-0005-0000-0000-000051410000}"/>
    <cellStyle name="Millares 6 3 3 4 2 2" xfId="15215" xr:uid="{00000000-0005-0000-0000-000052410000}"/>
    <cellStyle name="Millares 6 3 3 4 2 2 2" xfId="28783" xr:uid="{00000000-0005-0000-0000-000053410000}"/>
    <cellStyle name="Millares 6 3 3 4 2 2 2 2" xfId="55916" xr:uid="{00000000-0005-0000-0000-000054410000}"/>
    <cellStyle name="Millares 6 3 3 4 2 2 3" xfId="42354" xr:uid="{00000000-0005-0000-0000-000055410000}"/>
    <cellStyle name="Millares 6 3 3 4 2 3" xfId="22002" xr:uid="{00000000-0005-0000-0000-000056410000}"/>
    <cellStyle name="Millares 6 3 3 4 2 3 2" xfId="49135" xr:uid="{00000000-0005-0000-0000-000057410000}"/>
    <cellStyle name="Millares 6 3 3 4 2 4" xfId="35573" xr:uid="{00000000-0005-0000-0000-000058410000}"/>
    <cellStyle name="Millares 6 3 3 4 3" xfId="11826" xr:uid="{00000000-0005-0000-0000-000059410000}"/>
    <cellStyle name="Millares 6 3 3 4 3 2" xfId="25394" xr:uid="{00000000-0005-0000-0000-00005A410000}"/>
    <cellStyle name="Millares 6 3 3 4 3 2 2" xfId="52527" xr:uid="{00000000-0005-0000-0000-00005B410000}"/>
    <cellStyle name="Millares 6 3 3 4 3 3" xfId="38965" xr:uid="{00000000-0005-0000-0000-00005C410000}"/>
    <cellStyle name="Millares 6 3 3 4 4" xfId="18613" xr:uid="{00000000-0005-0000-0000-00005D410000}"/>
    <cellStyle name="Millares 6 3 3 4 4 2" xfId="45746" xr:uid="{00000000-0005-0000-0000-00005E410000}"/>
    <cellStyle name="Millares 6 3 3 4 5" xfId="32184" xr:uid="{00000000-0005-0000-0000-00005F410000}"/>
    <cellStyle name="Millares 6 3 3 5" xfId="4831" xr:uid="{00000000-0005-0000-0000-000060410000}"/>
    <cellStyle name="Millares 6 3 3 5 2" xfId="8426" xr:uid="{00000000-0005-0000-0000-000061410000}"/>
    <cellStyle name="Millares 6 3 3 5 2 2" xfId="15216" xr:uid="{00000000-0005-0000-0000-000062410000}"/>
    <cellStyle name="Millares 6 3 3 5 2 2 2" xfId="28784" xr:uid="{00000000-0005-0000-0000-000063410000}"/>
    <cellStyle name="Millares 6 3 3 5 2 2 2 2" xfId="55917" xr:uid="{00000000-0005-0000-0000-000064410000}"/>
    <cellStyle name="Millares 6 3 3 5 2 2 3" xfId="42355" xr:uid="{00000000-0005-0000-0000-000065410000}"/>
    <cellStyle name="Millares 6 3 3 5 2 3" xfId="22003" xr:uid="{00000000-0005-0000-0000-000066410000}"/>
    <cellStyle name="Millares 6 3 3 5 2 3 2" xfId="49136" xr:uid="{00000000-0005-0000-0000-000067410000}"/>
    <cellStyle name="Millares 6 3 3 5 2 4" xfId="35574" xr:uid="{00000000-0005-0000-0000-000068410000}"/>
    <cellStyle name="Millares 6 3 3 5 3" xfId="11827" xr:uid="{00000000-0005-0000-0000-000069410000}"/>
    <cellStyle name="Millares 6 3 3 5 3 2" xfId="25395" xr:uid="{00000000-0005-0000-0000-00006A410000}"/>
    <cellStyle name="Millares 6 3 3 5 3 2 2" xfId="52528" xr:uid="{00000000-0005-0000-0000-00006B410000}"/>
    <cellStyle name="Millares 6 3 3 5 3 3" xfId="38966" xr:uid="{00000000-0005-0000-0000-00006C410000}"/>
    <cellStyle name="Millares 6 3 3 5 4" xfId="18614" xr:uid="{00000000-0005-0000-0000-00006D410000}"/>
    <cellStyle name="Millares 6 3 3 5 4 2" xfId="45747" xr:uid="{00000000-0005-0000-0000-00006E410000}"/>
    <cellStyle name="Millares 6 3 3 5 5" xfId="32185" xr:uid="{00000000-0005-0000-0000-00006F410000}"/>
    <cellStyle name="Millares 6 3 3 6" xfId="8419" xr:uid="{00000000-0005-0000-0000-000070410000}"/>
    <cellStyle name="Millares 6 3 3 6 2" xfId="15209" xr:uid="{00000000-0005-0000-0000-000071410000}"/>
    <cellStyle name="Millares 6 3 3 6 2 2" xfId="28777" xr:uid="{00000000-0005-0000-0000-000072410000}"/>
    <cellStyle name="Millares 6 3 3 6 2 2 2" xfId="55910" xr:uid="{00000000-0005-0000-0000-000073410000}"/>
    <cellStyle name="Millares 6 3 3 6 2 3" xfId="42348" xr:uid="{00000000-0005-0000-0000-000074410000}"/>
    <cellStyle name="Millares 6 3 3 6 3" xfId="21996" xr:uid="{00000000-0005-0000-0000-000075410000}"/>
    <cellStyle name="Millares 6 3 3 6 3 2" xfId="49129" xr:uid="{00000000-0005-0000-0000-000076410000}"/>
    <cellStyle name="Millares 6 3 3 6 4" xfId="35567" xr:uid="{00000000-0005-0000-0000-000077410000}"/>
    <cellStyle name="Millares 6 3 3 7" xfId="11820" xr:uid="{00000000-0005-0000-0000-000078410000}"/>
    <cellStyle name="Millares 6 3 3 7 2" xfId="25388" xr:uid="{00000000-0005-0000-0000-000079410000}"/>
    <cellStyle name="Millares 6 3 3 7 2 2" xfId="52521" xr:uid="{00000000-0005-0000-0000-00007A410000}"/>
    <cellStyle name="Millares 6 3 3 7 3" xfId="38959" xr:uid="{00000000-0005-0000-0000-00007B410000}"/>
    <cellStyle name="Millares 6 3 3 8" xfId="18607" xr:uid="{00000000-0005-0000-0000-00007C410000}"/>
    <cellStyle name="Millares 6 3 3 8 2" xfId="45740" xr:uid="{00000000-0005-0000-0000-00007D410000}"/>
    <cellStyle name="Millares 6 3 3 9" xfId="32178" xr:uid="{00000000-0005-0000-0000-00007E410000}"/>
    <cellStyle name="Millares 6 3 4" xfId="4832" xr:uid="{00000000-0005-0000-0000-00007F410000}"/>
    <cellStyle name="Millares 6 3 4 2" xfId="4833" xr:uid="{00000000-0005-0000-0000-000080410000}"/>
    <cellStyle name="Millares 6 3 4 2 2" xfId="4834" xr:uid="{00000000-0005-0000-0000-000081410000}"/>
    <cellStyle name="Millares 6 3 4 2 2 2" xfId="8429" xr:uid="{00000000-0005-0000-0000-000082410000}"/>
    <cellStyle name="Millares 6 3 4 2 2 2 2" xfId="15219" xr:uid="{00000000-0005-0000-0000-000083410000}"/>
    <cellStyle name="Millares 6 3 4 2 2 2 2 2" xfId="28787" xr:uid="{00000000-0005-0000-0000-000084410000}"/>
    <cellStyle name="Millares 6 3 4 2 2 2 2 2 2" xfId="55920" xr:uid="{00000000-0005-0000-0000-000085410000}"/>
    <cellStyle name="Millares 6 3 4 2 2 2 2 3" xfId="42358" xr:uid="{00000000-0005-0000-0000-000086410000}"/>
    <cellStyle name="Millares 6 3 4 2 2 2 3" xfId="22006" xr:uid="{00000000-0005-0000-0000-000087410000}"/>
    <cellStyle name="Millares 6 3 4 2 2 2 3 2" xfId="49139" xr:uid="{00000000-0005-0000-0000-000088410000}"/>
    <cellStyle name="Millares 6 3 4 2 2 2 4" xfId="35577" xr:uid="{00000000-0005-0000-0000-000089410000}"/>
    <cellStyle name="Millares 6 3 4 2 2 3" xfId="11830" xr:uid="{00000000-0005-0000-0000-00008A410000}"/>
    <cellStyle name="Millares 6 3 4 2 2 3 2" xfId="25398" xr:uid="{00000000-0005-0000-0000-00008B410000}"/>
    <cellStyle name="Millares 6 3 4 2 2 3 2 2" xfId="52531" xr:uid="{00000000-0005-0000-0000-00008C410000}"/>
    <cellStyle name="Millares 6 3 4 2 2 3 3" xfId="38969" xr:uid="{00000000-0005-0000-0000-00008D410000}"/>
    <cellStyle name="Millares 6 3 4 2 2 4" xfId="18617" xr:uid="{00000000-0005-0000-0000-00008E410000}"/>
    <cellStyle name="Millares 6 3 4 2 2 4 2" xfId="45750" xr:uid="{00000000-0005-0000-0000-00008F410000}"/>
    <cellStyle name="Millares 6 3 4 2 2 5" xfId="32188" xr:uid="{00000000-0005-0000-0000-000090410000}"/>
    <cellStyle name="Millares 6 3 4 2 3" xfId="4835" xr:uid="{00000000-0005-0000-0000-000091410000}"/>
    <cellStyle name="Millares 6 3 4 2 3 2" xfId="8430" xr:uid="{00000000-0005-0000-0000-000092410000}"/>
    <cellStyle name="Millares 6 3 4 2 3 2 2" xfId="15220" xr:uid="{00000000-0005-0000-0000-000093410000}"/>
    <cellStyle name="Millares 6 3 4 2 3 2 2 2" xfId="28788" xr:uid="{00000000-0005-0000-0000-000094410000}"/>
    <cellStyle name="Millares 6 3 4 2 3 2 2 2 2" xfId="55921" xr:uid="{00000000-0005-0000-0000-000095410000}"/>
    <cellStyle name="Millares 6 3 4 2 3 2 2 3" xfId="42359" xr:uid="{00000000-0005-0000-0000-000096410000}"/>
    <cellStyle name="Millares 6 3 4 2 3 2 3" xfId="22007" xr:uid="{00000000-0005-0000-0000-000097410000}"/>
    <cellStyle name="Millares 6 3 4 2 3 2 3 2" xfId="49140" xr:uid="{00000000-0005-0000-0000-000098410000}"/>
    <cellStyle name="Millares 6 3 4 2 3 2 4" xfId="35578" xr:uid="{00000000-0005-0000-0000-000099410000}"/>
    <cellStyle name="Millares 6 3 4 2 3 3" xfId="11831" xr:uid="{00000000-0005-0000-0000-00009A410000}"/>
    <cellStyle name="Millares 6 3 4 2 3 3 2" xfId="25399" xr:uid="{00000000-0005-0000-0000-00009B410000}"/>
    <cellStyle name="Millares 6 3 4 2 3 3 2 2" xfId="52532" xr:uid="{00000000-0005-0000-0000-00009C410000}"/>
    <cellStyle name="Millares 6 3 4 2 3 3 3" xfId="38970" xr:uid="{00000000-0005-0000-0000-00009D410000}"/>
    <cellStyle name="Millares 6 3 4 2 3 4" xfId="18618" xr:uid="{00000000-0005-0000-0000-00009E410000}"/>
    <cellStyle name="Millares 6 3 4 2 3 4 2" xfId="45751" xr:uid="{00000000-0005-0000-0000-00009F410000}"/>
    <cellStyle name="Millares 6 3 4 2 3 5" xfId="32189" xr:uid="{00000000-0005-0000-0000-0000A0410000}"/>
    <cellStyle name="Millares 6 3 4 2 4" xfId="8428" xr:uid="{00000000-0005-0000-0000-0000A1410000}"/>
    <cellStyle name="Millares 6 3 4 2 4 2" xfId="15218" xr:uid="{00000000-0005-0000-0000-0000A2410000}"/>
    <cellStyle name="Millares 6 3 4 2 4 2 2" xfId="28786" xr:uid="{00000000-0005-0000-0000-0000A3410000}"/>
    <cellStyle name="Millares 6 3 4 2 4 2 2 2" xfId="55919" xr:uid="{00000000-0005-0000-0000-0000A4410000}"/>
    <cellStyle name="Millares 6 3 4 2 4 2 3" xfId="42357" xr:uid="{00000000-0005-0000-0000-0000A5410000}"/>
    <cellStyle name="Millares 6 3 4 2 4 3" xfId="22005" xr:uid="{00000000-0005-0000-0000-0000A6410000}"/>
    <cellStyle name="Millares 6 3 4 2 4 3 2" xfId="49138" xr:uid="{00000000-0005-0000-0000-0000A7410000}"/>
    <cellStyle name="Millares 6 3 4 2 4 4" xfId="35576" xr:uid="{00000000-0005-0000-0000-0000A8410000}"/>
    <cellStyle name="Millares 6 3 4 2 5" xfId="11829" xr:uid="{00000000-0005-0000-0000-0000A9410000}"/>
    <cellStyle name="Millares 6 3 4 2 5 2" xfId="25397" xr:uid="{00000000-0005-0000-0000-0000AA410000}"/>
    <cellStyle name="Millares 6 3 4 2 5 2 2" xfId="52530" xr:uid="{00000000-0005-0000-0000-0000AB410000}"/>
    <cellStyle name="Millares 6 3 4 2 5 3" xfId="38968" xr:uid="{00000000-0005-0000-0000-0000AC410000}"/>
    <cellStyle name="Millares 6 3 4 2 6" xfId="18616" xr:uid="{00000000-0005-0000-0000-0000AD410000}"/>
    <cellStyle name="Millares 6 3 4 2 6 2" xfId="45749" xr:uid="{00000000-0005-0000-0000-0000AE410000}"/>
    <cellStyle name="Millares 6 3 4 2 7" xfId="32187" xr:uid="{00000000-0005-0000-0000-0000AF410000}"/>
    <cellStyle name="Millares 6 3 4 3" xfId="4836" xr:uid="{00000000-0005-0000-0000-0000B0410000}"/>
    <cellStyle name="Millares 6 3 4 3 2" xfId="8431" xr:uid="{00000000-0005-0000-0000-0000B1410000}"/>
    <cellStyle name="Millares 6 3 4 3 2 2" xfId="15221" xr:uid="{00000000-0005-0000-0000-0000B2410000}"/>
    <cellStyle name="Millares 6 3 4 3 2 2 2" xfId="28789" xr:uid="{00000000-0005-0000-0000-0000B3410000}"/>
    <cellStyle name="Millares 6 3 4 3 2 2 2 2" xfId="55922" xr:uid="{00000000-0005-0000-0000-0000B4410000}"/>
    <cellStyle name="Millares 6 3 4 3 2 2 3" xfId="42360" xr:uid="{00000000-0005-0000-0000-0000B5410000}"/>
    <cellStyle name="Millares 6 3 4 3 2 3" xfId="22008" xr:uid="{00000000-0005-0000-0000-0000B6410000}"/>
    <cellStyle name="Millares 6 3 4 3 2 3 2" xfId="49141" xr:uid="{00000000-0005-0000-0000-0000B7410000}"/>
    <cellStyle name="Millares 6 3 4 3 2 4" xfId="35579" xr:uid="{00000000-0005-0000-0000-0000B8410000}"/>
    <cellStyle name="Millares 6 3 4 3 3" xfId="11832" xr:uid="{00000000-0005-0000-0000-0000B9410000}"/>
    <cellStyle name="Millares 6 3 4 3 3 2" xfId="25400" xr:uid="{00000000-0005-0000-0000-0000BA410000}"/>
    <cellStyle name="Millares 6 3 4 3 3 2 2" xfId="52533" xr:uid="{00000000-0005-0000-0000-0000BB410000}"/>
    <cellStyle name="Millares 6 3 4 3 3 3" xfId="38971" xr:uid="{00000000-0005-0000-0000-0000BC410000}"/>
    <cellStyle name="Millares 6 3 4 3 4" xfId="18619" xr:uid="{00000000-0005-0000-0000-0000BD410000}"/>
    <cellStyle name="Millares 6 3 4 3 4 2" xfId="45752" xr:uid="{00000000-0005-0000-0000-0000BE410000}"/>
    <cellStyle name="Millares 6 3 4 3 5" xfId="32190" xr:uid="{00000000-0005-0000-0000-0000BF410000}"/>
    <cellStyle name="Millares 6 3 4 4" xfId="4837" xr:uid="{00000000-0005-0000-0000-0000C0410000}"/>
    <cellStyle name="Millares 6 3 4 4 2" xfId="8432" xr:uid="{00000000-0005-0000-0000-0000C1410000}"/>
    <cellStyle name="Millares 6 3 4 4 2 2" xfId="15222" xr:uid="{00000000-0005-0000-0000-0000C2410000}"/>
    <cellStyle name="Millares 6 3 4 4 2 2 2" xfId="28790" xr:uid="{00000000-0005-0000-0000-0000C3410000}"/>
    <cellStyle name="Millares 6 3 4 4 2 2 2 2" xfId="55923" xr:uid="{00000000-0005-0000-0000-0000C4410000}"/>
    <cellStyle name="Millares 6 3 4 4 2 2 3" xfId="42361" xr:uid="{00000000-0005-0000-0000-0000C5410000}"/>
    <cellStyle name="Millares 6 3 4 4 2 3" xfId="22009" xr:uid="{00000000-0005-0000-0000-0000C6410000}"/>
    <cellStyle name="Millares 6 3 4 4 2 3 2" xfId="49142" xr:uid="{00000000-0005-0000-0000-0000C7410000}"/>
    <cellStyle name="Millares 6 3 4 4 2 4" xfId="35580" xr:uid="{00000000-0005-0000-0000-0000C8410000}"/>
    <cellStyle name="Millares 6 3 4 4 3" xfId="11833" xr:uid="{00000000-0005-0000-0000-0000C9410000}"/>
    <cellStyle name="Millares 6 3 4 4 3 2" xfId="25401" xr:uid="{00000000-0005-0000-0000-0000CA410000}"/>
    <cellStyle name="Millares 6 3 4 4 3 2 2" xfId="52534" xr:uid="{00000000-0005-0000-0000-0000CB410000}"/>
    <cellStyle name="Millares 6 3 4 4 3 3" xfId="38972" xr:uid="{00000000-0005-0000-0000-0000CC410000}"/>
    <cellStyle name="Millares 6 3 4 4 4" xfId="18620" xr:uid="{00000000-0005-0000-0000-0000CD410000}"/>
    <cellStyle name="Millares 6 3 4 4 4 2" xfId="45753" xr:uid="{00000000-0005-0000-0000-0000CE410000}"/>
    <cellStyle name="Millares 6 3 4 4 5" xfId="32191" xr:uid="{00000000-0005-0000-0000-0000CF410000}"/>
    <cellStyle name="Millares 6 3 4 5" xfId="8427" xr:uid="{00000000-0005-0000-0000-0000D0410000}"/>
    <cellStyle name="Millares 6 3 4 5 2" xfId="15217" xr:uid="{00000000-0005-0000-0000-0000D1410000}"/>
    <cellStyle name="Millares 6 3 4 5 2 2" xfId="28785" xr:uid="{00000000-0005-0000-0000-0000D2410000}"/>
    <cellStyle name="Millares 6 3 4 5 2 2 2" xfId="55918" xr:uid="{00000000-0005-0000-0000-0000D3410000}"/>
    <cellStyle name="Millares 6 3 4 5 2 3" xfId="42356" xr:uid="{00000000-0005-0000-0000-0000D4410000}"/>
    <cellStyle name="Millares 6 3 4 5 3" xfId="22004" xr:uid="{00000000-0005-0000-0000-0000D5410000}"/>
    <cellStyle name="Millares 6 3 4 5 3 2" xfId="49137" xr:uid="{00000000-0005-0000-0000-0000D6410000}"/>
    <cellStyle name="Millares 6 3 4 5 4" xfId="35575" xr:uid="{00000000-0005-0000-0000-0000D7410000}"/>
    <cellStyle name="Millares 6 3 4 6" xfId="11828" xr:uid="{00000000-0005-0000-0000-0000D8410000}"/>
    <cellStyle name="Millares 6 3 4 6 2" xfId="25396" xr:uid="{00000000-0005-0000-0000-0000D9410000}"/>
    <cellStyle name="Millares 6 3 4 6 2 2" xfId="52529" xr:uid="{00000000-0005-0000-0000-0000DA410000}"/>
    <cellStyle name="Millares 6 3 4 6 3" xfId="38967" xr:uid="{00000000-0005-0000-0000-0000DB410000}"/>
    <cellStyle name="Millares 6 3 4 7" xfId="18615" xr:uid="{00000000-0005-0000-0000-0000DC410000}"/>
    <cellStyle name="Millares 6 3 4 7 2" xfId="45748" xr:uid="{00000000-0005-0000-0000-0000DD410000}"/>
    <cellStyle name="Millares 6 3 4 8" xfId="32186" xr:uid="{00000000-0005-0000-0000-0000DE410000}"/>
    <cellStyle name="Millares 6 3 5" xfId="4838" xr:uid="{00000000-0005-0000-0000-0000DF410000}"/>
    <cellStyle name="Millares 6 3 5 2" xfId="4839" xr:uid="{00000000-0005-0000-0000-0000E0410000}"/>
    <cellStyle name="Millares 6 3 5 2 2" xfId="8434" xr:uid="{00000000-0005-0000-0000-0000E1410000}"/>
    <cellStyle name="Millares 6 3 5 2 2 2" xfId="15224" xr:uid="{00000000-0005-0000-0000-0000E2410000}"/>
    <cellStyle name="Millares 6 3 5 2 2 2 2" xfId="28792" xr:uid="{00000000-0005-0000-0000-0000E3410000}"/>
    <cellStyle name="Millares 6 3 5 2 2 2 2 2" xfId="55925" xr:uid="{00000000-0005-0000-0000-0000E4410000}"/>
    <cellStyle name="Millares 6 3 5 2 2 2 3" xfId="42363" xr:uid="{00000000-0005-0000-0000-0000E5410000}"/>
    <cellStyle name="Millares 6 3 5 2 2 3" xfId="22011" xr:uid="{00000000-0005-0000-0000-0000E6410000}"/>
    <cellStyle name="Millares 6 3 5 2 2 3 2" xfId="49144" xr:uid="{00000000-0005-0000-0000-0000E7410000}"/>
    <cellStyle name="Millares 6 3 5 2 2 4" xfId="35582" xr:uid="{00000000-0005-0000-0000-0000E8410000}"/>
    <cellStyle name="Millares 6 3 5 2 3" xfId="11835" xr:uid="{00000000-0005-0000-0000-0000E9410000}"/>
    <cellStyle name="Millares 6 3 5 2 3 2" xfId="25403" xr:uid="{00000000-0005-0000-0000-0000EA410000}"/>
    <cellStyle name="Millares 6 3 5 2 3 2 2" xfId="52536" xr:uid="{00000000-0005-0000-0000-0000EB410000}"/>
    <cellStyle name="Millares 6 3 5 2 3 3" xfId="38974" xr:uid="{00000000-0005-0000-0000-0000EC410000}"/>
    <cellStyle name="Millares 6 3 5 2 4" xfId="18622" xr:uid="{00000000-0005-0000-0000-0000ED410000}"/>
    <cellStyle name="Millares 6 3 5 2 4 2" xfId="45755" xr:uid="{00000000-0005-0000-0000-0000EE410000}"/>
    <cellStyle name="Millares 6 3 5 2 5" xfId="32193" xr:uid="{00000000-0005-0000-0000-0000EF410000}"/>
    <cellStyle name="Millares 6 3 5 3" xfId="4840" xr:uid="{00000000-0005-0000-0000-0000F0410000}"/>
    <cellStyle name="Millares 6 3 5 3 2" xfId="8435" xr:uid="{00000000-0005-0000-0000-0000F1410000}"/>
    <cellStyle name="Millares 6 3 5 3 2 2" xfId="15225" xr:uid="{00000000-0005-0000-0000-0000F2410000}"/>
    <cellStyle name="Millares 6 3 5 3 2 2 2" xfId="28793" xr:uid="{00000000-0005-0000-0000-0000F3410000}"/>
    <cellStyle name="Millares 6 3 5 3 2 2 2 2" xfId="55926" xr:uid="{00000000-0005-0000-0000-0000F4410000}"/>
    <cellStyle name="Millares 6 3 5 3 2 2 3" xfId="42364" xr:uid="{00000000-0005-0000-0000-0000F5410000}"/>
    <cellStyle name="Millares 6 3 5 3 2 3" xfId="22012" xr:uid="{00000000-0005-0000-0000-0000F6410000}"/>
    <cellStyle name="Millares 6 3 5 3 2 3 2" xfId="49145" xr:uid="{00000000-0005-0000-0000-0000F7410000}"/>
    <cellStyle name="Millares 6 3 5 3 2 4" xfId="35583" xr:uid="{00000000-0005-0000-0000-0000F8410000}"/>
    <cellStyle name="Millares 6 3 5 3 3" xfId="11836" xr:uid="{00000000-0005-0000-0000-0000F9410000}"/>
    <cellStyle name="Millares 6 3 5 3 3 2" xfId="25404" xr:uid="{00000000-0005-0000-0000-0000FA410000}"/>
    <cellStyle name="Millares 6 3 5 3 3 2 2" xfId="52537" xr:uid="{00000000-0005-0000-0000-0000FB410000}"/>
    <cellStyle name="Millares 6 3 5 3 3 3" xfId="38975" xr:uid="{00000000-0005-0000-0000-0000FC410000}"/>
    <cellStyle name="Millares 6 3 5 3 4" xfId="18623" xr:uid="{00000000-0005-0000-0000-0000FD410000}"/>
    <cellStyle name="Millares 6 3 5 3 4 2" xfId="45756" xr:uid="{00000000-0005-0000-0000-0000FE410000}"/>
    <cellStyle name="Millares 6 3 5 3 5" xfId="32194" xr:uid="{00000000-0005-0000-0000-0000FF410000}"/>
    <cellStyle name="Millares 6 3 5 4" xfId="8433" xr:uid="{00000000-0005-0000-0000-000000420000}"/>
    <cellStyle name="Millares 6 3 5 4 2" xfId="15223" xr:uid="{00000000-0005-0000-0000-000001420000}"/>
    <cellStyle name="Millares 6 3 5 4 2 2" xfId="28791" xr:uid="{00000000-0005-0000-0000-000002420000}"/>
    <cellStyle name="Millares 6 3 5 4 2 2 2" xfId="55924" xr:uid="{00000000-0005-0000-0000-000003420000}"/>
    <cellStyle name="Millares 6 3 5 4 2 3" xfId="42362" xr:uid="{00000000-0005-0000-0000-000004420000}"/>
    <cellStyle name="Millares 6 3 5 4 3" xfId="22010" xr:uid="{00000000-0005-0000-0000-000005420000}"/>
    <cellStyle name="Millares 6 3 5 4 3 2" xfId="49143" xr:uid="{00000000-0005-0000-0000-000006420000}"/>
    <cellStyle name="Millares 6 3 5 4 4" xfId="35581" xr:uid="{00000000-0005-0000-0000-000007420000}"/>
    <cellStyle name="Millares 6 3 5 5" xfId="11834" xr:uid="{00000000-0005-0000-0000-000008420000}"/>
    <cellStyle name="Millares 6 3 5 5 2" xfId="25402" xr:uid="{00000000-0005-0000-0000-000009420000}"/>
    <cellStyle name="Millares 6 3 5 5 2 2" xfId="52535" xr:uid="{00000000-0005-0000-0000-00000A420000}"/>
    <cellStyle name="Millares 6 3 5 5 3" xfId="38973" xr:uid="{00000000-0005-0000-0000-00000B420000}"/>
    <cellStyle name="Millares 6 3 5 6" xfId="18621" xr:uid="{00000000-0005-0000-0000-00000C420000}"/>
    <cellStyle name="Millares 6 3 5 6 2" xfId="45754" xr:uid="{00000000-0005-0000-0000-00000D420000}"/>
    <cellStyle name="Millares 6 3 5 7" xfId="32192" xr:uid="{00000000-0005-0000-0000-00000E420000}"/>
    <cellStyle name="Millares 6 3 6" xfId="4841" xr:uid="{00000000-0005-0000-0000-00000F420000}"/>
    <cellStyle name="Millares 6 3 6 2" xfId="4842" xr:uid="{00000000-0005-0000-0000-000010420000}"/>
    <cellStyle name="Millares 6 3 6 2 2" xfId="8437" xr:uid="{00000000-0005-0000-0000-000011420000}"/>
    <cellStyle name="Millares 6 3 6 2 2 2" xfId="15227" xr:uid="{00000000-0005-0000-0000-000012420000}"/>
    <cellStyle name="Millares 6 3 6 2 2 2 2" xfId="28795" xr:uid="{00000000-0005-0000-0000-000013420000}"/>
    <cellStyle name="Millares 6 3 6 2 2 2 2 2" xfId="55928" xr:uid="{00000000-0005-0000-0000-000014420000}"/>
    <cellStyle name="Millares 6 3 6 2 2 2 3" xfId="42366" xr:uid="{00000000-0005-0000-0000-000015420000}"/>
    <cellStyle name="Millares 6 3 6 2 2 3" xfId="22014" xr:uid="{00000000-0005-0000-0000-000016420000}"/>
    <cellStyle name="Millares 6 3 6 2 2 3 2" xfId="49147" xr:uid="{00000000-0005-0000-0000-000017420000}"/>
    <cellStyle name="Millares 6 3 6 2 2 4" xfId="35585" xr:uid="{00000000-0005-0000-0000-000018420000}"/>
    <cellStyle name="Millares 6 3 6 2 3" xfId="11838" xr:uid="{00000000-0005-0000-0000-000019420000}"/>
    <cellStyle name="Millares 6 3 6 2 3 2" xfId="25406" xr:uid="{00000000-0005-0000-0000-00001A420000}"/>
    <cellStyle name="Millares 6 3 6 2 3 2 2" xfId="52539" xr:uid="{00000000-0005-0000-0000-00001B420000}"/>
    <cellStyle name="Millares 6 3 6 2 3 3" xfId="38977" xr:uid="{00000000-0005-0000-0000-00001C420000}"/>
    <cellStyle name="Millares 6 3 6 2 4" xfId="18625" xr:uid="{00000000-0005-0000-0000-00001D420000}"/>
    <cellStyle name="Millares 6 3 6 2 4 2" xfId="45758" xr:uid="{00000000-0005-0000-0000-00001E420000}"/>
    <cellStyle name="Millares 6 3 6 2 5" xfId="32196" xr:uid="{00000000-0005-0000-0000-00001F420000}"/>
    <cellStyle name="Millares 6 3 6 3" xfId="4843" xr:uid="{00000000-0005-0000-0000-000020420000}"/>
    <cellStyle name="Millares 6 3 6 3 2" xfId="8438" xr:uid="{00000000-0005-0000-0000-000021420000}"/>
    <cellStyle name="Millares 6 3 6 3 2 2" xfId="15228" xr:uid="{00000000-0005-0000-0000-000022420000}"/>
    <cellStyle name="Millares 6 3 6 3 2 2 2" xfId="28796" xr:uid="{00000000-0005-0000-0000-000023420000}"/>
    <cellStyle name="Millares 6 3 6 3 2 2 2 2" xfId="55929" xr:uid="{00000000-0005-0000-0000-000024420000}"/>
    <cellStyle name="Millares 6 3 6 3 2 2 3" xfId="42367" xr:uid="{00000000-0005-0000-0000-000025420000}"/>
    <cellStyle name="Millares 6 3 6 3 2 3" xfId="22015" xr:uid="{00000000-0005-0000-0000-000026420000}"/>
    <cellStyle name="Millares 6 3 6 3 2 3 2" xfId="49148" xr:uid="{00000000-0005-0000-0000-000027420000}"/>
    <cellStyle name="Millares 6 3 6 3 2 4" xfId="35586" xr:uid="{00000000-0005-0000-0000-000028420000}"/>
    <cellStyle name="Millares 6 3 6 3 3" xfId="11839" xr:uid="{00000000-0005-0000-0000-000029420000}"/>
    <cellStyle name="Millares 6 3 6 3 3 2" xfId="25407" xr:uid="{00000000-0005-0000-0000-00002A420000}"/>
    <cellStyle name="Millares 6 3 6 3 3 2 2" xfId="52540" xr:uid="{00000000-0005-0000-0000-00002B420000}"/>
    <cellStyle name="Millares 6 3 6 3 3 3" xfId="38978" xr:uid="{00000000-0005-0000-0000-00002C420000}"/>
    <cellStyle name="Millares 6 3 6 3 4" xfId="18626" xr:uid="{00000000-0005-0000-0000-00002D420000}"/>
    <cellStyle name="Millares 6 3 6 3 4 2" xfId="45759" xr:uid="{00000000-0005-0000-0000-00002E420000}"/>
    <cellStyle name="Millares 6 3 6 3 5" xfId="32197" xr:uid="{00000000-0005-0000-0000-00002F420000}"/>
    <cellStyle name="Millares 6 3 6 4" xfId="8436" xr:uid="{00000000-0005-0000-0000-000030420000}"/>
    <cellStyle name="Millares 6 3 6 4 2" xfId="15226" xr:uid="{00000000-0005-0000-0000-000031420000}"/>
    <cellStyle name="Millares 6 3 6 4 2 2" xfId="28794" xr:uid="{00000000-0005-0000-0000-000032420000}"/>
    <cellStyle name="Millares 6 3 6 4 2 2 2" xfId="55927" xr:uid="{00000000-0005-0000-0000-000033420000}"/>
    <cellStyle name="Millares 6 3 6 4 2 3" xfId="42365" xr:uid="{00000000-0005-0000-0000-000034420000}"/>
    <cellStyle name="Millares 6 3 6 4 3" xfId="22013" xr:uid="{00000000-0005-0000-0000-000035420000}"/>
    <cellStyle name="Millares 6 3 6 4 3 2" xfId="49146" xr:uid="{00000000-0005-0000-0000-000036420000}"/>
    <cellStyle name="Millares 6 3 6 4 4" xfId="35584" xr:uid="{00000000-0005-0000-0000-000037420000}"/>
    <cellStyle name="Millares 6 3 6 5" xfId="11837" xr:uid="{00000000-0005-0000-0000-000038420000}"/>
    <cellStyle name="Millares 6 3 6 5 2" xfId="25405" xr:uid="{00000000-0005-0000-0000-000039420000}"/>
    <cellStyle name="Millares 6 3 6 5 2 2" xfId="52538" xr:uid="{00000000-0005-0000-0000-00003A420000}"/>
    <cellStyle name="Millares 6 3 6 5 3" xfId="38976" xr:uid="{00000000-0005-0000-0000-00003B420000}"/>
    <cellStyle name="Millares 6 3 6 6" xfId="18624" xr:uid="{00000000-0005-0000-0000-00003C420000}"/>
    <cellStyle name="Millares 6 3 6 6 2" xfId="45757" xr:uid="{00000000-0005-0000-0000-00003D420000}"/>
    <cellStyle name="Millares 6 3 6 7" xfId="32195" xr:uid="{00000000-0005-0000-0000-00003E420000}"/>
    <cellStyle name="Millares 6 3 7" xfId="4844" xr:uid="{00000000-0005-0000-0000-00003F420000}"/>
    <cellStyle name="Millares 6 3 7 2" xfId="8439" xr:uid="{00000000-0005-0000-0000-000040420000}"/>
    <cellStyle name="Millares 6 3 7 2 2" xfId="15229" xr:uid="{00000000-0005-0000-0000-000041420000}"/>
    <cellStyle name="Millares 6 3 7 2 2 2" xfId="28797" xr:uid="{00000000-0005-0000-0000-000042420000}"/>
    <cellStyle name="Millares 6 3 7 2 2 2 2" xfId="55930" xr:uid="{00000000-0005-0000-0000-000043420000}"/>
    <cellStyle name="Millares 6 3 7 2 2 3" xfId="42368" xr:uid="{00000000-0005-0000-0000-000044420000}"/>
    <cellStyle name="Millares 6 3 7 2 3" xfId="22016" xr:uid="{00000000-0005-0000-0000-000045420000}"/>
    <cellStyle name="Millares 6 3 7 2 3 2" xfId="49149" xr:uid="{00000000-0005-0000-0000-000046420000}"/>
    <cellStyle name="Millares 6 3 7 2 4" xfId="35587" xr:uid="{00000000-0005-0000-0000-000047420000}"/>
    <cellStyle name="Millares 6 3 7 3" xfId="11840" xr:uid="{00000000-0005-0000-0000-000048420000}"/>
    <cellStyle name="Millares 6 3 7 3 2" xfId="25408" xr:uid="{00000000-0005-0000-0000-000049420000}"/>
    <cellStyle name="Millares 6 3 7 3 2 2" xfId="52541" xr:uid="{00000000-0005-0000-0000-00004A420000}"/>
    <cellStyle name="Millares 6 3 7 3 3" xfId="38979" xr:uid="{00000000-0005-0000-0000-00004B420000}"/>
    <cellStyle name="Millares 6 3 7 4" xfId="18627" xr:uid="{00000000-0005-0000-0000-00004C420000}"/>
    <cellStyle name="Millares 6 3 7 4 2" xfId="45760" xr:uid="{00000000-0005-0000-0000-00004D420000}"/>
    <cellStyle name="Millares 6 3 7 5" xfId="32198" xr:uid="{00000000-0005-0000-0000-00004E420000}"/>
    <cellStyle name="Millares 6 3 8" xfId="4845" xr:uid="{00000000-0005-0000-0000-00004F420000}"/>
    <cellStyle name="Millares 6 3 8 2" xfId="8440" xr:uid="{00000000-0005-0000-0000-000050420000}"/>
    <cellStyle name="Millares 6 3 8 2 2" xfId="15230" xr:uid="{00000000-0005-0000-0000-000051420000}"/>
    <cellStyle name="Millares 6 3 8 2 2 2" xfId="28798" xr:uid="{00000000-0005-0000-0000-000052420000}"/>
    <cellStyle name="Millares 6 3 8 2 2 2 2" xfId="55931" xr:uid="{00000000-0005-0000-0000-000053420000}"/>
    <cellStyle name="Millares 6 3 8 2 2 3" xfId="42369" xr:uid="{00000000-0005-0000-0000-000054420000}"/>
    <cellStyle name="Millares 6 3 8 2 3" xfId="22017" xr:uid="{00000000-0005-0000-0000-000055420000}"/>
    <cellStyle name="Millares 6 3 8 2 3 2" xfId="49150" xr:uid="{00000000-0005-0000-0000-000056420000}"/>
    <cellStyle name="Millares 6 3 8 2 4" xfId="35588" xr:uid="{00000000-0005-0000-0000-000057420000}"/>
    <cellStyle name="Millares 6 3 8 3" xfId="11841" xr:uid="{00000000-0005-0000-0000-000058420000}"/>
    <cellStyle name="Millares 6 3 8 3 2" xfId="25409" xr:uid="{00000000-0005-0000-0000-000059420000}"/>
    <cellStyle name="Millares 6 3 8 3 2 2" xfId="52542" xr:uid="{00000000-0005-0000-0000-00005A420000}"/>
    <cellStyle name="Millares 6 3 8 3 3" xfId="38980" xr:uid="{00000000-0005-0000-0000-00005B420000}"/>
    <cellStyle name="Millares 6 3 8 4" xfId="18628" xr:uid="{00000000-0005-0000-0000-00005C420000}"/>
    <cellStyle name="Millares 6 3 8 4 2" xfId="45761" xr:uid="{00000000-0005-0000-0000-00005D420000}"/>
    <cellStyle name="Millares 6 3 8 5" xfId="32199" xr:uid="{00000000-0005-0000-0000-00005E420000}"/>
    <cellStyle name="Millares 6 3 9" xfId="8402" xr:uid="{00000000-0005-0000-0000-00005F420000}"/>
    <cellStyle name="Millares 6 3 9 2" xfId="15192" xr:uid="{00000000-0005-0000-0000-000060420000}"/>
    <cellStyle name="Millares 6 3 9 2 2" xfId="28760" xr:uid="{00000000-0005-0000-0000-000061420000}"/>
    <cellStyle name="Millares 6 3 9 2 2 2" xfId="55893" xr:uid="{00000000-0005-0000-0000-000062420000}"/>
    <cellStyle name="Millares 6 3 9 2 3" xfId="42331" xr:uid="{00000000-0005-0000-0000-000063420000}"/>
    <cellStyle name="Millares 6 3 9 3" xfId="21979" xr:uid="{00000000-0005-0000-0000-000064420000}"/>
    <cellStyle name="Millares 6 3 9 3 2" xfId="49112" xr:uid="{00000000-0005-0000-0000-000065420000}"/>
    <cellStyle name="Millares 6 3 9 4" xfId="35550" xr:uid="{00000000-0005-0000-0000-000066420000}"/>
    <cellStyle name="Millares 6 4" xfId="4846" xr:uid="{00000000-0005-0000-0000-000067420000}"/>
    <cellStyle name="Millares 6 4 10" xfId="32200" xr:uid="{00000000-0005-0000-0000-000068420000}"/>
    <cellStyle name="Millares 6 4 2" xfId="4847" xr:uid="{00000000-0005-0000-0000-000069420000}"/>
    <cellStyle name="Millares 6 4 2 2" xfId="4848" xr:uid="{00000000-0005-0000-0000-00006A420000}"/>
    <cellStyle name="Millares 6 4 2 2 2" xfId="4849" xr:uid="{00000000-0005-0000-0000-00006B420000}"/>
    <cellStyle name="Millares 6 4 2 2 2 2" xfId="8444" xr:uid="{00000000-0005-0000-0000-00006C420000}"/>
    <cellStyle name="Millares 6 4 2 2 2 2 2" xfId="15234" xr:uid="{00000000-0005-0000-0000-00006D420000}"/>
    <cellStyle name="Millares 6 4 2 2 2 2 2 2" xfId="28802" xr:uid="{00000000-0005-0000-0000-00006E420000}"/>
    <cellStyle name="Millares 6 4 2 2 2 2 2 2 2" xfId="55935" xr:uid="{00000000-0005-0000-0000-00006F420000}"/>
    <cellStyle name="Millares 6 4 2 2 2 2 2 3" xfId="42373" xr:uid="{00000000-0005-0000-0000-000070420000}"/>
    <cellStyle name="Millares 6 4 2 2 2 2 3" xfId="22021" xr:uid="{00000000-0005-0000-0000-000071420000}"/>
    <cellStyle name="Millares 6 4 2 2 2 2 3 2" xfId="49154" xr:uid="{00000000-0005-0000-0000-000072420000}"/>
    <cellStyle name="Millares 6 4 2 2 2 2 4" xfId="35592" xr:uid="{00000000-0005-0000-0000-000073420000}"/>
    <cellStyle name="Millares 6 4 2 2 2 3" xfId="11845" xr:uid="{00000000-0005-0000-0000-000074420000}"/>
    <cellStyle name="Millares 6 4 2 2 2 3 2" xfId="25413" xr:uid="{00000000-0005-0000-0000-000075420000}"/>
    <cellStyle name="Millares 6 4 2 2 2 3 2 2" xfId="52546" xr:uid="{00000000-0005-0000-0000-000076420000}"/>
    <cellStyle name="Millares 6 4 2 2 2 3 3" xfId="38984" xr:uid="{00000000-0005-0000-0000-000077420000}"/>
    <cellStyle name="Millares 6 4 2 2 2 4" xfId="18632" xr:uid="{00000000-0005-0000-0000-000078420000}"/>
    <cellStyle name="Millares 6 4 2 2 2 4 2" xfId="45765" xr:uid="{00000000-0005-0000-0000-000079420000}"/>
    <cellStyle name="Millares 6 4 2 2 2 5" xfId="32203" xr:uid="{00000000-0005-0000-0000-00007A420000}"/>
    <cellStyle name="Millares 6 4 2 2 3" xfId="4850" xr:uid="{00000000-0005-0000-0000-00007B420000}"/>
    <cellStyle name="Millares 6 4 2 2 3 2" xfId="8445" xr:uid="{00000000-0005-0000-0000-00007C420000}"/>
    <cellStyle name="Millares 6 4 2 2 3 2 2" xfId="15235" xr:uid="{00000000-0005-0000-0000-00007D420000}"/>
    <cellStyle name="Millares 6 4 2 2 3 2 2 2" xfId="28803" xr:uid="{00000000-0005-0000-0000-00007E420000}"/>
    <cellStyle name="Millares 6 4 2 2 3 2 2 2 2" xfId="55936" xr:uid="{00000000-0005-0000-0000-00007F420000}"/>
    <cellStyle name="Millares 6 4 2 2 3 2 2 3" xfId="42374" xr:uid="{00000000-0005-0000-0000-000080420000}"/>
    <cellStyle name="Millares 6 4 2 2 3 2 3" xfId="22022" xr:uid="{00000000-0005-0000-0000-000081420000}"/>
    <cellStyle name="Millares 6 4 2 2 3 2 3 2" xfId="49155" xr:uid="{00000000-0005-0000-0000-000082420000}"/>
    <cellStyle name="Millares 6 4 2 2 3 2 4" xfId="35593" xr:uid="{00000000-0005-0000-0000-000083420000}"/>
    <cellStyle name="Millares 6 4 2 2 3 3" xfId="11846" xr:uid="{00000000-0005-0000-0000-000084420000}"/>
    <cellStyle name="Millares 6 4 2 2 3 3 2" xfId="25414" xr:uid="{00000000-0005-0000-0000-000085420000}"/>
    <cellStyle name="Millares 6 4 2 2 3 3 2 2" xfId="52547" xr:uid="{00000000-0005-0000-0000-000086420000}"/>
    <cellStyle name="Millares 6 4 2 2 3 3 3" xfId="38985" xr:uid="{00000000-0005-0000-0000-000087420000}"/>
    <cellStyle name="Millares 6 4 2 2 3 4" xfId="18633" xr:uid="{00000000-0005-0000-0000-000088420000}"/>
    <cellStyle name="Millares 6 4 2 2 3 4 2" xfId="45766" xr:uid="{00000000-0005-0000-0000-000089420000}"/>
    <cellStyle name="Millares 6 4 2 2 3 5" xfId="32204" xr:uid="{00000000-0005-0000-0000-00008A420000}"/>
    <cellStyle name="Millares 6 4 2 2 4" xfId="8443" xr:uid="{00000000-0005-0000-0000-00008B420000}"/>
    <cellStyle name="Millares 6 4 2 2 4 2" xfId="15233" xr:uid="{00000000-0005-0000-0000-00008C420000}"/>
    <cellStyle name="Millares 6 4 2 2 4 2 2" xfId="28801" xr:uid="{00000000-0005-0000-0000-00008D420000}"/>
    <cellStyle name="Millares 6 4 2 2 4 2 2 2" xfId="55934" xr:uid="{00000000-0005-0000-0000-00008E420000}"/>
    <cellStyle name="Millares 6 4 2 2 4 2 3" xfId="42372" xr:uid="{00000000-0005-0000-0000-00008F420000}"/>
    <cellStyle name="Millares 6 4 2 2 4 3" xfId="22020" xr:uid="{00000000-0005-0000-0000-000090420000}"/>
    <cellStyle name="Millares 6 4 2 2 4 3 2" xfId="49153" xr:uid="{00000000-0005-0000-0000-000091420000}"/>
    <cellStyle name="Millares 6 4 2 2 4 4" xfId="35591" xr:uid="{00000000-0005-0000-0000-000092420000}"/>
    <cellStyle name="Millares 6 4 2 2 5" xfId="11844" xr:uid="{00000000-0005-0000-0000-000093420000}"/>
    <cellStyle name="Millares 6 4 2 2 5 2" xfId="25412" xr:uid="{00000000-0005-0000-0000-000094420000}"/>
    <cellStyle name="Millares 6 4 2 2 5 2 2" xfId="52545" xr:uid="{00000000-0005-0000-0000-000095420000}"/>
    <cellStyle name="Millares 6 4 2 2 5 3" xfId="38983" xr:uid="{00000000-0005-0000-0000-000096420000}"/>
    <cellStyle name="Millares 6 4 2 2 6" xfId="18631" xr:uid="{00000000-0005-0000-0000-000097420000}"/>
    <cellStyle name="Millares 6 4 2 2 6 2" xfId="45764" xr:uid="{00000000-0005-0000-0000-000098420000}"/>
    <cellStyle name="Millares 6 4 2 2 7" xfId="32202" xr:uid="{00000000-0005-0000-0000-000099420000}"/>
    <cellStyle name="Millares 6 4 2 3" xfId="4851" xr:uid="{00000000-0005-0000-0000-00009A420000}"/>
    <cellStyle name="Millares 6 4 2 3 2" xfId="4852" xr:uid="{00000000-0005-0000-0000-00009B420000}"/>
    <cellStyle name="Millares 6 4 2 3 2 2" xfId="8447" xr:uid="{00000000-0005-0000-0000-00009C420000}"/>
    <cellStyle name="Millares 6 4 2 3 2 2 2" xfId="15237" xr:uid="{00000000-0005-0000-0000-00009D420000}"/>
    <cellStyle name="Millares 6 4 2 3 2 2 2 2" xfId="28805" xr:uid="{00000000-0005-0000-0000-00009E420000}"/>
    <cellStyle name="Millares 6 4 2 3 2 2 2 2 2" xfId="55938" xr:uid="{00000000-0005-0000-0000-00009F420000}"/>
    <cellStyle name="Millares 6 4 2 3 2 2 2 3" xfId="42376" xr:uid="{00000000-0005-0000-0000-0000A0420000}"/>
    <cellStyle name="Millares 6 4 2 3 2 2 3" xfId="22024" xr:uid="{00000000-0005-0000-0000-0000A1420000}"/>
    <cellStyle name="Millares 6 4 2 3 2 2 3 2" xfId="49157" xr:uid="{00000000-0005-0000-0000-0000A2420000}"/>
    <cellStyle name="Millares 6 4 2 3 2 2 4" xfId="35595" xr:uid="{00000000-0005-0000-0000-0000A3420000}"/>
    <cellStyle name="Millares 6 4 2 3 2 3" xfId="11848" xr:uid="{00000000-0005-0000-0000-0000A4420000}"/>
    <cellStyle name="Millares 6 4 2 3 2 3 2" xfId="25416" xr:uid="{00000000-0005-0000-0000-0000A5420000}"/>
    <cellStyle name="Millares 6 4 2 3 2 3 2 2" xfId="52549" xr:uid="{00000000-0005-0000-0000-0000A6420000}"/>
    <cellStyle name="Millares 6 4 2 3 2 3 3" xfId="38987" xr:uid="{00000000-0005-0000-0000-0000A7420000}"/>
    <cellStyle name="Millares 6 4 2 3 2 4" xfId="18635" xr:uid="{00000000-0005-0000-0000-0000A8420000}"/>
    <cellStyle name="Millares 6 4 2 3 2 4 2" xfId="45768" xr:uid="{00000000-0005-0000-0000-0000A9420000}"/>
    <cellStyle name="Millares 6 4 2 3 2 5" xfId="32206" xr:uid="{00000000-0005-0000-0000-0000AA420000}"/>
    <cellStyle name="Millares 6 4 2 3 3" xfId="8446" xr:uid="{00000000-0005-0000-0000-0000AB420000}"/>
    <cellStyle name="Millares 6 4 2 3 3 2" xfId="15236" xr:uid="{00000000-0005-0000-0000-0000AC420000}"/>
    <cellStyle name="Millares 6 4 2 3 3 2 2" xfId="28804" xr:uid="{00000000-0005-0000-0000-0000AD420000}"/>
    <cellStyle name="Millares 6 4 2 3 3 2 2 2" xfId="55937" xr:uid="{00000000-0005-0000-0000-0000AE420000}"/>
    <cellStyle name="Millares 6 4 2 3 3 2 3" xfId="42375" xr:uid="{00000000-0005-0000-0000-0000AF420000}"/>
    <cellStyle name="Millares 6 4 2 3 3 3" xfId="22023" xr:uid="{00000000-0005-0000-0000-0000B0420000}"/>
    <cellStyle name="Millares 6 4 2 3 3 3 2" xfId="49156" xr:uid="{00000000-0005-0000-0000-0000B1420000}"/>
    <cellStyle name="Millares 6 4 2 3 3 4" xfId="35594" xr:uid="{00000000-0005-0000-0000-0000B2420000}"/>
    <cellStyle name="Millares 6 4 2 3 4" xfId="11847" xr:uid="{00000000-0005-0000-0000-0000B3420000}"/>
    <cellStyle name="Millares 6 4 2 3 4 2" xfId="25415" xr:uid="{00000000-0005-0000-0000-0000B4420000}"/>
    <cellStyle name="Millares 6 4 2 3 4 2 2" xfId="52548" xr:uid="{00000000-0005-0000-0000-0000B5420000}"/>
    <cellStyle name="Millares 6 4 2 3 4 3" xfId="38986" xr:uid="{00000000-0005-0000-0000-0000B6420000}"/>
    <cellStyle name="Millares 6 4 2 3 5" xfId="18634" xr:uid="{00000000-0005-0000-0000-0000B7420000}"/>
    <cellStyle name="Millares 6 4 2 3 5 2" xfId="45767" xr:uid="{00000000-0005-0000-0000-0000B8420000}"/>
    <cellStyle name="Millares 6 4 2 3 6" xfId="32205" xr:uid="{00000000-0005-0000-0000-0000B9420000}"/>
    <cellStyle name="Millares 6 4 2 4" xfId="4853" xr:uid="{00000000-0005-0000-0000-0000BA420000}"/>
    <cellStyle name="Millares 6 4 2 4 2" xfId="8448" xr:uid="{00000000-0005-0000-0000-0000BB420000}"/>
    <cellStyle name="Millares 6 4 2 4 2 2" xfId="15238" xr:uid="{00000000-0005-0000-0000-0000BC420000}"/>
    <cellStyle name="Millares 6 4 2 4 2 2 2" xfId="28806" xr:uid="{00000000-0005-0000-0000-0000BD420000}"/>
    <cellStyle name="Millares 6 4 2 4 2 2 2 2" xfId="55939" xr:uid="{00000000-0005-0000-0000-0000BE420000}"/>
    <cellStyle name="Millares 6 4 2 4 2 2 3" xfId="42377" xr:uid="{00000000-0005-0000-0000-0000BF420000}"/>
    <cellStyle name="Millares 6 4 2 4 2 3" xfId="22025" xr:uid="{00000000-0005-0000-0000-0000C0420000}"/>
    <cellStyle name="Millares 6 4 2 4 2 3 2" xfId="49158" xr:uid="{00000000-0005-0000-0000-0000C1420000}"/>
    <cellStyle name="Millares 6 4 2 4 2 4" xfId="35596" xr:uid="{00000000-0005-0000-0000-0000C2420000}"/>
    <cellStyle name="Millares 6 4 2 4 3" xfId="11849" xr:uid="{00000000-0005-0000-0000-0000C3420000}"/>
    <cellStyle name="Millares 6 4 2 4 3 2" xfId="25417" xr:uid="{00000000-0005-0000-0000-0000C4420000}"/>
    <cellStyle name="Millares 6 4 2 4 3 2 2" xfId="52550" xr:uid="{00000000-0005-0000-0000-0000C5420000}"/>
    <cellStyle name="Millares 6 4 2 4 3 3" xfId="38988" xr:uid="{00000000-0005-0000-0000-0000C6420000}"/>
    <cellStyle name="Millares 6 4 2 4 4" xfId="18636" xr:uid="{00000000-0005-0000-0000-0000C7420000}"/>
    <cellStyle name="Millares 6 4 2 4 4 2" xfId="45769" xr:uid="{00000000-0005-0000-0000-0000C8420000}"/>
    <cellStyle name="Millares 6 4 2 4 5" xfId="32207" xr:uid="{00000000-0005-0000-0000-0000C9420000}"/>
    <cellStyle name="Millares 6 4 2 5" xfId="4854" xr:uid="{00000000-0005-0000-0000-0000CA420000}"/>
    <cellStyle name="Millares 6 4 2 5 2" xfId="8449" xr:uid="{00000000-0005-0000-0000-0000CB420000}"/>
    <cellStyle name="Millares 6 4 2 5 2 2" xfId="15239" xr:uid="{00000000-0005-0000-0000-0000CC420000}"/>
    <cellStyle name="Millares 6 4 2 5 2 2 2" xfId="28807" xr:uid="{00000000-0005-0000-0000-0000CD420000}"/>
    <cellStyle name="Millares 6 4 2 5 2 2 2 2" xfId="55940" xr:uid="{00000000-0005-0000-0000-0000CE420000}"/>
    <cellStyle name="Millares 6 4 2 5 2 2 3" xfId="42378" xr:uid="{00000000-0005-0000-0000-0000CF420000}"/>
    <cellStyle name="Millares 6 4 2 5 2 3" xfId="22026" xr:uid="{00000000-0005-0000-0000-0000D0420000}"/>
    <cellStyle name="Millares 6 4 2 5 2 3 2" xfId="49159" xr:uid="{00000000-0005-0000-0000-0000D1420000}"/>
    <cellStyle name="Millares 6 4 2 5 2 4" xfId="35597" xr:uid="{00000000-0005-0000-0000-0000D2420000}"/>
    <cellStyle name="Millares 6 4 2 5 3" xfId="11850" xr:uid="{00000000-0005-0000-0000-0000D3420000}"/>
    <cellStyle name="Millares 6 4 2 5 3 2" xfId="25418" xr:uid="{00000000-0005-0000-0000-0000D4420000}"/>
    <cellStyle name="Millares 6 4 2 5 3 2 2" xfId="52551" xr:uid="{00000000-0005-0000-0000-0000D5420000}"/>
    <cellStyle name="Millares 6 4 2 5 3 3" xfId="38989" xr:uid="{00000000-0005-0000-0000-0000D6420000}"/>
    <cellStyle name="Millares 6 4 2 5 4" xfId="18637" xr:uid="{00000000-0005-0000-0000-0000D7420000}"/>
    <cellStyle name="Millares 6 4 2 5 4 2" xfId="45770" xr:uid="{00000000-0005-0000-0000-0000D8420000}"/>
    <cellStyle name="Millares 6 4 2 5 5" xfId="32208" xr:uid="{00000000-0005-0000-0000-0000D9420000}"/>
    <cellStyle name="Millares 6 4 2 6" xfId="8442" xr:uid="{00000000-0005-0000-0000-0000DA420000}"/>
    <cellStyle name="Millares 6 4 2 6 2" xfId="15232" xr:uid="{00000000-0005-0000-0000-0000DB420000}"/>
    <cellStyle name="Millares 6 4 2 6 2 2" xfId="28800" xr:uid="{00000000-0005-0000-0000-0000DC420000}"/>
    <cellStyle name="Millares 6 4 2 6 2 2 2" xfId="55933" xr:uid="{00000000-0005-0000-0000-0000DD420000}"/>
    <cellStyle name="Millares 6 4 2 6 2 3" xfId="42371" xr:uid="{00000000-0005-0000-0000-0000DE420000}"/>
    <cellStyle name="Millares 6 4 2 6 3" xfId="22019" xr:uid="{00000000-0005-0000-0000-0000DF420000}"/>
    <cellStyle name="Millares 6 4 2 6 3 2" xfId="49152" xr:uid="{00000000-0005-0000-0000-0000E0420000}"/>
    <cellStyle name="Millares 6 4 2 6 4" xfId="35590" xr:uid="{00000000-0005-0000-0000-0000E1420000}"/>
    <cellStyle name="Millares 6 4 2 7" xfId="11843" xr:uid="{00000000-0005-0000-0000-0000E2420000}"/>
    <cellStyle name="Millares 6 4 2 7 2" xfId="25411" xr:uid="{00000000-0005-0000-0000-0000E3420000}"/>
    <cellStyle name="Millares 6 4 2 7 2 2" xfId="52544" xr:uid="{00000000-0005-0000-0000-0000E4420000}"/>
    <cellStyle name="Millares 6 4 2 7 3" xfId="38982" xr:uid="{00000000-0005-0000-0000-0000E5420000}"/>
    <cellStyle name="Millares 6 4 2 8" xfId="18630" xr:uid="{00000000-0005-0000-0000-0000E6420000}"/>
    <cellStyle name="Millares 6 4 2 8 2" xfId="45763" xr:uid="{00000000-0005-0000-0000-0000E7420000}"/>
    <cellStyle name="Millares 6 4 2 9" xfId="32201" xr:uid="{00000000-0005-0000-0000-0000E8420000}"/>
    <cellStyle name="Millares 6 4 3" xfId="4855" xr:uid="{00000000-0005-0000-0000-0000E9420000}"/>
    <cellStyle name="Millares 6 4 3 2" xfId="4856" xr:uid="{00000000-0005-0000-0000-0000EA420000}"/>
    <cellStyle name="Millares 6 4 3 2 2" xfId="8451" xr:uid="{00000000-0005-0000-0000-0000EB420000}"/>
    <cellStyle name="Millares 6 4 3 2 2 2" xfId="15241" xr:uid="{00000000-0005-0000-0000-0000EC420000}"/>
    <cellStyle name="Millares 6 4 3 2 2 2 2" xfId="28809" xr:uid="{00000000-0005-0000-0000-0000ED420000}"/>
    <cellStyle name="Millares 6 4 3 2 2 2 2 2" xfId="55942" xr:uid="{00000000-0005-0000-0000-0000EE420000}"/>
    <cellStyle name="Millares 6 4 3 2 2 2 3" xfId="42380" xr:uid="{00000000-0005-0000-0000-0000EF420000}"/>
    <cellStyle name="Millares 6 4 3 2 2 3" xfId="22028" xr:uid="{00000000-0005-0000-0000-0000F0420000}"/>
    <cellStyle name="Millares 6 4 3 2 2 3 2" xfId="49161" xr:uid="{00000000-0005-0000-0000-0000F1420000}"/>
    <cellStyle name="Millares 6 4 3 2 2 4" xfId="35599" xr:uid="{00000000-0005-0000-0000-0000F2420000}"/>
    <cellStyle name="Millares 6 4 3 2 3" xfId="11852" xr:uid="{00000000-0005-0000-0000-0000F3420000}"/>
    <cellStyle name="Millares 6 4 3 2 3 2" xfId="25420" xr:uid="{00000000-0005-0000-0000-0000F4420000}"/>
    <cellStyle name="Millares 6 4 3 2 3 2 2" xfId="52553" xr:uid="{00000000-0005-0000-0000-0000F5420000}"/>
    <cellStyle name="Millares 6 4 3 2 3 3" xfId="38991" xr:uid="{00000000-0005-0000-0000-0000F6420000}"/>
    <cellStyle name="Millares 6 4 3 2 4" xfId="18639" xr:uid="{00000000-0005-0000-0000-0000F7420000}"/>
    <cellStyle name="Millares 6 4 3 2 4 2" xfId="45772" xr:uid="{00000000-0005-0000-0000-0000F8420000}"/>
    <cellStyle name="Millares 6 4 3 2 5" xfId="32210" xr:uid="{00000000-0005-0000-0000-0000F9420000}"/>
    <cellStyle name="Millares 6 4 3 3" xfId="4857" xr:uid="{00000000-0005-0000-0000-0000FA420000}"/>
    <cellStyle name="Millares 6 4 3 3 2" xfId="8452" xr:uid="{00000000-0005-0000-0000-0000FB420000}"/>
    <cellStyle name="Millares 6 4 3 3 2 2" xfId="15242" xr:uid="{00000000-0005-0000-0000-0000FC420000}"/>
    <cellStyle name="Millares 6 4 3 3 2 2 2" xfId="28810" xr:uid="{00000000-0005-0000-0000-0000FD420000}"/>
    <cellStyle name="Millares 6 4 3 3 2 2 2 2" xfId="55943" xr:uid="{00000000-0005-0000-0000-0000FE420000}"/>
    <cellStyle name="Millares 6 4 3 3 2 2 3" xfId="42381" xr:uid="{00000000-0005-0000-0000-0000FF420000}"/>
    <cellStyle name="Millares 6 4 3 3 2 3" xfId="22029" xr:uid="{00000000-0005-0000-0000-000000430000}"/>
    <cellStyle name="Millares 6 4 3 3 2 3 2" xfId="49162" xr:uid="{00000000-0005-0000-0000-000001430000}"/>
    <cellStyle name="Millares 6 4 3 3 2 4" xfId="35600" xr:uid="{00000000-0005-0000-0000-000002430000}"/>
    <cellStyle name="Millares 6 4 3 3 3" xfId="11853" xr:uid="{00000000-0005-0000-0000-000003430000}"/>
    <cellStyle name="Millares 6 4 3 3 3 2" xfId="25421" xr:uid="{00000000-0005-0000-0000-000004430000}"/>
    <cellStyle name="Millares 6 4 3 3 3 2 2" xfId="52554" xr:uid="{00000000-0005-0000-0000-000005430000}"/>
    <cellStyle name="Millares 6 4 3 3 3 3" xfId="38992" xr:uid="{00000000-0005-0000-0000-000006430000}"/>
    <cellStyle name="Millares 6 4 3 3 4" xfId="18640" xr:uid="{00000000-0005-0000-0000-000007430000}"/>
    <cellStyle name="Millares 6 4 3 3 4 2" xfId="45773" xr:uid="{00000000-0005-0000-0000-000008430000}"/>
    <cellStyle name="Millares 6 4 3 3 5" xfId="32211" xr:uid="{00000000-0005-0000-0000-000009430000}"/>
    <cellStyle name="Millares 6 4 3 4" xfId="8450" xr:uid="{00000000-0005-0000-0000-00000A430000}"/>
    <cellStyle name="Millares 6 4 3 4 2" xfId="15240" xr:uid="{00000000-0005-0000-0000-00000B430000}"/>
    <cellStyle name="Millares 6 4 3 4 2 2" xfId="28808" xr:uid="{00000000-0005-0000-0000-00000C430000}"/>
    <cellStyle name="Millares 6 4 3 4 2 2 2" xfId="55941" xr:uid="{00000000-0005-0000-0000-00000D430000}"/>
    <cellStyle name="Millares 6 4 3 4 2 3" xfId="42379" xr:uid="{00000000-0005-0000-0000-00000E430000}"/>
    <cellStyle name="Millares 6 4 3 4 3" xfId="22027" xr:uid="{00000000-0005-0000-0000-00000F430000}"/>
    <cellStyle name="Millares 6 4 3 4 3 2" xfId="49160" xr:uid="{00000000-0005-0000-0000-000010430000}"/>
    <cellStyle name="Millares 6 4 3 4 4" xfId="35598" xr:uid="{00000000-0005-0000-0000-000011430000}"/>
    <cellStyle name="Millares 6 4 3 5" xfId="11851" xr:uid="{00000000-0005-0000-0000-000012430000}"/>
    <cellStyle name="Millares 6 4 3 5 2" xfId="25419" xr:uid="{00000000-0005-0000-0000-000013430000}"/>
    <cellStyle name="Millares 6 4 3 5 2 2" xfId="52552" xr:uid="{00000000-0005-0000-0000-000014430000}"/>
    <cellStyle name="Millares 6 4 3 5 3" xfId="38990" xr:uid="{00000000-0005-0000-0000-000015430000}"/>
    <cellStyle name="Millares 6 4 3 6" xfId="18638" xr:uid="{00000000-0005-0000-0000-000016430000}"/>
    <cellStyle name="Millares 6 4 3 6 2" xfId="45771" xr:uid="{00000000-0005-0000-0000-000017430000}"/>
    <cellStyle name="Millares 6 4 3 7" xfId="32209" xr:uid="{00000000-0005-0000-0000-000018430000}"/>
    <cellStyle name="Millares 6 4 4" xfId="4858" xr:uid="{00000000-0005-0000-0000-000019430000}"/>
    <cellStyle name="Millares 6 4 4 2" xfId="4859" xr:uid="{00000000-0005-0000-0000-00001A430000}"/>
    <cellStyle name="Millares 6 4 4 2 2" xfId="8454" xr:uid="{00000000-0005-0000-0000-00001B430000}"/>
    <cellStyle name="Millares 6 4 4 2 2 2" xfId="15244" xr:uid="{00000000-0005-0000-0000-00001C430000}"/>
    <cellStyle name="Millares 6 4 4 2 2 2 2" xfId="28812" xr:uid="{00000000-0005-0000-0000-00001D430000}"/>
    <cellStyle name="Millares 6 4 4 2 2 2 2 2" xfId="55945" xr:uid="{00000000-0005-0000-0000-00001E430000}"/>
    <cellStyle name="Millares 6 4 4 2 2 2 3" xfId="42383" xr:uid="{00000000-0005-0000-0000-00001F430000}"/>
    <cellStyle name="Millares 6 4 4 2 2 3" xfId="22031" xr:uid="{00000000-0005-0000-0000-000020430000}"/>
    <cellStyle name="Millares 6 4 4 2 2 3 2" xfId="49164" xr:uid="{00000000-0005-0000-0000-000021430000}"/>
    <cellStyle name="Millares 6 4 4 2 2 4" xfId="35602" xr:uid="{00000000-0005-0000-0000-000022430000}"/>
    <cellStyle name="Millares 6 4 4 2 3" xfId="11855" xr:uid="{00000000-0005-0000-0000-000023430000}"/>
    <cellStyle name="Millares 6 4 4 2 3 2" xfId="25423" xr:uid="{00000000-0005-0000-0000-000024430000}"/>
    <cellStyle name="Millares 6 4 4 2 3 2 2" xfId="52556" xr:uid="{00000000-0005-0000-0000-000025430000}"/>
    <cellStyle name="Millares 6 4 4 2 3 3" xfId="38994" xr:uid="{00000000-0005-0000-0000-000026430000}"/>
    <cellStyle name="Millares 6 4 4 2 4" xfId="18642" xr:uid="{00000000-0005-0000-0000-000027430000}"/>
    <cellStyle name="Millares 6 4 4 2 4 2" xfId="45775" xr:uid="{00000000-0005-0000-0000-000028430000}"/>
    <cellStyle name="Millares 6 4 4 2 5" xfId="32213" xr:uid="{00000000-0005-0000-0000-000029430000}"/>
    <cellStyle name="Millares 6 4 4 3" xfId="8453" xr:uid="{00000000-0005-0000-0000-00002A430000}"/>
    <cellStyle name="Millares 6 4 4 3 2" xfId="15243" xr:uid="{00000000-0005-0000-0000-00002B430000}"/>
    <cellStyle name="Millares 6 4 4 3 2 2" xfId="28811" xr:uid="{00000000-0005-0000-0000-00002C430000}"/>
    <cellStyle name="Millares 6 4 4 3 2 2 2" xfId="55944" xr:uid="{00000000-0005-0000-0000-00002D430000}"/>
    <cellStyle name="Millares 6 4 4 3 2 3" xfId="42382" xr:uid="{00000000-0005-0000-0000-00002E430000}"/>
    <cellStyle name="Millares 6 4 4 3 3" xfId="22030" xr:uid="{00000000-0005-0000-0000-00002F430000}"/>
    <cellStyle name="Millares 6 4 4 3 3 2" xfId="49163" xr:uid="{00000000-0005-0000-0000-000030430000}"/>
    <cellStyle name="Millares 6 4 4 3 4" xfId="35601" xr:uid="{00000000-0005-0000-0000-000031430000}"/>
    <cellStyle name="Millares 6 4 4 4" xfId="11854" xr:uid="{00000000-0005-0000-0000-000032430000}"/>
    <cellStyle name="Millares 6 4 4 4 2" xfId="25422" xr:uid="{00000000-0005-0000-0000-000033430000}"/>
    <cellStyle name="Millares 6 4 4 4 2 2" xfId="52555" xr:uid="{00000000-0005-0000-0000-000034430000}"/>
    <cellStyle name="Millares 6 4 4 4 3" xfId="38993" xr:uid="{00000000-0005-0000-0000-000035430000}"/>
    <cellStyle name="Millares 6 4 4 5" xfId="18641" xr:uid="{00000000-0005-0000-0000-000036430000}"/>
    <cellStyle name="Millares 6 4 4 5 2" xfId="45774" xr:uid="{00000000-0005-0000-0000-000037430000}"/>
    <cellStyle name="Millares 6 4 4 6" xfId="32212" xr:uid="{00000000-0005-0000-0000-000038430000}"/>
    <cellStyle name="Millares 6 4 5" xfId="4860" xr:uid="{00000000-0005-0000-0000-000039430000}"/>
    <cellStyle name="Millares 6 4 5 2" xfId="8455" xr:uid="{00000000-0005-0000-0000-00003A430000}"/>
    <cellStyle name="Millares 6 4 5 2 2" xfId="15245" xr:uid="{00000000-0005-0000-0000-00003B430000}"/>
    <cellStyle name="Millares 6 4 5 2 2 2" xfId="28813" xr:uid="{00000000-0005-0000-0000-00003C430000}"/>
    <cellStyle name="Millares 6 4 5 2 2 2 2" xfId="55946" xr:uid="{00000000-0005-0000-0000-00003D430000}"/>
    <cellStyle name="Millares 6 4 5 2 2 3" xfId="42384" xr:uid="{00000000-0005-0000-0000-00003E430000}"/>
    <cellStyle name="Millares 6 4 5 2 3" xfId="22032" xr:uid="{00000000-0005-0000-0000-00003F430000}"/>
    <cellStyle name="Millares 6 4 5 2 3 2" xfId="49165" xr:uid="{00000000-0005-0000-0000-000040430000}"/>
    <cellStyle name="Millares 6 4 5 2 4" xfId="35603" xr:uid="{00000000-0005-0000-0000-000041430000}"/>
    <cellStyle name="Millares 6 4 5 3" xfId="11856" xr:uid="{00000000-0005-0000-0000-000042430000}"/>
    <cellStyle name="Millares 6 4 5 3 2" xfId="25424" xr:uid="{00000000-0005-0000-0000-000043430000}"/>
    <cellStyle name="Millares 6 4 5 3 2 2" xfId="52557" xr:uid="{00000000-0005-0000-0000-000044430000}"/>
    <cellStyle name="Millares 6 4 5 3 3" xfId="38995" xr:uid="{00000000-0005-0000-0000-000045430000}"/>
    <cellStyle name="Millares 6 4 5 4" xfId="18643" xr:uid="{00000000-0005-0000-0000-000046430000}"/>
    <cellStyle name="Millares 6 4 5 4 2" xfId="45776" xr:uid="{00000000-0005-0000-0000-000047430000}"/>
    <cellStyle name="Millares 6 4 5 5" xfId="32214" xr:uid="{00000000-0005-0000-0000-000048430000}"/>
    <cellStyle name="Millares 6 4 6" xfId="4861" xr:uid="{00000000-0005-0000-0000-000049430000}"/>
    <cellStyle name="Millares 6 4 6 2" xfId="8456" xr:uid="{00000000-0005-0000-0000-00004A430000}"/>
    <cellStyle name="Millares 6 4 6 2 2" xfId="15246" xr:uid="{00000000-0005-0000-0000-00004B430000}"/>
    <cellStyle name="Millares 6 4 6 2 2 2" xfId="28814" xr:uid="{00000000-0005-0000-0000-00004C430000}"/>
    <cellStyle name="Millares 6 4 6 2 2 2 2" xfId="55947" xr:uid="{00000000-0005-0000-0000-00004D430000}"/>
    <cellStyle name="Millares 6 4 6 2 2 3" xfId="42385" xr:uid="{00000000-0005-0000-0000-00004E430000}"/>
    <cellStyle name="Millares 6 4 6 2 3" xfId="22033" xr:uid="{00000000-0005-0000-0000-00004F430000}"/>
    <cellStyle name="Millares 6 4 6 2 3 2" xfId="49166" xr:uid="{00000000-0005-0000-0000-000050430000}"/>
    <cellStyle name="Millares 6 4 6 2 4" xfId="35604" xr:uid="{00000000-0005-0000-0000-000051430000}"/>
    <cellStyle name="Millares 6 4 6 3" xfId="11857" xr:uid="{00000000-0005-0000-0000-000052430000}"/>
    <cellStyle name="Millares 6 4 6 3 2" xfId="25425" xr:uid="{00000000-0005-0000-0000-000053430000}"/>
    <cellStyle name="Millares 6 4 6 3 2 2" xfId="52558" xr:uid="{00000000-0005-0000-0000-000054430000}"/>
    <cellStyle name="Millares 6 4 6 3 3" xfId="38996" xr:uid="{00000000-0005-0000-0000-000055430000}"/>
    <cellStyle name="Millares 6 4 6 4" xfId="18644" xr:uid="{00000000-0005-0000-0000-000056430000}"/>
    <cellStyle name="Millares 6 4 6 4 2" xfId="45777" xr:uid="{00000000-0005-0000-0000-000057430000}"/>
    <cellStyle name="Millares 6 4 6 5" xfId="32215" xr:uid="{00000000-0005-0000-0000-000058430000}"/>
    <cellStyle name="Millares 6 4 7" xfId="8441" xr:uid="{00000000-0005-0000-0000-000059430000}"/>
    <cellStyle name="Millares 6 4 7 2" xfId="15231" xr:uid="{00000000-0005-0000-0000-00005A430000}"/>
    <cellStyle name="Millares 6 4 7 2 2" xfId="28799" xr:uid="{00000000-0005-0000-0000-00005B430000}"/>
    <cellStyle name="Millares 6 4 7 2 2 2" xfId="55932" xr:uid="{00000000-0005-0000-0000-00005C430000}"/>
    <cellStyle name="Millares 6 4 7 2 3" xfId="42370" xr:uid="{00000000-0005-0000-0000-00005D430000}"/>
    <cellStyle name="Millares 6 4 7 3" xfId="22018" xr:uid="{00000000-0005-0000-0000-00005E430000}"/>
    <cellStyle name="Millares 6 4 7 3 2" xfId="49151" xr:uid="{00000000-0005-0000-0000-00005F430000}"/>
    <cellStyle name="Millares 6 4 7 4" xfId="35589" xr:uid="{00000000-0005-0000-0000-000060430000}"/>
    <cellStyle name="Millares 6 4 8" xfId="11842" xr:uid="{00000000-0005-0000-0000-000061430000}"/>
    <cellStyle name="Millares 6 4 8 2" xfId="25410" xr:uid="{00000000-0005-0000-0000-000062430000}"/>
    <cellStyle name="Millares 6 4 8 2 2" xfId="52543" xr:uid="{00000000-0005-0000-0000-000063430000}"/>
    <cellStyle name="Millares 6 4 8 3" xfId="38981" xr:uid="{00000000-0005-0000-0000-000064430000}"/>
    <cellStyle name="Millares 6 4 9" xfId="18629" xr:uid="{00000000-0005-0000-0000-000065430000}"/>
    <cellStyle name="Millares 6 4 9 2" xfId="45762" xr:uid="{00000000-0005-0000-0000-000066430000}"/>
    <cellStyle name="Millares 6 5" xfId="4862" xr:uid="{00000000-0005-0000-0000-000067430000}"/>
    <cellStyle name="Millares 6 5 2" xfId="4863" xr:uid="{00000000-0005-0000-0000-000068430000}"/>
    <cellStyle name="Millares 6 5 2 2" xfId="4864" xr:uid="{00000000-0005-0000-0000-000069430000}"/>
    <cellStyle name="Millares 6 5 2 2 2" xfId="8459" xr:uid="{00000000-0005-0000-0000-00006A430000}"/>
    <cellStyle name="Millares 6 5 2 2 2 2" xfId="15249" xr:uid="{00000000-0005-0000-0000-00006B430000}"/>
    <cellStyle name="Millares 6 5 2 2 2 2 2" xfId="28817" xr:uid="{00000000-0005-0000-0000-00006C430000}"/>
    <cellStyle name="Millares 6 5 2 2 2 2 2 2" xfId="55950" xr:uid="{00000000-0005-0000-0000-00006D430000}"/>
    <cellStyle name="Millares 6 5 2 2 2 2 3" xfId="42388" xr:uid="{00000000-0005-0000-0000-00006E430000}"/>
    <cellStyle name="Millares 6 5 2 2 2 3" xfId="22036" xr:uid="{00000000-0005-0000-0000-00006F430000}"/>
    <cellStyle name="Millares 6 5 2 2 2 3 2" xfId="49169" xr:uid="{00000000-0005-0000-0000-000070430000}"/>
    <cellStyle name="Millares 6 5 2 2 2 4" xfId="35607" xr:uid="{00000000-0005-0000-0000-000071430000}"/>
    <cellStyle name="Millares 6 5 2 2 3" xfId="11860" xr:uid="{00000000-0005-0000-0000-000072430000}"/>
    <cellStyle name="Millares 6 5 2 2 3 2" xfId="25428" xr:uid="{00000000-0005-0000-0000-000073430000}"/>
    <cellStyle name="Millares 6 5 2 2 3 2 2" xfId="52561" xr:uid="{00000000-0005-0000-0000-000074430000}"/>
    <cellStyle name="Millares 6 5 2 2 3 3" xfId="38999" xr:uid="{00000000-0005-0000-0000-000075430000}"/>
    <cellStyle name="Millares 6 5 2 2 4" xfId="18647" xr:uid="{00000000-0005-0000-0000-000076430000}"/>
    <cellStyle name="Millares 6 5 2 2 4 2" xfId="45780" xr:uid="{00000000-0005-0000-0000-000077430000}"/>
    <cellStyle name="Millares 6 5 2 2 5" xfId="32218" xr:uid="{00000000-0005-0000-0000-000078430000}"/>
    <cellStyle name="Millares 6 5 2 3" xfId="4865" xr:uid="{00000000-0005-0000-0000-000079430000}"/>
    <cellStyle name="Millares 6 5 2 3 2" xfId="8460" xr:uid="{00000000-0005-0000-0000-00007A430000}"/>
    <cellStyle name="Millares 6 5 2 3 2 2" xfId="15250" xr:uid="{00000000-0005-0000-0000-00007B430000}"/>
    <cellStyle name="Millares 6 5 2 3 2 2 2" xfId="28818" xr:uid="{00000000-0005-0000-0000-00007C430000}"/>
    <cellStyle name="Millares 6 5 2 3 2 2 2 2" xfId="55951" xr:uid="{00000000-0005-0000-0000-00007D430000}"/>
    <cellStyle name="Millares 6 5 2 3 2 2 3" xfId="42389" xr:uid="{00000000-0005-0000-0000-00007E430000}"/>
    <cellStyle name="Millares 6 5 2 3 2 3" xfId="22037" xr:uid="{00000000-0005-0000-0000-00007F430000}"/>
    <cellStyle name="Millares 6 5 2 3 2 3 2" xfId="49170" xr:uid="{00000000-0005-0000-0000-000080430000}"/>
    <cellStyle name="Millares 6 5 2 3 2 4" xfId="35608" xr:uid="{00000000-0005-0000-0000-000081430000}"/>
    <cellStyle name="Millares 6 5 2 3 3" xfId="11861" xr:uid="{00000000-0005-0000-0000-000082430000}"/>
    <cellStyle name="Millares 6 5 2 3 3 2" xfId="25429" xr:uid="{00000000-0005-0000-0000-000083430000}"/>
    <cellStyle name="Millares 6 5 2 3 3 2 2" xfId="52562" xr:uid="{00000000-0005-0000-0000-000084430000}"/>
    <cellStyle name="Millares 6 5 2 3 3 3" xfId="39000" xr:uid="{00000000-0005-0000-0000-000085430000}"/>
    <cellStyle name="Millares 6 5 2 3 4" xfId="18648" xr:uid="{00000000-0005-0000-0000-000086430000}"/>
    <cellStyle name="Millares 6 5 2 3 4 2" xfId="45781" xr:uid="{00000000-0005-0000-0000-000087430000}"/>
    <cellStyle name="Millares 6 5 2 3 5" xfId="32219" xr:uid="{00000000-0005-0000-0000-000088430000}"/>
    <cellStyle name="Millares 6 5 2 4" xfId="8458" xr:uid="{00000000-0005-0000-0000-000089430000}"/>
    <cellStyle name="Millares 6 5 2 4 2" xfId="15248" xr:uid="{00000000-0005-0000-0000-00008A430000}"/>
    <cellStyle name="Millares 6 5 2 4 2 2" xfId="28816" xr:uid="{00000000-0005-0000-0000-00008B430000}"/>
    <cellStyle name="Millares 6 5 2 4 2 2 2" xfId="55949" xr:uid="{00000000-0005-0000-0000-00008C430000}"/>
    <cellStyle name="Millares 6 5 2 4 2 3" xfId="42387" xr:uid="{00000000-0005-0000-0000-00008D430000}"/>
    <cellStyle name="Millares 6 5 2 4 3" xfId="22035" xr:uid="{00000000-0005-0000-0000-00008E430000}"/>
    <cellStyle name="Millares 6 5 2 4 3 2" xfId="49168" xr:uid="{00000000-0005-0000-0000-00008F430000}"/>
    <cellStyle name="Millares 6 5 2 4 4" xfId="35606" xr:uid="{00000000-0005-0000-0000-000090430000}"/>
    <cellStyle name="Millares 6 5 2 5" xfId="11859" xr:uid="{00000000-0005-0000-0000-000091430000}"/>
    <cellStyle name="Millares 6 5 2 5 2" xfId="25427" xr:uid="{00000000-0005-0000-0000-000092430000}"/>
    <cellStyle name="Millares 6 5 2 5 2 2" xfId="52560" xr:uid="{00000000-0005-0000-0000-000093430000}"/>
    <cellStyle name="Millares 6 5 2 5 3" xfId="38998" xr:uid="{00000000-0005-0000-0000-000094430000}"/>
    <cellStyle name="Millares 6 5 2 6" xfId="18646" xr:uid="{00000000-0005-0000-0000-000095430000}"/>
    <cellStyle name="Millares 6 5 2 6 2" xfId="45779" xr:uid="{00000000-0005-0000-0000-000096430000}"/>
    <cellStyle name="Millares 6 5 2 7" xfId="32217" xr:uid="{00000000-0005-0000-0000-000097430000}"/>
    <cellStyle name="Millares 6 5 3" xfId="4866" xr:uid="{00000000-0005-0000-0000-000098430000}"/>
    <cellStyle name="Millares 6 5 3 2" xfId="4867" xr:uid="{00000000-0005-0000-0000-000099430000}"/>
    <cellStyle name="Millares 6 5 3 2 2" xfId="8462" xr:uid="{00000000-0005-0000-0000-00009A430000}"/>
    <cellStyle name="Millares 6 5 3 2 2 2" xfId="15252" xr:uid="{00000000-0005-0000-0000-00009B430000}"/>
    <cellStyle name="Millares 6 5 3 2 2 2 2" xfId="28820" xr:uid="{00000000-0005-0000-0000-00009C430000}"/>
    <cellStyle name="Millares 6 5 3 2 2 2 2 2" xfId="55953" xr:uid="{00000000-0005-0000-0000-00009D430000}"/>
    <cellStyle name="Millares 6 5 3 2 2 2 3" xfId="42391" xr:uid="{00000000-0005-0000-0000-00009E430000}"/>
    <cellStyle name="Millares 6 5 3 2 2 3" xfId="22039" xr:uid="{00000000-0005-0000-0000-00009F430000}"/>
    <cellStyle name="Millares 6 5 3 2 2 3 2" xfId="49172" xr:uid="{00000000-0005-0000-0000-0000A0430000}"/>
    <cellStyle name="Millares 6 5 3 2 2 4" xfId="35610" xr:uid="{00000000-0005-0000-0000-0000A1430000}"/>
    <cellStyle name="Millares 6 5 3 2 3" xfId="11863" xr:uid="{00000000-0005-0000-0000-0000A2430000}"/>
    <cellStyle name="Millares 6 5 3 2 3 2" xfId="25431" xr:uid="{00000000-0005-0000-0000-0000A3430000}"/>
    <cellStyle name="Millares 6 5 3 2 3 2 2" xfId="52564" xr:uid="{00000000-0005-0000-0000-0000A4430000}"/>
    <cellStyle name="Millares 6 5 3 2 3 3" xfId="39002" xr:uid="{00000000-0005-0000-0000-0000A5430000}"/>
    <cellStyle name="Millares 6 5 3 2 4" xfId="18650" xr:uid="{00000000-0005-0000-0000-0000A6430000}"/>
    <cellStyle name="Millares 6 5 3 2 4 2" xfId="45783" xr:uid="{00000000-0005-0000-0000-0000A7430000}"/>
    <cellStyle name="Millares 6 5 3 2 5" xfId="32221" xr:uid="{00000000-0005-0000-0000-0000A8430000}"/>
    <cellStyle name="Millares 6 5 3 3" xfId="8461" xr:uid="{00000000-0005-0000-0000-0000A9430000}"/>
    <cellStyle name="Millares 6 5 3 3 2" xfId="15251" xr:uid="{00000000-0005-0000-0000-0000AA430000}"/>
    <cellStyle name="Millares 6 5 3 3 2 2" xfId="28819" xr:uid="{00000000-0005-0000-0000-0000AB430000}"/>
    <cellStyle name="Millares 6 5 3 3 2 2 2" xfId="55952" xr:uid="{00000000-0005-0000-0000-0000AC430000}"/>
    <cellStyle name="Millares 6 5 3 3 2 3" xfId="42390" xr:uid="{00000000-0005-0000-0000-0000AD430000}"/>
    <cellStyle name="Millares 6 5 3 3 3" xfId="22038" xr:uid="{00000000-0005-0000-0000-0000AE430000}"/>
    <cellStyle name="Millares 6 5 3 3 3 2" xfId="49171" xr:uid="{00000000-0005-0000-0000-0000AF430000}"/>
    <cellStyle name="Millares 6 5 3 3 4" xfId="35609" xr:uid="{00000000-0005-0000-0000-0000B0430000}"/>
    <cellStyle name="Millares 6 5 3 4" xfId="11862" xr:uid="{00000000-0005-0000-0000-0000B1430000}"/>
    <cellStyle name="Millares 6 5 3 4 2" xfId="25430" xr:uid="{00000000-0005-0000-0000-0000B2430000}"/>
    <cellStyle name="Millares 6 5 3 4 2 2" xfId="52563" xr:uid="{00000000-0005-0000-0000-0000B3430000}"/>
    <cellStyle name="Millares 6 5 3 4 3" xfId="39001" xr:uid="{00000000-0005-0000-0000-0000B4430000}"/>
    <cellStyle name="Millares 6 5 3 5" xfId="18649" xr:uid="{00000000-0005-0000-0000-0000B5430000}"/>
    <cellStyle name="Millares 6 5 3 5 2" xfId="45782" xr:uid="{00000000-0005-0000-0000-0000B6430000}"/>
    <cellStyle name="Millares 6 5 3 6" xfId="32220" xr:uid="{00000000-0005-0000-0000-0000B7430000}"/>
    <cellStyle name="Millares 6 5 4" xfId="4868" xr:uid="{00000000-0005-0000-0000-0000B8430000}"/>
    <cellStyle name="Millares 6 5 4 2" xfId="8463" xr:uid="{00000000-0005-0000-0000-0000B9430000}"/>
    <cellStyle name="Millares 6 5 4 2 2" xfId="15253" xr:uid="{00000000-0005-0000-0000-0000BA430000}"/>
    <cellStyle name="Millares 6 5 4 2 2 2" xfId="28821" xr:uid="{00000000-0005-0000-0000-0000BB430000}"/>
    <cellStyle name="Millares 6 5 4 2 2 2 2" xfId="55954" xr:uid="{00000000-0005-0000-0000-0000BC430000}"/>
    <cellStyle name="Millares 6 5 4 2 2 3" xfId="42392" xr:uid="{00000000-0005-0000-0000-0000BD430000}"/>
    <cellStyle name="Millares 6 5 4 2 3" xfId="22040" xr:uid="{00000000-0005-0000-0000-0000BE430000}"/>
    <cellStyle name="Millares 6 5 4 2 3 2" xfId="49173" xr:uid="{00000000-0005-0000-0000-0000BF430000}"/>
    <cellStyle name="Millares 6 5 4 2 4" xfId="35611" xr:uid="{00000000-0005-0000-0000-0000C0430000}"/>
    <cellStyle name="Millares 6 5 4 3" xfId="11864" xr:uid="{00000000-0005-0000-0000-0000C1430000}"/>
    <cellStyle name="Millares 6 5 4 3 2" xfId="25432" xr:uid="{00000000-0005-0000-0000-0000C2430000}"/>
    <cellStyle name="Millares 6 5 4 3 2 2" xfId="52565" xr:uid="{00000000-0005-0000-0000-0000C3430000}"/>
    <cellStyle name="Millares 6 5 4 3 3" xfId="39003" xr:uid="{00000000-0005-0000-0000-0000C4430000}"/>
    <cellStyle name="Millares 6 5 4 4" xfId="18651" xr:uid="{00000000-0005-0000-0000-0000C5430000}"/>
    <cellStyle name="Millares 6 5 4 4 2" xfId="45784" xr:uid="{00000000-0005-0000-0000-0000C6430000}"/>
    <cellStyle name="Millares 6 5 4 5" xfId="32222" xr:uid="{00000000-0005-0000-0000-0000C7430000}"/>
    <cellStyle name="Millares 6 5 5" xfId="4869" xr:uid="{00000000-0005-0000-0000-0000C8430000}"/>
    <cellStyle name="Millares 6 5 5 2" xfId="8464" xr:uid="{00000000-0005-0000-0000-0000C9430000}"/>
    <cellStyle name="Millares 6 5 5 2 2" xfId="15254" xr:uid="{00000000-0005-0000-0000-0000CA430000}"/>
    <cellStyle name="Millares 6 5 5 2 2 2" xfId="28822" xr:uid="{00000000-0005-0000-0000-0000CB430000}"/>
    <cellStyle name="Millares 6 5 5 2 2 2 2" xfId="55955" xr:uid="{00000000-0005-0000-0000-0000CC430000}"/>
    <cellStyle name="Millares 6 5 5 2 2 3" xfId="42393" xr:uid="{00000000-0005-0000-0000-0000CD430000}"/>
    <cellStyle name="Millares 6 5 5 2 3" xfId="22041" xr:uid="{00000000-0005-0000-0000-0000CE430000}"/>
    <cellStyle name="Millares 6 5 5 2 3 2" xfId="49174" xr:uid="{00000000-0005-0000-0000-0000CF430000}"/>
    <cellStyle name="Millares 6 5 5 2 4" xfId="35612" xr:uid="{00000000-0005-0000-0000-0000D0430000}"/>
    <cellStyle name="Millares 6 5 5 3" xfId="11865" xr:uid="{00000000-0005-0000-0000-0000D1430000}"/>
    <cellStyle name="Millares 6 5 5 3 2" xfId="25433" xr:uid="{00000000-0005-0000-0000-0000D2430000}"/>
    <cellStyle name="Millares 6 5 5 3 2 2" xfId="52566" xr:uid="{00000000-0005-0000-0000-0000D3430000}"/>
    <cellStyle name="Millares 6 5 5 3 3" xfId="39004" xr:uid="{00000000-0005-0000-0000-0000D4430000}"/>
    <cellStyle name="Millares 6 5 5 4" xfId="18652" xr:uid="{00000000-0005-0000-0000-0000D5430000}"/>
    <cellStyle name="Millares 6 5 5 4 2" xfId="45785" xr:uid="{00000000-0005-0000-0000-0000D6430000}"/>
    <cellStyle name="Millares 6 5 5 5" xfId="32223" xr:uid="{00000000-0005-0000-0000-0000D7430000}"/>
    <cellStyle name="Millares 6 5 6" xfId="8457" xr:uid="{00000000-0005-0000-0000-0000D8430000}"/>
    <cellStyle name="Millares 6 5 6 2" xfId="15247" xr:uid="{00000000-0005-0000-0000-0000D9430000}"/>
    <cellStyle name="Millares 6 5 6 2 2" xfId="28815" xr:uid="{00000000-0005-0000-0000-0000DA430000}"/>
    <cellStyle name="Millares 6 5 6 2 2 2" xfId="55948" xr:uid="{00000000-0005-0000-0000-0000DB430000}"/>
    <cellStyle name="Millares 6 5 6 2 3" xfId="42386" xr:uid="{00000000-0005-0000-0000-0000DC430000}"/>
    <cellStyle name="Millares 6 5 6 3" xfId="22034" xr:uid="{00000000-0005-0000-0000-0000DD430000}"/>
    <cellStyle name="Millares 6 5 6 3 2" xfId="49167" xr:uid="{00000000-0005-0000-0000-0000DE430000}"/>
    <cellStyle name="Millares 6 5 6 4" xfId="35605" xr:uid="{00000000-0005-0000-0000-0000DF430000}"/>
    <cellStyle name="Millares 6 5 7" xfId="11858" xr:uid="{00000000-0005-0000-0000-0000E0430000}"/>
    <cellStyle name="Millares 6 5 7 2" xfId="25426" xr:uid="{00000000-0005-0000-0000-0000E1430000}"/>
    <cellStyle name="Millares 6 5 7 2 2" xfId="52559" xr:uid="{00000000-0005-0000-0000-0000E2430000}"/>
    <cellStyle name="Millares 6 5 7 3" xfId="38997" xr:uid="{00000000-0005-0000-0000-0000E3430000}"/>
    <cellStyle name="Millares 6 5 8" xfId="18645" xr:uid="{00000000-0005-0000-0000-0000E4430000}"/>
    <cellStyle name="Millares 6 5 8 2" xfId="45778" xr:uid="{00000000-0005-0000-0000-0000E5430000}"/>
    <cellStyle name="Millares 6 5 9" xfId="32216" xr:uid="{00000000-0005-0000-0000-0000E6430000}"/>
    <cellStyle name="Millares 6 6" xfId="4870" xr:uid="{00000000-0005-0000-0000-0000E7430000}"/>
    <cellStyle name="Millares 6 6 2" xfId="4871" xr:uid="{00000000-0005-0000-0000-0000E8430000}"/>
    <cellStyle name="Millares 6 6 2 2" xfId="4872" xr:uid="{00000000-0005-0000-0000-0000E9430000}"/>
    <cellStyle name="Millares 6 6 2 2 2" xfId="8467" xr:uid="{00000000-0005-0000-0000-0000EA430000}"/>
    <cellStyle name="Millares 6 6 2 2 2 2" xfId="15257" xr:uid="{00000000-0005-0000-0000-0000EB430000}"/>
    <cellStyle name="Millares 6 6 2 2 2 2 2" xfId="28825" xr:uid="{00000000-0005-0000-0000-0000EC430000}"/>
    <cellStyle name="Millares 6 6 2 2 2 2 2 2" xfId="55958" xr:uid="{00000000-0005-0000-0000-0000ED430000}"/>
    <cellStyle name="Millares 6 6 2 2 2 2 3" xfId="42396" xr:uid="{00000000-0005-0000-0000-0000EE430000}"/>
    <cellStyle name="Millares 6 6 2 2 2 3" xfId="22044" xr:uid="{00000000-0005-0000-0000-0000EF430000}"/>
    <cellStyle name="Millares 6 6 2 2 2 3 2" xfId="49177" xr:uid="{00000000-0005-0000-0000-0000F0430000}"/>
    <cellStyle name="Millares 6 6 2 2 2 4" xfId="35615" xr:uid="{00000000-0005-0000-0000-0000F1430000}"/>
    <cellStyle name="Millares 6 6 2 2 3" xfId="11868" xr:uid="{00000000-0005-0000-0000-0000F2430000}"/>
    <cellStyle name="Millares 6 6 2 2 3 2" xfId="25436" xr:uid="{00000000-0005-0000-0000-0000F3430000}"/>
    <cellStyle name="Millares 6 6 2 2 3 2 2" xfId="52569" xr:uid="{00000000-0005-0000-0000-0000F4430000}"/>
    <cellStyle name="Millares 6 6 2 2 3 3" xfId="39007" xr:uid="{00000000-0005-0000-0000-0000F5430000}"/>
    <cellStyle name="Millares 6 6 2 2 4" xfId="18655" xr:uid="{00000000-0005-0000-0000-0000F6430000}"/>
    <cellStyle name="Millares 6 6 2 2 4 2" xfId="45788" xr:uid="{00000000-0005-0000-0000-0000F7430000}"/>
    <cellStyle name="Millares 6 6 2 2 5" xfId="32226" xr:uid="{00000000-0005-0000-0000-0000F8430000}"/>
    <cellStyle name="Millares 6 6 2 3" xfId="4873" xr:uid="{00000000-0005-0000-0000-0000F9430000}"/>
    <cellStyle name="Millares 6 6 2 3 2" xfId="8468" xr:uid="{00000000-0005-0000-0000-0000FA430000}"/>
    <cellStyle name="Millares 6 6 2 3 2 2" xfId="15258" xr:uid="{00000000-0005-0000-0000-0000FB430000}"/>
    <cellStyle name="Millares 6 6 2 3 2 2 2" xfId="28826" xr:uid="{00000000-0005-0000-0000-0000FC430000}"/>
    <cellStyle name="Millares 6 6 2 3 2 2 2 2" xfId="55959" xr:uid="{00000000-0005-0000-0000-0000FD430000}"/>
    <cellStyle name="Millares 6 6 2 3 2 2 3" xfId="42397" xr:uid="{00000000-0005-0000-0000-0000FE430000}"/>
    <cellStyle name="Millares 6 6 2 3 2 3" xfId="22045" xr:uid="{00000000-0005-0000-0000-0000FF430000}"/>
    <cellStyle name="Millares 6 6 2 3 2 3 2" xfId="49178" xr:uid="{00000000-0005-0000-0000-000000440000}"/>
    <cellStyle name="Millares 6 6 2 3 2 4" xfId="35616" xr:uid="{00000000-0005-0000-0000-000001440000}"/>
    <cellStyle name="Millares 6 6 2 3 3" xfId="11869" xr:uid="{00000000-0005-0000-0000-000002440000}"/>
    <cellStyle name="Millares 6 6 2 3 3 2" xfId="25437" xr:uid="{00000000-0005-0000-0000-000003440000}"/>
    <cellStyle name="Millares 6 6 2 3 3 2 2" xfId="52570" xr:uid="{00000000-0005-0000-0000-000004440000}"/>
    <cellStyle name="Millares 6 6 2 3 3 3" xfId="39008" xr:uid="{00000000-0005-0000-0000-000005440000}"/>
    <cellStyle name="Millares 6 6 2 3 4" xfId="18656" xr:uid="{00000000-0005-0000-0000-000006440000}"/>
    <cellStyle name="Millares 6 6 2 3 4 2" xfId="45789" xr:uid="{00000000-0005-0000-0000-000007440000}"/>
    <cellStyle name="Millares 6 6 2 3 5" xfId="32227" xr:uid="{00000000-0005-0000-0000-000008440000}"/>
    <cellStyle name="Millares 6 6 2 4" xfId="8466" xr:uid="{00000000-0005-0000-0000-000009440000}"/>
    <cellStyle name="Millares 6 6 2 4 2" xfId="15256" xr:uid="{00000000-0005-0000-0000-00000A440000}"/>
    <cellStyle name="Millares 6 6 2 4 2 2" xfId="28824" xr:uid="{00000000-0005-0000-0000-00000B440000}"/>
    <cellStyle name="Millares 6 6 2 4 2 2 2" xfId="55957" xr:uid="{00000000-0005-0000-0000-00000C440000}"/>
    <cellStyle name="Millares 6 6 2 4 2 3" xfId="42395" xr:uid="{00000000-0005-0000-0000-00000D440000}"/>
    <cellStyle name="Millares 6 6 2 4 3" xfId="22043" xr:uid="{00000000-0005-0000-0000-00000E440000}"/>
    <cellStyle name="Millares 6 6 2 4 3 2" xfId="49176" xr:uid="{00000000-0005-0000-0000-00000F440000}"/>
    <cellStyle name="Millares 6 6 2 4 4" xfId="35614" xr:uid="{00000000-0005-0000-0000-000010440000}"/>
    <cellStyle name="Millares 6 6 2 5" xfId="11867" xr:uid="{00000000-0005-0000-0000-000011440000}"/>
    <cellStyle name="Millares 6 6 2 5 2" xfId="25435" xr:uid="{00000000-0005-0000-0000-000012440000}"/>
    <cellStyle name="Millares 6 6 2 5 2 2" xfId="52568" xr:uid="{00000000-0005-0000-0000-000013440000}"/>
    <cellStyle name="Millares 6 6 2 5 3" xfId="39006" xr:uid="{00000000-0005-0000-0000-000014440000}"/>
    <cellStyle name="Millares 6 6 2 6" xfId="18654" xr:uid="{00000000-0005-0000-0000-000015440000}"/>
    <cellStyle name="Millares 6 6 2 6 2" xfId="45787" xr:uid="{00000000-0005-0000-0000-000016440000}"/>
    <cellStyle name="Millares 6 6 2 7" xfId="32225" xr:uid="{00000000-0005-0000-0000-000017440000}"/>
    <cellStyle name="Millares 6 6 3" xfId="4874" xr:uid="{00000000-0005-0000-0000-000018440000}"/>
    <cellStyle name="Millares 6 6 3 2" xfId="8469" xr:uid="{00000000-0005-0000-0000-000019440000}"/>
    <cellStyle name="Millares 6 6 3 2 2" xfId="15259" xr:uid="{00000000-0005-0000-0000-00001A440000}"/>
    <cellStyle name="Millares 6 6 3 2 2 2" xfId="28827" xr:uid="{00000000-0005-0000-0000-00001B440000}"/>
    <cellStyle name="Millares 6 6 3 2 2 2 2" xfId="55960" xr:uid="{00000000-0005-0000-0000-00001C440000}"/>
    <cellStyle name="Millares 6 6 3 2 2 3" xfId="42398" xr:uid="{00000000-0005-0000-0000-00001D440000}"/>
    <cellStyle name="Millares 6 6 3 2 3" xfId="22046" xr:uid="{00000000-0005-0000-0000-00001E440000}"/>
    <cellStyle name="Millares 6 6 3 2 3 2" xfId="49179" xr:uid="{00000000-0005-0000-0000-00001F440000}"/>
    <cellStyle name="Millares 6 6 3 2 4" xfId="35617" xr:uid="{00000000-0005-0000-0000-000020440000}"/>
    <cellStyle name="Millares 6 6 3 3" xfId="11870" xr:uid="{00000000-0005-0000-0000-000021440000}"/>
    <cellStyle name="Millares 6 6 3 3 2" xfId="25438" xr:uid="{00000000-0005-0000-0000-000022440000}"/>
    <cellStyle name="Millares 6 6 3 3 2 2" xfId="52571" xr:uid="{00000000-0005-0000-0000-000023440000}"/>
    <cellStyle name="Millares 6 6 3 3 3" xfId="39009" xr:uid="{00000000-0005-0000-0000-000024440000}"/>
    <cellStyle name="Millares 6 6 3 4" xfId="18657" xr:uid="{00000000-0005-0000-0000-000025440000}"/>
    <cellStyle name="Millares 6 6 3 4 2" xfId="45790" xr:uid="{00000000-0005-0000-0000-000026440000}"/>
    <cellStyle name="Millares 6 6 3 5" xfId="32228" xr:uid="{00000000-0005-0000-0000-000027440000}"/>
    <cellStyle name="Millares 6 6 4" xfId="4875" xr:uid="{00000000-0005-0000-0000-000028440000}"/>
    <cellStyle name="Millares 6 6 4 2" xfId="8470" xr:uid="{00000000-0005-0000-0000-000029440000}"/>
    <cellStyle name="Millares 6 6 4 2 2" xfId="15260" xr:uid="{00000000-0005-0000-0000-00002A440000}"/>
    <cellStyle name="Millares 6 6 4 2 2 2" xfId="28828" xr:uid="{00000000-0005-0000-0000-00002B440000}"/>
    <cellStyle name="Millares 6 6 4 2 2 2 2" xfId="55961" xr:uid="{00000000-0005-0000-0000-00002C440000}"/>
    <cellStyle name="Millares 6 6 4 2 2 3" xfId="42399" xr:uid="{00000000-0005-0000-0000-00002D440000}"/>
    <cellStyle name="Millares 6 6 4 2 3" xfId="22047" xr:uid="{00000000-0005-0000-0000-00002E440000}"/>
    <cellStyle name="Millares 6 6 4 2 3 2" xfId="49180" xr:uid="{00000000-0005-0000-0000-00002F440000}"/>
    <cellStyle name="Millares 6 6 4 2 4" xfId="35618" xr:uid="{00000000-0005-0000-0000-000030440000}"/>
    <cellStyle name="Millares 6 6 4 3" xfId="11871" xr:uid="{00000000-0005-0000-0000-000031440000}"/>
    <cellStyle name="Millares 6 6 4 3 2" xfId="25439" xr:uid="{00000000-0005-0000-0000-000032440000}"/>
    <cellStyle name="Millares 6 6 4 3 2 2" xfId="52572" xr:uid="{00000000-0005-0000-0000-000033440000}"/>
    <cellStyle name="Millares 6 6 4 3 3" xfId="39010" xr:uid="{00000000-0005-0000-0000-000034440000}"/>
    <cellStyle name="Millares 6 6 4 4" xfId="18658" xr:uid="{00000000-0005-0000-0000-000035440000}"/>
    <cellStyle name="Millares 6 6 4 4 2" xfId="45791" xr:uid="{00000000-0005-0000-0000-000036440000}"/>
    <cellStyle name="Millares 6 6 4 5" xfId="32229" xr:uid="{00000000-0005-0000-0000-000037440000}"/>
    <cellStyle name="Millares 6 6 5" xfId="8465" xr:uid="{00000000-0005-0000-0000-000038440000}"/>
    <cellStyle name="Millares 6 6 5 2" xfId="15255" xr:uid="{00000000-0005-0000-0000-000039440000}"/>
    <cellStyle name="Millares 6 6 5 2 2" xfId="28823" xr:uid="{00000000-0005-0000-0000-00003A440000}"/>
    <cellStyle name="Millares 6 6 5 2 2 2" xfId="55956" xr:uid="{00000000-0005-0000-0000-00003B440000}"/>
    <cellStyle name="Millares 6 6 5 2 3" xfId="42394" xr:uid="{00000000-0005-0000-0000-00003C440000}"/>
    <cellStyle name="Millares 6 6 5 3" xfId="22042" xr:uid="{00000000-0005-0000-0000-00003D440000}"/>
    <cellStyle name="Millares 6 6 5 3 2" xfId="49175" xr:uid="{00000000-0005-0000-0000-00003E440000}"/>
    <cellStyle name="Millares 6 6 5 4" xfId="35613" xr:uid="{00000000-0005-0000-0000-00003F440000}"/>
    <cellStyle name="Millares 6 6 6" xfId="11866" xr:uid="{00000000-0005-0000-0000-000040440000}"/>
    <cellStyle name="Millares 6 6 6 2" xfId="25434" xr:uid="{00000000-0005-0000-0000-000041440000}"/>
    <cellStyle name="Millares 6 6 6 2 2" xfId="52567" xr:uid="{00000000-0005-0000-0000-000042440000}"/>
    <cellStyle name="Millares 6 6 6 3" xfId="39005" xr:uid="{00000000-0005-0000-0000-000043440000}"/>
    <cellStyle name="Millares 6 6 7" xfId="18653" xr:uid="{00000000-0005-0000-0000-000044440000}"/>
    <cellStyle name="Millares 6 6 7 2" xfId="45786" xr:uid="{00000000-0005-0000-0000-000045440000}"/>
    <cellStyle name="Millares 6 6 8" xfId="32224" xr:uid="{00000000-0005-0000-0000-000046440000}"/>
    <cellStyle name="Millares 6 7" xfId="4876" xr:uid="{00000000-0005-0000-0000-000047440000}"/>
    <cellStyle name="Millares 6 7 2" xfId="4877" xr:uid="{00000000-0005-0000-0000-000048440000}"/>
    <cellStyle name="Millares 6 7 2 2" xfId="4878" xr:uid="{00000000-0005-0000-0000-000049440000}"/>
    <cellStyle name="Millares 6 7 2 2 2" xfId="8473" xr:uid="{00000000-0005-0000-0000-00004A440000}"/>
    <cellStyle name="Millares 6 7 2 2 2 2" xfId="15263" xr:uid="{00000000-0005-0000-0000-00004B440000}"/>
    <cellStyle name="Millares 6 7 2 2 2 2 2" xfId="28831" xr:uid="{00000000-0005-0000-0000-00004C440000}"/>
    <cellStyle name="Millares 6 7 2 2 2 2 2 2" xfId="55964" xr:uid="{00000000-0005-0000-0000-00004D440000}"/>
    <cellStyle name="Millares 6 7 2 2 2 2 3" xfId="42402" xr:uid="{00000000-0005-0000-0000-00004E440000}"/>
    <cellStyle name="Millares 6 7 2 2 2 3" xfId="22050" xr:uid="{00000000-0005-0000-0000-00004F440000}"/>
    <cellStyle name="Millares 6 7 2 2 2 3 2" xfId="49183" xr:uid="{00000000-0005-0000-0000-000050440000}"/>
    <cellStyle name="Millares 6 7 2 2 2 4" xfId="35621" xr:uid="{00000000-0005-0000-0000-000051440000}"/>
    <cellStyle name="Millares 6 7 2 2 3" xfId="11874" xr:uid="{00000000-0005-0000-0000-000052440000}"/>
    <cellStyle name="Millares 6 7 2 2 3 2" xfId="25442" xr:uid="{00000000-0005-0000-0000-000053440000}"/>
    <cellStyle name="Millares 6 7 2 2 3 2 2" xfId="52575" xr:uid="{00000000-0005-0000-0000-000054440000}"/>
    <cellStyle name="Millares 6 7 2 2 3 3" xfId="39013" xr:uid="{00000000-0005-0000-0000-000055440000}"/>
    <cellStyle name="Millares 6 7 2 2 4" xfId="18661" xr:uid="{00000000-0005-0000-0000-000056440000}"/>
    <cellStyle name="Millares 6 7 2 2 4 2" xfId="45794" xr:uid="{00000000-0005-0000-0000-000057440000}"/>
    <cellStyle name="Millares 6 7 2 2 5" xfId="32232" xr:uid="{00000000-0005-0000-0000-000058440000}"/>
    <cellStyle name="Millares 6 7 2 3" xfId="4879" xr:uid="{00000000-0005-0000-0000-000059440000}"/>
    <cellStyle name="Millares 6 7 2 3 2" xfId="8474" xr:uid="{00000000-0005-0000-0000-00005A440000}"/>
    <cellStyle name="Millares 6 7 2 3 2 2" xfId="15264" xr:uid="{00000000-0005-0000-0000-00005B440000}"/>
    <cellStyle name="Millares 6 7 2 3 2 2 2" xfId="28832" xr:uid="{00000000-0005-0000-0000-00005C440000}"/>
    <cellStyle name="Millares 6 7 2 3 2 2 2 2" xfId="55965" xr:uid="{00000000-0005-0000-0000-00005D440000}"/>
    <cellStyle name="Millares 6 7 2 3 2 2 3" xfId="42403" xr:uid="{00000000-0005-0000-0000-00005E440000}"/>
    <cellStyle name="Millares 6 7 2 3 2 3" xfId="22051" xr:uid="{00000000-0005-0000-0000-00005F440000}"/>
    <cellStyle name="Millares 6 7 2 3 2 3 2" xfId="49184" xr:uid="{00000000-0005-0000-0000-000060440000}"/>
    <cellStyle name="Millares 6 7 2 3 2 4" xfId="35622" xr:uid="{00000000-0005-0000-0000-000061440000}"/>
    <cellStyle name="Millares 6 7 2 3 3" xfId="11875" xr:uid="{00000000-0005-0000-0000-000062440000}"/>
    <cellStyle name="Millares 6 7 2 3 3 2" xfId="25443" xr:uid="{00000000-0005-0000-0000-000063440000}"/>
    <cellStyle name="Millares 6 7 2 3 3 2 2" xfId="52576" xr:uid="{00000000-0005-0000-0000-000064440000}"/>
    <cellStyle name="Millares 6 7 2 3 3 3" xfId="39014" xr:uid="{00000000-0005-0000-0000-000065440000}"/>
    <cellStyle name="Millares 6 7 2 3 4" xfId="18662" xr:uid="{00000000-0005-0000-0000-000066440000}"/>
    <cellStyle name="Millares 6 7 2 3 4 2" xfId="45795" xr:uid="{00000000-0005-0000-0000-000067440000}"/>
    <cellStyle name="Millares 6 7 2 3 5" xfId="32233" xr:uid="{00000000-0005-0000-0000-000068440000}"/>
    <cellStyle name="Millares 6 7 2 4" xfId="8472" xr:uid="{00000000-0005-0000-0000-000069440000}"/>
    <cellStyle name="Millares 6 7 2 4 2" xfId="15262" xr:uid="{00000000-0005-0000-0000-00006A440000}"/>
    <cellStyle name="Millares 6 7 2 4 2 2" xfId="28830" xr:uid="{00000000-0005-0000-0000-00006B440000}"/>
    <cellStyle name="Millares 6 7 2 4 2 2 2" xfId="55963" xr:uid="{00000000-0005-0000-0000-00006C440000}"/>
    <cellStyle name="Millares 6 7 2 4 2 3" xfId="42401" xr:uid="{00000000-0005-0000-0000-00006D440000}"/>
    <cellStyle name="Millares 6 7 2 4 3" xfId="22049" xr:uid="{00000000-0005-0000-0000-00006E440000}"/>
    <cellStyle name="Millares 6 7 2 4 3 2" xfId="49182" xr:uid="{00000000-0005-0000-0000-00006F440000}"/>
    <cellStyle name="Millares 6 7 2 4 4" xfId="35620" xr:uid="{00000000-0005-0000-0000-000070440000}"/>
    <cellStyle name="Millares 6 7 2 5" xfId="11873" xr:uid="{00000000-0005-0000-0000-000071440000}"/>
    <cellStyle name="Millares 6 7 2 5 2" xfId="25441" xr:uid="{00000000-0005-0000-0000-000072440000}"/>
    <cellStyle name="Millares 6 7 2 5 2 2" xfId="52574" xr:uid="{00000000-0005-0000-0000-000073440000}"/>
    <cellStyle name="Millares 6 7 2 5 3" xfId="39012" xr:uid="{00000000-0005-0000-0000-000074440000}"/>
    <cellStyle name="Millares 6 7 2 6" xfId="18660" xr:uid="{00000000-0005-0000-0000-000075440000}"/>
    <cellStyle name="Millares 6 7 2 6 2" xfId="45793" xr:uid="{00000000-0005-0000-0000-000076440000}"/>
    <cellStyle name="Millares 6 7 2 7" xfId="32231" xr:uid="{00000000-0005-0000-0000-000077440000}"/>
    <cellStyle name="Millares 6 7 3" xfId="4880" xr:uid="{00000000-0005-0000-0000-000078440000}"/>
    <cellStyle name="Millares 6 7 3 2" xfId="8475" xr:uid="{00000000-0005-0000-0000-000079440000}"/>
    <cellStyle name="Millares 6 7 3 2 2" xfId="15265" xr:uid="{00000000-0005-0000-0000-00007A440000}"/>
    <cellStyle name="Millares 6 7 3 2 2 2" xfId="28833" xr:uid="{00000000-0005-0000-0000-00007B440000}"/>
    <cellStyle name="Millares 6 7 3 2 2 2 2" xfId="55966" xr:uid="{00000000-0005-0000-0000-00007C440000}"/>
    <cellStyle name="Millares 6 7 3 2 2 3" xfId="42404" xr:uid="{00000000-0005-0000-0000-00007D440000}"/>
    <cellStyle name="Millares 6 7 3 2 3" xfId="22052" xr:uid="{00000000-0005-0000-0000-00007E440000}"/>
    <cellStyle name="Millares 6 7 3 2 3 2" xfId="49185" xr:uid="{00000000-0005-0000-0000-00007F440000}"/>
    <cellStyle name="Millares 6 7 3 2 4" xfId="35623" xr:uid="{00000000-0005-0000-0000-000080440000}"/>
    <cellStyle name="Millares 6 7 3 3" xfId="11876" xr:uid="{00000000-0005-0000-0000-000081440000}"/>
    <cellStyle name="Millares 6 7 3 3 2" xfId="25444" xr:uid="{00000000-0005-0000-0000-000082440000}"/>
    <cellStyle name="Millares 6 7 3 3 2 2" xfId="52577" xr:uid="{00000000-0005-0000-0000-000083440000}"/>
    <cellStyle name="Millares 6 7 3 3 3" xfId="39015" xr:uid="{00000000-0005-0000-0000-000084440000}"/>
    <cellStyle name="Millares 6 7 3 4" xfId="18663" xr:uid="{00000000-0005-0000-0000-000085440000}"/>
    <cellStyle name="Millares 6 7 3 4 2" xfId="45796" xr:uid="{00000000-0005-0000-0000-000086440000}"/>
    <cellStyle name="Millares 6 7 3 5" xfId="32234" xr:uid="{00000000-0005-0000-0000-000087440000}"/>
    <cellStyle name="Millares 6 7 4" xfId="4881" xr:uid="{00000000-0005-0000-0000-000088440000}"/>
    <cellStyle name="Millares 6 7 4 2" xfId="8476" xr:uid="{00000000-0005-0000-0000-000089440000}"/>
    <cellStyle name="Millares 6 7 4 2 2" xfId="15266" xr:uid="{00000000-0005-0000-0000-00008A440000}"/>
    <cellStyle name="Millares 6 7 4 2 2 2" xfId="28834" xr:uid="{00000000-0005-0000-0000-00008B440000}"/>
    <cellStyle name="Millares 6 7 4 2 2 2 2" xfId="55967" xr:uid="{00000000-0005-0000-0000-00008C440000}"/>
    <cellStyle name="Millares 6 7 4 2 2 3" xfId="42405" xr:uid="{00000000-0005-0000-0000-00008D440000}"/>
    <cellStyle name="Millares 6 7 4 2 3" xfId="22053" xr:uid="{00000000-0005-0000-0000-00008E440000}"/>
    <cellStyle name="Millares 6 7 4 2 3 2" xfId="49186" xr:uid="{00000000-0005-0000-0000-00008F440000}"/>
    <cellStyle name="Millares 6 7 4 2 4" xfId="35624" xr:uid="{00000000-0005-0000-0000-000090440000}"/>
    <cellStyle name="Millares 6 7 4 3" xfId="11877" xr:uid="{00000000-0005-0000-0000-000091440000}"/>
    <cellStyle name="Millares 6 7 4 3 2" xfId="25445" xr:uid="{00000000-0005-0000-0000-000092440000}"/>
    <cellStyle name="Millares 6 7 4 3 2 2" xfId="52578" xr:uid="{00000000-0005-0000-0000-000093440000}"/>
    <cellStyle name="Millares 6 7 4 3 3" xfId="39016" xr:uid="{00000000-0005-0000-0000-000094440000}"/>
    <cellStyle name="Millares 6 7 4 4" xfId="18664" xr:uid="{00000000-0005-0000-0000-000095440000}"/>
    <cellStyle name="Millares 6 7 4 4 2" xfId="45797" xr:uid="{00000000-0005-0000-0000-000096440000}"/>
    <cellStyle name="Millares 6 7 4 5" xfId="32235" xr:uid="{00000000-0005-0000-0000-000097440000}"/>
    <cellStyle name="Millares 6 7 5" xfId="8471" xr:uid="{00000000-0005-0000-0000-000098440000}"/>
    <cellStyle name="Millares 6 7 5 2" xfId="15261" xr:uid="{00000000-0005-0000-0000-000099440000}"/>
    <cellStyle name="Millares 6 7 5 2 2" xfId="28829" xr:uid="{00000000-0005-0000-0000-00009A440000}"/>
    <cellStyle name="Millares 6 7 5 2 2 2" xfId="55962" xr:uid="{00000000-0005-0000-0000-00009B440000}"/>
    <cellStyle name="Millares 6 7 5 2 3" xfId="42400" xr:uid="{00000000-0005-0000-0000-00009C440000}"/>
    <cellStyle name="Millares 6 7 5 3" xfId="22048" xr:uid="{00000000-0005-0000-0000-00009D440000}"/>
    <cellStyle name="Millares 6 7 5 3 2" xfId="49181" xr:uid="{00000000-0005-0000-0000-00009E440000}"/>
    <cellStyle name="Millares 6 7 5 4" xfId="35619" xr:uid="{00000000-0005-0000-0000-00009F440000}"/>
    <cellStyle name="Millares 6 7 6" xfId="11872" xr:uid="{00000000-0005-0000-0000-0000A0440000}"/>
    <cellStyle name="Millares 6 7 6 2" xfId="25440" xr:uid="{00000000-0005-0000-0000-0000A1440000}"/>
    <cellStyle name="Millares 6 7 6 2 2" xfId="52573" xr:uid="{00000000-0005-0000-0000-0000A2440000}"/>
    <cellStyle name="Millares 6 7 6 3" xfId="39011" xr:uid="{00000000-0005-0000-0000-0000A3440000}"/>
    <cellStyle name="Millares 6 7 7" xfId="18659" xr:uid="{00000000-0005-0000-0000-0000A4440000}"/>
    <cellStyle name="Millares 6 7 7 2" xfId="45792" xr:uid="{00000000-0005-0000-0000-0000A5440000}"/>
    <cellStyle name="Millares 6 7 8" xfId="32230" xr:uid="{00000000-0005-0000-0000-0000A6440000}"/>
    <cellStyle name="Millares 6 8" xfId="4882" xr:uid="{00000000-0005-0000-0000-0000A7440000}"/>
    <cellStyle name="Millares 6 8 2" xfId="4883" xr:uid="{00000000-0005-0000-0000-0000A8440000}"/>
    <cellStyle name="Millares 6 8 2 2" xfId="8478" xr:uid="{00000000-0005-0000-0000-0000A9440000}"/>
    <cellStyle name="Millares 6 8 2 2 2" xfId="15268" xr:uid="{00000000-0005-0000-0000-0000AA440000}"/>
    <cellStyle name="Millares 6 8 2 2 2 2" xfId="28836" xr:uid="{00000000-0005-0000-0000-0000AB440000}"/>
    <cellStyle name="Millares 6 8 2 2 2 2 2" xfId="55969" xr:uid="{00000000-0005-0000-0000-0000AC440000}"/>
    <cellStyle name="Millares 6 8 2 2 2 3" xfId="42407" xr:uid="{00000000-0005-0000-0000-0000AD440000}"/>
    <cellStyle name="Millares 6 8 2 2 3" xfId="22055" xr:uid="{00000000-0005-0000-0000-0000AE440000}"/>
    <cellStyle name="Millares 6 8 2 2 3 2" xfId="49188" xr:uid="{00000000-0005-0000-0000-0000AF440000}"/>
    <cellStyle name="Millares 6 8 2 2 4" xfId="35626" xr:uid="{00000000-0005-0000-0000-0000B0440000}"/>
    <cellStyle name="Millares 6 8 2 3" xfId="11879" xr:uid="{00000000-0005-0000-0000-0000B1440000}"/>
    <cellStyle name="Millares 6 8 2 3 2" xfId="25447" xr:uid="{00000000-0005-0000-0000-0000B2440000}"/>
    <cellStyle name="Millares 6 8 2 3 2 2" xfId="52580" xr:uid="{00000000-0005-0000-0000-0000B3440000}"/>
    <cellStyle name="Millares 6 8 2 3 3" xfId="39018" xr:uid="{00000000-0005-0000-0000-0000B4440000}"/>
    <cellStyle name="Millares 6 8 2 4" xfId="18666" xr:uid="{00000000-0005-0000-0000-0000B5440000}"/>
    <cellStyle name="Millares 6 8 2 4 2" xfId="45799" xr:uid="{00000000-0005-0000-0000-0000B6440000}"/>
    <cellStyle name="Millares 6 8 2 5" xfId="32237" xr:uid="{00000000-0005-0000-0000-0000B7440000}"/>
    <cellStyle name="Millares 6 8 3" xfId="8477" xr:uid="{00000000-0005-0000-0000-0000B8440000}"/>
    <cellStyle name="Millares 6 8 3 2" xfId="15267" xr:uid="{00000000-0005-0000-0000-0000B9440000}"/>
    <cellStyle name="Millares 6 8 3 2 2" xfId="28835" xr:uid="{00000000-0005-0000-0000-0000BA440000}"/>
    <cellStyle name="Millares 6 8 3 2 2 2" xfId="55968" xr:uid="{00000000-0005-0000-0000-0000BB440000}"/>
    <cellStyle name="Millares 6 8 3 2 3" xfId="42406" xr:uid="{00000000-0005-0000-0000-0000BC440000}"/>
    <cellStyle name="Millares 6 8 3 3" xfId="22054" xr:uid="{00000000-0005-0000-0000-0000BD440000}"/>
    <cellStyle name="Millares 6 8 3 3 2" xfId="49187" xr:uid="{00000000-0005-0000-0000-0000BE440000}"/>
    <cellStyle name="Millares 6 8 3 4" xfId="35625" xr:uid="{00000000-0005-0000-0000-0000BF440000}"/>
    <cellStyle name="Millares 6 8 4" xfId="11878" xr:uid="{00000000-0005-0000-0000-0000C0440000}"/>
    <cellStyle name="Millares 6 8 4 2" xfId="25446" xr:uid="{00000000-0005-0000-0000-0000C1440000}"/>
    <cellStyle name="Millares 6 8 4 2 2" xfId="52579" xr:uid="{00000000-0005-0000-0000-0000C2440000}"/>
    <cellStyle name="Millares 6 8 4 3" xfId="39017" xr:uid="{00000000-0005-0000-0000-0000C3440000}"/>
    <cellStyle name="Millares 6 8 5" xfId="18665" xr:uid="{00000000-0005-0000-0000-0000C4440000}"/>
    <cellStyle name="Millares 6 8 5 2" xfId="45798" xr:uid="{00000000-0005-0000-0000-0000C5440000}"/>
    <cellStyle name="Millares 6 8 6" xfId="32236" xr:uid="{00000000-0005-0000-0000-0000C6440000}"/>
    <cellStyle name="Millares 6 9" xfId="4884" xr:uid="{00000000-0005-0000-0000-0000C7440000}"/>
    <cellStyle name="Millares 6 9 2" xfId="8479" xr:uid="{00000000-0005-0000-0000-0000C8440000}"/>
    <cellStyle name="Millares 6 9 2 2" xfId="15269" xr:uid="{00000000-0005-0000-0000-0000C9440000}"/>
    <cellStyle name="Millares 6 9 2 2 2" xfId="28837" xr:uid="{00000000-0005-0000-0000-0000CA440000}"/>
    <cellStyle name="Millares 6 9 2 2 2 2" xfId="55970" xr:uid="{00000000-0005-0000-0000-0000CB440000}"/>
    <cellStyle name="Millares 6 9 2 2 3" xfId="42408" xr:uid="{00000000-0005-0000-0000-0000CC440000}"/>
    <cellStyle name="Millares 6 9 2 3" xfId="22056" xr:uid="{00000000-0005-0000-0000-0000CD440000}"/>
    <cellStyle name="Millares 6 9 2 3 2" xfId="49189" xr:uid="{00000000-0005-0000-0000-0000CE440000}"/>
    <cellStyle name="Millares 6 9 2 4" xfId="35627" xr:uid="{00000000-0005-0000-0000-0000CF440000}"/>
    <cellStyle name="Millares 6 9 3" xfId="11880" xr:uid="{00000000-0005-0000-0000-0000D0440000}"/>
    <cellStyle name="Millares 6 9 3 2" xfId="25448" xr:uid="{00000000-0005-0000-0000-0000D1440000}"/>
    <cellStyle name="Millares 6 9 3 2 2" xfId="52581" xr:uid="{00000000-0005-0000-0000-0000D2440000}"/>
    <cellStyle name="Millares 6 9 3 3" xfId="39019" xr:uid="{00000000-0005-0000-0000-0000D3440000}"/>
    <cellStyle name="Millares 6 9 4" xfId="18667" xr:uid="{00000000-0005-0000-0000-0000D4440000}"/>
    <cellStyle name="Millares 6 9 4 2" xfId="45800" xr:uid="{00000000-0005-0000-0000-0000D5440000}"/>
    <cellStyle name="Millares 6 9 5" xfId="32238" xr:uid="{00000000-0005-0000-0000-0000D6440000}"/>
    <cellStyle name="Millares 7" xfId="175" xr:uid="{00000000-0005-0000-0000-0000D7440000}"/>
    <cellStyle name="Millares 7 2" xfId="185" xr:uid="{00000000-0005-0000-0000-0000D8440000}"/>
    <cellStyle name="Millares 7 2 2" xfId="4885" xr:uid="{00000000-0005-0000-0000-0000D9440000}"/>
    <cellStyle name="Millares 7 2 2 2" xfId="4886" xr:uid="{00000000-0005-0000-0000-0000DA440000}"/>
    <cellStyle name="Millares 7 2 2 2 2" xfId="4887" xr:uid="{00000000-0005-0000-0000-0000DB440000}"/>
    <cellStyle name="Millares 7 2 2 2 2 2" xfId="8482" xr:uid="{00000000-0005-0000-0000-0000DC440000}"/>
    <cellStyle name="Millares 7 2 2 2 2 2 2" xfId="15272" xr:uid="{00000000-0005-0000-0000-0000DD440000}"/>
    <cellStyle name="Millares 7 2 2 2 2 2 2 2" xfId="28840" xr:uid="{00000000-0005-0000-0000-0000DE440000}"/>
    <cellStyle name="Millares 7 2 2 2 2 2 2 2 2" xfId="55973" xr:uid="{00000000-0005-0000-0000-0000DF440000}"/>
    <cellStyle name="Millares 7 2 2 2 2 2 2 3" xfId="42411" xr:uid="{00000000-0005-0000-0000-0000E0440000}"/>
    <cellStyle name="Millares 7 2 2 2 2 2 3" xfId="22059" xr:uid="{00000000-0005-0000-0000-0000E1440000}"/>
    <cellStyle name="Millares 7 2 2 2 2 2 3 2" xfId="49192" xr:uid="{00000000-0005-0000-0000-0000E2440000}"/>
    <cellStyle name="Millares 7 2 2 2 2 2 4" xfId="35630" xr:uid="{00000000-0005-0000-0000-0000E3440000}"/>
    <cellStyle name="Millares 7 2 2 2 2 3" xfId="11883" xr:uid="{00000000-0005-0000-0000-0000E4440000}"/>
    <cellStyle name="Millares 7 2 2 2 2 3 2" xfId="25451" xr:uid="{00000000-0005-0000-0000-0000E5440000}"/>
    <cellStyle name="Millares 7 2 2 2 2 3 2 2" xfId="52584" xr:uid="{00000000-0005-0000-0000-0000E6440000}"/>
    <cellStyle name="Millares 7 2 2 2 2 3 3" xfId="39022" xr:uid="{00000000-0005-0000-0000-0000E7440000}"/>
    <cellStyle name="Millares 7 2 2 2 2 4" xfId="18670" xr:uid="{00000000-0005-0000-0000-0000E8440000}"/>
    <cellStyle name="Millares 7 2 2 2 2 4 2" xfId="45803" xr:uid="{00000000-0005-0000-0000-0000E9440000}"/>
    <cellStyle name="Millares 7 2 2 2 2 5" xfId="32241" xr:uid="{00000000-0005-0000-0000-0000EA440000}"/>
    <cellStyle name="Millares 7 2 2 2 3" xfId="4888" xr:uid="{00000000-0005-0000-0000-0000EB440000}"/>
    <cellStyle name="Millares 7 2 2 2 3 2" xfId="8483" xr:uid="{00000000-0005-0000-0000-0000EC440000}"/>
    <cellStyle name="Millares 7 2 2 2 3 2 2" xfId="15273" xr:uid="{00000000-0005-0000-0000-0000ED440000}"/>
    <cellStyle name="Millares 7 2 2 2 3 2 2 2" xfId="28841" xr:uid="{00000000-0005-0000-0000-0000EE440000}"/>
    <cellStyle name="Millares 7 2 2 2 3 2 2 2 2" xfId="55974" xr:uid="{00000000-0005-0000-0000-0000EF440000}"/>
    <cellStyle name="Millares 7 2 2 2 3 2 2 3" xfId="42412" xr:uid="{00000000-0005-0000-0000-0000F0440000}"/>
    <cellStyle name="Millares 7 2 2 2 3 2 3" xfId="22060" xr:uid="{00000000-0005-0000-0000-0000F1440000}"/>
    <cellStyle name="Millares 7 2 2 2 3 2 3 2" xfId="49193" xr:uid="{00000000-0005-0000-0000-0000F2440000}"/>
    <cellStyle name="Millares 7 2 2 2 3 2 4" xfId="35631" xr:uid="{00000000-0005-0000-0000-0000F3440000}"/>
    <cellStyle name="Millares 7 2 2 2 3 3" xfId="11884" xr:uid="{00000000-0005-0000-0000-0000F4440000}"/>
    <cellStyle name="Millares 7 2 2 2 3 3 2" xfId="25452" xr:uid="{00000000-0005-0000-0000-0000F5440000}"/>
    <cellStyle name="Millares 7 2 2 2 3 3 2 2" xfId="52585" xr:uid="{00000000-0005-0000-0000-0000F6440000}"/>
    <cellStyle name="Millares 7 2 2 2 3 3 3" xfId="39023" xr:uid="{00000000-0005-0000-0000-0000F7440000}"/>
    <cellStyle name="Millares 7 2 2 2 3 4" xfId="18671" xr:uid="{00000000-0005-0000-0000-0000F8440000}"/>
    <cellStyle name="Millares 7 2 2 2 3 4 2" xfId="45804" xr:uid="{00000000-0005-0000-0000-0000F9440000}"/>
    <cellStyle name="Millares 7 2 2 2 3 5" xfId="32242" xr:uid="{00000000-0005-0000-0000-0000FA440000}"/>
    <cellStyle name="Millares 7 2 2 2 4" xfId="8481" xr:uid="{00000000-0005-0000-0000-0000FB440000}"/>
    <cellStyle name="Millares 7 2 2 2 4 2" xfId="15271" xr:uid="{00000000-0005-0000-0000-0000FC440000}"/>
    <cellStyle name="Millares 7 2 2 2 4 2 2" xfId="28839" xr:uid="{00000000-0005-0000-0000-0000FD440000}"/>
    <cellStyle name="Millares 7 2 2 2 4 2 2 2" xfId="55972" xr:uid="{00000000-0005-0000-0000-0000FE440000}"/>
    <cellStyle name="Millares 7 2 2 2 4 2 3" xfId="42410" xr:uid="{00000000-0005-0000-0000-0000FF440000}"/>
    <cellStyle name="Millares 7 2 2 2 4 3" xfId="22058" xr:uid="{00000000-0005-0000-0000-000000450000}"/>
    <cellStyle name="Millares 7 2 2 2 4 3 2" xfId="49191" xr:uid="{00000000-0005-0000-0000-000001450000}"/>
    <cellStyle name="Millares 7 2 2 2 4 4" xfId="35629" xr:uid="{00000000-0005-0000-0000-000002450000}"/>
    <cellStyle name="Millares 7 2 2 2 5" xfId="11882" xr:uid="{00000000-0005-0000-0000-000003450000}"/>
    <cellStyle name="Millares 7 2 2 2 5 2" xfId="25450" xr:uid="{00000000-0005-0000-0000-000004450000}"/>
    <cellStyle name="Millares 7 2 2 2 5 2 2" xfId="52583" xr:uid="{00000000-0005-0000-0000-000005450000}"/>
    <cellStyle name="Millares 7 2 2 2 5 3" xfId="39021" xr:uid="{00000000-0005-0000-0000-000006450000}"/>
    <cellStyle name="Millares 7 2 2 2 6" xfId="18669" xr:uid="{00000000-0005-0000-0000-000007450000}"/>
    <cellStyle name="Millares 7 2 2 2 6 2" xfId="45802" xr:uid="{00000000-0005-0000-0000-000008450000}"/>
    <cellStyle name="Millares 7 2 2 2 7" xfId="32240" xr:uid="{00000000-0005-0000-0000-000009450000}"/>
    <cellStyle name="Millares 7 2 2 3" xfId="4889" xr:uid="{00000000-0005-0000-0000-00000A450000}"/>
    <cellStyle name="Millares 7 2 2 3 2" xfId="4890" xr:uid="{00000000-0005-0000-0000-00000B450000}"/>
    <cellStyle name="Millares 7 2 2 3 2 2" xfId="8485" xr:uid="{00000000-0005-0000-0000-00000C450000}"/>
    <cellStyle name="Millares 7 2 2 3 2 2 2" xfId="15275" xr:uid="{00000000-0005-0000-0000-00000D450000}"/>
    <cellStyle name="Millares 7 2 2 3 2 2 2 2" xfId="28843" xr:uid="{00000000-0005-0000-0000-00000E450000}"/>
    <cellStyle name="Millares 7 2 2 3 2 2 2 2 2" xfId="55976" xr:uid="{00000000-0005-0000-0000-00000F450000}"/>
    <cellStyle name="Millares 7 2 2 3 2 2 2 3" xfId="42414" xr:uid="{00000000-0005-0000-0000-000010450000}"/>
    <cellStyle name="Millares 7 2 2 3 2 2 3" xfId="22062" xr:uid="{00000000-0005-0000-0000-000011450000}"/>
    <cellStyle name="Millares 7 2 2 3 2 2 3 2" xfId="49195" xr:uid="{00000000-0005-0000-0000-000012450000}"/>
    <cellStyle name="Millares 7 2 2 3 2 2 4" xfId="35633" xr:uid="{00000000-0005-0000-0000-000013450000}"/>
    <cellStyle name="Millares 7 2 2 3 2 3" xfId="11886" xr:uid="{00000000-0005-0000-0000-000014450000}"/>
    <cellStyle name="Millares 7 2 2 3 2 3 2" xfId="25454" xr:uid="{00000000-0005-0000-0000-000015450000}"/>
    <cellStyle name="Millares 7 2 2 3 2 3 2 2" xfId="52587" xr:uid="{00000000-0005-0000-0000-000016450000}"/>
    <cellStyle name="Millares 7 2 2 3 2 3 3" xfId="39025" xr:uid="{00000000-0005-0000-0000-000017450000}"/>
    <cellStyle name="Millares 7 2 2 3 2 4" xfId="18673" xr:uid="{00000000-0005-0000-0000-000018450000}"/>
    <cellStyle name="Millares 7 2 2 3 2 4 2" xfId="45806" xr:uid="{00000000-0005-0000-0000-000019450000}"/>
    <cellStyle name="Millares 7 2 2 3 2 5" xfId="32244" xr:uid="{00000000-0005-0000-0000-00001A450000}"/>
    <cellStyle name="Millares 7 2 2 3 3" xfId="8484" xr:uid="{00000000-0005-0000-0000-00001B450000}"/>
    <cellStyle name="Millares 7 2 2 3 3 2" xfId="15274" xr:uid="{00000000-0005-0000-0000-00001C450000}"/>
    <cellStyle name="Millares 7 2 2 3 3 2 2" xfId="28842" xr:uid="{00000000-0005-0000-0000-00001D450000}"/>
    <cellStyle name="Millares 7 2 2 3 3 2 2 2" xfId="55975" xr:uid="{00000000-0005-0000-0000-00001E450000}"/>
    <cellStyle name="Millares 7 2 2 3 3 2 3" xfId="42413" xr:uid="{00000000-0005-0000-0000-00001F450000}"/>
    <cellStyle name="Millares 7 2 2 3 3 3" xfId="22061" xr:uid="{00000000-0005-0000-0000-000020450000}"/>
    <cellStyle name="Millares 7 2 2 3 3 3 2" xfId="49194" xr:uid="{00000000-0005-0000-0000-000021450000}"/>
    <cellStyle name="Millares 7 2 2 3 3 4" xfId="35632" xr:uid="{00000000-0005-0000-0000-000022450000}"/>
    <cellStyle name="Millares 7 2 2 3 4" xfId="11885" xr:uid="{00000000-0005-0000-0000-000023450000}"/>
    <cellStyle name="Millares 7 2 2 3 4 2" xfId="25453" xr:uid="{00000000-0005-0000-0000-000024450000}"/>
    <cellStyle name="Millares 7 2 2 3 4 2 2" xfId="52586" xr:uid="{00000000-0005-0000-0000-000025450000}"/>
    <cellStyle name="Millares 7 2 2 3 4 3" xfId="39024" xr:uid="{00000000-0005-0000-0000-000026450000}"/>
    <cellStyle name="Millares 7 2 2 3 5" xfId="18672" xr:uid="{00000000-0005-0000-0000-000027450000}"/>
    <cellStyle name="Millares 7 2 2 3 5 2" xfId="45805" xr:uid="{00000000-0005-0000-0000-000028450000}"/>
    <cellStyle name="Millares 7 2 2 3 6" xfId="32243" xr:uid="{00000000-0005-0000-0000-000029450000}"/>
    <cellStyle name="Millares 7 2 2 4" xfId="4891" xr:uid="{00000000-0005-0000-0000-00002A450000}"/>
    <cellStyle name="Millares 7 2 2 4 2" xfId="8486" xr:uid="{00000000-0005-0000-0000-00002B450000}"/>
    <cellStyle name="Millares 7 2 2 4 2 2" xfId="15276" xr:uid="{00000000-0005-0000-0000-00002C450000}"/>
    <cellStyle name="Millares 7 2 2 4 2 2 2" xfId="28844" xr:uid="{00000000-0005-0000-0000-00002D450000}"/>
    <cellStyle name="Millares 7 2 2 4 2 2 2 2" xfId="55977" xr:uid="{00000000-0005-0000-0000-00002E450000}"/>
    <cellStyle name="Millares 7 2 2 4 2 2 3" xfId="42415" xr:uid="{00000000-0005-0000-0000-00002F450000}"/>
    <cellStyle name="Millares 7 2 2 4 2 3" xfId="22063" xr:uid="{00000000-0005-0000-0000-000030450000}"/>
    <cellStyle name="Millares 7 2 2 4 2 3 2" xfId="49196" xr:uid="{00000000-0005-0000-0000-000031450000}"/>
    <cellStyle name="Millares 7 2 2 4 2 4" xfId="35634" xr:uid="{00000000-0005-0000-0000-000032450000}"/>
    <cellStyle name="Millares 7 2 2 4 3" xfId="11887" xr:uid="{00000000-0005-0000-0000-000033450000}"/>
    <cellStyle name="Millares 7 2 2 4 3 2" xfId="25455" xr:uid="{00000000-0005-0000-0000-000034450000}"/>
    <cellStyle name="Millares 7 2 2 4 3 2 2" xfId="52588" xr:uid="{00000000-0005-0000-0000-000035450000}"/>
    <cellStyle name="Millares 7 2 2 4 3 3" xfId="39026" xr:uid="{00000000-0005-0000-0000-000036450000}"/>
    <cellStyle name="Millares 7 2 2 4 4" xfId="18674" xr:uid="{00000000-0005-0000-0000-000037450000}"/>
    <cellStyle name="Millares 7 2 2 4 4 2" xfId="45807" xr:uid="{00000000-0005-0000-0000-000038450000}"/>
    <cellStyle name="Millares 7 2 2 4 5" xfId="32245" xr:uid="{00000000-0005-0000-0000-000039450000}"/>
    <cellStyle name="Millares 7 2 2 5" xfId="4892" xr:uid="{00000000-0005-0000-0000-00003A450000}"/>
    <cellStyle name="Millares 7 2 2 5 2" xfId="8487" xr:uid="{00000000-0005-0000-0000-00003B450000}"/>
    <cellStyle name="Millares 7 2 2 5 2 2" xfId="15277" xr:uid="{00000000-0005-0000-0000-00003C450000}"/>
    <cellStyle name="Millares 7 2 2 5 2 2 2" xfId="28845" xr:uid="{00000000-0005-0000-0000-00003D450000}"/>
    <cellStyle name="Millares 7 2 2 5 2 2 2 2" xfId="55978" xr:uid="{00000000-0005-0000-0000-00003E450000}"/>
    <cellStyle name="Millares 7 2 2 5 2 2 3" xfId="42416" xr:uid="{00000000-0005-0000-0000-00003F450000}"/>
    <cellStyle name="Millares 7 2 2 5 2 3" xfId="22064" xr:uid="{00000000-0005-0000-0000-000040450000}"/>
    <cellStyle name="Millares 7 2 2 5 2 3 2" xfId="49197" xr:uid="{00000000-0005-0000-0000-000041450000}"/>
    <cellStyle name="Millares 7 2 2 5 2 4" xfId="35635" xr:uid="{00000000-0005-0000-0000-000042450000}"/>
    <cellStyle name="Millares 7 2 2 5 3" xfId="11888" xr:uid="{00000000-0005-0000-0000-000043450000}"/>
    <cellStyle name="Millares 7 2 2 5 3 2" xfId="25456" xr:uid="{00000000-0005-0000-0000-000044450000}"/>
    <cellStyle name="Millares 7 2 2 5 3 2 2" xfId="52589" xr:uid="{00000000-0005-0000-0000-000045450000}"/>
    <cellStyle name="Millares 7 2 2 5 3 3" xfId="39027" xr:uid="{00000000-0005-0000-0000-000046450000}"/>
    <cellStyle name="Millares 7 2 2 5 4" xfId="18675" xr:uid="{00000000-0005-0000-0000-000047450000}"/>
    <cellStyle name="Millares 7 2 2 5 4 2" xfId="45808" xr:uid="{00000000-0005-0000-0000-000048450000}"/>
    <cellStyle name="Millares 7 2 2 5 5" xfId="32246" xr:uid="{00000000-0005-0000-0000-000049450000}"/>
    <cellStyle name="Millares 7 2 2 6" xfId="8480" xr:uid="{00000000-0005-0000-0000-00004A450000}"/>
    <cellStyle name="Millares 7 2 2 6 2" xfId="15270" xr:uid="{00000000-0005-0000-0000-00004B450000}"/>
    <cellStyle name="Millares 7 2 2 6 2 2" xfId="28838" xr:uid="{00000000-0005-0000-0000-00004C450000}"/>
    <cellStyle name="Millares 7 2 2 6 2 2 2" xfId="55971" xr:uid="{00000000-0005-0000-0000-00004D450000}"/>
    <cellStyle name="Millares 7 2 2 6 2 3" xfId="42409" xr:uid="{00000000-0005-0000-0000-00004E450000}"/>
    <cellStyle name="Millares 7 2 2 6 3" xfId="22057" xr:uid="{00000000-0005-0000-0000-00004F450000}"/>
    <cellStyle name="Millares 7 2 2 6 3 2" xfId="49190" xr:uid="{00000000-0005-0000-0000-000050450000}"/>
    <cellStyle name="Millares 7 2 2 6 4" xfId="35628" xr:uid="{00000000-0005-0000-0000-000051450000}"/>
    <cellStyle name="Millares 7 2 2 7" xfId="11881" xr:uid="{00000000-0005-0000-0000-000052450000}"/>
    <cellStyle name="Millares 7 2 2 7 2" xfId="25449" xr:uid="{00000000-0005-0000-0000-000053450000}"/>
    <cellStyle name="Millares 7 2 2 7 2 2" xfId="52582" xr:uid="{00000000-0005-0000-0000-000054450000}"/>
    <cellStyle name="Millares 7 2 2 7 3" xfId="39020" xr:uid="{00000000-0005-0000-0000-000055450000}"/>
    <cellStyle name="Millares 7 2 2 8" xfId="18668" xr:uid="{00000000-0005-0000-0000-000056450000}"/>
    <cellStyle name="Millares 7 2 2 8 2" xfId="45801" xr:uid="{00000000-0005-0000-0000-000057450000}"/>
    <cellStyle name="Millares 7 2 2 9" xfId="32239" xr:uid="{00000000-0005-0000-0000-000058450000}"/>
    <cellStyle name="Millares 7 2 3" xfId="4893" xr:uid="{00000000-0005-0000-0000-000059450000}"/>
    <cellStyle name="Millares 7 2 3 2" xfId="4894" xr:uid="{00000000-0005-0000-0000-00005A450000}"/>
    <cellStyle name="Millares 7 2 3 2 2" xfId="8489" xr:uid="{00000000-0005-0000-0000-00005B450000}"/>
    <cellStyle name="Millares 7 2 3 2 2 2" xfId="15279" xr:uid="{00000000-0005-0000-0000-00005C450000}"/>
    <cellStyle name="Millares 7 2 3 2 2 2 2" xfId="28847" xr:uid="{00000000-0005-0000-0000-00005D450000}"/>
    <cellStyle name="Millares 7 2 3 2 2 2 2 2" xfId="55980" xr:uid="{00000000-0005-0000-0000-00005E450000}"/>
    <cellStyle name="Millares 7 2 3 2 2 2 3" xfId="42418" xr:uid="{00000000-0005-0000-0000-00005F450000}"/>
    <cellStyle name="Millares 7 2 3 2 2 3" xfId="22066" xr:uid="{00000000-0005-0000-0000-000060450000}"/>
    <cellStyle name="Millares 7 2 3 2 2 3 2" xfId="49199" xr:uid="{00000000-0005-0000-0000-000061450000}"/>
    <cellStyle name="Millares 7 2 3 2 2 4" xfId="35637" xr:uid="{00000000-0005-0000-0000-000062450000}"/>
    <cellStyle name="Millares 7 2 3 2 3" xfId="11890" xr:uid="{00000000-0005-0000-0000-000063450000}"/>
    <cellStyle name="Millares 7 2 3 2 3 2" xfId="25458" xr:uid="{00000000-0005-0000-0000-000064450000}"/>
    <cellStyle name="Millares 7 2 3 2 3 2 2" xfId="52591" xr:uid="{00000000-0005-0000-0000-000065450000}"/>
    <cellStyle name="Millares 7 2 3 2 3 3" xfId="39029" xr:uid="{00000000-0005-0000-0000-000066450000}"/>
    <cellStyle name="Millares 7 2 3 2 4" xfId="18677" xr:uid="{00000000-0005-0000-0000-000067450000}"/>
    <cellStyle name="Millares 7 2 3 2 4 2" xfId="45810" xr:uid="{00000000-0005-0000-0000-000068450000}"/>
    <cellStyle name="Millares 7 2 3 2 5" xfId="32248" xr:uid="{00000000-0005-0000-0000-000069450000}"/>
    <cellStyle name="Millares 7 2 3 3" xfId="4895" xr:uid="{00000000-0005-0000-0000-00006A450000}"/>
    <cellStyle name="Millares 7 2 3 3 2" xfId="8490" xr:uid="{00000000-0005-0000-0000-00006B450000}"/>
    <cellStyle name="Millares 7 2 3 3 2 2" xfId="15280" xr:uid="{00000000-0005-0000-0000-00006C450000}"/>
    <cellStyle name="Millares 7 2 3 3 2 2 2" xfId="28848" xr:uid="{00000000-0005-0000-0000-00006D450000}"/>
    <cellStyle name="Millares 7 2 3 3 2 2 2 2" xfId="55981" xr:uid="{00000000-0005-0000-0000-00006E450000}"/>
    <cellStyle name="Millares 7 2 3 3 2 2 3" xfId="42419" xr:uid="{00000000-0005-0000-0000-00006F450000}"/>
    <cellStyle name="Millares 7 2 3 3 2 3" xfId="22067" xr:uid="{00000000-0005-0000-0000-000070450000}"/>
    <cellStyle name="Millares 7 2 3 3 2 3 2" xfId="49200" xr:uid="{00000000-0005-0000-0000-000071450000}"/>
    <cellStyle name="Millares 7 2 3 3 2 4" xfId="35638" xr:uid="{00000000-0005-0000-0000-000072450000}"/>
    <cellStyle name="Millares 7 2 3 3 3" xfId="11891" xr:uid="{00000000-0005-0000-0000-000073450000}"/>
    <cellStyle name="Millares 7 2 3 3 3 2" xfId="25459" xr:uid="{00000000-0005-0000-0000-000074450000}"/>
    <cellStyle name="Millares 7 2 3 3 3 2 2" xfId="52592" xr:uid="{00000000-0005-0000-0000-000075450000}"/>
    <cellStyle name="Millares 7 2 3 3 3 3" xfId="39030" xr:uid="{00000000-0005-0000-0000-000076450000}"/>
    <cellStyle name="Millares 7 2 3 3 4" xfId="18678" xr:uid="{00000000-0005-0000-0000-000077450000}"/>
    <cellStyle name="Millares 7 2 3 3 4 2" xfId="45811" xr:uid="{00000000-0005-0000-0000-000078450000}"/>
    <cellStyle name="Millares 7 2 3 3 5" xfId="32249" xr:uid="{00000000-0005-0000-0000-000079450000}"/>
    <cellStyle name="Millares 7 2 3 4" xfId="8488" xr:uid="{00000000-0005-0000-0000-00007A450000}"/>
    <cellStyle name="Millares 7 2 3 4 2" xfId="15278" xr:uid="{00000000-0005-0000-0000-00007B450000}"/>
    <cellStyle name="Millares 7 2 3 4 2 2" xfId="28846" xr:uid="{00000000-0005-0000-0000-00007C450000}"/>
    <cellStyle name="Millares 7 2 3 4 2 2 2" xfId="55979" xr:uid="{00000000-0005-0000-0000-00007D450000}"/>
    <cellStyle name="Millares 7 2 3 4 2 3" xfId="42417" xr:uid="{00000000-0005-0000-0000-00007E450000}"/>
    <cellStyle name="Millares 7 2 3 4 3" xfId="22065" xr:uid="{00000000-0005-0000-0000-00007F450000}"/>
    <cellStyle name="Millares 7 2 3 4 3 2" xfId="49198" xr:uid="{00000000-0005-0000-0000-000080450000}"/>
    <cellStyle name="Millares 7 2 3 4 4" xfId="35636" xr:uid="{00000000-0005-0000-0000-000081450000}"/>
    <cellStyle name="Millares 7 2 3 5" xfId="11889" xr:uid="{00000000-0005-0000-0000-000082450000}"/>
    <cellStyle name="Millares 7 2 3 5 2" xfId="25457" xr:uid="{00000000-0005-0000-0000-000083450000}"/>
    <cellStyle name="Millares 7 2 3 5 2 2" xfId="52590" xr:uid="{00000000-0005-0000-0000-000084450000}"/>
    <cellStyle name="Millares 7 2 3 5 3" xfId="39028" xr:uid="{00000000-0005-0000-0000-000085450000}"/>
    <cellStyle name="Millares 7 2 3 6" xfId="18676" xr:uid="{00000000-0005-0000-0000-000086450000}"/>
    <cellStyle name="Millares 7 2 3 6 2" xfId="45809" xr:uid="{00000000-0005-0000-0000-000087450000}"/>
    <cellStyle name="Millares 7 2 3 7" xfId="32247" xr:uid="{00000000-0005-0000-0000-000088450000}"/>
    <cellStyle name="Millares 7 2 4" xfId="4896" xr:uid="{00000000-0005-0000-0000-000089450000}"/>
    <cellStyle name="Millares 7 2 4 2" xfId="4897" xr:uid="{00000000-0005-0000-0000-00008A450000}"/>
    <cellStyle name="Millares 7 2 4 2 2" xfId="8492" xr:uid="{00000000-0005-0000-0000-00008B450000}"/>
    <cellStyle name="Millares 7 2 4 2 2 2" xfId="15282" xr:uid="{00000000-0005-0000-0000-00008C450000}"/>
    <cellStyle name="Millares 7 2 4 2 2 2 2" xfId="28850" xr:uid="{00000000-0005-0000-0000-00008D450000}"/>
    <cellStyle name="Millares 7 2 4 2 2 2 2 2" xfId="55983" xr:uid="{00000000-0005-0000-0000-00008E450000}"/>
    <cellStyle name="Millares 7 2 4 2 2 2 3" xfId="42421" xr:uid="{00000000-0005-0000-0000-00008F450000}"/>
    <cellStyle name="Millares 7 2 4 2 2 3" xfId="22069" xr:uid="{00000000-0005-0000-0000-000090450000}"/>
    <cellStyle name="Millares 7 2 4 2 2 3 2" xfId="49202" xr:uid="{00000000-0005-0000-0000-000091450000}"/>
    <cellStyle name="Millares 7 2 4 2 2 4" xfId="35640" xr:uid="{00000000-0005-0000-0000-000092450000}"/>
    <cellStyle name="Millares 7 2 4 2 3" xfId="11893" xr:uid="{00000000-0005-0000-0000-000093450000}"/>
    <cellStyle name="Millares 7 2 4 2 3 2" xfId="25461" xr:uid="{00000000-0005-0000-0000-000094450000}"/>
    <cellStyle name="Millares 7 2 4 2 3 2 2" xfId="52594" xr:uid="{00000000-0005-0000-0000-000095450000}"/>
    <cellStyle name="Millares 7 2 4 2 3 3" xfId="39032" xr:uid="{00000000-0005-0000-0000-000096450000}"/>
    <cellStyle name="Millares 7 2 4 2 4" xfId="18680" xr:uid="{00000000-0005-0000-0000-000097450000}"/>
    <cellStyle name="Millares 7 2 4 2 4 2" xfId="45813" xr:uid="{00000000-0005-0000-0000-000098450000}"/>
    <cellStyle name="Millares 7 2 4 2 5" xfId="32251" xr:uid="{00000000-0005-0000-0000-000099450000}"/>
    <cellStyle name="Millares 7 2 4 3" xfId="8491" xr:uid="{00000000-0005-0000-0000-00009A450000}"/>
    <cellStyle name="Millares 7 2 4 3 2" xfId="15281" xr:uid="{00000000-0005-0000-0000-00009B450000}"/>
    <cellStyle name="Millares 7 2 4 3 2 2" xfId="28849" xr:uid="{00000000-0005-0000-0000-00009C450000}"/>
    <cellStyle name="Millares 7 2 4 3 2 2 2" xfId="55982" xr:uid="{00000000-0005-0000-0000-00009D450000}"/>
    <cellStyle name="Millares 7 2 4 3 2 3" xfId="42420" xr:uid="{00000000-0005-0000-0000-00009E450000}"/>
    <cellStyle name="Millares 7 2 4 3 3" xfId="22068" xr:uid="{00000000-0005-0000-0000-00009F450000}"/>
    <cellStyle name="Millares 7 2 4 3 3 2" xfId="49201" xr:uid="{00000000-0005-0000-0000-0000A0450000}"/>
    <cellStyle name="Millares 7 2 4 3 4" xfId="35639" xr:uid="{00000000-0005-0000-0000-0000A1450000}"/>
    <cellStyle name="Millares 7 2 4 4" xfId="11892" xr:uid="{00000000-0005-0000-0000-0000A2450000}"/>
    <cellStyle name="Millares 7 2 4 4 2" xfId="25460" xr:uid="{00000000-0005-0000-0000-0000A3450000}"/>
    <cellStyle name="Millares 7 2 4 4 2 2" xfId="52593" xr:uid="{00000000-0005-0000-0000-0000A4450000}"/>
    <cellStyle name="Millares 7 2 4 4 3" xfId="39031" xr:uid="{00000000-0005-0000-0000-0000A5450000}"/>
    <cellStyle name="Millares 7 2 4 5" xfId="18679" xr:uid="{00000000-0005-0000-0000-0000A6450000}"/>
    <cellStyle name="Millares 7 2 4 5 2" xfId="45812" xr:uid="{00000000-0005-0000-0000-0000A7450000}"/>
    <cellStyle name="Millares 7 2 4 6" xfId="32250" xr:uid="{00000000-0005-0000-0000-0000A8450000}"/>
    <cellStyle name="Millares 7 2 5" xfId="4898" xr:uid="{00000000-0005-0000-0000-0000A9450000}"/>
    <cellStyle name="Millares 7 2 5 2" xfId="8493" xr:uid="{00000000-0005-0000-0000-0000AA450000}"/>
    <cellStyle name="Millares 7 2 5 2 2" xfId="15283" xr:uid="{00000000-0005-0000-0000-0000AB450000}"/>
    <cellStyle name="Millares 7 2 5 2 2 2" xfId="28851" xr:uid="{00000000-0005-0000-0000-0000AC450000}"/>
    <cellStyle name="Millares 7 2 5 2 2 2 2" xfId="55984" xr:uid="{00000000-0005-0000-0000-0000AD450000}"/>
    <cellStyle name="Millares 7 2 5 2 2 3" xfId="42422" xr:uid="{00000000-0005-0000-0000-0000AE450000}"/>
    <cellStyle name="Millares 7 2 5 2 3" xfId="22070" xr:uid="{00000000-0005-0000-0000-0000AF450000}"/>
    <cellStyle name="Millares 7 2 5 2 3 2" xfId="49203" xr:uid="{00000000-0005-0000-0000-0000B0450000}"/>
    <cellStyle name="Millares 7 2 5 2 4" xfId="35641" xr:uid="{00000000-0005-0000-0000-0000B1450000}"/>
    <cellStyle name="Millares 7 2 5 3" xfId="11894" xr:uid="{00000000-0005-0000-0000-0000B2450000}"/>
    <cellStyle name="Millares 7 2 5 3 2" xfId="25462" xr:uid="{00000000-0005-0000-0000-0000B3450000}"/>
    <cellStyle name="Millares 7 2 5 3 2 2" xfId="52595" xr:uid="{00000000-0005-0000-0000-0000B4450000}"/>
    <cellStyle name="Millares 7 2 5 3 3" xfId="39033" xr:uid="{00000000-0005-0000-0000-0000B5450000}"/>
    <cellStyle name="Millares 7 2 5 4" xfId="18681" xr:uid="{00000000-0005-0000-0000-0000B6450000}"/>
    <cellStyle name="Millares 7 2 5 4 2" xfId="45814" xr:uid="{00000000-0005-0000-0000-0000B7450000}"/>
    <cellStyle name="Millares 7 2 5 5" xfId="32252" xr:uid="{00000000-0005-0000-0000-0000B8450000}"/>
    <cellStyle name="Millares 7 2 6" xfId="4899" xr:uid="{00000000-0005-0000-0000-0000B9450000}"/>
    <cellStyle name="Millares 7 2 6 2" xfId="8494" xr:uid="{00000000-0005-0000-0000-0000BA450000}"/>
    <cellStyle name="Millares 7 2 6 2 2" xfId="15284" xr:uid="{00000000-0005-0000-0000-0000BB450000}"/>
    <cellStyle name="Millares 7 2 6 2 2 2" xfId="28852" xr:uid="{00000000-0005-0000-0000-0000BC450000}"/>
    <cellStyle name="Millares 7 2 6 2 2 2 2" xfId="55985" xr:uid="{00000000-0005-0000-0000-0000BD450000}"/>
    <cellStyle name="Millares 7 2 6 2 2 3" xfId="42423" xr:uid="{00000000-0005-0000-0000-0000BE450000}"/>
    <cellStyle name="Millares 7 2 6 2 3" xfId="22071" xr:uid="{00000000-0005-0000-0000-0000BF450000}"/>
    <cellStyle name="Millares 7 2 6 2 3 2" xfId="49204" xr:uid="{00000000-0005-0000-0000-0000C0450000}"/>
    <cellStyle name="Millares 7 2 6 2 4" xfId="35642" xr:uid="{00000000-0005-0000-0000-0000C1450000}"/>
    <cellStyle name="Millares 7 2 6 3" xfId="11895" xr:uid="{00000000-0005-0000-0000-0000C2450000}"/>
    <cellStyle name="Millares 7 2 6 3 2" xfId="25463" xr:uid="{00000000-0005-0000-0000-0000C3450000}"/>
    <cellStyle name="Millares 7 2 6 3 2 2" xfId="52596" xr:uid="{00000000-0005-0000-0000-0000C4450000}"/>
    <cellStyle name="Millares 7 2 6 3 3" xfId="39034" xr:uid="{00000000-0005-0000-0000-0000C5450000}"/>
    <cellStyle name="Millares 7 2 6 4" xfId="18682" xr:uid="{00000000-0005-0000-0000-0000C6450000}"/>
    <cellStyle name="Millares 7 2 6 4 2" xfId="45815" xr:uid="{00000000-0005-0000-0000-0000C7450000}"/>
    <cellStyle name="Millares 7 2 6 5" xfId="32253" xr:uid="{00000000-0005-0000-0000-0000C8450000}"/>
    <cellStyle name="Millares 7 3" xfId="4900" xr:uid="{00000000-0005-0000-0000-0000C9450000}"/>
    <cellStyle name="Millares 7 3 2" xfId="4901" xr:uid="{00000000-0005-0000-0000-0000CA450000}"/>
    <cellStyle name="Millares 7 3 2 2" xfId="4902" xr:uid="{00000000-0005-0000-0000-0000CB450000}"/>
    <cellStyle name="Millares 7 3 2 2 2" xfId="8497" xr:uid="{00000000-0005-0000-0000-0000CC450000}"/>
    <cellStyle name="Millares 7 3 2 2 2 2" xfId="15287" xr:uid="{00000000-0005-0000-0000-0000CD450000}"/>
    <cellStyle name="Millares 7 3 2 2 2 2 2" xfId="28855" xr:uid="{00000000-0005-0000-0000-0000CE450000}"/>
    <cellStyle name="Millares 7 3 2 2 2 2 2 2" xfId="55988" xr:uid="{00000000-0005-0000-0000-0000CF450000}"/>
    <cellStyle name="Millares 7 3 2 2 2 2 3" xfId="42426" xr:uid="{00000000-0005-0000-0000-0000D0450000}"/>
    <cellStyle name="Millares 7 3 2 2 2 3" xfId="22074" xr:uid="{00000000-0005-0000-0000-0000D1450000}"/>
    <cellStyle name="Millares 7 3 2 2 2 3 2" xfId="49207" xr:uid="{00000000-0005-0000-0000-0000D2450000}"/>
    <cellStyle name="Millares 7 3 2 2 2 4" xfId="35645" xr:uid="{00000000-0005-0000-0000-0000D3450000}"/>
    <cellStyle name="Millares 7 3 2 2 3" xfId="11898" xr:uid="{00000000-0005-0000-0000-0000D4450000}"/>
    <cellStyle name="Millares 7 3 2 2 3 2" xfId="25466" xr:uid="{00000000-0005-0000-0000-0000D5450000}"/>
    <cellStyle name="Millares 7 3 2 2 3 2 2" xfId="52599" xr:uid="{00000000-0005-0000-0000-0000D6450000}"/>
    <cellStyle name="Millares 7 3 2 2 3 3" xfId="39037" xr:uid="{00000000-0005-0000-0000-0000D7450000}"/>
    <cellStyle name="Millares 7 3 2 2 4" xfId="18685" xr:uid="{00000000-0005-0000-0000-0000D8450000}"/>
    <cellStyle name="Millares 7 3 2 2 4 2" xfId="45818" xr:uid="{00000000-0005-0000-0000-0000D9450000}"/>
    <cellStyle name="Millares 7 3 2 2 5" xfId="32256" xr:uid="{00000000-0005-0000-0000-0000DA450000}"/>
    <cellStyle name="Millares 7 3 2 3" xfId="4903" xr:uid="{00000000-0005-0000-0000-0000DB450000}"/>
    <cellStyle name="Millares 7 3 2 3 2" xfId="8498" xr:uid="{00000000-0005-0000-0000-0000DC450000}"/>
    <cellStyle name="Millares 7 3 2 3 2 2" xfId="15288" xr:uid="{00000000-0005-0000-0000-0000DD450000}"/>
    <cellStyle name="Millares 7 3 2 3 2 2 2" xfId="28856" xr:uid="{00000000-0005-0000-0000-0000DE450000}"/>
    <cellStyle name="Millares 7 3 2 3 2 2 2 2" xfId="55989" xr:uid="{00000000-0005-0000-0000-0000DF450000}"/>
    <cellStyle name="Millares 7 3 2 3 2 2 3" xfId="42427" xr:uid="{00000000-0005-0000-0000-0000E0450000}"/>
    <cellStyle name="Millares 7 3 2 3 2 3" xfId="22075" xr:uid="{00000000-0005-0000-0000-0000E1450000}"/>
    <cellStyle name="Millares 7 3 2 3 2 3 2" xfId="49208" xr:uid="{00000000-0005-0000-0000-0000E2450000}"/>
    <cellStyle name="Millares 7 3 2 3 2 4" xfId="35646" xr:uid="{00000000-0005-0000-0000-0000E3450000}"/>
    <cellStyle name="Millares 7 3 2 3 3" xfId="11899" xr:uid="{00000000-0005-0000-0000-0000E4450000}"/>
    <cellStyle name="Millares 7 3 2 3 3 2" xfId="25467" xr:uid="{00000000-0005-0000-0000-0000E5450000}"/>
    <cellStyle name="Millares 7 3 2 3 3 2 2" xfId="52600" xr:uid="{00000000-0005-0000-0000-0000E6450000}"/>
    <cellStyle name="Millares 7 3 2 3 3 3" xfId="39038" xr:uid="{00000000-0005-0000-0000-0000E7450000}"/>
    <cellStyle name="Millares 7 3 2 3 4" xfId="18686" xr:uid="{00000000-0005-0000-0000-0000E8450000}"/>
    <cellStyle name="Millares 7 3 2 3 4 2" xfId="45819" xr:uid="{00000000-0005-0000-0000-0000E9450000}"/>
    <cellStyle name="Millares 7 3 2 3 5" xfId="32257" xr:uid="{00000000-0005-0000-0000-0000EA450000}"/>
    <cellStyle name="Millares 7 3 2 4" xfId="8496" xr:uid="{00000000-0005-0000-0000-0000EB450000}"/>
    <cellStyle name="Millares 7 3 2 4 2" xfId="15286" xr:uid="{00000000-0005-0000-0000-0000EC450000}"/>
    <cellStyle name="Millares 7 3 2 4 2 2" xfId="28854" xr:uid="{00000000-0005-0000-0000-0000ED450000}"/>
    <cellStyle name="Millares 7 3 2 4 2 2 2" xfId="55987" xr:uid="{00000000-0005-0000-0000-0000EE450000}"/>
    <cellStyle name="Millares 7 3 2 4 2 3" xfId="42425" xr:uid="{00000000-0005-0000-0000-0000EF450000}"/>
    <cellStyle name="Millares 7 3 2 4 3" xfId="22073" xr:uid="{00000000-0005-0000-0000-0000F0450000}"/>
    <cellStyle name="Millares 7 3 2 4 3 2" xfId="49206" xr:uid="{00000000-0005-0000-0000-0000F1450000}"/>
    <cellStyle name="Millares 7 3 2 4 4" xfId="35644" xr:uid="{00000000-0005-0000-0000-0000F2450000}"/>
    <cellStyle name="Millares 7 3 2 5" xfId="11897" xr:uid="{00000000-0005-0000-0000-0000F3450000}"/>
    <cellStyle name="Millares 7 3 2 5 2" xfId="25465" xr:uid="{00000000-0005-0000-0000-0000F4450000}"/>
    <cellStyle name="Millares 7 3 2 5 2 2" xfId="52598" xr:uid="{00000000-0005-0000-0000-0000F5450000}"/>
    <cellStyle name="Millares 7 3 2 5 3" xfId="39036" xr:uid="{00000000-0005-0000-0000-0000F6450000}"/>
    <cellStyle name="Millares 7 3 2 6" xfId="18684" xr:uid="{00000000-0005-0000-0000-0000F7450000}"/>
    <cellStyle name="Millares 7 3 2 6 2" xfId="45817" xr:uid="{00000000-0005-0000-0000-0000F8450000}"/>
    <cellStyle name="Millares 7 3 2 7" xfId="32255" xr:uid="{00000000-0005-0000-0000-0000F9450000}"/>
    <cellStyle name="Millares 7 3 3" xfId="4904" xr:uid="{00000000-0005-0000-0000-0000FA450000}"/>
    <cellStyle name="Millares 7 3 3 2" xfId="4905" xr:uid="{00000000-0005-0000-0000-0000FB450000}"/>
    <cellStyle name="Millares 7 3 3 2 2" xfId="8500" xr:uid="{00000000-0005-0000-0000-0000FC450000}"/>
    <cellStyle name="Millares 7 3 3 2 2 2" xfId="15290" xr:uid="{00000000-0005-0000-0000-0000FD450000}"/>
    <cellStyle name="Millares 7 3 3 2 2 2 2" xfId="28858" xr:uid="{00000000-0005-0000-0000-0000FE450000}"/>
    <cellStyle name="Millares 7 3 3 2 2 2 2 2" xfId="55991" xr:uid="{00000000-0005-0000-0000-0000FF450000}"/>
    <cellStyle name="Millares 7 3 3 2 2 2 3" xfId="42429" xr:uid="{00000000-0005-0000-0000-000000460000}"/>
    <cellStyle name="Millares 7 3 3 2 2 3" xfId="22077" xr:uid="{00000000-0005-0000-0000-000001460000}"/>
    <cellStyle name="Millares 7 3 3 2 2 3 2" xfId="49210" xr:uid="{00000000-0005-0000-0000-000002460000}"/>
    <cellStyle name="Millares 7 3 3 2 2 4" xfId="35648" xr:uid="{00000000-0005-0000-0000-000003460000}"/>
    <cellStyle name="Millares 7 3 3 2 3" xfId="11901" xr:uid="{00000000-0005-0000-0000-000004460000}"/>
    <cellStyle name="Millares 7 3 3 2 3 2" xfId="25469" xr:uid="{00000000-0005-0000-0000-000005460000}"/>
    <cellStyle name="Millares 7 3 3 2 3 2 2" xfId="52602" xr:uid="{00000000-0005-0000-0000-000006460000}"/>
    <cellStyle name="Millares 7 3 3 2 3 3" xfId="39040" xr:uid="{00000000-0005-0000-0000-000007460000}"/>
    <cellStyle name="Millares 7 3 3 2 4" xfId="18688" xr:uid="{00000000-0005-0000-0000-000008460000}"/>
    <cellStyle name="Millares 7 3 3 2 4 2" xfId="45821" xr:uid="{00000000-0005-0000-0000-000009460000}"/>
    <cellStyle name="Millares 7 3 3 2 5" xfId="32259" xr:uid="{00000000-0005-0000-0000-00000A460000}"/>
    <cellStyle name="Millares 7 3 3 3" xfId="8499" xr:uid="{00000000-0005-0000-0000-00000B460000}"/>
    <cellStyle name="Millares 7 3 3 3 2" xfId="15289" xr:uid="{00000000-0005-0000-0000-00000C460000}"/>
    <cellStyle name="Millares 7 3 3 3 2 2" xfId="28857" xr:uid="{00000000-0005-0000-0000-00000D460000}"/>
    <cellStyle name="Millares 7 3 3 3 2 2 2" xfId="55990" xr:uid="{00000000-0005-0000-0000-00000E460000}"/>
    <cellStyle name="Millares 7 3 3 3 2 3" xfId="42428" xr:uid="{00000000-0005-0000-0000-00000F460000}"/>
    <cellStyle name="Millares 7 3 3 3 3" xfId="22076" xr:uid="{00000000-0005-0000-0000-000010460000}"/>
    <cellStyle name="Millares 7 3 3 3 3 2" xfId="49209" xr:uid="{00000000-0005-0000-0000-000011460000}"/>
    <cellStyle name="Millares 7 3 3 3 4" xfId="35647" xr:uid="{00000000-0005-0000-0000-000012460000}"/>
    <cellStyle name="Millares 7 3 3 4" xfId="11900" xr:uid="{00000000-0005-0000-0000-000013460000}"/>
    <cellStyle name="Millares 7 3 3 4 2" xfId="25468" xr:uid="{00000000-0005-0000-0000-000014460000}"/>
    <cellStyle name="Millares 7 3 3 4 2 2" xfId="52601" xr:uid="{00000000-0005-0000-0000-000015460000}"/>
    <cellStyle name="Millares 7 3 3 4 3" xfId="39039" xr:uid="{00000000-0005-0000-0000-000016460000}"/>
    <cellStyle name="Millares 7 3 3 5" xfId="18687" xr:uid="{00000000-0005-0000-0000-000017460000}"/>
    <cellStyle name="Millares 7 3 3 5 2" xfId="45820" xr:uid="{00000000-0005-0000-0000-000018460000}"/>
    <cellStyle name="Millares 7 3 3 6" xfId="32258" xr:uid="{00000000-0005-0000-0000-000019460000}"/>
    <cellStyle name="Millares 7 3 4" xfId="4906" xr:uid="{00000000-0005-0000-0000-00001A460000}"/>
    <cellStyle name="Millares 7 3 4 2" xfId="8501" xr:uid="{00000000-0005-0000-0000-00001B460000}"/>
    <cellStyle name="Millares 7 3 4 2 2" xfId="15291" xr:uid="{00000000-0005-0000-0000-00001C460000}"/>
    <cellStyle name="Millares 7 3 4 2 2 2" xfId="28859" xr:uid="{00000000-0005-0000-0000-00001D460000}"/>
    <cellStyle name="Millares 7 3 4 2 2 2 2" xfId="55992" xr:uid="{00000000-0005-0000-0000-00001E460000}"/>
    <cellStyle name="Millares 7 3 4 2 2 3" xfId="42430" xr:uid="{00000000-0005-0000-0000-00001F460000}"/>
    <cellStyle name="Millares 7 3 4 2 3" xfId="22078" xr:uid="{00000000-0005-0000-0000-000020460000}"/>
    <cellStyle name="Millares 7 3 4 2 3 2" xfId="49211" xr:uid="{00000000-0005-0000-0000-000021460000}"/>
    <cellStyle name="Millares 7 3 4 2 4" xfId="35649" xr:uid="{00000000-0005-0000-0000-000022460000}"/>
    <cellStyle name="Millares 7 3 4 3" xfId="11902" xr:uid="{00000000-0005-0000-0000-000023460000}"/>
    <cellStyle name="Millares 7 3 4 3 2" xfId="25470" xr:uid="{00000000-0005-0000-0000-000024460000}"/>
    <cellStyle name="Millares 7 3 4 3 2 2" xfId="52603" xr:uid="{00000000-0005-0000-0000-000025460000}"/>
    <cellStyle name="Millares 7 3 4 3 3" xfId="39041" xr:uid="{00000000-0005-0000-0000-000026460000}"/>
    <cellStyle name="Millares 7 3 4 4" xfId="18689" xr:uid="{00000000-0005-0000-0000-000027460000}"/>
    <cellStyle name="Millares 7 3 4 4 2" xfId="45822" xr:uid="{00000000-0005-0000-0000-000028460000}"/>
    <cellStyle name="Millares 7 3 4 5" xfId="32260" xr:uid="{00000000-0005-0000-0000-000029460000}"/>
    <cellStyle name="Millares 7 3 5" xfId="4907" xr:uid="{00000000-0005-0000-0000-00002A460000}"/>
    <cellStyle name="Millares 7 3 5 2" xfId="8502" xr:uid="{00000000-0005-0000-0000-00002B460000}"/>
    <cellStyle name="Millares 7 3 5 2 2" xfId="15292" xr:uid="{00000000-0005-0000-0000-00002C460000}"/>
    <cellStyle name="Millares 7 3 5 2 2 2" xfId="28860" xr:uid="{00000000-0005-0000-0000-00002D460000}"/>
    <cellStyle name="Millares 7 3 5 2 2 2 2" xfId="55993" xr:uid="{00000000-0005-0000-0000-00002E460000}"/>
    <cellStyle name="Millares 7 3 5 2 2 3" xfId="42431" xr:uid="{00000000-0005-0000-0000-00002F460000}"/>
    <cellStyle name="Millares 7 3 5 2 3" xfId="22079" xr:uid="{00000000-0005-0000-0000-000030460000}"/>
    <cellStyle name="Millares 7 3 5 2 3 2" xfId="49212" xr:uid="{00000000-0005-0000-0000-000031460000}"/>
    <cellStyle name="Millares 7 3 5 2 4" xfId="35650" xr:uid="{00000000-0005-0000-0000-000032460000}"/>
    <cellStyle name="Millares 7 3 5 3" xfId="11903" xr:uid="{00000000-0005-0000-0000-000033460000}"/>
    <cellStyle name="Millares 7 3 5 3 2" xfId="25471" xr:uid="{00000000-0005-0000-0000-000034460000}"/>
    <cellStyle name="Millares 7 3 5 3 2 2" xfId="52604" xr:uid="{00000000-0005-0000-0000-000035460000}"/>
    <cellStyle name="Millares 7 3 5 3 3" xfId="39042" xr:uid="{00000000-0005-0000-0000-000036460000}"/>
    <cellStyle name="Millares 7 3 5 4" xfId="18690" xr:uid="{00000000-0005-0000-0000-000037460000}"/>
    <cellStyle name="Millares 7 3 5 4 2" xfId="45823" xr:uid="{00000000-0005-0000-0000-000038460000}"/>
    <cellStyle name="Millares 7 3 5 5" xfId="32261" xr:uid="{00000000-0005-0000-0000-000039460000}"/>
    <cellStyle name="Millares 7 3 6" xfId="8495" xr:uid="{00000000-0005-0000-0000-00003A460000}"/>
    <cellStyle name="Millares 7 3 6 2" xfId="15285" xr:uid="{00000000-0005-0000-0000-00003B460000}"/>
    <cellStyle name="Millares 7 3 6 2 2" xfId="28853" xr:uid="{00000000-0005-0000-0000-00003C460000}"/>
    <cellStyle name="Millares 7 3 6 2 2 2" xfId="55986" xr:uid="{00000000-0005-0000-0000-00003D460000}"/>
    <cellStyle name="Millares 7 3 6 2 3" xfId="42424" xr:uid="{00000000-0005-0000-0000-00003E460000}"/>
    <cellStyle name="Millares 7 3 6 3" xfId="22072" xr:uid="{00000000-0005-0000-0000-00003F460000}"/>
    <cellStyle name="Millares 7 3 6 3 2" xfId="49205" xr:uid="{00000000-0005-0000-0000-000040460000}"/>
    <cellStyle name="Millares 7 3 6 4" xfId="35643" xr:uid="{00000000-0005-0000-0000-000041460000}"/>
    <cellStyle name="Millares 7 3 7" xfId="11896" xr:uid="{00000000-0005-0000-0000-000042460000}"/>
    <cellStyle name="Millares 7 3 7 2" xfId="25464" xr:uid="{00000000-0005-0000-0000-000043460000}"/>
    <cellStyle name="Millares 7 3 7 2 2" xfId="52597" xr:uid="{00000000-0005-0000-0000-000044460000}"/>
    <cellStyle name="Millares 7 3 7 3" xfId="39035" xr:uid="{00000000-0005-0000-0000-000045460000}"/>
    <cellStyle name="Millares 7 3 8" xfId="18683" xr:uid="{00000000-0005-0000-0000-000046460000}"/>
    <cellStyle name="Millares 7 3 8 2" xfId="45816" xr:uid="{00000000-0005-0000-0000-000047460000}"/>
    <cellStyle name="Millares 7 3 9" xfId="32254" xr:uid="{00000000-0005-0000-0000-000048460000}"/>
    <cellStyle name="Millares 7 4" xfId="4908" xr:uid="{00000000-0005-0000-0000-000049460000}"/>
    <cellStyle name="Millares 7 4 2" xfId="4909" xr:uid="{00000000-0005-0000-0000-00004A460000}"/>
    <cellStyle name="Millares 7 4 2 2" xfId="4910" xr:uid="{00000000-0005-0000-0000-00004B460000}"/>
    <cellStyle name="Millares 7 4 2 2 2" xfId="8505" xr:uid="{00000000-0005-0000-0000-00004C460000}"/>
    <cellStyle name="Millares 7 4 2 2 2 2" xfId="15295" xr:uid="{00000000-0005-0000-0000-00004D460000}"/>
    <cellStyle name="Millares 7 4 2 2 2 2 2" xfId="28863" xr:uid="{00000000-0005-0000-0000-00004E460000}"/>
    <cellStyle name="Millares 7 4 2 2 2 2 2 2" xfId="55996" xr:uid="{00000000-0005-0000-0000-00004F460000}"/>
    <cellStyle name="Millares 7 4 2 2 2 2 3" xfId="42434" xr:uid="{00000000-0005-0000-0000-000050460000}"/>
    <cellStyle name="Millares 7 4 2 2 2 3" xfId="22082" xr:uid="{00000000-0005-0000-0000-000051460000}"/>
    <cellStyle name="Millares 7 4 2 2 2 3 2" xfId="49215" xr:uid="{00000000-0005-0000-0000-000052460000}"/>
    <cellStyle name="Millares 7 4 2 2 2 4" xfId="35653" xr:uid="{00000000-0005-0000-0000-000053460000}"/>
    <cellStyle name="Millares 7 4 2 2 3" xfId="11906" xr:uid="{00000000-0005-0000-0000-000054460000}"/>
    <cellStyle name="Millares 7 4 2 2 3 2" xfId="25474" xr:uid="{00000000-0005-0000-0000-000055460000}"/>
    <cellStyle name="Millares 7 4 2 2 3 2 2" xfId="52607" xr:uid="{00000000-0005-0000-0000-000056460000}"/>
    <cellStyle name="Millares 7 4 2 2 3 3" xfId="39045" xr:uid="{00000000-0005-0000-0000-000057460000}"/>
    <cellStyle name="Millares 7 4 2 2 4" xfId="18693" xr:uid="{00000000-0005-0000-0000-000058460000}"/>
    <cellStyle name="Millares 7 4 2 2 4 2" xfId="45826" xr:uid="{00000000-0005-0000-0000-000059460000}"/>
    <cellStyle name="Millares 7 4 2 2 5" xfId="32264" xr:uid="{00000000-0005-0000-0000-00005A460000}"/>
    <cellStyle name="Millares 7 4 2 3" xfId="4911" xr:uid="{00000000-0005-0000-0000-00005B460000}"/>
    <cellStyle name="Millares 7 4 2 3 2" xfId="8506" xr:uid="{00000000-0005-0000-0000-00005C460000}"/>
    <cellStyle name="Millares 7 4 2 3 2 2" xfId="15296" xr:uid="{00000000-0005-0000-0000-00005D460000}"/>
    <cellStyle name="Millares 7 4 2 3 2 2 2" xfId="28864" xr:uid="{00000000-0005-0000-0000-00005E460000}"/>
    <cellStyle name="Millares 7 4 2 3 2 2 2 2" xfId="55997" xr:uid="{00000000-0005-0000-0000-00005F460000}"/>
    <cellStyle name="Millares 7 4 2 3 2 2 3" xfId="42435" xr:uid="{00000000-0005-0000-0000-000060460000}"/>
    <cellStyle name="Millares 7 4 2 3 2 3" xfId="22083" xr:uid="{00000000-0005-0000-0000-000061460000}"/>
    <cellStyle name="Millares 7 4 2 3 2 3 2" xfId="49216" xr:uid="{00000000-0005-0000-0000-000062460000}"/>
    <cellStyle name="Millares 7 4 2 3 2 4" xfId="35654" xr:uid="{00000000-0005-0000-0000-000063460000}"/>
    <cellStyle name="Millares 7 4 2 3 3" xfId="11907" xr:uid="{00000000-0005-0000-0000-000064460000}"/>
    <cellStyle name="Millares 7 4 2 3 3 2" xfId="25475" xr:uid="{00000000-0005-0000-0000-000065460000}"/>
    <cellStyle name="Millares 7 4 2 3 3 2 2" xfId="52608" xr:uid="{00000000-0005-0000-0000-000066460000}"/>
    <cellStyle name="Millares 7 4 2 3 3 3" xfId="39046" xr:uid="{00000000-0005-0000-0000-000067460000}"/>
    <cellStyle name="Millares 7 4 2 3 4" xfId="18694" xr:uid="{00000000-0005-0000-0000-000068460000}"/>
    <cellStyle name="Millares 7 4 2 3 4 2" xfId="45827" xr:uid="{00000000-0005-0000-0000-000069460000}"/>
    <cellStyle name="Millares 7 4 2 3 5" xfId="32265" xr:uid="{00000000-0005-0000-0000-00006A460000}"/>
    <cellStyle name="Millares 7 4 2 4" xfId="8504" xr:uid="{00000000-0005-0000-0000-00006B460000}"/>
    <cellStyle name="Millares 7 4 2 4 2" xfId="15294" xr:uid="{00000000-0005-0000-0000-00006C460000}"/>
    <cellStyle name="Millares 7 4 2 4 2 2" xfId="28862" xr:uid="{00000000-0005-0000-0000-00006D460000}"/>
    <cellStyle name="Millares 7 4 2 4 2 2 2" xfId="55995" xr:uid="{00000000-0005-0000-0000-00006E460000}"/>
    <cellStyle name="Millares 7 4 2 4 2 3" xfId="42433" xr:uid="{00000000-0005-0000-0000-00006F460000}"/>
    <cellStyle name="Millares 7 4 2 4 3" xfId="22081" xr:uid="{00000000-0005-0000-0000-000070460000}"/>
    <cellStyle name="Millares 7 4 2 4 3 2" xfId="49214" xr:uid="{00000000-0005-0000-0000-000071460000}"/>
    <cellStyle name="Millares 7 4 2 4 4" xfId="35652" xr:uid="{00000000-0005-0000-0000-000072460000}"/>
    <cellStyle name="Millares 7 4 2 5" xfId="11905" xr:uid="{00000000-0005-0000-0000-000073460000}"/>
    <cellStyle name="Millares 7 4 2 5 2" xfId="25473" xr:uid="{00000000-0005-0000-0000-000074460000}"/>
    <cellStyle name="Millares 7 4 2 5 2 2" xfId="52606" xr:uid="{00000000-0005-0000-0000-000075460000}"/>
    <cellStyle name="Millares 7 4 2 5 3" xfId="39044" xr:uid="{00000000-0005-0000-0000-000076460000}"/>
    <cellStyle name="Millares 7 4 2 6" xfId="18692" xr:uid="{00000000-0005-0000-0000-000077460000}"/>
    <cellStyle name="Millares 7 4 2 6 2" xfId="45825" xr:uid="{00000000-0005-0000-0000-000078460000}"/>
    <cellStyle name="Millares 7 4 2 7" xfId="32263" xr:uid="{00000000-0005-0000-0000-000079460000}"/>
    <cellStyle name="Millares 7 4 3" xfId="4912" xr:uid="{00000000-0005-0000-0000-00007A460000}"/>
    <cellStyle name="Millares 7 4 3 2" xfId="8507" xr:uid="{00000000-0005-0000-0000-00007B460000}"/>
    <cellStyle name="Millares 7 4 3 2 2" xfId="15297" xr:uid="{00000000-0005-0000-0000-00007C460000}"/>
    <cellStyle name="Millares 7 4 3 2 2 2" xfId="28865" xr:uid="{00000000-0005-0000-0000-00007D460000}"/>
    <cellStyle name="Millares 7 4 3 2 2 2 2" xfId="55998" xr:uid="{00000000-0005-0000-0000-00007E460000}"/>
    <cellStyle name="Millares 7 4 3 2 2 3" xfId="42436" xr:uid="{00000000-0005-0000-0000-00007F460000}"/>
    <cellStyle name="Millares 7 4 3 2 3" xfId="22084" xr:uid="{00000000-0005-0000-0000-000080460000}"/>
    <cellStyle name="Millares 7 4 3 2 3 2" xfId="49217" xr:uid="{00000000-0005-0000-0000-000081460000}"/>
    <cellStyle name="Millares 7 4 3 2 4" xfId="35655" xr:uid="{00000000-0005-0000-0000-000082460000}"/>
    <cellStyle name="Millares 7 4 3 3" xfId="11908" xr:uid="{00000000-0005-0000-0000-000083460000}"/>
    <cellStyle name="Millares 7 4 3 3 2" xfId="25476" xr:uid="{00000000-0005-0000-0000-000084460000}"/>
    <cellStyle name="Millares 7 4 3 3 2 2" xfId="52609" xr:uid="{00000000-0005-0000-0000-000085460000}"/>
    <cellStyle name="Millares 7 4 3 3 3" xfId="39047" xr:uid="{00000000-0005-0000-0000-000086460000}"/>
    <cellStyle name="Millares 7 4 3 4" xfId="18695" xr:uid="{00000000-0005-0000-0000-000087460000}"/>
    <cellStyle name="Millares 7 4 3 4 2" xfId="45828" xr:uid="{00000000-0005-0000-0000-000088460000}"/>
    <cellStyle name="Millares 7 4 3 5" xfId="32266" xr:uid="{00000000-0005-0000-0000-000089460000}"/>
    <cellStyle name="Millares 7 4 4" xfId="4913" xr:uid="{00000000-0005-0000-0000-00008A460000}"/>
    <cellStyle name="Millares 7 4 4 2" xfId="8508" xr:uid="{00000000-0005-0000-0000-00008B460000}"/>
    <cellStyle name="Millares 7 4 4 2 2" xfId="15298" xr:uid="{00000000-0005-0000-0000-00008C460000}"/>
    <cellStyle name="Millares 7 4 4 2 2 2" xfId="28866" xr:uid="{00000000-0005-0000-0000-00008D460000}"/>
    <cellStyle name="Millares 7 4 4 2 2 2 2" xfId="55999" xr:uid="{00000000-0005-0000-0000-00008E460000}"/>
    <cellStyle name="Millares 7 4 4 2 2 3" xfId="42437" xr:uid="{00000000-0005-0000-0000-00008F460000}"/>
    <cellStyle name="Millares 7 4 4 2 3" xfId="22085" xr:uid="{00000000-0005-0000-0000-000090460000}"/>
    <cellStyle name="Millares 7 4 4 2 3 2" xfId="49218" xr:uid="{00000000-0005-0000-0000-000091460000}"/>
    <cellStyle name="Millares 7 4 4 2 4" xfId="35656" xr:uid="{00000000-0005-0000-0000-000092460000}"/>
    <cellStyle name="Millares 7 4 4 3" xfId="11909" xr:uid="{00000000-0005-0000-0000-000093460000}"/>
    <cellStyle name="Millares 7 4 4 3 2" xfId="25477" xr:uid="{00000000-0005-0000-0000-000094460000}"/>
    <cellStyle name="Millares 7 4 4 3 2 2" xfId="52610" xr:uid="{00000000-0005-0000-0000-000095460000}"/>
    <cellStyle name="Millares 7 4 4 3 3" xfId="39048" xr:uid="{00000000-0005-0000-0000-000096460000}"/>
    <cellStyle name="Millares 7 4 4 4" xfId="18696" xr:uid="{00000000-0005-0000-0000-000097460000}"/>
    <cellStyle name="Millares 7 4 4 4 2" xfId="45829" xr:uid="{00000000-0005-0000-0000-000098460000}"/>
    <cellStyle name="Millares 7 4 4 5" xfId="32267" xr:uid="{00000000-0005-0000-0000-000099460000}"/>
    <cellStyle name="Millares 7 4 5" xfId="8503" xr:uid="{00000000-0005-0000-0000-00009A460000}"/>
    <cellStyle name="Millares 7 4 5 2" xfId="15293" xr:uid="{00000000-0005-0000-0000-00009B460000}"/>
    <cellStyle name="Millares 7 4 5 2 2" xfId="28861" xr:uid="{00000000-0005-0000-0000-00009C460000}"/>
    <cellStyle name="Millares 7 4 5 2 2 2" xfId="55994" xr:uid="{00000000-0005-0000-0000-00009D460000}"/>
    <cellStyle name="Millares 7 4 5 2 3" xfId="42432" xr:uid="{00000000-0005-0000-0000-00009E460000}"/>
    <cellStyle name="Millares 7 4 5 3" xfId="22080" xr:uid="{00000000-0005-0000-0000-00009F460000}"/>
    <cellStyle name="Millares 7 4 5 3 2" xfId="49213" xr:uid="{00000000-0005-0000-0000-0000A0460000}"/>
    <cellStyle name="Millares 7 4 5 4" xfId="35651" xr:uid="{00000000-0005-0000-0000-0000A1460000}"/>
    <cellStyle name="Millares 7 4 6" xfId="11904" xr:uid="{00000000-0005-0000-0000-0000A2460000}"/>
    <cellStyle name="Millares 7 4 6 2" xfId="25472" xr:uid="{00000000-0005-0000-0000-0000A3460000}"/>
    <cellStyle name="Millares 7 4 6 2 2" xfId="52605" xr:uid="{00000000-0005-0000-0000-0000A4460000}"/>
    <cellStyle name="Millares 7 4 6 3" xfId="39043" xr:uid="{00000000-0005-0000-0000-0000A5460000}"/>
    <cellStyle name="Millares 7 4 7" xfId="18691" xr:uid="{00000000-0005-0000-0000-0000A6460000}"/>
    <cellStyle name="Millares 7 4 7 2" xfId="45824" xr:uid="{00000000-0005-0000-0000-0000A7460000}"/>
    <cellStyle name="Millares 7 4 8" xfId="32262" xr:uid="{00000000-0005-0000-0000-0000A8460000}"/>
    <cellStyle name="Millares 7 5" xfId="4914" xr:uid="{00000000-0005-0000-0000-0000A9460000}"/>
    <cellStyle name="Millares 7 5 2" xfId="4915" xr:uid="{00000000-0005-0000-0000-0000AA460000}"/>
    <cellStyle name="Millares 7 5 2 2" xfId="8510" xr:uid="{00000000-0005-0000-0000-0000AB460000}"/>
    <cellStyle name="Millares 7 5 2 2 2" xfId="15300" xr:uid="{00000000-0005-0000-0000-0000AC460000}"/>
    <cellStyle name="Millares 7 5 2 2 2 2" xfId="28868" xr:uid="{00000000-0005-0000-0000-0000AD460000}"/>
    <cellStyle name="Millares 7 5 2 2 2 2 2" xfId="56001" xr:uid="{00000000-0005-0000-0000-0000AE460000}"/>
    <cellStyle name="Millares 7 5 2 2 2 3" xfId="42439" xr:uid="{00000000-0005-0000-0000-0000AF460000}"/>
    <cellStyle name="Millares 7 5 2 2 3" xfId="22087" xr:uid="{00000000-0005-0000-0000-0000B0460000}"/>
    <cellStyle name="Millares 7 5 2 2 3 2" xfId="49220" xr:uid="{00000000-0005-0000-0000-0000B1460000}"/>
    <cellStyle name="Millares 7 5 2 2 4" xfId="35658" xr:uid="{00000000-0005-0000-0000-0000B2460000}"/>
    <cellStyle name="Millares 7 5 2 3" xfId="11911" xr:uid="{00000000-0005-0000-0000-0000B3460000}"/>
    <cellStyle name="Millares 7 5 2 3 2" xfId="25479" xr:uid="{00000000-0005-0000-0000-0000B4460000}"/>
    <cellStyle name="Millares 7 5 2 3 2 2" xfId="52612" xr:uid="{00000000-0005-0000-0000-0000B5460000}"/>
    <cellStyle name="Millares 7 5 2 3 3" xfId="39050" xr:uid="{00000000-0005-0000-0000-0000B6460000}"/>
    <cellStyle name="Millares 7 5 2 4" xfId="18698" xr:uid="{00000000-0005-0000-0000-0000B7460000}"/>
    <cellStyle name="Millares 7 5 2 4 2" xfId="45831" xr:uid="{00000000-0005-0000-0000-0000B8460000}"/>
    <cellStyle name="Millares 7 5 2 5" xfId="32269" xr:uid="{00000000-0005-0000-0000-0000B9460000}"/>
    <cellStyle name="Millares 7 5 3" xfId="4916" xr:uid="{00000000-0005-0000-0000-0000BA460000}"/>
    <cellStyle name="Millares 7 5 3 2" xfId="8511" xr:uid="{00000000-0005-0000-0000-0000BB460000}"/>
    <cellStyle name="Millares 7 5 3 2 2" xfId="15301" xr:uid="{00000000-0005-0000-0000-0000BC460000}"/>
    <cellStyle name="Millares 7 5 3 2 2 2" xfId="28869" xr:uid="{00000000-0005-0000-0000-0000BD460000}"/>
    <cellStyle name="Millares 7 5 3 2 2 2 2" xfId="56002" xr:uid="{00000000-0005-0000-0000-0000BE460000}"/>
    <cellStyle name="Millares 7 5 3 2 2 3" xfId="42440" xr:uid="{00000000-0005-0000-0000-0000BF460000}"/>
    <cellStyle name="Millares 7 5 3 2 3" xfId="22088" xr:uid="{00000000-0005-0000-0000-0000C0460000}"/>
    <cellStyle name="Millares 7 5 3 2 3 2" xfId="49221" xr:uid="{00000000-0005-0000-0000-0000C1460000}"/>
    <cellStyle name="Millares 7 5 3 2 4" xfId="35659" xr:uid="{00000000-0005-0000-0000-0000C2460000}"/>
    <cellStyle name="Millares 7 5 3 3" xfId="11912" xr:uid="{00000000-0005-0000-0000-0000C3460000}"/>
    <cellStyle name="Millares 7 5 3 3 2" xfId="25480" xr:uid="{00000000-0005-0000-0000-0000C4460000}"/>
    <cellStyle name="Millares 7 5 3 3 2 2" xfId="52613" xr:uid="{00000000-0005-0000-0000-0000C5460000}"/>
    <cellStyle name="Millares 7 5 3 3 3" xfId="39051" xr:uid="{00000000-0005-0000-0000-0000C6460000}"/>
    <cellStyle name="Millares 7 5 3 4" xfId="18699" xr:uid="{00000000-0005-0000-0000-0000C7460000}"/>
    <cellStyle name="Millares 7 5 3 4 2" xfId="45832" xr:uid="{00000000-0005-0000-0000-0000C8460000}"/>
    <cellStyle name="Millares 7 5 3 5" xfId="32270" xr:uid="{00000000-0005-0000-0000-0000C9460000}"/>
    <cellStyle name="Millares 7 5 4" xfId="8509" xr:uid="{00000000-0005-0000-0000-0000CA460000}"/>
    <cellStyle name="Millares 7 5 4 2" xfId="15299" xr:uid="{00000000-0005-0000-0000-0000CB460000}"/>
    <cellStyle name="Millares 7 5 4 2 2" xfId="28867" xr:uid="{00000000-0005-0000-0000-0000CC460000}"/>
    <cellStyle name="Millares 7 5 4 2 2 2" xfId="56000" xr:uid="{00000000-0005-0000-0000-0000CD460000}"/>
    <cellStyle name="Millares 7 5 4 2 3" xfId="42438" xr:uid="{00000000-0005-0000-0000-0000CE460000}"/>
    <cellStyle name="Millares 7 5 4 3" xfId="22086" xr:uid="{00000000-0005-0000-0000-0000CF460000}"/>
    <cellStyle name="Millares 7 5 4 3 2" xfId="49219" xr:uid="{00000000-0005-0000-0000-0000D0460000}"/>
    <cellStyle name="Millares 7 5 4 4" xfId="35657" xr:uid="{00000000-0005-0000-0000-0000D1460000}"/>
    <cellStyle name="Millares 7 5 5" xfId="11910" xr:uid="{00000000-0005-0000-0000-0000D2460000}"/>
    <cellStyle name="Millares 7 5 5 2" xfId="25478" xr:uid="{00000000-0005-0000-0000-0000D3460000}"/>
    <cellStyle name="Millares 7 5 5 2 2" xfId="52611" xr:uid="{00000000-0005-0000-0000-0000D4460000}"/>
    <cellStyle name="Millares 7 5 5 3" xfId="39049" xr:uid="{00000000-0005-0000-0000-0000D5460000}"/>
    <cellStyle name="Millares 7 5 6" xfId="18697" xr:uid="{00000000-0005-0000-0000-0000D6460000}"/>
    <cellStyle name="Millares 7 5 6 2" xfId="45830" xr:uid="{00000000-0005-0000-0000-0000D7460000}"/>
    <cellStyle name="Millares 7 5 7" xfId="32268" xr:uid="{00000000-0005-0000-0000-0000D8460000}"/>
    <cellStyle name="Millares 7 6" xfId="4917" xr:uid="{00000000-0005-0000-0000-0000D9460000}"/>
    <cellStyle name="Millares 7 6 2" xfId="4918" xr:uid="{00000000-0005-0000-0000-0000DA460000}"/>
    <cellStyle name="Millares 7 6 2 2" xfId="8513" xr:uid="{00000000-0005-0000-0000-0000DB460000}"/>
    <cellStyle name="Millares 7 6 2 2 2" xfId="15303" xr:uid="{00000000-0005-0000-0000-0000DC460000}"/>
    <cellStyle name="Millares 7 6 2 2 2 2" xfId="28871" xr:uid="{00000000-0005-0000-0000-0000DD460000}"/>
    <cellStyle name="Millares 7 6 2 2 2 2 2" xfId="56004" xr:uid="{00000000-0005-0000-0000-0000DE460000}"/>
    <cellStyle name="Millares 7 6 2 2 2 3" xfId="42442" xr:uid="{00000000-0005-0000-0000-0000DF460000}"/>
    <cellStyle name="Millares 7 6 2 2 3" xfId="22090" xr:uid="{00000000-0005-0000-0000-0000E0460000}"/>
    <cellStyle name="Millares 7 6 2 2 3 2" xfId="49223" xr:uid="{00000000-0005-0000-0000-0000E1460000}"/>
    <cellStyle name="Millares 7 6 2 2 4" xfId="35661" xr:uid="{00000000-0005-0000-0000-0000E2460000}"/>
    <cellStyle name="Millares 7 6 2 3" xfId="11914" xr:uid="{00000000-0005-0000-0000-0000E3460000}"/>
    <cellStyle name="Millares 7 6 2 3 2" xfId="25482" xr:uid="{00000000-0005-0000-0000-0000E4460000}"/>
    <cellStyle name="Millares 7 6 2 3 2 2" xfId="52615" xr:uid="{00000000-0005-0000-0000-0000E5460000}"/>
    <cellStyle name="Millares 7 6 2 3 3" xfId="39053" xr:uid="{00000000-0005-0000-0000-0000E6460000}"/>
    <cellStyle name="Millares 7 6 2 4" xfId="18701" xr:uid="{00000000-0005-0000-0000-0000E7460000}"/>
    <cellStyle name="Millares 7 6 2 4 2" xfId="45834" xr:uid="{00000000-0005-0000-0000-0000E8460000}"/>
    <cellStyle name="Millares 7 6 2 5" xfId="32272" xr:uid="{00000000-0005-0000-0000-0000E9460000}"/>
    <cellStyle name="Millares 7 6 3" xfId="4919" xr:uid="{00000000-0005-0000-0000-0000EA460000}"/>
    <cellStyle name="Millares 7 6 3 2" xfId="8514" xr:uid="{00000000-0005-0000-0000-0000EB460000}"/>
    <cellStyle name="Millares 7 6 3 2 2" xfId="15304" xr:uid="{00000000-0005-0000-0000-0000EC460000}"/>
    <cellStyle name="Millares 7 6 3 2 2 2" xfId="28872" xr:uid="{00000000-0005-0000-0000-0000ED460000}"/>
    <cellStyle name="Millares 7 6 3 2 2 2 2" xfId="56005" xr:uid="{00000000-0005-0000-0000-0000EE460000}"/>
    <cellStyle name="Millares 7 6 3 2 2 3" xfId="42443" xr:uid="{00000000-0005-0000-0000-0000EF460000}"/>
    <cellStyle name="Millares 7 6 3 2 3" xfId="22091" xr:uid="{00000000-0005-0000-0000-0000F0460000}"/>
    <cellStyle name="Millares 7 6 3 2 3 2" xfId="49224" xr:uid="{00000000-0005-0000-0000-0000F1460000}"/>
    <cellStyle name="Millares 7 6 3 2 4" xfId="35662" xr:uid="{00000000-0005-0000-0000-0000F2460000}"/>
    <cellStyle name="Millares 7 6 3 3" xfId="11915" xr:uid="{00000000-0005-0000-0000-0000F3460000}"/>
    <cellStyle name="Millares 7 6 3 3 2" xfId="25483" xr:uid="{00000000-0005-0000-0000-0000F4460000}"/>
    <cellStyle name="Millares 7 6 3 3 2 2" xfId="52616" xr:uid="{00000000-0005-0000-0000-0000F5460000}"/>
    <cellStyle name="Millares 7 6 3 3 3" xfId="39054" xr:uid="{00000000-0005-0000-0000-0000F6460000}"/>
    <cellStyle name="Millares 7 6 3 4" xfId="18702" xr:uid="{00000000-0005-0000-0000-0000F7460000}"/>
    <cellStyle name="Millares 7 6 3 4 2" xfId="45835" xr:uid="{00000000-0005-0000-0000-0000F8460000}"/>
    <cellStyle name="Millares 7 6 3 5" xfId="32273" xr:uid="{00000000-0005-0000-0000-0000F9460000}"/>
    <cellStyle name="Millares 7 6 4" xfId="8512" xr:uid="{00000000-0005-0000-0000-0000FA460000}"/>
    <cellStyle name="Millares 7 6 4 2" xfId="15302" xr:uid="{00000000-0005-0000-0000-0000FB460000}"/>
    <cellStyle name="Millares 7 6 4 2 2" xfId="28870" xr:uid="{00000000-0005-0000-0000-0000FC460000}"/>
    <cellStyle name="Millares 7 6 4 2 2 2" xfId="56003" xr:uid="{00000000-0005-0000-0000-0000FD460000}"/>
    <cellStyle name="Millares 7 6 4 2 3" xfId="42441" xr:uid="{00000000-0005-0000-0000-0000FE460000}"/>
    <cellStyle name="Millares 7 6 4 3" xfId="22089" xr:uid="{00000000-0005-0000-0000-0000FF460000}"/>
    <cellStyle name="Millares 7 6 4 3 2" xfId="49222" xr:uid="{00000000-0005-0000-0000-000000470000}"/>
    <cellStyle name="Millares 7 6 4 4" xfId="35660" xr:uid="{00000000-0005-0000-0000-000001470000}"/>
    <cellStyle name="Millares 7 6 5" xfId="11913" xr:uid="{00000000-0005-0000-0000-000002470000}"/>
    <cellStyle name="Millares 7 6 5 2" xfId="25481" xr:uid="{00000000-0005-0000-0000-000003470000}"/>
    <cellStyle name="Millares 7 6 5 2 2" xfId="52614" xr:uid="{00000000-0005-0000-0000-000004470000}"/>
    <cellStyle name="Millares 7 6 5 3" xfId="39052" xr:uid="{00000000-0005-0000-0000-000005470000}"/>
    <cellStyle name="Millares 7 6 6" xfId="18700" xr:uid="{00000000-0005-0000-0000-000006470000}"/>
    <cellStyle name="Millares 7 6 6 2" xfId="45833" xr:uid="{00000000-0005-0000-0000-000007470000}"/>
    <cellStyle name="Millares 7 6 7" xfId="32271" xr:uid="{00000000-0005-0000-0000-000008470000}"/>
    <cellStyle name="Millares 7 7" xfId="4920" xr:uid="{00000000-0005-0000-0000-000009470000}"/>
    <cellStyle name="Millares 7 7 2" xfId="8515" xr:uid="{00000000-0005-0000-0000-00000A470000}"/>
    <cellStyle name="Millares 7 7 2 2" xfId="15305" xr:uid="{00000000-0005-0000-0000-00000B470000}"/>
    <cellStyle name="Millares 7 7 2 2 2" xfId="28873" xr:uid="{00000000-0005-0000-0000-00000C470000}"/>
    <cellStyle name="Millares 7 7 2 2 2 2" xfId="56006" xr:uid="{00000000-0005-0000-0000-00000D470000}"/>
    <cellStyle name="Millares 7 7 2 2 3" xfId="42444" xr:uid="{00000000-0005-0000-0000-00000E470000}"/>
    <cellStyle name="Millares 7 7 2 3" xfId="22092" xr:uid="{00000000-0005-0000-0000-00000F470000}"/>
    <cellStyle name="Millares 7 7 2 3 2" xfId="49225" xr:uid="{00000000-0005-0000-0000-000010470000}"/>
    <cellStyle name="Millares 7 7 2 4" xfId="35663" xr:uid="{00000000-0005-0000-0000-000011470000}"/>
    <cellStyle name="Millares 7 7 3" xfId="11916" xr:uid="{00000000-0005-0000-0000-000012470000}"/>
    <cellStyle name="Millares 7 7 3 2" xfId="25484" xr:uid="{00000000-0005-0000-0000-000013470000}"/>
    <cellStyle name="Millares 7 7 3 2 2" xfId="52617" xr:uid="{00000000-0005-0000-0000-000014470000}"/>
    <cellStyle name="Millares 7 7 3 3" xfId="39055" xr:uid="{00000000-0005-0000-0000-000015470000}"/>
    <cellStyle name="Millares 7 7 4" xfId="18703" xr:uid="{00000000-0005-0000-0000-000016470000}"/>
    <cellStyle name="Millares 7 7 4 2" xfId="45836" xr:uid="{00000000-0005-0000-0000-000017470000}"/>
    <cellStyle name="Millares 7 7 5" xfId="32274" xr:uid="{00000000-0005-0000-0000-000018470000}"/>
    <cellStyle name="Millares 7 8" xfId="4921" xr:uid="{00000000-0005-0000-0000-000019470000}"/>
    <cellStyle name="Millares 7 8 2" xfId="8516" xr:uid="{00000000-0005-0000-0000-00001A470000}"/>
    <cellStyle name="Millares 7 8 2 2" xfId="15306" xr:uid="{00000000-0005-0000-0000-00001B470000}"/>
    <cellStyle name="Millares 7 8 2 2 2" xfId="28874" xr:uid="{00000000-0005-0000-0000-00001C470000}"/>
    <cellStyle name="Millares 7 8 2 2 2 2" xfId="56007" xr:uid="{00000000-0005-0000-0000-00001D470000}"/>
    <cellStyle name="Millares 7 8 2 2 3" xfId="42445" xr:uid="{00000000-0005-0000-0000-00001E470000}"/>
    <cellStyle name="Millares 7 8 2 3" xfId="22093" xr:uid="{00000000-0005-0000-0000-00001F470000}"/>
    <cellStyle name="Millares 7 8 2 3 2" xfId="49226" xr:uid="{00000000-0005-0000-0000-000020470000}"/>
    <cellStyle name="Millares 7 8 2 4" xfId="35664" xr:uid="{00000000-0005-0000-0000-000021470000}"/>
    <cellStyle name="Millares 7 8 3" xfId="11917" xr:uid="{00000000-0005-0000-0000-000022470000}"/>
    <cellStyle name="Millares 7 8 3 2" xfId="25485" xr:uid="{00000000-0005-0000-0000-000023470000}"/>
    <cellStyle name="Millares 7 8 3 2 2" xfId="52618" xr:uid="{00000000-0005-0000-0000-000024470000}"/>
    <cellStyle name="Millares 7 8 3 3" xfId="39056" xr:uid="{00000000-0005-0000-0000-000025470000}"/>
    <cellStyle name="Millares 7 8 4" xfId="18704" xr:uid="{00000000-0005-0000-0000-000026470000}"/>
    <cellStyle name="Millares 7 8 4 2" xfId="45837" xr:uid="{00000000-0005-0000-0000-000027470000}"/>
    <cellStyle name="Millares 7 8 5" xfId="32275" xr:uid="{00000000-0005-0000-0000-000028470000}"/>
    <cellStyle name="Millares 8" xfId="2477" xr:uid="{00000000-0005-0000-0000-000029470000}"/>
    <cellStyle name="Millares 8 2" xfId="4922" xr:uid="{00000000-0005-0000-0000-00002A470000}"/>
    <cellStyle name="Millares 8 2 2" xfId="4923" xr:uid="{00000000-0005-0000-0000-00002B470000}"/>
    <cellStyle name="Millares 8 2 2 2" xfId="4924" xr:uid="{00000000-0005-0000-0000-00002C470000}"/>
    <cellStyle name="Millares 8 2 2 2 2" xfId="8519" xr:uid="{00000000-0005-0000-0000-00002D470000}"/>
    <cellStyle name="Millares 8 2 2 2 2 2" xfId="15309" xr:uid="{00000000-0005-0000-0000-00002E470000}"/>
    <cellStyle name="Millares 8 2 2 2 2 2 2" xfId="28877" xr:uid="{00000000-0005-0000-0000-00002F470000}"/>
    <cellStyle name="Millares 8 2 2 2 2 2 2 2" xfId="56010" xr:uid="{00000000-0005-0000-0000-000030470000}"/>
    <cellStyle name="Millares 8 2 2 2 2 2 3" xfId="42448" xr:uid="{00000000-0005-0000-0000-000031470000}"/>
    <cellStyle name="Millares 8 2 2 2 2 3" xfId="22096" xr:uid="{00000000-0005-0000-0000-000032470000}"/>
    <cellStyle name="Millares 8 2 2 2 2 3 2" xfId="49229" xr:uid="{00000000-0005-0000-0000-000033470000}"/>
    <cellStyle name="Millares 8 2 2 2 2 4" xfId="35667" xr:uid="{00000000-0005-0000-0000-000034470000}"/>
    <cellStyle name="Millares 8 2 2 2 3" xfId="11920" xr:uid="{00000000-0005-0000-0000-000035470000}"/>
    <cellStyle name="Millares 8 2 2 2 3 2" xfId="25488" xr:uid="{00000000-0005-0000-0000-000036470000}"/>
    <cellStyle name="Millares 8 2 2 2 3 2 2" xfId="52621" xr:uid="{00000000-0005-0000-0000-000037470000}"/>
    <cellStyle name="Millares 8 2 2 2 3 3" xfId="39059" xr:uid="{00000000-0005-0000-0000-000038470000}"/>
    <cellStyle name="Millares 8 2 2 2 4" xfId="18707" xr:uid="{00000000-0005-0000-0000-000039470000}"/>
    <cellStyle name="Millares 8 2 2 2 4 2" xfId="45840" xr:uid="{00000000-0005-0000-0000-00003A470000}"/>
    <cellStyle name="Millares 8 2 2 2 5" xfId="32278" xr:uid="{00000000-0005-0000-0000-00003B470000}"/>
    <cellStyle name="Millares 8 2 2 3" xfId="4925" xr:uid="{00000000-0005-0000-0000-00003C470000}"/>
    <cellStyle name="Millares 8 2 2 3 2" xfId="8520" xr:uid="{00000000-0005-0000-0000-00003D470000}"/>
    <cellStyle name="Millares 8 2 2 3 2 2" xfId="15310" xr:uid="{00000000-0005-0000-0000-00003E470000}"/>
    <cellStyle name="Millares 8 2 2 3 2 2 2" xfId="28878" xr:uid="{00000000-0005-0000-0000-00003F470000}"/>
    <cellStyle name="Millares 8 2 2 3 2 2 2 2" xfId="56011" xr:uid="{00000000-0005-0000-0000-000040470000}"/>
    <cellStyle name="Millares 8 2 2 3 2 2 3" xfId="42449" xr:uid="{00000000-0005-0000-0000-000041470000}"/>
    <cellStyle name="Millares 8 2 2 3 2 3" xfId="22097" xr:uid="{00000000-0005-0000-0000-000042470000}"/>
    <cellStyle name="Millares 8 2 2 3 2 3 2" xfId="49230" xr:uid="{00000000-0005-0000-0000-000043470000}"/>
    <cellStyle name="Millares 8 2 2 3 2 4" xfId="35668" xr:uid="{00000000-0005-0000-0000-000044470000}"/>
    <cellStyle name="Millares 8 2 2 3 3" xfId="11921" xr:uid="{00000000-0005-0000-0000-000045470000}"/>
    <cellStyle name="Millares 8 2 2 3 3 2" xfId="25489" xr:uid="{00000000-0005-0000-0000-000046470000}"/>
    <cellStyle name="Millares 8 2 2 3 3 2 2" xfId="52622" xr:uid="{00000000-0005-0000-0000-000047470000}"/>
    <cellStyle name="Millares 8 2 2 3 3 3" xfId="39060" xr:uid="{00000000-0005-0000-0000-000048470000}"/>
    <cellStyle name="Millares 8 2 2 3 4" xfId="18708" xr:uid="{00000000-0005-0000-0000-000049470000}"/>
    <cellStyle name="Millares 8 2 2 3 4 2" xfId="45841" xr:uid="{00000000-0005-0000-0000-00004A470000}"/>
    <cellStyle name="Millares 8 2 2 3 5" xfId="32279" xr:uid="{00000000-0005-0000-0000-00004B470000}"/>
    <cellStyle name="Millares 8 2 2 4" xfId="8518" xr:uid="{00000000-0005-0000-0000-00004C470000}"/>
    <cellStyle name="Millares 8 2 2 4 2" xfId="15308" xr:uid="{00000000-0005-0000-0000-00004D470000}"/>
    <cellStyle name="Millares 8 2 2 4 2 2" xfId="28876" xr:uid="{00000000-0005-0000-0000-00004E470000}"/>
    <cellStyle name="Millares 8 2 2 4 2 2 2" xfId="56009" xr:uid="{00000000-0005-0000-0000-00004F470000}"/>
    <cellStyle name="Millares 8 2 2 4 2 3" xfId="42447" xr:uid="{00000000-0005-0000-0000-000050470000}"/>
    <cellStyle name="Millares 8 2 2 4 3" xfId="22095" xr:uid="{00000000-0005-0000-0000-000051470000}"/>
    <cellStyle name="Millares 8 2 2 4 3 2" xfId="49228" xr:uid="{00000000-0005-0000-0000-000052470000}"/>
    <cellStyle name="Millares 8 2 2 4 4" xfId="35666" xr:uid="{00000000-0005-0000-0000-000053470000}"/>
    <cellStyle name="Millares 8 2 2 5" xfId="11919" xr:uid="{00000000-0005-0000-0000-000054470000}"/>
    <cellStyle name="Millares 8 2 2 5 2" xfId="25487" xr:uid="{00000000-0005-0000-0000-000055470000}"/>
    <cellStyle name="Millares 8 2 2 5 2 2" xfId="52620" xr:uid="{00000000-0005-0000-0000-000056470000}"/>
    <cellStyle name="Millares 8 2 2 5 3" xfId="39058" xr:uid="{00000000-0005-0000-0000-000057470000}"/>
    <cellStyle name="Millares 8 2 2 6" xfId="18706" xr:uid="{00000000-0005-0000-0000-000058470000}"/>
    <cellStyle name="Millares 8 2 2 6 2" xfId="45839" xr:uid="{00000000-0005-0000-0000-000059470000}"/>
    <cellStyle name="Millares 8 2 2 7" xfId="32277" xr:uid="{00000000-0005-0000-0000-00005A470000}"/>
    <cellStyle name="Millares 8 2 3" xfId="4926" xr:uid="{00000000-0005-0000-0000-00005B470000}"/>
    <cellStyle name="Millares 8 2 3 2" xfId="4927" xr:uid="{00000000-0005-0000-0000-00005C470000}"/>
    <cellStyle name="Millares 8 2 3 2 2" xfId="8522" xr:uid="{00000000-0005-0000-0000-00005D470000}"/>
    <cellStyle name="Millares 8 2 3 2 2 2" xfId="15312" xr:uid="{00000000-0005-0000-0000-00005E470000}"/>
    <cellStyle name="Millares 8 2 3 2 2 2 2" xfId="28880" xr:uid="{00000000-0005-0000-0000-00005F470000}"/>
    <cellStyle name="Millares 8 2 3 2 2 2 2 2" xfId="56013" xr:uid="{00000000-0005-0000-0000-000060470000}"/>
    <cellStyle name="Millares 8 2 3 2 2 2 3" xfId="42451" xr:uid="{00000000-0005-0000-0000-000061470000}"/>
    <cellStyle name="Millares 8 2 3 2 2 3" xfId="22099" xr:uid="{00000000-0005-0000-0000-000062470000}"/>
    <cellStyle name="Millares 8 2 3 2 2 3 2" xfId="49232" xr:uid="{00000000-0005-0000-0000-000063470000}"/>
    <cellStyle name="Millares 8 2 3 2 2 4" xfId="35670" xr:uid="{00000000-0005-0000-0000-000064470000}"/>
    <cellStyle name="Millares 8 2 3 2 3" xfId="11923" xr:uid="{00000000-0005-0000-0000-000065470000}"/>
    <cellStyle name="Millares 8 2 3 2 3 2" xfId="25491" xr:uid="{00000000-0005-0000-0000-000066470000}"/>
    <cellStyle name="Millares 8 2 3 2 3 2 2" xfId="52624" xr:uid="{00000000-0005-0000-0000-000067470000}"/>
    <cellStyle name="Millares 8 2 3 2 3 3" xfId="39062" xr:uid="{00000000-0005-0000-0000-000068470000}"/>
    <cellStyle name="Millares 8 2 3 2 4" xfId="18710" xr:uid="{00000000-0005-0000-0000-000069470000}"/>
    <cellStyle name="Millares 8 2 3 2 4 2" xfId="45843" xr:uid="{00000000-0005-0000-0000-00006A470000}"/>
    <cellStyle name="Millares 8 2 3 2 5" xfId="32281" xr:uid="{00000000-0005-0000-0000-00006B470000}"/>
    <cellStyle name="Millares 8 2 3 3" xfId="8521" xr:uid="{00000000-0005-0000-0000-00006C470000}"/>
    <cellStyle name="Millares 8 2 3 3 2" xfId="15311" xr:uid="{00000000-0005-0000-0000-00006D470000}"/>
    <cellStyle name="Millares 8 2 3 3 2 2" xfId="28879" xr:uid="{00000000-0005-0000-0000-00006E470000}"/>
    <cellStyle name="Millares 8 2 3 3 2 2 2" xfId="56012" xr:uid="{00000000-0005-0000-0000-00006F470000}"/>
    <cellStyle name="Millares 8 2 3 3 2 3" xfId="42450" xr:uid="{00000000-0005-0000-0000-000070470000}"/>
    <cellStyle name="Millares 8 2 3 3 3" xfId="22098" xr:uid="{00000000-0005-0000-0000-000071470000}"/>
    <cellStyle name="Millares 8 2 3 3 3 2" xfId="49231" xr:uid="{00000000-0005-0000-0000-000072470000}"/>
    <cellStyle name="Millares 8 2 3 3 4" xfId="35669" xr:uid="{00000000-0005-0000-0000-000073470000}"/>
    <cellStyle name="Millares 8 2 3 4" xfId="11922" xr:uid="{00000000-0005-0000-0000-000074470000}"/>
    <cellStyle name="Millares 8 2 3 4 2" xfId="25490" xr:uid="{00000000-0005-0000-0000-000075470000}"/>
    <cellStyle name="Millares 8 2 3 4 2 2" xfId="52623" xr:uid="{00000000-0005-0000-0000-000076470000}"/>
    <cellStyle name="Millares 8 2 3 4 3" xfId="39061" xr:uid="{00000000-0005-0000-0000-000077470000}"/>
    <cellStyle name="Millares 8 2 3 5" xfId="18709" xr:uid="{00000000-0005-0000-0000-000078470000}"/>
    <cellStyle name="Millares 8 2 3 5 2" xfId="45842" xr:uid="{00000000-0005-0000-0000-000079470000}"/>
    <cellStyle name="Millares 8 2 3 6" xfId="32280" xr:uid="{00000000-0005-0000-0000-00007A470000}"/>
    <cellStyle name="Millares 8 2 4" xfId="4928" xr:uid="{00000000-0005-0000-0000-00007B470000}"/>
    <cellStyle name="Millares 8 2 4 2" xfId="8523" xr:uid="{00000000-0005-0000-0000-00007C470000}"/>
    <cellStyle name="Millares 8 2 4 2 2" xfId="15313" xr:uid="{00000000-0005-0000-0000-00007D470000}"/>
    <cellStyle name="Millares 8 2 4 2 2 2" xfId="28881" xr:uid="{00000000-0005-0000-0000-00007E470000}"/>
    <cellStyle name="Millares 8 2 4 2 2 2 2" xfId="56014" xr:uid="{00000000-0005-0000-0000-00007F470000}"/>
    <cellStyle name="Millares 8 2 4 2 2 3" xfId="42452" xr:uid="{00000000-0005-0000-0000-000080470000}"/>
    <cellStyle name="Millares 8 2 4 2 3" xfId="22100" xr:uid="{00000000-0005-0000-0000-000081470000}"/>
    <cellStyle name="Millares 8 2 4 2 3 2" xfId="49233" xr:uid="{00000000-0005-0000-0000-000082470000}"/>
    <cellStyle name="Millares 8 2 4 2 4" xfId="35671" xr:uid="{00000000-0005-0000-0000-000083470000}"/>
    <cellStyle name="Millares 8 2 4 3" xfId="11924" xr:uid="{00000000-0005-0000-0000-000084470000}"/>
    <cellStyle name="Millares 8 2 4 3 2" xfId="25492" xr:uid="{00000000-0005-0000-0000-000085470000}"/>
    <cellStyle name="Millares 8 2 4 3 2 2" xfId="52625" xr:uid="{00000000-0005-0000-0000-000086470000}"/>
    <cellStyle name="Millares 8 2 4 3 3" xfId="39063" xr:uid="{00000000-0005-0000-0000-000087470000}"/>
    <cellStyle name="Millares 8 2 4 4" xfId="18711" xr:uid="{00000000-0005-0000-0000-000088470000}"/>
    <cellStyle name="Millares 8 2 4 4 2" xfId="45844" xr:uid="{00000000-0005-0000-0000-000089470000}"/>
    <cellStyle name="Millares 8 2 4 5" xfId="32282" xr:uid="{00000000-0005-0000-0000-00008A470000}"/>
    <cellStyle name="Millares 8 2 5" xfId="4929" xr:uid="{00000000-0005-0000-0000-00008B470000}"/>
    <cellStyle name="Millares 8 2 5 2" xfId="8524" xr:uid="{00000000-0005-0000-0000-00008C470000}"/>
    <cellStyle name="Millares 8 2 5 2 2" xfId="15314" xr:uid="{00000000-0005-0000-0000-00008D470000}"/>
    <cellStyle name="Millares 8 2 5 2 2 2" xfId="28882" xr:uid="{00000000-0005-0000-0000-00008E470000}"/>
    <cellStyle name="Millares 8 2 5 2 2 2 2" xfId="56015" xr:uid="{00000000-0005-0000-0000-00008F470000}"/>
    <cellStyle name="Millares 8 2 5 2 2 3" xfId="42453" xr:uid="{00000000-0005-0000-0000-000090470000}"/>
    <cellStyle name="Millares 8 2 5 2 3" xfId="22101" xr:uid="{00000000-0005-0000-0000-000091470000}"/>
    <cellStyle name="Millares 8 2 5 2 3 2" xfId="49234" xr:uid="{00000000-0005-0000-0000-000092470000}"/>
    <cellStyle name="Millares 8 2 5 2 4" xfId="35672" xr:uid="{00000000-0005-0000-0000-000093470000}"/>
    <cellStyle name="Millares 8 2 5 3" xfId="11925" xr:uid="{00000000-0005-0000-0000-000094470000}"/>
    <cellStyle name="Millares 8 2 5 3 2" xfId="25493" xr:uid="{00000000-0005-0000-0000-000095470000}"/>
    <cellStyle name="Millares 8 2 5 3 2 2" xfId="52626" xr:uid="{00000000-0005-0000-0000-000096470000}"/>
    <cellStyle name="Millares 8 2 5 3 3" xfId="39064" xr:uid="{00000000-0005-0000-0000-000097470000}"/>
    <cellStyle name="Millares 8 2 5 4" xfId="18712" xr:uid="{00000000-0005-0000-0000-000098470000}"/>
    <cellStyle name="Millares 8 2 5 4 2" xfId="45845" xr:uid="{00000000-0005-0000-0000-000099470000}"/>
    <cellStyle name="Millares 8 2 5 5" xfId="32283" xr:uid="{00000000-0005-0000-0000-00009A470000}"/>
    <cellStyle name="Millares 8 2 6" xfId="8517" xr:uid="{00000000-0005-0000-0000-00009B470000}"/>
    <cellStyle name="Millares 8 2 6 2" xfId="15307" xr:uid="{00000000-0005-0000-0000-00009C470000}"/>
    <cellStyle name="Millares 8 2 6 2 2" xfId="28875" xr:uid="{00000000-0005-0000-0000-00009D470000}"/>
    <cellStyle name="Millares 8 2 6 2 2 2" xfId="56008" xr:uid="{00000000-0005-0000-0000-00009E470000}"/>
    <cellStyle name="Millares 8 2 6 2 3" xfId="42446" xr:uid="{00000000-0005-0000-0000-00009F470000}"/>
    <cellStyle name="Millares 8 2 6 3" xfId="22094" xr:uid="{00000000-0005-0000-0000-0000A0470000}"/>
    <cellStyle name="Millares 8 2 6 3 2" xfId="49227" xr:uid="{00000000-0005-0000-0000-0000A1470000}"/>
    <cellStyle name="Millares 8 2 6 4" xfId="35665" xr:uid="{00000000-0005-0000-0000-0000A2470000}"/>
    <cellStyle name="Millares 8 2 7" xfId="11918" xr:uid="{00000000-0005-0000-0000-0000A3470000}"/>
    <cellStyle name="Millares 8 2 7 2" xfId="25486" xr:uid="{00000000-0005-0000-0000-0000A4470000}"/>
    <cellStyle name="Millares 8 2 7 2 2" xfId="52619" xr:uid="{00000000-0005-0000-0000-0000A5470000}"/>
    <cellStyle name="Millares 8 2 7 3" xfId="39057" xr:uid="{00000000-0005-0000-0000-0000A6470000}"/>
    <cellStyle name="Millares 8 2 8" xfId="18705" xr:uid="{00000000-0005-0000-0000-0000A7470000}"/>
    <cellStyle name="Millares 8 2 8 2" xfId="45838" xr:uid="{00000000-0005-0000-0000-0000A8470000}"/>
    <cellStyle name="Millares 8 2 9" xfId="32276" xr:uid="{00000000-0005-0000-0000-0000A9470000}"/>
    <cellStyle name="Millares 8 3" xfId="4930" xr:uid="{00000000-0005-0000-0000-0000AA470000}"/>
    <cellStyle name="Millares 8 3 2" xfId="4931" xr:uid="{00000000-0005-0000-0000-0000AB470000}"/>
    <cellStyle name="Millares 8 3 2 2" xfId="8526" xr:uid="{00000000-0005-0000-0000-0000AC470000}"/>
    <cellStyle name="Millares 8 3 2 2 2" xfId="15316" xr:uid="{00000000-0005-0000-0000-0000AD470000}"/>
    <cellStyle name="Millares 8 3 2 2 2 2" xfId="28884" xr:uid="{00000000-0005-0000-0000-0000AE470000}"/>
    <cellStyle name="Millares 8 3 2 2 2 2 2" xfId="56017" xr:uid="{00000000-0005-0000-0000-0000AF470000}"/>
    <cellStyle name="Millares 8 3 2 2 2 3" xfId="42455" xr:uid="{00000000-0005-0000-0000-0000B0470000}"/>
    <cellStyle name="Millares 8 3 2 2 3" xfId="22103" xr:uid="{00000000-0005-0000-0000-0000B1470000}"/>
    <cellStyle name="Millares 8 3 2 2 3 2" xfId="49236" xr:uid="{00000000-0005-0000-0000-0000B2470000}"/>
    <cellStyle name="Millares 8 3 2 2 4" xfId="35674" xr:uid="{00000000-0005-0000-0000-0000B3470000}"/>
    <cellStyle name="Millares 8 3 2 3" xfId="11927" xr:uid="{00000000-0005-0000-0000-0000B4470000}"/>
    <cellStyle name="Millares 8 3 2 3 2" xfId="25495" xr:uid="{00000000-0005-0000-0000-0000B5470000}"/>
    <cellStyle name="Millares 8 3 2 3 2 2" xfId="52628" xr:uid="{00000000-0005-0000-0000-0000B6470000}"/>
    <cellStyle name="Millares 8 3 2 3 3" xfId="39066" xr:uid="{00000000-0005-0000-0000-0000B7470000}"/>
    <cellStyle name="Millares 8 3 2 4" xfId="18714" xr:uid="{00000000-0005-0000-0000-0000B8470000}"/>
    <cellStyle name="Millares 8 3 2 4 2" xfId="45847" xr:uid="{00000000-0005-0000-0000-0000B9470000}"/>
    <cellStyle name="Millares 8 3 2 5" xfId="32285" xr:uid="{00000000-0005-0000-0000-0000BA470000}"/>
    <cellStyle name="Millares 8 3 3" xfId="4932" xr:uid="{00000000-0005-0000-0000-0000BB470000}"/>
    <cellStyle name="Millares 8 3 3 2" xfId="8527" xr:uid="{00000000-0005-0000-0000-0000BC470000}"/>
    <cellStyle name="Millares 8 3 3 2 2" xfId="15317" xr:uid="{00000000-0005-0000-0000-0000BD470000}"/>
    <cellStyle name="Millares 8 3 3 2 2 2" xfId="28885" xr:uid="{00000000-0005-0000-0000-0000BE470000}"/>
    <cellStyle name="Millares 8 3 3 2 2 2 2" xfId="56018" xr:uid="{00000000-0005-0000-0000-0000BF470000}"/>
    <cellStyle name="Millares 8 3 3 2 2 3" xfId="42456" xr:uid="{00000000-0005-0000-0000-0000C0470000}"/>
    <cellStyle name="Millares 8 3 3 2 3" xfId="22104" xr:uid="{00000000-0005-0000-0000-0000C1470000}"/>
    <cellStyle name="Millares 8 3 3 2 3 2" xfId="49237" xr:uid="{00000000-0005-0000-0000-0000C2470000}"/>
    <cellStyle name="Millares 8 3 3 2 4" xfId="35675" xr:uid="{00000000-0005-0000-0000-0000C3470000}"/>
    <cellStyle name="Millares 8 3 3 3" xfId="11928" xr:uid="{00000000-0005-0000-0000-0000C4470000}"/>
    <cellStyle name="Millares 8 3 3 3 2" xfId="25496" xr:uid="{00000000-0005-0000-0000-0000C5470000}"/>
    <cellStyle name="Millares 8 3 3 3 2 2" xfId="52629" xr:uid="{00000000-0005-0000-0000-0000C6470000}"/>
    <cellStyle name="Millares 8 3 3 3 3" xfId="39067" xr:uid="{00000000-0005-0000-0000-0000C7470000}"/>
    <cellStyle name="Millares 8 3 3 4" xfId="18715" xr:uid="{00000000-0005-0000-0000-0000C8470000}"/>
    <cellStyle name="Millares 8 3 3 4 2" xfId="45848" xr:uid="{00000000-0005-0000-0000-0000C9470000}"/>
    <cellStyle name="Millares 8 3 3 5" xfId="32286" xr:uid="{00000000-0005-0000-0000-0000CA470000}"/>
    <cellStyle name="Millares 8 3 4" xfId="8525" xr:uid="{00000000-0005-0000-0000-0000CB470000}"/>
    <cellStyle name="Millares 8 3 4 2" xfId="15315" xr:uid="{00000000-0005-0000-0000-0000CC470000}"/>
    <cellStyle name="Millares 8 3 4 2 2" xfId="28883" xr:uid="{00000000-0005-0000-0000-0000CD470000}"/>
    <cellStyle name="Millares 8 3 4 2 2 2" xfId="56016" xr:uid="{00000000-0005-0000-0000-0000CE470000}"/>
    <cellStyle name="Millares 8 3 4 2 3" xfId="42454" xr:uid="{00000000-0005-0000-0000-0000CF470000}"/>
    <cellStyle name="Millares 8 3 4 3" xfId="22102" xr:uid="{00000000-0005-0000-0000-0000D0470000}"/>
    <cellStyle name="Millares 8 3 4 3 2" xfId="49235" xr:uid="{00000000-0005-0000-0000-0000D1470000}"/>
    <cellStyle name="Millares 8 3 4 4" xfId="35673" xr:uid="{00000000-0005-0000-0000-0000D2470000}"/>
    <cellStyle name="Millares 8 3 5" xfId="11926" xr:uid="{00000000-0005-0000-0000-0000D3470000}"/>
    <cellStyle name="Millares 8 3 5 2" xfId="25494" xr:uid="{00000000-0005-0000-0000-0000D4470000}"/>
    <cellStyle name="Millares 8 3 5 2 2" xfId="52627" xr:uid="{00000000-0005-0000-0000-0000D5470000}"/>
    <cellStyle name="Millares 8 3 5 3" xfId="39065" xr:uid="{00000000-0005-0000-0000-0000D6470000}"/>
    <cellStyle name="Millares 8 3 6" xfId="18713" xr:uid="{00000000-0005-0000-0000-0000D7470000}"/>
    <cellStyle name="Millares 8 3 6 2" xfId="45846" xr:uid="{00000000-0005-0000-0000-0000D8470000}"/>
    <cellStyle name="Millares 8 3 7" xfId="32284" xr:uid="{00000000-0005-0000-0000-0000D9470000}"/>
    <cellStyle name="Millares 8 4" xfId="4933" xr:uid="{00000000-0005-0000-0000-0000DA470000}"/>
    <cellStyle name="Millares 8 4 2" xfId="4934" xr:uid="{00000000-0005-0000-0000-0000DB470000}"/>
    <cellStyle name="Millares 8 4 2 2" xfId="8529" xr:uid="{00000000-0005-0000-0000-0000DC470000}"/>
    <cellStyle name="Millares 8 4 2 2 2" xfId="15319" xr:uid="{00000000-0005-0000-0000-0000DD470000}"/>
    <cellStyle name="Millares 8 4 2 2 2 2" xfId="28887" xr:uid="{00000000-0005-0000-0000-0000DE470000}"/>
    <cellStyle name="Millares 8 4 2 2 2 2 2" xfId="56020" xr:uid="{00000000-0005-0000-0000-0000DF470000}"/>
    <cellStyle name="Millares 8 4 2 2 2 3" xfId="42458" xr:uid="{00000000-0005-0000-0000-0000E0470000}"/>
    <cellStyle name="Millares 8 4 2 2 3" xfId="22106" xr:uid="{00000000-0005-0000-0000-0000E1470000}"/>
    <cellStyle name="Millares 8 4 2 2 3 2" xfId="49239" xr:uid="{00000000-0005-0000-0000-0000E2470000}"/>
    <cellStyle name="Millares 8 4 2 2 4" xfId="35677" xr:uid="{00000000-0005-0000-0000-0000E3470000}"/>
    <cellStyle name="Millares 8 4 2 3" xfId="11930" xr:uid="{00000000-0005-0000-0000-0000E4470000}"/>
    <cellStyle name="Millares 8 4 2 3 2" xfId="25498" xr:uid="{00000000-0005-0000-0000-0000E5470000}"/>
    <cellStyle name="Millares 8 4 2 3 2 2" xfId="52631" xr:uid="{00000000-0005-0000-0000-0000E6470000}"/>
    <cellStyle name="Millares 8 4 2 3 3" xfId="39069" xr:uid="{00000000-0005-0000-0000-0000E7470000}"/>
    <cellStyle name="Millares 8 4 2 4" xfId="18717" xr:uid="{00000000-0005-0000-0000-0000E8470000}"/>
    <cellStyle name="Millares 8 4 2 4 2" xfId="45850" xr:uid="{00000000-0005-0000-0000-0000E9470000}"/>
    <cellStyle name="Millares 8 4 2 5" xfId="32288" xr:uid="{00000000-0005-0000-0000-0000EA470000}"/>
    <cellStyle name="Millares 8 4 3" xfId="8528" xr:uid="{00000000-0005-0000-0000-0000EB470000}"/>
    <cellStyle name="Millares 8 4 3 2" xfId="15318" xr:uid="{00000000-0005-0000-0000-0000EC470000}"/>
    <cellStyle name="Millares 8 4 3 2 2" xfId="28886" xr:uid="{00000000-0005-0000-0000-0000ED470000}"/>
    <cellStyle name="Millares 8 4 3 2 2 2" xfId="56019" xr:uid="{00000000-0005-0000-0000-0000EE470000}"/>
    <cellStyle name="Millares 8 4 3 2 3" xfId="42457" xr:uid="{00000000-0005-0000-0000-0000EF470000}"/>
    <cellStyle name="Millares 8 4 3 3" xfId="22105" xr:uid="{00000000-0005-0000-0000-0000F0470000}"/>
    <cellStyle name="Millares 8 4 3 3 2" xfId="49238" xr:uid="{00000000-0005-0000-0000-0000F1470000}"/>
    <cellStyle name="Millares 8 4 3 4" xfId="35676" xr:uid="{00000000-0005-0000-0000-0000F2470000}"/>
    <cellStyle name="Millares 8 4 4" xfId="11929" xr:uid="{00000000-0005-0000-0000-0000F3470000}"/>
    <cellStyle name="Millares 8 4 4 2" xfId="25497" xr:uid="{00000000-0005-0000-0000-0000F4470000}"/>
    <cellStyle name="Millares 8 4 4 2 2" xfId="52630" xr:uid="{00000000-0005-0000-0000-0000F5470000}"/>
    <cellStyle name="Millares 8 4 4 3" xfId="39068" xr:uid="{00000000-0005-0000-0000-0000F6470000}"/>
    <cellStyle name="Millares 8 4 5" xfId="18716" xr:uid="{00000000-0005-0000-0000-0000F7470000}"/>
    <cellStyle name="Millares 8 4 5 2" xfId="45849" xr:uid="{00000000-0005-0000-0000-0000F8470000}"/>
    <cellStyle name="Millares 8 4 6" xfId="32287" xr:uid="{00000000-0005-0000-0000-0000F9470000}"/>
    <cellStyle name="Millares 8 5" xfId="4935" xr:uid="{00000000-0005-0000-0000-0000FA470000}"/>
    <cellStyle name="Millares 8 5 2" xfId="8530" xr:uid="{00000000-0005-0000-0000-0000FB470000}"/>
    <cellStyle name="Millares 8 5 2 2" xfId="15320" xr:uid="{00000000-0005-0000-0000-0000FC470000}"/>
    <cellStyle name="Millares 8 5 2 2 2" xfId="28888" xr:uid="{00000000-0005-0000-0000-0000FD470000}"/>
    <cellStyle name="Millares 8 5 2 2 2 2" xfId="56021" xr:uid="{00000000-0005-0000-0000-0000FE470000}"/>
    <cellStyle name="Millares 8 5 2 2 3" xfId="42459" xr:uid="{00000000-0005-0000-0000-0000FF470000}"/>
    <cellStyle name="Millares 8 5 2 3" xfId="22107" xr:uid="{00000000-0005-0000-0000-000000480000}"/>
    <cellStyle name="Millares 8 5 2 3 2" xfId="49240" xr:uid="{00000000-0005-0000-0000-000001480000}"/>
    <cellStyle name="Millares 8 5 2 4" xfId="35678" xr:uid="{00000000-0005-0000-0000-000002480000}"/>
    <cellStyle name="Millares 8 5 3" xfId="11931" xr:uid="{00000000-0005-0000-0000-000003480000}"/>
    <cellStyle name="Millares 8 5 3 2" xfId="25499" xr:uid="{00000000-0005-0000-0000-000004480000}"/>
    <cellStyle name="Millares 8 5 3 2 2" xfId="52632" xr:uid="{00000000-0005-0000-0000-000005480000}"/>
    <cellStyle name="Millares 8 5 3 3" xfId="39070" xr:uid="{00000000-0005-0000-0000-000006480000}"/>
    <cellStyle name="Millares 8 5 4" xfId="18718" xr:uid="{00000000-0005-0000-0000-000007480000}"/>
    <cellStyle name="Millares 8 5 4 2" xfId="45851" xr:uid="{00000000-0005-0000-0000-000008480000}"/>
    <cellStyle name="Millares 8 5 5" xfId="32289" xr:uid="{00000000-0005-0000-0000-000009480000}"/>
    <cellStyle name="Millares 8 6" xfId="4936" xr:uid="{00000000-0005-0000-0000-00000A480000}"/>
    <cellStyle name="Millares 8 6 2" xfId="8531" xr:uid="{00000000-0005-0000-0000-00000B480000}"/>
    <cellStyle name="Millares 8 6 2 2" xfId="15321" xr:uid="{00000000-0005-0000-0000-00000C480000}"/>
    <cellStyle name="Millares 8 6 2 2 2" xfId="28889" xr:uid="{00000000-0005-0000-0000-00000D480000}"/>
    <cellStyle name="Millares 8 6 2 2 2 2" xfId="56022" xr:uid="{00000000-0005-0000-0000-00000E480000}"/>
    <cellStyle name="Millares 8 6 2 2 3" xfId="42460" xr:uid="{00000000-0005-0000-0000-00000F480000}"/>
    <cellStyle name="Millares 8 6 2 3" xfId="22108" xr:uid="{00000000-0005-0000-0000-000010480000}"/>
    <cellStyle name="Millares 8 6 2 3 2" xfId="49241" xr:uid="{00000000-0005-0000-0000-000011480000}"/>
    <cellStyle name="Millares 8 6 2 4" xfId="35679" xr:uid="{00000000-0005-0000-0000-000012480000}"/>
    <cellStyle name="Millares 8 6 3" xfId="11932" xr:uid="{00000000-0005-0000-0000-000013480000}"/>
    <cellStyle name="Millares 8 6 3 2" xfId="25500" xr:uid="{00000000-0005-0000-0000-000014480000}"/>
    <cellStyle name="Millares 8 6 3 2 2" xfId="52633" xr:uid="{00000000-0005-0000-0000-000015480000}"/>
    <cellStyle name="Millares 8 6 3 3" xfId="39071" xr:uid="{00000000-0005-0000-0000-000016480000}"/>
    <cellStyle name="Millares 8 6 4" xfId="18719" xr:uid="{00000000-0005-0000-0000-000017480000}"/>
    <cellStyle name="Millares 8 6 4 2" xfId="45852" xr:uid="{00000000-0005-0000-0000-000018480000}"/>
    <cellStyle name="Millares 8 6 5" xfId="32290" xr:uid="{00000000-0005-0000-0000-000019480000}"/>
    <cellStyle name="Millares 8 7" xfId="58348" xr:uid="{00000000-0005-0000-0000-00001A480000}"/>
    <cellStyle name="Millares 9" xfId="2478" xr:uid="{00000000-0005-0000-0000-00001B480000}"/>
    <cellStyle name="Millares 9 2" xfId="10851" xr:uid="{00000000-0005-0000-0000-00001C480000}"/>
    <cellStyle name="Millares 91" xfId="2479" xr:uid="{00000000-0005-0000-0000-00001D480000}"/>
    <cellStyle name="Millares 92" xfId="7391" xr:uid="{00000000-0005-0000-0000-00001E480000}"/>
    <cellStyle name="Moneda 2" xfId="2480" xr:uid="{00000000-0005-0000-0000-00001F480000}"/>
    <cellStyle name="Moneda 2 10" xfId="2481" xr:uid="{00000000-0005-0000-0000-000020480000}"/>
    <cellStyle name="Moneda 2 2" xfId="4937" xr:uid="{00000000-0005-0000-0000-000021480000}"/>
    <cellStyle name="Moneda 2 2 2" xfId="4938" xr:uid="{00000000-0005-0000-0000-000022480000}"/>
    <cellStyle name="Moneda 2 2 3" xfId="4939" xr:uid="{00000000-0005-0000-0000-000023480000}"/>
    <cellStyle name="Moneda 2 2 4" xfId="4940" xr:uid="{00000000-0005-0000-0000-000024480000}"/>
    <cellStyle name="Moneda 2 2 4 2" xfId="4941" xr:uid="{00000000-0005-0000-0000-000025480000}"/>
    <cellStyle name="Moneda 2 2 4 3" xfId="4942" xr:uid="{00000000-0005-0000-0000-000026480000}"/>
    <cellStyle name="Moneda 2 3" xfId="4943" xr:uid="{00000000-0005-0000-0000-000027480000}"/>
    <cellStyle name="Moneda 2 3 2" xfId="4944" xr:uid="{00000000-0005-0000-0000-000028480000}"/>
    <cellStyle name="Moneda 2 3 3" xfId="4945" xr:uid="{00000000-0005-0000-0000-000029480000}"/>
    <cellStyle name="Moneda 2 3 4" xfId="4946" xr:uid="{00000000-0005-0000-0000-00002A480000}"/>
    <cellStyle name="Moneda 2 3 4 2" xfId="4947" xr:uid="{00000000-0005-0000-0000-00002B480000}"/>
    <cellStyle name="Moneda 2 4" xfId="4948" xr:uid="{00000000-0005-0000-0000-00002C480000}"/>
    <cellStyle name="Moneda 2 5" xfId="4949" xr:uid="{00000000-0005-0000-0000-00002D480000}"/>
    <cellStyle name="Moneda 2 5 2" xfId="4950" xr:uid="{00000000-0005-0000-0000-00002E480000}"/>
    <cellStyle name="Moneda 2 6" xfId="4951" xr:uid="{00000000-0005-0000-0000-00002F480000}"/>
    <cellStyle name="Moneda 2 7" xfId="4952" xr:uid="{00000000-0005-0000-0000-000030480000}"/>
    <cellStyle name="Moneda 2 8" xfId="4953" xr:uid="{00000000-0005-0000-0000-000031480000}"/>
    <cellStyle name="Moneda 2 9" xfId="4954" xr:uid="{00000000-0005-0000-0000-000032480000}"/>
    <cellStyle name="Moneda 3" xfId="2482" xr:uid="{00000000-0005-0000-0000-000033480000}"/>
    <cellStyle name="Moneda 3 2" xfId="4955" xr:uid="{00000000-0005-0000-0000-000034480000}"/>
    <cellStyle name="Moneda 3 2 10" xfId="2483" xr:uid="{00000000-0005-0000-0000-000035480000}"/>
    <cellStyle name="Moneda 4" xfId="2484" xr:uid="{00000000-0005-0000-0000-000036480000}"/>
    <cellStyle name="Moneda 5" xfId="7392" xr:uid="{00000000-0005-0000-0000-000037480000}"/>
    <cellStyle name="Moneda 6" xfId="58381" xr:uid="{70ACD79A-FB23-4B8C-B436-18051925DAA1}"/>
    <cellStyle name="moneda(" xfId="2485" xr:uid="{00000000-0005-0000-0000-000038480000}"/>
    <cellStyle name="Moneda0" xfId="66" xr:uid="{00000000-0005-0000-0000-000039480000}"/>
    <cellStyle name="Moneda0 2" xfId="147" xr:uid="{00000000-0005-0000-0000-00003A480000}"/>
    <cellStyle name="Moneda0 2 2" xfId="148" xr:uid="{00000000-0005-0000-0000-00003B480000}"/>
    <cellStyle name="Moneda0 3" xfId="149" xr:uid="{00000000-0005-0000-0000-00003C480000}"/>
    <cellStyle name="Monetario" xfId="2486" xr:uid="{00000000-0005-0000-0000-00003D480000}"/>
    <cellStyle name="MONETARIO 10" xfId="4956" xr:uid="{00000000-0005-0000-0000-00003E480000}"/>
    <cellStyle name="Monetario 11" xfId="4957" xr:uid="{00000000-0005-0000-0000-00003F480000}"/>
    <cellStyle name="Monetario 12" xfId="4958" xr:uid="{00000000-0005-0000-0000-000040480000}"/>
    <cellStyle name="Monetario 2" xfId="4959" xr:uid="{00000000-0005-0000-0000-000041480000}"/>
    <cellStyle name="MONETARIO 3" xfId="4960" xr:uid="{00000000-0005-0000-0000-000042480000}"/>
    <cellStyle name="MONETARIO 4" xfId="4961" xr:uid="{00000000-0005-0000-0000-000043480000}"/>
    <cellStyle name="MONETARIO 5" xfId="4962" xr:uid="{00000000-0005-0000-0000-000044480000}"/>
    <cellStyle name="MONETARIO 6" xfId="4963" xr:uid="{00000000-0005-0000-0000-000045480000}"/>
    <cellStyle name="MONETARIO 7" xfId="4964" xr:uid="{00000000-0005-0000-0000-000046480000}"/>
    <cellStyle name="MONETARIO 8" xfId="4965" xr:uid="{00000000-0005-0000-0000-000047480000}"/>
    <cellStyle name="MONETARIO 9" xfId="4966" xr:uid="{00000000-0005-0000-0000-000048480000}"/>
    <cellStyle name="Monetario0" xfId="2487" xr:uid="{00000000-0005-0000-0000-000049480000}"/>
    <cellStyle name="Neutral 10" xfId="2488" xr:uid="{00000000-0005-0000-0000-00004A480000}"/>
    <cellStyle name="Neutral 11" xfId="2489" xr:uid="{00000000-0005-0000-0000-00004B480000}"/>
    <cellStyle name="Neutral 12" xfId="2490" xr:uid="{00000000-0005-0000-0000-00004C480000}"/>
    <cellStyle name="Neutral 13" xfId="2491" xr:uid="{00000000-0005-0000-0000-00004D480000}"/>
    <cellStyle name="Neutral 14" xfId="2492" xr:uid="{00000000-0005-0000-0000-00004E480000}"/>
    <cellStyle name="Neutral 15" xfId="2493" xr:uid="{00000000-0005-0000-0000-00004F480000}"/>
    <cellStyle name="Neutral 16" xfId="2494" xr:uid="{00000000-0005-0000-0000-000050480000}"/>
    <cellStyle name="Neutral 17" xfId="2495" xr:uid="{00000000-0005-0000-0000-000051480000}"/>
    <cellStyle name="Neutral 18" xfId="2496" xr:uid="{00000000-0005-0000-0000-000052480000}"/>
    <cellStyle name="Neutral 19" xfId="2497" xr:uid="{00000000-0005-0000-0000-000053480000}"/>
    <cellStyle name="Neutral 2" xfId="150" xr:uid="{00000000-0005-0000-0000-000054480000}"/>
    <cellStyle name="Neutral 2 2" xfId="2498" xr:uid="{00000000-0005-0000-0000-000055480000}"/>
    <cellStyle name="Neutral 2 3" xfId="2499" xr:uid="{00000000-0005-0000-0000-000056480000}"/>
    <cellStyle name="Neutral 2 4" xfId="2500" xr:uid="{00000000-0005-0000-0000-000057480000}"/>
    <cellStyle name="Neutral 2 5" xfId="2501" xr:uid="{00000000-0005-0000-0000-000058480000}"/>
    <cellStyle name="Neutral 20" xfId="2502" xr:uid="{00000000-0005-0000-0000-000059480000}"/>
    <cellStyle name="Neutral 21" xfId="2503" xr:uid="{00000000-0005-0000-0000-00005A480000}"/>
    <cellStyle name="Neutral 22" xfId="2504" xr:uid="{00000000-0005-0000-0000-00005B480000}"/>
    <cellStyle name="Neutral 23" xfId="2505" xr:uid="{00000000-0005-0000-0000-00005C480000}"/>
    <cellStyle name="Neutral 24" xfId="2506" xr:uid="{00000000-0005-0000-0000-00005D480000}"/>
    <cellStyle name="Neutral 25" xfId="2507" xr:uid="{00000000-0005-0000-0000-00005E480000}"/>
    <cellStyle name="Neutral 26" xfId="2508" xr:uid="{00000000-0005-0000-0000-00005F480000}"/>
    <cellStyle name="Neutral 27" xfId="2509" xr:uid="{00000000-0005-0000-0000-000060480000}"/>
    <cellStyle name="Neutral 28" xfId="2510" xr:uid="{00000000-0005-0000-0000-000061480000}"/>
    <cellStyle name="Neutral 29" xfId="2511" xr:uid="{00000000-0005-0000-0000-000062480000}"/>
    <cellStyle name="Neutral 3" xfId="2512" xr:uid="{00000000-0005-0000-0000-000063480000}"/>
    <cellStyle name="Neutral 30" xfId="2513" xr:uid="{00000000-0005-0000-0000-000064480000}"/>
    <cellStyle name="Neutral 31" xfId="2514" xr:uid="{00000000-0005-0000-0000-000065480000}"/>
    <cellStyle name="Neutral 32" xfId="2515" xr:uid="{00000000-0005-0000-0000-000066480000}"/>
    <cellStyle name="Neutral 33" xfId="2516" xr:uid="{00000000-0005-0000-0000-000067480000}"/>
    <cellStyle name="Neutral 34" xfId="2517" xr:uid="{00000000-0005-0000-0000-000068480000}"/>
    <cellStyle name="Neutral 35" xfId="2518" xr:uid="{00000000-0005-0000-0000-000069480000}"/>
    <cellStyle name="Neutral 36" xfId="2519" xr:uid="{00000000-0005-0000-0000-00006A480000}"/>
    <cellStyle name="Neutral 37" xfId="2520" xr:uid="{00000000-0005-0000-0000-00006B480000}"/>
    <cellStyle name="Neutral 38" xfId="2521" xr:uid="{00000000-0005-0000-0000-00006C480000}"/>
    <cellStyle name="Neutral 39" xfId="2522" xr:uid="{00000000-0005-0000-0000-00006D480000}"/>
    <cellStyle name="Neutral 4" xfId="2523" xr:uid="{00000000-0005-0000-0000-00006E480000}"/>
    <cellStyle name="Neutral 40" xfId="2524" xr:uid="{00000000-0005-0000-0000-00006F480000}"/>
    <cellStyle name="Neutral 41" xfId="2525" xr:uid="{00000000-0005-0000-0000-000070480000}"/>
    <cellStyle name="Neutral 42" xfId="2526" xr:uid="{00000000-0005-0000-0000-000071480000}"/>
    <cellStyle name="Neutral 43" xfId="2527" xr:uid="{00000000-0005-0000-0000-000072480000}"/>
    <cellStyle name="Neutral 44" xfId="2528" xr:uid="{00000000-0005-0000-0000-000073480000}"/>
    <cellStyle name="Neutral 45" xfId="2529" xr:uid="{00000000-0005-0000-0000-000074480000}"/>
    <cellStyle name="Neutral 46" xfId="2530" xr:uid="{00000000-0005-0000-0000-000075480000}"/>
    <cellStyle name="Neutral 47" xfId="2531" xr:uid="{00000000-0005-0000-0000-000076480000}"/>
    <cellStyle name="Neutral 48" xfId="2532" xr:uid="{00000000-0005-0000-0000-000077480000}"/>
    <cellStyle name="Neutral 49" xfId="2533" xr:uid="{00000000-0005-0000-0000-000078480000}"/>
    <cellStyle name="Neutral 5" xfId="2534" xr:uid="{00000000-0005-0000-0000-000079480000}"/>
    <cellStyle name="Neutral 50" xfId="2535" xr:uid="{00000000-0005-0000-0000-00007A480000}"/>
    <cellStyle name="Neutral 51" xfId="2536" xr:uid="{00000000-0005-0000-0000-00007B480000}"/>
    <cellStyle name="Neutral 52" xfId="2537" xr:uid="{00000000-0005-0000-0000-00007C480000}"/>
    <cellStyle name="Neutral 53" xfId="2538" xr:uid="{00000000-0005-0000-0000-00007D480000}"/>
    <cellStyle name="Neutral 54" xfId="2539" xr:uid="{00000000-0005-0000-0000-00007E480000}"/>
    <cellStyle name="Neutral 55" xfId="2540" xr:uid="{00000000-0005-0000-0000-00007F480000}"/>
    <cellStyle name="Neutral 56" xfId="2541" xr:uid="{00000000-0005-0000-0000-000080480000}"/>
    <cellStyle name="Neutral 57" xfId="2542" xr:uid="{00000000-0005-0000-0000-000081480000}"/>
    <cellStyle name="Neutral 58" xfId="2543" xr:uid="{00000000-0005-0000-0000-000082480000}"/>
    <cellStyle name="Neutral 59" xfId="2544" xr:uid="{00000000-0005-0000-0000-000083480000}"/>
    <cellStyle name="Neutral 6" xfId="2545" xr:uid="{00000000-0005-0000-0000-000084480000}"/>
    <cellStyle name="Neutral 60" xfId="2546" xr:uid="{00000000-0005-0000-0000-000085480000}"/>
    <cellStyle name="Neutral 61" xfId="2547" xr:uid="{00000000-0005-0000-0000-000086480000}"/>
    <cellStyle name="Neutral 62" xfId="2548" xr:uid="{00000000-0005-0000-0000-000087480000}"/>
    <cellStyle name="Neutral 63" xfId="2549" xr:uid="{00000000-0005-0000-0000-000088480000}"/>
    <cellStyle name="Neutral 64" xfId="2550" xr:uid="{00000000-0005-0000-0000-000089480000}"/>
    <cellStyle name="Neutral 65" xfId="2551" xr:uid="{00000000-0005-0000-0000-00008A480000}"/>
    <cellStyle name="Neutral 66" xfId="2552" xr:uid="{00000000-0005-0000-0000-00008B480000}"/>
    <cellStyle name="Neutral 67" xfId="2553" xr:uid="{00000000-0005-0000-0000-00008C480000}"/>
    <cellStyle name="Neutral 7" xfId="2554" xr:uid="{00000000-0005-0000-0000-00008D480000}"/>
    <cellStyle name="Neutral 8" xfId="2555" xr:uid="{00000000-0005-0000-0000-00008E480000}"/>
    <cellStyle name="Neutral 9" xfId="2556" xr:uid="{00000000-0005-0000-0000-00008F480000}"/>
    <cellStyle name="No-definido" xfId="58362" xr:uid="{00000000-0005-0000-0000-000090480000}"/>
    <cellStyle name="Normal" xfId="0" builtinId="0"/>
    <cellStyle name="Normal 10" xfId="2557" xr:uid="{00000000-0005-0000-0000-000092480000}"/>
    <cellStyle name="Normal 10 10" xfId="4967" xr:uid="{00000000-0005-0000-0000-000093480000}"/>
    <cellStyle name="Normal 10 10 2" xfId="58383" xr:uid="{0B4748B7-0F00-49B1-B24F-AF48C7F0E3F8}"/>
    <cellStyle name="Normal 10 11" xfId="4968" xr:uid="{00000000-0005-0000-0000-000094480000}"/>
    <cellStyle name="Normal 10 11 2" xfId="4969" xr:uid="{00000000-0005-0000-0000-000095480000}"/>
    <cellStyle name="Normal 10 11 2 2" xfId="8533" xr:uid="{00000000-0005-0000-0000-000096480000}"/>
    <cellStyle name="Normal 10 11 2 2 2" xfId="15323" xr:uid="{00000000-0005-0000-0000-000097480000}"/>
    <cellStyle name="Normal 10 11 2 2 2 2" xfId="28891" xr:uid="{00000000-0005-0000-0000-000098480000}"/>
    <cellStyle name="Normal 10 11 2 2 2 2 2" xfId="56024" xr:uid="{00000000-0005-0000-0000-000099480000}"/>
    <cellStyle name="Normal 10 11 2 2 2 3" xfId="42462" xr:uid="{00000000-0005-0000-0000-00009A480000}"/>
    <cellStyle name="Normal 10 11 2 2 3" xfId="22110" xr:uid="{00000000-0005-0000-0000-00009B480000}"/>
    <cellStyle name="Normal 10 11 2 2 3 2" xfId="49243" xr:uid="{00000000-0005-0000-0000-00009C480000}"/>
    <cellStyle name="Normal 10 11 2 2 4" xfId="35681" xr:uid="{00000000-0005-0000-0000-00009D480000}"/>
    <cellStyle name="Normal 10 11 2 3" xfId="11934" xr:uid="{00000000-0005-0000-0000-00009E480000}"/>
    <cellStyle name="Normal 10 11 2 3 2" xfId="25502" xr:uid="{00000000-0005-0000-0000-00009F480000}"/>
    <cellStyle name="Normal 10 11 2 3 2 2" xfId="52635" xr:uid="{00000000-0005-0000-0000-0000A0480000}"/>
    <cellStyle name="Normal 10 11 2 3 3" xfId="39073" xr:uid="{00000000-0005-0000-0000-0000A1480000}"/>
    <cellStyle name="Normal 10 11 2 4" xfId="18721" xr:uid="{00000000-0005-0000-0000-0000A2480000}"/>
    <cellStyle name="Normal 10 11 2 4 2" xfId="45854" xr:uid="{00000000-0005-0000-0000-0000A3480000}"/>
    <cellStyle name="Normal 10 11 2 5" xfId="32292" xr:uid="{00000000-0005-0000-0000-0000A4480000}"/>
    <cellStyle name="Normal 10 11 3" xfId="4970" xr:uid="{00000000-0005-0000-0000-0000A5480000}"/>
    <cellStyle name="Normal 10 11 3 2" xfId="8534" xr:uid="{00000000-0005-0000-0000-0000A6480000}"/>
    <cellStyle name="Normal 10 11 3 2 2" xfId="15324" xr:uid="{00000000-0005-0000-0000-0000A7480000}"/>
    <cellStyle name="Normal 10 11 3 2 2 2" xfId="28892" xr:uid="{00000000-0005-0000-0000-0000A8480000}"/>
    <cellStyle name="Normal 10 11 3 2 2 2 2" xfId="56025" xr:uid="{00000000-0005-0000-0000-0000A9480000}"/>
    <cellStyle name="Normal 10 11 3 2 2 3" xfId="42463" xr:uid="{00000000-0005-0000-0000-0000AA480000}"/>
    <cellStyle name="Normal 10 11 3 2 3" xfId="22111" xr:uid="{00000000-0005-0000-0000-0000AB480000}"/>
    <cellStyle name="Normal 10 11 3 2 3 2" xfId="49244" xr:uid="{00000000-0005-0000-0000-0000AC480000}"/>
    <cellStyle name="Normal 10 11 3 2 4" xfId="35682" xr:uid="{00000000-0005-0000-0000-0000AD480000}"/>
    <cellStyle name="Normal 10 11 3 3" xfId="11935" xr:uid="{00000000-0005-0000-0000-0000AE480000}"/>
    <cellStyle name="Normal 10 11 3 3 2" xfId="25503" xr:uid="{00000000-0005-0000-0000-0000AF480000}"/>
    <cellStyle name="Normal 10 11 3 3 2 2" xfId="52636" xr:uid="{00000000-0005-0000-0000-0000B0480000}"/>
    <cellStyle name="Normal 10 11 3 3 3" xfId="39074" xr:uid="{00000000-0005-0000-0000-0000B1480000}"/>
    <cellStyle name="Normal 10 11 3 4" xfId="18722" xr:uid="{00000000-0005-0000-0000-0000B2480000}"/>
    <cellStyle name="Normal 10 11 3 4 2" xfId="45855" xr:uid="{00000000-0005-0000-0000-0000B3480000}"/>
    <cellStyle name="Normal 10 11 3 5" xfId="32293" xr:uid="{00000000-0005-0000-0000-0000B4480000}"/>
    <cellStyle name="Normal 10 11 4" xfId="8532" xr:uid="{00000000-0005-0000-0000-0000B5480000}"/>
    <cellStyle name="Normal 10 11 4 2" xfId="15322" xr:uid="{00000000-0005-0000-0000-0000B6480000}"/>
    <cellStyle name="Normal 10 11 4 2 2" xfId="28890" xr:uid="{00000000-0005-0000-0000-0000B7480000}"/>
    <cellStyle name="Normal 10 11 4 2 2 2" xfId="56023" xr:uid="{00000000-0005-0000-0000-0000B8480000}"/>
    <cellStyle name="Normal 10 11 4 2 3" xfId="42461" xr:uid="{00000000-0005-0000-0000-0000B9480000}"/>
    <cellStyle name="Normal 10 11 4 3" xfId="22109" xr:uid="{00000000-0005-0000-0000-0000BA480000}"/>
    <cellStyle name="Normal 10 11 4 3 2" xfId="49242" xr:uid="{00000000-0005-0000-0000-0000BB480000}"/>
    <cellStyle name="Normal 10 11 4 4" xfId="35680" xr:uid="{00000000-0005-0000-0000-0000BC480000}"/>
    <cellStyle name="Normal 10 11 5" xfId="11933" xr:uid="{00000000-0005-0000-0000-0000BD480000}"/>
    <cellStyle name="Normal 10 11 5 2" xfId="25501" xr:uid="{00000000-0005-0000-0000-0000BE480000}"/>
    <cellStyle name="Normal 10 11 5 2 2" xfId="52634" xr:uid="{00000000-0005-0000-0000-0000BF480000}"/>
    <cellStyle name="Normal 10 11 5 3" xfId="39072" xr:uid="{00000000-0005-0000-0000-0000C0480000}"/>
    <cellStyle name="Normal 10 11 6" xfId="18720" xr:uid="{00000000-0005-0000-0000-0000C1480000}"/>
    <cellStyle name="Normal 10 11 6 2" xfId="45853" xr:uid="{00000000-0005-0000-0000-0000C2480000}"/>
    <cellStyle name="Normal 10 11 7" xfId="32291" xr:uid="{00000000-0005-0000-0000-0000C3480000}"/>
    <cellStyle name="Normal 10 12" xfId="4971" xr:uid="{00000000-0005-0000-0000-0000C4480000}"/>
    <cellStyle name="Normal 10 12 2" xfId="8535" xr:uid="{00000000-0005-0000-0000-0000C5480000}"/>
    <cellStyle name="Normal 10 12 2 2" xfId="15325" xr:uid="{00000000-0005-0000-0000-0000C6480000}"/>
    <cellStyle name="Normal 10 12 2 2 2" xfId="28893" xr:uid="{00000000-0005-0000-0000-0000C7480000}"/>
    <cellStyle name="Normal 10 12 2 2 2 2" xfId="56026" xr:uid="{00000000-0005-0000-0000-0000C8480000}"/>
    <cellStyle name="Normal 10 12 2 2 3" xfId="42464" xr:uid="{00000000-0005-0000-0000-0000C9480000}"/>
    <cellStyle name="Normal 10 12 2 3" xfId="22112" xr:uid="{00000000-0005-0000-0000-0000CA480000}"/>
    <cellStyle name="Normal 10 12 2 3 2" xfId="49245" xr:uid="{00000000-0005-0000-0000-0000CB480000}"/>
    <cellStyle name="Normal 10 12 2 4" xfId="35683" xr:uid="{00000000-0005-0000-0000-0000CC480000}"/>
    <cellStyle name="Normal 10 12 3" xfId="11936" xr:uid="{00000000-0005-0000-0000-0000CD480000}"/>
    <cellStyle name="Normal 10 12 3 2" xfId="25504" xr:uid="{00000000-0005-0000-0000-0000CE480000}"/>
    <cellStyle name="Normal 10 12 3 2 2" xfId="52637" xr:uid="{00000000-0005-0000-0000-0000CF480000}"/>
    <cellStyle name="Normal 10 12 3 3" xfId="39075" xr:uid="{00000000-0005-0000-0000-0000D0480000}"/>
    <cellStyle name="Normal 10 12 4" xfId="18723" xr:uid="{00000000-0005-0000-0000-0000D1480000}"/>
    <cellStyle name="Normal 10 12 4 2" xfId="45856" xr:uid="{00000000-0005-0000-0000-0000D2480000}"/>
    <cellStyle name="Normal 10 12 5" xfId="32294" xr:uid="{00000000-0005-0000-0000-0000D3480000}"/>
    <cellStyle name="Normal 10 2" xfId="4972" xr:uid="{00000000-0005-0000-0000-0000D4480000}"/>
    <cellStyle name="Normal 10 2 10" xfId="4973" xr:uid="{00000000-0005-0000-0000-0000D5480000}"/>
    <cellStyle name="Normal 10 2 10 2" xfId="4974" xr:uid="{00000000-0005-0000-0000-0000D6480000}"/>
    <cellStyle name="Normal 10 2 10 2 2" xfId="8537" xr:uid="{00000000-0005-0000-0000-0000D7480000}"/>
    <cellStyle name="Normal 10 2 10 2 2 2" xfId="15327" xr:uid="{00000000-0005-0000-0000-0000D8480000}"/>
    <cellStyle name="Normal 10 2 10 2 2 2 2" xfId="28895" xr:uid="{00000000-0005-0000-0000-0000D9480000}"/>
    <cellStyle name="Normal 10 2 10 2 2 2 2 2" xfId="56028" xr:uid="{00000000-0005-0000-0000-0000DA480000}"/>
    <cellStyle name="Normal 10 2 10 2 2 2 3" xfId="42466" xr:uid="{00000000-0005-0000-0000-0000DB480000}"/>
    <cellStyle name="Normal 10 2 10 2 2 3" xfId="22114" xr:uid="{00000000-0005-0000-0000-0000DC480000}"/>
    <cellStyle name="Normal 10 2 10 2 2 3 2" xfId="49247" xr:uid="{00000000-0005-0000-0000-0000DD480000}"/>
    <cellStyle name="Normal 10 2 10 2 2 4" xfId="35685" xr:uid="{00000000-0005-0000-0000-0000DE480000}"/>
    <cellStyle name="Normal 10 2 10 2 3" xfId="11938" xr:uid="{00000000-0005-0000-0000-0000DF480000}"/>
    <cellStyle name="Normal 10 2 10 2 3 2" xfId="25506" xr:uid="{00000000-0005-0000-0000-0000E0480000}"/>
    <cellStyle name="Normal 10 2 10 2 3 2 2" xfId="52639" xr:uid="{00000000-0005-0000-0000-0000E1480000}"/>
    <cellStyle name="Normal 10 2 10 2 3 3" xfId="39077" xr:uid="{00000000-0005-0000-0000-0000E2480000}"/>
    <cellStyle name="Normal 10 2 10 2 4" xfId="18725" xr:uid="{00000000-0005-0000-0000-0000E3480000}"/>
    <cellStyle name="Normal 10 2 10 2 4 2" xfId="45858" xr:uid="{00000000-0005-0000-0000-0000E4480000}"/>
    <cellStyle name="Normal 10 2 10 2 5" xfId="32296" xr:uid="{00000000-0005-0000-0000-0000E5480000}"/>
    <cellStyle name="Normal 10 2 10 3" xfId="4975" xr:uid="{00000000-0005-0000-0000-0000E6480000}"/>
    <cellStyle name="Normal 10 2 10 3 2" xfId="8538" xr:uid="{00000000-0005-0000-0000-0000E7480000}"/>
    <cellStyle name="Normal 10 2 10 3 2 2" xfId="15328" xr:uid="{00000000-0005-0000-0000-0000E8480000}"/>
    <cellStyle name="Normal 10 2 10 3 2 2 2" xfId="28896" xr:uid="{00000000-0005-0000-0000-0000E9480000}"/>
    <cellStyle name="Normal 10 2 10 3 2 2 2 2" xfId="56029" xr:uid="{00000000-0005-0000-0000-0000EA480000}"/>
    <cellStyle name="Normal 10 2 10 3 2 2 3" xfId="42467" xr:uid="{00000000-0005-0000-0000-0000EB480000}"/>
    <cellStyle name="Normal 10 2 10 3 2 3" xfId="22115" xr:uid="{00000000-0005-0000-0000-0000EC480000}"/>
    <cellStyle name="Normal 10 2 10 3 2 3 2" xfId="49248" xr:uid="{00000000-0005-0000-0000-0000ED480000}"/>
    <cellStyle name="Normal 10 2 10 3 2 4" xfId="35686" xr:uid="{00000000-0005-0000-0000-0000EE480000}"/>
    <cellStyle name="Normal 10 2 10 3 3" xfId="11939" xr:uid="{00000000-0005-0000-0000-0000EF480000}"/>
    <cellStyle name="Normal 10 2 10 3 3 2" xfId="25507" xr:uid="{00000000-0005-0000-0000-0000F0480000}"/>
    <cellStyle name="Normal 10 2 10 3 3 2 2" xfId="52640" xr:uid="{00000000-0005-0000-0000-0000F1480000}"/>
    <cellStyle name="Normal 10 2 10 3 3 3" xfId="39078" xr:uid="{00000000-0005-0000-0000-0000F2480000}"/>
    <cellStyle name="Normal 10 2 10 3 4" xfId="18726" xr:uid="{00000000-0005-0000-0000-0000F3480000}"/>
    <cellStyle name="Normal 10 2 10 3 4 2" xfId="45859" xr:uid="{00000000-0005-0000-0000-0000F4480000}"/>
    <cellStyle name="Normal 10 2 10 3 5" xfId="32297" xr:uid="{00000000-0005-0000-0000-0000F5480000}"/>
    <cellStyle name="Normal 10 2 10 4" xfId="8536" xr:uid="{00000000-0005-0000-0000-0000F6480000}"/>
    <cellStyle name="Normal 10 2 10 4 2" xfId="15326" xr:uid="{00000000-0005-0000-0000-0000F7480000}"/>
    <cellStyle name="Normal 10 2 10 4 2 2" xfId="28894" xr:uid="{00000000-0005-0000-0000-0000F8480000}"/>
    <cellStyle name="Normal 10 2 10 4 2 2 2" xfId="56027" xr:uid="{00000000-0005-0000-0000-0000F9480000}"/>
    <cellStyle name="Normal 10 2 10 4 2 3" xfId="42465" xr:uid="{00000000-0005-0000-0000-0000FA480000}"/>
    <cellStyle name="Normal 10 2 10 4 3" xfId="22113" xr:uid="{00000000-0005-0000-0000-0000FB480000}"/>
    <cellStyle name="Normal 10 2 10 4 3 2" xfId="49246" xr:uid="{00000000-0005-0000-0000-0000FC480000}"/>
    <cellStyle name="Normal 10 2 10 4 4" xfId="35684" xr:uid="{00000000-0005-0000-0000-0000FD480000}"/>
    <cellStyle name="Normal 10 2 10 5" xfId="11937" xr:uid="{00000000-0005-0000-0000-0000FE480000}"/>
    <cellStyle name="Normal 10 2 10 5 2" xfId="25505" xr:uid="{00000000-0005-0000-0000-0000FF480000}"/>
    <cellStyle name="Normal 10 2 10 5 2 2" xfId="52638" xr:uid="{00000000-0005-0000-0000-000000490000}"/>
    <cellStyle name="Normal 10 2 10 5 3" xfId="39076" xr:uid="{00000000-0005-0000-0000-000001490000}"/>
    <cellStyle name="Normal 10 2 10 6" xfId="18724" xr:uid="{00000000-0005-0000-0000-000002490000}"/>
    <cellStyle name="Normal 10 2 10 6 2" xfId="45857" xr:uid="{00000000-0005-0000-0000-000003490000}"/>
    <cellStyle name="Normal 10 2 10 7" xfId="32295" xr:uid="{00000000-0005-0000-0000-000004490000}"/>
    <cellStyle name="Normal 10 2 11" xfId="4976" xr:uid="{00000000-0005-0000-0000-000005490000}"/>
    <cellStyle name="Normal 10 2 11 2" xfId="8539" xr:uid="{00000000-0005-0000-0000-000006490000}"/>
    <cellStyle name="Normal 10 2 11 2 2" xfId="15329" xr:uid="{00000000-0005-0000-0000-000007490000}"/>
    <cellStyle name="Normal 10 2 11 2 2 2" xfId="28897" xr:uid="{00000000-0005-0000-0000-000008490000}"/>
    <cellStyle name="Normal 10 2 11 2 2 2 2" xfId="56030" xr:uid="{00000000-0005-0000-0000-000009490000}"/>
    <cellStyle name="Normal 10 2 11 2 2 3" xfId="42468" xr:uid="{00000000-0005-0000-0000-00000A490000}"/>
    <cellStyle name="Normal 10 2 11 2 3" xfId="22116" xr:uid="{00000000-0005-0000-0000-00000B490000}"/>
    <cellStyle name="Normal 10 2 11 2 3 2" xfId="49249" xr:uid="{00000000-0005-0000-0000-00000C490000}"/>
    <cellStyle name="Normal 10 2 11 2 4" xfId="35687" xr:uid="{00000000-0005-0000-0000-00000D490000}"/>
    <cellStyle name="Normal 10 2 11 3" xfId="11940" xr:uid="{00000000-0005-0000-0000-00000E490000}"/>
    <cellStyle name="Normal 10 2 11 3 2" xfId="25508" xr:uid="{00000000-0005-0000-0000-00000F490000}"/>
    <cellStyle name="Normal 10 2 11 3 2 2" xfId="52641" xr:uid="{00000000-0005-0000-0000-000010490000}"/>
    <cellStyle name="Normal 10 2 11 3 3" xfId="39079" xr:uid="{00000000-0005-0000-0000-000011490000}"/>
    <cellStyle name="Normal 10 2 11 4" xfId="18727" xr:uid="{00000000-0005-0000-0000-000012490000}"/>
    <cellStyle name="Normal 10 2 11 4 2" xfId="45860" xr:uid="{00000000-0005-0000-0000-000013490000}"/>
    <cellStyle name="Normal 10 2 11 5" xfId="32298" xr:uid="{00000000-0005-0000-0000-000014490000}"/>
    <cellStyle name="Normal 10 2 12" xfId="4977" xr:uid="{00000000-0005-0000-0000-000015490000}"/>
    <cellStyle name="Normal 10 2 12 2" xfId="8540" xr:uid="{00000000-0005-0000-0000-000016490000}"/>
    <cellStyle name="Normal 10 2 12 2 2" xfId="15330" xr:uid="{00000000-0005-0000-0000-000017490000}"/>
    <cellStyle name="Normal 10 2 12 2 2 2" xfId="28898" xr:uid="{00000000-0005-0000-0000-000018490000}"/>
    <cellStyle name="Normal 10 2 12 2 2 2 2" xfId="56031" xr:uid="{00000000-0005-0000-0000-000019490000}"/>
    <cellStyle name="Normal 10 2 12 2 2 3" xfId="42469" xr:uid="{00000000-0005-0000-0000-00001A490000}"/>
    <cellStyle name="Normal 10 2 12 2 3" xfId="22117" xr:uid="{00000000-0005-0000-0000-00001B490000}"/>
    <cellStyle name="Normal 10 2 12 2 3 2" xfId="49250" xr:uid="{00000000-0005-0000-0000-00001C490000}"/>
    <cellStyle name="Normal 10 2 12 2 4" xfId="35688" xr:uid="{00000000-0005-0000-0000-00001D490000}"/>
    <cellStyle name="Normal 10 2 12 3" xfId="11941" xr:uid="{00000000-0005-0000-0000-00001E490000}"/>
    <cellStyle name="Normal 10 2 12 3 2" xfId="25509" xr:uid="{00000000-0005-0000-0000-00001F490000}"/>
    <cellStyle name="Normal 10 2 12 3 2 2" xfId="52642" xr:uid="{00000000-0005-0000-0000-000020490000}"/>
    <cellStyle name="Normal 10 2 12 3 3" xfId="39080" xr:uid="{00000000-0005-0000-0000-000021490000}"/>
    <cellStyle name="Normal 10 2 12 4" xfId="18728" xr:uid="{00000000-0005-0000-0000-000022490000}"/>
    <cellStyle name="Normal 10 2 12 4 2" xfId="45861" xr:uid="{00000000-0005-0000-0000-000023490000}"/>
    <cellStyle name="Normal 10 2 12 5" xfId="32299" xr:uid="{00000000-0005-0000-0000-000024490000}"/>
    <cellStyle name="Normal 10 2 2" xfId="4978" xr:uid="{00000000-0005-0000-0000-000025490000}"/>
    <cellStyle name="Normal 10 2 2 10" xfId="4979" xr:uid="{00000000-0005-0000-0000-000026490000}"/>
    <cellStyle name="Normal 10 2 2 10 2" xfId="8541" xr:uid="{00000000-0005-0000-0000-000027490000}"/>
    <cellStyle name="Normal 10 2 2 10 2 2" xfId="15331" xr:uid="{00000000-0005-0000-0000-000028490000}"/>
    <cellStyle name="Normal 10 2 2 10 2 2 2" xfId="28899" xr:uid="{00000000-0005-0000-0000-000029490000}"/>
    <cellStyle name="Normal 10 2 2 10 2 2 2 2" xfId="56032" xr:uid="{00000000-0005-0000-0000-00002A490000}"/>
    <cellStyle name="Normal 10 2 2 10 2 2 3" xfId="42470" xr:uid="{00000000-0005-0000-0000-00002B490000}"/>
    <cellStyle name="Normal 10 2 2 10 2 3" xfId="22118" xr:uid="{00000000-0005-0000-0000-00002C490000}"/>
    <cellStyle name="Normal 10 2 2 10 2 3 2" xfId="49251" xr:uid="{00000000-0005-0000-0000-00002D490000}"/>
    <cellStyle name="Normal 10 2 2 10 2 4" xfId="35689" xr:uid="{00000000-0005-0000-0000-00002E490000}"/>
    <cellStyle name="Normal 10 2 2 10 3" xfId="11942" xr:uid="{00000000-0005-0000-0000-00002F490000}"/>
    <cellStyle name="Normal 10 2 2 10 3 2" xfId="25510" xr:uid="{00000000-0005-0000-0000-000030490000}"/>
    <cellStyle name="Normal 10 2 2 10 3 2 2" xfId="52643" xr:uid="{00000000-0005-0000-0000-000031490000}"/>
    <cellStyle name="Normal 10 2 2 10 3 3" xfId="39081" xr:uid="{00000000-0005-0000-0000-000032490000}"/>
    <cellStyle name="Normal 10 2 2 10 4" xfId="18729" xr:uid="{00000000-0005-0000-0000-000033490000}"/>
    <cellStyle name="Normal 10 2 2 10 4 2" xfId="45862" xr:uid="{00000000-0005-0000-0000-000034490000}"/>
    <cellStyle name="Normal 10 2 2 10 5" xfId="32300" xr:uid="{00000000-0005-0000-0000-000035490000}"/>
    <cellStyle name="Normal 10 2 2 2" xfId="4980" xr:uid="{00000000-0005-0000-0000-000036490000}"/>
    <cellStyle name="Normal 10 2 2 2 10" xfId="11943" xr:uid="{00000000-0005-0000-0000-000037490000}"/>
    <cellStyle name="Normal 10 2 2 2 10 2" xfId="25511" xr:uid="{00000000-0005-0000-0000-000038490000}"/>
    <cellStyle name="Normal 10 2 2 2 10 2 2" xfId="52644" xr:uid="{00000000-0005-0000-0000-000039490000}"/>
    <cellStyle name="Normal 10 2 2 2 10 3" xfId="39082" xr:uid="{00000000-0005-0000-0000-00003A490000}"/>
    <cellStyle name="Normal 10 2 2 2 11" xfId="18730" xr:uid="{00000000-0005-0000-0000-00003B490000}"/>
    <cellStyle name="Normal 10 2 2 2 11 2" xfId="45863" xr:uid="{00000000-0005-0000-0000-00003C490000}"/>
    <cellStyle name="Normal 10 2 2 2 12" xfId="32301" xr:uid="{00000000-0005-0000-0000-00003D490000}"/>
    <cellStyle name="Normal 10 2 2 2 2" xfId="4981" xr:uid="{00000000-0005-0000-0000-00003E490000}"/>
    <cellStyle name="Normal 10 2 2 2 2 10" xfId="32302" xr:uid="{00000000-0005-0000-0000-00003F490000}"/>
    <cellStyle name="Normal 10 2 2 2 2 2" xfId="4982" xr:uid="{00000000-0005-0000-0000-000040490000}"/>
    <cellStyle name="Normal 10 2 2 2 2 2 2" xfId="4983" xr:uid="{00000000-0005-0000-0000-000041490000}"/>
    <cellStyle name="Normal 10 2 2 2 2 2 2 2" xfId="4984" xr:uid="{00000000-0005-0000-0000-000042490000}"/>
    <cellStyle name="Normal 10 2 2 2 2 2 2 2 2" xfId="8546" xr:uid="{00000000-0005-0000-0000-000043490000}"/>
    <cellStyle name="Normal 10 2 2 2 2 2 2 2 2 2" xfId="15336" xr:uid="{00000000-0005-0000-0000-000044490000}"/>
    <cellStyle name="Normal 10 2 2 2 2 2 2 2 2 2 2" xfId="28904" xr:uid="{00000000-0005-0000-0000-000045490000}"/>
    <cellStyle name="Normal 10 2 2 2 2 2 2 2 2 2 2 2" xfId="56037" xr:uid="{00000000-0005-0000-0000-000046490000}"/>
    <cellStyle name="Normal 10 2 2 2 2 2 2 2 2 2 3" xfId="42475" xr:uid="{00000000-0005-0000-0000-000047490000}"/>
    <cellStyle name="Normal 10 2 2 2 2 2 2 2 2 3" xfId="22123" xr:uid="{00000000-0005-0000-0000-000048490000}"/>
    <cellStyle name="Normal 10 2 2 2 2 2 2 2 2 3 2" xfId="49256" xr:uid="{00000000-0005-0000-0000-000049490000}"/>
    <cellStyle name="Normal 10 2 2 2 2 2 2 2 2 4" xfId="35694" xr:uid="{00000000-0005-0000-0000-00004A490000}"/>
    <cellStyle name="Normal 10 2 2 2 2 2 2 2 3" xfId="11947" xr:uid="{00000000-0005-0000-0000-00004B490000}"/>
    <cellStyle name="Normal 10 2 2 2 2 2 2 2 3 2" xfId="25515" xr:uid="{00000000-0005-0000-0000-00004C490000}"/>
    <cellStyle name="Normal 10 2 2 2 2 2 2 2 3 2 2" xfId="52648" xr:uid="{00000000-0005-0000-0000-00004D490000}"/>
    <cellStyle name="Normal 10 2 2 2 2 2 2 2 3 3" xfId="39086" xr:uid="{00000000-0005-0000-0000-00004E490000}"/>
    <cellStyle name="Normal 10 2 2 2 2 2 2 2 4" xfId="18734" xr:uid="{00000000-0005-0000-0000-00004F490000}"/>
    <cellStyle name="Normal 10 2 2 2 2 2 2 2 4 2" xfId="45867" xr:uid="{00000000-0005-0000-0000-000050490000}"/>
    <cellStyle name="Normal 10 2 2 2 2 2 2 2 5" xfId="32305" xr:uid="{00000000-0005-0000-0000-000051490000}"/>
    <cellStyle name="Normal 10 2 2 2 2 2 2 3" xfId="4985" xr:uid="{00000000-0005-0000-0000-000052490000}"/>
    <cellStyle name="Normal 10 2 2 2 2 2 2 3 2" xfId="8547" xr:uid="{00000000-0005-0000-0000-000053490000}"/>
    <cellStyle name="Normal 10 2 2 2 2 2 2 3 2 2" xfId="15337" xr:uid="{00000000-0005-0000-0000-000054490000}"/>
    <cellStyle name="Normal 10 2 2 2 2 2 2 3 2 2 2" xfId="28905" xr:uid="{00000000-0005-0000-0000-000055490000}"/>
    <cellStyle name="Normal 10 2 2 2 2 2 2 3 2 2 2 2" xfId="56038" xr:uid="{00000000-0005-0000-0000-000056490000}"/>
    <cellStyle name="Normal 10 2 2 2 2 2 2 3 2 2 3" xfId="42476" xr:uid="{00000000-0005-0000-0000-000057490000}"/>
    <cellStyle name="Normal 10 2 2 2 2 2 2 3 2 3" xfId="22124" xr:uid="{00000000-0005-0000-0000-000058490000}"/>
    <cellStyle name="Normal 10 2 2 2 2 2 2 3 2 3 2" xfId="49257" xr:uid="{00000000-0005-0000-0000-000059490000}"/>
    <cellStyle name="Normal 10 2 2 2 2 2 2 3 2 4" xfId="35695" xr:uid="{00000000-0005-0000-0000-00005A490000}"/>
    <cellStyle name="Normal 10 2 2 2 2 2 2 3 3" xfId="11948" xr:uid="{00000000-0005-0000-0000-00005B490000}"/>
    <cellStyle name="Normal 10 2 2 2 2 2 2 3 3 2" xfId="25516" xr:uid="{00000000-0005-0000-0000-00005C490000}"/>
    <cellStyle name="Normal 10 2 2 2 2 2 2 3 3 2 2" xfId="52649" xr:uid="{00000000-0005-0000-0000-00005D490000}"/>
    <cellStyle name="Normal 10 2 2 2 2 2 2 3 3 3" xfId="39087" xr:uid="{00000000-0005-0000-0000-00005E490000}"/>
    <cellStyle name="Normal 10 2 2 2 2 2 2 3 4" xfId="18735" xr:uid="{00000000-0005-0000-0000-00005F490000}"/>
    <cellStyle name="Normal 10 2 2 2 2 2 2 3 4 2" xfId="45868" xr:uid="{00000000-0005-0000-0000-000060490000}"/>
    <cellStyle name="Normal 10 2 2 2 2 2 2 3 5" xfId="32306" xr:uid="{00000000-0005-0000-0000-000061490000}"/>
    <cellStyle name="Normal 10 2 2 2 2 2 2 4" xfId="8545" xr:uid="{00000000-0005-0000-0000-000062490000}"/>
    <cellStyle name="Normal 10 2 2 2 2 2 2 4 2" xfId="15335" xr:uid="{00000000-0005-0000-0000-000063490000}"/>
    <cellStyle name="Normal 10 2 2 2 2 2 2 4 2 2" xfId="28903" xr:uid="{00000000-0005-0000-0000-000064490000}"/>
    <cellStyle name="Normal 10 2 2 2 2 2 2 4 2 2 2" xfId="56036" xr:uid="{00000000-0005-0000-0000-000065490000}"/>
    <cellStyle name="Normal 10 2 2 2 2 2 2 4 2 3" xfId="42474" xr:uid="{00000000-0005-0000-0000-000066490000}"/>
    <cellStyle name="Normal 10 2 2 2 2 2 2 4 3" xfId="22122" xr:uid="{00000000-0005-0000-0000-000067490000}"/>
    <cellStyle name="Normal 10 2 2 2 2 2 2 4 3 2" xfId="49255" xr:uid="{00000000-0005-0000-0000-000068490000}"/>
    <cellStyle name="Normal 10 2 2 2 2 2 2 4 4" xfId="35693" xr:uid="{00000000-0005-0000-0000-000069490000}"/>
    <cellStyle name="Normal 10 2 2 2 2 2 2 5" xfId="11946" xr:uid="{00000000-0005-0000-0000-00006A490000}"/>
    <cellStyle name="Normal 10 2 2 2 2 2 2 5 2" xfId="25514" xr:uid="{00000000-0005-0000-0000-00006B490000}"/>
    <cellStyle name="Normal 10 2 2 2 2 2 2 5 2 2" xfId="52647" xr:uid="{00000000-0005-0000-0000-00006C490000}"/>
    <cellStyle name="Normal 10 2 2 2 2 2 2 5 3" xfId="39085" xr:uid="{00000000-0005-0000-0000-00006D490000}"/>
    <cellStyle name="Normal 10 2 2 2 2 2 2 6" xfId="18733" xr:uid="{00000000-0005-0000-0000-00006E490000}"/>
    <cellStyle name="Normal 10 2 2 2 2 2 2 6 2" xfId="45866" xr:uid="{00000000-0005-0000-0000-00006F490000}"/>
    <cellStyle name="Normal 10 2 2 2 2 2 2 7" xfId="32304" xr:uid="{00000000-0005-0000-0000-000070490000}"/>
    <cellStyle name="Normal 10 2 2 2 2 2 3" xfId="4986" xr:uid="{00000000-0005-0000-0000-000071490000}"/>
    <cellStyle name="Normal 10 2 2 2 2 2 3 2" xfId="4987" xr:uid="{00000000-0005-0000-0000-000072490000}"/>
    <cellStyle name="Normal 10 2 2 2 2 2 3 2 2" xfId="8549" xr:uid="{00000000-0005-0000-0000-000073490000}"/>
    <cellStyle name="Normal 10 2 2 2 2 2 3 2 2 2" xfId="15339" xr:uid="{00000000-0005-0000-0000-000074490000}"/>
    <cellStyle name="Normal 10 2 2 2 2 2 3 2 2 2 2" xfId="28907" xr:uid="{00000000-0005-0000-0000-000075490000}"/>
    <cellStyle name="Normal 10 2 2 2 2 2 3 2 2 2 2 2" xfId="56040" xr:uid="{00000000-0005-0000-0000-000076490000}"/>
    <cellStyle name="Normal 10 2 2 2 2 2 3 2 2 2 3" xfId="42478" xr:uid="{00000000-0005-0000-0000-000077490000}"/>
    <cellStyle name="Normal 10 2 2 2 2 2 3 2 2 3" xfId="22126" xr:uid="{00000000-0005-0000-0000-000078490000}"/>
    <cellStyle name="Normal 10 2 2 2 2 2 3 2 2 3 2" xfId="49259" xr:uid="{00000000-0005-0000-0000-000079490000}"/>
    <cellStyle name="Normal 10 2 2 2 2 2 3 2 2 4" xfId="35697" xr:uid="{00000000-0005-0000-0000-00007A490000}"/>
    <cellStyle name="Normal 10 2 2 2 2 2 3 2 3" xfId="11950" xr:uid="{00000000-0005-0000-0000-00007B490000}"/>
    <cellStyle name="Normal 10 2 2 2 2 2 3 2 3 2" xfId="25518" xr:uid="{00000000-0005-0000-0000-00007C490000}"/>
    <cellStyle name="Normal 10 2 2 2 2 2 3 2 3 2 2" xfId="52651" xr:uid="{00000000-0005-0000-0000-00007D490000}"/>
    <cellStyle name="Normal 10 2 2 2 2 2 3 2 3 3" xfId="39089" xr:uid="{00000000-0005-0000-0000-00007E490000}"/>
    <cellStyle name="Normal 10 2 2 2 2 2 3 2 4" xfId="18737" xr:uid="{00000000-0005-0000-0000-00007F490000}"/>
    <cellStyle name="Normal 10 2 2 2 2 2 3 2 4 2" xfId="45870" xr:uid="{00000000-0005-0000-0000-000080490000}"/>
    <cellStyle name="Normal 10 2 2 2 2 2 3 2 5" xfId="32308" xr:uid="{00000000-0005-0000-0000-000081490000}"/>
    <cellStyle name="Normal 10 2 2 2 2 2 3 3" xfId="8548" xr:uid="{00000000-0005-0000-0000-000082490000}"/>
    <cellStyle name="Normal 10 2 2 2 2 2 3 3 2" xfId="15338" xr:uid="{00000000-0005-0000-0000-000083490000}"/>
    <cellStyle name="Normal 10 2 2 2 2 2 3 3 2 2" xfId="28906" xr:uid="{00000000-0005-0000-0000-000084490000}"/>
    <cellStyle name="Normal 10 2 2 2 2 2 3 3 2 2 2" xfId="56039" xr:uid="{00000000-0005-0000-0000-000085490000}"/>
    <cellStyle name="Normal 10 2 2 2 2 2 3 3 2 3" xfId="42477" xr:uid="{00000000-0005-0000-0000-000086490000}"/>
    <cellStyle name="Normal 10 2 2 2 2 2 3 3 3" xfId="22125" xr:uid="{00000000-0005-0000-0000-000087490000}"/>
    <cellStyle name="Normal 10 2 2 2 2 2 3 3 3 2" xfId="49258" xr:uid="{00000000-0005-0000-0000-000088490000}"/>
    <cellStyle name="Normal 10 2 2 2 2 2 3 3 4" xfId="35696" xr:uid="{00000000-0005-0000-0000-000089490000}"/>
    <cellStyle name="Normal 10 2 2 2 2 2 3 4" xfId="11949" xr:uid="{00000000-0005-0000-0000-00008A490000}"/>
    <cellStyle name="Normal 10 2 2 2 2 2 3 4 2" xfId="25517" xr:uid="{00000000-0005-0000-0000-00008B490000}"/>
    <cellStyle name="Normal 10 2 2 2 2 2 3 4 2 2" xfId="52650" xr:uid="{00000000-0005-0000-0000-00008C490000}"/>
    <cellStyle name="Normal 10 2 2 2 2 2 3 4 3" xfId="39088" xr:uid="{00000000-0005-0000-0000-00008D490000}"/>
    <cellStyle name="Normal 10 2 2 2 2 2 3 5" xfId="18736" xr:uid="{00000000-0005-0000-0000-00008E490000}"/>
    <cellStyle name="Normal 10 2 2 2 2 2 3 5 2" xfId="45869" xr:uid="{00000000-0005-0000-0000-00008F490000}"/>
    <cellStyle name="Normal 10 2 2 2 2 2 3 6" xfId="32307" xr:uid="{00000000-0005-0000-0000-000090490000}"/>
    <cellStyle name="Normal 10 2 2 2 2 2 4" xfId="4988" xr:uid="{00000000-0005-0000-0000-000091490000}"/>
    <cellStyle name="Normal 10 2 2 2 2 2 4 2" xfId="8550" xr:uid="{00000000-0005-0000-0000-000092490000}"/>
    <cellStyle name="Normal 10 2 2 2 2 2 4 2 2" xfId="15340" xr:uid="{00000000-0005-0000-0000-000093490000}"/>
    <cellStyle name="Normal 10 2 2 2 2 2 4 2 2 2" xfId="28908" xr:uid="{00000000-0005-0000-0000-000094490000}"/>
    <cellStyle name="Normal 10 2 2 2 2 2 4 2 2 2 2" xfId="56041" xr:uid="{00000000-0005-0000-0000-000095490000}"/>
    <cellStyle name="Normal 10 2 2 2 2 2 4 2 2 3" xfId="42479" xr:uid="{00000000-0005-0000-0000-000096490000}"/>
    <cellStyle name="Normal 10 2 2 2 2 2 4 2 3" xfId="22127" xr:uid="{00000000-0005-0000-0000-000097490000}"/>
    <cellStyle name="Normal 10 2 2 2 2 2 4 2 3 2" xfId="49260" xr:uid="{00000000-0005-0000-0000-000098490000}"/>
    <cellStyle name="Normal 10 2 2 2 2 2 4 2 4" xfId="35698" xr:uid="{00000000-0005-0000-0000-000099490000}"/>
    <cellStyle name="Normal 10 2 2 2 2 2 4 3" xfId="11951" xr:uid="{00000000-0005-0000-0000-00009A490000}"/>
    <cellStyle name="Normal 10 2 2 2 2 2 4 3 2" xfId="25519" xr:uid="{00000000-0005-0000-0000-00009B490000}"/>
    <cellStyle name="Normal 10 2 2 2 2 2 4 3 2 2" xfId="52652" xr:uid="{00000000-0005-0000-0000-00009C490000}"/>
    <cellStyle name="Normal 10 2 2 2 2 2 4 3 3" xfId="39090" xr:uid="{00000000-0005-0000-0000-00009D490000}"/>
    <cellStyle name="Normal 10 2 2 2 2 2 4 4" xfId="18738" xr:uid="{00000000-0005-0000-0000-00009E490000}"/>
    <cellStyle name="Normal 10 2 2 2 2 2 4 4 2" xfId="45871" xr:uid="{00000000-0005-0000-0000-00009F490000}"/>
    <cellStyle name="Normal 10 2 2 2 2 2 4 5" xfId="32309" xr:uid="{00000000-0005-0000-0000-0000A0490000}"/>
    <cellStyle name="Normal 10 2 2 2 2 2 5" xfId="4989" xr:uid="{00000000-0005-0000-0000-0000A1490000}"/>
    <cellStyle name="Normal 10 2 2 2 2 2 5 2" xfId="8551" xr:uid="{00000000-0005-0000-0000-0000A2490000}"/>
    <cellStyle name="Normal 10 2 2 2 2 2 5 2 2" xfId="15341" xr:uid="{00000000-0005-0000-0000-0000A3490000}"/>
    <cellStyle name="Normal 10 2 2 2 2 2 5 2 2 2" xfId="28909" xr:uid="{00000000-0005-0000-0000-0000A4490000}"/>
    <cellStyle name="Normal 10 2 2 2 2 2 5 2 2 2 2" xfId="56042" xr:uid="{00000000-0005-0000-0000-0000A5490000}"/>
    <cellStyle name="Normal 10 2 2 2 2 2 5 2 2 3" xfId="42480" xr:uid="{00000000-0005-0000-0000-0000A6490000}"/>
    <cellStyle name="Normal 10 2 2 2 2 2 5 2 3" xfId="22128" xr:uid="{00000000-0005-0000-0000-0000A7490000}"/>
    <cellStyle name="Normal 10 2 2 2 2 2 5 2 3 2" xfId="49261" xr:uid="{00000000-0005-0000-0000-0000A8490000}"/>
    <cellStyle name="Normal 10 2 2 2 2 2 5 2 4" xfId="35699" xr:uid="{00000000-0005-0000-0000-0000A9490000}"/>
    <cellStyle name="Normal 10 2 2 2 2 2 5 3" xfId="11952" xr:uid="{00000000-0005-0000-0000-0000AA490000}"/>
    <cellStyle name="Normal 10 2 2 2 2 2 5 3 2" xfId="25520" xr:uid="{00000000-0005-0000-0000-0000AB490000}"/>
    <cellStyle name="Normal 10 2 2 2 2 2 5 3 2 2" xfId="52653" xr:uid="{00000000-0005-0000-0000-0000AC490000}"/>
    <cellStyle name="Normal 10 2 2 2 2 2 5 3 3" xfId="39091" xr:uid="{00000000-0005-0000-0000-0000AD490000}"/>
    <cellStyle name="Normal 10 2 2 2 2 2 5 4" xfId="18739" xr:uid="{00000000-0005-0000-0000-0000AE490000}"/>
    <cellStyle name="Normal 10 2 2 2 2 2 5 4 2" xfId="45872" xr:uid="{00000000-0005-0000-0000-0000AF490000}"/>
    <cellStyle name="Normal 10 2 2 2 2 2 5 5" xfId="32310" xr:uid="{00000000-0005-0000-0000-0000B0490000}"/>
    <cellStyle name="Normal 10 2 2 2 2 2 6" xfId="8544" xr:uid="{00000000-0005-0000-0000-0000B1490000}"/>
    <cellStyle name="Normal 10 2 2 2 2 2 6 2" xfId="15334" xr:uid="{00000000-0005-0000-0000-0000B2490000}"/>
    <cellStyle name="Normal 10 2 2 2 2 2 6 2 2" xfId="28902" xr:uid="{00000000-0005-0000-0000-0000B3490000}"/>
    <cellStyle name="Normal 10 2 2 2 2 2 6 2 2 2" xfId="56035" xr:uid="{00000000-0005-0000-0000-0000B4490000}"/>
    <cellStyle name="Normal 10 2 2 2 2 2 6 2 3" xfId="42473" xr:uid="{00000000-0005-0000-0000-0000B5490000}"/>
    <cellStyle name="Normal 10 2 2 2 2 2 6 3" xfId="22121" xr:uid="{00000000-0005-0000-0000-0000B6490000}"/>
    <cellStyle name="Normal 10 2 2 2 2 2 6 3 2" xfId="49254" xr:uid="{00000000-0005-0000-0000-0000B7490000}"/>
    <cellStyle name="Normal 10 2 2 2 2 2 6 4" xfId="35692" xr:uid="{00000000-0005-0000-0000-0000B8490000}"/>
    <cellStyle name="Normal 10 2 2 2 2 2 7" xfId="11945" xr:uid="{00000000-0005-0000-0000-0000B9490000}"/>
    <cellStyle name="Normal 10 2 2 2 2 2 7 2" xfId="25513" xr:uid="{00000000-0005-0000-0000-0000BA490000}"/>
    <cellStyle name="Normal 10 2 2 2 2 2 7 2 2" xfId="52646" xr:uid="{00000000-0005-0000-0000-0000BB490000}"/>
    <cellStyle name="Normal 10 2 2 2 2 2 7 3" xfId="39084" xr:uid="{00000000-0005-0000-0000-0000BC490000}"/>
    <cellStyle name="Normal 10 2 2 2 2 2 8" xfId="18732" xr:uid="{00000000-0005-0000-0000-0000BD490000}"/>
    <cellStyle name="Normal 10 2 2 2 2 2 8 2" xfId="45865" xr:uid="{00000000-0005-0000-0000-0000BE490000}"/>
    <cellStyle name="Normal 10 2 2 2 2 2 9" xfId="32303" xr:uid="{00000000-0005-0000-0000-0000BF490000}"/>
    <cellStyle name="Normal 10 2 2 2 2 3" xfId="4990" xr:uid="{00000000-0005-0000-0000-0000C0490000}"/>
    <cellStyle name="Normal 10 2 2 2 2 3 2" xfId="4991" xr:uid="{00000000-0005-0000-0000-0000C1490000}"/>
    <cellStyle name="Normal 10 2 2 2 2 3 2 2" xfId="8553" xr:uid="{00000000-0005-0000-0000-0000C2490000}"/>
    <cellStyle name="Normal 10 2 2 2 2 3 2 2 2" xfId="15343" xr:uid="{00000000-0005-0000-0000-0000C3490000}"/>
    <cellStyle name="Normal 10 2 2 2 2 3 2 2 2 2" xfId="28911" xr:uid="{00000000-0005-0000-0000-0000C4490000}"/>
    <cellStyle name="Normal 10 2 2 2 2 3 2 2 2 2 2" xfId="56044" xr:uid="{00000000-0005-0000-0000-0000C5490000}"/>
    <cellStyle name="Normal 10 2 2 2 2 3 2 2 2 3" xfId="42482" xr:uid="{00000000-0005-0000-0000-0000C6490000}"/>
    <cellStyle name="Normal 10 2 2 2 2 3 2 2 3" xfId="22130" xr:uid="{00000000-0005-0000-0000-0000C7490000}"/>
    <cellStyle name="Normal 10 2 2 2 2 3 2 2 3 2" xfId="49263" xr:uid="{00000000-0005-0000-0000-0000C8490000}"/>
    <cellStyle name="Normal 10 2 2 2 2 3 2 2 4" xfId="35701" xr:uid="{00000000-0005-0000-0000-0000C9490000}"/>
    <cellStyle name="Normal 10 2 2 2 2 3 2 3" xfId="11954" xr:uid="{00000000-0005-0000-0000-0000CA490000}"/>
    <cellStyle name="Normal 10 2 2 2 2 3 2 3 2" xfId="25522" xr:uid="{00000000-0005-0000-0000-0000CB490000}"/>
    <cellStyle name="Normal 10 2 2 2 2 3 2 3 2 2" xfId="52655" xr:uid="{00000000-0005-0000-0000-0000CC490000}"/>
    <cellStyle name="Normal 10 2 2 2 2 3 2 3 3" xfId="39093" xr:uid="{00000000-0005-0000-0000-0000CD490000}"/>
    <cellStyle name="Normal 10 2 2 2 2 3 2 4" xfId="18741" xr:uid="{00000000-0005-0000-0000-0000CE490000}"/>
    <cellStyle name="Normal 10 2 2 2 2 3 2 4 2" xfId="45874" xr:uid="{00000000-0005-0000-0000-0000CF490000}"/>
    <cellStyle name="Normal 10 2 2 2 2 3 2 5" xfId="32312" xr:uid="{00000000-0005-0000-0000-0000D0490000}"/>
    <cellStyle name="Normal 10 2 2 2 2 3 3" xfId="4992" xr:uid="{00000000-0005-0000-0000-0000D1490000}"/>
    <cellStyle name="Normal 10 2 2 2 2 3 3 2" xfId="8554" xr:uid="{00000000-0005-0000-0000-0000D2490000}"/>
    <cellStyle name="Normal 10 2 2 2 2 3 3 2 2" xfId="15344" xr:uid="{00000000-0005-0000-0000-0000D3490000}"/>
    <cellStyle name="Normal 10 2 2 2 2 3 3 2 2 2" xfId="28912" xr:uid="{00000000-0005-0000-0000-0000D4490000}"/>
    <cellStyle name="Normal 10 2 2 2 2 3 3 2 2 2 2" xfId="56045" xr:uid="{00000000-0005-0000-0000-0000D5490000}"/>
    <cellStyle name="Normal 10 2 2 2 2 3 3 2 2 3" xfId="42483" xr:uid="{00000000-0005-0000-0000-0000D6490000}"/>
    <cellStyle name="Normal 10 2 2 2 2 3 3 2 3" xfId="22131" xr:uid="{00000000-0005-0000-0000-0000D7490000}"/>
    <cellStyle name="Normal 10 2 2 2 2 3 3 2 3 2" xfId="49264" xr:uid="{00000000-0005-0000-0000-0000D8490000}"/>
    <cellStyle name="Normal 10 2 2 2 2 3 3 2 4" xfId="35702" xr:uid="{00000000-0005-0000-0000-0000D9490000}"/>
    <cellStyle name="Normal 10 2 2 2 2 3 3 3" xfId="11955" xr:uid="{00000000-0005-0000-0000-0000DA490000}"/>
    <cellStyle name="Normal 10 2 2 2 2 3 3 3 2" xfId="25523" xr:uid="{00000000-0005-0000-0000-0000DB490000}"/>
    <cellStyle name="Normal 10 2 2 2 2 3 3 3 2 2" xfId="52656" xr:uid="{00000000-0005-0000-0000-0000DC490000}"/>
    <cellStyle name="Normal 10 2 2 2 2 3 3 3 3" xfId="39094" xr:uid="{00000000-0005-0000-0000-0000DD490000}"/>
    <cellStyle name="Normal 10 2 2 2 2 3 3 4" xfId="18742" xr:uid="{00000000-0005-0000-0000-0000DE490000}"/>
    <cellStyle name="Normal 10 2 2 2 2 3 3 4 2" xfId="45875" xr:uid="{00000000-0005-0000-0000-0000DF490000}"/>
    <cellStyle name="Normal 10 2 2 2 2 3 3 5" xfId="32313" xr:uid="{00000000-0005-0000-0000-0000E0490000}"/>
    <cellStyle name="Normal 10 2 2 2 2 3 4" xfId="8552" xr:uid="{00000000-0005-0000-0000-0000E1490000}"/>
    <cellStyle name="Normal 10 2 2 2 2 3 4 2" xfId="15342" xr:uid="{00000000-0005-0000-0000-0000E2490000}"/>
    <cellStyle name="Normal 10 2 2 2 2 3 4 2 2" xfId="28910" xr:uid="{00000000-0005-0000-0000-0000E3490000}"/>
    <cellStyle name="Normal 10 2 2 2 2 3 4 2 2 2" xfId="56043" xr:uid="{00000000-0005-0000-0000-0000E4490000}"/>
    <cellStyle name="Normal 10 2 2 2 2 3 4 2 3" xfId="42481" xr:uid="{00000000-0005-0000-0000-0000E5490000}"/>
    <cellStyle name="Normal 10 2 2 2 2 3 4 3" xfId="22129" xr:uid="{00000000-0005-0000-0000-0000E6490000}"/>
    <cellStyle name="Normal 10 2 2 2 2 3 4 3 2" xfId="49262" xr:uid="{00000000-0005-0000-0000-0000E7490000}"/>
    <cellStyle name="Normal 10 2 2 2 2 3 4 4" xfId="35700" xr:uid="{00000000-0005-0000-0000-0000E8490000}"/>
    <cellStyle name="Normal 10 2 2 2 2 3 5" xfId="11953" xr:uid="{00000000-0005-0000-0000-0000E9490000}"/>
    <cellStyle name="Normal 10 2 2 2 2 3 5 2" xfId="25521" xr:uid="{00000000-0005-0000-0000-0000EA490000}"/>
    <cellStyle name="Normal 10 2 2 2 2 3 5 2 2" xfId="52654" xr:uid="{00000000-0005-0000-0000-0000EB490000}"/>
    <cellStyle name="Normal 10 2 2 2 2 3 5 3" xfId="39092" xr:uid="{00000000-0005-0000-0000-0000EC490000}"/>
    <cellStyle name="Normal 10 2 2 2 2 3 6" xfId="18740" xr:uid="{00000000-0005-0000-0000-0000ED490000}"/>
    <cellStyle name="Normal 10 2 2 2 2 3 6 2" xfId="45873" xr:uid="{00000000-0005-0000-0000-0000EE490000}"/>
    <cellStyle name="Normal 10 2 2 2 2 3 7" xfId="32311" xr:uid="{00000000-0005-0000-0000-0000EF490000}"/>
    <cellStyle name="Normal 10 2 2 2 2 4" xfId="4993" xr:uid="{00000000-0005-0000-0000-0000F0490000}"/>
    <cellStyle name="Normal 10 2 2 2 2 4 2" xfId="4994" xr:uid="{00000000-0005-0000-0000-0000F1490000}"/>
    <cellStyle name="Normal 10 2 2 2 2 4 2 2" xfId="8556" xr:uid="{00000000-0005-0000-0000-0000F2490000}"/>
    <cellStyle name="Normal 10 2 2 2 2 4 2 2 2" xfId="15346" xr:uid="{00000000-0005-0000-0000-0000F3490000}"/>
    <cellStyle name="Normal 10 2 2 2 2 4 2 2 2 2" xfId="28914" xr:uid="{00000000-0005-0000-0000-0000F4490000}"/>
    <cellStyle name="Normal 10 2 2 2 2 4 2 2 2 2 2" xfId="56047" xr:uid="{00000000-0005-0000-0000-0000F5490000}"/>
    <cellStyle name="Normal 10 2 2 2 2 4 2 2 2 3" xfId="42485" xr:uid="{00000000-0005-0000-0000-0000F6490000}"/>
    <cellStyle name="Normal 10 2 2 2 2 4 2 2 3" xfId="22133" xr:uid="{00000000-0005-0000-0000-0000F7490000}"/>
    <cellStyle name="Normal 10 2 2 2 2 4 2 2 3 2" xfId="49266" xr:uid="{00000000-0005-0000-0000-0000F8490000}"/>
    <cellStyle name="Normal 10 2 2 2 2 4 2 2 4" xfId="35704" xr:uid="{00000000-0005-0000-0000-0000F9490000}"/>
    <cellStyle name="Normal 10 2 2 2 2 4 2 3" xfId="11957" xr:uid="{00000000-0005-0000-0000-0000FA490000}"/>
    <cellStyle name="Normal 10 2 2 2 2 4 2 3 2" xfId="25525" xr:uid="{00000000-0005-0000-0000-0000FB490000}"/>
    <cellStyle name="Normal 10 2 2 2 2 4 2 3 2 2" xfId="52658" xr:uid="{00000000-0005-0000-0000-0000FC490000}"/>
    <cellStyle name="Normal 10 2 2 2 2 4 2 3 3" xfId="39096" xr:uid="{00000000-0005-0000-0000-0000FD490000}"/>
    <cellStyle name="Normal 10 2 2 2 2 4 2 4" xfId="18744" xr:uid="{00000000-0005-0000-0000-0000FE490000}"/>
    <cellStyle name="Normal 10 2 2 2 2 4 2 4 2" xfId="45877" xr:uid="{00000000-0005-0000-0000-0000FF490000}"/>
    <cellStyle name="Normal 10 2 2 2 2 4 2 5" xfId="32315" xr:uid="{00000000-0005-0000-0000-0000004A0000}"/>
    <cellStyle name="Normal 10 2 2 2 2 4 3" xfId="8555" xr:uid="{00000000-0005-0000-0000-0000014A0000}"/>
    <cellStyle name="Normal 10 2 2 2 2 4 3 2" xfId="15345" xr:uid="{00000000-0005-0000-0000-0000024A0000}"/>
    <cellStyle name="Normal 10 2 2 2 2 4 3 2 2" xfId="28913" xr:uid="{00000000-0005-0000-0000-0000034A0000}"/>
    <cellStyle name="Normal 10 2 2 2 2 4 3 2 2 2" xfId="56046" xr:uid="{00000000-0005-0000-0000-0000044A0000}"/>
    <cellStyle name="Normal 10 2 2 2 2 4 3 2 3" xfId="42484" xr:uid="{00000000-0005-0000-0000-0000054A0000}"/>
    <cellStyle name="Normal 10 2 2 2 2 4 3 3" xfId="22132" xr:uid="{00000000-0005-0000-0000-0000064A0000}"/>
    <cellStyle name="Normal 10 2 2 2 2 4 3 3 2" xfId="49265" xr:uid="{00000000-0005-0000-0000-0000074A0000}"/>
    <cellStyle name="Normal 10 2 2 2 2 4 3 4" xfId="35703" xr:uid="{00000000-0005-0000-0000-0000084A0000}"/>
    <cellStyle name="Normal 10 2 2 2 2 4 4" xfId="11956" xr:uid="{00000000-0005-0000-0000-0000094A0000}"/>
    <cellStyle name="Normal 10 2 2 2 2 4 4 2" xfId="25524" xr:uid="{00000000-0005-0000-0000-00000A4A0000}"/>
    <cellStyle name="Normal 10 2 2 2 2 4 4 2 2" xfId="52657" xr:uid="{00000000-0005-0000-0000-00000B4A0000}"/>
    <cellStyle name="Normal 10 2 2 2 2 4 4 3" xfId="39095" xr:uid="{00000000-0005-0000-0000-00000C4A0000}"/>
    <cellStyle name="Normal 10 2 2 2 2 4 5" xfId="18743" xr:uid="{00000000-0005-0000-0000-00000D4A0000}"/>
    <cellStyle name="Normal 10 2 2 2 2 4 5 2" xfId="45876" xr:uid="{00000000-0005-0000-0000-00000E4A0000}"/>
    <cellStyle name="Normal 10 2 2 2 2 4 6" xfId="32314" xr:uid="{00000000-0005-0000-0000-00000F4A0000}"/>
    <cellStyle name="Normal 10 2 2 2 2 5" xfId="4995" xr:uid="{00000000-0005-0000-0000-0000104A0000}"/>
    <cellStyle name="Normal 10 2 2 2 2 5 2" xfId="8557" xr:uid="{00000000-0005-0000-0000-0000114A0000}"/>
    <cellStyle name="Normal 10 2 2 2 2 5 2 2" xfId="15347" xr:uid="{00000000-0005-0000-0000-0000124A0000}"/>
    <cellStyle name="Normal 10 2 2 2 2 5 2 2 2" xfId="28915" xr:uid="{00000000-0005-0000-0000-0000134A0000}"/>
    <cellStyle name="Normal 10 2 2 2 2 5 2 2 2 2" xfId="56048" xr:uid="{00000000-0005-0000-0000-0000144A0000}"/>
    <cellStyle name="Normal 10 2 2 2 2 5 2 2 3" xfId="42486" xr:uid="{00000000-0005-0000-0000-0000154A0000}"/>
    <cellStyle name="Normal 10 2 2 2 2 5 2 3" xfId="22134" xr:uid="{00000000-0005-0000-0000-0000164A0000}"/>
    <cellStyle name="Normal 10 2 2 2 2 5 2 3 2" xfId="49267" xr:uid="{00000000-0005-0000-0000-0000174A0000}"/>
    <cellStyle name="Normal 10 2 2 2 2 5 2 4" xfId="35705" xr:uid="{00000000-0005-0000-0000-0000184A0000}"/>
    <cellStyle name="Normal 10 2 2 2 2 5 3" xfId="11958" xr:uid="{00000000-0005-0000-0000-0000194A0000}"/>
    <cellStyle name="Normal 10 2 2 2 2 5 3 2" xfId="25526" xr:uid="{00000000-0005-0000-0000-00001A4A0000}"/>
    <cellStyle name="Normal 10 2 2 2 2 5 3 2 2" xfId="52659" xr:uid="{00000000-0005-0000-0000-00001B4A0000}"/>
    <cellStyle name="Normal 10 2 2 2 2 5 3 3" xfId="39097" xr:uid="{00000000-0005-0000-0000-00001C4A0000}"/>
    <cellStyle name="Normal 10 2 2 2 2 5 4" xfId="18745" xr:uid="{00000000-0005-0000-0000-00001D4A0000}"/>
    <cellStyle name="Normal 10 2 2 2 2 5 4 2" xfId="45878" xr:uid="{00000000-0005-0000-0000-00001E4A0000}"/>
    <cellStyle name="Normal 10 2 2 2 2 5 5" xfId="32316" xr:uid="{00000000-0005-0000-0000-00001F4A0000}"/>
    <cellStyle name="Normal 10 2 2 2 2 6" xfId="4996" xr:uid="{00000000-0005-0000-0000-0000204A0000}"/>
    <cellStyle name="Normal 10 2 2 2 2 6 2" xfId="8558" xr:uid="{00000000-0005-0000-0000-0000214A0000}"/>
    <cellStyle name="Normal 10 2 2 2 2 6 2 2" xfId="15348" xr:uid="{00000000-0005-0000-0000-0000224A0000}"/>
    <cellStyle name="Normal 10 2 2 2 2 6 2 2 2" xfId="28916" xr:uid="{00000000-0005-0000-0000-0000234A0000}"/>
    <cellStyle name="Normal 10 2 2 2 2 6 2 2 2 2" xfId="56049" xr:uid="{00000000-0005-0000-0000-0000244A0000}"/>
    <cellStyle name="Normal 10 2 2 2 2 6 2 2 3" xfId="42487" xr:uid="{00000000-0005-0000-0000-0000254A0000}"/>
    <cellStyle name="Normal 10 2 2 2 2 6 2 3" xfId="22135" xr:uid="{00000000-0005-0000-0000-0000264A0000}"/>
    <cellStyle name="Normal 10 2 2 2 2 6 2 3 2" xfId="49268" xr:uid="{00000000-0005-0000-0000-0000274A0000}"/>
    <cellStyle name="Normal 10 2 2 2 2 6 2 4" xfId="35706" xr:uid="{00000000-0005-0000-0000-0000284A0000}"/>
    <cellStyle name="Normal 10 2 2 2 2 6 3" xfId="11959" xr:uid="{00000000-0005-0000-0000-0000294A0000}"/>
    <cellStyle name="Normal 10 2 2 2 2 6 3 2" xfId="25527" xr:uid="{00000000-0005-0000-0000-00002A4A0000}"/>
    <cellStyle name="Normal 10 2 2 2 2 6 3 2 2" xfId="52660" xr:uid="{00000000-0005-0000-0000-00002B4A0000}"/>
    <cellStyle name="Normal 10 2 2 2 2 6 3 3" xfId="39098" xr:uid="{00000000-0005-0000-0000-00002C4A0000}"/>
    <cellStyle name="Normal 10 2 2 2 2 6 4" xfId="18746" xr:uid="{00000000-0005-0000-0000-00002D4A0000}"/>
    <cellStyle name="Normal 10 2 2 2 2 6 4 2" xfId="45879" xr:uid="{00000000-0005-0000-0000-00002E4A0000}"/>
    <cellStyle name="Normal 10 2 2 2 2 6 5" xfId="32317" xr:uid="{00000000-0005-0000-0000-00002F4A0000}"/>
    <cellStyle name="Normal 10 2 2 2 2 7" xfId="8543" xr:uid="{00000000-0005-0000-0000-0000304A0000}"/>
    <cellStyle name="Normal 10 2 2 2 2 7 2" xfId="15333" xr:uid="{00000000-0005-0000-0000-0000314A0000}"/>
    <cellStyle name="Normal 10 2 2 2 2 7 2 2" xfId="28901" xr:uid="{00000000-0005-0000-0000-0000324A0000}"/>
    <cellStyle name="Normal 10 2 2 2 2 7 2 2 2" xfId="56034" xr:uid="{00000000-0005-0000-0000-0000334A0000}"/>
    <cellStyle name="Normal 10 2 2 2 2 7 2 3" xfId="42472" xr:uid="{00000000-0005-0000-0000-0000344A0000}"/>
    <cellStyle name="Normal 10 2 2 2 2 7 3" xfId="22120" xr:uid="{00000000-0005-0000-0000-0000354A0000}"/>
    <cellStyle name="Normal 10 2 2 2 2 7 3 2" xfId="49253" xr:uid="{00000000-0005-0000-0000-0000364A0000}"/>
    <cellStyle name="Normal 10 2 2 2 2 7 4" xfId="35691" xr:uid="{00000000-0005-0000-0000-0000374A0000}"/>
    <cellStyle name="Normal 10 2 2 2 2 8" xfId="11944" xr:uid="{00000000-0005-0000-0000-0000384A0000}"/>
    <cellStyle name="Normal 10 2 2 2 2 8 2" xfId="25512" xr:uid="{00000000-0005-0000-0000-0000394A0000}"/>
    <cellStyle name="Normal 10 2 2 2 2 8 2 2" xfId="52645" xr:uid="{00000000-0005-0000-0000-00003A4A0000}"/>
    <cellStyle name="Normal 10 2 2 2 2 8 3" xfId="39083" xr:uid="{00000000-0005-0000-0000-00003B4A0000}"/>
    <cellStyle name="Normal 10 2 2 2 2 9" xfId="18731" xr:uid="{00000000-0005-0000-0000-00003C4A0000}"/>
    <cellStyle name="Normal 10 2 2 2 2 9 2" xfId="45864" xr:uid="{00000000-0005-0000-0000-00003D4A0000}"/>
    <cellStyle name="Normal 10 2 2 2 3" xfId="4997" xr:uid="{00000000-0005-0000-0000-00003E4A0000}"/>
    <cellStyle name="Normal 10 2 2 2 3 2" xfId="4998" xr:uid="{00000000-0005-0000-0000-00003F4A0000}"/>
    <cellStyle name="Normal 10 2 2 2 3 2 2" xfId="4999" xr:uid="{00000000-0005-0000-0000-0000404A0000}"/>
    <cellStyle name="Normal 10 2 2 2 3 2 2 2" xfId="8561" xr:uid="{00000000-0005-0000-0000-0000414A0000}"/>
    <cellStyle name="Normal 10 2 2 2 3 2 2 2 2" xfId="15351" xr:uid="{00000000-0005-0000-0000-0000424A0000}"/>
    <cellStyle name="Normal 10 2 2 2 3 2 2 2 2 2" xfId="28919" xr:uid="{00000000-0005-0000-0000-0000434A0000}"/>
    <cellStyle name="Normal 10 2 2 2 3 2 2 2 2 2 2" xfId="56052" xr:uid="{00000000-0005-0000-0000-0000444A0000}"/>
    <cellStyle name="Normal 10 2 2 2 3 2 2 2 2 3" xfId="42490" xr:uid="{00000000-0005-0000-0000-0000454A0000}"/>
    <cellStyle name="Normal 10 2 2 2 3 2 2 2 3" xfId="22138" xr:uid="{00000000-0005-0000-0000-0000464A0000}"/>
    <cellStyle name="Normal 10 2 2 2 3 2 2 2 3 2" xfId="49271" xr:uid="{00000000-0005-0000-0000-0000474A0000}"/>
    <cellStyle name="Normal 10 2 2 2 3 2 2 2 4" xfId="35709" xr:uid="{00000000-0005-0000-0000-0000484A0000}"/>
    <cellStyle name="Normal 10 2 2 2 3 2 2 3" xfId="11962" xr:uid="{00000000-0005-0000-0000-0000494A0000}"/>
    <cellStyle name="Normal 10 2 2 2 3 2 2 3 2" xfId="25530" xr:uid="{00000000-0005-0000-0000-00004A4A0000}"/>
    <cellStyle name="Normal 10 2 2 2 3 2 2 3 2 2" xfId="52663" xr:uid="{00000000-0005-0000-0000-00004B4A0000}"/>
    <cellStyle name="Normal 10 2 2 2 3 2 2 3 3" xfId="39101" xr:uid="{00000000-0005-0000-0000-00004C4A0000}"/>
    <cellStyle name="Normal 10 2 2 2 3 2 2 4" xfId="18749" xr:uid="{00000000-0005-0000-0000-00004D4A0000}"/>
    <cellStyle name="Normal 10 2 2 2 3 2 2 4 2" xfId="45882" xr:uid="{00000000-0005-0000-0000-00004E4A0000}"/>
    <cellStyle name="Normal 10 2 2 2 3 2 2 5" xfId="32320" xr:uid="{00000000-0005-0000-0000-00004F4A0000}"/>
    <cellStyle name="Normal 10 2 2 2 3 2 3" xfId="5000" xr:uid="{00000000-0005-0000-0000-0000504A0000}"/>
    <cellStyle name="Normal 10 2 2 2 3 2 3 2" xfId="8562" xr:uid="{00000000-0005-0000-0000-0000514A0000}"/>
    <cellStyle name="Normal 10 2 2 2 3 2 3 2 2" xfId="15352" xr:uid="{00000000-0005-0000-0000-0000524A0000}"/>
    <cellStyle name="Normal 10 2 2 2 3 2 3 2 2 2" xfId="28920" xr:uid="{00000000-0005-0000-0000-0000534A0000}"/>
    <cellStyle name="Normal 10 2 2 2 3 2 3 2 2 2 2" xfId="56053" xr:uid="{00000000-0005-0000-0000-0000544A0000}"/>
    <cellStyle name="Normal 10 2 2 2 3 2 3 2 2 3" xfId="42491" xr:uid="{00000000-0005-0000-0000-0000554A0000}"/>
    <cellStyle name="Normal 10 2 2 2 3 2 3 2 3" xfId="22139" xr:uid="{00000000-0005-0000-0000-0000564A0000}"/>
    <cellStyle name="Normal 10 2 2 2 3 2 3 2 3 2" xfId="49272" xr:uid="{00000000-0005-0000-0000-0000574A0000}"/>
    <cellStyle name="Normal 10 2 2 2 3 2 3 2 4" xfId="35710" xr:uid="{00000000-0005-0000-0000-0000584A0000}"/>
    <cellStyle name="Normal 10 2 2 2 3 2 3 3" xfId="11963" xr:uid="{00000000-0005-0000-0000-0000594A0000}"/>
    <cellStyle name="Normal 10 2 2 2 3 2 3 3 2" xfId="25531" xr:uid="{00000000-0005-0000-0000-00005A4A0000}"/>
    <cellStyle name="Normal 10 2 2 2 3 2 3 3 2 2" xfId="52664" xr:uid="{00000000-0005-0000-0000-00005B4A0000}"/>
    <cellStyle name="Normal 10 2 2 2 3 2 3 3 3" xfId="39102" xr:uid="{00000000-0005-0000-0000-00005C4A0000}"/>
    <cellStyle name="Normal 10 2 2 2 3 2 3 4" xfId="18750" xr:uid="{00000000-0005-0000-0000-00005D4A0000}"/>
    <cellStyle name="Normal 10 2 2 2 3 2 3 4 2" xfId="45883" xr:uid="{00000000-0005-0000-0000-00005E4A0000}"/>
    <cellStyle name="Normal 10 2 2 2 3 2 3 5" xfId="32321" xr:uid="{00000000-0005-0000-0000-00005F4A0000}"/>
    <cellStyle name="Normal 10 2 2 2 3 2 4" xfId="8560" xr:uid="{00000000-0005-0000-0000-0000604A0000}"/>
    <cellStyle name="Normal 10 2 2 2 3 2 4 2" xfId="15350" xr:uid="{00000000-0005-0000-0000-0000614A0000}"/>
    <cellStyle name="Normal 10 2 2 2 3 2 4 2 2" xfId="28918" xr:uid="{00000000-0005-0000-0000-0000624A0000}"/>
    <cellStyle name="Normal 10 2 2 2 3 2 4 2 2 2" xfId="56051" xr:uid="{00000000-0005-0000-0000-0000634A0000}"/>
    <cellStyle name="Normal 10 2 2 2 3 2 4 2 3" xfId="42489" xr:uid="{00000000-0005-0000-0000-0000644A0000}"/>
    <cellStyle name="Normal 10 2 2 2 3 2 4 3" xfId="22137" xr:uid="{00000000-0005-0000-0000-0000654A0000}"/>
    <cellStyle name="Normal 10 2 2 2 3 2 4 3 2" xfId="49270" xr:uid="{00000000-0005-0000-0000-0000664A0000}"/>
    <cellStyle name="Normal 10 2 2 2 3 2 4 4" xfId="35708" xr:uid="{00000000-0005-0000-0000-0000674A0000}"/>
    <cellStyle name="Normal 10 2 2 2 3 2 5" xfId="11961" xr:uid="{00000000-0005-0000-0000-0000684A0000}"/>
    <cellStyle name="Normal 10 2 2 2 3 2 5 2" xfId="25529" xr:uid="{00000000-0005-0000-0000-0000694A0000}"/>
    <cellStyle name="Normal 10 2 2 2 3 2 5 2 2" xfId="52662" xr:uid="{00000000-0005-0000-0000-00006A4A0000}"/>
    <cellStyle name="Normal 10 2 2 2 3 2 5 3" xfId="39100" xr:uid="{00000000-0005-0000-0000-00006B4A0000}"/>
    <cellStyle name="Normal 10 2 2 2 3 2 6" xfId="18748" xr:uid="{00000000-0005-0000-0000-00006C4A0000}"/>
    <cellStyle name="Normal 10 2 2 2 3 2 6 2" xfId="45881" xr:uid="{00000000-0005-0000-0000-00006D4A0000}"/>
    <cellStyle name="Normal 10 2 2 2 3 2 7" xfId="32319" xr:uid="{00000000-0005-0000-0000-00006E4A0000}"/>
    <cellStyle name="Normal 10 2 2 2 3 3" xfId="5001" xr:uid="{00000000-0005-0000-0000-00006F4A0000}"/>
    <cellStyle name="Normal 10 2 2 2 3 3 2" xfId="5002" xr:uid="{00000000-0005-0000-0000-0000704A0000}"/>
    <cellStyle name="Normal 10 2 2 2 3 3 2 2" xfId="8564" xr:uid="{00000000-0005-0000-0000-0000714A0000}"/>
    <cellStyle name="Normal 10 2 2 2 3 3 2 2 2" xfId="15354" xr:uid="{00000000-0005-0000-0000-0000724A0000}"/>
    <cellStyle name="Normal 10 2 2 2 3 3 2 2 2 2" xfId="28922" xr:uid="{00000000-0005-0000-0000-0000734A0000}"/>
    <cellStyle name="Normal 10 2 2 2 3 3 2 2 2 2 2" xfId="56055" xr:uid="{00000000-0005-0000-0000-0000744A0000}"/>
    <cellStyle name="Normal 10 2 2 2 3 3 2 2 2 3" xfId="42493" xr:uid="{00000000-0005-0000-0000-0000754A0000}"/>
    <cellStyle name="Normal 10 2 2 2 3 3 2 2 3" xfId="22141" xr:uid="{00000000-0005-0000-0000-0000764A0000}"/>
    <cellStyle name="Normal 10 2 2 2 3 3 2 2 3 2" xfId="49274" xr:uid="{00000000-0005-0000-0000-0000774A0000}"/>
    <cellStyle name="Normal 10 2 2 2 3 3 2 2 4" xfId="35712" xr:uid="{00000000-0005-0000-0000-0000784A0000}"/>
    <cellStyle name="Normal 10 2 2 2 3 3 2 3" xfId="11965" xr:uid="{00000000-0005-0000-0000-0000794A0000}"/>
    <cellStyle name="Normal 10 2 2 2 3 3 2 3 2" xfId="25533" xr:uid="{00000000-0005-0000-0000-00007A4A0000}"/>
    <cellStyle name="Normal 10 2 2 2 3 3 2 3 2 2" xfId="52666" xr:uid="{00000000-0005-0000-0000-00007B4A0000}"/>
    <cellStyle name="Normal 10 2 2 2 3 3 2 3 3" xfId="39104" xr:uid="{00000000-0005-0000-0000-00007C4A0000}"/>
    <cellStyle name="Normal 10 2 2 2 3 3 2 4" xfId="18752" xr:uid="{00000000-0005-0000-0000-00007D4A0000}"/>
    <cellStyle name="Normal 10 2 2 2 3 3 2 4 2" xfId="45885" xr:uid="{00000000-0005-0000-0000-00007E4A0000}"/>
    <cellStyle name="Normal 10 2 2 2 3 3 2 5" xfId="32323" xr:uid="{00000000-0005-0000-0000-00007F4A0000}"/>
    <cellStyle name="Normal 10 2 2 2 3 3 3" xfId="8563" xr:uid="{00000000-0005-0000-0000-0000804A0000}"/>
    <cellStyle name="Normal 10 2 2 2 3 3 3 2" xfId="15353" xr:uid="{00000000-0005-0000-0000-0000814A0000}"/>
    <cellStyle name="Normal 10 2 2 2 3 3 3 2 2" xfId="28921" xr:uid="{00000000-0005-0000-0000-0000824A0000}"/>
    <cellStyle name="Normal 10 2 2 2 3 3 3 2 2 2" xfId="56054" xr:uid="{00000000-0005-0000-0000-0000834A0000}"/>
    <cellStyle name="Normal 10 2 2 2 3 3 3 2 3" xfId="42492" xr:uid="{00000000-0005-0000-0000-0000844A0000}"/>
    <cellStyle name="Normal 10 2 2 2 3 3 3 3" xfId="22140" xr:uid="{00000000-0005-0000-0000-0000854A0000}"/>
    <cellStyle name="Normal 10 2 2 2 3 3 3 3 2" xfId="49273" xr:uid="{00000000-0005-0000-0000-0000864A0000}"/>
    <cellStyle name="Normal 10 2 2 2 3 3 3 4" xfId="35711" xr:uid="{00000000-0005-0000-0000-0000874A0000}"/>
    <cellStyle name="Normal 10 2 2 2 3 3 4" xfId="11964" xr:uid="{00000000-0005-0000-0000-0000884A0000}"/>
    <cellStyle name="Normal 10 2 2 2 3 3 4 2" xfId="25532" xr:uid="{00000000-0005-0000-0000-0000894A0000}"/>
    <cellStyle name="Normal 10 2 2 2 3 3 4 2 2" xfId="52665" xr:uid="{00000000-0005-0000-0000-00008A4A0000}"/>
    <cellStyle name="Normal 10 2 2 2 3 3 4 3" xfId="39103" xr:uid="{00000000-0005-0000-0000-00008B4A0000}"/>
    <cellStyle name="Normal 10 2 2 2 3 3 5" xfId="18751" xr:uid="{00000000-0005-0000-0000-00008C4A0000}"/>
    <cellStyle name="Normal 10 2 2 2 3 3 5 2" xfId="45884" xr:uid="{00000000-0005-0000-0000-00008D4A0000}"/>
    <cellStyle name="Normal 10 2 2 2 3 3 6" xfId="32322" xr:uid="{00000000-0005-0000-0000-00008E4A0000}"/>
    <cellStyle name="Normal 10 2 2 2 3 4" xfId="5003" xr:uid="{00000000-0005-0000-0000-00008F4A0000}"/>
    <cellStyle name="Normal 10 2 2 2 3 4 2" xfId="8565" xr:uid="{00000000-0005-0000-0000-0000904A0000}"/>
    <cellStyle name="Normal 10 2 2 2 3 4 2 2" xfId="15355" xr:uid="{00000000-0005-0000-0000-0000914A0000}"/>
    <cellStyle name="Normal 10 2 2 2 3 4 2 2 2" xfId="28923" xr:uid="{00000000-0005-0000-0000-0000924A0000}"/>
    <cellStyle name="Normal 10 2 2 2 3 4 2 2 2 2" xfId="56056" xr:uid="{00000000-0005-0000-0000-0000934A0000}"/>
    <cellStyle name="Normal 10 2 2 2 3 4 2 2 3" xfId="42494" xr:uid="{00000000-0005-0000-0000-0000944A0000}"/>
    <cellStyle name="Normal 10 2 2 2 3 4 2 3" xfId="22142" xr:uid="{00000000-0005-0000-0000-0000954A0000}"/>
    <cellStyle name="Normal 10 2 2 2 3 4 2 3 2" xfId="49275" xr:uid="{00000000-0005-0000-0000-0000964A0000}"/>
    <cellStyle name="Normal 10 2 2 2 3 4 2 4" xfId="35713" xr:uid="{00000000-0005-0000-0000-0000974A0000}"/>
    <cellStyle name="Normal 10 2 2 2 3 4 3" xfId="11966" xr:uid="{00000000-0005-0000-0000-0000984A0000}"/>
    <cellStyle name="Normal 10 2 2 2 3 4 3 2" xfId="25534" xr:uid="{00000000-0005-0000-0000-0000994A0000}"/>
    <cellStyle name="Normal 10 2 2 2 3 4 3 2 2" xfId="52667" xr:uid="{00000000-0005-0000-0000-00009A4A0000}"/>
    <cellStyle name="Normal 10 2 2 2 3 4 3 3" xfId="39105" xr:uid="{00000000-0005-0000-0000-00009B4A0000}"/>
    <cellStyle name="Normal 10 2 2 2 3 4 4" xfId="18753" xr:uid="{00000000-0005-0000-0000-00009C4A0000}"/>
    <cellStyle name="Normal 10 2 2 2 3 4 4 2" xfId="45886" xr:uid="{00000000-0005-0000-0000-00009D4A0000}"/>
    <cellStyle name="Normal 10 2 2 2 3 4 5" xfId="32324" xr:uid="{00000000-0005-0000-0000-00009E4A0000}"/>
    <cellStyle name="Normal 10 2 2 2 3 5" xfId="5004" xr:uid="{00000000-0005-0000-0000-00009F4A0000}"/>
    <cellStyle name="Normal 10 2 2 2 3 5 2" xfId="8566" xr:uid="{00000000-0005-0000-0000-0000A04A0000}"/>
    <cellStyle name="Normal 10 2 2 2 3 5 2 2" xfId="15356" xr:uid="{00000000-0005-0000-0000-0000A14A0000}"/>
    <cellStyle name="Normal 10 2 2 2 3 5 2 2 2" xfId="28924" xr:uid="{00000000-0005-0000-0000-0000A24A0000}"/>
    <cellStyle name="Normal 10 2 2 2 3 5 2 2 2 2" xfId="56057" xr:uid="{00000000-0005-0000-0000-0000A34A0000}"/>
    <cellStyle name="Normal 10 2 2 2 3 5 2 2 3" xfId="42495" xr:uid="{00000000-0005-0000-0000-0000A44A0000}"/>
    <cellStyle name="Normal 10 2 2 2 3 5 2 3" xfId="22143" xr:uid="{00000000-0005-0000-0000-0000A54A0000}"/>
    <cellStyle name="Normal 10 2 2 2 3 5 2 3 2" xfId="49276" xr:uid="{00000000-0005-0000-0000-0000A64A0000}"/>
    <cellStyle name="Normal 10 2 2 2 3 5 2 4" xfId="35714" xr:uid="{00000000-0005-0000-0000-0000A74A0000}"/>
    <cellStyle name="Normal 10 2 2 2 3 5 3" xfId="11967" xr:uid="{00000000-0005-0000-0000-0000A84A0000}"/>
    <cellStyle name="Normal 10 2 2 2 3 5 3 2" xfId="25535" xr:uid="{00000000-0005-0000-0000-0000A94A0000}"/>
    <cellStyle name="Normal 10 2 2 2 3 5 3 2 2" xfId="52668" xr:uid="{00000000-0005-0000-0000-0000AA4A0000}"/>
    <cellStyle name="Normal 10 2 2 2 3 5 3 3" xfId="39106" xr:uid="{00000000-0005-0000-0000-0000AB4A0000}"/>
    <cellStyle name="Normal 10 2 2 2 3 5 4" xfId="18754" xr:uid="{00000000-0005-0000-0000-0000AC4A0000}"/>
    <cellStyle name="Normal 10 2 2 2 3 5 4 2" xfId="45887" xr:uid="{00000000-0005-0000-0000-0000AD4A0000}"/>
    <cellStyle name="Normal 10 2 2 2 3 5 5" xfId="32325" xr:uid="{00000000-0005-0000-0000-0000AE4A0000}"/>
    <cellStyle name="Normal 10 2 2 2 3 6" xfId="8559" xr:uid="{00000000-0005-0000-0000-0000AF4A0000}"/>
    <cellStyle name="Normal 10 2 2 2 3 6 2" xfId="15349" xr:uid="{00000000-0005-0000-0000-0000B04A0000}"/>
    <cellStyle name="Normal 10 2 2 2 3 6 2 2" xfId="28917" xr:uid="{00000000-0005-0000-0000-0000B14A0000}"/>
    <cellStyle name="Normal 10 2 2 2 3 6 2 2 2" xfId="56050" xr:uid="{00000000-0005-0000-0000-0000B24A0000}"/>
    <cellStyle name="Normal 10 2 2 2 3 6 2 3" xfId="42488" xr:uid="{00000000-0005-0000-0000-0000B34A0000}"/>
    <cellStyle name="Normal 10 2 2 2 3 6 3" xfId="22136" xr:uid="{00000000-0005-0000-0000-0000B44A0000}"/>
    <cellStyle name="Normal 10 2 2 2 3 6 3 2" xfId="49269" xr:uid="{00000000-0005-0000-0000-0000B54A0000}"/>
    <cellStyle name="Normal 10 2 2 2 3 6 4" xfId="35707" xr:uid="{00000000-0005-0000-0000-0000B64A0000}"/>
    <cellStyle name="Normal 10 2 2 2 3 7" xfId="11960" xr:uid="{00000000-0005-0000-0000-0000B74A0000}"/>
    <cellStyle name="Normal 10 2 2 2 3 7 2" xfId="25528" xr:uid="{00000000-0005-0000-0000-0000B84A0000}"/>
    <cellStyle name="Normal 10 2 2 2 3 7 2 2" xfId="52661" xr:uid="{00000000-0005-0000-0000-0000B94A0000}"/>
    <cellStyle name="Normal 10 2 2 2 3 7 3" xfId="39099" xr:uid="{00000000-0005-0000-0000-0000BA4A0000}"/>
    <cellStyle name="Normal 10 2 2 2 3 8" xfId="18747" xr:uid="{00000000-0005-0000-0000-0000BB4A0000}"/>
    <cellStyle name="Normal 10 2 2 2 3 8 2" xfId="45880" xr:uid="{00000000-0005-0000-0000-0000BC4A0000}"/>
    <cellStyle name="Normal 10 2 2 2 3 9" xfId="32318" xr:uid="{00000000-0005-0000-0000-0000BD4A0000}"/>
    <cellStyle name="Normal 10 2 2 2 4" xfId="5005" xr:uid="{00000000-0005-0000-0000-0000BE4A0000}"/>
    <cellStyle name="Normal 10 2 2 2 4 2" xfId="5006" xr:uid="{00000000-0005-0000-0000-0000BF4A0000}"/>
    <cellStyle name="Normal 10 2 2 2 4 2 2" xfId="5007" xr:uid="{00000000-0005-0000-0000-0000C04A0000}"/>
    <cellStyle name="Normal 10 2 2 2 4 2 2 2" xfId="8569" xr:uid="{00000000-0005-0000-0000-0000C14A0000}"/>
    <cellStyle name="Normal 10 2 2 2 4 2 2 2 2" xfId="15359" xr:uid="{00000000-0005-0000-0000-0000C24A0000}"/>
    <cellStyle name="Normal 10 2 2 2 4 2 2 2 2 2" xfId="28927" xr:uid="{00000000-0005-0000-0000-0000C34A0000}"/>
    <cellStyle name="Normal 10 2 2 2 4 2 2 2 2 2 2" xfId="56060" xr:uid="{00000000-0005-0000-0000-0000C44A0000}"/>
    <cellStyle name="Normal 10 2 2 2 4 2 2 2 2 3" xfId="42498" xr:uid="{00000000-0005-0000-0000-0000C54A0000}"/>
    <cellStyle name="Normal 10 2 2 2 4 2 2 2 3" xfId="22146" xr:uid="{00000000-0005-0000-0000-0000C64A0000}"/>
    <cellStyle name="Normal 10 2 2 2 4 2 2 2 3 2" xfId="49279" xr:uid="{00000000-0005-0000-0000-0000C74A0000}"/>
    <cellStyle name="Normal 10 2 2 2 4 2 2 2 4" xfId="35717" xr:uid="{00000000-0005-0000-0000-0000C84A0000}"/>
    <cellStyle name="Normal 10 2 2 2 4 2 2 3" xfId="11970" xr:uid="{00000000-0005-0000-0000-0000C94A0000}"/>
    <cellStyle name="Normal 10 2 2 2 4 2 2 3 2" xfId="25538" xr:uid="{00000000-0005-0000-0000-0000CA4A0000}"/>
    <cellStyle name="Normal 10 2 2 2 4 2 2 3 2 2" xfId="52671" xr:uid="{00000000-0005-0000-0000-0000CB4A0000}"/>
    <cellStyle name="Normal 10 2 2 2 4 2 2 3 3" xfId="39109" xr:uid="{00000000-0005-0000-0000-0000CC4A0000}"/>
    <cellStyle name="Normal 10 2 2 2 4 2 2 4" xfId="18757" xr:uid="{00000000-0005-0000-0000-0000CD4A0000}"/>
    <cellStyle name="Normal 10 2 2 2 4 2 2 4 2" xfId="45890" xr:uid="{00000000-0005-0000-0000-0000CE4A0000}"/>
    <cellStyle name="Normal 10 2 2 2 4 2 2 5" xfId="32328" xr:uid="{00000000-0005-0000-0000-0000CF4A0000}"/>
    <cellStyle name="Normal 10 2 2 2 4 2 3" xfId="5008" xr:uid="{00000000-0005-0000-0000-0000D04A0000}"/>
    <cellStyle name="Normal 10 2 2 2 4 2 3 2" xfId="8570" xr:uid="{00000000-0005-0000-0000-0000D14A0000}"/>
    <cellStyle name="Normal 10 2 2 2 4 2 3 2 2" xfId="15360" xr:uid="{00000000-0005-0000-0000-0000D24A0000}"/>
    <cellStyle name="Normal 10 2 2 2 4 2 3 2 2 2" xfId="28928" xr:uid="{00000000-0005-0000-0000-0000D34A0000}"/>
    <cellStyle name="Normal 10 2 2 2 4 2 3 2 2 2 2" xfId="56061" xr:uid="{00000000-0005-0000-0000-0000D44A0000}"/>
    <cellStyle name="Normal 10 2 2 2 4 2 3 2 2 3" xfId="42499" xr:uid="{00000000-0005-0000-0000-0000D54A0000}"/>
    <cellStyle name="Normal 10 2 2 2 4 2 3 2 3" xfId="22147" xr:uid="{00000000-0005-0000-0000-0000D64A0000}"/>
    <cellStyle name="Normal 10 2 2 2 4 2 3 2 3 2" xfId="49280" xr:uid="{00000000-0005-0000-0000-0000D74A0000}"/>
    <cellStyle name="Normal 10 2 2 2 4 2 3 2 4" xfId="35718" xr:uid="{00000000-0005-0000-0000-0000D84A0000}"/>
    <cellStyle name="Normal 10 2 2 2 4 2 3 3" xfId="11971" xr:uid="{00000000-0005-0000-0000-0000D94A0000}"/>
    <cellStyle name="Normal 10 2 2 2 4 2 3 3 2" xfId="25539" xr:uid="{00000000-0005-0000-0000-0000DA4A0000}"/>
    <cellStyle name="Normal 10 2 2 2 4 2 3 3 2 2" xfId="52672" xr:uid="{00000000-0005-0000-0000-0000DB4A0000}"/>
    <cellStyle name="Normal 10 2 2 2 4 2 3 3 3" xfId="39110" xr:uid="{00000000-0005-0000-0000-0000DC4A0000}"/>
    <cellStyle name="Normal 10 2 2 2 4 2 3 4" xfId="18758" xr:uid="{00000000-0005-0000-0000-0000DD4A0000}"/>
    <cellStyle name="Normal 10 2 2 2 4 2 3 4 2" xfId="45891" xr:uid="{00000000-0005-0000-0000-0000DE4A0000}"/>
    <cellStyle name="Normal 10 2 2 2 4 2 3 5" xfId="32329" xr:uid="{00000000-0005-0000-0000-0000DF4A0000}"/>
    <cellStyle name="Normal 10 2 2 2 4 2 4" xfId="8568" xr:uid="{00000000-0005-0000-0000-0000E04A0000}"/>
    <cellStyle name="Normal 10 2 2 2 4 2 4 2" xfId="15358" xr:uid="{00000000-0005-0000-0000-0000E14A0000}"/>
    <cellStyle name="Normal 10 2 2 2 4 2 4 2 2" xfId="28926" xr:uid="{00000000-0005-0000-0000-0000E24A0000}"/>
    <cellStyle name="Normal 10 2 2 2 4 2 4 2 2 2" xfId="56059" xr:uid="{00000000-0005-0000-0000-0000E34A0000}"/>
    <cellStyle name="Normal 10 2 2 2 4 2 4 2 3" xfId="42497" xr:uid="{00000000-0005-0000-0000-0000E44A0000}"/>
    <cellStyle name="Normal 10 2 2 2 4 2 4 3" xfId="22145" xr:uid="{00000000-0005-0000-0000-0000E54A0000}"/>
    <cellStyle name="Normal 10 2 2 2 4 2 4 3 2" xfId="49278" xr:uid="{00000000-0005-0000-0000-0000E64A0000}"/>
    <cellStyle name="Normal 10 2 2 2 4 2 4 4" xfId="35716" xr:uid="{00000000-0005-0000-0000-0000E74A0000}"/>
    <cellStyle name="Normal 10 2 2 2 4 2 5" xfId="11969" xr:uid="{00000000-0005-0000-0000-0000E84A0000}"/>
    <cellStyle name="Normal 10 2 2 2 4 2 5 2" xfId="25537" xr:uid="{00000000-0005-0000-0000-0000E94A0000}"/>
    <cellStyle name="Normal 10 2 2 2 4 2 5 2 2" xfId="52670" xr:uid="{00000000-0005-0000-0000-0000EA4A0000}"/>
    <cellStyle name="Normal 10 2 2 2 4 2 5 3" xfId="39108" xr:uid="{00000000-0005-0000-0000-0000EB4A0000}"/>
    <cellStyle name="Normal 10 2 2 2 4 2 6" xfId="18756" xr:uid="{00000000-0005-0000-0000-0000EC4A0000}"/>
    <cellStyle name="Normal 10 2 2 2 4 2 6 2" xfId="45889" xr:uid="{00000000-0005-0000-0000-0000ED4A0000}"/>
    <cellStyle name="Normal 10 2 2 2 4 2 7" xfId="32327" xr:uid="{00000000-0005-0000-0000-0000EE4A0000}"/>
    <cellStyle name="Normal 10 2 2 2 4 3" xfId="5009" xr:uid="{00000000-0005-0000-0000-0000EF4A0000}"/>
    <cellStyle name="Normal 10 2 2 2 4 3 2" xfId="8571" xr:uid="{00000000-0005-0000-0000-0000F04A0000}"/>
    <cellStyle name="Normal 10 2 2 2 4 3 2 2" xfId="15361" xr:uid="{00000000-0005-0000-0000-0000F14A0000}"/>
    <cellStyle name="Normal 10 2 2 2 4 3 2 2 2" xfId="28929" xr:uid="{00000000-0005-0000-0000-0000F24A0000}"/>
    <cellStyle name="Normal 10 2 2 2 4 3 2 2 2 2" xfId="56062" xr:uid="{00000000-0005-0000-0000-0000F34A0000}"/>
    <cellStyle name="Normal 10 2 2 2 4 3 2 2 3" xfId="42500" xr:uid="{00000000-0005-0000-0000-0000F44A0000}"/>
    <cellStyle name="Normal 10 2 2 2 4 3 2 3" xfId="22148" xr:uid="{00000000-0005-0000-0000-0000F54A0000}"/>
    <cellStyle name="Normal 10 2 2 2 4 3 2 3 2" xfId="49281" xr:uid="{00000000-0005-0000-0000-0000F64A0000}"/>
    <cellStyle name="Normal 10 2 2 2 4 3 2 4" xfId="35719" xr:uid="{00000000-0005-0000-0000-0000F74A0000}"/>
    <cellStyle name="Normal 10 2 2 2 4 3 3" xfId="11972" xr:uid="{00000000-0005-0000-0000-0000F84A0000}"/>
    <cellStyle name="Normal 10 2 2 2 4 3 3 2" xfId="25540" xr:uid="{00000000-0005-0000-0000-0000F94A0000}"/>
    <cellStyle name="Normal 10 2 2 2 4 3 3 2 2" xfId="52673" xr:uid="{00000000-0005-0000-0000-0000FA4A0000}"/>
    <cellStyle name="Normal 10 2 2 2 4 3 3 3" xfId="39111" xr:uid="{00000000-0005-0000-0000-0000FB4A0000}"/>
    <cellStyle name="Normal 10 2 2 2 4 3 4" xfId="18759" xr:uid="{00000000-0005-0000-0000-0000FC4A0000}"/>
    <cellStyle name="Normal 10 2 2 2 4 3 4 2" xfId="45892" xr:uid="{00000000-0005-0000-0000-0000FD4A0000}"/>
    <cellStyle name="Normal 10 2 2 2 4 3 5" xfId="32330" xr:uid="{00000000-0005-0000-0000-0000FE4A0000}"/>
    <cellStyle name="Normal 10 2 2 2 4 4" xfId="5010" xr:uid="{00000000-0005-0000-0000-0000FF4A0000}"/>
    <cellStyle name="Normal 10 2 2 2 4 4 2" xfId="8572" xr:uid="{00000000-0005-0000-0000-0000004B0000}"/>
    <cellStyle name="Normal 10 2 2 2 4 4 2 2" xfId="15362" xr:uid="{00000000-0005-0000-0000-0000014B0000}"/>
    <cellStyle name="Normal 10 2 2 2 4 4 2 2 2" xfId="28930" xr:uid="{00000000-0005-0000-0000-0000024B0000}"/>
    <cellStyle name="Normal 10 2 2 2 4 4 2 2 2 2" xfId="56063" xr:uid="{00000000-0005-0000-0000-0000034B0000}"/>
    <cellStyle name="Normal 10 2 2 2 4 4 2 2 3" xfId="42501" xr:uid="{00000000-0005-0000-0000-0000044B0000}"/>
    <cellStyle name="Normal 10 2 2 2 4 4 2 3" xfId="22149" xr:uid="{00000000-0005-0000-0000-0000054B0000}"/>
    <cellStyle name="Normal 10 2 2 2 4 4 2 3 2" xfId="49282" xr:uid="{00000000-0005-0000-0000-0000064B0000}"/>
    <cellStyle name="Normal 10 2 2 2 4 4 2 4" xfId="35720" xr:uid="{00000000-0005-0000-0000-0000074B0000}"/>
    <cellStyle name="Normal 10 2 2 2 4 4 3" xfId="11973" xr:uid="{00000000-0005-0000-0000-0000084B0000}"/>
    <cellStyle name="Normal 10 2 2 2 4 4 3 2" xfId="25541" xr:uid="{00000000-0005-0000-0000-0000094B0000}"/>
    <cellStyle name="Normal 10 2 2 2 4 4 3 2 2" xfId="52674" xr:uid="{00000000-0005-0000-0000-00000A4B0000}"/>
    <cellStyle name="Normal 10 2 2 2 4 4 3 3" xfId="39112" xr:uid="{00000000-0005-0000-0000-00000B4B0000}"/>
    <cellStyle name="Normal 10 2 2 2 4 4 4" xfId="18760" xr:uid="{00000000-0005-0000-0000-00000C4B0000}"/>
    <cellStyle name="Normal 10 2 2 2 4 4 4 2" xfId="45893" xr:uid="{00000000-0005-0000-0000-00000D4B0000}"/>
    <cellStyle name="Normal 10 2 2 2 4 4 5" xfId="32331" xr:uid="{00000000-0005-0000-0000-00000E4B0000}"/>
    <cellStyle name="Normal 10 2 2 2 4 5" xfId="8567" xr:uid="{00000000-0005-0000-0000-00000F4B0000}"/>
    <cellStyle name="Normal 10 2 2 2 4 5 2" xfId="15357" xr:uid="{00000000-0005-0000-0000-0000104B0000}"/>
    <cellStyle name="Normal 10 2 2 2 4 5 2 2" xfId="28925" xr:uid="{00000000-0005-0000-0000-0000114B0000}"/>
    <cellStyle name="Normal 10 2 2 2 4 5 2 2 2" xfId="56058" xr:uid="{00000000-0005-0000-0000-0000124B0000}"/>
    <cellStyle name="Normal 10 2 2 2 4 5 2 3" xfId="42496" xr:uid="{00000000-0005-0000-0000-0000134B0000}"/>
    <cellStyle name="Normal 10 2 2 2 4 5 3" xfId="22144" xr:uid="{00000000-0005-0000-0000-0000144B0000}"/>
    <cellStyle name="Normal 10 2 2 2 4 5 3 2" xfId="49277" xr:uid="{00000000-0005-0000-0000-0000154B0000}"/>
    <cellStyle name="Normal 10 2 2 2 4 5 4" xfId="35715" xr:uid="{00000000-0005-0000-0000-0000164B0000}"/>
    <cellStyle name="Normal 10 2 2 2 4 6" xfId="11968" xr:uid="{00000000-0005-0000-0000-0000174B0000}"/>
    <cellStyle name="Normal 10 2 2 2 4 6 2" xfId="25536" xr:uid="{00000000-0005-0000-0000-0000184B0000}"/>
    <cellStyle name="Normal 10 2 2 2 4 6 2 2" xfId="52669" xr:uid="{00000000-0005-0000-0000-0000194B0000}"/>
    <cellStyle name="Normal 10 2 2 2 4 6 3" xfId="39107" xr:uid="{00000000-0005-0000-0000-00001A4B0000}"/>
    <cellStyle name="Normal 10 2 2 2 4 7" xfId="18755" xr:uid="{00000000-0005-0000-0000-00001B4B0000}"/>
    <cellStyle name="Normal 10 2 2 2 4 7 2" xfId="45888" xr:uid="{00000000-0005-0000-0000-00001C4B0000}"/>
    <cellStyle name="Normal 10 2 2 2 4 8" xfId="32326" xr:uid="{00000000-0005-0000-0000-00001D4B0000}"/>
    <cellStyle name="Normal 10 2 2 2 5" xfId="5011" xr:uid="{00000000-0005-0000-0000-00001E4B0000}"/>
    <cellStyle name="Normal 10 2 2 2 5 2" xfId="5012" xr:uid="{00000000-0005-0000-0000-00001F4B0000}"/>
    <cellStyle name="Normal 10 2 2 2 5 2 2" xfId="8574" xr:uid="{00000000-0005-0000-0000-0000204B0000}"/>
    <cellStyle name="Normal 10 2 2 2 5 2 2 2" xfId="15364" xr:uid="{00000000-0005-0000-0000-0000214B0000}"/>
    <cellStyle name="Normal 10 2 2 2 5 2 2 2 2" xfId="28932" xr:uid="{00000000-0005-0000-0000-0000224B0000}"/>
    <cellStyle name="Normal 10 2 2 2 5 2 2 2 2 2" xfId="56065" xr:uid="{00000000-0005-0000-0000-0000234B0000}"/>
    <cellStyle name="Normal 10 2 2 2 5 2 2 2 3" xfId="42503" xr:uid="{00000000-0005-0000-0000-0000244B0000}"/>
    <cellStyle name="Normal 10 2 2 2 5 2 2 3" xfId="22151" xr:uid="{00000000-0005-0000-0000-0000254B0000}"/>
    <cellStyle name="Normal 10 2 2 2 5 2 2 3 2" xfId="49284" xr:uid="{00000000-0005-0000-0000-0000264B0000}"/>
    <cellStyle name="Normal 10 2 2 2 5 2 2 4" xfId="35722" xr:uid="{00000000-0005-0000-0000-0000274B0000}"/>
    <cellStyle name="Normal 10 2 2 2 5 2 3" xfId="11975" xr:uid="{00000000-0005-0000-0000-0000284B0000}"/>
    <cellStyle name="Normal 10 2 2 2 5 2 3 2" xfId="25543" xr:uid="{00000000-0005-0000-0000-0000294B0000}"/>
    <cellStyle name="Normal 10 2 2 2 5 2 3 2 2" xfId="52676" xr:uid="{00000000-0005-0000-0000-00002A4B0000}"/>
    <cellStyle name="Normal 10 2 2 2 5 2 3 3" xfId="39114" xr:uid="{00000000-0005-0000-0000-00002B4B0000}"/>
    <cellStyle name="Normal 10 2 2 2 5 2 4" xfId="18762" xr:uid="{00000000-0005-0000-0000-00002C4B0000}"/>
    <cellStyle name="Normal 10 2 2 2 5 2 4 2" xfId="45895" xr:uid="{00000000-0005-0000-0000-00002D4B0000}"/>
    <cellStyle name="Normal 10 2 2 2 5 2 5" xfId="32333" xr:uid="{00000000-0005-0000-0000-00002E4B0000}"/>
    <cellStyle name="Normal 10 2 2 2 5 3" xfId="5013" xr:uid="{00000000-0005-0000-0000-00002F4B0000}"/>
    <cellStyle name="Normal 10 2 2 2 5 3 2" xfId="8575" xr:uid="{00000000-0005-0000-0000-0000304B0000}"/>
    <cellStyle name="Normal 10 2 2 2 5 3 2 2" xfId="15365" xr:uid="{00000000-0005-0000-0000-0000314B0000}"/>
    <cellStyle name="Normal 10 2 2 2 5 3 2 2 2" xfId="28933" xr:uid="{00000000-0005-0000-0000-0000324B0000}"/>
    <cellStyle name="Normal 10 2 2 2 5 3 2 2 2 2" xfId="56066" xr:uid="{00000000-0005-0000-0000-0000334B0000}"/>
    <cellStyle name="Normal 10 2 2 2 5 3 2 2 3" xfId="42504" xr:uid="{00000000-0005-0000-0000-0000344B0000}"/>
    <cellStyle name="Normal 10 2 2 2 5 3 2 3" xfId="22152" xr:uid="{00000000-0005-0000-0000-0000354B0000}"/>
    <cellStyle name="Normal 10 2 2 2 5 3 2 3 2" xfId="49285" xr:uid="{00000000-0005-0000-0000-0000364B0000}"/>
    <cellStyle name="Normal 10 2 2 2 5 3 2 4" xfId="35723" xr:uid="{00000000-0005-0000-0000-0000374B0000}"/>
    <cellStyle name="Normal 10 2 2 2 5 3 3" xfId="11976" xr:uid="{00000000-0005-0000-0000-0000384B0000}"/>
    <cellStyle name="Normal 10 2 2 2 5 3 3 2" xfId="25544" xr:uid="{00000000-0005-0000-0000-0000394B0000}"/>
    <cellStyle name="Normal 10 2 2 2 5 3 3 2 2" xfId="52677" xr:uid="{00000000-0005-0000-0000-00003A4B0000}"/>
    <cellStyle name="Normal 10 2 2 2 5 3 3 3" xfId="39115" xr:uid="{00000000-0005-0000-0000-00003B4B0000}"/>
    <cellStyle name="Normal 10 2 2 2 5 3 4" xfId="18763" xr:uid="{00000000-0005-0000-0000-00003C4B0000}"/>
    <cellStyle name="Normal 10 2 2 2 5 3 4 2" xfId="45896" xr:uid="{00000000-0005-0000-0000-00003D4B0000}"/>
    <cellStyle name="Normal 10 2 2 2 5 3 5" xfId="32334" xr:uid="{00000000-0005-0000-0000-00003E4B0000}"/>
    <cellStyle name="Normal 10 2 2 2 5 4" xfId="8573" xr:uid="{00000000-0005-0000-0000-00003F4B0000}"/>
    <cellStyle name="Normal 10 2 2 2 5 4 2" xfId="15363" xr:uid="{00000000-0005-0000-0000-0000404B0000}"/>
    <cellStyle name="Normal 10 2 2 2 5 4 2 2" xfId="28931" xr:uid="{00000000-0005-0000-0000-0000414B0000}"/>
    <cellStyle name="Normal 10 2 2 2 5 4 2 2 2" xfId="56064" xr:uid="{00000000-0005-0000-0000-0000424B0000}"/>
    <cellStyle name="Normal 10 2 2 2 5 4 2 3" xfId="42502" xr:uid="{00000000-0005-0000-0000-0000434B0000}"/>
    <cellStyle name="Normal 10 2 2 2 5 4 3" xfId="22150" xr:uid="{00000000-0005-0000-0000-0000444B0000}"/>
    <cellStyle name="Normal 10 2 2 2 5 4 3 2" xfId="49283" xr:uid="{00000000-0005-0000-0000-0000454B0000}"/>
    <cellStyle name="Normal 10 2 2 2 5 4 4" xfId="35721" xr:uid="{00000000-0005-0000-0000-0000464B0000}"/>
    <cellStyle name="Normal 10 2 2 2 5 5" xfId="11974" xr:uid="{00000000-0005-0000-0000-0000474B0000}"/>
    <cellStyle name="Normal 10 2 2 2 5 5 2" xfId="25542" xr:uid="{00000000-0005-0000-0000-0000484B0000}"/>
    <cellStyle name="Normal 10 2 2 2 5 5 2 2" xfId="52675" xr:uid="{00000000-0005-0000-0000-0000494B0000}"/>
    <cellStyle name="Normal 10 2 2 2 5 5 3" xfId="39113" xr:uid="{00000000-0005-0000-0000-00004A4B0000}"/>
    <cellStyle name="Normal 10 2 2 2 5 6" xfId="18761" xr:uid="{00000000-0005-0000-0000-00004B4B0000}"/>
    <cellStyle name="Normal 10 2 2 2 5 6 2" xfId="45894" xr:uid="{00000000-0005-0000-0000-00004C4B0000}"/>
    <cellStyle name="Normal 10 2 2 2 5 7" xfId="32332" xr:uid="{00000000-0005-0000-0000-00004D4B0000}"/>
    <cellStyle name="Normal 10 2 2 2 6" xfId="5014" xr:uid="{00000000-0005-0000-0000-00004E4B0000}"/>
    <cellStyle name="Normal 10 2 2 2 6 2" xfId="5015" xr:uid="{00000000-0005-0000-0000-00004F4B0000}"/>
    <cellStyle name="Normal 10 2 2 2 6 2 2" xfId="8577" xr:uid="{00000000-0005-0000-0000-0000504B0000}"/>
    <cellStyle name="Normal 10 2 2 2 6 2 2 2" xfId="15367" xr:uid="{00000000-0005-0000-0000-0000514B0000}"/>
    <cellStyle name="Normal 10 2 2 2 6 2 2 2 2" xfId="28935" xr:uid="{00000000-0005-0000-0000-0000524B0000}"/>
    <cellStyle name="Normal 10 2 2 2 6 2 2 2 2 2" xfId="56068" xr:uid="{00000000-0005-0000-0000-0000534B0000}"/>
    <cellStyle name="Normal 10 2 2 2 6 2 2 2 3" xfId="42506" xr:uid="{00000000-0005-0000-0000-0000544B0000}"/>
    <cellStyle name="Normal 10 2 2 2 6 2 2 3" xfId="22154" xr:uid="{00000000-0005-0000-0000-0000554B0000}"/>
    <cellStyle name="Normal 10 2 2 2 6 2 2 3 2" xfId="49287" xr:uid="{00000000-0005-0000-0000-0000564B0000}"/>
    <cellStyle name="Normal 10 2 2 2 6 2 2 4" xfId="35725" xr:uid="{00000000-0005-0000-0000-0000574B0000}"/>
    <cellStyle name="Normal 10 2 2 2 6 2 3" xfId="11978" xr:uid="{00000000-0005-0000-0000-0000584B0000}"/>
    <cellStyle name="Normal 10 2 2 2 6 2 3 2" xfId="25546" xr:uid="{00000000-0005-0000-0000-0000594B0000}"/>
    <cellStyle name="Normal 10 2 2 2 6 2 3 2 2" xfId="52679" xr:uid="{00000000-0005-0000-0000-00005A4B0000}"/>
    <cellStyle name="Normal 10 2 2 2 6 2 3 3" xfId="39117" xr:uid="{00000000-0005-0000-0000-00005B4B0000}"/>
    <cellStyle name="Normal 10 2 2 2 6 2 4" xfId="18765" xr:uid="{00000000-0005-0000-0000-00005C4B0000}"/>
    <cellStyle name="Normal 10 2 2 2 6 2 4 2" xfId="45898" xr:uid="{00000000-0005-0000-0000-00005D4B0000}"/>
    <cellStyle name="Normal 10 2 2 2 6 2 5" xfId="32336" xr:uid="{00000000-0005-0000-0000-00005E4B0000}"/>
    <cellStyle name="Normal 10 2 2 2 6 3" xfId="5016" xr:uid="{00000000-0005-0000-0000-00005F4B0000}"/>
    <cellStyle name="Normal 10 2 2 2 6 3 2" xfId="8578" xr:uid="{00000000-0005-0000-0000-0000604B0000}"/>
    <cellStyle name="Normal 10 2 2 2 6 3 2 2" xfId="15368" xr:uid="{00000000-0005-0000-0000-0000614B0000}"/>
    <cellStyle name="Normal 10 2 2 2 6 3 2 2 2" xfId="28936" xr:uid="{00000000-0005-0000-0000-0000624B0000}"/>
    <cellStyle name="Normal 10 2 2 2 6 3 2 2 2 2" xfId="56069" xr:uid="{00000000-0005-0000-0000-0000634B0000}"/>
    <cellStyle name="Normal 10 2 2 2 6 3 2 2 3" xfId="42507" xr:uid="{00000000-0005-0000-0000-0000644B0000}"/>
    <cellStyle name="Normal 10 2 2 2 6 3 2 3" xfId="22155" xr:uid="{00000000-0005-0000-0000-0000654B0000}"/>
    <cellStyle name="Normal 10 2 2 2 6 3 2 3 2" xfId="49288" xr:uid="{00000000-0005-0000-0000-0000664B0000}"/>
    <cellStyle name="Normal 10 2 2 2 6 3 2 4" xfId="35726" xr:uid="{00000000-0005-0000-0000-0000674B0000}"/>
    <cellStyle name="Normal 10 2 2 2 6 3 3" xfId="11979" xr:uid="{00000000-0005-0000-0000-0000684B0000}"/>
    <cellStyle name="Normal 10 2 2 2 6 3 3 2" xfId="25547" xr:uid="{00000000-0005-0000-0000-0000694B0000}"/>
    <cellStyle name="Normal 10 2 2 2 6 3 3 2 2" xfId="52680" xr:uid="{00000000-0005-0000-0000-00006A4B0000}"/>
    <cellStyle name="Normal 10 2 2 2 6 3 3 3" xfId="39118" xr:uid="{00000000-0005-0000-0000-00006B4B0000}"/>
    <cellStyle name="Normal 10 2 2 2 6 3 4" xfId="18766" xr:uid="{00000000-0005-0000-0000-00006C4B0000}"/>
    <cellStyle name="Normal 10 2 2 2 6 3 4 2" xfId="45899" xr:uid="{00000000-0005-0000-0000-00006D4B0000}"/>
    <cellStyle name="Normal 10 2 2 2 6 3 5" xfId="32337" xr:uid="{00000000-0005-0000-0000-00006E4B0000}"/>
    <cellStyle name="Normal 10 2 2 2 6 4" xfId="8576" xr:uid="{00000000-0005-0000-0000-00006F4B0000}"/>
    <cellStyle name="Normal 10 2 2 2 6 4 2" xfId="15366" xr:uid="{00000000-0005-0000-0000-0000704B0000}"/>
    <cellStyle name="Normal 10 2 2 2 6 4 2 2" xfId="28934" xr:uid="{00000000-0005-0000-0000-0000714B0000}"/>
    <cellStyle name="Normal 10 2 2 2 6 4 2 2 2" xfId="56067" xr:uid="{00000000-0005-0000-0000-0000724B0000}"/>
    <cellStyle name="Normal 10 2 2 2 6 4 2 3" xfId="42505" xr:uid="{00000000-0005-0000-0000-0000734B0000}"/>
    <cellStyle name="Normal 10 2 2 2 6 4 3" xfId="22153" xr:uid="{00000000-0005-0000-0000-0000744B0000}"/>
    <cellStyle name="Normal 10 2 2 2 6 4 3 2" xfId="49286" xr:uid="{00000000-0005-0000-0000-0000754B0000}"/>
    <cellStyle name="Normal 10 2 2 2 6 4 4" xfId="35724" xr:uid="{00000000-0005-0000-0000-0000764B0000}"/>
    <cellStyle name="Normal 10 2 2 2 6 5" xfId="11977" xr:uid="{00000000-0005-0000-0000-0000774B0000}"/>
    <cellStyle name="Normal 10 2 2 2 6 5 2" xfId="25545" xr:uid="{00000000-0005-0000-0000-0000784B0000}"/>
    <cellStyle name="Normal 10 2 2 2 6 5 2 2" xfId="52678" xr:uid="{00000000-0005-0000-0000-0000794B0000}"/>
    <cellStyle name="Normal 10 2 2 2 6 5 3" xfId="39116" xr:uid="{00000000-0005-0000-0000-00007A4B0000}"/>
    <cellStyle name="Normal 10 2 2 2 6 6" xfId="18764" xr:uid="{00000000-0005-0000-0000-00007B4B0000}"/>
    <cellStyle name="Normal 10 2 2 2 6 6 2" xfId="45897" xr:uid="{00000000-0005-0000-0000-00007C4B0000}"/>
    <cellStyle name="Normal 10 2 2 2 6 7" xfId="32335" xr:uid="{00000000-0005-0000-0000-00007D4B0000}"/>
    <cellStyle name="Normal 10 2 2 2 7" xfId="5017" xr:uid="{00000000-0005-0000-0000-00007E4B0000}"/>
    <cellStyle name="Normal 10 2 2 2 7 2" xfId="8579" xr:uid="{00000000-0005-0000-0000-00007F4B0000}"/>
    <cellStyle name="Normal 10 2 2 2 7 2 2" xfId="15369" xr:uid="{00000000-0005-0000-0000-0000804B0000}"/>
    <cellStyle name="Normal 10 2 2 2 7 2 2 2" xfId="28937" xr:uid="{00000000-0005-0000-0000-0000814B0000}"/>
    <cellStyle name="Normal 10 2 2 2 7 2 2 2 2" xfId="56070" xr:uid="{00000000-0005-0000-0000-0000824B0000}"/>
    <cellStyle name="Normal 10 2 2 2 7 2 2 3" xfId="42508" xr:uid="{00000000-0005-0000-0000-0000834B0000}"/>
    <cellStyle name="Normal 10 2 2 2 7 2 3" xfId="22156" xr:uid="{00000000-0005-0000-0000-0000844B0000}"/>
    <cellStyle name="Normal 10 2 2 2 7 2 3 2" xfId="49289" xr:uid="{00000000-0005-0000-0000-0000854B0000}"/>
    <cellStyle name="Normal 10 2 2 2 7 2 4" xfId="35727" xr:uid="{00000000-0005-0000-0000-0000864B0000}"/>
    <cellStyle name="Normal 10 2 2 2 7 3" xfId="11980" xr:uid="{00000000-0005-0000-0000-0000874B0000}"/>
    <cellStyle name="Normal 10 2 2 2 7 3 2" xfId="25548" xr:uid="{00000000-0005-0000-0000-0000884B0000}"/>
    <cellStyle name="Normal 10 2 2 2 7 3 2 2" xfId="52681" xr:uid="{00000000-0005-0000-0000-0000894B0000}"/>
    <cellStyle name="Normal 10 2 2 2 7 3 3" xfId="39119" xr:uid="{00000000-0005-0000-0000-00008A4B0000}"/>
    <cellStyle name="Normal 10 2 2 2 7 4" xfId="18767" xr:uid="{00000000-0005-0000-0000-00008B4B0000}"/>
    <cellStyle name="Normal 10 2 2 2 7 4 2" xfId="45900" xr:uid="{00000000-0005-0000-0000-00008C4B0000}"/>
    <cellStyle name="Normal 10 2 2 2 7 5" xfId="32338" xr:uid="{00000000-0005-0000-0000-00008D4B0000}"/>
    <cellStyle name="Normal 10 2 2 2 8" xfId="5018" xr:uid="{00000000-0005-0000-0000-00008E4B0000}"/>
    <cellStyle name="Normal 10 2 2 2 8 2" xfId="8580" xr:uid="{00000000-0005-0000-0000-00008F4B0000}"/>
    <cellStyle name="Normal 10 2 2 2 8 2 2" xfId="15370" xr:uid="{00000000-0005-0000-0000-0000904B0000}"/>
    <cellStyle name="Normal 10 2 2 2 8 2 2 2" xfId="28938" xr:uid="{00000000-0005-0000-0000-0000914B0000}"/>
    <cellStyle name="Normal 10 2 2 2 8 2 2 2 2" xfId="56071" xr:uid="{00000000-0005-0000-0000-0000924B0000}"/>
    <cellStyle name="Normal 10 2 2 2 8 2 2 3" xfId="42509" xr:uid="{00000000-0005-0000-0000-0000934B0000}"/>
    <cellStyle name="Normal 10 2 2 2 8 2 3" xfId="22157" xr:uid="{00000000-0005-0000-0000-0000944B0000}"/>
    <cellStyle name="Normal 10 2 2 2 8 2 3 2" xfId="49290" xr:uid="{00000000-0005-0000-0000-0000954B0000}"/>
    <cellStyle name="Normal 10 2 2 2 8 2 4" xfId="35728" xr:uid="{00000000-0005-0000-0000-0000964B0000}"/>
    <cellStyle name="Normal 10 2 2 2 8 3" xfId="11981" xr:uid="{00000000-0005-0000-0000-0000974B0000}"/>
    <cellStyle name="Normal 10 2 2 2 8 3 2" xfId="25549" xr:uid="{00000000-0005-0000-0000-0000984B0000}"/>
    <cellStyle name="Normal 10 2 2 2 8 3 2 2" xfId="52682" xr:uid="{00000000-0005-0000-0000-0000994B0000}"/>
    <cellStyle name="Normal 10 2 2 2 8 3 3" xfId="39120" xr:uid="{00000000-0005-0000-0000-00009A4B0000}"/>
    <cellStyle name="Normal 10 2 2 2 8 4" xfId="18768" xr:uid="{00000000-0005-0000-0000-00009B4B0000}"/>
    <cellStyle name="Normal 10 2 2 2 8 4 2" xfId="45901" xr:uid="{00000000-0005-0000-0000-00009C4B0000}"/>
    <cellStyle name="Normal 10 2 2 2 8 5" xfId="32339" xr:uid="{00000000-0005-0000-0000-00009D4B0000}"/>
    <cellStyle name="Normal 10 2 2 2 9" xfId="8542" xr:uid="{00000000-0005-0000-0000-00009E4B0000}"/>
    <cellStyle name="Normal 10 2 2 2 9 2" xfId="15332" xr:uid="{00000000-0005-0000-0000-00009F4B0000}"/>
    <cellStyle name="Normal 10 2 2 2 9 2 2" xfId="28900" xr:uid="{00000000-0005-0000-0000-0000A04B0000}"/>
    <cellStyle name="Normal 10 2 2 2 9 2 2 2" xfId="56033" xr:uid="{00000000-0005-0000-0000-0000A14B0000}"/>
    <cellStyle name="Normal 10 2 2 2 9 2 3" xfId="42471" xr:uid="{00000000-0005-0000-0000-0000A24B0000}"/>
    <cellStyle name="Normal 10 2 2 2 9 3" xfId="22119" xr:uid="{00000000-0005-0000-0000-0000A34B0000}"/>
    <cellStyle name="Normal 10 2 2 2 9 3 2" xfId="49252" xr:uid="{00000000-0005-0000-0000-0000A44B0000}"/>
    <cellStyle name="Normal 10 2 2 2 9 4" xfId="35690" xr:uid="{00000000-0005-0000-0000-0000A54B0000}"/>
    <cellStyle name="Normal 10 2 2 3" xfId="5019" xr:uid="{00000000-0005-0000-0000-0000A64B0000}"/>
    <cellStyle name="Normal 10 2 2 3 10" xfId="32340" xr:uid="{00000000-0005-0000-0000-0000A74B0000}"/>
    <cellStyle name="Normal 10 2 2 3 2" xfId="5020" xr:uid="{00000000-0005-0000-0000-0000A84B0000}"/>
    <cellStyle name="Normal 10 2 2 3 2 2" xfId="5021" xr:uid="{00000000-0005-0000-0000-0000A94B0000}"/>
    <cellStyle name="Normal 10 2 2 3 2 2 2" xfId="5022" xr:uid="{00000000-0005-0000-0000-0000AA4B0000}"/>
    <cellStyle name="Normal 10 2 2 3 2 2 2 2" xfId="8584" xr:uid="{00000000-0005-0000-0000-0000AB4B0000}"/>
    <cellStyle name="Normal 10 2 2 3 2 2 2 2 2" xfId="15374" xr:uid="{00000000-0005-0000-0000-0000AC4B0000}"/>
    <cellStyle name="Normal 10 2 2 3 2 2 2 2 2 2" xfId="28942" xr:uid="{00000000-0005-0000-0000-0000AD4B0000}"/>
    <cellStyle name="Normal 10 2 2 3 2 2 2 2 2 2 2" xfId="56075" xr:uid="{00000000-0005-0000-0000-0000AE4B0000}"/>
    <cellStyle name="Normal 10 2 2 3 2 2 2 2 2 3" xfId="42513" xr:uid="{00000000-0005-0000-0000-0000AF4B0000}"/>
    <cellStyle name="Normal 10 2 2 3 2 2 2 2 3" xfId="22161" xr:uid="{00000000-0005-0000-0000-0000B04B0000}"/>
    <cellStyle name="Normal 10 2 2 3 2 2 2 2 3 2" xfId="49294" xr:uid="{00000000-0005-0000-0000-0000B14B0000}"/>
    <cellStyle name="Normal 10 2 2 3 2 2 2 2 4" xfId="35732" xr:uid="{00000000-0005-0000-0000-0000B24B0000}"/>
    <cellStyle name="Normal 10 2 2 3 2 2 2 3" xfId="11985" xr:uid="{00000000-0005-0000-0000-0000B34B0000}"/>
    <cellStyle name="Normal 10 2 2 3 2 2 2 3 2" xfId="25553" xr:uid="{00000000-0005-0000-0000-0000B44B0000}"/>
    <cellStyle name="Normal 10 2 2 3 2 2 2 3 2 2" xfId="52686" xr:uid="{00000000-0005-0000-0000-0000B54B0000}"/>
    <cellStyle name="Normal 10 2 2 3 2 2 2 3 3" xfId="39124" xr:uid="{00000000-0005-0000-0000-0000B64B0000}"/>
    <cellStyle name="Normal 10 2 2 3 2 2 2 4" xfId="18772" xr:uid="{00000000-0005-0000-0000-0000B74B0000}"/>
    <cellStyle name="Normal 10 2 2 3 2 2 2 4 2" xfId="45905" xr:uid="{00000000-0005-0000-0000-0000B84B0000}"/>
    <cellStyle name="Normal 10 2 2 3 2 2 2 5" xfId="32343" xr:uid="{00000000-0005-0000-0000-0000B94B0000}"/>
    <cellStyle name="Normal 10 2 2 3 2 2 3" xfId="5023" xr:uid="{00000000-0005-0000-0000-0000BA4B0000}"/>
    <cellStyle name="Normal 10 2 2 3 2 2 3 2" xfId="8585" xr:uid="{00000000-0005-0000-0000-0000BB4B0000}"/>
    <cellStyle name="Normal 10 2 2 3 2 2 3 2 2" xfId="15375" xr:uid="{00000000-0005-0000-0000-0000BC4B0000}"/>
    <cellStyle name="Normal 10 2 2 3 2 2 3 2 2 2" xfId="28943" xr:uid="{00000000-0005-0000-0000-0000BD4B0000}"/>
    <cellStyle name="Normal 10 2 2 3 2 2 3 2 2 2 2" xfId="56076" xr:uid="{00000000-0005-0000-0000-0000BE4B0000}"/>
    <cellStyle name="Normal 10 2 2 3 2 2 3 2 2 3" xfId="42514" xr:uid="{00000000-0005-0000-0000-0000BF4B0000}"/>
    <cellStyle name="Normal 10 2 2 3 2 2 3 2 3" xfId="22162" xr:uid="{00000000-0005-0000-0000-0000C04B0000}"/>
    <cellStyle name="Normal 10 2 2 3 2 2 3 2 3 2" xfId="49295" xr:uid="{00000000-0005-0000-0000-0000C14B0000}"/>
    <cellStyle name="Normal 10 2 2 3 2 2 3 2 4" xfId="35733" xr:uid="{00000000-0005-0000-0000-0000C24B0000}"/>
    <cellStyle name="Normal 10 2 2 3 2 2 3 3" xfId="11986" xr:uid="{00000000-0005-0000-0000-0000C34B0000}"/>
    <cellStyle name="Normal 10 2 2 3 2 2 3 3 2" xfId="25554" xr:uid="{00000000-0005-0000-0000-0000C44B0000}"/>
    <cellStyle name="Normal 10 2 2 3 2 2 3 3 2 2" xfId="52687" xr:uid="{00000000-0005-0000-0000-0000C54B0000}"/>
    <cellStyle name="Normal 10 2 2 3 2 2 3 3 3" xfId="39125" xr:uid="{00000000-0005-0000-0000-0000C64B0000}"/>
    <cellStyle name="Normal 10 2 2 3 2 2 3 4" xfId="18773" xr:uid="{00000000-0005-0000-0000-0000C74B0000}"/>
    <cellStyle name="Normal 10 2 2 3 2 2 3 4 2" xfId="45906" xr:uid="{00000000-0005-0000-0000-0000C84B0000}"/>
    <cellStyle name="Normal 10 2 2 3 2 2 3 5" xfId="32344" xr:uid="{00000000-0005-0000-0000-0000C94B0000}"/>
    <cellStyle name="Normal 10 2 2 3 2 2 4" xfId="8583" xr:uid="{00000000-0005-0000-0000-0000CA4B0000}"/>
    <cellStyle name="Normal 10 2 2 3 2 2 4 2" xfId="15373" xr:uid="{00000000-0005-0000-0000-0000CB4B0000}"/>
    <cellStyle name="Normal 10 2 2 3 2 2 4 2 2" xfId="28941" xr:uid="{00000000-0005-0000-0000-0000CC4B0000}"/>
    <cellStyle name="Normal 10 2 2 3 2 2 4 2 2 2" xfId="56074" xr:uid="{00000000-0005-0000-0000-0000CD4B0000}"/>
    <cellStyle name="Normal 10 2 2 3 2 2 4 2 3" xfId="42512" xr:uid="{00000000-0005-0000-0000-0000CE4B0000}"/>
    <cellStyle name="Normal 10 2 2 3 2 2 4 3" xfId="22160" xr:uid="{00000000-0005-0000-0000-0000CF4B0000}"/>
    <cellStyle name="Normal 10 2 2 3 2 2 4 3 2" xfId="49293" xr:uid="{00000000-0005-0000-0000-0000D04B0000}"/>
    <cellStyle name="Normal 10 2 2 3 2 2 4 4" xfId="35731" xr:uid="{00000000-0005-0000-0000-0000D14B0000}"/>
    <cellStyle name="Normal 10 2 2 3 2 2 5" xfId="11984" xr:uid="{00000000-0005-0000-0000-0000D24B0000}"/>
    <cellStyle name="Normal 10 2 2 3 2 2 5 2" xfId="25552" xr:uid="{00000000-0005-0000-0000-0000D34B0000}"/>
    <cellStyle name="Normal 10 2 2 3 2 2 5 2 2" xfId="52685" xr:uid="{00000000-0005-0000-0000-0000D44B0000}"/>
    <cellStyle name="Normal 10 2 2 3 2 2 5 3" xfId="39123" xr:uid="{00000000-0005-0000-0000-0000D54B0000}"/>
    <cellStyle name="Normal 10 2 2 3 2 2 6" xfId="18771" xr:uid="{00000000-0005-0000-0000-0000D64B0000}"/>
    <cellStyle name="Normal 10 2 2 3 2 2 6 2" xfId="45904" xr:uid="{00000000-0005-0000-0000-0000D74B0000}"/>
    <cellStyle name="Normal 10 2 2 3 2 2 7" xfId="32342" xr:uid="{00000000-0005-0000-0000-0000D84B0000}"/>
    <cellStyle name="Normal 10 2 2 3 2 3" xfId="5024" xr:uid="{00000000-0005-0000-0000-0000D94B0000}"/>
    <cellStyle name="Normal 10 2 2 3 2 3 2" xfId="5025" xr:uid="{00000000-0005-0000-0000-0000DA4B0000}"/>
    <cellStyle name="Normal 10 2 2 3 2 3 2 2" xfId="8587" xr:uid="{00000000-0005-0000-0000-0000DB4B0000}"/>
    <cellStyle name="Normal 10 2 2 3 2 3 2 2 2" xfId="15377" xr:uid="{00000000-0005-0000-0000-0000DC4B0000}"/>
    <cellStyle name="Normal 10 2 2 3 2 3 2 2 2 2" xfId="28945" xr:uid="{00000000-0005-0000-0000-0000DD4B0000}"/>
    <cellStyle name="Normal 10 2 2 3 2 3 2 2 2 2 2" xfId="56078" xr:uid="{00000000-0005-0000-0000-0000DE4B0000}"/>
    <cellStyle name="Normal 10 2 2 3 2 3 2 2 2 3" xfId="42516" xr:uid="{00000000-0005-0000-0000-0000DF4B0000}"/>
    <cellStyle name="Normal 10 2 2 3 2 3 2 2 3" xfId="22164" xr:uid="{00000000-0005-0000-0000-0000E04B0000}"/>
    <cellStyle name="Normal 10 2 2 3 2 3 2 2 3 2" xfId="49297" xr:uid="{00000000-0005-0000-0000-0000E14B0000}"/>
    <cellStyle name="Normal 10 2 2 3 2 3 2 2 4" xfId="35735" xr:uid="{00000000-0005-0000-0000-0000E24B0000}"/>
    <cellStyle name="Normal 10 2 2 3 2 3 2 3" xfId="11988" xr:uid="{00000000-0005-0000-0000-0000E34B0000}"/>
    <cellStyle name="Normal 10 2 2 3 2 3 2 3 2" xfId="25556" xr:uid="{00000000-0005-0000-0000-0000E44B0000}"/>
    <cellStyle name="Normal 10 2 2 3 2 3 2 3 2 2" xfId="52689" xr:uid="{00000000-0005-0000-0000-0000E54B0000}"/>
    <cellStyle name="Normal 10 2 2 3 2 3 2 3 3" xfId="39127" xr:uid="{00000000-0005-0000-0000-0000E64B0000}"/>
    <cellStyle name="Normal 10 2 2 3 2 3 2 4" xfId="18775" xr:uid="{00000000-0005-0000-0000-0000E74B0000}"/>
    <cellStyle name="Normal 10 2 2 3 2 3 2 4 2" xfId="45908" xr:uid="{00000000-0005-0000-0000-0000E84B0000}"/>
    <cellStyle name="Normal 10 2 2 3 2 3 2 5" xfId="32346" xr:uid="{00000000-0005-0000-0000-0000E94B0000}"/>
    <cellStyle name="Normal 10 2 2 3 2 3 3" xfId="8586" xr:uid="{00000000-0005-0000-0000-0000EA4B0000}"/>
    <cellStyle name="Normal 10 2 2 3 2 3 3 2" xfId="15376" xr:uid="{00000000-0005-0000-0000-0000EB4B0000}"/>
    <cellStyle name="Normal 10 2 2 3 2 3 3 2 2" xfId="28944" xr:uid="{00000000-0005-0000-0000-0000EC4B0000}"/>
    <cellStyle name="Normal 10 2 2 3 2 3 3 2 2 2" xfId="56077" xr:uid="{00000000-0005-0000-0000-0000ED4B0000}"/>
    <cellStyle name="Normal 10 2 2 3 2 3 3 2 3" xfId="42515" xr:uid="{00000000-0005-0000-0000-0000EE4B0000}"/>
    <cellStyle name="Normal 10 2 2 3 2 3 3 3" xfId="22163" xr:uid="{00000000-0005-0000-0000-0000EF4B0000}"/>
    <cellStyle name="Normal 10 2 2 3 2 3 3 3 2" xfId="49296" xr:uid="{00000000-0005-0000-0000-0000F04B0000}"/>
    <cellStyle name="Normal 10 2 2 3 2 3 3 4" xfId="35734" xr:uid="{00000000-0005-0000-0000-0000F14B0000}"/>
    <cellStyle name="Normal 10 2 2 3 2 3 4" xfId="11987" xr:uid="{00000000-0005-0000-0000-0000F24B0000}"/>
    <cellStyle name="Normal 10 2 2 3 2 3 4 2" xfId="25555" xr:uid="{00000000-0005-0000-0000-0000F34B0000}"/>
    <cellStyle name="Normal 10 2 2 3 2 3 4 2 2" xfId="52688" xr:uid="{00000000-0005-0000-0000-0000F44B0000}"/>
    <cellStyle name="Normal 10 2 2 3 2 3 4 3" xfId="39126" xr:uid="{00000000-0005-0000-0000-0000F54B0000}"/>
    <cellStyle name="Normal 10 2 2 3 2 3 5" xfId="18774" xr:uid="{00000000-0005-0000-0000-0000F64B0000}"/>
    <cellStyle name="Normal 10 2 2 3 2 3 5 2" xfId="45907" xr:uid="{00000000-0005-0000-0000-0000F74B0000}"/>
    <cellStyle name="Normal 10 2 2 3 2 3 6" xfId="32345" xr:uid="{00000000-0005-0000-0000-0000F84B0000}"/>
    <cellStyle name="Normal 10 2 2 3 2 4" xfId="5026" xr:uid="{00000000-0005-0000-0000-0000F94B0000}"/>
    <cellStyle name="Normal 10 2 2 3 2 4 2" xfId="8588" xr:uid="{00000000-0005-0000-0000-0000FA4B0000}"/>
    <cellStyle name="Normal 10 2 2 3 2 4 2 2" xfId="15378" xr:uid="{00000000-0005-0000-0000-0000FB4B0000}"/>
    <cellStyle name="Normal 10 2 2 3 2 4 2 2 2" xfId="28946" xr:uid="{00000000-0005-0000-0000-0000FC4B0000}"/>
    <cellStyle name="Normal 10 2 2 3 2 4 2 2 2 2" xfId="56079" xr:uid="{00000000-0005-0000-0000-0000FD4B0000}"/>
    <cellStyle name="Normal 10 2 2 3 2 4 2 2 3" xfId="42517" xr:uid="{00000000-0005-0000-0000-0000FE4B0000}"/>
    <cellStyle name="Normal 10 2 2 3 2 4 2 3" xfId="22165" xr:uid="{00000000-0005-0000-0000-0000FF4B0000}"/>
    <cellStyle name="Normal 10 2 2 3 2 4 2 3 2" xfId="49298" xr:uid="{00000000-0005-0000-0000-0000004C0000}"/>
    <cellStyle name="Normal 10 2 2 3 2 4 2 4" xfId="35736" xr:uid="{00000000-0005-0000-0000-0000014C0000}"/>
    <cellStyle name="Normal 10 2 2 3 2 4 3" xfId="11989" xr:uid="{00000000-0005-0000-0000-0000024C0000}"/>
    <cellStyle name="Normal 10 2 2 3 2 4 3 2" xfId="25557" xr:uid="{00000000-0005-0000-0000-0000034C0000}"/>
    <cellStyle name="Normal 10 2 2 3 2 4 3 2 2" xfId="52690" xr:uid="{00000000-0005-0000-0000-0000044C0000}"/>
    <cellStyle name="Normal 10 2 2 3 2 4 3 3" xfId="39128" xr:uid="{00000000-0005-0000-0000-0000054C0000}"/>
    <cellStyle name="Normal 10 2 2 3 2 4 4" xfId="18776" xr:uid="{00000000-0005-0000-0000-0000064C0000}"/>
    <cellStyle name="Normal 10 2 2 3 2 4 4 2" xfId="45909" xr:uid="{00000000-0005-0000-0000-0000074C0000}"/>
    <cellStyle name="Normal 10 2 2 3 2 4 5" xfId="32347" xr:uid="{00000000-0005-0000-0000-0000084C0000}"/>
    <cellStyle name="Normal 10 2 2 3 2 5" xfId="5027" xr:uid="{00000000-0005-0000-0000-0000094C0000}"/>
    <cellStyle name="Normal 10 2 2 3 2 5 2" xfId="8589" xr:uid="{00000000-0005-0000-0000-00000A4C0000}"/>
    <cellStyle name="Normal 10 2 2 3 2 5 2 2" xfId="15379" xr:uid="{00000000-0005-0000-0000-00000B4C0000}"/>
    <cellStyle name="Normal 10 2 2 3 2 5 2 2 2" xfId="28947" xr:uid="{00000000-0005-0000-0000-00000C4C0000}"/>
    <cellStyle name="Normal 10 2 2 3 2 5 2 2 2 2" xfId="56080" xr:uid="{00000000-0005-0000-0000-00000D4C0000}"/>
    <cellStyle name="Normal 10 2 2 3 2 5 2 2 3" xfId="42518" xr:uid="{00000000-0005-0000-0000-00000E4C0000}"/>
    <cellStyle name="Normal 10 2 2 3 2 5 2 3" xfId="22166" xr:uid="{00000000-0005-0000-0000-00000F4C0000}"/>
    <cellStyle name="Normal 10 2 2 3 2 5 2 3 2" xfId="49299" xr:uid="{00000000-0005-0000-0000-0000104C0000}"/>
    <cellStyle name="Normal 10 2 2 3 2 5 2 4" xfId="35737" xr:uid="{00000000-0005-0000-0000-0000114C0000}"/>
    <cellStyle name="Normal 10 2 2 3 2 5 3" xfId="11990" xr:uid="{00000000-0005-0000-0000-0000124C0000}"/>
    <cellStyle name="Normal 10 2 2 3 2 5 3 2" xfId="25558" xr:uid="{00000000-0005-0000-0000-0000134C0000}"/>
    <cellStyle name="Normal 10 2 2 3 2 5 3 2 2" xfId="52691" xr:uid="{00000000-0005-0000-0000-0000144C0000}"/>
    <cellStyle name="Normal 10 2 2 3 2 5 3 3" xfId="39129" xr:uid="{00000000-0005-0000-0000-0000154C0000}"/>
    <cellStyle name="Normal 10 2 2 3 2 5 4" xfId="18777" xr:uid="{00000000-0005-0000-0000-0000164C0000}"/>
    <cellStyle name="Normal 10 2 2 3 2 5 4 2" xfId="45910" xr:uid="{00000000-0005-0000-0000-0000174C0000}"/>
    <cellStyle name="Normal 10 2 2 3 2 5 5" xfId="32348" xr:uid="{00000000-0005-0000-0000-0000184C0000}"/>
    <cellStyle name="Normal 10 2 2 3 2 6" xfId="8582" xr:uid="{00000000-0005-0000-0000-0000194C0000}"/>
    <cellStyle name="Normal 10 2 2 3 2 6 2" xfId="15372" xr:uid="{00000000-0005-0000-0000-00001A4C0000}"/>
    <cellStyle name="Normal 10 2 2 3 2 6 2 2" xfId="28940" xr:uid="{00000000-0005-0000-0000-00001B4C0000}"/>
    <cellStyle name="Normal 10 2 2 3 2 6 2 2 2" xfId="56073" xr:uid="{00000000-0005-0000-0000-00001C4C0000}"/>
    <cellStyle name="Normal 10 2 2 3 2 6 2 3" xfId="42511" xr:uid="{00000000-0005-0000-0000-00001D4C0000}"/>
    <cellStyle name="Normal 10 2 2 3 2 6 3" xfId="22159" xr:uid="{00000000-0005-0000-0000-00001E4C0000}"/>
    <cellStyle name="Normal 10 2 2 3 2 6 3 2" xfId="49292" xr:uid="{00000000-0005-0000-0000-00001F4C0000}"/>
    <cellStyle name="Normal 10 2 2 3 2 6 4" xfId="35730" xr:uid="{00000000-0005-0000-0000-0000204C0000}"/>
    <cellStyle name="Normal 10 2 2 3 2 7" xfId="11983" xr:uid="{00000000-0005-0000-0000-0000214C0000}"/>
    <cellStyle name="Normal 10 2 2 3 2 7 2" xfId="25551" xr:uid="{00000000-0005-0000-0000-0000224C0000}"/>
    <cellStyle name="Normal 10 2 2 3 2 7 2 2" xfId="52684" xr:uid="{00000000-0005-0000-0000-0000234C0000}"/>
    <cellStyle name="Normal 10 2 2 3 2 7 3" xfId="39122" xr:uid="{00000000-0005-0000-0000-0000244C0000}"/>
    <cellStyle name="Normal 10 2 2 3 2 8" xfId="18770" xr:uid="{00000000-0005-0000-0000-0000254C0000}"/>
    <cellStyle name="Normal 10 2 2 3 2 8 2" xfId="45903" xr:uid="{00000000-0005-0000-0000-0000264C0000}"/>
    <cellStyle name="Normal 10 2 2 3 2 9" xfId="32341" xr:uid="{00000000-0005-0000-0000-0000274C0000}"/>
    <cellStyle name="Normal 10 2 2 3 3" xfId="5028" xr:uid="{00000000-0005-0000-0000-0000284C0000}"/>
    <cellStyle name="Normal 10 2 2 3 3 2" xfId="5029" xr:uid="{00000000-0005-0000-0000-0000294C0000}"/>
    <cellStyle name="Normal 10 2 2 3 3 2 2" xfId="8591" xr:uid="{00000000-0005-0000-0000-00002A4C0000}"/>
    <cellStyle name="Normal 10 2 2 3 3 2 2 2" xfId="15381" xr:uid="{00000000-0005-0000-0000-00002B4C0000}"/>
    <cellStyle name="Normal 10 2 2 3 3 2 2 2 2" xfId="28949" xr:uid="{00000000-0005-0000-0000-00002C4C0000}"/>
    <cellStyle name="Normal 10 2 2 3 3 2 2 2 2 2" xfId="56082" xr:uid="{00000000-0005-0000-0000-00002D4C0000}"/>
    <cellStyle name="Normal 10 2 2 3 3 2 2 2 3" xfId="42520" xr:uid="{00000000-0005-0000-0000-00002E4C0000}"/>
    <cellStyle name="Normal 10 2 2 3 3 2 2 3" xfId="22168" xr:uid="{00000000-0005-0000-0000-00002F4C0000}"/>
    <cellStyle name="Normal 10 2 2 3 3 2 2 3 2" xfId="49301" xr:uid="{00000000-0005-0000-0000-0000304C0000}"/>
    <cellStyle name="Normal 10 2 2 3 3 2 2 4" xfId="35739" xr:uid="{00000000-0005-0000-0000-0000314C0000}"/>
    <cellStyle name="Normal 10 2 2 3 3 2 3" xfId="11992" xr:uid="{00000000-0005-0000-0000-0000324C0000}"/>
    <cellStyle name="Normal 10 2 2 3 3 2 3 2" xfId="25560" xr:uid="{00000000-0005-0000-0000-0000334C0000}"/>
    <cellStyle name="Normal 10 2 2 3 3 2 3 2 2" xfId="52693" xr:uid="{00000000-0005-0000-0000-0000344C0000}"/>
    <cellStyle name="Normal 10 2 2 3 3 2 3 3" xfId="39131" xr:uid="{00000000-0005-0000-0000-0000354C0000}"/>
    <cellStyle name="Normal 10 2 2 3 3 2 4" xfId="18779" xr:uid="{00000000-0005-0000-0000-0000364C0000}"/>
    <cellStyle name="Normal 10 2 2 3 3 2 4 2" xfId="45912" xr:uid="{00000000-0005-0000-0000-0000374C0000}"/>
    <cellStyle name="Normal 10 2 2 3 3 2 5" xfId="32350" xr:uid="{00000000-0005-0000-0000-0000384C0000}"/>
    <cellStyle name="Normal 10 2 2 3 3 3" xfId="5030" xr:uid="{00000000-0005-0000-0000-0000394C0000}"/>
    <cellStyle name="Normal 10 2 2 3 3 3 2" xfId="8592" xr:uid="{00000000-0005-0000-0000-00003A4C0000}"/>
    <cellStyle name="Normal 10 2 2 3 3 3 2 2" xfId="15382" xr:uid="{00000000-0005-0000-0000-00003B4C0000}"/>
    <cellStyle name="Normal 10 2 2 3 3 3 2 2 2" xfId="28950" xr:uid="{00000000-0005-0000-0000-00003C4C0000}"/>
    <cellStyle name="Normal 10 2 2 3 3 3 2 2 2 2" xfId="56083" xr:uid="{00000000-0005-0000-0000-00003D4C0000}"/>
    <cellStyle name="Normal 10 2 2 3 3 3 2 2 3" xfId="42521" xr:uid="{00000000-0005-0000-0000-00003E4C0000}"/>
    <cellStyle name="Normal 10 2 2 3 3 3 2 3" xfId="22169" xr:uid="{00000000-0005-0000-0000-00003F4C0000}"/>
    <cellStyle name="Normal 10 2 2 3 3 3 2 3 2" xfId="49302" xr:uid="{00000000-0005-0000-0000-0000404C0000}"/>
    <cellStyle name="Normal 10 2 2 3 3 3 2 4" xfId="35740" xr:uid="{00000000-0005-0000-0000-0000414C0000}"/>
    <cellStyle name="Normal 10 2 2 3 3 3 3" xfId="11993" xr:uid="{00000000-0005-0000-0000-0000424C0000}"/>
    <cellStyle name="Normal 10 2 2 3 3 3 3 2" xfId="25561" xr:uid="{00000000-0005-0000-0000-0000434C0000}"/>
    <cellStyle name="Normal 10 2 2 3 3 3 3 2 2" xfId="52694" xr:uid="{00000000-0005-0000-0000-0000444C0000}"/>
    <cellStyle name="Normal 10 2 2 3 3 3 3 3" xfId="39132" xr:uid="{00000000-0005-0000-0000-0000454C0000}"/>
    <cellStyle name="Normal 10 2 2 3 3 3 4" xfId="18780" xr:uid="{00000000-0005-0000-0000-0000464C0000}"/>
    <cellStyle name="Normal 10 2 2 3 3 3 4 2" xfId="45913" xr:uid="{00000000-0005-0000-0000-0000474C0000}"/>
    <cellStyle name="Normal 10 2 2 3 3 3 5" xfId="32351" xr:uid="{00000000-0005-0000-0000-0000484C0000}"/>
    <cellStyle name="Normal 10 2 2 3 3 4" xfId="8590" xr:uid="{00000000-0005-0000-0000-0000494C0000}"/>
    <cellStyle name="Normal 10 2 2 3 3 4 2" xfId="15380" xr:uid="{00000000-0005-0000-0000-00004A4C0000}"/>
    <cellStyle name="Normal 10 2 2 3 3 4 2 2" xfId="28948" xr:uid="{00000000-0005-0000-0000-00004B4C0000}"/>
    <cellStyle name="Normal 10 2 2 3 3 4 2 2 2" xfId="56081" xr:uid="{00000000-0005-0000-0000-00004C4C0000}"/>
    <cellStyle name="Normal 10 2 2 3 3 4 2 3" xfId="42519" xr:uid="{00000000-0005-0000-0000-00004D4C0000}"/>
    <cellStyle name="Normal 10 2 2 3 3 4 3" xfId="22167" xr:uid="{00000000-0005-0000-0000-00004E4C0000}"/>
    <cellStyle name="Normal 10 2 2 3 3 4 3 2" xfId="49300" xr:uid="{00000000-0005-0000-0000-00004F4C0000}"/>
    <cellStyle name="Normal 10 2 2 3 3 4 4" xfId="35738" xr:uid="{00000000-0005-0000-0000-0000504C0000}"/>
    <cellStyle name="Normal 10 2 2 3 3 5" xfId="11991" xr:uid="{00000000-0005-0000-0000-0000514C0000}"/>
    <cellStyle name="Normal 10 2 2 3 3 5 2" xfId="25559" xr:uid="{00000000-0005-0000-0000-0000524C0000}"/>
    <cellStyle name="Normal 10 2 2 3 3 5 2 2" xfId="52692" xr:uid="{00000000-0005-0000-0000-0000534C0000}"/>
    <cellStyle name="Normal 10 2 2 3 3 5 3" xfId="39130" xr:uid="{00000000-0005-0000-0000-0000544C0000}"/>
    <cellStyle name="Normal 10 2 2 3 3 6" xfId="18778" xr:uid="{00000000-0005-0000-0000-0000554C0000}"/>
    <cellStyle name="Normal 10 2 2 3 3 6 2" xfId="45911" xr:uid="{00000000-0005-0000-0000-0000564C0000}"/>
    <cellStyle name="Normal 10 2 2 3 3 7" xfId="32349" xr:uid="{00000000-0005-0000-0000-0000574C0000}"/>
    <cellStyle name="Normal 10 2 2 3 4" xfId="5031" xr:uid="{00000000-0005-0000-0000-0000584C0000}"/>
    <cellStyle name="Normal 10 2 2 3 4 2" xfId="5032" xr:uid="{00000000-0005-0000-0000-0000594C0000}"/>
    <cellStyle name="Normal 10 2 2 3 4 2 2" xfId="8594" xr:uid="{00000000-0005-0000-0000-00005A4C0000}"/>
    <cellStyle name="Normal 10 2 2 3 4 2 2 2" xfId="15384" xr:uid="{00000000-0005-0000-0000-00005B4C0000}"/>
    <cellStyle name="Normal 10 2 2 3 4 2 2 2 2" xfId="28952" xr:uid="{00000000-0005-0000-0000-00005C4C0000}"/>
    <cellStyle name="Normal 10 2 2 3 4 2 2 2 2 2" xfId="56085" xr:uid="{00000000-0005-0000-0000-00005D4C0000}"/>
    <cellStyle name="Normal 10 2 2 3 4 2 2 2 3" xfId="42523" xr:uid="{00000000-0005-0000-0000-00005E4C0000}"/>
    <cellStyle name="Normal 10 2 2 3 4 2 2 3" xfId="22171" xr:uid="{00000000-0005-0000-0000-00005F4C0000}"/>
    <cellStyle name="Normal 10 2 2 3 4 2 2 3 2" xfId="49304" xr:uid="{00000000-0005-0000-0000-0000604C0000}"/>
    <cellStyle name="Normal 10 2 2 3 4 2 2 4" xfId="35742" xr:uid="{00000000-0005-0000-0000-0000614C0000}"/>
    <cellStyle name="Normal 10 2 2 3 4 2 3" xfId="11995" xr:uid="{00000000-0005-0000-0000-0000624C0000}"/>
    <cellStyle name="Normal 10 2 2 3 4 2 3 2" xfId="25563" xr:uid="{00000000-0005-0000-0000-0000634C0000}"/>
    <cellStyle name="Normal 10 2 2 3 4 2 3 2 2" xfId="52696" xr:uid="{00000000-0005-0000-0000-0000644C0000}"/>
    <cellStyle name="Normal 10 2 2 3 4 2 3 3" xfId="39134" xr:uid="{00000000-0005-0000-0000-0000654C0000}"/>
    <cellStyle name="Normal 10 2 2 3 4 2 4" xfId="18782" xr:uid="{00000000-0005-0000-0000-0000664C0000}"/>
    <cellStyle name="Normal 10 2 2 3 4 2 4 2" xfId="45915" xr:uid="{00000000-0005-0000-0000-0000674C0000}"/>
    <cellStyle name="Normal 10 2 2 3 4 2 5" xfId="32353" xr:uid="{00000000-0005-0000-0000-0000684C0000}"/>
    <cellStyle name="Normal 10 2 2 3 4 3" xfId="8593" xr:uid="{00000000-0005-0000-0000-0000694C0000}"/>
    <cellStyle name="Normal 10 2 2 3 4 3 2" xfId="15383" xr:uid="{00000000-0005-0000-0000-00006A4C0000}"/>
    <cellStyle name="Normal 10 2 2 3 4 3 2 2" xfId="28951" xr:uid="{00000000-0005-0000-0000-00006B4C0000}"/>
    <cellStyle name="Normal 10 2 2 3 4 3 2 2 2" xfId="56084" xr:uid="{00000000-0005-0000-0000-00006C4C0000}"/>
    <cellStyle name="Normal 10 2 2 3 4 3 2 3" xfId="42522" xr:uid="{00000000-0005-0000-0000-00006D4C0000}"/>
    <cellStyle name="Normal 10 2 2 3 4 3 3" xfId="22170" xr:uid="{00000000-0005-0000-0000-00006E4C0000}"/>
    <cellStyle name="Normal 10 2 2 3 4 3 3 2" xfId="49303" xr:uid="{00000000-0005-0000-0000-00006F4C0000}"/>
    <cellStyle name="Normal 10 2 2 3 4 3 4" xfId="35741" xr:uid="{00000000-0005-0000-0000-0000704C0000}"/>
    <cellStyle name="Normal 10 2 2 3 4 4" xfId="11994" xr:uid="{00000000-0005-0000-0000-0000714C0000}"/>
    <cellStyle name="Normal 10 2 2 3 4 4 2" xfId="25562" xr:uid="{00000000-0005-0000-0000-0000724C0000}"/>
    <cellStyle name="Normal 10 2 2 3 4 4 2 2" xfId="52695" xr:uid="{00000000-0005-0000-0000-0000734C0000}"/>
    <cellStyle name="Normal 10 2 2 3 4 4 3" xfId="39133" xr:uid="{00000000-0005-0000-0000-0000744C0000}"/>
    <cellStyle name="Normal 10 2 2 3 4 5" xfId="18781" xr:uid="{00000000-0005-0000-0000-0000754C0000}"/>
    <cellStyle name="Normal 10 2 2 3 4 5 2" xfId="45914" xr:uid="{00000000-0005-0000-0000-0000764C0000}"/>
    <cellStyle name="Normal 10 2 2 3 4 6" xfId="32352" xr:uid="{00000000-0005-0000-0000-0000774C0000}"/>
    <cellStyle name="Normal 10 2 2 3 5" xfId="5033" xr:uid="{00000000-0005-0000-0000-0000784C0000}"/>
    <cellStyle name="Normal 10 2 2 3 5 2" xfId="8595" xr:uid="{00000000-0005-0000-0000-0000794C0000}"/>
    <cellStyle name="Normal 10 2 2 3 5 2 2" xfId="15385" xr:uid="{00000000-0005-0000-0000-00007A4C0000}"/>
    <cellStyle name="Normal 10 2 2 3 5 2 2 2" xfId="28953" xr:uid="{00000000-0005-0000-0000-00007B4C0000}"/>
    <cellStyle name="Normal 10 2 2 3 5 2 2 2 2" xfId="56086" xr:uid="{00000000-0005-0000-0000-00007C4C0000}"/>
    <cellStyle name="Normal 10 2 2 3 5 2 2 3" xfId="42524" xr:uid="{00000000-0005-0000-0000-00007D4C0000}"/>
    <cellStyle name="Normal 10 2 2 3 5 2 3" xfId="22172" xr:uid="{00000000-0005-0000-0000-00007E4C0000}"/>
    <cellStyle name="Normal 10 2 2 3 5 2 3 2" xfId="49305" xr:uid="{00000000-0005-0000-0000-00007F4C0000}"/>
    <cellStyle name="Normal 10 2 2 3 5 2 4" xfId="35743" xr:uid="{00000000-0005-0000-0000-0000804C0000}"/>
    <cellStyle name="Normal 10 2 2 3 5 3" xfId="11996" xr:uid="{00000000-0005-0000-0000-0000814C0000}"/>
    <cellStyle name="Normal 10 2 2 3 5 3 2" xfId="25564" xr:uid="{00000000-0005-0000-0000-0000824C0000}"/>
    <cellStyle name="Normal 10 2 2 3 5 3 2 2" xfId="52697" xr:uid="{00000000-0005-0000-0000-0000834C0000}"/>
    <cellStyle name="Normal 10 2 2 3 5 3 3" xfId="39135" xr:uid="{00000000-0005-0000-0000-0000844C0000}"/>
    <cellStyle name="Normal 10 2 2 3 5 4" xfId="18783" xr:uid="{00000000-0005-0000-0000-0000854C0000}"/>
    <cellStyle name="Normal 10 2 2 3 5 4 2" xfId="45916" xr:uid="{00000000-0005-0000-0000-0000864C0000}"/>
    <cellStyle name="Normal 10 2 2 3 5 5" xfId="32354" xr:uid="{00000000-0005-0000-0000-0000874C0000}"/>
    <cellStyle name="Normal 10 2 2 3 6" xfId="5034" xr:uid="{00000000-0005-0000-0000-0000884C0000}"/>
    <cellStyle name="Normal 10 2 2 3 6 2" xfId="8596" xr:uid="{00000000-0005-0000-0000-0000894C0000}"/>
    <cellStyle name="Normal 10 2 2 3 6 2 2" xfId="15386" xr:uid="{00000000-0005-0000-0000-00008A4C0000}"/>
    <cellStyle name="Normal 10 2 2 3 6 2 2 2" xfId="28954" xr:uid="{00000000-0005-0000-0000-00008B4C0000}"/>
    <cellStyle name="Normal 10 2 2 3 6 2 2 2 2" xfId="56087" xr:uid="{00000000-0005-0000-0000-00008C4C0000}"/>
    <cellStyle name="Normal 10 2 2 3 6 2 2 3" xfId="42525" xr:uid="{00000000-0005-0000-0000-00008D4C0000}"/>
    <cellStyle name="Normal 10 2 2 3 6 2 3" xfId="22173" xr:uid="{00000000-0005-0000-0000-00008E4C0000}"/>
    <cellStyle name="Normal 10 2 2 3 6 2 3 2" xfId="49306" xr:uid="{00000000-0005-0000-0000-00008F4C0000}"/>
    <cellStyle name="Normal 10 2 2 3 6 2 4" xfId="35744" xr:uid="{00000000-0005-0000-0000-0000904C0000}"/>
    <cellStyle name="Normal 10 2 2 3 6 3" xfId="11997" xr:uid="{00000000-0005-0000-0000-0000914C0000}"/>
    <cellStyle name="Normal 10 2 2 3 6 3 2" xfId="25565" xr:uid="{00000000-0005-0000-0000-0000924C0000}"/>
    <cellStyle name="Normal 10 2 2 3 6 3 2 2" xfId="52698" xr:uid="{00000000-0005-0000-0000-0000934C0000}"/>
    <cellStyle name="Normal 10 2 2 3 6 3 3" xfId="39136" xr:uid="{00000000-0005-0000-0000-0000944C0000}"/>
    <cellStyle name="Normal 10 2 2 3 6 4" xfId="18784" xr:uid="{00000000-0005-0000-0000-0000954C0000}"/>
    <cellStyle name="Normal 10 2 2 3 6 4 2" xfId="45917" xr:uid="{00000000-0005-0000-0000-0000964C0000}"/>
    <cellStyle name="Normal 10 2 2 3 6 5" xfId="32355" xr:uid="{00000000-0005-0000-0000-0000974C0000}"/>
    <cellStyle name="Normal 10 2 2 3 7" xfId="8581" xr:uid="{00000000-0005-0000-0000-0000984C0000}"/>
    <cellStyle name="Normal 10 2 2 3 7 2" xfId="15371" xr:uid="{00000000-0005-0000-0000-0000994C0000}"/>
    <cellStyle name="Normal 10 2 2 3 7 2 2" xfId="28939" xr:uid="{00000000-0005-0000-0000-00009A4C0000}"/>
    <cellStyle name="Normal 10 2 2 3 7 2 2 2" xfId="56072" xr:uid="{00000000-0005-0000-0000-00009B4C0000}"/>
    <cellStyle name="Normal 10 2 2 3 7 2 3" xfId="42510" xr:uid="{00000000-0005-0000-0000-00009C4C0000}"/>
    <cellStyle name="Normal 10 2 2 3 7 3" xfId="22158" xr:uid="{00000000-0005-0000-0000-00009D4C0000}"/>
    <cellStyle name="Normal 10 2 2 3 7 3 2" xfId="49291" xr:uid="{00000000-0005-0000-0000-00009E4C0000}"/>
    <cellStyle name="Normal 10 2 2 3 7 4" xfId="35729" xr:uid="{00000000-0005-0000-0000-00009F4C0000}"/>
    <cellStyle name="Normal 10 2 2 3 8" xfId="11982" xr:uid="{00000000-0005-0000-0000-0000A04C0000}"/>
    <cellStyle name="Normal 10 2 2 3 8 2" xfId="25550" xr:uid="{00000000-0005-0000-0000-0000A14C0000}"/>
    <cellStyle name="Normal 10 2 2 3 8 2 2" xfId="52683" xr:uid="{00000000-0005-0000-0000-0000A24C0000}"/>
    <cellStyle name="Normal 10 2 2 3 8 3" xfId="39121" xr:uid="{00000000-0005-0000-0000-0000A34C0000}"/>
    <cellStyle name="Normal 10 2 2 3 9" xfId="18769" xr:uid="{00000000-0005-0000-0000-0000A44C0000}"/>
    <cellStyle name="Normal 10 2 2 3 9 2" xfId="45902" xr:uid="{00000000-0005-0000-0000-0000A54C0000}"/>
    <cellStyle name="Normal 10 2 2 4" xfId="5035" xr:uid="{00000000-0005-0000-0000-0000A64C0000}"/>
    <cellStyle name="Normal 10 2 2 4 2" xfId="5036" xr:uid="{00000000-0005-0000-0000-0000A74C0000}"/>
    <cellStyle name="Normal 10 2 2 4 2 2" xfId="5037" xr:uid="{00000000-0005-0000-0000-0000A84C0000}"/>
    <cellStyle name="Normal 10 2 2 4 2 2 2" xfId="8599" xr:uid="{00000000-0005-0000-0000-0000A94C0000}"/>
    <cellStyle name="Normal 10 2 2 4 2 2 2 2" xfId="15389" xr:uid="{00000000-0005-0000-0000-0000AA4C0000}"/>
    <cellStyle name="Normal 10 2 2 4 2 2 2 2 2" xfId="28957" xr:uid="{00000000-0005-0000-0000-0000AB4C0000}"/>
    <cellStyle name="Normal 10 2 2 4 2 2 2 2 2 2" xfId="56090" xr:uid="{00000000-0005-0000-0000-0000AC4C0000}"/>
    <cellStyle name="Normal 10 2 2 4 2 2 2 2 3" xfId="42528" xr:uid="{00000000-0005-0000-0000-0000AD4C0000}"/>
    <cellStyle name="Normal 10 2 2 4 2 2 2 3" xfId="22176" xr:uid="{00000000-0005-0000-0000-0000AE4C0000}"/>
    <cellStyle name="Normal 10 2 2 4 2 2 2 3 2" xfId="49309" xr:uid="{00000000-0005-0000-0000-0000AF4C0000}"/>
    <cellStyle name="Normal 10 2 2 4 2 2 2 4" xfId="35747" xr:uid="{00000000-0005-0000-0000-0000B04C0000}"/>
    <cellStyle name="Normal 10 2 2 4 2 2 3" xfId="12000" xr:uid="{00000000-0005-0000-0000-0000B14C0000}"/>
    <cellStyle name="Normal 10 2 2 4 2 2 3 2" xfId="25568" xr:uid="{00000000-0005-0000-0000-0000B24C0000}"/>
    <cellStyle name="Normal 10 2 2 4 2 2 3 2 2" xfId="52701" xr:uid="{00000000-0005-0000-0000-0000B34C0000}"/>
    <cellStyle name="Normal 10 2 2 4 2 2 3 3" xfId="39139" xr:uid="{00000000-0005-0000-0000-0000B44C0000}"/>
    <cellStyle name="Normal 10 2 2 4 2 2 4" xfId="18787" xr:uid="{00000000-0005-0000-0000-0000B54C0000}"/>
    <cellStyle name="Normal 10 2 2 4 2 2 4 2" xfId="45920" xr:uid="{00000000-0005-0000-0000-0000B64C0000}"/>
    <cellStyle name="Normal 10 2 2 4 2 2 5" xfId="32358" xr:uid="{00000000-0005-0000-0000-0000B74C0000}"/>
    <cellStyle name="Normal 10 2 2 4 2 3" xfId="5038" xr:uid="{00000000-0005-0000-0000-0000B84C0000}"/>
    <cellStyle name="Normal 10 2 2 4 2 3 2" xfId="8600" xr:uid="{00000000-0005-0000-0000-0000B94C0000}"/>
    <cellStyle name="Normal 10 2 2 4 2 3 2 2" xfId="15390" xr:uid="{00000000-0005-0000-0000-0000BA4C0000}"/>
    <cellStyle name="Normal 10 2 2 4 2 3 2 2 2" xfId="28958" xr:uid="{00000000-0005-0000-0000-0000BB4C0000}"/>
    <cellStyle name="Normal 10 2 2 4 2 3 2 2 2 2" xfId="56091" xr:uid="{00000000-0005-0000-0000-0000BC4C0000}"/>
    <cellStyle name="Normal 10 2 2 4 2 3 2 2 3" xfId="42529" xr:uid="{00000000-0005-0000-0000-0000BD4C0000}"/>
    <cellStyle name="Normal 10 2 2 4 2 3 2 3" xfId="22177" xr:uid="{00000000-0005-0000-0000-0000BE4C0000}"/>
    <cellStyle name="Normal 10 2 2 4 2 3 2 3 2" xfId="49310" xr:uid="{00000000-0005-0000-0000-0000BF4C0000}"/>
    <cellStyle name="Normal 10 2 2 4 2 3 2 4" xfId="35748" xr:uid="{00000000-0005-0000-0000-0000C04C0000}"/>
    <cellStyle name="Normal 10 2 2 4 2 3 3" xfId="12001" xr:uid="{00000000-0005-0000-0000-0000C14C0000}"/>
    <cellStyle name="Normal 10 2 2 4 2 3 3 2" xfId="25569" xr:uid="{00000000-0005-0000-0000-0000C24C0000}"/>
    <cellStyle name="Normal 10 2 2 4 2 3 3 2 2" xfId="52702" xr:uid="{00000000-0005-0000-0000-0000C34C0000}"/>
    <cellStyle name="Normal 10 2 2 4 2 3 3 3" xfId="39140" xr:uid="{00000000-0005-0000-0000-0000C44C0000}"/>
    <cellStyle name="Normal 10 2 2 4 2 3 4" xfId="18788" xr:uid="{00000000-0005-0000-0000-0000C54C0000}"/>
    <cellStyle name="Normal 10 2 2 4 2 3 4 2" xfId="45921" xr:uid="{00000000-0005-0000-0000-0000C64C0000}"/>
    <cellStyle name="Normal 10 2 2 4 2 3 5" xfId="32359" xr:uid="{00000000-0005-0000-0000-0000C74C0000}"/>
    <cellStyle name="Normal 10 2 2 4 2 4" xfId="8598" xr:uid="{00000000-0005-0000-0000-0000C84C0000}"/>
    <cellStyle name="Normal 10 2 2 4 2 4 2" xfId="15388" xr:uid="{00000000-0005-0000-0000-0000C94C0000}"/>
    <cellStyle name="Normal 10 2 2 4 2 4 2 2" xfId="28956" xr:uid="{00000000-0005-0000-0000-0000CA4C0000}"/>
    <cellStyle name="Normal 10 2 2 4 2 4 2 2 2" xfId="56089" xr:uid="{00000000-0005-0000-0000-0000CB4C0000}"/>
    <cellStyle name="Normal 10 2 2 4 2 4 2 3" xfId="42527" xr:uid="{00000000-0005-0000-0000-0000CC4C0000}"/>
    <cellStyle name="Normal 10 2 2 4 2 4 3" xfId="22175" xr:uid="{00000000-0005-0000-0000-0000CD4C0000}"/>
    <cellStyle name="Normal 10 2 2 4 2 4 3 2" xfId="49308" xr:uid="{00000000-0005-0000-0000-0000CE4C0000}"/>
    <cellStyle name="Normal 10 2 2 4 2 4 4" xfId="35746" xr:uid="{00000000-0005-0000-0000-0000CF4C0000}"/>
    <cellStyle name="Normal 10 2 2 4 2 5" xfId="11999" xr:uid="{00000000-0005-0000-0000-0000D04C0000}"/>
    <cellStyle name="Normal 10 2 2 4 2 5 2" xfId="25567" xr:uid="{00000000-0005-0000-0000-0000D14C0000}"/>
    <cellStyle name="Normal 10 2 2 4 2 5 2 2" xfId="52700" xr:uid="{00000000-0005-0000-0000-0000D24C0000}"/>
    <cellStyle name="Normal 10 2 2 4 2 5 3" xfId="39138" xr:uid="{00000000-0005-0000-0000-0000D34C0000}"/>
    <cellStyle name="Normal 10 2 2 4 2 6" xfId="18786" xr:uid="{00000000-0005-0000-0000-0000D44C0000}"/>
    <cellStyle name="Normal 10 2 2 4 2 6 2" xfId="45919" xr:uid="{00000000-0005-0000-0000-0000D54C0000}"/>
    <cellStyle name="Normal 10 2 2 4 2 7" xfId="32357" xr:uid="{00000000-0005-0000-0000-0000D64C0000}"/>
    <cellStyle name="Normal 10 2 2 4 3" xfId="5039" xr:uid="{00000000-0005-0000-0000-0000D74C0000}"/>
    <cellStyle name="Normal 10 2 2 4 3 2" xfId="5040" xr:uid="{00000000-0005-0000-0000-0000D84C0000}"/>
    <cellStyle name="Normal 10 2 2 4 3 2 2" xfId="8602" xr:uid="{00000000-0005-0000-0000-0000D94C0000}"/>
    <cellStyle name="Normal 10 2 2 4 3 2 2 2" xfId="15392" xr:uid="{00000000-0005-0000-0000-0000DA4C0000}"/>
    <cellStyle name="Normal 10 2 2 4 3 2 2 2 2" xfId="28960" xr:uid="{00000000-0005-0000-0000-0000DB4C0000}"/>
    <cellStyle name="Normal 10 2 2 4 3 2 2 2 2 2" xfId="56093" xr:uid="{00000000-0005-0000-0000-0000DC4C0000}"/>
    <cellStyle name="Normal 10 2 2 4 3 2 2 2 3" xfId="42531" xr:uid="{00000000-0005-0000-0000-0000DD4C0000}"/>
    <cellStyle name="Normal 10 2 2 4 3 2 2 3" xfId="22179" xr:uid="{00000000-0005-0000-0000-0000DE4C0000}"/>
    <cellStyle name="Normal 10 2 2 4 3 2 2 3 2" xfId="49312" xr:uid="{00000000-0005-0000-0000-0000DF4C0000}"/>
    <cellStyle name="Normal 10 2 2 4 3 2 2 4" xfId="35750" xr:uid="{00000000-0005-0000-0000-0000E04C0000}"/>
    <cellStyle name="Normal 10 2 2 4 3 2 3" xfId="12003" xr:uid="{00000000-0005-0000-0000-0000E14C0000}"/>
    <cellStyle name="Normal 10 2 2 4 3 2 3 2" xfId="25571" xr:uid="{00000000-0005-0000-0000-0000E24C0000}"/>
    <cellStyle name="Normal 10 2 2 4 3 2 3 2 2" xfId="52704" xr:uid="{00000000-0005-0000-0000-0000E34C0000}"/>
    <cellStyle name="Normal 10 2 2 4 3 2 3 3" xfId="39142" xr:uid="{00000000-0005-0000-0000-0000E44C0000}"/>
    <cellStyle name="Normal 10 2 2 4 3 2 4" xfId="18790" xr:uid="{00000000-0005-0000-0000-0000E54C0000}"/>
    <cellStyle name="Normal 10 2 2 4 3 2 4 2" xfId="45923" xr:uid="{00000000-0005-0000-0000-0000E64C0000}"/>
    <cellStyle name="Normal 10 2 2 4 3 2 5" xfId="32361" xr:uid="{00000000-0005-0000-0000-0000E74C0000}"/>
    <cellStyle name="Normal 10 2 2 4 3 3" xfId="8601" xr:uid="{00000000-0005-0000-0000-0000E84C0000}"/>
    <cellStyle name="Normal 10 2 2 4 3 3 2" xfId="15391" xr:uid="{00000000-0005-0000-0000-0000E94C0000}"/>
    <cellStyle name="Normal 10 2 2 4 3 3 2 2" xfId="28959" xr:uid="{00000000-0005-0000-0000-0000EA4C0000}"/>
    <cellStyle name="Normal 10 2 2 4 3 3 2 2 2" xfId="56092" xr:uid="{00000000-0005-0000-0000-0000EB4C0000}"/>
    <cellStyle name="Normal 10 2 2 4 3 3 2 3" xfId="42530" xr:uid="{00000000-0005-0000-0000-0000EC4C0000}"/>
    <cellStyle name="Normal 10 2 2 4 3 3 3" xfId="22178" xr:uid="{00000000-0005-0000-0000-0000ED4C0000}"/>
    <cellStyle name="Normal 10 2 2 4 3 3 3 2" xfId="49311" xr:uid="{00000000-0005-0000-0000-0000EE4C0000}"/>
    <cellStyle name="Normal 10 2 2 4 3 3 4" xfId="35749" xr:uid="{00000000-0005-0000-0000-0000EF4C0000}"/>
    <cellStyle name="Normal 10 2 2 4 3 4" xfId="12002" xr:uid="{00000000-0005-0000-0000-0000F04C0000}"/>
    <cellStyle name="Normal 10 2 2 4 3 4 2" xfId="25570" xr:uid="{00000000-0005-0000-0000-0000F14C0000}"/>
    <cellStyle name="Normal 10 2 2 4 3 4 2 2" xfId="52703" xr:uid="{00000000-0005-0000-0000-0000F24C0000}"/>
    <cellStyle name="Normal 10 2 2 4 3 4 3" xfId="39141" xr:uid="{00000000-0005-0000-0000-0000F34C0000}"/>
    <cellStyle name="Normal 10 2 2 4 3 5" xfId="18789" xr:uid="{00000000-0005-0000-0000-0000F44C0000}"/>
    <cellStyle name="Normal 10 2 2 4 3 5 2" xfId="45922" xr:uid="{00000000-0005-0000-0000-0000F54C0000}"/>
    <cellStyle name="Normal 10 2 2 4 3 6" xfId="32360" xr:uid="{00000000-0005-0000-0000-0000F64C0000}"/>
    <cellStyle name="Normal 10 2 2 4 4" xfId="5041" xr:uid="{00000000-0005-0000-0000-0000F74C0000}"/>
    <cellStyle name="Normal 10 2 2 4 4 2" xfId="8603" xr:uid="{00000000-0005-0000-0000-0000F84C0000}"/>
    <cellStyle name="Normal 10 2 2 4 4 2 2" xfId="15393" xr:uid="{00000000-0005-0000-0000-0000F94C0000}"/>
    <cellStyle name="Normal 10 2 2 4 4 2 2 2" xfId="28961" xr:uid="{00000000-0005-0000-0000-0000FA4C0000}"/>
    <cellStyle name="Normal 10 2 2 4 4 2 2 2 2" xfId="56094" xr:uid="{00000000-0005-0000-0000-0000FB4C0000}"/>
    <cellStyle name="Normal 10 2 2 4 4 2 2 3" xfId="42532" xr:uid="{00000000-0005-0000-0000-0000FC4C0000}"/>
    <cellStyle name="Normal 10 2 2 4 4 2 3" xfId="22180" xr:uid="{00000000-0005-0000-0000-0000FD4C0000}"/>
    <cellStyle name="Normal 10 2 2 4 4 2 3 2" xfId="49313" xr:uid="{00000000-0005-0000-0000-0000FE4C0000}"/>
    <cellStyle name="Normal 10 2 2 4 4 2 4" xfId="35751" xr:uid="{00000000-0005-0000-0000-0000FF4C0000}"/>
    <cellStyle name="Normal 10 2 2 4 4 3" xfId="12004" xr:uid="{00000000-0005-0000-0000-0000004D0000}"/>
    <cellStyle name="Normal 10 2 2 4 4 3 2" xfId="25572" xr:uid="{00000000-0005-0000-0000-0000014D0000}"/>
    <cellStyle name="Normal 10 2 2 4 4 3 2 2" xfId="52705" xr:uid="{00000000-0005-0000-0000-0000024D0000}"/>
    <cellStyle name="Normal 10 2 2 4 4 3 3" xfId="39143" xr:uid="{00000000-0005-0000-0000-0000034D0000}"/>
    <cellStyle name="Normal 10 2 2 4 4 4" xfId="18791" xr:uid="{00000000-0005-0000-0000-0000044D0000}"/>
    <cellStyle name="Normal 10 2 2 4 4 4 2" xfId="45924" xr:uid="{00000000-0005-0000-0000-0000054D0000}"/>
    <cellStyle name="Normal 10 2 2 4 4 5" xfId="32362" xr:uid="{00000000-0005-0000-0000-0000064D0000}"/>
    <cellStyle name="Normal 10 2 2 4 5" xfId="5042" xr:uid="{00000000-0005-0000-0000-0000074D0000}"/>
    <cellStyle name="Normal 10 2 2 4 5 2" xfId="8604" xr:uid="{00000000-0005-0000-0000-0000084D0000}"/>
    <cellStyle name="Normal 10 2 2 4 5 2 2" xfId="15394" xr:uid="{00000000-0005-0000-0000-0000094D0000}"/>
    <cellStyle name="Normal 10 2 2 4 5 2 2 2" xfId="28962" xr:uid="{00000000-0005-0000-0000-00000A4D0000}"/>
    <cellStyle name="Normal 10 2 2 4 5 2 2 2 2" xfId="56095" xr:uid="{00000000-0005-0000-0000-00000B4D0000}"/>
    <cellStyle name="Normal 10 2 2 4 5 2 2 3" xfId="42533" xr:uid="{00000000-0005-0000-0000-00000C4D0000}"/>
    <cellStyle name="Normal 10 2 2 4 5 2 3" xfId="22181" xr:uid="{00000000-0005-0000-0000-00000D4D0000}"/>
    <cellStyle name="Normal 10 2 2 4 5 2 3 2" xfId="49314" xr:uid="{00000000-0005-0000-0000-00000E4D0000}"/>
    <cellStyle name="Normal 10 2 2 4 5 2 4" xfId="35752" xr:uid="{00000000-0005-0000-0000-00000F4D0000}"/>
    <cellStyle name="Normal 10 2 2 4 5 3" xfId="12005" xr:uid="{00000000-0005-0000-0000-0000104D0000}"/>
    <cellStyle name="Normal 10 2 2 4 5 3 2" xfId="25573" xr:uid="{00000000-0005-0000-0000-0000114D0000}"/>
    <cellStyle name="Normal 10 2 2 4 5 3 2 2" xfId="52706" xr:uid="{00000000-0005-0000-0000-0000124D0000}"/>
    <cellStyle name="Normal 10 2 2 4 5 3 3" xfId="39144" xr:uid="{00000000-0005-0000-0000-0000134D0000}"/>
    <cellStyle name="Normal 10 2 2 4 5 4" xfId="18792" xr:uid="{00000000-0005-0000-0000-0000144D0000}"/>
    <cellStyle name="Normal 10 2 2 4 5 4 2" xfId="45925" xr:uid="{00000000-0005-0000-0000-0000154D0000}"/>
    <cellStyle name="Normal 10 2 2 4 5 5" xfId="32363" xr:uid="{00000000-0005-0000-0000-0000164D0000}"/>
    <cellStyle name="Normal 10 2 2 4 6" xfId="8597" xr:uid="{00000000-0005-0000-0000-0000174D0000}"/>
    <cellStyle name="Normal 10 2 2 4 6 2" xfId="15387" xr:uid="{00000000-0005-0000-0000-0000184D0000}"/>
    <cellStyle name="Normal 10 2 2 4 6 2 2" xfId="28955" xr:uid="{00000000-0005-0000-0000-0000194D0000}"/>
    <cellStyle name="Normal 10 2 2 4 6 2 2 2" xfId="56088" xr:uid="{00000000-0005-0000-0000-00001A4D0000}"/>
    <cellStyle name="Normal 10 2 2 4 6 2 3" xfId="42526" xr:uid="{00000000-0005-0000-0000-00001B4D0000}"/>
    <cellStyle name="Normal 10 2 2 4 6 3" xfId="22174" xr:uid="{00000000-0005-0000-0000-00001C4D0000}"/>
    <cellStyle name="Normal 10 2 2 4 6 3 2" xfId="49307" xr:uid="{00000000-0005-0000-0000-00001D4D0000}"/>
    <cellStyle name="Normal 10 2 2 4 6 4" xfId="35745" xr:uid="{00000000-0005-0000-0000-00001E4D0000}"/>
    <cellStyle name="Normal 10 2 2 4 7" xfId="11998" xr:uid="{00000000-0005-0000-0000-00001F4D0000}"/>
    <cellStyle name="Normal 10 2 2 4 7 2" xfId="25566" xr:uid="{00000000-0005-0000-0000-0000204D0000}"/>
    <cellStyle name="Normal 10 2 2 4 7 2 2" xfId="52699" xr:uid="{00000000-0005-0000-0000-0000214D0000}"/>
    <cellStyle name="Normal 10 2 2 4 7 3" xfId="39137" xr:uid="{00000000-0005-0000-0000-0000224D0000}"/>
    <cellStyle name="Normal 10 2 2 4 8" xfId="18785" xr:uid="{00000000-0005-0000-0000-0000234D0000}"/>
    <cellStyle name="Normal 10 2 2 4 8 2" xfId="45918" xr:uid="{00000000-0005-0000-0000-0000244D0000}"/>
    <cellStyle name="Normal 10 2 2 4 9" xfId="32356" xr:uid="{00000000-0005-0000-0000-0000254D0000}"/>
    <cellStyle name="Normal 10 2 2 5" xfId="5043" xr:uid="{00000000-0005-0000-0000-0000264D0000}"/>
    <cellStyle name="Normal 10 2 2 5 2" xfId="5044" xr:uid="{00000000-0005-0000-0000-0000274D0000}"/>
    <cellStyle name="Normal 10 2 2 5 2 2" xfId="5045" xr:uid="{00000000-0005-0000-0000-0000284D0000}"/>
    <cellStyle name="Normal 10 2 2 5 2 2 2" xfId="8607" xr:uid="{00000000-0005-0000-0000-0000294D0000}"/>
    <cellStyle name="Normal 10 2 2 5 2 2 2 2" xfId="15397" xr:uid="{00000000-0005-0000-0000-00002A4D0000}"/>
    <cellStyle name="Normal 10 2 2 5 2 2 2 2 2" xfId="28965" xr:uid="{00000000-0005-0000-0000-00002B4D0000}"/>
    <cellStyle name="Normal 10 2 2 5 2 2 2 2 2 2" xfId="56098" xr:uid="{00000000-0005-0000-0000-00002C4D0000}"/>
    <cellStyle name="Normal 10 2 2 5 2 2 2 2 3" xfId="42536" xr:uid="{00000000-0005-0000-0000-00002D4D0000}"/>
    <cellStyle name="Normal 10 2 2 5 2 2 2 3" xfId="22184" xr:uid="{00000000-0005-0000-0000-00002E4D0000}"/>
    <cellStyle name="Normal 10 2 2 5 2 2 2 3 2" xfId="49317" xr:uid="{00000000-0005-0000-0000-00002F4D0000}"/>
    <cellStyle name="Normal 10 2 2 5 2 2 2 4" xfId="35755" xr:uid="{00000000-0005-0000-0000-0000304D0000}"/>
    <cellStyle name="Normal 10 2 2 5 2 2 3" xfId="12008" xr:uid="{00000000-0005-0000-0000-0000314D0000}"/>
    <cellStyle name="Normal 10 2 2 5 2 2 3 2" xfId="25576" xr:uid="{00000000-0005-0000-0000-0000324D0000}"/>
    <cellStyle name="Normal 10 2 2 5 2 2 3 2 2" xfId="52709" xr:uid="{00000000-0005-0000-0000-0000334D0000}"/>
    <cellStyle name="Normal 10 2 2 5 2 2 3 3" xfId="39147" xr:uid="{00000000-0005-0000-0000-0000344D0000}"/>
    <cellStyle name="Normal 10 2 2 5 2 2 4" xfId="18795" xr:uid="{00000000-0005-0000-0000-0000354D0000}"/>
    <cellStyle name="Normal 10 2 2 5 2 2 4 2" xfId="45928" xr:uid="{00000000-0005-0000-0000-0000364D0000}"/>
    <cellStyle name="Normal 10 2 2 5 2 2 5" xfId="32366" xr:uid="{00000000-0005-0000-0000-0000374D0000}"/>
    <cellStyle name="Normal 10 2 2 5 2 3" xfId="5046" xr:uid="{00000000-0005-0000-0000-0000384D0000}"/>
    <cellStyle name="Normal 10 2 2 5 2 3 2" xfId="8608" xr:uid="{00000000-0005-0000-0000-0000394D0000}"/>
    <cellStyle name="Normal 10 2 2 5 2 3 2 2" xfId="15398" xr:uid="{00000000-0005-0000-0000-00003A4D0000}"/>
    <cellStyle name="Normal 10 2 2 5 2 3 2 2 2" xfId="28966" xr:uid="{00000000-0005-0000-0000-00003B4D0000}"/>
    <cellStyle name="Normal 10 2 2 5 2 3 2 2 2 2" xfId="56099" xr:uid="{00000000-0005-0000-0000-00003C4D0000}"/>
    <cellStyle name="Normal 10 2 2 5 2 3 2 2 3" xfId="42537" xr:uid="{00000000-0005-0000-0000-00003D4D0000}"/>
    <cellStyle name="Normal 10 2 2 5 2 3 2 3" xfId="22185" xr:uid="{00000000-0005-0000-0000-00003E4D0000}"/>
    <cellStyle name="Normal 10 2 2 5 2 3 2 3 2" xfId="49318" xr:uid="{00000000-0005-0000-0000-00003F4D0000}"/>
    <cellStyle name="Normal 10 2 2 5 2 3 2 4" xfId="35756" xr:uid="{00000000-0005-0000-0000-0000404D0000}"/>
    <cellStyle name="Normal 10 2 2 5 2 3 3" xfId="12009" xr:uid="{00000000-0005-0000-0000-0000414D0000}"/>
    <cellStyle name="Normal 10 2 2 5 2 3 3 2" xfId="25577" xr:uid="{00000000-0005-0000-0000-0000424D0000}"/>
    <cellStyle name="Normal 10 2 2 5 2 3 3 2 2" xfId="52710" xr:uid="{00000000-0005-0000-0000-0000434D0000}"/>
    <cellStyle name="Normal 10 2 2 5 2 3 3 3" xfId="39148" xr:uid="{00000000-0005-0000-0000-0000444D0000}"/>
    <cellStyle name="Normal 10 2 2 5 2 3 4" xfId="18796" xr:uid="{00000000-0005-0000-0000-0000454D0000}"/>
    <cellStyle name="Normal 10 2 2 5 2 3 4 2" xfId="45929" xr:uid="{00000000-0005-0000-0000-0000464D0000}"/>
    <cellStyle name="Normal 10 2 2 5 2 3 5" xfId="32367" xr:uid="{00000000-0005-0000-0000-0000474D0000}"/>
    <cellStyle name="Normal 10 2 2 5 2 4" xfId="8606" xr:uid="{00000000-0005-0000-0000-0000484D0000}"/>
    <cellStyle name="Normal 10 2 2 5 2 4 2" xfId="15396" xr:uid="{00000000-0005-0000-0000-0000494D0000}"/>
    <cellStyle name="Normal 10 2 2 5 2 4 2 2" xfId="28964" xr:uid="{00000000-0005-0000-0000-00004A4D0000}"/>
    <cellStyle name="Normal 10 2 2 5 2 4 2 2 2" xfId="56097" xr:uid="{00000000-0005-0000-0000-00004B4D0000}"/>
    <cellStyle name="Normal 10 2 2 5 2 4 2 3" xfId="42535" xr:uid="{00000000-0005-0000-0000-00004C4D0000}"/>
    <cellStyle name="Normal 10 2 2 5 2 4 3" xfId="22183" xr:uid="{00000000-0005-0000-0000-00004D4D0000}"/>
    <cellStyle name="Normal 10 2 2 5 2 4 3 2" xfId="49316" xr:uid="{00000000-0005-0000-0000-00004E4D0000}"/>
    <cellStyle name="Normal 10 2 2 5 2 4 4" xfId="35754" xr:uid="{00000000-0005-0000-0000-00004F4D0000}"/>
    <cellStyle name="Normal 10 2 2 5 2 5" xfId="12007" xr:uid="{00000000-0005-0000-0000-0000504D0000}"/>
    <cellStyle name="Normal 10 2 2 5 2 5 2" xfId="25575" xr:uid="{00000000-0005-0000-0000-0000514D0000}"/>
    <cellStyle name="Normal 10 2 2 5 2 5 2 2" xfId="52708" xr:uid="{00000000-0005-0000-0000-0000524D0000}"/>
    <cellStyle name="Normal 10 2 2 5 2 5 3" xfId="39146" xr:uid="{00000000-0005-0000-0000-0000534D0000}"/>
    <cellStyle name="Normal 10 2 2 5 2 6" xfId="18794" xr:uid="{00000000-0005-0000-0000-0000544D0000}"/>
    <cellStyle name="Normal 10 2 2 5 2 6 2" xfId="45927" xr:uid="{00000000-0005-0000-0000-0000554D0000}"/>
    <cellStyle name="Normal 10 2 2 5 2 7" xfId="32365" xr:uid="{00000000-0005-0000-0000-0000564D0000}"/>
    <cellStyle name="Normal 10 2 2 5 3" xfId="5047" xr:uid="{00000000-0005-0000-0000-0000574D0000}"/>
    <cellStyle name="Normal 10 2 2 5 3 2" xfId="8609" xr:uid="{00000000-0005-0000-0000-0000584D0000}"/>
    <cellStyle name="Normal 10 2 2 5 3 2 2" xfId="15399" xr:uid="{00000000-0005-0000-0000-0000594D0000}"/>
    <cellStyle name="Normal 10 2 2 5 3 2 2 2" xfId="28967" xr:uid="{00000000-0005-0000-0000-00005A4D0000}"/>
    <cellStyle name="Normal 10 2 2 5 3 2 2 2 2" xfId="56100" xr:uid="{00000000-0005-0000-0000-00005B4D0000}"/>
    <cellStyle name="Normal 10 2 2 5 3 2 2 3" xfId="42538" xr:uid="{00000000-0005-0000-0000-00005C4D0000}"/>
    <cellStyle name="Normal 10 2 2 5 3 2 3" xfId="22186" xr:uid="{00000000-0005-0000-0000-00005D4D0000}"/>
    <cellStyle name="Normal 10 2 2 5 3 2 3 2" xfId="49319" xr:uid="{00000000-0005-0000-0000-00005E4D0000}"/>
    <cellStyle name="Normal 10 2 2 5 3 2 4" xfId="35757" xr:uid="{00000000-0005-0000-0000-00005F4D0000}"/>
    <cellStyle name="Normal 10 2 2 5 3 3" xfId="12010" xr:uid="{00000000-0005-0000-0000-0000604D0000}"/>
    <cellStyle name="Normal 10 2 2 5 3 3 2" xfId="25578" xr:uid="{00000000-0005-0000-0000-0000614D0000}"/>
    <cellStyle name="Normal 10 2 2 5 3 3 2 2" xfId="52711" xr:uid="{00000000-0005-0000-0000-0000624D0000}"/>
    <cellStyle name="Normal 10 2 2 5 3 3 3" xfId="39149" xr:uid="{00000000-0005-0000-0000-0000634D0000}"/>
    <cellStyle name="Normal 10 2 2 5 3 4" xfId="18797" xr:uid="{00000000-0005-0000-0000-0000644D0000}"/>
    <cellStyle name="Normal 10 2 2 5 3 4 2" xfId="45930" xr:uid="{00000000-0005-0000-0000-0000654D0000}"/>
    <cellStyle name="Normal 10 2 2 5 3 5" xfId="32368" xr:uid="{00000000-0005-0000-0000-0000664D0000}"/>
    <cellStyle name="Normal 10 2 2 5 4" xfId="5048" xr:uid="{00000000-0005-0000-0000-0000674D0000}"/>
    <cellStyle name="Normal 10 2 2 5 4 2" xfId="8610" xr:uid="{00000000-0005-0000-0000-0000684D0000}"/>
    <cellStyle name="Normal 10 2 2 5 4 2 2" xfId="15400" xr:uid="{00000000-0005-0000-0000-0000694D0000}"/>
    <cellStyle name="Normal 10 2 2 5 4 2 2 2" xfId="28968" xr:uid="{00000000-0005-0000-0000-00006A4D0000}"/>
    <cellStyle name="Normal 10 2 2 5 4 2 2 2 2" xfId="56101" xr:uid="{00000000-0005-0000-0000-00006B4D0000}"/>
    <cellStyle name="Normal 10 2 2 5 4 2 2 3" xfId="42539" xr:uid="{00000000-0005-0000-0000-00006C4D0000}"/>
    <cellStyle name="Normal 10 2 2 5 4 2 3" xfId="22187" xr:uid="{00000000-0005-0000-0000-00006D4D0000}"/>
    <cellStyle name="Normal 10 2 2 5 4 2 3 2" xfId="49320" xr:uid="{00000000-0005-0000-0000-00006E4D0000}"/>
    <cellStyle name="Normal 10 2 2 5 4 2 4" xfId="35758" xr:uid="{00000000-0005-0000-0000-00006F4D0000}"/>
    <cellStyle name="Normal 10 2 2 5 4 3" xfId="12011" xr:uid="{00000000-0005-0000-0000-0000704D0000}"/>
    <cellStyle name="Normal 10 2 2 5 4 3 2" xfId="25579" xr:uid="{00000000-0005-0000-0000-0000714D0000}"/>
    <cellStyle name="Normal 10 2 2 5 4 3 2 2" xfId="52712" xr:uid="{00000000-0005-0000-0000-0000724D0000}"/>
    <cellStyle name="Normal 10 2 2 5 4 3 3" xfId="39150" xr:uid="{00000000-0005-0000-0000-0000734D0000}"/>
    <cellStyle name="Normal 10 2 2 5 4 4" xfId="18798" xr:uid="{00000000-0005-0000-0000-0000744D0000}"/>
    <cellStyle name="Normal 10 2 2 5 4 4 2" xfId="45931" xr:uid="{00000000-0005-0000-0000-0000754D0000}"/>
    <cellStyle name="Normal 10 2 2 5 4 5" xfId="32369" xr:uid="{00000000-0005-0000-0000-0000764D0000}"/>
    <cellStyle name="Normal 10 2 2 5 5" xfId="8605" xr:uid="{00000000-0005-0000-0000-0000774D0000}"/>
    <cellStyle name="Normal 10 2 2 5 5 2" xfId="15395" xr:uid="{00000000-0005-0000-0000-0000784D0000}"/>
    <cellStyle name="Normal 10 2 2 5 5 2 2" xfId="28963" xr:uid="{00000000-0005-0000-0000-0000794D0000}"/>
    <cellStyle name="Normal 10 2 2 5 5 2 2 2" xfId="56096" xr:uid="{00000000-0005-0000-0000-00007A4D0000}"/>
    <cellStyle name="Normal 10 2 2 5 5 2 3" xfId="42534" xr:uid="{00000000-0005-0000-0000-00007B4D0000}"/>
    <cellStyle name="Normal 10 2 2 5 5 3" xfId="22182" xr:uid="{00000000-0005-0000-0000-00007C4D0000}"/>
    <cellStyle name="Normal 10 2 2 5 5 3 2" xfId="49315" xr:uid="{00000000-0005-0000-0000-00007D4D0000}"/>
    <cellStyle name="Normal 10 2 2 5 5 4" xfId="35753" xr:uid="{00000000-0005-0000-0000-00007E4D0000}"/>
    <cellStyle name="Normal 10 2 2 5 6" xfId="12006" xr:uid="{00000000-0005-0000-0000-00007F4D0000}"/>
    <cellStyle name="Normal 10 2 2 5 6 2" xfId="25574" xr:uid="{00000000-0005-0000-0000-0000804D0000}"/>
    <cellStyle name="Normal 10 2 2 5 6 2 2" xfId="52707" xr:uid="{00000000-0005-0000-0000-0000814D0000}"/>
    <cellStyle name="Normal 10 2 2 5 6 3" xfId="39145" xr:uid="{00000000-0005-0000-0000-0000824D0000}"/>
    <cellStyle name="Normal 10 2 2 5 7" xfId="18793" xr:uid="{00000000-0005-0000-0000-0000834D0000}"/>
    <cellStyle name="Normal 10 2 2 5 7 2" xfId="45926" xr:uid="{00000000-0005-0000-0000-0000844D0000}"/>
    <cellStyle name="Normal 10 2 2 5 8" xfId="32364" xr:uid="{00000000-0005-0000-0000-0000854D0000}"/>
    <cellStyle name="Normal 10 2 2 6" xfId="5049" xr:uid="{00000000-0005-0000-0000-0000864D0000}"/>
    <cellStyle name="Normal 10 2 2 6 2" xfId="5050" xr:uid="{00000000-0005-0000-0000-0000874D0000}"/>
    <cellStyle name="Normal 10 2 2 6 2 2" xfId="5051" xr:uid="{00000000-0005-0000-0000-0000884D0000}"/>
    <cellStyle name="Normal 10 2 2 6 2 2 2" xfId="8613" xr:uid="{00000000-0005-0000-0000-0000894D0000}"/>
    <cellStyle name="Normal 10 2 2 6 2 2 2 2" xfId="15403" xr:uid="{00000000-0005-0000-0000-00008A4D0000}"/>
    <cellStyle name="Normal 10 2 2 6 2 2 2 2 2" xfId="28971" xr:uid="{00000000-0005-0000-0000-00008B4D0000}"/>
    <cellStyle name="Normal 10 2 2 6 2 2 2 2 2 2" xfId="56104" xr:uid="{00000000-0005-0000-0000-00008C4D0000}"/>
    <cellStyle name="Normal 10 2 2 6 2 2 2 2 3" xfId="42542" xr:uid="{00000000-0005-0000-0000-00008D4D0000}"/>
    <cellStyle name="Normal 10 2 2 6 2 2 2 3" xfId="22190" xr:uid="{00000000-0005-0000-0000-00008E4D0000}"/>
    <cellStyle name="Normal 10 2 2 6 2 2 2 3 2" xfId="49323" xr:uid="{00000000-0005-0000-0000-00008F4D0000}"/>
    <cellStyle name="Normal 10 2 2 6 2 2 2 4" xfId="35761" xr:uid="{00000000-0005-0000-0000-0000904D0000}"/>
    <cellStyle name="Normal 10 2 2 6 2 2 3" xfId="12014" xr:uid="{00000000-0005-0000-0000-0000914D0000}"/>
    <cellStyle name="Normal 10 2 2 6 2 2 3 2" xfId="25582" xr:uid="{00000000-0005-0000-0000-0000924D0000}"/>
    <cellStyle name="Normal 10 2 2 6 2 2 3 2 2" xfId="52715" xr:uid="{00000000-0005-0000-0000-0000934D0000}"/>
    <cellStyle name="Normal 10 2 2 6 2 2 3 3" xfId="39153" xr:uid="{00000000-0005-0000-0000-0000944D0000}"/>
    <cellStyle name="Normal 10 2 2 6 2 2 4" xfId="18801" xr:uid="{00000000-0005-0000-0000-0000954D0000}"/>
    <cellStyle name="Normal 10 2 2 6 2 2 4 2" xfId="45934" xr:uid="{00000000-0005-0000-0000-0000964D0000}"/>
    <cellStyle name="Normal 10 2 2 6 2 2 5" xfId="32372" xr:uid="{00000000-0005-0000-0000-0000974D0000}"/>
    <cellStyle name="Normal 10 2 2 6 2 3" xfId="5052" xr:uid="{00000000-0005-0000-0000-0000984D0000}"/>
    <cellStyle name="Normal 10 2 2 6 2 3 2" xfId="8614" xr:uid="{00000000-0005-0000-0000-0000994D0000}"/>
    <cellStyle name="Normal 10 2 2 6 2 3 2 2" xfId="15404" xr:uid="{00000000-0005-0000-0000-00009A4D0000}"/>
    <cellStyle name="Normal 10 2 2 6 2 3 2 2 2" xfId="28972" xr:uid="{00000000-0005-0000-0000-00009B4D0000}"/>
    <cellStyle name="Normal 10 2 2 6 2 3 2 2 2 2" xfId="56105" xr:uid="{00000000-0005-0000-0000-00009C4D0000}"/>
    <cellStyle name="Normal 10 2 2 6 2 3 2 2 3" xfId="42543" xr:uid="{00000000-0005-0000-0000-00009D4D0000}"/>
    <cellStyle name="Normal 10 2 2 6 2 3 2 3" xfId="22191" xr:uid="{00000000-0005-0000-0000-00009E4D0000}"/>
    <cellStyle name="Normal 10 2 2 6 2 3 2 3 2" xfId="49324" xr:uid="{00000000-0005-0000-0000-00009F4D0000}"/>
    <cellStyle name="Normal 10 2 2 6 2 3 2 4" xfId="35762" xr:uid="{00000000-0005-0000-0000-0000A04D0000}"/>
    <cellStyle name="Normal 10 2 2 6 2 3 3" xfId="12015" xr:uid="{00000000-0005-0000-0000-0000A14D0000}"/>
    <cellStyle name="Normal 10 2 2 6 2 3 3 2" xfId="25583" xr:uid="{00000000-0005-0000-0000-0000A24D0000}"/>
    <cellStyle name="Normal 10 2 2 6 2 3 3 2 2" xfId="52716" xr:uid="{00000000-0005-0000-0000-0000A34D0000}"/>
    <cellStyle name="Normal 10 2 2 6 2 3 3 3" xfId="39154" xr:uid="{00000000-0005-0000-0000-0000A44D0000}"/>
    <cellStyle name="Normal 10 2 2 6 2 3 4" xfId="18802" xr:uid="{00000000-0005-0000-0000-0000A54D0000}"/>
    <cellStyle name="Normal 10 2 2 6 2 3 4 2" xfId="45935" xr:uid="{00000000-0005-0000-0000-0000A64D0000}"/>
    <cellStyle name="Normal 10 2 2 6 2 3 5" xfId="32373" xr:uid="{00000000-0005-0000-0000-0000A74D0000}"/>
    <cellStyle name="Normal 10 2 2 6 2 4" xfId="8612" xr:uid="{00000000-0005-0000-0000-0000A84D0000}"/>
    <cellStyle name="Normal 10 2 2 6 2 4 2" xfId="15402" xr:uid="{00000000-0005-0000-0000-0000A94D0000}"/>
    <cellStyle name="Normal 10 2 2 6 2 4 2 2" xfId="28970" xr:uid="{00000000-0005-0000-0000-0000AA4D0000}"/>
    <cellStyle name="Normal 10 2 2 6 2 4 2 2 2" xfId="56103" xr:uid="{00000000-0005-0000-0000-0000AB4D0000}"/>
    <cellStyle name="Normal 10 2 2 6 2 4 2 3" xfId="42541" xr:uid="{00000000-0005-0000-0000-0000AC4D0000}"/>
    <cellStyle name="Normal 10 2 2 6 2 4 3" xfId="22189" xr:uid="{00000000-0005-0000-0000-0000AD4D0000}"/>
    <cellStyle name="Normal 10 2 2 6 2 4 3 2" xfId="49322" xr:uid="{00000000-0005-0000-0000-0000AE4D0000}"/>
    <cellStyle name="Normal 10 2 2 6 2 4 4" xfId="35760" xr:uid="{00000000-0005-0000-0000-0000AF4D0000}"/>
    <cellStyle name="Normal 10 2 2 6 2 5" xfId="12013" xr:uid="{00000000-0005-0000-0000-0000B04D0000}"/>
    <cellStyle name="Normal 10 2 2 6 2 5 2" xfId="25581" xr:uid="{00000000-0005-0000-0000-0000B14D0000}"/>
    <cellStyle name="Normal 10 2 2 6 2 5 2 2" xfId="52714" xr:uid="{00000000-0005-0000-0000-0000B24D0000}"/>
    <cellStyle name="Normal 10 2 2 6 2 5 3" xfId="39152" xr:uid="{00000000-0005-0000-0000-0000B34D0000}"/>
    <cellStyle name="Normal 10 2 2 6 2 6" xfId="18800" xr:uid="{00000000-0005-0000-0000-0000B44D0000}"/>
    <cellStyle name="Normal 10 2 2 6 2 6 2" xfId="45933" xr:uid="{00000000-0005-0000-0000-0000B54D0000}"/>
    <cellStyle name="Normal 10 2 2 6 2 7" xfId="32371" xr:uid="{00000000-0005-0000-0000-0000B64D0000}"/>
    <cellStyle name="Normal 10 2 2 6 3" xfId="5053" xr:uid="{00000000-0005-0000-0000-0000B74D0000}"/>
    <cellStyle name="Normal 10 2 2 6 3 2" xfId="8615" xr:uid="{00000000-0005-0000-0000-0000B84D0000}"/>
    <cellStyle name="Normal 10 2 2 6 3 2 2" xfId="15405" xr:uid="{00000000-0005-0000-0000-0000B94D0000}"/>
    <cellStyle name="Normal 10 2 2 6 3 2 2 2" xfId="28973" xr:uid="{00000000-0005-0000-0000-0000BA4D0000}"/>
    <cellStyle name="Normal 10 2 2 6 3 2 2 2 2" xfId="56106" xr:uid="{00000000-0005-0000-0000-0000BB4D0000}"/>
    <cellStyle name="Normal 10 2 2 6 3 2 2 3" xfId="42544" xr:uid="{00000000-0005-0000-0000-0000BC4D0000}"/>
    <cellStyle name="Normal 10 2 2 6 3 2 3" xfId="22192" xr:uid="{00000000-0005-0000-0000-0000BD4D0000}"/>
    <cellStyle name="Normal 10 2 2 6 3 2 3 2" xfId="49325" xr:uid="{00000000-0005-0000-0000-0000BE4D0000}"/>
    <cellStyle name="Normal 10 2 2 6 3 2 4" xfId="35763" xr:uid="{00000000-0005-0000-0000-0000BF4D0000}"/>
    <cellStyle name="Normal 10 2 2 6 3 3" xfId="12016" xr:uid="{00000000-0005-0000-0000-0000C04D0000}"/>
    <cellStyle name="Normal 10 2 2 6 3 3 2" xfId="25584" xr:uid="{00000000-0005-0000-0000-0000C14D0000}"/>
    <cellStyle name="Normal 10 2 2 6 3 3 2 2" xfId="52717" xr:uid="{00000000-0005-0000-0000-0000C24D0000}"/>
    <cellStyle name="Normal 10 2 2 6 3 3 3" xfId="39155" xr:uid="{00000000-0005-0000-0000-0000C34D0000}"/>
    <cellStyle name="Normal 10 2 2 6 3 4" xfId="18803" xr:uid="{00000000-0005-0000-0000-0000C44D0000}"/>
    <cellStyle name="Normal 10 2 2 6 3 4 2" xfId="45936" xr:uid="{00000000-0005-0000-0000-0000C54D0000}"/>
    <cellStyle name="Normal 10 2 2 6 3 5" xfId="32374" xr:uid="{00000000-0005-0000-0000-0000C64D0000}"/>
    <cellStyle name="Normal 10 2 2 6 4" xfId="5054" xr:uid="{00000000-0005-0000-0000-0000C74D0000}"/>
    <cellStyle name="Normal 10 2 2 6 4 2" xfId="8616" xr:uid="{00000000-0005-0000-0000-0000C84D0000}"/>
    <cellStyle name="Normal 10 2 2 6 4 2 2" xfId="15406" xr:uid="{00000000-0005-0000-0000-0000C94D0000}"/>
    <cellStyle name="Normal 10 2 2 6 4 2 2 2" xfId="28974" xr:uid="{00000000-0005-0000-0000-0000CA4D0000}"/>
    <cellStyle name="Normal 10 2 2 6 4 2 2 2 2" xfId="56107" xr:uid="{00000000-0005-0000-0000-0000CB4D0000}"/>
    <cellStyle name="Normal 10 2 2 6 4 2 2 3" xfId="42545" xr:uid="{00000000-0005-0000-0000-0000CC4D0000}"/>
    <cellStyle name="Normal 10 2 2 6 4 2 3" xfId="22193" xr:uid="{00000000-0005-0000-0000-0000CD4D0000}"/>
    <cellStyle name="Normal 10 2 2 6 4 2 3 2" xfId="49326" xr:uid="{00000000-0005-0000-0000-0000CE4D0000}"/>
    <cellStyle name="Normal 10 2 2 6 4 2 4" xfId="35764" xr:uid="{00000000-0005-0000-0000-0000CF4D0000}"/>
    <cellStyle name="Normal 10 2 2 6 4 3" xfId="12017" xr:uid="{00000000-0005-0000-0000-0000D04D0000}"/>
    <cellStyle name="Normal 10 2 2 6 4 3 2" xfId="25585" xr:uid="{00000000-0005-0000-0000-0000D14D0000}"/>
    <cellStyle name="Normal 10 2 2 6 4 3 2 2" xfId="52718" xr:uid="{00000000-0005-0000-0000-0000D24D0000}"/>
    <cellStyle name="Normal 10 2 2 6 4 3 3" xfId="39156" xr:uid="{00000000-0005-0000-0000-0000D34D0000}"/>
    <cellStyle name="Normal 10 2 2 6 4 4" xfId="18804" xr:uid="{00000000-0005-0000-0000-0000D44D0000}"/>
    <cellStyle name="Normal 10 2 2 6 4 4 2" xfId="45937" xr:uid="{00000000-0005-0000-0000-0000D54D0000}"/>
    <cellStyle name="Normal 10 2 2 6 4 5" xfId="32375" xr:uid="{00000000-0005-0000-0000-0000D64D0000}"/>
    <cellStyle name="Normal 10 2 2 6 5" xfId="8611" xr:uid="{00000000-0005-0000-0000-0000D74D0000}"/>
    <cellStyle name="Normal 10 2 2 6 5 2" xfId="15401" xr:uid="{00000000-0005-0000-0000-0000D84D0000}"/>
    <cellStyle name="Normal 10 2 2 6 5 2 2" xfId="28969" xr:uid="{00000000-0005-0000-0000-0000D94D0000}"/>
    <cellStyle name="Normal 10 2 2 6 5 2 2 2" xfId="56102" xr:uid="{00000000-0005-0000-0000-0000DA4D0000}"/>
    <cellStyle name="Normal 10 2 2 6 5 2 3" xfId="42540" xr:uid="{00000000-0005-0000-0000-0000DB4D0000}"/>
    <cellStyle name="Normal 10 2 2 6 5 3" xfId="22188" xr:uid="{00000000-0005-0000-0000-0000DC4D0000}"/>
    <cellStyle name="Normal 10 2 2 6 5 3 2" xfId="49321" xr:uid="{00000000-0005-0000-0000-0000DD4D0000}"/>
    <cellStyle name="Normal 10 2 2 6 5 4" xfId="35759" xr:uid="{00000000-0005-0000-0000-0000DE4D0000}"/>
    <cellStyle name="Normal 10 2 2 6 6" xfId="12012" xr:uid="{00000000-0005-0000-0000-0000DF4D0000}"/>
    <cellStyle name="Normal 10 2 2 6 6 2" xfId="25580" xr:uid="{00000000-0005-0000-0000-0000E04D0000}"/>
    <cellStyle name="Normal 10 2 2 6 6 2 2" xfId="52713" xr:uid="{00000000-0005-0000-0000-0000E14D0000}"/>
    <cellStyle name="Normal 10 2 2 6 6 3" xfId="39151" xr:uid="{00000000-0005-0000-0000-0000E24D0000}"/>
    <cellStyle name="Normal 10 2 2 6 7" xfId="18799" xr:uid="{00000000-0005-0000-0000-0000E34D0000}"/>
    <cellStyle name="Normal 10 2 2 6 7 2" xfId="45932" xr:uid="{00000000-0005-0000-0000-0000E44D0000}"/>
    <cellStyle name="Normal 10 2 2 6 8" xfId="32370" xr:uid="{00000000-0005-0000-0000-0000E54D0000}"/>
    <cellStyle name="Normal 10 2 2 7" xfId="5055" xr:uid="{00000000-0005-0000-0000-0000E64D0000}"/>
    <cellStyle name="Normal 10 2 2 7 2" xfId="5056" xr:uid="{00000000-0005-0000-0000-0000E74D0000}"/>
    <cellStyle name="Normal 10 2 2 7 2 2" xfId="8618" xr:uid="{00000000-0005-0000-0000-0000E84D0000}"/>
    <cellStyle name="Normal 10 2 2 7 2 2 2" xfId="15408" xr:uid="{00000000-0005-0000-0000-0000E94D0000}"/>
    <cellStyle name="Normal 10 2 2 7 2 2 2 2" xfId="28976" xr:uid="{00000000-0005-0000-0000-0000EA4D0000}"/>
    <cellStyle name="Normal 10 2 2 7 2 2 2 2 2" xfId="56109" xr:uid="{00000000-0005-0000-0000-0000EB4D0000}"/>
    <cellStyle name="Normal 10 2 2 7 2 2 2 3" xfId="42547" xr:uid="{00000000-0005-0000-0000-0000EC4D0000}"/>
    <cellStyle name="Normal 10 2 2 7 2 2 3" xfId="22195" xr:uid="{00000000-0005-0000-0000-0000ED4D0000}"/>
    <cellStyle name="Normal 10 2 2 7 2 2 3 2" xfId="49328" xr:uid="{00000000-0005-0000-0000-0000EE4D0000}"/>
    <cellStyle name="Normal 10 2 2 7 2 2 4" xfId="35766" xr:uid="{00000000-0005-0000-0000-0000EF4D0000}"/>
    <cellStyle name="Normal 10 2 2 7 2 3" xfId="12019" xr:uid="{00000000-0005-0000-0000-0000F04D0000}"/>
    <cellStyle name="Normal 10 2 2 7 2 3 2" xfId="25587" xr:uid="{00000000-0005-0000-0000-0000F14D0000}"/>
    <cellStyle name="Normal 10 2 2 7 2 3 2 2" xfId="52720" xr:uid="{00000000-0005-0000-0000-0000F24D0000}"/>
    <cellStyle name="Normal 10 2 2 7 2 3 3" xfId="39158" xr:uid="{00000000-0005-0000-0000-0000F34D0000}"/>
    <cellStyle name="Normal 10 2 2 7 2 4" xfId="18806" xr:uid="{00000000-0005-0000-0000-0000F44D0000}"/>
    <cellStyle name="Normal 10 2 2 7 2 4 2" xfId="45939" xr:uid="{00000000-0005-0000-0000-0000F54D0000}"/>
    <cellStyle name="Normal 10 2 2 7 2 5" xfId="32377" xr:uid="{00000000-0005-0000-0000-0000F64D0000}"/>
    <cellStyle name="Normal 10 2 2 7 3" xfId="5057" xr:uid="{00000000-0005-0000-0000-0000F74D0000}"/>
    <cellStyle name="Normal 10 2 2 7 3 2" xfId="8619" xr:uid="{00000000-0005-0000-0000-0000F84D0000}"/>
    <cellStyle name="Normal 10 2 2 7 3 2 2" xfId="15409" xr:uid="{00000000-0005-0000-0000-0000F94D0000}"/>
    <cellStyle name="Normal 10 2 2 7 3 2 2 2" xfId="28977" xr:uid="{00000000-0005-0000-0000-0000FA4D0000}"/>
    <cellStyle name="Normal 10 2 2 7 3 2 2 2 2" xfId="56110" xr:uid="{00000000-0005-0000-0000-0000FB4D0000}"/>
    <cellStyle name="Normal 10 2 2 7 3 2 2 3" xfId="42548" xr:uid="{00000000-0005-0000-0000-0000FC4D0000}"/>
    <cellStyle name="Normal 10 2 2 7 3 2 3" xfId="22196" xr:uid="{00000000-0005-0000-0000-0000FD4D0000}"/>
    <cellStyle name="Normal 10 2 2 7 3 2 3 2" xfId="49329" xr:uid="{00000000-0005-0000-0000-0000FE4D0000}"/>
    <cellStyle name="Normal 10 2 2 7 3 2 4" xfId="35767" xr:uid="{00000000-0005-0000-0000-0000FF4D0000}"/>
    <cellStyle name="Normal 10 2 2 7 3 3" xfId="12020" xr:uid="{00000000-0005-0000-0000-0000004E0000}"/>
    <cellStyle name="Normal 10 2 2 7 3 3 2" xfId="25588" xr:uid="{00000000-0005-0000-0000-0000014E0000}"/>
    <cellStyle name="Normal 10 2 2 7 3 3 2 2" xfId="52721" xr:uid="{00000000-0005-0000-0000-0000024E0000}"/>
    <cellStyle name="Normal 10 2 2 7 3 3 3" xfId="39159" xr:uid="{00000000-0005-0000-0000-0000034E0000}"/>
    <cellStyle name="Normal 10 2 2 7 3 4" xfId="18807" xr:uid="{00000000-0005-0000-0000-0000044E0000}"/>
    <cellStyle name="Normal 10 2 2 7 3 4 2" xfId="45940" xr:uid="{00000000-0005-0000-0000-0000054E0000}"/>
    <cellStyle name="Normal 10 2 2 7 3 5" xfId="32378" xr:uid="{00000000-0005-0000-0000-0000064E0000}"/>
    <cellStyle name="Normal 10 2 2 7 4" xfId="8617" xr:uid="{00000000-0005-0000-0000-0000074E0000}"/>
    <cellStyle name="Normal 10 2 2 7 4 2" xfId="15407" xr:uid="{00000000-0005-0000-0000-0000084E0000}"/>
    <cellStyle name="Normal 10 2 2 7 4 2 2" xfId="28975" xr:uid="{00000000-0005-0000-0000-0000094E0000}"/>
    <cellStyle name="Normal 10 2 2 7 4 2 2 2" xfId="56108" xr:uid="{00000000-0005-0000-0000-00000A4E0000}"/>
    <cellStyle name="Normal 10 2 2 7 4 2 3" xfId="42546" xr:uid="{00000000-0005-0000-0000-00000B4E0000}"/>
    <cellStyle name="Normal 10 2 2 7 4 3" xfId="22194" xr:uid="{00000000-0005-0000-0000-00000C4E0000}"/>
    <cellStyle name="Normal 10 2 2 7 4 3 2" xfId="49327" xr:uid="{00000000-0005-0000-0000-00000D4E0000}"/>
    <cellStyle name="Normal 10 2 2 7 4 4" xfId="35765" xr:uid="{00000000-0005-0000-0000-00000E4E0000}"/>
    <cellStyle name="Normal 10 2 2 7 5" xfId="12018" xr:uid="{00000000-0005-0000-0000-00000F4E0000}"/>
    <cellStyle name="Normal 10 2 2 7 5 2" xfId="25586" xr:uid="{00000000-0005-0000-0000-0000104E0000}"/>
    <cellStyle name="Normal 10 2 2 7 5 2 2" xfId="52719" xr:uid="{00000000-0005-0000-0000-0000114E0000}"/>
    <cellStyle name="Normal 10 2 2 7 5 3" xfId="39157" xr:uid="{00000000-0005-0000-0000-0000124E0000}"/>
    <cellStyle name="Normal 10 2 2 7 6" xfId="18805" xr:uid="{00000000-0005-0000-0000-0000134E0000}"/>
    <cellStyle name="Normal 10 2 2 7 6 2" xfId="45938" xr:uid="{00000000-0005-0000-0000-0000144E0000}"/>
    <cellStyle name="Normal 10 2 2 7 7" xfId="32376" xr:uid="{00000000-0005-0000-0000-0000154E0000}"/>
    <cellStyle name="Normal 10 2 2 8" xfId="5058" xr:uid="{00000000-0005-0000-0000-0000164E0000}"/>
    <cellStyle name="Normal 10 2 2 8 2" xfId="5059" xr:uid="{00000000-0005-0000-0000-0000174E0000}"/>
    <cellStyle name="Normal 10 2 2 8 2 2" xfId="8621" xr:uid="{00000000-0005-0000-0000-0000184E0000}"/>
    <cellStyle name="Normal 10 2 2 8 2 2 2" xfId="15411" xr:uid="{00000000-0005-0000-0000-0000194E0000}"/>
    <cellStyle name="Normal 10 2 2 8 2 2 2 2" xfId="28979" xr:uid="{00000000-0005-0000-0000-00001A4E0000}"/>
    <cellStyle name="Normal 10 2 2 8 2 2 2 2 2" xfId="56112" xr:uid="{00000000-0005-0000-0000-00001B4E0000}"/>
    <cellStyle name="Normal 10 2 2 8 2 2 2 3" xfId="42550" xr:uid="{00000000-0005-0000-0000-00001C4E0000}"/>
    <cellStyle name="Normal 10 2 2 8 2 2 3" xfId="22198" xr:uid="{00000000-0005-0000-0000-00001D4E0000}"/>
    <cellStyle name="Normal 10 2 2 8 2 2 3 2" xfId="49331" xr:uid="{00000000-0005-0000-0000-00001E4E0000}"/>
    <cellStyle name="Normal 10 2 2 8 2 2 4" xfId="35769" xr:uid="{00000000-0005-0000-0000-00001F4E0000}"/>
    <cellStyle name="Normal 10 2 2 8 2 3" xfId="12022" xr:uid="{00000000-0005-0000-0000-0000204E0000}"/>
    <cellStyle name="Normal 10 2 2 8 2 3 2" xfId="25590" xr:uid="{00000000-0005-0000-0000-0000214E0000}"/>
    <cellStyle name="Normal 10 2 2 8 2 3 2 2" xfId="52723" xr:uid="{00000000-0005-0000-0000-0000224E0000}"/>
    <cellStyle name="Normal 10 2 2 8 2 3 3" xfId="39161" xr:uid="{00000000-0005-0000-0000-0000234E0000}"/>
    <cellStyle name="Normal 10 2 2 8 2 4" xfId="18809" xr:uid="{00000000-0005-0000-0000-0000244E0000}"/>
    <cellStyle name="Normal 10 2 2 8 2 4 2" xfId="45942" xr:uid="{00000000-0005-0000-0000-0000254E0000}"/>
    <cellStyle name="Normal 10 2 2 8 2 5" xfId="32380" xr:uid="{00000000-0005-0000-0000-0000264E0000}"/>
    <cellStyle name="Normal 10 2 2 8 3" xfId="5060" xr:uid="{00000000-0005-0000-0000-0000274E0000}"/>
    <cellStyle name="Normal 10 2 2 8 3 2" xfId="8622" xr:uid="{00000000-0005-0000-0000-0000284E0000}"/>
    <cellStyle name="Normal 10 2 2 8 3 2 2" xfId="15412" xr:uid="{00000000-0005-0000-0000-0000294E0000}"/>
    <cellStyle name="Normal 10 2 2 8 3 2 2 2" xfId="28980" xr:uid="{00000000-0005-0000-0000-00002A4E0000}"/>
    <cellStyle name="Normal 10 2 2 8 3 2 2 2 2" xfId="56113" xr:uid="{00000000-0005-0000-0000-00002B4E0000}"/>
    <cellStyle name="Normal 10 2 2 8 3 2 2 3" xfId="42551" xr:uid="{00000000-0005-0000-0000-00002C4E0000}"/>
    <cellStyle name="Normal 10 2 2 8 3 2 3" xfId="22199" xr:uid="{00000000-0005-0000-0000-00002D4E0000}"/>
    <cellStyle name="Normal 10 2 2 8 3 2 3 2" xfId="49332" xr:uid="{00000000-0005-0000-0000-00002E4E0000}"/>
    <cellStyle name="Normal 10 2 2 8 3 2 4" xfId="35770" xr:uid="{00000000-0005-0000-0000-00002F4E0000}"/>
    <cellStyle name="Normal 10 2 2 8 3 3" xfId="12023" xr:uid="{00000000-0005-0000-0000-0000304E0000}"/>
    <cellStyle name="Normal 10 2 2 8 3 3 2" xfId="25591" xr:uid="{00000000-0005-0000-0000-0000314E0000}"/>
    <cellStyle name="Normal 10 2 2 8 3 3 2 2" xfId="52724" xr:uid="{00000000-0005-0000-0000-0000324E0000}"/>
    <cellStyle name="Normal 10 2 2 8 3 3 3" xfId="39162" xr:uid="{00000000-0005-0000-0000-0000334E0000}"/>
    <cellStyle name="Normal 10 2 2 8 3 4" xfId="18810" xr:uid="{00000000-0005-0000-0000-0000344E0000}"/>
    <cellStyle name="Normal 10 2 2 8 3 4 2" xfId="45943" xr:uid="{00000000-0005-0000-0000-0000354E0000}"/>
    <cellStyle name="Normal 10 2 2 8 3 5" xfId="32381" xr:uid="{00000000-0005-0000-0000-0000364E0000}"/>
    <cellStyle name="Normal 10 2 2 8 4" xfId="8620" xr:uid="{00000000-0005-0000-0000-0000374E0000}"/>
    <cellStyle name="Normal 10 2 2 8 4 2" xfId="15410" xr:uid="{00000000-0005-0000-0000-0000384E0000}"/>
    <cellStyle name="Normal 10 2 2 8 4 2 2" xfId="28978" xr:uid="{00000000-0005-0000-0000-0000394E0000}"/>
    <cellStyle name="Normal 10 2 2 8 4 2 2 2" xfId="56111" xr:uid="{00000000-0005-0000-0000-00003A4E0000}"/>
    <cellStyle name="Normal 10 2 2 8 4 2 3" xfId="42549" xr:uid="{00000000-0005-0000-0000-00003B4E0000}"/>
    <cellStyle name="Normal 10 2 2 8 4 3" xfId="22197" xr:uid="{00000000-0005-0000-0000-00003C4E0000}"/>
    <cellStyle name="Normal 10 2 2 8 4 3 2" xfId="49330" xr:uid="{00000000-0005-0000-0000-00003D4E0000}"/>
    <cellStyle name="Normal 10 2 2 8 4 4" xfId="35768" xr:uid="{00000000-0005-0000-0000-00003E4E0000}"/>
    <cellStyle name="Normal 10 2 2 8 5" xfId="12021" xr:uid="{00000000-0005-0000-0000-00003F4E0000}"/>
    <cellStyle name="Normal 10 2 2 8 5 2" xfId="25589" xr:uid="{00000000-0005-0000-0000-0000404E0000}"/>
    <cellStyle name="Normal 10 2 2 8 5 2 2" xfId="52722" xr:uid="{00000000-0005-0000-0000-0000414E0000}"/>
    <cellStyle name="Normal 10 2 2 8 5 3" xfId="39160" xr:uid="{00000000-0005-0000-0000-0000424E0000}"/>
    <cellStyle name="Normal 10 2 2 8 6" xfId="18808" xr:uid="{00000000-0005-0000-0000-0000434E0000}"/>
    <cellStyle name="Normal 10 2 2 8 6 2" xfId="45941" xr:uid="{00000000-0005-0000-0000-0000444E0000}"/>
    <cellStyle name="Normal 10 2 2 8 7" xfId="32379" xr:uid="{00000000-0005-0000-0000-0000454E0000}"/>
    <cellStyle name="Normal 10 2 2 9" xfId="5061" xr:uid="{00000000-0005-0000-0000-0000464E0000}"/>
    <cellStyle name="Normal 10 2 2 9 2" xfId="8623" xr:uid="{00000000-0005-0000-0000-0000474E0000}"/>
    <cellStyle name="Normal 10 2 2 9 2 2" xfId="15413" xr:uid="{00000000-0005-0000-0000-0000484E0000}"/>
    <cellStyle name="Normal 10 2 2 9 2 2 2" xfId="28981" xr:uid="{00000000-0005-0000-0000-0000494E0000}"/>
    <cellStyle name="Normal 10 2 2 9 2 2 2 2" xfId="56114" xr:uid="{00000000-0005-0000-0000-00004A4E0000}"/>
    <cellStyle name="Normal 10 2 2 9 2 2 3" xfId="42552" xr:uid="{00000000-0005-0000-0000-00004B4E0000}"/>
    <cellStyle name="Normal 10 2 2 9 2 3" xfId="22200" xr:uid="{00000000-0005-0000-0000-00004C4E0000}"/>
    <cellStyle name="Normal 10 2 2 9 2 3 2" xfId="49333" xr:uid="{00000000-0005-0000-0000-00004D4E0000}"/>
    <cellStyle name="Normal 10 2 2 9 2 4" xfId="35771" xr:uid="{00000000-0005-0000-0000-00004E4E0000}"/>
    <cellStyle name="Normal 10 2 2 9 3" xfId="12024" xr:uid="{00000000-0005-0000-0000-00004F4E0000}"/>
    <cellStyle name="Normal 10 2 2 9 3 2" xfId="25592" xr:uid="{00000000-0005-0000-0000-0000504E0000}"/>
    <cellStyle name="Normal 10 2 2 9 3 2 2" xfId="52725" xr:uid="{00000000-0005-0000-0000-0000514E0000}"/>
    <cellStyle name="Normal 10 2 2 9 3 3" xfId="39163" xr:uid="{00000000-0005-0000-0000-0000524E0000}"/>
    <cellStyle name="Normal 10 2 2 9 4" xfId="18811" xr:uid="{00000000-0005-0000-0000-0000534E0000}"/>
    <cellStyle name="Normal 10 2 2 9 4 2" xfId="45944" xr:uid="{00000000-0005-0000-0000-0000544E0000}"/>
    <cellStyle name="Normal 10 2 2 9 5" xfId="32382" xr:uid="{00000000-0005-0000-0000-0000554E0000}"/>
    <cellStyle name="Normal 10 2 3" xfId="5062" xr:uid="{00000000-0005-0000-0000-0000564E0000}"/>
    <cellStyle name="Normal 10 2 4" xfId="5063" xr:uid="{00000000-0005-0000-0000-0000574E0000}"/>
    <cellStyle name="Normal 10 2 4 10" xfId="8624" xr:uid="{00000000-0005-0000-0000-0000584E0000}"/>
    <cellStyle name="Normal 10 2 4 10 2" xfId="15414" xr:uid="{00000000-0005-0000-0000-0000594E0000}"/>
    <cellStyle name="Normal 10 2 4 10 2 2" xfId="28982" xr:uid="{00000000-0005-0000-0000-00005A4E0000}"/>
    <cellStyle name="Normal 10 2 4 10 2 2 2" xfId="56115" xr:uid="{00000000-0005-0000-0000-00005B4E0000}"/>
    <cellStyle name="Normal 10 2 4 10 2 3" xfId="42553" xr:uid="{00000000-0005-0000-0000-00005C4E0000}"/>
    <cellStyle name="Normal 10 2 4 10 3" xfId="22201" xr:uid="{00000000-0005-0000-0000-00005D4E0000}"/>
    <cellStyle name="Normal 10 2 4 10 3 2" xfId="49334" xr:uid="{00000000-0005-0000-0000-00005E4E0000}"/>
    <cellStyle name="Normal 10 2 4 10 4" xfId="35772" xr:uid="{00000000-0005-0000-0000-00005F4E0000}"/>
    <cellStyle name="Normal 10 2 4 11" xfId="12025" xr:uid="{00000000-0005-0000-0000-0000604E0000}"/>
    <cellStyle name="Normal 10 2 4 11 2" xfId="25593" xr:uid="{00000000-0005-0000-0000-0000614E0000}"/>
    <cellStyle name="Normal 10 2 4 11 2 2" xfId="52726" xr:uid="{00000000-0005-0000-0000-0000624E0000}"/>
    <cellStyle name="Normal 10 2 4 11 3" xfId="39164" xr:uid="{00000000-0005-0000-0000-0000634E0000}"/>
    <cellStyle name="Normal 10 2 4 12" xfId="18812" xr:uid="{00000000-0005-0000-0000-0000644E0000}"/>
    <cellStyle name="Normal 10 2 4 12 2" xfId="45945" xr:uid="{00000000-0005-0000-0000-0000654E0000}"/>
    <cellStyle name="Normal 10 2 4 13" xfId="32383" xr:uid="{00000000-0005-0000-0000-0000664E0000}"/>
    <cellStyle name="Normal 10 2 4 2" xfId="5064" xr:uid="{00000000-0005-0000-0000-0000674E0000}"/>
    <cellStyle name="Normal 10 2 4 2 10" xfId="32384" xr:uid="{00000000-0005-0000-0000-0000684E0000}"/>
    <cellStyle name="Normal 10 2 4 2 2" xfId="5065" xr:uid="{00000000-0005-0000-0000-0000694E0000}"/>
    <cellStyle name="Normal 10 2 4 2 2 2" xfId="5066" xr:uid="{00000000-0005-0000-0000-00006A4E0000}"/>
    <cellStyle name="Normal 10 2 4 2 2 2 2" xfId="5067" xr:uid="{00000000-0005-0000-0000-00006B4E0000}"/>
    <cellStyle name="Normal 10 2 4 2 2 2 2 2" xfId="8628" xr:uid="{00000000-0005-0000-0000-00006C4E0000}"/>
    <cellStyle name="Normal 10 2 4 2 2 2 2 2 2" xfId="15418" xr:uid="{00000000-0005-0000-0000-00006D4E0000}"/>
    <cellStyle name="Normal 10 2 4 2 2 2 2 2 2 2" xfId="28986" xr:uid="{00000000-0005-0000-0000-00006E4E0000}"/>
    <cellStyle name="Normal 10 2 4 2 2 2 2 2 2 2 2" xfId="56119" xr:uid="{00000000-0005-0000-0000-00006F4E0000}"/>
    <cellStyle name="Normal 10 2 4 2 2 2 2 2 2 3" xfId="42557" xr:uid="{00000000-0005-0000-0000-0000704E0000}"/>
    <cellStyle name="Normal 10 2 4 2 2 2 2 2 3" xfId="22205" xr:uid="{00000000-0005-0000-0000-0000714E0000}"/>
    <cellStyle name="Normal 10 2 4 2 2 2 2 2 3 2" xfId="49338" xr:uid="{00000000-0005-0000-0000-0000724E0000}"/>
    <cellStyle name="Normal 10 2 4 2 2 2 2 2 4" xfId="35776" xr:uid="{00000000-0005-0000-0000-0000734E0000}"/>
    <cellStyle name="Normal 10 2 4 2 2 2 2 3" xfId="12029" xr:uid="{00000000-0005-0000-0000-0000744E0000}"/>
    <cellStyle name="Normal 10 2 4 2 2 2 2 3 2" xfId="25597" xr:uid="{00000000-0005-0000-0000-0000754E0000}"/>
    <cellStyle name="Normal 10 2 4 2 2 2 2 3 2 2" xfId="52730" xr:uid="{00000000-0005-0000-0000-0000764E0000}"/>
    <cellStyle name="Normal 10 2 4 2 2 2 2 3 3" xfId="39168" xr:uid="{00000000-0005-0000-0000-0000774E0000}"/>
    <cellStyle name="Normal 10 2 4 2 2 2 2 4" xfId="18816" xr:uid="{00000000-0005-0000-0000-0000784E0000}"/>
    <cellStyle name="Normal 10 2 4 2 2 2 2 4 2" xfId="45949" xr:uid="{00000000-0005-0000-0000-0000794E0000}"/>
    <cellStyle name="Normal 10 2 4 2 2 2 2 5" xfId="32387" xr:uid="{00000000-0005-0000-0000-00007A4E0000}"/>
    <cellStyle name="Normal 10 2 4 2 2 2 3" xfId="5068" xr:uid="{00000000-0005-0000-0000-00007B4E0000}"/>
    <cellStyle name="Normal 10 2 4 2 2 2 3 2" xfId="8629" xr:uid="{00000000-0005-0000-0000-00007C4E0000}"/>
    <cellStyle name="Normal 10 2 4 2 2 2 3 2 2" xfId="15419" xr:uid="{00000000-0005-0000-0000-00007D4E0000}"/>
    <cellStyle name="Normal 10 2 4 2 2 2 3 2 2 2" xfId="28987" xr:uid="{00000000-0005-0000-0000-00007E4E0000}"/>
    <cellStyle name="Normal 10 2 4 2 2 2 3 2 2 2 2" xfId="56120" xr:uid="{00000000-0005-0000-0000-00007F4E0000}"/>
    <cellStyle name="Normal 10 2 4 2 2 2 3 2 2 3" xfId="42558" xr:uid="{00000000-0005-0000-0000-0000804E0000}"/>
    <cellStyle name="Normal 10 2 4 2 2 2 3 2 3" xfId="22206" xr:uid="{00000000-0005-0000-0000-0000814E0000}"/>
    <cellStyle name="Normal 10 2 4 2 2 2 3 2 3 2" xfId="49339" xr:uid="{00000000-0005-0000-0000-0000824E0000}"/>
    <cellStyle name="Normal 10 2 4 2 2 2 3 2 4" xfId="35777" xr:uid="{00000000-0005-0000-0000-0000834E0000}"/>
    <cellStyle name="Normal 10 2 4 2 2 2 3 3" xfId="12030" xr:uid="{00000000-0005-0000-0000-0000844E0000}"/>
    <cellStyle name="Normal 10 2 4 2 2 2 3 3 2" xfId="25598" xr:uid="{00000000-0005-0000-0000-0000854E0000}"/>
    <cellStyle name="Normal 10 2 4 2 2 2 3 3 2 2" xfId="52731" xr:uid="{00000000-0005-0000-0000-0000864E0000}"/>
    <cellStyle name="Normal 10 2 4 2 2 2 3 3 3" xfId="39169" xr:uid="{00000000-0005-0000-0000-0000874E0000}"/>
    <cellStyle name="Normal 10 2 4 2 2 2 3 4" xfId="18817" xr:uid="{00000000-0005-0000-0000-0000884E0000}"/>
    <cellStyle name="Normal 10 2 4 2 2 2 3 4 2" xfId="45950" xr:uid="{00000000-0005-0000-0000-0000894E0000}"/>
    <cellStyle name="Normal 10 2 4 2 2 2 3 5" xfId="32388" xr:uid="{00000000-0005-0000-0000-00008A4E0000}"/>
    <cellStyle name="Normal 10 2 4 2 2 2 4" xfId="8627" xr:uid="{00000000-0005-0000-0000-00008B4E0000}"/>
    <cellStyle name="Normal 10 2 4 2 2 2 4 2" xfId="15417" xr:uid="{00000000-0005-0000-0000-00008C4E0000}"/>
    <cellStyle name="Normal 10 2 4 2 2 2 4 2 2" xfId="28985" xr:uid="{00000000-0005-0000-0000-00008D4E0000}"/>
    <cellStyle name="Normal 10 2 4 2 2 2 4 2 2 2" xfId="56118" xr:uid="{00000000-0005-0000-0000-00008E4E0000}"/>
    <cellStyle name="Normal 10 2 4 2 2 2 4 2 3" xfId="42556" xr:uid="{00000000-0005-0000-0000-00008F4E0000}"/>
    <cellStyle name="Normal 10 2 4 2 2 2 4 3" xfId="22204" xr:uid="{00000000-0005-0000-0000-0000904E0000}"/>
    <cellStyle name="Normal 10 2 4 2 2 2 4 3 2" xfId="49337" xr:uid="{00000000-0005-0000-0000-0000914E0000}"/>
    <cellStyle name="Normal 10 2 4 2 2 2 4 4" xfId="35775" xr:uid="{00000000-0005-0000-0000-0000924E0000}"/>
    <cellStyle name="Normal 10 2 4 2 2 2 5" xfId="12028" xr:uid="{00000000-0005-0000-0000-0000934E0000}"/>
    <cellStyle name="Normal 10 2 4 2 2 2 5 2" xfId="25596" xr:uid="{00000000-0005-0000-0000-0000944E0000}"/>
    <cellStyle name="Normal 10 2 4 2 2 2 5 2 2" xfId="52729" xr:uid="{00000000-0005-0000-0000-0000954E0000}"/>
    <cellStyle name="Normal 10 2 4 2 2 2 5 3" xfId="39167" xr:uid="{00000000-0005-0000-0000-0000964E0000}"/>
    <cellStyle name="Normal 10 2 4 2 2 2 6" xfId="18815" xr:uid="{00000000-0005-0000-0000-0000974E0000}"/>
    <cellStyle name="Normal 10 2 4 2 2 2 6 2" xfId="45948" xr:uid="{00000000-0005-0000-0000-0000984E0000}"/>
    <cellStyle name="Normal 10 2 4 2 2 2 7" xfId="32386" xr:uid="{00000000-0005-0000-0000-0000994E0000}"/>
    <cellStyle name="Normal 10 2 4 2 2 3" xfId="5069" xr:uid="{00000000-0005-0000-0000-00009A4E0000}"/>
    <cellStyle name="Normal 10 2 4 2 2 3 2" xfId="5070" xr:uid="{00000000-0005-0000-0000-00009B4E0000}"/>
    <cellStyle name="Normal 10 2 4 2 2 3 2 2" xfId="8631" xr:uid="{00000000-0005-0000-0000-00009C4E0000}"/>
    <cellStyle name="Normal 10 2 4 2 2 3 2 2 2" xfId="15421" xr:uid="{00000000-0005-0000-0000-00009D4E0000}"/>
    <cellStyle name="Normal 10 2 4 2 2 3 2 2 2 2" xfId="28989" xr:uid="{00000000-0005-0000-0000-00009E4E0000}"/>
    <cellStyle name="Normal 10 2 4 2 2 3 2 2 2 2 2" xfId="56122" xr:uid="{00000000-0005-0000-0000-00009F4E0000}"/>
    <cellStyle name="Normal 10 2 4 2 2 3 2 2 2 3" xfId="42560" xr:uid="{00000000-0005-0000-0000-0000A04E0000}"/>
    <cellStyle name="Normal 10 2 4 2 2 3 2 2 3" xfId="22208" xr:uid="{00000000-0005-0000-0000-0000A14E0000}"/>
    <cellStyle name="Normal 10 2 4 2 2 3 2 2 3 2" xfId="49341" xr:uid="{00000000-0005-0000-0000-0000A24E0000}"/>
    <cellStyle name="Normal 10 2 4 2 2 3 2 2 4" xfId="35779" xr:uid="{00000000-0005-0000-0000-0000A34E0000}"/>
    <cellStyle name="Normal 10 2 4 2 2 3 2 3" xfId="12032" xr:uid="{00000000-0005-0000-0000-0000A44E0000}"/>
    <cellStyle name="Normal 10 2 4 2 2 3 2 3 2" xfId="25600" xr:uid="{00000000-0005-0000-0000-0000A54E0000}"/>
    <cellStyle name="Normal 10 2 4 2 2 3 2 3 2 2" xfId="52733" xr:uid="{00000000-0005-0000-0000-0000A64E0000}"/>
    <cellStyle name="Normal 10 2 4 2 2 3 2 3 3" xfId="39171" xr:uid="{00000000-0005-0000-0000-0000A74E0000}"/>
    <cellStyle name="Normal 10 2 4 2 2 3 2 4" xfId="18819" xr:uid="{00000000-0005-0000-0000-0000A84E0000}"/>
    <cellStyle name="Normal 10 2 4 2 2 3 2 4 2" xfId="45952" xr:uid="{00000000-0005-0000-0000-0000A94E0000}"/>
    <cellStyle name="Normal 10 2 4 2 2 3 2 5" xfId="32390" xr:uid="{00000000-0005-0000-0000-0000AA4E0000}"/>
    <cellStyle name="Normal 10 2 4 2 2 3 3" xfId="8630" xr:uid="{00000000-0005-0000-0000-0000AB4E0000}"/>
    <cellStyle name="Normal 10 2 4 2 2 3 3 2" xfId="15420" xr:uid="{00000000-0005-0000-0000-0000AC4E0000}"/>
    <cellStyle name="Normal 10 2 4 2 2 3 3 2 2" xfId="28988" xr:uid="{00000000-0005-0000-0000-0000AD4E0000}"/>
    <cellStyle name="Normal 10 2 4 2 2 3 3 2 2 2" xfId="56121" xr:uid="{00000000-0005-0000-0000-0000AE4E0000}"/>
    <cellStyle name="Normal 10 2 4 2 2 3 3 2 3" xfId="42559" xr:uid="{00000000-0005-0000-0000-0000AF4E0000}"/>
    <cellStyle name="Normal 10 2 4 2 2 3 3 3" xfId="22207" xr:uid="{00000000-0005-0000-0000-0000B04E0000}"/>
    <cellStyle name="Normal 10 2 4 2 2 3 3 3 2" xfId="49340" xr:uid="{00000000-0005-0000-0000-0000B14E0000}"/>
    <cellStyle name="Normal 10 2 4 2 2 3 3 4" xfId="35778" xr:uid="{00000000-0005-0000-0000-0000B24E0000}"/>
    <cellStyle name="Normal 10 2 4 2 2 3 4" xfId="12031" xr:uid="{00000000-0005-0000-0000-0000B34E0000}"/>
    <cellStyle name="Normal 10 2 4 2 2 3 4 2" xfId="25599" xr:uid="{00000000-0005-0000-0000-0000B44E0000}"/>
    <cellStyle name="Normal 10 2 4 2 2 3 4 2 2" xfId="52732" xr:uid="{00000000-0005-0000-0000-0000B54E0000}"/>
    <cellStyle name="Normal 10 2 4 2 2 3 4 3" xfId="39170" xr:uid="{00000000-0005-0000-0000-0000B64E0000}"/>
    <cellStyle name="Normal 10 2 4 2 2 3 5" xfId="18818" xr:uid="{00000000-0005-0000-0000-0000B74E0000}"/>
    <cellStyle name="Normal 10 2 4 2 2 3 5 2" xfId="45951" xr:uid="{00000000-0005-0000-0000-0000B84E0000}"/>
    <cellStyle name="Normal 10 2 4 2 2 3 6" xfId="32389" xr:uid="{00000000-0005-0000-0000-0000B94E0000}"/>
    <cellStyle name="Normal 10 2 4 2 2 4" xfId="5071" xr:uid="{00000000-0005-0000-0000-0000BA4E0000}"/>
    <cellStyle name="Normal 10 2 4 2 2 4 2" xfId="8632" xr:uid="{00000000-0005-0000-0000-0000BB4E0000}"/>
    <cellStyle name="Normal 10 2 4 2 2 4 2 2" xfId="15422" xr:uid="{00000000-0005-0000-0000-0000BC4E0000}"/>
    <cellStyle name="Normal 10 2 4 2 2 4 2 2 2" xfId="28990" xr:uid="{00000000-0005-0000-0000-0000BD4E0000}"/>
    <cellStyle name="Normal 10 2 4 2 2 4 2 2 2 2" xfId="56123" xr:uid="{00000000-0005-0000-0000-0000BE4E0000}"/>
    <cellStyle name="Normal 10 2 4 2 2 4 2 2 3" xfId="42561" xr:uid="{00000000-0005-0000-0000-0000BF4E0000}"/>
    <cellStyle name="Normal 10 2 4 2 2 4 2 3" xfId="22209" xr:uid="{00000000-0005-0000-0000-0000C04E0000}"/>
    <cellStyle name="Normal 10 2 4 2 2 4 2 3 2" xfId="49342" xr:uid="{00000000-0005-0000-0000-0000C14E0000}"/>
    <cellStyle name="Normal 10 2 4 2 2 4 2 4" xfId="35780" xr:uid="{00000000-0005-0000-0000-0000C24E0000}"/>
    <cellStyle name="Normal 10 2 4 2 2 4 3" xfId="12033" xr:uid="{00000000-0005-0000-0000-0000C34E0000}"/>
    <cellStyle name="Normal 10 2 4 2 2 4 3 2" xfId="25601" xr:uid="{00000000-0005-0000-0000-0000C44E0000}"/>
    <cellStyle name="Normal 10 2 4 2 2 4 3 2 2" xfId="52734" xr:uid="{00000000-0005-0000-0000-0000C54E0000}"/>
    <cellStyle name="Normal 10 2 4 2 2 4 3 3" xfId="39172" xr:uid="{00000000-0005-0000-0000-0000C64E0000}"/>
    <cellStyle name="Normal 10 2 4 2 2 4 4" xfId="18820" xr:uid="{00000000-0005-0000-0000-0000C74E0000}"/>
    <cellStyle name="Normal 10 2 4 2 2 4 4 2" xfId="45953" xr:uid="{00000000-0005-0000-0000-0000C84E0000}"/>
    <cellStyle name="Normal 10 2 4 2 2 4 5" xfId="32391" xr:uid="{00000000-0005-0000-0000-0000C94E0000}"/>
    <cellStyle name="Normal 10 2 4 2 2 5" xfId="5072" xr:uid="{00000000-0005-0000-0000-0000CA4E0000}"/>
    <cellStyle name="Normal 10 2 4 2 2 5 2" xfId="8633" xr:uid="{00000000-0005-0000-0000-0000CB4E0000}"/>
    <cellStyle name="Normal 10 2 4 2 2 5 2 2" xfId="15423" xr:uid="{00000000-0005-0000-0000-0000CC4E0000}"/>
    <cellStyle name="Normal 10 2 4 2 2 5 2 2 2" xfId="28991" xr:uid="{00000000-0005-0000-0000-0000CD4E0000}"/>
    <cellStyle name="Normal 10 2 4 2 2 5 2 2 2 2" xfId="56124" xr:uid="{00000000-0005-0000-0000-0000CE4E0000}"/>
    <cellStyle name="Normal 10 2 4 2 2 5 2 2 3" xfId="42562" xr:uid="{00000000-0005-0000-0000-0000CF4E0000}"/>
    <cellStyle name="Normal 10 2 4 2 2 5 2 3" xfId="22210" xr:uid="{00000000-0005-0000-0000-0000D04E0000}"/>
    <cellStyle name="Normal 10 2 4 2 2 5 2 3 2" xfId="49343" xr:uid="{00000000-0005-0000-0000-0000D14E0000}"/>
    <cellStyle name="Normal 10 2 4 2 2 5 2 4" xfId="35781" xr:uid="{00000000-0005-0000-0000-0000D24E0000}"/>
    <cellStyle name="Normal 10 2 4 2 2 5 3" xfId="12034" xr:uid="{00000000-0005-0000-0000-0000D34E0000}"/>
    <cellStyle name="Normal 10 2 4 2 2 5 3 2" xfId="25602" xr:uid="{00000000-0005-0000-0000-0000D44E0000}"/>
    <cellStyle name="Normal 10 2 4 2 2 5 3 2 2" xfId="52735" xr:uid="{00000000-0005-0000-0000-0000D54E0000}"/>
    <cellStyle name="Normal 10 2 4 2 2 5 3 3" xfId="39173" xr:uid="{00000000-0005-0000-0000-0000D64E0000}"/>
    <cellStyle name="Normal 10 2 4 2 2 5 4" xfId="18821" xr:uid="{00000000-0005-0000-0000-0000D74E0000}"/>
    <cellStyle name="Normal 10 2 4 2 2 5 4 2" xfId="45954" xr:uid="{00000000-0005-0000-0000-0000D84E0000}"/>
    <cellStyle name="Normal 10 2 4 2 2 5 5" xfId="32392" xr:uid="{00000000-0005-0000-0000-0000D94E0000}"/>
    <cellStyle name="Normal 10 2 4 2 2 6" xfId="8626" xr:uid="{00000000-0005-0000-0000-0000DA4E0000}"/>
    <cellStyle name="Normal 10 2 4 2 2 6 2" xfId="15416" xr:uid="{00000000-0005-0000-0000-0000DB4E0000}"/>
    <cellStyle name="Normal 10 2 4 2 2 6 2 2" xfId="28984" xr:uid="{00000000-0005-0000-0000-0000DC4E0000}"/>
    <cellStyle name="Normal 10 2 4 2 2 6 2 2 2" xfId="56117" xr:uid="{00000000-0005-0000-0000-0000DD4E0000}"/>
    <cellStyle name="Normal 10 2 4 2 2 6 2 3" xfId="42555" xr:uid="{00000000-0005-0000-0000-0000DE4E0000}"/>
    <cellStyle name="Normal 10 2 4 2 2 6 3" xfId="22203" xr:uid="{00000000-0005-0000-0000-0000DF4E0000}"/>
    <cellStyle name="Normal 10 2 4 2 2 6 3 2" xfId="49336" xr:uid="{00000000-0005-0000-0000-0000E04E0000}"/>
    <cellStyle name="Normal 10 2 4 2 2 6 4" xfId="35774" xr:uid="{00000000-0005-0000-0000-0000E14E0000}"/>
    <cellStyle name="Normal 10 2 4 2 2 7" xfId="12027" xr:uid="{00000000-0005-0000-0000-0000E24E0000}"/>
    <cellStyle name="Normal 10 2 4 2 2 7 2" xfId="25595" xr:uid="{00000000-0005-0000-0000-0000E34E0000}"/>
    <cellStyle name="Normal 10 2 4 2 2 7 2 2" xfId="52728" xr:uid="{00000000-0005-0000-0000-0000E44E0000}"/>
    <cellStyle name="Normal 10 2 4 2 2 7 3" xfId="39166" xr:uid="{00000000-0005-0000-0000-0000E54E0000}"/>
    <cellStyle name="Normal 10 2 4 2 2 8" xfId="18814" xr:uid="{00000000-0005-0000-0000-0000E64E0000}"/>
    <cellStyle name="Normal 10 2 4 2 2 8 2" xfId="45947" xr:uid="{00000000-0005-0000-0000-0000E74E0000}"/>
    <cellStyle name="Normal 10 2 4 2 2 9" xfId="32385" xr:uid="{00000000-0005-0000-0000-0000E84E0000}"/>
    <cellStyle name="Normal 10 2 4 2 3" xfId="5073" xr:uid="{00000000-0005-0000-0000-0000E94E0000}"/>
    <cellStyle name="Normal 10 2 4 2 3 2" xfId="5074" xr:uid="{00000000-0005-0000-0000-0000EA4E0000}"/>
    <cellStyle name="Normal 10 2 4 2 3 2 2" xfId="8635" xr:uid="{00000000-0005-0000-0000-0000EB4E0000}"/>
    <cellStyle name="Normal 10 2 4 2 3 2 2 2" xfId="15425" xr:uid="{00000000-0005-0000-0000-0000EC4E0000}"/>
    <cellStyle name="Normal 10 2 4 2 3 2 2 2 2" xfId="28993" xr:uid="{00000000-0005-0000-0000-0000ED4E0000}"/>
    <cellStyle name="Normal 10 2 4 2 3 2 2 2 2 2" xfId="56126" xr:uid="{00000000-0005-0000-0000-0000EE4E0000}"/>
    <cellStyle name="Normal 10 2 4 2 3 2 2 2 3" xfId="42564" xr:uid="{00000000-0005-0000-0000-0000EF4E0000}"/>
    <cellStyle name="Normal 10 2 4 2 3 2 2 3" xfId="22212" xr:uid="{00000000-0005-0000-0000-0000F04E0000}"/>
    <cellStyle name="Normal 10 2 4 2 3 2 2 3 2" xfId="49345" xr:uid="{00000000-0005-0000-0000-0000F14E0000}"/>
    <cellStyle name="Normal 10 2 4 2 3 2 2 4" xfId="35783" xr:uid="{00000000-0005-0000-0000-0000F24E0000}"/>
    <cellStyle name="Normal 10 2 4 2 3 2 3" xfId="12036" xr:uid="{00000000-0005-0000-0000-0000F34E0000}"/>
    <cellStyle name="Normal 10 2 4 2 3 2 3 2" xfId="25604" xr:uid="{00000000-0005-0000-0000-0000F44E0000}"/>
    <cellStyle name="Normal 10 2 4 2 3 2 3 2 2" xfId="52737" xr:uid="{00000000-0005-0000-0000-0000F54E0000}"/>
    <cellStyle name="Normal 10 2 4 2 3 2 3 3" xfId="39175" xr:uid="{00000000-0005-0000-0000-0000F64E0000}"/>
    <cellStyle name="Normal 10 2 4 2 3 2 4" xfId="18823" xr:uid="{00000000-0005-0000-0000-0000F74E0000}"/>
    <cellStyle name="Normal 10 2 4 2 3 2 4 2" xfId="45956" xr:uid="{00000000-0005-0000-0000-0000F84E0000}"/>
    <cellStyle name="Normal 10 2 4 2 3 2 5" xfId="32394" xr:uid="{00000000-0005-0000-0000-0000F94E0000}"/>
    <cellStyle name="Normal 10 2 4 2 3 3" xfId="5075" xr:uid="{00000000-0005-0000-0000-0000FA4E0000}"/>
    <cellStyle name="Normal 10 2 4 2 3 3 2" xfId="8636" xr:uid="{00000000-0005-0000-0000-0000FB4E0000}"/>
    <cellStyle name="Normal 10 2 4 2 3 3 2 2" xfId="15426" xr:uid="{00000000-0005-0000-0000-0000FC4E0000}"/>
    <cellStyle name="Normal 10 2 4 2 3 3 2 2 2" xfId="28994" xr:uid="{00000000-0005-0000-0000-0000FD4E0000}"/>
    <cellStyle name="Normal 10 2 4 2 3 3 2 2 2 2" xfId="56127" xr:uid="{00000000-0005-0000-0000-0000FE4E0000}"/>
    <cellStyle name="Normal 10 2 4 2 3 3 2 2 3" xfId="42565" xr:uid="{00000000-0005-0000-0000-0000FF4E0000}"/>
    <cellStyle name="Normal 10 2 4 2 3 3 2 3" xfId="22213" xr:uid="{00000000-0005-0000-0000-0000004F0000}"/>
    <cellStyle name="Normal 10 2 4 2 3 3 2 3 2" xfId="49346" xr:uid="{00000000-0005-0000-0000-0000014F0000}"/>
    <cellStyle name="Normal 10 2 4 2 3 3 2 4" xfId="35784" xr:uid="{00000000-0005-0000-0000-0000024F0000}"/>
    <cellStyle name="Normal 10 2 4 2 3 3 3" xfId="12037" xr:uid="{00000000-0005-0000-0000-0000034F0000}"/>
    <cellStyle name="Normal 10 2 4 2 3 3 3 2" xfId="25605" xr:uid="{00000000-0005-0000-0000-0000044F0000}"/>
    <cellStyle name="Normal 10 2 4 2 3 3 3 2 2" xfId="52738" xr:uid="{00000000-0005-0000-0000-0000054F0000}"/>
    <cellStyle name="Normal 10 2 4 2 3 3 3 3" xfId="39176" xr:uid="{00000000-0005-0000-0000-0000064F0000}"/>
    <cellStyle name="Normal 10 2 4 2 3 3 4" xfId="18824" xr:uid="{00000000-0005-0000-0000-0000074F0000}"/>
    <cellStyle name="Normal 10 2 4 2 3 3 4 2" xfId="45957" xr:uid="{00000000-0005-0000-0000-0000084F0000}"/>
    <cellStyle name="Normal 10 2 4 2 3 3 5" xfId="32395" xr:uid="{00000000-0005-0000-0000-0000094F0000}"/>
    <cellStyle name="Normal 10 2 4 2 3 4" xfId="8634" xr:uid="{00000000-0005-0000-0000-00000A4F0000}"/>
    <cellStyle name="Normal 10 2 4 2 3 4 2" xfId="15424" xr:uid="{00000000-0005-0000-0000-00000B4F0000}"/>
    <cellStyle name="Normal 10 2 4 2 3 4 2 2" xfId="28992" xr:uid="{00000000-0005-0000-0000-00000C4F0000}"/>
    <cellStyle name="Normal 10 2 4 2 3 4 2 2 2" xfId="56125" xr:uid="{00000000-0005-0000-0000-00000D4F0000}"/>
    <cellStyle name="Normal 10 2 4 2 3 4 2 3" xfId="42563" xr:uid="{00000000-0005-0000-0000-00000E4F0000}"/>
    <cellStyle name="Normal 10 2 4 2 3 4 3" xfId="22211" xr:uid="{00000000-0005-0000-0000-00000F4F0000}"/>
    <cellStyle name="Normal 10 2 4 2 3 4 3 2" xfId="49344" xr:uid="{00000000-0005-0000-0000-0000104F0000}"/>
    <cellStyle name="Normal 10 2 4 2 3 4 4" xfId="35782" xr:uid="{00000000-0005-0000-0000-0000114F0000}"/>
    <cellStyle name="Normal 10 2 4 2 3 5" xfId="12035" xr:uid="{00000000-0005-0000-0000-0000124F0000}"/>
    <cellStyle name="Normal 10 2 4 2 3 5 2" xfId="25603" xr:uid="{00000000-0005-0000-0000-0000134F0000}"/>
    <cellStyle name="Normal 10 2 4 2 3 5 2 2" xfId="52736" xr:uid="{00000000-0005-0000-0000-0000144F0000}"/>
    <cellStyle name="Normal 10 2 4 2 3 5 3" xfId="39174" xr:uid="{00000000-0005-0000-0000-0000154F0000}"/>
    <cellStyle name="Normal 10 2 4 2 3 6" xfId="18822" xr:uid="{00000000-0005-0000-0000-0000164F0000}"/>
    <cellStyle name="Normal 10 2 4 2 3 6 2" xfId="45955" xr:uid="{00000000-0005-0000-0000-0000174F0000}"/>
    <cellStyle name="Normal 10 2 4 2 3 7" xfId="32393" xr:uid="{00000000-0005-0000-0000-0000184F0000}"/>
    <cellStyle name="Normal 10 2 4 2 4" xfId="5076" xr:uid="{00000000-0005-0000-0000-0000194F0000}"/>
    <cellStyle name="Normal 10 2 4 2 4 2" xfId="5077" xr:uid="{00000000-0005-0000-0000-00001A4F0000}"/>
    <cellStyle name="Normal 10 2 4 2 4 2 2" xfId="8638" xr:uid="{00000000-0005-0000-0000-00001B4F0000}"/>
    <cellStyle name="Normal 10 2 4 2 4 2 2 2" xfId="15428" xr:uid="{00000000-0005-0000-0000-00001C4F0000}"/>
    <cellStyle name="Normal 10 2 4 2 4 2 2 2 2" xfId="28996" xr:uid="{00000000-0005-0000-0000-00001D4F0000}"/>
    <cellStyle name="Normal 10 2 4 2 4 2 2 2 2 2" xfId="56129" xr:uid="{00000000-0005-0000-0000-00001E4F0000}"/>
    <cellStyle name="Normal 10 2 4 2 4 2 2 2 3" xfId="42567" xr:uid="{00000000-0005-0000-0000-00001F4F0000}"/>
    <cellStyle name="Normal 10 2 4 2 4 2 2 3" xfId="22215" xr:uid="{00000000-0005-0000-0000-0000204F0000}"/>
    <cellStyle name="Normal 10 2 4 2 4 2 2 3 2" xfId="49348" xr:uid="{00000000-0005-0000-0000-0000214F0000}"/>
    <cellStyle name="Normal 10 2 4 2 4 2 2 4" xfId="35786" xr:uid="{00000000-0005-0000-0000-0000224F0000}"/>
    <cellStyle name="Normal 10 2 4 2 4 2 3" xfId="12039" xr:uid="{00000000-0005-0000-0000-0000234F0000}"/>
    <cellStyle name="Normal 10 2 4 2 4 2 3 2" xfId="25607" xr:uid="{00000000-0005-0000-0000-0000244F0000}"/>
    <cellStyle name="Normal 10 2 4 2 4 2 3 2 2" xfId="52740" xr:uid="{00000000-0005-0000-0000-0000254F0000}"/>
    <cellStyle name="Normal 10 2 4 2 4 2 3 3" xfId="39178" xr:uid="{00000000-0005-0000-0000-0000264F0000}"/>
    <cellStyle name="Normal 10 2 4 2 4 2 4" xfId="18826" xr:uid="{00000000-0005-0000-0000-0000274F0000}"/>
    <cellStyle name="Normal 10 2 4 2 4 2 4 2" xfId="45959" xr:uid="{00000000-0005-0000-0000-0000284F0000}"/>
    <cellStyle name="Normal 10 2 4 2 4 2 5" xfId="32397" xr:uid="{00000000-0005-0000-0000-0000294F0000}"/>
    <cellStyle name="Normal 10 2 4 2 4 3" xfId="8637" xr:uid="{00000000-0005-0000-0000-00002A4F0000}"/>
    <cellStyle name="Normal 10 2 4 2 4 3 2" xfId="15427" xr:uid="{00000000-0005-0000-0000-00002B4F0000}"/>
    <cellStyle name="Normal 10 2 4 2 4 3 2 2" xfId="28995" xr:uid="{00000000-0005-0000-0000-00002C4F0000}"/>
    <cellStyle name="Normal 10 2 4 2 4 3 2 2 2" xfId="56128" xr:uid="{00000000-0005-0000-0000-00002D4F0000}"/>
    <cellStyle name="Normal 10 2 4 2 4 3 2 3" xfId="42566" xr:uid="{00000000-0005-0000-0000-00002E4F0000}"/>
    <cellStyle name="Normal 10 2 4 2 4 3 3" xfId="22214" xr:uid="{00000000-0005-0000-0000-00002F4F0000}"/>
    <cellStyle name="Normal 10 2 4 2 4 3 3 2" xfId="49347" xr:uid="{00000000-0005-0000-0000-0000304F0000}"/>
    <cellStyle name="Normal 10 2 4 2 4 3 4" xfId="35785" xr:uid="{00000000-0005-0000-0000-0000314F0000}"/>
    <cellStyle name="Normal 10 2 4 2 4 4" xfId="12038" xr:uid="{00000000-0005-0000-0000-0000324F0000}"/>
    <cellStyle name="Normal 10 2 4 2 4 4 2" xfId="25606" xr:uid="{00000000-0005-0000-0000-0000334F0000}"/>
    <cellStyle name="Normal 10 2 4 2 4 4 2 2" xfId="52739" xr:uid="{00000000-0005-0000-0000-0000344F0000}"/>
    <cellStyle name="Normal 10 2 4 2 4 4 3" xfId="39177" xr:uid="{00000000-0005-0000-0000-0000354F0000}"/>
    <cellStyle name="Normal 10 2 4 2 4 5" xfId="18825" xr:uid="{00000000-0005-0000-0000-0000364F0000}"/>
    <cellStyle name="Normal 10 2 4 2 4 5 2" xfId="45958" xr:uid="{00000000-0005-0000-0000-0000374F0000}"/>
    <cellStyle name="Normal 10 2 4 2 4 6" xfId="32396" xr:uid="{00000000-0005-0000-0000-0000384F0000}"/>
    <cellStyle name="Normal 10 2 4 2 5" xfId="5078" xr:uid="{00000000-0005-0000-0000-0000394F0000}"/>
    <cellStyle name="Normal 10 2 4 2 5 2" xfId="8639" xr:uid="{00000000-0005-0000-0000-00003A4F0000}"/>
    <cellStyle name="Normal 10 2 4 2 5 2 2" xfId="15429" xr:uid="{00000000-0005-0000-0000-00003B4F0000}"/>
    <cellStyle name="Normal 10 2 4 2 5 2 2 2" xfId="28997" xr:uid="{00000000-0005-0000-0000-00003C4F0000}"/>
    <cellStyle name="Normal 10 2 4 2 5 2 2 2 2" xfId="56130" xr:uid="{00000000-0005-0000-0000-00003D4F0000}"/>
    <cellStyle name="Normal 10 2 4 2 5 2 2 3" xfId="42568" xr:uid="{00000000-0005-0000-0000-00003E4F0000}"/>
    <cellStyle name="Normal 10 2 4 2 5 2 3" xfId="22216" xr:uid="{00000000-0005-0000-0000-00003F4F0000}"/>
    <cellStyle name="Normal 10 2 4 2 5 2 3 2" xfId="49349" xr:uid="{00000000-0005-0000-0000-0000404F0000}"/>
    <cellStyle name="Normal 10 2 4 2 5 2 4" xfId="35787" xr:uid="{00000000-0005-0000-0000-0000414F0000}"/>
    <cellStyle name="Normal 10 2 4 2 5 3" xfId="12040" xr:uid="{00000000-0005-0000-0000-0000424F0000}"/>
    <cellStyle name="Normal 10 2 4 2 5 3 2" xfId="25608" xr:uid="{00000000-0005-0000-0000-0000434F0000}"/>
    <cellStyle name="Normal 10 2 4 2 5 3 2 2" xfId="52741" xr:uid="{00000000-0005-0000-0000-0000444F0000}"/>
    <cellStyle name="Normal 10 2 4 2 5 3 3" xfId="39179" xr:uid="{00000000-0005-0000-0000-0000454F0000}"/>
    <cellStyle name="Normal 10 2 4 2 5 4" xfId="18827" xr:uid="{00000000-0005-0000-0000-0000464F0000}"/>
    <cellStyle name="Normal 10 2 4 2 5 4 2" xfId="45960" xr:uid="{00000000-0005-0000-0000-0000474F0000}"/>
    <cellStyle name="Normal 10 2 4 2 5 5" xfId="32398" xr:uid="{00000000-0005-0000-0000-0000484F0000}"/>
    <cellStyle name="Normal 10 2 4 2 6" xfId="5079" xr:uid="{00000000-0005-0000-0000-0000494F0000}"/>
    <cellStyle name="Normal 10 2 4 2 6 2" xfId="8640" xr:uid="{00000000-0005-0000-0000-00004A4F0000}"/>
    <cellStyle name="Normal 10 2 4 2 6 2 2" xfId="15430" xr:uid="{00000000-0005-0000-0000-00004B4F0000}"/>
    <cellStyle name="Normal 10 2 4 2 6 2 2 2" xfId="28998" xr:uid="{00000000-0005-0000-0000-00004C4F0000}"/>
    <cellStyle name="Normal 10 2 4 2 6 2 2 2 2" xfId="56131" xr:uid="{00000000-0005-0000-0000-00004D4F0000}"/>
    <cellStyle name="Normal 10 2 4 2 6 2 2 3" xfId="42569" xr:uid="{00000000-0005-0000-0000-00004E4F0000}"/>
    <cellStyle name="Normal 10 2 4 2 6 2 3" xfId="22217" xr:uid="{00000000-0005-0000-0000-00004F4F0000}"/>
    <cellStyle name="Normal 10 2 4 2 6 2 3 2" xfId="49350" xr:uid="{00000000-0005-0000-0000-0000504F0000}"/>
    <cellStyle name="Normal 10 2 4 2 6 2 4" xfId="35788" xr:uid="{00000000-0005-0000-0000-0000514F0000}"/>
    <cellStyle name="Normal 10 2 4 2 6 3" xfId="12041" xr:uid="{00000000-0005-0000-0000-0000524F0000}"/>
    <cellStyle name="Normal 10 2 4 2 6 3 2" xfId="25609" xr:uid="{00000000-0005-0000-0000-0000534F0000}"/>
    <cellStyle name="Normal 10 2 4 2 6 3 2 2" xfId="52742" xr:uid="{00000000-0005-0000-0000-0000544F0000}"/>
    <cellStyle name="Normal 10 2 4 2 6 3 3" xfId="39180" xr:uid="{00000000-0005-0000-0000-0000554F0000}"/>
    <cellStyle name="Normal 10 2 4 2 6 4" xfId="18828" xr:uid="{00000000-0005-0000-0000-0000564F0000}"/>
    <cellStyle name="Normal 10 2 4 2 6 4 2" xfId="45961" xr:uid="{00000000-0005-0000-0000-0000574F0000}"/>
    <cellStyle name="Normal 10 2 4 2 6 5" xfId="32399" xr:uid="{00000000-0005-0000-0000-0000584F0000}"/>
    <cellStyle name="Normal 10 2 4 2 7" xfId="8625" xr:uid="{00000000-0005-0000-0000-0000594F0000}"/>
    <cellStyle name="Normal 10 2 4 2 7 2" xfId="15415" xr:uid="{00000000-0005-0000-0000-00005A4F0000}"/>
    <cellStyle name="Normal 10 2 4 2 7 2 2" xfId="28983" xr:uid="{00000000-0005-0000-0000-00005B4F0000}"/>
    <cellStyle name="Normal 10 2 4 2 7 2 2 2" xfId="56116" xr:uid="{00000000-0005-0000-0000-00005C4F0000}"/>
    <cellStyle name="Normal 10 2 4 2 7 2 3" xfId="42554" xr:uid="{00000000-0005-0000-0000-00005D4F0000}"/>
    <cellStyle name="Normal 10 2 4 2 7 3" xfId="22202" xr:uid="{00000000-0005-0000-0000-00005E4F0000}"/>
    <cellStyle name="Normal 10 2 4 2 7 3 2" xfId="49335" xr:uid="{00000000-0005-0000-0000-00005F4F0000}"/>
    <cellStyle name="Normal 10 2 4 2 7 4" xfId="35773" xr:uid="{00000000-0005-0000-0000-0000604F0000}"/>
    <cellStyle name="Normal 10 2 4 2 8" xfId="12026" xr:uid="{00000000-0005-0000-0000-0000614F0000}"/>
    <cellStyle name="Normal 10 2 4 2 8 2" xfId="25594" xr:uid="{00000000-0005-0000-0000-0000624F0000}"/>
    <cellStyle name="Normal 10 2 4 2 8 2 2" xfId="52727" xr:uid="{00000000-0005-0000-0000-0000634F0000}"/>
    <cellStyle name="Normal 10 2 4 2 8 3" xfId="39165" xr:uid="{00000000-0005-0000-0000-0000644F0000}"/>
    <cellStyle name="Normal 10 2 4 2 9" xfId="18813" xr:uid="{00000000-0005-0000-0000-0000654F0000}"/>
    <cellStyle name="Normal 10 2 4 2 9 2" xfId="45946" xr:uid="{00000000-0005-0000-0000-0000664F0000}"/>
    <cellStyle name="Normal 10 2 4 3" xfId="5080" xr:uid="{00000000-0005-0000-0000-0000674F0000}"/>
    <cellStyle name="Normal 10 2 4 3 2" xfId="5081" xr:uid="{00000000-0005-0000-0000-0000684F0000}"/>
    <cellStyle name="Normal 10 2 4 3 2 2" xfId="5082" xr:uid="{00000000-0005-0000-0000-0000694F0000}"/>
    <cellStyle name="Normal 10 2 4 3 2 2 2" xfId="8643" xr:uid="{00000000-0005-0000-0000-00006A4F0000}"/>
    <cellStyle name="Normal 10 2 4 3 2 2 2 2" xfId="15433" xr:uid="{00000000-0005-0000-0000-00006B4F0000}"/>
    <cellStyle name="Normal 10 2 4 3 2 2 2 2 2" xfId="29001" xr:uid="{00000000-0005-0000-0000-00006C4F0000}"/>
    <cellStyle name="Normal 10 2 4 3 2 2 2 2 2 2" xfId="56134" xr:uid="{00000000-0005-0000-0000-00006D4F0000}"/>
    <cellStyle name="Normal 10 2 4 3 2 2 2 2 3" xfId="42572" xr:uid="{00000000-0005-0000-0000-00006E4F0000}"/>
    <cellStyle name="Normal 10 2 4 3 2 2 2 3" xfId="22220" xr:uid="{00000000-0005-0000-0000-00006F4F0000}"/>
    <cellStyle name="Normal 10 2 4 3 2 2 2 3 2" xfId="49353" xr:uid="{00000000-0005-0000-0000-0000704F0000}"/>
    <cellStyle name="Normal 10 2 4 3 2 2 2 4" xfId="35791" xr:uid="{00000000-0005-0000-0000-0000714F0000}"/>
    <cellStyle name="Normal 10 2 4 3 2 2 3" xfId="12044" xr:uid="{00000000-0005-0000-0000-0000724F0000}"/>
    <cellStyle name="Normal 10 2 4 3 2 2 3 2" xfId="25612" xr:uid="{00000000-0005-0000-0000-0000734F0000}"/>
    <cellStyle name="Normal 10 2 4 3 2 2 3 2 2" xfId="52745" xr:uid="{00000000-0005-0000-0000-0000744F0000}"/>
    <cellStyle name="Normal 10 2 4 3 2 2 3 3" xfId="39183" xr:uid="{00000000-0005-0000-0000-0000754F0000}"/>
    <cellStyle name="Normal 10 2 4 3 2 2 4" xfId="18831" xr:uid="{00000000-0005-0000-0000-0000764F0000}"/>
    <cellStyle name="Normal 10 2 4 3 2 2 4 2" xfId="45964" xr:uid="{00000000-0005-0000-0000-0000774F0000}"/>
    <cellStyle name="Normal 10 2 4 3 2 2 5" xfId="32402" xr:uid="{00000000-0005-0000-0000-0000784F0000}"/>
    <cellStyle name="Normal 10 2 4 3 2 3" xfId="5083" xr:uid="{00000000-0005-0000-0000-0000794F0000}"/>
    <cellStyle name="Normal 10 2 4 3 2 3 2" xfId="8644" xr:uid="{00000000-0005-0000-0000-00007A4F0000}"/>
    <cellStyle name="Normal 10 2 4 3 2 3 2 2" xfId="15434" xr:uid="{00000000-0005-0000-0000-00007B4F0000}"/>
    <cellStyle name="Normal 10 2 4 3 2 3 2 2 2" xfId="29002" xr:uid="{00000000-0005-0000-0000-00007C4F0000}"/>
    <cellStyle name="Normal 10 2 4 3 2 3 2 2 2 2" xfId="56135" xr:uid="{00000000-0005-0000-0000-00007D4F0000}"/>
    <cellStyle name="Normal 10 2 4 3 2 3 2 2 3" xfId="42573" xr:uid="{00000000-0005-0000-0000-00007E4F0000}"/>
    <cellStyle name="Normal 10 2 4 3 2 3 2 3" xfId="22221" xr:uid="{00000000-0005-0000-0000-00007F4F0000}"/>
    <cellStyle name="Normal 10 2 4 3 2 3 2 3 2" xfId="49354" xr:uid="{00000000-0005-0000-0000-0000804F0000}"/>
    <cellStyle name="Normal 10 2 4 3 2 3 2 4" xfId="35792" xr:uid="{00000000-0005-0000-0000-0000814F0000}"/>
    <cellStyle name="Normal 10 2 4 3 2 3 3" xfId="12045" xr:uid="{00000000-0005-0000-0000-0000824F0000}"/>
    <cellStyle name="Normal 10 2 4 3 2 3 3 2" xfId="25613" xr:uid="{00000000-0005-0000-0000-0000834F0000}"/>
    <cellStyle name="Normal 10 2 4 3 2 3 3 2 2" xfId="52746" xr:uid="{00000000-0005-0000-0000-0000844F0000}"/>
    <cellStyle name="Normal 10 2 4 3 2 3 3 3" xfId="39184" xr:uid="{00000000-0005-0000-0000-0000854F0000}"/>
    <cellStyle name="Normal 10 2 4 3 2 3 4" xfId="18832" xr:uid="{00000000-0005-0000-0000-0000864F0000}"/>
    <cellStyle name="Normal 10 2 4 3 2 3 4 2" xfId="45965" xr:uid="{00000000-0005-0000-0000-0000874F0000}"/>
    <cellStyle name="Normal 10 2 4 3 2 3 5" xfId="32403" xr:uid="{00000000-0005-0000-0000-0000884F0000}"/>
    <cellStyle name="Normal 10 2 4 3 2 4" xfId="8642" xr:uid="{00000000-0005-0000-0000-0000894F0000}"/>
    <cellStyle name="Normal 10 2 4 3 2 4 2" xfId="15432" xr:uid="{00000000-0005-0000-0000-00008A4F0000}"/>
    <cellStyle name="Normal 10 2 4 3 2 4 2 2" xfId="29000" xr:uid="{00000000-0005-0000-0000-00008B4F0000}"/>
    <cellStyle name="Normal 10 2 4 3 2 4 2 2 2" xfId="56133" xr:uid="{00000000-0005-0000-0000-00008C4F0000}"/>
    <cellStyle name="Normal 10 2 4 3 2 4 2 3" xfId="42571" xr:uid="{00000000-0005-0000-0000-00008D4F0000}"/>
    <cellStyle name="Normal 10 2 4 3 2 4 3" xfId="22219" xr:uid="{00000000-0005-0000-0000-00008E4F0000}"/>
    <cellStyle name="Normal 10 2 4 3 2 4 3 2" xfId="49352" xr:uid="{00000000-0005-0000-0000-00008F4F0000}"/>
    <cellStyle name="Normal 10 2 4 3 2 4 4" xfId="35790" xr:uid="{00000000-0005-0000-0000-0000904F0000}"/>
    <cellStyle name="Normal 10 2 4 3 2 5" xfId="12043" xr:uid="{00000000-0005-0000-0000-0000914F0000}"/>
    <cellStyle name="Normal 10 2 4 3 2 5 2" xfId="25611" xr:uid="{00000000-0005-0000-0000-0000924F0000}"/>
    <cellStyle name="Normal 10 2 4 3 2 5 2 2" xfId="52744" xr:uid="{00000000-0005-0000-0000-0000934F0000}"/>
    <cellStyle name="Normal 10 2 4 3 2 5 3" xfId="39182" xr:uid="{00000000-0005-0000-0000-0000944F0000}"/>
    <cellStyle name="Normal 10 2 4 3 2 6" xfId="18830" xr:uid="{00000000-0005-0000-0000-0000954F0000}"/>
    <cellStyle name="Normal 10 2 4 3 2 6 2" xfId="45963" xr:uid="{00000000-0005-0000-0000-0000964F0000}"/>
    <cellStyle name="Normal 10 2 4 3 2 7" xfId="32401" xr:uid="{00000000-0005-0000-0000-0000974F0000}"/>
    <cellStyle name="Normal 10 2 4 3 3" xfId="5084" xr:uid="{00000000-0005-0000-0000-0000984F0000}"/>
    <cellStyle name="Normal 10 2 4 3 3 2" xfId="5085" xr:uid="{00000000-0005-0000-0000-0000994F0000}"/>
    <cellStyle name="Normal 10 2 4 3 3 2 2" xfId="8646" xr:uid="{00000000-0005-0000-0000-00009A4F0000}"/>
    <cellStyle name="Normal 10 2 4 3 3 2 2 2" xfId="15436" xr:uid="{00000000-0005-0000-0000-00009B4F0000}"/>
    <cellStyle name="Normal 10 2 4 3 3 2 2 2 2" xfId="29004" xr:uid="{00000000-0005-0000-0000-00009C4F0000}"/>
    <cellStyle name="Normal 10 2 4 3 3 2 2 2 2 2" xfId="56137" xr:uid="{00000000-0005-0000-0000-00009D4F0000}"/>
    <cellStyle name="Normal 10 2 4 3 3 2 2 2 3" xfId="42575" xr:uid="{00000000-0005-0000-0000-00009E4F0000}"/>
    <cellStyle name="Normal 10 2 4 3 3 2 2 3" xfId="22223" xr:uid="{00000000-0005-0000-0000-00009F4F0000}"/>
    <cellStyle name="Normal 10 2 4 3 3 2 2 3 2" xfId="49356" xr:uid="{00000000-0005-0000-0000-0000A04F0000}"/>
    <cellStyle name="Normal 10 2 4 3 3 2 2 4" xfId="35794" xr:uid="{00000000-0005-0000-0000-0000A14F0000}"/>
    <cellStyle name="Normal 10 2 4 3 3 2 3" xfId="12047" xr:uid="{00000000-0005-0000-0000-0000A24F0000}"/>
    <cellStyle name="Normal 10 2 4 3 3 2 3 2" xfId="25615" xr:uid="{00000000-0005-0000-0000-0000A34F0000}"/>
    <cellStyle name="Normal 10 2 4 3 3 2 3 2 2" xfId="52748" xr:uid="{00000000-0005-0000-0000-0000A44F0000}"/>
    <cellStyle name="Normal 10 2 4 3 3 2 3 3" xfId="39186" xr:uid="{00000000-0005-0000-0000-0000A54F0000}"/>
    <cellStyle name="Normal 10 2 4 3 3 2 4" xfId="18834" xr:uid="{00000000-0005-0000-0000-0000A64F0000}"/>
    <cellStyle name="Normal 10 2 4 3 3 2 4 2" xfId="45967" xr:uid="{00000000-0005-0000-0000-0000A74F0000}"/>
    <cellStyle name="Normal 10 2 4 3 3 2 5" xfId="32405" xr:uid="{00000000-0005-0000-0000-0000A84F0000}"/>
    <cellStyle name="Normal 10 2 4 3 3 3" xfId="8645" xr:uid="{00000000-0005-0000-0000-0000A94F0000}"/>
    <cellStyle name="Normal 10 2 4 3 3 3 2" xfId="15435" xr:uid="{00000000-0005-0000-0000-0000AA4F0000}"/>
    <cellStyle name="Normal 10 2 4 3 3 3 2 2" xfId="29003" xr:uid="{00000000-0005-0000-0000-0000AB4F0000}"/>
    <cellStyle name="Normal 10 2 4 3 3 3 2 2 2" xfId="56136" xr:uid="{00000000-0005-0000-0000-0000AC4F0000}"/>
    <cellStyle name="Normal 10 2 4 3 3 3 2 3" xfId="42574" xr:uid="{00000000-0005-0000-0000-0000AD4F0000}"/>
    <cellStyle name="Normal 10 2 4 3 3 3 3" xfId="22222" xr:uid="{00000000-0005-0000-0000-0000AE4F0000}"/>
    <cellStyle name="Normal 10 2 4 3 3 3 3 2" xfId="49355" xr:uid="{00000000-0005-0000-0000-0000AF4F0000}"/>
    <cellStyle name="Normal 10 2 4 3 3 3 4" xfId="35793" xr:uid="{00000000-0005-0000-0000-0000B04F0000}"/>
    <cellStyle name="Normal 10 2 4 3 3 4" xfId="12046" xr:uid="{00000000-0005-0000-0000-0000B14F0000}"/>
    <cellStyle name="Normal 10 2 4 3 3 4 2" xfId="25614" xr:uid="{00000000-0005-0000-0000-0000B24F0000}"/>
    <cellStyle name="Normal 10 2 4 3 3 4 2 2" xfId="52747" xr:uid="{00000000-0005-0000-0000-0000B34F0000}"/>
    <cellStyle name="Normal 10 2 4 3 3 4 3" xfId="39185" xr:uid="{00000000-0005-0000-0000-0000B44F0000}"/>
    <cellStyle name="Normal 10 2 4 3 3 5" xfId="18833" xr:uid="{00000000-0005-0000-0000-0000B54F0000}"/>
    <cellStyle name="Normal 10 2 4 3 3 5 2" xfId="45966" xr:uid="{00000000-0005-0000-0000-0000B64F0000}"/>
    <cellStyle name="Normal 10 2 4 3 3 6" xfId="32404" xr:uid="{00000000-0005-0000-0000-0000B74F0000}"/>
    <cellStyle name="Normal 10 2 4 3 4" xfId="5086" xr:uid="{00000000-0005-0000-0000-0000B84F0000}"/>
    <cellStyle name="Normal 10 2 4 3 4 2" xfId="8647" xr:uid="{00000000-0005-0000-0000-0000B94F0000}"/>
    <cellStyle name="Normal 10 2 4 3 4 2 2" xfId="15437" xr:uid="{00000000-0005-0000-0000-0000BA4F0000}"/>
    <cellStyle name="Normal 10 2 4 3 4 2 2 2" xfId="29005" xr:uid="{00000000-0005-0000-0000-0000BB4F0000}"/>
    <cellStyle name="Normal 10 2 4 3 4 2 2 2 2" xfId="56138" xr:uid="{00000000-0005-0000-0000-0000BC4F0000}"/>
    <cellStyle name="Normal 10 2 4 3 4 2 2 3" xfId="42576" xr:uid="{00000000-0005-0000-0000-0000BD4F0000}"/>
    <cellStyle name="Normal 10 2 4 3 4 2 3" xfId="22224" xr:uid="{00000000-0005-0000-0000-0000BE4F0000}"/>
    <cellStyle name="Normal 10 2 4 3 4 2 3 2" xfId="49357" xr:uid="{00000000-0005-0000-0000-0000BF4F0000}"/>
    <cellStyle name="Normal 10 2 4 3 4 2 4" xfId="35795" xr:uid="{00000000-0005-0000-0000-0000C04F0000}"/>
    <cellStyle name="Normal 10 2 4 3 4 3" xfId="12048" xr:uid="{00000000-0005-0000-0000-0000C14F0000}"/>
    <cellStyle name="Normal 10 2 4 3 4 3 2" xfId="25616" xr:uid="{00000000-0005-0000-0000-0000C24F0000}"/>
    <cellStyle name="Normal 10 2 4 3 4 3 2 2" xfId="52749" xr:uid="{00000000-0005-0000-0000-0000C34F0000}"/>
    <cellStyle name="Normal 10 2 4 3 4 3 3" xfId="39187" xr:uid="{00000000-0005-0000-0000-0000C44F0000}"/>
    <cellStyle name="Normal 10 2 4 3 4 4" xfId="18835" xr:uid="{00000000-0005-0000-0000-0000C54F0000}"/>
    <cellStyle name="Normal 10 2 4 3 4 4 2" xfId="45968" xr:uid="{00000000-0005-0000-0000-0000C64F0000}"/>
    <cellStyle name="Normal 10 2 4 3 4 5" xfId="32406" xr:uid="{00000000-0005-0000-0000-0000C74F0000}"/>
    <cellStyle name="Normal 10 2 4 3 5" xfId="5087" xr:uid="{00000000-0005-0000-0000-0000C84F0000}"/>
    <cellStyle name="Normal 10 2 4 3 5 2" xfId="8648" xr:uid="{00000000-0005-0000-0000-0000C94F0000}"/>
    <cellStyle name="Normal 10 2 4 3 5 2 2" xfId="15438" xr:uid="{00000000-0005-0000-0000-0000CA4F0000}"/>
    <cellStyle name="Normal 10 2 4 3 5 2 2 2" xfId="29006" xr:uid="{00000000-0005-0000-0000-0000CB4F0000}"/>
    <cellStyle name="Normal 10 2 4 3 5 2 2 2 2" xfId="56139" xr:uid="{00000000-0005-0000-0000-0000CC4F0000}"/>
    <cellStyle name="Normal 10 2 4 3 5 2 2 3" xfId="42577" xr:uid="{00000000-0005-0000-0000-0000CD4F0000}"/>
    <cellStyle name="Normal 10 2 4 3 5 2 3" xfId="22225" xr:uid="{00000000-0005-0000-0000-0000CE4F0000}"/>
    <cellStyle name="Normal 10 2 4 3 5 2 3 2" xfId="49358" xr:uid="{00000000-0005-0000-0000-0000CF4F0000}"/>
    <cellStyle name="Normal 10 2 4 3 5 2 4" xfId="35796" xr:uid="{00000000-0005-0000-0000-0000D04F0000}"/>
    <cellStyle name="Normal 10 2 4 3 5 3" xfId="12049" xr:uid="{00000000-0005-0000-0000-0000D14F0000}"/>
    <cellStyle name="Normal 10 2 4 3 5 3 2" xfId="25617" xr:uid="{00000000-0005-0000-0000-0000D24F0000}"/>
    <cellStyle name="Normal 10 2 4 3 5 3 2 2" xfId="52750" xr:uid="{00000000-0005-0000-0000-0000D34F0000}"/>
    <cellStyle name="Normal 10 2 4 3 5 3 3" xfId="39188" xr:uid="{00000000-0005-0000-0000-0000D44F0000}"/>
    <cellStyle name="Normal 10 2 4 3 5 4" xfId="18836" xr:uid="{00000000-0005-0000-0000-0000D54F0000}"/>
    <cellStyle name="Normal 10 2 4 3 5 4 2" xfId="45969" xr:uid="{00000000-0005-0000-0000-0000D64F0000}"/>
    <cellStyle name="Normal 10 2 4 3 5 5" xfId="32407" xr:uid="{00000000-0005-0000-0000-0000D74F0000}"/>
    <cellStyle name="Normal 10 2 4 3 6" xfId="8641" xr:uid="{00000000-0005-0000-0000-0000D84F0000}"/>
    <cellStyle name="Normal 10 2 4 3 6 2" xfId="15431" xr:uid="{00000000-0005-0000-0000-0000D94F0000}"/>
    <cellStyle name="Normal 10 2 4 3 6 2 2" xfId="28999" xr:uid="{00000000-0005-0000-0000-0000DA4F0000}"/>
    <cellStyle name="Normal 10 2 4 3 6 2 2 2" xfId="56132" xr:uid="{00000000-0005-0000-0000-0000DB4F0000}"/>
    <cellStyle name="Normal 10 2 4 3 6 2 3" xfId="42570" xr:uid="{00000000-0005-0000-0000-0000DC4F0000}"/>
    <cellStyle name="Normal 10 2 4 3 6 3" xfId="22218" xr:uid="{00000000-0005-0000-0000-0000DD4F0000}"/>
    <cellStyle name="Normal 10 2 4 3 6 3 2" xfId="49351" xr:uid="{00000000-0005-0000-0000-0000DE4F0000}"/>
    <cellStyle name="Normal 10 2 4 3 6 4" xfId="35789" xr:uid="{00000000-0005-0000-0000-0000DF4F0000}"/>
    <cellStyle name="Normal 10 2 4 3 7" xfId="12042" xr:uid="{00000000-0005-0000-0000-0000E04F0000}"/>
    <cellStyle name="Normal 10 2 4 3 7 2" xfId="25610" xr:uid="{00000000-0005-0000-0000-0000E14F0000}"/>
    <cellStyle name="Normal 10 2 4 3 7 2 2" xfId="52743" xr:uid="{00000000-0005-0000-0000-0000E24F0000}"/>
    <cellStyle name="Normal 10 2 4 3 7 3" xfId="39181" xr:uid="{00000000-0005-0000-0000-0000E34F0000}"/>
    <cellStyle name="Normal 10 2 4 3 8" xfId="18829" xr:uid="{00000000-0005-0000-0000-0000E44F0000}"/>
    <cellStyle name="Normal 10 2 4 3 8 2" xfId="45962" xr:uid="{00000000-0005-0000-0000-0000E54F0000}"/>
    <cellStyle name="Normal 10 2 4 3 9" xfId="32400" xr:uid="{00000000-0005-0000-0000-0000E64F0000}"/>
    <cellStyle name="Normal 10 2 4 4" xfId="5088" xr:uid="{00000000-0005-0000-0000-0000E74F0000}"/>
    <cellStyle name="Normal 10 2 4 4 2" xfId="5089" xr:uid="{00000000-0005-0000-0000-0000E84F0000}"/>
    <cellStyle name="Normal 10 2 4 4 2 2" xfId="5090" xr:uid="{00000000-0005-0000-0000-0000E94F0000}"/>
    <cellStyle name="Normal 10 2 4 4 2 2 2" xfId="8651" xr:uid="{00000000-0005-0000-0000-0000EA4F0000}"/>
    <cellStyle name="Normal 10 2 4 4 2 2 2 2" xfId="15441" xr:uid="{00000000-0005-0000-0000-0000EB4F0000}"/>
    <cellStyle name="Normal 10 2 4 4 2 2 2 2 2" xfId="29009" xr:uid="{00000000-0005-0000-0000-0000EC4F0000}"/>
    <cellStyle name="Normal 10 2 4 4 2 2 2 2 2 2" xfId="56142" xr:uid="{00000000-0005-0000-0000-0000ED4F0000}"/>
    <cellStyle name="Normal 10 2 4 4 2 2 2 2 3" xfId="42580" xr:uid="{00000000-0005-0000-0000-0000EE4F0000}"/>
    <cellStyle name="Normal 10 2 4 4 2 2 2 3" xfId="22228" xr:uid="{00000000-0005-0000-0000-0000EF4F0000}"/>
    <cellStyle name="Normal 10 2 4 4 2 2 2 3 2" xfId="49361" xr:uid="{00000000-0005-0000-0000-0000F04F0000}"/>
    <cellStyle name="Normal 10 2 4 4 2 2 2 4" xfId="35799" xr:uid="{00000000-0005-0000-0000-0000F14F0000}"/>
    <cellStyle name="Normal 10 2 4 4 2 2 3" xfId="12052" xr:uid="{00000000-0005-0000-0000-0000F24F0000}"/>
    <cellStyle name="Normal 10 2 4 4 2 2 3 2" xfId="25620" xr:uid="{00000000-0005-0000-0000-0000F34F0000}"/>
    <cellStyle name="Normal 10 2 4 4 2 2 3 2 2" xfId="52753" xr:uid="{00000000-0005-0000-0000-0000F44F0000}"/>
    <cellStyle name="Normal 10 2 4 4 2 2 3 3" xfId="39191" xr:uid="{00000000-0005-0000-0000-0000F54F0000}"/>
    <cellStyle name="Normal 10 2 4 4 2 2 4" xfId="18839" xr:uid="{00000000-0005-0000-0000-0000F64F0000}"/>
    <cellStyle name="Normal 10 2 4 4 2 2 4 2" xfId="45972" xr:uid="{00000000-0005-0000-0000-0000F74F0000}"/>
    <cellStyle name="Normal 10 2 4 4 2 2 5" xfId="32410" xr:uid="{00000000-0005-0000-0000-0000F84F0000}"/>
    <cellStyle name="Normal 10 2 4 4 2 3" xfId="5091" xr:uid="{00000000-0005-0000-0000-0000F94F0000}"/>
    <cellStyle name="Normal 10 2 4 4 2 3 2" xfId="8652" xr:uid="{00000000-0005-0000-0000-0000FA4F0000}"/>
    <cellStyle name="Normal 10 2 4 4 2 3 2 2" xfId="15442" xr:uid="{00000000-0005-0000-0000-0000FB4F0000}"/>
    <cellStyle name="Normal 10 2 4 4 2 3 2 2 2" xfId="29010" xr:uid="{00000000-0005-0000-0000-0000FC4F0000}"/>
    <cellStyle name="Normal 10 2 4 4 2 3 2 2 2 2" xfId="56143" xr:uid="{00000000-0005-0000-0000-0000FD4F0000}"/>
    <cellStyle name="Normal 10 2 4 4 2 3 2 2 3" xfId="42581" xr:uid="{00000000-0005-0000-0000-0000FE4F0000}"/>
    <cellStyle name="Normal 10 2 4 4 2 3 2 3" xfId="22229" xr:uid="{00000000-0005-0000-0000-0000FF4F0000}"/>
    <cellStyle name="Normal 10 2 4 4 2 3 2 3 2" xfId="49362" xr:uid="{00000000-0005-0000-0000-000000500000}"/>
    <cellStyle name="Normal 10 2 4 4 2 3 2 4" xfId="35800" xr:uid="{00000000-0005-0000-0000-000001500000}"/>
    <cellStyle name="Normal 10 2 4 4 2 3 3" xfId="12053" xr:uid="{00000000-0005-0000-0000-000002500000}"/>
    <cellStyle name="Normal 10 2 4 4 2 3 3 2" xfId="25621" xr:uid="{00000000-0005-0000-0000-000003500000}"/>
    <cellStyle name="Normal 10 2 4 4 2 3 3 2 2" xfId="52754" xr:uid="{00000000-0005-0000-0000-000004500000}"/>
    <cellStyle name="Normal 10 2 4 4 2 3 3 3" xfId="39192" xr:uid="{00000000-0005-0000-0000-000005500000}"/>
    <cellStyle name="Normal 10 2 4 4 2 3 4" xfId="18840" xr:uid="{00000000-0005-0000-0000-000006500000}"/>
    <cellStyle name="Normal 10 2 4 4 2 3 4 2" xfId="45973" xr:uid="{00000000-0005-0000-0000-000007500000}"/>
    <cellStyle name="Normal 10 2 4 4 2 3 5" xfId="32411" xr:uid="{00000000-0005-0000-0000-000008500000}"/>
    <cellStyle name="Normal 10 2 4 4 2 4" xfId="8650" xr:uid="{00000000-0005-0000-0000-000009500000}"/>
    <cellStyle name="Normal 10 2 4 4 2 4 2" xfId="15440" xr:uid="{00000000-0005-0000-0000-00000A500000}"/>
    <cellStyle name="Normal 10 2 4 4 2 4 2 2" xfId="29008" xr:uid="{00000000-0005-0000-0000-00000B500000}"/>
    <cellStyle name="Normal 10 2 4 4 2 4 2 2 2" xfId="56141" xr:uid="{00000000-0005-0000-0000-00000C500000}"/>
    <cellStyle name="Normal 10 2 4 4 2 4 2 3" xfId="42579" xr:uid="{00000000-0005-0000-0000-00000D500000}"/>
    <cellStyle name="Normal 10 2 4 4 2 4 3" xfId="22227" xr:uid="{00000000-0005-0000-0000-00000E500000}"/>
    <cellStyle name="Normal 10 2 4 4 2 4 3 2" xfId="49360" xr:uid="{00000000-0005-0000-0000-00000F500000}"/>
    <cellStyle name="Normal 10 2 4 4 2 4 4" xfId="35798" xr:uid="{00000000-0005-0000-0000-000010500000}"/>
    <cellStyle name="Normal 10 2 4 4 2 5" xfId="12051" xr:uid="{00000000-0005-0000-0000-000011500000}"/>
    <cellStyle name="Normal 10 2 4 4 2 5 2" xfId="25619" xr:uid="{00000000-0005-0000-0000-000012500000}"/>
    <cellStyle name="Normal 10 2 4 4 2 5 2 2" xfId="52752" xr:uid="{00000000-0005-0000-0000-000013500000}"/>
    <cellStyle name="Normal 10 2 4 4 2 5 3" xfId="39190" xr:uid="{00000000-0005-0000-0000-000014500000}"/>
    <cellStyle name="Normal 10 2 4 4 2 6" xfId="18838" xr:uid="{00000000-0005-0000-0000-000015500000}"/>
    <cellStyle name="Normal 10 2 4 4 2 6 2" xfId="45971" xr:uid="{00000000-0005-0000-0000-000016500000}"/>
    <cellStyle name="Normal 10 2 4 4 2 7" xfId="32409" xr:uid="{00000000-0005-0000-0000-000017500000}"/>
    <cellStyle name="Normal 10 2 4 4 3" xfId="5092" xr:uid="{00000000-0005-0000-0000-000018500000}"/>
    <cellStyle name="Normal 10 2 4 4 3 2" xfId="8653" xr:uid="{00000000-0005-0000-0000-000019500000}"/>
    <cellStyle name="Normal 10 2 4 4 3 2 2" xfId="15443" xr:uid="{00000000-0005-0000-0000-00001A500000}"/>
    <cellStyle name="Normal 10 2 4 4 3 2 2 2" xfId="29011" xr:uid="{00000000-0005-0000-0000-00001B500000}"/>
    <cellStyle name="Normal 10 2 4 4 3 2 2 2 2" xfId="56144" xr:uid="{00000000-0005-0000-0000-00001C500000}"/>
    <cellStyle name="Normal 10 2 4 4 3 2 2 3" xfId="42582" xr:uid="{00000000-0005-0000-0000-00001D500000}"/>
    <cellStyle name="Normal 10 2 4 4 3 2 3" xfId="22230" xr:uid="{00000000-0005-0000-0000-00001E500000}"/>
    <cellStyle name="Normal 10 2 4 4 3 2 3 2" xfId="49363" xr:uid="{00000000-0005-0000-0000-00001F500000}"/>
    <cellStyle name="Normal 10 2 4 4 3 2 4" xfId="35801" xr:uid="{00000000-0005-0000-0000-000020500000}"/>
    <cellStyle name="Normal 10 2 4 4 3 3" xfId="12054" xr:uid="{00000000-0005-0000-0000-000021500000}"/>
    <cellStyle name="Normal 10 2 4 4 3 3 2" xfId="25622" xr:uid="{00000000-0005-0000-0000-000022500000}"/>
    <cellStyle name="Normal 10 2 4 4 3 3 2 2" xfId="52755" xr:uid="{00000000-0005-0000-0000-000023500000}"/>
    <cellStyle name="Normal 10 2 4 4 3 3 3" xfId="39193" xr:uid="{00000000-0005-0000-0000-000024500000}"/>
    <cellStyle name="Normal 10 2 4 4 3 4" xfId="18841" xr:uid="{00000000-0005-0000-0000-000025500000}"/>
    <cellStyle name="Normal 10 2 4 4 3 4 2" xfId="45974" xr:uid="{00000000-0005-0000-0000-000026500000}"/>
    <cellStyle name="Normal 10 2 4 4 3 5" xfId="32412" xr:uid="{00000000-0005-0000-0000-000027500000}"/>
    <cellStyle name="Normal 10 2 4 4 4" xfId="5093" xr:uid="{00000000-0005-0000-0000-000028500000}"/>
    <cellStyle name="Normal 10 2 4 4 4 2" xfId="8654" xr:uid="{00000000-0005-0000-0000-000029500000}"/>
    <cellStyle name="Normal 10 2 4 4 4 2 2" xfId="15444" xr:uid="{00000000-0005-0000-0000-00002A500000}"/>
    <cellStyle name="Normal 10 2 4 4 4 2 2 2" xfId="29012" xr:uid="{00000000-0005-0000-0000-00002B500000}"/>
    <cellStyle name="Normal 10 2 4 4 4 2 2 2 2" xfId="56145" xr:uid="{00000000-0005-0000-0000-00002C500000}"/>
    <cellStyle name="Normal 10 2 4 4 4 2 2 3" xfId="42583" xr:uid="{00000000-0005-0000-0000-00002D500000}"/>
    <cellStyle name="Normal 10 2 4 4 4 2 3" xfId="22231" xr:uid="{00000000-0005-0000-0000-00002E500000}"/>
    <cellStyle name="Normal 10 2 4 4 4 2 3 2" xfId="49364" xr:uid="{00000000-0005-0000-0000-00002F500000}"/>
    <cellStyle name="Normal 10 2 4 4 4 2 4" xfId="35802" xr:uid="{00000000-0005-0000-0000-000030500000}"/>
    <cellStyle name="Normal 10 2 4 4 4 3" xfId="12055" xr:uid="{00000000-0005-0000-0000-000031500000}"/>
    <cellStyle name="Normal 10 2 4 4 4 3 2" xfId="25623" xr:uid="{00000000-0005-0000-0000-000032500000}"/>
    <cellStyle name="Normal 10 2 4 4 4 3 2 2" xfId="52756" xr:uid="{00000000-0005-0000-0000-000033500000}"/>
    <cellStyle name="Normal 10 2 4 4 4 3 3" xfId="39194" xr:uid="{00000000-0005-0000-0000-000034500000}"/>
    <cellStyle name="Normal 10 2 4 4 4 4" xfId="18842" xr:uid="{00000000-0005-0000-0000-000035500000}"/>
    <cellStyle name="Normal 10 2 4 4 4 4 2" xfId="45975" xr:uid="{00000000-0005-0000-0000-000036500000}"/>
    <cellStyle name="Normal 10 2 4 4 4 5" xfId="32413" xr:uid="{00000000-0005-0000-0000-000037500000}"/>
    <cellStyle name="Normal 10 2 4 4 5" xfId="8649" xr:uid="{00000000-0005-0000-0000-000038500000}"/>
    <cellStyle name="Normal 10 2 4 4 5 2" xfId="15439" xr:uid="{00000000-0005-0000-0000-000039500000}"/>
    <cellStyle name="Normal 10 2 4 4 5 2 2" xfId="29007" xr:uid="{00000000-0005-0000-0000-00003A500000}"/>
    <cellStyle name="Normal 10 2 4 4 5 2 2 2" xfId="56140" xr:uid="{00000000-0005-0000-0000-00003B500000}"/>
    <cellStyle name="Normal 10 2 4 4 5 2 3" xfId="42578" xr:uid="{00000000-0005-0000-0000-00003C500000}"/>
    <cellStyle name="Normal 10 2 4 4 5 3" xfId="22226" xr:uid="{00000000-0005-0000-0000-00003D500000}"/>
    <cellStyle name="Normal 10 2 4 4 5 3 2" xfId="49359" xr:uid="{00000000-0005-0000-0000-00003E500000}"/>
    <cellStyle name="Normal 10 2 4 4 5 4" xfId="35797" xr:uid="{00000000-0005-0000-0000-00003F500000}"/>
    <cellStyle name="Normal 10 2 4 4 6" xfId="12050" xr:uid="{00000000-0005-0000-0000-000040500000}"/>
    <cellStyle name="Normal 10 2 4 4 6 2" xfId="25618" xr:uid="{00000000-0005-0000-0000-000041500000}"/>
    <cellStyle name="Normal 10 2 4 4 6 2 2" xfId="52751" xr:uid="{00000000-0005-0000-0000-000042500000}"/>
    <cellStyle name="Normal 10 2 4 4 6 3" xfId="39189" xr:uid="{00000000-0005-0000-0000-000043500000}"/>
    <cellStyle name="Normal 10 2 4 4 7" xfId="18837" xr:uid="{00000000-0005-0000-0000-000044500000}"/>
    <cellStyle name="Normal 10 2 4 4 7 2" xfId="45970" xr:uid="{00000000-0005-0000-0000-000045500000}"/>
    <cellStyle name="Normal 10 2 4 4 8" xfId="32408" xr:uid="{00000000-0005-0000-0000-000046500000}"/>
    <cellStyle name="Normal 10 2 4 5" xfId="5094" xr:uid="{00000000-0005-0000-0000-000047500000}"/>
    <cellStyle name="Normal 10 2 4 5 2" xfId="5095" xr:uid="{00000000-0005-0000-0000-000048500000}"/>
    <cellStyle name="Normal 10 2 4 5 2 2" xfId="5096" xr:uid="{00000000-0005-0000-0000-000049500000}"/>
    <cellStyle name="Normal 10 2 4 5 2 2 2" xfId="8657" xr:uid="{00000000-0005-0000-0000-00004A500000}"/>
    <cellStyle name="Normal 10 2 4 5 2 2 2 2" xfId="15447" xr:uid="{00000000-0005-0000-0000-00004B500000}"/>
    <cellStyle name="Normal 10 2 4 5 2 2 2 2 2" xfId="29015" xr:uid="{00000000-0005-0000-0000-00004C500000}"/>
    <cellStyle name="Normal 10 2 4 5 2 2 2 2 2 2" xfId="56148" xr:uid="{00000000-0005-0000-0000-00004D500000}"/>
    <cellStyle name="Normal 10 2 4 5 2 2 2 2 3" xfId="42586" xr:uid="{00000000-0005-0000-0000-00004E500000}"/>
    <cellStyle name="Normal 10 2 4 5 2 2 2 3" xfId="22234" xr:uid="{00000000-0005-0000-0000-00004F500000}"/>
    <cellStyle name="Normal 10 2 4 5 2 2 2 3 2" xfId="49367" xr:uid="{00000000-0005-0000-0000-000050500000}"/>
    <cellStyle name="Normal 10 2 4 5 2 2 2 4" xfId="35805" xr:uid="{00000000-0005-0000-0000-000051500000}"/>
    <cellStyle name="Normal 10 2 4 5 2 2 3" xfId="12058" xr:uid="{00000000-0005-0000-0000-000052500000}"/>
    <cellStyle name="Normal 10 2 4 5 2 2 3 2" xfId="25626" xr:uid="{00000000-0005-0000-0000-000053500000}"/>
    <cellStyle name="Normal 10 2 4 5 2 2 3 2 2" xfId="52759" xr:uid="{00000000-0005-0000-0000-000054500000}"/>
    <cellStyle name="Normal 10 2 4 5 2 2 3 3" xfId="39197" xr:uid="{00000000-0005-0000-0000-000055500000}"/>
    <cellStyle name="Normal 10 2 4 5 2 2 4" xfId="18845" xr:uid="{00000000-0005-0000-0000-000056500000}"/>
    <cellStyle name="Normal 10 2 4 5 2 2 4 2" xfId="45978" xr:uid="{00000000-0005-0000-0000-000057500000}"/>
    <cellStyle name="Normal 10 2 4 5 2 2 5" xfId="32416" xr:uid="{00000000-0005-0000-0000-000058500000}"/>
    <cellStyle name="Normal 10 2 4 5 2 3" xfId="5097" xr:uid="{00000000-0005-0000-0000-000059500000}"/>
    <cellStyle name="Normal 10 2 4 5 2 3 2" xfId="8658" xr:uid="{00000000-0005-0000-0000-00005A500000}"/>
    <cellStyle name="Normal 10 2 4 5 2 3 2 2" xfId="15448" xr:uid="{00000000-0005-0000-0000-00005B500000}"/>
    <cellStyle name="Normal 10 2 4 5 2 3 2 2 2" xfId="29016" xr:uid="{00000000-0005-0000-0000-00005C500000}"/>
    <cellStyle name="Normal 10 2 4 5 2 3 2 2 2 2" xfId="56149" xr:uid="{00000000-0005-0000-0000-00005D500000}"/>
    <cellStyle name="Normal 10 2 4 5 2 3 2 2 3" xfId="42587" xr:uid="{00000000-0005-0000-0000-00005E500000}"/>
    <cellStyle name="Normal 10 2 4 5 2 3 2 3" xfId="22235" xr:uid="{00000000-0005-0000-0000-00005F500000}"/>
    <cellStyle name="Normal 10 2 4 5 2 3 2 3 2" xfId="49368" xr:uid="{00000000-0005-0000-0000-000060500000}"/>
    <cellStyle name="Normal 10 2 4 5 2 3 2 4" xfId="35806" xr:uid="{00000000-0005-0000-0000-000061500000}"/>
    <cellStyle name="Normal 10 2 4 5 2 3 3" xfId="12059" xr:uid="{00000000-0005-0000-0000-000062500000}"/>
    <cellStyle name="Normal 10 2 4 5 2 3 3 2" xfId="25627" xr:uid="{00000000-0005-0000-0000-000063500000}"/>
    <cellStyle name="Normal 10 2 4 5 2 3 3 2 2" xfId="52760" xr:uid="{00000000-0005-0000-0000-000064500000}"/>
    <cellStyle name="Normal 10 2 4 5 2 3 3 3" xfId="39198" xr:uid="{00000000-0005-0000-0000-000065500000}"/>
    <cellStyle name="Normal 10 2 4 5 2 3 4" xfId="18846" xr:uid="{00000000-0005-0000-0000-000066500000}"/>
    <cellStyle name="Normal 10 2 4 5 2 3 4 2" xfId="45979" xr:uid="{00000000-0005-0000-0000-000067500000}"/>
    <cellStyle name="Normal 10 2 4 5 2 3 5" xfId="32417" xr:uid="{00000000-0005-0000-0000-000068500000}"/>
    <cellStyle name="Normal 10 2 4 5 2 4" xfId="8656" xr:uid="{00000000-0005-0000-0000-000069500000}"/>
    <cellStyle name="Normal 10 2 4 5 2 4 2" xfId="15446" xr:uid="{00000000-0005-0000-0000-00006A500000}"/>
    <cellStyle name="Normal 10 2 4 5 2 4 2 2" xfId="29014" xr:uid="{00000000-0005-0000-0000-00006B500000}"/>
    <cellStyle name="Normal 10 2 4 5 2 4 2 2 2" xfId="56147" xr:uid="{00000000-0005-0000-0000-00006C500000}"/>
    <cellStyle name="Normal 10 2 4 5 2 4 2 3" xfId="42585" xr:uid="{00000000-0005-0000-0000-00006D500000}"/>
    <cellStyle name="Normal 10 2 4 5 2 4 3" xfId="22233" xr:uid="{00000000-0005-0000-0000-00006E500000}"/>
    <cellStyle name="Normal 10 2 4 5 2 4 3 2" xfId="49366" xr:uid="{00000000-0005-0000-0000-00006F500000}"/>
    <cellStyle name="Normal 10 2 4 5 2 4 4" xfId="35804" xr:uid="{00000000-0005-0000-0000-000070500000}"/>
    <cellStyle name="Normal 10 2 4 5 2 5" xfId="12057" xr:uid="{00000000-0005-0000-0000-000071500000}"/>
    <cellStyle name="Normal 10 2 4 5 2 5 2" xfId="25625" xr:uid="{00000000-0005-0000-0000-000072500000}"/>
    <cellStyle name="Normal 10 2 4 5 2 5 2 2" xfId="52758" xr:uid="{00000000-0005-0000-0000-000073500000}"/>
    <cellStyle name="Normal 10 2 4 5 2 5 3" xfId="39196" xr:uid="{00000000-0005-0000-0000-000074500000}"/>
    <cellStyle name="Normal 10 2 4 5 2 6" xfId="18844" xr:uid="{00000000-0005-0000-0000-000075500000}"/>
    <cellStyle name="Normal 10 2 4 5 2 6 2" xfId="45977" xr:uid="{00000000-0005-0000-0000-000076500000}"/>
    <cellStyle name="Normal 10 2 4 5 2 7" xfId="32415" xr:uid="{00000000-0005-0000-0000-000077500000}"/>
    <cellStyle name="Normal 10 2 4 5 3" xfId="5098" xr:uid="{00000000-0005-0000-0000-000078500000}"/>
    <cellStyle name="Normal 10 2 4 5 3 2" xfId="8659" xr:uid="{00000000-0005-0000-0000-000079500000}"/>
    <cellStyle name="Normal 10 2 4 5 3 2 2" xfId="15449" xr:uid="{00000000-0005-0000-0000-00007A500000}"/>
    <cellStyle name="Normal 10 2 4 5 3 2 2 2" xfId="29017" xr:uid="{00000000-0005-0000-0000-00007B500000}"/>
    <cellStyle name="Normal 10 2 4 5 3 2 2 2 2" xfId="56150" xr:uid="{00000000-0005-0000-0000-00007C500000}"/>
    <cellStyle name="Normal 10 2 4 5 3 2 2 3" xfId="42588" xr:uid="{00000000-0005-0000-0000-00007D500000}"/>
    <cellStyle name="Normal 10 2 4 5 3 2 3" xfId="22236" xr:uid="{00000000-0005-0000-0000-00007E500000}"/>
    <cellStyle name="Normal 10 2 4 5 3 2 3 2" xfId="49369" xr:uid="{00000000-0005-0000-0000-00007F500000}"/>
    <cellStyle name="Normal 10 2 4 5 3 2 4" xfId="35807" xr:uid="{00000000-0005-0000-0000-000080500000}"/>
    <cellStyle name="Normal 10 2 4 5 3 3" xfId="12060" xr:uid="{00000000-0005-0000-0000-000081500000}"/>
    <cellStyle name="Normal 10 2 4 5 3 3 2" xfId="25628" xr:uid="{00000000-0005-0000-0000-000082500000}"/>
    <cellStyle name="Normal 10 2 4 5 3 3 2 2" xfId="52761" xr:uid="{00000000-0005-0000-0000-000083500000}"/>
    <cellStyle name="Normal 10 2 4 5 3 3 3" xfId="39199" xr:uid="{00000000-0005-0000-0000-000084500000}"/>
    <cellStyle name="Normal 10 2 4 5 3 4" xfId="18847" xr:uid="{00000000-0005-0000-0000-000085500000}"/>
    <cellStyle name="Normal 10 2 4 5 3 4 2" xfId="45980" xr:uid="{00000000-0005-0000-0000-000086500000}"/>
    <cellStyle name="Normal 10 2 4 5 3 5" xfId="32418" xr:uid="{00000000-0005-0000-0000-000087500000}"/>
    <cellStyle name="Normal 10 2 4 5 4" xfId="5099" xr:uid="{00000000-0005-0000-0000-000088500000}"/>
    <cellStyle name="Normal 10 2 4 5 4 2" xfId="8660" xr:uid="{00000000-0005-0000-0000-000089500000}"/>
    <cellStyle name="Normal 10 2 4 5 4 2 2" xfId="15450" xr:uid="{00000000-0005-0000-0000-00008A500000}"/>
    <cellStyle name="Normal 10 2 4 5 4 2 2 2" xfId="29018" xr:uid="{00000000-0005-0000-0000-00008B500000}"/>
    <cellStyle name="Normal 10 2 4 5 4 2 2 2 2" xfId="56151" xr:uid="{00000000-0005-0000-0000-00008C500000}"/>
    <cellStyle name="Normal 10 2 4 5 4 2 2 3" xfId="42589" xr:uid="{00000000-0005-0000-0000-00008D500000}"/>
    <cellStyle name="Normal 10 2 4 5 4 2 3" xfId="22237" xr:uid="{00000000-0005-0000-0000-00008E500000}"/>
    <cellStyle name="Normal 10 2 4 5 4 2 3 2" xfId="49370" xr:uid="{00000000-0005-0000-0000-00008F500000}"/>
    <cellStyle name="Normal 10 2 4 5 4 2 4" xfId="35808" xr:uid="{00000000-0005-0000-0000-000090500000}"/>
    <cellStyle name="Normal 10 2 4 5 4 3" xfId="12061" xr:uid="{00000000-0005-0000-0000-000091500000}"/>
    <cellStyle name="Normal 10 2 4 5 4 3 2" xfId="25629" xr:uid="{00000000-0005-0000-0000-000092500000}"/>
    <cellStyle name="Normal 10 2 4 5 4 3 2 2" xfId="52762" xr:uid="{00000000-0005-0000-0000-000093500000}"/>
    <cellStyle name="Normal 10 2 4 5 4 3 3" xfId="39200" xr:uid="{00000000-0005-0000-0000-000094500000}"/>
    <cellStyle name="Normal 10 2 4 5 4 4" xfId="18848" xr:uid="{00000000-0005-0000-0000-000095500000}"/>
    <cellStyle name="Normal 10 2 4 5 4 4 2" xfId="45981" xr:uid="{00000000-0005-0000-0000-000096500000}"/>
    <cellStyle name="Normal 10 2 4 5 4 5" xfId="32419" xr:uid="{00000000-0005-0000-0000-000097500000}"/>
    <cellStyle name="Normal 10 2 4 5 5" xfId="8655" xr:uid="{00000000-0005-0000-0000-000098500000}"/>
    <cellStyle name="Normal 10 2 4 5 5 2" xfId="15445" xr:uid="{00000000-0005-0000-0000-000099500000}"/>
    <cellStyle name="Normal 10 2 4 5 5 2 2" xfId="29013" xr:uid="{00000000-0005-0000-0000-00009A500000}"/>
    <cellStyle name="Normal 10 2 4 5 5 2 2 2" xfId="56146" xr:uid="{00000000-0005-0000-0000-00009B500000}"/>
    <cellStyle name="Normal 10 2 4 5 5 2 3" xfId="42584" xr:uid="{00000000-0005-0000-0000-00009C500000}"/>
    <cellStyle name="Normal 10 2 4 5 5 3" xfId="22232" xr:uid="{00000000-0005-0000-0000-00009D500000}"/>
    <cellStyle name="Normal 10 2 4 5 5 3 2" xfId="49365" xr:uid="{00000000-0005-0000-0000-00009E500000}"/>
    <cellStyle name="Normal 10 2 4 5 5 4" xfId="35803" xr:uid="{00000000-0005-0000-0000-00009F500000}"/>
    <cellStyle name="Normal 10 2 4 5 6" xfId="12056" xr:uid="{00000000-0005-0000-0000-0000A0500000}"/>
    <cellStyle name="Normal 10 2 4 5 6 2" xfId="25624" xr:uid="{00000000-0005-0000-0000-0000A1500000}"/>
    <cellStyle name="Normal 10 2 4 5 6 2 2" xfId="52757" xr:uid="{00000000-0005-0000-0000-0000A2500000}"/>
    <cellStyle name="Normal 10 2 4 5 6 3" xfId="39195" xr:uid="{00000000-0005-0000-0000-0000A3500000}"/>
    <cellStyle name="Normal 10 2 4 5 7" xfId="18843" xr:uid="{00000000-0005-0000-0000-0000A4500000}"/>
    <cellStyle name="Normal 10 2 4 5 7 2" xfId="45976" xr:uid="{00000000-0005-0000-0000-0000A5500000}"/>
    <cellStyle name="Normal 10 2 4 5 8" xfId="32414" xr:uid="{00000000-0005-0000-0000-0000A6500000}"/>
    <cellStyle name="Normal 10 2 4 6" xfId="5100" xr:uid="{00000000-0005-0000-0000-0000A7500000}"/>
    <cellStyle name="Normal 10 2 4 6 2" xfId="5101" xr:uid="{00000000-0005-0000-0000-0000A8500000}"/>
    <cellStyle name="Normal 10 2 4 6 2 2" xfId="8662" xr:uid="{00000000-0005-0000-0000-0000A9500000}"/>
    <cellStyle name="Normal 10 2 4 6 2 2 2" xfId="15452" xr:uid="{00000000-0005-0000-0000-0000AA500000}"/>
    <cellStyle name="Normal 10 2 4 6 2 2 2 2" xfId="29020" xr:uid="{00000000-0005-0000-0000-0000AB500000}"/>
    <cellStyle name="Normal 10 2 4 6 2 2 2 2 2" xfId="56153" xr:uid="{00000000-0005-0000-0000-0000AC500000}"/>
    <cellStyle name="Normal 10 2 4 6 2 2 2 3" xfId="42591" xr:uid="{00000000-0005-0000-0000-0000AD500000}"/>
    <cellStyle name="Normal 10 2 4 6 2 2 3" xfId="22239" xr:uid="{00000000-0005-0000-0000-0000AE500000}"/>
    <cellStyle name="Normal 10 2 4 6 2 2 3 2" xfId="49372" xr:uid="{00000000-0005-0000-0000-0000AF500000}"/>
    <cellStyle name="Normal 10 2 4 6 2 2 4" xfId="35810" xr:uid="{00000000-0005-0000-0000-0000B0500000}"/>
    <cellStyle name="Normal 10 2 4 6 2 3" xfId="12063" xr:uid="{00000000-0005-0000-0000-0000B1500000}"/>
    <cellStyle name="Normal 10 2 4 6 2 3 2" xfId="25631" xr:uid="{00000000-0005-0000-0000-0000B2500000}"/>
    <cellStyle name="Normal 10 2 4 6 2 3 2 2" xfId="52764" xr:uid="{00000000-0005-0000-0000-0000B3500000}"/>
    <cellStyle name="Normal 10 2 4 6 2 3 3" xfId="39202" xr:uid="{00000000-0005-0000-0000-0000B4500000}"/>
    <cellStyle name="Normal 10 2 4 6 2 4" xfId="18850" xr:uid="{00000000-0005-0000-0000-0000B5500000}"/>
    <cellStyle name="Normal 10 2 4 6 2 4 2" xfId="45983" xr:uid="{00000000-0005-0000-0000-0000B6500000}"/>
    <cellStyle name="Normal 10 2 4 6 2 5" xfId="32421" xr:uid="{00000000-0005-0000-0000-0000B7500000}"/>
    <cellStyle name="Normal 10 2 4 6 3" xfId="5102" xr:uid="{00000000-0005-0000-0000-0000B8500000}"/>
    <cellStyle name="Normal 10 2 4 6 3 2" xfId="8663" xr:uid="{00000000-0005-0000-0000-0000B9500000}"/>
    <cellStyle name="Normal 10 2 4 6 3 2 2" xfId="15453" xr:uid="{00000000-0005-0000-0000-0000BA500000}"/>
    <cellStyle name="Normal 10 2 4 6 3 2 2 2" xfId="29021" xr:uid="{00000000-0005-0000-0000-0000BB500000}"/>
    <cellStyle name="Normal 10 2 4 6 3 2 2 2 2" xfId="56154" xr:uid="{00000000-0005-0000-0000-0000BC500000}"/>
    <cellStyle name="Normal 10 2 4 6 3 2 2 3" xfId="42592" xr:uid="{00000000-0005-0000-0000-0000BD500000}"/>
    <cellStyle name="Normal 10 2 4 6 3 2 3" xfId="22240" xr:uid="{00000000-0005-0000-0000-0000BE500000}"/>
    <cellStyle name="Normal 10 2 4 6 3 2 3 2" xfId="49373" xr:uid="{00000000-0005-0000-0000-0000BF500000}"/>
    <cellStyle name="Normal 10 2 4 6 3 2 4" xfId="35811" xr:uid="{00000000-0005-0000-0000-0000C0500000}"/>
    <cellStyle name="Normal 10 2 4 6 3 3" xfId="12064" xr:uid="{00000000-0005-0000-0000-0000C1500000}"/>
    <cellStyle name="Normal 10 2 4 6 3 3 2" xfId="25632" xr:uid="{00000000-0005-0000-0000-0000C2500000}"/>
    <cellStyle name="Normal 10 2 4 6 3 3 2 2" xfId="52765" xr:uid="{00000000-0005-0000-0000-0000C3500000}"/>
    <cellStyle name="Normal 10 2 4 6 3 3 3" xfId="39203" xr:uid="{00000000-0005-0000-0000-0000C4500000}"/>
    <cellStyle name="Normal 10 2 4 6 3 4" xfId="18851" xr:uid="{00000000-0005-0000-0000-0000C5500000}"/>
    <cellStyle name="Normal 10 2 4 6 3 4 2" xfId="45984" xr:uid="{00000000-0005-0000-0000-0000C6500000}"/>
    <cellStyle name="Normal 10 2 4 6 3 5" xfId="32422" xr:uid="{00000000-0005-0000-0000-0000C7500000}"/>
    <cellStyle name="Normal 10 2 4 6 4" xfId="8661" xr:uid="{00000000-0005-0000-0000-0000C8500000}"/>
    <cellStyle name="Normal 10 2 4 6 4 2" xfId="15451" xr:uid="{00000000-0005-0000-0000-0000C9500000}"/>
    <cellStyle name="Normal 10 2 4 6 4 2 2" xfId="29019" xr:uid="{00000000-0005-0000-0000-0000CA500000}"/>
    <cellStyle name="Normal 10 2 4 6 4 2 2 2" xfId="56152" xr:uid="{00000000-0005-0000-0000-0000CB500000}"/>
    <cellStyle name="Normal 10 2 4 6 4 2 3" xfId="42590" xr:uid="{00000000-0005-0000-0000-0000CC500000}"/>
    <cellStyle name="Normal 10 2 4 6 4 3" xfId="22238" xr:uid="{00000000-0005-0000-0000-0000CD500000}"/>
    <cellStyle name="Normal 10 2 4 6 4 3 2" xfId="49371" xr:uid="{00000000-0005-0000-0000-0000CE500000}"/>
    <cellStyle name="Normal 10 2 4 6 4 4" xfId="35809" xr:uid="{00000000-0005-0000-0000-0000CF500000}"/>
    <cellStyle name="Normal 10 2 4 6 5" xfId="12062" xr:uid="{00000000-0005-0000-0000-0000D0500000}"/>
    <cellStyle name="Normal 10 2 4 6 5 2" xfId="25630" xr:uid="{00000000-0005-0000-0000-0000D1500000}"/>
    <cellStyle name="Normal 10 2 4 6 5 2 2" xfId="52763" xr:uid="{00000000-0005-0000-0000-0000D2500000}"/>
    <cellStyle name="Normal 10 2 4 6 5 3" xfId="39201" xr:uid="{00000000-0005-0000-0000-0000D3500000}"/>
    <cellStyle name="Normal 10 2 4 6 6" xfId="18849" xr:uid="{00000000-0005-0000-0000-0000D4500000}"/>
    <cellStyle name="Normal 10 2 4 6 6 2" xfId="45982" xr:uid="{00000000-0005-0000-0000-0000D5500000}"/>
    <cellStyle name="Normal 10 2 4 6 7" xfId="32420" xr:uid="{00000000-0005-0000-0000-0000D6500000}"/>
    <cellStyle name="Normal 10 2 4 7" xfId="5103" xr:uid="{00000000-0005-0000-0000-0000D7500000}"/>
    <cellStyle name="Normal 10 2 4 7 2" xfId="5104" xr:uid="{00000000-0005-0000-0000-0000D8500000}"/>
    <cellStyle name="Normal 10 2 4 7 2 2" xfId="8665" xr:uid="{00000000-0005-0000-0000-0000D9500000}"/>
    <cellStyle name="Normal 10 2 4 7 2 2 2" xfId="15455" xr:uid="{00000000-0005-0000-0000-0000DA500000}"/>
    <cellStyle name="Normal 10 2 4 7 2 2 2 2" xfId="29023" xr:uid="{00000000-0005-0000-0000-0000DB500000}"/>
    <cellStyle name="Normal 10 2 4 7 2 2 2 2 2" xfId="56156" xr:uid="{00000000-0005-0000-0000-0000DC500000}"/>
    <cellStyle name="Normal 10 2 4 7 2 2 2 3" xfId="42594" xr:uid="{00000000-0005-0000-0000-0000DD500000}"/>
    <cellStyle name="Normal 10 2 4 7 2 2 3" xfId="22242" xr:uid="{00000000-0005-0000-0000-0000DE500000}"/>
    <cellStyle name="Normal 10 2 4 7 2 2 3 2" xfId="49375" xr:uid="{00000000-0005-0000-0000-0000DF500000}"/>
    <cellStyle name="Normal 10 2 4 7 2 2 4" xfId="35813" xr:uid="{00000000-0005-0000-0000-0000E0500000}"/>
    <cellStyle name="Normal 10 2 4 7 2 3" xfId="12066" xr:uid="{00000000-0005-0000-0000-0000E1500000}"/>
    <cellStyle name="Normal 10 2 4 7 2 3 2" xfId="25634" xr:uid="{00000000-0005-0000-0000-0000E2500000}"/>
    <cellStyle name="Normal 10 2 4 7 2 3 2 2" xfId="52767" xr:uid="{00000000-0005-0000-0000-0000E3500000}"/>
    <cellStyle name="Normal 10 2 4 7 2 3 3" xfId="39205" xr:uid="{00000000-0005-0000-0000-0000E4500000}"/>
    <cellStyle name="Normal 10 2 4 7 2 4" xfId="18853" xr:uid="{00000000-0005-0000-0000-0000E5500000}"/>
    <cellStyle name="Normal 10 2 4 7 2 4 2" xfId="45986" xr:uid="{00000000-0005-0000-0000-0000E6500000}"/>
    <cellStyle name="Normal 10 2 4 7 2 5" xfId="32424" xr:uid="{00000000-0005-0000-0000-0000E7500000}"/>
    <cellStyle name="Normal 10 2 4 7 3" xfId="5105" xr:uid="{00000000-0005-0000-0000-0000E8500000}"/>
    <cellStyle name="Normal 10 2 4 7 3 2" xfId="8666" xr:uid="{00000000-0005-0000-0000-0000E9500000}"/>
    <cellStyle name="Normal 10 2 4 7 3 2 2" xfId="15456" xr:uid="{00000000-0005-0000-0000-0000EA500000}"/>
    <cellStyle name="Normal 10 2 4 7 3 2 2 2" xfId="29024" xr:uid="{00000000-0005-0000-0000-0000EB500000}"/>
    <cellStyle name="Normal 10 2 4 7 3 2 2 2 2" xfId="56157" xr:uid="{00000000-0005-0000-0000-0000EC500000}"/>
    <cellStyle name="Normal 10 2 4 7 3 2 2 3" xfId="42595" xr:uid="{00000000-0005-0000-0000-0000ED500000}"/>
    <cellStyle name="Normal 10 2 4 7 3 2 3" xfId="22243" xr:uid="{00000000-0005-0000-0000-0000EE500000}"/>
    <cellStyle name="Normal 10 2 4 7 3 2 3 2" xfId="49376" xr:uid="{00000000-0005-0000-0000-0000EF500000}"/>
    <cellStyle name="Normal 10 2 4 7 3 2 4" xfId="35814" xr:uid="{00000000-0005-0000-0000-0000F0500000}"/>
    <cellStyle name="Normal 10 2 4 7 3 3" xfId="12067" xr:uid="{00000000-0005-0000-0000-0000F1500000}"/>
    <cellStyle name="Normal 10 2 4 7 3 3 2" xfId="25635" xr:uid="{00000000-0005-0000-0000-0000F2500000}"/>
    <cellStyle name="Normal 10 2 4 7 3 3 2 2" xfId="52768" xr:uid="{00000000-0005-0000-0000-0000F3500000}"/>
    <cellStyle name="Normal 10 2 4 7 3 3 3" xfId="39206" xr:uid="{00000000-0005-0000-0000-0000F4500000}"/>
    <cellStyle name="Normal 10 2 4 7 3 4" xfId="18854" xr:uid="{00000000-0005-0000-0000-0000F5500000}"/>
    <cellStyle name="Normal 10 2 4 7 3 4 2" xfId="45987" xr:uid="{00000000-0005-0000-0000-0000F6500000}"/>
    <cellStyle name="Normal 10 2 4 7 3 5" xfId="32425" xr:uid="{00000000-0005-0000-0000-0000F7500000}"/>
    <cellStyle name="Normal 10 2 4 7 4" xfId="8664" xr:uid="{00000000-0005-0000-0000-0000F8500000}"/>
    <cellStyle name="Normal 10 2 4 7 4 2" xfId="15454" xr:uid="{00000000-0005-0000-0000-0000F9500000}"/>
    <cellStyle name="Normal 10 2 4 7 4 2 2" xfId="29022" xr:uid="{00000000-0005-0000-0000-0000FA500000}"/>
    <cellStyle name="Normal 10 2 4 7 4 2 2 2" xfId="56155" xr:uid="{00000000-0005-0000-0000-0000FB500000}"/>
    <cellStyle name="Normal 10 2 4 7 4 2 3" xfId="42593" xr:uid="{00000000-0005-0000-0000-0000FC500000}"/>
    <cellStyle name="Normal 10 2 4 7 4 3" xfId="22241" xr:uid="{00000000-0005-0000-0000-0000FD500000}"/>
    <cellStyle name="Normal 10 2 4 7 4 3 2" xfId="49374" xr:uid="{00000000-0005-0000-0000-0000FE500000}"/>
    <cellStyle name="Normal 10 2 4 7 4 4" xfId="35812" xr:uid="{00000000-0005-0000-0000-0000FF500000}"/>
    <cellStyle name="Normal 10 2 4 7 5" xfId="12065" xr:uid="{00000000-0005-0000-0000-000000510000}"/>
    <cellStyle name="Normal 10 2 4 7 5 2" xfId="25633" xr:uid="{00000000-0005-0000-0000-000001510000}"/>
    <cellStyle name="Normal 10 2 4 7 5 2 2" xfId="52766" xr:uid="{00000000-0005-0000-0000-000002510000}"/>
    <cellStyle name="Normal 10 2 4 7 5 3" xfId="39204" xr:uid="{00000000-0005-0000-0000-000003510000}"/>
    <cellStyle name="Normal 10 2 4 7 6" xfId="18852" xr:uid="{00000000-0005-0000-0000-000004510000}"/>
    <cellStyle name="Normal 10 2 4 7 6 2" xfId="45985" xr:uid="{00000000-0005-0000-0000-000005510000}"/>
    <cellStyle name="Normal 10 2 4 7 7" xfId="32423" xr:uid="{00000000-0005-0000-0000-000006510000}"/>
    <cellStyle name="Normal 10 2 4 8" xfId="5106" xr:uid="{00000000-0005-0000-0000-000007510000}"/>
    <cellStyle name="Normal 10 2 4 8 2" xfId="8667" xr:uid="{00000000-0005-0000-0000-000008510000}"/>
    <cellStyle name="Normal 10 2 4 8 2 2" xfId="15457" xr:uid="{00000000-0005-0000-0000-000009510000}"/>
    <cellStyle name="Normal 10 2 4 8 2 2 2" xfId="29025" xr:uid="{00000000-0005-0000-0000-00000A510000}"/>
    <cellStyle name="Normal 10 2 4 8 2 2 2 2" xfId="56158" xr:uid="{00000000-0005-0000-0000-00000B510000}"/>
    <cellStyle name="Normal 10 2 4 8 2 2 3" xfId="42596" xr:uid="{00000000-0005-0000-0000-00000C510000}"/>
    <cellStyle name="Normal 10 2 4 8 2 3" xfId="22244" xr:uid="{00000000-0005-0000-0000-00000D510000}"/>
    <cellStyle name="Normal 10 2 4 8 2 3 2" xfId="49377" xr:uid="{00000000-0005-0000-0000-00000E510000}"/>
    <cellStyle name="Normal 10 2 4 8 2 4" xfId="35815" xr:uid="{00000000-0005-0000-0000-00000F510000}"/>
    <cellStyle name="Normal 10 2 4 8 3" xfId="12068" xr:uid="{00000000-0005-0000-0000-000010510000}"/>
    <cellStyle name="Normal 10 2 4 8 3 2" xfId="25636" xr:uid="{00000000-0005-0000-0000-000011510000}"/>
    <cellStyle name="Normal 10 2 4 8 3 2 2" xfId="52769" xr:uid="{00000000-0005-0000-0000-000012510000}"/>
    <cellStyle name="Normal 10 2 4 8 3 3" xfId="39207" xr:uid="{00000000-0005-0000-0000-000013510000}"/>
    <cellStyle name="Normal 10 2 4 8 4" xfId="18855" xr:uid="{00000000-0005-0000-0000-000014510000}"/>
    <cellStyle name="Normal 10 2 4 8 4 2" xfId="45988" xr:uid="{00000000-0005-0000-0000-000015510000}"/>
    <cellStyle name="Normal 10 2 4 8 5" xfId="32426" xr:uid="{00000000-0005-0000-0000-000016510000}"/>
    <cellStyle name="Normal 10 2 4 9" xfId="5107" xr:uid="{00000000-0005-0000-0000-000017510000}"/>
    <cellStyle name="Normal 10 2 4 9 2" xfId="8668" xr:uid="{00000000-0005-0000-0000-000018510000}"/>
    <cellStyle name="Normal 10 2 4 9 2 2" xfId="15458" xr:uid="{00000000-0005-0000-0000-000019510000}"/>
    <cellStyle name="Normal 10 2 4 9 2 2 2" xfId="29026" xr:uid="{00000000-0005-0000-0000-00001A510000}"/>
    <cellStyle name="Normal 10 2 4 9 2 2 2 2" xfId="56159" xr:uid="{00000000-0005-0000-0000-00001B510000}"/>
    <cellStyle name="Normal 10 2 4 9 2 2 3" xfId="42597" xr:uid="{00000000-0005-0000-0000-00001C510000}"/>
    <cellStyle name="Normal 10 2 4 9 2 3" xfId="22245" xr:uid="{00000000-0005-0000-0000-00001D510000}"/>
    <cellStyle name="Normal 10 2 4 9 2 3 2" xfId="49378" xr:uid="{00000000-0005-0000-0000-00001E510000}"/>
    <cellStyle name="Normal 10 2 4 9 2 4" xfId="35816" xr:uid="{00000000-0005-0000-0000-00001F510000}"/>
    <cellStyle name="Normal 10 2 4 9 3" xfId="12069" xr:uid="{00000000-0005-0000-0000-000020510000}"/>
    <cellStyle name="Normal 10 2 4 9 3 2" xfId="25637" xr:uid="{00000000-0005-0000-0000-000021510000}"/>
    <cellStyle name="Normal 10 2 4 9 3 2 2" xfId="52770" xr:uid="{00000000-0005-0000-0000-000022510000}"/>
    <cellStyle name="Normal 10 2 4 9 3 3" xfId="39208" xr:uid="{00000000-0005-0000-0000-000023510000}"/>
    <cellStyle name="Normal 10 2 4 9 4" xfId="18856" xr:uid="{00000000-0005-0000-0000-000024510000}"/>
    <cellStyle name="Normal 10 2 4 9 4 2" xfId="45989" xr:uid="{00000000-0005-0000-0000-000025510000}"/>
    <cellStyle name="Normal 10 2 4 9 5" xfId="32427" xr:uid="{00000000-0005-0000-0000-000026510000}"/>
    <cellStyle name="Normal 10 2 5" xfId="5108" xr:uid="{00000000-0005-0000-0000-000027510000}"/>
    <cellStyle name="Normal 10 2 5 10" xfId="32428" xr:uid="{00000000-0005-0000-0000-000028510000}"/>
    <cellStyle name="Normal 10 2 5 2" xfId="5109" xr:uid="{00000000-0005-0000-0000-000029510000}"/>
    <cellStyle name="Normal 10 2 5 2 2" xfId="5110" xr:uid="{00000000-0005-0000-0000-00002A510000}"/>
    <cellStyle name="Normal 10 2 5 2 2 2" xfId="5111" xr:uid="{00000000-0005-0000-0000-00002B510000}"/>
    <cellStyle name="Normal 10 2 5 2 2 2 2" xfId="8672" xr:uid="{00000000-0005-0000-0000-00002C510000}"/>
    <cellStyle name="Normal 10 2 5 2 2 2 2 2" xfId="15462" xr:uid="{00000000-0005-0000-0000-00002D510000}"/>
    <cellStyle name="Normal 10 2 5 2 2 2 2 2 2" xfId="29030" xr:uid="{00000000-0005-0000-0000-00002E510000}"/>
    <cellStyle name="Normal 10 2 5 2 2 2 2 2 2 2" xfId="56163" xr:uid="{00000000-0005-0000-0000-00002F510000}"/>
    <cellStyle name="Normal 10 2 5 2 2 2 2 2 3" xfId="42601" xr:uid="{00000000-0005-0000-0000-000030510000}"/>
    <cellStyle name="Normal 10 2 5 2 2 2 2 3" xfId="22249" xr:uid="{00000000-0005-0000-0000-000031510000}"/>
    <cellStyle name="Normal 10 2 5 2 2 2 2 3 2" xfId="49382" xr:uid="{00000000-0005-0000-0000-000032510000}"/>
    <cellStyle name="Normal 10 2 5 2 2 2 2 4" xfId="35820" xr:uid="{00000000-0005-0000-0000-000033510000}"/>
    <cellStyle name="Normal 10 2 5 2 2 2 3" xfId="12073" xr:uid="{00000000-0005-0000-0000-000034510000}"/>
    <cellStyle name="Normal 10 2 5 2 2 2 3 2" xfId="25641" xr:uid="{00000000-0005-0000-0000-000035510000}"/>
    <cellStyle name="Normal 10 2 5 2 2 2 3 2 2" xfId="52774" xr:uid="{00000000-0005-0000-0000-000036510000}"/>
    <cellStyle name="Normal 10 2 5 2 2 2 3 3" xfId="39212" xr:uid="{00000000-0005-0000-0000-000037510000}"/>
    <cellStyle name="Normal 10 2 5 2 2 2 4" xfId="18860" xr:uid="{00000000-0005-0000-0000-000038510000}"/>
    <cellStyle name="Normal 10 2 5 2 2 2 4 2" xfId="45993" xr:uid="{00000000-0005-0000-0000-000039510000}"/>
    <cellStyle name="Normal 10 2 5 2 2 2 5" xfId="32431" xr:uid="{00000000-0005-0000-0000-00003A510000}"/>
    <cellStyle name="Normal 10 2 5 2 2 3" xfId="5112" xr:uid="{00000000-0005-0000-0000-00003B510000}"/>
    <cellStyle name="Normal 10 2 5 2 2 3 2" xfId="8673" xr:uid="{00000000-0005-0000-0000-00003C510000}"/>
    <cellStyle name="Normal 10 2 5 2 2 3 2 2" xfId="15463" xr:uid="{00000000-0005-0000-0000-00003D510000}"/>
    <cellStyle name="Normal 10 2 5 2 2 3 2 2 2" xfId="29031" xr:uid="{00000000-0005-0000-0000-00003E510000}"/>
    <cellStyle name="Normal 10 2 5 2 2 3 2 2 2 2" xfId="56164" xr:uid="{00000000-0005-0000-0000-00003F510000}"/>
    <cellStyle name="Normal 10 2 5 2 2 3 2 2 3" xfId="42602" xr:uid="{00000000-0005-0000-0000-000040510000}"/>
    <cellStyle name="Normal 10 2 5 2 2 3 2 3" xfId="22250" xr:uid="{00000000-0005-0000-0000-000041510000}"/>
    <cellStyle name="Normal 10 2 5 2 2 3 2 3 2" xfId="49383" xr:uid="{00000000-0005-0000-0000-000042510000}"/>
    <cellStyle name="Normal 10 2 5 2 2 3 2 4" xfId="35821" xr:uid="{00000000-0005-0000-0000-000043510000}"/>
    <cellStyle name="Normal 10 2 5 2 2 3 3" xfId="12074" xr:uid="{00000000-0005-0000-0000-000044510000}"/>
    <cellStyle name="Normal 10 2 5 2 2 3 3 2" xfId="25642" xr:uid="{00000000-0005-0000-0000-000045510000}"/>
    <cellStyle name="Normal 10 2 5 2 2 3 3 2 2" xfId="52775" xr:uid="{00000000-0005-0000-0000-000046510000}"/>
    <cellStyle name="Normal 10 2 5 2 2 3 3 3" xfId="39213" xr:uid="{00000000-0005-0000-0000-000047510000}"/>
    <cellStyle name="Normal 10 2 5 2 2 3 4" xfId="18861" xr:uid="{00000000-0005-0000-0000-000048510000}"/>
    <cellStyle name="Normal 10 2 5 2 2 3 4 2" xfId="45994" xr:uid="{00000000-0005-0000-0000-000049510000}"/>
    <cellStyle name="Normal 10 2 5 2 2 3 5" xfId="32432" xr:uid="{00000000-0005-0000-0000-00004A510000}"/>
    <cellStyle name="Normal 10 2 5 2 2 4" xfId="8671" xr:uid="{00000000-0005-0000-0000-00004B510000}"/>
    <cellStyle name="Normal 10 2 5 2 2 4 2" xfId="15461" xr:uid="{00000000-0005-0000-0000-00004C510000}"/>
    <cellStyle name="Normal 10 2 5 2 2 4 2 2" xfId="29029" xr:uid="{00000000-0005-0000-0000-00004D510000}"/>
    <cellStyle name="Normal 10 2 5 2 2 4 2 2 2" xfId="56162" xr:uid="{00000000-0005-0000-0000-00004E510000}"/>
    <cellStyle name="Normal 10 2 5 2 2 4 2 3" xfId="42600" xr:uid="{00000000-0005-0000-0000-00004F510000}"/>
    <cellStyle name="Normal 10 2 5 2 2 4 3" xfId="22248" xr:uid="{00000000-0005-0000-0000-000050510000}"/>
    <cellStyle name="Normal 10 2 5 2 2 4 3 2" xfId="49381" xr:uid="{00000000-0005-0000-0000-000051510000}"/>
    <cellStyle name="Normal 10 2 5 2 2 4 4" xfId="35819" xr:uid="{00000000-0005-0000-0000-000052510000}"/>
    <cellStyle name="Normal 10 2 5 2 2 5" xfId="12072" xr:uid="{00000000-0005-0000-0000-000053510000}"/>
    <cellStyle name="Normal 10 2 5 2 2 5 2" xfId="25640" xr:uid="{00000000-0005-0000-0000-000054510000}"/>
    <cellStyle name="Normal 10 2 5 2 2 5 2 2" xfId="52773" xr:uid="{00000000-0005-0000-0000-000055510000}"/>
    <cellStyle name="Normal 10 2 5 2 2 5 3" xfId="39211" xr:uid="{00000000-0005-0000-0000-000056510000}"/>
    <cellStyle name="Normal 10 2 5 2 2 6" xfId="18859" xr:uid="{00000000-0005-0000-0000-000057510000}"/>
    <cellStyle name="Normal 10 2 5 2 2 6 2" xfId="45992" xr:uid="{00000000-0005-0000-0000-000058510000}"/>
    <cellStyle name="Normal 10 2 5 2 2 7" xfId="32430" xr:uid="{00000000-0005-0000-0000-000059510000}"/>
    <cellStyle name="Normal 10 2 5 2 3" xfId="5113" xr:uid="{00000000-0005-0000-0000-00005A510000}"/>
    <cellStyle name="Normal 10 2 5 2 3 2" xfId="5114" xr:uid="{00000000-0005-0000-0000-00005B510000}"/>
    <cellStyle name="Normal 10 2 5 2 3 2 2" xfId="8675" xr:uid="{00000000-0005-0000-0000-00005C510000}"/>
    <cellStyle name="Normal 10 2 5 2 3 2 2 2" xfId="15465" xr:uid="{00000000-0005-0000-0000-00005D510000}"/>
    <cellStyle name="Normal 10 2 5 2 3 2 2 2 2" xfId="29033" xr:uid="{00000000-0005-0000-0000-00005E510000}"/>
    <cellStyle name="Normal 10 2 5 2 3 2 2 2 2 2" xfId="56166" xr:uid="{00000000-0005-0000-0000-00005F510000}"/>
    <cellStyle name="Normal 10 2 5 2 3 2 2 2 3" xfId="42604" xr:uid="{00000000-0005-0000-0000-000060510000}"/>
    <cellStyle name="Normal 10 2 5 2 3 2 2 3" xfId="22252" xr:uid="{00000000-0005-0000-0000-000061510000}"/>
    <cellStyle name="Normal 10 2 5 2 3 2 2 3 2" xfId="49385" xr:uid="{00000000-0005-0000-0000-000062510000}"/>
    <cellStyle name="Normal 10 2 5 2 3 2 2 4" xfId="35823" xr:uid="{00000000-0005-0000-0000-000063510000}"/>
    <cellStyle name="Normal 10 2 5 2 3 2 3" xfId="12076" xr:uid="{00000000-0005-0000-0000-000064510000}"/>
    <cellStyle name="Normal 10 2 5 2 3 2 3 2" xfId="25644" xr:uid="{00000000-0005-0000-0000-000065510000}"/>
    <cellStyle name="Normal 10 2 5 2 3 2 3 2 2" xfId="52777" xr:uid="{00000000-0005-0000-0000-000066510000}"/>
    <cellStyle name="Normal 10 2 5 2 3 2 3 3" xfId="39215" xr:uid="{00000000-0005-0000-0000-000067510000}"/>
    <cellStyle name="Normal 10 2 5 2 3 2 4" xfId="18863" xr:uid="{00000000-0005-0000-0000-000068510000}"/>
    <cellStyle name="Normal 10 2 5 2 3 2 4 2" xfId="45996" xr:uid="{00000000-0005-0000-0000-000069510000}"/>
    <cellStyle name="Normal 10 2 5 2 3 2 5" xfId="32434" xr:uid="{00000000-0005-0000-0000-00006A510000}"/>
    <cellStyle name="Normal 10 2 5 2 3 3" xfId="8674" xr:uid="{00000000-0005-0000-0000-00006B510000}"/>
    <cellStyle name="Normal 10 2 5 2 3 3 2" xfId="15464" xr:uid="{00000000-0005-0000-0000-00006C510000}"/>
    <cellStyle name="Normal 10 2 5 2 3 3 2 2" xfId="29032" xr:uid="{00000000-0005-0000-0000-00006D510000}"/>
    <cellStyle name="Normal 10 2 5 2 3 3 2 2 2" xfId="56165" xr:uid="{00000000-0005-0000-0000-00006E510000}"/>
    <cellStyle name="Normal 10 2 5 2 3 3 2 3" xfId="42603" xr:uid="{00000000-0005-0000-0000-00006F510000}"/>
    <cellStyle name="Normal 10 2 5 2 3 3 3" xfId="22251" xr:uid="{00000000-0005-0000-0000-000070510000}"/>
    <cellStyle name="Normal 10 2 5 2 3 3 3 2" xfId="49384" xr:uid="{00000000-0005-0000-0000-000071510000}"/>
    <cellStyle name="Normal 10 2 5 2 3 3 4" xfId="35822" xr:uid="{00000000-0005-0000-0000-000072510000}"/>
    <cellStyle name="Normal 10 2 5 2 3 4" xfId="12075" xr:uid="{00000000-0005-0000-0000-000073510000}"/>
    <cellStyle name="Normal 10 2 5 2 3 4 2" xfId="25643" xr:uid="{00000000-0005-0000-0000-000074510000}"/>
    <cellStyle name="Normal 10 2 5 2 3 4 2 2" xfId="52776" xr:uid="{00000000-0005-0000-0000-000075510000}"/>
    <cellStyle name="Normal 10 2 5 2 3 4 3" xfId="39214" xr:uid="{00000000-0005-0000-0000-000076510000}"/>
    <cellStyle name="Normal 10 2 5 2 3 5" xfId="18862" xr:uid="{00000000-0005-0000-0000-000077510000}"/>
    <cellStyle name="Normal 10 2 5 2 3 5 2" xfId="45995" xr:uid="{00000000-0005-0000-0000-000078510000}"/>
    <cellStyle name="Normal 10 2 5 2 3 6" xfId="32433" xr:uid="{00000000-0005-0000-0000-000079510000}"/>
    <cellStyle name="Normal 10 2 5 2 4" xfId="5115" xr:uid="{00000000-0005-0000-0000-00007A510000}"/>
    <cellStyle name="Normal 10 2 5 2 4 2" xfId="8676" xr:uid="{00000000-0005-0000-0000-00007B510000}"/>
    <cellStyle name="Normal 10 2 5 2 4 2 2" xfId="15466" xr:uid="{00000000-0005-0000-0000-00007C510000}"/>
    <cellStyle name="Normal 10 2 5 2 4 2 2 2" xfId="29034" xr:uid="{00000000-0005-0000-0000-00007D510000}"/>
    <cellStyle name="Normal 10 2 5 2 4 2 2 2 2" xfId="56167" xr:uid="{00000000-0005-0000-0000-00007E510000}"/>
    <cellStyle name="Normal 10 2 5 2 4 2 2 3" xfId="42605" xr:uid="{00000000-0005-0000-0000-00007F510000}"/>
    <cellStyle name="Normal 10 2 5 2 4 2 3" xfId="22253" xr:uid="{00000000-0005-0000-0000-000080510000}"/>
    <cellStyle name="Normal 10 2 5 2 4 2 3 2" xfId="49386" xr:uid="{00000000-0005-0000-0000-000081510000}"/>
    <cellStyle name="Normal 10 2 5 2 4 2 4" xfId="35824" xr:uid="{00000000-0005-0000-0000-000082510000}"/>
    <cellStyle name="Normal 10 2 5 2 4 3" xfId="12077" xr:uid="{00000000-0005-0000-0000-000083510000}"/>
    <cellStyle name="Normal 10 2 5 2 4 3 2" xfId="25645" xr:uid="{00000000-0005-0000-0000-000084510000}"/>
    <cellStyle name="Normal 10 2 5 2 4 3 2 2" xfId="52778" xr:uid="{00000000-0005-0000-0000-000085510000}"/>
    <cellStyle name="Normal 10 2 5 2 4 3 3" xfId="39216" xr:uid="{00000000-0005-0000-0000-000086510000}"/>
    <cellStyle name="Normal 10 2 5 2 4 4" xfId="18864" xr:uid="{00000000-0005-0000-0000-000087510000}"/>
    <cellStyle name="Normal 10 2 5 2 4 4 2" xfId="45997" xr:uid="{00000000-0005-0000-0000-000088510000}"/>
    <cellStyle name="Normal 10 2 5 2 4 5" xfId="32435" xr:uid="{00000000-0005-0000-0000-000089510000}"/>
    <cellStyle name="Normal 10 2 5 2 5" xfId="5116" xr:uid="{00000000-0005-0000-0000-00008A510000}"/>
    <cellStyle name="Normal 10 2 5 2 5 2" xfId="8677" xr:uid="{00000000-0005-0000-0000-00008B510000}"/>
    <cellStyle name="Normal 10 2 5 2 5 2 2" xfId="15467" xr:uid="{00000000-0005-0000-0000-00008C510000}"/>
    <cellStyle name="Normal 10 2 5 2 5 2 2 2" xfId="29035" xr:uid="{00000000-0005-0000-0000-00008D510000}"/>
    <cellStyle name="Normal 10 2 5 2 5 2 2 2 2" xfId="56168" xr:uid="{00000000-0005-0000-0000-00008E510000}"/>
    <cellStyle name="Normal 10 2 5 2 5 2 2 3" xfId="42606" xr:uid="{00000000-0005-0000-0000-00008F510000}"/>
    <cellStyle name="Normal 10 2 5 2 5 2 3" xfId="22254" xr:uid="{00000000-0005-0000-0000-000090510000}"/>
    <cellStyle name="Normal 10 2 5 2 5 2 3 2" xfId="49387" xr:uid="{00000000-0005-0000-0000-000091510000}"/>
    <cellStyle name="Normal 10 2 5 2 5 2 4" xfId="35825" xr:uid="{00000000-0005-0000-0000-000092510000}"/>
    <cellStyle name="Normal 10 2 5 2 5 3" xfId="12078" xr:uid="{00000000-0005-0000-0000-000093510000}"/>
    <cellStyle name="Normal 10 2 5 2 5 3 2" xfId="25646" xr:uid="{00000000-0005-0000-0000-000094510000}"/>
    <cellStyle name="Normal 10 2 5 2 5 3 2 2" xfId="52779" xr:uid="{00000000-0005-0000-0000-000095510000}"/>
    <cellStyle name="Normal 10 2 5 2 5 3 3" xfId="39217" xr:uid="{00000000-0005-0000-0000-000096510000}"/>
    <cellStyle name="Normal 10 2 5 2 5 4" xfId="18865" xr:uid="{00000000-0005-0000-0000-000097510000}"/>
    <cellStyle name="Normal 10 2 5 2 5 4 2" xfId="45998" xr:uid="{00000000-0005-0000-0000-000098510000}"/>
    <cellStyle name="Normal 10 2 5 2 5 5" xfId="32436" xr:uid="{00000000-0005-0000-0000-000099510000}"/>
    <cellStyle name="Normal 10 2 5 2 6" xfId="8670" xr:uid="{00000000-0005-0000-0000-00009A510000}"/>
    <cellStyle name="Normal 10 2 5 2 6 2" xfId="15460" xr:uid="{00000000-0005-0000-0000-00009B510000}"/>
    <cellStyle name="Normal 10 2 5 2 6 2 2" xfId="29028" xr:uid="{00000000-0005-0000-0000-00009C510000}"/>
    <cellStyle name="Normal 10 2 5 2 6 2 2 2" xfId="56161" xr:uid="{00000000-0005-0000-0000-00009D510000}"/>
    <cellStyle name="Normal 10 2 5 2 6 2 3" xfId="42599" xr:uid="{00000000-0005-0000-0000-00009E510000}"/>
    <cellStyle name="Normal 10 2 5 2 6 3" xfId="22247" xr:uid="{00000000-0005-0000-0000-00009F510000}"/>
    <cellStyle name="Normal 10 2 5 2 6 3 2" xfId="49380" xr:uid="{00000000-0005-0000-0000-0000A0510000}"/>
    <cellStyle name="Normal 10 2 5 2 6 4" xfId="35818" xr:uid="{00000000-0005-0000-0000-0000A1510000}"/>
    <cellStyle name="Normal 10 2 5 2 7" xfId="12071" xr:uid="{00000000-0005-0000-0000-0000A2510000}"/>
    <cellStyle name="Normal 10 2 5 2 7 2" xfId="25639" xr:uid="{00000000-0005-0000-0000-0000A3510000}"/>
    <cellStyle name="Normal 10 2 5 2 7 2 2" xfId="52772" xr:uid="{00000000-0005-0000-0000-0000A4510000}"/>
    <cellStyle name="Normal 10 2 5 2 7 3" xfId="39210" xr:uid="{00000000-0005-0000-0000-0000A5510000}"/>
    <cellStyle name="Normal 10 2 5 2 8" xfId="18858" xr:uid="{00000000-0005-0000-0000-0000A6510000}"/>
    <cellStyle name="Normal 10 2 5 2 8 2" xfId="45991" xr:uid="{00000000-0005-0000-0000-0000A7510000}"/>
    <cellStyle name="Normal 10 2 5 2 9" xfId="32429" xr:uid="{00000000-0005-0000-0000-0000A8510000}"/>
    <cellStyle name="Normal 10 2 5 3" xfId="5117" xr:uid="{00000000-0005-0000-0000-0000A9510000}"/>
    <cellStyle name="Normal 10 2 5 3 2" xfId="5118" xr:uid="{00000000-0005-0000-0000-0000AA510000}"/>
    <cellStyle name="Normal 10 2 5 3 2 2" xfId="8679" xr:uid="{00000000-0005-0000-0000-0000AB510000}"/>
    <cellStyle name="Normal 10 2 5 3 2 2 2" xfId="15469" xr:uid="{00000000-0005-0000-0000-0000AC510000}"/>
    <cellStyle name="Normal 10 2 5 3 2 2 2 2" xfId="29037" xr:uid="{00000000-0005-0000-0000-0000AD510000}"/>
    <cellStyle name="Normal 10 2 5 3 2 2 2 2 2" xfId="56170" xr:uid="{00000000-0005-0000-0000-0000AE510000}"/>
    <cellStyle name="Normal 10 2 5 3 2 2 2 3" xfId="42608" xr:uid="{00000000-0005-0000-0000-0000AF510000}"/>
    <cellStyle name="Normal 10 2 5 3 2 2 3" xfId="22256" xr:uid="{00000000-0005-0000-0000-0000B0510000}"/>
    <cellStyle name="Normal 10 2 5 3 2 2 3 2" xfId="49389" xr:uid="{00000000-0005-0000-0000-0000B1510000}"/>
    <cellStyle name="Normal 10 2 5 3 2 2 4" xfId="35827" xr:uid="{00000000-0005-0000-0000-0000B2510000}"/>
    <cellStyle name="Normal 10 2 5 3 2 3" xfId="12080" xr:uid="{00000000-0005-0000-0000-0000B3510000}"/>
    <cellStyle name="Normal 10 2 5 3 2 3 2" xfId="25648" xr:uid="{00000000-0005-0000-0000-0000B4510000}"/>
    <cellStyle name="Normal 10 2 5 3 2 3 2 2" xfId="52781" xr:uid="{00000000-0005-0000-0000-0000B5510000}"/>
    <cellStyle name="Normal 10 2 5 3 2 3 3" xfId="39219" xr:uid="{00000000-0005-0000-0000-0000B6510000}"/>
    <cellStyle name="Normal 10 2 5 3 2 4" xfId="18867" xr:uid="{00000000-0005-0000-0000-0000B7510000}"/>
    <cellStyle name="Normal 10 2 5 3 2 4 2" xfId="46000" xr:uid="{00000000-0005-0000-0000-0000B8510000}"/>
    <cellStyle name="Normal 10 2 5 3 2 5" xfId="32438" xr:uid="{00000000-0005-0000-0000-0000B9510000}"/>
    <cellStyle name="Normal 10 2 5 3 3" xfId="5119" xr:uid="{00000000-0005-0000-0000-0000BA510000}"/>
    <cellStyle name="Normal 10 2 5 3 3 2" xfId="8680" xr:uid="{00000000-0005-0000-0000-0000BB510000}"/>
    <cellStyle name="Normal 10 2 5 3 3 2 2" xfId="15470" xr:uid="{00000000-0005-0000-0000-0000BC510000}"/>
    <cellStyle name="Normal 10 2 5 3 3 2 2 2" xfId="29038" xr:uid="{00000000-0005-0000-0000-0000BD510000}"/>
    <cellStyle name="Normal 10 2 5 3 3 2 2 2 2" xfId="56171" xr:uid="{00000000-0005-0000-0000-0000BE510000}"/>
    <cellStyle name="Normal 10 2 5 3 3 2 2 3" xfId="42609" xr:uid="{00000000-0005-0000-0000-0000BF510000}"/>
    <cellStyle name="Normal 10 2 5 3 3 2 3" xfId="22257" xr:uid="{00000000-0005-0000-0000-0000C0510000}"/>
    <cellStyle name="Normal 10 2 5 3 3 2 3 2" xfId="49390" xr:uid="{00000000-0005-0000-0000-0000C1510000}"/>
    <cellStyle name="Normal 10 2 5 3 3 2 4" xfId="35828" xr:uid="{00000000-0005-0000-0000-0000C2510000}"/>
    <cellStyle name="Normal 10 2 5 3 3 3" xfId="12081" xr:uid="{00000000-0005-0000-0000-0000C3510000}"/>
    <cellStyle name="Normal 10 2 5 3 3 3 2" xfId="25649" xr:uid="{00000000-0005-0000-0000-0000C4510000}"/>
    <cellStyle name="Normal 10 2 5 3 3 3 2 2" xfId="52782" xr:uid="{00000000-0005-0000-0000-0000C5510000}"/>
    <cellStyle name="Normal 10 2 5 3 3 3 3" xfId="39220" xr:uid="{00000000-0005-0000-0000-0000C6510000}"/>
    <cellStyle name="Normal 10 2 5 3 3 4" xfId="18868" xr:uid="{00000000-0005-0000-0000-0000C7510000}"/>
    <cellStyle name="Normal 10 2 5 3 3 4 2" xfId="46001" xr:uid="{00000000-0005-0000-0000-0000C8510000}"/>
    <cellStyle name="Normal 10 2 5 3 3 5" xfId="32439" xr:uid="{00000000-0005-0000-0000-0000C9510000}"/>
    <cellStyle name="Normal 10 2 5 3 4" xfId="8678" xr:uid="{00000000-0005-0000-0000-0000CA510000}"/>
    <cellStyle name="Normal 10 2 5 3 4 2" xfId="15468" xr:uid="{00000000-0005-0000-0000-0000CB510000}"/>
    <cellStyle name="Normal 10 2 5 3 4 2 2" xfId="29036" xr:uid="{00000000-0005-0000-0000-0000CC510000}"/>
    <cellStyle name="Normal 10 2 5 3 4 2 2 2" xfId="56169" xr:uid="{00000000-0005-0000-0000-0000CD510000}"/>
    <cellStyle name="Normal 10 2 5 3 4 2 3" xfId="42607" xr:uid="{00000000-0005-0000-0000-0000CE510000}"/>
    <cellStyle name="Normal 10 2 5 3 4 3" xfId="22255" xr:uid="{00000000-0005-0000-0000-0000CF510000}"/>
    <cellStyle name="Normal 10 2 5 3 4 3 2" xfId="49388" xr:uid="{00000000-0005-0000-0000-0000D0510000}"/>
    <cellStyle name="Normal 10 2 5 3 4 4" xfId="35826" xr:uid="{00000000-0005-0000-0000-0000D1510000}"/>
    <cellStyle name="Normal 10 2 5 3 5" xfId="12079" xr:uid="{00000000-0005-0000-0000-0000D2510000}"/>
    <cellStyle name="Normal 10 2 5 3 5 2" xfId="25647" xr:uid="{00000000-0005-0000-0000-0000D3510000}"/>
    <cellStyle name="Normal 10 2 5 3 5 2 2" xfId="52780" xr:uid="{00000000-0005-0000-0000-0000D4510000}"/>
    <cellStyle name="Normal 10 2 5 3 5 3" xfId="39218" xr:uid="{00000000-0005-0000-0000-0000D5510000}"/>
    <cellStyle name="Normal 10 2 5 3 6" xfId="18866" xr:uid="{00000000-0005-0000-0000-0000D6510000}"/>
    <cellStyle name="Normal 10 2 5 3 6 2" xfId="45999" xr:uid="{00000000-0005-0000-0000-0000D7510000}"/>
    <cellStyle name="Normal 10 2 5 3 7" xfId="32437" xr:uid="{00000000-0005-0000-0000-0000D8510000}"/>
    <cellStyle name="Normal 10 2 5 4" xfId="5120" xr:uid="{00000000-0005-0000-0000-0000D9510000}"/>
    <cellStyle name="Normal 10 2 5 4 2" xfId="5121" xr:uid="{00000000-0005-0000-0000-0000DA510000}"/>
    <cellStyle name="Normal 10 2 5 4 2 2" xfId="8682" xr:uid="{00000000-0005-0000-0000-0000DB510000}"/>
    <cellStyle name="Normal 10 2 5 4 2 2 2" xfId="15472" xr:uid="{00000000-0005-0000-0000-0000DC510000}"/>
    <cellStyle name="Normal 10 2 5 4 2 2 2 2" xfId="29040" xr:uid="{00000000-0005-0000-0000-0000DD510000}"/>
    <cellStyle name="Normal 10 2 5 4 2 2 2 2 2" xfId="56173" xr:uid="{00000000-0005-0000-0000-0000DE510000}"/>
    <cellStyle name="Normal 10 2 5 4 2 2 2 3" xfId="42611" xr:uid="{00000000-0005-0000-0000-0000DF510000}"/>
    <cellStyle name="Normal 10 2 5 4 2 2 3" xfId="22259" xr:uid="{00000000-0005-0000-0000-0000E0510000}"/>
    <cellStyle name="Normal 10 2 5 4 2 2 3 2" xfId="49392" xr:uid="{00000000-0005-0000-0000-0000E1510000}"/>
    <cellStyle name="Normal 10 2 5 4 2 2 4" xfId="35830" xr:uid="{00000000-0005-0000-0000-0000E2510000}"/>
    <cellStyle name="Normal 10 2 5 4 2 3" xfId="12083" xr:uid="{00000000-0005-0000-0000-0000E3510000}"/>
    <cellStyle name="Normal 10 2 5 4 2 3 2" xfId="25651" xr:uid="{00000000-0005-0000-0000-0000E4510000}"/>
    <cellStyle name="Normal 10 2 5 4 2 3 2 2" xfId="52784" xr:uid="{00000000-0005-0000-0000-0000E5510000}"/>
    <cellStyle name="Normal 10 2 5 4 2 3 3" xfId="39222" xr:uid="{00000000-0005-0000-0000-0000E6510000}"/>
    <cellStyle name="Normal 10 2 5 4 2 4" xfId="18870" xr:uid="{00000000-0005-0000-0000-0000E7510000}"/>
    <cellStyle name="Normal 10 2 5 4 2 4 2" xfId="46003" xr:uid="{00000000-0005-0000-0000-0000E8510000}"/>
    <cellStyle name="Normal 10 2 5 4 2 5" xfId="32441" xr:uid="{00000000-0005-0000-0000-0000E9510000}"/>
    <cellStyle name="Normal 10 2 5 4 3" xfId="8681" xr:uid="{00000000-0005-0000-0000-0000EA510000}"/>
    <cellStyle name="Normal 10 2 5 4 3 2" xfId="15471" xr:uid="{00000000-0005-0000-0000-0000EB510000}"/>
    <cellStyle name="Normal 10 2 5 4 3 2 2" xfId="29039" xr:uid="{00000000-0005-0000-0000-0000EC510000}"/>
    <cellStyle name="Normal 10 2 5 4 3 2 2 2" xfId="56172" xr:uid="{00000000-0005-0000-0000-0000ED510000}"/>
    <cellStyle name="Normal 10 2 5 4 3 2 3" xfId="42610" xr:uid="{00000000-0005-0000-0000-0000EE510000}"/>
    <cellStyle name="Normal 10 2 5 4 3 3" xfId="22258" xr:uid="{00000000-0005-0000-0000-0000EF510000}"/>
    <cellStyle name="Normal 10 2 5 4 3 3 2" xfId="49391" xr:uid="{00000000-0005-0000-0000-0000F0510000}"/>
    <cellStyle name="Normal 10 2 5 4 3 4" xfId="35829" xr:uid="{00000000-0005-0000-0000-0000F1510000}"/>
    <cellStyle name="Normal 10 2 5 4 4" xfId="12082" xr:uid="{00000000-0005-0000-0000-0000F2510000}"/>
    <cellStyle name="Normal 10 2 5 4 4 2" xfId="25650" xr:uid="{00000000-0005-0000-0000-0000F3510000}"/>
    <cellStyle name="Normal 10 2 5 4 4 2 2" xfId="52783" xr:uid="{00000000-0005-0000-0000-0000F4510000}"/>
    <cellStyle name="Normal 10 2 5 4 4 3" xfId="39221" xr:uid="{00000000-0005-0000-0000-0000F5510000}"/>
    <cellStyle name="Normal 10 2 5 4 5" xfId="18869" xr:uid="{00000000-0005-0000-0000-0000F6510000}"/>
    <cellStyle name="Normal 10 2 5 4 5 2" xfId="46002" xr:uid="{00000000-0005-0000-0000-0000F7510000}"/>
    <cellStyle name="Normal 10 2 5 4 6" xfId="32440" xr:uid="{00000000-0005-0000-0000-0000F8510000}"/>
    <cellStyle name="Normal 10 2 5 5" xfId="5122" xr:uid="{00000000-0005-0000-0000-0000F9510000}"/>
    <cellStyle name="Normal 10 2 5 5 2" xfId="8683" xr:uid="{00000000-0005-0000-0000-0000FA510000}"/>
    <cellStyle name="Normal 10 2 5 5 2 2" xfId="15473" xr:uid="{00000000-0005-0000-0000-0000FB510000}"/>
    <cellStyle name="Normal 10 2 5 5 2 2 2" xfId="29041" xr:uid="{00000000-0005-0000-0000-0000FC510000}"/>
    <cellStyle name="Normal 10 2 5 5 2 2 2 2" xfId="56174" xr:uid="{00000000-0005-0000-0000-0000FD510000}"/>
    <cellStyle name="Normal 10 2 5 5 2 2 3" xfId="42612" xr:uid="{00000000-0005-0000-0000-0000FE510000}"/>
    <cellStyle name="Normal 10 2 5 5 2 3" xfId="22260" xr:uid="{00000000-0005-0000-0000-0000FF510000}"/>
    <cellStyle name="Normal 10 2 5 5 2 3 2" xfId="49393" xr:uid="{00000000-0005-0000-0000-000000520000}"/>
    <cellStyle name="Normal 10 2 5 5 2 4" xfId="35831" xr:uid="{00000000-0005-0000-0000-000001520000}"/>
    <cellStyle name="Normal 10 2 5 5 3" xfId="12084" xr:uid="{00000000-0005-0000-0000-000002520000}"/>
    <cellStyle name="Normal 10 2 5 5 3 2" xfId="25652" xr:uid="{00000000-0005-0000-0000-000003520000}"/>
    <cellStyle name="Normal 10 2 5 5 3 2 2" xfId="52785" xr:uid="{00000000-0005-0000-0000-000004520000}"/>
    <cellStyle name="Normal 10 2 5 5 3 3" xfId="39223" xr:uid="{00000000-0005-0000-0000-000005520000}"/>
    <cellStyle name="Normal 10 2 5 5 4" xfId="18871" xr:uid="{00000000-0005-0000-0000-000006520000}"/>
    <cellStyle name="Normal 10 2 5 5 4 2" xfId="46004" xr:uid="{00000000-0005-0000-0000-000007520000}"/>
    <cellStyle name="Normal 10 2 5 5 5" xfId="32442" xr:uid="{00000000-0005-0000-0000-000008520000}"/>
    <cellStyle name="Normal 10 2 5 6" xfId="5123" xr:uid="{00000000-0005-0000-0000-000009520000}"/>
    <cellStyle name="Normal 10 2 5 6 2" xfId="8684" xr:uid="{00000000-0005-0000-0000-00000A520000}"/>
    <cellStyle name="Normal 10 2 5 6 2 2" xfId="15474" xr:uid="{00000000-0005-0000-0000-00000B520000}"/>
    <cellStyle name="Normal 10 2 5 6 2 2 2" xfId="29042" xr:uid="{00000000-0005-0000-0000-00000C520000}"/>
    <cellStyle name="Normal 10 2 5 6 2 2 2 2" xfId="56175" xr:uid="{00000000-0005-0000-0000-00000D520000}"/>
    <cellStyle name="Normal 10 2 5 6 2 2 3" xfId="42613" xr:uid="{00000000-0005-0000-0000-00000E520000}"/>
    <cellStyle name="Normal 10 2 5 6 2 3" xfId="22261" xr:uid="{00000000-0005-0000-0000-00000F520000}"/>
    <cellStyle name="Normal 10 2 5 6 2 3 2" xfId="49394" xr:uid="{00000000-0005-0000-0000-000010520000}"/>
    <cellStyle name="Normal 10 2 5 6 2 4" xfId="35832" xr:uid="{00000000-0005-0000-0000-000011520000}"/>
    <cellStyle name="Normal 10 2 5 6 3" xfId="12085" xr:uid="{00000000-0005-0000-0000-000012520000}"/>
    <cellStyle name="Normal 10 2 5 6 3 2" xfId="25653" xr:uid="{00000000-0005-0000-0000-000013520000}"/>
    <cellStyle name="Normal 10 2 5 6 3 2 2" xfId="52786" xr:uid="{00000000-0005-0000-0000-000014520000}"/>
    <cellStyle name="Normal 10 2 5 6 3 3" xfId="39224" xr:uid="{00000000-0005-0000-0000-000015520000}"/>
    <cellStyle name="Normal 10 2 5 6 4" xfId="18872" xr:uid="{00000000-0005-0000-0000-000016520000}"/>
    <cellStyle name="Normal 10 2 5 6 4 2" xfId="46005" xr:uid="{00000000-0005-0000-0000-000017520000}"/>
    <cellStyle name="Normal 10 2 5 6 5" xfId="32443" xr:uid="{00000000-0005-0000-0000-000018520000}"/>
    <cellStyle name="Normal 10 2 5 7" xfId="8669" xr:uid="{00000000-0005-0000-0000-000019520000}"/>
    <cellStyle name="Normal 10 2 5 7 2" xfId="15459" xr:uid="{00000000-0005-0000-0000-00001A520000}"/>
    <cellStyle name="Normal 10 2 5 7 2 2" xfId="29027" xr:uid="{00000000-0005-0000-0000-00001B520000}"/>
    <cellStyle name="Normal 10 2 5 7 2 2 2" xfId="56160" xr:uid="{00000000-0005-0000-0000-00001C520000}"/>
    <cellStyle name="Normal 10 2 5 7 2 3" xfId="42598" xr:uid="{00000000-0005-0000-0000-00001D520000}"/>
    <cellStyle name="Normal 10 2 5 7 3" xfId="22246" xr:uid="{00000000-0005-0000-0000-00001E520000}"/>
    <cellStyle name="Normal 10 2 5 7 3 2" xfId="49379" xr:uid="{00000000-0005-0000-0000-00001F520000}"/>
    <cellStyle name="Normal 10 2 5 7 4" xfId="35817" xr:uid="{00000000-0005-0000-0000-000020520000}"/>
    <cellStyle name="Normal 10 2 5 8" xfId="12070" xr:uid="{00000000-0005-0000-0000-000021520000}"/>
    <cellStyle name="Normal 10 2 5 8 2" xfId="25638" xr:uid="{00000000-0005-0000-0000-000022520000}"/>
    <cellStyle name="Normal 10 2 5 8 2 2" xfId="52771" xr:uid="{00000000-0005-0000-0000-000023520000}"/>
    <cellStyle name="Normal 10 2 5 8 3" xfId="39209" xr:uid="{00000000-0005-0000-0000-000024520000}"/>
    <cellStyle name="Normal 10 2 5 9" xfId="18857" xr:uid="{00000000-0005-0000-0000-000025520000}"/>
    <cellStyle name="Normal 10 2 5 9 2" xfId="45990" xr:uid="{00000000-0005-0000-0000-000026520000}"/>
    <cellStyle name="Normal 10 2 6" xfId="5124" xr:uid="{00000000-0005-0000-0000-000027520000}"/>
    <cellStyle name="Normal 10 2 6 2" xfId="5125" xr:uid="{00000000-0005-0000-0000-000028520000}"/>
    <cellStyle name="Normal 10 2 6 2 2" xfId="5126" xr:uid="{00000000-0005-0000-0000-000029520000}"/>
    <cellStyle name="Normal 10 2 6 2 2 2" xfId="8687" xr:uid="{00000000-0005-0000-0000-00002A520000}"/>
    <cellStyle name="Normal 10 2 6 2 2 2 2" xfId="15477" xr:uid="{00000000-0005-0000-0000-00002B520000}"/>
    <cellStyle name="Normal 10 2 6 2 2 2 2 2" xfId="29045" xr:uid="{00000000-0005-0000-0000-00002C520000}"/>
    <cellStyle name="Normal 10 2 6 2 2 2 2 2 2" xfId="56178" xr:uid="{00000000-0005-0000-0000-00002D520000}"/>
    <cellStyle name="Normal 10 2 6 2 2 2 2 3" xfId="42616" xr:uid="{00000000-0005-0000-0000-00002E520000}"/>
    <cellStyle name="Normal 10 2 6 2 2 2 3" xfId="22264" xr:uid="{00000000-0005-0000-0000-00002F520000}"/>
    <cellStyle name="Normal 10 2 6 2 2 2 3 2" xfId="49397" xr:uid="{00000000-0005-0000-0000-000030520000}"/>
    <cellStyle name="Normal 10 2 6 2 2 2 4" xfId="35835" xr:uid="{00000000-0005-0000-0000-000031520000}"/>
    <cellStyle name="Normal 10 2 6 2 2 3" xfId="12088" xr:uid="{00000000-0005-0000-0000-000032520000}"/>
    <cellStyle name="Normal 10 2 6 2 2 3 2" xfId="25656" xr:uid="{00000000-0005-0000-0000-000033520000}"/>
    <cellStyle name="Normal 10 2 6 2 2 3 2 2" xfId="52789" xr:uid="{00000000-0005-0000-0000-000034520000}"/>
    <cellStyle name="Normal 10 2 6 2 2 3 3" xfId="39227" xr:uid="{00000000-0005-0000-0000-000035520000}"/>
    <cellStyle name="Normal 10 2 6 2 2 4" xfId="18875" xr:uid="{00000000-0005-0000-0000-000036520000}"/>
    <cellStyle name="Normal 10 2 6 2 2 4 2" xfId="46008" xr:uid="{00000000-0005-0000-0000-000037520000}"/>
    <cellStyle name="Normal 10 2 6 2 2 5" xfId="32446" xr:uid="{00000000-0005-0000-0000-000038520000}"/>
    <cellStyle name="Normal 10 2 6 2 3" xfId="5127" xr:uid="{00000000-0005-0000-0000-000039520000}"/>
    <cellStyle name="Normal 10 2 6 2 3 2" xfId="8688" xr:uid="{00000000-0005-0000-0000-00003A520000}"/>
    <cellStyle name="Normal 10 2 6 2 3 2 2" xfId="15478" xr:uid="{00000000-0005-0000-0000-00003B520000}"/>
    <cellStyle name="Normal 10 2 6 2 3 2 2 2" xfId="29046" xr:uid="{00000000-0005-0000-0000-00003C520000}"/>
    <cellStyle name="Normal 10 2 6 2 3 2 2 2 2" xfId="56179" xr:uid="{00000000-0005-0000-0000-00003D520000}"/>
    <cellStyle name="Normal 10 2 6 2 3 2 2 3" xfId="42617" xr:uid="{00000000-0005-0000-0000-00003E520000}"/>
    <cellStyle name="Normal 10 2 6 2 3 2 3" xfId="22265" xr:uid="{00000000-0005-0000-0000-00003F520000}"/>
    <cellStyle name="Normal 10 2 6 2 3 2 3 2" xfId="49398" xr:uid="{00000000-0005-0000-0000-000040520000}"/>
    <cellStyle name="Normal 10 2 6 2 3 2 4" xfId="35836" xr:uid="{00000000-0005-0000-0000-000041520000}"/>
    <cellStyle name="Normal 10 2 6 2 3 3" xfId="12089" xr:uid="{00000000-0005-0000-0000-000042520000}"/>
    <cellStyle name="Normal 10 2 6 2 3 3 2" xfId="25657" xr:uid="{00000000-0005-0000-0000-000043520000}"/>
    <cellStyle name="Normal 10 2 6 2 3 3 2 2" xfId="52790" xr:uid="{00000000-0005-0000-0000-000044520000}"/>
    <cellStyle name="Normal 10 2 6 2 3 3 3" xfId="39228" xr:uid="{00000000-0005-0000-0000-000045520000}"/>
    <cellStyle name="Normal 10 2 6 2 3 4" xfId="18876" xr:uid="{00000000-0005-0000-0000-000046520000}"/>
    <cellStyle name="Normal 10 2 6 2 3 4 2" xfId="46009" xr:uid="{00000000-0005-0000-0000-000047520000}"/>
    <cellStyle name="Normal 10 2 6 2 3 5" xfId="32447" xr:uid="{00000000-0005-0000-0000-000048520000}"/>
    <cellStyle name="Normal 10 2 6 2 4" xfId="8686" xr:uid="{00000000-0005-0000-0000-000049520000}"/>
    <cellStyle name="Normal 10 2 6 2 4 2" xfId="15476" xr:uid="{00000000-0005-0000-0000-00004A520000}"/>
    <cellStyle name="Normal 10 2 6 2 4 2 2" xfId="29044" xr:uid="{00000000-0005-0000-0000-00004B520000}"/>
    <cellStyle name="Normal 10 2 6 2 4 2 2 2" xfId="56177" xr:uid="{00000000-0005-0000-0000-00004C520000}"/>
    <cellStyle name="Normal 10 2 6 2 4 2 3" xfId="42615" xr:uid="{00000000-0005-0000-0000-00004D520000}"/>
    <cellStyle name="Normal 10 2 6 2 4 3" xfId="22263" xr:uid="{00000000-0005-0000-0000-00004E520000}"/>
    <cellStyle name="Normal 10 2 6 2 4 3 2" xfId="49396" xr:uid="{00000000-0005-0000-0000-00004F520000}"/>
    <cellStyle name="Normal 10 2 6 2 4 4" xfId="35834" xr:uid="{00000000-0005-0000-0000-000050520000}"/>
    <cellStyle name="Normal 10 2 6 2 5" xfId="12087" xr:uid="{00000000-0005-0000-0000-000051520000}"/>
    <cellStyle name="Normal 10 2 6 2 5 2" xfId="25655" xr:uid="{00000000-0005-0000-0000-000052520000}"/>
    <cellStyle name="Normal 10 2 6 2 5 2 2" xfId="52788" xr:uid="{00000000-0005-0000-0000-000053520000}"/>
    <cellStyle name="Normal 10 2 6 2 5 3" xfId="39226" xr:uid="{00000000-0005-0000-0000-000054520000}"/>
    <cellStyle name="Normal 10 2 6 2 6" xfId="18874" xr:uid="{00000000-0005-0000-0000-000055520000}"/>
    <cellStyle name="Normal 10 2 6 2 6 2" xfId="46007" xr:uid="{00000000-0005-0000-0000-000056520000}"/>
    <cellStyle name="Normal 10 2 6 2 7" xfId="32445" xr:uid="{00000000-0005-0000-0000-000057520000}"/>
    <cellStyle name="Normal 10 2 6 3" xfId="5128" xr:uid="{00000000-0005-0000-0000-000058520000}"/>
    <cellStyle name="Normal 10 2 6 3 2" xfId="5129" xr:uid="{00000000-0005-0000-0000-000059520000}"/>
    <cellStyle name="Normal 10 2 6 3 2 2" xfId="8690" xr:uid="{00000000-0005-0000-0000-00005A520000}"/>
    <cellStyle name="Normal 10 2 6 3 2 2 2" xfId="15480" xr:uid="{00000000-0005-0000-0000-00005B520000}"/>
    <cellStyle name="Normal 10 2 6 3 2 2 2 2" xfId="29048" xr:uid="{00000000-0005-0000-0000-00005C520000}"/>
    <cellStyle name="Normal 10 2 6 3 2 2 2 2 2" xfId="56181" xr:uid="{00000000-0005-0000-0000-00005D520000}"/>
    <cellStyle name="Normal 10 2 6 3 2 2 2 3" xfId="42619" xr:uid="{00000000-0005-0000-0000-00005E520000}"/>
    <cellStyle name="Normal 10 2 6 3 2 2 3" xfId="22267" xr:uid="{00000000-0005-0000-0000-00005F520000}"/>
    <cellStyle name="Normal 10 2 6 3 2 2 3 2" xfId="49400" xr:uid="{00000000-0005-0000-0000-000060520000}"/>
    <cellStyle name="Normal 10 2 6 3 2 2 4" xfId="35838" xr:uid="{00000000-0005-0000-0000-000061520000}"/>
    <cellStyle name="Normal 10 2 6 3 2 3" xfId="12091" xr:uid="{00000000-0005-0000-0000-000062520000}"/>
    <cellStyle name="Normal 10 2 6 3 2 3 2" xfId="25659" xr:uid="{00000000-0005-0000-0000-000063520000}"/>
    <cellStyle name="Normal 10 2 6 3 2 3 2 2" xfId="52792" xr:uid="{00000000-0005-0000-0000-000064520000}"/>
    <cellStyle name="Normal 10 2 6 3 2 3 3" xfId="39230" xr:uid="{00000000-0005-0000-0000-000065520000}"/>
    <cellStyle name="Normal 10 2 6 3 2 4" xfId="18878" xr:uid="{00000000-0005-0000-0000-000066520000}"/>
    <cellStyle name="Normal 10 2 6 3 2 4 2" xfId="46011" xr:uid="{00000000-0005-0000-0000-000067520000}"/>
    <cellStyle name="Normal 10 2 6 3 2 5" xfId="32449" xr:uid="{00000000-0005-0000-0000-000068520000}"/>
    <cellStyle name="Normal 10 2 6 3 3" xfId="8689" xr:uid="{00000000-0005-0000-0000-000069520000}"/>
    <cellStyle name="Normal 10 2 6 3 3 2" xfId="15479" xr:uid="{00000000-0005-0000-0000-00006A520000}"/>
    <cellStyle name="Normal 10 2 6 3 3 2 2" xfId="29047" xr:uid="{00000000-0005-0000-0000-00006B520000}"/>
    <cellStyle name="Normal 10 2 6 3 3 2 2 2" xfId="56180" xr:uid="{00000000-0005-0000-0000-00006C520000}"/>
    <cellStyle name="Normal 10 2 6 3 3 2 3" xfId="42618" xr:uid="{00000000-0005-0000-0000-00006D520000}"/>
    <cellStyle name="Normal 10 2 6 3 3 3" xfId="22266" xr:uid="{00000000-0005-0000-0000-00006E520000}"/>
    <cellStyle name="Normal 10 2 6 3 3 3 2" xfId="49399" xr:uid="{00000000-0005-0000-0000-00006F520000}"/>
    <cellStyle name="Normal 10 2 6 3 3 4" xfId="35837" xr:uid="{00000000-0005-0000-0000-000070520000}"/>
    <cellStyle name="Normal 10 2 6 3 4" xfId="12090" xr:uid="{00000000-0005-0000-0000-000071520000}"/>
    <cellStyle name="Normal 10 2 6 3 4 2" xfId="25658" xr:uid="{00000000-0005-0000-0000-000072520000}"/>
    <cellStyle name="Normal 10 2 6 3 4 2 2" xfId="52791" xr:uid="{00000000-0005-0000-0000-000073520000}"/>
    <cellStyle name="Normal 10 2 6 3 4 3" xfId="39229" xr:uid="{00000000-0005-0000-0000-000074520000}"/>
    <cellStyle name="Normal 10 2 6 3 5" xfId="18877" xr:uid="{00000000-0005-0000-0000-000075520000}"/>
    <cellStyle name="Normal 10 2 6 3 5 2" xfId="46010" xr:uid="{00000000-0005-0000-0000-000076520000}"/>
    <cellStyle name="Normal 10 2 6 3 6" xfId="32448" xr:uid="{00000000-0005-0000-0000-000077520000}"/>
    <cellStyle name="Normal 10 2 6 4" xfId="5130" xr:uid="{00000000-0005-0000-0000-000078520000}"/>
    <cellStyle name="Normal 10 2 6 4 2" xfId="8691" xr:uid="{00000000-0005-0000-0000-000079520000}"/>
    <cellStyle name="Normal 10 2 6 4 2 2" xfId="15481" xr:uid="{00000000-0005-0000-0000-00007A520000}"/>
    <cellStyle name="Normal 10 2 6 4 2 2 2" xfId="29049" xr:uid="{00000000-0005-0000-0000-00007B520000}"/>
    <cellStyle name="Normal 10 2 6 4 2 2 2 2" xfId="56182" xr:uid="{00000000-0005-0000-0000-00007C520000}"/>
    <cellStyle name="Normal 10 2 6 4 2 2 3" xfId="42620" xr:uid="{00000000-0005-0000-0000-00007D520000}"/>
    <cellStyle name="Normal 10 2 6 4 2 3" xfId="22268" xr:uid="{00000000-0005-0000-0000-00007E520000}"/>
    <cellStyle name="Normal 10 2 6 4 2 3 2" xfId="49401" xr:uid="{00000000-0005-0000-0000-00007F520000}"/>
    <cellStyle name="Normal 10 2 6 4 2 4" xfId="35839" xr:uid="{00000000-0005-0000-0000-000080520000}"/>
    <cellStyle name="Normal 10 2 6 4 3" xfId="12092" xr:uid="{00000000-0005-0000-0000-000081520000}"/>
    <cellStyle name="Normal 10 2 6 4 3 2" xfId="25660" xr:uid="{00000000-0005-0000-0000-000082520000}"/>
    <cellStyle name="Normal 10 2 6 4 3 2 2" xfId="52793" xr:uid="{00000000-0005-0000-0000-000083520000}"/>
    <cellStyle name="Normal 10 2 6 4 3 3" xfId="39231" xr:uid="{00000000-0005-0000-0000-000084520000}"/>
    <cellStyle name="Normal 10 2 6 4 4" xfId="18879" xr:uid="{00000000-0005-0000-0000-000085520000}"/>
    <cellStyle name="Normal 10 2 6 4 4 2" xfId="46012" xr:uid="{00000000-0005-0000-0000-000086520000}"/>
    <cellStyle name="Normal 10 2 6 4 5" xfId="32450" xr:uid="{00000000-0005-0000-0000-000087520000}"/>
    <cellStyle name="Normal 10 2 6 5" xfId="5131" xr:uid="{00000000-0005-0000-0000-000088520000}"/>
    <cellStyle name="Normal 10 2 6 5 2" xfId="8692" xr:uid="{00000000-0005-0000-0000-000089520000}"/>
    <cellStyle name="Normal 10 2 6 5 2 2" xfId="15482" xr:uid="{00000000-0005-0000-0000-00008A520000}"/>
    <cellStyle name="Normal 10 2 6 5 2 2 2" xfId="29050" xr:uid="{00000000-0005-0000-0000-00008B520000}"/>
    <cellStyle name="Normal 10 2 6 5 2 2 2 2" xfId="56183" xr:uid="{00000000-0005-0000-0000-00008C520000}"/>
    <cellStyle name="Normal 10 2 6 5 2 2 3" xfId="42621" xr:uid="{00000000-0005-0000-0000-00008D520000}"/>
    <cellStyle name="Normal 10 2 6 5 2 3" xfId="22269" xr:uid="{00000000-0005-0000-0000-00008E520000}"/>
    <cellStyle name="Normal 10 2 6 5 2 3 2" xfId="49402" xr:uid="{00000000-0005-0000-0000-00008F520000}"/>
    <cellStyle name="Normal 10 2 6 5 2 4" xfId="35840" xr:uid="{00000000-0005-0000-0000-000090520000}"/>
    <cellStyle name="Normal 10 2 6 5 3" xfId="12093" xr:uid="{00000000-0005-0000-0000-000091520000}"/>
    <cellStyle name="Normal 10 2 6 5 3 2" xfId="25661" xr:uid="{00000000-0005-0000-0000-000092520000}"/>
    <cellStyle name="Normal 10 2 6 5 3 2 2" xfId="52794" xr:uid="{00000000-0005-0000-0000-000093520000}"/>
    <cellStyle name="Normal 10 2 6 5 3 3" xfId="39232" xr:uid="{00000000-0005-0000-0000-000094520000}"/>
    <cellStyle name="Normal 10 2 6 5 4" xfId="18880" xr:uid="{00000000-0005-0000-0000-000095520000}"/>
    <cellStyle name="Normal 10 2 6 5 4 2" xfId="46013" xr:uid="{00000000-0005-0000-0000-000096520000}"/>
    <cellStyle name="Normal 10 2 6 5 5" xfId="32451" xr:uid="{00000000-0005-0000-0000-000097520000}"/>
    <cellStyle name="Normal 10 2 6 6" xfId="8685" xr:uid="{00000000-0005-0000-0000-000098520000}"/>
    <cellStyle name="Normal 10 2 6 6 2" xfId="15475" xr:uid="{00000000-0005-0000-0000-000099520000}"/>
    <cellStyle name="Normal 10 2 6 6 2 2" xfId="29043" xr:uid="{00000000-0005-0000-0000-00009A520000}"/>
    <cellStyle name="Normal 10 2 6 6 2 2 2" xfId="56176" xr:uid="{00000000-0005-0000-0000-00009B520000}"/>
    <cellStyle name="Normal 10 2 6 6 2 3" xfId="42614" xr:uid="{00000000-0005-0000-0000-00009C520000}"/>
    <cellStyle name="Normal 10 2 6 6 3" xfId="22262" xr:uid="{00000000-0005-0000-0000-00009D520000}"/>
    <cellStyle name="Normal 10 2 6 6 3 2" xfId="49395" xr:uid="{00000000-0005-0000-0000-00009E520000}"/>
    <cellStyle name="Normal 10 2 6 6 4" xfId="35833" xr:uid="{00000000-0005-0000-0000-00009F520000}"/>
    <cellStyle name="Normal 10 2 6 7" xfId="12086" xr:uid="{00000000-0005-0000-0000-0000A0520000}"/>
    <cellStyle name="Normal 10 2 6 7 2" xfId="25654" xr:uid="{00000000-0005-0000-0000-0000A1520000}"/>
    <cellStyle name="Normal 10 2 6 7 2 2" xfId="52787" xr:uid="{00000000-0005-0000-0000-0000A2520000}"/>
    <cellStyle name="Normal 10 2 6 7 3" xfId="39225" xr:uid="{00000000-0005-0000-0000-0000A3520000}"/>
    <cellStyle name="Normal 10 2 6 8" xfId="18873" xr:uid="{00000000-0005-0000-0000-0000A4520000}"/>
    <cellStyle name="Normal 10 2 6 8 2" xfId="46006" xr:uid="{00000000-0005-0000-0000-0000A5520000}"/>
    <cellStyle name="Normal 10 2 6 9" xfId="32444" xr:uid="{00000000-0005-0000-0000-0000A6520000}"/>
    <cellStyle name="Normal 10 2 7" xfId="5132" xr:uid="{00000000-0005-0000-0000-0000A7520000}"/>
    <cellStyle name="Normal 10 2 7 2" xfId="5133" xr:uid="{00000000-0005-0000-0000-0000A8520000}"/>
    <cellStyle name="Normal 10 2 7 2 2" xfId="5134" xr:uid="{00000000-0005-0000-0000-0000A9520000}"/>
    <cellStyle name="Normal 10 2 7 2 2 2" xfId="8695" xr:uid="{00000000-0005-0000-0000-0000AA520000}"/>
    <cellStyle name="Normal 10 2 7 2 2 2 2" xfId="15485" xr:uid="{00000000-0005-0000-0000-0000AB520000}"/>
    <cellStyle name="Normal 10 2 7 2 2 2 2 2" xfId="29053" xr:uid="{00000000-0005-0000-0000-0000AC520000}"/>
    <cellStyle name="Normal 10 2 7 2 2 2 2 2 2" xfId="56186" xr:uid="{00000000-0005-0000-0000-0000AD520000}"/>
    <cellStyle name="Normal 10 2 7 2 2 2 2 3" xfId="42624" xr:uid="{00000000-0005-0000-0000-0000AE520000}"/>
    <cellStyle name="Normal 10 2 7 2 2 2 3" xfId="22272" xr:uid="{00000000-0005-0000-0000-0000AF520000}"/>
    <cellStyle name="Normal 10 2 7 2 2 2 3 2" xfId="49405" xr:uid="{00000000-0005-0000-0000-0000B0520000}"/>
    <cellStyle name="Normal 10 2 7 2 2 2 4" xfId="35843" xr:uid="{00000000-0005-0000-0000-0000B1520000}"/>
    <cellStyle name="Normal 10 2 7 2 2 3" xfId="12096" xr:uid="{00000000-0005-0000-0000-0000B2520000}"/>
    <cellStyle name="Normal 10 2 7 2 2 3 2" xfId="25664" xr:uid="{00000000-0005-0000-0000-0000B3520000}"/>
    <cellStyle name="Normal 10 2 7 2 2 3 2 2" xfId="52797" xr:uid="{00000000-0005-0000-0000-0000B4520000}"/>
    <cellStyle name="Normal 10 2 7 2 2 3 3" xfId="39235" xr:uid="{00000000-0005-0000-0000-0000B5520000}"/>
    <cellStyle name="Normal 10 2 7 2 2 4" xfId="18883" xr:uid="{00000000-0005-0000-0000-0000B6520000}"/>
    <cellStyle name="Normal 10 2 7 2 2 4 2" xfId="46016" xr:uid="{00000000-0005-0000-0000-0000B7520000}"/>
    <cellStyle name="Normal 10 2 7 2 2 5" xfId="32454" xr:uid="{00000000-0005-0000-0000-0000B8520000}"/>
    <cellStyle name="Normal 10 2 7 2 3" xfId="5135" xr:uid="{00000000-0005-0000-0000-0000B9520000}"/>
    <cellStyle name="Normal 10 2 7 2 3 2" xfId="8696" xr:uid="{00000000-0005-0000-0000-0000BA520000}"/>
    <cellStyle name="Normal 10 2 7 2 3 2 2" xfId="15486" xr:uid="{00000000-0005-0000-0000-0000BB520000}"/>
    <cellStyle name="Normal 10 2 7 2 3 2 2 2" xfId="29054" xr:uid="{00000000-0005-0000-0000-0000BC520000}"/>
    <cellStyle name="Normal 10 2 7 2 3 2 2 2 2" xfId="56187" xr:uid="{00000000-0005-0000-0000-0000BD520000}"/>
    <cellStyle name="Normal 10 2 7 2 3 2 2 3" xfId="42625" xr:uid="{00000000-0005-0000-0000-0000BE520000}"/>
    <cellStyle name="Normal 10 2 7 2 3 2 3" xfId="22273" xr:uid="{00000000-0005-0000-0000-0000BF520000}"/>
    <cellStyle name="Normal 10 2 7 2 3 2 3 2" xfId="49406" xr:uid="{00000000-0005-0000-0000-0000C0520000}"/>
    <cellStyle name="Normal 10 2 7 2 3 2 4" xfId="35844" xr:uid="{00000000-0005-0000-0000-0000C1520000}"/>
    <cellStyle name="Normal 10 2 7 2 3 3" xfId="12097" xr:uid="{00000000-0005-0000-0000-0000C2520000}"/>
    <cellStyle name="Normal 10 2 7 2 3 3 2" xfId="25665" xr:uid="{00000000-0005-0000-0000-0000C3520000}"/>
    <cellStyle name="Normal 10 2 7 2 3 3 2 2" xfId="52798" xr:uid="{00000000-0005-0000-0000-0000C4520000}"/>
    <cellStyle name="Normal 10 2 7 2 3 3 3" xfId="39236" xr:uid="{00000000-0005-0000-0000-0000C5520000}"/>
    <cellStyle name="Normal 10 2 7 2 3 4" xfId="18884" xr:uid="{00000000-0005-0000-0000-0000C6520000}"/>
    <cellStyle name="Normal 10 2 7 2 3 4 2" xfId="46017" xr:uid="{00000000-0005-0000-0000-0000C7520000}"/>
    <cellStyle name="Normal 10 2 7 2 3 5" xfId="32455" xr:uid="{00000000-0005-0000-0000-0000C8520000}"/>
    <cellStyle name="Normal 10 2 7 2 4" xfId="8694" xr:uid="{00000000-0005-0000-0000-0000C9520000}"/>
    <cellStyle name="Normal 10 2 7 2 4 2" xfId="15484" xr:uid="{00000000-0005-0000-0000-0000CA520000}"/>
    <cellStyle name="Normal 10 2 7 2 4 2 2" xfId="29052" xr:uid="{00000000-0005-0000-0000-0000CB520000}"/>
    <cellStyle name="Normal 10 2 7 2 4 2 2 2" xfId="56185" xr:uid="{00000000-0005-0000-0000-0000CC520000}"/>
    <cellStyle name="Normal 10 2 7 2 4 2 3" xfId="42623" xr:uid="{00000000-0005-0000-0000-0000CD520000}"/>
    <cellStyle name="Normal 10 2 7 2 4 3" xfId="22271" xr:uid="{00000000-0005-0000-0000-0000CE520000}"/>
    <cellStyle name="Normal 10 2 7 2 4 3 2" xfId="49404" xr:uid="{00000000-0005-0000-0000-0000CF520000}"/>
    <cellStyle name="Normal 10 2 7 2 4 4" xfId="35842" xr:uid="{00000000-0005-0000-0000-0000D0520000}"/>
    <cellStyle name="Normal 10 2 7 2 5" xfId="12095" xr:uid="{00000000-0005-0000-0000-0000D1520000}"/>
    <cellStyle name="Normal 10 2 7 2 5 2" xfId="25663" xr:uid="{00000000-0005-0000-0000-0000D2520000}"/>
    <cellStyle name="Normal 10 2 7 2 5 2 2" xfId="52796" xr:uid="{00000000-0005-0000-0000-0000D3520000}"/>
    <cellStyle name="Normal 10 2 7 2 5 3" xfId="39234" xr:uid="{00000000-0005-0000-0000-0000D4520000}"/>
    <cellStyle name="Normal 10 2 7 2 6" xfId="18882" xr:uid="{00000000-0005-0000-0000-0000D5520000}"/>
    <cellStyle name="Normal 10 2 7 2 6 2" xfId="46015" xr:uid="{00000000-0005-0000-0000-0000D6520000}"/>
    <cellStyle name="Normal 10 2 7 2 7" xfId="32453" xr:uid="{00000000-0005-0000-0000-0000D7520000}"/>
    <cellStyle name="Normal 10 2 7 3" xfId="5136" xr:uid="{00000000-0005-0000-0000-0000D8520000}"/>
    <cellStyle name="Normal 10 2 7 3 2" xfId="8697" xr:uid="{00000000-0005-0000-0000-0000D9520000}"/>
    <cellStyle name="Normal 10 2 7 3 2 2" xfId="15487" xr:uid="{00000000-0005-0000-0000-0000DA520000}"/>
    <cellStyle name="Normal 10 2 7 3 2 2 2" xfId="29055" xr:uid="{00000000-0005-0000-0000-0000DB520000}"/>
    <cellStyle name="Normal 10 2 7 3 2 2 2 2" xfId="56188" xr:uid="{00000000-0005-0000-0000-0000DC520000}"/>
    <cellStyle name="Normal 10 2 7 3 2 2 3" xfId="42626" xr:uid="{00000000-0005-0000-0000-0000DD520000}"/>
    <cellStyle name="Normal 10 2 7 3 2 3" xfId="22274" xr:uid="{00000000-0005-0000-0000-0000DE520000}"/>
    <cellStyle name="Normal 10 2 7 3 2 3 2" xfId="49407" xr:uid="{00000000-0005-0000-0000-0000DF520000}"/>
    <cellStyle name="Normal 10 2 7 3 2 4" xfId="35845" xr:uid="{00000000-0005-0000-0000-0000E0520000}"/>
    <cellStyle name="Normal 10 2 7 3 3" xfId="12098" xr:uid="{00000000-0005-0000-0000-0000E1520000}"/>
    <cellStyle name="Normal 10 2 7 3 3 2" xfId="25666" xr:uid="{00000000-0005-0000-0000-0000E2520000}"/>
    <cellStyle name="Normal 10 2 7 3 3 2 2" xfId="52799" xr:uid="{00000000-0005-0000-0000-0000E3520000}"/>
    <cellStyle name="Normal 10 2 7 3 3 3" xfId="39237" xr:uid="{00000000-0005-0000-0000-0000E4520000}"/>
    <cellStyle name="Normal 10 2 7 3 4" xfId="18885" xr:uid="{00000000-0005-0000-0000-0000E5520000}"/>
    <cellStyle name="Normal 10 2 7 3 4 2" xfId="46018" xr:uid="{00000000-0005-0000-0000-0000E6520000}"/>
    <cellStyle name="Normal 10 2 7 3 5" xfId="32456" xr:uid="{00000000-0005-0000-0000-0000E7520000}"/>
    <cellStyle name="Normal 10 2 7 4" xfId="5137" xr:uid="{00000000-0005-0000-0000-0000E8520000}"/>
    <cellStyle name="Normal 10 2 7 4 2" xfId="8698" xr:uid="{00000000-0005-0000-0000-0000E9520000}"/>
    <cellStyle name="Normal 10 2 7 4 2 2" xfId="15488" xr:uid="{00000000-0005-0000-0000-0000EA520000}"/>
    <cellStyle name="Normal 10 2 7 4 2 2 2" xfId="29056" xr:uid="{00000000-0005-0000-0000-0000EB520000}"/>
    <cellStyle name="Normal 10 2 7 4 2 2 2 2" xfId="56189" xr:uid="{00000000-0005-0000-0000-0000EC520000}"/>
    <cellStyle name="Normal 10 2 7 4 2 2 3" xfId="42627" xr:uid="{00000000-0005-0000-0000-0000ED520000}"/>
    <cellStyle name="Normal 10 2 7 4 2 3" xfId="22275" xr:uid="{00000000-0005-0000-0000-0000EE520000}"/>
    <cellStyle name="Normal 10 2 7 4 2 3 2" xfId="49408" xr:uid="{00000000-0005-0000-0000-0000EF520000}"/>
    <cellStyle name="Normal 10 2 7 4 2 4" xfId="35846" xr:uid="{00000000-0005-0000-0000-0000F0520000}"/>
    <cellStyle name="Normal 10 2 7 4 3" xfId="12099" xr:uid="{00000000-0005-0000-0000-0000F1520000}"/>
    <cellStyle name="Normal 10 2 7 4 3 2" xfId="25667" xr:uid="{00000000-0005-0000-0000-0000F2520000}"/>
    <cellStyle name="Normal 10 2 7 4 3 2 2" xfId="52800" xr:uid="{00000000-0005-0000-0000-0000F3520000}"/>
    <cellStyle name="Normal 10 2 7 4 3 3" xfId="39238" xr:uid="{00000000-0005-0000-0000-0000F4520000}"/>
    <cellStyle name="Normal 10 2 7 4 4" xfId="18886" xr:uid="{00000000-0005-0000-0000-0000F5520000}"/>
    <cellStyle name="Normal 10 2 7 4 4 2" xfId="46019" xr:uid="{00000000-0005-0000-0000-0000F6520000}"/>
    <cellStyle name="Normal 10 2 7 4 5" xfId="32457" xr:uid="{00000000-0005-0000-0000-0000F7520000}"/>
    <cellStyle name="Normal 10 2 7 5" xfId="8693" xr:uid="{00000000-0005-0000-0000-0000F8520000}"/>
    <cellStyle name="Normal 10 2 7 5 2" xfId="15483" xr:uid="{00000000-0005-0000-0000-0000F9520000}"/>
    <cellStyle name="Normal 10 2 7 5 2 2" xfId="29051" xr:uid="{00000000-0005-0000-0000-0000FA520000}"/>
    <cellStyle name="Normal 10 2 7 5 2 2 2" xfId="56184" xr:uid="{00000000-0005-0000-0000-0000FB520000}"/>
    <cellStyle name="Normal 10 2 7 5 2 3" xfId="42622" xr:uid="{00000000-0005-0000-0000-0000FC520000}"/>
    <cellStyle name="Normal 10 2 7 5 3" xfId="22270" xr:uid="{00000000-0005-0000-0000-0000FD520000}"/>
    <cellStyle name="Normal 10 2 7 5 3 2" xfId="49403" xr:uid="{00000000-0005-0000-0000-0000FE520000}"/>
    <cellStyle name="Normal 10 2 7 5 4" xfId="35841" xr:uid="{00000000-0005-0000-0000-0000FF520000}"/>
    <cellStyle name="Normal 10 2 7 6" xfId="12094" xr:uid="{00000000-0005-0000-0000-000000530000}"/>
    <cellStyle name="Normal 10 2 7 6 2" xfId="25662" xr:uid="{00000000-0005-0000-0000-000001530000}"/>
    <cellStyle name="Normal 10 2 7 6 2 2" xfId="52795" xr:uid="{00000000-0005-0000-0000-000002530000}"/>
    <cellStyle name="Normal 10 2 7 6 3" xfId="39233" xr:uid="{00000000-0005-0000-0000-000003530000}"/>
    <cellStyle name="Normal 10 2 7 7" xfId="18881" xr:uid="{00000000-0005-0000-0000-000004530000}"/>
    <cellStyle name="Normal 10 2 7 7 2" xfId="46014" xr:uid="{00000000-0005-0000-0000-000005530000}"/>
    <cellStyle name="Normal 10 2 7 8" xfId="32452" xr:uid="{00000000-0005-0000-0000-000006530000}"/>
    <cellStyle name="Normal 10 2 8" xfId="5138" xr:uid="{00000000-0005-0000-0000-000007530000}"/>
    <cellStyle name="Normal 10 2 8 2" xfId="5139" xr:uid="{00000000-0005-0000-0000-000008530000}"/>
    <cellStyle name="Normal 10 2 8 2 2" xfId="5140" xr:uid="{00000000-0005-0000-0000-000009530000}"/>
    <cellStyle name="Normal 10 2 8 2 2 2" xfId="8701" xr:uid="{00000000-0005-0000-0000-00000A530000}"/>
    <cellStyle name="Normal 10 2 8 2 2 2 2" xfId="15491" xr:uid="{00000000-0005-0000-0000-00000B530000}"/>
    <cellStyle name="Normal 10 2 8 2 2 2 2 2" xfId="29059" xr:uid="{00000000-0005-0000-0000-00000C530000}"/>
    <cellStyle name="Normal 10 2 8 2 2 2 2 2 2" xfId="56192" xr:uid="{00000000-0005-0000-0000-00000D530000}"/>
    <cellStyle name="Normal 10 2 8 2 2 2 2 3" xfId="42630" xr:uid="{00000000-0005-0000-0000-00000E530000}"/>
    <cellStyle name="Normal 10 2 8 2 2 2 3" xfId="22278" xr:uid="{00000000-0005-0000-0000-00000F530000}"/>
    <cellStyle name="Normal 10 2 8 2 2 2 3 2" xfId="49411" xr:uid="{00000000-0005-0000-0000-000010530000}"/>
    <cellStyle name="Normal 10 2 8 2 2 2 4" xfId="35849" xr:uid="{00000000-0005-0000-0000-000011530000}"/>
    <cellStyle name="Normal 10 2 8 2 2 3" xfId="12102" xr:uid="{00000000-0005-0000-0000-000012530000}"/>
    <cellStyle name="Normal 10 2 8 2 2 3 2" xfId="25670" xr:uid="{00000000-0005-0000-0000-000013530000}"/>
    <cellStyle name="Normal 10 2 8 2 2 3 2 2" xfId="52803" xr:uid="{00000000-0005-0000-0000-000014530000}"/>
    <cellStyle name="Normal 10 2 8 2 2 3 3" xfId="39241" xr:uid="{00000000-0005-0000-0000-000015530000}"/>
    <cellStyle name="Normal 10 2 8 2 2 4" xfId="18889" xr:uid="{00000000-0005-0000-0000-000016530000}"/>
    <cellStyle name="Normal 10 2 8 2 2 4 2" xfId="46022" xr:uid="{00000000-0005-0000-0000-000017530000}"/>
    <cellStyle name="Normal 10 2 8 2 2 5" xfId="32460" xr:uid="{00000000-0005-0000-0000-000018530000}"/>
    <cellStyle name="Normal 10 2 8 2 3" xfId="5141" xr:uid="{00000000-0005-0000-0000-000019530000}"/>
    <cellStyle name="Normal 10 2 8 2 3 2" xfId="8702" xr:uid="{00000000-0005-0000-0000-00001A530000}"/>
    <cellStyle name="Normal 10 2 8 2 3 2 2" xfId="15492" xr:uid="{00000000-0005-0000-0000-00001B530000}"/>
    <cellStyle name="Normal 10 2 8 2 3 2 2 2" xfId="29060" xr:uid="{00000000-0005-0000-0000-00001C530000}"/>
    <cellStyle name="Normal 10 2 8 2 3 2 2 2 2" xfId="56193" xr:uid="{00000000-0005-0000-0000-00001D530000}"/>
    <cellStyle name="Normal 10 2 8 2 3 2 2 3" xfId="42631" xr:uid="{00000000-0005-0000-0000-00001E530000}"/>
    <cellStyle name="Normal 10 2 8 2 3 2 3" xfId="22279" xr:uid="{00000000-0005-0000-0000-00001F530000}"/>
    <cellStyle name="Normal 10 2 8 2 3 2 3 2" xfId="49412" xr:uid="{00000000-0005-0000-0000-000020530000}"/>
    <cellStyle name="Normal 10 2 8 2 3 2 4" xfId="35850" xr:uid="{00000000-0005-0000-0000-000021530000}"/>
    <cellStyle name="Normal 10 2 8 2 3 3" xfId="12103" xr:uid="{00000000-0005-0000-0000-000022530000}"/>
    <cellStyle name="Normal 10 2 8 2 3 3 2" xfId="25671" xr:uid="{00000000-0005-0000-0000-000023530000}"/>
    <cellStyle name="Normal 10 2 8 2 3 3 2 2" xfId="52804" xr:uid="{00000000-0005-0000-0000-000024530000}"/>
    <cellStyle name="Normal 10 2 8 2 3 3 3" xfId="39242" xr:uid="{00000000-0005-0000-0000-000025530000}"/>
    <cellStyle name="Normal 10 2 8 2 3 4" xfId="18890" xr:uid="{00000000-0005-0000-0000-000026530000}"/>
    <cellStyle name="Normal 10 2 8 2 3 4 2" xfId="46023" xr:uid="{00000000-0005-0000-0000-000027530000}"/>
    <cellStyle name="Normal 10 2 8 2 3 5" xfId="32461" xr:uid="{00000000-0005-0000-0000-000028530000}"/>
    <cellStyle name="Normal 10 2 8 2 4" xfId="8700" xr:uid="{00000000-0005-0000-0000-000029530000}"/>
    <cellStyle name="Normal 10 2 8 2 4 2" xfId="15490" xr:uid="{00000000-0005-0000-0000-00002A530000}"/>
    <cellStyle name="Normal 10 2 8 2 4 2 2" xfId="29058" xr:uid="{00000000-0005-0000-0000-00002B530000}"/>
    <cellStyle name="Normal 10 2 8 2 4 2 2 2" xfId="56191" xr:uid="{00000000-0005-0000-0000-00002C530000}"/>
    <cellStyle name="Normal 10 2 8 2 4 2 3" xfId="42629" xr:uid="{00000000-0005-0000-0000-00002D530000}"/>
    <cellStyle name="Normal 10 2 8 2 4 3" xfId="22277" xr:uid="{00000000-0005-0000-0000-00002E530000}"/>
    <cellStyle name="Normal 10 2 8 2 4 3 2" xfId="49410" xr:uid="{00000000-0005-0000-0000-00002F530000}"/>
    <cellStyle name="Normal 10 2 8 2 4 4" xfId="35848" xr:uid="{00000000-0005-0000-0000-000030530000}"/>
    <cellStyle name="Normal 10 2 8 2 5" xfId="12101" xr:uid="{00000000-0005-0000-0000-000031530000}"/>
    <cellStyle name="Normal 10 2 8 2 5 2" xfId="25669" xr:uid="{00000000-0005-0000-0000-000032530000}"/>
    <cellStyle name="Normal 10 2 8 2 5 2 2" xfId="52802" xr:uid="{00000000-0005-0000-0000-000033530000}"/>
    <cellStyle name="Normal 10 2 8 2 5 3" xfId="39240" xr:uid="{00000000-0005-0000-0000-000034530000}"/>
    <cellStyle name="Normal 10 2 8 2 6" xfId="18888" xr:uid="{00000000-0005-0000-0000-000035530000}"/>
    <cellStyle name="Normal 10 2 8 2 6 2" xfId="46021" xr:uid="{00000000-0005-0000-0000-000036530000}"/>
    <cellStyle name="Normal 10 2 8 2 7" xfId="32459" xr:uid="{00000000-0005-0000-0000-000037530000}"/>
    <cellStyle name="Normal 10 2 8 3" xfId="5142" xr:uid="{00000000-0005-0000-0000-000038530000}"/>
    <cellStyle name="Normal 10 2 8 3 2" xfId="8703" xr:uid="{00000000-0005-0000-0000-000039530000}"/>
    <cellStyle name="Normal 10 2 8 3 2 2" xfId="15493" xr:uid="{00000000-0005-0000-0000-00003A530000}"/>
    <cellStyle name="Normal 10 2 8 3 2 2 2" xfId="29061" xr:uid="{00000000-0005-0000-0000-00003B530000}"/>
    <cellStyle name="Normal 10 2 8 3 2 2 2 2" xfId="56194" xr:uid="{00000000-0005-0000-0000-00003C530000}"/>
    <cellStyle name="Normal 10 2 8 3 2 2 3" xfId="42632" xr:uid="{00000000-0005-0000-0000-00003D530000}"/>
    <cellStyle name="Normal 10 2 8 3 2 3" xfId="22280" xr:uid="{00000000-0005-0000-0000-00003E530000}"/>
    <cellStyle name="Normal 10 2 8 3 2 3 2" xfId="49413" xr:uid="{00000000-0005-0000-0000-00003F530000}"/>
    <cellStyle name="Normal 10 2 8 3 2 4" xfId="35851" xr:uid="{00000000-0005-0000-0000-000040530000}"/>
    <cellStyle name="Normal 10 2 8 3 3" xfId="12104" xr:uid="{00000000-0005-0000-0000-000041530000}"/>
    <cellStyle name="Normal 10 2 8 3 3 2" xfId="25672" xr:uid="{00000000-0005-0000-0000-000042530000}"/>
    <cellStyle name="Normal 10 2 8 3 3 2 2" xfId="52805" xr:uid="{00000000-0005-0000-0000-000043530000}"/>
    <cellStyle name="Normal 10 2 8 3 3 3" xfId="39243" xr:uid="{00000000-0005-0000-0000-000044530000}"/>
    <cellStyle name="Normal 10 2 8 3 4" xfId="18891" xr:uid="{00000000-0005-0000-0000-000045530000}"/>
    <cellStyle name="Normal 10 2 8 3 4 2" xfId="46024" xr:uid="{00000000-0005-0000-0000-000046530000}"/>
    <cellStyle name="Normal 10 2 8 3 5" xfId="32462" xr:uid="{00000000-0005-0000-0000-000047530000}"/>
    <cellStyle name="Normal 10 2 8 4" xfId="5143" xr:uid="{00000000-0005-0000-0000-000048530000}"/>
    <cellStyle name="Normal 10 2 8 4 2" xfId="8704" xr:uid="{00000000-0005-0000-0000-000049530000}"/>
    <cellStyle name="Normal 10 2 8 4 2 2" xfId="15494" xr:uid="{00000000-0005-0000-0000-00004A530000}"/>
    <cellStyle name="Normal 10 2 8 4 2 2 2" xfId="29062" xr:uid="{00000000-0005-0000-0000-00004B530000}"/>
    <cellStyle name="Normal 10 2 8 4 2 2 2 2" xfId="56195" xr:uid="{00000000-0005-0000-0000-00004C530000}"/>
    <cellStyle name="Normal 10 2 8 4 2 2 3" xfId="42633" xr:uid="{00000000-0005-0000-0000-00004D530000}"/>
    <cellStyle name="Normal 10 2 8 4 2 3" xfId="22281" xr:uid="{00000000-0005-0000-0000-00004E530000}"/>
    <cellStyle name="Normal 10 2 8 4 2 3 2" xfId="49414" xr:uid="{00000000-0005-0000-0000-00004F530000}"/>
    <cellStyle name="Normal 10 2 8 4 2 4" xfId="35852" xr:uid="{00000000-0005-0000-0000-000050530000}"/>
    <cellStyle name="Normal 10 2 8 4 3" xfId="12105" xr:uid="{00000000-0005-0000-0000-000051530000}"/>
    <cellStyle name="Normal 10 2 8 4 3 2" xfId="25673" xr:uid="{00000000-0005-0000-0000-000052530000}"/>
    <cellStyle name="Normal 10 2 8 4 3 2 2" xfId="52806" xr:uid="{00000000-0005-0000-0000-000053530000}"/>
    <cellStyle name="Normal 10 2 8 4 3 3" xfId="39244" xr:uid="{00000000-0005-0000-0000-000054530000}"/>
    <cellStyle name="Normal 10 2 8 4 4" xfId="18892" xr:uid="{00000000-0005-0000-0000-000055530000}"/>
    <cellStyle name="Normal 10 2 8 4 4 2" xfId="46025" xr:uid="{00000000-0005-0000-0000-000056530000}"/>
    <cellStyle name="Normal 10 2 8 4 5" xfId="32463" xr:uid="{00000000-0005-0000-0000-000057530000}"/>
    <cellStyle name="Normal 10 2 8 5" xfId="8699" xr:uid="{00000000-0005-0000-0000-000058530000}"/>
    <cellStyle name="Normal 10 2 8 5 2" xfId="15489" xr:uid="{00000000-0005-0000-0000-000059530000}"/>
    <cellStyle name="Normal 10 2 8 5 2 2" xfId="29057" xr:uid="{00000000-0005-0000-0000-00005A530000}"/>
    <cellStyle name="Normal 10 2 8 5 2 2 2" xfId="56190" xr:uid="{00000000-0005-0000-0000-00005B530000}"/>
    <cellStyle name="Normal 10 2 8 5 2 3" xfId="42628" xr:uid="{00000000-0005-0000-0000-00005C530000}"/>
    <cellStyle name="Normal 10 2 8 5 3" xfId="22276" xr:uid="{00000000-0005-0000-0000-00005D530000}"/>
    <cellStyle name="Normal 10 2 8 5 3 2" xfId="49409" xr:uid="{00000000-0005-0000-0000-00005E530000}"/>
    <cellStyle name="Normal 10 2 8 5 4" xfId="35847" xr:uid="{00000000-0005-0000-0000-00005F530000}"/>
    <cellStyle name="Normal 10 2 8 6" xfId="12100" xr:uid="{00000000-0005-0000-0000-000060530000}"/>
    <cellStyle name="Normal 10 2 8 6 2" xfId="25668" xr:uid="{00000000-0005-0000-0000-000061530000}"/>
    <cellStyle name="Normal 10 2 8 6 2 2" xfId="52801" xr:uid="{00000000-0005-0000-0000-000062530000}"/>
    <cellStyle name="Normal 10 2 8 6 3" xfId="39239" xr:uid="{00000000-0005-0000-0000-000063530000}"/>
    <cellStyle name="Normal 10 2 8 7" xfId="18887" xr:uid="{00000000-0005-0000-0000-000064530000}"/>
    <cellStyle name="Normal 10 2 8 7 2" xfId="46020" xr:uid="{00000000-0005-0000-0000-000065530000}"/>
    <cellStyle name="Normal 10 2 8 8" xfId="32458" xr:uid="{00000000-0005-0000-0000-000066530000}"/>
    <cellStyle name="Normal 10 2 9" xfId="5144" xr:uid="{00000000-0005-0000-0000-000067530000}"/>
    <cellStyle name="Normal 10 2 9 2" xfId="5145" xr:uid="{00000000-0005-0000-0000-000068530000}"/>
    <cellStyle name="Normal 10 2 9 2 2" xfId="8706" xr:uid="{00000000-0005-0000-0000-000069530000}"/>
    <cellStyle name="Normal 10 2 9 2 2 2" xfId="15496" xr:uid="{00000000-0005-0000-0000-00006A530000}"/>
    <cellStyle name="Normal 10 2 9 2 2 2 2" xfId="29064" xr:uid="{00000000-0005-0000-0000-00006B530000}"/>
    <cellStyle name="Normal 10 2 9 2 2 2 2 2" xfId="56197" xr:uid="{00000000-0005-0000-0000-00006C530000}"/>
    <cellStyle name="Normal 10 2 9 2 2 2 3" xfId="42635" xr:uid="{00000000-0005-0000-0000-00006D530000}"/>
    <cellStyle name="Normal 10 2 9 2 2 3" xfId="22283" xr:uid="{00000000-0005-0000-0000-00006E530000}"/>
    <cellStyle name="Normal 10 2 9 2 2 3 2" xfId="49416" xr:uid="{00000000-0005-0000-0000-00006F530000}"/>
    <cellStyle name="Normal 10 2 9 2 2 4" xfId="35854" xr:uid="{00000000-0005-0000-0000-000070530000}"/>
    <cellStyle name="Normal 10 2 9 2 3" xfId="12107" xr:uid="{00000000-0005-0000-0000-000071530000}"/>
    <cellStyle name="Normal 10 2 9 2 3 2" xfId="25675" xr:uid="{00000000-0005-0000-0000-000072530000}"/>
    <cellStyle name="Normal 10 2 9 2 3 2 2" xfId="52808" xr:uid="{00000000-0005-0000-0000-000073530000}"/>
    <cellStyle name="Normal 10 2 9 2 3 3" xfId="39246" xr:uid="{00000000-0005-0000-0000-000074530000}"/>
    <cellStyle name="Normal 10 2 9 2 4" xfId="18894" xr:uid="{00000000-0005-0000-0000-000075530000}"/>
    <cellStyle name="Normal 10 2 9 2 4 2" xfId="46027" xr:uid="{00000000-0005-0000-0000-000076530000}"/>
    <cellStyle name="Normal 10 2 9 2 5" xfId="32465" xr:uid="{00000000-0005-0000-0000-000077530000}"/>
    <cellStyle name="Normal 10 2 9 3" xfId="5146" xr:uid="{00000000-0005-0000-0000-000078530000}"/>
    <cellStyle name="Normal 10 2 9 3 2" xfId="8707" xr:uid="{00000000-0005-0000-0000-000079530000}"/>
    <cellStyle name="Normal 10 2 9 3 2 2" xfId="15497" xr:uid="{00000000-0005-0000-0000-00007A530000}"/>
    <cellStyle name="Normal 10 2 9 3 2 2 2" xfId="29065" xr:uid="{00000000-0005-0000-0000-00007B530000}"/>
    <cellStyle name="Normal 10 2 9 3 2 2 2 2" xfId="56198" xr:uid="{00000000-0005-0000-0000-00007C530000}"/>
    <cellStyle name="Normal 10 2 9 3 2 2 3" xfId="42636" xr:uid="{00000000-0005-0000-0000-00007D530000}"/>
    <cellStyle name="Normal 10 2 9 3 2 3" xfId="22284" xr:uid="{00000000-0005-0000-0000-00007E530000}"/>
    <cellStyle name="Normal 10 2 9 3 2 3 2" xfId="49417" xr:uid="{00000000-0005-0000-0000-00007F530000}"/>
    <cellStyle name="Normal 10 2 9 3 2 4" xfId="35855" xr:uid="{00000000-0005-0000-0000-000080530000}"/>
    <cellStyle name="Normal 10 2 9 3 3" xfId="12108" xr:uid="{00000000-0005-0000-0000-000081530000}"/>
    <cellStyle name="Normal 10 2 9 3 3 2" xfId="25676" xr:uid="{00000000-0005-0000-0000-000082530000}"/>
    <cellStyle name="Normal 10 2 9 3 3 2 2" xfId="52809" xr:uid="{00000000-0005-0000-0000-000083530000}"/>
    <cellStyle name="Normal 10 2 9 3 3 3" xfId="39247" xr:uid="{00000000-0005-0000-0000-000084530000}"/>
    <cellStyle name="Normal 10 2 9 3 4" xfId="18895" xr:uid="{00000000-0005-0000-0000-000085530000}"/>
    <cellStyle name="Normal 10 2 9 3 4 2" xfId="46028" xr:uid="{00000000-0005-0000-0000-000086530000}"/>
    <cellStyle name="Normal 10 2 9 3 5" xfId="32466" xr:uid="{00000000-0005-0000-0000-000087530000}"/>
    <cellStyle name="Normal 10 2 9 4" xfId="8705" xr:uid="{00000000-0005-0000-0000-000088530000}"/>
    <cellStyle name="Normal 10 2 9 4 2" xfId="15495" xr:uid="{00000000-0005-0000-0000-000089530000}"/>
    <cellStyle name="Normal 10 2 9 4 2 2" xfId="29063" xr:uid="{00000000-0005-0000-0000-00008A530000}"/>
    <cellStyle name="Normal 10 2 9 4 2 2 2" xfId="56196" xr:uid="{00000000-0005-0000-0000-00008B530000}"/>
    <cellStyle name="Normal 10 2 9 4 2 3" xfId="42634" xr:uid="{00000000-0005-0000-0000-00008C530000}"/>
    <cellStyle name="Normal 10 2 9 4 3" xfId="22282" xr:uid="{00000000-0005-0000-0000-00008D530000}"/>
    <cellStyle name="Normal 10 2 9 4 3 2" xfId="49415" xr:uid="{00000000-0005-0000-0000-00008E530000}"/>
    <cellStyle name="Normal 10 2 9 4 4" xfId="35853" xr:uid="{00000000-0005-0000-0000-00008F530000}"/>
    <cellStyle name="Normal 10 2 9 5" xfId="12106" xr:uid="{00000000-0005-0000-0000-000090530000}"/>
    <cellStyle name="Normal 10 2 9 5 2" xfId="25674" xr:uid="{00000000-0005-0000-0000-000091530000}"/>
    <cellStyle name="Normal 10 2 9 5 2 2" xfId="52807" xr:uid="{00000000-0005-0000-0000-000092530000}"/>
    <cellStyle name="Normal 10 2 9 5 3" xfId="39245" xr:uid="{00000000-0005-0000-0000-000093530000}"/>
    <cellStyle name="Normal 10 2 9 6" xfId="18893" xr:uid="{00000000-0005-0000-0000-000094530000}"/>
    <cellStyle name="Normal 10 2 9 6 2" xfId="46026" xr:uid="{00000000-0005-0000-0000-000095530000}"/>
    <cellStyle name="Normal 10 2 9 7" xfId="32464" xr:uid="{00000000-0005-0000-0000-000096530000}"/>
    <cellStyle name="Normal 10 2_ACU OCIVIL" xfId="5147" xr:uid="{00000000-0005-0000-0000-000097530000}"/>
    <cellStyle name="Normal 10 3" xfId="5148" xr:uid="{00000000-0005-0000-0000-000098530000}"/>
    <cellStyle name="Normal 10 3 2" xfId="5149" xr:uid="{00000000-0005-0000-0000-000099530000}"/>
    <cellStyle name="Normal 10 3 2 2" xfId="5150" xr:uid="{00000000-0005-0000-0000-00009A530000}"/>
    <cellStyle name="Normal 10 4" xfId="5151" xr:uid="{00000000-0005-0000-0000-00009B530000}"/>
    <cellStyle name="Normal 10 5" xfId="27" xr:uid="{00000000-0005-0000-0000-00009C530000}"/>
    <cellStyle name="Normal 10 5 2" xfId="5152" xr:uid="{00000000-0005-0000-0000-00009D530000}"/>
    <cellStyle name="Normal 10 6" xfId="5153" xr:uid="{00000000-0005-0000-0000-00009E530000}"/>
    <cellStyle name="Normal 10 7" xfId="5154" xr:uid="{00000000-0005-0000-0000-00009F530000}"/>
    <cellStyle name="Normal 10 8" xfId="5155" xr:uid="{00000000-0005-0000-0000-0000A0530000}"/>
    <cellStyle name="Normal 10 9" xfId="5156" xr:uid="{00000000-0005-0000-0000-0000A1530000}"/>
    <cellStyle name="Normal 11" xfId="20" xr:uid="{00000000-0005-0000-0000-0000A2530000}"/>
    <cellStyle name="Normal 11 10" xfId="5157" xr:uid="{00000000-0005-0000-0000-0000A3530000}"/>
    <cellStyle name="Normal 11 10 2" xfId="8708" xr:uid="{00000000-0005-0000-0000-0000A4530000}"/>
    <cellStyle name="Normal 11 10 2 2" xfId="15498" xr:uid="{00000000-0005-0000-0000-0000A5530000}"/>
    <cellStyle name="Normal 11 10 2 2 2" xfId="29066" xr:uid="{00000000-0005-0000-0000-0000A6530000}"/>
    <cellStyle name="Normal 11 10 2 2 2 2" xfId="56199" xr:uid="{00000000-0005-0000-0000-0000A7530000}"/>
    <cellStyle name="Normal 11 10 2 2 3" xfId="42637" xr:uid="{00000000-0005-0000-0000-0000A8530000}"/>
    <cellStyle name="Normal 11 10 2 3" xfId="22285" xr:uid="{00000000-0005-0000-0000-0000A9530000}"/>
    <cellStyle name="Normal 11 10 2 3 2" xfId="49418" xr:uid="{00000000-0005-0000-0000-0000AA530000}"/>
    <cellStyle name="Normal 11 10 2 4" xfId="35856" xr:uid="{00000000-0005-0000-0000-0000AB530000}"/>
    <cellStyle name="Normal 11 10 3" xfId="12109" xr:uid="{00000000-0005-0000-0000-0000AC530000}"/>
    <cellStyle name="Normal 11 10 3 2" xfId="25677" xr:uid="{00000000-0005-0000-0000-0000AD530000}"/>
    <cellStyle name="Normal 11 10 3 2 2" xfId="52810" xr:uid="{00000000-0005-0000-0000-0000AE530000}"/>
    <cellStyle name="Normal 11 10 3 3" xfId="39248" xr:uid="{00000000-0005-0000-0000-0000AF530000}"/>
    <cellStyle name="Normal 11 10 4" xfId="18896" xr:uid="{00000000-0005-0000-0000-0000B0530000}"/>
    <cellStyle name="Normal 11 10 4 2" xfId="46029" xr:uid="{00000000-0005-0000-0000-0000B1530000}"/>
    <cellStyle name="Normal 11 10 5" xfId="32467" xr:uid="{00000000-0005-0000-0000-0000B2530000}"/>
    <cellStyle name="Normal 11 11" xfId="5158" xr:uid="{00000000-0005-0000-0000-0000B3530000}"/>
    <cellStyle name="Normal 11 11 2" xfId="8709" xr:uid="{00000000-0005-0000-0000-0000B4530000}"/>
    <cellStyle name="Normal 11 11 2 2" xfId="15499" xr:uid="{00000000-0005-0000-0000-0000B5530000}"/>
    <cellStyle name="Normal 11 11 2 2 2" xfId="29067" xr:uid="{00000000-0005-0000-0000-0000B6530000}"/>
    <cellStyle name="Normal 11 11 2 2 2 2" xfId="56200" xr:uid="{00000000-0005-0000-0000-0000B7530000}"/>
    <cellStyle name="Normal 11 11 2 2 3" xfId="42638" xr:uid="{00000000-0005-0000-0000-0000B8530000}"/>
    <cellStyle name="Normal 11 11 2 3" xfId="22286" xr:uid="{00000000-0005-0000-0000-0000B9530000}"/>
    <cellStyle name="Normal 11 11 2 3 2" xfId="49419" xr:uid="{00000000-0005-0000-0000-0000BA530000}"/>
    <cellStyle name="Normal 11 11 2 4" xfId="35857" xr:uid="{00000000-0005-0000-0000-0000BB530000}"/>
    <cellStyle name="Normal 11 11 3" xfId="12110" xr:uid="{00000000-0005-0000-0000-0000BC530000}"/>
    <cellStyle name="Normal 11 11 3 2" xfId="25678" xr:uid="{00000000-0005-0000-0000-0000BD530000}"/>
    <cellStyle name="Normal 11 11 3 2 2" xfId="52811" xr:uid="{00000000-0005-0000-0000-0000BE530000}"/>
    <cellStyle name="Normal 11 11 3 3" xfId="39249" xr:uid="{00000000-0005-0000-0000-0000BF530000}"/>
    <cellStyle name="Normal 11 11 4" xfId="18897" xr:uid="{00000000-0005-0000-0000-0000C0530000}"/>
    <cellStyle name="Normal 11 11 4 2" xfId="46030" xr:uid="{00000000-0005-0000-0000-0000C1530000}"/>
    <cellStyle name="Normal 11 11 5" xfId="32468" xr:uid="{00000000-0005-0000-0000-0000C2530000}"/>
    <cellStyle name="Normal 11 12" xfId="2558" xr:uid="{00000000-0005-0000-0000-0000C3530000}"/>
    <cellStyle name="Normal 11 2" xfId="2559" xr:uid="{00000000-0005-0000-0000-0000C4530000}"/>
    <cellStyle name="Normal 11 2 10" xfId="5159" xr:uid="{00000000-0005-0000-0000-0000C5530000}"/>
    <cellStyle name="Normal 11 2 10 2" xfId="8710" xr:uid="{00000000-0005-0000-0000-0000C6530000}"/>
    <cellStyle name="Normal 11 2 10 2 2" xfId="15500" xr:uid="{00000000-0005-0000-0000-0000C7530000}"/>
    <cellStyle name="Normal 11 2 10 2 2 2" xfId="29068" xr:uid="{00000000-0005-0000-0000-0000C8530000}"/>
    <cellStyle name="Normal 11 2 10 2 2 2 2" xfId="56201" xr:uid="{00000000-0005-0000-0000-0000C9530000}"/>
    <cellStyle name="Normal 11 2 10 2 2 3" xfId="42639" xr:uid="{00000000-0005-0000-0000-0000CA530000}"/>
    <cellStyle name="Normal 11 2 10 2 3" xfId="22287" xr:uid="{00000000-0005-0000-0000-0000CB530000}"/>
    <cellStyle name="Normal 11 2 10 2 3 2" xfId="49420" xr:uid="{00000000-0005-0000-0000-0000CC530000}"/>
    <cellStyle name="Normal 11 2 10 2 4" xfId="35858" xr:uid="{00000000-0005-0000-0000-0000CD530000}"/>
    <cellStyle name="Normal 11 2 10 3" xfId="12111" xr:uid="{00000000-0005-0000-0000-0000CE530000}"/>
    <cellStyle name="Normal 11 2 10 3 2" xfId="25679" xr:uid="{00000000-0005-0000-0000-0000CF530000}"/>
    <cellStyle name="Normal 11 2 10 3 2 2" xfId="52812" xr:uid="{00000000-0005-0000-0000-0000D0530000}"/>
    <cellStyle name="Normal 11 2 10 3 3" xfId="39250" xr:uid="{00000000-0005-0000-0000-0000D1530000}"/>
    <cellStyle name="Normal 11 2 10 4" xfId="18898" xr:uid="{00000000-0005-0000-0000-0000D2530000}"/>
    <cellStyle name="Normal 11 2 10 4 2" xfId="46031" xr:uid="{00000000-0005-0000-0000-0000D3530000}"/>
    <cellStyle name="Normal 11 2 10 5" xfId="32469" xr:uid="{00000000-0005-0000-0000-0000D4530000}"/>
    <cellStyle name="Normal 11 2 2" xfId="2560" xr:uid="{00000000-0005-0000-0000-0000D5530000}"/>
    <cellStyle name="Normal 11 2 2 2" xfId="5160" xr:uid="{00000000-0005-0000-0000-0000D6530000}"/>
    <cellStyle name="Normal 11 2 2 2 10" xfId="32470" xr:uid="{00000000-0005-0000-0000-0000D7530000}"/>
    <cellStyle name="Normal 11 2 2 2 2" xfId="5161" xr:uid="{00000000-0005-0000-0000-0000D8530000}"/>
    <cellStyle name="Normal 11 2 2 2 2 2" xfId="5162" xr:uid="{00000000-0005-0000-0000-0000D9530000}"/>
    <cellStyle name="Normal 11 2 2 2 2 2 2" xfId="5163" xr:uid="{00000000-0005-0000-0000-0000DA530000}"/>
    <cellStyle name="Normal 11 2 2 2 2 2 2 2" xfId="8714" xr:uid="{00000000-0005-0000-0000-0000DB530000}"/>
    <cellStyle name="Normal 11 2 2 2 2 2 2 2 2" xfId="15504" xr:uid="{00000000-0005-0000-0000-0000DC530000}"/>
    <cellStyle name="Normal 11 2 2 2 2 2 2 2 2 2" xfId="29072" xr:uid="{00000000-0005-0000-0000-0000DD530000}"/>
    <cellStyle name="Normal 11 2 2 2 2 2 2 2 2 2 2" xfId="56205" xr:uid="{00000000-0005-0000-0000-0000DE530000}"/>
    <cellStyle name="Normal 11 2 2 2 2 2 2 2 2 3" xfId="42643" xr:uid="{00000000-0005-0000-0000-0000DF530000}"/>
    <cellStyle name="Normal 11 2 2 2 2 2 2 2 3" xfId="22291" xr:uid="{00000000-0005-0000-0000-0000E0530000}"/>
    <cellStyle name="Normal 11 2 2 2 2 2 2 2 3 2" xfId="49424" xr:uid="{00000000-0005-0000-0000-0000E1530000}"/>
    <cellStyle name="Normal 11 2 2 2 2 2 2 2 4" xfId="35862" xr:uid="{00000000-0005-0000-0000-0000E2530000}"/>
    <cellStyle name="Normal 11 2 2 2 2 2 2 3" xfId="12115" xr:uid="{00000000-0005-0000-0000-0000E3530000}"/>
    <cellStyle name="Normal 11 2 2 2 2 2 2 3 2" xfId="25683" xr:uid="{00000000-0005-0000-0000-0000E4530000}"/>
    <cellStyle name="Normal 11 2 2 2 2 2 2 3 2 2" xfId="52816" xr:uid="{00000000-0005-0000-0000-0000E5530000}"/>
    <cellStyle name="Normal 11 2 2 2 2 2 2 3 3" xfId="39254" xr:uid="{00000000-0005-0000-0000-0000E6530000}"/>
    <cellStyle name="Normal 11 2 2 2 2 2 2 4" xfId="18902" xr:uid="{00000000-0005-0000-0000-0000E7530000}"/>
    <cellStyle name="Normal 11 2 2 2 2 2 2 4 2" xfId="46035" xr:uid="{00000000-0005-0000-0000-0000E8530000}"/>
    <cellStyle name="Normal 11 2 2 2 2 2 2 5" xfId="32473" xr:uid="{00000000-0005-0000-0000-0000E9530000}"/>
    <cellStyle name="Normal 11 2 2 2 2 2 3" xfId="5164" xr:uid="{00000000-0005-0000-0000-0000EA530000}"/>
    <cellStyle name="Normal 11 2 2 2 2 2 3 2" xfId="8715" xr:uid="{00000000-0005-0000-0000-0000EB530000}"/>
    <cellStyle name="Normal 11 2 2 2 2 2 3 2 2" xfId="15505" xr:uid="{00000000-0005-0000-0000-0000EC530000}"/>
    <cellStyle name="Normal 11 2 2 2 2 2 3 2 2 2" xfId="29073" xr:uid="{00000000-0005-0000-0000-0000ED530000}"/>
    <cellStyle name="Normal 11 2 2 2 2 2 3 2 2 2 2" xfId="56206" xr:uid="{00000000-0005-0000-0000-0000EE530000}"/>
    <cellStyle name="Normal 11 2 2 2 2 2 3 2 2 3" xfId="42644" xr:uid="{00000000-0005-0000-0000-0000EF530000}"/>
    <cellStyle name="Normal 11 2 2 2 2 2 3 2 3" xfId="22292" xr:uid="{00000000-0005-0000-0000-0000F0530000}"/>
    <cellStyle name="Normal 11 2 2 2 2 2 3 2 3 2" xfId="49425" xr:uid="{00000000-0005-0000-0000-0000F1530000}"/>
    <cellStyle name="Normal 11 2 2 2 2 2 3 2 4" xfId="35863" xr:uid="{00000000-0005-0000-0000-0000F2530000}"/>
    <cellStyle name="Normal 11 2 2 2 2 2 3 3" xfId="12116" xr:uid="{00000000-0005-0000-0000-0000F3530000}"/>
    <cellStyle name="Normal 11 2 2 2 2 2 3 3 2" xfId="25684" xr:uid="{00000000-0005-0000-0000-0000F4530000}"/>
    <cellStyle name="Normal 11 2 2 2 2 2 3 3 2 2" xfId="52817" xr:uid="{00000000-0005-0000-0000-0000F5530000}"/>
    <cellStyle name="Normal 11 2 2 2 2 2 3 3 3" xfId="39255" xr:uid="{00000000-0005-0000-0000-0000F6530000}"/>
    <cellStyle name="Normal 11 2 2 2 2 2 3 4" xfId="18903" xr:uid="{00000000-0005-0000-0000-0000F7530000}"/>
    <cellStyle name="Normal 11 2 2 2 2 2 3 4 2" xfId="46036" xr:uid="{00000000-0005-0000-0000-0000F8530000}"/>
    <cellStyle name="Normal 11 2 2 2 2 2 3 5" xfId="32474" xr:uid="{00000000-0005-0000-0000-0000F9530000}"/>
    <cellStyle name="Normal 11 2 2 2 2 2 4" xfId="8713" xr:uid="{00000000-0005-0000-0000-0000FA530000}"/>
    <cellStyle name="Normal 11 2 2 2 2 2 4 2" xfId="15503" xr:uid="{00000000-0005-0000-0000-0000FB530000}"/>
    <cellStyle name="Normal 11 2 2 2 2 2 4 2 2" xfId="29071" xr:uid="{00000000-0005-0000-0000-0000FC530000}"/>
    <cellStyle name="Normal 11 2 2 2 2 2 4 2 2 2" xfId="56204" xr:uid="{00000000-0005-0000-0000-0000FD530000}"/>
    <cellStyle name="Normal 11 2 2 2 2 2 4 2 3" xfId="42642" xr:uid="{00000000-0005-0000-0000-0000FE530000}"/>
    <cellStyle name="Normal 11 2 2 2 2 2 4 3" xfId="22290" xr:uid="{00000000-0005-0000-0000-0000FF530000}"/>
    <cellStyle name="Normal 11 2 2 2 2 2 4 3 2" xfId="49423" xr:uid="{00000000-0005-0000-0000-000000540000}"/>
    <cellStyle name="Normal 11 2 2 2 2 2 4 4" xfId="35861" xr:uid="{00000000-0005-0000-0000-000001540000}"/>
    <cellStyle name="Normal 11 2 2 2 2 2 5" xfId="12114" xr:uid="{00000000-0005-0000-0000-000002540000}"/>
    <cellStyle name="Normal 11 2 2 2 2 2 5 2" xfId="25682" xr:uid="{00000000-0005-0000-0000-000003540000}"/>
    <cellStyle name="Normal 11 2 2 2 2 2 5 2 2" xfId="52815" xr:uid="{00000000-0005-0000-0000-000004540000}"/>
    <cellStyle name="Normal 11 2 2 2 2 2 5 3" xfId="39253" xr:uid="{00000000-0005-0000-0000-000005540000}"/>
    <cellStyle name="Normal 11 2 2 2 2 2 6" xfId="18901" xr:uid="{00000000-0005-0000-0000-000006540000}"/>
    <cellStyle name="Normal 11 2 2 2 2 2 6 2" xfId="46034" xr:uid="{00000000-0005-0000-0000-000007540000}"/>
    <cellStyle name="Normal 11 2 2 2 2 2 7" xfId="32472" xr:uid="{00000000-0005-0000-0000-000008540000}"/>
    <cellStyle name="Normal 11 2 2 2 2 3" xfId="5165" xr:uid="{00000000-0005-0000-0000-000009540000}"/>
    <cellStyle name="Normal 11 2 2 2 2 3 2" xfId="5166" xr:uid="{00000000-0005-0000-0000-00000A540000}"/>
    <cellStyle name="Normal 11 2 2 2 2 3 2 2" xfId="8717" xr:uid="{00000000-0005-0000-0000-00000B540000}"/>
    <cellStyle name="Normal 11 2 2 2 2 3 2 2 2" xfId="15507" xr:uid="{00000000-0005-0000-0000-00000C540000}"/>
    <cellStyle name="Normal 11 2 2 2 2 3 2 2 2 2" xfId="29075" xr:uid="{00000000-0005-0000-0000-00000D540000}"/>
    <cellStyle name="Normal 11 2 2 2 2 3 2 2 2 2 2" xfId="56208" xr:uid="{00000000-0005-0000-0000-00000E540000}"/>
    <cellStyle name="Normal 11 2 2 2 2 3 2 2 2 3" xfId="42646" xr:uid="{00000000-0005-0000-0000-00000F540000}"/>
    <cellStyle name="Normal 11 2 2 2 2 3 2 2 3" xfId="22294" xr:uid="{00000000-0005-0000-0000-000010540000}"/>
    <cellStyle name="Normal 11 2 2 2 2 3 2 2 3 2" xfId="49427" xr:uid="{00000000-0005-0000-0000-000011540000}"/>
    <cellStyle name="Normal 11 2 2 2 2 3 2 2 4" xfId="35865" xr:uid="{00000000-0005-0000-0000-000012540000}"/>
    <cellStyle name="Normal 11 2 2 2 2 3 2 3" xfId="12118" xr:uid="{00000000-0005-0000-0000-000013540000}"/>
    <cellStyle name="Normal 11 2 2 2 2 3 2 3 2" xfId="25686" xr:uid="{00000000-0005-0000-0000-000014540000}"/>
    <cellStyle name="Normal 11 2 2 2 2 3 2 3 2 2" xfId="52819" xr:uid="{00000000-0005-0000-0000-000015540000}"/>
    <cellStyle name="Normal 11 2 2 2 2 3 2 3 3" xfId="39257" xr:uid="{00000000-0005-0000-0000-000016540000}"/>
    <cellStyle name="Normal 11 2 2 2 2 3 2 4" xfId="18905" xr:uid="{00000000-0005-0000-0000-000017540000}"/>
    <cellStyle name="Normal 11 2 2 2 2 3 2 4 2" xfId="46038" xr:uid="{00000000-0005-0000-0000-000018540000}"/>
    <cellStyle name="Normal 11 2 2 2 2 3 2 5" xfId="32476" xr:uid="{00000000-0005-0000-0000-000019540000}"/>
    <cellStyle name="Normal 11 2 2 2 2 3 3" xfId="8716" xr:uid="{00000000-0005-0000-0000-00001A540000}"/>
    <cellStyle name="Normal 11 2 2 2 2 3 3 2" xfId="15506" xr:uid="{00000000-0005-0000-0000-00001B540000}"/>
    <cellStyle name="Normal 11 2 2 2 2 3 3 2 2" xfId="29074" xr:uid="{00000000-0005-0000-0000-00001C540000}"/>
    <cellStyle name="Normal 11 2 2 2 2 3 3 2 2 2" xfId="56207" xr:uid="{00000000-0005-0000-0000-00001D540000}"/>
    <cellStyle name="Normal 11 2 2 2 2 3 3 2 3" xfId="42645" xr:uid="{00000000-0005-0000-0000-00001E540000}"/>
    <cellStyle name="Normal 11 2 2 2 2 3 3 3" xfId="22293" xr:uid="{00000000-0005-0000-0000-00001F540000}"/>
    <cellStyle name="Normal 11 2 2 2 2 3 3 3 2" xfId="49426" xr:uid="{00000000-0005-0000-0000-000020540000}"/>
    <cellStyle name="Normal 11 2 2 2 2 3 3 4" xfId="35864" xr:uid="{00000000-0005-0000-0000-000021540000}"/>
    <cellStyle name="Normal 11 2 2 2 2 3 4" xfId="12117" xr:uid="{00000000-0005-0000-0000-000022540000}"/>
    <cellStyle name="Normal 11 2 2 2 2 3 4 2" xfId="25685" xr:uid="{00000000-0005-0000-0000-000023540000}"/>
    <cellStyle name="Normal 11 2 2 2 2 3 4 2 2" xfId="52818" xr:uid="{00000000-0005-0000-0000-000024540000}"/>
    <cellStyle name="Normal 11 2 2 2 2 3 4 3" xfId="39256" xr:uid="{00000000-0005-0000-0000-000025540000}"/>
    <cellStyle name="Normal 11 2 2 2 2 3 5" xfId="18904" xr:uid="{00000000-0005-0000-0000-000026540000}"/>
    <cellStyle name="Normal 11 2 2 2 2 3 5 2" xfId="46037" xr:uid="{00000000-0005-0000-0000-000027540000}"/>
    <cellStyle name="Normal 11 2 2 2 2 3 6" xfId="32475" xr:uid="{00000000-0005-0000-0000-000028540000}"/>
    <cellStyle name="Normal 11 2 2 2 2 4" xfId="5167" xr:uid="{00000000-0005-0000-0000-000029540000}"/>
    <cellStyle name="Normal 11 2 2 2 2 4 2" xfId="8718" xr:uid="{00000000-0005-0000-0000-00002A540000}"/>
    <cellStyle name="Normal 11 2 2 2 2 4 2 2" xfId="15508" xr:uid="{00000000-0005-0000-0000-00002B540000}"/>
    <cellStyle name="Normal 11 2 2 2 2 4 2 2 2" xfId="29076" xr:uid="{00000000-0005-0000-0000-00002C540000}"/>
    <cellStyle name="Normal 11 2 2 2 2 4 2 2 2 2" xfId="56209" xr:uid="{00000000-0005-0000-0000-00002D540000}"/>
    <cellStyle name="Normal 11 2 2 2 2 4 2 2 3" xfId="42647" xr:uid="{00000000-0005-0000-0000-00002E540000}"/>
    <cellStyle name="Normal 11 2 2 2 2 4 2 3" xfId="22295" xr:uid="{00000000-0005-0000-0000-00002F540000}"/>
    <cellStyle name="Normal 11 2 2 2 2 4 2 3 2" xfId="49428" xr:uid="{00000000-0005-0000-0000-000030540000}"/>
    <cellStyle name="Normal 11 2 2 2 2 4 2 4" xfId="35866" xr:uid="{00000000-0005-0000-0000-000031540000}"/>
    <cellStyle name="Normal 11 2 2 2 2 4 3" xfId="12119" xr:uid="{00000000-0005-0000-0000-000032540000}"/>
    <cellStyle name="Normal 11 2 2 2 2 4 3 2" xfId="25687" xr:uid="{00000000-0005-0000-0000-000033540000}"/>
    <cellStyle name="Normal 11 2 2 2 2 4 3 2 2" xfId="52820" xr:uid="{00000000-0005-0000-0000-000034540000}"/>
    <cellStyle name="Normal 11 2 2 2 2 4 3 3" xfId="39258" xr:uid="{00000000-0005-0000-0000-000035540000}"/>
    <cellStyle name="Normal 11 2 2 2 2 4 4" xfId="18906" xr:uid="{00000000-0005-0000-0000-000036540000}"/>
    <cellStyle name="Normal 11 2 2 2 2 4 4 2" xfId="46039" xr:uid="{00000000-0005-0000-0000-000037540000}"/>
    <cellStyle name="Normal 11 2 2 2 2 4 5" xfId="32477" xr:uid="{00000000-0005-0000-0000-000038540000}"/>
    <cellStyle name="Normal 11 2 2 2 2 5" xfId="5168" xr:uid="{00000000-0005-0000-0000-000039540000}"/>
    <cellStyle name="Normal 11 2 2 2 2 5 2" xfId="8719" xr:uid="{00000000-0005-0000-0000-00003A540000}"/>
    <cellStyle name="Normal 11 2 2 2 2 5 2 2" xfId="15509" xr:uid="{00000000-0005-0000-0000-00003B540000}"/>
    <cellStyle name="Normal 11 2 2 2 2 5 2 2 2" xfId="29077" xr:uid="{00000000-0005-0000-0000-00003C540000}"/>
    <cellStyle name="Normal 11 2 2 2 2 5 2 2 2 2" xfId="56210" xr:uid="{00000000-0005-0000-0000-00003D540000}"/>
    <cellStyle name="Normal 11 2 2 2 2 5 2 2 3" xfId="42648" xr:uid="{00000000-0005-0000-0000-00003E540000}"/>
    <cellStyle name="Normal 11 2 2 2 2 5 2 3" xfId="22296" xr:uid="{00000000-0005-0000-0000-00003F540000}"/>
    <cellStyle name="Normal 11 2 2 2 2 5 2 3 2" xfId="49429" xr:uid="{00000000-0005-0000-0000-000040540000}"/>
    <cellStyle name="Normal 11 2 2 2 2 5 2 4" xfId="35867" xr:uid="{00000000-0005-0000-0000-000041540000}"/>
    <cellStyle name="Normal 11 2 2 2 2 5 3" xfId="12120" xr:uid="{00000000-0005-0000-0000-000042540000}"/>
    <cellStyle name="Normal 11 2 2 2 2 5 3 2" xfId="25688" xr:uid="{00000000-0005-0000-0000-000043540000}"/>
    <cellStyle name="Normal 11 2 2 2 2 5 3 2 2" xfId="52821" xr:uid="{00000000-0005-0000-0000-000044540000}"/>
    <cellStyle name="Normal 11 2 2 2 2 5 3 3" xfId="39259" xr:uid="{00000000-0005-0000-0000-000045540000}"/>
    <cellStyle name="Normal 11 2 2 2 2 5 4" xfId="18907" xr:uid="{00000000-0005-0000-0000-000046540000}"/>
    <cellStyle name="Normal 11 2 2 2 2 5 4 2" xfId="46040" xr:uid="{00000000-0005-0000-0000-000047540000}"/>
    <cellStyle name="Normal 11 2 2 2 2 5 5" xfId="32478" xr:uid="{00000000-0005-0000-0000-000048540000}"/>
    <cellStyle name="Normal 11 2 2 2 2 6" xfId="8712" xr:uid="{00000000-0005-0000-0000-000049540000}"/>
    <cellStyle name="Normal 11 2 2 2 2 6 2" xfId="15502" xr:uid="{00000000-0005-0000-0000-00004A540000}"/>
    <cellStyle name="Normal 11 2 2 2 2 6 2 2" xfId="29070" xr:uid="{00000000-0005-0000-0000-00004B540000}"/>
    <cellStyle name="Normal 11 2 2 2 2 6 2 2 2" xfId="56203" xr:uid="{00000000-0005-0000-0000-00004C540000}"/>
    <cellStyle name="Normal 11 2 2 2 2 6 2 3" xfId="42641" xr:uid="{00000000-0005-0000-0000-00004D540000}"/>
    <cellStyle name="Normal 11 2 2 2 2 6 3" xfId="22289" xr:uid="{00000000-0005-0000-0000-00004E540000}"/>
    <cellStyle name="Normal 11 2 2 2 2 6 3 2" xfId="49422" xr:uid="{00000000-0005-0000-0000-00004F540000}"/>
    <cellStyle name="Normal 11 2 2 2 2 6 4" xfId="35860" xr:uid="{00000000-0005-0000-0000-000050540000}"/>
    <cellStyle name="Normal 11 2 2 2 2 7" xfId="12113" xr:uid="{00000000-0005-0000-0000-000051540000}"/>
    <cellStyle name="Normal 11 2 2 2 2 7 2" xfId="25681" xr:uid="{00000000-0005-0000-0000-000052540000}"/>
    <cellStyle name="Normal 11 2 2 2 2 7 2 2" xfId="52814" xr:uid="{00000000-0005-0000-0000-000053540000}"/>
    <cellStyle name="Normal 11 2 2 2 2 7 3" xfId="39252" xr:uid="{00000000-0005-0000-0000-000054540000}"/>
    <cellStyle name="Normal 11 2 2 2 2 8" xfId="18900" xr:uid="{00000000-0005-0000-0000-000055540000}"/>
    <cellStyle name="Normal 11 2 2 2 2 8 2" xfId="46033" xr:uid="{00000000-0005-0000-0000-000056540000}"/>
    <cellStyle name="Normal 11 2 2 2 2 9" xfId="32471" xr:uid="{00000000-0005-0000-0000-000057540000}"/>
    <cellStyle name="Normal 11 2 2 2 3" xfId="5169" xr:uid="{00000000-0005-0000-0000-000058540000}"/>
    <cellStyle name="Normal 11 2 2 2 3 2" xfId="5170" xr:uid="{00000000-0005-0000-0000-000059540000}"/>
    <cellStyle name="Normal 11 2 2 2 3 2 2" xfId="8721" xr:uid="{00000000-0005-0000-0000-00005A540000}"/>
    <cellStyle name="Normal 11 2 2 2 3 2 2 2" xfId="15511" xr:uid="{00000000-0005-0000-0000-00005B540000}"/>
    <cellStyle name="Normal 11 2 2 2 3 2 2 2 2" xfId="29079" xr:uid="{00000000-0005-0000-0000-00005C540000}"/>
    <cellStyle name="Normal 11 2 2 2 3 2 2 2 2 2" xfId="56212" xr:uid="{00000000-0005-0000-0000-00005D540000}"/>
    <cellStyle name="Normal 11 2 2 2 3 2 2 2 3" xfId="42650" xr:uid="{00000000-0005-0000-0000-00005E540000}"/>
    <cellStyle name="Normal 11 2 2 2 3 2 2 3" xfId="22298" xr:uid="{00000000-0005-0000-0000-00005F540000}"/>
    <cellStyle name="Normal 11 2 2 2 3 2 2 3 2" xfId="49431" xr:uid="{00000000-0005-0000-0000-000060540000}"/>
    <cellStyle name="Normal 11 2 2 2 3 2 2 4" xfId="35869" xr:uid="{00000000-0005-0000-0000-000061540000}"/>
    <cellStyle name="Normal 11 2 2 2 3 2 3" xfId="12122" xr:uid="{00000000-0005-0000-0000-000062540000}"/>
    <cellStyle name="Normal 11 2 2 2 3 2 3 2" xfId="25690" xr:uid="{00000000-0005-0000-0000-000063540000}"/>
    <cellStyle name="Normal 11 2 2 2 3 2 3 2 2" xfId="52823" xr:uid="{00000000-0005-0000-0000-000064540000}"/>
    <cellStyle name="Normal 11 2 2 2 3 2 3 3" xfId="39261" xr:uid="{00000000-0005-0000-0000-000065540000}"/>
    <cellStyle name="Normal 11 2 2 2 3 2 4" xfId="18909" xr:uid="{00000000-0005-0000-0000-000066540000}"/>
    <cellStyle name="Normal 11 2 2 2 3 2 4 2" xfId="46042" xr:uid="{00000000-0005-0000-0000-000067540000}"/>
    <cellStyle name="Normal 11 2 2 2 3 2 5" xfId="32480" xr:uid="{00000000-0005-0000-0000-000068540000}"/>
    <cellStyle name="Normal 11 2 2 2 3 3" xfId="5171" xr:uid="{00000000-0005-0000-0000-000069540000}"/>
    <cellStyle name="Normal 11 2 2 2 3 3 2" xfId="8722" xr:uid="{00000000-0005-0000-0000-00006A540000}"/>
    <cellStyle name="Normal 11 2 2 2 3 3 2 2" xfId="15512" xr:uid="{00000000-0005-0000-0000-00006B540000}"/>
    <cellStyle name="Normal 11 2 2 2 3 3 2 2 2" xfId="29080" xr:uid="{00000000-0005-0000-0000-00006C540000}"/>
    <cellStyle name="Normal 11 2 2 2 3 3 2 2 2 2" xfId="56213" xr:uid="{00000000-0005-0000-0000-00006D540000}"/>
    <cellStyle name="Normal 11 2 2 2 3 3 2 2 3" xfId="42651" xr:uid="{00000000-0005-0000-0000-00006E540000}"/>
    <cellStyle name="Normal 11 2 2 2 3 3 2 3" xfId="22299" xr:uid="{00000000-0005-0000-0000-00006F540000}"/>
    <cellStyle name="Normal 11 2 2 2 3 3 2 3 2" xfId="49432" xr:uid="{00000000-0005-0000-0000-000070540000}"/>
    <cellStyle name="Normal 11 2 2 2 3 3 2 4" xfId="35870" xr:uid="{00000000-0005-0000-0000-000071540000}"/>
    <cellStyle name="Normal 11 2 2 2 3 3 3" xfId="12123" xr:uid="{00000000-0005-0000-0000-000072540000}"/>
    <cellStyle name="Normal 11 2 2 2 3 3 3 2" xfId="25691" xr:uid="{00000000-0005-0000-0000-000073540000}"/>
    <cellStyle name="Normal 11 2 2 2 3 3 3 2 2" xfId="52824" xr:uid="{00000000-0005-0000-0000-000074540000}"/>
    <cellStyle name="Normal 11 2 2 2 3 3 3 3" xfId="39262" xr:uid="{00000000-0005-0000-0000-000075540000}"/>
    <cellStyle name="Normal 11 2 2 2 3 3 4" xfId="18910" xr:uid="{00000000-0005-0000-0000-000076540000}"/>
    <cellStyle name="Normal 11 2 2 2 3 3 4 2" xfId="46043" xr:uid="{00000000-0005-0000-0000-000077540000}"/>
    <cellStyle name="Normal 11 2 2 2 3 3 5" xfId="32481" xr:uid="{00000000-0005-0000-0000-000078540000}"/>
    <cellStyle name="Normal 11 2 2 2 3 4" xfId="8720" xr:uid="{00000000-0005-0000-0000-000079540000}"/>
    <cellStyle name="Normal 11 2 2 2 3 4 2" xfId="15510" xr:uid="{00000000-0005-0000-0000-00007A540000}"/>
    <cellStyle name="Normal 11 2 2 2 3 4 2 2" xfId="29078" xr:uid="{00000000-0005-0000-0000-00007B540000}"/>
    <cellStyle name="Normal 11 2 2 2 3 4 2 2 2" xfId="56211" xr:uid="{00000000-0005-0000-0000-00007C540000}"/>
    <cellStyle name="Normal 11 2 2 2 3 4 2 3" xfId="42649" xr:uid="{00000000-0005-0000-0000-00007D540000}"/>
    <cellStyle name="Normal 11 2 2 2 3 4 3" xfId="22297" xr:uid="{00000000-0005-0000-0000-00007E540000}"/>
    <cellStyle name="Normal 11 2 2 2 3 4 3 2" xfId="49430" xr:uid="{00000000-0005-0000-0000-00007F540000}"/>
    <cellStyle name="Normal 11 2 2 2 3 4 4" xfId="35868" xr:uid="{00000000-0005-0000-0000-000080540000}"/>
    <cellStyle name="Normal 11 2 2 2 3 5" xfId="12121" xr:uid="{00000000-0005-0000-0000-000081540000}"/>
    <cellStyle name="Normal 11 2 2 2 3 5 2" xfId="25689" xr:uid="{00000000-0005-0000-0000-000082540000}"/>
    <cellStyle name="Normal 11 2 2 2 3 5 2 2" xfId="52822" xr:uid="{00000000-0005-0000-0000-000083540000}"/>
    <cellStyle name="Normal 11 2 2 2 3 5 3" xfId="39260" xr:uid="{00000000-0005-0000-0000-000084540000}"/>
    <cellStyle name="Normal 11 2 2 2 3 6" xfId="18908" xr:uid="{00000000-0005-0000-0000-000085540000}"/>
    <cellStyle name="Normal 11 2 2 2 3 6 2" xfId="46041" xr:uid="{00000000-0005-0000-0000-000086540000}"/>
    <cellStyle name="Normal 11 2 2 2 3 7" xfId="32479" xr:uid="{00000000-0005-0000-0000-000087540000}"/>
    <cellStyle name="Normal 11 2 2 2 4" xfId="5172" xr:uid="{00000000-0005-0000-0000-000088540000}"/>
    <cellStyle name="Normal 11 2 2 2 4 2" xfId="5173" xr:uid="{00000000-0005-0000-0000-000089540000}"/>
    <cellStyle name="Normal 11 2 2 2 4 2 2" xfId="8724" xr:uid="{00000000-0005-0000-0000-00008A540000}"/>
    <cellStyle name="Normal 11 2 2 2 4 2 2 2" xfId="15514" xr:uid="{00000000-0005-0000-0000-00008B540000}"/>
    <cellStyle name="Normal 11 2 2 2 4 2 2 2 2" xfId="29082" xr:uid="{00000000-0005-0000-0000-00008C540000}"/>
    <cellStyle name="Normal 11 2 2 2 4 2 2 2 2 2" xfId="56215" xr:uid="{00000000-0005-0000-0000-00008D540000}"/>
    <cellStyle name="Normal 11 2 2 2 4 2 2 2 3" xfId="42653" xr:uid="{00000000-0005-0000-0000-00008E540000}"/>
    <cellStyle name="Normal 11 2 2 2 4 2 2 3" xfId="22301" xr:uid="{00000000-0005-0000-0000-00008F540000}"/>
    <cellStyle name="Normal 11 2 2 2 4 2 2 3 2" xfId="49434" xr:uid="{00000000-0005-0000-0000-000090540000}"/>
    <cellStyle name="Normal 11 2 2 2 4 2 2 4" xfId="35872" xr:uid="{00000000-0005-0000-0000-000091540000}"/>
    <cellStyle name="Normal 11 2 2 2 4 2 3" xfId="12125" xr:uid="{00000000-0005-0000-0000-000092540000}"/>
    <cellStyle name="Normal 11 2 2 2 4 2 3 2" xfId="25693" xr:uid="{00000000-0005-0000-0000-000093540000}"/>
    <cellStyle name="Normal 11 2 2 2 4 2 3 2 2" xfId="52826" xr:uid="{00000000-0005-0000-0000-000094540000}"/>
    <cellStyle name="Normal 11 2 2 2 4 2 3 3" xfId="39264" xr:uid="{00000000-0005-0000-0000-000095540000}"/>
    <cellStyle name="Normal 11 2 2 2 4 2 4" xfId="18912" xr:uid="{00000000-0005-0000-0000-000096540000}"/>
    <cellStyle name="Normal 11 2 2 2 4 2 4 2" xfId="46045" xr:uid="{00000000-0005-0000-0000-000097540000}"/>
    <cellStyle name="Normal 11 2 2 2 4 2 5" xfId="32483" xr:uid="{00000000-0005-0000-0000-000098540000}"/>
    <cellStyle name="Normal 11 2 2 2 4 3" xfId="8723" xr:uid="{00000000-0005-0000-0000-000099540000}"/>
    <cellStyle name="Normal 11 2 2 2 4 3 2" xfId="15513" xr:uid="{00000000-0005-0000-0000-00009A540000}"/>
    <cellStyle name="Normal 11 2 2 2 4 3 2 2" xfId="29081" xr:uid="{00000000-0005-0000-0000-00009B540000}"/>
    <cellStyle name="Normal 11 2 2 2 4 3 2 2 2" xfId="56214" xr:uid="{00000000-0005-0000-0000-00009C540000}"/>
    <cellStyle name="Normal 11 2 2 2 4 3 2 3" xfId="42652" xr:uid="{00000000-0005-0000-0000-00009D540000}"/>
    <cellStyle name="Normal 11 2 2 2 4 3 3" xfId="22300" xr:uid="{00000000-0005-0000-0000-00009E540000}"/>
    <cellStyle name="Normal 11 2 2 2 4 3 3 2" xfId="49433" xr:uid="{00000000-0005-0000-0000-00009F540000}"/>
    <cellStyle name="Normal 11 2 2 2 4 3 4" xfId="35871" xr:uid="{00000000-0005-0000-0000-0000A0540000}"/>
    <cellStyle name="Normal 11 2 2 2 4 4" xfId="12124" xr:uid="{00000000-0005-0000-0000-0000A1540000}"/>
    <cellStyle name="Normal 11 2 2 2 4 4 2" xfId="25692" xr:uid="{00000000-0005-0000-0000-0000A2540000}"/>
    <cellStyle name="Normal 11 2 2 2 4 4 2 2" xfId="52825" xr:uid="{00000000-0005-0000-0000-0000A3540000}"/>
    <cellStyle name="Normal 11 2 2 2 4 4 3" xfId="39263" xr:uid="{00000000-0005-0000-0000-0000A4540000}"/>
    <cellStyle name="Normal 11 2 2 2 4 5" xfId="18911" xr:uid="{00000000-0005-0000-0000-0000A5540000}"/>
    <cellStyle name="Normal 11 2 2 2 4 5 2" xfId="46044" xr:uid="{00000000-0005-0000-0000-0000A6540000}"/>
    <cellStyle name="Normal 11 2 2 2 4 6" xfId="32482" xr:uid="{00000000-0005-0000-0000-0000A7540000}"/>
    <cellStyle name="Normal 11 2 2 2 5" xfId="5174" xr:uid="{00000000-0005-0000-0000-0000A8540000}"/>
    <cellStyle name="Normal 11 2 2 2 5 2" xfId="8725" xr:uid="{00000000-0005-0000-0000-0000A9540000}"/>
    <cellStyle name="Normal 11 2 2 2 5 2 2" xfId="15515" xr:uid="{00000000-0005-0000-0000-0000AA540000}"/>
    <cellStyle name="Normal 11 2 2 2 5 2 2 2" xfId="29083" xr:uid="{00000000-0005-0000-0000-0000AB540000}"/>
    <cellStyle name="Normal 11 2 2 2 5 2 2 2 2" xfId="56216" xr:uid="{00000000-0005-0000-0000-0000AC540000}"/>
    <cellStyle name="Normal 11 2 2 2 5 2 2 3" xfId="42654" xr:uid="{00000000-0005-0000-0000-0000AD540000}"/>
    <cellStyle name="Normal 11 2 2 2 5 2 3" xfId="22302" xr:uid="{00000000-0005-0000-0000-0000AE540000}"/>
    <cellStyle name="Normal 11 2 2 2 5 2 3 2" xfId="49435" xr:uid="{00000000-0005-0000-0000-0000AF540000}"/>
    <cellStyle name="Normal 11 2 2 2 5 2 4" xfId="35873" xr:uid="{00000000-0005-0000-0000-0000B0540000}"/>
    <cellStyle name="Normal 11 2 2 2 5 3" xfId="12126" xr:uid="{00000000-0005-0000-0000-0000B1540000}"/>
    <cellStyle name="Normal 11 2 2 2 5 3 2" xfId="25694" xr:uid="{00000000-0005-0000-0000-0000B2540000}"/>
    <cellStyle name="Normal 11 2 2 2 5 3 2 2" xfId="52827" xr:uid="{00000000-0005-0000-0000-0000B3540000}"/>
    <cellStyle name="Normal 11 2 2 2 5 3 3" xfId="39265" xr:uid="{00000000-0005-0000-0000-0000B4540000}"/>
    <cellStyle name="Normal 11 2 2 2 5 4" xfId="18913" xr:uid="{00000000-0005-0000-0000-0000B5540000}"/>
    <cellStyle name="Normal 11 2 2 2 5 4 2" xfId="46046" xr:uid="{00000000-0005-0000-0000-0000B6540000}"/>
    <cellStyle name="Normal 11 2 2 2 5 5" xfId="32484" xr:uid="{00000000-0005-0000-0000-0000B7540000}"/>
    <cellStyle name="Normal 11 2 2 2 6" xfId="5175" xr:uid="{00000000-0005-0000-0000-0000B8540000}"/>
    <cellStyle name="Normal 11 2 2 2 6 2" xfId="8726" xr:uid="{00000000-0005-0000-0000-0000B9540000}"/>
    <cellStyle name="Normal 11 2 2 2 6 2 2" xfId="15516" xr:uid="{00000000-0005-0000-0000-0000BA540000}"/>
    <cellStyle name="Normal 11 2 2 2 6 2 2 2" xfId="29084" xr:uid="{00000000-0005-0000-0000-0000BB540000}"/>
    <cellStyle name="Normal 11 2 2 2 6 2 2 2 2" xfId="56217" xr:uid="{00000000-0005-0000-0000-0000BC540000}"/>
    <cellStyle name="Normal 11 2 2 2 6 2 2 3" xfId="42655" xr:uid="{00000000-0005-0000-0000-0000BD540000}"/>
    <cellStyle name="Normal 11 2 2 2 6 2 3" xfId="22303" xr:uid="{00000000-0005-0000-0000-0000BE540000}"/>
    <cellStyle name="Normal 11 2 2 2 6 2 3 2" xfId="49436" xr:uid="{00000000-0005-0000-0000-0000BF540000}"/>
    <cellStyle name="Normal 11 2 2 2 6 2 4" xfId="35874" xr:uid="{00000000-0005-0000-0000-0000C0540000}"/>
    <cellStyle name="Normal 11 2 2 2 6 3" xfId="12127" xr:uid="{00000000-0005-0000-0000-0000C1540000}"/>
    <cellStyle name="Normal 11 2 2 2 6 3 2" xfId="25695" xr:uid="{00000000-0005-0000-0000-0000C2540000}"/>
    <cellStyle name="Normal 11 2 2 2 6 3 2 2" xfId="52828" xr:uid="{00000000-0005-0000-0000-0000C3540000}"/>
    <cellStyle name="Normal 11 2 2 2 6 3 3" xfId="39266" xr:uid="{00000000-0005-0000-0000-0000C4540000}"/>
    <cellStyle name="Normal 11 2 2 2 6 4" xfId="18914" xr:uid="{00000000-0005-0000-0000-0000C5540000}"/>
    <cellStyle name="Normal 11 2 2 2 6 4 2" xfId="46047" xr:uid="{00000000-0005-0000-0000-0000C6540000}"/>
    <cellStyle name="Normal 11 2 2 2 6 5" xfId="32485" xr:uid="{00000000-0005-0000-0000-0000C7540000}"/>
    <cellStyle name="Normal 11 2 2 2 7" xfId="8711" xr:uid="{00000000-0005-0000-0000-0000C8540000}"/>
    <cellStyle name="Normal 11 2 2 2 7 2" xfId="15501" xr:uid="{00000000-0005-0000-0000-0000C9540000}"/>
    <cellStyle name="Normal 11 2 2 2 7 2 2" xfId="29069" xr:uid="{00000000-0005-0000-0000-0000CA540000}"/>
    <cellStyle name="Normal 11 2 2 2 7 2 2 2" xfId="56202" xr:uid="{00000000-0005-0000-0000-0000CB540000}"/>
    <cellStyle name="Normal 11 2 2 2 7 2 3" xfId="42640" xr:uid="{00000000-0005-0000-0000-0000CC540000}"/>
    <cellStyle name="Normal 11 2 2 2 7 3" xfId="22288" xr:uid="{00000000-0005-0000-0000-0000CD540000}"/>
    <cellStyle name="Normal 11 2 2 2 7 3 2" xfId="49421" xr:uid="{00000000-0005-0000-0000-0000CE540000}"/>
    <cellStyle name="Normal 11 2 2 2 7 4" xfId="35859" xr:uid="{00000000-0005-0000-0000-0000CF540000}"/>
    <cellStyle name="Normal 11 2 2 2 8" xfId="12112" xr:uid="{00000000-0005-0000-0000-0000D0540000}"/>
    <cellStyle name="Normal 11 2 2 2 8 2" xfId="25680" xr:uid="{00000000-0005-0000-0000-0000D1540000}"/>
    <cellStyle name="Normal 11 2 2 2 8 2 2" xfId="52813" xr:uid="{00000000-0005-0000-0000-0000D2540000}"/>
    <cellStyle name="Normal 11 2 2 2 8 3" xfId="39251" xr:uid="{00000000-0005-0000-0000-0000D3540000}"/>
    <cellStyle name="Normal 11 2 2 2 9" xfId="18899" xr:uid="{00000000-0005-0000-0000-0000D4540000}"/>
    <cellStyle name="Normal 11 2 2 2 9 2" xfId="46032" xr:uid="{00000000-0005-0000-0000-0000D5540000}"/>
    <cellStyle name="Normal 11 2 2 3" xfId="5176" xr:uid="{00000000-0005-0000-0000-0000D6540000}"/>
    <cellStyle name="Normal 11 2 2 3 2" xfId="5177" xr:uid="{00000000-0005-0000-0000-0000D7540000}"/>
    <cellStyle name="Normal 11 2 2 3 2 2" xfId="5178" xr:uid="{00000000-0005-0000-0000-0000D8540000}"/>
    <cellStyle name="Normal 11 2 2 3 2 2 2" xfId="8729" xr:uid="{00000000-0005-0000-0000-0000D9540000}"/>
    <cellStyle name="Normal 11 2 2 3 2 2 2 2" xfId="15519" xr:uid="{00000000-0005-0000-0000-0000DA540000}"/>
    <cellStyle name="Normal 11 2 2 3 2 2 2 2 2" xfId="29087" xr:uid="{00000000-0005-0000-0000-0000DB540000}"/>
    <cellStyle name="Normal 11 2 2 3 2 2 2 2 2 2" xfId="56220" xr:uid="{00000000-0005-0000-0000-0000DC540000}"/>
    <cellStyle name="Normal 11 2 2 3 2 2 2 2 3" xfId="42658" xr:uid="{00000000-0005-0000-0000-0000DD540000}"/>
    <cellStyle name="Normal 11 2 2 3 2 2 2 3" xfId="22306" xr:uid="{00000000-0005-0000-0000-0000DE540000}"/>
    <cellStyle name="Normal 11 2 2 3 2 2 2 3 2" xfId="49439" xr:uid="{00000000-0005-0000-0000-0000DF540000}"/>
    <cellStyle name="Normal 11 2 2 3 2 2 2 4" xfId="35877" xr:uid="{00000000-0005-0000-0000-0000E0540000}"/>
    <cellStyle name="Normal 11 2 2 3 2 2 3" xfId="12130" xr:uid="{00000000-0005-0000-0000-0000E1540000}"/>
    <cellStyle name="Normal 11 2 2 3 2 2 3 2" xfId="25698" xr:uid="{00000000-0005-0000-0000-0000E2540000}"/>
    <cellStyle name="Normal 11 2 2 3 2 2 3 2 2" xfId="52831" xr:uid="{00000000-0005-0000-0000-0000E3540000}"/>
    <cellStyle name="Normal 11 2 2 3 2 2 3 3" xfId="39269" xr:uid="{00000000-0005-0000-0000-0000E4540000}"/>
    <cellStyle name="Normal 11 2 2 3 2 2 4" xfId="18917" xr:uid="{00000000-0005-0000-0000-0000E5540000}"/>
    <cellStyle name="Normal 11 2 2 3 2 2 4 2" xfId="46050" xr:uid="{00000000-0005-0000-0000-0000E6540000}"/>
    <cellStyle name="Normal 11 2 2 3 2 2 5" xfId="32488" xr:uid="{00000000-0005-0000-0000-0000E7540000}"/>
    <cellStyle name="Normal 11 2 2 3 2 3" xfId="5179" xr:uid="{00000000-0005-0000-0000-0000E8540000}"/>
    <cellStyle name="Normal 11 2 2 3 2 3 2" xfId="8730" xr:uid="{00000000-0005-0000-0000-0000E9540000}"/>
    <cellStyle name="Normal 11 2 2 3 2 3 2 2" xfId="15520" xr:uid="{00000000-0005-0000-0000-0000EA540000}"/>
    <cellStyle name="Normal 11 2 2 3 2 3 2 2 2" xfId="29088" xr:uid="{00000000-0005-0000-0000-0000EB540000}"/>
    <cellStyle name="Normal 11 2 2 3 2 3 2 2 2 2" xfId="56221" xr:uid="{00000000-0005-0000-0000-0000EC540000}"/>
    <cellStyle name="Normal 11 2 2 3 2 3 2 2 3" xfId="42659" xr:uid="{00000000-0005-0000-0000-0000ED540000}"/>
    <cellStyle name="Normal 11 2 2 3 2 3 2 3" xfId="22307" xr:uid="{00000000-0005-0000-0000-0000EE540000}"/>
    <cellStyle name="Normal 11 2 2 3 2 3 2 3 2" xfId="49440" xr:uid="{00000000-0005-0000-0000-0000EF540000}"/>
    <cellStyle name="Normal 11 2 2 3 2 3 2 4" xfId="35878" xr:uid="{00000000-0005-0000-0000-0000F0540000}"/>
    <cellStyle name="Normal 11 2 2 3 2 3 3" xfId="12131" xr:uid="{00000000-0005-0000-0000-0000F1540000}"/>
    <cellStyle name="Normal 11 2 2 3 2 3 3 2" xfId="25699" xr:uid="{00000000-0005-0000-0000-0000F2540000}"/>
    <cellStyle name="Normal 11 2 2 3 2 3 3 2 2" xfId="52832" xr:uid="{00000000-0005-0000-0000-0000F3540000}"/>
    <cellStyle name="Normal 11 2 2 3 2 3 3 3" xfId="39270" xr:uid="{00000000-0005-0000-0000-0000F4540000}"/>
    <cellStyle name="Normal 11 2 2 3 2 3 4" xfId="18918" xr:uid="{00000000-0005-0000-0000-0000F5540000}"/>
    <cellStyle name="Normal 11 2 2 3 2 3 4 2" xfId="46051" xr:uid="{00000000-0005-0000-0000-0000F6540000}"/>
    <cellStyle name="Normal 11 2 2 3 2 3 5" xfId="32489" xr:uid="{00000000-0005-0000-0000-0000F7540000}"/>
    <cellStyle name="Normal 11 2 2 3 2 4" xfId="8728" xr:uid="{00000000-0005-0000-0000-0000F8540000}"/>
    <cellStyle name="Normal 11 2 2 3 2 4 2" xfId="15518" xr:uid="{00000000-0005-0000-0000-0000F9540000}"/>
    <cellStyle name="Normal 11 2 2 3 2 4 2 2" xfId="29086" xr:uid="{00000000-0005-0000-0000-0000FA540000}"/>
    <cellStyle name="Normal 11 2 2 3 2 4 2 2 2" xfId="56219" xr:uid="{00000000-0005-0000-0000-0000FB540000}"/>
    <cellStyle name="Normal 11 2 2 3 2 4 2 3" xfId="42657" xr:uid="{00000000-0005-0000-0000-0000FC540000}"/>
    <cellStyle name="Normal 11 2 2 3 2 4 3" xfId="22305" xr:uid="{00000000-0005-0000-0000-0000FD540000}"/>
    <cellStyle name="Normal 11 2 2 3 2 4 3 2" xfId="49438" xr:uid="{00000000-0005-0000-0000-0000FE540000}"/>
    <cellStyle name="Normal 11 2 2 3 2 4 4" xfId="35876" xr:uid="{00000000-0005-0000-0000-0000FF540000}"/>
    <cellStyle name="Normal 11 2 2 3 2 5" xfId="12129" xr:uid="{00000000-0005-0000-0000-000000550000}"/>
    <cellStyle name="Normal 11 2 2 3 2 5 2" xfId="25697" xr:uid="{00000000-0005-0000-0000-000001550000}"/>
    <cellStyle name="Normal 11 2 2 3 2 5 2 2" xfId="52830" xr:uid="{00000000-0005-0000-0000-000002550000}"/>
    <cellStyle name="Normal 11 2 2 3 2 5 3" xfId="39268" xr:uid="{00000000-0005-0000-0000-000003550000}"/>
    <cellStyle name="Normal 11 2 2 3 2 6" xfId="18916" xr:uid="{00000000-0005-0000-0000-000004550000}"/>
    <cellStyle name="Normal 11 2 2 3 2 6 2" xfId="46049" xr:uid="{00000000-0005-0000-0000-000005550000}"/>
    <cellStyle name="Normal 11 2 2 3 2 7" xfId="32487" xr:uid="{00000000-0005-0000-0000-000006550000}"/>
    <cellStyle name="Normal 11 2 2 3 3" xfId="5180" xr:uid="{00000000-0005-0000-0000-000007550000}"/>
    <cellStyle name="Normal 11 2 2 3 3 2" xfId="5181" xr:uid="{00000000-0005-0000-0000-000008550000}"/>
    <cellStyle name="Normal 11 2 2 3 3 2 2" xfId="8732" xr:uid="{00000000-0005-0000-0000-000009550000}"/>
    <cellStyle name="Normal 11 2 2 3 3 2 2 2" xfId="15522" xr:uid="{00000000-0005-0000-0000-00000A550000}"/>
    <cellStyle name="Normal 11 2 2 3 3 2 2 2 2" xfId="29090" xr:uid="{00000000-0005-0000-0000-00000B550000}"/>
    <cellStyle name="Normal 11 2 2 3 3 2 2 2 2 2" xfId="56223" xr:uid="{00000000-0005-0000-0000-00000C550000}"/>
    <cellStyle name="Normal 11 2 2 3 3 2 2 2 3" xfId="42661" xr:uid="{00000000-0005-0000-0000-00000D550000}"/>
    <cellStyle name="Normal 11 2 2 3 3 2 2 3" xfId="22309" xr:uid="{00000000-0005-0000-0000-00000E550000}"/>
    <cellStyle name="Normal 11 2 2 3 3 2 2 3 2" xfId="49442" xr:uid="{00000000-0005-0000-0000-00000F550000}"/>
    <cellStyle name="Normal 11 2 2 3 3 2 2 4" xfId="35880" xr:uid="{00000000-0005-0000-0000-000010550000}"/>
    <cellStyle name="Normal 11 2 2 3 3 2 3" xfId="12133" xr:uid="{00000000-0005-0000-0000-000011550000}"/>
    <cellStyle name="Normal 11 2 2 3 3 2 3 2" xfId="25701" xr:uid="{00000000-0005-0000-0000-000012550000}"/>
    <cellStyle name="Normal 11 2 2 3 3 2 3 2 2" xfId="52834" xr:uid="{00000000-0005-0000-0000-000013550000}"/>
    <cellStyle name="Normal 11 2 2 3 3 2 3 3" xfId="39272" xr:uid="{00000000-0005-0000-0000-000014550000}"/>
    <cellStyle name="Normal 11 2 2 3 3 2 4" xfId="18920" xr:uid="{00000000-0005-0000-0000-000015550000}"/>
    <cellStyle name="Normal 11 2 2 3 3 2 4 2" xfId="46053" xr:uid="{00000000-0005-0000-0000-000016550000}"/>
    <cellStyle name="Normal 11 2 2 3 3 2 5" xfId="32491" xr:uid="{00000000-0005-0000-0000-000017550000}"/>
    <cellStyle name="Normal 11 2 2 3 3 3" xfId="8731" xr:uid="{00000000-0005-0000-0000-000018550000}"/>
    <cellStyle name="Normal 11 2 2 3 3 3 2" xfId="15521" xr:uid="{00000000-0005-0000-0000-000019550000}"/>
    <cellStyle name="Normal 11 2 2 3 3 3 2 2" xfId="29089" xr:uid="{00000000-0005-0000-0000-00001A550000}"/>
    <cellStyle name="Normal 11 2 2 3 3 3 2 2 2" xfId="56222" xr:uid="{00000000-0005-0000-0000-00001B550000}"/>
    <cellStyle name="Normal 11 2 2 3 3 3 2 3" xfId="42660" xr:uid="{00000000-0005-0000-0000-00001C550000}"/>
    <cellStyle name="Normal 11 2 2 3 3 3 3" xfId="22308" xr:uid="{00000000-0005-0000-0000-00001D550000}"/>
    <cellStyle name="Normal 11 2 2 3 3 3 3 2" xfId="49441" xr:uid="{00000000-0005-0000-0000-00001E550000}"/>
    <cellStyle name="Normal 11 2 2 3 3 3 4" xfId="35879" xr:uid="{00000000-0005-0000-0000-00001F550000}"/>
    <cellStyle name="Normal 11 2 2 3 3 4" xfId="12132" xr:uid="{00000000-0005-0000-0000-000020550000}"/>
    <cellStyle name="Normal 11 2 2 3 3 4 2" xfId="25700" xr:uid="{00000000-0005-0000-0000-000021550000}"/>
    <cellStyle name="Normal 11 2 2 3 3 4 2 2" xfId="52833" xr:uid="{00000000-0005-0000-0000-000022550000}"/>
    <cellStyle name="Normal 11 2 2 3 3 4 3" xfId="39271" xr:uid="{00000000-0005-0000-0000-000023550000}"/>
    <cellStyle name="Normal 11 2 2 3 3 5" xfId="18919" xr:uid="{00000000-0005-0000-0000-000024550000}"/>
    <cellStyle name="Normal 11 2 2 3 3 5 2" xfId="46052" xr:uid="{00000000-0005-0000-0000-000025550000}"/>
    <cellStyle name="Normal 11 2 2 3 3 6" xfId="32490" xr:uid="{00000000-0005-0000-0000-000026550000}"/>
    <cellStyle name="Normal 11 2 2 3 4" xfId="5182" xr:uid="{00000000-0005-0000-0000-000027550000}"/>
    <cellStyle name="Normal 11 2 2 3 4 2" xfId="8733" xr:uid="{00000000-0005-0000-0000-000028550000}"/>
    <cellStyle name="Normal 11 2 2 3 4 2 2" xfId="15523" xr:uid="{00000000-0005-0000-0000-000029550000}"/>
    <cellStyle name="Normal 11 2 2 3 4 2 2 2" xfId="29091" xr:uid="{00000000-0005-0000-0000-00002A550000}"/>
    <cellStyle name="Normal 11 2 2 3 4 2 2 2 2" xfId="56224" xr:uid="{00000000-0005-0000-0000-00002B550000}"/>
    <cellStyle name="Normal 11 2 2 3 4 2 2 3" xfId="42662" xr:uid="{00000000-0005-0000-0000-00002C550000}"/>
    <cellStyle name="Normal 11 2 2 3 4 2 3" xfId="22310" xr:uid="{00000000-0005-0000-0000-00002D550000}"/>
    <cellStyle name="Normal 11 2 2 3 4 2 3 2" xfId="49443" xr:uid="{00000000-0005-0000-0000-00002E550000}"/>
    <cellStyle name="Normal 11 2 2 3 4 2 4" xfId="35881" xr:uid="{00000000-0005-0000-0000-00002F550000}"/>
    <cellStyle name="Normal 11 2 2 3 4 3" xfId="12134" xr:uid="{00000000-0005-0000-0000-000030550000}"/>
    <cellStyle name="Normal 11 2 2 3 4 3 2" xfId="25702" xr:uid="{00000000-0005-0000-0000-000031550000}"/>
    <cellStyle name="Normal 11 2 2 3 4 3 2 2" xfId="52835" xr:uid="{00000000-0005-0000-0000-000032550000}"/>
    <cellStyle name="Normal 11 2 2 3 4 3 3" xfId="39273" xr:uid="{00000000-0005-0000-0000-000033550000}"/>
    <cellStyle name="Normal 11 2 2 3 4 4" xfId="18921" xr:uid="{00000000-0005-0000-0000-000034550000}"/>
    <cellStyle name="Normal 11 2 2 3 4 4 2" xfId="46054" xr:uid="{00000000-0005-0000-0000-000035550000}"/>
    <cellStyle name="Normal 11 2 2 3 4 5" xfId="32492" xr:uid="{00000000-0005-0000-0000-000036550000}"/>
    <cellStyle name="Normal 11 2 2 3 5" xfId="5183" xr:uid="{00000000-0005-0000-0000-000037550000}"/>
    <cellStyle name="Normal 11 2 2 3 5 2" xfId="8734" xr:uid="{00000000-0005-0000-0000-000038550000}"/>
    <cellStyle name="Normal 11 2 2 3 5 2 2" xfId="15524" xr:uid="{00000000-0005-0000-0000-000039550000}"/>
    <cellStyle name="Normal 11 2 2 3 5 2 2 2" xfId="29092" xr:uid="{00000000-0005-0000-0000-00003A550000}"/>
    <cellStyle name="Normal 11 2 2 3 5 2 2 2 2" xfId="56225" xr:uid="{00000000-0005-0000-0000-00003B550000}"/>
    <cellStyle name="Normal 11 2 2 3 5 2 2 3" xfId="42663" xr:uid="{00000000-0005-0000-0000-00003C550000}"/>
    <cellStyle name="Normal 11 2 2 3 5 2 3" xfId="22311" xr:uid="{00000000-0005-0000-0000-00003D550000}"/>
    <cellStyle name="Normal 11 2 2 3 5 2 3 2" xfId="49444" xr:uid="{00000000-0005-0000-0000-00003E550000}"/>
    <cellStyle name="Normal 11 2 2 3 5 2 4" xfId="35882" xr:uid="{00000000-0005-0000-0000-00003F550000}"/>
    <cellStyle name="Normal 11 2 2 3 5 3" xfId="12135" xr:uid="{00000000-0005-0000-0000-000040550000}"/>
    <cellStyle name="Normal 11 2 2 3 5 3 2" xfId="25703" xr:uid="{00000000-0005-0000-0000-000041550000}"/>
    <cellStyle name="Normal 11 2 2 3 5 3 2 2" xfId="52836" xr:uid="{00000000-0005-0000-0000-000042550000}"/>
    <cellStyle name="Normal 11 2 2 3 5 3 3" xfId="39274" xr:uid="{00000000-0005-0000-0000-000043550000}"/>
    <cellStyle name="Normal 11 2 2 3 5 4" xfId="18922" xr:uid="{00000000-0005-0000-0000-000044550000}"/>
    <cellStyle name="Normal 11 2 2 3 5 4 2" xfId="46055" xr:uid="{00000000-0005-0000-0000-000045550000}"/>
    <cellStyle name="Normal 11 2 2 3 5 5" xfId="32493" xr:uid="{00000000-0005-0000-0000-000046550000}"/>
    <cellStyle name="Normal 11 2 2 3 6" xfId="8727" xr:uid="{00000000-0005-0000-0000-000047550000}"/>
    <cellStyle name="Normal 11 2 2 3 6 2" xfId="15517" xr:uid="{00000000-0005-0000-0000-000048550000}"/>
    <cellStyle name="Normal 11 2 2 3 6 2 2" xfId="29085" xr:uid="{00000000-0005-0000-0000-000049550000}"/>
    <cellStyle name="Normal 11 2 2 3 6 2 2 2" xfId="56218" xr:uid="{00000000-0005-0000-0000-00004A550000}"/>
    <cellStyle name="Normal 11 2 2 3 6 2 3" xfId="42656" xr:uid="{00000000-0005-0000-0000-00004B550000}"/>
    <cellStyle name="Normal 11 2 2 3 6 3" xfId="22304" xr:uid="{00000000-0005-0000-0000-00004C550000}"/>
    <cellStyle name="Normal 11 2 2 3 6 3 2" xfId="49437" xr:uid="{00000000-0005-0000-0000-00004D550000}"/>
    <cellStyle name="Normal 11 2 2 3 6 4" xfId="35875" xr:uid="{00000000-0005-0000-0000-00004E550000}"/>
    <cellStyle name="Normal 11 2 2 3 7" xfId="12128" xr:uid="{00000000-0005-0000-0000-00004F550000}"/>
    <cellStyle name="Normal 11 2 2 3 7 2" xfId="25696" xr:uid="{00000000-0005-0000-0000-000050550000}"/>
    <cellStyle name="Normal 11 2 2 3 7 2 2" xfId="52829" xr:uid="{00000000-0005-0000-0000-000051550000}"/>
    <cellStyle name="Normal 11 2 2 3 7 3" xfId="39267" xr:uid="{00000000-0005-0000-0000-000052550000}"/>
    <cellStyle name="Normal 11 2 2 3 8" xfId="18915" xr:uid="{00000000-0005-0000-0000-000053550000}"/>
    <cellStyle name="Normal 11 2 2 3 8 2" xfId="46048" xr:uid="{00000000-0005-0000-0000-000054550000}"/>
    <cellStyle name="Normal 11 2 2 3 9" xfId="32486" xr:uid="{00000000-0005-0000-0000-000055550000}"/>
    <cellStyle name="Normal 11 2 2 4" xfId="5184" xr:uid="{00000000-0005-0000-0000-000056550000}"/>
    <cellStyle name="Normal 11 2 2 4 2" xfId="5185" xr:uid="{00000000-0005-0000-0000-000057550000}"/>
    <cellStyle name="Normal 11 2 2 4 2 2" xfId="5186" xr:uid="{00000000-0005-0000-0000-000058550000}"/>
    <cellStyle name="Normal 11 2 2 4 2 2 2" xfId="8737" xr:uid="{00000000-0005-0000-0000-000059550000}"/>
    <cellStyle name="Normal 11 2 2 4 2 2 2 2" xfId="15527" xr:uid="{00000000-0005-0000-0000-00005A550000}"/>
    <cellStyle name="Normal 11 2 2 4 2 2 2 2 2" xfId="29095" xr:uid="{00000000-0005-0000-0000-00005B550000}"/>
    <cellStyle name="Normal 11 2 2 4 2 2 2 2 2 2" xfId="56228" xr:uid="{00000000-0005-0000-0000-00005C550000}"/>
    <cellStyle name="Normal 11 2 2 4 2 2 2 2 3" xfId="42666" xr:uid="{00000000-0005-0000-0000-00005D550000}"/>
    <cellStyle name="Normal 11 2 2 4 2 2 2 3" xfId="22314" xr:uid="{00000000-0005-0000-0000-00005E550000}"/>
    <cellStyle name="Normal 11 2 2 4 2 2 2 3 2" xfId="49447" xr:uid="{00000000-0005-0000-0000-00005F550000}"/>
    <cellStyle name="Normal 11 2 2 4 2 2 2 4" xfId="35885" xr:uid="{00000000-0005-0000-0000-000060550000}"/>
    <cellStyle name="Normal 11 2 2 4 2 2 3" xfId="12138" xr:uid="{00000000-0005-0000-0000-000061550000}"/>
    <cellStyle name="Normal 11 2 2 4 2 2 3 2" xfId="25706" xr:uid="{00000000-0005-0000-0000-000062550000}"/>
    <cellStyle name="Normal 11 2 2 4 2 2 3 2 2" xfId="52839" xr:uid="{00000000-0005-0000-0000-000063550000}"/>
    <cellStyle name="Normal 11 2 2 4 2 2 3 3" xfId="39277" xr:uid="{00000000-0005-0000-0000-000064550000}"/>
    <cellStyle name="Normal 11 2 2 4 2 2 4" xfId="18925" xr:uid="{00000000-0005-0000-0000-000065550000}"/>
    <cellStyle name="Normal 11 2 2 4 2 2 4 2" xfId="46058" xr:uid="{00000000-0005-0000-0000-000066550000}"/>
    <cellStyle name="Normal 11 2 2 4 2 2 5" xfId="32496" xr:uid="{00000000-0005-0000-0000-000067550000}"/>
    <cellStyle name="Normal 11 2 2 4 2 3" xfId="5187" xr:uid="{00000000-0005-0000-0000-000068550000}"/>
    <cellStyle name="Normal 11 2 2 4 2 3 2" xfId="8738" xr:uid="{00000000-0005-0000-0000-000069550000}"/>
    <cellStyle name="Normal 11 2 2 4 2 3 2 2" xfId="15528" xr:uid="{00000000-0005-0000-0000-00006A550000}"/>
    <cellStyle name="Normal 11 2 2 4 2 3 2 2 2" xfId="29096" xr:uid="{00000000-0005-0000-0000-00006B550000}"/>
    <cellStyle name="Normal 11 2 2 4 2 3 2 2 2 2" xfId="56229" xr:uid="{00000000-0005-0000-0000-00006C550000}"/>
    <cellStyle name="Normal 11 2 2 4 2 3 2 2 3" xfId="42667" xr:uid="{00000000-0005-0000-0000-00006D550000}"/>
    <cellStyle name="Normal 11 2 2 4 2 3 2 3" xfId="22315" xr:uid="{00000000-0005-0000-0000-00006E550000}"/>
    <cellStyle name="Normal 11 2 2 4 2 3 2 3 2" xfId="49448" xr:uid="{00000000-0005-0000-0000-00006F550000}"/>
    <cellStyle name="Normal 11 2 2 4 2 3 2 4" xfId="35886" xr:uid="{00000000-0005-0000-0000-000070550000}"/>
    <cellStyle name="Normal 11 2 2 4 2 3 3" xfId="12139" xr:uid="{00000000-0005-0000-0000-000071550000}"/>
    <cellStyle name="Normal 11 2 2 4 2 3 3 2" xfId="25707" xr:uid="{00000000-0005-0000-0000-000072550000}"/>
    <cellStyle name="Normal 11 2 2 4 2 3 3 2 2" xfId="52840" xr:uid="{00000000-0005-0000-0000-000073550000}"/>
    <cellStyle name="Normal 11 2 2 4 2 3 3 3" xfId="39278" xr:uid="{00000000-0005-0000-0000-000074550000}"/>
    <cellStyle name="Normal 11 2 2 4 2 3 4" xfId="18926" xr:uid="{00000000-0005-0000-0000-000075550000}"/>
    <cellStyle name="Normal 11 2 2 4 2 3 4 2" xfId="46059" xr:uid="{00000000-0005-0000-0000-000076550000}"/>
    <cellStyle name="Normal 11 2 2 4 2 3 5" xfId="32497" xr:uid="{00000000-0005-0000-0000-000077550000}"/>
    <cellStyle name="Normal 11 2 2 4 2 4" xfId="8736" xr:uid="{00000000-0005-0000-0000-000078550000}"/>
    <cellStyle name="Normal 11 2 2 4 2 4 2" xfId="15526" xr:uid="{00000000-0005-0000-0000-000079550000}"/>
    <cellStyle name="Normal 11 2 2 4 2 4 2 2" xfId="29094" xr:uid="{00000000-0005-0000-0000-00007A550000}"/>
    <cellStyle name="Normal 11 2 2 4 2 4 2 2 2" xfId="56227" xr:uid="{00000000-0005-0000-0000-00007B550000}"/>
    <cellStyle name="Normal 11 2 2 4 2 4 2 3" xfId="42665" xr:uid="{00000000-0005-0000-0000-00007C550000}"/>
    <cellStyle name="Normal 11 2 2 4 2 4 3" xfId="22313" xr:uid="{00000000-0005-0000-0000-00007D550000}"/>
    <cellStyle name="Normal 11 2 2 4 2 4 3 2" xfId="49446" xr:uid="{00000000-0005-0000-0000-00007E550000}"/>
    <cellStyle name="Normal 11 2 2 4 2 4 4" xfId="35884" xr:uid="{00000000-0005-0000-0000-00007F550000}"/>
    <cellStyle name="Normal 11 2 2 4 2 5" xfId="12137" xr:uid="{00000000-0005-0000-0000-000080550000}"/>
    <cellStyle name="Normal 11 2 2 4 2 5 2" xfId="25705" xr:uid="{00000000-0005-0000-0000-000081550000}"/>
    <cellStyle name="Normal 11 2 2 4 2 5 2 2" xfId="52838" xr:uid="{00000000-0005-0000-0000-000082550000}"/>
    <cellStyle name="Normal 11 2 2 4 2 5 3" xfId="39276" xr:uid="{00000000-0005-0000-0000-000083550000}"/>
    <cellStyle name="Normal 11 2 2 4 2 6" xfId="18924" xr:uid="{00000000-0005-0000-0000-000084550000}"/>
    <cellStyle name="Normal 11 2 2 4 2 6 2" xfId="46057" xr:uid="{00000000-0005-0000-0000-000085550000}"/>
    <cellStyle name="Normal 11 2 2 4 2 7" xfId="32495" xr:uid="{00000000-0005-0000-0000-000086550000}"/>
    <cellStyle name="Normal 11 2 2 4 3" xfId="5188" xr:uid="{00000000-0005-0000-0000-000087550000}"/>
    <cellStyle name="Normal 11 2 2 4 3 2" xfId="8739" xr:uid="{00000000-0005-0000-0000-000088550000}"/>
    <cellStyle name="Normal 11 2 2 4 3 2 2" xfId="15529" xr:uid="{00000000-0005-0000-0000-000089550000}"/>
    <cellStyle name="Normal 11 2 2 4 3 2 2 2" xfId="29097" xr:uid="{00000000-0005-0000-0000-00008A550000}"/>
    <cellStyle name="Normal 11 2 2 4 3 2 2 2 2" xfId="56230" xr:uid="{00000000-0005-0000-0000-00008B550000}"/>
    <cellStyle name="Normal 11 2 2 4 3 2 2 3" xfId="42668" xr:uid="{00000000-0005-0000-0000-00008C550000}"/>
    <cellStyle name="Normal 11 2 2 4 3 2 3" xfId="22316" xr:uid="{00000000-0005-0000-0000-00008D550000}"/>
    <cellStyle name="Normal 11 2 2 4 3 2 3 2" xfId="49449" xr:uid="{00000000-0005-0000-0000-00008E550000}"/>
    <cellStyle name="Normal 11 2 2 4 3 2 4" xfId="35887" xr:uid="{00000000-0005-0000-0000-00008F550000}"/>
    <cellStyle name="Normal 11 2 2 4 3 3" xfId="12140" xr:uid="{00000000-0005-0000-0000-000090550000}"/>
    <cellStyle name="Normal 11 2 2 4 3 3 2" xfId="25708" xr:uid="{00000000-0005-0000-0000-000091550000}"/>
    <cellStyle name="Normal 11 2 2 4 3 3 2 2" xfId="52841" xr:uid="{00000000-0005-0000-0000-000092550000}"/>
    <cellStyle name="Normal 11 2 2 4 3 3 3" xfId="39279" xr:uid="{00000000-0005-0000-0000-000093550000}"/>
    <cellStyle name="Normal 11 2 2 4 3 4" xfId="18927" xr:uid="{00000000-0005-0000-0000-000094550000}"/>
    <cellStyle name="Normal 11 2 2 4 3 4 2" xfId="46060" xr:uid="{00000000-0005-0000-0000-000095550000}"/>
    <cellStyle name="Normal 11 2 2 4 3 5" xfId="32498" xr:uid="{00000000-0005-0000-0000-000096550000}"/>
    <cellStyle name="Normal 11 2 2 4 4" xfId="5189" xr:uid="{00000000-0005-0000-0000-000097550000}"/>
    <cellStyle name="Normal 11 2 2 4 4 2" xfId="8740" xr:uid="{00000000-0005-0000-0000-000098550000}"/>
    <cellStyle name="Normal 11 2 2 4 4 2 2" xfId="15530" xr:uid="{00000000-0005-0000-0000-000099550000}"/>
    <cellStyle name="Normal 11 2 2 4 4 2 2 2" xfId="29098" xr:uid="{00000000-0005-0000-0000-00009A550000}"/>
    <cellStyle name="Normal 11 2 2 4 4 2 2 2 2" xfId="56231" xr:uid="{00000000-0005-0000-0000-00009B550000}"/>
    <cellStyle name="Normal 11 2 2 4 4 2 2 3" xfId="42669" xr:uid="{00000000-0005-0000-0000-00009C550000}"/>
    <cellStyle name="Normal 11 2 2 4 4 2 3" xfId="22317" xr:uid="{00000000-0005-0000-0000-00009D550000}"/>
    <cellStyle name="Normal 11 2 2 4 4 2 3 2" xfId="49450" xr:uid="{00000000-0005-0000-0000-00009E550000}"/>
    <cellStyle name="Normal 11 2 2 4 4 2 4" xfId="35888" xr:uid="{00000000-0005-0000-0000-00009F550000}"/>
    <cellStyle name="Normal 11 2 2 4 4 3" xfId="12141" xr:uid="{00000000-0005-0000-0000-0000A0550000}"/>
    <cellStyle name="Normal 11 2 2 4 4 3 2" xfId="25709" xr:uid="{00000000-0005-0000-0000-0000A1550000}"/>
    <cellStyle name="Normal 11 2 2 4 4 3 2 2" xfId="52842" xr:uid="{00000000-0005-0000-0000-0000A2550000}"/>
    <cellStyle name="Normal 11 2 2 4 4 3 3" xfId="39280" xr:uid="{00000000-0005-0000-0000-0000A3550000}"/>
    <cellStyle name="Normal 11 2 2 4 4 4" xfId="18928" xr:uid="{00000000-0005-0000-0000-0000A4550000}"/>
    <cellStyle name="Normal 11 2 2 4 4 4 2" xfId="46061" xr:uid="{00000000-0005-0000-0000-0000A5550000}"/>
    <cellStyle name="Normal 11 2 2 4 4 5" xfId="32499" xr:uid="{00000000-0005-0000-0000-0000A6550000}"/>
    <cellStyle name="Normal 11 2 2 4 5" xfId="8735" xr:uid="{00000000-0005-0000-0000-0000A7550000}"/>
    <cellStyle name="Normal 11 2 2 4 5 2" xfId="15525" xr:uid="{00000000-0005-0000-0000-0000A8550000}"/>
    <cellStyle name="Normal 11 2 2 4 5 2 2" xfId="29093" xr:uid="{00000000-0005-0000-0000-0000A9550000}"/>
    <cellStyle name="Normal 11 2 2 4 5 2 2 2" xfId="56226" xr:uid="{00000000-0005-0000-0000-0000AA550000}"/>
    <cellStyle name="Normal 11 2 2 4 5 2 3" xfId="42664" xr:uid="{00000000-0005-0000-0000-0000AB550000}"/>
    <cellStyle name="Normal 11 2 2 4 5 3" xfId="22312" xr:uid="{00000000-0005-0000-0000-0000AC550000}"/>
    <cellStyle name="Normal 11 2 2 4 5 3 2" xfId="49445" xr:uid="{00000000-0005-0000-0000-0000AD550000}"/>
    <cellStyle name="Normal 11 2 2 4 5 4" xfId="35883" xr:uid="{00000000-0005-0000-0000-0000AE550000}"/>
    <cellStyle name="Normal 11 2 2 4 6" xfId="12136" xr:uid="{00000000-0005-0000-0000-0000AF550000}"/>
    <cellStyle name="Normal 11 2 2 4 6 2" xfId="25704" xr:uid="{00000000-0005-0000-0000-0000B0550000}"/>
    <cellStyle name="Normal 11 2 2 4 6 2 2" xfId="52837" xr:uid="{00000000-0005-0000-0000-0000B1550000}"/>
    <cellStyle name="Normal 11 2 2 4 6 3" xfId="39275" xr:uid="{00000000-0005-0000-0000-0000B2550000}"/>
    <cellStyle name="Normal 11 2 2 4 7" xfId="18923" xr:uid="{00000000-0005-0000-0000-0000B3550000}"/>
    <cellStyle name="Normal 11 2 2 4 7 2" xfId="46056" xr:uid="{00000000-0005-0000-0000-0000B4550000}"/>
    <cellStyle name="Normal 11 2 2 4 8" xfId="32494" xr:uid="{00000000-0005-0000-0000-0000B5550000}"/>
    <cellStyle name="Normal 11 2 2 5" xfId="5190" xr:uid="{00000000-0005-0000-0000-0000B6550000}"/>
    <cellStyle name="Normal 11 2 2 5 2" xfId="5191" xr:uid="{00000000-0005-0000-0000-0000B7550000}"/>
    <cellStyle name="Normal 11 2 2 5 2 2" xfId="8742" xr:uid="{00000000-0005-0000-0000-0000B8550000}"/>
    <cellStyle name="Normal 11 2 2 5 2 2 2" xfId="15532" xr:uid="{00000000-0005-0000-0000-0000B9550000}"/>
    <cellStyle name="Normal 11 2 2 5 2 2 2 2" xfId="29100" xr:uid="{00000000-0005-0000-0000-0000BA550000}"/>
    <cellStyle name="Normal 11 2 2 5 2 2 2 2 2" xfId="56233" xr:uid="{00000000-0005-0000-0000-0000BB550000}"/>
    <cellStyle name="Normal 11 2 2 5 2 2 2 3" xfId="42671" xr:uid="{00000000-0005-0000-0000-0000BC550000}"/>
    <cellStyle name="Normal 11 2 2 5 2 2 3" xfId="22319" xr:uid="{00000000-0005-0000-0000-0000BD550000}"/>
    <cellStyle name="Normal 11 2 2 5 2 2 3 2" xfId="49452" xr:uid="{00000000-0005-0000-0000-0000BE550000}"/>
    <cellStyle name="Normal 11 2 2 5 2 2 4" xfId="35890" xr:uid="{00000000-0005-0000-0000-0000BF550000}"/>
    <cellStyle name="Normal 11 2 2 5 2 3" xfId="12143" xr:uid="{00000000-0005-0000-0000-0000C0550000}"/>
    <cellStyle name="Normal 11 2 2 5 2 3 2" xfId="25711" xr:uid="{00000000-0005-0000-0000-0000C1550000}"/>
    <cellStyle name="Normal 11 2 2 5 2 3 2 2" xfId="52844" xr:uid="{00000000-0005-0000-0000-0000C2550000}"/>
    <cellStyle name="Normal 11 2 2 5 2 3 3" xfId="39282" xr:uid="{00000000-0005-0000-0000-0000C3550000}"/>
    <cellStyle name="Normal 11 2 2 5 2 4" xfId="18930" xr:uid="{00000000-0005-0000-0000-0000C4550000}"/>
    <cellStyle name="Normal 11 2 2 5 2 4 2" xfId="46063" xr:uid="{00000000-0005-0000-0000-0000C5550000}"/>
    <cellStyle name="Normal 11 2 2 5 2 5" xfId="32501" xr:uid="{00000000-0005-0000-0000-0000C6550000}"/>
    <cellStyle name="Normal 11 2 2 5 3" xfId="5192" xr:uid="{00000000-0005-0000-0000-0000C7550000}"/>
    <cellStyle name="Normal 11 2 2 5 3 2" xfId="8743" xr:uid="{00000000-0005-0000-0000-0000C8550000}"/>
    <cellStyle name="Normal 11 2 2 5 3 2 2" xfId="15533" xr:uid="{00000000-0005-0000-0000-0000C9550000}"/>
    <cellStyle name="Normal 11 2 2 5 3 2 2 2" xfId="29101" xr:uid="{00000000-0005-0000-0000-0000CA550000}"/>
    <cellStyle name="Normal 11 2 2 5 3 2 2 2 2" xfId="56234" xr:uid="{00000000-0005-0000-0000-0000CB550000}"/>
    <cellStyle name="Normal 11 2 2 5 3 2 2 3" xfId="42672" xr:uid="{00000000-0005-0000-0000-0000CC550000}"/>
    <cellStyle name="Normal 11 2 2 5 3 2 3" xfId="22320" xr:uid="{00000000-0005-0000-0000-0000CD550000}"/>
    <cellStyle name="Normal 11 2 2 5 3 2 3 2" xfId="49453" xr:uid="{00000000-0005-0000-0000-0000CE550000}"/>
    <cellStyle name="Normal 11 2 2 5 3 2 4" xfId="35891" xr:uid="{00000000-0005-0000-0000-0000CF550000}"/>
    <cellStyle name="Normal 11 2 2 5 3 3" xfId="12144" xr:uid="{00000000-0005-0000-0000-0000D0550000}"/>
    <cellStyle name="Normal 11 2 2 5 3 3 2" xfId="25712" xr:uid="{00000000-0005-0000-0000-0000D1550000}"/>
    <cellStyle name="Normal 11 2 2 5 3 3 2 2" xfId="52845" xr:uid="{00000000-0005-0000-0000-0000D2550000}"/>
    <cellStyle name="Normal 11 2 2 5 3 3 3" xfId="39283" xr:uid="{00000000-0005-0000-0000-0000D3550000}"/>
    <cellStyle name="Normal 11 2 2 5 3 4" xfId="18931" xr:uid="{00000000-0005-0000-0000-0000D4550000}"/>
    <cellStyle name="Normal 11 2 2 5 3 4 2" xfId="46064" xr:uid="{00000000-0005-0000-0000-0000D5550000}"/>
    <cellStyle name="Normal 11 2 2 5 3 5" xfId="32502" xr:uid="{00000000-0005-0000-0000-0000D6550000}"/>
    <cellStyle name="Normal 11 2 2 5 4" xfId="8741" xr:uid="{00000000-0005-0000-0000-0000D7550000}"/>
    <cellStyle name="Normal 11 2 2 5 4 2" xfId="15531" xr:uid="{00000000-0005-0000-0000-0000D8550000}"/>
    <cellStyle name="Normal 11 2 2 5 4 2 2" xfId="29099" xr:uid="{00000000-0005-0000-0000-0000D9550000}"/>
    <cellStyle name="Normal 11 2 2 5 4 2 2 2" xfId="56232" xr:uid="{00000000-0005-0000-0000-0000DA550000}"/>
    <cellStyle name="Normal 11 2 2 5 4 2 3" xfId="42670" xr:uid="{00000000-0005-0000-0000-0000DB550000}"/>
    <cellStyle name="Normal 11 2 2 5 4 3" xfId="22318" xr:uid="{00000000-0005-0000-0000-0000DC550000}"/>
    <cellStyle name="Normal 11 2 2 5 4 3 2" xfId="49451" xr:uid="{00000000-0005-0000-0000-0000DD550000}"/>
    <cellStyle name="Normal 11 2 2 5 4 4" xfId="35889" xr:uid="{00000000-0005-0000-0000-0000DE550000}"/>
    <cellStyle name="Normal 11 2 2 5 5" xfId="12142" xr:uid="{00000000-0005-0000-0000-0000DF550000}"/>
    <cellStyle name="Normal 11 2 2 5 5 2" xfId="25710" xr:uid="{00000000-0005-0000-0000-0000E0550000}"/>
    <cellStyle name="Normal 11 2 2 5 5 2 2" xfId="52843" xr:uid="{00000000-0005-0000-0000-0000E1550000}"/>
    <cellStyle name="Normal 11 2 2 5 5 3" xfId="39281" xr:uid="{00000000-0005-0000-0000-0000E2550000}"/>
    <cellStyle name="Normal 11 2 2 5 6" xfId="18929" xr:uid="{00000000-0005-0000-0000-0000E3550000}"/>
    <cellStyle name="Normal 11 2 2 5 6 2" xfId="46062" xr:uid="{00000000-0005-0000-0000-0000E4550000}"/>
    <cellStyle name="Normal 11 2 2 5 7" xfId="32500" xr:uid="{00000000-0005-0000-0000-0000E5550000}"/>
    <cellStyle name="Normal 11 2 2 6" xfId="5193" xr:uid="{00000000-0005-0000-0000-0000E6550000}"/>
    <cellStyle name="Normal 11 2 2 6 2" xfId="5194" xr:uid="{00000000-0005-0000-0000-0000E7550000}"/>
    <cellStyle name="Normal 11 2 2 6 2 2" xfId="8745" xr:uid="{00000000-0005-0000-0000-0000E8550000}"/>
    <cellStyle name="Normal 11 2 2 6 2 2 2" xfId="15535" xr:uid="{00000000-0005-0000-0000-0000E9550000}"/>
    <cellStyle name="Normal 11 2 2 6 2 2 2 2" xfId="29103" xr:uid="{00000000-0005-0000-0000-0000EA550000}"/>
    <cellStyle name="Normal 11 2 2 6 2 2 2 2 2" xfId="56236" xr:uid="{00000000-0005-0000-0000-0000EB550000}"/>
    <cellStyle name="Normal 11 2 2 6 2 2 2 3" xfId="42674" xr:uid="{00000000-0005-0000-0000-0000EC550000}"/>
    <cellStyle name="Normal 11 2 2 6 2 2 3" xfId="22322" xr:uid="{00000000-0005-0000-0000-0000ED550000}"/>
    <cellStyle name="Normal 11 2 2 6 2 2 3 2" xfId="49455" xr:uid="{00000000-0005-0000-0000-0000EE550000}"/>
    <cellStyle name="Normal 11 2 2 6 2 2 4" xfId="35893" xr:uid="{00000000-0005-0000-0000-0000EF550000}"/>
    <cellStyle name="Normal 11 2 2 6 2 3" xfId="12146" xr:uid="{00000000-0005-0000-0000-0000F0550000}"/>
    <cellStyle name="Normal 11 2 2 6 2 3 2" xfId="25714" xr:uid="{00000000-0005-0000-0000-0000F1550000}"/>
    <cellStyle name="Normal 11 2 2 6 2 3 2 2" xfId="52847" xr:uid="{00000000-0005-0000-0000-0000F2550000}"/>
    <cellStyle name="Normal 11 2 2 6 2 3 3" xfId="39285" xr:uid="{00000000-0005-0000-0000-0000F3550000}"/>
    <cellStyle name="Normal 11 2 2 6 2 4" xfId="18933" xr:uid="{00000000-0005-0000-0000-0000F4550000}"/>
    <cellStyle name="Normal 11 2 2 6 2 4 2" xfId="46066" xr:uid="{00000000-0005-0000-0000-0000F5550000}"/>
    <cellStyle name="Normal 11 2 2 6 2 5" xfId="32504" xr:uid="{00000000-0005-0000-0000-0000F6550000}"/>
    <cellStyle name="Normal 11 2 2 6 3" xfId="5195" xr:uid="{00000000-0005-0000-0000-0000F7550000}"/>
    <cellStyle name="Normal 11 2 2 6 3 2" xfId="8746" xr:uid="{00000000-0005-0000-0000-0000F8550000}"/>
    <cellStyle name="Normal 11 2 2 6 3 2 2" xfId="15536" xr:uid="{00000000-0005-0000-0000-0000F9550000}"/>
    <cellStyle name="Normal 11 2 2 6 3 2 2 2" xfId="29104" xr:uid="{00000000-0005-0000-0000-0000FA550000}"/>
    <cellStyle name="Normal 11 2 2 6 3 2 2 2 2" xfId="56237" xr:uid="{00000000-0005-0000-0000-0000FB550000}"/>
    <cellStyle name="Normal 11 2 2 6 3 2 2 3" xfId="42675" xr:uid="{00000000-0005-0000-0000-0000FC550000}"/>
    <cellStyle name="Normal 11 2 2 6 3 2 3" xfId="22323" xr:uid="{00000000-0005-0000-0000-0000FD550000}"/>
    <cellStyle name="Normal 11 2 2 6 3 2 3 2" xfId="49456" xr:uid="{00000000-0005-0000-0000-0000FE550000}"/>
    <cellStyle name="Normal 11 2 2 6 3 2 4" xfId="35894" xr:uid="{00000000-0005-0000-0000-0000FF550000}"/>
    <cellStyle name="Normal 11 2 2 6 3 3" xfId="12147" xr:uid="{00000000-0005-0000-0000-000000560000}"/>
    <cellStyle name="Normal 11 2 2 6 3 3 2" xfId="25715" xr:uid="{00000000-0005-0000-0000-000001560000}"/>
    <cellStyle name="Normal 11 2 2 6 3 3 2 2" xfId="52848" xr:uid="{00000000-0005-0000-0000-000002560000}"/>
    <cellStyle name="Normal 11 2 2 6 3 3 3" xfId="39286" xr:uid="{00000000-0005-0000-0000-000003560000}"/>
    <cellStyle name="Normal 11 2 2 6 3 4" xfId="18934" xr:uid="{00000000-0005-0000-0000-000004560000}"/>
    <cellStyle name="Normal 11 2 2 6 3 4 2" xfId="46067" xr:uid="{00000000-0005-0000-0000-000005560000}"/>
    <cellStyle name="Normal 11 2 2 6 3 5" xfId="32505" xr:uid="{00000000-0005-0000-0000-000006560000}"/>
    <cellStyle name="Normal 11 2 2 6 4" xfId="8744" xr:uid="{00000000-0005-0000-0000-000007560000}"/>
    <cellStyle name="Normal 11 2 2 6 4 2" xfId="15534" xr:uid="{00000000-0005-0000-0000-000008560000}"/>
    <cellStyle name="Normal 11 2 2 6 4 2 2" xfId="29102" xr:uid="{00000000-0005-0000-0000-000009560000}"/>
    <cellStyle name="Normal 11 2 2 6 4 2 2 2" xfId="56235" xr:uid="{00000000-0005-0000-0000-00000A560000}"/>
    <cellStyle name="Normal 11 2 2 6 4 2 3" xfId="42673" xr:uid="{00000000-0005-0000-0000-00000B560000}"/>
    <cellStyle name="Normal 11 2 2 6 4 3" xfId="22321" xr:uid="{00000000-0005-0000-0000-00000C560000}"/>
    <cellStyle name="Normal 11 2 2 6 4 3 2" xfId="49454" xr:uid="{00000000-0005-0000-0000-00000D560000}"/>
    <cellStyle name="Normal 11 2 2 6 4 4" xfId="35892" xr:uid="{00000000-0005-0000-0000-00000E560000}"/>
    <cellStyle name="Normal 11 2 2 6 5" xfId="12145" xr:uid="{00000000-0005-0000-0000-00000F560000}"/>
    <cellStyle name="Normal 11 2 2 6 5 2" xfId="25713" xr:uid="{00000000-0005-0000-0000-000010560000}"/>
    <cellStyle name="Normal 11 2 2 6 5 2 2" xfId="52846" xr:uid="{00000000-0005-0000-0000-000011560000}"/>
    <cellStyle name="Normal 11 2 2 6 5 3" xfId="39284" xr:uid="{00000000-0005-0000-0000-000012560000}"/>
    <cellStyle name="Normal 11 2 2 6 6" xfId="18932" xr:uid="{00000000-0005-0000-0000-000013560000}"/>
    <cellStyle name="Normal 11 2 2 6 6 2" xfId="46065" xr:uid="{00000000-0005-0000-0000-000014560000}"/>
    <cellStyle name="Normal 11 2 2 6 7" xfId="32503" xr:uid="{00000000-0005-0000-0000-000015560000}"/>
    <cellStyle name="Normal 11 2 2 7" xfId="5196" xr:uid="{00000000-0005-0000-0000-000016560000}"/>
    <cellStyle name="Normal 11 2 2 7 2" xfId="8747" xr:uid="{00000000-0005-0000-0000-000017560000}"/>
    <cellStyle name="Normal 11 2 2 7 2 2" xfId="15537" xr:uid="{00000000-0005-0000-0000-000018560000}"/>
    <cellStyle name="Normal 11 2 2 7 2 2 2" xfId="29105" xr:uid="{00000000-0005-0000-0000-000019560000}"/>
    <cellStyle name="Normal 11 2 2 7 2 2 2 2" xfId="56238" xr:uid="{00000000-0005-0000-0000-00001A560000}"/>
    <cellStyle name="Normal 11 2 2 7 2 2 3" xfId="42676" xr:uid="{00000000-0005-0000-0000-00001B560000}"/>
    <cellStyle name="Normal 11 2 2 7 2 3" xfId="22324" xr:uid="{00000000-0005-0000-0000-00001C560000}"/>
    <cellStyle name="Normal 11 2 2 7 2 3 2" xfId="49457" xr:uid="{00000000-0005-0000-0000-00001D560000}"/>
    <cellStyle name="Normal 11 2 2 7 2 4" xfId="35895" xr:uid="{00000000-0005-0000-0000-00001E560000}"/>
    <cellStyle name="Normal 11 2 2 7 3" xfId="12148" xr:uid="{00000000-0005-0000-0000-00001F560000}"/>
    <cellStyle name="Normal 11 2 2 7 3 2" xfId="25716" xr:uid="{00000000-0005-0000-0000-000020560000}"/>
    <cellStyle name="Normal 11 2 2 7 3 2 2" xfId="52849" xr:uid="{00000000-0005-0000-0000-000021560000}"/>
    <cellStyle name="Normal 11 2 2 7 3 3" xfId="39287" xr:uid="{00000000-0005-0000-0000-000022560000}"/>
    <cellStyle name="Normal 11 2 2 7 4" xfId="18935" xr:uid="{00000000-0005-0000-0000-000023560000}"/>
    <cellStyle name="Normal 11 2 2 7 4 2" xfId="46068" xr:uid="{00000000-0005-0000-0000-000024560000}"/>
    <cellStyle name="Normal 11 2 2 7 5" xfId="32506" xr:uid="{00000000-0005-0000-0000-000025560000}"/>
    <cellStyle name="Normal 11 2 2 8" xfId="5197" xr:uid="{00000000-0005-0000-0000-000026560000}"/>
    <cellStyle name="Normal 11 2 2 8 2" xfId="8748" xr:uid="{00000000-0005-0000-0000-000027560000}"/>
    <cellStyle name="Normal 11 2 2 8 2 2" xfId="15538" xr:uid="{00000000-0005-0000-0000-000028560000}"/>
    <cellStyle name="Normal 11 2 2 8 2 2 2" xfId="29106" xr:uid="{00000000-0005-0000-0000-000029560000}"/>
    <cellStyle name="Normal 11 2 2 8 2 2 2 2" xfId="56239" xr:uid="{00000000-0005-0000-0000-00002A560000}"/>
    <cellStyle name="Normal 11 2 2 8 2 2 3" xfId="42677" xr:uid="{00000000-0005-0000-0000-00002B560000}"/>
    <cellStyle name="Normal 11 2 2 8 2 3" xfId="22325" xr:uid="{00000000-0005-0000-0000-00002C560000}"/>
    <cellStyle name="Normal 11 2 2 8 2 3 2" xfId="49458" xr:uid="{00000000-0005-0000-0000-00002D560000}"/>
    <cellStyle name="Normal 11 2 2 8 2 4" xfId="35896" xr:uid="{00000000-0005-0000-0000-00002E560000}"/>
    <cellStyle name="Normal 11 2 2 8 3" xfId="12149" xr:uid="{00000000-0005-0000-0000-00002F560000}"/>
    <cellStyle name="Normal 11 2 2 8 3 2" xfId="25717" xr:uid="{00000000-0005-0000-0000-000030560000}"/>
    <cellStyle name="Normal 11 2 2 8 3 2 2" xfId="52850" xr:uid="{00000000-0005-0000-0000-000031560000}"/>
    <cellStyle name="Normal 11 2 2 8 3 3" xfId="39288" xr:uid="{00000000-0005-0000-0000-000032560000}"/>
    <cellStyle name="Normal 11 2 2 8 4" xfId="18936" xr:uid="{00000000-0005-0000-0000-000033560000}"/>
    <cellStyle name="Normal 11 2 2 8 4 2" xfId="46069" xr:uid="{00000000-0005-0000-0000-000034560000}"/>
    <cellStyle name="Normal 11 2 2 8 5" xfId="32507" xr:uid="{00000000-0005-0000-0000-000035560000}"/>
    <cellStyle name="Normal 11 2 3" xfId="5198" xr:uid="{00000000-0005-0000-0000-000036560000}"/>
    <cellStyle name="Normal 11 2 3 10" xfId="32508" xr:uid="{00000000-0005-0000-0000-000037560000}"/>
    <cellStyle name="Normal 11 2 3 2" xfId="5199" xr:uid="{00000000-0005-0000-0000-000038560000}"/>
    <cellStyle name="Normal 11 2 3 2 2" xfId="5200" xr:uid="{00000000-0005-0000-0000-000039560000}"/>
    <cellStyle name="Normal 11 2 3 2 2 2" xfId="5201" xr:uid="{00000000-0005-0000-0000-00003A560000}"/>
    <cellStyle name="Normal 11 2 3 2 2 2 2" xfId="8752" xr:uid="{00000000-0005-0000-0000-00003B560000}"/>
    <cellStyle name="Normal 11 2 3 2 2 2 2 2" xfId="15542" xr:uid="{00000000-0005-0000-0000-00003C560000}"/>
    <cellStyle name="Normal 11 2 3 2 2 2 2 2 2" xfId="29110" xr:uid="{00000000-0005-0000-0000-00003D560000}"/>
    <cellStyle name="Normal 11 2 3 2 2 2 2 2 2 2" xfId="56243" xr:uid="{00000000-0005-0000-0000-00003E560000}"/>
    <cellStyle name="Normal 11 2 3 2 2 2 2 2 3" xfId="42681" xr:uid="{00000000-0005-0000-0000-00003F560000}"/>
    <cellStyle name="Normal 11 2 3 2 2 2 2 3" xfId="22329" xr:uid="{00000000-0005-0000-0000-000040560000}"/>
    <cellStyle name="Normal 11 2 3 2 2 2 2 3 2" xfId="49462" xr:uid="{00000000-0005-0000-0000-000041560000}"/>
    <cellStyle name="Normal 11 2 3 2 2 2 2 4" xfId="35900" xr:uid="{00000000-0005-0000-0000-000042560000}"/>
    <cellStyle name="Normal 11 2 3 2 2 2 3" xfId="12153" xr:uid="{00000000-0005-0000-0000-000043560000}"/>
    <cellStyle name="Normal 11 2 3 2 2 2 3 2" xfId="25721" xr:uid="{00000000-0005-0000-0000-000044560000}"/>
    <cellStyle name="Normal 11 2 3 2 2 2 3 2 2" xfId="52854" xr:uid="{00000000-0005-0000-0000-000045560000}"/>
    <cellStyle name="Normal 11 2 3 2 2 2 3 3" xfId="39292" xr:uid="{00000000-0005-0000-0000-000046560000}"/>
    <cellStyle name="Normal 11 2 3 2 2 2 4" xfId="18940" xr:uid="{00000000-0005-0000-0000-000047560000}"/>
    <cellStyle name="Normal 11 2 3 2 2 2 4 2" xfId="46073" xr:uid="{00000000-0005-0000-0000-000048560000}"/>
    <cellStyle name="Normal 11 2 3 2 2 2 5" xfId="32511" xr:uid="{00000000-0005-0000-0000-000049560000}"/>
    <cellStyle name="Normal 11 2 3 2 2 3" xfId="5202" xr:uid="{00000000-0005-0000-0000-00004A560000}"/>
    <cellStyle name="Normal 11 2 3 2 2 3 2" xfId="8753" xr:uid="{00000000-0005-0000-0000-00004B560000}"/>
    <cellStyle name="Normal 11 2 3 2 2 3 2 2" xfId="15543" xr:uid="{00000000-0005-0000-0000-00004C560000}"/>
    <cellStyle name="Normal 11 2 3 2 2 3 2 2 2" xfId="29111" xr:uid="{00000000-0005-0000-0000-00004D560000}"/>
    <cellStyle name="Normal 11 2 3 2 2 3 2 2 2 2" xfId="56244" xr:uid="{00000000-0005-0000-0000-00004E560000}"/>
    <cellStyle name="Normal 11 2 3 2 2 3 2 2 3" xfId="42682" xr:uid="{00000000-0005-0000-0000-00004F560000}"/>
    <cellStyle name="Normal 11 2 3 2 2 3 2 3" xfId="22330" xr:uid="{00000000-0005-0000-0000-000050560000}"/>
    <cellStyle name="Normal 11 2 3 2 2 3 2 3 2" xfId="49463" xr:uid="{00000000-0005-0000-0000-000051560000}"/>
    <cellStyle name="Normal 11 2 3 2 2 3 2 4" xfId="35901" xr:uid="{00000000-0005-0000-0000-000052560000}"/>
    <cellStyle name="Normal 11 2 3 2 2 3 3" xfId="12154" xr:uid="{00000000-0005-0000-0000-000053560000}"/>
    <cellStyle name="Normal 11 2 3 2 2 3 3 2" xfId="25722" xr:uid="{00000000-0005-0000-0000-000054560000}"/>
    <cellStyle name="Normal 11 2 3 2 2 3 3 2 2" xfId="52855" xr:uid="{00000000-0005-0000-0000-000055560000}"/>
    <cellStyle name="Normal 11 2 3 2 2 3 3 3" xfId="39293" xr:uid="{00000000-0005-0000-0000-000056560000}"/>
    <cellStyle name="Normal 11 2 3 2 2 3 4" xfId="18941" xr:uid="{00000000-0005-0000-0000-000057560000}"/>
    <cellStyle name="Normal 11 2 3 2 2 3 4 2" xfId="46074" xr:uid="{00000000-0005-0000-0000-000058560000}"/>
    <cellStyle name="Normal 11 2 3 2 2 3 5" xfId="32512" xr:uid="{00000000-0005-0000-0000-000059560000}"/>
    <cellStyle name="Normal 11 2 3 2 2 4" xfId="8751" xr:uid="{00000000-0005-0000-0000-00005A560000}"/>
    <cellStyle name="Normal 11 2 3 2 2 4 2" xfId="15541" xr:uid="{00000000-0005-0000-0000-00005B560000}"/>
    <cellStyle name="Normal 11 2 3 2 2 4 2 2" xfId="29109" xr:uid="{00000000-0005-0000-0000-00005C560000}"/>
    <cellStyle name="Normal 11 2 3 2 2 4 2 2 2" xfId="56242" xr:uid="{00000000-0005-0000-0000-00005D560000}"/>
    <cellStyle name="Normal 11 2 3 2 2 4 2 3" xfId="42680" xr:uid="{00000000-0005-0000-0000-00005E560000}"/>
    <cellStyle name="Normal 11 2 3 2 2 4 3" xfId="22328" xr:uid="{00000000-0005-0000-0000-00005F560000}"/>
    <cellStyle name="Normal 11 2 3 2 2 4 3 2" xfId="49461" xr:uid="{00000000-0005-0000-0000-000060560000}"/>
    <cellStyle name="Normal 11 2 3 2 2 4 4" xfId="35899" xr:uid="{00000000-0005-0000-0000-000061560000}"/>
    <cellStyle name="Normal 11 2 3 2 2 5" xfId="12152" xr:uid="{00000000-0005-0000-0000-000062560000}"/>
    <cellStyle name="Normal 11 2 3 2 2 5 2" xfId="25720" xr:uid="{00000000-0005-0000-0000-000063560000}"/>
    <cellStyle name="Normal 11 2 3 2 2 5 2 2" xfId="52853" xr:uid="{00000000-0005-0000-0000-000064560000}"/>
    <cellStyle name="Normal 11 2 3 2 2 5 3" xfId="39291" xr:uid="{00000000-0005-0000-0000-000065560000}"/>
    <cellStyle name="Normal 11 2 3 2 2 6" xfId="18939" xr:uid="{00000000-0005-0000-0000-000066560000}"/>
    <cellStyle name="Normal 11 2 3 2 2 6 2" xfId="46072" xr:uid="{00000000-0005-0000-0000-000067560000}"/>
    <cellStyle name="Normal 11 2 3 2 2 7" xfId="32510" xr:uid="{00000000-0005-0000-0000-000068560000}"/>
    <cellStyle name="Normal 11 2 3 2 3" xfId="5203" xr:uid="{00000000-0005-0000-0000-000069560000}"/>
    <cellStyle name="Normal 11 2 3 2 3 2" xfId="5204" xr:uid="{00000000-0005-0000-0000-00006A560000}"/>
    <cellStyle name="Normal 11 2 3 2 3 2 2" xfId="8755" xr:uid="{00000000-0005-0000-0000-00006B560000}"/>
    <cellStyle name="Normal 11 2 3 2 3 2 2 2" xfId="15545" xr:uid="{00000000-0005-0000-0000-00006C560000}"/>
    <cellStyle name="Normal 11 2 3 2 3 2 2 2 2" xfId="29113" xr:uid="{00000000-0005-0000-0000-00006D560000}"/>
    <cellStyle name="Normal 11 2 3 2 3 2 2 2 2 2" xfId="56246" xr:uid="{00000000-0005-0000-0000-00006E560000}"/>
    <cellStyle name="Normal 11 2 3 2 3 2 2 2 3" xfId="42684" xr:uid="{00000000-0005-0000-0000-00006F560000}"/>
    <cellStyle name="Normal 11 2 3 2 3 2 2 3" xfId="22332" xr:uid="{00000000-0005-0000-0000-000070560000}"/>
    <cellStyle name="Normal 11 2 3 2 3 2 2 3 2" xfId="49465" xr:uid="{00000000-0005-0000-0000-000071560000}"/>
    <cellStyle name="Normal 11 2 3 2 3 2 2 4" xfId="35903" xr:uid="{00000000-0005-0000-0000-000072560000}"/>
    <cellStyle name="Normal 11 2 3 2 3 2 3" xfId="12156" xr:uid="{00000000-0005-0000-0000-000073560000}"/>
    <cellStyle name="Normal 11 2 3 2 3 2 3 2" xfId="25724" xr:uid="{00000000-0005-0000-0000-000074560000}"/>
    <cellStyle name="Normal 11 2 3 2 3 2 3 2 2" xfId="52857" xr:uid="{00000000-0005-0000-0000-000075560000}"/>
    <cellStyle name="Normal 11 2 3 2 3 2 3 3" xfId="39295" xr:uid="{00000000-0005-0000-0000-000076560000}"/>
    <cellStyle name="Normal 11 2 3 2 3 2 4" xfId="18943" xr:uid="{00000000-0005-0000-0000-000077560000}"/>
    <cellStyle name="Normal 11 2 3 2 3 2 4 2" xfId="46076" xr:uid="{00000000-0005-0000-0000-000078560000}"/>
    <cellStyle name="Normal 11 2 3 2 3 2 5" xfId="32514" xr:uid="{00000000-0005-0000-0000-000079560000}"/>
    <cellStyle name="Normal 11 2 3 2 3 3" xfId="8754" xr:uid="{00000000-0005-0000-0000-00007A560000}"/>
    <cellStyle name="Normal 11 2 3 2 3 3 2" xfId="15544" xr:uid="{00000000-0005-0000-0000-00007B560000}"/>
    <cellStyle name="Normal 11 2 3 2 3 3 2 2" xfId="29112" xr:uid="{00000000-0005-0000-0000-00007C560000}"/>
    <cellStyle name="Normal 11 2 3 2 3 3 2 2 2" xfId="56245" xr:uid="{00000000-0005-0000-0000-00007D560000}"/>
    <cellStyle name="Normal 11 2 3 2 3 3 2 3" xfId="42683" xr:uid="{00000000-0005-0000-0000-00007E560000}"/>
    <cellStyle name="Normal 11 2 3 2 3 3 3" xfId="22331" xr:uid="{00000000-0005-0000-0000-00007F560000}"/>
    <cellStyle name="Normal 11 2 3 2 3 3 3 2" xfId="49464" xr:uid="{00000000-0005-0000-0000-000080560000}"/>
    <cellStyle name="Normal 11 2 3 2 3 3 4" xfId="35902" xr:uid="{00000000-0005-0000-0000-000081560000}"/>
    <cellStyle name="Normal 11 2 3 2 3 4" xfId="12155" xr:uid="{00000000-0005-0000-0000-000082560000}"/>
    <cellStyle name="Normal 11 2 3 2 3 4 2" xfId="25723" xr:uid="{00000000-0005-0000-0000-000083560000}"/>
    <cellStyle name="Normal 11 2 3 2 3 4 2 2" xfId="52856" xr:uid="{00000000-0005-0000-0000-000084560000}"/>
    <cellStyle name="Normal 11 2 3 2 3 4 3" xfId="39294" xr:uid="{00000000-0005-0000-0000-000085560000}"/>
    <cellStyle name="Normal 11 2 3 2 3 5" xfId="18942" xr:uid="{00000000-0005-0000-0000-000086560000}"/>
    <cellStyle name="Normal 11 2 3 2 3 5 2" xfId="46075" xr:uid="{00000000-0005-0000-0000-000087560000}"/>
    <cellStyle name="Normal 11 2 3 2 3 6" xfId="32513" xr:uid="{00000000-0005-0000-0000-000088560000}"/>
    <cellStyle name="Normal 11 2 3 2 4" xfId="5205" xr:uid="{00000000-0005-0000-0000-000089560000}"/>
    <cellStyle name="Normal 11 2 3 2 4 2" xfId="8756" xr:uid="{00000000-0005-0000-0000-00008A560000}"/>
    <cellStyle name="Normal 11 2 3 2 4 2 2" xfId="15546" xr:uid="{00000000-0005-0000-0000-00008B560000}"/>
    <cellStyle name="Normal 11 2 3 2 4 2 2 2" xfId="29114" xr:uid="{00000000-0005-0000-0000-00008C560000}"/>
    <cellStyle name="Normal 11 2 3 2 4 2 2 2 2" xfId="56247" xr:uid="{00000000-0005-0000-0000-00008D560000}"/>
    <cellStyle name="Normal 11 2 3 2 4 2 2 3" xfId="42685" xr:uid="{00000000-0005-0000-0000-00008E560000}"/>
    <cellStyle name="Normal 11 2 3 2 4 2 3" xfId="22333" xr:uid="{00000000-0005-0000-0000-00008F560000}"/>
    <cellStyle name="Normal 11 2 3 2 4 2 3 2" xfId="49466" xr:uid="{00000000-0005-0000-0000-000090560000}"/>
    <cellStyle name="Normal 11 2 3 2 4 2 4" xfId="35904" xr:uid="{00000000-0005-0000-0000-000091560000}"/>
    <cellStyle name="Normal 11 2 3 2 4 3" xfId="12157" xr:uid="{00000000-0005-0000-0000-000092560000}"/>
    <cellStyle name="Normal 11 2 3 2 4 3 2" xfId="25725" xr:uid="{00000000-0005-0000-0000-000093560000}"/>
    <cellStyle name="Normal 11 2 3 2 4 3 2 2" xfId="52858" xr:uid="{00000000-0005-0000-0000-000094560000}"/>
    <cellStyle name="Normal 11 2 3 2 4 3 3" xfId="39296" xr:uid="{00000000-0005-0000-0000-000095560000}"/>
    <cellStyle name="Normal 11 2 3 2 4 4" xfId="18944" xr:uid="{00000000-0005-0000-0000-000096560000}"/>
    <cellStyle name="Normal 11 2 3 2 4 4 2" xfId="46077" xr:uid="{00000000-0005-0000-0000-000097560000}"/>
    <cellStyle name="Normal 11 2 3 2 4 5" xfId="32515" xr:uid="{00000000-0005-0000-0000-000098560000}"/>
    <cellStyle name="Normal 11 2 3 2 5" xfId="5206" xr:uid="{00000000-0005-0000-0000-000099560000}"/>
    <cellStyle name="Normal 11 2 3 2 5 2" xfId="8757" xr:uid="{00000000-0005-0000-0000-00009A560000}"/>
    <cellStyle name="Normal 11 2 3 2 5 2 2" xfId="15547" xr:uid="{00000000-0005-0000-0000-00009B560000}"/>
    <cellStyle name="Normal 11 2 3 2 5 2 2 2" xfId="29115" xr:uid="{00000000-0005-0000-0000-00009C560000}"/>
    <cellStyle name="Normal 11 2 3 2 5 2 2 2 2" xfId="56248" xr:uid="{00000000-0005-0000-0000-00009D560000}"/>
    <cellStyle name="Normal 11 2 3 2 5 2 2 3" xfId="42686" xr:uid="{00000000-0005-0000-0000-00009E560000}"/>
    <cellStyle name="Normal 11 2 3 2 5 2 3" xfId="22334" xr:uid="{00000000-0005-0000-0000-00009F560000}"/>
    <cellStyle name="Normal 11 2 3 2 5 2 3 2" xfId="49467" xr:uid="{00000000-0005-0000-0000-0000A0560000}"/>
    <cellStyle name="Normal 11 2 3 2 5 2 4" xfId="35905" xr:uid="{00000000-0005-0000-0000-0000A1560000}"/>
    <cellStyle name="Normal 11 2 3 2 5 3" xfId="12158" xr:uid="{00000000-0005-0000-0000-0000A2560000}"/>
    <cellStyle name="Normal 11 2 3 2 5 3 2" xfId="25726" xr:uid="{00000000-0005-0000-0000-0000A3560000}"/>
    <cellStyle name="Normal 11 2 3 2 5 3 2 2" xfId="52859" xr:uid="{00000000-0005-0000-0000-0000A4560000}"/>
    <cellStyle name="Normal 11 2 3 2 5 3 3" xfId="39297" xr:uid="{00000000-0005-0000-0000-0000A5560000}"/>
    <cellStyle name="Normal 11 2 3 2 5 4" xfId="18945" xr:uid="{00000000-0005-0000-0000-0000A6560000}"/>
    <cellStyle name="Normal 11 2 3 2 5 4 2" xfId="46078" xr:uid="{00000000-0005-0000-0000-0000A7560000}"/>
    <cellStyle name="Normal 11 2 3 2 5 5" xfId="32516" xr:uid="{00000000-0005-0000-0000-0000A8560000}"/>
    <cellStyle name="Normal 11 2 3 2 6" xfId="8750" xr:uid="{00000000-0005-0000-0000-0000A9560000}"/>
    <cellStyle name="Normal 11 2 3 2 6 2" xfId="15540" xr:uid="{00000000-0005-0000-0000-0000AA560000}"/>
    <cellStyle name="Normal 11 2 3 2 6 2 2" xfId="29108" xr:uid="{00000000-0005-0000-0000-0000AB560000}"/>
    <cellStyle name="Normal 11 2 3 2 6 2 2 2" xfId="56241" xr:uid="{00000000-0005-0000-0000-0000AC560000}"/>
    <cellStyle name="Normal 11 2 3 2 6 2 3" xfId="42679" xr:uid="{00000000-0005-0000-0000-0000AD560000}"/>
    <cellStyle name="Normal 11 2 3 2 6 3" xfId="22327" xr:uid="{00000000-0005-0000-0000-0000AE560000}"/>
    <cellStyle name="Normal 11 2 3 2 6 3 2" xfId="49460" xr:uid="{00000000-0005-0000-0000-0000AF560000}"/>
    <cellStyle name="Normal 11 2 3 2 6 4" xfId="35898" xr:uid="{00000000-0005-0000-0000-0000B0560000}"/>
    <cellStyle name="Normal 11 2 3 2 7" xfId="12151" xr:uid="{00000000-0005-0000-0000-0000B1560000}"/>
    <cellStyle name="Normal 11 2 3 2 7 2" xfId="25719" xr:uid="{00000000-0005-0000-0000-0000B2560000}"/>
    <cellStyle name="Normal 11 2 3 2 7 2 2" xfId="52852" xr:uid="{00000000-0005-0000-0000-0000B3560000}"/>
    <cellStyle name="Normal 11 2 3 2 7 3" xfId="39290" xr:uid="{00000000-0005-0000-0000-0000B4560000}"/>
    <cellStyle name="Normal 11 2 3 2 8" xfId="18938" xr:uid="{00000000-0005-0000-0000-0000B5560000}"/>
    <cellStyle name="Normal 11 2 3 2 8 2" xfId="46071" xr:uid="{00000000-0005-0000-0000-0000B6560000}"/>
    <cellStyle name="Normal 11 2 3 2 9" xfId="32509" xr:uid="{00000000-0005-0000-0000-0000B7560000}"/>
    <cellStyle name="Normal 11 2 3 3" xfId="5207" xr:uid="{00000000-0005-0000-0000-0000B8560000}"/>
    <cellStyle name="Normal 11 2 3 3 2" xfId="5208" xr:uid="{00000000-0005-0000-0000-0000B9560000}"/>
    <cellStyle name="Normal 11 2 3 3 2 2" xfId="8759" xr:uid="{00000000-0005-0000-0000-0000BA560000}"/>
    <cellStyle name="Normal 11 2 3 3 2 2 2" xfId="15549" xr:uid="{00000000-0005-0000-0000-0000BB560000}"/>
    <cellStyle name="Normal 11 2 3 3 2 2 2 2" xfId="29117" xr:uid="{00000000-0005-0000-0000-0000BC560000}"/>
    <cellStyle name="Normal 11 2 3 3 2 2 2 2 2" xfId="56250" xr:uid="{00000000-0005-0000-0000-0000BD560000}"/>
    <cellStyle name="Normal 11 2 3 3 2 2 2 3" xfId="42688" xr:uid="{00000000-0005-0000-0000-0000BE560000}"/>
    <cellStyle name="Normal 11 2 3 3 2 2 3" xfId="22336" xr:uid="{00000000-0005-0000-0000-0000BF560000}"/>
    <cellStyle name="Normal 11 2 3 3 2 2 3 2" xfId="49469" xr:uid="{00000000-0005-0000-0000-0000C0560000}"/>
    <cellStyle name="Normal 11 2 3 3 2 2 4" xfId="35907" xr:uid="{00000000-0005-0000-0000-0000C1560000}"/>
    <cellStyle name="Normal 11 2 3 3 2 3" xfId="12160" xr:uid="{00000000-0005-0000-0000-0000C2560000}"/>
    <cellStyle name="Normal 11 2 3 3 2 3 2" xfId="25728" xr:uid="{00000000-0005-0000-0000-0000C3560000}"/>
    <cellStyle name="Normal 11 2 3 3 2 3 2 2" xfId="52861" xr:uid="{00000000-0005-0000-0000-0000C4560000}"/>
    <cellStyle name="Normal 11 2 3 3 2 3 3" xfId="39299" xr:uid="{00000000-0005-0000-0000-0000C5560000}"/>
    <cellStyle name="Normal 11 2 3 3 2 4" xfId="18947" xr:uid="{00000000-0005-0000-0000-0000C6560000}"/>
    <cellStyle name="Normal 11 2 3 3 2 4 2" xfId="46080" xr:uid="{00000000-0005-0000-0000-0000C7560000}"/>
    <cellStyle name="Normal 11 2 3 3 2 5" xfId="32518" xr:uid="{00000000-0005-0000-0000-0000C8560000}"/>
    <cellStyle name="Normal 11 2 3 3 3" xfId="5209" xr:uid="{00000000-0005-0000-0000-0000C9560000}"/>
    <cellStyle name="Normal 11 2 3 3 3 2" xfId="8760" xr:uid="{00000000-0005-0000-0000-0000CA560000}"/>
    <cellStyle name="Normal 11 2 3 3 3 2 2" xfId="15550" xr:uid="{00000000-0005-0000-0000-0000CB560000}"/>
    <cellStyle name="Normal 11 2 3 3 3 2 2 2" xfId="29118" xr:uid="{00000000-0005-0000-0000-0000CC560000}"/>
    <cellStyle name="Normal 11 2 3 3 3 2 2 2 2" xfId="56251" xr:uid="{00000000-0005-0000-0000-0000CD560000}"/>
    <cellStyle name="Normal 11 2 3 3 3 2 2 3" xfId="42689" xr:uid="{00000000-0005-0000-0000-0000CE560000}"/>
    <cellStyle name="Normal 11 2 3 3 3 2 3" xfId="22337" xr:uid="{00000000-0005-0000-0000-0000CF560000}"/>
    <cellStyle name="Normal 11 2 3 3 3 2 3 2" xfId="49470" xr:uid="{00000000-0005-0000-0000-0000D0560000}"/>
    <cellStyle name="Normal 11 2 3 3 3 2 4" xfId="35908" xr:uid="{00000000-0005-0000-0000-0000D1560000}"/>
    <cellStyle name="Normal 11 2 3 3 3 3" xfId="12161" xr:uid="{00000000-0005-0000-0000-0000D2560000}"/>
    <cellStyle name="Normal 11 2 3 3 3 3 2" xfId="25729" xr:uid="{00000000-0005-0000-0000-0000D3560000}"/>
    <cellStyle name="Normal 11 2 3 3 3 3 2 2" xfId="52862" xr:uid="{00000000-0005-0000-0000-0000D4560000}"/>
    <cellStyle name="Normal 11 2 3 3 3 3 3" xfId="39300" xr:uid="{00000000-0005-0000-0000-0000D5560000}"/>
    <cellStyle name="Normal 11 2 3 3 3 4" xfId="18948" xr:uid="{00000000-0005-0000-0000-0000D6560000}"/>
    <cellStyle name="Normal 11 2 3 3 3 4 2" xfId="46081" xr:uid="{00000000-0005-0000-0000-0000D7560000}"/>
    <cellStyle name="Normal 11 2 3 3 3 5" xfId="32519" xr:uid="{00000000-0005-0000-0000-0000D8560000}"/>
    <cellStyle name="Normal 11 2 3 3 4" xfId="8758" xr:uid="{00000000-0005-0000-0000-0000D9560000}"/>
    <cellStyle name="Normal 11 2 3 3 4 2" xfId="15548" xr:uid="{00000000-0005-0000-0000-0000DA560000}"/>
    <cellStyle name="Normal 11 2 3 3 4 2 2" xfId="29116" xr:uid="{00000000-0005-0000-0000-0000DB560000}"/>
    <cellStyle name="Normal 11 2 3 3 4 2 2 2" xfId="56249" xr:uid="{00000000-0005-0000-0000-0000DC560000}"/>
    <cellStyle name="Normal 11 2 3 3 4 2 3" xfId="42687" xr:uid="{00000000-0005-0000-0000-0000DD560000}"/>
    <cellStyle name="Normal 11 2 3 3 4 3" xfId="22335" xr:uid="{00000000-0005-0000-0000-0000DE560000}"/>
    <cellStyle name="Normal 11 2 3 3 4 3 2" xfId="49468" xr:uid="{00000000-0005-0000-0000-0000DF560000}"/>
    <cellStyle name="Normal 11 2 3 3 4 4" xfId="35906" xr:uid="{00000000-0005-0000-0000-0000E0560000}"/>
    <cellStyle name="Normal 11 2 3 3 5" xfId="12159" xr:uid="{00000000-0005-0000-0000-0000E1560000}"/>
    <cellStyle name="Normal 11 2 3 3 5 2" xfId="25727" xr:uid="{00000000-0005-0000-0000-0000E2560000}"/>
    <cellStyle name="Normal 11 2 3 3 5 2 2" xfId="52860" xr:uid="{00000000-0005-0000-0000-0000E3560000}"/>
    <cellStyle name="Normal 11 2 3 3 5 3" xfId="39298" xr:uid="{00000000-0005-0000-0000-0000E4560000}"/>
    <cellStyle name="Normal 11 2 3 3 6" xfId="18946" xr:uid="{00000000-0005-0000-0000-0000E5560000}"/>
    <cellStyle name="Normal 11 2 3 3 6 2" xfId="46079" xr:uid="{00000000-0005-0000-0000-0000E6560000}"/>
    <cellStyle name="Normal 11 2 3 3 7" xfId="32517" xr:uid="{00000000-0005-0000-0000-0000E7560000}"/>
    <cellStyle name="Normal 11 2 3 4" xfId="5210" xr:uid="{00000000-0005-0000-0000-0000E8560000}"/>
    <cellStyle name="Normal 11 2 3 4 2" xfId="5211" xr:uid="{00000000-0005-0000-0000-0000E9560000}"/>
    <cellStyle name="Normal 11 2 3 4 2 2" xfId="8762" xr:uid="{00000000-0005-0000-0000-0000EA560000}"/>
    <cellStyle name="Normal 11 2 3 4 2 2 2" xfId="15552" xr:uid="{00000000-0005-0000-0000-0000EB560000}"/>
    <cellStyle name="Normal 11 2 3 4 2 2 2 2" xfId="29120" xr:uid="{00000000-0005-0000-0000-0000EC560000}"/>
    <cellStyle name="Normal 11 2 3 4 2 2 2 2 2" xfId="56253" xr:uid="{00000000-0005-0000-0000-0000ED560000}"/>
    <cellStyle name="Normal 11 2 3 4 2 2 2 3" xfId="42691" xr:uid="{00000000-0005-0000-0000-0000EE560000}"/>
    <cellStyle name="Normal 11 2 3 4 2 2 3" xfId="22339" xr:uid="{00000000-0005-0000-0000-0000EF560000}"/>
    <cellStyle name="Normal 11 2 3 4 2 2 3 2" xfId="49472" xr:uid="{00000000-0005-0000-0000-0000F0560000}"/>
    <cellStyle name="Normal 11 2 3 4 2 2 4" xfId="35910" xr:uid="{00000000-0005-0000-0000-0000F1560000}"/>
    <cellStyle name="Normal 11 2 3 4 2 3" xfId="12163" xr:uid="{00000000-0005-0000-0000-0000F2560000}"/>
    <cellStyle name="Normal 11 2 3 4 2 3 2" xfId="25731" xr:uid="{00000000-0005-0000-0000-0000F3560000}"/>
    <cellStyle name="Normal 11 2 3 4 2 3 2 2" xfId="52864" xr:uid="{00000000-0005-0000-0000-0000F4560000}"/>
    <cellStyle name="Normal 11 2 3 4 2 3 3" xfId="39302" xr:uid="{00000000-0005-0000-0000-0000F5560000}"/>
    <cellStyle name="Normal 11 2 3 4 2 4" xfId="18950" xr:uid="{00000000-0005-0000-0000-0000F6560000}"/>
    <cellStyle name="Normal 11 2 3 4 2 4 2" xfId="46083" xr:uid="{00000000-0005-0000-0000-0000F7560000}"/>
    <cellStyle name="Normal 11 2 3 4 2 5" xfId="32521" xr:uid="{00000000-0005-0000-0000-0000F8560000}"/>
    <cellStyle name="Normal 11 2 3 4 3" xfId="8761" xr:uid="{00000000-0005-0000-0000-0000F9560000}"/>
    <cellStyle name="Normal 11 2 3 4 3 2" xfId="15551" xr:uid="{00000000-0005-0000-0000-0000FA560000}"/>
    <cellStyle name="Normal 11 2 3 4 3 2 2" xfId="29119" xr:uid="{00000000-0005-0000-0000-0000FB560000}"/>
    <cellStyle name="Normal 11 2 3 4 3 2 2 2" xfId="56252" xr:uid="{00000000-0005-0000-0000-0000FC560000}"/>
    <cellStyle name="Normal 11 2 3 4 3 2 3" xfId="42690" xr:uid="{00000000-0005-0000-0000-0000FD560000}"/>
    <cellStyle name="Normal 11 2 3 4 3 3" xfId="22338" xr:uid="{00000000-0005-0000-0000-0000FE560000}"/>
    <cellStyle name="Normal 11 2 3 4 3 3 2" xfId="49471" xr:uid="{00000000-0005-0000-0000-0000FF560000}"/>
    <cellStyle name="Normal 11 2 3 4 3 4" xfId="35909" xr:uid="{00000000-0005-0000-0000-000000570000}"/>
    <cellStyle name="Normal 11 2 3 4 4" xfId="12162" xr:uid="{00000000-0005-0000-0000-000001570000}"/>
    <cellStyle name="Normal 11 2 3 4 4 2" xfId="25730" xr:uid="{00000000-0005-0000-0000-000002570000}"/>
    <cellStyle name="Normal 11 2 3 4 4 2 2" xfId="52863" xr:uid="{00000000-0005-0000-0000-000003570000}"/>
    <cellStyle name="Normal 11 2 3 4 4 3" xfId="39301" xr:uid="{00000000-0005-0000-0000-000004570000}"/>
    <cellStyle name="Normal 11 2 3 4 5" xfId="18949" xr:uid="{00000000-0005-0000-0000-000005570000}"/>
    <cellStyle name="Normal 11 2 3 4 5 2" xfId="46082" xr:uid="{00000000-0005-0000-0000-000006570000}"/>
    <cellStyle name="Normal 11 2 3 4 6" xfId="32520" xr:uid="{00000000-0005-0000-0000-000007570000}"/>
    <cellStyle name="Normal 11 2 3 5" xfId="5212" xr:uid="{00000000-0005-0000-0000-000008570000}"/>
    <cellStyle name="Normal 11 2 3 5 2" xfId="8763" xr:uid="{00000000-0005-0000-0000-000009570000}"/>
    <cellStyle name="Normal 11 2 3 5 2 2" xfId="15553" xr:uid="{00000000-0005-0000-0000-00000A570000}"/>
    <cellStyle name="Normal 11 2 3 5 2 2 2" xfId="29121" xr:uid="{00000000-0005-0000-0000-00000B570000}"/>
    <cellStyle name="Normal 11 2 3 5 2 2 2 2" xfId="56254" xr:uid="{00000000-0005-0000-0000-00000C570000}"/>
    <cellStyle name="Normal 11 2 3 5 2 2 3" xfId="42692" xr:uid="{00000000-0005-0000-0000-00000D570000}"/>
    <cellStyle name="Normal 11 2 3 5 2 3" xfId="22340" xr:uid="{00000000-0005-0000-0000-00000E570000}"/>
    <cellStyle name="Normal 11 2 3 5 2 3 2" xfId="49473" xr:uid="{00000000-0005-0000-0000-00000F570000}"/>
    <cellStyle name="Normal 11 2 3 5 2 4" xfId="35911" xr:uid="{00000000-0005-0000-0000-000010570000}"/>
    <cellStyle name="Normal 11 2 3 5 3" xfId="12164" xr:uid="{00000000-0005-0000-0000-000011570000}"/>
    <cellStyle name="Normal 11 2 3 5 3 2" xfId="25732" xr:uid="{00000000-0005-0000-0000-000012570000}"/>
    <cellStyle name="Normal 11 2 3 5 3 2 2" xfId="52865" xr:uid="{00000000-0005-0000-0000-000013570000}"/>
    <cellStyle name="Normal 11 2 3 5 3 3" xfId="39303" xr:uid="{00000000-0005-0000-0000-000014570000}"/>
    <cellStyle name="Normal 11 2 3 5 4" xfId="18951" xr:uid="{00000000-0005-0000-0000-000015570000}"/>
    <cellStyle name="Normal 11 2 3 5 4 2" xfId="46084" xr:uid="{00000000-0005-0000-0000-000016570000}"/>
    <cellStyle name="Normal 11 2 3 5 5" xfId="32522" xr:uid="{00000000-0005-0000-0000-000017570000}"/>
    <cellStyle name="Normal 11 2 3 6" xfId="5213" xr:uid="{00000000-0005-0000-0000-000018570000}"/>
    <cellStyle name="Normal 11 2 3 6 2" xfId="8764" xr:uid="{00000000-0005-0000-0000-000019570000}"/>
    <cellStyle name="Normal 11 2 3 6 2 2" xfId="15554" xr:uid="{00000000-0005-0000-0000-00001A570000}"/>
    <cellStyle name="Normal 11 2 3 6 2 2 2" xfId="29122" xr:uid="{00000000-0005-0000-0000-00001B570000}"/>
    <cellStyle name="Normal 11 2 3 6 2 2 2 2" xfId="56255" xr:uid="{00000000-0005-0000-0000-00001C570000}"/>
    <cellStyle name="Normal 11 2 3 6 2 2 3" xfId="42693" xr:uid="{00000000-0005-0000-0000-00001D570000}"/>
    <cellStyle name="Normal 11 2 3 6 2 3" xfId="22341" xr:uid="{00000000-0005-0000-0000-00001E570000}"/>
    <cellStyle name="Normal 11 2 3 6 2 3 2" xfId="49474" xr:uid="{00000000-0005-0000-0000-00001F570000}"/>
    <cellStyle name="Normal 11 2 3 6 2 4" xfId="35912" xr:uid="{00000000-0005-0000-0000-000020570000}"/>
    <cellStyle name="Normal 11 2 3 6 3" xfId="12165" xr:uid="{00000000-0005-0000-0000-000021570000}"/>
    <cellStyle name="Normal 11 2 3 6 3 2" xfId="25733" xr:uid="{00000000-0005-0000-0000-000022570000}"/>
    <cellStyle name="Normal 11 2 3 6 3 2 2" xfId="52866" xr:uid="{00000000-0005-0000-0000-000023570000}"/>
    <cellStyle name="Normal 11 2 3 6 3 3" xfId="39304" xr:uid="{00000000-0005-0000-0000-000024570000}"/>
    <cellStyle name="Normal 11 2 3 6 4" xfId="18952" xr:uid="{00000000-0005-0000-0000-000025570000}"/>
    <cellStyle name="Normal 11 2 3 6 4 2" xfId="46085" xr:uid="{00000000-0005-0000-0000-000026570000}"/>
    <cellStyle name="Normal 11 2 3 6 5" xfId="32523" xr:uid="{00000000-0005-0000-0000-000027570000}"/>
    <cellStyle name="Normal 11 2 3 7" xfId="8749" xr:uid="{00000000-0005-0000-0000-000028570000}"/>
    <cellStyle name="Normal 11 2 3 7 2" xfId="15539" xr:uid="{00000000-0005-0000-0000-000029570000}"/>
    <cellStyle name="Normal 11 2 3 7 2 2" xfId="29107" xr:uid="{00000000-0005-0000-0000-00002A570000}"/>
    <cellStyle name="Normal 11 2 3 7 2 2 2" xfId="56240" xr:uid="{00000000-0005-0000-0000-00002B570000}"/>
    <cellStyle name="Normal 11 2 3 7 2 3" xfId="42678" xr:uid="{00000000-0005-0000-0000-00002C570000}"/>
    <cellStyle name="Normal 11 2 3 7 3" xfId="22326" xr:uid="{00000000-0005-0000-0000-00002D570000}"/>
    <cellStyle name="Normal 11 2 3 7 3 2" xfId="49459" xr:uid="{00000000-0005-0000-0000-00002E570000}"/>
    <cellStyle name="Normal 11 2 3 7 4" xfId="35897" xr:uid="{00000000-0005-0000-0000-00002F570000}"/>
    <cellStyle name="Normal 11 2 3 8" xfId="12150" xr:uid="{00000000-0005-0000-0000-000030570000}"/>
    <cellStyle name="Normal 11 2 3 8 2" xfId="25718" xr:uid="{00000000-0005-0000-0000-000031570000}"/>
    <cellStyle name="Normal 11 2 3 8 2 2" xfId="52851" xr:uid="{00000000-0005-0000-0000-000032570000}"/>
    <cellStyle name="Normal 11 2 3 8 3" xfId="39289" xr:uid="{00000000-0005-0000-0000-000033570000}"/>
    <cellStyle name="Normal 11 2 3 9" xfId="18937" xr:uid="{00000000-0005-0000-0000-000034570000}"/>
    <cellStyle name="Normal 11 2 3 9 2" xfId="46070" xr:uid="{00000000-0005-0000-0000-000035570000}"/>
    <cellStyle name="Normal 11 2 4" xfId="5214" xr:uid="{00000000-0005-0000-0000-000036570000}"/>
    <cellStyle name="Normal 11 2 4 2" xfId="5215" xr:uid="{00000000-0005-0000-0000-000037570000}"/>
    <cellStyle name="Normal 11 2 4 2 2" xfId="5216" xr:uid="{00000000-0005-0000-0000-000038570000}"/>
    <cellStyle name="Normal 11 2 4 2 2 2" xfId="8767" xr:uid="{00000000-0005-0000-0000-000039570000}"/>
    <cellStyle name="Normal 11 2 4 2 2 2 2" xfId="15557" xr:uid="{00000000-0005-0000-0000-00003A570000}"/>
    <cellStyle name="Normal 11 2 4 2 2 2 2 2" xfId="29125" xr:uid="{00000000-0005-0000-0000-00003B570000}"/>
    <cellStyle name="Normal 11 2 4 2 2 2 2 2 2" xfId="56258" xr:uid="{00000000-0005-0000-0000-00003C570000}"/>
    <cellStyle name="Normal 11 2 4 2 2 2 2 3" xfId="42696" xr:uid="{00000000-0005-0000-0000-00003D570000}"/>
    <cellStyle name="Normal 11 2 4 2 2 2 3" xfId="22344" xr:uid="{00000000-0005-0000-0000-00003E570000}"/>
    <cellStyle name="Normal 11 2 4 2 2 2 3 2" xfId="49477" xr:uid="{00000000-0005-0000-0000-00003F570000}"/>
    <cellStyle name="Normal 11 2 4 2 2 2 4" xfId="35915" xr:uid="{00000000-0005-0000-0000-000040570000}"/>
    <cellStyle name="Normal 11 2 4 2 2 3" xfId="12168" xr:uid="{00000000-0005-0000-0000-000041570000}"/>
    <cellStyle name="Normal 11 2 4 2 2 3 2" xfId="25736" xr:uid="{00000000-0005-0000-0000-000042570000}"/>
    <cellStyle name="Normal 11 2 4 2 2 3 2 2" xfId="52869" xr:uid="{00000000-0005-0000-0000-000043570000}"/>
    <cellStyle name="Normal 11 2 4 2 2 3 3" xfId="39307" xr:uid="{00000000-0005-0000-0000-000044570000}"/>
    <cellStyle name="Normal 11 2 4 2 2 4" xfId="18955" xr:uid="{00000000-0005-0000-0000-000045570000}"/>
    <cellStyle name="Normal 11 2 4 2 2 4 2" xfId="46088" xr:uid="{00000000-0005-0000-0000-000046570000}"/>
    <cellStyle name="Normal 11 2 4 2 2 5" xfId="32526" xr:uid="{00000000-0005-0000-0000-000047570000}"/>
    <cellStyle name="Normal 11 2 4 2 3" xfId="5217" xr:uid="{00000000-0005-0000-0000-000048570000}"/>
    <cellStyle name="Normal 11 2 4 2 3 2" xfId="8768" xr:uid="{00000000-0005-0000-0000-000049570000}"/>
    <cellStyle name="Normal 11 2 4 2 3 2 2" xfId="15558" xr:uid="{00000000-0005-0000-0000-00004A570000}"/>
    <cellStyle name="Normal 11 2 4 2 3 2 2 2" xfId="29126" xr:uid="{00000000-0005-0000-0000-00004B570000}"/>
    <cellStyle name="Normal 11 2 4 2 3 2 2 2 2" xfId="56259" xr:uid="{00000000-0005-0000-0000-00004C570000}"/>
    <cellStyle name="Normal 11 2 4 2 3 2 2 3" xfId="42697" xr:uid="{00000000-0005-0000-0000-00004D570000}"/>
    <cellStyle name="Normal 11 2 4 2 3 2 3" xfId="22345" xr:uid="{00000000-0005-0000-0000-00004E570000}"/>
    <cellStyle name="Normal 11 2 4 2 3 2 3 2" xfId="49478" xr:uid="{00000000-0005-0000-0000-00004F570000}"/>
    <cellStyle name="Normal 11 2 4 2 3 2 4" xfId="35916" xr:uid="{00000000-0005-0000-0000-000050570000}"/>
    <cellStyle name="Normal 11 2 4 2 3 3" xfId="12169" xr:uid="{00000000-0005-0000-0000-000051570000}"/>
    <cellStyle name="Normal 11 2 4 2 3 3 2" xfId="25737" xr:uid="{00000000-0005-0000-0000-000052570000}"/>
    <cellStyle name="Normal 11 2 4 2 3 3 2 2" xfId="52870" xr:uid="{00000000-0005-0000-0000-000053570000}"/>
    <cellStyle name="Normal 11 2 4 2 3 3 3" xfId="39308" xr:uid="{00000000-0005-0000-0000-000054570000}"/>
    <cellStyle name="Normal 11 2 4 2 3 4" xfId="18956" xr:uid="{00000000-0005-0000-0000-000055570000}"/>
    <cellStyle name="Normal 11 2 4 2 3 4 2" xfId="46089" xr:uid="{00000000-0005-0000-0000-000056570000}"/>
    <cellStyle name="Normal 11 2 4 2 3 5" xfId="32527" xr:uid="{00000000-0005-0000-0000-000057570000}"/>
    <cellStyle name="Normal 11 2 4 2 4" xfId="8766" xr:uid="{00000000-0005-0000-0000-000058570000}"/>
    <cellStyle name="Normal 11 2 4 2 4 2" xfId="15556" xr:uid="{00000000-0005-0000-0000-000059570000}"/>
    <cellStyle name="Normal 11 2 4 2 4 2 2" xfId="29124" xr:uid="{00000000-0005-0000-0000-00005A570000}"/>
    <cellStyle name="Normal 11 2 4 2 4 2 2 2" xfId="56257" xr:uid="{00000000-0005-0000-0000-00005B570000}"/>
    <cellStyle name="Normal 11 2 4 2 4 2 3" xfId="42695" xr:uid="{00000000-0005-0000-0000-00005C570000}"/>
    <cellStyle name="Normal 11 2 4 2 4 3" xfId="22343" xr:uid="{00000000-0005-0000-0000-00005D570000}"/>
    <cellStyle name="Normal 11 2 4 2 4 3 2" xfId="49476" xr:uid="{00000000-0005-0000-0000-00005E570000}"/>
    <cellStyle name="Normal 11 2 4 2 4 4" xfId="35914" xr:uid="{00000000-0005-0000-0000-00005F570000}"/>
    <cellStyle name="Normal 11 2 4 2 5" xfId="12167" xr:uid="{00000000-0005-0000-0000-000060570000}"/>
    <cellStyle name="Normal 11 2 4 2 5 2" xfId="25735" xr:uid="{00000000-0005-0000-0000-000061570000}"/>
    <cellStyle name="Normal 11 2 4 2 5 2 2" xfId="52868" xr:uid="{00000000-0005-0000-0000-000062570000}"/>
    <cellStyle name="Normal 11 2 4 2 5 3" xfId="39306" xr:uid="{00000000-0005-0000-0000-000063570000}"/>
    <cellStyle name="Normal 11 2 4 2 6" xfId="18954" xr:uid="{00000000-0005-0000-0000-000064570000}"/>
    <cellStyle name="Normal 11 2 4 2 6 2" xfId="46087" xr:uid="{00000000-0005-0000-0000-000065570000}"/>
    <cellStyle name="Normal 11 2 4 2 7" xfId="32525" xr:uid="{00000000-0005-0000-0000-000066570000}"/>
    <cellStyle name="Normal 11 2 4 3" xfId="5218" xr:uid="{00000000-0005-0000-0000-000067570000}"/>
    <cellStyle name="Normal 11 2 4 3 2" xfId="5219" xr:uid="{00000000-0005-0000-0000-000068570000}"/>
    <cellStyle name="Normal 11 2 4 3 2 2" xfId="8770" xr:uid="{00000000-0005-0000-0000-000069570000}"/>
    <cellStyle name="Normal 11 2 4 3 2 2 2" xfId="15560" xr:uid="{00000000-0005-0000-0000-00006A570000}"/>
    <cellStyle name="Normal 11 2 4 3 2 2 2 2" xfId="29128" xr:uid="{00000000-0005-0000-0000-00006B570000}"/>
    <cellStyle name="Normal 11 2 4 3 2 2 2 2 2" xfId="56261" xr:uid="{00000000-0005-0000-0000-00006C570000}"/>
    <cellStyle name="Normal 11 2 4 3 2 2 2 3" xfId="42699" xr:uid="{00000000-0005-0000-0000-00006D570000}"/>
    <cellStyle name="Normal 11 2 4 3 2 2 3" xfId="22347" xr:uid="{00000000-0005-0000-0000-00006E570000}"/>
    <cellStyle name="Normal 11 2 4 3 2 2 3 2" xfId="49480" xr:uid="{00000000-0005-0000-0000-00006F570000}"/>
    <cellStyle name="Normal 11 2 4 3 2 2 4" xfId="35918" xr:uid="{00000000-0005-0000-0000-000070570000}"/>
    <cellStyle name="Normal 11 2 4 3 2 3" xfId="12171" xr:uid="{00000000-0005-0000-0000-000071570000}"/>
    <cellStyle name="Normal 11 2 4 3 2 3 2" xfId="25739" xr:uid="{00000000-0005-0000-0000-000072570000}"/>
    <cellStyle name="Normal 11 2 4 3 2 3 2 2" xfId="52872" xr:uid="{00000000-0005-0000-0000-000073570000}"/>
    <cellStyle name="Normal 11 2 4 3 2 3 3" xfId="39310" xr:uid="{00000000-0005-0000-0000-000074570000}"/>
    <cellStyle name="Normal 11 2 4 3 2 4" xfId="18958" xr:uid="{00000000-0005-0000-0000-000075570000}"/>
    <cellStyle name="Normal 11 2 4 3 2 4 2" xfId="46091" xr:uid="{00000000-0005-0000-0000-000076570000}"/>
    <cellStyle name="Normal 11 2 4 3 2 5" xfId="32529" xr:uid="{00000000-0005-0000-0000-000077570000}"/>
    <cellStyle name="Normal 11 2 4 3 3" xfId="8769" xr:uid="{00000000-0005-0000-0000-000078570000}"/>
    <cellStyle name="Normal 11 2 4 3 3 2" xfId="15559" xr:uid="{00000000-0005-0000-0000-000079570000}"/>
    <cellStyle name="Normal 11 2 4 3 3 2 2" xfId="29127" xr:uid="{00000000-0005-0000-0000-00007A570000}"/>
    <cellStyle name="Normal 11 2 4 3 3 2 2 2" xfId="56260" xr:uid="{00000000-0005-0000-0000-00007B570000}"/>
    <cellStyle name="Normal 11 2 4 3 3 2 3" xfId="42698" xr:uid="{00000000-0005-0000-0000-00007C570000}"/>
    <cellStyle name="Normal 11 2 4 3 3 3" xfId="22346" xr:uid="{00000000-0005-0000-0000-00007D570000}"/>
    <cellStyle name="Normal 11 2 4 3 3 3 2" xfId="49479" xr:uid="{00000000-0005-0000-0000-00007E570000}"/>
    <cellStyle name="Normal 11 2 4 3 3 4" xfId="35917" xr:uid="{00000000-0005-0000-0000-00007F570000}"/>
    <cellStyle name="Normal 11 2 4 3 4" xfId="12170" xr:uid="{00000000-0005-0000-0000-000080570000}"/>
    <cellStyle name="Normal 11 2 4 3 4 2" xfId="25738" xr:uid="{00000000-0005-0000-0000-000081570000}"/>
    <cellStyle name="Normal 11 2 4 3 4 2 2" xfId="52871" xr:uid="{00000000-0005-0000-0000-000082570000}"/>
    <cellStyle name="Normal 11 2 4 3 4 3" xfId="39309" xr:uid="{00000000-0005-0000-0000-000083570000}"/>
    <cellStyle name="Normal 11 2 4 3 5" xfId="18957" xr:uid="{00000000-0005-0000-0000-000084570000}"/>
    <cellStyle name="Normal 11 2 4 3 5 2" xfId="46090" xr:uid="{00000000-0005-0000-0000-000085570000}"/>
    <cellStyle name="Normal 11 2 4 3 6" xfId="32528" xr:uid="{00000000-0005-0000-0000-000086570000}"/>
    <cellStyle name="Normal 11 2 4 4" xfId="5220" xr:uid="{00000000-0005-0000-0000-000087570000}"/>
    <cellStyle name="Normal 11 2 4 4 2" xfId="8771" xr:uid="{00000000-0005-0000-0000-000088570000}"/>
    <cellStyle name="Normal 11 2 4 4 2 2" xfId="15561" xr:uid="{00000000-0005-0000-0000-000089570000}"/>
    <cellStyle name="Normal 11 2 4 4 2 2 2" xfId="29129" xr:uid="{00000000-0005-0000-0000-00008A570000}"/>
    <cellStyle name="Normal 11 2 4 4 2 2 2 2" xfId="56262" xr:uid="{00000000-0005-0000-0000-00008B570000}"/>
    <cellStyle name="Normal 11 2 4 4 2 2 3" xfId="42700" xr:uid="{00000000-0005-0000-0000-00008C570000}"/>
    <cellStyle name="Normal 11 2 4 4 2 3" xfId="22348" xr:uid="{00000000-0005-0000-0000-00008D570000}"/>
    <cellStyle name="Normal 11 2 4 4 2 3 2" xfId="49481" xr:uid="{00000000-0005-0000-0000-00008E570000}"/>
    <cellStyle name="Normal 11 2 4 4 2 4" xfId="35919" xr:uid="{00000000-0005-0000-0000-00008F570000}"/>
    <cellStyle name="Normal 11 2 4 4 3" xfId="12172" xr:uid="{00000000-0005-0000-0000-000090570000}"/>
    <cellStyle name="Normal 11 2 4 4 3 2" xfId="25740" xr:uid="{00000000-0005-0000-0000-000091570000}"/>
    <cellStyle name="Normal 11 2 4 4 3 2 2" xfId="52873" xr:uid="{00000000-0005-0000-0000-000092570000}"/>
    <cellStyle name="Normal 11 2 4 4 3 3" xfId="39311" xr:uid="{00000000-0005-0000-0000-000093570000}"/>
    <cellStyle name="Normal 11 2 4 4 4" xfId="18959" xr:uid="{00000000-0005-0000-0000-000094570000}"/>
    <cellStyle name="Normal 11 2 4 4 4 2" xfId="46092" xr:uid="{00000000-0005-0000-0000-000095570000}"/>
    <cellStyle name="Normal 11 2 4 4 5" xfId="32530" xr:uid="{00000000-0005-0000-0000-000096570000}"/>
    <cellStyle name="Normal 11 2 4 5" xfId="5221" xr:uid="{00000000-0005-0000-0000-000097570000}"/>
    <cellStyle name="Normal 11 2 4 5 2" xfId="8772" xr:uid="{00000000-0005-0000-0000-000098570000}"/>
    <cellStyle name="Normal 11 2 4 5 2 2" xfId="15562" xr:uid="{00000000-0005-0000-0000-000099570000}"/>
    <cellStyle name="Normal 11 2 4 5 2 2 2" xfId="29130" xr:uid="{00000000-0005-0000-0000-00009A570000}"/>
    <cellStyle name="Normal 11 2 4 5 2 2 2 2" xfId="56263" xr:uid="{00000000-0005-0000-0000-00009B570000}"/>
    <cellStyle name="Normal 11 2 4 5 2 2 3" xfId="42701" xr:uid="{00000000-0005-0000-0000-00009C570000}"/>
    <cellStyle name="Normal 11 2 4 5 2 3" xfId="22349" xr:uid="{00000000-0005-0000-0000-00009D570000}"/>
    <cellStyle name="Normal 11 2 4 5 2 3 2" xfId="49482" xr:uid="{00000000-0005-0000-0000-00009E570000}"/>
    <cellStyle name="Normal 11 2 4 5 2 4" xfId="35920" xr:uid="{00000000-0005-0000-0000-00009F570000}"/>
    <cellStyle name="Normal 11 2 4 5 3" xfId="12173" xr:uid="{00000000-0005-0000-0000-0000A0570000}"/>
    <cellStyle name="Normal 11 2 4 5 3 2" xfId="25741" xr:uid="{00000000-0005-0000-0000-0000A1570000}"/>
    <cellStyle name="Normal 11 2 4 5 3 2 2" xfId="52874" xr:uid="{00000000-0005-0000-0000-0000A2570000}"/>
    <cellStyle name="Normal 11 2 4 5 3 3" xfId="39312" xr:uid="{00000000-0005-0000-0000-0000A3570000}"/>
    <cellStyle name="Normal 11 2 4 5 4" xfId="18960" xr:uid="{00000000-0005-0000-0000-0000A4570000}"/>
    <cellStyle name="Normal 11 2 4 5 4 2" xfId="46093" xr:uid="{00000000-0005-0000-0000-0000A5570000}"/>
    <cellStyle name="Normal 11 2 4 5 5" xfId="32531" xr:uid="{00000000-0005-0000-0000-0000A6570000}"/>
    <cellStyle name="Normal 11 2 4 6" xfId="8765" xr:uid="{00000000-0005-0000-0000-0000A7570000}"/>
    <cellStyle name="Normal 11 2 4 6 2" xfId="15555" xr:uid="{00000000-0005-0000-0000-0000A8570000}"/>
    <cellStyle name="Normal 11 2 4 6 2 2" xfId="29123" xr:uid="{00000000-0005-0000-0000-0000A9570000}"/>
    <cellStyle name="Normal 11 2 4 6 2 2 2" xfId="56256" xr:uid="{00000000-0005-0000-0000-0000AA570000}"/>
    <cellStyle name="Normal 11 2 4 6 2 3" xfId="42694" xr:uid="{00000000-0005-0000-0000-0000AB570000}"/>
    <cellStyle name="Normal 11 2 4 6 3" xfId="22342" xr:uid="{00000000-0005-0000-0000-0000AC570000}"/>
    <cellStyle name="Normal 11 2 4 6 3 2" xfId="49475" xr:uid="{00000000-0005-0000-0000-0000AD570000}"/>
    <cellStyle name="Normal 11 2 4 6 4" xfId="35913" xr:uid="{00000000-0005-0000-0000-0000AE570000}"/>
    <cellStyle name="Normal 11 2 4 7" xfId="12166" xr:uid="{00000000-0005-0000-0000-0000AF570000}"/>
    <cellStyle name="Normal 11 2 4 7 2" xfId="25734" xr:uid="{00000000-0005-0000-0000-0000B0570000}"/>
    <cellStyle name="Normal 11 2 4 7 2 2" xfId="52867" xr:uid="{00000000-0005-0000-0000-0000B1570000}"/>
    <cellStyle name="Normal 11 2 4 7 3" xfId="39305" xr:uid="{00000000-0005-0000-0000-0000B2570000}"/>
    <cellStyle name="Normal 11 2 4 8" xfId="18953" xr:uid="{00000000-0005-0000-0000-0000B3570000}"/>
    <cellStyle name="Normal 11 2 4 8 2" xfId="46086" xr:uid="{00000000-0005-0000-0000-0000B4570000}"/>
    <cellStyle name="Normal 11 2 4 9" xfId="32524" xr:uid="{00000000-0005-0000-0000-0000B5570000}"/>
    <cellStyle name="Normal 11 2 5" xfId="5222" xr:uid="{00000000-0005-0000-0000-0000B6570000}"/>
    <cellStyle name="Normal 11 2 5 2" xfId="5223" xr:uid="{00000000-0005-0000-0000-0000B7570000}"/>
    <cellStyle name="Normal 11 2 5 2 2" xfId="5224" xr:uid="{00000000-0005-0000-0000-0000B8570000}"/>
    <cellStyle name="Normal 11 2 5 2 2 2" xfId="8775" xr:uid="{00000000-0005-0000-0000-0000B9570000}"/>
    <cellStyle name="Normal 11 2 5 2 2 2 2" xfId="15565" xr:uid="{00000000-0005-0000-0000-0000BA570000}"/>
    <cellStyle name="Normal 11 2 5 2 2 2 2 2" xfId="29133" xr:uid="{00000000-0005-0000-0000-0000BB570000}"/>
    <cellStyle name="Normal 11 2 5 2 2 2 2 2 2" xfId="56266" xr:uid="{00000000-0005-0000-0000-0000BC570000}"/>
    <cellStyle name="Normal 11 2 5 2 2 2 2 3" xfId="42704" xr:uid="{00000000-0005-0000-0000-0000BD570000}"/>
    <cellStyle name="Normal 11 2 5 2 2 2 3" xfId="22352" xr:uid="{00000000-0005-0000-0000-0000BE570000}"/>
    <cellStyle name="Normal 11 2 5 2 2 2 3 2" xfId="49485" xr:uid="{00000000-0005-0000-0000-0000BF570000}"/>
    <cellStyle name="Normal 11 2 5 2 2 2 4" xfId="35923" xr:uid="{00000000-0005-0000-0000-0000C0570000}"/>
    <cellStyle name="Normal 11 2 5 2 2 3" xfId="12176" xr:uid="{00000000-0005-0000-0000-0000C1570000}"/>
    <cellStyle name="Normal 11 2 5 2 2 3 2" xfId="25744" xr:uid="{00000000-0005-0000-0000-0000C2570000}"/>
    <cellStyle name="Normal 11 2 5 2 2 3 2 2" xfId="52877" xr:uid="{00000000-0005-0000-0000-0000C3570000}"/>
    <cellStyle name="Normal 11 2 5 2 2 3 3" xfId="39315" xr:uid="{00000000-0005-0000-0000-0000C4570000}"/>
    <cellStyle name="Normal 11 2 5 2 2 4" xfId="18963" xr:uid="{00000000-0005-0000-0000-0000C5570000}"/>
    <cellStyle name="Normal 11 2 5 2 2 4 2" xfId="46096" xr:uid="{00000000-0005-0000-0000-0000C6570000}"/>
    <cellStyle name="Normal 11 2 5 2 2 5" xfId="32534" xr:uid="{00000000-0005-0000-0000-0000C7570000}"/>
    <cellStyle name="Normal 11 2 5 2 3" xfId="5225" xr:uid="{00000000-0005-0000-0000-0000C8570000}"/>
    <cellStyle name="Normal 11 2 5 2 3 2" xfId="8776" xr:uid="{00000000-0005-0000-0000-0000C9570000}"/>
    <cellStyle name="Normal 11 2 5 2 3 2 2" xfId="15566" xr:uid="{00000000-0005-0000-0000-0000CA570000}"/>
    <cellStyle name="Normal 11 2 5 2 3 2 2 2" xfId="29134" xr:uid="{00000000-0005-0000-0000-0000CB570000}"/>
    <cellStyle name="Normal 11 2 5 2 3 2 2 2 2" xfId="56267" xr:uid="{00000000-0005-0000-0000-0000CC570000}"/>
    <cellStyle name="Normal 11 2 5 2 3 2 2 3" xfId="42705" xr:uid="{00000000-0005-0000-0000-0000CD570000}"/>
    <cellStyle name="Normal 11 2 5 2 3 2 3" xfId="22353" xr:uid="{00000000-0005-0000-0000-0000CE570000}"/>
    <cellStyle name="Normal 11 2 5 2 3 2 3 2" xfId="49486" xr:uid="{00000000-0005-0000-0000-0000CF570000}"/>
    <cellStyle name="Normal 11 2 5 2 3 2 4" xfId="35924" xr:uid="{00000000-0005-0000-0000-0000D0570000}"/>
    <cellStyle name="Normal 11 2 5 2 3 3" xfId="12177" xr:uid="{00000000-0005-0000-0000-0000D1570000}"/>
    <cellStyle name="Normal 11 2 5 2 3 3 2" xfId="25745" xr:uid="{00000000-0005-0000-0000-0000D2570000}"/>
    <cellStyle name="Normal 11 2 5 2 3 3 2 2" xfId="52878" xr:uid="{00000000-0005-0000-0000-0000D3570000}"/>
    <cellStyle name="Normal 11 2 5 2 3 3 3" xfId="39316" xr:uid="{00000000-0005-0000-0000-0000D4570000}"/>
    <cellStyle name="Normal 11 2 5 2 3 4" xfId="18964" xr:uid="{00000000-0005-0000-0000-0000D5570000}"/>
    <cellStyle name="Normal 11 2 5 2 3 4 2" xfId="46097" xr:uid="{00000000-0005-0000-0000-0000D6570000}"/>
    <cellStyle name="Normal 11 2 5 2 3 5" xfId="32535" xr:uid="{00000000-0005-0000-0000-0000D7570000}"/>
    <cellStyle name="Normal 11 2 5 2 4" xfId="8774" xr:uid="{00000000-0005-0000-0000-0000D8570000}"/>
    <cellStyle name="Normal 11 2 5 2 4 2" xfId="15564" xr:uid="{00000000-0005-0000-0000-0000D9570000}"/>
    <cellStyle name="Normal 11 2 5 2 4 2 2" xfId="29132" xr:uid="{00000000-0005-0000-0000-0000DA570000}"/>
    <cellStyle name="Normal 11 2 5 2 4 2 2 2" xfId="56265" xr:uid="{00000000-0005-0000-0000-0000DB570000}"/>
    <cellStyle name="Normal 11 2 5 2 4 2 3" xfId="42703" xr:uid="{00000000-0005-0000-0000-0000DC570000}"/>
    <cellStyle name="Normal 11 2 5 2 4 3" xfId="22351" xr:uid="{00000000-0005-0000-0000-0000DD570000}"/>
    <cellStyle name="Normal 11 2 5 2 4 3 2" xfId="49484" xr:uid="{00000000-0005-0000-0000-0000DE570000}"/>
    <cellStyle name="Normal 11 2 5 2 4 4" xfId="35922" xr:uid="{00000000-0005-0000-0000-0000DF570000}"/>
    <cellStyle name="Normal 11 2 5 2 5" xfId="12175" xr:uid="{00000000-0005-0000-0000-0000E0570000}"/>
    <cellStyle name="Normal 11 2 5 2 5 2" xfId="25743" xr:uid="{00000000-0005-0000-0000-0000E1570000}"/>
    <cellStyle name="Normal 11 2 5 2 5 2 2" xfId="52876" xr:uid="{00000000-0005-0000-0000-0000E2570000}"/>
    <cellStyle name="Normal 11 2 5 2 5 3" xfId="39314" xr:uid="{00000000-0005-0000-0000-0000E3570000}"/>
    <cellStyle name="Normal 11 2 5 2 6" xfId="18962" xr:uid="{00000000-0005-0000-0000-0000E4570000}"/>
    <cellStyle name="Normal 11 2 5 2 6 2" xfId="46095" xr:uid="{00000000-0005-0000-0000-0000E5570000}"/>
    <cellStyle name="Normal 11 2 5 2 7" xfId="32533" xr:uid="{00000000-0005-0000-0000-0000E6570000}"/>
    <cellStyle name="Normal 11 2 5 3" xfId="5226" xr:uid="{00000000-0005-0000-0000-0000E7570000}"/>
    <cellStyle name="Normal 11 2 5 3 2" xfId="8777" xr:uid="{00000000-0005-0000-0000-0000E8570000}"/>
    <cellStyle name="Normal 11 2 5 3 2 2" xfId="15567" xr:uid="{00000000-0005-0000-0000-0000E9570000}"/>
    <cellStyle name="Normal 11 2 5 3 2 2 2" xfId="29135" xr:uid="{00000000-0005-0000-0000-0000EA570000}"/>
    <cellStyle name="Normal 11 2 5 3 2 2 2 2" xfId="56268" xr:uid="{00000000-0005-0000-0000-0000EB570000}"/>
    <cellStyle name="Normal 11 2 5 3 2 2 3" xfId="42706" xr:uid="{00000000-0005-0000-0000-0000EC570000}"/>
    <cellStyle name="Normal 11 2 5 3 2 3" xfId="22354" xr:uid="{00000000-0005-0000-0000-0000ED570000}"/>
    <cellStyle name="Normal 11 2 5 3 2 3 2" xfId="49487" xr:uid="{00000000-0005-0000-0000-0000EE570000}"/>
    <cellStyle name="Normal 11 2 5 3 2 4" xfId="35925" xr:uid="{00000000-0005-0000-0000-0000EF570000}"/>
    <cellStyle name="Normal 11 2 5 3 3" xfId="12178" xr:uid="{00000000-0005-0000-0000-0000F0570000}"/>
    <cellStyle name="Normal 11 2 5 3 3 2" xfId="25746" xr:uid="{00000000-0005-0000-0000-0000F1570000}"/>
    <cellStyle name="Normal 11 2 5 3 3 2 2" xfId="52879" xr:uid="{00000000-0005-0000-0000-0000F2570000}"/>
    <cellStyle name="Normal 11 2 5 3 3 3" xfId="39317" xr:uid="{00000000-0005-0000-0000-0000F3570000}"/>
    <cellStyle name="Normal 11 2 5 3 4" xfId="18965" xr:uid="{00000000-0005-0000-0000-0000F4570000}"/>
    <cellStyle name="Normal 11 2 5 3 4 2" xfId="46098" xr:uid="{00000000-0005-0000-0000-0000F5570000}"/>
    <cellStyle name="Normal 11 2 5 3 5" xfId="32536" xr:uid="{00000000-0005-0000-0000-0000F6570000}"/>
    <cellStyle name="Normal 11 2 5 4" xfId="5227" xr:uid="{00000000-0005-0000-0000-0000F7570000}"/>
    <cellStyle name="Normal 11 2 5 4 2" xfId="8778" xr:uid="{00000000-0005-0000-0000-0000F8570000}"/>
    <cellStyle name="Normal 11 2 5 4 2 2" xfId="15568" xr:uid="{00000000-0005-0000-0000-0000F9570000}"/>
    <cellStyle name="Normal 11 2 5 4 2 2 2" xfId="29136" xr:uid="{00000000-0005-0000-0000-0000FA570000}"/>
    <cellStyle name="Normal 11 2 5 4 2 2 2 2" xfId="56269" xr:uid="{00000000-0005-0000-0000-0000FB570000}"/>
    <cellStyle name="Normal 11 2 5 4 2 2 3" xfId="42707" xr:uid="{00000000-0005-0000-0000-0000FC570000}"/>
    <cellStyle name="Normal 11 2 5 4 2 3" xfId="22355" xr:uid="{00000000-0005-0000-0000-0000FD570000}"/>
    <cellStyle name="Normal 11 2 5 4 2 3 2" xfId="49488" xr:uid="{00000000-0005-0000-0000-0000FE570000}"/>
    <cellStyle name="Normal 11 2 5 4 2 4" xfId="35926" xr:uid="{00000000-0005-0000-0000-0000FF570000}"/>
    <cellStyle name="Normal 11 2 5 4 3" xfId="12179" xr:uid="{00000000-0005-0000-0000-000000580000}"/>
    <cellStyle name="Normal 11 2 5 4 3 2" xfId="25747" xr:uid="{00000000-0005-0000-0000-000001580000}"/>
    <cellStyle name="Normal 11 2 5 4 3 2 2" xfId="52880" xr:uid="{00000000-0005-0000-0000-000002580000}"/>
    <cellStyle name="Normal 11 2 5 4 3 3" xfId="39318" xr:uid="{00000000-0005-0000-0000-000003580000}"/>
    <cellStyle name="Normal 11 2 5 4 4" xfId="18966" xr:uid="{00000000-0005-0000-0000-000004580000}"/>
    <cellStyle name="Normal 11 2 5 4 4 2" xfId="46099" xr:uid="{00000000-0005-0000-0000-000005580000}"/>
    <cellStyle name="Normal 11 2 5 4 5" xfId="32537" xr:uid="{00000000-0005-0000-0000-000006580000}"/>
    <cellStyle name="Normal 11 2 5 5" xfId="8773" xr:uid="{00000000-0005-0000-0000-000007580000}"/>
    <cellStyle name="Normal 11 2 5 5 2" xfId="15563" xr:uid="{00000000-0005-0000-0000-000008580000}"/>
    <cellStyle name="Normal 11 2 5 5 2 2" xfId="29131" xr:uid="{00000000-0005-0000-0000-000009580000}"/>
    <cellStyle name="Normal 11 2 5 5 2 2 2" xfId="56264" xr:uid="{00000000-0005-0000-0000-00000A580000}"/>
    <cellStyle name="Normal 11 2 5 5 2 3" xfId="42702" xr:uid="{00000000-0005-0000-0000-00000B580000}"/>
    <cellStyle name="Normal 11 2 5 5 3" xfId="22350" xr:uid="{00000000-0005-0000-0000-00000C580000}"/>
    <cellStyle name="Normal 11 2 5 5 3 2" xfId="49483" xr:uid="{00000000-0005-0000-0000-00000D580000}"/>
    <cellStyle name="Normal 11 2 5 5 4" xfId="35921" xr:uid="{00000000-0005-0000-0000-00000E580000}"/>
    <cellStyle name="Normal 11 2 5 6" xfId="12174" xr:uid="{00000000-0005-0000-0000-00000F580000}"/>
    <cellStyle name="Normal 11 2 5 6 2" xfId="25742" xr:uid="{00000000-0005-0000-0000-000010580000}"/>
    <cellStyle name="Normal 11 2 5 6 2 2" xfId="52875" xr:uid="{00000000-0005-0000-0000-000011580000}"/>
    <cellStyle name="Normal 11 2 5 6 3" xfId="39313" xr:uid="{00000000-0005-0000-0000-000012580000}"/>
    <cellStyle name="Normal 11 2 5 7" xfId="18961" xr:uid="{00000000-0005-0000-0000-000013580000}"/>
    <cellStyle name="Normal 11 2 5 7 2" xfId="46094" xr:uid="{00000000-0005-0000-0000-000014580000}"/>
    <cellStyle name="Normal 11 2 5 8" xfId="32532" xr:uid="{00000000-0005-0000-0000-000015580000}"/>
    <cellStyle name="Normal 11 2 6" xfId="5228" xr:uid="{00000000-0005-0000-0000-000016580000}"/>
    <cellStyle name="Normal 11 2 6 2" xfId="5229" xr:uid="{00000000-0005-0000-0000-000017580000}"/>
    <cellStyle name="Normal 11 2 6 2 2" xfId="5230" xr:uid="{00000000-0005-0000-0000-000018580000}"/>
    <cellStyle name="Normal 11 2 6 2 2 2" xfId="8781" xr:uid="{00000000-0005-0000-0000-000019580000}"/>
    <cellStyle name="Normal 11 2 6 2 2 2 2" xfId="15571" xr:uid="{00000000-0005-0000-0000-00001A580000}"/>
    <cellStyle name="Normal 11 2 6 2 2 2 2 2" xfId="29139" xr:uid="{00000000-0005-0000-0000-00001B580000}"/>
    <cellStyle name="Normal 11 2 6 2 2 2 2 2 2" xfId="56272" xr:uid="{00000000-0005-0000-0000-00001C580000}"/>
    <cellStyle name="Normal 11 2 6 2 2 2 2 3" xfId="42710" xr:uid="{00000000-0005-0000-0000-00001D580000}"/>
    <cellStyle name="Normal 11 2 6 2 2 2 3" xfId="22358" xr:uid="{00000000-0005-0000-0000-00001E580000}"/>
    <cellStyle name="Normal 11 2 6 2 2 2 3 2" xfId="49491" xr:uid="{00000000-0005-0000-0000-00001F580000}"/>
    <cellStyle name="Normal 11 2 6 2 2 2 4" xfId="35929" xr:uid="{00000000-0005-0000-0000-000020580000}"/>
    <cellStyle name="Normal 11 2 6 2 2 3" xfId="12182" xr:uid="{00000000-0005-0000-0000-000021580000}"/>
    <cellStyle name="Normal 11 2 6 2 2 3 2" xfId="25750" xr:uid="{00000000-0005-0000-0000-000022580000}"/>
    <cellStyle name="Normal 11 2 6 2 2 3 2 2" xfId="52883" xr:uid="{00000000-0005-0000-0000-000023580000}"/>
    <cellStyle name="Normal 11 2 6 2 2 3 3" xfId="39321" xr:uid="{00000000-0005-0000-0000-000024580000}"/>
    <cellStyle name="Normal 11 2 6 2 2 4" xfId="18969" xr:uid="{00000000-0005-0000-0000-000025580000}"/>
    <cellStyle name="Normal 11 2 6 2 2 4 2" xfId="46102" xr:uid="{00000000-0005-0000-0000-000026580000}"/>
    <cellStyle name="Normal 11 2 6 2 2 5" xfId="32540" xr:uid="{00000000-0005-0000-0000-000027580000}"/>
    <cellStyle name="Normal 11 2 6 2 3" xfId="5231" xr:uid="{00000000-0005-0000-0000-000028580000}"/>
    <cellStyle name="Normal 11 2 6 2 3 2" xfId="8782" xr:uid="{00000000-0005-0000-0000-000029580000}"/>
    <cellStyle name="Normal 11 2 6 2 3 2 2" xfId="15572" xr:uid="{00000000-0005-0000-0000-00002A580000}"/>
    <cellStyle name="Normal 11 2 6 2 3 2 2 2" xfId="29140" xr:uid="{00000000-0005-0000-0000-00002B580000}"/>
    <cellStyle name="Normal 11 2 6 2 3 2 2 2 2" xfId="56273" xr:uid="{00000000-0005-0000-0000-00002C580000}"/>
    <cellStyle name="Normal 11 2 6 2 3 2 2 3" xfId="42711" xr:uid="{00000000-0005-0000-0000-00002D580000}"/>
    <cellStyle name="Normal 11 2 6 2 3 2 3" xfId="22359" xr:uid="{00000000-0005-0000-0000-00002E580000}"/>
    <cellStyle name="Normal 11 2 6 2 3 2 3 2" xfId="49492" xr:uid="{00000000-0005-0000-0000-00002F580000}"/>
    <cellStyle name="Normal 11 2 6 2 3 2 4" xfId="35930" xr:uid="{00000000-0005-0000-0000-000030580000}"/>
    <cellStyle name="Normal 11 2 6 2 3 3" xfId="12183" xr:uid="{00000000-0005-0000-0000-000031580000}"/>
    <cellStyle name="Normal 11 2 6 2 3 3 2" xfId="25751" xr:uid="{00000000-0005-0000-0000-000032580000}"/>
    <cellStyle name="Normal 11 2 6 2 3 3 2 2" xfId="52884" xr:uid="{00000000-0005-0000-0000-000033580000}"/>
    <cellStyle name="Normal 11 2 6 2 3 3 3" xfId="39322" xr:uid="{00000000-0005-0000-0000-000034580000}"/>
    <cellStyle name="Normal 11 2 6 2 3 4" xfId="18970" xr:uid="{00000000-0005-0000-0000-000035580000}"/>
    <cellStyle name="Normal 11 2 6 2 3 4 2" xfId="46103" xr:uid="{00000000-0005-0000-0000-000036580000}"/>
    <cellStyle name="Normal 11 2 6 2 3 5" xfId="32541" xr:uid="{00000000-0005-0000-0000-000037580000}"/>
    <cellStyle name="Normal 11 2 6 2 4" xfId="8780" xr:uid="{00000000-0005-0000-0000-000038580000}"/>
    <cellStyle name="Normal 11 2 6 2 4 2" xfId="15570" xr:uid="{00000000-0005-0000-0000-000039580000}"/>
    <cellStyle name="Normal 11 2 6 2 4 2 2" xfId="29138" xr:uid="{00000000-0005-0000-0000-00003A580000}"/>
    <cellStyle name="Normal 11 2 6 2 4 2 2 2" xfId="56271" xr:uid="{00000000-0005-0000-0000-00003B580000}"/>
    <cellStyle name="Normal 11 2 6 2 4 2 3" xfId="42709" xr:uid="{00000000-0005-0000-0000-00003C580000}"/>
    <cellStyle name="Normal 11 2 6 2 4 3" xfId="22357" xr:uid="{00000000-0005-0000-0000-00003D580000}"/>
    <cellStyle name="Normal 11 2 6 2 4 3 2" xfId="49490" xr:uid="{00000000-0005-0000-0000-00003E580000}"/>
    <cellStyle name="Normal 11 2 6 2 4 4" xfId="35928" xr:uid="{00000000-0005-0000-0000-00003F580000}"/>
    <cellStyle name="Normal 11 2 6 2 5" xfId="12181" xr:uid="{00000000-0005-0000-0000-000040580000}"/>
    <cellStyle name="Normal 11 2 6 2 5 2" xfId="25749" xr:uid="{00000000-0005-0000-0000-000041580000}"/>
    <cellStyle name="Normal 11 2 6 2 5 2 2" xfId="52882" xr:uid="{00000000-0005-0000-0000-000042580000}"/>
    <cellStyle name="Normal 11 2 6 2 5 3" xfId="39320" xr:uid="{00000000-0005-0000-0000-000043580000}"/>
    <cellStyle name="Normal 11 2 6 2 6" xfId="18968" xr:uid="{00000000-0005-0000-0000-000044580000}"/>
    <cellStyle name="Normal 11 2 6 2 6 2" xfId="46101" xr:uid="{00000000-0005-0000-0000-000045580000}"/>
    <cellStyle name="Normal 11 2 6 2 7" xfId="32539" xr:uid="{00000000-0005-0000-0000-000046580000}"/>
    <cellStyle name="Normal 11 2 6 3" xfId="5232" xr:uid="{00000000-0005-0000-0000-000047580000}"/>
    <cellStyle name="Normal 11 2 6 3 2" xfId="8783" xr:uid="{00000000-0005-0000-0000-000048580000}"/>
    <cellStyle name="Normal 11 2 6 3 2 2" xfId="15573" xr:uid="{00000000-0005-0000-0000-000049580000}"/>
    <cellStyle name="Normal 11 2 6 3 2 2 2" xfId="29141" xr:uid="{00000000-0005-0000-0000-00004A580000}"/>
    <cellStyle name="Normal 11 2 6 3 2 2 2 2" xfId="56274" xr:uid="{00000000-0005-0000-0000-00004B580000}"/>
    <cellStyle name="Normal 11 2 6 3 2 2 3" xfId="42712" xr:uid="{00000000-0005-0000-0000-00004C580000}"/>
    <cellStyle name="Normal 11 2 6 3 2 3" xfId="22360" xr:uid="{00000000-0005-0000-0000-00004D580000}"/>
    <cellStyle name="Normal 11 2 6 3 2 3 2" xfId="49493" xr:uid="{00000000-0005-0000-0000-00004E580000}"/>
    <cellStyle name="Normal 11 2 6 3 2 4" xfId="35931" xr:uid="{00000000-0005-0000-0000-00004F580000}"/>
    <cellStyle name="Normal 11 2 6 3 3" xfId="12184" xr:uid="{00000000-0005-0000-0000-000050580000}"/>
    <cellStyle name="Normal 11 2 6 3 3 2" xfId="25752" xr:uid="{00000000-0005-0000-0000-000051580000}"/>
    <cellStyle name="Normal 11 2 6 3 3 2 2" xfId="52885" xr:uid="{00000000-0005-0000-0000-000052580000}"/>
    <cellStyle name="Normal 11 2 6 3 3 3" xfId="39323" xr:uid="{00000000-0005-0000-0000-000053580000}"/>
    <cellStyle name="Normal 11 2 6 3 4" xfId="18971" xr:uid="{00000000-0005-0000-0000-000054580000}"/>
    <cellStyle name="Normal 11 2 6 3 4 2" xfId="46104" xr:uid="{00000000-0005-0000-0000-000055580000}"/>
    <cellStyle name="Normal 11 2 6 3 5" xfId="32542" xr:uid="{00000000-0005-0000-0000-000056580000}"/>
    <cellStyle name="Normal 11 2 6 4" xfId="5233" xr:uid="{00000000-0005-0000-0000-000057580000}"/>
    <cellStyle name="Normal 11 2 6 4 2" xfId="8784" xr:uid="{00000000-0005-0000-0000-000058580000}"/>
    <cellStyle name="Normal 11 2 6 4 2 2" xfId="15574" xr:uid="{00000000-0005-0000-0000-000059580000}"/>
    <cellStyle name="Normal 11 2 6 4 2 2 2" xfId="29142" xr:uid="{00000000-0005-0000-0000-00005A580000}"/>
    <cellStyle name="Normal 11 2 6 4 2 2 2 2" xfId="56275" xr:uid="{00000000-0005-0000-0000-00005B580000}"/>
    <cellStyle name="Normal 11 2 6 4 2 2 3" xfId="42713" xr:uid="{00000000-0005-0000-0000-00005C580000}"/>
    <cellStyle name="Normal 11 2 6 4 2 3" xfId="22361" xr:uid="{00000000-0005-0000-0000-00005D580000}"/>
    <cellStyle name="Normal 11 2 6 4 2 3 2" xfId="49494" xr:uid="{00000000-0005-0000-0000-00005E580000}"/>
    <cellStyle name="Normal 11 2 6 4 2 4" xfId="35932" xr:uid="{00000000-0005-0000-0000-00005F580000}"/>
    <cellStyle name="Normal 11 2 6 4 3" xfId="12185" xr:uid="{00000000-0005-0000-0000-000060580000}"/>
    <cellStyle name="Normal 11 2 6 4 3 2" xfId="25753" xr:uid="{00000000-0005-0000-0000-000061580000}"/>
    <cellStyle name="Normal 11 2 6 4 3 2 2" xfId="52886" xr:uid="{00000000-0005-0000-0000-000062580000}"/>
    <cellStyle name="Normal 11 2 6 4 3 3" xfId="39324" xr:uid="{00000000-0005-0000-0000-000063580000}"/>
    <cellStyle name="Normal 11 2 6 4 4" xfId="18972" xr:uid="{00000000-0005-0000-0000-000064580000}"/>
    <cellStyle name="Normal 11 2 6 4 4 2" xfId="46105" xr:uid="{00000000-0005-0000-0000-000065580000}"/>
    <cellStyle name="Normal 11 2 6 4 5" xfId="32543" xr:uid="{00000000-0005-0000-0000-000066580000}"/>
    <cellStyle name="Normal 11 2 6 5" xfId="8779" xr:uid="{00000000-0005-0000-0000-000067580000}"/>
    <cellStyle name="Normal 11 2 6 5 2" xfId="15569" xr:uid="{00000000-0005-0000-0000-000068580000}"/>
    <cellStyle name="Normal 11 2 6 5 2 2" xfId="29137" xr:uid="{00000000-0005-0000-0000-000069580000}"/>
    <cellStyle name="Normal 11 2 6 5 2 2 2" xfId="56270" xr:uid="{00000000-0005-0000-0000-00006A580000}"/>
    <cellStyle name="Normal 11 2 6 5 2 3" xfId="42708" xr:uid="{00000000-0005-0000-0000-00006B580000}"/>
    <cellStyle name="Normal 11 2 6 5 3" xfId="22356" xr:uid="{00000000-0005-0000-0000-00006C580000}"/>
    <cellStyle name="Normal 11 2 6 5 3 2" xfId="49489" xr:uid="{00000000-0005-0000-0000-00006D580000}"/>
    <cellStyle name="Normal 11 2 6 5 4" xfId="35927" xr:uid="{00000000-0005-0000-0000-00006E580000}"/>
    <cellStyle name="Normal 11 2 6 6" xfId="12180" xr:uid="{00000000-0005-0000-0000-00006F580000}"/>
    <cellStyle name="Normal 11 2 6 6 2" xfId="25748" xr:uid="{00000000-0005-0000-0000-000070580000}"/>
    <cellStyle name="Normal 11 2 6 6 2 2" xfId="52881" xr:uid="{00000000-0005-0000-0000-000071580000}"/>
    <cellStyle name="Normal 11 2 6 6 3" xfId="39319" xr:uid="{00000000-0005-0000-0000-000072580000}"/>
    <cellStyle name="Normal 11 2 6 7" xfId="18967" xr:uid="{00000000-0005-0000-0000-000073580000}"/>
    <cellStyle name="Normal 11 2 6 7 2" xfId="46100" xr:uid="{00000000-0005-0000-0000-000074580000}"/>
    <cellStyle name="Normal 11 2 6 8" xfId="32538" xr:uid="{00000000-0005-0000-0000-000075580000}"/>
    <cellStyle name="Normal 11 2 7" xfId="5234" xr:uid="{00000000-0005-0000-0000-000076580000}"/>
    <cellStyle name="Normal 11 2 7 2" xfId="5235" xr:uid="{00000000-0005-0000-0000-000077580000}"/>
    <cellStyle name="Normal 11 2 7 2 2" xfId="8786" xr:uid="{00000000-0005-0000-0000-000078580000}"/>
    <cellStyle name="Normal 11 2 7 2 2 2" xfId="15576" xr:uid="{00000000-0005-0000-0000-000079580000}"/>
    <cellStyle name="Normal 11 2 7 2 2 2 2" xfId="29144" xr:uid="{00000000-0005-0000-0000-00007A580000}"/>
    <cellStyle name="Normal 11 2 7 2 2 2 2 2" xfId="56277" xr:uid="{00000000-0005-0000-0000-00007B580000}"/>
    <cellStyle name="Normal 11 2 7 2 2 2 3" xfId="42715" xr:uid="{00000000-0005-0000-0000-00007C580000}"/>
    <cellStyle name="Normal 11 2 7 2 2 3" xfId="22363" xr:uid="{00000000-0005-0000-0000-00007D580000}"/>
    <cellStyle name="Normal 11 2 7 2 2 3 2" xfId="49496" xr:uid="{00000000-0005-0000-0000-00007E580000}"/>
    <cellStyle name="Normal 11 2 7 2 2 4" xfId="35934" xr:uid="{00000000-0005-0000-0000-00007F580000}"/>
    <cellStyle name="Normal 11 2 7 2 3" xfId="12187" xr:uid="{00000000-0005-0000-0000-000080580000}"/>
    <cellStyle name="Normal 11 2 7 2 3 2" xfId="25755" xr:uid="{00000000-0005-0000-0000-000081580000}"/>
    <cellStyle name="Normal 11 2 7 2 3 2 2" xfId="52888" xr:uid="{00000000-0005-0000-0000-000082580000}"/>
    <cellStyle name="Normal 11 2 7 2 3 3" xfId="39326" xr:uid="{00000000-0005-0000-0000-000083580000}"/>
    <cellStyle name="Normal 11 2 7 2 4" xfId="18974" xr:uid="{00000000-0005-0000-0000-000084580000}"/>
    <cellStyle name="Normal 11 2 7 2 4 2" xfId="46107" xr:uid="{00000000-0005-0000-0000-000085580000}"/>
    <cellStyle name="Normal 11 2 7 2 5" xfId="32545" xr:uid="{00000000-0005-0000-0000-000086580000}"/>
    <cellStyle name="Normal 11 2 7 3" xfId="5236" xr:uid="{00000000-0005-0000-0000-000087580000}"/>
    <cellStyle name="Normal 11 2 7 3 2" xfId="8787" xr:uid="{00000000-0005-0000-0000-000088580000}"/>
    <cellStyle name="Normal 11 2 7 3 2 2" xfId="15577" xr:uid="{00000000-0005-0000-0000-000089580000}"/>
    <cellStyle name="Normal 11 2 7 3 2 2 2" xfId="29145" xr:uid="{00000000-0005-0000-0000-00008A580000}"/>
    <cellStyle name="Normal 11 2 7 3 2 2 2 2" xfId="56278" xr:uid="{00000000-0005-0000-0000-00008B580000}"/>
    <cellStyle name="Normal 11 2 7 3 2 2 3" xfId="42716" xr:uid="{00000000-0005-0000-0000-00008C580000}"/>
    <cellStyle name="Normal 11 2 7 3 2 3" xfId="22364" xr:uid="{00000000-0005-0000-0000-00008D580000}"/>
    <cellStyle name="Normal 11 2 7 3 2 3 2" xfId="49497" xr:uid="{00000000-0005-0000-0000-00008E580000}"/>
    <cellStyle name="Normal 11 2 7 3 2 4" xfId="35935" xr:uid="{00000000-0005-0000-0000-00008F580000}"/>
    <cellStyle name="Normal 11 2 7 3 3" xfId="12188" xr:uid="{00000000-0005-0000-0000-000090580000}"/>
    <cellStyle name="Normal 11 2 7 3 3 2" xfId="25756" xr:uid="{00000000-0005-0000-0000-000091580000}"/>
    <cellStyle name="Normal 11 2 7 3 3 2 2" xfId="52889" xr:uid="{00000000-0005-0000-0000-000092580000}"/>
    <cellStyle name="Normal 11 2 7 3 3 3" xfId="39327" xr:uid="{00000000-0005-0000-0000-000093580000}"/>
    <cellStyle name="Normal 11 2 7 3 4" xfId="18975" xr:uid="{00000000-0005-0000-0000-000094580000}"/>
    <cellStyle name="Normal 11 2 7 3 4 2" xfId="46108" xr:uid="{00000000-0005-0000-0000-000095580000}"/>
    <cellStyle name="Normal 11 2 7 3 5" xfId="32546" xr:uid="{00000000-0005-0000-0000-000096580000}"/>
    <cellStyle name="Normal 11 2 7 4" xfId="8785" xr:uid="{00000000-0005-0000-0000-000097580000}"/>
    <cellStyle name="Normal 11 2 7 4 2" xfId="15575" xr:uid="{00000000-0005-0000-0000-000098580000}"/>
    <cellStyle name="Normal 11 2 7 4 2 2" xfId="29143" xr:uid="{00000000-0005-0000-0000-000099580000}"/>
    <cellStyle name="Normal 11 2 7 4 2 2 2" xfId="56276" xr:uid="{00000000-0005-0000-0000-00009A580000}"/>
    <cellStyle name="Normal 11 2 7 4 2 3" xfId="42714" xr:uid="{00000000-0005-0000-0000-00009B580000}"/>
    <cellStyle name="Normal 11 2 7 4 3" xfId="22362" xr:uid="{00000000-0005-0000-0000-00009C580000}"/>
    <cellStyle name="Normal 11 2 7 4 3 2" xfId="49495" xr:uid="{00000000-0005-0000-0000-00009D580000}"/>
    <cellStyle name="Normal 11 2 7 4 4" xfId="35933" xr:uid="{00000000-0005-0000-0000-00009E580000}"/>
    <cellStyle name="Normal 11 2 7 5" xfId="12186" xr:uid="{00000000-0005-0000-0000-00009F580000}"/>
    <cellStyle name="Normal 11 2 7 5 2" xfId="25754" xr:uid="{00000000-0005-0000-0000-0000A0580000}"/>
    <cellStyle name="Normal 11 2 7 5 2 2" xfId="52887" xr:uid="{00000000-0005-0000-0000-0000A1580000}"/>
    <cellStyle name="Normal 11 2 7 5 3" xfId="39325" xr:uid="{00000000-0005-0000-0000-0000A2580000}"/>
    <cellStyle name="Normal 11 2 7 6" xfId="18973" xr:uid="{00000000-0005-0000-0000-0000A3580000}"/>
    <cellStyle name="Normal 11 2 7 6 2" xfId="46106" xr:uid="{00000000-0005-0000-0000-0000A4580000}"/>
    <cellStyle name="Normal 11 2 7 7" xfId="32544" xr:uid="{00000000-0005-0000-0000-0000A5580000}"/>
    <cellStyle name="Normal 11 2 8" xfId="5237" xr:uid="{00000000-0005-0000-0000-0000A6580000}"/>
    <cellStyle name="Normal 11 2 8 2" xfId="5238" xr:uid="{00000000-0005-0000-0000-0000A7580000}"/>
    <cellStyle name="Normal 11 2 8 2 2" xfId="8789" xr:uid="{00000000-0005-0000-0000-0000A8580000}"/>
    <cellStyle name="Normal 11 2 8 2 2 2" xfId="15579" xr:uid="{00000000-0005-0000-0000-0000A9580000}"/>
    <cellStyle name="Normal 11 2 8 2 2 2 2" xfId="29147" xr:uid="{00000000-0005-0000-0000-0000AA580000}"/>
    <cellStyle name="Normal 11 2 8 2 2 2 2 2" xfId="56280" xr:uid="{00000000-0005-0000-0000-0000AB580000}"/>
    <cellStyle name="Normal 11 2 8 2 2 2 3" xfId="42718" xr:uid="{00000000-0005-0000-0000-0000AC580000}"/>
    <cellStyle name="Normal 11 2 8 2 2 3" xfId="22366" xr:uid="{00000000-0005-0000-0000-0000AD580000}"/>
    <cellStyle name="Normal 11 2 8 2 2 3 2" xfId="49499" xr:uid="{00000000-0005-0000-0000-0000AE580000}"/>
    <cellStyle name="Normal 11 2 8 2 2 4" xfId="35937" xr:uid="{00000000-0005-0000-0000-0000AF580000}"/>
    <cellStyle name="Normal 11 2 8 2 3" xfId="12190" xr:uid="{00000000-0005-0000-0000-0000B0580000}"/>
    <cellStyle name="Normal 11 2 8 2 3 2" xfId="25758" xr:uid="{00000000-0005-0000-0000-0000B1580000}"/>
    <cellStyle name="Normal 11 2 8 2 3 2 2" xfId="52891" xr:uid="{00000000-0005-0000-0000-0000B2580000}"/>
    <cellStyle name="Normal 11 2 8 2 3 3" xfId="39329" xr:uid="{00000000-0005-0000-0000-0000B3580000}"/>
    <cellStyle name="Normal 11 2 8 2 4" xfId="18977" xr:uid="{00000000-0005-0000-0000-0000B4580000}"/>
    <cellStyle name="Normal 11 2 8 2 4 2" xfId="46110" xr:uid="{00000000-0005-0000-0000-0000B5580000}"/>
    <cellStyle name="Normal 11 2 8 2 5" xfId="32548" xr:uid="{00000000-0005-0000-0000-0000B6580000}"/>
    <cellStyle name="Normal 11 2 8 3" xfId="5239" xr:uid="{00000000-0005-0000-0000-0000B7580000}"/>
    <cellStyle name="Normal 11 2 8 3 2" xfId="8790" xr:uid="{00000000-0005-0000-0000-0000B8580000}"/>
    <cellStyle name="Normal 11 2 8 3 2 2" xfId="15580" xr:uid="{00000000-0005-0000-0000-0000B9580000}"/>
    <cellStyle name="Normal 11 2 8 3 2 2 2" xfId="29148" xr:uid="{00000000-0005-0000-0000-0000BA580000}"/>
    <cellStyle name="Normal 11 2 8 3 2 2 2 2" xfId="56281" xr:uid="{00000000-0005-0000-0000-0000BB580000}"/>
    <cellStyle name="Normal 11 2 8 3 2 2 3" xfId="42719" xr:uid="{00000000-0005-0000-0000-0000BC580000}"/>
    <cellStyle name="Normal 11 2 8 3 2 3" xfId="22367" xr:uid="{00000000-0005-0000-0000-0000BD580000}"/>
    <cellStyle name="Normal 11 2 8 3 2 3 2" xfId="49500" xr:uid="{00000000-0005-0000-0000-0000BE580000}"/>
    <cellStyle name="Normal 11 2 8 3 2 4" xfId="35938" xr:uid="{00000000-0005-0000-0000-0000BF580000}"/>
    <cellStyle name="Normal 11 2 8 3 3" xfId="12191" xr:uid="{00000000-0005-0000-0000-0000C0580000}"/>
    <cellStyle name="Normal 11 2 8 3 3 2" xfId="25759" xr:uid="{00000000-0005-0000-0000-0000C1580000}"/>
    <cellStyle name="Normal 11 2 8 3 3 2 2" xfId="52892" xr:uid="{00000000-0005-0000-0000-0000C2580000}"/>
    <cellStyle name="Normal 11 2 8 3 3 3" xfId="39330" xr:uid="{00000000-0005-0000-0000-0000C3580000}"/>
    <cellStyle name="Normal 11 2 8 3 4" xfId="18978" xr:uid="{00000000-0005-0000-0000-0000C4580000}"/>
    <cellStyle name="Normal 11 2 8 3 4 2" xfId="46111" xr:uid="{00000000-0005-0000-0000-0000C5580000}"/>
    <cellStyle name="Normal 11 2 8 3 5" xfId="32549" xr:uid="{00000000-0005-0000-0000-0000C6580000}"/>
    <cellStyle name="Normal 11 2 8 4" xfId="8788" xr:uid="{00000000-0005-0000-0000-0000C7580000}"/>
    <cellStyle name="Normal 11 2 8 4 2" xfId="15578" xr:uid="{00000000-0005-0000-0000-0000C8580000}"/>
    <cellStyle name="Normal 11 2 8 4 2 2" xfId="29146" xr:uid="{00000000-0005-0000-0000-0000C9580000}"/>
    <cellStyle name="Normal 11 2 8 4 2 2 2" xfId="56279" xr:uid="{00000000-0005-0000-0000-0000CA580000}"/>
    <cellStyle name="Normal 11 2 8 4 2 3" xfId="42717" xr:uid="{00000000-0005-0000-0000-0000CB580000}"/>
    <cellStyle name="Normal 11 2 8 4 3" xfId="22365" xr:uid="{00000000-0005-0000-0000-0000CC580000}"/>
    <cellStyle name="Normal 11 2 8 4 3 2" xfId="49498" xr:uid="{00000000-0005-0000-0000-0000CD580000}"/>
    <cellStyle name="Normal 11 2 8 4 4" xfId="35936" xr:uid="{00000000-0005-0000-0000-0000CE580000}"/>
    <cellStyle name="Normal 11 2 8 5" xfId="12189" xr:uid="{00000000-0005-0000-0000-0000CF580000}"/>
    <cellStyle name="Normal 11 2 8 5 2" xfId="25757" xr:uid="{00000000-0005-0000-0000-0000D0580000}"/>
    <cellStyle name="Normal 11 2 8 5 2 2" xfId="52890" xr:uid="{00000000-0005-0000-0000-0000D1580000}"/>
    <cellStyle name="Normal 11 2 8 5 3" xfId="39328" xr:uid="{00000000-0005-0000-0000-0000D2580000}"/>
    <cellStyle name="Normal 11 2 8 6" xfId="18976" xr:uid="{00000000-0005-0000-0000-0000D3580000}"/>
    <cellStyle name="Normal 11 2 8 6 2" xfId="46109" xr:uid="{00000000-0005-0000-0000-0000D4580000}"/>
    <cellStyle name="Normal 11 2 8 7" xfId="32547" xr:uid="{00000000-0005-0000-0000-0000D5580000}"/>
    <cellStyle name="Normal 11 2 9" xfId="5240" xr:uid="{00000000-0005-0000-0000-0000D6580000}"/>
    <cellStyle name="Normal 11 2 9 2" xfId="8791" xr:uid="{00000000-0005-0000-0000-0000D7580000}"/>
    <cellStyle name="Normal 11 2 9 2 2" xfId="15581" xr:uid="{00000000-0005-0000-0000-0000D8580000}"/>
    <cellStyle name="Normal 11 2 9 2 2 2" xfId="29149" xr:uid="{00000000-0005-0000-0000-0000D9580000}"/>
    <cellStyle name="Normal 11 2 9 2 2 2 2" xfId="56282" xr:uid="{00000000-0005-0000-0000-0000DA580000}"/>
    <cellStyle name="Normal 11 2 9 2 2 3" xfId="42720" xr:uid="{00000000-0005-0000-0000-0000DB580000}"/>
    <cellStyle name="Normal 11 2 9 2 3" xfId="22368" xr:uid="{00000000-0005-0000-0000-0000DC580000}"/>
    <cellStyle name="Normal 11 2 9 2 3 2" xfId="49501" xr:uid="{00000000-0005-0000-0000-0000DD580000}"/>
    <cellStyle name="Normal 11 2 9 2 4" xfId="35939" xr:uid="{00000000-0005-0000-0000-0000DE580000}"/>
    <cellStyle name="Normal 11 2 9 3" xfId="12192" xr:uid="{00000000-0005-0000-0000-0000DF580000}"/>
    <cellStyle name="Normal 11 2 9 3 2" xfId="25760" xr:uid="{00000000-0005-0000-0000-0000E0580000}"/>
    <cellStyle name="Normal 11 2 9 3 2 2" xfId="52893" xr:uid="{00000000-0005-0000-0000-0000E1580000}"/>
    <cellStyle name="Normal 11 2 9 3 3" xfId="39331" xr:uid="{00000000-0005-0000-0000-0000E2580000}"/>
    <cellStyle name="Normal 11 2 9 4" xfId="18979" xr:uid="{00000000-0005-0000-0000-0000E3580000}"/>
    <cellStyle name="Normal 11 2 9 4 2" xfId="46112" xr:uid="{00000000-0005-0000-0000-0000E4580000}"/>
    <cellStyle name="Normal 11 2 9 5" xfId="32550" xr:uid="{00000000-0005-0000-0000-0000E5580000}"/>
    <cellStyle name="Normal 11 3" xfId="5241" xr:uid="{00000000-0005-0000-0000-0000E6580000}"/>
    <cellStyle name="Normal 11 4" xfId="5242" xr:uid="{00000000-0005-0000-0000-0000E7580000}"/>
    <cellStyle name="Normal 11 4 10" xfId="8792" xr:uid="{00000000-0005-0000-0000-0000E8580000}"/>
    <cellStyle name="Normal 11 4 10 2" xfId="15582" xr:uid="{00000000-0005-0000-0000-0000E9580000}"/>
    <cellStyle name="Normal 11 4 10 2 2" xfId="29150" xr:uid="{00000000-0005-0000-0000-0000EA580000}"/>
    <cellStyle name="Normal 11 4 10 2 2 2" xfId="56283" xr:uid="{00000000-0005-0000-0000-0000EB580000}"/>
    <cellStyle name="Normal 11 4 10 2 3" xfId="42721" xr:uid="{00000000-0005-0000-0000-0000EC580000}"/>
    <cellStyle name="Normal 11 4 10 3" xfId="22369" xr:uid="{00000000-0005-0000-0000-0000ED580000}"/>
    <cellStyle name="Normal 11 4 10 3 2" xfId="49502" xr:uid="{00000000-0005-0000-0000-0000EE580000}"/>
    <cellStyle name="Normal 11 4 10 4" xfId="35940" xr:uid="{00000000-0005-0000-0000-0000EF580000}"/>
    <cellStyle name="Normal 11 4 11" xfId="12193" xr:uid="{00000000-0005-0000-0000-0000F0580000}"/>
    <cellStyle name="Normal 11 4 11 2" xfId="25761" xr:uid="{00000000-0005-0000-0000-0000F1580000}"/>
    <cellStyle name="Normal 11 4 11 2 2" xfId="52894" xr:uid="{00000000-0005-0000-0000-0000F2580000}"/>
    <cellStyle name="Normal 11 4 11 3" xfId="39332" xr:uid="{00000000-0005-0000-0000-0000F3580000}"/>
    <cellStyle name="Normal 11 4 12" xfId="18980" xr:uid="{00000000-0005-0000-0000-0000F4580000}"/>
    <cellStyle name="Normal 11 4 12 2" xfId="46113" xr:uid="{00000000-0005-0000-0000-0000F5580000}"/>
    <cellStyle name="Normal 11 4 13" xfId="32551" xr:uid="{00000000-0005-0000-0000-0000F6580000}"/>
    <cellStyle name="Normal 11 4 2" xfId="5243" xr:uid="{00000000-0005-0000-0000-0000F7580000}"/>
    <cellStyle name="Normal 11 4 2 10" xfId="32552" xr:uid="{00000000-0005-0000-0000-0000F8580000}"/>
    <cellStyle name="Normal 11 4 2 2" xfId="5244" xr:uid="{00000000-0005-0000-0000-0000F9580000}"/>
    <cellStyle name="Normal 11 4 2 2 2" xfId="5245" xr:uid="{00000000-0005-0000-0000-0000FA580000}"/>
    <cellStyle name="Normal 11 4 2 2 2 2" xfId="5246" xr:uid="{00000000-0005-0000-0000-0000FB580000}"/>
    <cellStyle name="Normal 11 4 2 2 2 2 2" xfId="8796" xr:uid="{00000000-0005-0000-0000-0000FC580000}"/>
    <cellStyle name="Normal 11 4 2 2 2 2 2 2" xfId="15586" xr:uid="{00000000-0005-0000-0000-0000FD580000}"/>
    <cellStyle name="Normal 11 4 2 2 2 2 2 2 2" xfId="29154" xr:uid="{00000000-0005-0000-0000-0000FE580000}"/>
    <cellStyle name="Normal 11 4 2 2 2 2 2 2 2 2" xfId="56287" xr:uid="{00000000-0005-0000-0000-0000FF580000}"/>
    <cellStyle name="Normal 11 4 2 2 2 2 2 2 3" xfId="42725" xr:uid="{00000000-0005-0000-0000-000000590000}"/>
    <cellStyle name="Normal 11 4 2 2 2 2 2 3" xfId="22373" xr:uid="{00000000-0005-0000-0000-000001590000}"/>
    <cellStyle name="Normal 11 4 2 2 2 2 2 3 2" xfId="49506" xr:uid="{00000000-0005-0000-0000-000002590000}"/>
    <cellStyle name="Normal 11 4 2 2 2 2 2 4" xfId="35944" xr:uid="{00000000-0005-0000-0000-000003590000}"/>
    <cellStyle name="Normal 11 4 2 2 2 2 3" xfId="12197" xr:uid="{00000000-0005-0000-0000-000004590000}"/>
    <cellStyle name="Normal 11 4 2 2 2 2 3 2" xfId="25765" xr:uid="{00000000-0005-0000-0000-000005590000}"/>
    <cellStyle name="Normal 11 4 2 2 2 2 3 2 2" xfId="52898" xr:uid="{00000000-0005-0000-0000-000006590000}"/>
    <cellStyle name="Normal 11 4 2 2 2 2 3 3" xfId="39336" xr:uid="{00000000-0005-0000-0000-000007590000}"/>
    <cellStyle name="Normal 11 4 2 2 2 2 4" xfId="18984" xr:uid="{00000000-0005-0000-0000-000008590000}"/>
    <cellStyle name="Normal 11 4 2 2 2 2 4 2" xfId="46117" xr:uid="{00000000-0005-0000-0000-000009590000}"/>
    <cellStyle name="Normal 11 4 2 2 2 2 5" xfId="32555" xr:uid="{00000000-0005-0000-0000-00000A590000}"/>
    <cellStyle name="Normal 11 4 2 2 2 3" xfId="5247" xr:uid="{00000000-0005-0000-0000-00000B590000}"/>
    <cellStyle name="Normal 11 4 2 2 2 3 2" xfId="8797" xr:uid="{00000000-0005-0000-0000-00000C590000}"/>
    <cellStyle name="Normal 11 4 2 2 2 3 2 2" xfId="15587" xr:uid="{00000000-0005-0000-0000-00000D590000}"/>
    <cellStyle name="Normal 11 4 2 2 2 3 2 2 2" xfId="29155" xr:uid="{00000000-0005-0000-0000-00000E590000}"/>
    <cellStyle name="Normal 11 4 2 2 2 3 2 2 2 2" xfId="56288" xr:uid="{00000000-0005-0000-0000-00000F590000}"/>
    <cellStyle name="Normal 11 4 2 2 2 3 2 2 3" xfId="42726" xr:uid="{00000000-0005-0000-0000-000010590000}"/>
    <cellStyle name="Normal 11 4 2 2 2 3 2 3" xfId="22374" xr:uid="{00000000-0005-0000-0000-000011590000}"/>
    <cellStyle name="Normal 11 4 2 2 2 3 2 3 2" xfId="49507" xr:uid="{00000000-0005-0000-0000-000012590000}"/>
    <cellStyle name="Normal 11 4 2 2 2 3 2 4" xfId="35945" xr:uid="{00000000-0005-0000-0000-000013590000}"/>
    <cellStyle name="Normal 11 4 2 2 2 3 3" xfId="12198" xr:uid="{00000000-0005-0000-0000-000014590000}"/>
    <cellStyle name="Normal 11 4 2 2 2 3 3 2" xfId="25766" xr:uid="{00000000-0005-0000-0000-000015590000}"/>
    <cellStyle name="Normal 11 4 2 2 2 3 3 2 2" xfId="52899" xr:uid="{00000000-0005-0000-0000-000016590000}"/>
    <cellStyle name="Normal 11 4 2 2 2 3 3 3" xfId="39337" xr:uid="{00000000-0005-0000-0000-000017590000}"/>
    <cellStyle name="Normal 11 4 2 2 2 3 4" xfId="18985" xr:uid="{00000000-0005-0000-0000-000018590000}"/>
    <cellStyle name="Normal 11 4 2 2 2 3 4 2" xfId="46118" xr:uid="{00000000-0005-0000-0000-000019590000}"/>
    <cellStyle name="Normal 11 4 2 2 2 3 5" xfId="32556" xr:uid="{00000000-0005-0000-0000-00001A590000}"/>
    <cellStyle name="Normal 11 4 2 2 2 4" xfId="8795" xr:uid="{00000000-0005-0000-0000-00001B590000}"/>
    <cellStyle name="Normal 11 4 2 2 2 4 2" xfId="15585" xr:uid="{00000000-0005-0000-0000-00001C590000}"/>
    <cellStyle name="Normal 11 4 2 2 2 4 2 2" xfId="29153" xr:uid="{00000000-0005-0000-0000-00001D590000}"/>
    <cellStyle name="Normal 11 4 2 2 2 4 2 2 2" xfId="56286" xr:uid="{00000000-0005-0000-0000-00001E590000}"/>
    <cellStyle name="Normal 11 4 2 2 2 4 2 3" xfId="42724" xr:uid="{00000000-0005-0000-0000-00001F590000}"/>
    <cellStyle name="Normal 11 4 2 2 2 4 3" xfId="22372" xr:uid="{00000000-0005-0000-0000-000020590000}"/>
    <cellStyle name="Normal 11 4 2 2 2 4 3 2" xfId="49505" xr:uid="{00000000-0005-0000-0000-000021590000}"/>
    <cellStyle name="Normal 11 4 2 2 2 4 4" xfId="35943" xr:uid="{00000000-0005-0000-0000-000022590000}"/>
    <cellStyle name="Normal 11 4 2 2 2 5" xfId="12196" xr:uid="{00000000-0005-0000-0000-000023590000}"/>
    <cellStyle name="Normal 11 4 2 2 2 5 2" xfId="25764" xr:uid="{00000000-0005-0000-0000-000024590000}"/>
    <cellStyle name="Normal 11 4 2 2 2 5 2 2" xfId="52897" xr:uid="{00000000-0005-0000-0000-000025590000}"/>
    <cellStyle name="Normal 11 4 2 2 2 5 3" xfId="39335" xr:uid="{00000000-0005-0000-0000-000026590000}"/>
    <cellStyle name="Normal 11 4 2 2 2 6" xfId="18983" xr:uid="{00000000-0005-0000-0000-000027590000}"/>
    <cellStyle name="Normal 11 4 2 2 2 6 2" xfId="46116" xr:uid="{00000000-0005-0000-0000-000028590000}"/>
    <cellStyle name="Normal 11 4 2 2 2 7" xfId="32554" xr:uid="{00000000-0005-0000-0000-000029590000}"/>
    <cellStyle name="Normal 11 4 2 2 3" xfId="5248" xr:uid="{00000000-0005-0000-0000-00002A590000}"/>
    <cellStyle name="Normal 11 4 2 2 3 2" xfId="5249" xr:uid="{00000000-0005-0000-0000-00002B590000}"/>
    <cellStyle name="Normal 11 4 2 2 3 2 2" xfId="8799" xr:uid="{00000000-0005-0000-0000-00002C590000}"/>
    <cellStyle name="Normal 11 4 2 2 3 2 2 2" xfId="15589" xr:uid="{00000000-0005-0000-0000-00002D590000}"/>
    <cellStyle name="Normal 11 4 2 2 3 2 2 2 2" xfId="29157" xr:uid="{00000000-0005-0000-0000-00002E590000}"/>
    <cellStyle name="Normal 11 4 2 2 3 2 2 2 2 2" xfId="56290" xr:uid="{00000000-0005-0000-0000-00002F590000}"/>
    <cellStyle name="Normal 11 4 2 2 3 2 2 2 3" xfId="42728" xr:uid="{00000000-0005-0000-0000-000030590000}"/>
    <cellStyle name="Normal 11 4 2 2 3 2 2 3" xfId="22376" xr:uid="{00000000-0005-0000-0000-000031590000}"/>
    <cellStyle name="Normal 11 4 2 2 3 2 2 3 2" xfId="49509" xr:uid="{00000000-0005-0000-0000-000032590000}"/>
    <cellStyle name="Normal 11 4 2 2 3 2 2 4" xfId="35947" xr:uid="{00000000-0005-0000-0000-000033590000}"/>
    <cellStyle name="Normal 11 4 2 2 3 2 3" xfId="12200" xr:uid="{00000000-0005-0000-0000-000034590000}"/>
    <cellStyle name="Normal 11 4 2 2 3 2 3 2" xfId="25768" xr:uid="{00000000-0005-0000-0000-000035590000}"/>
    <cellStyle name="Normal 11 4 2 2 3 2 3 2 2" xfId="52901" xr:uid="{00000000-0005-0000-0000-000036590000}"/>
    <cellStyle name="Normal 11 4 2 2 3 2 3 3" xfId="39339" xr:uid="{00000000-0005-0000-0000-000037590000}"/>
    <cellStyle name="Normal 11 4 2 2 3 2 4" xfId="18987" xr:uid="{00000000-0005-0000-0000-000038590000}"/>
    <cellStyle name="Normal 11 4 2 2 3 2 4 2" xfId="46120" xr:uid="{00000000-0005-0000-0000-000039590000}"/>
    <cellStyle name="Normal 11 4 2 2 3 2 5" xfId="32558" xr:uid="{00000000-0005-0000-0000-00003A590000}"/>
    <cellStyle name="Normal 11 4 2 2 3 3" xfId="8798" xr:uid="{00000000-0005-0000-0000-00003B590000}"/>
    <cellStyle name="Normal 11 4 2 2 3 3 2" xfId="15588" xr:uid="{00000000-0005-0000-0000-00003C590000}"/>
    <cellStyle name="Normal 11 4 2 2 3 3 2 2" xfId="29156" xr:uid="{00000000-0005-0000-0000-00003D590000}"/>
    <cellStyle name="Normal 11 4 2 2 3 3 2 2 2" xfId="56289" xr:uid="{00000000-0005-0000-0000-00003E590000}"/>
    <cellStyle name="Normal 11 4 2 2 3 3 2 3" xfId="42727" xr:uid="{00000000-0005-0000-0000-00003F590000}"/>
    <cellStyle name="Normal 11 4 2 2 3 3 3" xfId="22375" xr:uid="{00000000-0005-0000-0000-000040590000}"/>
    <cellStyle name="Normal 11 4 2 2 3 3 3 2" xfId="49508" xr:uid="{00000000-0005-0000-0000-000041590000}"/>
    <cellStyle name="Normal 11 4 2 2 3 3 4" xfId="35946" xr:uid="{00000000-0005-0000-0000-000042590000}"/>
    <cellStyle name="Normal 11 4 2 2 3 4" xfId="12199" xr:uid="{00000000-0005-0000-0000-000043590000}"/>
    <cellStyle name="Normal 11 4 2 2 3 4 2" xfId="25767" xr:uid="{00000000-0005-0000-0000-000044590000}"/>
    <cellStyle name="Normal 11 4 2 2 3 4 2 2" xfId="52900" xr:uid="{00000000-0005-0000-0000-000045590000}"/>
    <cellStyle name="Normal 11 4 2 2 3 4 3" xfId="39338" xr:uid="{00000000-0005-0000-0000-000046590000}"/>
    <cellStyle name="Normal 11 4 2 2 3 5" xfId="18986" xr:uid="{00000000-0005-0000-0000-000047590000}"/>
    <cellStyle name="Normal 11 4 2 2 3 5 2" xfId="46119" xr:uid="{00000000-0005-0000-0000-000048590000}"/>
    <cellStyle name="Normal 11 4 2 2 3 6" xfId="32557" xr:uid="{00000000-0005-0000-0000-000049590000}"/>
    <cellStyle name="Normal 11 4 2 2 4" xfId="5250" xr:uid="{00000000-0005-0000-0000-00004A590000}"/>
    <cellStyle name="Normal 11 4 2 2 4 2" xfId="8800" xr:uid="{00000000-0005-0000-0000-00004B590000}"/>
    <cellStyle name="Normal 11 4 2 2 4 2 2" xfId="15590" xr:uid="{00000000-0005-0000-0000-00004C590000}"/>
    <cellStyle name="Normal 11 4 2 2 4 2 2 2" xfId="29158" xr:uid="{00000000-0005-0000-0000-00004D590000}"/>
    <cellStyle name="Normal 11 4 2 2 4 2 2 2 2" xfId="56291" xr:uid="{00000000-0005-0000-0000-00004E590000}"/>
    <cellStyle name="Normal 11 4 2 2 4 2 2 3" xfId="42729" xr:uid="{00000000-0005-0000-0000-00004F590000}"/>
    <cellStyle name="Normal 11 4 2 2 4 2 3" xfId="22377" xr:uid="{00000000-0005-0000-0000-000050590000}"/>
    <cellStyle name="Normal 11 4 2 2 4 2 3 2" xfId="49510" xr:uid="{00000000-0005-0000-0000-000051590000}"/>
    <cellStyle name="Normal 11 4 2 2 4 2 4" xfId="35948" xr:uid="{00000000-0005-0000-0000-000052590000}"/>
    <cellStyle name="Normal 11 4 2 2 4 3" xfId="12201" xr:uid="{00000000-0005-0000-0000-000053590000}"/>
    <cellStyle name="Normal 11 4 2 2 4 3 2" xfId="25769" xr:uid="{00000000-0005-0000-0000-000054590000}"/>
    <cellStyle name="Normal 11 4 2 2 4 3 2 2" xfId="52902" xr:uid="{00000000-0005-0000-0000-000055590000}"/>
    <cellStyle name="Normal 11 4 2 2 4 3 3" xfId="39340" xr:uid="{00000000-0005-0000-0000-000056590000}"/>
    <cellStyle name="Normal 11 4 2 2 4 4" xfId="18988" xr:uid="{00000000-0005-0000-0000-000057590000}"/>
    <cellStyle name="Normal 11 4 2 2 4 4 2" xfId="46121" xr:uid="{00000000-0005-0000-0000-000058590000}"/>
    <cellStyle name="Normal 11 4 2 2 4 5" xfId="32559" xr:uid="{00000000-0005-0000-0000-000059590000}"/>
    <cellStyle name="Normal 11 4 2 2 5" xfId="5251" xr:uid="{00000000-0005-0000-0000-00005A590000}"/>
    <cellStyle name="Normal 11 4 2 2 5 2" xfId="8801" xr:uid="{00000000-0005-0000-0000-00005B590000}"/>
    <cellStyle name="Normal 11 4 2 2 5 2 2" xfId="15591" xr:uid="{00000000-0005-0000-0000-00005C590000}"/>
    <cellStyle name="Normal 11 4 2 2 5 2 2 2" xfId="29159" xr:uid="{00000000-0005-0000-0000-00005D590000}"/>
    <cellStyle name="Normal 11 4 2 2 5 2 2 2 2" xfId="56292" xr:uid="{00000000-0005-0000-0000-00005E590000}"/>
    <cellStyle name="Normal 11 4 2 2 5 2 2 3" xfId="42730" xr:uid="{00000000-0005-0000-0000-00005F590000}"/>
    <cellStyle name="Normal 11 4 2 2 5 2 3" xfId="22378" xr:uid="{00000000-0005-0000-0000-000060590000}"/>
    <cellStyle name="Normal 11 4 2 2 5 2 3 2" xfId="49511" xr:uid="{00000000-0005-0000-0000-000061590000}"/>
    <cellStyle name="Normal 11 4 2 2 5 2 4" xfId="35949" xr:uid="{00000000-0005-0000-0000-000062590000}"/>
    <cellStyle name="Normal 11 4 2 2 5 3" xfId="12202" xr:uid="{00000000-0005-0000-0000-000063590000}"/>
    <cellStyle name="Normal 11 4 2 2 5 3 2" xfId="25770" xr:uid="{00000000-0005-0000-0000-000064590000}"/>
    <cellStyle name="Normal 11 4 2 2 5 3 2 2" xfId="52903" xr:uid="{00000000-0005-0000-0000-000065590000}"/>
    <cellStyle name="Normal 11 4 2 2 5 3 3" xfId="39341" xr:uid="{00000000-0005-0000-0000-000066590000}"/>
    <cellStyle name="Normal 11 4 2 2 5 4" xfId="18989" xr:uid="{00000000-0005-0000-0000-000067590000}"/>
    <cellStyle name="Normal 11 4 2 2 5 4 2" xfId="46122" xr:uid="{00000000-0005-0000-0000-000068590000}"/>
    <cellStyle name="Normal 11 4 2 2 5 5" xfId="32560" xr:uid="{00000000-0005-0000-0000-000069590000}"/>
    <cellStyle name="Normal 11 4 2 2 6" xfId="8794" xr:uid="{00000000-0005-0000-0000-00006A590000}"/>
    <cellStyle name="Normal 11 4 2 2 6 2" xfId="15584" xr:uid="{00000000-0005-0000-0000-00006B590000}"/>
    <cellStyle name="Normal 11 4 2 2 6 2 2" xfId="29152" xr:uid="{00000000-0005-0000-0000-00006C590000}"/>
    <cellStyle name="Normal 11 4 2 2 6 2 2 2" xfId="56285" xr:uid="{00000000-0005-0000-0000-00006D590000}"/>
    <cellStyle name="Normal 11 4 2 2 6 2 3" xfId="42723" xr:uid="{00000000-0005-0000-0000-00006E590000}"/>
    <cellStyle name="Normal 11 4 2 2 6 3" xfId="22371" xr:uid="{00000000-0005-0000-0000-00006F590000}"/>
    <cellStyle name="Normal 11 4 2 2 6 3 2" xfId="49504" xr:uid="{00000000-0005-0000-0000-000070590000}"/>
    <cellStyle name="Normal 11 4 2 2 6 4" xfId="35942" xr:uid="{00000000-0005-0000-0000-000071590000}"/>
    <cellStyle name="Normal 11 4 2 2 7" xfId="12195" xr:uid="{00000000-0005-0000-0000-000072590000}"/>
    <cellStyle name="Normal 11 4 2 2 7 2" xfId="25763" xr:uid="{00000000-0005-0000-0000-000073590000}"/>
    <cellStyle name="Normal 11 4 2 2 7 2 2" xfId="52896" xr:uid="{00000000-0005-0000-0000-000074590000}"/>
    <cellStyle name="Normal 11 4 2 2 7 3" xfId="39334" xr:uid="{00000000-0005-0000-0000-000075590000}"/>
    <cellStyle name="Normal 11 4 2 2 8" xfId="18982" xr:uid="{00000000-0005-0000-0000-000076590000}"/>
    <cellStyle name="Normal 11 4 2 2 8 2" xfId="46115" xr:uid="{00000000-0005-0000-0000-000077590000}"/>
    <cellStyle name="Normal 11 4 2 2 9" xfId="32553" xr:uid="{00000000-0005-0000-0000-000078590000}"/>
    <cellStyle name="Normal 11 4 2 3" xfId="5252" xr:uid="{00000000-0005-0000-0000-000079590000}"/>
    <cellStyle name="Normal 11 4 2 3 2" xfId="5253" xr:uid="{00000000-0005-0000-0000-00007A590000}"/>
    <cellStyle name="Normal 11 4 2 3 2 2" xfId="8803" xr:uid="{00000000-0005-0000-0000-00007B590000}"/>
    <cellStyle name="Normal 11 4 2 3 2 2 2" xfId="15593" xr:uid="{00000000-0005-0000-0000-00007C590000}"/>
    <cellStyle name="Normal 11 4 2 3 2 2 2 2" xfId="29161" xr:uid="{00000000-0005-0000-0000-00007D590000}"/>
    <cellStyle name="Normal 11 4 2 3 2 2 2 2 2" xfId="56294" xr:uid="{00000000-0005-0000-0000-00007E590000}"/>
    <cellStyle name="Normal 11 4 2 3 2 2 2 3" xfId="42732" xr:uid="{00000000-0005-0000-0000-00007F590000}"/>
    <cellStyle name="Normal 11 4 2 3 2 2 3" xfId="22380" xr:uid="{00000000-0005-0000-0000-000080590000}"/>
    <cellStyle name="Normal 11 4 2 3 2 2 3 2" xfId="49513" xr:uid="{00000000-0005-0000-0000-000081590000}"/>
    <cellStyle name="Normal 11 4 2 3 2 2 4" xfId="35951" xr:uid="{00000000-0005-0000-0000-000082590000}"/>
    <cellStyle name="Normal 11 4 2 3 2 3" xfId="12204" xr:uid="{00000000-0005-0000-0000-000083590000}"/>
    <cellStyle name="Normal 11 4 2 3 2 3 2" xfId="25772" xr:uid="{00000000-0005-0000-0000-000084590000}"/>
    <cellStyle name="Normal 11 4 2 3 2 3 2 2" xfId="52905" xr:uid="{00000000-0005-0000-0000-000085590000}"/>
    <cellStyle name="Normal 11 4 2 3 2 3 3" xfId="39343" xr:uid="{00000000-0005-0000-0000-000086590000}"/>
    <cellStyle name="Normal 11 4 2 3 2 4" xfId="18991" xr:uid="{00000000-0005-0000-0000-000087590000}"/>
    <cellStyle name="Normal 11 4 2 3 2 4 2" xfId="46124" xr:uid="{00000000-0005-0000-0000-000088590000}"/>
    <cellStyle name="Normal 11 4 2 3 2 5" xfId="32562" xr:uid="{00000000-0005-0000-0000-000089590000}"/>
    <cellStyle name="Normal 11 4 2 3 3" xfId="5254" xr:uid="{00000000-0005-0000-0000-00008A590000}"/>
    <cellStyle name="Normal 11 4 2 3 3 2" xfId="8804" xr:uid="{00000000-0005-0000-0000-00008B590000}"/>
    <cellStyle name="Normal 11 4 2 3 3 2 2" xfId="15594" xr:uid="{00000000-0005-0000-0000-00008C590000}"/>
    <cellStyle name="Normal 11 4 2 3 3 2 2 2" xfId="29162" xr:uid="{00000000-0005-0000-0000-00008D590000}"/>
    <cellStyle name="Normal 11 4 2 3 3 2 2 2 2" xfId="56295" xr:uid="{00000000-0005-0000-0000-00008E590000}"/>
    <cellStyle name="Normal 11 4 2 3 3 2 2 3" xfId="42733" xr:uid="{00000000-0005-0000-0000-00008F590000}"/>
    <cellStyle name="Normal 11 4 2 3 3 2 3" xfId="22381" xr:uid="{00000000-0005-0000-0000-000090590000}"/>
    <cellStyle name="Normal 11 4 2 3 3 2 3 2" xfId="49514" xr:uid="{00000000-0005-0000-0000-000091590000}"/>
    <cellStyle name="Normal 11 4 2 3 3 2 4" xfId="35952" xr:uid="{00000000-0005-0000-0000-000092590000}"/>
    <cellStyle name="Normal 11 4 2 3 3 3" xfId="12205" xr:uid="{00000000-0005-0000-0000-000093590000}"/>
    <cellStyle name="Normal 11 4 2 3 3 3 2" xfId="25773" xr:uid="{00000000-0005-0000-0000-000094590000}"/>
    <cellStyle name="Normal 11 4 2 3 3 3 2 2" xfId="52906" xr:uid="{00000000-0005-0000-0000-000095590000}"/>
    <cellStyle name="Normal 11 4 2 3 3 3 3" xfId="39344" xr:uid="{00000000-0005-0000-0000-000096590000}"/>
    <cellStyle name="Normal 11 4 2 3 3 4" xfId="18992" xr:uid="{00000000-0005-0000-0000-000097590000}"/>
    <cellStyle name="Normal 11 4 2 3 3 4 2" xfId="46125" xr:uid="{00000000-0005-0000-0000-000098590000}"/>
    <cellStyle name="Normal 11 4 2 3 3 5" xfId="32563" xr:uid="{00000000-0005-0000-0000-000099590000}"/>
    <cellStyle name="Normal 11 4 2 3 4" xfId="8802" xr:uid="{00000000-0005-0000-0000-00009A590000}"/>
    <cellStyle name="Normal 11 4 2 3 4 2" xfId="15592" xr:uid="{00000000-0005-0000-0000-00009B590000}"/>
    <cellStyle name="Normal 11 4 2 3 4 2 2" xfId="29160" xr:uid="{00000000-0005-0000-0000-00009C590000}"/>
    <cellStyle name="Normal 11 4 2 3 4 2 2 2" xfId="56293" xr:uid="{00000000-0005-0000-0000-00009D590000}"/>
    <cellStyle name="Normal 11 4 2 3 4 2 3" xfId="42731" xr:uid="{00000000-0005-0000-0000-00009E590000}"/>
    <cellStyle name="Normal 11 4 2 3 4 3" xfId="22379" xr:uid="{00000000-0005-0000-0000-00009F590000}"/>
    <cellStyle name="Normal 11 4 2 3 4 3 2" xfId="49512" xr:uid="{00000000-0005-0000-0000-0000A0590000}"/>
    <cellStyle name="Normal 11 4 2 3 4 4" xfId="35950" xr:uid="{00000000-0005-0000-0000-0000A1590000}"/>
    <cellStyle name="Normal 11 4 2 3 5" xfId="12203" xr:uid="{00000000-0005-0000-0000-0000A2590000}"/>
    <cellStyle name="Normal 11 4 2 3 5 2" xfId="25771" xr:uid="{00000000-0005-0000-0000-0000A3590000}"/>
    <cellStyle name="Normal 11 4 2 3 5 2 2" xfId="52904" xr:uid="{00000000-0005-0000-0000-0000A4590000}"/>
    <cellStyle name="Normal 11 4 2 3 5 3" xfId="39342" xr:uid="{00000000-0005-0000-0000-0000A5590000}"/>
    <cellStyle name="Normal 11 4 2 3 6" xfId="18990" xr:uid="{00000000-0005-0000-0000-0000A6590000}"/>
    <cellStyle name="Normal 11 4 2 3 6 2" xfId="46123" xr:uid="{00000000-0005-0000-0000-0000A7590000}"/>
    <cellStyle name="Normal 11 4 2 3 7" xfId="32561" xr:uid="{00000000-0005-0000-0000-0000A8590000}"/>
    <cellStyle name="Normal 11 4 2 4" xfId="5255" xr:uid="{00000000-0005-0000-0000-0000A9590000}"/>
    <cellStyle name="Normal 11 4 2 4 2" xfId="5256" xr:uid="{00000000-0005-0000-0000-0000AA590000}"/>
    <cellStyle name="Normal 11 4 2 4 2 2" xfId="8806" xr:uid="{00000000-0005-0000-0000-0000AB590000}"/>
    <cellStyle name="Normal 11 4 2 4 2 2 2" xfId="15596" xr:uid="{00000000-0005-0000-0000-0000AC590000}"/>
    <cellStyle name="Normal 11 4 2 4 2 2 2 2" xfId="29164" xr:uid="{00000000-0005-0000-0000-0000AD590000}"/>
    <cellStyle name="Normal 11 4 2 4 2 2 2 2 2" xfId="56297" xr:uid="{00000000-0005-0000-0000-0000AE590000}"/>
    <cellStyle name="Normal 11 4 2 4 2 2 2 3" xfId="42735" xr:uid="{00000000-0005-0000-0000-0000AF590000}"/>
    <cellStyle name="Normal 11 4 2 4 2 2 3" xfId="22383" xr:uid="{00000000-0005-0000-0000-0000B0590000}"/>
    <cellStyle name="Normal 11 4 2 4 2 2 3 2" xfId="49516" xr:uid="{00000000-0005-0000-0000-0000B1590000}"/>
    <cellStyle name="Normal 11 4 2 4 2 2 4" xfId="35954" xr:uid="{00000000-0005-0000-0000-0000B2590000}"/>
    <cellStyle name="Normal 11 4 2 4 2 3" xfId="12207" xr:uid="{00000000-0005-0000-0000-0000B3590000}"/>
    <cellStyle name="Normal 11 4 2 4 2 3 2" xfId="25775" xr:uid="{00000000-0005-0000-0000-0000B4590000}"/>
    <cellStyle name="Normal 11 4 2 4 2 3 2 2" xfId="52908" xr:uid="{00000000-0005-0000-0000-0000B5590000}"/>
    <cellStyle name="Normal 11 4 2 4 2 3 3" xfId="39346" xr:uid="{00000000-0005-0000-0000-0000B6590000}"/>
    <cellStyle name="Normal 11 4 2 4 2 4" xfId="18994" xr:uid="{00000000-0005-0000-0000-0000B7590000}"/>
    <cellStyle name="Normal 11 4 2 4 2 4 2" xfId="46127" xr:uid="{00000000-0005-0000-0000-0000B8590000}"/>
    <cellStyle name="Normal 11 4 2 4 2 5" xfId="32565" xr:uid="{00000000-0005-0000-0000-0000B9590000}"/>
    <cellStyle name="Normal 11 4 2 4 3" xfId="8805" xr:uid="{00000000-0005-0000-0000-0000BA590000}"/>
    <cellStyle name="Normal 11 4 2 4 3 2" xfId="15595" xr:uid="{00000000-0005-0000-0000-0000BB590000}"/>
    <cellStyle name="Normal 11 4 2 4 3 2 2" xfId="29163" xr:uid="{00000000-0005-0000-0000-0000BC590000}"/>
    <cellStyle name="Normal 11 4 2 4 3 2 2 2" xfId="56296" xr:uid="{00000000-0005-0000-0000-0000BD590000}"/>
    <cellStyle name="Normal 11 4 2 4 3 2 3" xfId="42734" xr:uid="{00000000-0005-0000-0000-0000BE590000}"/>
    <cellStyle name="Normal 11 4 2 4 3 3" xfId="22382" xr:uid="{00000000-0005-0000-0000-0000BF590000}"/>
    <cellStyle name="Normal 11 4 2 4 3 3 2" xfId="49515" xr:uid="{00000000-0005-0000-0000-0000C0590000}"/>
    <cellStyle name="Normal 11 4 2 4 3 4" xfId="35953" xr:uid="{00000000-0005-0000-0000-0000C1590000}"/>
    <cellStyle name="Normal 11 4 2 4 4" xfId="12206" xr:uid="{00000000-0005-0000-0000-0000C2590000}"/>
    <cellStyle name="Normal 11 4 2 4 4 2" xfId="25774" xr:uid="{00000000-0005-0000-0000-0000C3590000}"/>
    <cellStyle name="Normal 11 4 2 4 4 2 2" xfId="52907" xr:uid="{00000000-0005-0000-0000-0000C4590000}"/>
    <cellStyle name="Normal 11 4 2 4 4 3" xfId="39345" xr:uid="{00000000-0005-0000-0000-0000C5590000}"/>
    <cellStyle name="Normal 11 4 2 4 5" xfId="18993" xr:uid="{00000000-0005-0000-0000-0000C6590000}"/>
    <cellStyle name="Normal 11 4 2 4 5 2" xfId="46126" xr:uid="{00000000-0005-0000-0000-0000C7590000}"/>
    <cellStyle name="Normal 11 4 2 4 6" xfId="32564" xr:uid="{00000000-0005-0000-0000-0000C8590000}"/>
    <cellStyle name="Normal 11 4 2 5" xfId="5257" xr:uid="{00000000-0005-0000-0000-0000C9590000}"/>
    <cellStyle name="Normal 11 4 2 5 2" xfId="8807" xr:uid="{00000000-0005-0000-0000-0000CA590000}"/>
    <cellStyle name="Normal 11 4 2 5 2 2" xfId="15597" xr:uid="{00000000-0005-0000-0000-0000CB590000}"/>
    <cellStyle name="Normal 11 4 2 5 2 2 2" xfId="29165" xr:uid="{00000000-0005-0000-0000-0000CC590000}"/>
    <cellStyle name="Normal 11 4 2 5 2 2 2 2" xfId="56298" xr:uid="{00000000-0005-0000-0000-0000CD590000}"/>
    <cellStyle name="Normal 11 4 2 5 2 2 3" xfId="42736" xr:uid="{00000000-0005-0000-0000-0000CE590000}"/>
    <cellStyle name="Normal 11 4 2 5 2 3" xfId="22384" xr:uid="{00000000-0005-0000-0000-0000CF590000}"/>
    <cellStyle name="Normal 11 4 2 5 2 3 2" xfId="49517" xr:uid="{00000000-0005-0000-0000-0000D0590000}"/>
    <cellStyle name="Normal 11 4 2 5 2 4" xfId="35955" xr:uid="{00000000-0005-0000-0000-0000D1590000}"/>
    <cellStyle name="Normal 11 4 2 5 3" xfId="12208" xr:uid="{00000000-0005-0000-0000-0000D2590000}"/>
    <cellStyle name="Normal 11 4 2 5 3 2" xfId="25776" xr:uid="{00000000-0005-0000-0000-0000D3590000}"/>
    <cellStyle name="Normal 11 4 2 5 3 2 2" xfId="52909" xr:uid="{00000000-0005-0000-0000-0000D4590000}"/>
    <cellStyle name="Normal 11 4 2 5 3 3" xfId="39347" xr:uid="{00000000-0005-0000-0000-0000D5590000}"/>
    <cellStyle name="Normal 11 4 2 5 4" xfId="18995" xr:uid="{00000000-0005-0000-0000-0000D6590000}"/>
    <cellStyle name="Normal 11 4 2 5 4 2" xfId="46128" xr:uid="{00000000-0005-0000-0000-0000D7590000}"/>
    <cellStyle name="Normal 11 4 2 5 5" xfId="32566" xr:uid="{00000000-0005-0000-0000-0000D8590000}"/>
    <cellStyle name="Normal 11 4 2 6" xfId="5258" xr:uid="{00000000-0005-0000-0000-0000D9590000}"/>
    <cellStyle name="Normal 11 4 2 6 2" xfId="8808" xr:uid="{00000000-0005-0000-0000-0000DA590000}"/>
    <cellStyle name="Normal 11 4 2 6 2 2" xfId="15598" xr:uid="{00000000-0005-0000-0000-0000DB590000}"/>
    <cellStyle name="Normal 11 4 2 6 2 2 2" xfId="29166" xr:uid="{00000000-0005-0000-0000-0000DC590000}"/>
    <cellStyle name="Normal 11 4 2 6 2 2 2 2" xfId="56299" xr:uid="{00000000-0005-0000-0000-0000DD590000}"/>
    <cellStyle name="Normal 11 4 2 6 2 2 3" xfId="42737" xr:uid="{00000000-0005-0000-0000-0000DE590000}"/>
    <cellStyle name="Normal 11 4 2 6 2 3" xfId="22385" xr:uid="{00000000-0005-0000-0000-0000DF590000}"/>
    <cellStyle name="Normal 11 4 2 6 2 3 2" xfId="49518" xr:uid="{00000000-0005-0000-0000-0000E0590000}"/>
    <cellStyle name="Normal 11 4 2 6 2 4" xfId="35956" xr:uid="{00000000-0005-0000-0000-0000E1590000}"/>
    <cellStyle name="Normal 11 4 2 6 3" xfId="12209" xr:uid="{00000000-0005-0000-0000-0000E2590000}"/>
    <cellStyle name="Normal 11 4 2 6 3 2" xfId="25777" xr:uid="{00000000-0005-0000-0000-0000E3590000}"/>
    <cellStyle name="Normal 11 4 2 6 3 2 2" xfId="52910" xr:uid="{00000000-0005-0000-0000-0000E4590000}"/>
    <cellStyle name="Normal 11 4 2 6 3 3" xfId="39348" xr:uid="{00000000-0005-0000-0000-0000E5590000}"/>
    <cellStyle name="Normal 11 4 2 6 4" xfId="18996" xr:uid="{00000000-0005-0000-0000-0000E6590000}"/>
    <cellStyle name="Normal 11 4 2 6 4 2" xfId="46129" xr:uid="{00000000-0005-0000-0000-0000E7590000}"/>
    <cellStyle name="Normal 11 4 2 6 5" xfId="32567" xr:uid="{00000000-0005-0000-0000-0000E8590000}"/>
    <cellStyle name="Normal 11 4 2 7" xfId="8793" xr:uid="{00000000-0005-0000-0000-0000E9590000}"/>
    <cellStyle name="Normal 11 4 2 7 2" xfId="15583" xr:uid="{00000000-0005-0000-0000-0000EA590000}"/>
    <cellStyle name="Normal 11 4 2 7 2 2" xfId="29151" xr:uid="{00000000-0005-0000-0000-0000EB590000}"/>
    <cellStyle name="Normal 11 4 2 7 2 2 2" xfId="56284" xr:uid="{00000000-0005-0000-0000-0000EC590000}"/>
    <cellStyle name="Normal 11 4 2 7 2 3" xfId="42722" xr:uid="{00000000-0005-0000-0000-0000ED590000}"/>
    <cellStyle name="Normal 11 4 2 7 3" xfId="22370" xr:uid="{00000000-0005-0000-0000-0000EE590000}"/>
    <cellStyle name="Normal 11 4 2 7 3 2" xfId="49503" xr:uid="{00000000-0005-0000-0000-0000EF590000}"/>
    <cellStyle name="Normal 11 4 2 7 4" xfId="35941" xr:uid="{00000000-0005-0000-0000-0000F0590000}"/>
    <cellStyle name="Normal 11 4 2 8" xfId="12194" xr:uid="{00000000-0005-0000-0000-0000F1590000}"/>
    <cellStyle name="Normal 11 4 2 8 2" xfId="25762" xr:uid="{00000000-0005-0000-0000-0000F2590000}"/>
    <cellStyle name="Normal 11 4 2 8 2 2" xfId="52895" xr:uid="{00000000-0005-0000-0000-0000F3590000}"/>
    <cellStyle name="Normal 11 4 2 8 3" xfId="39333" xr:uid="{00000000-0005-0000-0000-0000F4590000}"/>
    <cellStyle name="Normal 11 4 2 9" xfId="18981" xr:uid="{00000000-0005-0000-0000-0000F5590000}"/>
    <cellStyle name="Normal 11 4 2 9 2" xfId="46114" xr:uid="{00000000-0005-0000-0000-0000F6590000}"/>
    <cellStyle name="Normal 11 4 3" xfId="5259" xr:uid="{00000000-0005-0000-0000-0000F7590000}"/>
    <cellStyle name="Normal 11 4 3 2" xfId="5260" xr:uid="{00000000-0005-0000-0000-0000F8590000}"/>
    <cellStyle name="Normal 11 4 3 2 2" xfId="5261" xr:uid="{00000000-0005-0000-0000-0000F9590000}"/>
    <cellStyle name="Normal 11 4 3 2 2 2" xfId="8811" xr:uid="{00000000-0005-0000-0000-0000FA590000}"/>
    <cellStyle name="Normal 11 4 3 2 2 2 2" xfId="15601" xr:uid="{00000000-0005-0000-0000-0000FB590000}"/>
    <cellStyle name="Normal 11 4 3 2 2 2 2 2" xfId="29169" xr:uid="{00000000-0005-0000-0000-0000FC590000}"/>
    <cellStyle name="Normal 11 4 3 2 2 2 2 2 2" xfId="56302" xr:uid="{00000000-0005-0000-0000-0000FD590000}"/>
    <cellStyle name="Normal 11 4 3 2 2 2 2 3" xfId="42740" xr:uid="{00000000-0005-0000-0000-0000FE590000}"/>
    <cellStyle name="Normal 11 4 3 2 2 2 3" xfId="22388" xr:uid="{00000000-0005-0000-0000-0000FF590000}"/>
    <cellStyle name="Normal 11 4 3 2 2 2 3 2" xfId="49521" xr:uid="{00000000-0005-0000-0000-0000005A0000}"/>
    <cellStyle name="Normal 11 4 3 2 2 2 4" xfId="35959" xr:uid="{00000000-0005-0000-0000-0000015A0000}"/>
    <cellStyle name="Normal 11 4 3 2 2 3" xfId="12212" xr:uid="{00000000-0005-0000-0000-0000025A0000}"/>
    <cellStyle name="Normal 11 4 3 2 2 3 2" xfId="25780" xr:uid="{00000000-0005-0000-0000-0000035A0000}"/>
    <cellStyle name="Normal 11 4 3 2 2 3 2 2" xfId="52913" xr:uid="{00000000-0005-0000-0000-0000045A0000}"/>
    <cellStyle name="Normal 11 4 3 2 2 3 3" xfId="39351" xr:uid="{00000000-0005-0000-0000-0000055A0000}"/>
    <cellStyle name="Normal 11 4 3 2 2 4" xfId="18999" xr:uid="{00000000-0005-0000-0000-0000065A0000}"/>
    <cellStyle name="Normal 11 4 3 2 2 4 2" xfId="46132" xr:uid="{00000000-0005-0000-0000-0000075A0000}"/>
    <cellStyle name="Normal 11 4 3 2 2 5" xfId="32570" xr:uid="{00000000-0005-0000-0000-0000085A0000}"/>
    <cellStyle name="Normal 11 4 3 2 3" xfId="5262" xr:uid="{00000000-0005-0000-0000-0000095A0000}"/>
    <cellStyle name="Normal 11 4 3 2 3 2" xfId="8812" xr:uid="{00000000-0005-0000-0000-00000A5A0000}"/>
    <cellStyle name="Normal 11 4 3 2 3 2 2" xfId="15602" xr:uid="{00000000-0005-0000-0000-00000B5A0000}"/>
    <cellStyle name="Normal 11 4 3 2 3 2 2 2" xfId="29170" xr:uid="{00000000-0005-0000-0000-00000C5A0000}"/>
    <cellStyle name="Normal 11 4 3 2 3 2 2 2 2" xfId="56303" xr:uid="{00000000-0005-0000-0000-00000D5A0000}"/>
    <cellStyle name="Normal 11 4 3 2 3 2 2 3" xfId="42741" xr:uid="{00000000-0005-0000-0000-00000E5A0000}"/>
    <cellStyle name="Normal 11 4 3 2 3 2 3" xfId="22389" xr:uid="{00000000-0005-0000-0000-00000F5A0000}"/>
    <cellStyle name="Normal 11 4 3 2 3 2 3 2" xfId="49522" xr:uid="{00000000-0005-0000-0000-0000105A0000}"/>
    <cellStyle name="Normal 11 4 3 2 3 2 4" xfId="35960" xr:uid="{00000000-0005-0000-0000-0000115A0000}"/>
    <cellStyle name="Normal 11 4 3 2 3 3" xfId="12213" xr:uid="{00000000-0005-0000-0000-0000125A0000}"/>
    <cellStyle name="Normal 11 4 3 2 3 3 2" xfId="25781" xr:uid="{00000000-0005-0000-0000-0000135A0000}"/>
    <cellStyle name="Normal 11 4 3 2 3 3 2 2" xfId="52914" xr:uid="{00000000-0005-0000-0000-0000145A0000}"/>
    <cellStyle name="Normal 11 4 3 2 3 3 3" xfId="39352" xr:uid="{00000000-0005-0000-0000-0000155A0000}"/>
    <cellStyle name="Normal 11 4 3 2 3 4" xfId="19000" xr:uid="{00000000-0005-0000-0000-0000165A0000}"/>
    <cellStyle name="Normal 11 4 3 2 3 4 2" xfId="46133" xr:uid="{00000000-0005-0000-0000-0000175A0000}"/>
    <cellStyle name="Normal 11 4 3 2 3 5" xfId="32571" xr:uid="{00000000-0005-0000-0000-0000185A0000}"/>
    <cellStyle name="Normal 11 4 3 2 4" xfId="8810" xr:uid="{00000000-0005-0000-0000-0000195A0000}"/>
    <cellStyle name="Normal 11 4 3 2 4 2" xfId="15600" xr:uid="{00000000-0005-0000-0000-00001A5A0000}"/>
    <cellStyle name="Normal 11 4 3 2 4 2 2" xfId="29168" xr:uid="{00000000-0005-0000-0000-00001B5A0000}"/>
    <cellStyle name="Normal 11 4 3 2 4 2 2 2" xfId="56301" xr:uid="{00000000-0005-0000-0000-00001C5A0000}"/>
    <cellStyle name="Normal 11 4 3 2 4 2 3" xfId="42739" xr:uid="{00000000-0005-0000-0000-00001D5A0000}"/>
    <cellStyle name="Normal 11 4 3 2 4 3" xfId="22387" xr:uid="{00000000-0005-0000-0000-00001E5A0000}"/>
    <cellStyle name="Normal 11 4 3 2 4 3 2" xfId="49520" xr:uid="{00000000-0005-0000-0000-00001F5A0000}"/>
    <cellStyle name="Normal 11 4 3 2 4 4" xfId="35958" xr:uid="{00000000-0005-0000-0000-0000205A0000}"/>
    <cellStyle name="Normal 11 4 3 2 5" xfId="12211" xr:uid="{00000000-0005-0000-0000-0000215A0000}"/>
    <cellStyle name="Normal 11 4 3 2 5 2" xfId="25779" xr:uid="{00000000-0005-0000-0000-0000225A0000}"/>
    <cellStyle name="Normal 11 4 3 2 5 2 2" xfId="52912" xr:uid="{00000000-0005-0000-0000-0000235A0000}"/>
    <cellStyle name="Normal 11 4 3 2 5 3" xfId="39350" xr:uid="{00000000-0005-0000-0000-0000245A0000}"/>
    <cellStyle name="Normal 11 4 3 2 6" xfId="18998" xr:uid="{00000000-0005-0000-0000-0000255A0000}"/>
    <cellStyle name="Normal 11 4 3 2 6 2" xfId="46131" xr:uid="{00000000-0005-0000-0000-0000265A0000}"/>
    <cellStyle name="Normal 11 4 3 2 7" xfId="32569" xr:uid="{00000000-0005-0000-0000-0000275A0000}"/>
    <cellStyle name="Normal 11 4 3 3" xfId="5263" xr:uid="{00000000-0005-0000-0000-0000285A0000}"/>
    <cellStyle name="Normal 11 4 3 3 2" xfId="5264" xr:uid="{00000000-0005-0000-0000-0000295A0000}"/>
    <cellStyle name="Normal 11 4 3 3 2 2" xfId="8814" xr:uid="{00000000-0005-0000-0000-00002A5A0000}"/>
    <cellStyle name="Normal 11 4 3 3 2 2 2" xfId="15604" xr:uid="{00000000-0005-0000-0000-00002B5A0000}"/>
    <cellStyle name="Normal 11 4 3 3 2 2 2 2" xfId="29172" xr:uid="{00000000-0005-0000-0000-00002C5A0000}"/>
    <cellStyle name="Normal 11 4 3 3 2 2 2 2 2" xfId="56305" xr:uid="{00000000-0005-0000-0000-00002D5A0000}"/>
    <cellStyle name="Normal 11 4 3 3 2 2 2 3" xfId="42743" xr:uid="{00000000-0005-0000-0000-00002E5A0000}"/>
    <cellStyle name="Normal 11 4 3 3 2 2 3" xfId="22391" xr:uid="{00000000-0005-0000-0000-00002F5A0000}"/>
    <cellStyle name="Normal 11 4 3 3 2 2 3 2" xfId="49524" xr:uid="{00000000-0005-0000-0000-0000305A0000}"/>
    <cellStyle name="Normal 11 4 3 3 2 2 4" xfId="35962" xr:uid="{00000000-0005-0000-0000-0000315A0000}"/>
    <cellStyle name="Normal 11 4 3 3 2 3" xfId="12215" xr:uid="{00000000-0005-0000-0000-0000325A0000}"/>
    <cellStyle name="Normal 11 4 3 3 2 3 2" xfId="25783" xr:uid="{00000000-0005-0000-0000-0000335A0000}"/>
    <cellStyle name="Normal 11 4 3 3 2 3 2 2" xfId="52916" xr:uid="{00000000-0005-0000-0000-0000345A0000}"/>
    <cellStyle name="Normal 11 4 3 3 2 3 3" xfId="39354" xr:uid="{00000000-0005-0000-0000-0000355A0000}"/>
    <cellStyle name="Normal 11 4 3 3 2 4" xfId="19002" xr:uid="{00000000-0005-0000-0000-0000365A0000}"/>
    <cellStyle name="Normal 11 4 3 3 2 4 2" xfId="46135" xr:uid="{00000000-0005-0000-0000-0000375A0000}"/>
    <cellStyle name="Normal 11 4 3 3 2 5" xfId="32573" xr:uid="{00000000-0005-0000-0000-0000385A0000}"/>
    <cellStyle name="Normal 11 4 3 3 3" xfId="8813" xr:uid="{00000000-0005-0000-0000-0000395A0000}"/>
    <cellStyle name="Normal 11 4 3 3 3 2" xfId="15603" xr:uid="{00000000-0005-0000-0000-00003A5A0000}"/>
    <cellStyle name="Normal 11 4 3 3 3 2 2" xfId="29171" xr:uid="{00000000-0005-0000-0000-00003B5A0000}"/>
    <cellStyle name="Normal 11 4 3 3 3 2 2 2" xfId="56304" xr:uid="{00000000-0005-0000-0000-00003C5A0000}"/>
    <cellStyle name="Normal 11 4 3 3 3 2 3" xfId="42742" xr:uid="{00000000-0005-0000-0000-00003D5A0000}"/>
    <cellStyle name="Normal 11 4 3 3 3 3" xfId="22390" xr:uid="{00000000-0005-0000-0000-00003E5A0000}"/>
    <cellStyle name="Normal 11 4 3 3 3 3 2" xfId="49523" xr:uid="{00000000-0005-0000-0000-00003F5A0000}"/>
    <cellStyle name="Normal 11 4 3 3 3 4" xfId="35961" xr:uid="{00000000-0005-0000-0000-0000405A0000}"/>
    <cellStyle name="Normal 11 4 3 3 4" xfId="12214" xr:uid="{00000000-0005-0000-0000-0000415A0000}"/>
    <cellStyle name="Normal 11 4 3 3 4 2" xfId="25782" xr:uid="{00000000-0005-0000-0000-0000425A0000}"/>
    <cellStyle name="Normal 11 4 3 3 4 2 2" xfId="52915" xr:uid="{00000000-0005-0000-0000-0000435A0000}"/>
    <cellStyle name="Normal 11 4 3 3 4 3" xfId="39353" xr:uid="{00000000-0005-0000-0000-0000445A0000}"/>
    <cellStyle name="Normal 11 4 3 3 5" xfId="19001" xr:uid="{00000000-0005-0000-0000-0000455A0000}"/>
    <cellStyle name="Normal 11 4 3 3 5 2" xfId="46134" xr:uid="{00000000-0005-0000-0000-0000465A0000}"/>
    <cellStyle name="Normal 11 4 3 3 6" xfId="32572" xr:uid="{00000000-0005-0000-0000-0000475A0000}"/>
    <cellStyle name="Normal 11 4 3 4" xfId="5265" xr:uid="{00000000-0005-0000-0000-0000485A0000}"/>
    <cellStyle name="Normal 11 4 3 4 2" xfId="8815" xr:uid="{00000000-0005-0000-0000-0000495A0000}"/>
    <cellStyle name="Normal 11 4 3 4 2 2" xfId="15605" xr:uid="{00000000-0005-0000-0000-00004A5A0000}"/>
    <cellStyle name="Normal 11 4 3 4 2 2 2" xfId="29173" xr:uid="{00000000-0005-0000-0000-00004B5A0000}"/>
    <cellStyle name="Normal 11 4 3 4 2 2 2 2" xfId="56306" xr:uid="{00000000-0005-0000-0000-00004C5A0000}"/>
    <cellStyle name="Normal 11 4 3 4 2 2 3" xfId="42744" xr:uid="{00000000-0005-0000-0000-00004D5A0000}"/>
    <cellStyle name="Normal 11 4 3 4 2 3" xfId="22392" xr:uid="{00000000-0005-0000-0000-00004E5A0000}"/>
    <cellStyle name="Normal 11 4 3 4 2 3 2" xfId="49525" xr:uid="{00000000-0005-0000-0000-00004F5A0000}"/>
    <cellStyle name="Normal 11 4 3 4 2 4" xfId="35963" xr:uid="{00000000-0005-0000-0000-0000505A0000}"/>
    <cellStyle name="Normal 11 4 3 4 3" xfId="12216" xr:uid="{00000000-0005-0000-0000-0000515A0000}"/>
    <cellStyle name="Normal 11 4 3 4 3 2" xfId="25784" xr:uid="{00000000-0005-0000-0000-0000525A0000}"/>
    <cellStyle name="Normal 11 4 3 4 3 2 2" xfId="52917" xr:uid="{00000000-0005-0000-0000-0000535A0000}"/>
    <cellStyle name="Normal 11 4 3 4 3 3" xfId="39355" xr:uid="{00000000-0005-0000-0000-0000545A0000}"/>
    <cellStyle name="Normal 11 4 3 4 4" xfId="19003" xr:uid="{00000000-0005-0000-0000-0000555A0000}"/>
    <cellStyle name="Normal 11 4 3 4 4 2" xfId="46136" xr:uid="{00000000-0005-0000-0000-0000565A0000}"/>
    <cellStyle name="Normal 11 4 3 4 5" xfId="32574" xr:uid="{00000000-0005-0000-0000-0000575A0000}"/>
    <cellStyle name="Normal 11 4 3 5" xfId="5266" xr:uid="{00000000-0005-0000-0000-0000585A0000}"/>
    <cellStyle name="Normal 11 4 3 5 2" xfId="8816" xr:uid="{00000000-0005-0000-0000-0000595A0000}"/>
    <cellStyle name="Normal 11 4 3 5 2 2" xfId="15606" xr:uid="{00000000-0005-0000-0000-00005A5A0000}"/>
    <cellStyle name="Normal 11 4 3 5 2 2 2" xfId="29174" xr:uid="{00000000-0005-0000-0000-00005B5A0000}"/>
    <cellStyle name="Normal 11 4 3 5 2 2 2 2" xfId="56307" xr:uid="{00000000-0005-0000-0000-00005C5A0000}"/>
    <cellStyle name="Normal 11 4 3 5 2 2 3" xfId="42745" xr:uid="{00000000-0005-0000-0000-00005D5A0000}"/>
    <cellStyle name="Normal 11 4 3 5 2 3" xfId="22393" xr:uid="{00000000-0005-0000-0000-00005E5A0000}"/>
    <cellStyle name="Normal 11 4 3 5 2 3 2" xfId="49526" xr:uid="{00000000-0005-0000-0000-00005F5A0000}"/>
    <cellStyle name="Normal 11 4 3 5 2 4" xfId="35964" xr:uid="{00000000-0005-0000-0000-0000605A0000}"/>
    <cellStyle name="Normal 11 4 3 5 3" xfId="12217" xr:uid="{00000000-0005-0000-0000-0000615A0000}"/>
    <cellStyle name="Normal 11 4 3 5 3 2" xfId="25785" xr:uid="{00000000-0005-0000-0000-0000625A0000}"/>
    <cellStyle name="Normal 11 4 3 5 3 2 2" xfId="52918" xr:uid="{00000000-0005-0000-0000-0000635A0000}"/>
    <cellStyle name="Normal 11 4 3 5 3 3" xfId="39356" xr:uid="{00000000-0005-0000-0000-0000645A0000}"/>
    <cellStyle name="Normal 11 4 3 5 4" xfId="19004" xr:uid="{00000000-0005-0000-0000-0000655A0000}"/>
    <cellStyle name="Normal 11 4 3 5 4 2" xfId="46137" xr:uid="{00000000-0005-0000-0000-0000665A0000}"/>
    <cellStyle name="Normal 11 4 3 5 5" xfId="32575" xr:uid="{00000000-0005-0000-0000-0000675A0000}"/>
    <cellStyle name="Normal 11 4 3 6" xfId="8809" xr:uid="{00000000-0005-0000-0000-0000685A0000}"/>
    <cellStyle name="Normal 11 4 3 6 2" xfId="15599" xr:uid="{00000000-0005-0000-0000-0000695A0000}"/>
    <cellStyle name="Normal 11 4 3 6 2 2" xfId="29167" xr:uid="{00000000-0005-0000-0000-00006A5A0000}"/>
    <cellStyle name="Normal 11 4 3 6 2 2 2" xfId="56300" xr:uid="{00000000-0005-0000-0000-00006B5A0000}"/>
    <cellStyle name="Normal 11 4 3 6 2 3" xfId="42738" xr:uid="{00000000-0005-0000-0000-00006C5A0000}"/>
    <cellStyle name="Normal 11 4 3 6 3" xfId="22386" xr:uid="{00000000-0005-0000-0000-00006D5A0000}"/>
    <cellStyle name="Normal 11 4 3 6 3 2" xfId="49519" xr:uid="{00000000-0005-0000-0000-00006E5A0000}"/>
    <cellStyle name="Normal 11 4 3 6 4" xfId="35957" xr:uid="{00000000-0005-0000-0000-00006F5A0000}"/>
    <cellStyle name="Normal 11 4 3 7" xfId="12210" xr:uid="{00000000-0005-0000-0000-0000705A0000}"/>
    <cellStyle name="Normal 11 4 3 7 2" xfId="25778" xr:uid="{00000000-0005-0000-0000-0000715A0000}"/>
    <cellStyle name="Normal 11 4 3 7 2 2" xfId="52911" xr:uid="{00000000-0005-0000-0000-0000725A0000}"/>
    <cellStyle name="Normal 11 4 3 7 3" xfId="39349" xr:uid="{00000000-0005-0000-0000-0000735A0000}"/>
    <cellStyle name="Normal 11 4 3 8" xfId="18997" xr:uid="{00000000-0005-0000-0000-0000745A0000}"/>
    <cellStyle name="Normal 11 4 3 8 2" xfId="46130" xr:uid="{00000000-0005-0000-0000-0000755A0000}"/>
    <cellStyle name="Normal 11 4 3 9" xfId="32568" xr:uid="{00000000-0005-0000-0000-0000765A0000}"/>
    <cellStyle name="Normal 11 4 4" xfId="5267" xr:uid="{00000000-0005-0000-0000-0000775A0000}"/>
    <cellStyle name="Normal 11 4 4 2" xfId="5268" xr:uid="{00000000-0005-0000-0000-0000785A0000}"/>
    <cellStyle name="Normal 11 4 4 2 2" xfId="5269" xr:uid="{00000000-0005-0000-0000-0000795A0000}"/>
    <cellStyle name="Normal 11 4 4 2 2 2" xfId="8819" xr:uid="{00000000-0005-0000-0000-00007A5A0000}"/>
    <cellStyle name="Normal 11 4 4 2 2 2 2" xfId="15609" xr:uid="{00000000-0005-0000-0000-00007B5A0000}"/>
    <cellStyle name="Normal 11 4 4 2 2 2 2 2" xfId="29177" xr:uid="{00000000-0005-0000-0000-00007C5A0000}"/>
    <cellStyle name="Normal 11 4 4 2 2 2 2 2 2" xfId="56310" xr:uid="{00000000-0005-0000-0000-00007D5A0000}"/>
    <cellStyle name="Normal 11 4 4 2 2 2 2 3" xfId="42748" xr:uid="{00000000-0005-0000-0000-00007E5A0000}"/>
    <cellStyle name="Normal 11 4 4 2 2 2 3" xfId="22396" xr:uid="{00000000-0005-0000-0000-00007F5A0000}"/>
    <cellStyle name="Normal 11 4 4 2 2 2 3 2" xfId="49529" xr:uid="{00000000-0005-0000-0000-0000805A0000}"/>
    <cellStyle name="Normal 11 4 4 2 2 2 4" xfId="35967" xr:uid="{00000000-0005-0000-0000-0000815A0000}"/>
    <cellStyle name="Normal 11 4 4 2 2 3" xfId="12220" xr:uid="{00000000-0005-0000-0000-0000825A0000}"/>
    <cellStyle name="Normal 11 4 4 2 2 3 2" xfId="25788" xr:uid="{00000000-0005-0000-0000-0000835A0000}"/>
    <cellStyle name="Normal 11 4 4 2 2 3 2 2" xfId="52921" xr:uid="{00000000-0005-0000-0000-0000845A0000}"/>
    <cellStyle name="Normal 11 4 4 2 2 3 3" xfId="39359" xr:uid="{00000000-0005-0000-0000-0000855A0000}"/>
    <cellStyle name="Normal 11 4 4 2 2 4" xfId="19007" xr:uid="{00000000-0005-0000-0000-0000865A0000}"/>
    <cellStyle name="Normal 11 4 4 2 2 4 2" xfId="46140" xr:uid="{00000000-0005-0000-0000-0000875A0000}"/>
    <cellStyle name="Normal 11 4 4 2 2 5" xfId="32578" xr:uid="{00000000-0005-0000-0000-0000885A0000}"/>
    <cellStyle name="Normal 11 4 4 2 3" xfId="5270" xr:uid="{00000000-0005-0000-0000-0000895A0000}"/>
    <cellStyle name="Normal 11 4 4 2 3 2" xfId="8820" xr:uid="{00000000-0005-0000-0000-00008A5A0000}"/>
    <cellStyle name="Normal 11 4 4 2 3 2 2" xfId="15610" xr:uid="{00000000-0005-0000-0000-00008B5A0000}"/>
    <cellStyle name="Normal 11 4 4 2 3 2 2 2" xfId="29178" xr:uid="{00000000-0005-0000-0000-00008C5A0000}"/>
    <cellStyle name="Normal 11 4 4 2 3 2 2 2 2" xfId="56311" xr:uid="{00000000-0005-0000-0000-00008D5A0000}"/>
    <cellStyle name="Normal 11 4 4 2 3 2 2 3" xfId="42749" xr:uid="{00000000-0005-0000-0000-00008E5A0000}"/>
    <cellStyle name="Normal 11 4 4 2 3 2 3" xfId="22397" xr:uid="{00000000-0005-0000-0000-00008F5A0000}"/>
    <cellStyle name="Normal 11 4 4 2 3 2 3 2" xfId="49530" xr:uid="{00000000-0005-0000-0000-0000905A0000}"/>
    <cellStyle name="Normal 11 4 4 2 3 2 4" xfId="35968" xr:uid="{00000000-0005-0000-0000-0000915A0000}"/>
    <cellStyle name="Normal 11 4 4 2 3 3" xfId="12221" xr:uid="{00000000-0005-0000-0000-0000925A0000}"/>
    <cellStyle name="Normal 11 4 4 2 3 3 2" xfId="25789" xr:uid="{00000000-0005-0000-0000-0000935A0000}"/>
    <cellStyle name="Normal 11 4 4 2 3 3 2 2" xfId="52922" xr:uid="{00000000-0005-0000-0000-0000945A0000}"/>
    <cellStyle name="Normal 11 4 4 2 3 3 3" xfId="39360" xr:uid="{00000000-0005-0000-0000-0000955A0000}"/>
    <cellStyle name="Normal 11 4 4 2 3 4" xfId="19008" xr:uid="{00000000-0005-0000-0000-0000965A0000}"/>
    <cellStyle name="Normal 11 4 4 2 3 4 2" xfId="46141" xr:uid="{00000000-0005-0000-0000-0000975A0000}"/>
    <cellStyle name="Normal 11 4 4 2 3 5" xfId="32579" xr:uid="{00000000-0005-0000-0000-0000985A0000}"/>
    <cellStyle name="Normal 11 4 4 2 4" xfId="8818" xr:uid="{00000000-0005-0000-0000-0000995A0000}"/>
    <cellStyle name="Normal 11 4 4 2 4 2" xfId="15608" xr:uid="{00000000-0005-0000-0000-00009A5A0000}"/>
    <cellStyle name="Normal 11 4 4 2 4 2 2" xfId="29176" xr:uid="{00000000-0005-0000-0000-00009B5A0000}"/>
    <cellStyle name="Normal 11 4 4 2 4 2 2 2" xfId="56309" xr:uid="{00000000-0005-0000-0000-00009C5A0000}"/>
    <cellStyle name="Normal 11 4 4 2 4 2 3" xfId="42747" xr:uid="{00000000-0005-0000-0000-00009D5A0000}"/>
    <cellStyle name="Normal 11 4 4 2 4 3" xfId="22395" xr:uid="{00000000-0005-0000-0000-00009E5A0000}"/>
    <cellStyle name="Normal 11 4 4 2 4 3 2" xfId="49528" xr:uid="{00000000-0005-0000-0000-00009F5A0000}"/>
    <cellStyle name="Normal 11 4 4 2 4 4" xfId="35966" xr:uid="{00000000-0005-0000-0000-0000A05A0000}"/>
    <cellStyle name="Normal 11 4 4 2 5" xfId="12219" xr:uid="{00000000-0005-0000-0000-0000A15A0000}"/>
    <cellStyle name="Normal 11 4 4 2 5 2" xfId="25787" xr:uid="{00000000-0005-0000-0000-0000A25A0000}"/>
    <cellStyle name="Normal 11 4 4 2 5 2 2" xfId="52920" xr:uid="{00000000-0005-0000-0000-0000A35A0000}"/>
    <cellStyle name="Normal 11 4 4 2 5 3" xfId="39358" xr:uid="{00000000-0005-0000-0000-0000A45A0000}"/>
    <cellStyle name="Normal 11 4 4 2 6" xfId="19006" xr:uid="{00000000-0005-0000-0000-0000A55A0000}"/>
    <cellStyle name="Normal 11 4 4 2 6 2" xfId="46139" xr:uid="{00000000-0005-0000-0000-0000A65A0000}"/>
    <cellStyle name="Normal 11 4 4 2 7" xfId="32577" xr:uid="{00000000-0005-0000-0000-0000A75A0000}"/>
    <cellStyle name="Normal 11 4 4 3" xfId="5271" xr:uid="{00000000-0005-0000-0000-0000A85A0000}"/>
    <cellStyle name="Normal 11 4 4 3 2" xfId="8821" xr:uid="{00000000-0005-0000-0000-0000A95A0000}"/>
    <cellStyle name="Normal 11 4 4 3 2 2" xfId="15611" xr:uid="{00000000-0005-0000-0000-0000AA5A0000}"/>
    <cellStyle name="Normal 11 4 4 3 2 2 2" xfId="29179" xr:uid="{00000000-0005-0000-0000-0000AB5A0000}"/>
    <cellStyle name="Normal 11 4 4 3 2 2 2 2" xfId="56312" xr:uid="{00000000-0005-0000-0000-0000AC5A0000}"/>
    <cellStyle name="Normal 11 4 4 3 2 2 3" xfId="42750" xr:uid="{00000000-0005-0000-0000-0000AD5A0000}"/>
    <cellStyle name="Normal 11 4 4 3 2 3" xfId="22398" xr:uid="{00000000-0005-0000-0000-0000AE5A0000}"/>
    <cellStyle name="Normal 11 4 4 3 2 3 2" xfId="49531" xr:uid="{00000000-0005-0000-0000-0000AF5A0000}"/>
    <cellStyle name="Normal 11 4 4 3 2 4" xfId="35969" xr:uid="{00000000-0005-0000-0000-0000B05A0000}"/>
    <cellStyle name="Normal 11 4 4 3 3" xfId="12222" xr:uid="{00000000-0005-0000-0000-0000B15A0000}"/>
    <cellStyle name="Normal 11 4 4 3 3 2" xfId="25790" xr:uid="{00000000-0005-0000-0000-0000B25A0000}"/>
    <cellStyle name="Normal 11 4 4 3 3 2 2" xfId="52923" xr:uid="{00000000-0005-0000-0000-0000B35A0000}"/>
    <cellStyle name="Normal 11 4 4 3 3 3" xfId="39361" xr:uid="{00000000-0005-0000-0000-0000B45A0000}"/>
    <cellStyle name="Normal 11 4 4 3 4" xfId="19009" xr:uid="{00000000-0005-0000-0000-0000B55A0000}"/>
    <cellStyle name="Normal 11 4 4 3 4 2" xfId="46142" xr:uid="{00000000-0005-0000-0000-0000B65A0000}"/>
    <cellStyle name="Normal 11 4 4 3 5" xfId="32580" xr:uid="{00000000-0005-0000-0000-0000B75A0000}"/>
    <cellStyle name="Normal 11 4 4 4" xfId="5272" xr:uid="{00000000-0005-0000-0000-0000B85A0000}"/>
    <cellStyle name="Normal 11 4 4 4 2" xfId="8822" xr:uid="{00000000-0005-0000-0000-0000B95A0000}"/>
    <cellStyle name="Normal 11 4 4 4 2 2" xfId="15612" xr:uid="{00000000-0005-0000-0000-0000BA5A0000}"/>
    <cellStyle name="Normal 11 4 4 4 2 2 2" xfId="29180" xr:uid="{00000000-0005-0000-0000-0000BB5A0000}"/>
    <cellStyle name="Normal 11 4 4 4 2 2 2 2" xfId="56313" xr:uid="{00000000-0005-0000-0000-0000BC5A0000}"/>
    <cellStyle name="Normal 11 4 4 4 2 2 3" xfId="42751" xr:uid="{00000000-0005-0000-0000-0000BD5A0000}"/>
    <cellStyle name="Normal 11 4 4 4 2 3" xfId="22399" xr:uid="{00000000-0005-0000-0000-0000BE5A0000}"/>
    <cellStyle name="Normal 11 4 4 4 2 3 2" xfId="49532" xr:uid="{00000000-0005-0000-0000-0000BF5A0000}"/>
    <cellStyle name="Normal 11 4 4 4 2 4" xfId="35970" xr:uid="{00000000-0005-0000-0000-0000C05A0000}"/>
    <cellStyle name="Normal 11 4 4 4 3" xfId="12223" xr:uid="{00000000-0005-0000-0000-0000C15A0000}"/>
    <cellStyle name="Normal 11 4 4 4 3 2" xfId="25791" xr:uid="{00000000-0005-0000-0000-0000C25A0000}"/>
    <cellStyle name="Normal 11 4 4 4 3 2 2" xfId="52924" xr:uid="{00000000-0005-0000-0000-0000C35A0000}"/>
    <cellStyle name="Normal 11 4 4 4 3 3" xfId="39362" xr:uid="{00000000-0005-0000-0000-0000C45A0000}"/>
    <cellStyle name="Normal 11 4 4 4 4" xfId="19010" xr:uid="{00000000-0005-0000-0000-0000C55A0000}"/>
    <cellStyle name="Normal 11 4 4 4 4 2" xfId="46143" xr:uid="{00000000-0005-0000-0000-0000C65A0000}"/>
    <cellStyle name="Normal 11 4 4 4 5" xfId="32581" xr:uid="{00000000-0005-0000-0000-0000C75A0000}"/>
    <cellStyle name="Normal 11 4 4 5" xfId="8817" xr:uid="{00000000-0005-0000-0000-0000C85A0000}"/>
    <cellStyle name="Normal 11 4 4 5 2" xfId="15607" xr:uid="{00000000-0005-0000-0000-0000C95A0000}"/>
    <cellStyle name="Normal 11 4 4 5 2 2" xfId="29175" xr:uid="{00000000-0005-0000-0000-0000CA5A0000}"/>
    <cellStyle name="Normal 11 4 4 5 2 2 2" xfId="56308" xr:uid="{00000000-0005-0000-0000-0000CB5A0000}"/>
    <cellStyle name="Normal 11 4 4 5 2 3" xfId="42746" xr:uid="{00000000-0005-0000-0000-0000CC5A0000}"/>
    <cellStyle name="Normal 11 4 4 5 3" xfId="22394" xr:uid="{00000000-0005-0000-0000-0000CD5A0000}"/>
    <cellStyle name="Normal 11 4 4 5 3 2" xfId="49527" xr:uid="{00000000-0005-0000-0000-0000CE5A0000}"/>
    <cellStyle name="Normal 11 4 4 5 4" xfId="35965" xr:uid="{00000000-0005-0000-0000-0000CF5A0000}"/>
    <cellStyle name="Normal 11 4 4 6" xfId="12218" xr:uid="{00000000-0005-0000-0000-0000D05A0000}"/>
    <cellStyle name="Normal 11 4 4 6 2" xfId="25786" xr:uid="{00000000-0005-0000-0000-0000D15A0000}"/>
    <cellStyle name="Normal 11 4 4 6 2 2" xfId="52919" xr:uid="{00000000-0005-0000-0000-0000D25A0000}"/>
    <cellStyle name="Normal 11 4 4 6 3" xfId="39357" xr:uid="{00000000-0005-0000-0000-0000D35A0000}"/>
    <cellStyle name="Normal 11 4 4 7" xfId="19005" xr:uid="{00000000-0005-0000-0000-0000D45A0000}"/>
    <cellStyle name="Normal 11 4 4 7 2" xfId="46138" xr:uid="{00000000-0005-0000-0000-0000D55A0000}"/>
    <cellStyle name="Normal 11 4 4 8" xfId="32576" xr:uid="{00000000-0005-0000-0000-0000D65A0000}"/>
    <cellStyle name="Normal 11 4 5" xfId="5273" xr:uid="{00000000-0005-0000-0000-0000D75A0000}"/>
    <cellStyle name="Normal 11 4 5 2" xfId="5274" xr:uid="{00000000-0005-0000-0000-0000D85A0000}"/>
    <cellStyle name="Normal 11 4 5 2 2" xfId="5275" xr:uid="{00000000-0005-0000-0000-0000D95A0000}"/>
    <cellStyle name="Normal 11 4 5 2 2 2" xfId="8825" xr:uid="{00000000-0005-0000-0000-0000DA5A0000}"/>
    <cellStyle name="Normal 11 4 5 2 2 2 2" xfId="15615" xr:uid="{00000000-0005-0000-0000-0000DB5A0000}"/>
    <cellStyle name="Normal 11 4 5 2 2 2 2 2" xfId="29183" xr:uid="{00000000-0005-0000-0000-0000DC5A0000}"/>
    <cellStyle name="Normal 11 4 5 2 2 2 2 2 2" xfId="56316" xr:uid="{00000000-0005-0000-0000-0000DD5A0000}"/>
    <cellStyle name="Normal 11 4 5 2 2 2 2 3" xfId="42754" xr:uid="{00000000-0005-0000-0000-0000DE5A0000}"/>
    <cellStyle name="Normal 11 4 5 2 2 2 3" xfId="22402" xr:uid="{00000000-0005-0000-0000-0000DF5A0000}"/>
    <cellStyle name="Normal 11 4 5 2 2 2 3 2" xfId="49535" xr:uid="{00000000-0005-0000-0000-0000E05A0000}"/>
    <cellStyle name="Normal 11 4 5 2 2 2 4" xfId="35973" xr:uid="{00000000-0005-0000-0000-0000E15A0000}"/>
    <cellStyle name="Normal 11 4 5 2 2 3" xfId="12226" xr:uid="{00000000-0005-0000-0000-0000E25A0000}"/>
    <cellStyle name="Normal 11 4 5 2 2 3 2" xfId="25794" xr:uid="{00000000-0005-0000-0000-0000E35A0000}"/>
    <cellStyle name="Normal 11 4 5 2 2 3 2 2" xfId="52927" xr:uid="{00000000-0005-0000-0000-0000E45A0000}"/>
    <cellStyle name="Normal 11 4 5 2 2 3 3" xfId="39365" xr:uid="{00000000-0005-0000-0000-0000E55A0000}"/>
    <cellStyle name="Normal 11 4 5 2 2 4" xfId="19013" xr:uid="{00000000-0005-0000-0000-0000E65A0000}"/>
    <cellStyle name="Normal 11 4 5 2 2 4 2" xfId="46146" xr:uid="{00000000-0005-0000-0000-0000E75A0000}"/>
    <cellStyle name="Normal 11 4 5 2 2 5" xfId="32584" xr:uid="{00000000-0005-0000-0000-0000E85A0000}"/>
    <cellStyle name="Normal 11 4 5 2 3" xfId="5276" xr:uid="{00000000-0005-0000-0000-0000E95A0000}"/>
    <cellStyle name="Normal 11 4 5 2 3 2" xfId="8826" xr:uid="{00000000-0005-0000-0000-0000EA5A0000}"/>
    <cellStyle name="Normal 11 4 5 2 3 2 2" xfId="15616" xr:uid="{00000000-0005-0000-0000-0000EB5A0000}"/>
    <cellStyle name="Normal 11 4 5 2 3 2 2 2" xfId="29184" xr:uid="{00000000-0005-0000-0000-0000EC5A0000}"/>
    <cellStyle name="Normal 11 4 5 2 3 2 2 2 2" xfId="56317" xr:uid="{00000000-0005-0000-0000-0000ED5A0000}"/>
    <cellStyle name="Normal 11 4 5 2 3 2 2 3" xfId="42755" xr:uid="{00000000-0005-0000-0000-0000EE5A0000}"/>
    <cellStyle name="Normal 11 4 5 2 3 2 3" xfId="22403" xr:uid="{00000000-0005-0000-0000-0000EF5A0000}"/>
    <cellStyle name="Normal 11 4 5 2 3 2 3 2" xfId="49536" xr:uid="{00000000-0005-0000-0000-0000F05A0000}"/>
    <cellStyle name="Normal 11 4 5 2 3 2 4" xfId="35974" xr:uid="{00000000-0005-0000-0000-0000F15A0000}"/>
    <cellStyle name="Normal 11 4 5 2 3 3" xfId="12227" xr:uid="{00000000-0005-0000-0000-0000F25A0000}"/>
    <cellStyle name="Normal 11 4 5 2 3 3 2" xfId="25795" xr:uid="{00000000-0005-0000-0000-0000F35A0000}"/>
    <cellStyle name="Normal 11 4 5 2 3 3 2 2" xfId="52928" xr:uid="{00000000-0005-0000-0000-0000F45A0000}"/>
    <cellStyle name="Normal 11 4 5 2 3 3 3" xfId="39366" xr:uid="{00000000-0005-0000-0000-0000F55A0000}"/>
    <cellStyle name="Normal 11 4 5 2 3 4" xfId="19014" xr:uid="{00000000-0005-0000-0000-0000F65A0000}"/>
    <cellStyle name="Normal 11 4 5 2 3 4 2" xfId="46147" xr:uid="{00000000-0005-0000-0000-0000F75A0000}"/>
    <cellStyle name="Normal 11 4 5 2 3 5" xfId="32585" xr:uid="{00000000-0005-0000-0000-0000F85A0000}"/>
    <cellStyle name="Normal 11 4 5 2 4" xfId="8824" xr:uid="{00000000-0005-0000-0000-0000F95A0000}"/>
    <cellStyle name="Normal 11 4 5 2 4 2" xfId="15614" xr:uid="{00000000-0005-0000-0000-0000FA5A0000}"/>
    <cellStyle name="Normal 11 4 5 2 4 2 2" xfId="29182" xr:uid="{00000000-0005-0000-0000-0000FB5A0000}"/>
    <cellStyle name="Normal 11 4 5 2 4 2 2 2" xfId="56315" xr:uid="{00000000-0005-0000-0000-0000FC5A0000}"/>
    <cellStyle name="Normal 11 4 5 2 4 2 3" xfId="42753" xr:uid="{00000000-0005-0000-0000-0000FD5A0000}"/>
    <cellStyle name="Normal 11 4 5 2 4 3" xfId="22401" xr:uid="{00000000-0005-0000-0000-0000FE5A0000}"/>
    <cellStyle name="Normal 11 4 5 2 4 3 2" xfId="49534" xr:uid="{00000000-0005-0000-0000-0000FF5A0000}"/>
    <cellStyle name="Normal 11 4 5 2 4 4" xfId="35972" xr:uid="{00000000-0005-0000-0000-0000005B0000}"/>
    <cellStyle name="Normal 11 4 5 2 5" xfId="12225" xr:uid="{00000000-0005-0000-0000-0000015B0000}"/>
    <cellStyle name="Normal 11 4 5 2 5 2" xfId="25793" xr:uid="{00000000-0005-0000-0000-0000025B0000}"/>
    <cellStyle name="Normal 11 4 5 2 5 2 2" xfId="52926" xr:uid="{00000000-0005-0000-0000-0000035B0000}"/>
    <cellStyle name="Normal 11 4 5 2 5 3" xfId="39364" xr:uid="{00000000-0005-0000-0000-0000045B0000}"/>
    <cellStyle name="Normal 11 4 5 2 6" xfId="19012" xr:uid="{00000000-0005-0000-0000-0000055B0000}"/>
    <cellStyle name="Normal 11 4 5 2 6 2" xfId="46145" xr:uid="{00000000-0005-0000-0000-0000065B0000}"/>
    <cellStyle name="Normal 11 4 5 2 7" xfId="32583" xr:uid="{00000000-0005-0000-0000-0000075B0000}"/>
    <cellStyle name="Normal 11 4 5 3" xfId="5277" xr:uid="{00000000-0005-0000-0000-0000085B0000}"/>
    <cellStyle name="Normal 11 4 5 3 2" xfId="8827" xr:uid="{00000000-0005-0000-0000-0000095B0000}"/>
    <cellStyle name="Normal 11 4 5 3 2 2" xfId="15617" xr:uid="{00000000-0005-0000-0000-00000A5B0000}"/>
    <cellStyle name="Normal 11 4 5 3 2 2 2" xfId="29185" xr:uid="{00000000-0005-0000-0000-00000B5B0000}"/>
    <cellStyle name="Normal 11 4 5 3 2 2 2 2" xfId="56318" xr:uid="{00000000-0005-0000-0000-00000C5B0000}"/>
    <cellStyle name="Normal 11 4 5 3 2 2 3" xfId="42756" xr:uid="{00000000-0005-0000-0000-00000D5B0000}"/>
    <cellStyle name="Normal 11 4 5 3 2 3" xfId="22404" xr:uid="{00000000-0005-0000-0000-00000E5B0000}"/>
    <cellStyle name="Normal 11 4 5 3 2 3 2" xfId="49537" xr:uid="{00000000-0005-0000-0000-00000F5B0000}"/>
    <cellStyle name="Normal 11 4 5 3 2 4" xfId="35975" xr:uid="{00000000-0005-0000-0000-0000105B0000}"/>
    <cellStyle name="Normal 11 4 5 3 3" xfId="12228" xr:uid="{00000000-0005-0000-0000-0000115B0000}"/>
    <cellStyle name="Normal 11 4 5 3 3 2" xfId="25796" xr:uid="{00000000-0005-0000-0000-0000125B0000}"/>
    <cellStyle name="Normal 11 4 5 3 3 2 2" xfId="52929" xr:uid="{00000000-0005-0000-0000-0000135B0000}"/>
    <cellStyle name="Normal 11 4 5 3 3 3" xfId="39367" xr:uid="{00000000-0005-0000-0000-0000145B0000}"/>
    <cellStyle name="Normal 11 4 5 3 4" xfId="19015" xr:uid="{00000000-0005-0000-0000-0000155B0000}"/>
    <cellStyle name="Normal 11 4 5 3 4 2" xfId="46148" xr:uid="{00000000-0005-0000-0000-0000165B0000}"/>
    <cellStyle name="Normal 11 4 5 3 5" xfId="32586" xr:uid="{00000000-0005-0000-0000-0000175B0000}"/>
    <cellStyle name="Normal 11 4 5 4" xfId="5278" xr:uid="{00000000-0005-0000-0000-0000185B0000}"/>
    <cellStyle name="Normal 11 4 5 4 2" xfId="8828" xr:uid="{00000000-0005-0000-0000-0000195B0000}"/>
    <cellStyle name="Normal 11 4 5 4 2 2" xfId="15618" xr:uid="{00000000-0005-0000-0000-00001A5B0000}"/>
    <cellStyle name="Normal 11 4 5 4 2 2 2" xfId="29186" xr:uid="{00000000-0005-0000-0000-00001B5B0000}"/>
    <cellStyle name="Normal 11 4 5 4 2 2 2 2" xfId="56319" xr:uid="{00000000-0005-0000-0000-00001C5B0000}"/>
    <cellStyle name="Normal 11 4 5 4 2 2 3" xfId="42757" xr:uid="{00000000-0005-0000-0000-00001D5B0000}"/>
    <cellStyle name="Normal 11 4 5 4 2 3" xfId="22405" xr:uid="{00000000-0005-0000-0000-00001E5B0000}"/>
    <cellStyle name="Normal 11 4 5 4 2 3 2" xfId="49538" xr:uid="{00000000-0005-0000-0000-00001F5B0000}"/>
    <cellStyle name="Normal 11 4 5 4 2 4" xfId="35976" xr:uid="{00000000-0005-0000-0000-0000205B0000}"/>
    <cellStyle name="Normal 11 4 5 4 3" xfId="12229" xr:uid="{00000000-0005-0000-0000-0000215B0000}"/>
    <cellStyle name="Normal 11 4 5 4 3 2" xfId="25797" xr:uid="{00000000-0005-0000-0000-0000225B0000}"/>
    <cellStyle name="Normal 11 4 5 4 3 2 2" xfId="52930" xr:uid="{00000000-0005-0000-0000-0000235B0000}"/>
    <cellStyle name="Normal 11 4 5 4 3 3" xfId="39368" xr:uid="{00000000-0005-0000-0000-0000245B0000}"/>
    <cellStyle name="Normal 11 4 5 4 4" xfId="19016" xr:uid="{00000000-0005-0000-0000-0000255B0000}"/>
    <cellStyle name="Normal 11 4 5 4 4 2" xfId="46149" xr:uid="{00000000-0005-0000-0000-0000265B0000}"/>
    <cellStyle name="Normal 11 4 5 4 5" xfId="32587" xr:uid="{00000000-0005-0000-0000-0000275B0000}"/>
    <cellStyle name="Normal 11 4 5 5" xfId="8823" xr:uid="{00000000-0005-0000-0000-0000285B0000}"/>
    <cellStyle name="Normal 11 4 5 5 2" xfId="15613" xr:uid="{00000000-0005-0000-0000-0000295B0000}"/>
    <cellStyle name="Normal 11 4 5 5 2 2" xfId="29181" xr:uid="{00000000-0005-0000-0000-00002A5B0000}"/>
    <cellStyle name="Normal 11 4 5 5 2 2 2" xfId="56314" xr:uid="{00000000-0005-0000-0000-00002B5B0000}"/>
    <cellStyle name="Normal 11 4 5 5 2 3" xfId="42752" xr:uid="{00000000-0005-0000-0000-00002C5B0000}"/>
    <cellStyle name="Normal 11 4 5 5 3" xfId="22400" xr:uid="{00000000-0005-0000-0000-00002D5B0000}"/>
    <cellStyle name="Normal 11 4 5 5 3 2" xfId="49533" xr:uid="{00000000-0005-0000-0000-00002E5B0000}"/>
    <cellStyle name="Normal 11 4 5 5 4" xfId="35971" xr:uid="{00000000-0005-0000-0000-00002F5B0000}"/>
    <cellStyle name="Normal 11 4 5 6" xfId="12224" xr:uid="{00000000-0005-0000-0000-0000305B0000}"/>
    <cellStyle name="Normal 11 4 5 6 2" xfId="25792" xr:uid="{00000000-0005-0000-0000-0000315B0000}"/>
    <cellStyle name="Normal 11 4 5 6 2 2" xfId="52925" xr:uid="{00000000-0005-0000-0000-0000325B0000}"/>
    <cellStyle name="Normal 11 4 5 6 3" xfId="39363" xr:uid="{00000000-0005-0000-0000-0000335B0000}"/>
    <cellStyle name="Normal 11 4 5 7" xfId="19011" xr:uid="{00000000-0005-0000-0000-0000345B0000}"/>
    <cellStyle name="Normal 11 4 5 7 2" xfId="46144" xr:uid="{00000000-0005-0000-0000-0000355B0000}"/>
    <cellStyle name="Normal 11 4 5 8" xfId="32582" xr:uid="{00000000-0005-0000-0000-0000365B0000}"/>
    <cellStyle name="Normal 11 4 6" xfId="5279" xr:uid="{00000000-0005-0000-0000-0000375B0000}"/>
    <cellStyle name="Normal 11 4 6 2" xfId="5280" xr:uid="{00000000-0005-0000-0000-0000385B0000}"/>
    <cellStyle name="Normal 11 4 6 2 2" xfId="8830" xr:uid="{00000000-0005-0000-0000-0000395B0000}"/>
    <cellStyle name="Normal 11 4 6 2 2 2" xfId="15620" xr:uid="{00000000-0005-0000-0000-00003A5B0000}"/>
    <cellStyle name="Normal 11 4 6 2 2 2 2" xfId="29188" xr:uid="{00000000-0005-0000-0000-00003B5B0000}"/>
    <cellStyle name="Normal 11 4 6 2 2 2 2 2" xfId="56321" xr:uid="{00000000-0005-0000-0000-00003C5B0000}"/>
    <cellStyle name="Normal 11 4 6 2 2 2 3" xfId="42759" xr:uid="{00000000-0005-0000-0000-00003D5B0000}"/>
    <cellStyle name="Normal 11 4 6 2 2 3" xfId="22407" xr:uid="{00000000-0005-0000-0000-00003E5B0000}"/>
    <cellStyle name="Normal 11 4 6 2 2 3 2" xfId="49540" xr:uid="{00000000-0005-0000-0000-00003F5B0000}"/>
    <cellStyle name="Normal 11 4 6 2 2 4" xfId="35978" xr:uid="{00000000-0005-0000-0000-0000405B0000}"/>
    <cellStyle name="Normal 11 4 6 2 3" xfId="12231" xr:uid="{00000000-0005-0000-0000-0000415B0000}"/>
    <cellStyle name="Normal 11 4 6 2 3 2" xfId="25799" xr:uid="{00000000-0005-0000-0000-0000425B0000}"/>
    <cellStyle name="Normal 11 4 6 2 3 2 2" xfId="52932" xr:uid="{00000000-0005-0000-0000-0000435B0000}"/>
    <cellStyle name="Normal 11 4 6 2 3 3" xfId="39370" xr:uid="{00000000-0005-0000-0000-0000445B0000}"/>
    <cellStyle name="Normal 11 4 6 2 4" xfId="19018" xr:uid="{00000000-0005-0000-0000-0000455B0000}"/>
    <cellStyle name="Normal 11 4 6 2 4 2" xfId="46151" xr:uid="{00000000-0005-0000-0000-0000465B0000}"/>
    <cellStyle name="Normal 11 4 6 2 5" xfId="32589" xr:uid="{00000000-0005-0000-0000-0000475B0000}"/>
    <cellStyle name="Normal 11 4 6 3" xfId="5281" xr:uid="{00000000-0005-0000-0000-0000485B0000}"/>
    <cellStyle name="Normal 11 4 6 3 2" xfId="8831" xr:uid="{00000000-0005-0000-0000-0000495B0000}"/>
    <cellStyle name="Normal 11 4 6 3 2 2" xfId="15621" xr:uid="{00000000-0005-0000-0000-00004A5B0000}"/>
    <cellStyle name="Normal 11 4 6 3 2 2 2" xfId="29189" xr:uid="{00000000-0005-0000-0000-00004B5B0000}"/>
    <cellStyle name="Normal 11 4 6 3 2 2 2 2" xfId="56322" xr:uid="{00000000-0005-0000-0000-00004C5B0000}"/>
    <cellStyle name="Normal 11 4 6 3 2 2 3" xfId="42760" xr:uid="{00000000-0005-0000-0000-00004D5B0000}"/>
    <cellStyle name="Normal 11 4 6 3 2 3" xfId="22408" xr:uid="{00000000-0005-0000-0000-00004E5B0000}"/>
    <cellStyle name="Normal 11 4 6 3 2 3 2" xfId="49541" xr:uid="{00000000-0005-0000-0000-00004F5B0000}"/>
    <cellStyle name="Normal 11 4 6 3 2 4" xfId="35979" xr:uid="{00000000-0005-0000-0000-0000505B0000}"/>
    <cellStyle name="Normal 11 4 6 3 3" xfId="12232" xr:uid="{00000000-0005-0000-0000-0000515B0000}"/>
    <cellStyle name="Normal 11 4 6 3 3 2" xfId="25800" xr:uid="{00000000-0005-0000-0000-0000525B0000}"/>
    <cellStyle name="Normal 11 4 6 3 3 2 2" xfId="52933" xr:uid="{00000000-0005-0000-0000-0000535B0000}"/>
    <cellStyle name="Normal 11 4 6 3 3 3" xfId="39371" xr:uid="{00000000-0005-0000-0000-0000545B0000}"/>
    <cellStyle name="Normal 11 4 6 3 4" xfId="19019" xr:uid="{00000000-0005-0000-0000-0000555B0000}"/>
    <cellStyle name="Normal 11 4 6 3 4 2" xfId="46152" xr:uid="{00000000-0005-0000-0000-0000565B0000}"/>
    <cellStyle name="Normal 11 4 6 3 5" xfId="32590" xr:uid="{00000000-0005-0000-0000-0000575B0000}"/>
    <cellStyle name="Normal 11 4 6 4" xfId="8829" xr:uid="{00000000-0005-0000-0000-0000585B0000}"/>
    <cellStyle name="Normal 11 4 6 4 2" xfId="15619" xr:uid="{00000000-0005-0000-0000-0000595B0000}"/>
    <cellStyle name="Normal 11 4 6 4 2 2" xfId="29187" xr:uid="{00000000-0005-0000-0000-00005A5B0000}"/>
    <cellStyle name="Normal 11 4 6 4 2 2 2" xfId="56320" xr:uid="{00000000-0005-0000-0000-00005B5B0000}"/>
    <cellStyle name="Normal 11 4 6 4 2 3" xfId="42758" xr:uid="{00000000-0005-0000-0000-00005C5B0000}"/>
    <cellStyle name="Normal 11 4 6 4 3" xfId="22406" xr:uid="{00000000-0005-0000-0000-00005D5B0000}"/>
    <cellStyle name="Normal 11 4 6 4 3 2" xfId="49539" xr:uid="{00000000-0005-0000-0000-00005E5B0000}"/>
    <cellStyle name="Normal 11 4 6 4 4" xfId="35977" xr:uid="{00000000-0005-0000-0000-00005F5B0000}"/>
    <cellStyle name="Normal 11 4 6 5" xfId="12230" xr:uid="{00000000-0005-0000-0000-0000605B0000}"/>
    <cellStyle name="Normal 11 4 6 5 2" xfId="25798" xr:uid="{00000000-0005-0000-0000-0000615B0000}"/>
    <cellStyle name="Normal 11 4 6 5 2 2" xfId="52931" xr:uid="{00000000-0005-0000-0000-0000625B0000}"/>
    <cellStyle name="Normal 11 4 6 5 3" xfId="39369" xr:uid="{00000000-0005-0000-0000-0000635B0000}"/>
    <cellStyle name="Normal 11 4 6 6" xfId="19017" xr:uid="{00000000-0005-0000-0000-0000645B0000}"/>
    <cellStyle name="Normal 11 4 6 6 2" xfId="46150" xr:uid="{00000000-0005-0000-0000-0000655B0000}"/>
    <cellStyle name="Normal 11 4 6 7" xfId="32588" xr:uid="{00000000-0005-0000-0000-0000665B0000}"/>
    <cellStyle name="Normal 11 4 7" xfId="5282" xr:uid="{00000000-0005-0000-0000-0000675B0000}"/>
    <cellStyle name="Normal 11 4 7 2" xfId="5283" xr:uid="{00000000-0005-0000-0000-0000685B0000}"/>
    <cellStyle name="Normal 11 4 7 2 2" xfId="8833" xr:uid="{00000000-0005-0000-0000-0000695B0000}"/>
    <cellStyle name="Normal 11 4 7 2 2 2" xfId="15623" xr:uid="{00000000-0005-0000-0000-00006A5B0000}"/>
    <cellStyle name="Normal 11 4 7 2 2 2 2" xfId="29191" xr:uid="{00000000-0005-0000-0000-00006B5B0000}"/>
    <cellStyle name="Normal 11 4 7 2 2 2 2 2" xfId="56324" xr:uid="{00000000-0005-0000-0000-00006C5B0000}"/>
    <cellStyle name="Normal 11 4 7 2 2 2 3" xfId="42762" xr:uid="{00000000-0005-0000-0000-00006D5B0000}"/>
    <cellStyle name="Normal 11 4 7 2 2 3" xfId="22410" xr:uid="{00000000-0005-0000-0000-00006E5B0000}"/>
    <cellStyle name="Normal 11 4 7 2 2 3 2" xfId="49543" xr:uid="{00000000-0005-0000-0000-00006F5B0000}"/>
    <cellStyle name="Normal 11 4 7 2 2 4" xfId="35981" xr:uid="{00000000-0005-0000-0000-0000705B0000}"/>
    <cellStyle name="Normal 11 4 7 2 3" xfId="12234" xr:uid="{00000000-0005-0000-0000-0000715B0000}"/>
    <cellStyle name="Normal 11 4 7 2 3 2" xfId="25802" xr:uid="{00000000-0005-0000-0000-0000725B0000}"/>
    <cellStyle name="Normal 11 4 7 2 3 2 2" xfId="52935" xr:uid="{00000000-0005-0000-0000-0000735B0000}"/>
    <cellStyle name="Normal 11 4 7 2 3 3" xfId="39373" xr:uid="{00000000-0005-0000-0000-0000745B0000}"/>
    <cellStyle name="Normal 11 4 7 2 4" xfId="19021" xr:uid="{00000000-0005-0000-0000-0000755B0000}"/>
    <cellStyle name="Normal 11 4 7 2 4 2" xfId="46154" xr:uid="{00000000-0005-0000-0000-0000765B0000}"/>
    <cellStyle name="Normal 11 4 7 2 5" xfId="32592" xr:uid="{00000000-0005-0000-0000-0000775B0000}"/>
    <cellStyle name="Normal 11 4 7 3" xfId="5284" xr:uid="{00000000-0005-0000-0000-0000785B0000}"/>
    <cellStyle name="Normal 11 4 7 3 2" xfId="8834" xr:uid="{00000000-0005-0000-0000-0000795B0000}"/>
    <cellStyle name="Normal 11 4 7 3 2 2" xfId="15624" xr:uid="{00000000-0005-0000-0000-00007A5B0000}"/>
    <cellStyle name="Normal 11 4 7 3 2 2 2" xfId="29192" xr:uid="{00000000-0005-0000-0000-00007B5B0000}"/>
    <cellStyle name="Normal 11 4 7 3 2 2 2 2" xfId="56325" xr:uid="{00000000-0005-0000-0000-00007C5B0000}"/>
    <cellStyle name="Normal 11 4 7 3 2 2 3" xfId="42763" xr:uid="{00000000-0005-0000-0000-00007D5B0000}"/>
    <cellStyle name="Normal 11 4 7 3 2 3" xfId="22411" xr:uid="{00000000-0005-0000-0000-00007E5B0000}"/>
    <cellStyle name="Normal 11 4 7 3 2 3 2" xfId="49544" xr:uid="{00000000-0005-0000-0000-00007F5B0000}"/>
    <cellStyle name="Normal 11 4 7 3 2 4" xfId="35982" xr:uid="{00000000-0005-0000-0000-0000805B0000}"/>
    <cellStyle name="Normal 11 4 7 3 3" xfId="12235" xr:uid="{00000000-0005-0000-0000-0000815B0000}"/>
    <cellStyle name="Normal 11 4 7 3 3 2" xfId="25803" xr:uid="{00000000-0005-0000-0000-0000825B0000}"/>
    <cellStyle name="Normal 11 4 7 3 3 2 2" xfId="52936" xr:uid="{00000000-0005-0000-0000-0000835B0000}"/>
    <cellStyle name="Normal 11 4 7 3 3 3" xfId="39374" xr:uid="{00000000-0005-0000-0000-0000845B0000}"/>
    <cellStyle name="Normal 11 4 7 3 4" xfId="19022" xr:uid="{00000000-0005-0000-0000-0000855B0000}"/>
    <cellStyle name="Normal 11 4 7 3 4 2" xfId="46155" xr:uid="{00000000-0005-0000-0000-0000865B0000}"/>
    <cellStyle name="Normal 11 4 7 3 5" xfId="32593" xr:uid="{00000000-0005-0000-0000-0000875B0000}"/>
    <cellStyle name="Normal 11 4 7 4" xfId="8832" xr:uid="{00000000-0005-0000-0000-0000885B0000}"/>
    <cellStyle name="Normal 11 4 7 4 2" xfId="15622" xr:uid="{00000000-0005-0000-0000-0000895B0000}"/>
    <cellStyle name="Normal 11 4 7 4 2 2" xfId="29190" xr:uid="{00000000-0005-0000-0000-00008A5B0000}"/>
    <cellStyle name="Normal 11 4 7 4 2 2 2" xfId="56323" xr:uid="{00000000-0005-0000-0000-00008B5B0000}"/>
    <cellStyle name="Normal 11 4 7 4 2 3" xfId="42761" xr:uid="{00000000-0005-0000-0000-00008C5B0000}"/>
    <cellStyle name="Normal 11 4 7 4 3" xfId="22409" xr:uid="{00000000-0005-0000-0000-00008D5B0000}"/>
    <cellStyle name="Normal 11 4 7 4 3 2" xfId="49542" xr:uid="{00000000-0005-0000-0000-00008E5B0000}"/>
    <cellStyle name="Normal 11 4 7 4 4" xfId="35980" xr:uid="{00000000-0005-0000-0000-00008F5B0000}"/>
    <cellStyle name="Normal 11 4 7 5" xfId="12233" xr:uid="{00000000-0005-0000-0000-0000905B0000}"/>
    <cellStyle name="Normal 11 4 7 5 2" xfId="25801" xr:uid="{00000000-0005-0000-0000-0000915B0000}"/>
    <cellStyle name="Normal 11 4 7 5 2 2" xfId="52934" xr:uid="{00000000-0005-0000-0000-0000925B0000}"/>
    <cellStyle name="Normal 11 4 7 5 3" xfId="39372" xr:uid="{00000000-0005-0000-0000-0000935B0000}"/>
    <cellStyle name="Normal 11 4 7 6" xfId="19020" xr:uid="{00000000-0005-0000-0000-0000945B0000}"/>
    <cellStyle name="Normal 11 4 7 6 2" xfId="46153" xr:uid="{00000000-0005-0000-0000-0000955B0000}"/>
    <cellStyle name="Normal 11 4 7 7" xfId="32591" xr:uid="{00000000-0005-0000-0000-0000965B0000}"/>
    <cellStyle name="Normal 11 4 8" xfId="5285" xr:uid="{00000000-0005-0000-0000-0000975B0000}"/>
    <cellStyle name="Normal 11 4 8 2" xfId="8835" xr:uid="{00000000-0005-0000-0000-0000985B0000}"/>
    <cellStyle name="Normal 11 4 8 2 2" xfId="15625" xr:uid="{00000000-0005-0000-0000-0000995B0000}"/>
    <cellStyle name="Normal 11 4 8 2 2 2" xfId="29193" xr:uid="{00000000-0005-0000-0000-00009A5B0000}"/>
    <cellStyle name="Normal 11 4 8 2 2 2 2" xfId="56326" xr:uid="{00000000-0005-0000-0000-00009B5B0000}"/>
    <cellStyle name="Normal 11 4 8 2 2 3" xfId="42764" xr:uid="{00000000-0005-0000-0000-00009C5B0000}"/>
    <cellStyle name="Normal 11 4 8 2 3" xfId="22412" xr:uid="{00000000-0005-0000-0000-00009D5B0000}"/>
    <cellStyle name="Normal 11 4 8 2 3 2" xfId="49545" xr:uid="{00000000-0005-0000-0000-00009E5B0000}"/>
    <cellStyle name="Normal 11 4 8 2 4" xfId="35983" xr:uid="{00000000-0005-0000-0000-00009F5B0000}"/>
    <cellStyle name="Normal 11 4 8 3" xfId="12236" xr:uid="{00000000-0005-0000-0000-0000A05B0000}"/>
    <cellStyle name="Normal 11 4 8 3 2" xfId="25804" xr:uid="{00000000-0005-0000-0000-0000A15B0000}"/>
    <cellStyle name="Normal 11 4 8 3 2 2" xfId="52937" xr:uid="{00000000-0005-0000-0000-0000A25B0000}"/>
    <cellStyle name="Normal 11 4 8 3 3" xfId="39375" xr:uid="{00000000-0005-0000-0000-0000A35B0000}"/>
    <cellStyle name="Normal 11 4 8 4" xfId="19023" xr:uid="{00000000-0005-0000-0000-0000A45B0000}"/>
    <cellStyle name="Normal 11 4 8 4 2" xfId="46156" xr:uid="{00000000-0005-0000-0000-0000A55B0000}"/>
    <cellStyle name="Normal 11 4 8 5" xfId="32594" xr:uid="{00000000-0005-0000-0000-0000A65B0000}"/>
    <cellStyle name="Normal 11 4 9" xfId="5286" xr:uid="{00000000-0005-0000-0000-0000A75B0000}"/>
    <cellStyle name="Normal 11 4 9 2" xfId="8836" xr:uid="{00000000-0005-0000-0000-0000A85B0000}"/>
    <cellStyle name="Normal 11 4 9 2 2" xfId="15626" xr:uid="{00000000-0005-0000-0000-0000A95B0000}"/>
    <cellStyle name="Normal 11 4 9 2 2 2" xfId="29194" xr:uid="{00000000-0005-0000-0000-0000AA5B0000}"/>
    <cellStyle name="Normal 11 4 9 2 2 2 2" xfId="56327" xr:uid="{00000000-0005-0000-0000-0000AB5B0000}"/>
    <cellStyle name="Normal 11 4 9 2 2 3" xfId="42765" xr:uid="{00000000-0005-0000-0000-0000AC5B0000}"/>
    <cellStyle name="Normal 11 4 9 2 3" xfId="22413" xr:uid="{00000000-0005-0000-0000-0000AD5B0000}"/>
    <cellStyle name="Normal 11 4 9 2 3 2" xfId="49546" xr:uid="{00000000-0005-0000-0000-0000AE5B0000}"/>
    <cellStyle name="Normal 11 4 9 2 4" xfId="35984" xr:uid="{00000000-0005-0000-0000-0000AF5B0000}"/>
    <cellStyle name="Normal 11 4 9 3" xfId="12237" xr:uid="{00000000-0005-0000-0000-0000B05B0000}"/>
    <cellStyle name="Normal 11 4 9 3 2" xfId="25805" xr:uid="{00000000-0005-0000-0000-0000B15B0000}"/>
    <cellStyle name="Normal 11 4 9 3 2 2" xfId="52938" xr:uid="{00000000-0005-0000-0000-0000B25B0000}"/>
    <cellStyle name="Normal 11 4 9 3 3" xfId="39376" xr:uid="{00000000-0005-0000-0000-0000B35B0000}"/>
    <cellStyle name="Normal 11 4 9 4" xfId="19024" xr:uid="{00000000-0005-0000-0000-0000B45B0000}"/>
    <cellStyle name="Normal 11 4 9 4 2" xfId="46157" xr:uid="{00000000-0005-0000-0000-0000B55B0000}"/>
    <cellStyle name="Normal 11 4 9 5" xfId="32595" xr:uid="{00000000-0005-0000-0000-0000B65B0000}"/>
    <cellStyle name="Normal 11 5" xfId="5287" xr:uid="{00000000-0005-0000-0000-0000B75B0000}"/>
    <cellStyle name="Normal 11 5 10" xfId="32596" xr:uid="{00000000-0005-0000-0000-0000B85B0000}"/>
    <cellStyle name="Normal 11 5 2" xfId="5288" xr:uid="{00000000-0005-0000-0000-0000B95B0000}"/>
    <cellStyle name="Normal 11 5 2 2" xfId="5289" xr:uid="{00000000-0005-0000-0000-0000BA5B0000}"/>
    <cellStyle name="Normal 11 5 2 2 2" xfId="5290" xr:uid="{00000000-0005-0000-0000-0000BB5B0000}"/>
    <cellStyle name="Normal 11 5 2 2 2 2" xfId="8840" xr:uid="{00000000-0005-0000-0000-0000BC5B0000}"/>
    <cellStyle name="Normal 11 5 2 2 2 2 2" xfId="15630" xr:uid="{00000000-0005-0000-0000-0000BD5B0000}"/>
    <cellStyle name="Normal 11 5 2 2 2 2 2 2" xfId="29198" xr:uid="{00000000-0005-0000-0000-0000BE5B0000}"/>
    <cellStyle name="Normal 11 5 2 2 2 2 2 2 2" xfId="56331" xr:uid="{00000000-0005-0000-0000-0000BF5B0000}"/>
    <cellStyle name="Normal 11 5 2 2 2 2 2 3" xfId="42769" xr:uid="{00000000-0005-0000-0000-0000C05B0000}"/>
    <cellStyle name="Normal 11 5 2 2 2 2 3" xfId="22417" xr:uid="{00000000-0005-0000-0000-0000C15B0000}"/>
    <cellStyle name="Normal 11 5 2 2 2 2 3 2" xfId="49550" xr:uid="{00000000-0005-0000-0000-0000C25B0000}"/>
    <cellStyle name="Normal 11 5 2 2 2 2 4" xfId="35988" xr:uid="{00000000-0005-0000-0000-0000C35B0000}"/>
    <cellStyle name="Normal 11 5 2 2 2 3" xfId="12241" xr:uid="{00000000-0005-0000-0000-0000C45B0000}"/>
    <cellStyle name="Normal 11 5 2 2 2 3 2" xfId="25809" xr:uid="{00000000-0005-0000-0000-0000C55B0000}"/>
    <cellStyle name="Normal 11 5 2 2 2 3 2 2" xfId="52942" xr:uid="{00000000-0005-0000-0000-0000C65B0000}"/>
    <cellStyle name="Normal 11 5 2 2 2 3 3" xfId="39380" xr:uid="{00000000-0005-0000-0000-0000C75B0000}"/>
    <cellStyle name="Normal 11 5 2 2 2 4" xfId="19028" xr:uid="{00000000-0005-0000-0000-0000C85B0000}"/>
    <cellStyle name="Normal 11 5 2 2 2 4 2" xfId="46161" xr:uid="{00000000-0005-0000-0000-0000C95B0000}"/>
    <cellStyle name="Normal 11 5 2 2 2 5" xfId="32599" xr:uid="{00000000-0005-0000-0000-0000CA5B0000}"/>
    <cellStyle name="Normal 11 5 2 2 3" xfId="5291" xr:uid="{00000000-0005-0000-0000-0000CB5B0000}"/>
    <cellStyle name="Normal 11 5 2 2 3 2" xfId="8841" xr:uid="{00000000-0005-0000-0000-0000CC5B0000}"/>
    <cellStyle name="Normal 11 5 2 2 3 2 2" xfId="15631" xr:uid="{00000000-0005-0000-0000-0000CD5B0000}"/>
    <cellStyle name="Normal 11 5 2 2 3 2 2 2" xfId="29199" xr:uid="{00000000-0005-0000-0000-0000CE5B0000}"/>
    <cellStyle name="Normal 11 5 2 2 3 2 2 2 2" xfId="56332" xr:uid="{00000000-0005-0000-0000-0000CF5B0000}"/>
    <cellStyle name="Normal 11 5 2 2 3 2 2 3" xfId="42770" xr:uid="{00000000-0005-0000-0000-0000D05B0000}"/>
    <cellStyle name="Normal 11 5 2 2 3 2 3" xfId="22418" xr:uid="{00000000-0005-0000-0000-0000D15B0000}"/>
    <cellStyle name="Normal 11 5 2 2 3 2 3 2" xfId="49551" xr:uid="{00000000-0005-0000-0000-0000D25B0000}"/>
    <cellStyle name="Normal 11 5 2 2 3 2 4" xfId="35989" xr:uid="{00000000-0005-0000-0000-0000D35B0000}"/>
    <cellStyle name="Normal 11 5 2 2 3 3" xfId="12242" xr:uid="{00000000-0005-0000-0000-0000D45B0000}"/>
    <cellStyle name="Normal 11 5 2 2 3 3 2" xfId="25810" xr:uid="{00000000-0005-0000-0000-0000D55B0000}"/>
    <cellStyle name="Normal 11 5 2 2 3 3 2 2" xfId="52943" xr:uid="{00000000-0005-0000-0000-0000D65B0000}"/>
    <cellStyle name="Normal 11 5 2 2 3 3 3" xfId="39381" xr:uid="{00000000-0005-0000-0000-0000D75B0000}"/>
    <cellStyle name="Normal 11 5 2 2 3 4" xfId="19029" xr:uid="{00000000-0005-0000-0000-0000D85B0000}"/>
    <cellStyle name="Normal 11 5 2 2 3 4 2" xfId="46162" xr:uid="{00000000-0005-0000-0000-0000D95B0000}"/>
    <cellStyle name="Normal 11 5 2 2 3 5" xfId="32600" xr:uid="{00000000-0005-0000-0000-0000DA5B0000}"/>
    <cellStyle name="Normal 11 5 2 2 4" xfId="8839" xr:uid="{00000000-0005-0000-0000-0000DB5B0000}"/>
    <cellStyle name="Normal 11 5 2 2 4 2" xfId="15629" xr:uid="{00000000-0005-0000-0000-0000DC5B0000}"/>
    <cellStyle name="Normal 11 5 2 2 4 2 2" xfId="29197" xr:uid="{00000000-0005-0000-0000-0000DD5B0000}"/>
    <cellStyle name="Normal 11 5 2 2 4 2 2 2" xfId="56330" xr:uid="{00000000-0005-0000-0000-0000DE5B0000}"/>
    <cellStyle name="Normal 11 5 2 2 4 2 3" xfId="42768" xr:uid="{00000000-0005-0000-0000-0000DF5B0000}"/>
    <cellStyle name="Normal 11 5 2 2 4 3" xfId="22416" xr:uid="{00000000-0005-0000-0000-0000E05B0000}"/>
    <cellStyle name="Normal 11 5 2 2 4 3 2" xfId="49549" xr:uid="{00000000-0005-0000-0000-0000E15B0000}"/>
    <cellStyle name="Normal 11 5 2 2 4 4" xfId="35987" xr:uid="{00000000-0005-0000-0000-0000E25B0000}"/>
    <cellStyle name="Normal 11 5 2 2 5" xfId="12240" xr:uid="{00000000-0005-0000-0000-0000E35B0000}"/>
    <cellStyle name="Normal 11 5 2 2 5 2" xfId="25808" xr:uid="{00000000-0005-0000-0000-0000E45B0000}"/>
    <cellStyle name="Normal 11 5 2 2 5 2 2" xfId="52941" xr:uid="{00000000-0005-0000-0000-0000E55B0000}"/>
    <cellStyle name="Normal 11 5 2 2 5 3" xfId="39379" xr:uid="{00000000-0005-0000-0000-0000E65B0000}"/>
    <cellStyle name="Normal 11 5 2 2 6" xfId="19027" xr:uid="{00000000-0005-0000-0000-0000E75B0000}"/>
    <cellStyle name="Normal 11 5 2 2 6 2" xfId="46160" xr:uid="{00000000-0005-0000-0000-0000E85B0000}"/>
    <cellStyle name="Normal 11 5 2 2 7" xfId="32598" xr:uid="{00000000-0005-0000-0000-0000E95B0000}"/>
    <cellStyle name="Normal 11 5 2 3" xfId="5292" xr:uid="{00000000-0005-0000-0000-0000EA5B0000}"/>
    <cellStyle name="Normal 11 5 2 3 2" xfId="5293" xr:uid="{00000000-0005-0000-0000-0000EB5B0000}"/>
    <cellStyle name="Normal 11 5 2 3 2 2" xfId="8843" xr:uid="{00000000-0005-0000-0000-0000EC5B0000}"/>
    <cellStyle name="Normal 11 5 2 3 2 2 2" xfId="15633" xr:uid="{00000000-0005-0000-0000-0000ED5B0000}"/>
    <cellStyle name="Normal 11 5 2 3 2 2 2 2" xfId="29201" xr:uid="{00000000-0005-0000-0000-0000EE5B0000}"/>
    <cellStyle name="Normal 11 5 2 3 2 2 2 2 2" xfId="56334" xr:uid="{00000000-0005-0000-0000-0000EF5B0000}"/>
    <cellStyle name="Normal 11 5 2 3 2 2 2 3" xfId="42772" xr:uid="{00000000-0005-0000-0000-0000F05B0000}"/>
    <cellStyle name="Normal 11 5 2 3 2 2 3" xfId="22420" xr:uid="{00000000-0005-0000-0000-0000F15B0000}"/>
    <cellStyle name="Normal 11 5 2 3 2 2 3 2" xfId="49553" xr:uid="{00000000-0005-0000-0000-0000F25B0000}"/>
    <cellStyle name="Normal 11 5 2 3 2 2 4" xfId="35991" xr:uid="{00000000-0005-0000-0000-0000F35B0000}"/>
    <cellStyle name="Normal 11 5 2 3 2 3" xfId="12244" xr:uid="{00000000-0005-0000-0000-0000F45B0000}"/>
    <cellStyle name="Normal 11 5 2 3 2 3 2" xfId="25812" xr:uid="{00000000-0005-0000-0000-0000F55B0000}"/>
    <cellStyle name="Normal 11 5 2 3 2 3 2 2" xfId="52945" xr:uid="{00000000-0005-0000-0000-0000F65B0000}"/>
    <cellStyle name="Normal 11 5 2 3 2 3 3" xfId="39383" xr:uid="{00000000-0005-0000-0000-0000F75B0000}"/>
    <cellStyle name="Normal 11 5 2 3 2 4" xfId="19031" xr:uid="{00000000-0005-0000-0000-0000F85B0000}"/>
    <cellStyle name="Normal 11 5 2 3 2 4 2" xfId="46164" xr:uid="{00000000-0005-0000-0000-0000F95B0000}"/>
    <cellStyle name="Normal 11 5 2 3 2 5" xfId="32602" xr:uid="{00000000-0005-0000-0000-0000FA5B0000}"/>
    <cellStyle name="Normal 11 5 2 3 3" xfId="8842" xr:uid="{00000000-0005-0000-0000-0000FB5B0000}"/>
    <cellStyle name="Normal 11 5 2 3 3 2" xfId="15632" xr:uid="{00000000-0005-0000-0000-0000FC5B0000}"/>
    <cellStyle name="Normal 11 5 2 3 3 2 2" xfId="29200" xr:uid="{00000000-0005-0000-0000-0000FD5B0000}"/>
    <cellStyle name="Normal 11 5 2 3 3 2 2 2" xfId="56333" xr:uid="{00000000-0005-0000-0000-0000FE5B0000}"/>
    <cellStyle name="Normal 11 5 2 3 3 2 3" xfId="42771" xr:uid="{00000000-0005-0000-0000-0000FF5B0000}"/>
    <cellStyle name="Normal 11 5 2 3 3 3" xfId="22419" xr:uid="{00000000-0005-0000-0000-0000005C0000}"/>
    <cellStyle name="Normal 11 5 2 3 3 3 2" xfId="49552" xr:uid="{00000000-0005-0000-0000-0000015C0000}"/>
    <cellStyle name="Normal 11 5 2 3 3 4" xfId="35990" xr:uid="{00000000-0005-0000-0000-0000025C0000}"/>
    <cellStyle name="Normal 11 5 2 3 4" xfId="12243" xr:uid="{00000000-0005-0000-0000-0000035C0000}"/>
    <cellStyle name="Normal 11 5 2 3 4 2" xfId="25811" xr:uid="{00000000-0005-0000-0000-0000045C0000}"/>
    <cellStyle name="Normal 11 5 2 3 4 2 2" xfId="52944" xr:uid="{00000000-0005-0000-0000-0000055C0000}"/>
    <cellStyle name="Normal 11 5 2 3 4 3" xfId="39382" xr:uid="{00000000-0005-0000-0000-0000065C0000}"/>
    <cellStyle name="Normal 11 5 2 3 5" xfId="19030" xr:uid="{00000000-0005-0000-0000-0000075C0000}"/>
    <cellStyle name="Normal 11 5 2 3 5 2" xfId="46163" xr:uid="{00000000-0005-0000-0000-0000085C0000}"/>
    <cellStyle name="Normal 11 5 2 3 6" xfId="32601" xr:uid="{00000000-0005-0000-0000-0000095C0000}"/>
    <cellStyle name="Normal 11 5 2 4" xfId="5294" xr:uid="{00000000-0005-0000-0000-00000A5C0000}"/>
    <cellStyle name="Normal 11 5 2 4 2" xfId="8844" xr:uid="{00000000-0005-0000-0000-00000B5C0000}"/>
    <cellStyle name="Normal 11 5 2 4 2 2" xfId="15634" xr:uid="{00000000-0005-0000-0000-00000C5C0000}"/>
    <cellStyle name="Normal 11 5 2 4 2 2 2" xfId="29202" xr:uid="{00000000-0005-0000-0000-00000D5C0000}"/>
    <cellStyle name="Normal 11 5 2 4 2 2 2 2" xfId="56335" xr:uid="{00000000-0005-0000-0000-00000E5C0000}"/>
    <cellStyle name="Normal 11 5 2 4 2 2 3" xfId="42773" xr:uid="{00000000-0005-0000-0000-00000F5C0000}"/>
    <cellStyle name="Normal 11 5 2 4 2 3" xfId="22421" xr:uid="{00000000-0005-0000-0000-0000105C0000}"/>
    <cellStyle name="Normal 11 5 2 4 2 3 2" xfId="49554" xr:uid="{00000000-0005-0000-0000-0000115C0000}"/>
    <cellStyle name="Normal 11 5 2 4 2 4" xfId="35992" xr:uid="{00000000-0005-0000-0000-0000125C0000}"/>
    <cellStyle name="Normal 11 5 2 4 3" xfId="12245" xr:uid="{00000000-0005-0000-0000-0000135C0000}"/>
    <cellStyle name="Normal 11 5 2 4 3 2" xfId="25813" xr:uid="{00000000-0005-0000-0000-0000145C0000}"/>
    <cellStyle name="Normal 11 5 2 4 3 2 2" xfId="52946" xr:uid="{00000000-0005-0000-0000-0000155C0000}"/>
    <cellStyle name="Normal 11 5 2 4 3 3" xfId="39384" xr:uid="{00000000-0005-0000-0000-0000165C0000}"/>
    <cellStyle name="Normal 11 5 2 4 4" xfId="19032" xr:uid="{00000000-0005-0000-0000-0000175C0000}"/>
    <cellStyle name="Normal 11 5 2 4 4 2" xfId="46165" xr:uid="{00000000-0005-0000-0000-0000185C0000}"/>
    <cellStyle name="Normal 11 5 2 4 5" xfId="32603" xr:uid="{00000000-0005-0000-0000-0000195C0000}"/>
    <cellStyle name="Normal 11 5 2 5" xfId="5295" xr:uid="{00000000-0005-0000-0000-00001A5C0000}"/>
    <cellStyle name="Normal 11 5 2 5 2" xfId="8845" xr:uid="{00000000-0005-0000-0000-00001B5C0000}"/>
    <cellStyle name="Normal 11 5 2 5 2 2" xfId="15635" xr:uid="{00000000-0005-0000-0000-00001C5C0000}"/>
    <cellStyle name="Normal 11 5 2 5 2 2 2" xfId="29203" xr:uid="{00000000-0005-0000-0000-00001D5C0000}"/>
    <cellStyle name="Normal 11 5 2 5 2 2 2 2" xfId="56336" xr:uid="{00000000-0005-0000-0000-00001E5C0000}"/>
    <cellStyle name="Normal 11 5 2 5 2 2 3" xfId="42774" xr:uid="{00000000-0005-0000-0000-00001F5C0000}"/>
    <cellStyle name="Normal 11 5 2 5 2 3" xfId="22422" xr:uid="{00000000-0005-0000-0000-0000205C0000}"/>
    <cellStyle name="Normal 11 5 2 5 2 3 2" xfId="49555" xr:uid="{00000000-0005-0000-0000-0000215C0000}"/>
    <cellStyle name="Normal 11 5 2 5 2 4" xfId="35993" xr:uid="{00000000-0005-0000-0000-0000225C0000}"/>
    <cellStyle name="Normal 11 5 2 5 3" xfId="12246" xr:uid="{00000000-0005-0000-0000-0000235C0000}"/>
    <cellStyle name="Normal 11 5 2 5 3 2" xfId="25814" xr:uid="{00000000-0005-0000-0000-0000245C0000}"/>
    <cellStyle name="Normal 11 5 2 5 3 2 2" xfId="52947" xr:uid="{00000000-0005-0000-0000-0000255C0000}"/>
    <cellStyle name="Normal 11 5 2 5 3 3" xfId="39385" xr:uid="{00000000-0005-0000-0000-0000265C0000}"/>
    <cellStyle name="Normal 11 5 2 5 4" xfId="19033" xr:uid="{00000000-0005-0000-0000-0000275C0000}"/>
    <cellStyle name="Normal 11 5 2 5 4 2" xfId="46166" xr:uid="{00000000-0005-0000-0000-0000285C0000}"/>
    <cellStyle name="Normal 11 5 2 5 5" xfId="32604" xr:uid="{00000000-0005-0000-0000-0000295C0000}"/>
    <cellStyle name="Normal 11 5 2 6" xfId="8838" xr:uid="{00000000-0005-0000-0000-00002A5C0000}"/>
    <cellStyle name="Normal 11 5 2 6 2" xfId="15628" xr:uid="{00000000-0005-0000-0000-00002B5C0000}"/>
    <cellStyle name="Normal 11 5 2 6 2 2" xfId="29196" xr:uid="{00000000-0005-0000-0000-00002C5C0000}"/>
    <cellStyle name="Normal 11 5 2 6 2 2 2" xfId="56329" xr:uid="{00000000-0005-0000-0000-00002D5C0000}"/>
    <cellStyle name="Normal 11 5 2 6 2 3" xfId="42767" xr:uid="{00000000-0005-0000-0000-00002E5C0000}"/>
    <cellStyle name="Normal 11 5 2 6 3" xfId="22415" xr:uid="{00000000-0005-0000-0000-00002F5C0000}"/>
    <cellStyle name="Normal 11 5 2 6 3 2" xfId="49548" xr:uid="{00000000-0005-0000-0000-0000305C0000}"/>
    <cellStyle name="Normal 11 5 2 6 4" xfId="35986" xr:uid="{00000000-0005-0000-0000-0000315C0000}"/>
    <cellStyle name="Normal 11 5 2 7" xfId="12239" xr:uid="{00000000-0005-0000-0000-0000325C0000}"/>
    <cellStyle name="Normal 11 5 2 7 2" xfId="25807" xr:uid="{00000000-0005-0000-0000-0000335C0000}"/>
    <cellStyle name="Normal 11 5 2 7 2 2" xfId="52940" xr:uid="{00000000-0005-0000-0000-0000345C0000}"/>
    <cellStyle name="Normal 11 5 2 7 3" xfId="39378" xr:uid="{00000000-0005-0000-0000-0000355C0000}"/>
    <cellStyle name="Normal 11 5 2 8" xfId="19026" xr:uid="{00000000-0005-0000-0000-0000365C0000}"/>
    <cellStyle name="Normal 11 5 2 8 2" xfId="46159" xr:uid="{00000000-0005-0000-0000-0000375C0000}"/>
    <cellStyle name="Normal 11 5 2 9" xfId="32597" xr:uid="{00000000-0005-0000-0000-0000385C0000}"/>
    <cellStyle name="Normal 11 5 3" xfId="5296" xr:uid="{00000000-0005-0000-0000-0000395C0000}"/>
    <cellStyle name="Normal 11 5 3 2" xfId="5297" xr:uid="{00000000-0005-0000-0000-00003A5C0000}"/>
    <cellStyle name="Normal 11 5 3 2 2" xfId="8847" xr:uid="{00000000-0005-0000-0000-00003B5C0000}"/>
    <cellStyle name="Normal 11 5 3 2 2 2" xfId="15637" xr:uid="{00000000-0005-0000-0000-00003C5C0000}"/>
    <cellStyle name="Normal 11 5 3 2 2 2 2" xfId="29205" xr:uid="{00000000-0005-0000-0000-00003D5C0000}"/>
    <cellStyle name="Normal 11 5 3 2 2 2 2 2" xfId="56338" xr:uid="{00000000-0005-0000-0000-00003E5C0000}"/>
    <cellStyle name="Normal 11 5 3 2 2 2 3" xfId="42776" xr:uid="{00000000-0005-0000-0000-00003F5C0000}"/>
    <cellStyle name="Normal 11 5 3 2 2 3" xfId="22424" xr:uid="{00000000-0005-0000-0000-0000405C0000}"/>
    <cellStyle name="Normal 11 5 3 2 2 3 2" xfId="49557" xr:uid="{00000000-0005-0000-0000-0000415C0000}"/>
    <cellStyle name="Normal 11 5 3 2 2 4" xfId="35995" xr:uid="{00000000-0005-0000-0000-0000425C0000}"/>
    <cellStyle name="Normal 11 5 3 2 3" xfId="12248" xr:uid="{00000000-0005-0000-0000-0000435C0000}"/>
    <cellStyle name="Normal 11 5 3 2 3 2" xfId="25816" xr:uid="{00000000-0005-0000-0000-0000445C0000}"/>
    <cellStyle name="Normal 11 5 3 2 3 2 2" xfId="52949" xr:uid="{00000000-0005-0000-0000-0000455C0000}"/>
    <cellStyle name="Normal 11 5 3 2 3 3" xfId="39387" xr:uid="{00000000-0005-0000-0000-0000465C0000}"/>
    <cellStyle name="Normal 11 5 3 2 4" xfId="19035" xr:uid="{00000000-0005-0000-0000-0000475C0000}"/>
    <cellStyle name="Normal 11 5 3 2 4 2" xfId="46168" xr:uid="{00000000-0005-0000-0000-0000485C0000}"/>
    <cellStyle name="Normal 11 5 3 2 5" xfId="32606" xr:uid="{00000000-0005-0000-0000-0000495C0000}"/>
    <cellStyle name="Normal 11 5 3 3" xfId="5298" xr:uid="{00000000-0005-0000-0000-00004A5C0000}"/>
    <cellStyle name="Normal 11 5 3 3 2" xfId="8848" xr:uid="{00000000-0005-0000-0000-00004B5C0000}"/>
    <cellStyle name="Normal 11 5 3 3 2 2" xfId="15638" xr:uid="{00000000-0005-0000-0000-00004C5C0000}"/>
    <cellStyle name="Normal 11 5 3 3 2 2 2" xfId="29206" xr:uid="{00000000-0005-0000-0000-00004D5C0000}"/>
    <cellStyle name="Normal 11 5 3 3 2 2 2 2" xfId="56339" xr:uid="{00000000-0005-0000-0000-00004E5C0000}"/>
    <cellStyle name="Normal 11 5 3 3 2 2 3" xfId="42777" xr:uid="{00000000-0005-0000-0000-00004F5C0000}"/>
    <cellStyle name="Normal 11 5 3 3 2 3" xfId="22425" xr:uid="{00000000-0005-0000-0000-0000505C0000}"/>
    <cellStyle name="Normal 11 5 3 3 2 3 2" xfId="49558" xr:uid="{00000000-0005-0000-0000-0000515C0000}"/>
    <cellStyle name="Normal 11 5 3 3 2 4" xfId="35996" xr:uid="{00000000-0005-0000-0000-0000525C0000}"/>
    <cellStyle name="Normal 11 5 3 3 3" xfId="12249" xr:uid="{00000000-0005-0000-0000-0000535C0000}"/>
    <cellStyle name="Normal 11 5 3 3 3 2" xfId="25817" xr:uid="{00000000-0005-0000-0000-0000545C0000}"/>
    <cellStyle name="Normal 11 5 3 3 3 2 2" xfId="52950" xr:uid="{00000000-0005-0000-0000-0000555C0000}"/>
    <cellStyle name="Normal 11 5 3 3 3 3" xfId="39388" xr:uid="{00000000-0005-0000-0000-0000565C0000}"/>
    <cellStyle name="Normal 11 5 3 3 4" xfId="19036" xr:uid="{00000000-0005-0000-0000-0000575C0000}"/>
    <cellStyle name="Normal 11 5 3 3 4 2" xfId="46169" xr:uid="{00000000-0005-0000-0000-0000585C0000}"/>
    <cellStyle name="Normal 11 5 3 3 5" xfId="32607" xr:uid="{00000000-0005-0000-0000-0000595C0000}"/>
    <cellStyle name="Normal 11 5 3 4" xfId="8846" xr:uid="{00000000-0005-0000-0000-00005A5C0000}"/>
    <cellStyle name="Normal 11 5 3 4 2" xfId="15636" xr:uid="{00000000-0005-0000-0000-00005B5C0000}"/>
    <cellStyle name="Normal 11 5 3 4 2 2" xfId="29204" xr:uid="{00000000-0005-0000-0000-00005C5C0000}"/>
    <cellStyle name="Normal 11 5 3 4 2 2 2" xfId="56337" xr:uid="{00000000-0005-0000-0000-00005D5C0000}"/>
    <cellStyle name="Normal 11 5 3 4 2 3" xfId="42775" xr:uid="{00000000-0005-0000-0000-00005E5C0000}"/>
    <cellStyle name="Normal 11 5 3 4 3" xfId="22423" xr:uid="{00000000-0005-0000-0000-00005F5C0000}"/>
    <cellStyle name="Normal 11 5 3 4 3 2" xfId="49556" xr:uid="{00000000-0005-0000-0000-0000605C0000}"/>
    <cellStyle name="Normal 11 5 3 4 4" xfId="35994" xr:uid="{00000000-0005-0000-0000-0000615C0000}"/>
    <cellStyle name="Normal 11 5 3 5" xfId="12247" xr:uid="{00000000-0005-0000-0000-0000625C0000}"/>
    <cellStyle name="Normal 11 5 3 5 2" xfId="25815" xr:uid="{00000000-0005-0000-0000-0000635C0000}"/>
    <cellStyle name="Normal 11 5 3 5 2 2" xfId="52948" xr:uid="{00000000-0005-0000-0000-0000645C0000}"/>
    <cellStyle name="Normal 11 5 3 5 3" xfId="39386" xr:uid="{00000000-0005-0000-0000-0000655C0000}"/>
    <cellStyle name="Normal 11 5 3 6" xfId="19034" xr:uid="{00000000-0005-0000-0000-0000665C0000}"/>
    <cellStyle name="Normal 11 5 3 6 2" xfId="46167" xr:uid="{00000000-0005-0000-0000-0000675C0000}"/>
    <cellStyle name="Normal 11 5 3 7" xfId="32605" xr:uid="{00000000-0005-0000-0000-0000685C0000}"/>
    <cellStyle name="Normal 11 5 4" xfId="5299" xr:uid="{00000000-0005-0000-0000-0000695C0000}"/>
    <cellStyle name="Normal 11 5 4 2" xfId="5300" xr:uid="{00000000-0005-0000-0000-00006A5C0000}"/>
    <cellStyle name="Normal 11 5 4 2 2" xfId="8850" xr:uid="{00000000-0005-0000-0000-00006B5C0000}"/>
    <cellStyle name="Normal 11 5 4 2 2 2" xfId="15640" xr:uid="{00000000-0005-0000-0000-00006C5C0000}"/>
    <cellStyle name="Normal 11 5 4 2 2 2 2" xfId="29208" xr:uid="{00000000-0005-0000-0000-00006D5C0000}"/>
    <cellStyle name="Normal 11 5 4 2 2 2 2 2" xfId="56341" xr:uid="{00000000-0005-0000-0000-00006E5C0000}"/>
    <cellStyle name="Normal 11 5 4 2 2 2 3" xfId="42779" xr:uid="{00000000-0005-0000-0000-00006F5C0000}"/>
    <cellStyle name="Normal 11 5 4 2 2 3" xfId="22427" xr:uid="{00000000-0005-0000-0000-0000705C0000}"/>
    <cellStyle name="Normal 11 5 4 2 2 3 2" xfId="49560" xr:uid="{00000000-0005-0000-0000-0000715C0000}"/>
    <cellStyle name="Normal 11 5 4 2 2 4" xfId="35998" xr:uid="{00000000-0005-0000-0000-0000725C0000}"/>
    <cellStyle name="Normal 11 5 4 2 3" xfId="12251" xr:uid="{00000000-0005-0000-0000-0000735C0000}"/>
    <cellStyle name="Normal 11 5 4 2 3 2" xfId="25819" xr:uid="{00000000-0005-0000-0000-0000745C0000}"/>
    <cellStyle name="Normal 11 5 4 2 3 2 2" xfId="52952" xr:uid="{00000000-0005-0000-0000-0000755C0000}"/>
    <cellStyle name="Normal 11 5 4 2 3 3" xfId="39390" xr:uid="{00000000-0005-0000-0000-0000765C0000}"/>
    <cellStyle name="Normal 11 5 4 2 4" xfId="19038" xr:uid="{00000000-0005-0000-0000-0000775C0000}"/>
    <cellStyle name="Normal 11 5 4 2 4 2" xfId="46171" xr:uid="{00000000-0005-0000-0000-0000785C0000}"/>
    <cellStyle name="Normal 11 5 4 2 5" xfId="32609" xr:uid="{00000000-0005-0000-0000-0000795C0000}"/>
    <cellStyle name="Normal 11 5 4 3" xfId="8849" xr:uid="{00000000-0005-0000-0000-00007A5C0000}"/>
    <cellStyle name="Normal 11 5 4 3 2" xfId="15639" xr:uid="{00000000-0005-0000-0000-00007B5C0000}"/>
    <cellStyle name="Normal 11 5 4 3 2 2" xfId="29207" xr:uid="{00000000-0005-0000-0000-00007C5C0000}"/>
    <cellStyle name="Normal 11 5 4 3 2 2 2" xfId="56340" xr:uid="{00000000-0005-0000-0000-00007D5C0000}"/>
    <cellStyle name="Normal 11 5 4 3 2 3" xfId="42778" xr:uid="{00000000-0005-0000-0000-00007E5C0000}"/>
    <cellStyle name="Normal 11 5 4 3 3" xfId="22426" xr:uid="{00000000-0005-0000-0000-00007F5C0000}"/>
    <cellStyle name="Normal 11 5 4 3 3 2" xfId="49559" xr:uid="{00000000-0005-0000-0000-0000805C0000}"/>
    <cellStyle name="Normal 11 5 4 3 4" xfId="35997" xr:uid="{00000000-0005-0000-0000-0000815C0000}"/>
    <cellStyle name="Normal 11 5 4 4" xfId="12250" xr:uid="{00000000-0005-0000-0000-0000825C0000}"/>
    <cellStyle name="Normal 11 5 4 4 2" xfId="25818" xr:uid="{00000000-0005-0000-0000-0000835C0000}"/>
    <cellStyle name="Normal 11 5 4 4 2 2" xfId="52951" xr:uid="{00000000-0005-0000-0000-0000845C0000}"/>
    <cellStyle name="Normal 11 5 4 4 3" xfId="39389" xr:uid="{00000000-0005-0000-0000-0000855C0000}"/>
    <cellStyle name="Normal 11 5 4 5" xfId="19037" xr:uid="{00000000-0005-0000-0000-0000865C0000}"/>
    <cellStyle name="Normal 11 5 4 5 2" xfId="46170" xr:uid="{00000000-0005-0000-0000-0000875C0000}"/>
    <cellStyle name="Normal 11 5 4 6" xfId="32608" xr:uid="{00000000-0005-0000-0000-0000885C0000}"/>
    <cellStyle name="Normal 11 5 5" xfId="5301" xr:uid="{00000000-0005-0000-0000-0000895C0000}"/>
    <cellStyle name="Normal 11 5 5 2" xfId="8851" xr:uid="{00000000-0005-0000-0000-00008A5C0000}"/>
    <cellStyle name="Normal 11 5 5 2 2" xfId="15641" xr:uid="{00000000-0005-0000-0000-00008B5C0000}"/>
    <cellStyle name="Normal 11 5 5 2 2 2" xfId="29209" xr:uid="{00000000-0005-0000-0000-00008C5C0000}"/>
    <cellStyle name="Normal 11 5 5 2 2 2 2" xfId="56342" xr:uid="{00000000-0005-0000-0000-00008D5C0000}"/>
    <cellStyle name="Normal 11 5 5 2 2 3" xfId="42780" xr:uid="{00000000-0005-0000-0000-00008E5C0000}"/>
    <cellStyle name="Normal 11 5 5 2 3" xfId="22428" xr:uid="{00000000-0005-0000-0000-00008F5C0000}"/>
    <cellStyle name="Normal 11 5 5 2 3 2" xfId="49561" xr:uid="{00000000-0005-0000-0000-0000905C0000}"/>
    <cellStyle name="Normal 11 5 5 2 4" xfId="35999" xr:uid="{00000000-0005-0000-0000-0000915C0000}"/>
    <cellStyle name="Normal 11 5 5 3" xfId="12252" xr:uid="{00000000-0005-0000-0000-0000925C0000}"/>
    <cellStyle name="Normal 11 5 5 3 2" xfId="25820" xr:uid="{00000000-0005-0000-0000-0000935C0000}"/>
    <cellStyle name="Normal 11 5 5 3 2 2" xfId="52953" xr:uid="{00000000-0005-0000-0000-0000945C0000}"/>
    <cellStyle name="Normal 11 5 5 3 3" xfId="39391" xr:uid="{00000000-0005-0000-0000-0000955C0000}"/>
    <cellStyle name="Normal 11 5 5 4" xfId="19039" xr:uid="{00000000-0005-0000-0000-0000965C0000}"/>
    <cellStyle name="Normal 11 5 5 4 2" xfId="46172" xr:uid="{00000000-0005-0000-0000-0000975C0000}"/>
    <cellStyle name="Normal 11 5 5 5" xfId="32610" xr:uid="{00000000-0005-0000-0000-0000985C0000}"/>
    <cellStyle name="Normal 11 5 6" xfId="5302" xr:uid="{00000000-0005-0000-0000-0000995C0000}"/>
    <cellStyle name="Normal 11 5 6 2" xfId="8852" xr:uid="{00000000-0005-0000-0000-00009A5C0000}"/>
    <cellStyle name="Normal 11 5 6 2 2" xfId="15642" xr:uid="{00000000-0005-0000-0000-00009B5C0000}"/>
    <cellStyle name="Normal 11 5 6 2 2 2" xfId="29210" xr:uid="{00000000-0005-0000-0000-00009C5C0000}"/>
    <cellStyle name="Normal 11 5 6 2 2 2 2" xfId="56343" xr:uid="{00000000-0005-0000-0000-00009D5C0000}"/>
    <cellStyle name="Normal 11 5 6 2 2 3" xfId="42781" xr:uid="{00000000-0005-0000-0000-00009E5C0000}"/>
    <cellStyle name="Normal 11 5 6 2 3" xfId="22429" xr:uid="{00000000-0005-0000-0000-00009F5C0000}"/>
    <cellStyle name="Normal 11 5 6 2 3 2" xfId="49562" xr:uid="{00000000-0005-0000-0000-0000A05C0000}"/>
    <cellStyle name="Normal 11 5 6 2 4" xfId="36000" xr:uid="{00000000-0005-0000-0000-0000A15C0000}"/>
    <cellStyle name="Normal 11 5 6 3" xfId="12253" xr:uid="{00000000-0005-0000-0000-0000A25C0000}"/>
    <cellStyle name="Normal 11 5 6 3 2" xfId="25821" xr:uid="{00000000-0005-0000-0000-0000A35C0000}"/>
    <cellStyle name="Normal 11 5 6 3 2 2" xfId="52954" xr:uid="{00000000-0005-0000-0000-0000A45C0000}"/>
    <cellStyle name="Normal 11 5 6 3 3" xfId="39392" xr:uid="{00000000-0005-0000-0000-0000A55C0000}"/>
    <cellStyle name="Normal 11 5 6 4" xfId="19040" xr:uid="{00000000-0005-0000-0000-0000A65C0000}"/>
    <cellStyle name="Normal 11 5 6 4 2" xfId="46173" xr:uid="{00000000-0005-0000-0000-0000A75C0000}"/>
    <cellStyle name="Normal 11 5 6 5" xfId="32611" xr:uid="{00000000-0005-0000-0000-0000A85C0000}"/>
    <cellStyle name="Normal 11 5 7" xfId="8837" xr:uid="{00000000-0005-0000-0000-0000A95C0000}"/>
    <cellStyle name="Normal 11 5 7 2" xfId="15627" xr:uid="{00000000-0005-0000-0000-0000AA5C0000}"/>
    <cellStyle name="Normal 11 5 7 2 2" xfId="29195" xr:uid="{00000000-0005-0000-0000-0000AB5C0000}"/>
    <cellStyle name="Normal 11 5 7 2 2 2" xfId="56328" xr:uid="{00000000-0005-0000-0000-0000AC5C0000}"/>
    <cellStyle name="Normal 11 5 7 2 3" xfId="42766" xr:uid="{00000000-0005-0000-0000-0000AD5C0000}"/>
    <cellStyle name="Normal 11 5 7 3" xfId="22414" xr:uid="{00000000-0005-0000-0000-0000AE5C0000}"/>
    <cellStyle name="Normal 11 5 7 3 2" xfId="49547" xr:uid="{00000000-0005-0000-0000-0000AF5C0000}"/>
    <cellStyle name="Normal 11 5 7 4" xfId="35985" xr:uid="{00000000-0005-0000-0000-0000B05C0000}"/>
    <cellStyle name="Normal 11 5 8" xfId="12238" xr:uid="{00000000-0005-0000-0000-0000B15C0000}"/>
    <cellStyle name="Normal 11 5 8 2" xfId="25806" xr:uid="{00000000-0005-0000-0000-0000B25C0000}"/>
    <cellStyle name="Normal 11 5 8 2 2" xfId="52939" xr:uid="{00000000-0005-0000-0000-0000B35C0000}"/>
    <cellStyle name="Normal 11 5 8 3" xfId="39377" xr:uid="{00000000-0005-0000-0000-0000B45C0000}"/>
    <cellStyle name="Normal 11 5 9" xfId="19025" xr:uid="{00000000-0005-0000-0000-0000B55C0000}"/>
    <cellStyle name="Normal 11 5 9 2" xfId="46158" xr:uid="{00000000-0005-0000-0000-0000B65C0000}"/>
    <cellStyle name="Normal 11 6" xfId="5303" xr:uid="{00000000-0005-0000-0000-0000B75C0000}"/>
    <cellStyle name="Normal 11 6 2" xfId="5304" xr:uid="{00000000-0005-0000-0000-0000B85C0000}"/>
    <cellStyle name="Normal 11 6 2 2" xfId="5305" xr:uid="{00000000-0005-0000-0000-0000B95C0000}"/>
    <cellStyle name="Normal 11 6 2 2 2" xfId="8855" xr:uid="{00000000-0005-0000-0000-0000BA5C0000}"/>
    <cellStyle name="Normal 11 6 2 2 2 2" xfId="15645" xr:uid="{00000000-0005-0000-0000-0000BB5C0000}"/>
    <cellStyle name="Normal 11 6 2 2 2 2 2" xfId="29213" xr:uid="{00000000-0005-0000-0000-0000BC5C0000}"/>
    <cellStyle name="Normal 11 6 2 2 2 2 2 2" xfId="56346" xr:uid="{00000000-0005-0000-0000-0000BD5C0000}"/>
    <cellStyle name="Normal 11 6 2 2 2 2 3" xfId="42784" xr:uid="{00000000-0005-0000-0000-0000BE5C0000}"/>
    <cellStyle name="Normal 11 6 2 2 2 3" xfId="22432" xr:uid="{00000000-0005-0000-0000-0000BF5C0000}"/>
    <cellStyle name="Normal 11 6 2 2 2 3 2" xfId="49565" xr:uid="{00000000-0005-0000-0000-0000C05C0000}"/>
    <cellStyle name="Normal 11 6 2 2 2 4" xfId="36003" xr:uid="{00000000-0005-0000-0000-0000C15C0000}"/>
    <cellStyle name="Normal 11 6 2 2 3" xfId="12256" xr:uid="{00000000-0005-0000-0000-0000C25C0000}"/>
    <cellStyle name="Normal 11 6 2 2 3 2" xfId="25824" xr:uid="{00000000-0005-0000-0000-0000C35C0000}"/>
    <cellStyle name="Normal 11 6 2 2 3 2 2" xfId="52957" xr:uid="{00000000-0005-0000-0000-0000C45C0000}"/>
    <cellStyle name="Normal 11 6 2 2 3 3" xfId="39395" xr:uid="{00000000-0005-0000-0000-0000C55C0000}"/>
    <cellStyle name="Normal 11 6 2 2 4" xfId="19043" xr:uid="{00000000-0005-0000-0000-0000C65C0000}"/>
    <cellStyle name="Normal 11 6 2 2 4 2" xfId="46176" xr:uid="{00000000-0005-0000-0000-0000C75C0000}"/>
    <cellStyle name="Normal 11 6 2 2 5" xfId="32614" xr:uid="{00000000-0005-0000-0000-0000C85C0000}"/>
    <cellStyle name="Normal 11 6 2 3" xfId="5306" xr:uid="{00000000-0005-0000-0000-0000C95C0000}"/>
    <cellStyle name="Normal 11 6 2 3 2" xfId="8856" xr:uid="{00000000-0005-0000-0000-0000CA5C0000}"/>
    <cellStyle name="Normal 11 6 2 3 2 2" xfId="15646" xr:uid="{00000000-0005-0000-0000-0000CB5C0000}"/>
    <cellStyle name="Normal 11 6 2 3 2 2 2" xfId="29214" xr:uid="{00000000-0005-0000-0000-0000CC5C0000}"/>
    <cellStyle name="Normal 11 6 2 3 2 2 2 2" xfId="56347" xr:uid="{00000000-0005-0000-0000-0000CD5C0000}"/>
    <cellStyle name="Normal 11 6 2 3 2 2 3" xfId="42785" xr:uid="{00000000-0005-0000-0000-0000CE5C0000}"/>
    <cellStyle name="Normal 11 6 2 3 2 3" xfId="22433" xr:uid="{00000000-0005-0000-0000-0000CF5C0000}"/>
    <cellStyle name="Normal 11 6 2 3 2 3 2" xfId="49566" xr:uid="{00000000-0005-0000-0000-0000D05C0000}"/>
    <cellStyle name="Normal 11 6 2 3 2 4" xfId="36004" xr:uid="{00000000-0005-0000-0000-0000D15C0000}"/>
    <cellStyle name="Normal 11 6 2 3 3" xfId="12257" xr:uid="{00000000-0005-0000-0000-0000D25C0000}"/>
    <cellStyle name="Normal 11 6 2 3 3 2" xfId="25825" xr:uid="{00000000-0005-0000-0000-0000D35C0000}"/>
    <cellStyle name="Normal 11 6 2 3 3 2 2" xfId="52958" xr:uid="{00000000-0005-0000-0000-0000D45C0000}"/>
    <cellStyle name="Normal 11 6 2 3 3 3" xfId="39396" xr:uid="{00000000-0005-0000-0000-0000D55C0000}"/>
    <cellStyle name="Normal 11 6 2 3 4" xfId="19044" xr:uid="{00000000-0005-0000-0000-0000D65C0000}"/>
    <cellStyle name="Normal 11 6 2 3 4 2" xfId="46177" xr:uid="{00000000-0005-0000-0000-0000D75C0000}"/>
    <cellStyle name="Normal 11 6 2 3 5" xfId="32615" xr:uid="{00000000-0005-0000-0000-0000D85C0000}"/>
    <cellStyle name="Normal 11 6 2 4" xfId="8854" xr:uid="{00000000-0005-0000-0000-0000D95C0000}"/>
    <cellStyle name="Normal 11 6 2 4 2" xfId="15644" xr:uid="{00000000-0005-0000-0000-0000DA5C0000}"/>
    <cellStyle name="Normal 11 6 2 4 2 2" xfId="29212" xr:uid="{00000000-0005-0000-0000-0000DB5C0000}"/>
    <cellStyle name="Normal 11 6 2 4 2 2 2" xfId="56345" xr:uid="{00000000-0005-0000-0000-0000DC5C0000}"/>
    <cellStyle name="Normal 11 6 2 4 2 3" xfId="42783" xr:uid="{00000000-0005-0000-0000-0000DD5C0000}"/>
    <cellStyle name="Normal 11 6 2 4 3" xfId="22431" xr:uid="{00000000-0005-0000-0000-0000DE5C0000}"/>
    <cellStyle name="Normal 11 6 2 4 3 2" xfId="49564" xr:uid="{00000000-0005-0000-0000-0000DF5C0000}"/>
    <cellStyle name="Normal 11 6 2 4 4" xfId="36002" xr:uid="{00000000-0005-0000-0000-0000E05C0000}"/>
    <cellStyle name="Normal 11 6 2 5" xfId="12255" xr:uid="{00000000-0005-0000-0000-0000E15C0000}"/>
    <cellStyle name="Normal 11 6 2 5 2" xfId="25823" xr:uid="{00000000-0005-0000-0000-0000E25C0000}"/>
    <cellStyle name="Normal 11 6 2 5 2 2" xfId="52956" xr:uid="{00000000-0005-0000-0000-0000E35C0000}"/>
    <cellStyle name="Normal 11 6 2 5 3" xfId="39394" xr:uid="{00000000-0005-0000-0000-0000E45C0000}"/>
    <cellStyle name="Normal 11 6 2 6" xfId="19042" xr:uid="{00000000-0005-0000-0000-0000E55C0000}"/>
    <cellStyle name="Normal 11 6 2 6 2" xfId="46175" xr:uid="{00000000-0005-0000-0000-0000E65C0000}"/>
    <cellStyle name="Normal 11 6 2 7" xfId="32613" xr:uid="{00000000-0005-0000-0000-0000E75C0000}"/>
    <cellStyle name="Normal 11 6 3" xfId="5307" xr:uid="{00000000-0005-0000-0000-0000E85C0000}"/>
    <cellStyle name="Normal 11 6 3 2" xfId="5308" xr:uid="{00000000-0005-0000-0000-0000E95C0000}"/>
    <cellStyle name="Normal 11 6 3 2 2" xfId="8858" xr:uid="{00000000-0005-0000-0000-0000EA5C0000}"/>
    <cellStyle name="Normal 11 6 3 2 2 2" xfId="15648" xr:uid="{00000000-0005-0000-0000-0000EB5C0000}"/>
    <cellStyle name="Normal 11 6 3 2 2 2 2" xfId="29216" xr:uid="{00000000-0005-0000-0000-0000EC5C0000}"/>
    <cellStyle name="Normal 11 6 3 2 2 2 2 2" xfId="56349" xr:uid="{00000000-0005-0000-0000-0000ED5C0000}"/>
    <cellStyle name="Normal 11 6 3 2 2 2 3" xfId="42787" xr:uid="{00000000-0005-0000-0000-0000EE5C0000}"/>
    <cellStyle name="Normal 11 6 3 2 2 3" xfId="22435" xr:uid="{00000000-0005-0000-0000-0000EF5C0000}"/>
    <cellStyle name="Normal 11 6 3 2 2 3 2" xfId="49568" xr:uid="{00000000-0005-0000-0000-0000F05C0000}"/>
    <cellStyle name="Normal 11 6 3 2 2 4" xfId="36006" xr:uid="{00000000-0005-0000-0000-0000F15C0000}"/>
    <cellStyle name="Normal 11 6 3 2 3" xfId="12259" xr:uid="{00000000-0005-0000-0000-0000F25C0000}"/>
    <cellStyle name="Normal 11 6 3 2 3 2" xfId="25827" xr:uid="{00000000-0005-0000-0000-0000F35C0000}"/>
    <cellStyle name="Normal 11 6 3 2 3 2 2" xfId="52960" xr:uid="{00000000-0005-0000-0000-0000F45C0000}"/>
    <cellStyle name="Normal 11 6 3 2 3 3" xfId="39398" xr:uid="{00000000-0005-0000-0000-0000F55C0000}"/>
    <cellStyle name="Normal 11 6 3 2 4" xfId="19046" xr:uid="{00000000-0005-0000-0000-0000F65C0000}"/>
    <cellStyle name="Normal 11 6 3 2 4 2" xfId="46179" xr:uid="{00000000-0005-0000-0000-0000F75C0000}"/>
    <cellStyle name="Normal 11 6 3 2 5" xfId="32617" xr:uid="{00000000-0005-0000-0000-0000F85C0000}"/>
    <cellStyle name="Normal 11 6 3 3" xfId="8857" xr:uid="{00000000-0005-0000-0000-0000F95C0000}"/>
    <cellStyle name="Normal 11 6 3 3 2" xfId="15647" xr:uid="{00000000-0005-0000-0000-0000FA5C0000}"/>
    <cellStyle name="Normal 11 6 3 3 2 2" xfId="29215" xr:uid="{00000000-0005-0000-0000-0000FB5C0000}"/>
    <cellStyle name="Normal 11 6 3 3 2 2 2" xfId="56348" xr:uid="{00000000-0005-0000-0000-0000FC5C0000}"/>
    <cellStyle name="Normal 11 6 3 3 2 3" xfId="42786" xr:uid="{00000000-0005-0000-0000-0000FD5C0000}"/>
    <cellStyle name="Normal 11 6 3 3 3" xfId="22434" xr:uid="{00000000-0005-0000-0000-0000FE5C0000}"/>
    <cellStyle name="Normal 11 6 3 3 3 2" xfId="49567" xr:uid="{00000000-0005-0000-0000-0000FF5C0000}"/>
    <cellStyle name="Normal 11 6 3 3 4" xfId="36005" xr:uid="{00000000-0005-0000-0000-0000005D0000}"/>
    <cellStyle name="Normal 11 6 3 4" xfId="12258" xr:uid="{00000000-0005-0000-0000-0000015D0000}"/>
    <cellStyle name="Normal 11 6 3 4 2" xfId="25826" xr:uid="{00000000-0005-0000-0000-0000025D0000}"/>
    <cellStyle name="Normal 11 6 3 4 2 2" xfId="52959" xr:uid="{00000000-0005-0000-0000-0000035D0000}"/>
    <cellStyle name="Normal 11 6 3 4 3" xfId="39397" xr:uid="{00000000-0005-0000-0000-0000045D0000}"/>
    <cellStyle name="Normal 11 6 3 5" xfId="19045" xr:uid="{00000000-0005-0000-0000-0000055D0000}"/>
    <cellStyle name="Normal 11 6 3 5 2" xfId="46178" xr:uid="{00000000-0005-0000-0000-0000065D0000}"/>
    <cellStyle name="Normal 11 6 3 6" xfId="32616" xr:uid="{00000000-0005-0000-0000-0000075D0000}"/>
    <cellStyle name="Normal 11 6 4" xfId="5309" xr:uid="{00000000-0005-0000-0000-0000085D0000}"/>
    <cellStyle name="Normal 11 6 4 2" xfId="8859" xr:uid="{00000000-0005-0000-0000-0000095D0000}"/>
    <cellStyle name="Normal 11 6 4 2 2" xfId="15649" xr:uid="{00000000-0005-0000-0000-00000A5D0000}"/>
    <cellStyle name="Normal 11 6 4 2 2 2" xfId="29217" xr:uid="{00000000-0005-0000-0000-00000B5D0000}"/>
    <cellStyle name="Normal 11 6 4 2 2 2 2" xfId="56350" xr:uid="{00000000-0005-0000-0000-00000C5D0000}"/>
    <cellStyle name="Normal 11 6 4 2 2 3" xfId="42788" xr:uid="{00000000-0005-0000-0000-00000D5D0000}"/>
    <cellStyle name="Normal 11 6 4 2 3" xfId="22436" xr:uid="{00000000-0005-0000-0000-00000E5D0000}"/>
    <cellStyle name="Normal 11 6 4 2 3 2" xfId="49569" xr:uid="{00000000-0005-0000-0000-00000F5D0000}"/>
    <cellStyle name="Normal 11 6 4 2 4" xfId="36007" xr:uid="{00000000-0005-0000-0000-0000105D0000}"/>
    <cellStyle name="Normal 11 6 4 3" xfId="12260" xr:uid="{00000000-0005-0000-0000-0000115D0000}"/>
    <cellStyle name="Normal 11 6 4 3 2" xfId="25828" xr:uid="{00000000-0005-0000-0000-0000125D0000}"/>
    <cellStyle name="Normal 11 6 4 3 2 2" xfId="52961" xr:uid="{00000000-0005-0000-0000-0000135D0000}"/>
    <cellStyle name="Normal 11 6 4 3 3" xfId="39399" xr:uid="{00000000-0005-0000-0000-0000145D0000}"/>
    <cellStyle name="Normal 11 6 4 4" xfId="19047" xr:uid="{00000000-0005-0000-0000-0000155D0000}"/>
    <cellStyle name="Normal 11 6 4 4 2" xfId="46180" xr:uid="{00000000-0005-0000-0000-0000165D0000}"/>
    <cellStyle name="Normal 11 6 4 5" xfId="32618" xr:uid="{00000000-0005-0000-0000-0000175D0000}"/>
    <cellStyle name="Normal 11 6 5" xfId="5310" xr:uid="{00000000-0005-0000-0000-0000185D0000}"/>
    <cellStyle name="Normal 11 6 5 2" xfId="8860" xr:uid="{00000000-0005-0000-0000-0000195D0000}"/>
    <cellStyle name="Normal 11 6 5 2 2" xfId="15650" xr:uid="{00000000-0005-0000-0000-00001A5D0000}"/>
    <cellStyle name="Normal 11 6 5 2 2 2" xfId="29218" xr:uid="{00000000-0005-0000-0000-00001B5D0000}"/>
    <cellStyle name="Normal 11 6 5 2 2 2 2" xfId="56351" xr:uid="{00000000-0005-0000-0000-00001C5D0000}"/>
    <cellStyle name="Normal 11 6 5 2 2 3" xfId="42789" xr:uid="{00000000-0005-0000-0000-00001D5D0000}"/>
    <cellStyle name="Normal 11 6 5 2 3" xfId="22437" xr:uid="{00000000-0005-0000-0000-00001E5D0000}"/>
    <cellStyle name="Normal 11 6 5 2 3 2" xfId="49570" xr:uid="{00000000-0005-0000-0000-00001F5D0000}"/>
    <cellStyle name="Normal 11 6 5 2 4" xfId="36008" xr:uid="{00000000-0005-0000-0000-0000205D0000}"/>
    <cellStyle name="Normal 11 6 5 3" xfId="12261" xr:uid="{00000000-0005-0000-0000-0000215D0000}"/>
    <cellStyle name="Normal 11 6 5 3 2" xfId="25829" xr:uid="{00000000-0005-0000-0000-0000225D0000}"/>
    <cellStyle name="Normal 11 6 5 3 2 2" xfId="52962" xr:uid="{00000000-0005-0000-0000-0000235D0000}"/>
    <cellStyle name="Normal 11 6 5 3 3" xfId="39400" xr:uid="{00000000-0005-0000-0000-0000245D0000}"/>
    <cellStyle name="Normal 11 6 5 4" xfId="19048" xr:uid="{00000000-0005-0000-0000-0000255D0000}"/>
    <cellStyle name="Normal 11 6 5 4 2" xfId="46181" xr:uid="{00000000-0005-0000-0000-0000265D0000}"/>
    <cellStyle name="Normal 11 6 5 5" xfId="32619" xr:uid="{00000000-0005-0000-0000-0000275D0000}"/>
    <cellStyle name="Normal 11 6 6" xfId="8853" xr:uid="{00000000-0005-0000-0000-0000285D0000}"/>
    <cellStyle name="Normal 11 6 6 2" xfId="15643" xr:uid="{00000000-0005-0000-0000-0000295D0000}"/>
    <cellStyle name="Normal 11 6 6 2 2" xfId="29211" xr:uid="{00000000-0005-0000-0000-00002A5D0000}"/>
    <cellStyle name="Normal 11 6 6 2 2 2" xfId="56344" xr:uid="{00000000-0005-0000-0000-00002B5D0000}"/>
    <cellStyle name="Normal 11 6 6 2 3" xfId="42782" xr:uid="{00000000-0005-0000-0000-00002C5D0000}"/>
    <cellStyle name="Normal 11 6 6 3" xfId="22430" xr:uid="{00000000-0005-0000-0000-00002D5D0000}"/>
    <cellStyle name="Normal 11 6 6 3 2" xfId="49563" xr:uid="{00000000-0005-0000-0000-00002E5D0000}"/>
    <cellStyle name="Normal 11 6 6 4" xfId="36001" xr:uid="{00000000-0005-0000-0000-00002F5D0000}"/>
    <cellStyle name="Normal 11 6 7" xfId="12254" xr:uid="{00000000-0005-0000-0000-0000305D0000}"/>
    <cellStyle name="Normal 11 6 7 2" xfId="25822" xr:uid="{00000000-0005-0000-0000-0000315D0000}"/>
    <cellStyle name="Normal 11 6 7 2 2" xfId="52955" xr:uid="{00000000-0005-0000-0000-0000325D0000}"/>
    <cellStyle name="Normal 11 6 7 3" xfId="39393" xr:uid="{00000000-0005-0000-0000-0000335D0000}"/>
    <cellStyle name="Normal 11 6 8" xfId="19041" xr:uid="{00000000-0005-0000-0000-0000345D0000}"/>
    <cellStyle name="Normal 11 6 8 2" xfId="46174" xr:uid="{00000000-0005-0000-0000-0000355D0000}"/>
    <cellStyle name="Normal 11 6 9" xfId="32612" xr:uid="{00000000-0005-0000-0000-0000365D0000}"/>
    <cellStyle name="Normal 11 7" xfId="5311" xr:uid="{00000000-0005-0000-0000-0000375D0000}"/>
    <cellStyle name="Normal 11 7 2" xfId="5312" xr:uid="{00000000-0005-0000-0000-0000385D0000}"/>
    <cellStyle name="Normal 11 7 2 2" xfId="5313" xr:uid="{00000000-0005-0000-0000-0000395D0000}"/>
    <cellStyle name="Normal 11 7 2 2 2" xfId="8863" xr:uid="{00000000-0005-0000-0000-00003A5D0000}"/>
    <cellStyle name="Normal 11 7 2 2 2 2" xfId="15653" xr:uid="{00000000-0005-0000-0000-00003B5D0000}"/>
    <cellStyle name="Normal 11 7 2 2 2 2 2" xfId="29221" xr:uid="{00000000-0005-0000-0000-00003C5D0000}"/>
    <cellStyle name="Normal 11 7 2 2 2 2 2 2" xfId="56354" xr:uid="{00000000-0005-0000-0000-00003D5D0000}"/>
    <cellStyle name="Normal 11 7 2 2 2 2 3" xfId="42792" xr:uid="{00000000-0005-0000-0000-00003E5D0000}"/>
    <cellStyle name="Normal 11 7 2 2 2 3" xfId="22440" xr:uid="{00000000-0005-0000-0000-00003F5D0000}"/>
    <cellStyle name="Normal 11 7 2 2 2 3 2" xfId="49573" xr:uid="{00000000-0005-0000-0000-0000405D0000}"/>
    <cellStyle name="Normal 11 7 2 2 2 4" xfId="36011" xr:uid="{00000000-0005-0000-0000-0000415D0000}"/>
    <cellStyle name="Normal 11 7 2 2 3" xfId="12264" xr:uid="{00000000-0005-0000-0000-0000425D0000}"/>
    <cellStyle name="Normal 11 7 2 2 3 2" xfId="25832" xr:uid="{00000000-0005-0000-0000-0000435D0000}"/>
    <cellStyle name="Normal 11 7 2 2 3 2 2" xfId="52965" xr:uid="{00000000-0005-0000-0000-0000445D0000}"/>
    <cellStyle name="Normal 11 7 2 2 3 3" xfId="39403" xr:uid="{00000000-0005-0000-0000-0000455D0000}"/>
    <cellStyle name="Normal 11 7 2 2 4" xfId="19051" xr:uid="{00000000-0005-0000-0000-0000465D0000}"/>
    <cellStyle name="Normal 11 7 2 2 4 2" xfId="46184" xr:uid="{00000000-0005-0000-0000-0000475D0000}"/>
    <cellStyle name="Normal 11 7 2 2 5" xfId="32622" xr:uid="{00000000-0005-0000-0000-0000485D0000}"/>
    <cellStyle name="Normal 11 7 2 3" xfId="5314" xr:uid="{00000000-0005-0000-0000-0000495D0000}"/>
    <cellStyle name="Normal 11 7 2 3 2" xfId="8864" xr:uid="{00000000-0005-0000-0000-00004A5D0000}"/>
    <cellStyle name="Normal 11 7 2 3 2 2" xfId="15654" xr:uid="{00000000-0005-0000-0000-00004B5D0000}"/>
    <cellStyle name="Normal 11 7 2 3 2 2 2" xfId="29222" xr:uid="{00000000-0005-0000-0000-00004C5D0000}"/>
    <cellStyle name="Normal 11 7 2 3 2 2 2 2" xfId="56355" xr:uid="{00000000-0005-0000-0000-00004D5D0000}"/>
    <cellStyle name="Normal 11 7 2 3 2 2 3" xfId="42793" xr:uid="{00000000-0005-0000-0000-00004E5D0000}"/>
    <cellStyle name="Normal 11 7 2 3 2 3" xfId="22441" xr:uid="{00000000-0005-0000-0000-00004F5D0000}"/>
    <cellStyle name="Normal 11 7 2 3 2 3 2" xfId="49574" xr:uid="{00000000-0005-0000-0000-0000505D0000}"/>
    <cellStyle name="Normal 11 7 2 3 2 4" xfId="36012" xr:uid="{00000000-0005-0000-0000-0000515D0000}"/>
    <cellStyle name="Normal 11 7 2 3 3" xfId="12265" xr:uid="{00000000-0005-0000-0000-0000525D0000}"/>
    <cellStyle name="Normal 11 7 2 3 3 2" xfId="25833" xr:uid="{00000000-0005-0000-0000-0000535D0000}"/>
    <cellStyle name="Normal 11 7 2 3 3 2 2" xfId="52966" xr:uid="{00000000-0005-0000-0000-0000545D0000}"/>
    <cellStyle name="Normal 11 7 2 3 3 3" xfId="39404" xr:uid="{00000000-0005-0000-0000-0000555D0000}"/>
    <cellStyle name="Normal 11 7 2 3 4" xfId="19052" xr:uid="{00000000-0005-0000-0000-0000565D0000}"/>
    <cellStyle name="Normal 11 7 2 3 4 2" xfId="46185" xr:uid="{00000000-0005-0000-0000-0000575D0000}"/>
    <cellStyle name="Normal 11 7 2 3 5" xfId="32623" xr:uid="{00000000-0005-0000-0000-0000585D0000}"/>
    <cellStyle name="Normal 11 7 2 4" xfId="8862" xr:uid="{00000000-0005-0000-0000-0000595D0000}"/>
    <cellStyle name="Normal 11 7 2 4 2" xfId="15652" xr:uid="{00000000-0005-0000-0000-00005A5D0000}"/>
    <cellStyle name="Normal 11 7 2 4 2 2" xfId="29220" xr:uid="{00000000-0005-0000-0000-00005B5D0000}"/>
    <cellStyle name="Normal 11 7 2 4 2 2 2" xfId="56353" xr:uid="{00000000-0005-0000-0000-00005C5D0000}"/>
    <cellStyle name="Normal 11 7 2 4 2 3" xfId="42791" xr:uid="{00000000-0005-0000-0000-00005D5D0000}"/>
    <cellStyle name="Normal 11 7 2 4 3" xfId="22439" xr:uid="{00000000-0005-0000-0000-00005E5D0000}"/>
    <cellStyle name="Normal 11 7 2 4 3 2" xfId="49572" xr:uid="{00000000-0005-0000-0000-00005F5D0000}"/>
    <cellStyle name="Normal 11 7 2 4 4" xfId="36010" xr:uid="{00000000-0005-0000-0000-0000605D0000}"/>
    <cellStyle name="Normal 11 7 2 5" xfId="12263" xr:uid="{00000000-0005-0000-0000-0000615D0000}"/>
    <cellStyle name="Normal 11 7 2 5 2" xfId="25831" xr:uid="{00000000-0005-0000-0000-0000625D0000}"/>
    <cellStyle name="Normal 11 7 2 5 2 2" xfId="52964" xr:uid="{00000000-0005-0000-0000-0000635D0000}"/>
    <cellStyle name="Normal 11 7 2 5 3" xfId="39402" xr:uid="{00000000-0005-0000-0000-0000645D0000}"/>
    <cellStyle name="Normal 11 7 2 6" xfId="19050" xr:uid="{00000000-0005-0000-0000-0000655D0000}"/>
    <cellStyle name="Normal 11 7 2 6 2" xfId="46183" xr:uid="{00000000-0005-0000-0000-0000665D0000}"/>
    <cellStyle name="Normal 11 7 2 7" xfId="32621" xr:uid="{00000000-0005-0000-0000-0000675D0000}"/>
    <cellStyle name="Normal 11 7 3" xfId="5315" xr:uid="{00000000-0005-0000-0000-0000685D0000}"/>
    <cellStyle name="Normal 11 7 3 2" xfId="8865" xr:uid="{00000000-0005-0000-0000-0000695D0000}"/>
    <cellStyle name="Normal 11 7 3 2 2" xfId="15655" xr:uid="{00000000-0005-0000-0000-00006A5D0000}"/>
    <cellStyle name="Normal 11 7 3 2 2 2" xfId="29223" xr:uid="{00000000-0005-0000-0000-00006B5D0000}"/>
    <cellStyle name="Normal 11 7 3 2 2 2 2" xfId="56356" xr:uid="{00000000-0005-0000-0000-00006C5D0000}"/>
    <cellStyle name="Normal 11 7 3 2 2 3" xfId="42794" xr:uid="{00000000-0005-0000-0000-00006D5D0000}"/>
    <cellStyle name="Normal 11 7 3 2 3" xfId="22442" xr:uid="{00000000-0005-0000-0000-00006E5D0000}"/>
    <cellStyle name="Normal 11 7 3 2 3 2" xfId="49575" xr:uid="{00000000-0005-0000-0000-00006F5D0000}"/>
    <cellStyle name="Normal 11 7 3 2 4" xfId="36013" xr:uid="{00000000-0005-0000-0000-0000705D0000}"/>
    <cellStyle name="Normal 11 7 3 3" xfId="12266" xr:uid="{00000000-0005-0000-0000-0000715D0000}"/>
    <cellStyle name="Normal 11 7 3 3 2" xfId="25834" xr:uid="{00000000-0005-0000-0000-0000725D0000}"/>
    <cellStyle name="Normal 11 7 3 3 2 2" xfId="52967" xr:uid="{00000000-0005-0000-0000-0000735D0000}"/>
    <cellStyle name="Normal 11 7 3 3 3" xfId="39405" xr:uid="{00000000-0005-0000-0000-0000745D0000}"/>
    <cellStyle name="Normal 11 7 3 4" xfId="19053" xr:uid="{00000000-0005-0000-0000-0000755D0000}"/>
    <cellStyle name="Normal 11 7 3 4 2" xfId="46186" xr:uid="{00000000-0005-0000-0000-0000765D0000}"/>
    <cellStyle name="Normal 11 7 3 5" xfId="32624" xr:uid="{00000000-0005-0000-0000-0000775D0000}"/>
    <cellStyle name="Normal 11 7 4" xfId="5316" xr:uid="{00000000-0005-0000-0000-0000785D0000}"/>
    <cellStyle name="Normal 11 7 4 2" xfId="8866" xr:uid="{00000000-0005-0000-0000-0000795D0000}"/>
    <cellStyle name="Normal 11 7 4 2 2" xfId="15656" xr:uid="{00000000-0005-0000-0000-00007A5D0000}"/>
    <cellStyle name="Normal 11 7 4 2 2 2" xfId="29224" xr:uid="{00000000-0005-0000-0000-00007B5D0000}"/>
    <cellStyle name="Normal 11 7 4 2 2 2 2" xfId="56357" xr:uid="{00000000-0005-0000-0000-00007C5D0000}"/>
    <cellStyle name="Normal 11 7 4 2 2 3" xfId="42795" xr:uid="{00000000-0005-0000-0000-00007D5D0000}"/>
    <cellStyle name="Normal 11 7 4 2 3" xfId="22443" xr:uid="{00000000-0005-0000-0000-00007E5D0000}"/>
    <cellStyle name="Normal 11 7 4 2 3 2" xfId="49576" xr:uid="{00000000-0005-0000-0000-00007F5D0000}"/>
    <cellStyle name="Normal 11 7 4 2 4" xfId="36014" xr:uid="{00000000-0005-0000-0000-0000805D0000}"/>
    <cellStyle name="Normal 11 7 4 3" xfId="12267" xr:uid="{00000000-0005-0000-0000-0000815D0000}"/>
    <cellStyle name="Normal 11 7 4 3 2" xfId="25835" xr:uid="{00000000-0005-0000-0000-0000825D0000}"/>
    <cellStyle name="Normal 11 7 4 3 2 2" xfId="52968" xr:uid="{00000000-0005-0000-0000-0000835D0000}"/>
    <cellStyle name="Normal 11 7 4 3 3" xfId="39406" xr:uid="{00000000-0005-0000-0000-0000845D0000}"/>
    <cellStyle name="Normal 11 7 4 4" xfId="19054" xr:uid="{00000000-0005-0000-0000-0000855D0000}"/>
    <cellStyle name="Normal 11 7 4 4 2" xfId="46187" xr:uid="{00000000-0005-0000-0000-0000865D0000}"/>
    <cellStyle name="Normal 11 7 4 5" xfId="32625" xr:uid="{00000000-0005-0000-0000-0000875D0000}"/>
    <cellStyle name="Normal 11 7 5" xfId="8861" xr:uid="{00000000-0005-0000-0000-0000885D0000}"/>
    <cellStyle name="Normal 11 7 5 2" xfId="15651" xr:uid="{00000000-0005-0000-0000-0000895D0000}"/>
    <cellStyle name="Normal 11 7 5 2 2" xfId="29219" xr:uid="{00000000-0005-0000-0000-00008A5D0000}"/>
    <cellStyle name="Normal 11 7 5 2 2 2" xfId="56352" xr:uid="{00000000-0005-0000-0000-00008B5D0000}"/>
    <cellStyle name="Normal 11 7 5 2 3" xfId="42790" xr:uid="{00000000-0005-0000-0000-00008C5D0000}"/>
    <cellStyle name="Normal 11 7 5 3" xfId="22438" xr:uid="{00000000-0005-0000-0000-00008D5D0000}"/>
    <cellStyle name="Normal 11 7 5 3 2" xfId="49571" xr:uid="{00000000-0005-0000-0000-00008E5D0000}"/>
    <cellStyle name="Normal 11 7 5 4" xfId="36009" xr:uid="{00000000-0005-0000-0000-00008F5D0000}"/>
    <cellStyle name="Normal 11 7 6" xfId="12262" xr:uid="{00000000-0005-0000-0000-0000905D0000}"/>
    <cellStyle name="Normal 11 7 6 2" xfId="25830" xr:uid="{00000000-0005-0000-0000-0000915D0000}"/>
    <cellStyle name="Normal 11 7 6 2 2" xfId="52963" xr:uid="{00000000-0005-0000-0000-0000925D0000}"/>
    <cellStyle name="Normal 11 7 6 3" xfId="39401" xr:uid="{00000000-0005-0000-0000-0000935D0000}"/>
    <cellStyle name="Normal 11 7 7" xfId="19049" xr:uid="{00000000-0005-0000-0000-0000945D0000}"/>
    <cellStyle name="Normal 11 7 7 2" xfId="46182" xr:uid="{00000000-0005-0000-0000-0000955D0000}"/>
    <cellStyle name="Normal 11 7 8" xfId="32620" xr:uid="{00000000-0005-0000-0000-0000965D0000}"/>
    <cellStyle name="Normal 11 8" xfId="5317" xr:uid="{00000000-0005-0000-0000-0000975D0000}"/>
    <cellStyle name="Normal 11 8 2" xfId="5318" xr:uid="{00000000-0005-0000-0000-0000985D0000}"/>
    <cellStyle name="Normal 11 8 2 2" xfId="5319" xr:uid="{00000000-0005-0000-0000-0000995D0000}"/>
    <cellStyle name="Normal 11 8 2 2 2" xfId="8869" xr:uid="{00000000-0005-0000-0000-00009A5D0000}"/>
    <cellStyle name="Normal 11 8 2 2 2 2" xfId="15659" xr:uid="{00000000-0005-0000-0000-00009B5D0000}"/>
    <cellStyle name="Normal 11 8 2 2 2 2 2" xfId="29227" xr:uid="{00000000-0005-0000-0000-00009C5D0000}"/>
    <cellStyle name="Normal 11 8 2 2 2 2 2 2" xfId="56360" xr:uid="{00000000-0005-0000-0000-00009D5D0000}"/>
    <cellStyle name="Normal 11 8 2 2 2 2 3" xfId="42798" xr:uid="{00000000-0005-0000-0000-00009E5D0000}"/>
    <cellStyle name="Normal 11 8 2 2 2 3" xfId="22446" xr:uid="{00000000-0005-0000-0000-00009F5D0000}"/>
    <cellStyle name="Normal 11 8 2 2 2 3 2" xfId="49579" xr:uid="{00000000-0005-0000-0000-0000A05D0000}"/>
    <cellStyle name="Normal 11 8 2 2 2 4" xfId="36017" xr:uid="{00000000-0005-0000-0000-0000A15D0000}"/>
    <cellStyle name="Normal 11 8 2 2 3" xfId="12270" xr:uid="{00000000-0005-0000-0000-0000A25D0000}"/>
    <cellStyle name="Normal 11 8 2 2 3 2" xfId="25838" xr:uid="{00000000-0005-0000-0000-0000A35D0000}"/>
    <cellStyle name="Normal 11 8 2 2 3 2 2" xfId="52971" xr:uid="{00000000-0005-0000-0000-0000A45D0000}"/>
    <cellStyle name="Normal 11 8 2 2 3 3" xfId="39409" xr:uid="{00000000-0005-0000-0000-0000A55D0000}"/>
    <cellStyle name="Normal 11 8 2 2 4" xfId="19057" xr:uid="{00000000-0005-0000-0000-0000A65D0000}"/>
    <cellStyle name="Normal 11 8 2 2 4 2" xfId="46190" xr:uid="{00000000-0005-0000-0000-0000A75D0000}"/>
    <cellStyle name="Normal 11 8 2 2 5" xfId="32628" xr:uid="{00000000-0005-0000-0000-0000A85D0000}"/>
    <cellStyle name="Normal 11 8 2 3" xfId="5320" xr:uid="{00000000-0005-0000-0000-0000A95D0000}"/>
    <cellStyle name="Normal 11 8 2 3 2" xfId="8870" xr:uid="{00000000-0005-0000-0000-0000AA5D0000}"/>
    <cellStyle name="Normal 11 8 2 3 2 2" xfId="15660" xr:uid="{00000000-0005-0000-0000-0000AB5D0000}"/>
    <cellStyle name="Normal 11 8 2 3 2 2 2" xfId="29228" xr:uid="{00000000-0005-0000-0000-0000AC5D0000}"/>
    <cellStyle name="Normal 11 8 2 3 2 2 2 2" xfId="56361" xr:uid="{00000000-0005-0000-0000-0000AD5D0000}"/>
    <cellStyle name="Normal 11 8 2 3 2 2 3" xfId="42799" xr:uid="{00000000-0005-0000-0000-0000AE5D0000}"/>
    <cellStyle name="Normal 11 8 2 3 2 3" xfId="22447" xr:uid="{00000000-0005-0000-0000-0000AF5D0000}"/>
    <cellStyle name="Normal 11 8 2 3 2 3 2" xfId="49580" xr:uid="{00000000-0005-0000-0000-0000B05D0000}"/>
    <cellStyle name="Normal 11 8 2 3 2 4" xfId="36018" xr:uid="{00000000-0005-0000-0000-0000B15D0000}"/>
    <cellStyle name="Normal 11 8 2 3 3" xfId="12271" xr:uid="{00000000-0005-0000-0000-0000B25D0000}"/>
    <cellStyle name="Normal 11 8 2 3 3 2" xfId="25839" xr:uid="{00000000-0005-0000-0000-0000B35D0000}"/>
    <cellStyle name="Normal 11 8 2 3 3 2 2" xfId="52972" xr:uid="{00000000-0005-0000-0000-0000B45D0000}"/>
    <cellStyle name="Normal 11 8 2 3 3 3" xfId="39410" xr:uid="{00000000-0005-0000-0000-0000B55D0000}"/>
    <cellStyle name="Normal 11 8 2 3 4" xfId="19058" xr:uid="{00000000-0005-0000-0000-0000B65D0000}"/>
    <cellStyle name="Normal 11 8 2 3 4 2" xfId="46191" xr:uid="{00000000-0005-0000-0000-0000B75D0000}"/>
    <cellStyle name="Normal 11 8 2 3 5" xfId="32629" xr:uid="{00000000-0005-0000-0000-0000B85D0000}"/>
    <cellStyle name="Normal 11 8 2 4" xfId="8868" xr:uid="{00000000-0005-0000-0000-0000B95D0000}"/>
    <cellStyle name="Normal 11 8 2 4 2" xfId="15658" xr:uid="{00000000-0005-0000-0000-0000BA5D0000}"/>
    <cellStyle name="Normal 11 8 2 4 2 2" xfId="29226" xr:uid="{00000000-0005-0000-0000-0000BB5D0000}"/>
    <cellStyle name="Normal 11 8 2 4 2 2 2" xfId="56359" xr:uid="{00000000-0005-0000-0000-0000BC5D0000}"/>
    <cellStyle name="Normal 11 8 2 4 2 3" xfId="42797" xr:uid="{00000000-0005-0000-0000-0000BD5D0000}"/>
    <cellStyle name="Normal 11 8 2 4 3" xfId="22445" xr:uid="{00000000-0005-0000-0000-0000BE5D0000}"/>
    <cellStyle name="Normal 11 8 2 4 3 2" xfId="49578" xr:uid="{00000000-0005-0000-0000-0000BF5D0000}"/>
    <cellStyle name="Normal 11 8 2 4 4" xfId="36016" xr:uid="{00000000-0005-0000-0000-0000C05D0000}"/>
    <cellStyle name="Normal 11 8 2 5" xfId="12269" xr:uid="{00000000-0005-0000-0000-0000C15D0000}"/>
    <cellStyle name="Normal 11 8 2 5 2" xfId="25837" xr:uid="{00000000-0005-0000-0000-0000C25D0000}"/>
    <cellStyle name="Normal 11 8 2 5 2 2" xfId="52970" xr:uid="{00000000-0005-0000-0000-0000C35D0000}"/>
    <cellStyle name="Normal 11 8 2 5 3" xfId="39408" xr:uid="{00000000-0005-0000-0000-0000C45D0000}"/>
    <cellStyle name="Normal 11 8 2 6" xfId="19056" xr:uid="{00000000-0005-0000-0000-0000C55D0000}"/>
    <cellStyle name="Normal 11 8 2 6 2" xfId="46189" xr:uid="{00000000-0005-0000-0000-0000C65D0000}"/>
    <cellStyle name="Normal 11 8 2 7" xfId="32627" xr:uid="{00000000-0005-0000-0000-0000C75D0000}"/>
    <cellStyle name="Normal 11 8 3" xfId="5321" xr:uid="{00000000-0005-0000-0000-0000C85D0000}"/>
    <cellStyle name="Normal 11 8 3 2" xfId="8871" xr:uid="{00000000-0005-0000-0000-0000C95D0000}"/>
    <cellStyle name="Normal 11 8 3 2 2" xfId="15661" xr:uid="{00000000-0005-0000-0000-0000CA5D0000}"/>
    <cellStyle name="Normal 11 8 3 2 2 2" xfId="29229" xr:uid="{00000000-0005-0000-0000-0000CB5D0000}"/>
    <cellStyle name="Normal 11 8 3 2 2 2 2" xfId="56362" xr:uid="{00000000-0005-0000-0000-0000CC5D0000}"/>
    <cellStyle name="Normal 11 8 3 2 2 3" xfId="42800" xr:uid="{00000000-0005-0000-0000-0000CD5D0000}"/>
    <cellStyle name="Normal 11 8 3 2 3" xfId="22448" xr:uid="{00000000-0005-0000-0000-0000CE5D0000}"/>
    <cellStyle name="Normal 11 8 3 2 3 2" xfId="49581" xr:uid="{00000000-0005-0000-0000-0000CF5D0000}"/>
    <cellStyle name="Normal 11 8 3 2 4" xfId="36019" xr:uid="{00000000-0005-0000-0000-0000D05D0000}"/>
    <cellStyle name="Normal 11 8 3 3" xfId="12272" xr:uid="{00000000-0005-0000-0000-0000D15D0000}"/>
    <cellStyle name="Normal 11 8 3 3 2" xfId="25840" xr:uid="{00000000-0005-0000-0000-0000D25D0000}"/>
    <cellStyle name="Normal 11 8 3 3 2 2" xfId="52973" xr:uid="{00000000-0005-0000-0000-0000D35D0000}"/>
    <cellStyle name="Normal 11 8 3 3 3" xfId="39411" xr:uid="{00000000-0005-0000-0000-0000D45D0000}"/>
    <cellStyle name="Normal 11 8 3 4" xfId="19059" xr:uid="{00000000-0005-0000-0000-0000D55D0000}"/>
    <cellStyle name="Normal 11 8 3 4 2" xfId="46192" xr:uid="{00000000-0005-0000-0000-0000D65D0000}"/>
    <cellStyle name="Normal 11 8 3 5" xfId="32630" xr:uid="{00000000-0005-0000-0000-0000D75D0000}"/>
    <cellStyle name="Normal 11 8 4" xfId="5322" xr:uid="{00000000-0005-0000-0000-0000D85D0000}"/>
    <cellStyle name="Normal 11 8 4 2" xfId="8872" xr:uid="{00000000-0005-0000-0000-0000D95D0000}"/>
    <cellStyle name="Normal 11 8 4 2 2" xfId="15662" xr:uid="{00000000-0005-0000-0000-0000DA5D0000}"/>
    <cellStyle name="Normal 11 8 4 2 2 2" xfId="29230" xr:uid="{00000000-0005-0000-0000-0000DB5D0000}"/>
    <cellStyle name="Normal 11 8 4 2 2 2 2" xfId="56363" xr:uid="{00000000-0005-0000-0000-0000DC5D0000}"/>
    <cellStyle name="Normal 11 8 4 2 2 3" xfId="42801" xr:uid="{00000000-0005-0000-0000-0000DD5D0000}"/>
    <cellStyle name="Normal 11 8 4 2 3" xfId="22449" xr:uid="{00000000-0005-0000-0000-0000DE5D0000}"/>
    <cellStyle name="Normal 11 8 4 2 3 2" xfId="49582" xr:uid="{00000000-0005-0000-0000-0000DF5D0000}"/>
    <cellStyle name="Normal 11 8 4 2 4" xfId="36020" xr:uid="{00000000-0005-0000-0000-0000E05D0000}"/>
    <cellStyle name="Normal 11 8 4 3" xfId="12273" xr:uid="{00000000-0005-0000-0000-0000E15D0000}"/>
    <cellStyle name="Normal 11 8 4 3 2" xfId="25841" xr:uid="{00000000-0005-0000-0000-0000E25D0000}"/>
    <cellStyle name="Normal 11 8 4 3 2 2" xfId="52974" xr:uid="{00000000-0005-0000-0000-0000E35D0000}"/>
    <cellStyle name="Normal 11 8 4 3 3" xfId="39412" xr:uid="{00000000-0005-0000-0000-0000E45D0000}"/>
    <cellStyle name="Normal 11 8 4 4" xfId="19060" xr:uid="{00000000-0005-0000-0000-0000E55D0000}"/>
    <cellStyle name="Normal 11 8 4 4 2" xfId="46193" xr:uid="{00000000-0005-0000-0000-0000E65D0000}"/>
    <cellStyle name="Normal 11 8 4 5" xfId="32631" xr:uid="{00000000-0005-0000-0000-0000E75D0000}"/>
    <cellStyle name="Normal 11 8 5" xfId="8867" xr:uid="{00000000-0005-0000-0000-0000E85D0000}"/>
    <cellStyle name="Normal 11 8 5 2" xfId="15657" xr:uid="{00000000-0005-0000-0000-0000E95D0000}"/>
    <cellStyle name="Normal 11 8 5 2 2" xfId="29225" xr:uid="{00000000-0005-0000-0000-0000EA5D0000}"/>
    <cellStyle name="Normal 11 8 5 2 2 2" xfId="56358" xr:uid="{00000000-0005-0000-0000-0000EB5D0000}"/>
    <cellStyle name="Normal 11 8 5 2 3" xfId="42796" xr:uid="{00000000-0005-0000-0000-0000EC5D0000}"/>
    <cellStyle name="Normal 11 8 5 3" xfId="22444" xr:uid="{00000000-0005-0000-0000-0000ED5D0000}"/>
    <cellStyle name="Normal 11 8 5 3 2" xfId="49577" xr:uid="{00000000-0005-0000-0000-0000EE5D0000}"/>
    <cellStyle name="Normal 11 8 5 4" xfId="36015" xr:uid="{00000000-0005-0000-0000-0000EF5D0000}"/>
    <cellStyle name="Normal 11 8 6" xfId="12268" xr:uid="{00000000-0005-0000-0000-0000F05D0000}"/>
    <cellStyle name="Normal 11 8 6 2" xfId="25836" xr:uid="{00000000-0005-0000-0000-0000F15D0000}"/>
    <cellStyle name="Normal 11 8 6 2 2" xfId="52969" xr:uid="{00000000-0005-0000-0000-0000F25D0000}"/>
    <cellStyle name="Normal 11 8 6 3" xfId="39407" xr:uid="{00000000-0005-0000-0000-0000F35D0000}"/>
    <cellStyle name="Normal 11 8 7" xfId="19055" xr:uid="{00000000-0005-0000-0000-0000F45D0000}"/>
    <cellStyle name="Normal 11 8 7 2" xfId="46188" xr:uid="{00000000-0005-0000-0000-0000F55D0000}"/>
    <cellStyle name="Normal 11 8 8" xfId="32626" xr:uid="{00000000-0005-0000-0000-0000F65D0000}"/>
    <cellStyle name="Normal 11 9" xfId="5323" xr:uid="{00000000-0005-0000-0000-0000F75D0000}"/>
    <cellStyle name="Normal 11 9 2" xfId="5324" xr:uid="{00000000-0005-0000-0000-0000F85D0000}"/>
    <cellStyle name="Normal 11 9 2 2" xfId="8874" xr:uid="{00000000-0005-0000-0000-0000F95D0000}"/>
    <cellStyle name="Normal 11 9 2 2 2" xfId="15664" xr:uid="{00000000-0005-0000-0000-0000FA5D0000}"/>
    <cellStyle name="Normal 11 9 2 2 2 2" xfId="29232" xr:uid="{00000000-0005-0000-0000-0000FB5D0000}"/>
    <cellStyle name="Normal 11 9 2 2 2 2 2" xfId="56365" xr:uid="{00000000-0005-0000-0000-0000FC5D0000}"/>
    <cellStyle name="Normal 11 9 2 2 2 3" xfId="42803" xr:uid="{00000000-0005-0000-0000-0000FD5D0000}"/>
    <cellStyle name="Normal 11 9 2 2 3" xfId="22451" xr:uid="{00000000-0005-0000-0000-0000FE5D0000}"/>
    <cellStyle name="Normal 11 9 2 2 3 2" xfId="49584" xr:uid="{00000000-0005-0000-0000-0000FF5D0000}"/>
    <cellStyle name="Normal 11 9 2 2 4" xfId="36022" xr:uid="{00000000-0005-0000-0000-0000005E0000}"/>
    <cellStyle name="Normal 11 9 2 3" xfId="12275" xr:uid="{00000000-0005-0000-0000-0000015E0000}"/>
    <cellStyle name="Normal 11 9 2 3 2" xfId="25843" xr:uid="{00000000-0005-0000-0000-0000025E0000}"/>
    <cellStyle name="Normal 11 9 2 3 2 2" xfId="52976" xr:uid="{00000000-0005-0000-0000-0000035E0000}"/>
    <cellStyle name="Normal 11 9 2 3 3" xfId="39414" xr:uid="{00000000-0005-0000-0000-0000045E0000}"/>
    <cellStyle name="Normal 11 9 2 4" xfId="19062" xr:uid="{00000000-0005-0000-0000-0000055E0000}"/>
    <cellStyle name="Normal 11 9 2 4 2" xfId="46195" xr:uid="{00000000-0005-0000-0000-0000065E0000}"/>
    <cellStyle name="Normal 11 9 2 5" xfId="32633" xr:uid="{00000000-0005-0000-0000-0000075E0000}"/>
    <cellStyle name="Normal 11 9 3" xfId="8873" xr:uid="{00000000-0005-0000-0000-0000085E0000}"/>
    <cellStyle name="Normal 11 9 3 2" xfId="15663" xr:uid="{00000000-0005-0000-0000-0000095E0000}"/>
    <cellStyle name="Normal 11 9 3 2 2" xfId="29231" xr:uid="{00000000-0005-0000-0000-00000A5E0000}"/>
    <cellStyle name="Normal 11 9 3 2 2 2" xfId="56364" xr:uid="{00000000-0005-0000-0000-00000B5E0000}"/>
    <cellStyle name="Normal 11 9 3 2 3" xfId="42802" xr:uid="{00000000-0005-0000-0000-00000C5E0000}"/>
    <cellStyle name="Normal 11 9 3 3" xfId="22450" xr:uid="{00000000-0005-0000-0000-00000D5E0000}"/>
    <cellStyle name="Normal 11 9 3 3 2" xfId="49583" xr:uid="{00000000-0005-0000-0000-00000E5E0000}"/>
    <cellStyle name="Normal 11 9 3 4" xfId="36021" xr:uid="{00000000-0005-0000-0000-00000F5E0000}"/>
    <cellStyle name="Normal 11 9 4" xfId="12274" xr:uid="{00000000-0005-0000-0000-0000105E0000}"/>
    <cellStyle name="Normal 11 9 4 2" xfId="25842" xr:uid="{00000000-0005-0000-0000-0000115E0000}"/>
    <cellStyle name="Normal 11 9 4 2 2" xfId="52975" xr:uid="{00000000-0005-0000-0000-0000125E0000}"/>
    <cellStyle name="Normal 11 9 4 3" xfId="39413" xr:uid="{00000000-0005-0000-0000-0000135E0000}"/>
    <cellStyle name="Normal 11 9 5" xfId="19061" xr:uid="{00000000-0005-0000-0000-0000145E0000}"/>
    <cellStyle name="Normal 11 9 5 2" xfId="46194" xr:uid="{00000000-0005-0000-0000-0000155E0000}"/>
    <cellStyle name="Normal 11 9 6" xfId="32632" xr:uid="{00000000-0005-0000-0000-0000165E0000}"/>
    <cellStyle name="Normal 111" xfId="7306" xr:uid="{00000000-0005-0000-0000-0000175E0000}"/>
    <cellStyle name="Normal 12" xfId="2561" xr:uid="{00000000-0005-0000-0000-0000185E0000}"/>
    <cellStyle name="Normal 12 10" xfId="5325" xr:uid="{00000000-0005-0000-0000-0000195E0000}"/>
    <cellStyle name="Normal 12 10 2" xfId="8875" xr:uid="{00000000-0005-0000-0000-00001A5E0000}"/>
    <cellStyle name="Normal 12 10 2 2" xfId="15665" xr:uid="{00000000-0005-0000-0000-00001B5E0000}"/>
    <cellStyle name="Normal 12 10 2 2 2" xfId="29233" xr:uid="{00000000-0005-0000-0000-00001C5E0000}"/>
    <cellStyle name="Normal 12 10 2 2 2 2" xfId="56366" xr:uid="{00000000-0005-0000-0000-00001D5E0000}"/>
    <cellStyle name="Normal 12 10 2 2 3" xfId="42804" xr:uid="{00000000-0005-0000-0000-00001E5E0000}"/>
    <cellStyle name="Normal 12 10 2 3" xfId="22452" xr:uid="{00000000-0005-0000-0000-00001F5E0000}"/>
    <cellStyle name="Normal 12 10 2 3 2" xfId="49585" xr:uid="{00000000-0005-0000-0000-0000205E0000}"/>
    <cellStyle name="Normal 12 10 2 4" xfId="36023" xr:uid="{00000000-0005-0000-0000-0000215E0000}"/>
    <cellStyle name="Normal 12 10 3" xfId="12276" xr:uid="{00000000-0005-0000-0000-0000225E0000}"/>
    <cellStyle name="Normal 12 10 3 2" xfId="25844" xr:uid="{00000000-0005-0000-0000-0000235E0000}"/>
    <cellStyle name="Normal 12 10 3 2 2" xfId="52977" xr:uid="{00000000-0005-0000-0000-0000245E0000}"/>
    <cellStyle name="Normal 12 10 3 3" xfId="39415" xr:uid="{00000000-0005-0000-0000-0000255E0000}"/>
    <cellStyle name="Normal 12 10 4" xfId="19063" xr:uid="{00000000-0005-0000-0000-0000265E0000}"/>
    <cellStyle name="Normal 12 10 4 2" xfId="46196" xr:uid="{00000000-0005-0000-0000-0000275E0000}"/>
    <cellStyle name="Normal 12 10 5" xfId="32634" xr:uid="{00000000-0005-0000-0000-0000285E0000}"/>
    <cellStyle name="Normal 12 11" xfId="5326" xr:uid="{00000000-0005-0000-0000-0000295E0000}"/>
    <cellStyle name="Normal 12 11 2" xfId="8876" xr:uid="{00000000-0005-0000-0000-00002A5E0000}"/>
    <cellStyle name="Normal 12 11 2 2" xfId="15666" xr:uid="{00000000-0005-0000-0000-00002B5E0000}"/>
    <cellStyle name="Normal 12 11 2 2 2" xfId="29234" xr:uid="{00000000-0005-0000-0000-00002C5E0000}"/>
    <cellStyle name="Normal 12 11 2 2 2 2" xfId="56367" xr:uid="{00000000-0005-0000-0000-00002D5E0000}"/>
    <cellStyle name="Normal 12 11 2 2 3" xfId="42805" xr:uid="{00000000-0005-0000-0000-00002E5E0000}"/>
    <cellStyle name="Normal 12 11 2 3" xfId="22453" xr:uid="{00000000-0005-0000-0000-00002F5E0000}"/>
    <cellStyle name="Normal 12 11 2 3 2" xfId="49586" xr:uid="{00000000-0005-0000-0000-0000305E0000}"/>
    <cellStyle name="Normal 12 11 2 4" xfId="36024" xr:uid="{00000000-0005-0000-0000-0000315E0000}"/>
    <cellStyle name="Normal 12 11 3" xfId="12277" xr:uid="{00000000-0005-0000-0000-0000325E0000}"/>
    <cellStyle name="Normal 12 11 3 2" xfId="25845" xr:uid="{00000000-0005-0000-0000-0000335E0000}"/>
    <cellStyle name="Normal 12 11 3 2 2" xfId="52978" xr:uid="{00000000-0005-0000-0000-0000345E0000}"/>
    <cellStyle name="Normal 12 11 3 3" xfId="39416" xr:uid="{00000000-0005-0000-0000-0000355E0000}"/>
    <cellStyle name="Normal 12 11 4" xfId="19064" xr:uid="{00000000-0005-0000-0000-0000365E0000}"/>
    <cellStyle name="Normal 12 11 4 2" xfId="46197" xr:uid="{00000000-0005-0000-0000-0000375E0000}"/>
    <cellStyle name="Normal 12 11 5" xfId="32635" xr:uid="{00000000-0005-0000-0000-0000385E0000}"/>
    <cellStyle name="Normal 12 12" xfId="7299" xr:uid="{00000000-0005-0000-0000-0000395E0000}"/>
    <cellStyle name="Normal 12 2" xfId="5327" xr:uid="{00000000-0005-0000-0000-00003A5E0000}"/>
    <cellStyle name="Normal 12 3" xfId="5328" xr:uid="{00000000-0005-0000-0000-00003B5E0000}"/>
    <cellStyle name="Normal 12 3 10" xfId="8877" xr:uid="{00000000-0005-0000-0000-00003C5E0000}"/>
    <cellStyle name="Normal 12 3 10 2" xfId="15667" xr:uid="{00000000-0005-0000-0000-00003D5E0000}"/>
    <cellStyle name="Normal 12 3 10 2 2" xfId="29235" xr:uid="{00000000-0005-0000-0000-00003E5E0000}"/>
    <cellStyle name="Normal 12 3 10 2 2 2" xfId="56368" xr:uid="{00000000-0005-0000-0000-00003F5E0000}"/>
    <cellStyle name="Normal 12 3 10 2 3" xfId="42806" xr:uid="{00000000-0005-0000-0000-0000405E0000}"/>
    <cellStyle name="Normal 12 3 10 3" xfId="22454" xr:uid="{00000000-0005-0000-0000-0000415E0000}"/>
    <cellStyle name="Normal 12 3 10 3 2" xfId="49587" xr:uid="{00000000-0005-0000-0000-0000425E0000}"/>
    <cellStyle name="Normal 12 3 10 4" xfId="36025" xr:uid="{00000000-0005-0000-0000-0000435E0000}"/>
    <cellStyle name="Normal 12 3 11" xfId="12278" xr:uid="{00000000-0005-0000-0000-0000445E0000}"/>
    <cellStyle name="Normal 12 3 11 2" xfId="25846" xr:uid="{00000000-0005-0000-0000-0000455E0000}"/>
    <cellStyle name="Normal 12 3 11 2 2" xfId="52979" xr:uid="{00000000-0005-0000-0000-0000465E0000}"/>
    <cellStyle name="Normal 12 3 11 3" xfId="39417" xr:uid="{00000000-0005-0000-0000-0000475E0000}"/>
    <cellStyle name="Normal 12 3 12" xfId="19065" xr:uid="{00000000-0005-0000-0000-0000485E0000}"/>
    <cellStyle name="Normal 12 3 12 2" xfId="46198" xr:uid="{00000000-0005-0000-0000-0000495E0000}"/>
    <cellStyle name="Normal 12 3 13" xfId="32636" xr:uid="{00000000-0005-0000-0000-00004A5E0000}"/>
    <cellStyle name="Normal 12 3 2" xfId="5329" xr:uid="{00000000-0005-0000-0000-00004B5E0000}"/>
    <cellStyle name="Normal 12 3 2 10" xfId="32637" xr:uid="{00000000-0005-0000-0000-00004C5E0000}"/>
    <cellStyle name="Normal 12 3 2 2" xfId="5330" xr:uid="{00000000-0005-0000-0000-00004D5E0000}"/>
    <cellStyle name="Normal 12 3 2 2 2" xfId="5331" xr:uid="{00000000-0005-0000-0000-00004E5E0000}"/>
    <cellStyle name="Normal 12 3 2 2 2 2" xfId="5332" xr:uid="{00000000-0005-0000-0000-00004F5E0000}"/>
    <cellStyle name="Normal 12 3 2 2 2 2 2" xfId="8881" xr:uid="{00000000-0005-0000-0000-0000505E0000}"/>
    <cellStyle name="Normal 12 3 2 2 2 2 2 2" xfId="15671" xr:uid="{00000000-0005-0000-0000-0000515E0000}"/>
    <cellStyle name="Normal 12 3 2 2 2 2 2 2 2" xfId="29239" xr:uid="{00000000-0005-0000-0000-0000525E0000}"/>
    <cellStyle name="Normal 12 3 2 2 2 2 2 2 2 2" xfId="56372" xr:uid="{00000000-0005-0000-0000-0000535E0000}"/>
    <cellStyle name="Normal 12 3 2 2 2 2 2 2 3" xfId="42810" xr:uid="{00000000-0005-0000-0000-0000545E0000}"/>
    <cellStyle name="Normal 12 3 2 2 2 2 2 3" xfId="22458" xr:uid="{00000000-0005-0000-0000-0000555E0000}"/>
    <cellStyle name="Normal 12 3 2 2 2 2 2 3 2" xfId="49591" xr:uid="{00000000-0005-0000-0000-0000565E0000}"/>
    <cellStyle name="Normal 12 3 2 2 2 2 2 4" xfId="36029" xr:uid="{00000000-0005-0000-0000-0000575E0000}"/>
    <cellStyle name="Normal 12 3 2 2 2 2 3" xfId="12282" xr:uid="{00000000-0005-0000-0000-0000585E0000}"/>
    <cellStyle name="Normal 12 3 2 2 2 2 3 2" xfId="25850" xr:uid="{00000000-0005-0000-0000-0000595E0000}"/>
    <cellStyle name="Normal 12 3 2 2 2 2 3 2 2" xfId="52983" xr:uid="{00000000-0005-0000-0000-00005A5E0000}"/>
    <cellStyle name="Normal 12 3 2 2 2 2 3 3" xfId="39421" xr:uid="{00000000-0005-0000-0000-00005B5E0000}"/>
    <cellStyle name="Normal 12 3 2 2 2 2 4" xfId="19069" xr:uid="{00000000-0005-0000-0000-00005C5E0000}"/>
    <cellStyle name="Normal 12 3 2 2 2 2 4 2" xfId="46202" xr:uid="{00000000-0005-0000-0000-00005D5E0000}"/>
    <cellStyle name="Normal 12 3 2 2 2 2 5" xfId="32640" xr:uid="{00000000-0005-0000-0000-00005E5E0000}"/>
    <cellStyle name="Normal 12 3 2 2 2 3" xfId="5333" xr:uid="{00000000-0005-0000-0000-00005F5E0000}"/>
    <cellStyle name="Normal 12 3 2 2 2 3 2" xfId="8882" xr:uid="{00000000-0005-0000-0000-0000605E0000}"/>
    <cellStyle name="Normal 12 3 2 2 2 3 2 2" xfId="15672" xr:uid="{00000000-0005-0000-0000-0000615E0000}"/>
    <cellStyle name="Normal 12 3 2 2 2 3 2 2 2" xfId="29240" xr:uid="{00000000-0005-0000-0000-0000625E0000}"/>
    <cellStyle name="Normal 12 3 2 2 2 3 2 2 2 2" xfId="56373" xr:uid="{00000000-0005-0000-0000-0000635E0000}"/>
    <cellStyle name="Normal 12 3 2 2 2 3 2 2 3" xfId="42811" xr:uid="{00000000-0005-0000-0000-0000645E0000}"/>
    <cellStyle name="Normal 12 3 2 2 2 3 2 3" xfId="22459" xr:uid="{00000000-0005-0000-0000-0000655E0000}"/>
    <cellStyle name="Normal 12 3 2 2 2 3 2 3 2" xfId="49592" xr:uid="{00000000-0005-0000-0000-0000665E0000}"/>
    <cellStyle name="Normal 12 3 2 2 2 3 2 4" xfId="36030" xr:uid="{00000000-0005-0000-0000-0000675E0000}"/>
    <cellStyle name="Normal 12 3 2 2 2 3 3" xfId="12283" xr:uid="{00000000-0005-0000-0000-0000685E0000}"/>
    <cellStyle name="Normal 12 3 2 2 2 3 3 2" xfId="25851" xr:uid="{00000000-0005-0000-0000-0000695E0000}"/>
    <cellStyle name="Normal 12 3 2 2 2 3 3 2 2" xfId="52984" xr:uid="{00000000-0005-0000-0000-00006A5E0000}"/>
    <cellStyle name="Normal 12 3 2 2 2 3 3 3" xfId="39422" xr:uid="{00000000-0005-0000-0000-00006B5E0000}"/>
    <cellStyle name="Normal 12 3 2 2 2 3 4" xfId="19070" xr:uid="{00000000-0005-0000-0000-00006C5E0000}"/>
    <cellStyle name="Normal 12 3 2 2 2 3 4 2" xfId="46203" xr:uid="{00000000-0005-0000-0000-00006D5E0000}"/>
    <cellStyle name="Normal 12 3 2 2 2 3 5" xfId="32641" xr:uid="{00000000-0005-0000-0000-00006E5E0000}"/>
    <cellStyle name="Normal 12 3 2 2 2 4" xfId="8880" xr:uid="{00000000-0005-0000-0000-00006F5E0000}"/>
    <cellStyle name="Normal 12 3 2 2 2 4 2" xfId="15670" xr:uid="{00000000-0005-0000-0000-0000705E0000}"/>
    <cellStyle name="Normal 12 3 2 2 2 4 2 2" xfId="29238" xr:uid="{00000000-0005-0000-0000-0000715E0000}"/>
    <cellStyle name="Normal 12 3 2 2 2 4 2 2 2" xfId="56371" xr:uid="{00000000-0005-0000-0000-0000725E0000}"/>
    <cellStyle name="Normal 12 3 2 2 2 4 2 3" xfId="42809" xr:uid="{00000000-0005-0000-0000-0000735E0000}"/>
    <cellStyle name="Normal 12 3 2 2 2 4 3" xfId="22457" xr:uid="{00000000-0005-0000-0000-0000745E0000}"/>
    <cellStyle name="Normal 12 3 2 2 2 4 3 2" xfId="49590" xr:uid="{00000000-0005-0000-0000-0000755E0000}"/>
    <cellStyle name="Normal 12 3 2 2 2 4 4" xfId="36028" xr:uid="{00000000-0005-0000-0000-0000765E0000}"/>
    <cellStyle name="Normal 12 3 2 2 2 5" xfId="12281" xr:uid="{00000000-0005-0000-0000-0000775E0000}"/>
    <cellStyle name="Normal 12 3 2 2 2 5 2" xfId="25849" xr:uid="{00000000-0005-0000-0000-0000785E0000}"/>
    <cellStyle name="Normal 12 3 2 2 2 5 2 2" xfId="52982" xr:uid="{00000000-0005-0000-0000-0000795E0000}"/>
    <cellStyle name="Normal 12 3 2 2 2 5 3" xfId="39420" xr:uid="{00000000-0005-0000-0000-00007A5E0000}"/>
    <cellStyle name="Normal 12 3 2 2 2 6" xfId="19068" xr:uid="{00000000-0005-0000-0000-00007B5E0000}"/>
    <cellStyle name="Normal 12 3 2 2 2 6 2" xfId="46201" xr:uid="{00000000-0005-0000-0000-00007C5E0000}"/>
    <cellStyle name="Normal 12 3 2 2 2 7" xfId="32639" xr:uid="{00000000-0005-0000-0000-00007D5E0000}"/>
    <cellStyle name="Normal 12 3 2 2 3" xfId="5334" xr:uid="{00000000-0005-0000-0000-00007E5E0000}"/>
    <cellStyle name="Normal 12 3 2 2 3 2" xfId="5335" xr:uid="{00000000-0005-0000-0000-00007F5E0000}"/>
    <cellStyle name="Normal 12 3 2 2 3 2 2" xfId="8884" xr:uid="{00000000-0005-0000-0000-0000805E0000}"/>
    <cellStyle name="Normal 12 3 2 2 3 2 2 2" xfId="15674" xr:uid="{00000000-0005-0000-0000-0000815E0000}"/>
    <cellStyle name="Normal 12 3 2 2 3 2 2 2 2" xfId="29242" xr:uid="{00000000-0005-0000-0000-0000825E0000}"/>
    <cellStyle name="Normal 12 3 2 2 3 2 2 2 2 2" xfId="56375" xr:uid="{00000000-0005-0000-0000-0000835E0000}"/>
    <cellStyle name="Normal 12 3 2 2 3 2 2 2 3" xfId="42813" xr:uid="{00000000-0005-0000-0000-0000845E0000}"/>
    <cellStyle name="Normal 12 3 2 2 3 2 2 3" xfId="22461" xr:uid="{00000000-0005-0000-0000-0000855E0000}"/>
    <cellStyle name="Normal 12 3 2 2 3 2 2 3 2" xfId="49594" xr:uid="{00000000-0005-0000-0000-0000865E0000}"/>
    <cellStyle name="Normal 12 3 2 2 3 2 2 4" xfId="36032" xr:uid="{00000000-0005-0000-0000-0000875E0000}"/>
    <cellStyle name="Normal 12 3 2 2 3 2 3" xfId="12285" xr:uid="{00000000-0005-0000-0000-0000885E0000}"/>
    <cellStyle name="Normal 12 3 2 2 3 2 3 2" xfId="25853" xr:uid="{00000000-0005-0000-0000-0000895E0000}"/>
    <cellStyle name="Normal 12 3 2 2 3 2 3 2 2" xfId="52986" xr:uid="{00000000-0005-0000-0000-00008A5E0000}"/>
    <cellStyle name="Normal 12 3 2 2 3 2 3 3" xfId="39424" xr:uid="{00000000-0005-0000-0000-00008B5E0000}"/>
    <cellStyle name="Normal 12 3 2 2 3 2 4" xfId="19072" xr:uid="{00000000-0005-0000-0000-00008C5E0000}"/>
    <cellStyle name="Normal 12 3 2 2 3 2 4 2" xfId="46205" xr:uid="{00000000-0005-0000-0000-00008D5E0000}"/>
    <cellStyle name="Normal 12 3 2 2 3 2 5" xfId="32643" xr:uid="{00000000-0005-0000-0000-00008E5E0000}"/>
    <cellStyle name="Normal 12 3 2 2 3 3" xfId="8883" xr:uid="{00000000-0005-0000-0000-00008F5E0000}"/>
    <cellStyle name="Normal 12 3 2 2 3 3 2" xfId="15673" xr:uid="{00000000-0005-0000-0000-0000905E0000}"/>
    <cellStyle name="Normal 12 3 2 2 3 3 2 2" xfId="29241" xr:uid="{00000000-0005-0000-0000-0000915E0000}"/>
    <cellStyle name="Normal 12 3 2 2 3 3 2 2 2" xfId="56374" xr:uid="{00000000-0005-0000-0000-0000925E0000}"/>
    <cellStyle name="Normal 12 3 2 2 3 3 2 3" xfId="42812" xr:uid="{00000000-0005-0000-0000-0000935E0000}"/>
    <cellStyle name="Normal 12 3 2 2 3 3 3" xfId="22460" xr:uid="{00000000-0005-0000-0000-0000945E0000}"/>
    <cellStyle name="Normal 12 3 2 2 3 3 3 2" xfId="49593" xr:uid="{00000000-0005-0000-0000-0000955E0000}"/>
    <cellStyle name="Normal 12 3 2 2 3 3 4" xfId="36031" xr:uid="{00000000-0005-0000-0000-0000965E0000}"/>
    <cellStyle name="Normal 12 3 2 2 3 4" xfId="12284" xr:uid="{00000000-0005-0000-0000-0000975E0000}"/>
    <cellStyle name="Normal 12 3 2 2 3 4 2" xfId="25852" xr:uid="{00000000-0005-0000-0000-0000985E0000}"/>
    <cellStyle name="Normal 12 3 2 2 3 4 2 2" xfId="52985" xr:uid="{00000000-0005-0000-0000-0000995E0000}"/>
    <cellStyle name="Normal 12 3 2 2 3 4 3" xfId="39423" xr:uid="{00000000-0005-0000-0000-00009A5E0000}"/>
    <cellStyle name="Normal 12 3 2 2 3 5" xfId="19071" xr:uid="{00000000-0005-0000-0000-00009B5E0000}"/>
    <cellStyle name="Normal 12 3 2 2 3 5 2" xfId="46204" xr:uid="{00000000-0005-0000-0000-00009C5E0000}"/>
    <cellStyle name="Normal 12 3 2 2 3 6" xfId="32642" xr:uid="{00000000-0005-0000-0000-00009D5E0000}"/>
    <cellStyle name="Normal 12 3 2 2 4" xfId="5336" xr:uid="{00000000-0005-0000-0000-00009E5E0000}"/>
    <cellStyle name="Normal 12 3 2 2 4 2" xfId="8885" xr:uid="{00000000-0005-0000-0000-00009F5E0000}"/>
    <cellStyle name="Normal 12 3 2 2 4 2 2" xfId="15675" xr:uid="{00000000-0005-0000-0000-0000A05E0000}"/>
    <cellStyle name="Normal 12 3 2 2 4 2 2 2" xfId="29243" xr:uid="{00000000-0005-0000-0000-0000A15E0000}"/>
    <cellStyle name="Normal 12 3 2 2 4 2 2 2 2" xfId="56376" xr:uid="{00000000-0005-0000-0000-0000A25E0000}"/>
    <cellStyle name="Normal 12 3 2 2 4 2 2 3" xfId="42814" xr:uid="{00000000-0005-0000-0000-0000A35E0000}"/>
    <cellStyle name="Normal 12 3 2 2 4 2 3" xfId="22462" xr:uid="{00000000-0005-0000-0000-0000A45E0000}"/>
    <cellStyle name="Normal 12 3 2 2 4 2 3 2" xfId="49595" xr:uid="{00000000-0005-0000-0000-0000A55E0000}"/>
    <cellStyle name="Normal 12 3 2 2 4 2 4" xfId="36033" xr:uid="{00000000-0005-0000-0000-0000A65E0000}"/>
    <cellStyle name="Normal 12 3 2 2 4 3" xfId="12286" xr:uid="{00000000-0005-0000-0000-0000A75E0000}"/>
    <cellStyle name="Normal 12 3 2 2 4 3 2" xfId="25854" xr:uid="{00000000-0005-0000-0000-0000A85E0000}"/>
    <cellStyle name="Normal 12 3 2 2 4 3 2 2" xfId="52987" xr:uid="{00000000-0005-0000-0000-0000A95E0000}"/>
    <cellStyle name="Normal 12 3 2 2 4 3 3" xfId="39425" xr:uid="{00000000-0005-0000-0000-0000AA5E0000}"/>
    <cellStyle name="Normal 12 3 2 2 4 4" xfId="19073" xr:uid="{00000000-0005-0000-0000-0000AB5E0000}"/>
    <cellStyle name="Normal 12 3 2 2 4 4 2" xfId="46206" xr:uid="{00000000-0005-0000-0000-0000AC5E0000}"/>
    <cellStyle name="Normal 12 3 2 2 4 5" xfId="32644" xr:uid="{00000000-0005-0000-0000-0000AD5E0000}"/>
    <cellStyle name="Normal 12 3 2 2 5" xfId="5337" xr:uid="{00000000-0005-0000-0000-0000AE5E0000}"/>
    <cellStyle name="Normal 12 3 2 2 5 2" xfId="8886" xr:uid="{00000000-0005-0000-0000-0000AF5E0000}"/>
    <cellStyle name="Normal 12 3 2 2 5 2 2" xfId="15676" xr:uid="{00000000-0005-0000-0000-0000B05E0000}"/>
    <cellStyle name="Normal 12 3 2 2 5 2 2 2" xfId="29244" xr:uid="{00000000-0005-0000-0000-0000B15E0000}"/>
    <cellStyle name="Normal 12 3 2 2 5 2 2 2 2" xfId="56377" xr:uid="{00000000-0005-0000-0000-0000B25E0000}"/>
    <cellStyle name="Normal 12 3 2 2 5 2 2 3" xfId="42815" xr:uid="{00000000-0005-0000-0000-0000B35E0000}"/>
    <cellStyle name="Normal 12 3 2 2 5 2 3" xfId="22463" xr:uid="{00000000-0005-0000-0000-0000B45E0000}"/>
    <cellStyle name="Normal 12 3 2 2 5 2 3 2" xfId="49596" xr:uid="{00000000-0005-0000-0000-0000B55E0000}"/>
    <cellStyle name="Normal 12 3 2 2 5 2 4" xfId="36034" xr:uid="{00000000-0005-0000-0000-0000B65E0000}"/>
    <cellStyle name="Normal 12 3 2 2 5 3" xfId="12287" xr:uid="{00000000-0005-0000-0000-0000B75E0000}"/>
    <cellStyle name="Normal 12 3 2 2 5 3 2" xfId="25855" xr:uid="{00000000-0005-0000-0000-0000B85E0000}"/>
    <cellStyle name="Normal 12 3 2 2 5 3 2 2" xfId="52988" xr:uid="{00000000-0005-0000-0000-0000B95E0000}"/>
    <cellStyle name="Normal 12 3 2 2 5 3 3" xfId="39426" xr:uid="{00000000-0005-0000-0000-0000BA5E0000}"/>
    <cellStyle name="Normal 12 3 2 2 5 4" xfId="19074" xr:uid="{00000000-0005-0000-0000-0000BB5E0000}"/>
    <cellStyle name="Normal 12 3 2 2 5 4 2" xfId="46207" xr:uid="{00000000-0005-0000-0000-0000BC5E0000}"/>
    <cellStyle name="Normal 12 3 2 2 5 5" xfId="32645" xr:uid="{00000000-0005-0000-0000-0000BD5E0000}"/>
    <cellStyle name="Normal 12 3 2 2 6" xfId="8879" xr:uid="{00000000-0005-0000-0000-0000BE5E0000}"/>
    <cellStyle name="Normal 12 3 2 2 6 2" xfId="15669" xr:uid="{00000000-0005-0000-0000-0000BF5E0000}"/>
    <cellStyle name="Normal 12 3 2 2 6 2 2" xfId="29237" xr:uid="{00000000-0005-0000-0000-0000C05E0000}"/>
    <cellStyle name="Normal 12 3 2 2 6 2 2 2" xfId="56370" xr:uid="{00000000-0005-0000-0000-0000C15E0000}"/>
    <cellStyle name="Normal 12 3 2 2 6 2 3" xfId="42808" xr:uid="{00000000-0005-0000-0000-0000C25E0000}"/>
    <cellStyle name="Normal 12 3 2 2 6 3" xfId="22456" xr:uid="{00000000-0005-0000-0000-0000C35E0000}"/>
    <cellStyle name="Normal 12 3 2 2 6 3 2" xfId="49589" xr:uid="{00000000-0005-0000-0000-0000C45E0000}"/>
    <cellStyle name="Normal 12 3 2 2 6 4" xfId="36027" xr:uid="{00000000-0005-0000-0000-0000C55E0000}"/>
    <cellStyle name="Normal 12 3 2 2 7" xfId="12280" xr:uid="{00000000-0005-0000-0000-0000C65E0000}"/>
    <cellStyle name="Normal 12 3 2 2 7 2" xfId="25848" xr:uid="{00000000-0005-0000-0000-0000C75E0000}"/>
    <cellStyle name="Normal 12 3 2 2 7 2 2" xfId="52981" xr:uid="{00000000-0005-0000-0000-0000C85E0000}"/>
    <cellStyle name="Normal 12 3 2 2 7 3" xfId="39419" xr:uid="{00000000-0005-0000-0000-0000C95E0000}"/>
    <cellStyle name="Normal 12 3 2 2 8" xfId="19067" xr:uid="{00000000-0005-0000-0000-0000CA5E0000}"/>
    <cellStyle name="Normal 12 3 2 2 8 2" xfId="46200" xr:uid="{00000000-0005-0000-0000-0000CB5E0000}"/>
    <cellStyle name="Normal 12 3 2 2 9" xfId="32638" xr:uid="{00000000-0005-0000-0000-0000CC5E0000}"/>
    <cellStyle name="Normal 12 3 2 3" xfId="5338" xr:uid="{00000000-0005-0000-0000-0000CD5E0000}"/>
    <cellStyle name="Normal 12 3 2 3 2" xfId="5339" xr:uid="{00000000-0005-0000-0000-0000CE5E0000}"/>
    <cellStyle name="Normal 12 3 2 3 2 2" xfId="8888" xr:uid="{00000000-0005-0000-0000-0000CF5E0000}"/>
    <cellStyle name="Normal 12 3 2 3 2 2 2" xfId="15678" xr:uid="{00000000-0005-0000-0000-0000D05E0000}"/>
    <cellStyle name="Normal 12 3 2 3 2 2 2 2" xfId="29246" xr:uid="{00000000-0005-0000-0000-0000D15E0000}"/>
    <cellStyle name="Normal 12 3 2 3 2 2 2 2 2" xfId="56379" xr:uid="{00000000-0005-0000-0000-0000D25E0000}"/>
    <cellStyle name="Normal 12 3 2 3 2 2 2 3" xfId="42817" xr:uid="{00000000-0005-0000-0000-0000D35E0000}"/>
    <cellStyle name="Normal 12 3 2 3 2 2 3" xfId="22465" xr:uid="{00000000-0005-0000-0000-0000D45E0000}"/>
    <cellStyle name="Normal 12 3 2 3 2 2 3 2" xfId="49598" xr:uid="{00000000-0005-0000-0000-0000D55E0000}"/>
    <cellStyle name="Normal 12 3 2 3 2 2 4" xfId="36036" xr:uid="{00000000-0005-0000-0000-0000D65E0000}"/>
    <cellStyle name="Normal 12 3 2 3 2 3" xfId="12289" xr:uid="{00000000-0005-0000-0000-0000D75E0000}"/>
    <cellStyle name="Normal 12 3 2 3 2 3 2" xfId="25857" xr:uid="{00000000-0005-0000-0000-0000D85E0000}"/>
    <cellStyle name="Normal 12 3 2 3 2 3 2 2" xfId="52990" xr:uid="{00000000-0005-0000-0000-0000D95E0000}"/>
    <cellStyle name="Normal 12 3 2 3 2 3 3" xfId="39428" xr:uid="{00000000-0005-0000-0000-0000DA5E0000}"/>
    <cellStyle name="Normal 12 3 2 3 2 4" xfId="19076" xr:uid="{00000000-0005-0000-0000-0000DB5E0000}"/>
    <cellStyle name="Normal 12 3 2 3 2 4 2" xfId="46209" xr:uid="{00000000-0005-0000-0000-0000DC5E0000}"/>
    <cellStyle name="Normal 12 3 2 3 2 5" xfId="32647" xr:uid="{00000000-0005-0000-0000-0000DD5E0000}"/>
    <cellStyle name="Normal 12 3 2 3 3" xfId="5340" xr:uid="{00000000-0005-0000-0000-0000DE5E0000}"/>
    <cellStyle name="Normal 12 3 2 3 3 2" xfId="8889" xr:uid="{00000000-0005-0000-0000-0000DF5E0000}"/>
    <cellStyle name="Normal 12 3 2 3 3 2 2" xfId="15679" xr:uid="{00000000-0005-0000-0000-0000E05E0000}"/>
    <cellStyle name="Normal 12 3 2 3 3 2 2 2" xfId="29247" xr:uid="{00000000-0005-0000-0000-0000E15E0000}"/>
    <cellStyle name="Normal 12 3 2 3 3 2 2 2 2" xfId="56380" xr:uid="{00000000-0005-0000-0000-0000E25E0000}"/>
    <cellStyle name="Normal 12 3 2 3 3 2 2 3" xfId="42818" xr:uid="{00000000-0005-0000-0000-0000E35E0000}"/>
    <cellStyle name="Normal 12 3 2 3 3 2 3" xfId="22466" xr:uid="{00000000-0005-0000-0000-0000E45E0000}"/>
    <cellStyle name="Normal 12 3 2 3 3 2 3 2" xfId="49599" xr:uid="{00000000-0005-0000-0000-0000E55E0000}"/>
    <cellStyle name="Normal 12 3 2 3 3 2 4" xfId="36037" xr:uid="{00000000-0005-0000-0000-0000E65E0000}"/>
    <cellStyle name="Normal 12 3 2 3 3 3" xfId="12290" xr:uid="{00000000-0005-0000-0000-0000E75E0000}"/>
    <cellStyle name="Normal 12 3 2 3 3 3 2" xfId="25858" xr:uid="{00000000-0005-0000-0000-0000E85E0000}"/>
    <cellStyle name="Normal 12 3 2 3 3 3 2 2" xfId="52991" xr:uid="{00000000-0005-0000-0000-0000E95E0000}"/>
    <cellStyle name="Normal 12 3 2 3 3 3 3" xfId="39429" xr:uid="{00000000-0005-0000-0000-0000EA5E0000}"/>
    <cellStyle name="Normal 12 3 2 3 3 4" xfId="19077" xr:uid="{00000000-0005-0000-0000-0000EB5E0000}"/>
    <cellStyle name="Normal 12 3 2 3 3 4 2" xfId="46210" xr:uid="{00000000-0005-0000-0000-0000EC5E0000}"/>
    <cellStyle name="Normal 12 3 2 3 3 5" xfId="32648" xr:uid="{00000000-0005-0000-0000-0000ED5E0000}"/>
    <cellStyle name="Normal 12 3 2 3 4" xfId="8887" xr:uid="{00000000-0005-0000-0000-0000EE5E0000}"/>
    <cellStyle name="Normal 12 3 2 3 4 2" xfId="15677" xr:uid="{00000000-0005-0000-0000-0000EF5E0000}"/>
    <cellStyle name="Normal 12 3 2 3 4 2 2" xfId="29245" xr:uid="{00000000-0005-0000-0000-0000F05E0000}"/>
    <cellStyle name="Normal 12 3 2 3 4 2 2 2" xfId="56378" xr:uid="{00000000-0005-0000-0000-0000F15E0000}"/>
    <cellStyle name="Normal 12 3 2 3 4 2 3" xfId="42816" xr:uid="{00000000-0005-0000-0000-0000F25E0000}"/>
    <cellStyle name="Normal 12 3 2 3 4 3" xfId="22464" xr:uid="{00000000-0005-0000-0000-0000F35E0000}"/>
    <cellStyle name="Normal 12 3 2 3 4 3 2" xfId="49597" xr:uid="{00000000-0005-0000-0000-0000F45E0000}"/>
    <cellStyle name="Normal 12 3 2 3 4 4" xfId="36035" xr:uid="{00000000-0005-0000-0000-0000F55E0000}"/>
    <cellStyle name="Normal 12 3 2 3 5" xfId="12288" xr:uid="{00000000-0005-0000-0000-0000F65E0000}"/>
    <cellStyle name="Normal 12 3 2 3 5 2" xfId="25856" xr:uid="{00000000-0005-0000-0000-0000F75E0000}"/>
    <cellStyle name="Normal 12 3 2 3 5 2 2" xfId="52989" xr:uid="{00000000-0005-0000-0000-0000F85E0000}"/>
    <cellStyle name="Normal 12 3 2 3 5 3" xfId="39427" xr:uid="{00000000-0005-0000-0000-0000F95E0000}"/>
    <cellStyle name="Normal 12 3 2 3 6" xfId="19075" xr:uid="{00000000-0005-0000-0000-0000FA5E0000}"/>
    <cellStyle name="Normal 12 3 2 3 6 2" xfId="46208" xr:uid="{00000000-0005-0000-0000-0000FB5E0000}"/>
    <cellStyle name="Normal 12 3 2 3 7" xfId="32646" xr:uid="{00000000-0005-0000-0000-0000FC5E0000}"/>
    <cellStyle name="Normal 12 3 2 4" xfId="5341" xr:uid="{00000000-0005-0000-0000-0000FD5E0000}"/>
    <cellStyle name="Normal 12 3 2 4 2" xfId="5342" xr:uid="{00000000-0005-0000-0000-0000FE5E0000}"/>
    <cellStyle name="Normal 12 3 2 4 2 2" xfId="8891" xr:uid="{00000000-0005-0000-0000-0000FF5E0000}"/>
    <cellStyle name="Normal 12 3 2 4 2 2 2" xfId="15681" xr:uid="{00000000-0005-0000-0000-0000005F0000}"/>
    <cellStyle name="Normal 12 3 2 4 2 2 2 2" xfId="29249" xr:uid="{00000000-0005-0000-0000-0000015F0000}"/>
    <cellStyle name="Normal 12 3 2 4 2 2 2 2 2" xfId="56382" xr:uid="{00000000-0005-0000-0000-0000025F0000}"/>
    <cellStyle name="Normal 12 3 2 4 2 2 2 3" xfId="42820" xr:uid="{00000000-0005-0000-0000-0000035F0000}"/>
    <cellStyle name="Normal 12 3 2 4 2 2 3" xfId="22468" xr:uid="{00000000-0005-0000-0000-0000045F0000}"/>
    <cellStyle name="Normal 12 3 2 4 2 2 3 2" xfId="49601" xr:uid="{00000000-0005-0000-0000-0000055F0000}"/>
    <cellStyle name="Normal 12 3 2 4 2 2 4" xfId="36039" xr:uid="{00000000-0005-0000-0000-0000065F0000}"/>
    <cellStyle name="Normal 12 3 2 4 2 3" xfId="12292" xr:uid="{00000000-0005-0000-0000-0000075F0000}"/>
    <cellStyle name="Normal 12 3 2 4 2 3 2" xfId="25860" xr:uid="{00000000-0005-0000-0000-0000085F0000}"/>
    <cellStyle name="Normal 12 3 2 4 2 3 2 2" xfId="52993" xr:uid="{00000000-0005-0000-0000-0000095F0000}"/>
    <cellStyle name="Normal 12 3 2 4 2 3 3" xfId="39431" xr:uid="{00000000-0005-0000-0000-00000A5F0000}"/>
    <cellStyle name="Normal 12 3 2 4 2 4" xfId="19079" xr:uid="{00000000-0005-0000-0000-00000B5F0000}"/>
    <cellStyle name="Normal 12 3 2 4 2 4 2" xfId="46212" xr:uid="{00000000-0005-0000-0000-00000C5F0000}"/>
    <cellStyle name="Normal 12 3 2 4 2 5" xfId="32650" xr:uid="{00000000-0005-0000-0000-00000D5F0000}"/>
    <cellStyle name="Normal 12 3 2 4 3" xfId="8890" xr:uid="{00000000-0005-0000-0000-00000E5F0000}"/>
    <cellStyle name="Normal 12 3 2 4 3 2" xfId="15680" xr:uid="{00000000-0005-0000-0000-00000F5F0000}"/>
    <cellStyle name="Normal 12 3 2 4 3 2 2" xfId="29248" xr:uid="{00000000-0005-0000-0000-0000105F0000}"/>
    <cellStyle name="Normal 12 3 2 4 3 2 2 2" xfId="56381" xr:uid="{00000000-0005-0000-0000-0000115F0000}"/>
    <cellStyle name="Normal 12 3 2 4 3 2 3" xfId="42819" xr:uid="{00000000-0005-0000-0000-0000125F0000}"/>
    <cellStyle name="Normal 12 3 2 4 3 3" xfId="22467" xr:uid="{00000000-0005-0000-0000-0000135F0000}"/>
    <cellStyle name="Normal 12 3 2 4 3 3 2" xfId="49600" xr:uid="{00000000-0005-0000-0000-0000145F0000}"/>
    <cellStyle name="Normal 12 3 2 4 3 4" xfId="36038" xr:uid="{00000000-0005-0000-0000-0000155F0000}"/>
    <cellStyle name="Normal 12 3 2 4 4" xfId="12291" xr:uid="{00000000-0005-0000-0000-0000165F0000}"/>
    <cellStyle name="Normal 12 3 2 4 4 2" xfId="25859" xr:uid="{00000000-0005-0000-0000-0000175F0000}"/>
    <cellStyle name="Normal 12 3 2 4 4 2 2" xfId="52992" xr:uid="{00000000-0005-0000-0000-0000185F0000}"/>
    <cellStyle name="Normal 12 3 2 4 4 3" xfId="39430" xr:uid="{00000000-0005-0000-0000-0000195F0000}"/>
    <cellStyle name="Normal 12 3 2 4 5" xfId="19078" xr:uid="{00000000-0005-0000-0000-00001A5F0000}"/>
    <cellStyle name="Normal 12 3 2 4 5 2" xfId="46211" xr:uid="{00000000-0005-0000-0000-00001B5F0000}"/>
    <cellStyle name="Normal 12 3 2 4 6" xfId="32649" xr:uid="{00000000-0005-0000-0000-00001C5F0000}"/>
    <cellStyle name="Normal 12 3 2 5" xfId="5343" xr:uid="{00000000-0005-0000-0000-00001D5F0000}"/>
    <cellStyle name="Normal 12 3 2 5 2" xfId="8892" xr:uid="{00000000-0005-0000-0000-00001E5F0000}"/>
    <cellStyle name="Normal 12 3 2 5 2 2" xfId="15682" xr:uid="{00000000-0005-0000-0000-00001F5F0000}"/>
    <cellStyle name="Normal 12 3 2 5 2 2 2" xfId="29250" xr:uid="{00000000-0005-0000-0000-0000205F0000}"/>
    <cellStyle name="Normal 12 3 2 5 2 2 2 2" xfId="56383" xr:uid="{00000000-0005-0000-0000-0000215F0000}"/>
    <cellStyle name="Normal 12 3 2 5 2 2 3" xfId="42821" xr:uid="{00000000-0005-0000-0000-0000225F0000}"/>
    <cellStyle name="Normal 12 3 2 5 2 3" xfId="22469" xr:uid="{00000000-0005-0000-0000-0000235F0000}"/>
    <cellStyle name="Normal 12 3 2 5 2 3 2" xfId="49602" xr:uid="{00000000-0005-0000-0000-0000245F0000}"/>
    <cellStyle name="Normal 12 3 2 5 2 4" xfId="36040" xr:uid="{00000000-0005-0000-0000-0000255F0000}"/>
    <cellStyle name="Normal 12 3 2 5 3" xfId="12293" xr:uid="{00000000-0005-0000-0000-0000265F0000}"/>
    <cellStyle name="Normal 12 3 2 5 3 2" xfId="25861" xr:uid="{00000000-0005-0000-0000-0000275F0000}"/>
    <cellStyle name="Normal 12 3 2 5 3 2 2" xfId="52994" xr:uid="{00000000-0005-0000-0000-0000285F0000}"/>
    <cellStyle name="Normal 12 3 2 5 3 3" xfId="39432" xr:uid="{00000000-0005-0000-0000-0000295F0000}"/>
    <cellStyle name="Normal 12 3 2 5 4" xfId="19080" xr:uid="{00000000-0005-0000-0000-00002A5F0000}"/>
    <cellStyle name="Normal 12 3 2 5 4 2" xfId="46213" xr:uid="{00000000-0005-0000-0000-00002B5F0000}"/>
    <cellStyle name="Normal 12 3 2 5 5" xfId="32651" xr:uid="{00000000-0005-0000-0000-00002C5F0000}"/>
    <cellStyle name="Normal 12 3 2 6" xfId="5344" xr:uid="{00000000-0005-0000-0000-00002D5F0000}"/>
    <cellStyle name="Normal 12 3 2 6 2" xfId="8893" xr:uid="{00000000-0005-0000-0000-00002E5F0000}"/>
    <cellStyle name="Normal 12 3 2 6 2 2" xfId="15683" xr:uid="{00000000-0005-0000-0000-00002F5F0000}"/>
    <cellStyle name="Normal 12 3 2 6 2 2 2" xfId="29251" xr:uid="{00000000-0005-0000-0000-0000305F0000}"/>
    <cellStyle name="Normal 12 3 2 6 2 2 2 2" xfId="56384" xr:uid="{00000000-0005-0000-0000-0000315F0000}"/>
    <cellStyle name="Normal 12 3 2 6 2 2 3" xfId="42822" xr:uid="{00000000-0005-0000-0000-0000325F0000}"/>
    <cellStyle name="Normal 12 3 2 6 2 3" xfId="22470" xr:uid="{00000000-0005-0000-0000-0000335F0000}"/>
    <cellStyle name="Normal 12 3 2 6 2 3 2" xfId="49603" xr:uid="{00000000-0005-0000-0000-0000345F0000}"/>
    <cellStyle name="Normal 12 3 2 6 2 4" xfId="36041" xr:uid="{00000000-0005-0000-0000-0000355F0000}"/>
    <cellStyle name="Normal 12 3 2 6 3" xfId="12294" xr:uid="{00000000-0005-0000-0000-0000365F0000}"/>
    <cellStyle name="Normal 12 3 2 6 3 2" xfId="25862" xr:uid="{00000000-0005-0000-0000-0000375F0000}"/>
    <cellStyle name="Normal 12 3 2 6 3 2 2" xfId="52995" xr:uid="{00000000-0005-0000-0000-0000385F0000}"/>
    <cellStyle name="Normal 12 3 2 6 3 3" xfId="39433" xr:uid="{00000000-0005-0000-0000-0000395F0000}"/>
    <cellStyle name="Normal 12 3 2 6 4" xfId="19081" xr:uid="{00000000-0005-0000-0000-00003A5F0000}"/>
    <cellStyle name="Normal 12 3 2 6 4 2" xfId="46214" xr:uid="{00000000-0005-0000-0000-00003B5F0000}"/>
    <cellStyle name="Normal 12 3 2 6 5" xfId="32652" xr:uid="{00000000-0005-0000-0000-00003C5F0000}"/>
    <cellStyle name="Normal 12 3 2 7" xfId="8878" xr:uid="{00000000-0005-0000-0000-00003D5F0000}"/>
    <cellStyle name="Normal 12 3 2 7 2" xfId="15668" xr:uid="{00000000-0005-0000-0000-00003E5F0000}"/>
    <cellStyle name="Normal 12 3 2 7 2 2" xfId="29236" xr:uid="{00000000-0005-0000-0000-00003F5F0000}"/>
    <cellStyle name="Normal 12 3 2 7 2 2 2" xfId="56369" xr:uid="{00000000-0005-0000-0000-0000405F0000}"/>
    <cellStyle name="Normal 12 3 2 7 2 3" xfId="42807" xr:uid="{00000000-0005-0000-0000-0000415F0000}"/>
    <cellStyle name="Normal 12 3 2 7 3" xfId="22455" xr:uid="{00000000-0005-0000-0000-0000425F0000}"/>
    <cellStyle name="Normal 12 3 2 7 3 2" xfId="49588" xr:uid="{00000000-0005-0000-0000-0000435F0000}"/>
    <cellStyle name="Normal 12 3 2 7 4" xfId="36026" xr:uid="{00000000-0005-0000-0000-0000445F0000}"/>
    <cellStyle name="Normal 12 3 2 8" xfId="12279" xr:uid="{00000000-0005-0000-0000-0000455F0000}"/>
    <cellStyle name="Normal 12 3 2 8 2" xfId="25847" xr:uid="{00000000-0005-0000-0000-0000465F0000}"/>
    <cellStyle name="Normal 12 3 2 8 2 2" xfId="52980" xr:uid="{00000000-0005-0000-0000-0000475F0000}"/>
    <cellStyle name="Normal 12 3 2 8 3" xfId="39418" xr:uid="{00000000-0005-0000-0000-0000485F0000}"/>
    <cellStyle name="Normal 12 3 2 9" xfId="19066" xr:uid="{00000000-0005-0000-0000-0000495F0000}"/>
    <cellStyle name="Normal 12 3 2 9 2" xfId="46199" xr:uid="{00000000-0005-0000-0000-00004A5F0000}"/>
    <cellStyle name="Normal 12 3 3" xfId="5345" xr:uid="{00000000-0005-0000-0000-00004B5F0000}"/>
    <cellStyle name="Normal 12 3 3 2" xfId="5346" xr:uid="{00000000-0005-0000-0000-00004C5F0000}"/>
    <cellStyle name="Normal 12 3 3 2 2" xfId="5347" xr:uid="{00000000-0005-0000-0000-00004D5F0000}"/>
    <cellStyle name="Normal 12 3 3 2 2 2" xfId="8896" xr:uid="{00000000-0005-0000-0000-00004E5F0000}"/>
    <cellStyle name="Normal 12 3 3 2 2 2 2" xfId="15686" xr:uid="{00000000-0005-0000-0000-00004F5F0000}"/>
    <cellStyle name="Normal 12 3 3 2 2 2 2 2" xfId="29254" xr:uid="{00000000-0005-0000-0000-0000505F0000}"/>
    <cellStyle name="Normal 12 3 3 2 2 2 2 2 2" xfId="56387" xr:uid="{00000000-0005-0000-0000-0000515F0000}"/>
    <cellStyle name="Normal 12 3 3 2 2 2 2 3" xfId="42825" xr:uid="{00000000-0005-0000-0000-0000525F0000}"/>
    <cellStyle name="Normal 12 3 3 2 2 2 3" xfId="22473" xr:uid="{00000000-0005-0000-0000-0000535F0000}"/>
    <cellStyle name="Normal 12 3 3 2 2 2 3 2" xfId="49606" xr:uid="{00000000-0005-0000-0000-0000545F0000}"/>
    <cellStyle name="Normal 12 3 3 2 2 2 4" xfId="36044" xr:uid="{00000000-0005-0000-0000-0000555F0000}"/>
    <cellStyle name="Normal 12 3 3 2 2 3" xfId="12297" xr:uid="{00000000-0005-0000-0000-0000565F0000}"/>
    <cellStyle name="Normal 12 3 3 2 2 3 2" xfId="25865" xr:uid="{00000000-0005-0000-0000-0000575F0000}"/>
    <cellStyle name="Normal 12 3 3 2 2 3 2 2" xfId="52998" xr:uid="{00000000-0005-0000-0000-0000585F0000}"/>
    <cellStyle name="Normal 12 3 3 2 2 3 3" xfId="39436" xr:uid="{00000000-0005-0000-0000-0000595F0000}"/>
    <cellStyle name="Normal 12 3 3 2 2 4" xfId="19084" xr:uid="{00000000-0005-0000-0000-00005A5F0000}"/>
    <cellStyle name="Normal 12 3 3 2 2 4 2" xfId="46217" xr:uid="{00000000-0005-0000-0000-00005B5F0000}"/>
    <cellStyle name="Normal 12 3 3 2 2 5" xfId="32655" xr:uid="{00000000-0005-0000-0000-00005C5F0000}"/>
    <cellStyle name="Normal 12 3 3 2 3" xfId="5348" xr:uid="{00000000-0005-0000-0000-00005D5F0000}"/>
    <cellStyle name="Normal 12 3 3 2 3 2" xfId="8897" xr:uid="{00000000-0005-0000-0000-00005E5F0000}"/>
    <cellStyle name="Normal 12 3 3 2 3 2 2" xfId="15687" xr:uid="{00000000-0005-0000-0000-00005F5F0000}"/>
    <cellStyle name="Normal 12 3 3 2 3 2 2 2" xfId="29255" xr:uid="{00000000-0005-0000-0000-0000605F0000}"/>
    <cellStyle name="Normal 12 3 3 2 3 2 2 2 2" xfId="56388" xr:uid="{00000000-0005-0000-0000-0000615F0000}"/>
    <cellStyle name="Normal 12 3 3 2 3 2 2 3" xfId="42826" xr:uid="{00000000-0005-0000-0000-0000625F0000}"/>
    <cellStyle name="Normal 12 3 3 2 3 2 3" xfId="22474" xr:uid="{00000000-0005-0000-0000-0000635F0000}"/>
    <cellStyle name="Normal 12 3 3 2 3 2 3 2" xfId="49607" xr:uid="{00000000-0005-0000-0000-0000645F0000}"/>
    <cellStyle name="Normal 12 3 3 2 3 2 4" xfId="36045" xr:uid="{00000000-0005-0000-0000-0000655F0000}"/>
    <cellStyle name="Normal 12 3 3 2 3 3" xfId="12298" xr:uid="{00000000-0005-0000-0000-0000665F0000}"/>
    <cellStyle name="Normal 12 3 3 2 3 3 2" xfId="25866" xr:uid="{00000000-0005-0000-0000-0000675F0000}"/>
    <cellStyle name="Normal 12 3 3 2 3 3 2 2" xfId="52999" xr:uid="{00000000-0005-0000-0000-0000685F0000}"/>
    <cellStyle name="Normal 12 3 3 2 3 3 3" xfId="39437" xr:uid="{00000000-0005-0000-0000-0000695F0000}"/>
    <cellStyle name="Normal 12 3 3 2 3 4" xfId="19085" xr:uid="{00000000-0005-0000-0000-00006A5F0000}"/>
    <cellStyle name="Normal 12 3 3 2 3 4 2" xfId="46218" xr:uid="{00000000-0005-0000-0000-00006B5F0000}"/>
    <cellStyle name="Normal 12 3 3 2 3 5" xfId="32656" xr:uid="{00000000-0005-0000-0000-00006C5F0000}"/>
    <cellStyle name="Normal 12 3 3 2 4" xfId="8895" xr:uid="{00000000-0005-0000-0000-00006D5F0000}"/>
    <cellStyle name="Normal 12 3 3 2 4 2" xfId="15685" xr:uid="{00000000-0005-0000-0000-00006E5F0000}"/>
    <cellStyle name="Normal 12 3 3 2 4 2 2" xfId="29253" xr:uid="{00000000-0005-0000-0000-00006F5F0000}"/>
    <cellStyle name="Normal 12 3 3 2 4 2 2 2" xfId="56386" xr:uid="{00000000-0005-0000-0000-0000705F0000}"/>
    <cellStyle name="Normal 12 3 3 2 4 2 3" xfId="42824" xr:uid="{00000000-0005-0000-0000-0000715F0000}"/>
    <cellStyle name="Normal 12 3 3 2 4 3" xfId="22472" xr:uid="{00000000-0005-0000-0000-0000725F0000}"/>
    <cellStyle name="Normal 12 3 3 2 4 3 2" xfId="49605" xr:uid="{00000000-0005-0000-0000-0000735F0000}"/>
    <cellStyle name="Normal 12 3 3 2 4 4" xfId="36043" xr:uid="{00000000-0005-0000-0000-0000745F0000}"/>
    <cellStyle name="Normal 12 3 3 2 5" xfId="12296" xr:uid="{00000000-0005-0000-0000-0000755F0000}"/>
    <cellStyle name="Normal 12 3 3 2 5 2" xfId="25864" xr:uid="{00000000-0005-0000-0000-0000765F0000}"/>
    <cellStyle name="Normal 12 3 3 2 5 2 2" xfId="52997" xr:uid="{00000000-0005-0000-0000-0000775F0000}"/>
    <cellStyle name="Normal 12 3 3 2 5 3" xfId="39435" xr:uid="{00000000-0005-0000-0000-0000785F0000}"/>
    <cellStyle name="Normal 12 3 3 2 6" xfId="19083" xr:uid="{00000000-0005-0000-0000-0000795F0000}"/>
    <cellStyle name="Normal 12 3 3 2 6 2" xfId="46216" xr:uid="{00000000-0005-0000-0000-00007A5F0000}"/>
    <cellStyle name="Normal 12 3 3 2 7" xfId="32654" xr:uid="{00000000-0005-0000-0000-00007B5F0000}"/>
    <cellStyle name="Normal 12 3 3 3" xfId="5349" xr:uid="{00000000-0005-0000-0000-00007C5F0000}"/>
    <cellStyle name="Normal 12 3 3 3 2" xfId="5350" xr:uid="{00000000-0005-0000-0000-00007D5F0000}"/>
    <cellStyle name="Normal 12 3 3 3 2 2" xfId="8899" xr:uid="{00000000-0005-0000-0000-00007E5F0000}"/>
    <cellStyle name="Normal 12 3 3 3 2 2 2" xfId="15689" xr:uid="{00000000-0005-0000-0000-00007F5F0000}"/>
    <cellStyle name="Normal 12 3 3 3 2 2 2 2" xfId="29257" xr:uid="{00000000-0005-0000-0000-0000805F0000}"/>
    <cellStyle name="Normal 12 3 3 3 2 2 2 2 2" xfId="56390" xr:uid="{00000000-0005-0000-0000-0000815F0000}"/>
    <cellStyle name="Normal 12 3 3 3 2 2 2 3" xfId="42828" xr:uid="{00000000-0005-0000-0000-0000825F0000}"/>
    <cellStyle name="Normal 12 3 3 3 2 2 3" xfId="22476" xr:uid="{00000000-0005-0000-0000-0000835F0000}"/>
    <cellStyle name="Normal 12 3 3 3 2 2 3 2" xfId="49609" xr:uid="{00000000-0005-0000-0000-0000845F0000}"/>
    <cellStyle name="Normal 12 3 3 3 2 2 4" xfId="36047" xr:uid="{00000000-0005-0000-0000-0000855F0000}"/>
    <cellStyle name="Normal 12 3 3 3 2 3" xfId="12300" xr:uid="{00000000-0005-0000-0000-0000865F0000}"/>
    <cellStyle name="Normal 12 3 3 3 2 3 2" xfId="25868" xr:uid="{00000000-0005-0000-0000-0000875F0000}"/>
    <cellStyle name="Normal 12 3 3 3 2 3 2 2" xfId="53001" xr:uid="{00000000-0005-0000-0000-0000885F0000}"/>
    <cellStyle name="Normal 12 3 3 3 2 3 3" xfId="39439" xr:uid="{00000000-0005-0000-0000-0000895F0000}"/>
    <cellStyle name="Normal 12 3 3 3 2 4" xfId="19087" xr:uid="{00000000-0005-0000-0000-00008A5F0000}"/>
    <cellStyle name="Normal 12 3 3 3 2 4 2" xfId="46220" xr:uid="{00000000-0005-0000-0000-00008B5F0000}"/>
    <cellStyle name="Normal 12 3 3 3 2 5" xfId="32658" xr:uid="{00000000-0005-0000-0000-00008C5F0000}"/>
    <cellStyle name="Normal 12 3 3 3 3" xfId="8898" xr:uid="{00000000-0005-0000-0000-00008D5F0000}"/>
    <cellStyle name="Normal 12 3 3 3 3 2" xfId="15688" xr:uid="{00000000-0005-0000-0000-00008E5F0000}"/>
    <cellStyle name="Normal 12 3 3 3 3 2 2" xfId="29256" xr:uid="{00000000-0005-0000-0000-00008F5F0000}"/>
    <cellStyle name="Normal 12 3 3 3 3 2 2 2" xfId="56389" xr:uid="{00000000-0005-0000-0000-0000905F0000}"/>
    <cellStyle name="Normal 12 3 3 3 3 2 3" xfId="42827" xr:uid="{00000000-0005-0000-0000-0000915F0000}"/>
    <cellStyle name="Normal 12 3 3 3 3 3" xfId="22475" xr:uid="{00000000-0005-0000-0000-0000925F0000}"/>
    <cellStyle name="Normal 12 3 3 3 3 3 2" xfId="49608" xr:uid="{00000000-0005-0000-0000-0000935F0000}"/>
    <cellStyle name="Normal 12 3 3 3 3 4" xfId="36046" xr:uid="{00000000-0005-0000-0000-0000945F0000}"/>
    <cellStyle name="Normal 12 3 3 3 4" xfId="12299" xr:uid="{00000000-0005-0000-0000-0000955F0000}"/>
    <cellStyle name="Normal 12 3 3 3 4 2" xfId="25867" xr:uid="{00000000-0005-0000-0000-0000965F0000}"/>
    <cellStyle name="Normal 12 3 3 3 4 2 2" xfId="53000" xr:uid="{00000000-0005-0000-0000-0000975F0000}"/>
    <cellStyle name="Normal 12 3 3 3 4 3" xfId="39438" xr:uid="{00000000-0005-0000-0000-0000985F0000}"/>
    <cellStyle name="Normal 12 3 3 3 5" xfId="19086" xr:uid="{00000000-0005-0000-0000-0000995F0000}"/>
    <cellStyle name="Normal 12 3 3 3 5 2" xfId="46219" xr:uid="{00000000-0005-0000-0000-00009A5F0000}"/>
    <cellStyle name="Normal 12 3 3 3 6" xfId="32657" xr:uid="{00000000-0005-0000-0000-00009B5F0000}"/>
    <cellStyle name="Normal 12 3 3 4" xfId="5351" xr:uid="{00000000-0005-0000-0000-00009C5F0000}"/>
    <cellStyle name="Normal 12 3 3 4 2" xfId="8900" xr:uid="{00000000-0005-0000-0000-00009D5F0000}"/>
    <cellStyle name="Normal 12 3 3 4 2 2" xfId="15690" xr:uid="{00000000-0005-0000-0000-00009E5F0000}"/>
    <cellStyle name="Normal 12 3 3 4 2 2 2" xfId="29258" xr:uid="{00000000-0005-0000-0000-00009F5F0000}"/>
    <cellStyle name="Normal 12 3 3 4 2 2 2 2" xfId="56391" xr:uid="{00000000-0005-0000-0000-0000A05F0000}"/>
    <cellStyle name="Normal 12 3 3 4 2 2 3" xfId="42829" xr:uid="{00000000-0005-0000-0000-0000A15F0000}"/>
    <cellStyle name="Normal 12 3 3 4 2 3" xfId="22477" xr:uid="{00000000-0005-0000-0000-0000A25F0000}"/>
    <cellStyle name="Normal 12 3 3 4 2 3 2" xfId="49610" xr:uid="{00000000-0005-0000-0000-0000A35F0000}"/>
    <cellStyle name="Normal 12 3 3 4 2 4" xfId="36048" xr:uid="{00000000-0005-0000-0000-0000A45F0000}"/>
    <cellStyle name="Normal 12 3 3 4 3" xfId="12301" xr:uid="{00000000-0005-0000-0000-0000A55F0000}"/>
    <cellStyle name="Normal 12 3 3 4 3 2" xfId="25869" xr:uid="{00000000-0005-0000-0000-0000A65F0000}"/>
    <cellStyle name="Normal 12 3 3 4 3 2 2" xfId="53002" xr:uid="{00000000-0005-0000-0000-0000A75F0000}"/>
    <cellStyle name="Normal 12 3 3 4 3 3" xfId="39440" xr:uid="{00000000-0005-0000-0000-0000A85F0000}"/>
    <cellStyle name="Normal 12 3 3 4 4" xfId="19088" xr:uid="{00000000-0005-0000-0000-0000A95F0000}"/>
    <cellStyle name="Normal 12 3 3 4 4 2" xfId="46221" xr:uid="{00000000-0005-0000-0000-0000AA5F0000}"/>
    <cellStyle name="Normal 12 3 3 4 5" xfId="32659" xr:uid="{00000000-0005-0000-0000-0000AB5F0000}"/>
    <cellStyle name="Normal 12 3 3 5" xfId="5352" xr:uid="{00000000-0005-0000-0000-0000AC5F0000}"/>
    <cellStyle name="Normal 12 3 3 5 2" xfId="8901" xr:uid="{00000000-0005-0000-0000-0000AD5F0000}"/>
    <cellStyle name="Normal 12 3 3 5 2 2" xfId="15691" xr:uid="{00000000-0005-0000-0000-0000AE5F0000}"/>
    <cellStyle name="Normal 12 3 3 5 2 2 2" xfId="29259" xr:uid="{00000000-0005-0000-0000-0000AF5F0000}"/>
    <cellStyle name="Normal 12 3 3 5 2 2 2 2" xfId="56392" xr:uid="{00000000-0005-0000-0000-0000B05F0000}"/>
    <cellStyle name="Normal 12 3 3 5 2 2 3" xfId="42830" xr:uid="{00000000-0005-0000-0000-0000B15F0000}"/>
    <cellStyle name="Normal 12 3 3 5 2 3" xfId="22478" xr:uid="{00000000-0005-0000-0000-0000B25F0000}"/>
    <cellStyle name="Normal 12 3 3 5 2 3 2" xfId="49611" xr:uid="{00000000-0005-0000-0000-0000B35F0000}"/>
    <cellStyle name="Normal 12 3 3 5 2 4" xfId="36049" xr:uid="{00000000-0005-0000-0000-0000B45F0000}"/>
    <cellStyle name="Normal 12 3 3 5 3" xfId="12302" xr:uid="{00000000-0005-0000-0000-0000B55F0000}"/>
    <cellStyle name="Normal 12 3 3 5 3 2" xfId="25870" xr:uid="{00000000-0005-0000-0000-0000B65F0000}"/>
    <cellStyle name="Normal 12 3 3 5 3 2 2" xfId="53003" xr:uid="{00000000-0005-0000-0000-0000B75F0000}"/>
    <cellStyle name="Normal 12 3 3 5 3 3" xfId="39441" xr:uid="{00000000-0005-0000-0000-0000B85F0000}"/>
    <cellStyle name="Normal 12 3 3 5 4" xfId="19089" xr:uid="{00000000-0005-0000-0000-0000B95F0000}"/>
    <cellStyle name="Normal 12 3 3 5 4 2" xfId="46222" xr:uid="{00000000-0005-0000-0000-0000BA5F0000}"/>
    <cellStyle name="Normal 12 3 3 5 5" xfId="32660" xr:uid="{00000000-0005-0000-0000-0000BB5F0000}"/>
    <cellStyle name="Normal 12 3 3 6" xfId="8894" xr:uid="{00000000-0005-0000-0000-0000BC5F0000}"/>
    <cellStyle name="Normal 12 3 3 6 2" xfId="15684" xr:uid="{00000000-0005-0000-0000-0000BD5F0000}"/>
    <cellStyle name="Normal 12 3 3 6 2 2" xfId="29252" xr:uid="{00000000-0005-0000-0000-0000BE5F0000}"/>
    <cellStyle name="Normal 12 3 3 6 2 2 2" xfId="56385" xr:uid="{00000000-0005-0000-0000-0000BF5F0000}"/>
    <cellStyle name="Normal 12 3 3 6 2 3" xfId="42823" xr:uid="{00000000-0005-0000-0000-0000C05F0000}"/>
    <cellStyle name="Normal 12 3 3 6 3" xfId="22471" xr:uid="{00000000-0005-0000-0000-0000C15F0000}"/>
    <cellStyle name="Normal 12 3 3 6 3 2" xfId="49604" xr:uid="{00000000-0005-0000-0000-0000C25F0000}"/>
    <cellStyle name="Normal 12 3 3 6 4" xfId="36042" xr:uid="{00000000-0005-0000-0000-0000C35F0000}"/>
    <cellStyle name="Normal 12 3 3 7" xfId="12295" xr:uid="{00000000-0005-0000-0000-0000C45F0000}"/>
    <cellStyle name="Normal 12 3 3 7 2" xfId="25863" xr:uid="{00000000-0005-0000-0000-0000C55F0000}"/>
    <cellStyle name="Normal 12 3 3 7 2 2" xfId="52996" xr:uid="{00000000-0005-0000-0000-0000C65F0000}"/>
    <cellStyle name="Normal 12 3 3 7 3" xfId="39434" xr:uid="{00000000-0005-0000-0000-0000C75F0000}"/>
    <cellStyle name="Normal 12 3 3 8" xfId="19082" xr:uid="{00000000-0005-0000-0000-0000C85F0000}"/>
    <cellStyle name="Normal 12 3 3 8 2" xfId="46215" xr:uid="{00000000-0005-0000-0000-0000C95F0000}"/>
    <cellStyle name="Normal 12 3 3 9" xfId="32653" xr:uid="{00000000-0005-0000-0000-0000CA5F0000}"/>
    <cellStyle name="Normal 12 3 4" xfId="5353" xr:uid="{00000000-0005-0000-0000-0000CB5F0000}"/>
    <cellStyle name="Normal 12 3 4 2" xfId="5354" xr:uid="{00000000-0005-0000-0000-0000CC5F0000}"/>
    <cellStyle name="Normal 12 3 4 2 2" xfId="5355" xr:uid="{00000000-0005-0000-0000-0000CD5F0000}"/>
    <cellStyle name="Normal 12 3 4 2 2 2" xfId="8904" xr:uid="{00000000-0005-0000-0000-0000CE5F0000}"/>
    <cellStyle name="Normal 12 3 4 2 2 2 2" xfId="15694" xr:uid="{00000000-0005-0000-0000-0000CF5F0000}"/>
    <cellStyle name="Normal 12 3 4 2 2 2 2 2" xfId="29262" xr:uid="{00000000-0005-0000-0000-0000D05F0000}"/>
    <cellStyle name="Normal 12 3 4 2 2 2 2 2 2" xfId="56395" xr:uid="{00000000-0005-0000-0000-0000D15F0000}"/>
    <cellStyle name="Normal 12 3 4 2 2 2 2 3" xfId="42833" xr:uid="{00000000-0005-0000-0000-0000D25F0000}"/>
    <cellStyle name="Normal 12 3 4 2 2 2 3" xfId="22481" xr:uid="{00000000-0005-0000-0000-0000D35F0000}"/>
    <cellStyle name="Normal 12 3 4 2 2 2 3 2" xfId="49614" xr:uid="{00000000-0005-0000-0000-0000D45F0000}"/>
    <cellStyle name="Normal 12 3 4 2 2 2 4" xfId="36052" xr:uid="{00000000-0005-0000-0000-0000D55F0000}"/>
    <cellStyle name="Normal 12 3 4 2 2 3" xfId="12305" xr:uid="{00000000-0005-0000-0000-0000D65F0000}"/>
    <cellStyle name="Normal 12 3 4 2 2 3 2" xfId="25873" xr:uid="{00000000-0005-0000-0000-0000D75F0000}"/>
    <cellStyle name="Normal 12 3 4 2 2 3 2 2" xfId="53006" xr:uid="{00000000-0005-0000-0000-0000D85F0000}"/>
    <cellStyle name="Normal 12 3 4 2 2 3 3" xfId="39444" xr:uid="{00000000-0005-0000-0000-0000D95F0000}"/>
    <cellStyle name="Normal 12 3 4 2 2 4" xfId="19092" xr:uid="{00000000-0005-0000-0000-0000DA5F0000}"/>
    <cellStyle name="Normal 12 3 4 2 2 4 2" xfId="46225" xr:uid="{00000000-0005-0000-0000-0000DB5F0000}"/>
    <cellStyle name="Normal 12 3 4 2 2 5" xfId="32663" xr:uid="{00000000-0005-0000-0000-0000DC5F0000}"/>
    <cellStyle name="Normal 12 3 4 2 3" xfId="5356" xr:uid="{00000000-0005-0000-0000-0000DD5F0000}"/>
    <cellStyle name="Normal 12 3 4 2 3 2" xfId="8905" xr:uid="{00000000-0005-0000-0000-0000DE5F0000}"/>
    <cellStyle name="Normal 12 3 4 2 3 2 2" xfId="15695" xr:uid="{00000000-0005-0000-0000-0000DF5F0000}"/>
    <cellStyle name="Normal 12 3 4 2 3 2 2 2" xfId="29263" xr:uid="{00000000-0005-0000-0000-0000E05F0000}"/>
    <cellStyle name="Normal 12 3 4 2 3 2 2 2 2" xfId="56396" xr:uid="{00000000-0005-0000-0000-0000E15F0000}"/>
    <cellStyle name="Normal 12 3 4 2 3 2 2 3" xfId="42834" xr:uid="{00000000-0005-0000-0000-0000E25F0000}"/>
    <cellStyle name="Normal 12 3 4 2 3 2 3" xfId="22482" xr:uid="{00000000-0005-0000-0000-0000E35F0000}"/>
    <cellStyle name="Normal 12 3 4 2 3 2 3 2" xfId="49615" xr:uid="{00000000-0005-0000-0000-0000E45F0000}"/>
    <cellStyle name="Normal 12 3 4 2 3 2 4" xfId="36053" xr:uid="{00000000-0005-0000-0000-0000E55F0000}"/>
    <cellStyle name="Normal 12 3 4 2 3 3" xfId="12306" xr:uid="{00000000-0005-0000-0000-0000E65F0000}"/>
    <cellStyle name="Normal 12 3 4 2 3 3 2" xfId="25874" xr:uid="{00000000-0005-0000-0000-0000E75F0000}"/>
    <cellStyle name="Normal 12 3 4 2 3 3 2 2" xfId="53007" xr:uid="{00000000-0005-0000-0000-0000E85F0000}"/>
    <cellStyle name="Normal 12 3 4 2 3 3 3" xfId="39445" xr:uid="{00000000-0005-0000-0000-0000E95F0000}"/>
    <cellStyle name="Normal 12 3 4 2 3 4" xfId="19093" xr:uid="{00000000-0005-0000-0000-0000EA5F0000}"/>
    <cellStyle name="Normal 12 3 4 2 3 4 2" xfId="46226" xr:uid="{00000000-0005-0000-0000-0000EB5F0000}"/>
    <cellStyle name="Normal 12 3 4 2 3 5" xfId="32664" xr:uid="{00000000-0005-0000-0000-0000EC5F0000}"/>
    <cellStyle name="Normal 12 3 4 2 4" xfId="8903" xr:uid="{00000000-0005-0000-0000-0000ED5F0000}"/>
    <cellStyle name="Normal 12 3 4 2 4 2" xfId="15693" xr:uid="{00000000-0005-0000-0000-0000EE5F0000}"/>
    <cellStyle name="Normal 12 3 4 2 4 2 2" xfId="29261" xr:uid="{00000000-0005-0000-0000-0000EF5F0000}"/>
    <cellStyle name="Normal 12 3 4 2 4 2 2 2" xfId="56394" xr:uid="{00000000-0005-0000-0000-0000F05F0000}"/>
    <cellStyle name="Normal 12 3 4 2 4 2 3" xfId="42832" xr:uid="{00000000-0005-0000-0000-0000F15F0000}"/>
    <cellStyle name="Normal 12 3 4 2 4 3" xfId="22480" xr:uid="{00000000-0005-0000-0000-0000F25F0000}"/>
    <cellStyle name="Normal 12 3 4 2 4 3 2" xfId="49613" xr:uid="{00000000-0005-0000-0000-0000F35F0000}"/>
    <cellStyle name="Normal 12 3 4 2 4 4" xfId="36051" xr:uid="{00000000-0005-0000-0000-0000F45F0000}"/>
    <cellStyle name="Normal 12 3 4 2 5" xfId="12304" xr:uid="{00000000-0005-0000-0000-0000F55F0000}"/>
    <cellStyle name="Normal 12 3 4 2 5 2" xfId="25872" xr:uid="{00000000-0005-0000-0000-0000F65F0000}"/>
    <cellStyle name="Normal 12 3 4 2 5 2 2" xfId="53005" xr:uid="{00000000-0005-0000-0000-0000F75F0000}"/>
    <cellStyle name="Normal 12 3 4 2 5 3" xfId="39443" xr:uid="{00000000-0005-0000-0000-0000F85F0000}"/>
    <cellStyle name="Normal 12 3 4 2 6" xfId="19091" xr:uid="{00000000-0005-0000-0000-0000F95F0000}"/>
    <cellStyle name="Normal 12 3 4 2 6 2" xfId="46224" xr:uid="{00000000-0005-0000-0000-0000FA5F0000}"/>
    <cellStyle name="Normal 12 3 4 2 7" xfId="32662" xr:uid="{00000000-0005-0000-0000-0000FB5F0000}"/>
    <cellStyle name="Normal 12 3 4 3" xfId="5357" xr:uid="{00000000-0005-0000-0000-0000FC5F0000}"/>
    <cellStyle name="Normal 12 3 4 3 2" xfId="8906" xr:uid="{00000000-0005-0000-0000-0000FD5F0000}"/>
    <cellStyle name="Normal 12 3 4 3 2 2" xfId="15696" xr:uid="{00000000-0005-0000-0000-0000FE5F0000}"/>
    <cellStyle name="Normal 12 3 4 3 2 2 2" xfId="29264" xr:uid="{00000000-0005-0000-0000-0000FF5F0000}"/>
    <cellStyle name="Normal 12 3 4 3 2 2 2 2" xfId="56397" xr:uid="{00000000-0005-0000-0000-000000600000}"/>
    <cellStyle name="Normal 12 3 4 3 2 2 3" xfId="42835" xr:uid="{00000000-0005-0000-0000-000001600000}"/>
    <cellStyle name="Normal 12 3 4 3 2 3" xfId="22483" xr:uid="{00000000-0005-0000-0000-000002600000}"/>
    <cellStyle name="Normal 12 3 4 3 2 3 2" xfId="49616" xr:uid="{00000000-0005-0000-0000-000003600000}"/>
    <cellStyle name="Normal 12 3 4 3 2 4" xfId="36054" xr:uid="{00000000-0005-0000-0000-000004600000}"/>
    <cellStyle name="Normal 12 3 4 3 3" xfId="12307" xr:uid="{00000000-0005-0000-0000-000005600000}"/>
    <cellStyle name="Normal 12 3 4 3 3 2" xfId="25875" xr:uid="{00000000-0005-0000-0000-000006600000}"/>
    <cellStyle name="Normal 12 3 4 3 3 2 2" xfId="53008" xr:uid="{00000000-0005-0000-0000-000007600000}"/>
    <cellStyle name="Normal 12 3 4 3 3 3" xfId="39446" xr:uid="{00000000-0005-0000-0000-000008600000}"/>
    <cellStyle name="Normal 12 3 4 3 4" xfId="19094" xr:uid="{00000000-0005-0000-0000-000009600000}"/>
    <cellStyle name="Normal 12 3 4 3 4 2" xfId="46227" xr:uid="{00000000-0005-0000-0000-00000A600000}"/>
    <cellStyle name="Normal 12 3 4 3 5" xfId="32665" xr:uid="{00000000-0005-0000-0000-00000B600000}"/>
    <cellStyle name="Normal 12 3 4 4" xfId="5358" xr:uid="{00000000-0005-0000-0000-00000C600000}"/>
    <cellStyle name="Normal 12 3 4 4 2" xfId="8907" xr:uid="{00000000-0005-0000-0000-00000D600000}"/>
    <cellStyle name="Normal 12 3 4 4 2 2" xfId="15697" xr:uid="{00000000-0005-0000-0000-00000E600000}"/>
    <cellStyle name="Normal 12 3 4 4 2 2 2" xfId="29265" xr:uid="{00000000-0005-0000-0000-00000F600000}"/>
    <cellStyle name="Normal 12 3 4 4 2 2 2 2" xfId="56398" xr:uid="{00000000-0005-0000-0000-000010600000}"/>
    <cellStyle name="Normal 12 3 4 4 2 2 3" xfId="42836" xr:uid="{00000000-0005-0000-0000-000011600000}"/>
    <cellStyle name="Normal 12 3 4 4 2 3" xfId="22484" xr:uid="{00000000-0005-0000-0000-000012600000}"/>
    <cellStyle name="Normal 12 3 4 4 2 3 2" xfId="49617" xr:uid="{00000000-0005-0000-0000-000013600000}"/>
    <cellStyle name="Normal 12 3 4 4 2 4" xfId="36055" xr:uid="{00000000-0005-0000-0000-000014600000}"/>
    <cellStyle name="Normal 12 3 4 4 3" xfId="12308" xr:uid="{00000000-0005-0000-0000-000015600000}"/>
    <cellStyle name="Normal 12 3 4 4 3 2" xfId="25876" xr:uid="{00000000-0005-0000-0000-000016600000}"/>
    <cellStyle name="Normal 12 3 4 4 3 2 2" xfId="53009" xr:uid="{00000000-0005-0000-0000-000017600000}"/>
    <cellStyle name="Normal 12 3 4 4 3 3" xfId="39447" xr:uid="{00000000-0005-0000-0000-000018600000}"/>
    <cellStyle name="Normal 12 3 4 4 4" xfId="19095" xr:uid="{00000000-0005-0000-0000-000019600000}"/>
    <cellStyle name="Normal 12 3 4 4 4 2" xfId="46228" xr:uid="{00000000-0005-0000-0000-00001A600000}"/>
    <cellStyle name="Normal 12 3 4 4 5" xfId="32666" xr:uid="{00000000-0005-0000-0000-00001B600000}"/>
    <cellStyle name="Normal 12 3 4 5" xfId="8902" xr:uid="{00000000-0005-0000-0000-00001C600000}"/>
    <cellStyle name="Normal 12 3 4 5 2" xfId="15692" xr:uid="{00000000-0005-0000-0000-00001D600000}"/>
    <cellStyle name="Normal 12 3 4 5 2 2" xfId="29260" xr:uid="{00000000-0005-0000-0000-00001E600000}"/>
    <cellStyle name="Normal 12 3 4 5 2 2 2" xfId="56393" xr:uid="{00000000-0005-0000-0000-00001F600000}"/>
    <cellStyle name="Normal 12 3 4 5 2 3" xfId="42831" xr:uid="{00000000-0005-0000-0000-000020600000}"/>
    <cellStyle name="Normal 12 3 4 5 3" xfId="22479" xr:uid="{00000000-0005-0000-0000-000021600000}"/>
    <cellStyle name="Normal 12 3 4 5 3 2" xfId="49612" xr:uid="{00000000-0005-0000-0000-000022600000}"/>
    <cellStyle name="Normal 12 3 4 5 4" xfId="36050" xr:uid="{00000000-0005-0000-0000-000023600000}"/>
    <cellStyle name="Normal 12 3 4 6" xfId="12303" xr:uid="{00000000-0005-0000-0000-000024600000}"/>
    <cellStyle name="Normal 12 3 4 6 2" xfId="25871" xr:uid="{00000000-0005-0000-0000-000025600000}"/>
    <cellStyle name="Normal 12 3 4 6 2 2" xfId="53004" xr:uid="{00000000-0005-0000-0000-000026600000}"/>
    <cellStyle name="Normal 12 3 4 6 3" xfId="39442" xr:uid="{00000000-0005-0000-0000-000027600000}"/>
    <cellStyle name="Normal 12 3 4 7" xfId="19090" xr:uid="{00000000-0005-0000-0000-000028600000}"/>
    <cellStyle name="Normal 12 3 4 7 2" xfId="46223" xr:uid="{00000000-0005-0000-0000-000029600000}"/>
    <cellStyle name="Normal 12 3 4 8" xfId="32661" xr:uid="{00000000-0005-0000-0000-00002A600000}"/>
    <cellStyle name="Normal 12 3 5" xfId="5359" xr:uid="{00000000-0005-0000-0000-00002B600000}"/>
    <cellStyle name="Normal 12 3 5 2" xfId="5360" xr:uid="{00000000-0005-0000-0000-00002C600000}"/>
    <cellStyle name="Normal 12 3 5 2 2" xfId="5361" xr:uid="{00000000-0005-0000-0000-00002D600000}"/>
    <cellStyle name="Normal 12 3 5 2 2 2" xfId="8910" xr:uid="{00000000-0005-0000-0000-00002E600000}"/>
    <cellStyle name="Normal 12 3 5 2 2 2 2" xfId="15700" xr:uid="{00000000-0005-0000-0000-00002F600000}"/>
    <cellStyle name="Normal 12 3 5 2 2 2 2 2" xfId="29268" xr:uid="{00000000-0005-0000-0000-000030600000}"/>
    <cellStyle name="Normal 12 3 5 2 2 2 2 2 2" xfId="56401" xr:uid="{00000000-0005-0000-0000-000031600000}"/>
    <cellStyle name="Normal 12 3 5 2 2 2 2 3" xfId="42839" xr:uid="{00000000-0005-0000-0000-000032600000}"/>
    <cellStyle name="Normal 12 3 5 2 2 2 3" xfId="22487" xr:uid="{00000000-0005-0000-0000-000033600000}"/>
    <cellStyle name="Normal 12 3 5 2 2 2 3 2" xfId="49620" xr:uid="{00000000-0005-0000-0000-000034600000}"/>
    <cellStyle name="Normal 12 3 5 2 2 2 4" xfId="36058" xr:uid="{00000000-0005-0000-0000-000035600000}"/>
    <cellStyle name="Normal 12 3 5 2 2 3" xfId="12311" xr:uid="{00000000-0005-0000-0000-000036600000}"/>
    <cellStyle name="Normal 12 3 5 2 2 3 2" xfId="25879" xr:uid="{00000000-0005-0000-0000-000037600000}"/>
    <cellStyle name="Normal 12 3 5 2 2 3 2 2" xfId="53012" xr:uid="{00000000-0005-0000-0000-000038600000}"/>
    <cellStyle name="Normal 12 3 5 2 2 3 3" xfId="39450" xr:uid="{00000000-0005-0000-0000-000039600000}"/>
    <cellStyle name="Normal 12 3 5 2 2 4" xfId="19098" xr:uid="{00000000-0005-0000-0000-00003A600000}"/>
    <cellStyle name="Normal 12 3 5 2 2 4 2" xfId="46231" xr:uid="{00000000-0005-0000-0000-00003B600000}"/>
    <cellStyle name="Normal 12 3 5 2 2 5" xfId="32669" xr:uid="{00000000-0005-0000-0000-00003C600000}"/>
    <cellStyle name="Normal 12 3 5 2 3" xfId="5362" xr:uid="{00000000-0005-0000-0000-00003D600000}"/>
    <cellStyle name="Normal 12 3 5 2 3 2" xfId="8911" xr:uid="{00000000-0005-0000-0000-00003E600000}"/>
    <cellStyle name="Normal 12 3 5 2 3 2 2" xfId="15701" xr:uid="{00000000-0005-0000-0000-00003F600000}"/>
    <cellStyle name="Normal 12 3 5 2 3 2 2 2" xfId="29269" xr:uid="{00000000-0005-0000-0000-000040600000}"/>
    <cellStyle name="Normal 12 3 5 2 3 2 2 2 2" xfId="56402" xr:uid="{00000000-0005-0000-0000-000041600000}"/>
    <cellStyle name="Normal 12 3 5 2 3 2 2 3" xfId="42840" xr:uid="{00000000-0005-0000-0000-000042600000}"/>
    <cellStyle name="Normal 12 3 5 2 3 2 3" xfId="22488" xr:uid="{00000000-0005-0000-0000-000043600000}"/>
    <cellStyle name="Normal 12 3 5 2 3 2 3 2" xfId="49621" xr:uid="{00000000-0005-0000-0000-000044600000}"/>
    <cellStyle name="Normal 12 3 5 2 3 2 4" xfId="36059" xr:uid="{00000000-0005-0000-0000-000045600000}"/>
    <cellStyle name="Normal 12 3 5 2 3 3" xfId="12312" xr:uid="{00000000-0005-0000-0000-000046600000}"/>
    <cellStyle name="Normal 12 3 5 2 3 3 2" xfId="25880" xr:uid="{00000000-0005-0000-0000-000047600000}"/>
    <cellStyle name="Normal 12 3 5 2 3 3 2 2" xfId="53013" xr:uid="{00000000-0005-0000-0000-000048600000}"/>
    <cellStyle name="Normal 12 3 5 2 3 3 3" xfId="39451" xr:uid="{00000000-0005-0000-0000-000049600000}"/>
    <cellStyle name="Normal 12 3 5 2 3 4" xfId="19099" xr:uid="{00000000-0005-0000-0000-00004A600000}"/>
    <cellStyle name="Normal 12 3 5 2 3 4 2" xfId="46232" xr:uid="{00000000-0005-0000-0000-00004B600000}"/>
    <cellStyle name="Normal 12 3 5 2 3 5" xfId="32670" xr:uid="{00000000-0005-0000-0000-00004C600000}"/>
    <cellStyle name="Normal 12 3 5 2 4" xfId="8909" xr:uid="{00000000-0005-0000-0000-00004D600000}"/>
    <cellStyle name="Normal 12 3 5 2 4 2" xfId="15699" xr:uid="{00000000-0005-0000-0000-00004E600000}"/>
    <cellStyle name="Normal 12 3 5 2 4 2 2" xfId="29267" xr:uid="{00000000-0005-0000-0000-00004F600000}"/>
    <cellStyle name="Normal 12 3 5 2 4 2 2 2" xfId="56400" xr:uid="{00000000-0005-0000-0000-000050600000}"/>
    <cellStyle name="Normal 12 3 5 2 4 2 3" xfId="42838" xr:uid="{00000000-0005-0000-0000-000051600000}"/>
    <cellStyle name="Normal 12 3 5 2 4 3" xfId="22486" xr:uid="{00000000-0005-0000-0000-000052600000}"/>
    <cellStyle name="Normal 12 3 5 2 4 3 2" xfId="49619" xr:uid="{00000000-0005-0000-0000-000053600000}"/>
    <cellStyle name="Normal 12 3 5 2 4 4" xfId="36057" xr:uid="{00000000-0005-0000-0000-000054600000}"/>
    <cellStyle name="Normal 12 3 5 2 5" xfId="12310" xr:uid="{00000000-0005-0000-0000-000055600000}"/>
    <cellStyle name="Normal 12 3 5 2 5 2" xfId="25878" xr:uid="{00000000-0005-0000-0000-000056600000}"/>
    <cellStyle name="Normal 12 3 5 2 5 2 2" xfId="53011" xr:uid="{00000000-0005-0000-0000-000057600000}"/>
    <cellStyle name="Normal 12 3 5 2 5 3" xfId="39449" xr:uid="{00000000-0005-0000-0000-000058600000}"/>
    <cellStyle name="Normal 12 3 5 2 6" xfId="19097" xr:uid="{00000000-0005-0000-0000-000059600000}"/>
    <cellStyle name="Normal 12 3 5 2 6 2" xfId="46230" xr:uid="{00000000-0005-0000-0000-00005A600000}"/>
    <cellStyle name="Normal 12 3 5 2 7" xfId="32668" xr:uid="{00000000-0005-0000-0000-00005B600000}"/>
    <cellStyle name="Normal 12 3 5 3" xfId="5363" xr:uid="{00000000-0005-0000-0000-00005C600000}"/>
    <cellStyle name="Normal 12 3 5 3 2" xfId="8912" xr:uid="{00000000-0005-0000-0000-00005D600000}"/>
    <cellStyle name="Normal 12 3 5 3 2 2" xfId="15702" xr:uid="{00000000-0005-0000-0000-00005E600000}"/>
    <cellStyle name="Normal 12 3 5 3 2 2 2" xfId="29270" xr:uid="{00000000-0005-0000-0000-00005F600000}"/>
    <cellStyle name="Normal 12 3 5 3 2 2 2 2" xfId="56403" xr:uid="{00000000-0005-0000-0000-000060600000}"/>
    <cellStyle name="Normal 12 3 5 3 2 2 3" xfId="42841" xr:uid="{00000000-0005-0000-0000-000061600000}"/>
    <cellStyle name="Normal 12 3 5 3 2 3" xfId="22489" xr:uid="{00000000-0005-0000-0000-000062600000}"/>
    <cellStyle name="Normal 12 3 5 3 2 3 2" xfId="49622" xr:uid="{00000000-0005-0000-0000-000063600000}"/>
    <cellStyle name="Normal 12 3 5 3 2 4" xfId="36060" xr:uid="{00000000-0005-0000-0000-000064600000}"/>
    <cellStyle name="Normal 12 3 5 3 3" xfId="12313" xr:uid="{00000000-0005-0000-0000-000065600000}"/>
    <cellStyle name="Normal 12 3 5 3 3 2" xfId="25881" xr:uid="{00000000-0005-0000-0000-000066600000}"/>
    <cellStyle name="Normal 12 3 5 3 3 2 2" xfId="53014" xr:uid="{00000000-0005-0000-0000-000067600000}"/>
    <cellStyle name="Normal 12 3 5 3 3 3" xfId="39452" xr:uid="{00000000-0005-0000-0000-000068600000}"/>
    <cellStyle name="Normal 12 3 5 3 4" xfId="19100" xr:uid="{00000000-0005-0000-0000-000069600000}"/>
    <cellStyle name="Normal 12 3 5 3 4 2" xfId="46233" xr:uid="{00000000-0005-0000-0000-00006A600000}"/>
    <cellStyle name="Normal 12 3 5 3 5" xfId="32671" xr:uid="{00000000-0005-0000-0000-00006B600000}"/>
    <cellStyle name="Normal 12 3 5 4" xfId="5364" xr:uid="{00000000-0005-0000-0000-00006C600000}"/>
    <cellStyle name="Normal 12 3 5 4 2" xfId="8913" xr:uid="{00000000-0005-0000-0000-00006D600000}"/>
    <cellStyle name="Normal 12 3 5 4 2 2" xfId="15703" xr:uid="{00000000-0005-0000-0000-00006E600000}"/>
    <cellStyle name="Normal 12 3 5 4 2 2 2" xfId="29271" xr:uid="{00000000-0005-0000-0000-00006F600000}"/>
    <cellStyle name="Normal 12 3 5 4 2 2 2 2" xfId="56404" xr:uid="{00000000-0005-0000-0000-000070600000}"/>
    <cellStyle name="Normal 12 3 5 4 2 2 3" xfId="42842" xr:uid="{00000000-0005-0000-0000-000071600000}"/>
    <cellStyle name="Normal 12 3 5 4 2 3" xfId="22490" xr:uid="{00000000-0005-0000-0000-000072600000}"/>
    <cellStyle name="Normal 12 3 5 4 2 3 2" xfId="49623" xr:uid="{00000000-0005-0000-0000-000073600000}"/>
    <cellStyle name="Normal 12 3 5 4 2 4" xfId="36061" xr:uid="{00000000-0005-0000-0000-000074600000}"/>
    <cellStyle name="Normal 12 3 5 4 3" xfId="12314" xr:uid="{00000000-0005-0000-0000-000075600000}"/>
    <cellStyle name="Normal 12 3 5 4 3 2" xfId="25882" xr:uid="{00000000-0005-0000-0000-000076600000}"/>
    <cellStyle name="Normal 12 3 5 4 3 2 2" xfId="53015" xr:uid="{00000000-0005-0000-0000-000077600000}"/>
    <cellStyle name="Normal 12 3 5 4 3 3" xfId="39453" xr:uid="{00000000-0005-0000-0000-000078600000}"/>
    <cellStyle name="Normal 12 3 5 4 4" xfId="19101" xr:uid="{00000000-0005-0000-0000-000079600000}"/>
    <cellStyle name="Normal 12 3 5 4 4 2" xfId="46234" xr:uid="{00000000-0005-0000-0000-00007A600000}"/>
    <cellStyle name="Normal 12 3 5 4 5" xfId="32672" xr:uid="{00000000-0005-0000-0000-00007B600000}"/>
    <cellStyle name="Normal 12 3 5 5" xfId="8908" xr:uid="{00000000-0005-0000-0000-00007C600000}"/>
    <cellStyle name="Normal 12 3 5 5 2" xfId="15698" xr:uid="{00000000-0005-0000-0000-00007D600000}"/>
    <cellStyle name="Normal 12 3 5 5 2 2" xfId="29266" xr:uid="{00000000-0005-0000-0000-00007E600000}"/>
    <cellStyle name="Normal 12 3 5 5 2 2 2" xfId="56399" xr:uid="{00000000-0005-0000-0000-00007F600000}"/>
    <cellStyle name="Normal 12 3 5 5 2 3" xfId="42837" xr:uid="{00000000-0005-0000-0000-000080600000}"/>
    <cellStyle name="Normal 12 3 5 5 3" xfId="22485" xr:uid="{00000000-0005-0000-0000-000081600000}"/>
    <cellStyle name="Normal 12 3 5 5 3 2" xfId="49618" xr:uid="{00000000-0005-0000-0000-000082600000}"/>
    <cellStyle name="Normal 12 3 5 5 4" xfId="36056" xr:uid="{00000000-0005-0000-0000-000083600000}"/>
    <cellStyle name="Normal 12 3 5 6" xfId="12309" xr:uid="{00000000-0005-0000-0000-000084600000}"/>
    <cellStyle name="Normal 12 3 5 6 2" xfId="25877" xr:uid="{00000000-0005-0000-0000-000085600000}"/>
    <cellStyle name="Normal 12 3 5 6 2 2" xfId="53010" xr:uid="{00000000-0005-0000-0000-000086600000}"/>
    <cellStyle name="Normal 12 3 5 6 3" xfId="39448" xr:uid="{00000000-0005-0000-0000-000087600000}"/>
    <cellStyle name="Normal 12 3 5 7" xfId="19096" xr:uid="{00000000-0005-0000-0000-000088600000}"/>
    <cellStyle name="Normal 12 3 5 7 2" xfId="46229" xr:uid="{00000000-0005-0000-0000-000089600000}"/>
    <cellStyle name="Normal 12 3 5 8" xfId="32667" xr:uid="{00000000-0005-0000-0000-00008A600000}"/>
    <cellStyle name="Normal 12 3 6" xfId="5365" xr:uid="{00000000-0005-0000-0000-00008B600000}"/>
    <cellStyle name="Normal 12 3 6 2" xfId="5366" xr:uid="{00000000-0005-0000-0000-00008C600000}"/>
    <cellStyle name="Normal 12 3 6 2 2" xfId="8915" xr:uid="{00000000-0005-0000-0000-00008D600000}"/>
    <cellStyle name="Normal 12 3 6 2 2 2" xfId="15705" xr:uid="{00000000-0005-0000-0000-00008E600000}"/>
    <cellStyle name="Normal 12 3 6 2 2 2 2" xfId="29273" xr:uid="{00000000-0005-0000-0000-00008F600000}"/>
    <cellStyle name="Normal 12 3 6 2 2 2 2 2" xfId="56406" xr:uid="{00000000-0005-0000-0000-000090600000}"/>
    <cellStyle name="Normal 12 3 6 2 2 2 3" xfId="42844" xr:uid="{00000000-0005-0000-0000-000091600000}"/>
    <cellStyle name="Normal 12 3 6 2 2 3" xfId="22492" xr:uid="{00000000-0005-0000-0000-000092600000}"/>
    <cellStyle name="Normal 12 3 6 2 2 3 2" xfId="49625" xr:uid="{00000000-0005-0000-0000-000093600000}"/>
    <cellStyle name="Normal 12 3 6 2 2 4" xfId="36063" xr:uid="{00000000-0005-0000-0000-000094600000}"/>
    <cellStyle name="Normal 12 3 6 2 3" xfId="12316" xr:uid="{00000000-0005-0000-0000-000095600000}"/>
    <cellStyle name="Normal 12 3 6 2 3 2" xfId="25884" xr:uid="{00000000-0005-0000-0000-000096600000}"/>
    <cellStyle name="Normal 12 3 6 2 3 2 2" xfId="53017" xr:uid="{00000000-0005-0000-0000-000097600000}"/>
    <cellStyle name="Normal 12 3 6 2 3 3" xfId="39455" xr:uid="{00000000-0005-0000-0000-000098600000}"/>
    <cellStyle name="Normal 12 3 6 2 4" xfId="19103" xr:uid="{00000000-0005-0000-0000-000099600000}"/>
    <cellStyle name="Normal 12 3 6 2 4 2" xfId="46236" xr:uid="{00000000-0005-0000-0000-00009A600000}"/>
    <cellStyle name="Normal 12 3 6 2 5" xfId="32674" xr:uid="{00000000-0005-0000-0000-00009B600000}"/>
    <cellStyle name="Normal 12 3 6 3" xfId="5367" xr:uid="{00000000-0005-0000-0000-00009C600000}"/>
    <cellStyle name="Normal 12 3 6 3 2" xfId="8916" xr:uid="{00000000-0005-0000-0000-00009D600000}"/>
    <cellStyle name="Normal 12 3 6 3 2 2" xfId="15706" xr:uid="{00000000-0005-0000-0000-00009E600000}"/>
    <cellStyle name="Normal 12 3 6 3 2 2 2" xfId="29274" xr:uid="{00000000-0005-0000-0000-00009F600000}"/>
    <cellStyle name="Normal 12 3 6 3 2 2 2 2" xfId="56407" xr:uid="{00000000-0005-0000-0000-0000A0600000}"/>
    <cellStyle name="Normal 12 3 6 3 2 2 3" xfId="42845" xr:uid="{00000000-0005-0000-0000-0000A1600000}"/>
    <cellStyle name="Normal 12 3 6 3 2 3" xfId="22493" xr:uid="{00000000-0005-0000-0000-0000A2600000}"/>
    <cellStyle name="Normal 12 3 6 3 2 3 2" xfId="49626" xr:uid="{00000000-0005-0000-0000-0000A3600000}"/>
    <cellStyle name="Normal 12 3 6 3 2 4" xfId="36064" xr:uid="{00000000-0005-0000-0000-0000A4600000}"/>
    <cellStyle name="Normal 12 3 6 3 3" xfId="12317" xr:uid="{00000000-0005-0000-0000-0000A5600000}"/>
    <cellStyle name="Normal 12 3 6 3 3 2" xfId="25885" xr:uid="{00000000-0005-0000-0000-0000A6600000}"/>
    <cellStyle name="Normal 12 3 6 3 3 2 2" xfId="53018" xr:uid="{00000000-0005-0000-0000-0000A7600000}"/>
    <cellStyle name="Normal 12 3 6 3 3 3" xfId="39456" xr:uid="{00000000-0005-0000-0000-0000A8600000}"/>
    <cellStyle name="Normal 12 3 6 3 4" xfId="19104" xr:uid="{00000000-0005-0000-0000-0000A9600000}"/>
    <cellStyle name="Normal 12 3 6 3 4 2" xfId="46237" xr:uid="{00000000-0005-0000-0000-0000AA600000}"/>
    <cellStyle name="Normal 12 3 6 3 5" xfId="32675" xr:uid="{00000000-0005-0000-0000-0000AB600000}"/>
    <cellStyle name="Normal 12 3 6 4" xfId="8914" xr:uid="{00000000-0005-0000-0000-0000AC600000}"/>
    <cellStyle name="Normal 12 3 6 4 2" xfId="15704" xr:uid="{00000000-0005-0000-0000-0000AD600000}"/>
    <cellStyle name="Normal 12 3 6 4 2 2" xfId="29272" xr:uid="{00000000-0005-0000-0000-0000AE600000}"/>
    <cellStyle name="Normal 12 3 6 4 2 2 2" xfId="56405" xr:uid="{00000000-0005-0000-0000-0000AF600000}"/>
    <cellStyle name="Normal 12 3 6 4 2 3" xfId="42843" xr:uid="{00000000-0005-0000-0000-0000B0600000}"/>
    <cellStyle name="Normal 12 3 6 4 3" xfId="22491" xr:uid="{00000000-0005-0000-0000-0000B1600000}"/>
    <cellStyle name="Normal 12 3 6 4 3 2" xfId="49624" xr:uid="{00000000-0005-0000-0000-0000B2600000}"/>
    <cellStyle name="Normal 12 3 6 4 4" xfId="36062" xr:uid="{00000000-0005-0000-0000-0000B3600000}"/>
    <cellStyle name="Normal 12 3 6 5" xfId="12315" xr:uid="{00000000-0005-0000-0000-0000B4600000}"/>
    <cellStyle name="Normal 12 3 6 5 2" xfId="25883" xr:uid="{00000000-0005-0000-0000-0000B5600000}"/>
    <cellStyle name="Normal 12 3 6 5 2 2" xfId="53016" xr:uid="{00000000-0005-0000-0000-0000B6600000}"/>
    <cellStyle name="Normal 12 3 6 5 3" xfId="39454" xr:uid="{00000000-0005-0000-0000-0000B7600000}"/>
    <cellStyle name="Normal 12 3 6 6" xfId="19102" xr:uid="{00000000-0005-0000-0000-0000B8600000}"/>
    <cellStyle name="Normal 12 3 6 6 2" xfId="46235" xr:uid="{00000000-0005-0000-0000-0000B9600000}"/>
    <cellStyle name="Normal 12 3 6 7" xfId="32673" xr:uid="{00000000-0005-0000-0000-0000BA600000}"/>
    <cellStyle name="Normal 12 3 7" xfId="5368" xr:uid="{00000000-0005-0000-0000-0000BB600000}"/>
    <cellStyle name="Normal 12 3 7 2" xfId="5369" xr:uid="{00000000-0005-0000-0000-0000BC600000}"/>
    <cellStyle name="Normal 12 3 7 2 2" xfId="8918" xr:uid="{00000000-0005-0000-0000-0000BD600000}"/>
    <cellStyle name="Normal 12 3 7 2 2 2" xfId="15708" xr:uid="{00000000-0005-0000-0000-0000BE600000}"/>
    <cellStyle name="Normal 12 3 7 2 2 2 2" xfId="29276" xr:uid="{00000000-0005-0000-0000-0000BF600000}"/>
    <cellStyle name="Normal 12 3 7 2 2 2 2 2" xfId="56409" xr:uid="{00000000-0005-0000-0000-0000C0600000}"/>
    <cellStyle name="Normal 12 3 7 2 2 2 3" xfId="42847" xr:uid="{00000000-0005-0000-0000-0000C1600000}"/>
    <cellStyle name="Normal 12 3 7 2 2 3" xfId="22495" xr:uid="{00000000-0005-0000-0000-0000C2600000}"/>
    <cellStyle name="Normal 12 3 7 2 2 3 2" xfId="49628" xr:uid="{00000000-0005-0000-0000-0000C3600000}"/>
    <cellStyle name="Normal 12 3 7 2 2 4" xfId="36066" xr:uid="{00000000-0005-0000-0000-0000C4600000}"/>
    <cellStyle name="Normal 12 3 7 2 3" xfId="12319" xr:uid="{00000000-0005-0000-0000-0000C5600000}"/>
    <cellStyle name="Normal 12 3 7 2 3 2" xfId="25887" xr:uid="{00000000-0005-0000-0000-0000C6600000}"/>
    <cellStyle name="Normal 12 3 7 2 3 2 2" xfId="53020" xr:uid="{00000000-0005-0000-0000-0000C7600000}"/>
    <cellStyle name="Normal 12 3 7 2 3 3" xfId="39458" xr:uid="{00000000-0005-0000-0000-0000C8600000}"/>
    <cellStyle name="Normal 12 3 7 2 4" xfId="19106" xr:uid="{00000000-0005-0000-0000-0000C9600000}"/>
    <cellStyle name="Normal 12 3 7 2 4 2" xfId="46239" xr:uid="{00000000-0005-0000-0000-0000CA600000}"/>
    <cellStyle name="Normal 12 3 7 2 5" xfId="32677" xr:uid="{00000000-0005-0000-0000-0000CB600000}"/>
    <cellStyle name="Normal 12 3 7 3" xfId="5370" xr:uid="{00000000-0005-0000-0000-0000CC600000}"/>
    <cellStyle name="Normal 12 3 7 3 2" xfId="8919" xr:uid="{00000000-0005-0000-0000-0000CD600000}"/>
    <cellStyle name="Normal 12 3 7 3 2 2" xfId="15709" xr:uid="{00000000-0005-0000-0000-0000CE600000}"/>
    <cellStyle name="Normal 12 3 7 3 2 2 2" xfId="29277" xr:uid="{00000000-0005-0000-0000-0000CF600000}"/>
    <cellStyle name="Normal 12 3 7 3 2 2 2 2" xfId="56410" xr:uid="{00000000-0005-0000-0000-0000D0600000}"/>
    <cellStyle name="Normal 12 3 7 3 2 2 3" xfId="42848" xr:uid="{00000000-0005-0000-0000-0000D1600000}"/>
    <cellStyle name="Normal 12 3 7 3 2 3" xfId="22496" xr:uid="{00000000-0005-0000-0000-0000D2600000}"/>
    <cellStyle name="Normal 12 3 7 3 2 3 2" xfId="49629" xr:uid="{00000000-0005-0000-0000-0000D3600000}"/>
    <cellStyle name="Normal 12 3 7 3 2 4" xfId="36067" xr:uid="{00000000-0005-0000-0000-0000D4600000}"/>
    <cellStyle name="Normal 12 3 7 3 3" xfId="12320" xr:uid="{00000000-0005-0000-0000-0000D5600000}"/>
    <cellStyle name="Normal 12 3 7 3 3 2" xfId="25888" xr:uid="{00000000-0005-0000-0000-0000D6600000}"/>
    <cellStyle name="Normal 12 3 7 3 3 2 2" xfId="53021" xr:uid="{00000000-0005-0000-0000-0000D7600000}"/>
    <cellStyle name="Normal 12 3 7 3 3 3" xfId="39459" xr:uid="{00000000-0005-0000-0000-0000D8600000}"/>
    <cellStyle name="Normal 12 3 7 3 4" xfId="19107" xr:uid="{00000000-0005-0000-0000-0000D9600000}"/>
    <cellStyle name="Normal 12 3 7 3 4 2" xfId="46240" xr:uid="{00000000-0005-0000-0000-0000DA600000}"/>
    <cellStyle name="Normal 12 3 7 3 5" xfId="32678" xr:uid="{00000000-0005-0000-0000-0000DB600000}"/>
    <cellStyle name="Normal 12 3 7 4" xfId="8917" xr:uid="{00000000-0005-0000-0000-0000DC600000}"/>
    <cellStyle name="Normal 12 3 7 4 2" xfId="15707" xr:uid="{00000000-0005-0000-0000-0000DD600000}"/>
    <cellStyle name="Normal 12 3 7 4 2 2" xfId="29275" xr:uid="{00000000-0005-0000-0000-0000DE600000}"/>
    <cellStyle name="Normal 12 3 7 4 2 2 2" xfId="56408" xr:uid="{00000000-0005-0000-0000-0000DF600000}"/>
    <cellStyle name="Normal 12 3 7 4 2 3" xfId="42846" xr:uid="{00000000-0005-0000-0000-0000E0600000}"/>
    <cellStyle name="Normal 12 3 7 4 3" xfId="22494" xr:uid="{00000000-0005-0000-0000-0000E1600000}"/>
    <cellStyle name="Normal 12 3 7 4 3 2" xfId="49627" xr:uid="{00000000-0005-0000-0000-0000E2600000}"/>
    <cellStyle name="Normal 12 3 7 4 4" xfId="36065" xr:uid="{00000000-0005-0000-0000-0000E3600000}"/>
    <cellStyle name="Normal 12 3 7 5" xfId="12318" xr:uid="{00000000-0005-0000-0000-0000E4600000}"/>
    <cellStyle name="Normal 12 3 7 5 2" xfId="25886" xr:uid="{00000000-0005-0000-0000-0000E5600000}"/>
    <cellStyle name="Normal 12 3 7 5 2 2" xfId="53019" xr:uid="{00000000-0005-0000-0000-0000E6600000}"/>
    <cellStyle name="Normal 12 3 7 5 3" xfId="39457" xr:uid="{00000000-0005-0000-0000-0000E7600000}"/>
    <cellStyle name="Normal 12 3 7 6" xfId="19105" xr:uid="{00000000-0005-0000-0000-0000E8600000}"/>
    <cellStyle name="Normal 12 3 7 6 2" xfId="46238" xr:uid="{00000000-0005-0000-0000-0000E9600000}"/>
    <cellStyle name="Normal 12 3 7 7" xfId="32676" xr:uid="{00000000-0005-0000-0000-0000EA600000}"/>
    <cellStyle name="Normal 12 3 8" xfId="5371" xr:uid="{00000000-0005-0000-0000-0000EB600000}"/>
    <cellStyle name="Normal 12 3 8 2" xfId="8920" xr:uid="{00000000-0005-0000-0000-0000EC600000}"/>
    <cellStyle name="Normal 12 3 8 2 2" xfId="15710" xr:uid="{00000000-0005-0000-0000-0000ED600000}"/>
    <cellStyle name="Normal 12 3 8 2 2 2" xfId="29278" xr:uid="{00000000-0005-0000-0000-0000EE600000}"/>
    <cellStyle name="Normal 12 3 8 2 2 2 2" xfId="56411" xr:uid="{00000000-0005-0000-0000-0000EF600000}"/>
    <cellStyle name="Normal 12 3 8 2 2 3" xfId="42849" xr:uid="{00000000-0005-0000-0000-0000F0600000}"/>
    <cellStyle name="Normal 12 3 8 2 3" xfId="22497" xr:uid="{00000000-0005-0000-0000-0000F1600000}"/>
    <cellStyle name="Normal 12 3 8 2 3 2" xfId="49630" xr:uid="{00000000-0005-0000-0000-0000F2600000}"/>
    <cellStyle name="Normal 12 3 8 2 4" xfId="36068" xr:uid="{00000000-0005-0000-0000-0000F3600000}"/>
    <cellStyle name="Normal 12 3 8 3" xfId="12321" xr:uid="{00000000-0005-0000-0000-0000F4600000}"/>
    <cellStyle name="Normal 12 3 8 3 2" xfId="25889" xr:uid="{00000000-0005-0000-0000-0000F5600000}"/>
    <cellStyle name="Normal 12 3 8 3 2 2" xfId="53022" xr:uid="{00000000-0005-0000-0000-0000F6600000}"/>
    <cellStyle name="Normal 12 3 8 3 3" xfId="39460" xr:uid="{00000000-0005-0000-0000-0000F7600000}"/>
    <cellStyle name="Normal 12 3 8 4" xfId="19108" xr:uid="{00000000-0005-0000-0000-0000F8600000}"/>
    <cellStyle name="Normal 12 3 8 4 2" xfId="46241" xr:uid="{00000000-0005-0000-0000-0000F9600000}"/>
    <cellStyle name="Normal 12 3 8 5" xfId="32679" xr:uid="{00000000-0005-0000-0000-0000FA600000}"/>
    <cellStyle name="Normal 12 3 9" xfId="5372" xr:uid="{00000000-0005-0000-0000-0000FB600000}"/>
    <cellStyle name="Normal 12 3 9 2" xfId="8921" xr:uid="{00000000-0005-0000-0000-0000FC600000}"/>
    <cellStyle name="Normal 12 3 9 2 2" xfId="15711" xr:uid="{00000000-0005-0000-0000-0000FD600000}"/>
    <cellStyle name="Normal 12 3 9 2 2 2" xfId="29279" xr:uid="{00000000-0005-0000-0000-0000FE600000}"/>
    <cellStyle name="Normal 12 3 9 2 2 2 2" xfId="56412" xr:uid="{00000000-0005-0000-0000-0000FF600000}"/>
    <cellStyle name="Normal 12 3 9 2 2 3" xfId="42850" xr:uid="{00000000-0005-0000-0000-000000610000}"/>
    <cellStyle name="Normal 12 3 9 2 3" xfId="22498" xr:uid="{00000000-0005-0000-0000-000001610000}"/>
    <cellStyle name="Normal 12 3 9 2 3 2" xfId="49631" xr:uid="{00000000-0005-0000-0000-000002610000}"/>
    <cellStyle name="Normal 12 3 9 2 4" xfId="36069" xr:uid="{00000000-0005-0000-0000-000003610000}"/>
    <cellStyle name="Normal 12 3 9 3" xfId="12322" xr:uid="{00000000-0005-0000-0000-000004610000}"/>
    <cellStyle name="Normal 12 3 9 3 2" xfId="25890" xr:uid="{00000000-0005-0000-0000-000005610000}"/>
    <cellStyle name="Normal 12 3 9 3 2 2" xfId="53023" xr:uid="{00000000-0005-0000-0000-000006610000}"/>
    <cellStyle name="Normal 12 3 9 3 3" xfId="39461" xr:uid="{00000000-0005-0000-0000-000007610000}"/>
    <cellStyle name="Normal 12 3 9 4" xfId="19109" xr:uid="{00000000-0005-0000-0000-000008610000}"/>
    <cellStyle name="Normal 12 3 9 4 2" xfId="46242" xr:uid="{00000000-0005-0000-0000-000009610000}"/>
    <cellStyle name="Normal 12 3 9 5" xfId="32680" xr:uid="{00000000-0005-0000-0000-00000A610000}"/>
    <cellStyle name="Normal 12 4" xfId="5373" xr:uid="{00000000-0005-0000-0000-00000B610000}"/>
    <cellStyle name="Normal 12 4 10" xfId="8922" xr:uid="{00000000-0005-0000-0000-00000C610000}"/>
    <cellStyle name="Normal 12 4 10 2" xfId="15712" xr:uid="{00000000-0005-0000-0000-00000D610000}"/>
    <cellStyle name="Normal 12 4 10 2 2" xfId="29280" xr:uid="{00000000-0005-0000-0000-00000E610000}"/>
    <cellStyle name="Normal 12 4 10 2 2 2" xfId="56413" xr:uid="{00000000-0005-0000-0000-00000F610000}"/>
    <cellStyle name="Normal 12 4 10 2 3" xfId="42851" xr:uid="{00000000-0005-0000-0000-000010610000}"/>
    <cellStyle name="Normal 12 4 10 3" xfId="22499" xr:uid="{00000000-0005-0000-0000-000011610000}"/>
    <cellStyle name="Normal 12 4 10 3 2" xfId="49632" xr:uid="{00000000-0005-0000-0000-000012610000}"/>
    <cellStyle name="Normal 12 4 10 4" xfId="36070" xr:uid="{00000000-0005-0000-0000-000013610000}"/>
    <cellStyle name="Normal 12 4 11" xfId="12323" xr:uid="{00000000-0005-0000-0000-000014610000}"/>
    <cellStyle name="Normal 12 4 11 2" xfId="25891" xr:uid="{00000000-0005-0000-0000-000015610000}"/>
    <cellStyle name="Normal 12 4 11 2 2" xfId="53024" xr:uid="{00000000-0005-0000-0000-000016610000}"/>
    <cellStyle name="Normal 12 4 11 3" xfId="39462" xr:uid="{00000000-0005-0000-0000-000017610000}"/>
    <cellStyle name="Normal 12 4 12" xfId="19110" xr:uid="{00000000-0005-0000-0000-000018610000}"/>
    <cellStyle name="Normal 12 4 12 2" xfId="46243" xr:uid="{00000000-0005-0000-0000-000019610000}"/>
    <cellStyle name="Normal 12 4 13" xfId="32681" xr:uid="{00000000-0005-0000-0000-00001A610000}"/>
    <cellStyle name="Normal 12 4 2" xfId="5374" xr:uid="{00000000-0005-0000-0000-00001B610000}"/>
    <cellStyle name="Normal 12 4 2 10" xfId="32682" xr:uid="{00000000-0005-0000-0000-00001C610000}"/>
    <cellStyle name="Normal 12 4 2 2" xfId="5375" xr:uid="{00000000-0005-0000-0000-00001D610000}"/>
    <cellStyle name="Normal 12 4 2 2 2" xfId="5376" xr:uid="{00000000-0005-0000-0000-00001E610000}"/>
    <cellStyle name="Normal 12 4 2 2 2 2" xfId="5377" xr:uid="{00000000-0005-0000-0000-00001F610000}"/>
    <cellStyle name="Normal 12 4 2 2 2 2 2" xfId="8926" xr:uid="{00000000-0005-0000-0000-000020610000}"/>
    <cellStyle name="Normal 12 4 2 2 2 2 2 2" xfId="15716" xr:uid="{00000000-0005-0000-0000-000021610000}"/>
    <cellStyle name="Normal 12 4 2 2 2 2 2 2 2" xfId="29284" xr:uid="{00000000-0005-0000-0000-000022610000}"/>
    <cellStyle name="Normal 12 4 2 2 2 2 2 2 2 2" xfId="56417" xr:uid="{00000000-0005-0000-0000-000023610000}"/>
    <cellStyle name="Normal 12 4 2 2 2 2 2 2 3" xfId="42855" xr:uid="{00000000-0005-0000-0000-000024610000}"/>
    <cellStyle name="Normal 12 4 2 2 2 2 2 3" xfId="22503" xr:uid="{00000000-0005-0000-0000-000025610000}"/>
    <cellStyle name="Normal 12 4 2 2 2 2 2 3 2" xfId="49636" xr:uid="{00000000-0005-0000-0000-000026610000}"/>
    <cellStyle name="Normal 12 4 2 2 2 2 2 4" xfId="36074" xr:uid="{00000000-0005-0000-0000-000027610000}"/>
    <cellStyle name="Normal 12 4 2 2 2 2 3" xfId="12327" xr:uid="{00000000-0005-0000-0000-000028610000}"/>
    <cellStyle name="Normal 12 4 2 2 2 2 3 2" xfId="25895" xr:uid="{00000000-0005-0000-0000-000029610000}"/>
    <cellStyle name="Normal 12 4 2 2 2 2 3 2 2" xfId="53028" xr:uid="{00000000-0005-0000-0000-00002A610000}"/>
    <cellStyle name="Normal 12 4 2 2 2 2 3 3" xfId="39466" xr:uid="{00000000-0005-0000-0000-00002B610000}"/>
    <cellStyle name="Normal 12 4 2 2 2 2 4" xfId="19114" xr:uid="{00000000-0005-0000-0000-00002C610000}"/>
    <cellStyle name="Normal 12 4 2 2 2 2 4 2" xfId="46247" xr:uid="{00000000-0005-0000-0000-00002D610000}"/>
    <cellStyle name="Normal 12 4 2 2 2 2 5" xfId="32685" xr:uid="{00000000-0005-0000-0000-00002E610000}"/>
    <cellStyle name="Normal 12 4 2 2 2 3" xfId="5378" xr:uid="{00000000-0005-0000-0000-00002F610000}"/>
    <cellStyle name="Normal 12 4 2 2 2 3 2" xfId="8927" xr:uid="{00000000-0005-0000-0000-000030610000}"/>
    <cellStyle name="Normal 12 4 2 2 2 3 2 2" xfId="15717" xr:uid="{00000000-0005-0000-0000-000031610000}"/>
    <cellStyle name="Normal 12 4 2 2 2 3 2 2 2" xfId="29285" xr:uid="{00000000-0005-0000-0000-000032610000}"/>
    <cellStyle name="Normal 12 4 2 2 2 3 2 2 2 2" xfId="56418" xr:uid="{00000000-0005-0000-0000-000033610000}"/>
    <cellStyle name="Normal 12 4 2 2 2 3 2 2 3" xfId="42856" xr:uid="{00000000-0005-0000-0000-000034610000}"/>
    <cellStyle name="Normal 12 4 2 2 2 3 2 3" xfId="22504" xr:uid="{00000000-0005-0000-0000-000035610000}"/>
    <cellStyle name="Normal 12 4 2 2 2 3 2 3 2" xfId="49637" xr:uid="{00000000-0005-0000-0000-000036610000}"/>
    <cellStyle name="Normal 12 4 2 2 2 3 2 4" xfId="36075" xr:uid="{00000000-0005-0000-0000-000037610000}"/>
    <cellStyle name="Normal 12 4 2 2 2 3 3" xfId="12328" xr:uid="{00000000-0005-0000-0000-000038610000}"/>
    <cellStyle name="Normal 12 4 2 2 2 3 3 2" xfId="25896" xr:uid="{00000000-0005-0000-0000-000039610000}"/>
    <cellStyle name="Normal 12 4 2 2 2 3 3 2 2" xfId="53029" xr:uid="{00000000-0005-0000-0000-00003A610000}"/>
    <cellStyle name="Normal 12 4 2 2 2 3 3 3" xfId="39467" xr:uid="{00000000-0005-0000-0000-00003B610000}"/>
    <cellStyle name="Normal 12 4 2 2 2 3 4" xfId="19115" xr:uid="{00000000-0005-0000-0000-00003C610000}"/>
    <cellStyle name="Normal 12 4 2 2 2 3 4 2" xfId="46248" xr:uid="{00000000-0005-0000-0000-00003D610000}"/>
    <cellStyle name="Normal 12 4 2 2 2 3 5" xfId="32686" xr:uid="{00000000-0005-0000-0000-00003E610000}"/>
    <cellStyle name="Normal 12 4 2 2 2 4" xfId="8925" xr:uid="{00000000-0005-0000-0000-00003F610000}"/>
    <cellStyle name="Normal 12 4 2 2 2 4 2" xfId="15715" xr:uid="{00000000-0005-0000-0000-000040610000}"/>
    <cellStyle name="Normal 12 4 2 2 2 4 2 2" xfId="29283" xr:uid="{00000000-0005-0000-0000-000041610000}"/>
    <cellStyle name="Normal 12 4 2 2 2 4 2 2 2" xfId="56416" xr:uid="{00000000-0005-0000-0000-000042610000}"/>
    <cellStyle name="Normal 12 4 2 2 2 4 2 3" xfId="42854" xr:uid="{00000000-0005-0000-0000-000043610000}"/>
    <cellStyle name="Normal 12 4 2 2 2 4 3" xfId="22502" xr:uid="{00000000-0005-0000-0000-000044610000}"/>
    <cellStyle name="Normal 12 4 2 2 2 4 3 2" xfId="49635" xr:uid="{00000000-0005-0000-0000-000045610000}"/>
    <cellStyle name="Normal 12 4 2 2 2 4 4" xfId="36073" xr:uid="{00000000-0005-0000-0000-000046610000}"/>
    <cellStyle name="Normal 12 4 2 2 2 5" xfId="12326" xr:uid="{00000000-0005-0000-0000-000047610000}"/>
    <cellStyle name="Normal 12 4 2 2 2 5 2" xfId="25894" xr:uid="{00000000-0005-0000-0000-000048610000}"/>
    <cellStyle name="Normal 12 4 2 2 2 5 2 2" xfId="53027" xr:uid="{00000000-0005-0000-0000-000049610000}"/>
    <cellStyle name="Normal 12 4 2 2 2 5 3" xfId="39465" xr:uid="{00000000-0005-0000-0000-00004A610000}"/>
    <cellStyle name="Normal 12 4 2 2 2 6" xfId="19113" xr:uid="{00000000-0005-0000-0000-00004B610000}"/>
    <cellStyle name="Normal 12 4 2 2 2 6 2" xfId="46246" xr:uid="{00000000-0005-0000-0000-00004C610000}"/>
    <cellStyle name="Normal 12 4 2 2 2 7" xfId="32684" xr:uid="{00000000-0005-0000-0000-00004D610000}"/>
    <cellStyle name="Normal 12 4 2 2 3" xfId="5379" xr:uid="{00000000-0005-0000-0000-00004E610000}"/>
    <cellStyle name="Normal 12 4 2 2 3 2" xfId="5380" xr:uid="{00000000-0005-0000-0000-00004F610000}"/>
    <cellStyle name="Normal 12 4 2 2 3 2 2" xfId="8929" xr:uid="{00000000-0005-0000-0000-000050610000}"/>
    <cellStyle name="Normal 12 4 2 2 3 2 2 2" xfId="15719" xr:uid="{00000000-0005-0000-0000-000051610000}"/>
    <cellStyle name="Normal 12 4 2 2 3 2 2 2 2" xfId="29287" xr:uid="{00000000-0005-0000-0000-000052610000}"/>
    <cellStyle name="Normal 12 4 2 2 3 2 2 2 2 2" xfId="56420" xr:uid="{00000000-0005-0000-0000-000053610000}"/>
    <cellStyle name="Normal 12 4 2 2 3 2 2 2 3" xfId="42858" xr:uid="{00000000-0005-0000-0000-000054610000}"/>
    <cellStyle name="Normal 12 4 2 2 3 2 2 3" xfId="22506" xr:uid="{00000000-0005-0000-0000-000055610000}"/>
    <cellStyle name="Normal 12 4 2 2 3 2 2 3 2" xfId="49639" xr:uid="{00000000-0005-0000-0000-000056610000}"/>
    <cellStyle name="Normal 12 4 2 2 3 2 2 4" xfId="36077" xr:uid="{00000000-0005-0000-0000-000057610000}"/>
    <cellStyle name="Normal 12 4 2 2 3 2 3" xfId="12330" xr:uid="{00000000-0005-0000-0000-000058610000}"/>
    <cellStyle name="Normal 12 4 2 2 3 2 3 2" xfId="25898" xr:uid="{00000000-0005-0000-0000-000059610000}"/>
    <cellStyle name="Normal 12 4 2 2 3 2 3 2 2" xfId="53031" xr:uid="{00000000-0005-0000-0000-00005A610000}"/>
    <cellStyle name="Normal 12 4 2 2 3 2 3 3" xfId="39469" xr:uid="{00000000-0005-0000-0000-00005B610000}"/>
    <cellStyle name="Normal 12 4 2 2 3 2 4" xfId="19117" xr:uid="{00000000-0005-0000-0000-00005C610000}"/>
    <cellStyle name="Normal 12 4 2 2 3 2 4 2" xfId="46250" xr:uid="{00000000-0005-0000-0000-00005D610000}"/>
    <cellStyle name="Normal 12 4 2 2 3 2 5" xfId="32688" xr:uid="{00000000-0005-0000-0000-00005E610000}"/>
    <cellStyle name="Normal 12 4 2 2 3 3" xfId="8928" xr:uid="{00000000-0005-0000-0000-00005F610000}"/>
    <cellStyle name="Normal 12 4 2 2 3 3 2" xfId="15718" xr:uid="{00000000-0005-0000-0000-000060610000}"/>
    <cellStyle name="Normal 12 4 2 2 3 3 2 2" xfId="29286" xr:uid="{00000000-0005-0000-0000-000061610000}"/>
    <cellStyle name="Normal 12 4 2 2 3 3 2 2 2" xfId="56419" xr:uid="{00000000-0005-0000-0000-000062610000}"/>
    <cellStyle name="Normal 12 4 2 2 3 3 2 3" xfId="42857" xr:uid="{00000000-0005-0000-0000-000063610000}"/>
    <cellStyle name="Normal 12 4 2 2 3 3 3" xfId="22505" xr:uid="{00000000-0005-0000-0000-000064610000}"/>
    <cellStyle name="Normal 12 4 2 2 3 3 3 2" xfId="49638" xr:uid="{00000000-0005-0000-0000-000065610000}"/>
    <cellStyle name="Normal 12 4 2 2 3 3 4" xfId="36076" xr:uid="{00000000-0005-0000-0000-000066610000}"/>
    <cellStyle name="Normal 12 4 2 2 3 4" xfId="12329" xr:uid="{00000000-0005-0000-0000-000067610000}"/>
    <cellStyle name="Normal 12 4 2 2 3 4 2" xfId="25897" xr:uid="{00000000-0005-0000-0000-000068610000}"/>
    <cellStyle name="Normal 12 4 2 2 3 4 2 2" xfId="53030" xr:uid="{00000000-0005-0000-0000-000069610000}"/>
    <cellStyle name="Normal 12 4 2 2 3 4 3" xfId="39468" xr:uid="{00000000-0005-0000-0000-00006A610000}"/>
    <cellStyle name="Normal 12 4 2 2 3 5" xfId="19116" xr:uid="{00000000-0005-0000-0000-00006B610000}"/>
    <cellStyle name="Normal 12 4 2 2 3 5 2" xfId="46249" xr:uid="{00000000-0005-0000-0000-00006C610000}"/>
    <cellStyle name="Normal 12 4 2 2 3 6" xfId="32687" xr:uid="{00000000-0005-0000-0000-00006D610000}"/>
    <cellStyle name="Normal 12 4 2 2 4" xfId="5381" xr:uid="{00000000-0005-0000-0000-00006E610000}"/>
    <cellStyle name="Normal 12 4 2 2 4 2" xfId="8930" xr:uid="{00000000-0005-0000-0000-00006F610000}"/>
    <cellStyle name="Normal 12 4 2 2 4 2 2" xfId="15720" xr:uid="{00000000-0005-0000-0000-000070610000}"/>
    <cellStyle name="Normal 12 4 2 2 4 2 2 2" xfId="29288" xr:uid="{00000000-0005-0000-0000-000071610000}"/>
    <cellStyle name="Normal 12 4 2 2 4 2 2 2 2" xfId="56421" xr:uid="{00000000-0005-0000-0000-000072610000}"/>
    <cellStyle name="Normal 12 4 2 2 4 2 2 3" xfId="42859" xr:uid="{00000000-0005-0000-0000-000073610000}"/>
    <cellStyle name="Normal 12 4 2 2 4 2 3" xfId="22507" xr:uid="{00000000-0005-0000-0000-000074610000}"/>
    <cellStyle name="Normal 12 4 2 2 4 2 3 2" xfId="49640" xr:uid="{00000000-0005-0000-0000-000075610000}"/>
    <cellStyle name="Normal 12 4 2 2 4 2 4" xfId="36078" xr:uid="{00000000-0005-0000-0000-000076610000}"/>
    <cellStyle name="Normal 12 4 2 2 4 3" xfId="12331" xr:uid="{00000000-0005-0000-0000-000077610000}"/>
    <cellStyle name="Normal 12 4 2 2 4 3 2" xfId="25899" xr:uid="{00000000-0005-0000-0000-000078610000}"/>
    <cellStyle name="Normal 12 4 2 2 4 3 2 2" xfId="53032" xr:uid="{00000000-0005-0000-0000-000079610000}"/>
    <cellStyle name="Normal 12 4 2 2 4 3 3" xfId="39470" xr:uid="{00000000-0005-0000-0000-00007A610000}"/>
    <cellStyle name="Normal 12 4 2 2 4 4" xfId="19118" xr:uid="{00000000-0005-0000-0000-00007B610000}"/>
    <cellStyle name="Normal 12 4 2 2 4 4 2" xfId="46251" xr:uid="{00000000-0005-0000-0000-00007C610000}"/>
    <cellStyle name="Normal 12 4 2 2 4 5" xfId="32689" xr:uid="{00000000-0005-0000-0000-00007D610000}"/>
    <cellStyle name="Normal 12 4 2 2 5" xfId="5382" xr:uid="{00000000-0005-0000-0000-00007E610000}"/>
    <cellStyle name="Normal 12 4 2 2 5 2" xfId="8931" xr:uid="{00000000-0005-0000-0000-00007F610000}"/>
    <cellStyle name="Normal 12 4 2 2 5 2 2" xfId="15721" xr:uid="{00000000-0005-0000-0000-000080610000}"/>
    <cellStyle name="Normal 12 4 2 2 5 2 2 2" xfId="29289" xr:uid="{00000000-0005-0000-0000-000081610000}"/>
    <cellStyle name="Normal 12 4 2 2 5 2 2 2 2" xfId="56422" xr:uid="{00000000-0005-0000-0000-000082610000}"/>
    <cellStyle name="Normal 12 4 2 2 5 2 2 3" xfId="42860" xr:uid="{00000000-0005-0000-0000-000083610000}"/>
    <cellStyle name="Normal 12 4 2 2 5 2 3" xfId="22508" xr:uid="{00000000-0005-0000-0000-000084610000}"/>
    <cellStyle name="Normal 12 4 2 2 5 2 3 2" xfId="49641" xr:uid="{00000000-0005-0000-0000-000085610000}"/>
    <cellStyle name="Normal 12 4 2 2 5 2 4" xfId="36079" xr:uid="{00000000-0005-0000-0000-000086610000}"/>
    <cellStyle name="Normal 12 4 2 2 5 3" xfId="12332" xr:uid="{00000000-0005-0000-0000-000087610000}"/>
    <cellStyle name="Normal 12 4 2 2 5 3 2" xfId="25900" xr:uid="{00000000-0005-0000-0000-000088610000}"/>
    <cellStyle name="Normal 12 4 2 2 5 3 2 2" xfId="53033" xr:uid="{00000000-0005-0000-0000-000089610000}"/>
    <cellStyle name="Normal 12 4 2 2 5 3 3" xfId="39471" xr:uid="{00000000-0005-0000-0000-00008A610000}"/>
    <cellStyle name="Normal 12 4 2 2 5 4" xfId="19119" xr:uid="{00000000-0005-0000-0000-00008B610000}"/>
    <cellStyle name="Normal 12 4 2 2 5 4 2" xfId="46252" xr:uid="{00000000-0005-0000-0000-00008C610000}"/>
    <cellStyle name="Normal 12 4 2 2 5 5" xfId="32690" xr:uid="{00000000-0005-0000-0000-00008D610000}"/>
    <cellStyle name="Normal 12 4 2 2 6" xfId="8924" xr:uid="{00000000-0005-0000-0000-00008E610000}"/>
    <cellStyle name="Normal 12 4 2 2 6 2" xfId="15714" xr:uid="{00000000-0005-0000-0000-00008F610000}"/>
    <cellStyle name="Normal 12 4 2 2 6 2 2" xfId="29282" xr:uid="{00000000-0005-0000-0000-000090610000}"/>
    <cellStyle name="Normal 12 4 2 2 6 2 2 2" xfId="56415" xr:uid="{00000000-0005-0000-0000-000091610000}"/>
    <cellStyle name="Normal 12 4 2 2 6 2 3" xfId="42853" xr:uid="{00000000-0005-0000-0000-000092610000}"/>
    <cellStyle name="Normal 12 4 2 2 6 3" xfId="22501" xr:uid="{00000000-0005-0000-0000-000093610000}"/>
    <cellStyle name="Normal 12 4 2 2 6 3 2" xfId="49634" xr:uid="{00000000-0005-0000-0000-000094610000}"/>
    <cellStyle name="Normal 12 4 2 2 6 4" xfId="36072" xr:uid="{00000000-0005-0000-0000-000095610000}"/>
    <cellStyle name="Normal 12 4 2 2 7" xfId="12325" xr:uid="{00000000-0005-0000-0000-000096610000}"/>
    <cellStyle name="Normal 12 4 2 2 7 2" xfId="25893" xr:uid="{00000000-0005-0000-0000-000097610000}"/>
    <cellStyle name="Normal 12 4 2 2 7 2 2" xfId="53026" xr:uid="{00000000-0005-0000-0000-000098610000}"/>
    <cellStyle name="Normal 12 4 2 2 7 3" xfId="39464" xr:uid="{00000000-0005-0000-0000-000099610000}"/>
    <cellStyle name="Normal 12 4 2 2 8" xfId="19112" xr:uid="{00000000-0005-0000-0000-00009A610000}"/>
    <cellStyle name="Normal 12 4 2 2 8 2" xfId="46245" xr:uid="{00000000-0005-0000-0000-00009B610000}"/>
    <cellStyle name="Normal 12 4 2 2 9" xfId="32683" xr:uid="{00000000-0005-0000-0000-00009C610000}"/>
    <cellStyle name="Normal 12 4 2 3" xfId="5383" xr:uid="{00000000-0005-0000-0000-00009D610000}"/>
    <cellStyle name="Normal 12 4 2 3 2" xfId="5384" xr:uid="{00000000-0005-0000-0000-00009E610000}"/>
    <cellStyle name="Normal 12 4 2 3 2 2" xfId="8933" xr:uid="{00000000-0005-0000-0000-00009F610000}"/>
    <cellStyle name="Normal 12 4 2 3 2 2 2" xfId="15723" xr:uid="{00000000-0005-0000-0000-0000A0610000}"/>
    <cellStyle name="Normal 12 4 2 3 2 2 2 2" xfId="29291" xr:uid="{00000000-0005-0000-0000-0000A1610000}"/>
    <cellStyle name="Normal 12 4 2 3 2 2 2 2 2" xfId="56424" xr:uid="{00000000-0005-0000-0000-0000A2610000}"/>
    <cellStyle name="Normal 12 4 2 3 2 2 2 3" xfId="42862" xr:uid="{00000000-0005-0000-0000-0000A3610000}"/>
    <cellStyle name="Normal 12 4 2 3 2 2 3" xfId="22510" xr:uid="{00000000-0005-0000-0000-0000A4610000}"/>
    <cellStyle name="Normal 12 4 2 3 2 2 3 2" xfId="49643" xr:uid="{00000000-0005-0000-0000-0000A5610000}"/>
    <cellStyle name="Normal 12 4 2 3 2 2 4" xfId="36081" xr:uid="{00000000-0005-0000-0000-0000A6610000}"/>
    <cellStyle name="Normal 12 4 2 3 2 3" xfId="12334" xr:uid="{00000000-0005-0000-0000-0000A7610000}"/>
    <cellStyle name="Normal 12 4 2 3 2 3 2" xfId="25902" xr:uid="{00000000-0005-0000-0000-0000A8610000}"/>
    <cellStyle name="Normal 12 4 2 3 2 3 2 2" xfId="53035" xr:uid="{00000000-0005-0000-0000-0000A9610000}"/>
    <cellStyle name="Normal 12 4 2 3 2 3 3" xfId="39473" xr:uid="{00000000-0005-0000-0000-0000AA610000}"/>
    <cellStyle name="Normal 12 4 2 3 2 4" xfId="19121" xr:uid="{00000000-0005-0000-0000-0000AB610000}"/>
    <cellStyle name="Normal 12 4 2 3 2 4 2" xfId="46254" xr:uid="{00000000-0005-0000-0000-0000AC610000}"/>
    <cellStyle name="Normal 12 4 2 3 2 5" xfId="32692" xr:uid="{00000000-0005-0000-0000-0000AD610000}"/>
    <cellStyle name="Normal 12 4 2 3 3" xfId="5385" xr:uid="{00000000-0005-0000-0000-0000AE610000}"/>
    <cellStyle name="Normal 12 4 2 3 3 2" xfId="8934" xr:uid="{00000000-0005-0000-0000-0000AF610000}"/>
    <cellStyle name="Normal 12 4 2 3 3 2 2" xfId="15724" xr:uid="{00000000-0005-0000-0000-0000B0610000}"/>
    <cellStyle name="Normal 12 4 2 3 3 2 2 2" xfId="29292" xr:uid="{00000000-0005-0000-0000-0000B1610000}"/>
    <cellStyle name="Normal 12 4 2 3 3 2 2 2 2" xfId="56425" xr:uid="{00000000-0005-0000-0000-0000B2610000}"/>
    <cellStyle name="Normal 12 4 2 3 3 2 2 3" xfId="42863" xr:uid="{00000000-0005-0000-0000-0000B3610000}"/>
    <cellStyle name="Normal 12 4 2 3 3 2 3" xfId="22511" xr:uid="{00000000-0005-0000-0000-0000B4610000}"/>
    <cellStyle name="Normal 12 4 2 3 3 2 3 2" xfId="49644" xr:uid="{00000000-0005-0000-0000-0000B5610000}"/>
    <cellStyle name="Normal 12 4 2 3 3 2 4" xfId="36082" xr:uid="{00000000-0005-0000-0000-0000B6610000}"/>
    <cellStyle name="Normal 12 4 2 3 3 3" xfId="12335" xr:uid="{00000000-0005-0000-0000-0000B7610000}"/>
    <cellStyle name="Normal 12 4 2 3 3 3 2" xfId="25903" xr:uid="{00000000-0005-0000-0000-0000B8610000}"/>
    <cellStyle name="Normal 12 4 2 3 3 3 2 2" xfId="53036" xr:uid="{00000000-0005-0000-0000-0000B9610000}"/>
    <cellStyle name="Normal 12 4 2 3 3 3 3" xfId="39474" xr:uid="{00000000-0005-0000-0000-0000BA610000}"/>
    <cellStyle name="Normal 12 4 2 3 3 4" xfId="19122" xr:uid="{00000000-0005-0000-0000-0000BB610000}"/>
    <cellStyle name="Normal 12 4 2 3 3 4 2" xfId="46255" xr:uid="{00000000-0005-0000-0000-0000BC610000}"/>
    <cellStyle name="Normal 12 4 2 3 3 5" xfId="32693" xr:uid="{00000000-0005-0000-0000-0000BD610000}"/>
    <cellStyle name="Normal 12 4 2 3 4" xfId="8932" xr:uid="{00000000-0005-0000-0000-0000BE610000}"/>
    <cellStyle name="Normal 12 4 2 3 4 2" xfId="15722" xr:uid="{00000000-0005-0000-0000-0000BF610000}"/>
    <cellStyle name="Normal 12 4 2 3 4 2 2" xfId="29290" xr:uid="{00000000-0005-0000-0000-0000C0610000}"/>
    <cellStyle name="Normal 12 4 2 3 4 2 2 2" xfId="56423" xr:uid="{00000000-0005-0000-0000-0000C1610000}"/>
    <cellStyle name="Normal 12 4 2 3 4 2 3" xfId="42861" xr:uid="{00000000-0005-0000-0000-0000C2610000}"/>
    <cellStyle name="Normal 12 4 2 3 4 3" xfId="22509" xr:uid="{00000000-0005-0000-0000-0000C3610000}"/>
    <cellStyle name="Normal 12 4 2 3 4 3 2" xfId="49642" xr:uid="{00000000-0005-0000-0000-0000C4610000}"/>
    <cellStyle name="Normal 12 4 2 3 4 4" xfId="36080" xr:uid="{00000000-0005-0000-0000-0000C5610000}"/>
    <cellStyle name="Normal 12 4 2 3 5" xfId="12333" xr:uid="{00000000-0005-0000-0000-0000C6610000}"/>
    <cellStyle name="Normal 12 4 2 3 5 2" xfId="25901" xr:uid="{00000000-0005-0000-0000-0000C7610000}"/>
    <cellStyle name="Normal 12 4 2 3 5 2 2" xfId="53034" xr:uid="{00000000-0005-0000-0000-0000C8610000}"/>
    <cellStyle name="Normal 12 4 2 3 5 3" xfId="39472" xr:uid="{00000000-0005-0000-0000-0000C9610000}"/>
    <cellStyle name="Normal 12 4 2 3 6" xfId="19120" xr:uid="{00000000-0005-0000-0000-0000CA610000}"/>
    <cellStyle name="Normal 12 4 2 3 6 2" xfId="46253" xr:uid="{00000000-0005-0000-0000-0000CB610000}"/>
    <cellStyle name="Normal 12 4 2 3 7" xfId="32691" xr:uid="{00000000-0005-0000-0000-0000CC610000}"/>
    <cellStyle name="Normal 12 4 2 4" xfId="5386" xr:uid="{00000000-0005-0000-0000-0000CD610000}"/>
    <cellStyle name="Normal 12 4 2 4 2" xfId="5387" xr:uid="{00000000-0005-0000-0000-0000CE610000}"/>
    <cellStyle name="Normal 12 4 2 4 2 2" xfId="8936" xr:uid="{00000000-0005-0000-0000-0000CF610000}"/>
    <cellStyle name="Normal 12 4 2 4 2 2 2" xfId="15726" xr:uid="{00000000-0005-0000-0000-0000D0610000}"/>
    <cellStyle name="Normal 12 4 2 4 2 2 2 2" xfId="29294" xr:uid="{00000000-0005-0000-0000-0000D1610000}"/>
    <cellStyle name="Normal 12 4 2 4 2 2 2 2 2" xfId="56427" xr:uid="{00000000-0005-0000-0000-0000D2610000}"/>
    <cellStyle name="Normal 12 4 2 4 2 2 2 3" xfId="42865" xr:uid="{00000000-0005-0000-0000-0000D3610000}"/>
    <cellStyle name="Normal 12 4 2 4 2 2 3" xfId="22513" xr:uid="{00000000-0005-0000-0000-0000D4610000}"/>
    <cellStyle name="Normal 12 4 2 4 2 2 3 2" xfId="49646" xr:uid="{00000000-0005-0000-0000-0000D5610000}"/>
    <cellStyle name="Normal 12 4 2 4 2 2 4" xfId="36084" xr:uid="{00000000-0005-0000-0000-0000D6610000}"/>
    <cellStyle name="Normal 12 4 2 4 2 3" xfId="12337" xr:uid="{00000000-0005-0000-0000-0000D7610000}"/>
    <cellStyle name="Normal 12 4 2 4 2 3 2" xfId="25905" xr:uid="{00000000-0005-0000-0000-0000D8610000}"/>
    <cellStyle name="Normal 12 4 2 4 2 3 2 2" xfId="53038" xr:uid="{00000000-0005-0000-0000-0000D9610000}"/>
    <cellStyle name="Normal 12 4 2 4 2 3 3" xfId="39476" xr:uid="{00000000-0005-0000-0000-0000DA610000}"/>
    <cellStyle name="Normal 12 4 2 4 2 4" xfId="19124" xr:uid="{00000000-0005-0000-0000-0000DB610000}"/>
    <cellStyle name="Normal 12 4 2 4 2 4 2" xfId="46257" xr:uid="{00000000-0005-0000-0000-0000DC610000}"/>
    <cellStyle name="Normal 12 4 2 4 2 5" xfId="32695" xr:uid="{00000000-0005-0000-0000-0000DD610000}"/>
    <cellStyle name="Normal 12 4 2 4 3" xfId="8935" xr:uid="{00000000-0005-0000-0000-0000DE610000}"/>
    <cellStyle name="Normal 12 4 2 4 3 2" xfId="15725" xr:uid="{00000000-0005-0000-0000-0000DF610000}"/>
    <cellStyle name="Normal 12 4 2 4 3 2 2" xfId="29293" xr:uid="{00000000-0005-0000-0000-0000E0610000}"/>
    <cellStyle name="Normal 12 4 2 4 3 2 2 2" xfId="56426" xr:uid="{00000000-0005-0000-0000-0000E1610000}"/>
    <cellStyle name="Normal 12 4 2 4 3 2 3" xfId="42864" xr:uid="{00000000-0005-0000-0000-0000E2610000}"/>
    <cellStyle name="Normal 12 4 2 4 3 3" xfId="22512" xr:uid="{00000000-0005-0000-0000-0000E3610000}"/>
    <cellStyle name="Normal 12 4 2 4 3 3 2" xfId="49645" xr:uid="{00000000-0005-0000-0000-0000E4610000}"/>
    <cellStyle name="Normal 12 4 2 4 3 4" xfId="36083" xr:uid="{00000000-0005-0000-0000-0000E5610000}"/>
    <cellStyle name="Normal 12 4 2 4 4" xfId="12336" xr:uid="{00000000-0005-0000-0000-0000E6610000}"/>
    <cellStyle name="Normal 12 4 2 4 4 2" xfId="25904" xr:uid="{00000000-0005-0000-0000-0000E7610000}"/>
    <cellStyle name="Normal 12 4 2 4 4 2 2" xfId="53037" xr:uid="{00000000-0005-0000-0000-0000E8610000}"/>
    <cellStyle name="Normal 12 4 2 4 4 3" xfId="39475" xr:uid="{00000000-0005-0000-0000-0000E9610000}"/>
    <cellStyle name="Normal 12 4 2 4 5" xfId="19123" xr:uid="{00000000-0005-0000-0000-0000EA610000}"/>
    <cellStyle name="Normal 12 4 2 4 5 2" xfId="46256" xr:uid="{00000000-0005-0000-0000-0000EB610000}"/>
    <cellStyle name="Normal 12 4 2 4 6" xfId="32694" xr:uid="{00000000-0005-0000-0000-0000EC610000}"/>
    <cellStyle name="Normal 12 4 2 5" xfId="5388" xr:uid="{00000000-0005-0000-0000-0000ED610000}"/>
    <cellStyle name="Normal 12 4 2 5 2" xfId="8937" xr:uid="{00000000-0005-0000-0000-0000EE610000}"/>
    <cellStyle name="Normal 12 4 2 5 2 2" xfId="15727" xr:uid="{00000000-0005-0000-0000-0000EF610000}"/>
    <cellStyle name="Normal 12 4 2 5 2 2 2" xfId="29295" xr:uid="{00000000-0005-0000-0000-0000F0610000}"/>
    <cellStyle name="Normal 12 4 2 5 2 2 2 2" xfId="56428" xr:uid="{00000000-0005-0000-0000-0000F1610000}"/>
    <cellStyle name="Normal 12 4 2 5 2 2 3" xfId="42866" xr:uid="{00000000-0005-0000-0000-0000F2610000}"/>
    <cellStyle name="Normal 12 4 2 5 2 3" xfId="22514" xr:uid="{00000000-0005-0000-0000-0000F3610000}"/>
    <cellStyle name="Normal 12 4 2 5 2 3 2" xfId="49647" xr:uid="{00000000-0005-0000-0000-0000F4610000}"/>
    <cellStyle name="Normal 12 4 2 5 2 4" xfId="36085" xr:uid="{00000000-0005-0000-0000-0000F5610000}"/>
    <cellStyle name="Normal 12 4 2 5 3" xfId="12338" xr:uid="{00000000-0005-0000-0000-0000F6610000}"/>
    <cellStyle name="Normal 12 4 2 5 3 2" xfId="25906" xr:uid="{00000000-0005-0000-0000-0000F7610000}"/>
    <cellStyle name="Normal 12 4 2 5 3 2 2" xfId="53039" xr:uid="{00000000-0005-0000-0000-0000F8610000}"/>
    <cellStyle name="Normal 12 4 2 5 3 3" xfId="39477" xr:uid="{00000000-0005-0000-0000-0000F9610000}"/>
    <cellStyle name="Normal 12 4 2 5 4" xfId="19125" xr:uid="{00000000-0005-0000-0000-0000FA610000}"/>
    <cellStyle name="Normal 12 4 2 5 4 2" xfId="46258" xr:uid="{00000000-0005-0000-0000-0000FB610000}"/>
    <cellStyle name="Normal 12 4 2 5 5" xfId="32696" xr:uid="{00000000-0005-0000-0000-0000FC610000}"/>
    <cellStyle name="Normal 12 4 2 6" xfId="5389" xr:uid="{00000000-0005-0000-0000-0000FD610000}"/>
    <cellStyle name="Normal 12 4 2 6 2" xfId="8938" xr:uid="{00000000-0005-0000-0000-0000FE610000}"/>
    <cellStyle name="Normal 12 4 2 6 2 2" xfId="15728" xr:uid="{00000000-0005-0000-0000-0000FF610000}"/>
    <cellStyle name="Normal 12 4 2 6 2 2 2" xfId="29296" xr:uid="{00000000-0005-0000-0000-000000620000}"/>
    <cellStyle name="Normal 12 4 2 6 2 2 2 2" xfId="56429" xr:uid="{00000000-0005-0000-0000-000001620000}"/>
    <cellStyle name="Normal 12 4 2 6 2 2 3" xfId="42867" xr:uid="{00000000-0005-0000-0000-000002620000}"/>
    <cellStyle name="Normal 12 4 2 6 2 3" xfId="22515" xr:uid="{00000000-0005-0000-0000-000003620000}"/>
    <cellStyle name="Normal 12 4 2 6 2 3 2" xfId="49648" xr:uid="{00000000-0005-0000-0000-000004620000}"/>
    <cellStyle name="Normal 12 4 2 6 2 4" xfId="36086" xr:uid="{00000000-0005-0000-0000-000005620000}"/>
    <cellStyle name="Normal 12 4 2 6 3" xfId="12339" xr:uid="{00000000-0005-0000-0000-000006620000}"/>
    <cellStyle name="Normal 12 4 2 6 3 2" xfId="25907" xr:uid="{00000000-0005-0000-0000-000007620000}"/>
    <cellStyle name="Normal 12 4 2 6 3 2 2" xfId="53040" xr:uid="{00000000-0005-0000-0000-000008620000}"/>
    <cellStyle name="Normal 12 4 2 6 3 3" xfId="39478" xr:uid="{00000000-0005-0000-0000-000009620000}"/>
    <cellStyle name="Normal 12 4 2 6 4" xfId="19126" xr:uid="{00000000-0005-0000-0000-00000A620000}"/>
    <cellStyle name="Normal 12 4 2 6 4 2" xfId="46259" xr:uid="{00000000-0005-0000-0000-00000B620000}"/>
    <cellStyle name="Normal 12 4 2 6 5" xfId="32697" xr:uid="{00000000-0005-0000-0000-00000C620000}"/>
    <cellStyle name="Normal 12 4 2 7" xfId="8923" xr:uid="{00000000-0005-0000-0000-00000D620000}"/>
    <cellStyle name="Normal 12 4 2 7 2" xfId="15713" xr:uid="{00000000-0005-0000-0000-00000E620000}"/>
    <cellStyle name="Normal 12 4 2 7 2 2" xfId="29281" xr:uid="{00000000-0005-0000-0000-00000F620000}"/>
    <cellStyle name="Normal 12 4 2 7 2 2 2" xfId="56414" xr:uid="{00000000-0005-0000-0000-000010620000}"/>
    <cellStyle name="Normal 12 4 2 7 2 3" xfId="42852" xr:uid="{00000000-0005-0000-0000-000011620000}"/>
    <cellStyle name="Normal 12 4 2 7 3" xfId="22500" xr:uid="{00000000-0005-0000-0000-000012620000}"/>
    <cellStyle name="Normal 12 4 2 7 3 2" xfId="49633" xr:uid="{00000000-0005-0000-0000-000013620000}"/>
    <cellStyle name="Normal 12 4 2 7 4" xfId="36071" xr:uid="{00000000-0005-0000-0000-000014620000}"/>
    <cellStyle name="Normal 12 4 2 8" xfId="12324" xr:uid="{00000000-0005-0000-0000-000015620000}"/>
    <cellStyle name="Normal 12 4 2 8 2" xfId="25892" xr:uid="{00000000-0005-0000-0000-000016620000}"/>
    <cellStyle name="Normal 12 4 2 8 2 2" xfId="53025" xr:uid="{00000000-0005-0000-0000-000017620000}"/>
    <cellStyle name="Normal 12 4 2 8 3" xfId="39463" xr:uid="{00000000-0005-0000-0000-000018620000}"/>
    <cellStyle name="Normal 12 4 2 9" xfId="19111" xr:uid="{00000000-0005-0000-0000-000019620000}"/>
    <cellStyle name="Normal 12 4 2 9 2" xfId="46244" xr:uid="{00000000-0005-0000-0000-00001A620000}"/>
    <cellStyle name="Normal 12 4 3" xfId="5390" xr:uid="{00000000-0005-0000-0000-00001B620000}"/>
    <cellStyle name="Normal 12 4 3 2" xfId="5391" xr:uid="{00000000-0005-0000-0000-00001C620000}"/>
    <cellStyle name="Normal 12 4 3 2 2" xfId="5392" xr:uid="{00000000-0005-0000-0000-00001D620000}"/>
    <cellStyle name="Normal 12 4 3 2 2 2" xfId="8941" xr:uid="{00000000-0005-0000-0000-00001E620000}"/>
    <cellStyle name="Normal 12 4 3 2 2 2 2" xfId="15731" xr:uid="{00000000-0005-0000-0000-00001F620000}"/>
    <cellStyle name="Normal 12 4 3 2 2 2 2 2" xfId="29299" xr:uid="{00000000-0005-0000-0000-000020620000}"/>
    <cellStyle name="Normal 12 4 3 2 2 2 2 2 2" xfId="56432" xr:uid="{00000000-0005-0000-0000-000021620000}"/>
    <cellStyle name="Normal 12 4 3 2 2 2 2 3" xfId="42870" xr:uid="{00000000-0005-0000-0000-000022620000}"/>
    <cellStyle name="Normal 12 4 3 2 2 2 3" xfId="22518" xr:uid="{00000000-0005-0000-0000-000023620000}"/>
    <cellStyle name="Normal 12 4 3 2 2 2 3 2" xfId="49651" xr:uid="{00000000-0005-0000-0000-000024620000}"/>
    <cellStyle name="Normal 12 4 3 2 2 2 4" xfId="36089" xr:uid="{00000000-0005-0000-0000-000025620000}"/>
    <cellStyle name="Normal 12 4 3 2 2 3" xfId="12342" xr:uid="{00000000-0005-0000-0000-000026620000}"/>
    <cellStyle name="Normal 12 4 3 2 2 3 2" xfId="25910" xr:uid="{00000000-0005-0000-0000-000027620000}"/>
    <cellStyle name="Normal 12 4 3 2 2 3 2 2" xfId="53043" xr:uid="{00000000-0005-0000-0000-000028620000}"/>
    <cellStyle name="Normal 12 4 3 2 2 3 3" xfId="39481" xr:uid="{00000000-0005-0000-0000-000029620000}"/>
    <cellStyle name="Normal 12 4 3 2 2 4" xfId="19129" xr:uid="{00000000-0005-0000-0000-00002A620000}"/>
    <cellStyle name="Normal 12 4 3 2 2 4 2" xfId="46262" xr:uid="{00000000-0005-0000-0000-00002B620000}"/>
    <cellStyle name="Normal 12 4 3 2 2 5" xfId="32700" xr:uid="{00000000-0005-0000-0000-00002C620000}"/>
    <cellStyle name="Normal 12 4 3 2 3" xfId="5393" xr:uid="{00000000-0005-0000-0000-00002D620000}"/>
    <cellStyle name="Normal 12 4 3 2 3 2" xfId="8942" xr:uid="{00000000-0005-0000-0000-00002E620000}"/>
    <cellStyle name="Normal 12 4 3 2 3 2 2" xfId="15732" xr:uid="{00000000-0005-0000-0000-00002F620000}"/>
    <cellStyle name="Normal 12 4 3 2 3 2 2 2" xfId="29300" xr:uid="{00000000-0005-0000-0000-000030620000}"/>
    <cellStyle name="Normal 12 4 3 2 3 2 2 2 2" xfId="56433" xr:uid="{00000000-0005-0000-0000-000031620000}"/>
    <cellStyle name="Normal 12 4 3 2 3 2 2 3" xfId="42871" xr:uid="{00000000-0005-0000-0000-000032620000}"/>
    <cellStyle name="Normal 12 4 3 2 3 2 3" xfId="22519" xr:uid="{00000000-0005-0000-0000-000033620000}"/>
    <cellStyle name="Normal 12 4 3 2 3 2 3 2" xfId="49652" xr:uid="{00000000-0005-0000-0000-000034620000}"/>
    <cellStyle name="Normal 12 4 3 2 3 2 4" xfId="36090" xr:uid="{00000000-0005-0000-0000-000035620000}"/>
    <cellStyle name="Normal 12 4 3 2 3 3" xfId="12343" xr:uid="{00000000-0005-0000-0000-000036620000}"/>
    <cellStyle name="Normal 12 4 3 2 3 3 2" xfId="25911" xr:uid="{00000000-0005-0000-0000-000037620000}"/>
    <cellStyle name="Normal 12 4 3 2 3 3 2 2" xfId="53044" xr:uid="{00000000-0005-0000-0000-000038620000}"/>
    <cellStyle name="Normal 12 4 3 2 3 3 3" xfId="39482" xr:uid="{00000000-0005-0000-0000-000039620000}"/>
    <cellStyle name="Normal 12 4 3 2 3 4" xfId="19130" xr:uid="{00000000-0005-0000-0000-00003A620000}"/>
    <cellStyle name="Normal 12 4 3 2 3 4 2" xfId="46263" xr:uid="{00000000-0005-0000-0000-00003B620000}"/>
    <cellStyle name="Normal 12 4 3 2 3 5" xfId="32701" xr:uid="{00000000-0005-0000-0000-00003C620000}"/>
    <cellStyle name="Normal 12 4 3 2 4" xfId="8940" xr:uid="{00000000-0005-0000-0000-00003D620000}"/>
    <cellStyle name="Normal 12 4 3 2 4 2" xfId="15730" xr:uid="{00000000-0005-0000-0000-00003E620000}"/>
    <cellStyle name="Normal 12 4 3 2 4 2 2" xfId="29298" xr:uid="{00000000-0005-0000-0000-00003F620000}"/>
    <cellStyle name="Normal 12 4 3 2 4 2 2 2" xfId="56431" xr:uid="{00000000-0005-0000-0000-000040620000}"/>
    <cellStyle name="Normal 12 4 3 2 4 2 3" xfId="42869" xr:uid="{00000000-0005-0000-0000-000041620000}"/>
    <cellStyle name="Normal 12 4 3 2 4 3" xfId="22517" xr:uid="{00000000-0005-0000-0000-000042620000}"/>
    <cellStyle name="Normal 12 4 3 2 4 3 2" xfId="49650" xr:uid="{00000000-0005-0000-0000-000043620000}"/>
    <cellStyle name="Normal 12 4 3 2 4 4" xfId="36088" xr:uid="{00000000-0005-0000-0000-000044620000}"/>
    <cellStyle name="Normal 12 4 3 2 5" xfId="12341" xr:uid="{00000000-0005-0000-0000-000045620000}"/>
    <cellStyle name="Normal 12 4 3 2 5 2" xfId="25909" xr:uid="{00000000-0005-0000-0000-000046620000}"/>
    <cellStyle name="Normal 12 4 3 2 5 2 2" xfId="53042" xr:uid="{00000000-0005-0000-0000-000047620000}"/>
    <cellStyle name="Normal 12 4 3 2 5 3" xfId="39480" xr:uid="{00000000-0005-0000-0000-000048620000}"/>
    <cellStyle name="Normal 12 4 3 2 6" xfId="19128" xr:uid="{00000000-0005-0000-0000-000049620000}"/>
    <cellStyle name="Normal 12 4 3 2 6 2" xfId="46261" xr:uid="{00000000-0005-0000-0000-00004A620000}"/>
    <cellStyle name="Normal 12 4 3 2 7" xfId="32699" xr:uid="{00000000-0005-0000-0000-00004B620000}"/>
    <cellStyle name="Normal 12 4 3 3" xfId="5394" xr:uid="{00000000-0005-0000-0000-00004C620000}"/>
    <cellStyle name="Normal 12 4 3 3 2" xfId="5395" xr:uid="{00000000-0005-0000-0000-00004D620000}"/>
    <cellStyle name="Normal 12 4 3 3 2 2" xfId="8944" xr:uid="{00000000-0005-0000-0000-00004E620000}"/>
    <cellStyle name="Normal 12 4 3 3 2 2 2" xfId="15734" xr:uid="{00000000-0005-0000-0000-00004F620000}"/>
    <cellStyle name="Normal 12 4 3 3 2 2 2 2" xfId="29302" xr:uid="{00000000-0005-0000-0000-000050620000}"/>
    <cellStyle name="Normal 12 4 3 3 2 2 2 2 2" xfId="56435" xr:uid="{00000000-0005-0000-0000-000051620000}"/>
    <cellStyle name="Normal 12 4 3 3 2 2 2 3" xfId="42873" xr:uid="{00000000-0005-0000-0000-000052620000}"/>
    <cellStyle name="Normal 12 4 3 3 2 2 3" xfId="22521" xr:uid="{00000000-0005-0000-0000-000053620000}"/>
    <cellStyle name="Normal 12 4 3 3 2 2 3 2" xfId="49654" xr:uid="{00000000-0005-0000-0000-000054620000}"/>
    <cellStyle name="Normal 12 4 3 3 2 2 4" xfId="36092" xr:uid="{00000000-0005-0000-0000-000055620000}"/>
    <cellStyle name="Normal 12 4 3 3 2 3" xfId="12345" xr:uid="{00000000-0005-0000-0000-000056620000}"/>
    <cellStyle name="Normal 12 4 3 3 2 3 2" xfId="25913" xr:uid="{00000000-0005-0000-0000-000057620000}"/>
    <cellStyle name="Normal 12 4 3 3 2 3 2 2" xfId="53046" xr:uid="{00000000-0005-0000-0000-000058620000}"/>
    <cellStyle name="Normal 12 4 3 3 2 3 3" xfId="39484" xr:uid="{00000000-0005-0000-0000-000059620000}"/>
    <cellStyle name="Normal 12 4 3 3 2 4" xfId="19132" xr:uid="{00000000-0005-0000-0000-00005A620000}"/>
    <cellStyle name="Normal 12 4 3 3 2 4 2" xfId="46265" xr:uid="{00000000-0005-0000-0000-00005B620000}"/>
    <cellStyle name="Normal 12 4 3 3 2 5" xfId="32703" xr:uid="{00000000-0005-0000-0000-00005C620000}"/>
    <cellStyle name="Normal 12 4 3 3 3" xfId="8943" xr:uid="{00000000-0005-0000-0000-00005D620000}"/>
    <cellStyle name="Normal 12 4 3 3 3 2" xfId="15733" xr:uid="{00000000-0005-0000-0000-00005E620000}"/>
    <cellStyle name="Normal 12 4 3 3 3 2 2" xfId="29301" xr:uid="{00000000-0005-0000-0000-00005F620000}"/>
    <cellStyle name="Normal 12 4 3 3 3 2 2 2" xfId="56434" xr:uid="{00000000-0005-0000-0000-000060620000}"/>
    <cellStyle name="Normal 12 4 3 3 3 2 3" xfId="42872" xr:uid="{00000000-0005-0000-0000-000061620000}"/>
    <cellStyle name="Normal 12 4 3 3 3 3" xfId="22520" xr:uid="{00000000-0005-0000-0000-000062620000}"/>
    <cellStyle name="Normal 12 4 3 3 3 3 2" xfId="49653" xr:uid="{00000000-0005-0000-0000-000063620000}"/>
    <cellStyle name="Normal 12 4 3 3 3 4" xfId="36091" xr:uid="{00000000-0005-0000-0000-000064620000}"/>
    <cellStyle name="Normal 12 4 3 3 4" xfId="12344" xr:uid="{00000000-0005-0000-0000-000065620000}"/>
    <cellStyle name="Normal 12 4 3 3 4 2" xfId="25912" xr:uid="{00000000-0005-0000-0000-000066620000}"/>
    <cellStyle name="Normal 12 4 3 3 4 2 2" xfId="53045" xr:uid="{00000000-0005-0000-0000-000067620000}"/>
    <cellStyle name="Normal 12 4 3 3 4 3" xfId="39483" xr:uid="{00000000-0005-0000-0000-000068620000}"/>
    <cellStyle name="Normal 12 4 3 3 5" xfId="19131" xr:uid="{00000000-0005-0000-0000-000069620000}"/>
    <cellStyle name="Normal 12 4 3 3 5 2" xfId="46264" xr:uid="{00000000-0005-0000-0000-00006A620000}"/>
    <cellStyle name="Normal 12 4 3 3 6" xfId="32702" xr:uid="{00000000-0005-0000-0000-00006B620000}"/>
    <cellStyle name="Normal 12 4 3 4" xfId="5396" xr:uid="{00000000-0005-0000-0000-00006C620000}"/>
    <cellStyle name="Normal 12 4 3 4 2" xfId="8945" xr:uid="{00000000-0005-0000-0000-00006D620000}"/>
    <cellStyle name="Normal 12 4 3 4 2 2" xfId="15735" xr:uid="{00000000-0005-0000-0000-00006E620000}"/>
    <cellStyle name="Normal 12 4 3 4 2 2 2" xfId="29303" xr:uid="{00000000-0005-0000-0000-00006F620000}"/>
    <cellStyle name="Normal 12 4 3 4 2 2 2 2" xfId="56436" xr:uid="{00000000-0005-0000-0000-000070620000}"/>
    <cellStyle name="Normal 12 4 3 4 2 2 3" xfId="42874" xr:uid="{00000000-0005-0000-0000-000071620000}"/>
    <cellStyle name="Normal 12 4 3 4 2 3" xfId="22522" xr:uid="{00000000-0005-0000-0000-000072620000}"/>
    <cellStyle name="Normal 12 4 3 4 2 3 2" xfId="49655" xr:uid="{00000000-0005-0000-0000-000073620000}"/>
    <cellStyle name="Normal 12 4 3 4 2 4" xfId="36093" xr:uid="{00000000-0005-0000-0000-000074620000}"/>
    <cellStyle name="Normal 12 4 3 4 3" xfId="12346" xr:uid="{00000000-0005-0000-0000-000075620000}"/>
    <cellStyle name="Normal 12 4 3 4 3 2" xfId="25914" xr:uid="{00000000-0005-0000-0000-000076620000}"/>
    <cellStyle name="Normal 12 4 3 4 3 2 2" xfId="53047" xr:uid="{00000000-0005-0000-0000-000077620000}"/>
    <cellStyle name="Normal 12 4 3 4 3 3" xfId="39485" xr:uid="{00000000-0005-0000-0000-000078620000}"/>
    <cellStyle name="Normal 12 4 3 4 4" xfId="19133" xr:uid="{00000000-0005-0000-0000-000079620000}"/>
    <cellStyle name="Normal 12 4 3 4 4 2" xfId="46266" xr:uid="{00000000-0005-0000-0000-00007A620000}"/>
    <cellStyle name="Normal 12 4 3 4 5" xfId="32704" xr:uid="{00000000-0005-0000-0000-00007B620000}"/>
    <cellStyle name="Normal 12 4 3 5" xfId="5397" xr:uid="{00000000-0005-0000-0000-00007C620000}"/>
    <cellStyle name="Normal 12 4 3 5 2" xfId="8946" xr:uid="{00000000-0005-0000-0000-00007D620000}"/>
    <cellStyle name="Normal 12 4 3 5 2 2" xfId="15736" xr:uid="{00000000-0005-0000-0000-00007E620000}"/>
    <cellStyle name="Normal 12 4 3 5 2 2 2" xfId="29304" xr:uid="{00000000-0005-0000-0000-00007F620000}"/>
    <cellStyle name="Normal 12 4 3 5 2 2 2 2" xfId="56437" xr:uid="{00000000-0005-0000-0000-000080620000}"/>
    <cellStyle name="Normal 12 4 3 5 2 2 3" xfId="42875" xr:uid="{00000000-0005-0000-0000-000081620000}"/>
    <cellStyle name="Normal 12 4 3 5 2 3" xfId="22523" xr:uid="{00000000-0005-0000-0000-000082620000}"/>
    <cellStyle name="Normal 12 4 3 5 2 3 2" xfId="49656" xr:uid="{00000000-0005-0000-0000-000083620000}"/>
    <cellStyle name="Normal 12 4 3 5 2 4" xfId="36094" xr:uid="{00000000-0005-0000-0000-000084620000}"/>
    <cellStyle name="Normal 12 4 3 5 3" xfId="12347" xr:uid="{00000000-0005-0000-0000-000085620000}"/>
    <cellStyle name="Normal 12 4 3 5 3 2" xfId="25915" xr:uid="{00000000-0005-0000-0000-000086620000}"/>
    <cellStyle name="Normal 12 4 3 5 3 2 2" xfId="53048" xr:uid="{00000000-0005-0000-0000-000087620000}"/>
    <cellStyle name="Normal 12 4 3 5 3 3" xfId="39486" xr:uid="{00000000-0005-0000-0000-000088620000}"/>
    <cellStyle name="Normal 12 4 3 5 4" xfId="19134" xr:uid="{00000000-0005-0000-0000-000089620000}"/>
    <cellStyle name="Normal 12 4 3 5 4 2" xfId="46267" xr:uid="{00000000-0005-0000-0000-00008A620000}"/>
    <cellStyle name="Normal 12 4 3 5 5" xfId="32705" xr:uid="{00000000-0005-0000-0000-00008B620000}"/>
    <cellStyle name="Normal 12 4 3 6" xfId="8939" xr:uid="{00000000-0005-0000-0000-00008C620000}"/>
    <cellStyle name="Normal 12 4 3 6 2" xfId="15729" xr:uid="{00000000-0005-0000-0000-00008D620000}"/>
    <cellStyle name="Normal 12 4 3 6 2 2" xfId="29297" xr:uid="{00000000-0005-0000-0000-00008E620000}"/>
    <cellStyle name="Normal 12 4 3 6 2 2 2" xfId="56430" xr:uid="{00000000-0005-0000-0000-00008F620000}"/>
    <cellStyle name="Normal 12 4 3 6 2 3" xfId="42868" xr:uid="{00000000-0005-0000-0000-000090620000}"/>
    <cellStyle name="Normal 12 4 3 6 3" xfId="22516" xr:uid="{00000000-0005-0000-0000-000091620000}"/>
    <cellStyle name="Normal 12 4 3 6 3 2" xfId="49649" xr:uid="{00000000-0005-0000-0000-000092620000}"/>
    <cellStyle name="Normal 12 4 3 6 4" xfId="36087" xr:uid="{00000000-0005-0000-0000-000093620000}"/>
    <cellStyle name="Normal 12 4 3 7" xfId="12340" xr:uid="{00000000-0005-0000-0000-000094620000}"/>
    <cellStyle name="Normal 12 4 3 7 2" xfId="25908" xr:uid="{00000000-0005-0000-0000-000095620000}"/>
    <cellStyle name="Normal 12 4 3 7 2 2" xfId="53041" xr:uid="{00000000-0005-0000-0000-000096620000}"/>
    <cellStyle name="Normal 12 4 3 7 3" xfId="39479" xr:uid="{00000000-0005-0000-0000-000097620000}"/>
    <cellStyle name="Normal 12 4 3 8" xfId="19127" xr:uid="{00000000-0005-0000-0000-000098620000}"/>
    <cellStyle name="Normal 12 4 3 8 2" xfId="46260" xr:uid="{00000000-0005-0000-0000-000099620000}"/>
    <cellStyle name="Normal 12 4 3 9" xfId="32698" xr:uid="{00000000-0005-0000-0000-00009A620000}"/>
    <cellStyle name="Normal 12 4 4" xfId="5398" xr:uid="{00000000-0005-0000-0000-00009B620000}"/>
    <cellStyle name="Normal 12 4 4 2" xfId="5399" xr:uid="{00000000-0005-0000-0000-00009C620000}"/>
    <cellStyle name="Normal 12 4 4 2 2" xfId="5400" xr:uid="{00000000-0005-0000-0000-00009D620000}"/>
    <cellStyle name="Normal 12 4 4 2 2 2" xfId="8949" xr:uid="{00000000-0005-0000-0000-00009E620000}"/>
    <cellStyle name="Normal 12 4 4 2 2 2 2" xfId="15739" xr:uid="{00000000-0005-0000-0000-00009F620000}"/>
    <cellStyle name="Normal 12 4 4 2 2 2 2 2" xfId="29307" xr:uid="{00000000-0005-0000-0000-0000A0620000}"/>
    <cellStyle name="Normal 12 4 4 2 2 2 2 2 2" xfId="56440" xr:uid="{00000000-0005-0000-0000-0000A1620000}"/>
    <cellStyle name="Normal 12 4 4 2 2 2 2 3" xfId="42878" xr:uid="{00000000-0005-0000-0000-0000A2620000}"/>
    <cellStyle name="Normal 12 4 4 2 2 2 3" xfId="22526" xr:uid="{00000000-0005-0000-0000-0000A3620000}"/>
    <cellStyle name="Normal 12 4 4 2 2 2 3 2" xfId="49659" xr:uid="{00000000-0005-0000-0000-0000A4620000}"/>
    <cellStyle name="Normal 12 4 4 2 2 2 4" xfId="36097" xr:uid="{00000000-0005-0000-0000-0000A5620000}"/>
    <cellStyle name="Normal 12 4 4 2 2 3" xfId="12350" xr:uid="{00000000-0005-0000-0000-0000A6620000}"/>
    <cellStyle name="Normal 12 4 4 2 2 3 2" xfId="25918" xr:uid="{00000000-0005-0000-0000-0000A7620000}"/>
    <cellStyle name="Normal 12 4 4 2 2 3 2 2" xfId="53051" xr:uid="{00000000-0005-0000-0000-0000A8620000}"/>
    <cellStyle name="Normal 12 4 4 2 2 3 3" xfId="39489" xr:uid="{00000000-0005-0000-0000-0000A9620000}"/>
    <cellStyle name="Normal 12 4 4 2 2 4" xfId="19137" xr:uid="{00000000-0005-0000-0000-0000AA620000}"/>
    <cellStyle name="Normal 12 4 4 2 2 4 2" xfId="46270" xr:uid="{00000000-0005-0000-0000-0000AB620000}"/>
    <cellStyle name="Normal 12 4 4 2 2 5" xfId="32708" xr:uid="{00000000-0005-0000-0000-0000AC620000}"/>
    <cellStyle name="Normal 12 4 4 2 3" xfId="5401" xr:uid="{00000000-0005-0000-0000-0000AD620000}"/>
    <cellStyle name="Normal 12 4 4 2 3 2" xfId="8950" xr:uid="{00000000-0005-0000-0000-0000AE620000}"/>
    <cellStyle name="Normal 12 4 4 2 3 2 2" xfId="15740" xr:uid="{00000000-0005-0000-0000-0000AF620000}"/>
    <cellStyle name="Normal 12 4 4 2 3 2 2 2" xfId="29308" xr:uid="{00000000-0005-0000-0000-0000B0620000}"/>
    <cellStyle name="Normal 12 4 4 2 3 2 2 2 2" xfId="56441" xr:uid="{00000000-0005-0000-0000-0000B1620000}"/>
    <cellStyle name="Normal 12 4 4 2 3 2 2 3" xfId="42879" xr:uid="{00000000-0005-0000-0000-0000B2620000}"/>
    <cellStyle name="Normal 12 4 4 2 3 2 3" xfId="22527" xr:uid="{00000000-0005-0000-0000-0000B3620000}"/>
    <cellStyle name="Normal 12 4 4 2 3 2 3 2" xfId="49660" xr:uid="{00000000-0005-0000-0000-0000B4620000}"/>
    <cellStyle name="Normal 12 4 4 2 3 2 4" xfId="36098" xr:uid="{00000000-0005-0000-0000-0000B5620000}"/>
    <cellStyle name="Normal 12 4 4 2 3 3" xfId="12351" xr:uid="{00000000-0005-0000-0000-0000B6620000}"/>
    <cellStyle name="Normal 12 4 4 2 3 3 2" xfId="25919" xr:uid="{00000000-0005-0000-0000-0000B7620000}"/>
    <cellStyle name="Normal 12 4 4 2 3 3 2 2" xfId="53052" xr:uid="{00000000-0005-0000-0000-0000B8620000}"/>
    <cellStyle name="Normal 12 4 4 2 3 3 3" xfId="39490" xr:uid="{00000000-0005-0000-0000-0000B9620000}"/>
    <cellStyle name="Normal 12 4 4 2 3 4" xfId="19138" xr:uid="{00000000-0005-0000-0000-0000BA620000}"/>
    <cellStyle name="Normal 12 4 4 2 3 4 2" xfId="46271" xr:uid="{00000000-0005-0000-0000-0000BB620000}"/>
    <cellStyle name="Normal 12 4 4 2 3 5" xfId="32709" xr:uid="{00000000-0005-0000-0000-0000BC620000}"/>
    <cellStyle name="Normal 12 4 4 2 4" xfId="8948" xr:uid="{00000000-0005-0000-0000-0000BD620000}"/>
    <cellStyle name="Normal 12 4 4 2 4 2" xfId="15738" xr:uid="{00000000-0005-0000-0000-0000BE620000}"/>
    <cellStyle name="Normal 12 4 4 2 4 2 2" xfId="29306" xr:uid="{00000000-0005-0000-0000-0000BF620000}"/>
    <cellStyle name="Normal 12 4 4 2 4 2 2 2" xfId="56439" xr:uid="{00000000-0005-0000-0000-0000C0620000}"/>
    <cellStyle name="Normal 12 4 4 2 4 2 3" xfId="42877" xr:uid="{00000000-0005-0000-0000-0000C1620000}"/>
    <cellStyle name="Normal 12 4 4 2 4 3" xfId="22525" xr:uid="{00000000-0005-0000-0000-0000C2620000}"/>
    <cellStyle name="Normal 12 4 4 2 4 3 2" xfId="49658" xr:uid="{00000000-0005-0000-0000-0000C3620000}"/>
    <cellStyle name="Normal 12 4 4 2 4 4" xfId="36096" xr:uid="{00000000-0005-0000-0000-0000C4620000}"/>
    <cellStyle name="Normal 12 4 4 2 5" xfId="12349" xr:uid="{00000000-0005-0000-0000-0000C5620000}"/>
    <cellStyle name="Normal 12 4 4 2 5 2" xfId="25917" xr:uid="{00000000-0005-0000-0000-0000C6620000}"/>
    <cellStyle name="Normal 12 4 4 2 5 2 2" xfId="53050" xr:uid="{00000000-0005-0000-0000-0000C7620000}"/>
    <cellStyle name="Normal 12 4 4 2 5 3" xfId="39488" xr:uid="{00000000-0005-0000-0000-0000C8620000}"/>
    <cellStyle name="Normal 12 4 4 2 6" xfId="19136" xr:uid="{00000000-0005-0000-0000-0000C9620000}"/>
    <cellStyle name="Normal 12 4 4 2 6 2" xfId="46269" xr:uid="{00000000-0005-0000-0000-0000CA620000}"/>
    <cellStyle name="Normal 12 4 4 2 7" xfId="32707" xr:uid="{00000000-0005-0000-0000-0000CB620000}"/>
    <cellStyle name="Normal 12 4 4 3" xfId="5402" xr:uid="{00000000-0005-0000-0000-0000CC620000}"/>
    <cellStyle name="Normal 12 4 4 3 2" xfId="8951" xr:uid="{00000000-0005-0000-0000-0000CD620000}"/>
    <cellStyle name="Normal 12 4 4 3 2 2" xfId="15741" xr:uid="{00000000-0005-0000-0000-0000CE620000}"/>
    <cellStyle name="Normal 12 4 4 3 2 2 2" xfId="29309" xr:uid="{00000000-0005-0000-0000-0000CF620000}"/>
    <cellStyle name="Normal 12 4 4 3 2 2 2 2" xfId="56442" xr:uid="{00000000-0005-0000-0000-0000D0620000}"/>
    <cellStyle name="Normal 12 4 4 3 2 2 3" xfId="42880" xr:uid="{00000000-0005-0000-0000-0000D1620000}"/>
    <cellStyle name="Normal 12 4 4 3 2 3" xfId="22528" xr:uid="{00000000-0005-0000-0000-0000D2620000}"/>
    <cellStyle name="Normal 12 4 4 3 2 3 2" xfId="49661" xr:uid="{00000000-0005-0000-0000-0000D3620000}"/>
    <cellStyle name="Normal 12 4 4 3 2 4" xfId="36099" xr:uid="{00000000-0005-0000-0000-0000D4620000}"/>
    <cellStyle name="Normal 12 4 4 3 3" xfId="12352" xr:uid="{00000000-0005-0000-0000-0000D5620000}"/>
    <cellStyle name="Normal 12 4 4 3 3 2" xfId="25920" xr:uid="{00000000-0005-0000-0000-0000D6620000}"/>
    <cellStyle name="Normal 12 4 4 3 3 2 2" xfId="53053" xr:uid="{00000000-0005-0000-0000-0000D7620000}"/>
    <cellStyle name="Normal 12 4 4 3 3 3" xfId="39491" xr:uid="{00000000-0005-0000-0000-0000D8620000}"/>
    <cellStyle name="Normal 12 4 4 3 4" xfId="19139" xr:uid="{00000000-0005-0000-0000-0000D9620000}"/>
    <cellStyle name="Normal 12 4 4 3 4 2" xfId="46272" xr:uid="{00000000-0005-0000-0000-0000DA620000}"/>
    <cellStyle name="Normal 12 4 4 3 5" xfId="32710" xr:uid="{00000000-0005-0000-0000-0000DB620000}"/>
    <cellStyle name="Normal 12 4 4 4" xfId="5403" xr:uid="{00000000-0005-0000-0000-0000DC620000}"/>
    <cellStyle name="Normal 12 4 4 4 2" xfId="8952" xr:uid="{00000000-0005-0000-0000-0000DD620000}"/>
    <cellStyle name="Normal 12 4 4 4 2 2" xfId="15742" xr:uid="{00000000-0005-0000-0000-0000DE620000}"/>
    <cellStyle name="Normal 12 4 4 4 2 2 2" xfId="29310" xr:uid="{00000000-0005-0000-0000-0000DF620000}"/>
    <cellStyle name="Normal 12 4 4 4 2 2 2 2" xfId="56443" xr:uid="{00000000-0005-0000-0000-0000E0620000}"/>
    <cellStyle name="Normal 12 4 4 4 2 2 3" xfId="42881" xr:uid="{00000000-0005-0000-0000-0000E1620000}"/>
    <cellStyle name="Normal 12 4 4 4 2 3" xfId="22529" xr:uid="{00000000-0005-0000-0000-0000E2620000}"/>
    <cellStyle name="Normal 12 4 4 4 2 3 2" xfId="49662" xr:uid="{00000000-0005-0000-0000-0000E3620000}"/>
    <cellStyle name="Normal 12 4 4 4 2 4" xfId="36100" xr:uid="{00000000-0005-0000-0000-0000E4620000}"/>
    <cellStyle name="Normal 12 4 4 4 3" xfId="12353" xr:uid="{00000000-0005-0000-0000-0000E5620000}"/>
    <cellStyle name="Normal 12 4 4 4 3 2" xfId="25921" xr:uid="{00000000-0005-0000-0000-0000E6620000}"/>
    <cellStyle name="Normal 12 4 4 4 3 2 2" xfId="53054" xr:uid="{00000000-0005-0000-0000-0000E7620000}"/>
    <cellStyle name="Normal 12 4 4 4 3 3" xfId="39492" xr:uid="{00000000-0005-0000-0000-0000E8620000}"/>
    <cellStyle name="Normal 12 4 4 4 4" xfId="19140" xr:uid="{00000000-0005-0000-0000-0000E9620000}"/>
    <cellStyle name="Normal 12 4 4 4 4 2" xfId="46273" xr:uid="{00000000-0005-0000-0000-0000EA620000}"/>
    <cellStyle name="Normal 12 4 4 4 5" xfId="32711" xr:uid="{00000000-0005-0000-0000-0000EB620000}"/>
    <cellStyle name="Normal 12 4 4 5" xfId="8947" xr:uid="{00000000-0005-0000-0000-0000EC620000}"/>
    <cellStyle name="Normal 12 4 4 5 2" xfId="15737" xr:uid="{00000000-0005-0000-0000-0000ED620000}"/>
    <cellStyle name="Normal 12 4 4 5 2 2" xfId="29305" xr:uid="{00000000-0005-0000-0000-0000EE620000}"/>
    <cellStyle name="Normal 12 4 4 5 2 2 2" xfId="56438" xr:uid="{00000000-0005-0000-0000-0000EF620000}"/>
    <cellStyle name="Normal 12 4 4 5 2 3" xfId="42876" xr:uid="{00000000-0005-0000-0000-0000F0620000}"/>
    <cellStyle name="Normal 12 4 4 5 3" xfId="22524" xr:uid="{00000000-0005-0000-0000-0000F1620000}"/>
    <cellStyle name="Normal 12 4 4 5 3 2" xfId="49657" xr:uid="{00000000-0005-0000-0000-0000F2620000}"/>
    <cellStyle name="Normal 12 4 4 5 4" xfId="36095" xr:uid="{00000000-0005-0000-0000-0000F3620000}"/>
    <cellStyle name="Normal 12 4 4 6" xfId="12348" xr:uid="{00000000-0005-0000-0000-0000F4620000}"/>
    <cellStyle name="Normal 12 4 4 6 2" xfId="25916" xr:uid="{00000000-0005-0000-0000-0000F5620000}"/>
    <cellStyle name="Normal 12 4 4 6 2 2" xfId="53049" xr:uid="{00000000-0005-0000-0000-0000F6620000}"/>
    <cellStyle name="Normal 12 4 4 6 3" xfId="39487" xr:uid="{00000000-0005-0000-0000-0000F7620000}"/>
    <cellStyle name="Normal 12 4 4 7" xfId="19135" xr:uid="{00000000-0005-0000-0000-0000F8620000}"/>
    <cellStyle name="Normal 12 4 4 7 2" xfId="46268" xr:uid="{00000000-0005-0000-0000-0000F9620000}"/>
    <cellStyle name="Normal 12 4 4 8" xfId="32706" xr:uid="{00000000-0005-0000-0000-0000FA620000}"/>
    <cellStyle name="Normal 12 4 5" xfId="5404" xr:uid="{00000000-0005-0000-0000-0000FB620000}"/>
    <cellStyle name="Normal 12 4 5 2" xfId="5405" xr:uid="{00000000-0005-0000-0000-0000FC620000}"/>
    <cellStyle name="Normal 12 4 5 2 2" xfId="5406" xr:uid="{00000000-0005-0000-0000-0000FD620000}"/>
    <cellStyle name="Normal 12 4 5 2 2 2" xfId="8955" xr:uid="{00000000-0005-0000-0000-0000FE620000}"/>
    <cellStyle name="Normal 12 4 5 2 2 2 2" xfId="15745" xr:uid="{00000000-0005-0000-0000-0000FF620000}"/>
    <cellStyle name="Normal 12 4 5 2 2 2 2 2" xfId="29313" xr:uid="{00000000-0005-0000-0000-000000630000}"/>
    <cellStyle name="Normal 12 4 5 2 2 2 2 2 2" xfId="56446" xr:uid="{00000000-0005-0000-0000-000001630000}"/>
    <cellStyle name="Normal 12 4 5 2 2 2 2 3" xfId="42884" xr:uid="{00000000-0005-0000-0000-000002630000}"/>
    <cellStyle name="Normal 12 4 5 2 2 2 3" xfId="22532" xr:uid="{00000000-0005-0000-0000-000003630000}"/>
    <cellStyle name="Normal 12 4 5 2 2 2 3 2" xfId="49665" xr:uid="{00000000-0005-0000-0000-000004630000}"/>
    <cellStyle name="Normal 12 4 5 2 2 2 4" xfId="36103" xr:uid="{00000000-0005-0000-0000-000005630000}"/>
    <cellStyle name="Normal 12 4 5 2 2 3" xfId="12356" xr:uid="{00000000-0005-0000-0000-000006630000}"/>
    <cellStyle name="Normal 12 4 5 2 2 3 2" xfId="25924" xr:uid="{00000000-0005-0000-0000-000007630000}"/>
    <cellStyle name="Normal 12 4 5 2 2 3 2 2" xfId="53057" xr:uid="{00000000-0005-0000-0000-000008630000}"/>
    <cellStyle name="Normal 12 4 5 2 2 3 3" xfId="39495" xr:uid="{00000000-0005-0000-0000-000009630000}"/>
    <cellStyle name="Normal 12 4 5 2 2 4" xfId="19143" xr:uid="{00000000-0005-0000-0000-00000A630000}"/>
    <cellStyle name="Normal 12 4 5 2 2 4 2" xfId="46276" xr:uid="{00000000-0005-0000-0000-00000B630000}"/>
    <cellStyle name="Normal 12 4 5 2 2 5" xfId="32714" xr:uid="{00000000-0005-0000-0000-00000C630000}"/>
    <cellStyle name="Normal 12 4 5 2 3" xfId="5407" xr:uid="{00000000-0005-0000-0000-00000D630000}"/>
    <cellStyle name="Normal 12 4 5 2 3 2" xfId="8956" xr:uid="{00000000-0005-0000-0000-00000E630000}"/>
    <cellStyle name="Normal 12 4 5 2 3 2 2" xfId="15746" xr:uid="{00000000-0005-0000-0000-00000F630000}"/>
    <cellStyle name="Normal 12 4 5 2 3 2 2 2" xfId="29314" xr:uid="{00000000-0005-0000-0000-000010630000}"/>
    <cellStyle name="Normal 12 4 5 2 3 2 2 2 2" xfId="56447" xr:uid="{00000000-0005-0000-0000-000011630000}"/>
    <cellStyle name="Normal 12 4 5 2 3 2 2 3" xfId="42885" xr:uid="{00000000-0005-0000-0000-000012630000}"/>
    <cellStyle name="Normal 12 4 5 2 3 2 3" xfId="22533" xr:uid="{00000000-0005-0000-0000-000013630000}"/>
    <cellStyle name="Normal 12 4 5 2 3 2 3 2" xfId="49666" xr:uid="{00000000-0005-0000-0000-000014630000}"/>
    <cellStyle name="Normal 12 4 5 2 3 2 4" xfId="36104" xr:uid="{00000000-0005-0000-0000-000015630000}"/>
    <cellStyle name="Normal 12 4 5 2 3 3" xfId="12357" xr:uid="{00000000-0005-0000-0000-000016630000}"/>
    <cellStyle name="Normal 12 4 5 2 3 3 2" xfId="25925" xr:uid="{00000000-0005-0000-0000-000017630000}"/>
    <cellStyle name="Normal 12 4 5 2 3 3 2 2" xfId="53058" xr:uid="{00000000-0005-0000-0000-000018630000}"/>
    <cellStyle name="Normal 12 4 5 2 3 3 3" xfId="39496" xr:uid="{00000000-0005-0000-0000-000019630000}"/>
    <cellStyle name="Normal 12 4 5 2 3 4" xfId="19144" xr:uid="{00000000-0005-0000-0000-00001A630000}"/>
    <cellStyle name="Normal 12 4 5 2 3 4 2" xfId="46277" xr:uid="{00000000-0005-0000-0000-00001B630000}"/>
    <cellStyle name="Normal 12 4 5 2 3 5" xfId="32715" xr:uid="{00000000-0005-0000-0000-00001C630000}"/>
    <cellStyle name="Normal 12 4 5 2 4" xfId="8954" xr:uid="{00000000-0005-0000-0000-00001D630000}"/>
    <cellStyle name="Normal 12 4 5 2 4 2" xfId="15744" xr:uid="{00000000-0005-0000-0000-00001E630000}"/>
    <cellStyle name="Normal 12 4 5 2 4 2 2" xfId="29312" xr:uid="{00000000-0005-0000-0000-00001F630000}"/>
    <cellStyle name="Normal 12 4 5 2 4 2 2 2" xfId="56445" xr:uid="{00000000-0005-0000-0000-000020630000}"/>
    <cellStyle name="Normal 12 4 5 2 4 2 3" xfId="42883" xr:uid="{00000000-0005-0000-0000-000021630000}"/>
    <cellStyle name="Normal 12 4 5 2 4 3" xfId="22531" xr:uid="{00000000-0005-0000-0000-000022630000}"/>
    <cellStyle name="Normal 12 4 5 2 4 3 2" xfId="49664" xr:uid="{00000000-0005-0000-0000-000023630000}"/>
    <cellStyle name="Normal 12 4 5 2 4 4" xfId="36102" xr:uid="{00000000-0005-0000-0000-000024630000}"/>
    <cellStyle name="Normal 12 4 5 2 5" xfId="12355" xr:uid="{00000000-0005-0000-0000-000025630000}"/>
    <cellStyle name="Normal 12 4 5 2 5 2" xfId="25923" xr:uid="{00000000-0005-0000-0000-000026630000}"/>
    <cellStyle name="Normal 12 4 5 2 5 2 2" xfId="53056" xr:uid="{00000000-0005-0000-0000-000027630000}"/>
    <cellStyle name="Normal 12 4 5 2 5 3" xfId="39494" xr:uid="{00000000-0005-0000-0000-000028630000}"/>
    <cellStyle name="Normal 12 4 5 2 6" xfId="19142" xr:uid="{00000000-0005-0000-0000-000029630000}"/>
    <cellStyle name="Normal 12 4 5 2 6 2" xfId="46275" xr:uid="{00000000-0005-0000-0000-00002A630000}"/>
    <cellStyle name="Normal 12 4 5 2 7" xfId="32713" xr:uid="{00000000-0005-0000-0000-00002B630000}"/>
    <cellStyle name="Normal 12 4 5 3" xfId="5408" xr:uid="{00000000-0005-0000-0000-00002C630000}"/>
    <cellStyle name="Normal 12 4 5 3 2" xfId="8957" xr:uid="{00000000-0005-0000-0000-00002D630000}"/>
    <cellStyle name="Normal 12 4 5 3 2 2" xfId="15747" xr:uid="{00000000-0005-0000-0000-00002E630000}"/>
    <cellStyle name="Normal 12 4 5 3 2 2 2" xfId="29315" xr:uid="{00000000-0005-0000-0000-00002F630000}"/>
    <cellStyle name="Normal 12 4 5 3 2 2 2 2" xfId="56448" xr:uid="{00000000-0005-0000-0000-000030630000}"/>
    <cellStyle name="Normal 12 4 5 3 2 2 3" xfId="42886" xr:uid="{00000000-0005-0000-0000-000031630000}"/>
    <cellStyle name="Normal 12 4 5 3 2 3" xfId="22534" xr:uid="{00000000-0005-0000-0000-000032630000}"/>
    <cellStyle name="Normal 12 4 5 3 2 3 2" xfId="49667" xr:uid="{00000000-0005-0000-0000-000033630000}"/>
    <cellStyle name="Normal 12 4 5 3 2 4" xfId="36105" xr:uid="{00000000-0005-0000-0000-000034630000}"/>
    <cellStyle name="Normal 12 4 5 3 3" xfId="12358" xr:uid="{00000000-0005-0000-0000-000035630000}"/>
    <cellStyle name="Normal 12 4 5 3 3 2" xfId="25926" xr:uid="{00000000-0005-0000-0000-000036630000}"/>
    <cellStyle name="Normal 12 4 5 3 3 2 2" xfId="53059" xr:uid="{00000000-0005-0000-0000-000037630000}"/>
    <cellStyle name="Normal 12 4 5 3 3 3" xfId="39497" xr:uid="{00000000-0005-0000-0000-000038630000}"/>
    <cellStyle name="Normal 12 4 5 3 4" xfId="19145" xr:uid="{00000000-0005-0000-0000-000039630000}"/>
    <cellStyle name="Normal 12 4 5 3 4 2" xfId="46278" xr:uid="{00000000-0005-0000-0000-00003A630000}"/>
    <cellStyle name="Normal 12 4 5 3 5" xfId="32716" xr:uid="{00000000-0005-0000-0000-00003B630000}"/>
    <cellStyle name="Normal 12 4 5 4" xfId="5409" xr:uid="{00000000-0005-0000-0000-00003C630000}"/>
    <cellStyle name="Normal 12 4 5 4 2" xfId="8958" xr:uid="{00000000-0005-0000-0000-00003D630000}"/>
    <cellStyle name="Normal 12 4 5 4 2 2" xfId="15748" xr:uid="{00000000-0005-0000-0000-00003E630000}"/>
    <cellStyle name="Normal 12 4 5 4 2 2 2" xfId="29316" xr:uid="{00000000-0005-0000-0000-00003F630000}"/>
    <cellStyle name="Normal 12 4 5 4 2 2 2 2" xfId="56449" xr:uid="{00000000-0005-0000-0000-000040630000}"/>
    <cellStyle name="Normal 12 4 5 4 2 2 3" xfId="42887" xr:uid="{00000000-0005-0000-0000-000041630000}"/>
    <cellStyle name="Normal 12 4 5 4 2 3" xfId="22535" xr:uid="{00000000-0005-0000-0000-000042630000}"/>
    <cellStyle name="Normal 12 4 5 4 2 3 2" xfId="49668" xr:uid="{00000000-0005-0000-0000-000043630000}"/>
    <cellStyle name="Normal 12 4 5 4 2 4" xfId="36106" xr:uid="{00000000-0005-0000-0000-000044630000}"/>
    <cellStyle name="Normal 12 4 5 4 3" xfId="12359" xr:uid="{00000000-0005-0000-0000-000045630000}"/>
    <cellStyle name="Normal 12 4 5 4 3 2" xfId="25927" xr:uid="{00000000-0005-0000-0000-000046630000}"/>
    <cellStyle name="Normal 12 4 5 4 3 2 2" xfId="53060" xr:uid="{00000000-0005-0000-0000-000047630000}"/>
    <cellStyle name="Normal 12 4 5 4 3 3" xfId="39498" xr:uid="{00000000-0005-0000-0000-000048630000}"/>
    <cellStyle name="Normal 12 4 5 4 4" xfId="19146" xr:uid="{00000000-0005-0000-0000-000049630000}"/>
    <cellStyle name="Normal 12 4 5 4 4 2" xfId="46279" xr:uid="{00000000-0005-0000-0000-00004A630000}"/>
    <cellStyle name="Normal 12 4 5 4 5" xfId="32717" xr:uid="{00000000-0005-0000-0000-00004B630000}"/>
    <cellStyle name="Normal 12 4 5 5" xfId="8953" xr:uid="{00000000-0005-0000-0000-00004C630000}"/>
    <cellStyle name="Normal 12 4 5 5 2" xfId="15743" xr:uid="{00000000-0005-0000-0000-00004D630000}"/>
    <cellStyle name="Normal 12 4 5 5 2 2" xfId="29311" xr:uid="{00000000-0005-0000-0000-00004E630000}"/>
    <cellStyle name="Normal 12 4 5 5 2 2 2" xfId="56444" xr:uid="{00000000-0005-0000-0000-00004F630000}"/>
    <cellStyle name="Normal 12 4 5 5 2 3" xfId="42882" xr:uid="{00000000-0005-0000-0000-000050630000}"/>
    <cellStyle name="Normal 12 4 5 5 3" xfId="22530" xr:uid="{00000000-0005-0000-0000-000051630000}"/>
    <cellStyle name="Normal 12 4 5 5 3 2" xfId="49663" xr:uid="{00000000-0005-0000-0000-000052630000}"/>
    <cellStyle name="Normal 12 4 5 5 4" xfId="36101" xr:uid="{00000000-0005-0000-0000-000053630000}"/>
    <cellStyle name="Normal 12 4 5 6" xfId="12354" xr:uid="{00000000-0005-0000-0000-000054630000}"/>
    <cellStyle name="Normal 12 4 5 6 2" xfId="25922" xr:uid="{00000000-0005-0000-0000-000055630000}"/>
    <cellStyle name="Normal 12 4 5 6 2 2" xfId="53055" xr:uid="{00000000-0005-0000-0000-000056630000}"/>
    <cellStyle name="Normal 12 4 5 6 3" xfId="39493" xr:uid="{00000000-0005-0000-0000-000057630000}"/>
    <cellStyle name="Normal 12 4 5 7" xfId="19141" xr:uid="{00000000-0005-0000-0000-000058630000}"/>
    <cellStyle name="Normal 12 4 5 7 2" xfId="46274" xr:uid="{00000000-0005-0000-0000-000059630000}"/>
    <cellStyle name="Normal 12 4 5 8" xfId="32712" xr:uid="{00000000-0005-0000-0000-00005A630000}"/>
    <cellStyle name="Normal 12 4 6" xfId="5410" xr:uid="{00000000-0005-0000-0000-00005B630000}"/>
    <cellStyle name="Normal 12 4 6 2" xfId="5411" xr:uid="{00000000-0005-0000-0000-00005C630000}"/>
    <cellStyle name="Normal 12 4 6 2 2" xfId="8960" xr:uid="{00000000-0005-0000-0000-00005D630000}"/>
    <cellStyle name="Normal 12 4 6 2 2 2" xfId="15750" xr:uid="{00000000-0005-0000-0000-00005E630000}"/>
    <cellStyle name="Normal 12 4 6 2 2 2 2" xfId="29318" xr:uid="{00000000-0005-0000-0000-00005F630000}"/>
    <cellStyle name="Normal 12 4 6 2 2 2 2 2" xfId="56451" xr:uid="{00000000-0005-0000-0000-000060630000}"/>
    <cellStyle name="Normal 12 4 6 2 2 2 3" xfId="42889" xr:uid="{00000000-0005-0000-0000-000061630000}"/>
    <cellStyle name="Normal 12 4 6 2 2 3" xfId="22537" xr:uid="{00000000-0005-0000-0000-000062630000}"/>
    <cellStyle name="Normal 12 4 6 2 2 3 2" xfId="49670" xr:uid="{00000000-0005-0000-0000-000063630000}"/>
    <cellStyle name="Normal 12 4 6 2 2 4" xfId="36108" xr:uid="{00000000-0005-0000-0000-000064630000}"/>
    <cellStyle name="Normal 12 4 6 2 3" xfId="12361" xr:uid="{00000000-0005-0000-0000-000065630000}"/>
    <cellStyle name="Normal 12 4 6 2 3 2" xfId="25929" xr:uid="{00000000-0005-0000-0000-000066630000}"/>
    <cellStyle name="Normal 12 4 6 2 3 2 2" xfId="53062" xr:uid="{00000000-0005-0000-0000-000067630000}"/>
    <cellStyle name="Normal 12 4 6 2 3 3" xfId="39500" xr:uid="{00000000-0005-0000-0000-000068630000}"/>
    <cellStyle name="Normal 12 4 6 2 4" xfId="19148" xr:uid="{00000000-0005-0000-0000-000069630000}"/>
    <cellStyle name="Normal 12 4 6 2 4 2" xfId="46281" xr:uid="{00000000-0005-0000-0000-00006A630000}"/>
    <cellStyle name="Normal 12 4 6 2 5" xfId="32719" xr:uid="{00000000-0005-0000-0000-00006B630000}"/>
    <cellStyle name="Normal 12 4 6 3" xfId="5412" xr:uid="{00000000-0005-0000-0000-00006C630000}"/>
    <cellStyle name="Normal 12 4 6 3 2" xfId="8961" xr:uid="{00000000-0005-0000-0000-00006D630000}"/>
    <cellStyle name="Normal 12 4 6 3 2 2" xfId="15751" xr:uid="{00000000-0005-0000-0000-00006E630000}"/>
    <cellStyle name="Normal 12 4 6 3 2 2 2" xfId="29319" xr:uid="{00000000-0005-0000-0000-00006F630000}"/>
    <cellStyle name="Normal 12 4 6 3 2 2 2 2" xfId="56452" xr:uid="{00000000-0005-0000-0000-000070630000}"/>
    <cellStyle name="Normal 12 4 6 3 2 2 3" xfId="42890" xr:uid="{00000000-0005-0000-0000-000071630000}"/>
    <cellStyle name="Normal 12 4 6 3 2 3" xfId="22538" xr:uid="{00000000-0005-0000-0000-000072630000}"/>
    <cellStyle name="Normal 12 4 6 3 2 3 2" xfId="49671" xr:uid="{00000000-0005-0000-0000-000073630000}"/>
    <cellStyle name="Normal 12 4 6 3 2 4" xfId="36109" xr:uid="{00000000-0005-0000-0000-000074630000}"/>
    <cellStyle name="Normal 12 4 6 3 3" xfId="12362" xr:uid="{00000000-0005-0000-0000-000075630000}"/>
    <cellStyle name="Normal 12 4 6 3 3 2" xfId="25930" xr:uid="{00000000-0005-0000-0000-000076630000}"/>
    <cellStyle name="Normal 12 4 6 3 3 2 2" xfId="53063" xr:uid="{00000000-0005-0000-0000-000077630000}"/>
    <cellStyle name="Normal 12 4 6 3 3 3" xfId="39501" xr:uid="{00000000-0005-0000-0000-000078630000}"/>
    <cellStyle name="Normal 12 4 6 3 4" xfId="19149" xr:uid="{00000000-0005-0000-0000-000079630000}"/>
    <cellStyle name="Normal 12 4 6 3 4 2" xfId="46282" xr:uid="{00000000-0005-0000-0000-00007A630000}"/>
    <cellStyle name="Normal 12 4 6 3 5" xfId="32720" xr:uid="{00000000-0005-0000-0000-00007B630000}"/>
    <cellStyle name="Normal 12 4 6 4" xfId="8959" xr:uid="{00000000-0005-0000-0000-00007C630000}"/>
    <cellStyle name="Normal 12 4 6 4 2" xfId="15749" xr:uid="{00000000-0005-0000-0000-00007D630000}"/>
    <cellStyle name="Normal 12 4 6 4 2 2" xfId="29317" xr:uid="{00000000-0005-0000-0000-00007E630000}"/>
    <cellStyle name="Normal 12 4 6 4 2 2 2" xfId="56450" xr:uid="{00000000-0005-0000-0000-00007F630000}"/>
    <cellStyle name="Normal 12 4 6 4 2 3" xfId="42888" xr:uid="{00000000-0005-0000-0000-000080630000}"/>
    <cellStyle name="Normal 12 4 6 4 3" xfId="22536" xr:uid="{00000000-0005-0000-0000-000081630000}"/>
    <cellStyle name="Normal 12 4 6 4 3 2" xfId="49669" xr:uid="{00000000-0005-0000-0000-000082630000}"/>
    <cellStyle name="Normal 12 4 6 4 4" xfId="36107" xr:uid="{00000000-0005-0000-0000-000083630000}"/>
    <cellStyle name="Normal 12 4 6 5" xfId="12360" xr:uid="{00000000-0005-0000-0000-000084630000}"/>
    <cellStyle name="Normal 12 4 6 5 2" xfId="25928" xr:uid="{00000000-0005-0000-0000-000085630000}"/>
    <cellStyle name="Normal 12 4 6 5 2 2" xfId="53061" xr:uid="{00000000-0005-0000-0000-000086630000}"/>
    <cellStyle name="Normal 12 4 6 5 3" xfId="39499" xr:uid="{00000000-0005-0000-0000-000087630000}"/>
    <cellStyle name="Normal 12 4 6 6" xfId="19147" xr:uid="{00000000-0005-0000-0000-000088630000}"/>
    <cellStyle name="Normal 12 4 6 6 2" xfId="46280" xr:uid="{00000000-0005-0000-0000-000089630000}"/>
    <cellStyle name="Normal 12 4 6 7" xfId="32718" xr:uid="{00000000-0005-0000-0000-00008A630000}"/>
    <cellStyle name="Normal 12 4 7" xfId="5413" xr:uid="{00000000-0005-0000-0000-00008B630000}"/>
    <cellStyle name="Normal 12 4 7 2" xfId="5414" xr:uid="{00000000-0005-0000-0000-00008C630000}"/>
    <cellStyle name="Normal 12 4 7 2 2" xfId="8963" xr:uid="{00000000-0005-0000-0000-00008D630000}"/>
    <cellStyle name="Normal 12 4 7 2 2 2" xfId="15753" xr:uid="{00000000-0005-0000-0000-00008E630000}"/>
    <cellStyle name="Normal 12 4 7 2 2 2 2" xfId="29321" xr:uid="{00000000-0005-0000-0000-00008F630000}"/>
    <cellStyle name="Normal 12 4 7 2 2 2 2 2" xfId="56454" xr:uid="{00000000-0005-0000-0000-000090630000}"/>
    <cellStyle name="Normal 12 4 7 2 2 2 3" xfId="42892" xr:uid="{00000000-0005-0000-0000-000091630000}"/>
    <cellStyle name="Normal 12 4 7 2 2 3" xfId="22540" xr:uid="{00000000-0005-0000-0000-000092630000}"/>
    <cellStyle name="Normal 12 4 7 2 2 3 2" xfId="49673" xr:uid="{00000000-0005-0000-0000-000093630000}"/>
    <cellStyle name="Normal 12 4 7 2 2 4" xfId="36111" xr:uid="{00000000-0005-0000-0000-000094630000}"/>
    <cellStyle name="Normal 12 4 7 2 3" xfId="12364" xr:uid="{00000000-0005-0000-0000-000095630000}"/>
    <cellStyle name="Normal 12 4 7 2 3 2" xfId="25932" xr:uid="{00000000-0005-0000-0000-000096630000}"/>
    <cellStyle name="Normal 12 4 7 2 3 2 2" xfId="53065" xr:uid="{00000000-0005-0000-0000-000097630000}"/>
    <cellStyle name="Normal 12 4 7 2 3 3" xfId="39503" xr:uid="{00000000-0005-0000-0000-000098630000}"/>
    <cellStyle name="Normal 12 4 7 2 4" xfId="19151" xr:uid="{00000000-0005-0000-0000-000099630000}"/>
    <cellStyle name="Normal 12 4 7 2 4 2" xfId="46284" xr:uid="{00000000-0005-0000-0000-00009A630000}"/>
    <cellStyle name="Normal 12 4 7 2 5" xfId="32722" xr:uid="{00000000-0005-0000-0000-00009B630000}"/>
    <cellStyle name="Normal 12 4 7 3" xfId="8962" xr:uid="{00000000-0005-0000-0000-00009C630000}"/>
    <cellStyle name="Normal 12 4 7 3 2" xfId="15752" xr:uid="{00000000-0005-0000-0000-00009D630000}"/>
    <cellStyle name="Normal 12 4 7 3 2 2" xfId="29320" xr:uid="{00000000-0005-0000-0000-00009E630000}"/>
    <cellStyle name="Normal 12 4 7 3 2 2 2" xfId="56453" xr:uid="{00000000-0005-0000-0000-00009F630000}"/>
    <cellStyle name="Normal 12 4 7 3 2 3" xfId="42891" xr:uid="{00000000-0005-0000-0000-0000A0630000}"/>
    <cellStyle name="Normal 12 4 7 3 3" xfId="22539" xr:uid="{00000000-0005-0000-0000-0000A1630000}"/>
    <cellStyle name="Normal 12 4 7 3 3 2" xfId="49672" xr:uid="{00000000-0005-0000-0000-0000A2630000}"/>
    <cellStyle name="Normal 12 4 7 3 4" xfId="36110" xr:uid="{00000000-0005-0000-0000-0000A3630000}"/>
    <cellStyle name="Normal 12 4 7 4" xfId="12363" xr:uid="{00000000-0005-0000-0000-0000A4630000}"/>
    <cellStyle name="Normal 12 4 7 4 2" xfId="25931" xr:uid="{00000000-0005-0000-0000-0000A5630000}"/>
    <cellStyle name="Normal 12 4 7 4 2 2" xfId="53064" xr:uid="{00000000-0005-0000-0000-0000A6630000}"/>
    <cellStyle name="Normal 12 4 7 4 3" xfId="39502" xr:uid="{00000000-0005-0000-0000-0000A7630000}"/>
    <cellStyle name="Normal 12 4 7 5" xfId="19150" xr:uid="{00000000-0005-0000-0000-0000A8630000}"/>
    <cellStyle name="Normal 12 4 7 5 2" xfId="46283" xr:uid="{00000000-0005-0000-0000-0000A9630000}"/>
    <cellStyle name="Normal 12 4 7 6" xfId="32721" xr:uid="{00000000-0005-0000-0000-0000AA630000}"/>
    <cellStyle name="Normal 12 4 8" xfId="5415" xr:uid="{00000000-0005-0000-0000-0000AB630000}"/>
    <cellStyle name="Normal 12 4 8 2" xfId="8964" xr:uid="{00000000-0005-0000-0000-0000AC630000}"/>
    <cellStyle name="Normal 12 4 8 2 2" xfId="15754" xr:uid="{00000000-0005-0000-0000-0000AD630000}"/>
    <cellStyle name="Normal 12 4 8 2 2 2" xfId="29322" xr:uid="{00000000-0005-0000-0000-0000AE630000}"/>
    <cellStyle name="Normal 12 4 8 2 2 2 2" xfId="56455" xr:uid="{00000000-0005-0000-0000-0000AF630000}"/>
    <cellStyle name="Normal 12 4 8 2 2 3" xfId="42893" xr:uid="{00000000-0005-0000-0000-0000B0630000}"/>
    <cellStyle name="Normal 12 4 8 2 3" xfId="22541" xr:uid="{00000000-0005-0000-0000-0000B1630000}"/>
    <cellStyle name="Normal 12 4 8 2 3 2" xfId="49674" xr:uid="{00000000-0005-0000-0000-0000B2630000}"/>
    <cellStyle name="Normal 12 4 8 2 4" xfId="36112" xr:uid="{00000000-0005-0000-0000-0000B3630000}"/>
    <cellStyle name="Normal 12 4 8 3" xfId="12365" xr:uid="{00000000-0005-0000-0000-0000B4630000}"/>
    <cellStyle name="Normal 12 4 8 3 2" xfId="25933" xr:uid="{00000000-0005-0000-0000-0000B5630000}"/>
    <cellStyle name="Normal 12 4 8 3 2 2" xfId="53066" xr:uid="{00000000-0005-0000-0000-0000B6630000}"/>
    <cellStyle name="Normal 12 4 8 3 3" xfId="39504" xr:uid="{00000000-0005-0000-0000-0000B7630000}"/>
    <cellStyle name="Normal 12 4 8 4" xfId="19152" xr:uid="{00000000-0005-0000-0000-0000B8630000}"/>
    <cellStyle name="Normal 12 4 8 4 2" xfId="46285" xr:uid="{00000000-0005-0000-0000-0000B9630000}"/>
    <cellStyle name="Normal 12 4 8 5" xfId="32723" xr:uid="{00000000-0005-0000-0000-0000BA630000}"/>
    <cellStyle name="Normal 12 4 9" xfId="5416" xr:uid="{00000000-0005-0000-0000-0000BB630000}"/>
    <cellStyle name="Normal 12 4 9 2" xfId="8965" xr:uid="{00000000-0005-0000-0000-0000BC630000}"/>
    <cellStyle name="Normal 12 4 9 2 2" xfId="15755" xr:uid="{00000000-0005-0000-0000-0000BD630000}"/>
    <cellStyle name="Normal 12 4 9 2 2 2" xfId="29323" xr:uid="{00000000-0005-0000-0000-0000BE630000}"/>
    <cellStyle name="Normal 12 4 9 2 2 2 2" xfId="56456" xr:uid="{00000000-0005-0000-0000-0000BF630000}"/>
    <cellStyle name="Normal 12 4 9 2 2 3" xfId="42894" xr:uid="{00000000-0005-0000-0000-0000C0630000}"/>
    <cellStyle name="Normal 12 4 9 2 3" xfId="22542" xr:uid="{00000000-0005-0000-0000-0000C1630000}"/>
    <cellStyle name="Normal 12 4 9 2 3 2" xfId="49675" xr:uid="{00000000-0005-0000-0000-0000C2630000}"/>
    <cellStyle name="Normal 12 4 9 2 4" xfId="36113" xr:uid="{00000000-0005-0000-0000-0000C3630000}"/>
    <cellStyle name="Normal 12 4 9 3" xfId="12366" xr:uid="{00000000-0005-0000-0000-0000C4630000}"/>
    <cellStyle name="Normal 12 4 9 3 2" xfId="25934" xr:uid="{00000000-0005-0000-0000-0000C5630000}"/>
    <cellStyle name="Normal 12 4 9 3 2 2" xfId="53067" xr:uid="{00000000-0005-0000-0000-0000C6630000}"/>
    <cellStyle name="Normal 12 4 9 3 3" xfId="39505" xr:uid="{00000000-0005-0000-0000-0000C7630000}"/>
    <cellStyle name="Normal 12 4 9 4" xfId="19153" xr:uid="{00000000-0005-0000-0000-0000C8630000}"/>
    <cellStyle name="Normal 12 4 9 4 2" xfId="46286" xr:uid="{00000000-0005-0000-0000-0000C9630000}"/>
    <cellStyle name="Normal 12 4 9 5" xfId="32724" xr:uid="{00000000-0005-0000-0000-0000CA630000}"/>
    <cellStyle name="Normal 12 5" xfId="5417" xr:uid="{00000000-0005-0000-0000-0000CB630000}"/>
    <cellStyle name="Normal 12 5 10" xfId="32725" xr:uid="{00000000-0005-0000-0000-0000CC630000}"/>
    <cellStyle name="Normal 12 5 2" xfId="5418" xr:uid="{00000000-0005-0000-0000-0000CD630000}"/>
    <cellStyle name="Normal 12 5 2 2" xfId="5419" xr:uid="{00000000-0005-0000-0000-0000CE630000}"/>
    <cellStyle name="Normal 12 5 2 2 2" xfId="5420" xr:uid="{00000000-0005-0000-0000-0000CF630000}"/>
    <cellStyle name="Normal 12 5 2 2 2 2" xfId="8969" xr:uid="{00000000-0005-0000-0000-0000D0630000}"/>
    <cellStyle name="Normal 12 5 2 2 2 2 2" xfId="15759" xr:uid="{00000000-0005-0000-0000-0000D1630000}"/>
    <cellStyle name="Normal 12 5 2 2 2 2 2 2" xfId="29327" xr:uid="{00000000-0005-0000-0000-0000D2630000}"/>
    <cellStyle name="Normal 12 5 2 2 2 2 2 2 2" xfId="56460" xr:uid="{00000000-0005-0000-0000-0000D3630000}"/>
    <cellStyle name="Normal 12 5 2 2 2 2 2 3" xfId="42898" xr:uid="{00000000-0005-0000-0000-0000D4630000}"/>
    <cellStyle name="Normal 12 5 2 2 2 2 3" xfId="22546" xr:uid="{00000000-0005-0000-0000-0000D5630000}"/>
    <cellStyle name="Normal 12 5 2 2 2 2 3 2" xfId="49679" xr:uid="{00000000-0005-0000-0000-0000D6630000}"/>
    <cellStyle name="Normal 12 5 2 2 2 2 4" xfId="36117" xr:uid="{00000000-0005-0000-0000-0000D7630000}"/>
    <cellStyle name="Normal 12 5 2 2 2 3" xfId="12370" xr:uid="{00000000-0005-0000-0000-0000D8630000}"/>
    <cellStyle name="Normal 12 5 2 2 2 3 2" xfId="25938" xr:uid="{00000000-0005-0000-0000-0000D9630000}"/>
    <cellStyle name="Normal 12 5 2 2 2 3 2 2" xfId="53071" xr:uid="{00000000-0005-0000-0000-0000DA630000}"/>
    <cellStyle name="Normal 12 5 2 2 2 3 3" xfId="39509" xr:uid="{00000000-0005-0000-0000-0000DB630000}"/>
    <cellStyle name="Normal 12 5 2 2 2 4" xfId="19157" xr:uid="{00000000-0005-0000-0000-0000DC630000}"/>
    <cellStyle name="Normal 12 5 2 2 2 4 2" xfId="46290" xr:uid="{00000000-0005-0000-0000-0000DD630000}"/>
    <cellStyle name="Normal 12 5 2 2 2 5" xfId="32728" xr:uid="{00000000-0005-0000-0000-0000DE630000}"/>
    <cellStyle name="Normal 12 5 2 2 3" xfId="5421" xr:uid="{00000000-0005-0000-0000-0000DF630000}"/>
    <cellStyle name="Normal 12 5 2 2 3 2" xfId="8970" xr:uid="{00000000-0005-0000-0000-0000E0630000}"/>
    <cellStyle name="Normal 12 5 2 2 3 2 2" xfId="15760" xr:uid="{00000000-0005-0000-0000-0000E1630000}"/>
    <cellStyle name="Normal 12 5 2 2 3 2 2 2" xfId="29328" xr:uid="{00000000-0005-0000-0000-0000E2630000}"/>
    <cellStyle name="Normal 12 5 2 2 3 2 2 2 2" xfId="56461" xr:uid="{00000000-0005-0000-0000-0000E3630000}"/>
    <cellStyle name="Normal 12 5 2 2 3 2 2 3" xfId="42899" xr:uid="{00000000-0005-0000-0000-0000E4630000}"/>
    <cellStyle name="Normal 12 5 2 2 3 2 3" xfId="22547" xr:uid="{00000000-0005-0000-0000-0000E5630000}"/>
    <cellStyle name="Normal 12 5 2 2 3 2 3 2" xfId="49680" xr:uid="{00000000-0005-0000-0000-0000E6630000}"/>
    <cellStyle name="Normal 12 5 2 2 3 2 4" xfId="36118" xr:uid="{00000000-0005-0000-0000-0000E7630000}"/>
    <cellStyle name="Normal 12 5 2 2 3 3" xfId="12371" xr:uid="{00000000-0005-0000-0000-0000E8630000}"/>
    <cellStyle name="Normal 12 5 2 2 3 3 2" xfId="25939" xr:uid="{00000000-0005-0000-0000-0000E9630000}"/>
    <cellStyle name="Normal 12 5 2 2 3 3 2 2" xfId="53072" xr:uid="{00000000-0005-0000-0000-0000EA630000}"/>
    <cellStyle name="Normal 12 5 2 2 3 3 3" xfId="39510" xr:uid="{00000000-0005-0000-0000-0000EB630000}"/>
    <cellStyle name="Normal 12 5 2 2 3 4" xfId="19158" xr:uid="{00000000-0005-0000-0000-0000EC630000}"/>
    <cellStyle name="Normal 12 5 2 2 3 4 2" xfId="46291" xr:uid="{00000000-0005-0000-0000-0000ED630000}"/>
    <cellStyle name="Normal 12 5 2 2 3 5" xfId="32729" xr:uid="{00000000-0005-0000-0000-0000EE630000}"/>
    <cellStyle name="Normal 12 5 2 2 4" xfId="8968" xr:uid="{00000000-0005-0000-0000-0000EF630000}"/>
    <cellStyle name="Normal 12 5 2 2 4 2" xfId="15758" xr:uid="{00000000-0005-0000-0000-0000F0630000}"/>
    <cellStyle name="Normal 12 5 2 2 4 2 2" xfId="29326" xr:uid="{00000000-0005-0000-0000-0000F1630000}"/>
    <cellStyle name="Normal 12 5 2 2 4 2 2 2" xfId="56459" xr:uid="{00000000-0005-0000-0000-0000F2630000}"/>
    <cellStyle name="Normal 12 5 2 2 4 2 3" xfId="42897" xr:uid="{00000000-0005-0000-0000-0000F3630000}"/>
    <cellStyle name="Normal 12 5 2 2 4 3" xfId="22545" xr:uid="{00000000-0005-0000-0000-0000F4630000}"/>
    <cellStyle name="Normal 12 5 2 2 4 3 2" xfId="49678" xr:uid="{00000000-0005-0000-0000-0000F5630000}"/>
    <cellStyle name="Normal 12 5 2 2 4 4" xfId="36116" xr:uid="{00000000-0005-0000-0000-0000F6630000}"/>
    <cellStyle name="Normal 12 5 2 2 5" xfId="12369" xr:uid="{00000000-0005-0000-0000-0000F7630000}"/>
    <cellStyle name="Normal 12 5 2 2 5 2" xfId="25937" xr:uid="{00000000-0005-0000-0000-0000F8630000}"/>
    <cellStyle name="Normal 12 5 2 2 5 2 2" xfId="53070" xr:uid="{00000000-0005-0000-0000-0000F9630000}"/>
    <cellStyle name="Normal 12 5 2 2 5 3" xfId="39508" xr:uid="{00000000-0005-0000-0000-0000FA630000}"/>
    <cellStyle name="Normal 12 5 2 2 6" xfId="19156" xr:uid="{00000000-0005-0000-0000-0000FB630000}"/>
    <cellStyle name="Normal 12 5 2 2 6 2" xfId="46289" xr:uid="{00000000-0005-0000-0000-0000FC630000}"/>
    <cellStyle name="Normal 12 5 2 2 7" xfId="32727" xr:uid="{00000000-0005-0000-0000-0000FD630000}"/>
    <cellStyle name="Normal 12 5 2 3" xfId="5422" xr:uid="{00000000-0005-0000-0000-0000FE630000}"/>
    <cellStyle name="Normal 12 5 2 3 2" xfId="5423" xr:uid="{00000000-0005-0000-0000-0000FF630000}"/>
    <cellStyle name="Normal 12 5 2 3 2 2" xfId="8972" xr:uid="{00000000-0005-0000-0000-000000640000}"/>
    <cellStyle name="Normal 12 5 2 3 2 2 2" xfId="15762" xr:uid="{00000000-0005-0000-0000-000001640000}"/>
    <cellStyle name="Normal 12 5 2 3 2 2 2 2" xfId="29330" xr:uid="{00000000-0005-0000-0000-000002640000}"/>
    <cellStyle name="Normal 12 5 2 3 2 2 2 2 2" xfId="56463" xr:uid="{00000000-0005-0000-0000-000003640000}"/>
    <cellStyle name="Normal 12 5 2 3 2 2 2 3" xfId="42901" xr:uid="{00000000-0005-0000-0000-000004640000}"/>
    <cellStyle name="Normal 12 5 2 3 2 2 3" xfId="22549" xr:uid="{00000000-0005-0000-0000-000005640000}"/>
    <cellStyle name="Normal 12 5 2 3 2 2 3 2" xfId="49682" xr:uid="{00000000-0005-0000-0000-000006640000}"/>
    <cellStyle name="Normal 12 5 2 3 2 2 4" xfId="36120" xr:uid="{00000000-0005-0000-0000-000007640000}"/>
    <cellStyle name="Normal 12 5 2 3 2 3" xfId="12373" xr:uid="{00000000-0005-0000-0000-000008640000}"/>
    <cellStyle name="Normal 12 5 2 3 2 3 2" xfId="25941" xr:uid="{00000000-0005-0000-0000-000009640000}"/>
    <cellStyle name="Normal 12 5 2 3 2 3 2 2" xfId="53074" xr:uid="{00000000-0005-0000-0000-00000A640000}"/>
    <cellStyle name="Normal 12 5 2 3 2 3 3" xfId="39512" xr:uid="{00000000-0005-0000-0000-00000B640000}"/>
    <cellStyle name="Normal 12 5 2 3 2 4" xfId="19160" xr:uid="{00000000-0005-0000-0000-00000C640000}"/>
    <cellStyle name="Normal 12 5 2 3 2 4 2" xfId="46293" xr:uid="{00000000-0005-0000-0000-00000D640000}"/>
    <cellStyle name="Normal 12 5 2 3 2 5" xfId="32731" xr:uid="{00000000-0005-0000-0000-00000E640000}"/>
    <cellStyle name="Normal 12 5 2 3 3" xfId="8971" xr:uid="{00000000-0005-0000-0000-00000F640000}"/>
    <cellStyle name="Normal 12 5 2 3 3 2" xfId="15761" xr:uid="{00000000-0005-0000-0000-000010640000}"/>
    <cellStyle name="Normal 12 5 2 3 3 2 2" xfId="29329" xr:uid="{00000000-0005-0000-0000-000011640000}"/>
    <cellStyle name="Normal 12 5 2 3 3 2 2 2" xfId="56462" xr:uid="{00000000-0005-0000-0000-000012640000}"/>
    <cellStyle name="Normal 12 5 2 3 3 2 3" xfId="42900" xr:uid="{00000000-0005-0000-0000-000013640000}"/>
    <cellStyle name="Normal 12 5 2 3 3 3" xfId="22548" xr:uid="{00000000-0005-0000-0000-000014640000}"/>
    <cellStyle name="Normal 12 5 2 3 3 3 2" xfId="49681" xr:uid="{00000000-0005-0000-0000-000015640000}"/>
    <cellStyle name="Normal 12 5 2 3 3 4" xfId="36119" xr:uid="{00000000-0005-0000-0000-000016640000}"/>
    <cellStyle name="Normal 12 5 2 3 4" xfId="12372" xr:uid="{00000000-0005-0000-0000-000017640000}"/>
    <cellStyle name="Normal 12 5 2 3 4 2" xfId="25940" xr:uid="{00000000-0005-0000-0000-000018640000}"/>
    <cellStyle name="Normal 12 5 2 3 4 2 2" xfId="53073" xr:uid="{00000000-0005-0000-0000-000019640000}"/>
    <cellStyle name="Normal 12 5 2 3 4 3" xfId="39511" xr:uid="{00000000-0005-0000-0000-00001A640000}"/>
    <cellStyle name="Normal 12 5 2 3 5" xfId="19159" xr:uid="{00000000-0005-0000-0000-00001B640000}"/>
    <cellStyle name="Normal 12 5 2 3 5 2" xfId="46292" xr:uid="{00000000-0005-0000-0000-00001C640000}"/>
    <cellStyle name="Normal 12 5 2 3 6" xfId="32730" xr:uid="{00000000-0005-0000-0000-00001D640000}"/>
    <cellStyle name="Normal 12 5 2 4" xfId="5424" xr:uid="{00000000-0005-0000-0000-00001E640000}"/>
    <cellStyle name="Normal 12 5 2 4 2" xfId="8973" xr:uid="{00000000-0005-0000-0000-00001F640000}"/>
    <cellStyle name="Normal 12 5 2 4 2 2" xfId="15763" xr:uid="{00000000-0005-0000-0000-000020640000}"/>
    <cellStyle name="Normal 12 5 2 4 2 2 2" xfId="29331" xr:uid="{00000000-0005-0000-0000-000021640000}"/>
    <cellStyle name="Normal 12 5 2 4 2 2 2 2" xfId="56464" xr:uid="{00000000-0005-0000-0000-000022640000}"/>
    <cellStyle name="Normal 12 5 2 4 2 2 3" xfId="42902" xr:uid="{00000000-0005-0000-0000-000023640000}"/>
    <cellStyle name="Normal 12 5 2 4 2 3" xfId="22550" xr:uid="{00000000-0005-0000-0000-000024640000}"/>
    <cellStyle name="Normal 12 5 2 4 2 3 2" xfId="49683" xr:uid="{00000000-0005-0000-0000-000025640000}"/>
    <cellStyle name="Normal 12 5 2 4 2 4" xfId="36121" xr:uid="{00000000-0005-0000-0000-000026640000}"/>
    <cellStyle name="Normal 12 5 2 4 3" xfId="12374" xr:uid="{00000000-0005-0000-0000-000027640000}"/>
    <cellStyle name="Normal 12 5 2 4 3 2" xfId="25942" xr:uid="{00000000-0005-0000-0000-000028640000}"/>
    <cellStyle name="Normal 12 5 2 4 3 2 2" xfId="53075" xr:uid="{00000000-0005-0000-0000-000029640000}"/>
    <cellStyle name="Normal 12 5 2 4 3 3" xfId="39513" xr:uid="{00000000-0005-0000-0000-00002A640000}"/>
    <cellStyle name="Normal 12 5 2 4 4" xfId="19161" xr:uid="{00000000-0005-0000-0000-00002B640000}"/>
    <cellStyle name="Normal 12 5 2 4 4 2" xfId="46294" xr:uid="{00000000-0005-0000-0000-00002C640000}"/>
    <cellStyle name="Normal 12 5 2 4 5" xfId="32732" xr:uid="{00000000-0005-0000-0000-00002D640000}"/>
    <cellStyle name="Normal 12 5 2 5" xfId="5425" xr:uid="{00000000-0005-0000-0000-00002E640000}"/>
    <cellStyle name="Normal 12 5 2 5 2" xfId="8974" xr:uid="{00000000-0005-0000-0000-00002F640000}"/>
    <cellStyle name="Normal 12 5 2 5 2 2" xfId="15764" xr:uid="{00000000-0005-0000-0000-000030640000}"/>
    <cellStyle name="Normal 12 5 2 5 2 2 2" xfId="29332" xr:uid="{00000000-0005-0000-0000-000031640000}"/>
    <cellStyle name="Normal 12 5 2 5 2 2 2 2" xfId="56465" xr:uid="{00000000-0005-0000-0000-000032640000}"/>
    <cellStyle name="Normal 12 5 2 5 2 2 3" xfId="42903" xr:uid="{00000000-0005-0000-0000-000033640000}"/>
    <cellStyle name="Normal 12 5 2 5 2 3" xfId="22551" xr:uid="{00000000-0005-0000-0000-000034640000}"/>
    <cellStyle name="Normal 12 5 2 5 2 3 2" xfId="49684" xr:uid="{00000000-0005-0000-0000-000035640000}"/>
    <cellStyle name="Normal 12 5 2 5 2 4" xfId="36122" xr:uid="{00000000-0005-0000-0000-000036640000}"/>
    <cellStyle name="Normal 12 5 2 5 3" xfId="12375" xr:uid="{00000000-0005-0000-0000-000037640000}"/>
    <cellStyle name="Normal 12 5 2 5 3 2" xfId="25943" xr:uid="{00000000-0005-0000-0000-000038640000}"/>
    <cellStyle name="Normal 12 5 2 5 3 2 2" xfId="53076" xr:uid="{00000000-0005-0000-0000-000039640000}"/>
    <cellStyle name="Normal 12 5 2 5 3 3" xfId="39514" xr:uid="{00000000-0005-0000-0000-00003A640000}"/>
    <cellStyle name="Normal 12 5 2 5 4" xfId="19162" xr:uid="{00000000-0005-0000-0000-00003B640000}"/>
    <cellStyle name="Normal 12 5 2 5 4 2" xfId="46295" xr:uid="{00000000-0005-0000-0000-00003C640000}"/>
    <cellStyle name="Normal 12 5 2 5 5" xfId="32733" xr:uid="{00000000-0005-0000-0000-00003D640000}"/>
    <cellStyle name="Normal 12 5 2 6" xfId="8967" xr:uid="{00000000-0005-0000-0000-00003E640000}"/>
    <cellStyle name="Normal 12 5 2 6 2" xfId="15757" xr:uid="{00000000-0005-0000-0000-00003F640000}"/>
    <cellStyle name="Normal 12 5 2 6 2 2" xfId="29325" xr:uid="{00000000-0005-0000-0000-000040640000}"/>
    <cellStyle name="Normal 12 5 2 6 2 2 2" xfId="56458" xr:uid="{00000000-0005-0000-0000-000041640000}"/>
    <cellStyle name="Normal 12 5 2 6 2 3" xfId="42896" xr:uid="{00000000-0005-0000-0000-000042640000}"/>
    <cellStyle name="Normal 12 5 2 6 3" xfId="22544" xr:uid="{00000000-0005-0000-0000-000043640000}"/>
    <cellStyle name="Normal 12 5 2 6 3 2" xfId="49677" xr:uid="{00000000-0005-0000-0000-000044640000}"/>
    <cellStyle name="Normal 12 5 2 6 4" xfId="36115" xr:uid="{00000000-0005-0000-0000-000045640000}"/>
    <cellStyle name="Normal 12 5 2 7" xfId="12368" xr:uid="{00000000-0005-0000-0000-000046640000}"/>
    <cellStyle name="Normal 12 5 2 7 2" xfId="25936" xr:uid="{00000000-0005-0000-0000-000047640000}"/>
    <cellStyle name="Normal 12 5 2 7 2 2" xfId="53069" xr:uid="{00000000-0005-0000-0000-000048640000}"/>
    <cellStyle name="Normal 12 5 2 7 3" xfId="39507" xr:uid="{00000000-0005-0000-0000-000049640000}"/>
    <cellStyle name="Normal 12 5 2 8" xfId="19155" xr:uid="{00000000-0005-0000-0000-00004A640000}"/>
    <cellStyle name="Normal 12 5 2 8 2" xfId="46288" xr:uid="{00000000-0005-0000-0000-00004B640000}"/>
    <cellStyle name="Normal 12 5 2 9" xfId="32726" xr:uid="{00000000-0005-0000-0000-00004C640000}"/>
    <cellStyle name="Normal 12 5 3" xfId="5426" xr:uid="{00000000-0005-0000-0000-00004D640000}"/>
    <cellStyle name="Normal 12 5 3 2" xfId="5427" xr:uid="{00000000-0005-0000-0000-00004E640000}"/>
    <cellStyle name="Normal 12 5 3 2 2" xfId="8976" xr:uid="{00000000-0005-0000-0000-00004F640000}"/>
    <cellStyle name="Normal 12 5 3 2 2 2" xfId="15766" xr:uid="{00000000-0005-0000-0000-000050640000}"/>
    <cellStyle name="Normal 12 5 3 2 2 2 2" xfId="29334" xr:uid="{00000000-0005-0000-0000-000051640000}"/>
    <cellStyle name="Normal 12 5 3 2 2 2 2 2" xfId="56467" xr:uid="{00000000-0005-0000-0000-000052640000}"/>
    <cellStyle name="Normal 12 5 3 2 2 2 3" xfId="42905" xr:uid="{00000000-0005-0000-0000-000053640000}"/>
    <cellStyle name="Normal 12 5 3 2 2 3" xfId="22553" xr:uid="{00000000-0005-0000-0000-000054640000}"/>
    <cellStyle name="Normal 12 5 3 2 2 3 2" xfId="49686" xr:uid="{00000000-0005-0000-0000-000055640000}"/>
    <cellStyle name="Normal 12 5 3 2 2 4" xfId="36124" xr:uid="{00000000-0005-0000-0000-000056640000}"/>
    <cellStyle name="Normal 12 5 3 2 3" xfId="12377" xr:uid="{00000000-0005-0000-0000-000057640000}"/>
    <cellStyle name="Normal 12 5 3 2 3 2" xfId="25945" xr:uid="{00000000-0005-0000-0000-000058640000}"/>
    <cellStyle name="Normal 12 5 3 2 3 2 2" xfId="53078" xr:uid="{00000000-0005-0000-0000-000059640000}"/>
    <cellStyle name="Normal 12 5 3 2 3 3" xfId="39516" xr:uid="{00000000-0005-0000-0000-00005A640000}"/>
    <cellStyle name="Normal 12 5 3 2 4" xfId="19164" xr:uid="{00000000-0005-0000-0000-00005B640000}"/>
    <cellStyle name="Normal 12 5 3 2 4 2" xfId="46297" xr:uid="{00000000-0005-0000-0000-00005C640000}"/>
    <cellStyle name="Normal 12 5 3 2 5" xfId="32735" xr:uid="{00000000-0005-0000-0000-00005D640000}"/>
    <cellStyle name="Normal 12 5 3 3" xfId="5428" xr:uid="{00000000-0005-0000-0000-00005E640000}"/>
    <cellStyle name="Normal 12 5 3 3 2" xfId="8977" xr:uid="{00000000-0005-0000-0000-00005F640000}"/>
    <cellStyle name="Normal 12 5 3 3 2 2" xfId="15767" xr:uid="{00000000-0005-0000-0000-000060640000}"/>
    <cellStyle name="Normal 12 5 3 3 2 2 2" xfId="29335" xr:uid="{00000000-0005-0000-0000-000061640000}"/>
    <cellStyle name="Normal 12 5 3 3 2 2 2 2" xfId="56468" xr:uid="{00000000-0005-0000-0000-000062640000}"/>
    <cellStyle name="Normal 12 5 3 3 2 2 3" xfId="42906" xr:uid="{00000000-0005-0000-0000-000063640000}"/>
    <cellStyle name="Normal 12 5 3 3 2 3" xfId="22554" xr:uid="{00000000-0005-0000-0000-000064640000}"/>
    <cellStyle name="Normal 12 5 3 3 2 3 2" xfId="49687" xr:uid="{00000000-0005-0000-0000-000065640000}"/>
    <cellStyle name="Normal 12 5 3 3 2 4" xfId="36125" xr:uid="{00000000-0005-0000-0000-000066640000}"/>
    <cellStyle name="Normal 12 5 3 3 3" xfId="12378" xr:uid="{00000000-0005-0000-0000-000067640000}"/>
    <cellStyle name="Normal 12 5 3 3 3 2" xfId="25946" xr:uid="{00000000-0005-0000-0000-000068640000}"/>
    <cellStyle name="Normal 12 5 3 3 3 2 2" xfId="53079" xr:uid="{00000000-0005-0000-0000-000069640000}"/>
    <cellStyle name="Normal 12 5 3 3 3 3" xfId="39517" xr:uid="{00000000-0005-0000-0000-00006A640000}"/>
    <cellStyle name="Normal 12 5 3 3 4" xfId="19165" xr:uid="{00000000-0005-0000-0000-00006B640000}"/>
    <cellStyle name="Normal 12 5 3 3 4 2" xfId="46298" xr:uid="{00000000-0005-0000-0000-00006C640000}"/>
    <cellStyle name="Normal 12 5 3 3 5" xfId="32736" xr:uid="{00000000-0005-0000-0000-00006D640000}"/>
    <cellStyle name="Normal 12 5 3 4" xfId="8975" xr:uid="{00000000-0005-0000-0000-00006E640000}"/>
    <cellStyle name="Normal 12 5 3 4 2" xfId="15765" xr:uid="{00000000-0005-0000-0000-00006F640000}"/>
    <cellStyle name="Normal 12 5 3 4 2 2" xfId="29333" xr:uid="{00000000-0005-0000-0000-000070640000}"/>
    <cellStyle name="Normal 12 5 3 4 2 2 2" xfId="56466" xr:uid="{00000000-0005-0000-0000-000071640000}"/>
    <cellStyle name="Normal 12 5 3 4 2 3" xfId="42904" xr:uid="{00000000-0005-0000-0000-000072640000}"/>
    <cellStyle name="Normal 12 5 3 4 3" xfId="22552" xr:uid="{00000000-0005-0000-0000-000073640000}"/>
    <cellStyle name="Normal 12 5 3 4 3 2" xfId="49685" xr:uid="{00000000-0005-0000-0000-000074640000}"/>
    <cellStyle name="Normal 12 5 3 4 4" xfId="36123" xr:uid="{00000000-0005-0000-0000-000075640000}"/>
    <cellStyle name="Normal 12 5 3 5" xfId="12376" xr:uid="{00000000-0005-0000-0000-000076640000}"/>
    <cellStyle name="Normal 12 5 3 5 2" xfId="25944" xr:uid="{00000000-0005-0000-0000-000077640000}"/>
    <cellStyle name="Normal 12 5 3 5 2 2" xfId="53077" xr:uid="{00000000-0005-0000-0000-000078640000}"/>
    <cellStyle name="Normal 12 5 3 5 3" xfId="39515" xr:uid="{00000000-0005-0000-0000-000079640000}"/>
    <cellStyle name="Normal 12 5 3 6" xfId="19163" xr:uid="{00000000-0005-0000-0000-00007A640000}"/>
    <cellStyle name="Normal 12 5 3 6 2" xfId="46296" xr:uid="{00000000-0005-0000-0000-00007B640000}"/>
    <cellStyle name="Normal 12 5 3 7" xfId="32734" xr:uid="{00000000-0005-0000-0000-00007C640000}"/>
    <cellStyle name="Normal 12 5 4" xfId="5429" xr:uid="{00000000-0005-0000-0000-00007D640000}"/>
    <cellStyle name="Normal 12 5 4 2" xfId="5430" xr:uid="{00000000-0005-0000-0000-00007E640000}"/>
    <cellStyle name="Normal 12 5 4 2 2" xfId="8979" xr:uid="{00000000-0005-0000-0000-00007F640000}"/>
    <cellStyle name="Normal 12 5 4 2 2 2" xfId="15769" xr:uid="{00000000-0005-0000-0000-000080640000}"/>
    <cellStyle name="Normal 12 5 4 2 2 2 2" xfId="29337" xr:uid="{00000000-0005-0000-0000-000081640000}"/>
    <cellStyle name="Normal 12 5 4 2 2 2 2 2" xfId="56470" xr:uid="{00000000-0005-0000-0000-000082640000}"/>
    <cellStyle name="Normal 12 5 4 2 2 2 3" xfId="42908" xr:uid="{00000000-0005-0000-0000-000083640000}"/>
    <cellStyle name="Normal 12 5 4 2 2 3" xfId="22556" xr:uid="{00000000-0005-0000-0000-000084640000}"/>
    <cellStyle name="Normal 12 5 4 2 2 3 2" xfId="49689" xr:uid="{00000000-0005-0000-0000-000085640000}"/>
    <cellStyle name="Normal 12 5 4 2 2 4" xfId="36127" xr:uid="{00000000-0005-0000-0000-000086640000}"/>
    <cellStyle name="Normal 12 5 4 2 3" xfId="12380" xr:uid="{00000000-0005-0000-0000-000087640000}"/>
    <cellStyle name="Normal 12 5 4 2 3 2" xfId="25948" xr:uid="{00000000-0005-0000-0000-000088640000}"/>
    <cellStyle name="Normal 12 5 4 2 3 2 2" xfId="53081" xr:uid="{00000000-0005-0000-0000-000089640000}"/>
    <cellStyle name="Normal 12 5 4 2 3 3" xfId="39519" xr:uid="{00000000-0005-0000-0000-00008A640000}"/>
    <cellStyle name="Normal 12 5 4 2 4" xfId="19167" xr:uid="{00000000-0005-0000-0000-00008B640000}"/>
    <cellStyle name="Normal 12 5 4 2 4 2" xfId="46300" xr:uid="{00000000-0005-0000-0000-00008C640000}"/>
    <cellStyle name="Normal 12 5 4 2 5" xfId="32738" xr:uid="{00000000-0005-0000-0000-00008D640000}"/>
    <cellStyle name="Normal 12 5 4 3" xfId="8978" xr:uid="{00000000-0005-0000-0000-00008E640000}"/>
    <cellStyle name="Normal 12 5 4 3 2" xfId="15768" xr:uid="{00000000-0005-0000-0000-00008F640000}"/>
    <cellStyle name="Normal 12 5 4 3 2 2" xfId="29336" xr:uid="{00000000-0005-0000-0000-000090640000}"/>
    <cellStyle name="Normal 12 5 4 3 2 2 2" xfId="56469" xr:uid="{00000000-0005-0000-0000-000091640000}"/>
    <cellStyle name="Normal 12 5 4 3 2 3" xfId="42907" xr:uid="{00000000-0005-0000-0000-000092640000}"/>
    <cellStyle name="Normal 12 5 4 3 3" xfId="22555" xr:uid="{00000000-0005-0000-0000-000093640000}"/>
    <cellStyle name="Normal 12 5 4 3 3 2" xfId="49688" xr:uid="{00000000-0005-0000-0000-000094640000}"/>
    <cellStyle name="Normal 12 5 4 3 4" xfId="36126" xr:uid="{00000000-0005-0000-0000-000095640000}"/>
    <cellStyle name="Normal 12 5 4 4" xfId="12379" xr:uid="{00000000-0005-0000-0000-000096640000}"/>
    <cellStyle name="Normal 12 5 4 4 2" xfId="25947" xr:uid="{00000000-0005-0000-0000-000097640000}"/>
    <cellStyle name="Normal 12 5 4 4 2 2" xfId="53080" xr:uid="{00000000-0005-0000-0000-000098640000}"/>
    <cellStyle name="Normal 12 5 4 4 3" xfId="39518" xr:uid="{00000000-0005-0000-0000-000099640000}"/>
    <cellStyle name="Normal 12 5 4 5" xfId="19166" xr:uid="{00000000-0005-0000-0000-00009A640000}"/>
    <cellStyle name="Normal 12 5 4 5 2" xfId="46299" xr:uid="{00000000-0005-0000-0000-00009B640000}"/>
    <cellStyle name="Normal 12 5 4 6" xfId="32737" xr:uid="{00000000-0005-0000-0000-00009C640000}"/>
    <cellStyle name="Normal 12 5 5" xfId="5431" xr:uid="{00000000-0005-0000-0000-00009D640000}"/>
    <cellStyle name="Normal 12 5 5 2" xfId="8980" xr:uid="{00000000-0005-0000-0000-00009E640000}"/>
    <cellStyle name="Normal 12 5 5 2 2" xfId="15770" xr:uid="{00000000-0005-0000-0000-00009F640000}"/>
    <cellStyle name="Normal 12 5 5 2 2 2" xfId="29338" xr:uid="{00000000-0005-0000-0000-0000A0640000}"/>
    <cellStyle name="Normal 12 5 5 2 2 2 2" xfId="56471" xr:uid="{00000000-0005-0000-0000-0000A1640000}"/>
    <cellStyle name="Normal 12 5 5 2 2 3" xfId="42909" xr:uid="{00000000-0005-0000-0000-0000A2640000}"/>
    <cellStyle name="Normal 12 5 5 2 3" xfId="22557" xr:uid="{00000000-0005-0000-0000-0000A3640000}"/>
    <cellStyle name="Normal 12 5 5 2 3 2" xfId="49690" xr:uid="{00000000-0005-0000-0000-0000A4640000}"/>
    <cellStyle name="Normal 12 5 5 2 4" xfId="36128" xr:uid="{00000000-0005-0000-0000-0000A5640000}"/>
    <cellStyle name="Normal 12 5 5 3" xfId="12381" xr:uid="{00000000-0005-0000-0000-0000A6640000}"/>
    <cellStyle name="Normal 12 5 5 3 2" xfId="25949" xr:uid="{00000000-0005-0000-0000-0000A7640000}"/>
    <cellStyle name="Normal 12 5 5 3 2 2" xfId="53082" xr:uid="{00000000-0005-0000-0000-0000A8640000}"/>
    <cellStyle name="Normal 12 5 5 3 3" xfId="39520" xr:uid="{00000000-0005-0000-0000-0000A9640000}"/>
    <cellStyle name="Normal 12 5 5 4" xfId="19168" xr:uid="{00000000-0005-0000-0000-0000AA640000}"/>
    <cellStyle name="Normal 12 5 5 4 2" xfId="46301" xr:uid="{00000000-0005-0000-0000-0000AB640000}"/>
    <cellStyle name="Normal 12 5 5 5" xfId="32739" xr:uid="{00000000-0005-0000-0000-0000AC640000}"/>
    <cellStyle name="Normal 12 5 6" xfId="5432" xr:uid="{00000000-0005-0000-0000-0000AD640000}"/>
    <cellStyle name="Normal 12 5 6 2" xfId="8981" xr:uid="{00000000-0005-0000-0000-0000AE640000}"/>
    <cellStyle name="Normal 12 5 6 2 2" xfId="15771" xr:uid="{00000000-0005-0000-0000-0000AF640000}"/>
    <cellStyle name="Normal 12 5 6 2 2 2" xfId="29339" xr:uid="{00000000-0005-0000-0000-0000B0640000}"/>
    <cellStyle name="Normal 12 5 6 2 2 2 2" xfId="56472" xr:uid="{00000000-0005-0000-0000-0000B1640000}"/>
    <cellStyle name="Normal 12 5 6 2 2 3" xfId="42910" xr:uid="{00000000-0005-0000-0000-0000B2640000}"/>
    <cellStyle name="Normal 12 5 6 2 3" xfId="22558" xr:uid="{00000000-0005-0000-0000-0000B3640000}"/>
    <cellStyle name="Normal 12 5 6 2 3 2" xfId="49691" xr:uid="{00000000-0005-0000-0000-0000B4640000}"/>
    <cellStyle name="Normal 12 5 6 2 4" xfId="36129" xr:uid="{00000000-0005-0000-0000-0000B5640000}"/>
    <cellStyle name="Normal 12 5 6 3" xfId="12382" xr:uid="{00000000-0005-0000-0000-0000B6640000}"/>
    <cellStyle name="Normal 12 5 6 3 2" xfId="25950" xr:uid="{00000000-0005-0000-0000-0000B7640000}"/>
    <cellStyle name="Normal 12 5 6 3 2 2" xfId="53083" xr:uid="{00000000-0005-0000-0000-0000B8640000}"/>
    <cellStyle name="Normal 12 5 6 3 3" xfId="39521" xr:uid="{00000000-0005-0000-0000-0000B9640000}"/>
    <cellStyle name="Normal 12 5 6 4" xfId="19169" xr:uid="{00000000-0005-0000-0000-0000BA640000}"/>
    <cellStyle name="Normal 12 5 6 4 2" xfId="46302" xr:uid="{00000000-0005-0000-0000-0000BB640000}"/>
    <cellStyle name="Normal 12 5 6 5" xfId="32740" xr:uid="{00000000-0005-0000-0000-0000BC640000}"/>
    <cellStyle name="Normal 12 5 7" xfId="8966" xr:uid="{00000000-0005-0000-0000-0000BD640000}"/>
    <cellStyle name="Normal 12 5 7 2" xfId="15756" xr:uid="{00000000-0005-0000-0000-0000BE640000}"/>
    <cellStyle name="Normal 12 5 7 2 2" xfId="29324" xr:uid="{00000000-0005-0000-0000-0000BF640000}"/>
    <cellStyle name="Normal 12 5 7 2 2 2" xfId="56457" xr:uid="{00000000-0005-0000-0000-0000C0640000}"/>
    <cellStyle name="Normal 12 5 7 2 3" xfId="42895" xr:uid="{00000000-0005-0000-0000-0000C1640000}"/>
    <cellStyle name="Normal 12 5 7 3" xfId="22543" xr:uid="{00000000-0005-0000-0000-0000C2640000}"/>
    <cellStyle name="Normal 12 5 7 3 2" xfId="49676" xr:uid="{00000000-0005-0000-0000-0000C3640000}"/>
    <cellStyle name="Normal 12 5 7 4" xfId="36114" xr:uid="{00000000-0005-0000-0000-0000C4640000}"/>
    <cellStyle name="Normal 12 5 8" xfId="12367" xr:uid="{00000000-0005-0000-0000-0000C5640000}"/>
    <cellStyle name="Normal 12 5 8 2" xfId="25935" xr:uid="{00000000-0005-0000-0000-0000C6640000}"/>
    <cellStyle name="Normal 12 5 8 2 2" xfId="53068" xr:uid="{00000000-0005-0000-0000-0000C7640000}"/>
    <cellStyle name="Normal 12 5 8 3" xfId="39506" xr:uid="{00000000-0005-0000-0000-0000C8640000}"/>
    <cellStyle name="Normal 12 5 9" xfId="19154" xr:uid="{00000000-0005-0000-0000-0000C9640000}"/>
    <cellStyle name="Normal 12 5 9 2" xfId="46287" xr:uid="{00000000-0005-0000-0000-0000CA640000}"/>
    <cellStyle name="Normal 12 6" xfId="5433" xr:uid="{00000000-0005-0000-0000-0000CB640000}"/>
    <cellStyle name="Normal 12 6 2" xfId="5434" xr:uid="{00000000-0005-0000-0000-0000CC640000}"/>
    <cellStyle name="Normal 12 6 2 2" xfId="5435" xr:uid="{00000000-0005-0000-0000-0000CD640000}"/>
    <cellStyle name="Normal 12 6 2 2 2" xfId="8984" xr:uid="{00000000-0005-0000-0000-0000CE640000}"/>
    <cellStyle name="Normal 12 6 2 2 2 2" xfId="15774" xr:uid="{00000000-0005-0000-0000-0000CF640000}"/>
    <cellStyle name="Normal 12 6 2 2 2 2 2" xfId="29342" xr:uid="{00000000-0005-0000-0000-0000D0640000}"/>
    <cellStyle name="Normal 12 6 2 2 2 2 2 2" xfId="56475" xr:uid="{00000000-0005-0000-0000-0000D1640000}"/>
    <cellStyle name="Normal 12 6 2 2 2 2 3" xfId="42913" xr:uid="{00000000-0005-0000-0000-0000D2640000}"/>
    <cellStyle name="Normal 12 6 2 2 2 3" xfId="22561" xr:uid="{00000000-0005-0000-0000-0000D3640000}"/>
    <cellStyle name="Normal 12 6 2 2 2 3 2" xfId="49694" xr:uid="{00000000-0005-0000-0000-0000D4640000}"/>
    <cellStyle name="Normal 12 6 2 2 2 4" xfId="36132" xr:uid="{00000000-0005-0000-0000-0000D5640000}"/>
    <cellStyle name="Normal 12 6 2 2 3" xfId="12385" xr:uid="{00000000-0005-0000-0000-0000D6640000}"/>
    <cellStyle name="Normal 12 6 2 2 3 2" xfId="25953" xr:uid="{00000000-0005-0000-0000-0000D7640000}"/>
    <cellStyle name="Normal 12 6 2 2 3 2 2" xfId="53086" xr:uid="{00000000-0005-0000-0000-0000D8640000}"/>
    <cellStyle name="Normal 12 6 2 2 3 3" xfId="39524" xr:uid="{00000000-0005-0000-0000-0000D9640000}"/>
    <cellStyle name="Normal 12 6 2 2 4" xfId="19172" xr:uid="{00000000-0005-0000-0000-0000DA640000}"/>
    <cellStyle name="Normal 12 6 2 2 4 2" xfId="46305" xr:uid="{00000000-0005-0000-0000-0000DB640000}"/>
    <cellStyle name="Normal 12 6 2 2 5" xfId="32743" xr:uid="{00000000-0005-0000-0000-0000DC640000}"/>
    <cellStyle name="Normal 12 6 2 3" xfId="5436" xr:uid="{00000000-0005-0000-0000-0000DD640000}"/>
    <cellStyle name="Normal 12 6 2 3 2" xfId="8985" xr:uid="{00000000-0005-0000-0000-0000DE640000}"/>
    <cellStyle name="Normal 12 6 2 3 2 2" xfId="15775" xr:uid="{00000000-0005-0000-0000-0000DF640000}"/>
    <cellStyle name="Normal 12 6 2 3 2 2 2" xfId="29343" xr:uid="{00000000-0005-0000-0000-0000E0640000}"/>
    <cellStyle name="Normal 12 6 2 3 2 2 2 2" xfId="56476" xr:uid="{00000000-0005-0000-0000-0000E1640000}"/>
    <cellStyle name="Normal 12 6 2 3 2 2 3" xfId="42914" xr:uid="{00000000-0005-0000-0000-0000E2640000}"/>
    <cellStyle name="Normal 12 6 2 3 2 3" xfId="22562" xr:uid="{00000000-0005-0000-0000-0000E3640000}"/>
    <cellStyle name="Normal 12 6 2 3 2 3 2" xfId="49695" xr:uid="{00000000-0005-0000-0000-0000E4640000}"/>
    <cellStyle name="Normal 12 6 2 3 2 4" xfId="36133" xr:uid="{00000000-0005-0000-0000-0000E5640000}"/>
    <cellStyle name="Normal 12 6 2 3 3" xfId="12386" xr:uid="{00000000-0005-0000-0000-0000E6640000}"/>
    <cellStyle name="Normal 12 6 2 3 3 2" xfId="25954" xr:uid="{00000000-0005-0000-0000-0000E7640000}"/>
    <cellStyle name="Normal 12 6 2 3 3 2 2" xfId="53087" xr:uid="{00000000-0005-0000-0000-0000E8640000}"/>
    <cellStyle name="Normal 12 6 2 3 3 3" xfId="39525" xr:uid="{00000000-0005-0000-0000-0000E9640000}"/>
    <cellStyle name="Normal 12 6 2 3 4" xfId="19173" xr:uid="{00000000-0005-0000-0000-0000EA640000}"/>
    <cellStyle name="Normal 12 6 2 3 4 2" xfId="46306" xr:uid="{00000000-0005-0000-0000-0000EB640000}"/>
    <cellStyle name="Normal 12 6 2 3 5" xfId="32744" xr:uid="{00000000-0005-0000-0000-0000EC640000}"/>
    <cellStyle name="Normal 12 6 2 4" xfId="8983" xr:uid="{00000000-0005-0000-0000-0000ED640000}"/>
    <cellStyle name="Normal 12 6 2 4 2" xfId="15773" xr:uid="{00000000-0005-0000-0000-0000EE640000}"/>
    <cellStyle name="Normal 12 6 2 4 2 2" xfId="29341" xr:uid="{00000000-0005-0000-0000-0000EF640000}"/>
    <cellStyle name="Normal 12 6 2 4 2 2 2" xfId="56474" xr:uid="{00000000-0005-0000-0000-0000F0640000}"/>
    <cellStyle name="Normal 12 6 2 4 2 3" xfId="42912" xr:uid="{00000000-0005-0000-0000-0000F1640000}"/>
    <cellStyle name="Normal 12 6 2 4 3" xfId="22560" xr:uid="{00000000-0005-0000-0000-0000F2640000}"/>
    <cellStyle name="Normal 12 6 2 4 3 2" xfId="49693" xr:uid="{00000000-0005-0000-0000-0000F3640000}"/>
    <cellStyle name="Normal 12 6 2 4 4" xfId="36131" xr:uid="{00000000-0005-0000-0000-0000F4640000}"/>
    <cellStyle name="Normal 12 6 2 5" xfId="12384" xr:uid="{00000000-0005-0000-0000-0000F5640000}"/>
    <cellStyle name="Normal 12 6 2 5 2" xfId="25952" xr:uid="{00000000-0005-0000-0000-0000F6640000}"/>
    <cellStyle name="Normal 12 6 2 5 2 2" xfId="53085" xr:uid="{00000000-0005-0000-0000-0000F7640000}"/>
    <cellStyle name="Normal 12 6 2 5 3" xfId="39523" xr:uid="{00000000-0005-0000-0000-0000F8640000}"/>
    <cellStyle name="Normal 12 6 2 6" xfId="19171" xr:uid="{00000000-0005-0000-0000-0000F9640000}"/>
    <cellStyle name="Normal 12 6 2 6 2" xfId="46304" xr:uid="{00000000-0005-0000-0000-0000FA640000}"/>
    <cellStyle name="Normal 12 6 2 7" xfId="32742" xr:uid="{00000000-0005-0000-0000-0000FB640000}"/>
    <cellStyle name="Normal 12 6 3" xfId="5437" xr:uid="{00000000-0005-0000-0000-0000FC640000}"/>
    <cellStyle name="Normal 12 6 3 2" xfId="5438" xr:uid="{00000000-0005-0000-0000-0000FD640000}"/>
    <cellStyle name="Normal 12 6 3 2 2" xfId="8987" xr:uid="{00000000-0005-0000-0000-0000FE640000}"/>
    <cellStyle name="Normal 12 6 3 2 2 2" xfId="15777" xr:uid="{00000000-0005-0000-0000-0000FF640000}"/>
    <cellStyle name="Normal 12 6 3 2 2 2 2" xfId="29345" xr:uid="{00000000-0005-0000-0000-000000650000}"/>
    <cellStyle name="Normal 12 6 3 2 2 2 2 2" xfId="56478" xr:uid="{00000000-0005-0000-0000-000001650000}"/>
    <cellStyle name="Normal 12 6 3 2 2 2 3" xfId="42916" xr:uid="{00000000-0005-0000-0000-000002650000}"/>
    <cellStyle name="Normal 12 6 3 2 2 3" xfId="22564" xr:uid="{00000000-0005-0000-0000-000003650000}"/>
    <cellStyle name="Normal 12 6 3 2 2 3 2" xfId="49697" xr:uid="{00000000-0005-0000-0000-000004650000}"/>
    <cellStyle name="Normal 12 6 3 2 2 4" xfId="36135" xr:uid="{00000000-0005-0000-0000-000005650000}"/>
    <cellStyle name="Normal 12 6 3 2 3" xfId="12388" xr:uid="{00000000-0005-0000-0000-000006650000}"/>
    <cellStyle name="Normal 12 6 3 2 3 2" xfId="25956" xr:uid="{00000000-0005-0000-0000-000007650000}"/>
    <cellStyle name="Normal 12 6 3 2 3 2 2" xfId="53089" xr:uid="{00000000-0005-0000-0000-000008650000}"/>
    <cellStyle name="Normal 12 6 3 2 3 3" xfId="39527" xr:uid="{00000000-0005-0000-0000-000009650000}"/>
    <cellStyle name="Normal 12 6 3 2 4" xfId="19175" xr:uid="{00000000-0005-0000-0000-00000A650000}"/>
    <cellStyle name="Normal 12 6 3 2 4 2" xfId="46308" xr:uid="{00000000-0005-0000-0000-00000B650000}"/>
    <cellStyle name="Normal 12 6 3 2 5" xfId="32746" xr:uid="{00000000-0005-0000-0000-00000C650000}"/>
    <cellStyle name="Normal 12 6 3 3" xfId="8986" xr:uid="{00000000-0005-0000-0000-00000D650000}"/>
    <cellStyle name="Normal 12 6 3 3 2" xfId="15776" xr:uid="{00000000-0005-0000-0000-00000E650000}"/>
    <cellStyle name="Normal 12 6 3 3 2 2" xfId="29344" xr:uid="{00000000-0005-0000-0000-00000F650000}"/>
    <cellStyle name="Normal 12 6 3 3 2 2 2" xfId="56477" xr:uid="{00000000-0005-0000-0000-000010650000}"/>
    <cellStyle name="Normal 12 6 3 3 2 3" xfId="42915" xr:uid="{00000000-0005-0000-0000-000011650000}"/>
    <cellStyle name="Normal 12 6 3 3 3" xfId="22563" xr:uid="{00000000-0005-0000-0000-000012650000}"/>
    <cellStyle name="Normal 12 6 3 3 3 2" xfId="49696" xr:uid="{00000000-0005-0000-0000-000013650000}"/>
    <cellStyle name="Normal 12 6 3 3 4" xfId="36134" xr:uid="{00000000-0005-0000-0000-000014650000}"/>
    <cellStyle name="Normal 12 6 3 4" xfId="12387" xr:uid="{00000000-0005-0000-0000-000015650000}"/>
    <cellStyle name="Normal 12 6 3 4 2" xfId="25955" xr:uid="{00000000-0005-0000-0000-000016650000}"/>
    <cellStyle name="Normal 12 6 3 4 2 2" xfId="53088" xr:uid="{00000000-0005-0000-0000-000017650000}"/>
    <cellStyle name="Normal 12 6 3 4 3" xfId="39526" xr:uid="{00000000-0005-0000-0000-000018650000}"/>
    <cellStyle name="Normal 12 6 3 5" xfId="19174" xr:uid="{00000000-0005-0000-0000-000019650000}"/>
    <cellStyle name="Normal 12 6 3 5 2" xfId="46307" xr:uid="{00000000-0005-0000-0000-00001A650000}"/>
    <cellStyle name="Normal 12 6 3 6" xfId="32745" xr:uid="{00000000-0005-0000-0000-00001B650000}"/>
    <cellStyle name="Normal 12 6 4" xfId="5439" xr:uid="{00000000-0005-0000-0000-00001C650000}"/>
    <cellStyle name="Normal 12 6 4 2" xfId="8988" xr:uid="{00000000-0005-0000-0000-00001D650000}"/>
    <cellStyle name="Normal 12 6 4 2 2" xfId="15778" xr:uid="{00000000-0005-0000-0000-00001E650000}"/>
    <cellStyle name="Normal 12 6 4 2 2 2" xfId="29346" xr:uid="{00000000-0005-0000-0000-00001F650000}"/>
    <cellStyle name="Normal 12 6 4 2 2 2 2" xfId="56479" xr:uid="{00000000-0005-0000-0000-000020650000}"/>
    <cellStyle name="Normal 12 6 4 2 2 3" xfId="42917" xr:uid="{00000000-0005-0000-0000-000021650000}"/>
    <cellStyle name="Normal 12 6 4 2 3" xfId="22565" xr:uid="{00000000-0005-0000-0000-000022650000}"/>
    <cellStyle name="Normal 12 6 4 2 3 2" xfId="49698" xr:uid="{00000000-0005-0000-0000-000023650000}"/>
    <cellStyle name="Normal 12 6 4 2 4" xfId="36136" xr:uid="{00000000-0005-0000-0000-000024650000}"/>
    <cellStyle name="Normal 12 6 4 3" xfId="12389" xr:uid="{00000000-0005-0000-0000-000025650000}"/>
    <cellStyle name="Normal 12 6 4 3 2" xfId="25957" xr:uid="{00000000-0005-0000-0000-000026650000}"/>
    <cellStyle name="Normal 12 6 4 3 2 2" xfId="53090" xr:uid="{00000000-0005-0000-0000-000027650000}"/>
    <cellStyle name="Normal 12 6 4 3 3" xfId="39528" xr:uid="{00000000-0005-0000-0000-000028650000}"/>
    <cellStyle name="Normal 12 6 4 4" xfId="19176" xr:uid="{00000000-0005-0000-0000-000029650000}"/>
    <cellStyle name="Normal 12 6 4 4 2" xfId="46309" xr:uid="{00000000-0005-0000-0000-00002A650000}"/>
    <cellStyle name="Normal 12 6 4 5" xfId="32747" xr:uid="{00000000-0005-0000-0000-00002B650000}"/>
    <cellStyle name="Normal 12 6 5" xfId="5440" xr:uid="{00000000-0005-0000-0000-00002C650000}"/>
    <cellStyle name="Normal 12 6 5 2" xfId="8989" xr:uid="{00000000-0005-0000-0000-00002D650000}"/>
    <cellStyle name="Normal 12 6 5 2 2" xfId="15779" xr:uid="{00000000-0005-0000-0000-00002E650000}"/>
    <cellStyle name="Normal 12 6 5 2 2 2" xfId="29347" xr:uid="{00000000-0005-0000-0000-00002F650000}"/>
    <cellStyle name="Normal 12 6 5 2 2 2 2" xfId="56480" xr:uid="{00000000-0005-0000-0000-000030650000}"/>
    <cellStyle name="Normal 12 6 5 2 2 3" xfId="42918" xr:uid="{00000000-0005-0000-0000-000031650000}"/>
    <cellStyle name="Normal 12 6 5 2 3" xfId="22566" xr:uid="{00000000-0005-0000-0000-000032650000}"/>
    <cellStyle name="Normal 12 6 5 2 3 2" xfId="49699" xr:uid="{00000000-0005-0000-0000-000033650000}"/>
    <cellStyle name="Normal 12 6 5 2 4" xfId="36137" xr:uid="{00000000-0005-0000-0000-000034650000}"/>
    <cellStyle name="Normal 12 6 5 3" xfId="12390" xr:uid="{00000000-0005-0000-0000-000035650000}"/>
    <cellStyle name="Normal 12 6 5 3 2" xfId="25958" xr:uid="{00000000-0005-0000-0000-000036650000}"/>
    <cellStyle name="Normal 12 6 5 3 2 2" xfId="53091" xr:uid="{00000000-0005-0000-0000-000037650000}"/>
    <cellStyle name="Normal 12 6 5 3 3" xfId="39529" xr:uid="{00000000-0005-0000-0000-000038650000}"/>
    <cellStyle name="Normal 12 6 5 4" xfId="19177" xr:uid="{00000000-0005-0000-0000-000039650000}"/>
    <cellStyle name="Normal 12 6 5 4 2" xfId="46310" xr:uid="{00000000-0005-0000-0000-00003A650000}"/>
    <cellStyle name="Normal 12 6 5 5" xfId="32748" xr:uid="{00000000-0005-0000-0000-00003B650000}"/>
    <cellStyle name="Normal 12 6 6" xfId="8982" xr:uid="{00000000-0005-0000-0000-00003C650000}"/>
    <cellStyle name="Normal 12 6 6 2" xfId="15772" xr:uid="{00000000-0005-0000-0000-00003D650000}"/>
    <cellStyle name="Normal 12 6 6 2 2" xfId="29340" xr:uid="{00000000-0005-0000-0000-00003E650000}"/>
    <cellStyle name="Normal 12 6 6 2 2 2" xfId="56473" xr:uid="{00000000-0005-0000-0000-00003F650000}"/>
    <cellStyle name="Normal 12 6 6 2 3" xfId="42911" xr:uid="{00000000-0005-0000-0000-000040650000}"/>
    <cellStyle name="Normal 12 6 6 3" xfId="22559" xr:uid="{00000000-0005-0000-0000-000041650000}"/>
    <cellStyle name="Normal 12 6 6 3 2" xfId="49692" xr:uid="{00000000-0005-0000-0000-000042650000}"/>
    <cellStyle name="Normal 12 6 6 4" xfId="36130" xr:uid="{00000000-0005-0000-0000-000043650000}"/>
    <cellStyle name="Normal 12 6 7" xfId="12383" xr:uid="{00000000-0005-0000-0000-000044650000}"/>
    <cellStyle name="Normal 12 6 7 2" xfId="25951" xr:uid="{00000000-0005-0000-0000-000045650000}"/>
    <cellStyle name="Normal 12 6 7 2 2" xfId="53084" xr:uid="{00000000-0005-0000-0000-000046650000}"/>
    <cellStyle name="Normal 12 6 7 3" xfId="39522" xr:uid="{00000000-0005-0000-0000-000047650000}"/>
    <cellStyle name="Normal 12 6 8" xfId="19170" xr:uid="{00000000-0005-0000-0000-000048650000}"/>
    <cellStyle name="Normal 12 6 8 2" xfId="46303" xr:uid="{00000000-0005-0000-0000-000049650000}"/>
    <cellStyle name="Normal 12 6 9" xfId="32741" xr:uid="{00000000-0005-0000-0000-00004A650000}"/>
    <cellStyle name="Normal 12 7" xfId="5441" xr:uid="{00000000-0005-0000-0000-00004B650000}"/>
    <cellStyle name="Normal 12 7 2" xfId="5442" xr:uid="{00000000-0005-0000-0000-00004C650000}"/>
    <cellStyle name="Normal 12 7 2 2" xfId="5443" xr:uid="{00000000-0005-0000-0000-00004D650000}"/>
    <cellStyle name="Normal 12 7 2 2 2" xfId="8992" xr:uid="{00000000-0005-0000-0000-00004E650000}"/>
    <cellStyle name="Normal 12 7 2 2 2 2" xfId="15782" xr:uid="{00000000-0005-0000-0000-00004F650000}"/>
    <cellStyle name="Normal 12 7 2 2 2 2 2" xfId="29350" xr:uid="{00000000-0005-0000-0000-000050650000}"/>
    <cellStyle name="Normal 12 7 2 2 2 2 2 2" xfId="56483" xr:uid="{00000000-0005-0000-0000-000051650000}"/>
    <cellStyle name="Normal 12 7 2 2 2 2 3" xfId="42921" xr:uid="{00000000-0005-0000-0000-000052650000}"/>
    <cellStyle name="Normal 12 7 2 2 2 3" xfId="22569" xr:uid="{00000000-0005-0000-0000-000053650000}"/>
    <cellStyle name="Normal 12 7 2 2 2 3 2" xfId="49702" xr:uid="{00000000-0005-0000-0000-000054650000}"/>
    <cellStyle name="Normal 12 7 2 2 2 4" xfId="36140" xr:uid="{00000000-0005-0000-0000-000055650000}"/>
    <cellStyle name="Normal 12 7 2 2 3" xfId="12393" xr:uid="{00000000-0005-0000-0000-000056650000}"/>
    <cellStyle name="Normal 12 7 2 2 3 2" xfId="25961" xr:uid="{00000000-0005-0000-0000-000057650000}"/>
    <cellStyle name="Normal 12 7 2 2 3 2 2" xfId="53094" xr:uid="{00000000-0005-0000-0000-000058650000}"/>
    <cellStyle name="Normal 12 7 2 2 3 3" xfId="39532" xr:uid="{00000000-0005-0000-0000-000059650000}"/>
    <cellStyle name="Normal 12 7 2 2 4" xfId="19180" xr:uid="{00000000-0005-0000-0000-00005A650000}"/>
    <cellStyle name="Normal 12 7 2 2 4 2" xfId="46313" xr:uid="{00000000-0005-0000-0000-00005B650000}"/>
    <cellStyle name="Normal 12 7 2 2 5" xfId="32751" xr:uid="{00000000-0005-0000-0000-00005C650000}"/>
    <cellStyle name="Normal 12 7 2 3" xfId="5444" xr:uid="{00000000-0005-0000-0000-00005D650000}"/>
    <cellStyle name="Normal 12 7 2 3 2" xfId="8993" xr:uid="{00000000-0005-0000-0000-00005E650000}"/>
    <cellStyle name="Normal 12 7 2 3 2 2" xfId="15783" xr:uid="{00000000-0005-0000-0000-00005F650000}"/>
    <cellStyle name="Normal 12 7 2 3 2 2 2" xfId="29351" xr:uid="{00000000-0005-0000-0000-000060650000}"/>
    <cellStyle name="Normal 12 7 2 3 2 2 2 2" xfId="56484" xr:uid="{00000000-0005-0000-0000-000061650000}"/>
    <cellStyle name="Normal 12 7 2 3 2 2 3" xfId="42922" xr:uid="{00000000-0005-0000-0000-000062650000}"/>
    <cellStyle name="Normal 12 7 2 3 2 3" xfId="22570" xr:uid="{00000000-0005-0000-0000-000063650000}"/>
    <cellStyle name="Normal 12 7 2 3 2 3 2" xfId="49703" xr:uid="{00000000-0005-0000-0000-000064650000}"/>
    <cellStyle name="Normal 12 7 2 3 2 4" xfId="36141" xr:uid="{00000000-0005-0000-0000-000065650000}"/>
    <cellStyle name="Normal 12 7 2 3 3" xfId="12394" xr:uid="{00000000-0005-0000-0000-000066650000}"/>
    <cellStyle name="Normal 12 7 2 3 3 2" xfId="25962" xr:uid="{00000000-0005-0000-0000-000067650000}"/>
    <cellStyle name="Normal 12 7 2 3 3 2 2" xfId="53095" xr:uid="{00000000-0005-0000-0000-000068650000}"/>
    <cellStyle name="Normal 12 7 2 3 3 3" xfId="39533" xr:uid="{00000000-0005-0000-0000-000069650000}"/>
    <cellStyle name="Normal 12 7 2 3 4" xfId="19181" xr:uid="{00000000-0005-0000-0000-00006A650000}"/>
    <cellStyle name="Normal 12 7 2 3 4 2" xfId="46314" xr:uid="{00000000-0005-0000-0000-00006B650000}"/>
    <cellStyle name="Normal 12 7 2 3 5" xfId="32752" xr:uid="{00000000-0005-0000-0000-00006C650000}"/>
    <cellStyle name="Normal 12 7 2 4" xfId="8991" xr:uid="{00000000-0005-0000-0000-00006D650000}"/>
    <cellStyle name="Normal 12 7 2 4 2" xfId="15781" xr:uid="{00000000-0005-0000-0000-00006E650000}"/>
    <cellStyle name="Normal 12 7 2 4 2 2" xfId="29349" xr:uid="{00000000-0005-0000-0000-00006F650000}"/>
    <cellStyle name="Normal 12 7 2 4 2 2 2" xfId="56482" xr:uid="{00000000-0005-0000-0000-000070650000}"/>
    <cellStyle name="Normal 12 7 2 4 2 3" xfId="42920" xr:uid="{00000000-0005-0000-0000-000071650000}"/>
    <cellStyle name="Normal 12 7 2 4 3" xfId="22568" xr:uid="{00000000-0005-0000-0000-000072650000}"/>
    <cellStyle name="Normal 12 7 2 4 3 2" xfId="49701" xr:uid="{00000000-0005-0000-0000-000073650000}"/>
    <cellStyle name="Normal 12 7 2 4 4" xfId="36139" xr:uid="{00000000-0005-0000-0000-000074650000}"/>
    <cellStyle name="Normal 12 7 2 5" xfId="12392" xr:uid="{00000000-0005-0000-0000-000075650000}"/>
    <cellStyle name="Normal 12 7 2 5 2" xfId="25960" xr:uid="{00000000-0005-0000-0000-000076650000}"/>
    <cellStyle name="Normal 12 7 2 5 2 2" xfId="53093" xr:uid="{00000000-0005-0000-0000-000077650000}"/>
    <cellStyle name="Normal 12 7 2 5 3" xfId="39531" xr:uid="{00000000-0005-0000-0000-000078650000}"/>
    <cellStyle name="Normal 12 7 2 6" xfId="19179" xr:uid="{00000000-0005-0000-0000-000079650000}"/>
    <cellStyle name="Normal 12 7 2 6 2" xfId="46312" xr:uid="{00000000-0005-0000-0000-00007A650000}"/>
    <cellStyle name="Normal 12 7 2 7" xfId="32750" xr:uid="{00000000-0005-0000-0000-00007B650000}"/>
    <cellStyle name="Normal 12 7 3" xfId="5445" xr:uid="{00000000-0005-0000-0000-00007C650000}"/>
    <cellStyle name="Normal 12 7 3 2" xfId="8994" xr:uid="{00000000-0005-0000-0000-00007D650000}"/>
    <cellStyle name="Normal 12 7 3 2 2" xfId="15784" xr:uid="{00000000-0005-0000-0000-00007E650000}"/>
    <cellStyle name="Normal 12 7 3 2 2 2" xfId="29352" xr:uid="{00000000-0005-0000-0000-00007F650000}"/>
    <cellStyle name="Normal 12 7 3 2 2 2 2" xfId="56485" xr:uid="{00000000-0005-0000-0000-000080650000}"/>
    <cellStyle name="Normal 12 7 3 2 2 3" xfId="42923" xr:uid="{00000000-0005-0000-0000-000081650000}"/>
    <cellStyle name="Normal 12 7 3 2 3" xfId="22571" xr:uid="{00000000-0005-0000-0000-000082650000}"/>
    <cellStyle name="Normal 12 7 3 2 3 2" xfId="49704" xr:uid="{00000000-0005-0000-0000-000083650000}"/>
    <cellStyle name="Normal 12 7 3 2 4" xfId="36142" xr:uid="{00000000-0005-0000-0000-000084650000}"/>
    <cellStyle name="Normal 12 7 3 3" xfId="12395" xr:uid="{00000000-0005-0000-0000-000085650000}"/>
    <cellStyle name="Normal 12 7 3 3 2" xfId="25963" xr:uid="{00000000-0005-0000-0000-000086650000}"/>
    <cellStyle name="Normal 12 7 3 3 2 2" xfId="53096" xr:uid="{00000000-0005-0000-0000-000087650000}"/>
    <cellStyle name="Normal 12 7 3 3 3" xfId="39534" xr:uid="{00000000-0005-0000-0000-000088650000}"/>
    <cellStyle name="Normal 12 7 3 4" xfId="19182" xr:uid="{00000000-0005-0000-0000-000089650000}"/>
    <cellStyle name="Normal 12 7 3 4 2" xfId="46315" xr:uid="{00000000-0005-0000-0000-00008A650000}"/>
    <cellStyle name="Normal 12 7 3 5" xfId="32753" xr:uid="{00000000-0005-0000-0000-00008B650000}"/>
    <cellStyle name="Normal 12 7 4" xfId="5446" xr:uid="{00000000-0005-0000-0000-00008C650000}"/>
    <cellStyle name="Normal 12 7 4 2" xfId="8995" xr:uid="{00000000-0005-0000-0000-00008D650000}"/>
    <cellStyle name="Normal 12 7 4 2 2" xfId="15785" xr:uid="{00000000-0005-0000-0000-00008E650000}"/>
    <cellStyle name="Normal 12 7 4 2 2 2" xfId="29353" xr:uid="{00000000-0005-0000-0000-00008F650000}"/>
    <cellStyle name="Normal 12 7 4 2 2 2 2" xfId="56486" xr:uid="{00000000-0005-0000-0000-000090650000}"/>
    <cellStyle name="Normal 12 7 4 2 2 3" xfId="42924" xr:uid="{00000000-0005-0000-0000-000091650000}"/>
    <cellStyle name="Normal 12 7 4 2 3" xfId="22572" xr:uid="{00000000-0005-0000-0000-000092650000}"/>
    <cellStyle name="Normal 12 7 4 2 3 2" xfId="49705" xr:uid="{00000000-0005-0000-0000-000093650000}"/>
    <cellStyle name="Normal 12 7 4 2 4" xfId="36143" xr:uid="{00000000-0005-0000-0000-000094650000}"/>
    <cellStyle name="Normal 12 7 4 3" xfId="12396" xr:uid="{00000000-0005-0000-0000-000095650000}"/>
    <cellStyle name="Normal 12 7 4 3 2" xfId="25964" xr:uid="{00000000-0005-0000-0000-000096650000}"/>
    <cellStyle name="Normal 12 7 4 3 2 2" xfId="53097" xr:uid="{00000000-0005-0000-0000-000097650000}"/>
    <cellStyle name="Normal 12 7 4 3 3" xfId="39535" xr:uid="{00000000-0005-0000-0000-000098650000}"/>
    <cellStyle name="Normal 12 7 4 4" xfId="19183" xr:uid="{00000000-0005-0000-0000-000099650000}"/>
    <cellStyle name="Normal 12 7 4 4 2" xfId="46316" xr:uid="{00000000-0005-0000-0000-00009A650000}"/>
    <cellStyle name="Normal 12 7 4 5" xfId="32754" xr:uid="{00000000-0005-0000-0000-00009B650000}"/>
    <cellStyle name="Normal 12 7 5" xfId="8990" xr:uid="{00000000-0005-0000-0000-00009C650000}"/>
    <cellStyle name="Normal 12 7 5 2" xfId="15780" xr:uid="{00000000-0005-0000-0000-00009D650000}"/>
    <cellStyle name="Normal 12 7 5 2 2" xfId="29348" xr:uid="{00000000-0005-0000-0000-00009E650000}"/>
    <cellStyle name="Normal 12 7 5 2 2 2" xfId="56481" xr:uid="{00000000-0005-0000-0000-00009F650000}"/>
    <cellStyle name="Normal 12 7 5 2 3" xfId="42919" xr:uid="{00000000-0005-0000-0000-0000A0650000}"/>
    <cellStyle name="Normal 12 7 5 3" xfId="22567" xr:uid="{00000000-0005-0000-0000-0000A1650000}"/>
    <cellStyle name="Normal 12 7 5 3 2" xfId="49700" xr:uid="{00000000-0005-0000-0000-0000A2650000}"/>
    <cellStyle name="Normal 12 7 5 4" xfId="36138" xr:uid="{00000000-0005-0000-0000-0000A3650000}"/>
    <cellStyle name="Normal 12 7 6" xfId="12391" xr:uid="{00000000-0005-0000-0000-0000A4650000}"/>
    <cellStyle name="Normal 12 7 6 2" xfId="25959" xr:uid="{00000000-0005-0000-0000-0000A5650000}"/>
    <cellStyle name="Normal 12 7 6 2 2" xfId="53092" xr:uid="{00000000-0005-0000-0000-0000A6650000}"/>
    <cellStyle name="Normal 12 7 6 3" xfId="39530" xr:uid="{00000000-0005-0000-0000-0000A7650000}"/>
    <cellStyle name="Normal 12 7 7" xfId="19178" xr:uid="{00000000-0005-0000-0000-0000A8650000}"/>
    <cellStyle name="Normal 12 7 7 2" xfId="46311" xr:uid="{00000000-0005-0000-0000-0000A9650000}"/>
    <cellStyle name="Normal 12 7 8" xfId="32749" xr:uid="{00000000-0005-0000-0000-0000AA650000}"/>
    <cellStyle name="Normal 12 8" xfId="5447" xr:uid="{00000000-0005-0000-0000-0000AB650000}"/>
    <cellStyle name="Normal 12 8 2" xfId="5448" xr:uid="{00000000-0005-0000-0000-0000AC650000}"/>
    <cellStyle name="Normal 12 8 2 2" xfId="5449" xr:uid="{00000000-0005-0000-0000-0000AD650000}"/>
    <cellStyle name="Normal 12 8 2 2 2" xfId="8998" xr:uid="{00000000-0005-0000-0000-0000AE650000}"/>
    <cellStyle name="Normal 12 8 2 2 2 2" xfId="15788" xr:uid="{00000000-0005-0000-0000-0000AF650000}"/>
    <cellStyle name="Normal 12 8 2 2 2 2 2" xfId="29356" xr:uid="{00000000-0005-0000-0000-0000B0650000}"/>
    <cellStyle name="Normal 12 8 2 2 2 2 2 2" xfId="56489" xr:uid="{00000000-0005-0000-0000-0000B1650000}"/>
    <cellStyle name="Normal 12 8 2 2 2 2 3" xfId="42927" xr:uid="{00000000-0005-0000-0000-0000B2650000}"/>
    <cellStyle name="Normal 12 8 2 2 2 3" xfId="22575" xr:uid="{00000000-0005-0000-0000-0000B3650000}"/>
    <cellStyle name="Normal 12 8 2 2 2 3 2" xfId="49708" xr:uid="{00000000-0005-0000-0000-0000B4650000}"/>
    <cellStyle name="Normal 12 8 2 2 2 4" xfId="36146" xr:uid="{00000000-0005-0000-0000-0000B5650000}"/>
    <cellStyle name="Normal 12 8 2 2 3" xfId="12399" xr:uid="{00000000-0005-0000-0000-0000B6650000}"/>
    <cellStyle name="Normal 12 8 2 2 3 2" xfId="25967" xr:uid="{00000000-0005-0000-0000-0000B7650000}"/>
    <cellStyle name="Normal 12 8 2 2 3 2 2" xfId="53100" xr:uid="{00000000-0005-0000-0000-0000B8650000}"/>
    <cellStyle name="Normal 12 8 2 2 3 3" xfId="39538" xr:uid="{00000000-0005-0000-0000-0000B9650000}"/>
    <cellStyle name="Normal 12 8 2 2 4" xfId="19186" xr:uid="{00000000-0005-0000-0000-0000BA650000}"/>
    <cellStyle name="Normal 12 8 2 2 4 2" xfId="46319" xr:uid="{00000000-0005-0000-0000-0000BB650000}"/>
    <cellStyle name="Normal 12 8 2 2 5" xfId="32757" xr:uid="{00000000-0005-0000-0000-0000BC650000}"/>
    <cellStyle name="Normal 12 8 2 3" xfId="5450" xr:uid="{00000000-0005-0000-0000-0000BD650000}"/>
    <cellStyle name="Normal 12 8 2 3 2" xfId="8999" xr:uid="{00000000-0005-0000-0000-0000BE650000}"/>
    <cellStyle name="Normal 12 8 2 3 2 2" xfId="15789" xr:uid="{00000000-0005-0000-0000-0000BF650000}"/>
    <cellStyle name="Normal 12 8 2 3 2 2 2" xfId="29357" xr:uid="{00000000-0005-0000-0000-0000C0650000}"/>
    <cellStyle name="Normal 12 8 2 3 2 2 2 2" xfId="56490" xr:uid="{00000000-0005-0000-0000-0000C1650000}"/>
    <cellStyle name="Normal 12 8 2 3 2 2 3" xfId="42928" xr:uid="{00000000-0005-0000-0000-0000C2650000}"/>
    <cellStyle name="Normal 12 8 2 3 2 3" xfId="22576" xr:uid="{00000000-0005-0000-0000-0000C3650000}"/>
    <cellStyle name="Normal 12 8 2 3 2 3 2" xfId="49709" xr:uid="{00000000-0005-0000-0000-0000C4650000}"/>
    <cellStyle name="Normal 12 8 2 3 2 4" xfId="36147" xr:uid="{00000000-0005-0000-0000-0000C5650000}"/>
    <cellStyle name="Normal 12 8 2 3 3" xfId="12400" xr:uid="{00000000-0005-0000-0000-0000C6650000}"/>
    <cellStyle name="Normal 12 8 2 3 3 2" xfId="25968" xr:uid="{00000000-0005-0000-0000-0000C7650000}"/>
    <cellStyle name="Normal 12 8 2 3 3 2 2" xfId="53101" xr:uid="{00000000-0005-0000-0000-0000C8650000}"/>
    <cellStyle name="Normal 12 8 2 3 3 3" xfId="39539" xr:uid="{00000000-0005-0000-0000-0000C9650000}"/>
    <cellStyle name="Normal 12 8 2 3 4" xfId="19187" xr:uid="{00000000-0005-0000-0000-0000CA650000}"/>
    <cellStyle name="Normal 12 8 2 3 4 2" xfId="46320" xr:uid="{00000000-0005-0000-0000-0000CB650000}"/>
    <cellStyle name="Normal 12 8 2 3 5" xfId="32758" xr:uid="{00000000-0005-0000-0000-0000CC650000}"/>
    <cellStyle name="Normal 12 8 2 4" xfId="8997" xr:uid="{00000000-0005-0000-0000-0000CD650000}"/>
    <cellStyle name="Normal 12 8 2 4 2" xfId="15787" xr:uid="{00000000-0005-0000-0000-0000CE650000}"/>
    <cellStyle name="Normal 12 8 2 4 2 2" xfId="29355" xr:uid="{00000000-0005-0000-0000-0000CF650000}"/>
    <cellStyle name="Normal 12 8 2 4 2 2 2" xfId="56488" xr:uid="{00000000-0005-0000-0000-0000D0650000}"/>
    <cellStyle name="Normal 12 8 2 4 2 3" xfId="42926" xr:uid="{00000000-0005-0000-0000-0000D1650000}"/>
    <cellStyle name="Normal 12 8 2 4 3" xfId="22574" xr:uid="{00000000-0005-0000-0000-0000D2650000}"/>
    <cellStyle name="Normal 12 8 2 4 3 2" xfId="49707" xr:uid="{00000000-0005-0000-0000-0000D3650000}"/>
    <cellStyle name="Normal 12 8 2 4 4" xfId="36145" xr:uid="{00000000-0005-0000-0000-0000D4650000}"/>
    <cellStyle name="Normal 12 8 2 5" xfId="12398" xr:uid="{00000000-0005-0000-0000-0000D5650000}"/>
    <cellStyle name="Normal 12 8 2 5 2" xfId="25966" xr:uid="{00000000-0005-0000-0000-0000D6650000}"/>
    <cellStyle name="Normal 12 8 2 5 2 2" xfId="53099" xr:uid="{00000000-0005-0000-0000-0000D7650000}"/>
    <cellStyle name="Normal 12 8 2 5 3" xfId="39537" xr:uid="{00000000-0005-0000-0000-0000D8650000}"/>
    <cellStyle name="Normal 12 8 2 6" xfId="19185" xr:uid="{00000000-0005-0000-0000-0000D9650000}"/>
    <cellStyle name="Normal 12 8 2 6 2" xfId="46318" xr:uid="{00000000-0005-0000-0000-0000DA650000}"/>
    <cellStyle name="Normal 12 8 2 7" xfId="32756" xr:uid="{00000000-0005-0000-0000-0000DB650000}"/>
    <cellStyle name="Normal 12 8 3" xfId="5451" xr:uid="{00000000-0005-0000-0000-0000DC650000}"/>
    <cellStyle name="Normal 12 8 3 2" xfId="9000" xr:uid="{00000000-0005-0000-0000-0000DD650000}"/>
    <cellStyle name="Normal 12 8 3 2 2" xfId="15790" xr:uid="{00000000-0005-0000-0000-0000DE650000}"/>
    <cellStyle name="Normal 12 8 3 2 2 2" xfId="29358" xr:uid="{00000000-0005-0000-0000-0000DF650000}"/>
    <cellStyle name="Normal 12 8 3 2 2 2 2" xfId="56491" xr:uid="{00000000-0005-0000-0000-0000E0650000}"/>
    <cellStyle name="Normal 12 8 3 2 2 3" xfId="42929" xr:uid="{00000000-0005-0000-0000-0000E1650000}"/>
    <cellStyle name="Normal 12 8 3 2 3" xfId="22577" xr:uid="{00000000-0005-0000-0000-0000E2650000}"/>
    <cellStyle name="Normal 12 8 3 2 3 2" xfId="49710" xr:uid="{00000000-0005-0000-0000-0000E3650000}"/>
    <cellStyle name="Normal 12 8 3 2 4" xfId="36148" xr:uid="{00000000-0005-0000-0000-0000E4650000}"/>
    <cellStyle name="Normal 12 8 3 3" xfId="12401" xr:uid="{00000000-0005-0000-0000-0000E5650000}"/>
    <cellStyle name="Normal 12 8 3 3 2" xfId="25969" xr:uid="{00000000-0005-0000-0000-0000E6650000}"/>
    <cellStyle name="Normal 12 8 3 3 2 2" xfId="53102" xr:uid="{00000000-0005-0000-0000-0000E7650000}"/>
    <cellStyle name="Normal 12 8 3 3 3" xfId="39540" xr:uid="{00000000-0005-0000-0000-0000E8650000}"/>
    <cellStyle name="Normal 12 8 3 4" xfId="19188" xr:uid="{00000000-0005-0000-0000-0000E9650000}"/>
    <cellStyle name="Normal 12 8 3 4 2" xfId="46321" xr:uid="{00000000-0005-0000-0000-0000EA650000}"/>
    <cellStyle name="Normal 12 8 3 5" xfId="32759" xr:uid="{00000000-0005-0000-0000-0000EB650000}"/>
    <cellStyle name="Normal 12 8 4" xfId="5452" xr:uid="{00000000-0005-0000-0000-0000EC650000}"/>
    <cellStyle name="Normal 12 8 4 2" xfId="9001" xr:uid="{00000000-0005-0000-0000-0000ED650000}"/>
    <cellStyle name="Normal 12 8 4 2 2" xfId="15791" xr:uid="{00000000-0005-0000-0000-0000EE650000}"/>
    <cellStyle name="Normal 12 8 4 2 2 2" xfId="29359" xr:uid="{00000000-0005-0000-0000-0000EF650000}"/>
    <cellStyle name="Normal 12 8 4 2 2 2 2" xfId="56492" xr:uid="{00000000-0005-0000-0000-0000F0650000}"/>
    <cellStyle name="Normal 12 8 4 2 2 3" xfId="42930" xr:uid="{00000000-0005-0000-0000-0000F1650000}"/>
    <cellStyle name="Normal 12 8 4 2 3" xfId="22578" xr:uid="{00000000-0005-0000-0000-0000F2650000}"/>
    <cellStyle name="Normal 12 8 4 2 3 2" xfId="49711" xr:uid="{00000000-0005-0000-0000-0000F3650000}"/>
    <cellStyle name="Normal 12 8 4 2 4" xfId="36149" xr:uid="{00000000-0005-0000-0000-0000F4650000}"/>
    <cellStyle name="Normal 12 8 4 3" xfId="12402" xr:uid="{00000000-0005-0000-0000-0000F5650000}"/>
    <cellStyle name="Normal 12 8 4 3 2" xfId="25970" xr:uid="{00000000-0005-0000-0000-0000F6650000}"/>
    <cellStyle name="Normal 12 8 4 3 2 2" xfId="53103" xr:uid="{00000000-0005-0000-0000-0000F7650000}"/>
    <cellStyle name="Normal 12 8 4 3 3" xfId="39541" xr:uid="{00000000-0005-0000-0000-0000F8650000}"/>
    <cellStyle name="Normal 12 8 4 4" xfId="19189" xr:uid="{00000000-0005-0000-0000-0000F9650000}"/>
    <cellStyle name="Normal 12 8 4 4 2" xfId="46322" xr:uid="{00000000-0005-0000-0000-0000FA650000}"/>
    <cellStyle name="Normal 12 8 4 5" xfId="32760" xr:uid="{00000000-0005-0000-0000-0000FB650000}"/>
    <cellStyle name="Normal 12 8 5" xfId="8996" xr:uid="{00000000-0005-0000-0000-0000FC650000}"/>
    <cellStyle name="Normal 12 8 5 2" xfId="15786" xr:uid="{00000000-0005-0000-0000-0000FD650000}"/>
    <cellStyle name="Normal 12 8 5 2 2" xfId="29354" xr:uid="{00000000-0005-0000-0000-0000FE650000}"/>
    <cellStyle name="Normal 12 8 5 2 2 2" xfId="56487" xr:uid="{00000000-0005-0000-0000-0000FF650000}"/>
    <cellStyle name="Normal 12 8 5 2 3" xfId="42925" xr:uid="{00000000-0005-0000-0000-000000660000}"/>
    <cellStyle name="Normal 12 8 5 3" xfId="22573" xr:uid="{00000000-0005-0000-0000-000001660000}"/>
    <cellStyle name="Normal 12 8 5 3 2" xfId="49706" xr:uid="{00000000-0005-0000-0000-000002660000}"/>
    <cellStyle name="Normal 12 8 5 4" xfId="36144" xr:uid="{00000000-0005-0000-0000-000003660000}"/>
    <cellStyle name="Normal 12 8 6" xfId="12397" xr:uid="{00000000-0005-0000-0000-000004660000}"/>
    <cellStyle name="Normal 12 8 6 2" xfId="25965" xr:uid="{00000000-0005-0000-0000-000005660000}"/>
    <cellStyle name="Normal 12 8 6 2 2" xfId="53098" xr:uid="{00000000-0005-0000-0000-000006660000}"/>
    <cellStyle name="Normal 12 8 6 3" xfId="39536" xr:uid="{00000000-0005-0000-0000-000007660000}"/>
    <cellStyle name="Normal 12 8 7" xfId="19184" xr:uid="{00000000-0005-0000-0000-000008660000}"/>
    <cellStyle name="Normal 12 8 7 2" xfId="46317" xr:uid="{00000000-0005-0000-0000-000009660000}"/>
    <cellStyle name="Normal 12 8 8" xfId="32755" xr:uid="{00000000-0005-0000-0000-00000A660000}"/>
    <cellStyle name="Normal 12 9" xfId="5453" xr:uid="{00000000-0005-0000-0000-00000B660000}"/>
    <cellStyle name="Normal 12 9 2" xfId="5454" xr:uid="{00000000-0005-0000-0000-00000C660000}"/>
    <cellStyle name="Normal 12 9 2 2" xfId="9003" xr:uid="{00000000-0005-0000-0000-00000D660000}"/>
    <cellStyle name="Normal 12 9 2 2 2" xfId="15793" xr:uid="{00000000-0005-0000-0000-00000E660000}"/>
    <cellStyle name="Normal 12 9 2 2 2 2" xfId="29361" xr:uid="{00000000-0005-0000-0000-00000F660000}"/>
    <cellStyle name="Normal 12 9 2 2 2 2 2" xfId="56494" xr:uid="{00000000-0005-0000-0000-000010660000}"/>
    <cellStyle name="Normal 12 9 2 2 2 3" xfId="42932" xr:uid="{00000000-0005-0000-0000-000011660000}"/>
    <cellStyle name="Normal 12 9 2 2 3" xfId="22580" xr:uid="{00000000-0005-0000-0000-000012660000}"/>
    <cellStyle name="Normal 12 9 2 2 3 2" xfId="49713" xr:uid="{00000000-0005-0000-0000-000013660000}"/>
    <cellStyle name="Normal 12 9 2 2 4" xfId="36151" xr:uid="{00000000-0005-0000-0000-000014660000}"/>
    <cellStyle name="Normal 12 9 2 3" xfId="12404" xr:uid="{00000000-0005-0000-0000-000015660000}"/>
    <cellStyle name="Normal 12 9 2 3 2" xfId="25972" xr:uid="{00000000-0005-0000-0000-000016660000}"/>
    <cellStyle name="Normal 12 9 2 3 2 2" xfId="53105" xr:uid="{00000000-0005-0000-0000-000017660000}"/>
    <cellStyle name="Normal 12 9 2 3 3" xfId="39543" xr:uid="{00000000-0005-0000-0000-000018660000}"/>
    <cellStyle name="Normal 12 9 2 4" xfId="19191" xr:uid="{00000000-0005-0000-0000-000019660000}"/>
    <cellStyle name="Normal 12 9 2 4 2" xfId="46324" xr:uid="{00000000-0005-0000-0000-00001A660000}"/>
    <cellStyle name="Normal 12 9 2 5" xfId="32762" xr:uid="{00000000-0005-0000-0000-00001B660000}"/>
    <cellStyle name="Normal 12 9 3" xfId="9002" xr:uid="{00000000-0005-0000-0000-00001C660000}"/>
    <cellStyle name="Normal 12 9 3 2" xfId="15792" xr:uid="{00000000-0005-0000-0000-00001D660000}"/>
    <cellStyle name="Normal 12 9 3 2 2" xfId="29360" xr:uid="{00000000-0005-0000-0000-00001E660000}"/>
    <cellStyle name="Normal 12 9 3 2 2 2" xfId="56493" xr:uid="{00000000-0005-0000-0000-00001F660000}"/>
    <cellStyle name="Normal 12 9 3 2 3" xfId="42931" xr:uid="{00000000-0005-0000-0000-000020660000}"/>
    <cellStyle name="Normal 12 9 3 3" xfId="22579" xr:uid="{00000000-0005-0000-0000-000021660000}"/>
    <cellStyle name="Normal 12 9 3 3 2" xfId="49712" xr:uid="{00000000-0005-0000-0000-000022660000}"/>
    <cellStyle name="Normal 12 9 3 4" xfId="36150" xr:uid="{00000000-0005-0000-0000-000023660000}"/>
    <cellStyle name="Normal 12 9 4" xfId="12403" xr:uid="{00000000-0005-0000-0000-000024660000}"/>
    <cellStyle name="Normal 12 9 4 2" xfId="25971" xr:uid="{00000000-0005-0000-0000-000025660000}"/>
    <cellStyle name="Normal 12 9 4 2 2" xfId="53104" xr:uid="{00000000-0005-0000-0000-000026660000}"/>
    <cellStyle name="Normal 12 9 4 3" xfId="39542" xr:uid="{00000000-0005-0000-0000-000027660000}"/>
    <cellStyle name="Normal 12 9 5" xfId="19190" xr:uid="{00000000-0005-0000-0000-000028660000}"/>
    <cellStyle name="Normal 12 9 5 2" xfId="46323" xr:uid="{00000000-0005-0000-0000-000029660000}"/>
    <cellStyle name="Normal 12 9 6" xfId="32761" xr:uid="{00000000-0005-0000-0000-00002A660000}"/>
    <cellStyle name="Normal 13" xfId="3" xr:uid="{00000000-0005-0000-0000-00002B660000}"/>
    <cellStyle name="Normal 13 2" xfId="5455" xr:uid="{00000000-0005-0000-0000-00002C660000}"/>
    <cellStyle name="Normal 13 3" xfId="5456" xr:uid="{00000000-0005-0000-0000-00002D660000}"/>
    <cellStyle name="Normal 13 4" xfId="10852" xr:uid="{00000000-0005-0000-0000-00002E660000}"/>
    <cellStyle name="Normal 13 5" xfId="58367" xr:uid="{00000000-0005-0000-0000-00002F660000}"/>
    <cellStyle name="Normal 13 6" xfId="2562" xr:uid="{00000000-0005-0000-0000-000030660000}"/>
    <cellStyle name="Normal 133" xfId="10849" xr:uid="{00000000-0005-0000-0000-000031660000}"/>
    <cellStyle name="Normal 14" xfId="2563" xr:uid="{00000000-0005-0000-0000-000032660000}"/>
    <cellStyle name="Normal 14 2" xfId="2564" xr:uid="{00000000-0005-0000-0000-000033660000}"/>
    <cellStyle name="Normal 14 2 2" xfId="7309" xr:uid="{00000000-0005-0000-0000-000034660000}"/>
    <cellStyle name="Normal 14 2 2 2" xfId="7318" xr:uid="{00000000-0005-0000-0000-000035660000}"/>
    <cellStyle name="Normal 14 2 2 2 2" xfId="10808" xr:uid="{00000000-0005-0000-0000-000036660000}"/>
    <cellStyle name="Normal 14 2 2 2 2 2" xfId="17598" xr:uid="{00000000-0005-0000-0000-000037660000}"/>
    <cellStyle name="Normal 14 2 2 2 2 2 2" xfId="31166" xr:uid="{00000000-0005-0000-0000-000038660000}"/>
    <cellStyle name="Normal 14 2 2 2 2 2 2 2" xfId="58299" xr:uid="{00000000-0005-0000-0000-000039660000}"/>
    <cellStyle name="Normal 14 2 2 2 2 2 3" xfId="44737" xr:uid="{00000000-0005-0000-0000-00003A660000}"/>
    <cellStyle name="Normal 14 2 2 2 2 3" xfId="24385" xr:uid="{00000000-0005-0000-0000-00003B660000}"/>
    <cellStyle name="Normal 14 2 2 2 2 3 2" xfId="51518" xr:uid="{00000000-0005-0000-0000-00003C660000}"/>
    <cellStyle name="Normal 14 2 2 2 2 4" xfId="37956" xr:uid="{00000000-0005-0000-0000-00003D660000}"/>
    <cellStyle name="Normal 14 2 2 2 3" xfId="14209" xr:uid="{00000000-0005-0000-0000-00003E660000}"/>
    <cellStyle name="Normal 14 2 2 2 3 2" xfId="27777" xr:uid="{00000000-0005-0000-0000-00003F660000}"/>
    <cellStyle name="Normal 14 2 2 2 3 2 2" xfId="54910" xr:uid="{00000000-0005-0000-0000-000040660000}"/>
    <cellStyle name="Normal 14 2 2 2 3 3" xfId="41348" xr:uid="{00000000-0005-0000-0000-000041660000}"/>
    <cellStyle name="Normal 14 2 2 2 4" xfId="20996" xr:uid="{00000000-0005-0000-0000-000042660000}"/>
    <cellStyle name="Normal 14 2 2 2 4 2" xfId="48129" xr:uid="{00000000-0005-0000-0000-000043660000}"/>
    <cellStyle name="Normal 14 2 2 2 5" xfId="34567" xr:uid="{00000000-0005-0000-0000-000044660000}"/>
    <cellStyle name="Normal 14 2 2 3" xfId="7321" xr:uid="{00000000-0005-0000-0000-000045660000}"/>
    <cellStyle name="Normal 14 2 2 3 2" xfId="10811" xr:uid="{00000000-0005-0000-0000-000046660000}"/>
    <cellStyle name="Normal 14 2 2 3 2 2" xfId="17601" xr:uid="{00000000-0005-0000-0000-000047660000}"/>
    <cellStyle name="Normal 14 2 2 3 2 2 2" xfId="31169" xr:uid="{00000000-0005-0000-0000-000048660000}"/>
    <cellStyle name="Normal 14 2 2 3 2 2 2 2" xfId="58302" xr:uid="{00000000-0005-0000-0000-000049660000}"/>
    <cellStyle name="Normal 14 2 2 3 2 2 3" xfId="44740" xr:uid="{00000000-0005-0000-0000-00004A660000}"/>
    <cellStyle name="Normal 14 2 2 3 2 3" xfId="24388" xr:uid="{00000000-0005-0000-0000-00004B660000}"/>
    <cellStyle name="Normal 14 2 2 3 2 3 2" xfId="51521" xr:uid="{00000000-0005-0000-0000-00004C660000}"/>
    <cellStyle name="Normal 14 2 2 3 2 4" xfId="37959" xr:uid="{00000000-0005-0000-0000-00004D660000}"/>
    <cellStyle name="Normal 14 2 2 3 3" xfId="14212" xr:uid="{00000000-0005-0000-0000-00004E660000}"/>
    <cellStyle name="Normal 14 2 2 3 3 2" xfId="27780" xr:uid="{00000000-0005-0000-0000-00004F660000}"/>
    <cellStyle name="Normal 14 2 2 3 3 2 2" xfId="54913" xr:uid="{00000000-0005-0000-0000-000050660000}"/>
    <cellStyle name="Normal 14 2 2 3 3 3" xfId="41351" xr:uid="{00000000-0005-0000-0000-000051660000}"/>
    <cellStyle name="Normal 14 2 2 3 4" xfId="20999" xr:uid="{00000000-0005-0000-0000-000052660000}"/>
    <cellStyle name="Normal 14 2 2 3 4 2" xfId="48132" xr:uid="{00000000-0005-0000-0000-000053660000}"/>
    <cellStyle name="Normal 14 2 2 3 5" xfId="34570" xr:uid="{00000000-0005-0000-0000-000054660000}"/>
    <cellStyle name="Normal 14 2 2 3 7" xfId="58366" xr:uid="{00000000-0005-0000-0000-000055660000}"/>
    <cellStyle name="Normal 14 2 2 4" xfId="10805" xr:uid="{00000000-0005-0000-0000-000056660000}"/>
    <cellStyle name="Normal 14 2 2 4 2" xfId="17595" xr:uid="{00000000-0005-0000-0000-000057660000}"/>
    <cellStyle name="Normal 14 2 2 4 2 2" xfId="31163" xr:uid="{00000000-0005-0000-0000-000058660000}"/>
    <cellStyle name="Normal 14 2 2 4 2 2 2" xfId="58296" xr:uid="{00000000-0005-0000-0000-000059660000}"/>
    <cellStyle name="Normal 14 2 2 4 2 3" xfId="44734" xr:uid="{00000000-0005-0000-0000-00005A660000}"/>
    <cellStyle name="Normal 14 2 2 4 3" xfId="24382" xr:uid="{00000000-0005-0000-0000-00005B660000}"/>
    <cellStyle name="Normal 14 2 2 4 3 2" xfId="51515" xr:uid="{00000000-0005-0000-0000-00005C660000}"/>
    <cellStyle name="Normal 14 2 2 4 4" xfId="37953" xr:uid="{00000000-0005-0000-0000-00005D660000}"/>
    <cellStyle name="Normal 14 2 2 5" xfId="14206" xr:uid="{00000000-0005-0000-0000-00005E660000}"/>
    <cellStyle name="Normal 14 2 2 5 2" xfId="27774" xr:uid="{00000000-0005-0000-0000-00005F660000}"/>
    <cellStyle name="Normal 14 2 2 5 2 2" xfId="54907" xr:uid="{00000000-0005-0000-0000-000060660000}"/>
    <cellStyle name="Normal 14 2 2 5 3" xfId="41345" xr:uid="{00000000-0005-0000-0000-000061660000}"/>
    <cellStyle name="Normal 14 2 2 6" xfId="20993" xr:uid="{00000000-0005-0000-0000-000062660000}"/>
    <cellStyle name="Normal 14 2 2 6 2" xfId="48126" xr:uid="{00000000-0005-0000-0000-000063660000}"/>
    <cellStyle name="Normal 14 2 2 7" xfId="34564" xr:uid="{00000000-0005-0000-0000-000064660000}"/>
    <cellStyle name="Normal 14 3" xfId="5457" xr:uid="{00000000-0005-0000-0000-000065660000}"/>
    <cellStyle name="Normal 15" xfId="2565" xr:uid="{00000000-0005-0000-0000-000066660000}"/>
    <cellStyle name="Normal 15 10" xfId="5458" xr:uid="{00000000-0005-0000-0000-000067660000}"/>
    <cellStyle name="Normal 15 10 2" xfId="9004" xr:uid="{00000000-0005-0000-0000-000068660000}"/>
    <cellStyle name="Normal 15 10 2 2" xfId="15794" xr:uid="{00000000-0005-0000-0000-000069660000}"/>
    <cellStyle name="Normal 15 10 2 2 2" xfId="29362" xr:uid="{00000000-0005-0000-0000-00006A660000}"/>
    <cellStyle name="Normal 15 10 2 2 2 2" xfId="56495" xr:uid="{00000000-0005-0000-0000-00006B660000}"/>
    <cellStyle name="Normal 15 10 2 2 3" xfId="42933" xr:uid="{00000000-0005-0000-0000-00006C660000}"/>
    <cellStyle name="Normal 15 10 2 3" xfId="22581" xr:uid="{00000000-0005-0000-0000-00006D660000}"/>
    <cellStyle name="Normal 15 10 2 3 2" xfId="49714" xr:uid="{00000000-0005-0000-0000-00006E660000}"/>
    <cellStyle name="Normal 15 10 2 4" xfId="36152" xr:uid="{00000000-0005-0000-0000-00006F660000}"/>
    <cellStyle name="Normal 15 10 3" xfId="12405" xr:uid="{00000000-0005-0000-0000-000070660000}"/>
    <cellStyle name="Normal 15 10 3 2" xfId="25973" xr:uid="{00000000-0005-0000-0000-000071660000}"/>
    <cellStyle name="Normal 15 10 3 2 2" xfId="53106" xr:uid="{00000000-0005-0000-0000-000072660000}"/>
    <cellStyle name="Normal 15 10 3 3" xfId="39544" xr:uid="{00000000-0005-0000-0000-000073660000}"/>
    <cellStyle name="Normal 15 10 4" xfId="19192" xr:uid="{00000000-0005-0000-0000-000074660000}"/>
    <cellStyle name="Normal 15 10 4 2" xfId="46325" xr:uid="{00000000-0005-0000-0000-000075660000}"/>
    <cellStyle name="Normal 15 10 5" xfId="32763" xr:uid="{00000000-0005-0000-0000-000076660000}"/>
    <cellStyle name="Normal 15 2" xfId="2566" xr:uid="{00000000-0005-0000-0000-000077660000}"/>
    <cellStyle name="Normal 15 3" xfId="5459" xr:uid="{00000000-0005-0000-0000-000078660000}"/>
    <cellStyle name="Normal 15 3 10" xfId="12406" xr:uid="{00000000-0005-0000-0000-000079660000}"/>
    <cellStyle name="Normal 15 3 10 2" xfId="25974" xr:uid="{00000000-0005-0000-0000-00007A660000}"/>
    <cellStyle name="Normal 15 3 10 2 2" xfId="53107" xr:uid="{00000000-0005-0000-0000-00007B660000}"/>
    <cellStyle name="Normal 15 3 10 3" xfId="39545" xr:uid="{00000000-0005-0000-0000-00007C660000}"/>
    <cellStyle name="Normal 15 3 11" xfId="19193" xr:uid="{00000000-0005-0000-0000-00007D660000}"/>
    <cellStyle name="Normal 15 3 11 2" xfId="46326" xr:uid="{00000000-0005-0000-0000-00007E660000}"/>
    <cellStyle name="Normal 15 3 12" xfId="32764" xr:uid="{00000000-0005-0000-0000-00007F660000}"/>
    <cellStyle name="Normal 15 3 2" xfId="5460" xr:uid="{00000000-0005-0000-0000-000080660000}"/>
    <cellStyle name="Normal 15 3 2 10" xfId="32765" xr:uid="{00000000-0005-0000-0000-000081660000}"/>
    <cellStyle name="Normal 15 3 2 2" xfId="5461" xr:uid="{00000000-0005-0000-0000-000082660000}"/>
    <cellStyle name="Normal 15 3 2 2 2" xfId="5462" xr:uid="{00000000-0005-0000-0000-000083660000}"/>
    <cellStyle name="Normal 15 3 2 2 2 2" xfId="5463" xr:uid="{00000000-0005-0000-0000-000084660000}"/>
    <cellStyle name="Normal 15 3 2 2 2 2 2" xfId="9009" xr:uid="{00000000-0005-0000-0000-000085660000}"/>
    <cellStyle name="Normal 15 3 2 2 2 2 2 2" xfId="15799" xr:uid="{00000000-0005-0000-0000-000086660000}"/>
    <cellStyle name="Normal 15 3 2 2 2 2 2 2 2" xfId="29367" xr:uid="{00000000-0005-0000-0000-000087660000}"/>
    <cellStyle name="Normal 15 3 2 2 2 2 2 2 2 2" xfId="56500" xr:uid="{00000000-0005-0000-0000-000088660000}"/>
    <cellStyle name="Normal 15 3 2 2 2 2 2 2 3" xfId="42938" xr:uid="{00000000-0005-0000-0000-000089660000}"/>
    <cellStyle name="Normal 15 3 2 2 2 2 2 3" xfId="22586" xr:uid="{00000000-0005-0000-0000-00008A660000}"/>
    <cellStyle name="Normal 15 3 2 2 2 2 2 3 2" xfId="49719" xr:uid="{00000000-0005-0000-0000-00008B660000}"/>
    <cellStyle name="Normal 15 3 2 2 2 2 2 4" xfId="36157" xr:uid="{00000000-0005-0000-0000-00008C660000}"/>
    <cellStyle name="Normal 15 3 2 2 2 2 3" xfId="12410" xr:uid="{00000000-0005-0000-0000-00008D660000}"/>
    <cellStyle name="Normal 15 3 2 2 2 2 3 2" xfId="25978" xr:uid="{00000000-0005-0000-0000-00008E660000}"/>
    <cellStyle name="Normal 15 3 2 2 2 2 3 2 2" xfId="53111" xr:uid="{00000000-0005-0000-0000-00008F660000}"/>
    <cellStyle name="Normal 15 3 2 2 2 2 3 3" xfId="39549" xr:uid="{00000000-0005-0000-0000-000090660000}"/>
    <cellStyle name="Normal 15 3 2 2 2 2 4" xfId="19197" xr:uid="{00000000-0005-0000-0000-000091660000}"/>
    <cellStyle name="Normal 15 3 2 2 2 2 4 2" xfId="46330" xr:uid="{00000000-0005-0000-0000-000092660000}"/>
    <cellStyle name="Normal 15 3 2 2 2 2 5" xfId="32768" xr:uid="{00000000-0005-0000-0000-000093660000}"/>
    <cellStyle name="Normal 15 3 2 2 2 3" xfId="5464" xr:uid="{00000000-0005-0000-0000-000094660000}"/>
    <cellStyle name="Normal 15 3 2 2 2 3 2" xfId="9010" xr:uid="{00000000-0005-0000-0000-000095660000}"/>
    <cellStyle name="Normal 15 3 2 2 2 3 2 2" xfId="15800" xr:uid="{00000000-0005-0000-0000-000096660000}"/>
    <cellStyle name="Normal 15 3 2 2 2 3 2 2 2" xfId="29368" xr:uid="{00000000-0005-0000-0000-000097660000}"/>
    <cellStyle name="Normal 15 3 2 2 2 3 2 2 2 2" xfId="56501" xr:uid="{00000000-0005-0000-0000-000098660000}"/>
    <cellStyle name="Normal 15 3 2 2 2 3 2 2 3" xfId="42939" xr:uid="{00000000-0005-0000-0000-000099660000}"/>
    <cellStyle name="Normal 15 3 2 2 2 3 2 3" xfId="22587" xr:uid="{00000000-0005-0000-0000-00009A660000}"/>
    <cellStyle name="Normal 15 3 2 2 2 3 2 3 2" xfId="49720" xr:uid="{00000000-0005-0000-0000-00009B660000}"/>
    <cellStyle name="Normal 15 3 2 2 2 3 2 4" xfId="36158" xr:uid="{00000000-0005-0000-0000-00009C660000}"/>
    <cellStyle name="Normal 15 3 2 2 2 3 3" xfId="12411" xr:uid="{00000000-0005-0000-0000-00009D660000}"/>
    <cellStyle name="Normal 15 3 2 2 2 3 3 2" xfId="25979" xr:uid="{00000000-0005-0000-0000-00009E660000}"/>
    <cellStyle name="Normal 15 3 2 2 2 3 3 2 2" xfId="53112" xr:uid="{00000000-0005-0000-0000-00009F660000}"/>
    <cellStyle name="Normal 15 3 2 2 2 3 3 3" xfId="39550" xr:uid="{00000000-0005-0000-0000-0000A0660000}"/>
    <cellStyle name="Normal 15 3 2 2 2 3 4" xfId="19198" xr:uid="{00000000-0005-0000-0000-0000A1660000}"/>
    <cellStyle name="Normal 15 3 2 2 2 3 4 2" xfId="46331" xr:uid="{00000000-0005-0000-0000-0000A2660000}"/>
    <cellStyle name="Normal 15 3 2 2 2 3 5" xfId="32769" xr:uid="{00000000-0005-0000-0000-0000A3660000}"/>
    <cellStyle name="Normal 15 3 2 2 2 4" xfId="9008" xr:uid="{00000000-0005-0000-0000-0000A4660000}"/>
    <cellStyle name="Normal 15 3 2 2 2 4 2" xfId="15798" xr:uid="{00000000-0005-0000-0000-0000A5660000}"/>
    <cellStyle name="Normal 15 3 2 2 2 4 2 2" xfId="29366" xr:uid="{00000000-0005-0000-0000-0000A6660000}"/>
    <cellStyle name="Normal 15 3 2 2 2 4 2 2 2" xfId="56499" xr:uid="{00000000-0005-0000-0000-0000A7660000}"/>
    <cellStyle name="Normal 15 3 2 2 2 4 2 3" xfId="42937" xr:uid="{00000000-0005-0000-0000-0000A8660000}"/>
    <cellStyle name="Normal 15 3 2 2 2 4 3" xfId="22585" xr:uid="{00000000-0005-0000-0000-0000A9660000}"/>
    <cellStyle name="Normal 15 3 2 2 2 4 3 2" xfId="49718" xr:uid="{00000000-0005-0000-0000-0000AA660000}"/>
    <cellStyle name="Normal 15 3 2 2 2 4 4" xfId="36156" xr:uid="{00000000-0005-0000-0000-0000AB660000}"/>
    <cellStyle name="Normal 15 3 2 2 2 5" xfId="12409" xr:uid="{00000000-0005-0000-0000-0000AC660000}"/>
    <cellStyle name="Normal 15 3 2 2 2 5 2" xfId="25977" xr:uid="{00000000-0005-0000-0000-0000AD660000}"/>
    <cellStyle name="Normal 15 3 2 2 2 5 2 2" xfId="53110" xr:uid="{00000000-0005-0000-0000-0000AE660000}"/>
    <cellStyle name="Normal 15 3 2 2 2 5 3" xfId="39548" xr:uid="{00000000-0005-0000-0000-0000AF660000}"/>
    <cellStyle name="Normal 15 3 2 2 2 6" xfId="19196" xr:uid="{00000000-0005-0000-0000-0000B0660000}"/>
    <cellStyle name="Normal 15 3 2 2 2 6 2" xfId="46329" xr:uid="{00000000-0005-0000-0000-0000B1660000}"/>
    <cellStyle name="Normal 15 3 2 2 2 7" xfId="32767" xr:uid="{00000000-0005-0000-0000-0000B2660000}"/>
    <cellStyle name="Normal 15 3 2 2 3" xfId="5465" xr:uid="{00000000-0005-0000-0000-0000B3660000}"/>
    <cellStyle name="Normal 15 3 2 2 3 2" xfId="5466" xr:uid="{00000000-0005-0000-0000-0000B4660000}"/>
    <cellStyle name="Normal 15 3 2 2 3 2 2" xfId="9012" xr:uid="{00000000-0005-0000-0000-0000B5660000}"/>
    <cellStyle name="Normal 15 3 2 2 3 2 2 2" xfId="15802" xr:uid="{00000000-0005-0000-0000-0000B6660000}"/>
    <cellStyle name="Normal 15 3 2 2 3 2 2 2 2" xfId="29370" xr:uid="{00000000-0005-0000-0000-0000B7660000}"/>
    <cellStyle name="Normal 15 3 2 2 3 2 2 2 2 2" xfId="56503" xr:uid="{00000000-0005-0000-0000-0000B8660000}"/>
    <cellStyle name="Normal 15 3 2 2 3 2 2 2 3" xfId="42941" xr:uid="{00000000-0005-0000-0000-0000B9660000}"/>
    <cellStyle name="Normal 15 3 2 2 3 2 2 3" xfId="22589" xr:uid="{00000000-0005-0000-0000-0000BA660000}"/>
    <cellStyle name="Normal 15 3 2 2 3 2 2 3 2" xfId="49722" xr:uid="{00000000-0005-0000-0000-0000BB660000}"/>
    <cellStyle name="Normal 15 3 2 2 3 2 2 4" xfId="36160" xr:uid="{00000000-0005-0000-0000-0000BC660000}"/>
    <cellStyle name="Normal 15 3 2 2 3 2 3" xfId="12413" xr:uid="{00000000-0005-0000-0000-0000BD660000}"/>
    <cellStyle name="Normal 15 3 2 2 3 2 3 2" xfId="25981" xr:uid="{00000000-0005-0000-0000-0000BE660000}"/>
    <cellStyle name="Normal 15 3 2 2 3 2 3 2 2" xfId="53114" xr:uid="{00000000-0005-0000-0000-0000BF660000}"/>
    <cellStyle name="Normal 15 3 2 2 3 2 3 3" xfId="39552" xr:uid="{00000000-0005-0000-0000-0000C0660000}"/>
    <cellStyle name="Normal 15 3 2 2 3 2 4" xfId="19200" xr:uid="{00000000-0005-0000-0000-0000C1660000}"/>
    <cellStyle name="Normal 15 3 2 2 3 2 4 2" xfId="46333" xr:uid="{00000000-0005-0000-0000-0000C2660000}"/>
    <cellStyle name="Normal 15 3 2 2 3 2 5" xfId="32771" xr:uid="{00000000-0005-0000-0000-0000C3660000}"/>
    <cellStyle name="Normal 15 3 2 2 3 3" xfId="9011" xr:uid="{00000000-0005-0000-0000-0000C4660000}"/>
    <cellStyle name="Normal 15 3 2 2 3 3 2" xfId="15801" xr:uid="{00000000-0005-0000-0000-0000C5660000}"/>
    <cellStyle name="Normal 15 3 2 2 3 3 2 2" xfId="29369" xr:uid="{00000000-0005-0000-0000-0000C6660000}"/>
    <cellStyle name="Normal 15 3 2 2 3 3 2 2 2" xfId="56502" xr:uid="{00000000-0005-0000-0000-0000C7660000}"/>
    <cellStyle name="Normal 15 3 2 2 3 3 2 3" xfId="42940" xr:uid="{00000000-0005-0000-0000-0000C8660000}"/>
    <cellStyle name="Normal 15 3 2 2 3 3 3" xfId="22588" xr:uid="{00000000-0005-0000-0000-0000C9660000}"/>
    <cellStyle name="Normal 15 3 2 2 3 3 3 2" xfId="49721" xr:uid="{00000000-0005-0000-0000-0000CA660000}"/>
    <cellStyle name="Normal 15 3 2 2 3 3 4" xfId="36159" xr:uid="{00000000-0005-0000-0000-0000CB660000}"/>
    <cellStyle name="Normal 15 3 2 2 3 4" xfId="12412" xr:uid="{00000000-0005-0000-0000-0000CC660000}"/>
    <cellStyle name="Normal 15 3 2 2 3 4 2" xfId="25980" xr:uid="{00000000-0005-0000-0000-0000CD660000}"/>
    <cellStyle name="Normal 15 3 2 2 3 4 2 2" xfId="53113" xr:uid="{00000000-0005-0000-0000-0000CE660000}"/>
    <cellStyle name="Normal 15 3 2 2 3 4 3" xfId="39551" xr:uid="{00000000-0005-0000-0000-0000CF660000}"/>
    <cellStyle name="Normal 15 3 2 2 3 5" xfId="19199" xr:uid="{00000000-0005-0000-0000-0000D0660000}"/>
    <cellStyle name="Normal 15 3 2 2 3 5 2" xfId="46332" xr:uid="{00000000-0005-0000-0000-0000D1660000}"/>
    <cellStyle name="Normal 15 3 2 2 3 6" xfId="32770" xr:uid="{00000000-0005-0000-0000-0000D2660000}"/>
    <cellStyle name="Normal 15 3 2 2 4" xfId="5467" xr:uid="{00000000-0005-0000-0000-0000D3660000}"/>
    <cellStyle name="Normal 15 3 2 2 4 2" xfId="9013" xr:uid="{00000000-0005-0000-0000-0000D4660000}"/>
    <cellStyle name="Normal 15 3 2 2 4 2 2" xfId="15803" xr:uid="{00000000-0005-0000-0000-0000D5660000}"/>
    <cellStyle name="Normal 15 3 2 2 4 2 2 2" xfId="29371" xr:uid="{00000000-0005-0000-0000-0000D6660000}"/>
    <cellStyle name="Normal 15 3 2 2 4 2 2 2 2" xfId="56504" xr:uid="{00000000-0005-0000-0000-0000D7660000}"/>
    <cellStyle name="Normal 15 3 2 2 4 2 2 3" xfId="42942" xr:uid="{00000000-0005-0000-0000-0000D8660000}"/>
    <cellStyle name="Normal 15 3 2 2 4 2 3" xfId="22590" xr:uid="{00000000-0005-0000-0000-0000D9660000}"/>
    <cellStyle name="Normal 15 3 2 2 4 2 3 2" xfId="49723" xr:uid="{00000000-0005-0000-0000-0000DA660000}"/>
    <cellStyle name="Normal 15 3 2 2 4 2 4" xfId="36161" xr:uid="{00000000-0005-0000-0000-0000DB660000}"/>
    <cellStyle name="Normal 15 3 2 2 4 3" xfId="12414" xr:uid="{00000000-0005-0000-0000-0000DC660000}"/>
    <cellStyle name="Normal 15 3 2 2 4 3 2" xfId="25982" xr:uid="{00000000-0005-0000-0000-0000DD660000}"/>
    <cellStyle name="Normal 15 3 2 2 4 3 2 2" xfId="53115" xr:uid="{00000000-0005-0000-0000-0000DE660000}"/>
    <cellStyle name="Normal 15 3 2 2 4 3 3" xfId="39553" xr:uid="{00000000-0005-0000-0000-0000DF660000}"/>
    <cellStyle name="Normal 15 3 2 2 4 4" xfId="19201" xr:uid="{00000000-0005-0000-0000-0000E0660000}"/>
    <cellStyle name="Normal 15 3 2 2 4 4 2" xfId="46334" xr:uid="{00000000-0005-0000-0000-0000E1660000}"/>
    <cellStyle name="Normal 15 3 2 2 4 5" xfId="32772" xr:uid="{00000000-0005-0000-0000-0000E2660000}"/>
    <cellStyle name="Normal 15 3 2 2 5" xfId="5468" xr:uid="{00000000-0005-0000-0000-0000E3660000}"/>
    <cellStyle name="Normal 15 3 2 2 5 2" xfId="9014" xr:uid="{00000000-0005-0000-0000-0000E4660000}"/>
    <cellStyle name="Normal 15 3 2 2 5 2 2" xfId="15804" xr:uid="{00000000-0005-0000-0000-0000E5660000}"/>
    <cellStyle name="Normal 15 3 2 2 5 2 2 2" xfId="29372" xr:uid="{00000000-0005-0000-0000-0000E6660000}"/>
    <cellStyle name="Normal 15 3 2 2 5 2 2 2 2" xfId="56505" xr:uid="{00000000-0005-0000-0000-0000E7660000}"/>
    <cellStyle name="Normal 15 3 2 2 5 2 2 3" xfId="42943" xr:uid="{00000000-0005-0000-0000-0000E8660000}"/>
    <cellStyle name="Normal 15 3 2 2 5 2 3" xfId="22591" xr:uid="{00000000-0005-0000-0000-0000E9660000}"/>
    <cellStyle name="Normal 15 3 2 2 5 2 3 2" xfId="49724" xr:uid="{00000000-0005-0000-0000-0000EA660000}"/>
    <cellStyle name="Normal 15 3 2 2 5 2 4" xfId="36162" xr:uid="{00000000-0005-0000-0000-0000EB660000}"/>
    <cellStyle name="Normal 15 3 2 2 5 3" xfId="12415" xr:uid="{00000000-0005-0000-0000-0000EC660000}"/>
    <cellStyle name="Normal 15 3 2 2 5 3 2" xfId="25983" xr:uid="{00000000-0005-0000-0000-0000ED660000}"/>
    <cellStyle name="Normal 15 3 2 2 5 3 2 2" xfId="53116" xr:uid="{00000000-0005-0000-0000-0000EE660000}"/>
    <cellStyle name="Normal 15 3 2 2 5 3 3" xfId="39554" xr:uid="{00000000-0005-0000-0000-0000EF660000}"/>
    <cellStyle name="Normal 15 3 2 2 5 4" xfId="19202" xr:uid="{00000000-0005-0000-0000-0000F0660000}"/>
    <cellStyle name="Normal 15 3 2 2 5 4 2" xfId="46335" xr:uid="{00000000-0005-0000-0000-0000F1660000}"/>
    <cellStyle name="Normal 15 3 2 2 5 5" xfId="32773" xr:uid="{00000000-0005-0000-0000-0000F2660000}"/>
    <cellStyle name="Normal 15 3 2 2 6" xfId="9007" xr:uid="{00000000-0005-0000-0000-0000F3660000}"/>
    <cellStyle name="Normal 15 3 2 2 6 2" xfId="15797" xr:uid="{00000000-0005-0000-0000-0000F4660000}"/>
    <cellStyle name="Normal 15 3 2 2 6 2 2" xfId="29365" xr:uid="{00000000-0005-0000-0000-0000F5660000}"/>
    <cellStyle name="Normal 15 3 2 2 6 2 2 2" xfId="56498" xr:uid="{00000000-0005-0000-0000-0000F6660000}"/>
    <cellStyle name="Normal 15 3 2 2 6 2 3" xfId="42936" xr:uid="{00000000-0005-0000-0000-0000F7660000}"/>
    <cellStyle name="Normal 15 3 2 2 6 3" xfId="22584" xr:uid="{00000000-0005-0000-0000-0000F8660000}"/>
    <cellStyle name="Normal 15 3 2 2 6 3 2" xfId="49717" xr:uid="{00000000-0005-0000-0000-0000F9660000}"/>
    <cellStyle name="Normal 15 3 2 2 6 4" xfId="36155" xr:uid="{00000000-0005-0000-0000-0000FA660000}"/>
    <cellStyle name="Normal 15 3 2 2 7" xfId="12408" xr:uid="{00000000-0005-0000-0000-0000FB660000}"/>
    <cellStyle name="Normal 15 3 2 2 7 2" xfId="25976" xr:uid="{00000000-0005-0000-0000-0000FC660000}"/>
    <cellStyle name="Normal 15 3 2 2 7 2 2" xfId="53109" xr:uid="{00000000-0005-0000-0000-0000FD660000}"/>
    <cellStyle name="Normal 15 3 2 2 7 3" xfId="39547" xr:uid="{00000000-0005-0000-0000-0000FE660000}"/>
    <cellStyle name="Normal 15 3 2 2 8" xfId="19195" xr:uid="{00000000-0005-0000-0000-0000FF660000}"/>
    <cellStyle name="Normal 15 3 2 2 8 2" xfId="46328" xr:uid="{00000000-0005-0000-0000-000000670000}"/>
    <cellStyle name="Normal 15 3 2 2 9" xfId="32766" xr:uid="{00000000-0005-0000-0000-000001670000}"/>
    <cellStyle name="Normal 15 3 2 3" xfId="5469" xr:uid="{00000000-0005-0000-0000-000002670000}"/>
    <cellStyle name="Normal 15 3 2 3 2" xfId="5470" xr:uid="{00000000-0005-0000-0000-000003670000}"/>
    <cellStyle name="Normal 15 3 2 3 2 2" xfId="9016" xr:uid="{00000000-0005-0000-0000-000004670000}"/>
    <cellStyle name="Normal 15 3 2 3 2 2 2" xfId="15806" xr:uid="{00000000-0005-0000-0000-000005670000}"/>
    <cellStyle name="Normal 15 3 2 3 2 2 2 2" xfId="29374" xr:uid="{00000000-0005-0000-0000-000006670000}"/>
    <cellStyle name="Normal 15 3 2 3 2 2 2 2 2" xfId="56507" xr:uid="{00000000-0005-0000-0000-000007670000}"/>
    <cellStyle name="Normal 15 3 2 3 2 2 2 3" xfId="42945" xr:uid="{00000000-0005-0000-0000-000008670000}"/>
    <cellStyle name="Normal 15 3 2 3 2 2 3" xfId="22593" xr:uid="{00000000-0005-0000-0000-000009670000}"/>
    <cellStyle name="Normal 15 3 2 3 2 2 3 2" xfId="49726" xr:uid="{00000000-0005-0000-0000-00000A670000}"/>
    <cellStyle name="Normal 15 3 2 3 2 2 4" xfId="36164" xr:uid="{00000000-0005-0000-0000-00000B670000}"/>
    <cellStyle name="Normal 15 3 2 3 2 3" xfId="12417" xr:uid="{00000000-0005-0000-0000-00000C670000}"/>
    <cellStyle name="Normal 15 3 2 3 2 3 2" xfId="25985" xr:uid="{00000000-0005-0000-0000-00000D670000}"/>
    <cellStyle name="Normal 15 3 2 3 2 3 2 2" xfId="53118" xr:uid="{00000000-0005-0000-0000-00000E670000}"/>
    <cellStyle name="Normal 15 3 2 3 2 3 3" xfId="39556" xr:uid="{00000000-0005-0000-0000-00000F670000}"/>
    <cellStyle name="Normal 15 3 2 3 2 4" xfId="19204" xr:uid="{00000000-0005-0000-0000-000010670000}"/>
    <cellStyle name="Normal 15 3 2 3 2 4 2" xfId="46337" xr:uid="{00000000-0005-0000-0000-000011670000}"/>
    <cellStyle name="Normal 15 3 2 3 2 5" xfId="32775" xr:uid="{00000000-0005-0000-0000-000012670000}"/>
    <cellStyle name="Normal 15 3 2 3 3" xfId="5471" xr:uid="{00000000-0005-0000-0000-000013670000}"/>
    <cellStyle name="Normal 15 3 2 3 3 2" xfId="9017" xr:uid="{00000000-0005-0000-0000-000014670000}"/>
    <cellStyle name="Normal 15 3 2 3 3 2 2" xfId="15807" xr:uid="{00000000-0005-0000-0000-000015670000}"/>
    <cellStyle name="Normal 15 3 2 3 3 2 2 2" xfId="29375" xr:uid="{00000000-0005-0000-0000-000016670000}"/>
    <cellStyle name="Normal 15 3 2 3 3 2 2 2 2" xfId="56508" xr:uid="{00000000-0005-0000-0000-000017670000}"/>
    <cellStyle name="Normal 15 3 2 3 3 2 2 3" xfId="42946" xr:uid="{00000000-0005-0000-0000-000018670000}"/>
    <cellStyle name="Normal 15 3 2 3 3 2 3" xfId="22594" xr:uid="{00000000-0005-0000-0000-000019670000}"/>
    <cellStyle name="Normal 15 3 2 3 3 2 3 2" xfId="49727" xr:uid="{00000000-0005-0000-0000-00001A670000}"/>
    <cellStyle name="Normal 15 3 2 3 3 2 4" xfId="36165" xr:uid="{00000000-0005-0000-0000-00001B670000}"/>
    <cellStyle name="Normal 15 3 2 3 3 3" xfId="12418" xr:uid="{00000000-0005-0000-0000-00001C670000}"/>
    <cellStyle name="Normal 15 3 2 3 3 3 2" xfId="25986" xr:uid="{00000000-0005-0000-0000-00001D670000}"/>
    <cellStyle name="Normal 15 3 2 3 3 3 2 2" xfId="53119" xr:uid="{00000000-0005-0000-0000-00001E670000}"/>
    <cellStyle name="Normal 15 3 2 3 3 3 3" xfId="39557" xr:uid="{00000000-0005-0000-0000-00001F670000}"/>
    <cellStyle name="Normal 15 3 2 3 3 4" xfId="19205" xr:uid="{00000000-0005-0000-0000-000020670000}"/>
    <cellStyle name="Normal 15 3 2 3 3 4 2" xfId="46338" xr:uid="{00000000-0005-0000-0000-000021670000}"/>
    <cellStyle name="Normal 15 3 2 3 3 5" xfId="32776" xr:uid="{00000000-0005-0000-0000-000022670000}"/>
    <cellStyle name="Normal 15 3 2 3 4" xfId="9015" xr:uid="{00000000-0005-0000-0000-000023670000}"/>
    <cellStyle name="Normal 15 3 2 3 4 2" xfId="15805" xr:uid="{00000000-0005-0000-0000-000024670000}"/>
    <cellStyle name="Normal 15 3 2 3 4 2 2" xfId="29373" xr:uid="{00000000-0005-0000-0000-000025670000}"/>
    <cellStyle name="Normal 15 3 2 3 4 2 2 2" xfId="56506" xr:uid="{00000000-0005-0000-0000-000026670000}"/>
    <cellStyle name="Normal 15 3 2 3 4 2 3" xfId="42944" xr:uid="{00000000-0005-0000-0000-000027670000}"/>
    <cellStyle name="Normal 15 3 2 3 4 3" xfId="22592" xr:uid="{00000000-0005-0000-0000-000028670000}"/>
    <cellStyle name="Normal 15 3 2 3 4 3 2" xfId="49725" xr:uid="{00000000-0005-0000-0000-000029670000}"/>
    <cellStyle name="Normal 15 3 2 3 4 4" xfId="36163" xr:uid="{00000000-0005-0000-0000-00002A670000}"/>
    <cellStyle name="Normal 15 3 2 3 5" xfId="12416" xr:uid="{00000000-0005-0000-0000-00002B670000}"/>
    <cellStyle name="Normal 15 3 2 3 5 2" xfId="25984" xr:uid="{00000000-0005-0000-0000-00002C670000}"/>
    <cellStyle name="Normal 15 3 2 3 5 2 2" xfId="53117" xr:uid="{00000000-0005-0000-0000-00002D670000}"/>
    <cellStyle name="Normal 15 3 2 3 5 3" xfId="39555" xr:uid="{00000000-0005-0000-0000-00002E670000}"/>
    <cellStyle name="Normal 15 3 2 3 6" xfId="19203" xr:uid="{00000000-0005-0000-0000-00002F670000}"/>
    <cellStyle name="Normal 15 3 2 3 6 2" xfId="46336" xr:uid="{00000000-0005-0000-0000-000030670000}"/>
    <cellStyle name="Normal 15 3 2 3 7" xfId="32774" xr:uid="{00000000-0005-0000-0000-000031670000}"/>
    <cellStyle name="Normal 15 3 2 4" xfId="5472" xr:uid="{00000000-0005-0000-0000-000032670000}"/>
    <cellStyle name="Normal 15 3 2 4 2" xfId="5473" xr:uid="{00000000-0005-0000-0000-000033670000}"/>
    <cellStyle name="Normal 15 3 2 4 2 2" xfId="9019" xr:uid="{00000000-0005-0000-0000-000034670000}"/>
    <cellStyle name="Normal 15 3 2 4 2 2 2" xfId="15809" xr:uid="{00000000-0005-0000-0000-000035670000}"/>
    <cellStyle name="Normal 15 3 2 4 2 2 2 2" xfId="29377" xr:uid="{00000000-0005-0000-0000-000036670000}"/>
    <cellStyle name="Normal 15 3 2 4 2 2 2 2 2" xfId="56510" xr:uid="{00000000-0005-0000-0000-000037670000}"/>
    <cellStyle name="Normal 15 3 2 4 2 2 2 3" xfId="42948" xr:uid="{00000000-0005-0000-0000-000038670000}"/>
    <cellStyle name="Normal 15 3 2 4 2 2 3" xfId="22596" xr:uid="{00000000-0005-0000-0000-000039670000}"/>
    <cellStyle name="Normal 15 3 2 4 2 2 3 2" xfId="49729" xr:uid="{00000000-0005-0000-0000-00003A670000}"/>
    <cellStyle name="Normal 15 3 2 4 2 2 4" xfId="36167" xr:uid="{00000000-0005-0000-0000-00003B670000}"/>
    <cellStyle name="Normal 15 3 2 4 2 3" xfId="12420" xr:uid="{00000000-0005-0000-0000-00003C670000}"/>
    <cellStyle name="Normal 15 3 2 4 2 3 2" xfId="25988" xr:uid="{00000000-0005-0000-0000-00003D670000}"/>
    <cellStyle name="Normal 15 3 2 4 2 3 2 2" xfId="53121" xr:uid="{00000000-0005-0000-0000-00003E670000}"/>
    <cellStyle name="Normal 15 3 2 4 2 3 3" xfId="39559" xr:uid="{00000000-0005-0000-0000-00003F670000}"/>
    <cellStyle name="Normal 15 3 2 4 2 4" xfId="19207" xr:uid="{00000000-0005-0000-0000-000040670000}"/>
    <cellStyle name="Normal 15 3 2 4 2 4 2" xfId="46340" xr:uid="{00000000-0005-0000-0000-000041670000}"/>
    <cellStyle name="Normal 15 3 2 4 2 5" xfId="32778" xr:uid="{00000000-0005-0000-0000-000042670000}"/>
    <cellStyle name="Normal 15 3 2 4 3" xfId="9018" xr:uid="{00000000-0005-0000-0000-000043670000}"/>
    <cellStyle name="Normal 15 3 2 4 3 2" xfId="15808" xr:uid="{00000000-0005-0000-0000-000044670000}"/>
    <cellStyle name="Normal 15 3 2 4 3 2 2" xfId="29376" xr:uid="{00000000-0005-0000-0000-000045670000}"/>
    <cellStyle name="Normal 15 3 2 4 3 2 2 2" xfId="56509" xr:uid="{00000000-0005-0000-0000-000046670000}"/>
    <cellStyle name="Normal 15 3 2 4 3 2 3" xfId="42947" xr:uid="{00000000-0005-0000-0000-000047670000}"/>
    <cellStyle name="Normal 15 3 2 4 3 3" xfId="22595" xr:uid="{00000000-0005-0000-0000-000048670000}"/>
    <cellStyle name="Normal 15 3 2 4 3 3 2" xfId="49728" xr:uid="{00000000-0005-0000-0000-000049670000}"/>
    <cellStyle name="Normal 15 3 2 4 3 4" xfId="36166" xr:uid="{00000000-0005-0000-0000-00004A670000}"/>
    <cellStyle name="Normal 15 3 2 4 4" xfId="12419" xr:uid="{00000000-0005-0000-0000-00004B670000}"/>
    <cellStyle name="Normal 15 3 2 4 4 2" xfId="25987" xr:uid="{00000000-0005-0000-0000-00004C670000}"/>
    <cellStyle name="Normal 15 3 2 4 4 2 2" xfId="53120" xr:uid="{00000000-0005-0000-0000-00004D670000}"/>
    <cellStyle name="Normal 15 3 2 4 4 3" xfId="39558" xr:uid="{00000000-0005-0000-0000-00004E670000}"/>
    <cellStyle name="Normal 15 3 2 4 5" xfId="19206" xr:uid="{00000000-0005-0000-0000-00004F670000}"/>
    <cellStyle name="Normal 15 3 2 4 5 2" xfId="46339" xr:uid="{00000000-0005-0000-0000-000050670000}"/>
    <cellStyle name="Normal 15 3 2 4 6" xfId="32777" xr:uid="{00000000-0005-0000-0000-000051670000}"/>
    <cellStyle name="Normal 15 3 2 5" xfId="5474" xr:uid="{00000000-0005-0000-0000-000052670000}"/>
    <cellStyle name="Normal 15 3 2 5 2" xfId="9020" xr:uid="{00000000-0005-0000-0000-000053670000}"/>
    <cellStyle name="Normal 15 3 2 5 2 2" xfId="15810" xr:uid="{00000000-0005-0000-0000-000054670000}"/>
    <cellStyle name="Normal 15 3 2 5 2 2 2" xfId="29378" xr:uid="{00000000-0005-0000-0000-000055670000}"/>
    <cellStyle name="Normal 15 3 2 5 2 2 2 2" xfId="56511" xr:uid="{00000000-0005-0000-0000-000056670000}"/>
    <cellStyle name="Normal 15 3 2 5 2 2 3" xfId="42949" xr:uid="{00000000-0005-0000-0000-000057670000}"/>
    <cellStyle name="Normal 15 3 2 5 2 3" xfId="22597" xr:uid="{00000000-0005-0000-0000-000058670000}"/>
    <cellStyle name="Normal 15 3 2 5 2 3 2" xfId="49730" xr:uid="{00000000-0005-0000-0000-000059670000}"/>
    <cellStyle name="Normal 15 3 2 5 2 4" xfId="36168" xr:uid="{00000000-0005-0000-0000-00005A670000}"/>
    <cellStyle name="Normal 15 3 2 5 3" xfId="12421" xr:uid="{00000000-0005-0000-0000-00005B670000}"/>
    <cellStyle name="Normal 15 3 2 5 3 2" xfId="25989" xr:uid="{00000000-0005-0000-0000-00005C670000}"/>
    <cellStyle name="Normal 15 3 2 5 3 2 2" xfId="53122" xr:uid="{00000000-0005-0000-0000-00005D670000}"/>
    <cellStyle name="Normal 15 3 2 5 3 3" xfId="39560" xr:uid="{00000000-0005-0000-0000-00005E670000}"/>
    <cellStyle name="Normal 15 3 2 5 4" xfId="19208" xr:uid="{00000000-0005-0000-0000-00005F670000}"/>
    <cellStyle name="Normal 15 3 2 5 4 2" xfId="46341" xr:uid="{00000000-0005-0000-0000-000060670000}"/>
    <cellStyle name="Normal 15 3 2 5 5" xfId="32779" xr:uid="{00000000-0005-0000-0000-000061670000}"/>
    <cellStyle name="Normal 15 3 2 6" xfId="5475" xr:uid="{00000000-0005-0000-0000-000062670000}"/>
    <cellStyle name="Normal 15 3 2 6 2" xfId="9021" xr:uid="{00000000-0005-0000-0000-000063670000}"/>
    <cellStyle name="Normal 15 3 2 6 2 2" xfId="15811" xr:uid="{00000000-0005-0000-0000-000064670000}"/>
    <cellStyle name="Normal 15 3 2 6 2 2 2" xfId="29379" xr:uid="{00000000-0005-0000-0000-000065670000}"/>
    <cellStyle name="Normal 15 3 2 6 2 2 2 2" xfId="56512" xr:uid="{00000000-0005-0000-0000-000066670000}"/>
    <cellStyle name="Normal 15 3 2 6 2 2 3" xfId="42950" xr:uid="{00000000-0005-0000-0000-000067670000}"/>
    <cellStyle name="Normal 15 3 2 6 2 3" xfId="22598" xr:uid="{00000000-0005-0000-0000-000068670000}"/>
    <cellStyle name="Normal 15 3 2 6 2 3 2" xfId="49731" xr:uid="{00000000-0005-0000-0000-000069670000}"/>
    <cellStyle name="Normal 15 3 2 6 2 4" xfId="36169" xr:uid="{00000000-0005-0000-0000-00006A670000}"/>
    <cellStyle name="Normal 15 3 2 6 3" xfId="12422" xr:uid="{00000000-0005-0000-0000-00006B670000}"/>
    <cellStyle name="Normal 15 3 2 6 3 2" xfId="25990" xr:uid="{00000000-0005-0000-0000-00006C670000}"/>
    <cellStyle name="Normal 15 3 2 6 3 2 2" xfId="53123" xr:uid="{00000000-0005-0000-0000-00006D670000}"/>
    <cellStyle name="Normal 15 3 2 6 3 3" xfId="39561" xr:uid="{00000000-0005-0000-0000-00006E670000}"/>
    <cellStyle name="Normal 15 3 2 6 4" xfId="19209" xr:uid="{00000000-0005-0000-0000-00006F670000}"/>
    <cellStyle name="Normal 15 3 2 6 4 2" xfId="46342" xr:uid="{00000000-0005-0000-0000-000070670000}"/>
    <cellStyle name="Normal 15 3 2 6 5" xfId="32780" xr:uid="{00000000-0005-0000-0000-000071670000}"/>
    <cellStyle name="Normal 15 3 2 7" xfId="9006" xr:uid="{00000000-0005-0000-0000-000072670000}"/>
    <cellStyle name="Normal 15 3 2 7 2" xfId="15796" xr:uid="{00000000-0005-0000-0000-000073670000}"/>
    <cellStyle name="Normal 15 3 2 7 2 2" xfId="29364" xr:uid="{00000000-0005-0000-0000-000074670000}"/>
    <cellStyle name="Normal 15 3 2 7 2 2 2" xfId="56497" xr:uid="{00000000-0005-0000-0000-000075670000}"/>
    <cellStyle name="Normal 15 3 2 7 2 3" xfId="42935" xr:uid="{00000000-0005-0000-0000-000076670000}"/>
    <cellStyle name="Normal 15 3 2 7 3" xfId="22583" xr:uid="{00000000-0005-0000-0000-000077670000}"/>
    <cellStyle name="Normal 15 3 2 7 3 2" xfId="49716" xr:uid="{00000000-0005-0000-0000-000078670000}"/>
    <cellStyle name="Normal 15 3 2 7 4" xfId="36154" xr:uid="{00000000-0005-0000-0000-000079670000}"/>
    <cellStyle name="Normal 15 3 2 8" xfId="12407" xr:uid="{00000000-0005-0000-0000-00007A670000}"/>
    <cellStyle name="Normal 15 3 2 8 2" xfId="25975" xr:uid="{00000000-0005-0000-0000-00007B670000}"/>
    <cellStyle name="Normal 15 3 2 8 2 2" xfId="53108" xr:uid="{00000000-0005-0000-0000-00007C670000}"/>
    <cellStyle name="Normal 15 3 2 8 3" xfId="39546" xr:uid="{00000000-0005-0000-0000-00007D670000}"/>
    <cellStyle name="Normal 15 3 2 9" xfId="19194" xr:uid="{00000000-0005-0000-0000-00007E670000}"/>
    <cellStyle name="Normal 15 3 2 9 2" xfId="46327" xr:uid="{00000000-0005-0000-0000-00007F670000}"/>
    <cellStyle name="Normal 15 3 3" xfId="5476" xr:uid="{00000000-0005-0000-0000-000080670000}"/>
    <cellStyle name="Normal 15 3 3 2" xfId="5477" xr:uid="{00000000-0005-0000-0000-000081670000}"/>
    <cellStyle name="Normal 15 3 3 2 2" xfId="5478" xr:uid="{00000000-0005-0000-0000-000082670000}"/>
    <cellStyle name="Normal 15 3 3 2 2 2" xfId="9024" xr:uid="{00000000-0005-0000-0000-000083670000}"/>
    <cellStyle name="Normal 15 3 3 2 2 2 2" xfId="15814" xr:uid="{00000000-0005-0000-0000-000084670000}"/>
    <cellStyle name="Normal 15 3 3 2 2 2 2 2" xfId="29382" xr:uid="{00000000-0005-0000-0000-000085670000}"/>
    <cellStyle name="Normal 15 3 3 2 2 2 2 2 2" xfId="56515" xr:uid="{00000000-0005-0000-0000-000086670000}"/>
    <cellStyle name="Normal 15 3 3 2 2 2 2 3" xfId="42953" xr:uid="{00000000-0005-0000-0000-000087670000}"/>
    <cellStyle name="Normal 15 3 3 2 2 2 3" xfId="22601" xr:uid="{00000000-0005-0000-0000-000088670000}"/>
    <cellStyle name="Normal 15 3 3 2 2 2 3 2" xfId="49734" xr:uid="{00000000-0005-0000-0000-000089670000}"/>
    <cellStyle name="Normal 15 3 3 2 2 2 4" xfId="36172" xr:uid="{00000000-0005-0000-0000-00008A670000}"/>
    <cellStyle name="Normal 15 3 3 2 2 3" xfId="12425" xr:uid="{00000000-0005-0000-0000-00008B670000}"/>
    <cellStyle name="Normal 15 3 3 2 2 3 2" xfId="25993" xr:uid="{00000000-0005-0000-0000-00008C670000}"/>
    <cellStyle name="Normal 15 3 3 2 2 3 2 2" xfId="53126" xr:uid="{00000000-0005-0000-0000-00008D670000}"/>
    <cellStyle name="Normal 15 3 3 2 2 3 3" xfId="39564" xr:uid="{00000000-0005-0000-0000-00008E670000}"/>
    <cellStyle name="Normal 15 3 3 2 2 4" xfId="19212" xr:uid="{00000000-0005-0000-0000-00008F670000}"/>
    <cellStyle name="Normal 15 3 3 2 2 4 2" xfId="46345" xr:uid="{00000000-0005-0000-0000-000090670000}"/>
    <cellStyle name="Normal 15 3 3 2 2 5" xfId="32783" xr:uid="{00000000-0005-0000-0000-000091670000}"/>
    <cellStyle name="Normal 15 3 3 2 3" xfId="5479" xr:uid="{00000000-0005-0000-0000-000092670000}"/>
    <cellStyle name="Normal 15 3 3 2 3 2" xfId="9025" xr:uid="{00000000-0005-0000-0000-000093670000}"/>
    <cellStyle name="Normal 15 3 3 2 3 2 2" xfId="15815" xr:uid="{00000000-0005-0000-0000-000094670000}"/>
    <cellStyle name="Normal 15 3 3 2 3 2 2 2" xfId="29383" xr:uid="{00000000-0005-0000-0000-000095670000}"/>
    <cellStyle name="Normal 15 3 3 2 3 2 2 2 2" xfId="56516" xr:uid="{00000000-0005-0000-0000-000096670000}"/>
    <cellStyle name="Normal 15 3 3 2 3 2 2 3" xfId="42954" xr:uid="{00000000-0005-0000-0000-000097670000}"/>
    <cellStyle name="Normal 15 3 3 2 3 2 3" xfId="22602" xr:uid="{00000000-0005-0000-0000-000098670000}"/>
    <cellStyle name="Normal 15 3 3 2 3 2 3 2" xfId="49735" xr:uid="{00000000-0005-0000-0000-000099670000}"/>
    <cellStyle name="Normal 15 3 3 2 3 2 4" xfId="36173" xr:uid="{00000000-0005-0000-0000-00009A670000}"/>
    <cellStyle name="Normal 15 3 3 2 3 3" xfId="12426" xr:uid="{00000000-0005-0000-0000-00009B670000}"/>
    <cellStyle name="Normal 15 3 3 2 3 3 2" xfId="25994" xr:uid="{00000000-0005-0000-0000-00009C670000}"/>
    <cellStyle name="Normal 15 3 3 2 3 3 2 2" xfId="53127" xr:uid="{00000000-0005-0000-0000-00009D670000}"/>
    <cellStyle name="Normal 15 3 3 2 3 3 3" xfId="39565" xr:uid="{00000000-0005-0000-0000-00009E670000}"/>
    <cellStyle name="Normal 15 3 3 2 3 4" xfId="19213" xr:uid="{00000000-0005-0000-0000-00009F670000}"/>
    <cellStyle name="Normal 15 3 3 2 3 4 2" xfId="46346" xr:uid="{00000000-0005-0000-0000-0000A0670000}"/>
    <cellStyle name="Normal 15 3 3 2 3 5" xfId="32784" xr:uid="{00000000-0005-0000-0000-0000A1670000}"/>
    <cellStyle name="Normal 15 3 3 2 4" xfId="9023" xr:uid="{00000000-0005-0000-0000-0000A2670000}"/>
    <cellStyle name="Normal 15 3 3 2 4 2" xfId="15813" xr:uid="{00000000-0005-0000-0000-0000A3670000}"/>
    <cellStyle name="Normal 15 3 3 2 4 2 2" xfId="29381" xr:uid="{00000000-0005-0000-0000-0000A4670000}"/>
    <cellStyle name="Normal 15 3 3 2 4 2 2 2" xfId="56514" xr:uid="{00000000-0005-0000-0000-0000A5670000}"/>
    <cellStyle name="Normal 15 3 3 2 4 2 3" xfId="42952" xr:uid="{00000000-0005-0000-0000-0000A6670000}"/>
    <cellStyle name="Normal 15 3 3 2 4 3" xfId="22600" xr:uid="{00000000-0005-0000-0000-0000A7670000}"/>
    <cellStyle name="Normal 15 3 3 2 4 3 2" xfId="49733" xr:uid="{00000000-0005-0000-0000-0000A8670000}"/>
    <cellStyle name="Normal 15 3 3 2 4 4" xfId="36171" xr:uid="{00000000-0005-0000-0000-0000A9670000}"/>
    <cellStyle name="Normal 15 3 3 2 5" xfId="12424" xr:uid="{00000000-0005-0000-0000-0000AA670000}"/>
    <cellStyle name="Normal 15 3 3 2 5 2" xfId="25992" xr:uid="{00000000-0005-0000-0000-0000AB670000}"/>
    <cellStyle name="Normal 15 3 3 2 5 2 2" xfId="53125" xr:uid="{00000000-0005-0000-0000-0000AC670000}"/>
    <cellStyle name="Normal 15 3 3 2 5 3" xfId="39563" xr:uid="{00000000-0005-0000-0000-0000AD670000}"/>
    <cellStyle name="Normal 15 3 3 2 6" xfId="19211" xr:uid="{00000000-0005-0000-0000-0000AE670000}"/>
    <cellStyle name="Normal 15 3 3 2 6 2" xfId="46344" xr:uid="{00000000-0005-0000-0000-0000AF670000}"/>
    <cellStyle name="Normal 15 3 3 2 7" xfId="32782" xr:uid="{00000000-0005-0000-0000-0000B0670000}"/>
    <cellStyle name="Normal 15 3 3 3" xfId="5480" xr:uid="{00000000-0005-0000-0000-0000B1670000}"/>
    <cellStyle name="Normal 15 3 3 3 2" xfId="5481" xr:uid="{00000000-0005-0000-0000-0000B2670000}"/>
    <cellStyle name="Normal 15 3 3 3 2 2" xfId="9027" xr:uid="{00000000-0005-0000-0000-0000B3670000}"/>
    <cellStyle name="Normal 15 3 3 3 2 2 2" xfId="15817" xr:uid="{00000000-0005-0000-0000-0000B4670000}"/>
    <cellStyle name="Normal 15 3 3 3 2 2 2 2" xfId="29385" xr:uid="{00000000-0005-0000-0000-0000B5670000}"/>
    <cellStyle name="Normal 15 3 3 3 2 2 2 2 2" xfId="56518" xr:uid="{00000000-0005-0000-0000-0000B6670000}"/>
    <cellStyle name="Normal 15 3 3 3 2 2 2 3" xfId="42956" xr:uid="{00000000-0005-0000-0000-0000B7670000}"/>
    <cellStyle name="Normal 15 3 3 3 2 2 3" xfId="22604" xr:uid="{00000000-0005-0000-0000-0000B8670000}"/>
    <cellStyle name="Normal 15 3 3 3 2 2 3 2" xfId="49737" xr:uid="{00000000-0005-0000-0000-0000B9670000}"/>
    <cellStyle name="Normal 15 3 3 3 2 2 4" xfId="36175" xr:uid="{00000000-0005-0000-0000-0000BA670000}"/>
    <cellStyle name="Normal 15 3 3 3 2 3" xfId="12428" xr:uid="{00000000-0005-0000-0000-0000BB670000}"/>
    <cellStyle name="Normal 15 3 3 3 2 3 2" xfId="25996" xr:uid="{00000000-0005-0000-0000-0000BC670000}"/>
    <cellStyle name="Normal 15 3 3 3 2 3 2 2" xfId="53129" xr:uid="{00000000-0005-0000-0000-0000BD670000}"/>
    <cellStyle name="Normal 15 3 3 3 2 3 3" xfId="39567" xr:uid="{00000000-0005-0000-0000-0000BE670000}"/>
    <cellStyle name="Normal 15 3 3 3 2 4" xfId="19215" xr:uid="{00000000-0005-0000-0000-0000BF670000}"/>
    <cellStyle name="Normal 15 3 3 3 2 4 2" xfId="46348" xr:uid="{00000000-0005-0000-0000-0000C0670000}"/>
    <cellStyle name="Normal 15 3 3 3 2 5" xfId="32786" xr:uid="{00000000-0005-0000-0000-0000C1670000}"/>
    <cellStyle name="Normal 15 3 3 3 3" xfId="9026" xr:uid="{00000000-0005-0000-0000-0000C2670000}"/>
    <cellStyle name="Normal 15 3 3 3 3 2" xfId="15816" xr:uid="{00000000-0005-0000-0000-0000C3670000}"/>
    <cellStyle name="Normal 15 3 3 3 3 2 2" xfId="29384" xr:uid="{00000000-0005-0000-0000-0000C4670000}"/>
    <cellStyle name="Normal 15 3 3 3 3 2 2 2" xfId="56517" xr:uid="{00000000-0005-0000-0000-0000C5670000}"/>
    <cellStyle name="Normal 15 3 3 3 3 2 3" xfId="42955" xr:uid="{00000000-0005-0000-0000-0000C6670000}"/>
    <cellStyle name="Normal 15 3 3 3 3 3" xfId="22603" xr:uid="{00000000-0005-0000-0000-0000C7670000}"/>
    <cellStyle name="Normal 15 3 3 3 3 3 2" xfId="49736" xr:uid="{00000000-0005-0000-0000-0000C8670000}"/>
    <cellStyle name="Normal 15 3 3 3 3 4" xfId="36174" xr:uid="{00000000-0005-0000-0000-0000C9670000}"/>
    <cellStyle name="Normal 15 3 3 3 4" xfId="12427" xr:uid="{00000000-0005-0000-0000-0000CA670000}"/>
    <cellStyle name="Normal 15 3 3 3 4 2" xfId="25995" xr:uid="{00000000-0005-0000-0000-0000CB670000}"/>
    <cellStyle name="Normal 15 3 3 3 4 2 2" xfId="53128" xr:uid="{00000000-0005-0000-0000-0000CC670000}"/>
    <cellStyle name="Normal 15 3 3 3 4 3" xfId="39566" xr:uid="{00000000-0005-0000-0000-0000CD670000}"/>
    <cellStyle name="Normal 15 3 3 3 5" xfId="19214" xr:uid="{00000000-0005-0000-0000-0000CE670000}"/>
    <cellStyle name="Normal 15 3 3 3 5 2" xfId="46347" xr:uid="{00000000-0005-0000-0000-0000CF670000}"/>
    <cellStyle name="Normal 15 3 3 3 6" xfId="32785" xr:uid="{00000000-0005-0000-0000-0000D0670000}"/>
    <cellStyle name="Normal 15 3 3 4" xfId="5482" xr:uid="{00000000-0005-0000-0000-0000D1670000}"/>
    <cellStyle name="Normal 15 3 3 4 2" xfId="9028" xr:uid="{00000000-0005-0000-0000-0000D2670000}"/>
    <cellStyle name="Normal 15 3 3 4 2 2" xfId="15818" xr:uid="{00000000-0005-0000-0000-0000D3670000}"/>
    <cellStyle name="Normal 15 3 3 4 2 2 2" xfId="29386" xr:uid="{00000000-0005-0000-0000-0000D4670000}"/>
    <cellStyle name="Normal 15 3 3 4 2 2 2 2" xfId="56519" xr:uid="{00000000-0005-0000-0000-0000D5670000}"/>
    <cellStyle name="Normal 15 3 3 4 2 2 3" xfId="42957" xr:uid="{00000000-0005-0000-0000-0000D6670000}"/>
    <cellStyle name="Normal 15 3 3 4 2 3" xfId="22605" xr:uid="{00000000-0005-0000-0000-0000D7670000}"/>
    <cellStyle name="Normal 15 3 3 4 2 3 2" xfId="49738" xr:uid="{00000000-0005-0000-0000-0000D8670000}"/>
    <cellStyle name="Normal 15 3 3 4 2 4" xfId="36176" xr:uid="{00000000-0005-0000-0000-0000D9670000}"/>
    <cellStyle name="Normal 15 3 3 4 3" xfId="12429" xr:uid="{00000000-0005-0000-0000-0000DA670000}"/>
    <cellStyle name="Normal 15 3 3 4 3 2" xfId="25997" xr:uid="{00000000-0005-0000-0000-0000DB670000}"/>
    <cellStyle name="Normal 15 3 3 4 3 2 2" xfId="53130" xr:uid="{00000000-0005-0000-0000-0000DC670000}"/>
    <cellStyle name="Normal 15 3 3 4 3 3" xfId="39568" xr:uid="{00000000-0005-0000-0000-0000DD670000}"/>
    <cellStyle name="Normal 15 3 3 4 4" xfId="19216" xr:uid="{00000000-0005-0000-0000-0000DE670000}"/>
    <cellStyle name="Normal 15 3 3 4 4 2" xfId="46349" xr:uid="{00000000-0005-0000-0000-0000DF670000}"/>
    <cellStyle name="Normal 15 3 3 4 5" xfId="32787" xr:uid="{00000000-0005-0000-0000-0000E0670000}"/>
    <cellStyle name="Normal 15 3 3 5" xfId="5483" xr:uid="{00000000-0005-0000-0000-0000E1670000}"/>
    <cellStyle name="Normal 15 3 3 5 2" xfId="9029" xr:uid="{00000000-0005-0000-0000-0000E2670000}"/>
    <cellStyle name="Normal 15 3 3 5 2 2" xfId="15819" xr:uid="{00000000-0005-0000-0000-0000E3670000}"/>
    <cellStyle name="Normal 15 3 3 5 2 2 2" xfId="29387" xr:uid="{00000000-0005-0000-0000-0000E4670000}"/>
    <cellStyle name="Normal 15 3 3 5 2 2 2 2" xfId="56520" xr:uid="{00000000-0005-0000-0000-0000E5670000}"/>
    <cellStyle name="Normal 15 3 3 5 2 2 3" xfId="42958" xr:uid="{00000000-0005-0000-0000-0000E6670000}"/>
    <cellStyle name="Normal 15 3 3 5 2 3" xfId="22606" xr:uid="{00000000-0005-0000-0000-0000E7670000}"/>
    <cellStyle name="Normal 15 3 3 5 2 3 2" xfId="49739" xr:uid="{00000000-0005-0000-0000-0000E8670000}"/>
    <cellStyle name="Normal 15 3 3 5 2 4" xfId="36177" xr:uid="{00000000-0005-0000-0000-0000E9670000}"/>
    <cellStyle name="Normal 15 3 3 5 3" xfId="12430" xr:uid="{00000000-0005-0000-0000-0000EA670000}"/>
    <cellStyle name="Normal 15 3 3 5 3 2" xfId="25998" xr:uid="{00000000-0005-0000-0000-0000EB670000}"/>
    <cellStyle name="Normal 15 3 3 5 3 2 2" xfId="53131" xr:uid="{00000000-0005-0000-0000-0000EC670000}"/>
    <cellStyle name="Normal 15 3 3 5 3 3" xfId="39569" xr:uid="{00000000-0005-0000-0000-0000ED670000}"/>
    <cellStyle name="Normal 15 3 3 5 4" xfId="19217" xr:uid="{00000000-0005-0000-0000-0000EE670000}"/>
    <cellStyle name="Normal 15 3 3 5 4 2" xfId="46350" xr:uid="{00000000-0005-0000-0000-0000EF670000}"/>
    <cellStyle name="Normal 15 3 3 5 5" xfId="32788" xr:uid="{00000000-0005-0000-0000-0000F0670000}"/>
    <cellStyle name="Normal 15 3 3 6" xfId="9022" xr:uid="{00000000-0005-0000-0000-0000F1670000}"/>
    <cellStyle name="Normal 15 3 3 6 2" xfId="15812" xr:uid="{00000000-0005-0000-0000-0000F2670000}"/>
    <cellStyle name="Normal 15 3 3 6 2 2" xfId="29380" xr:uid="{00000000-0005-0000-0000-0000F3670000}"/>
    <cellStyle name="Normal 15 3 3 6 2 2 2" xfId="56513" xr:uid="{00000000-0005-0000-0000-0000F4670000}"/>
    <cellStyle name="Normal 15 3 3 6 2 3" xfId="42951" xr:uid="{00000000-0005-0000-0000-0000F5670000}"/>
    <cellStyle name="Normal 15 3 3 6 3" xfId="22599" xr:uid="{00000000-0005-0000-0000-0000F6670000}"/>
    <cellStyle name="Normal 15 3 3 6 3 2" xfId="49732" xr:uid="{00000000-0005-0000-0000-0000F7670000}"/>
    <cellStyle name="Normal 15 3 3 6 4" xfId="36170" xr:uid="{00000000-0005-0000-0000-0000F8670000}"/>
    <cellStyle name="Normal 15 3 3 7" xfId="12423" xr:uid="{00000000-0005-0000-0000-0000F9670000}"/>
    <cellStyle name="Normal 15 3 3 7 2" xfId="25991" xr:uid="{00000000-0005-0000-0000-0000FA670000}"/>
    <cellStyle name="Normal 15 3 3 7 2 2" xfId="53124" xr:uid="{00000000-0005-0000-0000-0000FB670000}"/>
    <cellStyle name="Normal 15 3 3 7 3" xfId="39562" xr:uid="{00000000-0005-0000-0000-0000FC670000}"/>
    <cellStyle name="Normal 15 3 3 8" xfId="19210" xr:uid="{00000000-0005-0000-0000-0000FD670000}"/>
    <cellStyle name="Normal 15 3 3 8 2" xfId="46343" xr:uid="{00000000-0005-0000-0000-0000FE670000}"/>
    <cellStyle name="Normal 15 3 3 9" xfId="32781" xr:uid="{00000000-0005-0000-0000-0000FF670000}"/>
    <cellStyle name="Normal 15 3 4" xfId="5484" xr:uid="{00000000-0005-0000-0000-000000680000}"/>
    <cellStyle name="Normal 15 3 4 2" xfId="5485" xr:uid="{00000000-0005-0000-0000-000001680000}"/>
    <cellStyle name="Normal 15 3 4 2 2" xfId="5486" xr:uid="{00000000-0005-0000-0000-000002680000}"/>
    <cellStyle name="Normal 15 3 4 2 2 2" xfId="9032" xr:uid="{00000000-0005-0000-0000-000003680000}"/>
    <cellStyle name="Normal 15 3 4 2 2 2 2" xfId="15822" xr:uid="{00000000-0005-0000-0000-000004680000}"/>
    <cellStyle name="Normal 15 3 4 2 2 2 2 2" xfId="29390" xr:uid="{00000000-0005-0000-0000-000005680000}"/>
    <cellStyle name="Normal 15 3 4 2 2 2 2 2 2" xfId="56523" xr:uid="{00000000-0005-0000-0000-000006680000}"/>
    <cellStyle name="Normal 15 3 4 2 2 2 2 3" xfId="42961" xr:uid="{00000000-0005-0000-0000-000007680000}"/>
    <cellStyle name="Normal 15 3 4 2 2 2 3" xfId="22609" xr:uid="{00000000-0005-0000-0000-000008680000}"/>
    <cellStyle name="Normal 15 3 4 2 2 2 3 2" xfId="49742" xr:uid="{00000000-0005-0000-0000-000009680000}"/>
    <cellStyle name="Normal 15 3 4 2 2 2 4" xfId="36180" xr:uid="{00000000-0005-0000-0000-00000A680000}"/>
    <cellStyle name="Normal 15 3 4 2 2 3" xfId="12433" xr:uid="{00000000-0005-0000-0000-00000B680000}"/>
    <cellStyle name="Normal 15 3 4 2 2 3 2" xfId="26001" xr:uid="{00000000-0005-0000-0000-00000C680000}"/>
    <cellStyle name="Normal 15 3 4 2 2 3 2 2" xfId="53134" xr:uid="{00000000-0005-0000-0000-00000D680000}"/>
    <cellStyle name="Normal 15 3 4 2 2 3 3" xfId="39572" xr:uid="{00000000-0005-0000-0000-00000E680000}"/>
    <cellStyle name="Normal 15 3 4 2 2 4" xfId="19220" xr:uid="{00000000-0005-0000-0000-00000F680000}"/>
    <cellStyle name="Normal 15 3 4 2 2 4 2" xfId="46353" xr:uid="{00000000-0005-0000-0000-000010680000}"/>
    <cellStyle name="Normal 15 3 4 2 2 5" xfId="32791" xr:uid="{00000000-0005-0000-0000-000011680000}"/>
    <cellStyle name="Normal 15 3 4 2 3" xfId="5487" xr:uid="{00000000-0005-0000-0000-000012680000}"/>
    <cellStyle name="Normal 15 3 4 2 3 2" xfId="9033" xr:uid="{00000000-0005-0000-0000-000013680000}"/>
    <cellStyle name="Normal 15 3 4 2 3 2 2" xfId="15823" xr:uid="{00000000-0005-0000-0000-000014680000}"/>
    <cellStyle name="Normal 15 3 4 2 3 2 2 2" xfId="29391" xr:uid="{00000000-0005-0000-0000-000015680000}"/>
    <cellStyle name="Normal 15 3 4 2 3 2 2 2 2" xfId="56524" xr:uid="{00000000-0005-0000-0000-000016680000}"/>
    <cellStyle name="Normal 15 3 4 2 3 2 2 3" xfId="42962" xr:uid="{00000000-0005-0000-0000-000017680000}"/>
    <cellStyle name="Normal 15 3 4 2 3 2 3" xfId="22610" xr:uid="{00000000-0005-0000-0000-000018680000}"/>
    <cellStyle name="Normal 15 3 4 2 3 2 3 2" xfId="49743" xr:uid="{00000000-0005-0000-0000-000019680000}"/>
    <cellStyle name="Normal 15 3 4 2 3 2 4" xfId="36181" xr:uid="{00000000-0005-0000-0000-00001A680000}"/>
    <cellStyle name="Normal 15 3 4 2 3 3" xfId="12434" xr:uid="{00000000-0005-0000-0000-00001B680000}"/>
    <cellStyle name="Normal 15 3 4 2 3 3 2" xfId="26002" xr:uid="{00000000-0005-0000-0000-00001C680000}"/>
    <cellStyle name="Normal 15 3 4 2 3 3 2 2" xfId="53135" xr:uid="{00000000-0005-0000-0000-00001D680000}"/>
    <cellStyle name="Normal 15 3 4 2 3 3 3" xfId="39573" xr:uid="{00000000-0005-0000-0000-00001E680000}"/>
    <cellStyle name="Normal 15 3 4 2 3 4" xfId="19221" xr:uid="{00000000-0005-0000-0000-00001F680000}"/>
    <cellStyle name="Normal 15 3 4 2 3 4 2" xfId="46354" xr:uid="{00000000-0005-0000-0000-000020680000}"/>
    <cellStyle name="Normal 15 3 4 2 3 5" xfId="32792" xr:uid="{00000000-0005-0000-0000-000021680000}"/>
    <cellStyle name="Normal 15 3 4 2 4" xfId="9031" xr:uid="{00000000-0005-0000-0000-000022680000}"/>
    <cellStyle name="Normal 15 3 4 2 4 2" xfId="15821" xr:uid="{00000000-0005-0000-0000-000023680000}"/>
    <cellStyle name="Normal 15 3 4 2 4 2 2" xfId="29389" xr:uid="{00000000-0005-0000-0000-000024680000}"/>
    <cellStyle name="Normal 15 3 4 2 4 2 2 2" xfId="56522" xr:uid="{00000000-0005-0000-0000-000025680000}"/>
    <cellStyle name="Normal 15 3 4 2 4 2 3" xfId="42960" xr:uid="{00000000-0005-0000-0000-000026680000}"/>
    <cellStyle name="Normal 15 3 4 2 4 3" xfId="22608" xr:uid="{00000000-0005-0000-0000-000027680000}"/>
    <cellStyle name="Normal 15 3 4 2 4 3 2" xfId="49741" xr:uid="{00000000-0005-0000-0000-000028680000}"/>
    <cellStyle name="Normal 15 3 4 2 4 4" xfId="36179" xr:uid="{00000000-0005-0000-0000-000029680000}"/>
    <cellStyle name="Normal 15 3 4 2 5" xfId="12432" xr:uid="{00000000-0005-0000-0000-00002A680000}"/>
    <cellStyle name="Normal 15 3 4 2 5 2" xfId="26000" xr:uid="{00000000-0005-0000-0000-00002B680000}"/>
    <cellStyle name="Normal 15 3 4 2 5 2 2" xfId="53133" xr:uid="{00000000-0005-0000-0000-00002C680000}"/>
    <cellStyle name="Normal 15 3 4 2 5 3" xfId="39571" xr:uid="{00000000-0005-0000-0000-00002D680000}"/>
    <cellStyle name="Normal 15 3 4 2 6" xfId="19219" xr:uid="{00000000-0005-0000-0000-00002E680000}"/>
    <cellStyle name="Normal 15 3 4 2 6 2" xfId="46352" xr:uid="{00000000-0005-0000-0000-00002F680000}"/>
    <cellStyle name="Normal 15 3 4 2 7" xfId="32790" xr:uid="{00000000-0005-0000-0000-000030680000}"/>
    <cellStyle name="Normal 15 3 4 3" xfId="5488" xr:uid="{00000000-0005-0000-0000-000031680000}"/>
    <cellStyle name="Normal 15 3 4 3 2" xfId="9034" xr:uid="{00000000-0005-0000-0000-000032680000}"/>
    <cellStyle name="Normal 15 3 4 3 2 2" xfId="15824" xr:uid="{00000000-0005-0000-0000-000033680000}"/>
    <cellStyle name="Normal 15 3 4 3 2 2 2" xfId="29392" xr:uid="{00000000-0005-0000-0000-000034680000}"/>
    <cellStyle name="Normal 15 3 4 3 2 2 2 2" xfId="56525" xr:uid="{00000000-0005-0000-0000-000035680000}"/>
    <cellStyle name="Normal 15 3 4 3 2 2 3" xfId="42963" xr:uid="{00000000-0005-0000-0000-000036680000}"/>
    <cellStyle name="Normal 15 3 4 3 2 3" xfId="22611" xr:uid="{00000000-0005-0000-0000-000037680000}"/>
    <cellStyle name="Normal 15 3 4 3 2 3 2" xfId="49744" xr:uid="{00000000-0005-0000-0000-000038680000}"/>
    <cellStyle name="Normal 15 3 4 3 2 4" xfId="36182" xr:uid="{00000000-0005-0000-0000-000039680000}"/>
    <cellStyle name="Normal 15 3 4 3 3" xfId="12435" xr:uid="{00000000-0005-0000-0000-00003A680000}"/>
    <cellStyle name="Normal 15 3 4 3 3 2" xfId="26003" xr:uid="{00000000-0005-0000-0000-00003B680000}"/>
    <cellStyle name="Normal 15 3 4 3 3 2 2" xfId="53136" xr:uid="{00000000-0005-0000-0000-00003C680000}"/>
    <cellStyle name="Normal 15 3 4 3 3 3" xfId="39574" xr:uid="{00000000-0005-0000-0000-00003D680000}"/>
    <cellStyle name="Normal 15 3 4 3 4" xfId="19222" xr:uid="{00000000-0005-0000-0000-00003E680000}"/>
    <cellStyle name="Normal 15 3 4 3 4 2" xfId="46355" xr:uid="{00000000-0005-0000-0000-00003F680000}"/>
    <cellStyle name="Normal 15 3 4 3 5" xfId="32793" xr:uid="{00000000-0005-0000-0000-000040680000}"/>
    <cellStyle name="Normal 15 3 4 4" xfId="5489" xr:uid="{00000000-0005-0000-0000-000041680000}"/>
    <cellStyle name="Normal 15 3 4 4 2" xfId="9035" xr:uid="{00000000-0005-0000-0000-000042680000}"/>
    <cellStyle name="Normal 15 3 4 4 2 2" xfId="15825" xr:uid="{00000000-0005-0000-0000-000043680000}"/>
    <cellStyle name="Normal 15 3 4 4 2 2 2" xfId="29393" xr:uid="{00000000-0005-0000-0000-000044680000}"/>
    <cellStyle name="Normal 15 3 4 4 2 2 2 2" xfId="56526" xr:uid="{00000000-0005-0000-0000-000045680000}"/>
    <cellStyle name="Normal 15 3 4 4 2 2 3" xfId="42964" xr:uid="{00000000-0005-0000-0000-000046680000}"/>
    <cellStyle name="Normal 15 3 4 4 2 3" xfId="22612" xr:uid="{00000000-0005-0000-0000-000047680000}"/>
    <cellStyle name="Normal 15 3 4 4 2 3 2" xfId="49745" xr:uid="{00000000-0005-0000-0000-000048680000}"/>
    <cellStyle name="Normal 15 3 4 4 2 4" xfId="36183" xr:uid="{00000000-0005-0000-0000-000049680000}"/>
    <cellStyle name="Normal 15 3 4 4 3" xfId="12436" xr:uid="{00000000-0005-0000-0000-00004A680000}"/>
    <cellStyle name="Normal 15 3 4 4 3 2" xfId="26004" xr:uid="{00000000-0005-0000-0000-00004B680000}"/>
    <cellStyle name="Normal 15 3 4 4 3 2 2" xfId="53137" xr:uid="{00000000-0005-0000-0000-00004C680000}"/>
    <cellStyle name="Normal 15 3 4 4 3 3" xfId="39575" xr:uid="{00000000-0005-0000-0000-00004D680000}"/>
    <cellStyle name="Normal 15 3 4 4 4" xfId="19223" xr:uid="{00000000-0005-0000-0000-00004E680000}"/>
    <cellStyle name="Normal 15 3 4 4 4 2" xfId="46356" xr:uid="{00000000-0005-0000-0000-00004F680000}"/>
    <cellStyle name="Normal 15 3 4 4 5" xfId="32794" xr:uid="{00000000-0005-0000-0000-000050680000}"/>
    <cellStyle name="Normal 15 3 4 5" xfId="9030" xr:uid="{00000000-0005-0000-0000-000051680000}"/>
    <cellStyle name="Normal 15 3 4 5 2" xfId="15820" xr:uid="{00000000-0005-0000-0000-000052680000}"/>
    <cellStyle name="Normal 15 3 4 5 2 2" xfId="29388" xr:uid="{00000000-0005-0000-0000-000053680000}"/>
    <cellStyle name="Normal 15 3 4 5 2 2 2" xfId="56521" xr:uid="{00000000-0005-0000-0000-000054680000}"/>
    <cellStyle name="Normal 15 3 4 5 2 3" xfId="42959" xr:uid="{00000000-0005-0000-0000-000055680000}"/>
    <cellStyle name="Normal 15 3 4 5 3" xfId="22607" xr:uid="{00000000-0005-0000-0000-000056680000}"/>
    <cellStyle name="Normal 15 3 4 5 3 2" xfId="49740" xr:uid="{00000000-0005-0000-0000-000057680000}"/>
    <cellStyle name="Normal 15 3 4 5 4" xfId="36178" xr:uid="{00000000-0005-0000-0000-000058680000}"/>
    <cellStyle name="Normal 15 3 4 6" xfId="12431" xr:uid="{00000000-0005-0000-0000-000059680000}"/>
    <cellStyle name="Normal 15 3 4 6 2" xfId="25999" xr:uid="{00000000-0005-0000-0000-00005A680000}"/>
    <cellStyle name="Normal 15 3 4 6 2 2" xfId="53132" xr:uid="{00000000-0005-0000-0000-00005B680000}"/>
    <cellStyle name="Normal 15 3 4 6 3" xfId="39570" xr:uid="{00000000-0005-0000-0000-00005C680000}"/>
    <cellStyle name="Normal 15 3 4 7" xfId="19218" xr:uid="{00000000-0005-0000-0000-00005D680000}"/>
    <cellStyle name="Normal 15 3 4 7 2" xfId="46351" xr:uid="{00000000-0005-0000-0000-00005E680000}"/>
    <cellStyle name="Normal 15 3 4 8" xfId="32789" xr:uid="{00000000-0005-0000-0000-00005F680000}"/>
    <cellStyle name="Normal 15 3 5" xfId="5490" xr:uid="{00000000-0005-0000-0000-000060680000}"/>
    <cellStyle name="Normal 15 3 5 2" xfId="5491" xr:uid="{00000000-0005-0000-0000-000061680000}"/>
    <cellStyle name="Normal 15 3 5 2 2" xfId="9037" xr:uid="{00000000-0005-0000-0000-000062680000}"/>
    <cellStyle name="Normal 15 3 5 2 2 2" xfId="15827" xr:uid="{00000000-0005-0000-0000-000063680000}"/>
    <cellStyle name="Normal 15 3 5 2 2 2 2" xfId="29395" xr:uid="{00000000-0005-0000-0000-000064680000}"/>
    <cellStyle name="Normal 15 3 5 2 2 2 2 2" xfId="56528" xr:uid="{00000000-0005-0000-0000-000065680000}"/>
    <cellStyle name="Normal 15 3 5 2 2 2 3" xfId="42966" xr:uid="{00000000-0005-0000-0000-000066680000}"/>
    <cellStyle name="Normal 15 3 5 2 2 3" xfId="22614" xr:uid="{00000000-0005-0000-0000-000067680000}"/>
    <cellStyle name="Normal 15 3 5 2 2 3 2" xfId="49747" xr:uid="{00000000-0005-0000-0000-000068680000}"/>
    <cellStyle name="Normal 15 3 5 2 2 4" xfId="36185" xr:uid="{00000000-0005-0000-0000-000069680000}"/>
    <cellStyle name="Normal 15 3 5 2 3" xfId="12438" xr:uid="{00000000-0005-0000-0000-00006A680000}"/>
    <cellStyle name="Normal 15 3 5 2 3 2" xfId="26006" xr:uid="{00000000-0005-0000-0000-00006B680000}"/>
    <cellStyle name="Normal 15 3 5 2 3 2 2" xfId="53139" xr:uid="{00000000-0005-0000-0000-00006C680000}"/>
    <cellStyle name="Normal 15 3 5 2 3 3" xfId="39577" xr:uid="{00000000-0005-0000-0000-00006D680000}"/>
    <cellStyle name="Normal 15 3 5 2 4" xfId="19225" xr:uid="{00000000-0005-0000-0000-00006E680000}"/>
    <cellStyle name="Normal 15 3 5 2 4 2" xfId="46358" xr:uid="{00000000-0005-0000-0000-00006F680000}"/>
    <cellStyle name="Normal 15 3 5 2 5" xfId="32796" xr:uid="{00000000-0005-0000-0000-000070680000}"/>
    <cellStyle name="Normal 15 3 5 3" xfId="5492" xr:uid="{00000000-0005-0000-0000-000071680000}"/>
    <cellStyle name="Normal 15 3 5 3 2" xfId="9038" xr:uid="{00000000-0005-0000-0000-000072680000}"/>
    <cellStyle name="Normal 15 3 5 3 2 2" xfId="15828" xr:uid="{00000000-0005-0000-0000-000073680000}"/>
    <cellStyle name="Normal 15 3 5 3 2 2 2" xfId="29396" xr:uid="{00000000-0005-0000-0000-000074680000}"/>
    <cellStyle name="Normal 15 3 5 3 2 2 2 2" xfId="56529" xr:uid="{00000000-0005-0000-0000-000075680000}"/>
    <cellStyle name="Normal 15 3 5 3 2 2 3" xfId="42967" xr:uid="{00000000-0005-0000-0000-000076680000}"/>
    <cellStyle name="Normal 15 3 5 3 2 3" xfId="22615" xr:uid="{00000000-0005-0000-0000-000077680000}"/>
    <cellStyle name="Normal 15 3 5 3 2 3 2" xfId="49748" xr:uid="{00000000-0005-0000-0000-000078680000}"/>
    <cellStyle name="Normal 15 3 5 3 2 4" xfId="36186" xr:uid="{00000000-0005-0000-0000-000079680000}"/>
    <cellStyle name="Normal 15 3 5 3 3" xfId="12439" xr:uid="{00000000-0005-0000-0000-00007A680000}"/>
    <cellStyle name="Normal 15 3 5 3 3 2" xfId="26007" xr:uid="{00000000-0005-0000-0000-00007B680000}"/>
    <cellStyle name="Normal 15 3 5 3 3 2 2" xfId="53140" xr:uid="{00000000-0005-0000-0000-00007C680000}"/>
    <cellStyle name="Normal 15 3 5 3 3 3" xfId="39578" xr:uid="{00000000-0005-0000-0000-00007D680000}"/>
    <cellStyle name="Normal 15 3 5 3 4" xfId="19226" xr:uid="{00000000-0005-0000-0000-00007E680000}"/>
    <cellStyle name="Normal 15 3 5 3 4 2" xfId="46359" xr:uid="{00000000-0005-0000-0000-00007F680000}"/>
    <cellStyle name="Normal 15 3 5 3 5" xfId="32797" xr:uid="{00000000-0005-0000-0000-000080680000}"/>
    <cellStyle name="Normal 15 3 5 4" xfId="9036" xr:uid="{00000000-0005-0000-0000-000081680000}"/>
    <cellStyle name="Normal 15 3 5 4 2" xfId="15826" xr:uid="{00000000-0005-0000-0000-000082680000}"/>
    <cellStyle name="Normal 15 3 5 4 2 2" xfId="29394" xr:uid="{00000000-0005-0000-0000-000083680000}"/>
    <cellStyle name="Normal 15 3 5 4 2 2 2" xfId="56527" xr:uid="{00000000-0005-0000-0000-000084680000}"/>
    <cellStyle name="Normal 15 3 5 4 2 3" xfId="42965" xr:uid="{00000000-0005-0000-0000-000085680000}"/>
    <cellStyle name="Normal 15 3 5 4 3" xfId="22613" xr:uid="{00000000-0005-0000-0000-000086680000}"/>
    <cellStyle name="Normal 15 3 5 4 3 2" xfId="49746" xr:uid="{00000000-0005-0000-0000-000087680000}"/>
    <cellStyle name="Normal 15 3 5 4 4" xfId="36184" xr:uid="{00000000-0005-0000-0000-000088680000}"/>
    <cellStyle name="Normal 15 3 5 5" xfId="12437" xr:uid="{00000000-0005-0000-0000-000089680000}"/>
    <cellStyle name="Normal 15 3 5 5 2" xfId="26005" xr:uid="{00000000-0005-0000-0000-00008A680000}"/>
    <cellStyle name="Normal 15 3 5 5 2 2" xfId="53138" xr:uid="{00000000-0005-0000-0000-00008B680000}"/>
    <cellStyle name="Normal 15 3 5 5 3" xfId="39576" xr:uid="{00000000-0005-0000-0000-00008C680000}"/>
    <cellStyle name="Normal 15 3 5 6" xfId="19224" xr:uid="{00000000-0005-0000-0000-00008D680000}"/>
    <cellStyle name="Normal 15 3 5 6 2" xfId="46357" xr:uid="{00000000-0005-0000-0000-00008E680000}"/>
    <cellStyle name="Normal 15 3 5 7" xfId="32795" xr:uid="{00000000-0005-0000-0000-00008F680000}"/>
    <cellStyle name="Normal 15 3 6" xfId="5493" xr:uid="{00000000-0005-0000-0000-000090680000}"/>
    <cellStyle name="Normal 15 3 6 2" xfId="5494" xr:uid="{00000000-0005-0000-0000-000091680000}"/>
    <cellStyle name="Normal 15 3 6 2 2" xfId="9040" xr:uid="{00000000-0005-0000-0000-000092680000}"/>
    <cellStyle name="Normal 15 3 6 2 2 2" xfId="15830" xr:uid="{00000000-0005-0000-0000-000093680000}"/>
    <cellStyle name="Normal 15 3 6 2 2 2 2" xfId="29398" xr:uid="{00000000-0005-0000-0000-000094680000}"/>
    <cellStyle name="Normal 15 3 6 2 2 2 2 2" xfId="56531" xr:uid="{00000000-0005-0000-0000-000095680000}"/>
    <cellStyle name="Normal 15 3 6 2 2 2 3" xfId="42969" xr:uid="{00000000-0005-0000-0000-000096680000}"/>
    <cellStyle name="Normal 15 3 6 2 2 3" xfId="22617" xr:uid="{00000000-0005-0000-0000-000097680000}"/>
    <cellStyle name="Normal 15 3 6 2 2 3 2" xfId="49750" xr:uid="{00000000-0005-0000-0000-000098680000}"/>
    <cellStyle name="Normal 15 3 6 2 2 4" xfId="36188" xr:uid="{00000000-0005-0000-0000-000099680000}"/>
    <cellStyle name="Normal 15 3 6 2 3" xfId="12441" xr:uid="{00000000-0005-0000-0000-00009A680000}"/>
    <cellStyle name="Normal 15 3 6 2 3 2" xfId="26009" xr:uid="{00000000-0005-0000-0000-00009B680000}"/>
    <cellStyle name="Normal 15 3 6 2 3 2 2" xfId="53142" xr:uid="{00000000-0005-0000-0000-00009C680000}"/>
    <cellStyle name="Normal 15 3 6 2 3 3" xfId="39580" xr:uid="{00000000-0005-0000-0000-00009D680000}"/>
    <cellStyle name="Normal 15 3 6 2 4" xfId="19228" xr:uid="{00000000-0005-0000-0000-00009E680000}"/>
    <cellStyle name="Normal 15 3 6 2 4 2" xfId="46361" xr:uid="{00000000-0005-0000-0000-00009F680000}"/>
    <cellStyle name="Normal 15 3 6 2 5" xfId="32799" xr:uid="{00000000-0005-0000-0000-0000A0680000}"/>
    <cellStyle name="Normal 15 3 6 3" xfId="5495" xr:uid="{00000000-0005-0000-0000-0000A1680000}"/>
    <cellStyle name="Normal 15 3 6 3 2" xfId="9041" xr:uid="{00000000-0005-0000-0000-0000A2680000}"/>
    <cellStyle name="Normal 15 3 6 3 2 2" xfId="15831" xr:uid="{00000000-0005-0000-0000-0000A3680000}"/>
    <cellStyle name="Normal 15 3 6 3 2 2 2" xfId="29399" xr:uid="{00000000-0005-0000-0000-0000A4680000}"/>
    <cellStyle name="Normal 15 3 6 3 2 2 2 2" xfId="56532" xr:uid="{00000000-0005-0000-0000-0000A5680000}"/>
    <cellStyle name="Normal 15 3 6 3 2 2 3" xfId="42970" xr:uid="{00000000-0005-0000-0000-0000A6680000}"/>
    <cellStyle name="Normal 15 3 6 3 2 3" xfId="22618" xr:uid="{00000000-0005-0000-0000-0000A7680000}"/>
    <cellStyle name="Normal 15 3 6 3 2 3 2" xfId="49751" xr:uid="{00000000-0005-0000-0000-0000A8680000}"/>
    <cellStyle name="Normal 15 3 6 3 2 4" xfId="36189" xr:uid="{00000000-0005-0000-0000-0000A9680000}"/>
    <cellStyle name="Normal 15 3 6 3 3" xfId="12442" xr:uid="{00000000-0005-0000-0000-0000AA680000}"/>
    <cellStyle name="Normal 15 3 6 3 3 2" xfId="26010" xr:uid="{00000000-0005-0000-0000-0000AB680000}"/>
    <cellStyle name="Normal 15 3 6 3 3 2 2" xfId="53143" xr:uid="{00000000-0005-0000-0000-0000AC680000}"/>
    <cellStyle name="Normal 15 3 6 3 3 3" xfId="39581" xr:uid="{00000000-0005-0000-0000-0000AD680000}"/>
    <cellStyle name="Normal 15 3 6 3 4" xfId="19229" xr:uid="{00000000-0005-0000-0000-0000AE680000}"/>
    <cellStyle name="Normal 15 3 6 3 4 2" xfId="46362" xr:uid="{00000000-0005-0000-0000-0000AF680000}"/>
    <cellStyle name="Normal 15 3 6 3 5" xfId="32800" xr:uid="{00000000-0005-0000-0000-0000B0680000}"/>
    <cellStyle name="Normal 15 3 6 4" xfId="9039" xr:uid="{00000000-0005-0000-0000-0000B1680000}"/>
    <cellStyle name="Normal 15 3 6 4 2" xfId="15829" xr:uid="{00000000-0005-0000-0000-0000B2680000}"/>
    <cellStyle name="Normal 15 3 6 4 2 2" xfId="29397" xr:uid="{00000000-0005-0000-0000-0000B3680000}"/>
    <cellStyle name="Normal 15 3 6 4 2 2 2" xfId="56530" xr:uid="{00000000-0005-0000-0000-0000B4680000}"/>
    <cellStyle name="Normal 15 3 6 4 2 3" xfId="42968" xr:uid="{00000000-0005-0000-0000-0000B5680000}"/>
    <cellStyle name="Normal 15 3 6 4 3" xfId="22616" xr:uid="{00000000-0005-0000-0000-0000B6680000}"/>
    <cellStyle name="Normal 15 3 6 4 3 2" xfId="49749" xr:uid="{00000000-0005-0000-0000-0000B7680000}"/>
    <cellStyle name="Normal 15 3 6 4 4" xfId="36187" xr:uid="{00000000-0005-0000-0000-0000B8680000}"/>
    <cellStyle name="Normal 15 3 6 5" xfId="12440" xr:uid="{00000000-0005-0000-0000-0000B9680000}"/>
    <cellStyle name="Normal 15 3 6 5 2" xfId="26008" xr:uid="{00000000-0005-0000-0000-0000BA680000}"/>
    <cellStyle name="Normal 15 3 6 5 2 2" xfId="53141" xr:uid="{00000000-0005-0000-0000-0000BB680000}"/>
    <cellStyle name="Normal 15 3 6 5 3" xfId="39579" xr:uid="{00000000-0005-0000-0000-0000BC680000}"/>
    <cellStyle name="Normal 15 3 6 6" xfId="19227" xr:uid="{00000000-0005-0000-0000-0000BD680000}"/>
    <cellStyle name="Normal 15 3 6 6 2" xfId="46360" xr:uid="{00000000-0005-0000-0000-0000BE680000}"/>
    <cellStyle name="Normal 15 3 6 7" xfId="32798" xr:uid="{00000000-0005-0000-0000-0000BF680000}"/>
    <cellStyle name="Normal 15 3 7" xfId="5496" xr:uid="{00000000-0005-0000-0000-0000C0680000}"/>
    <cellStyle name="Normal 15 3 7 2" xfId="9042" xr:uid="{00000000-0005-0000-0000-0000C1680000}"/>
    <cellStyle name="Normal 15 3 7 2 2" xfId="15832" xr:uid="{00000000-0005-0000-0000-0000C2680000}"/>
    <cellStyle name="Normal 15 3 7 2 2 2" xfId="29400" xr:uid="{00000000-0005-0000-0000-0000C3680000}"/>
    <cellStyle name="Normal 15 3 7 2 2 2 2" xfId="56533" xr:uid="{00000000-0005-0000-0000-0000C4680000}"/>
    <cellStyle name="Normal 15 3 7 2 2 3" xfId="42971" xr:uid="{00000000-0005-0000-0000-0000C5680000}"/>
    <cellStyle name="Normal 15 3 7 2 3" xfId="22619" xr:uid="{00000000-0005-0000-0000-0000C6680000}"/>
    <cellStyle name="Normal 15 3 7 2 3 2" xfId="49752" xr:uid="{00000000-0005-0000-0000-0000C7680000}"/>
    <cellStyle name="Normal 15 3 7 2 4" xfId="36190" xr:uid="{00000000-0005-0000-0000-0000C8680000}"/>
    <cellStyle name="Normal 15 3 7 3" xfId="12443" xr:uid="{00000000-0005-0000-0000-0000C9680000}"/>
    <cellStyle name="Normal 15 3 7 3 2" xfId="26011" xr:uid="{00000000-0005-0000-0000-0000CA680000}"/>
    <cellStyle name="Normal 15 3 7 3 2 2" xfId="53144" xr:uid="{00000000-0005-0000-0000-0000CB680000}"/>
    <cellStyle name="Normal 15 3 7 3 3" xfId="39582" xr:uid="{00000000-0005-0000-0000-0000CC680000}"/>
    <cellStyle name="Normal 15 3 7 4" xfId="19230" xr:uid="{00000000-0005-0000-0000-0000CD680000}"/>
    <cellStyle name="Normal 15 3 7 4 2" xfId="46363" xr:uid="{00000000-0005-0000-0000-0000CE680000}"/>
    <cellStyle name="Normal 15 3 7 5" xfId="32801" xr:uid="{00000000-0005-0000-0000-0000CF680000}"/>
    <cellStyle name="Normal 15 3 8" xfId="5497" xr:uid="{00000000-0005-0000-0000-0000D0680000}"/>
    <cellStyle name="Normal 15 3 8 2" xfId="9043" xr:uid="{00000000-0005-0000-0000-0000D1680000}"/>
    <cellStyle name="Normal 15 3 8 2 2" xfId="15833" xr:uid="{00000000-0005-0000-0000-0000D2680000}"/>
    <cellStyle name="Normal 15 3 8 2 2 2" xfId="29401" xr:uid="{00000000-0005-0000-0000-0000D3680000}"/>
    <cellStyle name="Normal 15 3 8 2 2 2 2" xfId="56534" xr:uid="{00000000-0005-0000-0000-0000D4680000}"/>
    <cellStyle name="Normal 15 3 8 2 2 3" xfId="42972" xr:uid="{00000000-0005-0000-0000-0000D5680000}"/>
    <cellStyle name="Normal 15 3 8 2 3" xfId="22620" xr:uid="{00000000-0005-0000-0000-0000D6680000}"/>
    <cellStyle name="Normal 15 3 8 2 3 2" xfId="49753" xr:uid="{00000000-0005-0000-0000-0000D7680000}"/>
    <cellStyle name="Normal 15 3 8 2 4" xfId="36191" xr:uid="{00000000-0005-0000-0000-0000D8680000}"/>
    <cellStyle name="Normal 15 3 8 3" xfId="12444" xr:uid="{00000000-0005-0000-0000-0000D9680000}"/>
    <cellStyle name="Normal 15 3 8 3 2" xfId="26012" xr:uid="{00000000-0005-0000-0000-0000DA680000}"/>
    <cellStyle name="Normal 15 3 8 3 2 2" xfId="53145" xr:uid="{00000000-0005-0000-0000-0000DB680000}"/>
    <cellStyle name="Normal 15 3 8 3 3" xfId="39583" xr:uid="{00000000-0005-0000-0000-0000DC680000}"/>
    <cellStyle name="Normal 15 3 8 4" xfId="19231" xr:uid="{00000000-0005-0000-0000-0000DD680000}"/>
    <cellStyle name="Normal 15 3 8 4 2" xfId="46364" xr:uid="{00000000-0005-0000-0000-0000DE680000}"/>
    <cellStyle name="Normal 15 3 8 5" xfId="32802" xr:uid="{00000000-0005-0000-0000-0000DF680000}"/>
    <cellStyle name="Normal 15 3 9" xfId="9005" xr:uid="{00000000-0005-0000-0000-0000E0680000}"/>
    <cellStyle name="Normal 15 3 9 2" xfId="15795" xr:uid="{00000000-0005-0000-0000-0000E1680000}"/>
    <cellStyle name="Normal 15 3 9 2 2" xfId="29363" xr:uid="{00000000-0005-0000-0000-0000E2680000}"/>
    <cellStyle name="Normal 15 3 9 2 2 2" xfId="56496" xr:uid="{00000000-0005-0000-0000-0000E3680000}"/>
    <cellStyle name="Normal 15 3 9 2 3" xfId="42934" xr:uid="{00000000-0005-0000-0000-0000E4680000}"/>
    <cellStyle name="Normal 15 3 9 3" xfId="22582" xr:uid="{00000000-0005-0000-0000-0000E5680000}"/>
    <cellStyle name="Normal 15 3 9 3 2" xfId="49715" xr:uid="{00000000-0005-0000-0000-0000E6680000}"/>
    <cellStyle name="Normal 15 3 9 4" xfId="36153" xr:uid="{00000000-0005-0000-0000-0000E7680000}"/>
    <cellStyle name="Normal 15 4" xfId="5498" xr:uid="{00000000-0005-0000-0000-0000E8680000}"/>
    <cellStyle name="Normal 15 4 10" xfId="32803" xr:uid="{00000000-0005-0000-0000-0000E9680000}"/>
    <cellStyle name="Normal 15 4 2" xfId="5499" xr:uid="{00000000-0005-0000-0000-0000EA680000}"/>
    <cellStyle name="Normal 15 4 2 2" xfId="5500" xr:uid="{00000000-0005-0000-0000-0000EB680000}"/>
    <cellStyle name="Normal 15 4 2 2 2" xfId="5501" xr:uid="{00000000-0005-0000-0000-0000EC680000}"/>
    <cellStyle name="Normal 15 4 2 2 2 2" xfId="9047" xr:uid="{00000000-0005-0000-0000-0000ED680000}"/>
    <cellStyle name="Normal 15 4 2 2 2 2 2" xfId="15837" xr:uid="{00000000-0005-0000-0000-0000EE680000}"/>
    <cellStyle name="Normal 15 4 2 2 2 2 2 2" xfId="29405" xr:uid="{00000000-0005-0000-0000-0000EF680000}"/>
    <cellStyle name="Normal 15 4 2 2 2 2 2 2 2" xfId="56538" xr:uid="{00000000-0005-0000-0000-0000F0680000}"/>
    <cellStyle name="Normal 15 4 2 2 2 2 2 3" xfId="42976" xr:uid="{00000000-0005-0000-0000-0000F1680000}"/>
    <cellStyle name="Normal 15 4 2 2 2 2 3" xfId="22624" xr:uid="{00000000-0005-0000-0000-0000F2680000}"/>
    <cellStyle name="Normal 15 4 2 2 2 2 3 2" xfId="49757" xr:uid="{00000000-0005-0000-0000-0000F3680000}"/>
    <cellStyle name="Normal 15 4 2 2 2 2 4" xfId="36195" xr:uid="{00000000-0005-0000-0000-0000F4680000}"/>
    <cellStyle name="Normal 15 4 2 2 2 3" xfId="12448" xr:uid="{00000000-0005-0000-0000-0000F5680000}"/>
    <cellStyle name="Normal 15 4 2 2 2 3 2" xfId="26016" xr:uid="{00000000-0005-0000-0000-0000F6680000}"/>
    <cellStyle name="Normal 15 4 2 2 2 3 2 2" xfId="53149" xr:uid="{00000000-0005-0000-0000-0000F7680000}"/>
    <cellStyle name="Normal 15 4 2 2 2 3 3" xfId="39587" xr:uid="{00000000-0005-0000-0000-0000F8680000}"/>
    <cellStyle name="Normal 15 4 2 2 2 4" xfId="19235" xr:uid="{00000000-0005-0000-0000-0000F9680000}"/>
    <cellStyle name="Normal 15 4 2 2 2 4 2" xfId="46368" xr:uid="{00000000-0005-0000-0000-0000FA680000}"/>
    <cellStyle name="Normal 15 4 2 2 2 5" xfId="32806" xr:uid="{00000000-0005-0000-0000-0000FB680000}"/>
    <cellStyle name="Normal 15 4 2 2 3" xfId="5502" xr:uid="{00000000-0005-0000-0000-0000FC680000}"/>
    <cellStyle name="Normal 15 4 2 2 3 2" xfId="9048" xr:uid="{00000000-0005-0000-0000-0000FD680000}"/>
    <cellStyle name="Normal 15 4 2 2 3 2 2" xfId="15838" xr:uid="{00000000-0005-0000-0000-0000FE680000}"/>
    <cellStyle name="Normal 15 4 2 2 3 2 2 2" xfId="29406" xr:uid="{00000000-0005-0000-0000-0000FF680000}"/>
    <cellStyle name="Normal 15 4 2 2 3 2 2 2 2" xfId="56539" xr:uid="{00000000-0005-0000-0000-000000690000}"/>
    <cellStyle name="Normal 15 4 2 2 3 2 2 3" xfId="42977" xr:uid="{00000000-0005-0000-0000-000001690000}"/>
    <cellStyle name="Normal 15 4 2 2 3 2 3" xfId="22625" xr:uid="{00000000-0005-0000-0000-000002690000}"/>
    <cellStyle name="Normal 15 4 2 2 3 2 3 2" xfId="49758" xr:uid="{00000000-0005-0000-0000-000003690000}"/>
    <cellStyle name="Normal 15 4 2 2 3 2 4" xfId="36196" xr:uid="{00000000-0005-0000-0000-000004690000}"/>
    <cellStyle name="Normal 15 4 2 2 3 3" xfId="12449" xr:uid="{00000000-0005-0000-0000-000005690000}"/>
    <cellStyle name="Normal 15 4 2 2 3 3 2" xfId="26017" xr:uid="{00000000-0005-0000-0000-000006690000}"/>
    <cellStyle name="Normal 15 4 2 2 3 3 2 2" xfId="53150" xr:uid="{00000000-0005-0000-0000-000007690000}"/>
    <cellStyle name="Normal 15 4 2 2 3 3 3" xfId="39588" xr:uid="{00000000-0005-0000-0000-000008690000}"/>
    <cellStyle name="Normal 15 4 2 2 3 4" xfId="19236" xr:uid="{00000000-0005-0000-0000-000009690000}"/>
    <cellStyle name="Normal 15 4 2 2 3 4 2" xfId="46369" xr:uid="{00000000-0005-0000-0000-00000A690000}"/>
    <cellStyle name="Normal 15 4 2 2 3 5" xfId="32807" xr:uid="{00000000-0005-0000-0000-00000B690000}"/>
    <cellStyle name="Normal 15 4 2 2 4" xfId="9046" xr:uid="{00000000-0005-0000-0000-00000C690000}"/>
    <cellStyle name="Normal 15 4 2 2 4 2" xfId="15836" xr:uid="{00000000-0005-0000-0000-00000D690000}"/>
    <cellStyle name="Normal 15 4 2 2 4 2 2" xfId="29404" xr:uid="{00000000-0005-0000-0000-00000E690000}"/>
    <cellStyle name="Normal 15 4 2 2 4 2 2 2" xfId="56537" xr:uid="{00000000-0005-0000-0000-00000F690000}"/>
    <cellStyle name="Normal 15 4 2 2 4 2 3" xfId="42975" xr:uid="{00000000-0005-0000-0000-000010690000}"/>
    <cellStyle name="Normal 15 4 2 2 4 3" xfId="22623" xr:uid="{00000000-0005-0000-0000-000011690000}"/>
    <cellStyle name="Normal 15 4 2 2 4 3 2" xfId="49756" xr:uid="{00000000-0005-0000-0000-000012690000}"/>
    <cellStyle name="Normal 15 4 2 2 4 4" xfId="36194" xr:uid="{00000000-0005-0000-0000-000013690000}"/>
    <cellStyle name="Normal 15 4 2 2 5" xfId="12447" xr:uid="{00000000-0005-0000-0000-000014690000}"/>
    <cellStyle name="Normal 15 4 2 2 5 2" xfId="26015" xr:uid="{00000000-0005-0000-0000-000015690000}"/>
    <cellStyle name="Normal 15 4 2 2 5 2 2" xfId="53148" xr:uid="{00000000-0005-0000-0000-000016690000}"/>
    <cellStyle name="Normal 15 4 2 2 5 3" xfId="39586" xr:uid="{00000000-0005-0000-0000-000017690000}"/>
    <cellStyle name="Normal 15 4 2 2 6" xfId="19234" xr:uid="{00000000-0005-0000-0000-000018690000}"/>
    <cellStyle name="Normal 15 4 2 2 6 2" xfId="46367" xr:uid="{00000000-0005-0000-0000-000019690000}"/>
    <cellStyle name="Normal 15 4 2 2 7" xfId="32805" xr:uid="{00000000-0005-0000-0000-00001A690000}"/>
    <cellStyle name="Normal 15 4 2 3" xfId="5503" xr:uid="{00000000-0005-0000-0000-00001B690000}"/>
    <cellStyle name="Normal 15 4 2 3 2" xfId="5504" xr:uid="{00000000-0005-0000-0000-00001C690000}"/>
    <cellStyle name="Normal 15 4 2 3 2 2" xfId="9050" xr:uid="{00000000-0005-0000-0000-00001D690000}"/>
    <cellStyle name="Normal 15 4 2 3 2 2 2" xfId="15840" xr:uid="{00000000-0005-0000-0000-00001E690000}"/>
    <cellStyle name="Normal 15 4 2 3 2 2 2 2" xfId="29408" xr:uid="{00000000-0005-0000-0000-00001F690000}"/>
    <cellStyle name="Normal 15 4 2 3 2 2 2 2 2" xfId="56541" xr:uid="{00000000-0005-0000-0000-000020690000}"/>
    <cellStyle name="Normal 15 4 2 3 2 2 2 3" xfId="42979" xr:uid="{00000000-0005-0000-0000-000021690000}"/>
    <cellStyle name="Normal 15 4 2 3 2 2 3" xfId="22627" xr:uid="{00000000-0005-0000-0000-000022690000}"/>
    <cellStyle name="Normal 15 4 2 3 2 2 3 2" xfId="49760" xr:uid="{00000000-0005-0000-0000-000023690000}"/>
    <cellStyle name="Normal 15 4 2 3 2 2 4" xfId="36198" xr:uid="{00000000-0005-0000-0000-000024690000}"/>
    <cellStyle name="Normal 15 4 2 3 2 3" xfId="12451" xr:uid="{00000000-0005-0000-0000-000025690000}"/>
    <cellStyle name="Normal 15 4 2 3 2 3 2" xfId="26019" xr:uid="{00000000-0005-0000-0000-000026690000}"/>
    <cellStyle name="Normal 15 4 2 3 2 3 2 2" xfId="53152" xr:uid="{00000000-0005-0000-0000-000027690000}"/>
    <cellStyle name="Normal 15 4 2 3 2 3 3" xfId="39590" xr:uid="{00000000-0005-0000-0000-000028690000}"/>
    <cellStyle name="Normal 15 4 2 3 2 4" xfId="19238" xr:uid="{00000000-0005-0000-0000-000029690000}"/>
    <cellStyle name="Normal 15 4 2 3 2 4 2" xfId="46371" xr:uid="{00000000-0005-0000-0000-00002A690000}"/>
    <cellStyle name="Normal 15 4 2 3 2 5" xfId="32809" xr:uid="{00000000-0005-0000-0000-00002B690000}"/>
    <cellStyle name="Normal 15 4 2 3 3" xfId="9049" xr:uid="{00000000-0005-0000-0000-00002C690000}"/>
    <cellStyle name="Normal 15 4 2 3 3 2" xfId="15839" xr:uid="{00000000-0005-0000-0000-00002D690000}"/>
    <cellStyle name="Normal 15 4 2 3 3 2 2" xfId="29407" xr:uid="{00000000-0005-0000-0000-00002E690000}"/>
    <cellStyle name="Normal 15 4 2 3 3 2 2 2" xfId="56540" xr:uid="{00000000-0005-0000-0000-00002F690000}"/>
    <cellStyle name="Normal 15 4 2 3 3 2 3" xfId="42978" xr:uid="{00000000-0005-0000-0000-000030690000}"/>
    <cellStyle name="Normal 15 4 2 3 3 3" xfId="22626" xr:uid="{00000000-0005-0000-0000-000031690000}"/>
    <cellStyle name="Normal 15 4 2 3 3 3 2" xfId="49759" xr:uid="{00000000-0005-0000-0000-000032690000}"/>
    <cellStyle name="Normal 15 4 2 3 3 4" xfId="36197" xr:uid="{00000000-0005-0000-0000-000033690000}"/>
    <cellStyle name="Normal 15 4 2 3 4" xfId="12450" xr:uid="{00000000-0005-0000-0000-000034690000}"/>
    <cellStyle name="Normal 15 4 2 3 4 2" xfId="26018" xr:uid="{00000000-0005-0000-0000-000035690000}"/>
    <cellStyle name="Normal 15 4 2 3 4 2 2" xfId="53151" xr:uid="{00000000-0005-0000-0000-000036690000}"/>
    <cellStyle name="Normal 15 4 2 3 4 3" xfId="39589" xr:uid="{00000000-0005-0000-0000-000037690000}"/>
    <cellStyle name="Normal 15 4 2 3 5" xfId="19237" xr:uid="{00000000-0005-0000-0000-000038690000}"/>
    <cellStyle name="Normal 15 4 2 3 5 2" xfId="46370" xr:uid="{00000000-0005-0000-0000-000039690000}"/>
    <cellStyle name="Normal 15 4 2 3 6" xfId="32808" xr:uid="{00000000-0005-0000-0000-00003A690000}"/>
    <cellStyle name="Normal 15 4 2 4" xfId="5505" xr:uid="{00000000-0005-0000-0000-00003B690000}"/>
    <cellStyle name="Normal 15 4 2 4 2" xfId="9051" xr:uid="{00000000-0005-0000-0000-00003C690000}"/>
    <cellStyle name="Normal 15 4 2 4 2 2" xfId="15841" xr:uid="{00000000-0005-0000-0000-00003D690000}"/>
    <cellStyle name="Normal 15 4 2 4 2 2 2" xfId="29409" xr:uid="{00000000-0005-0000-0000-00003E690000}"/>
    <cellStyle name="Normal 15 4 2 4 2 2 2 2" xfId="56542" xr:uid="{00000000-0005-0000-0000-00003F690000}"/>
    <cellStyle name="Normal 15 4 2 4 2 2 3" xfId="42980" xr:uid="{00000000-0005-0000-0000-000040690000}"/>
    <cellStyle name="Normal 15 4 2 4 2 3" xfId="22628" xr:uid="{00000000-0005-0000-0000-000041690000}"/>
    <cellStyle name="Normal 15 4 2 4 2 3 2" xfId="49761" xr:uid="{00000000-0005-0000-0000-000042690000}"/>
    <cellStyle name="Normal 15 4 2 4 2 4" xfId="36199" xr:uid="{00000000-0005-0000-0000-000043690000}"/>
    <cellStyle name="Normal 15 4 2 4 3" xfId="12452" xr:uid="{00000000-0005-0000-0000-000044690000}"/>
    <cellStyle name="Normal 15 4 2 4 3 2" xfId="26020" xr:uid="{00000000-0005-0000-0000-000045690000}"/>
    <cellStyle name="Normal 15 4 2 4 3 2 2" xfId="53153" xr:uid="{00000000-0005-0000-0000-000046690000}"/>
    <cellStyle name="Normal 15 4 2 4 3 3" xfId="39591" xr:uid="{00000000-0005-0000-0000-000047690000}"/>
    <cellStyle name="Normal 15 4 2 4 4" xfId="19239" xr:uid="{00000000-0005-0000-0000-000048690000}"/>
    <cellStyle name="Normal 15 4 2 4 4 2" xfId="46372" xr:uid="{00000000-0005-0000-0000-000049690000}"/>
    <cellStyle name="Normal 15 4 2 4 5" xfId="32810" xr:uid="{00000000-0005-0000-0000-00004A690000}"/>
    <cellStyle name="Normal 15 4 2 5" xfId="5506" xr:uid="{00000000-0005-0000-0000-00004B690000}"/>
    <cellStyle name="Normal 15 4 2 5 2" xfId="9052" xr:uid="{00000000-0005-0000-0000-00004C690000}"/>
    <cellStyle name="Normal 15 4 2 5 2 2" xfId="15842" xr:uid="{00000000-0005-0000-0000-00004D690000}"/>
    <cellStyle name="Normal 15 4 2 5 2 2 2" xfId="29410" xr:uid="{00000000-0005-0000-0000-00004E690000}"/>
    <cellStyle name="Normal 15 4 2 5 2 2 2 2" xfId="56543" xr:uid="{00000000-0005-0000-0000-00004F690000}"/>
    <cellStyle name="Normal 15 4 2 5 2 2 3" xfId="42981" xr:uid="{00000000-0005-0000-0000-000050690000}"/>
    <cellStyle name="Normal 15 4 2 5 2 3" xfId="22629" xr:uid="{00000000-0005-0000-0000-000051690000}"/>
    <cellStyle name="Normal 15 4 2 5 2 3 2" xfId="49762" xr:uid="{00000000-0005-0000-0000-000052690000}"/>
    <cellStyle name="Normal 15 4 2 5 2 4" xfId="36200" xr:uid="{00000000-0005-0000-0000-000053690000}"/>
    <cellStyle name="Normal 15 4 2 5 3" xfId="12453" xr:uid="{00000000-0005-0000-0000-000054690000}"/>
    <cellStyle name="Normal 15 4 2 5 3 2" xfId="26021" xr:uid="{00000000-0005-0000-0000-000055690000}"/>
    <cellStyle name="Normal 15 4 2 5 3 2 2" xfId="53154" xr:uid="{00000000-0005-0000-0000-000056690000}"/>
    <cellStyle name="Normal 15 4 2 5 3 3" xfId="39592" xr:uid="{00000000-0005-0000-0000-000057690000}"/>
    <cellStyle name="Normal 15 4 2 5 4" xfId="19240" xr:uid="{00000000-0005-0000-0000-000058690000}"/>
    <cellStyle name="Normal 15 4 2 5 4 2" xfId="46373" xr:uid="{00000000-0005-0000-0000-000059690000}"/>
    <cellStyle name="Normal 15 4 2 5 5" xfId="32811" xr:uid="{00000000-0005-0000-0000-00005A690000}"/>
    <cellStyle name="Normal 15 4 2 6" xfId="9045" xr:uid="{00000000-0005-0000-0000-00005B690000}"/>
    <cellStyle name="Normal 15 4 2 6 2" xfId="15835" xr:uid="{00000000-0005-0000-0000-00005C690000}"/>
    <cellStyle name="Normal 15 4 2 6 2 2" xfId="29403" xr:uid="{00000000-0005-0000-0000-00005D690000}"/>
    <cellStyle name="Normal 15 4 2 6 2 2 2" xfId="56536" xr:uid="{00000000-0005-0000-0000-00005E690000}"/>
    <cellStyle name="Normal 15 4 2 6 2 3" xfId="42974" xr:uid="{00000000-0005-0000-0000-00005F690000}"/>
    <cellStyle name="Normal 15 4 2 6 3" xfId="22622" xr:uid="{00000000-0005-0000-0000-000060690000}"/>
    <cellStyle name="Normal 15 4 2 6 3 2" xfId="49755" xr:uid="{00000000-0005-0000-0000-000061690000}"/>
    <cellStyle name="Normal 15 4 2 6 4" xfId="36193" xr:uid="{00000000-0005-0000-0000-000062690000}"/>
    <cellStyle name="Normal 15 4 2 7" xfId="12446" xr:uid="{00000000-0005-0000-0000-000063690000}"/>
    <cellStyle name="Normal 15 4 2 7 2" xfId="26014" xr:uid="{00000000-0005-0000-0000-000064690000}"/>
    <cellStyle name="Normal 15 4 2 7 2 2" xfId="53147" xr:uid="{00000000-0005-0000-0000-000065690000}"/>
    <cellStyle name="Normal 15 4 2 7 3" xfId="39585" xr:uid="{00000000-0005-0000-0000-000066690000}"/>
    <cellStyle name="Normal 15 4 2 8" xfId="19233" xr:uid="{00000000-0005-0000-0000-000067690000}"/>
    <cellStyle name="Normal 15 4 2 8 2" xfId="46366" xr:uid="{00000000-0005-0000-0000-000068690000}"/>
    <cellStyle name="Normal 15 4 2 9" xfId="32804" xr:uid="{00000000-0005-0000-0000-000069690000}"/>
    <cellStyle name="Normal 15 4 3" xfId="5507" xr:uid="{00000000-0005-0000-0000-00006A690000}"/>
    <cellStyle name="Normal 15 4 3 2" xfId="5508" xr:uid="{00000000-0005-0000-0000-00006B690000}"/>
    <cellStyle name="Normal 15 4 3 2 2" xfId="9054" xr:uid="{00000000-0005-0000-0000-00006C690000}"/>
    <cellStyle name="Normal 15 4 3 2 2 2" xfId="15844" xr:uid="{00000000-0005-0000-0000-00006D690000}"/>
    <cellStyle name="Normal 15 4 3 2 2 2 2" xfId="29412" xr:uid="{00000000-0005-0000-0000-00006E690000}"/>
    <cellStyle name="Normal 15 4 3 2 2 2 2 2" xfId="56545" xr:uid="{00000000-0005-0000-0000-00006F690000}"/>
    <cellStyle name="Normal 15 4 3 2 2 2 3" xfId="42983" xr:uid="{00000000-0005-0000-0000-000070690000}"/>
    <cellStyle name="Normal 15 4 3 2 2 3" xfId="22631" xr:uid="{00000000-0005-0000-0000-000071690000}"/>
    <cellStyle name="Normal 15 4 3 2 2 3 2" xfId="49764" xr:uid="{00000000-0005-0000-0000-000072690000}"/>
    <cellStyle name="Normal 15 4 3 2 2 4" xfId="36202" xr:uid="{00000000-0005-0000-0000-000073690000}"/>
    <cellStyle name="Normal 15 4 3 2 3" xfId="12455" xr:uid="{00000000-0005-0000-0000-000074690000}"/>
    <cellStyle name="Normal 15 4 3 2 3 2" xfId="26023" xr:uid="{00000000-0005-0000-0000-000075690000}"/>
    <cellStyle name="Normal 15 4 3 2 3 2 2" xfId="53156" xr:uid="{00000000-0005-0000-0000-000076690000}"/>
    <cellStyle name="Normal 15 4 3 2 3 3" xfId="39594" xr:uid="{00000000-0005-0000-0000-000077690000}"/>
    <cellStyle name="Normal 15 4 3 2 4" xfId="19242" xr:uid="{00000000-0005-0000-0000-000078690000}"/>
    <cellStyle name="Normal 15 4 3 2 4 2" xfId="46375" xr:uid="{00000000-0005-0000-0000-000079690000}"/>
    <cellStyle name="Normal 15 4 3 2 5" xfId="32813" xr:uid="{00000000-0005-0000-0000-00007A690000}"/>
    <cellStyle name="Normal 15 4 3 3" xfId="5509" xr:uid="{00000000-0005-0000-0000-00007B690000}"/>
    <cellStyle name="Normal 15 4 3 3 2" xfId="9055" xr:uid="{00000000-0005-0000-0000-00007C690000}"/>
    <cellStyle name="Normal 15 4 3 3 2 2" xfId="15845" xr:uid="{00000000-0005-0000-0000-00007D690000}"/>
    <cellStyle name="Normal 15 4 3 3 2 2 2" xfId="29413" xr:uid="{00000000-0005-0000-0000-00007E690000}"/>
    <cellStyle name="Normal 15 4 3 3 2 2 2 2" xfId="56546" xr:uid="{00000000-0005-0000-0000-00007F690000}"/>
    <cellStyle name="Normal 15 4 3 3 2 2 3" xfId="42984" xr:uid="{00000000-0005-0000-0000-000080690000}"/>
    <cellStyle name="Normal 15 4 3 3 2 3" xfId="22632" xr:uid="{00000000-0005-0000-0000-000081690000}"/>
    <cellStyle name="Normal 15 4 3 3 2 3 2" xfId="49765" xr:uid="{00000000-0005-0000-0000-000082690000}"/>
    <cellStyle name="Normal 15 4 3 3 2 4" xfId="36203" xr:uid="{00000000-0005-0000-0000-000083690000}"/>
    <cellStyle name="Normal 15 4 3 3 3" xfId="12456" xr:uid="{00000000-0005-0000-0000-000084690000}"/>
    <cellStyle name="Normal 15 4 3 3 3 2" xfId="26024" xr:uid="{00000000-0005-0000-0000-000085690000}"/>
    <cellStyle name="Normal 15 4 3 3 3 2 2" xfId="53157" xr:uid="{00000000-0005-0000-0000-000086690000}"/>
    <cellStyle name="Normal 15 4 3 3 3 3" xfId="39595" xr:uid="{00000000-0005-0000-0000-000087690000}"/>
    <cellStyle name="Normal 15 4 3 3 4" xfId="19243" xr:uid="{00000000-0005-0000-0000-000088690000}"/>
    <cellStyle name="Normal 15 4 3 3 4 2" xfId="46376" xr:uid="{00000000-0005-0000-0000-000089690000}"/>
    <cellStyle name="Normal 15 4 3 3 5" xfId="32814" xr:uid="{00000000-0005-0000-0000-00008A690000}"/>
    <cellStyle name="Normal 15 4 3 4" xfId="9053" xr:uid="{00000000-0005-0000-0000-00008B690000}"/>
    <cellStyle name="Normal 15 4 3 4 2" xfId="15843" xr:uid="{00000000-0005-0000-0000-00008C690000}"/>
    <cellStyle name="Normal 15 4 3 4 2 2" xfId="29411" xr:uid="{00000000-0005-0000-0000-00008D690000}"/>
    <cellStyle name="Normal 15 4 3 4 2 2 2" xfId="56544" xr:uid="{00000000-0005-0000-0000-00008E690000}"/>
    <cellStyle name="Normal 15 4 3 4 2 3" xfId="42982" xr:uid="{00000000-0005-0000-0000-00008F690000}"/>
    <cellStyle name="Normal 15 4 3 4 3" xfId="22630" xr:uid="{00000000-0005-0000-0000-000090690000}"/>
    <cellStyle name="Normal 15 4 3 4 3 2" xfId="49763" xr:uid="{00000000-0005-0000-0000-000091690000}"/>
    <cellStyle name="Normal 15 4 3 4 4" xfId="36201" xr:uid="{00000000-0005-0000-0000-000092690000}"/>
    <cellStyle name="Normal 15 4 3 5" xfId="12454" xr:uid="{00000000-0005-0000-0000-000093690000}"/>
    <cellStyle name="Normal 15 4 3 5 2" xfId="26022" xr:uid="{00000000-0005-0000-0000-000094690000}"/>
    <cellStyle name="Normal 15 4 3 5 2 2" xfId="53155" xr:uid="{00000000-0005-0000-0000-000095690000}"/>
    <cellStyle name="Normal 15 4 3 5 3" xfId="39593" xr:uid="{00000000-0005-0000-0000-000096690000}"/>
    <cellStyle name="Normal 15 4 3 6" xfId="19241" xr:uid="{00000000-0005-0000-0000-000097690000}"/>
    <cellStyle name="Normal 15 4 3 6 2" xfId="46374" xr:uid="{00000000-0005-0000-0000-000098690000}"/>
    <cellStyle name="Normal 15 4 3 7" xfId="32812" xr:uid="{00000000-0005-0000-0000-000099690000}"/>
    <cellStyle name="Normal 15 4 4" xfId="5510" xr:uid="{00000000-0005-0000-0000-00009A690000}"/>
    <cellStyle name="Normal 15 4 4 2" xfId="5511" xr:uid="{00000000-0005-0000-0000-00009B690000}"/>
    <cellStyle name="Normal 15 4 4 2 2" xfId="9057" xr:uid="{00000000-0005-0000-0000-00009C690000}"/>
    <cellStyle name="Normal 15 4 4 2 2 2" xfId="15847" xr:uid="{00000000-0005-0000-0000-00009D690000}"/>
    <cellStyle name="Normal 15 4 4 2 2 2 2" xfId="29415" xr:uid="{00000000-0005-0000-0000-00009E690000}"/>
    <cellStyle name="Normal 15 4 4 2 2 2 2 2" xfId="56548" xr:uid="{00000000-0005-0000-0000-00009F690000}"/>
    <cellStyle name="Normal 15 4 4 2 2 2 3" xfId="42986" xr:uid="{00000000-0005-0000-0000-0000A0690000}"/>
    <cellStyle name="Normal 15 4 4 2 2 3" xfId="22634" xr:uid="{00000000-0005-0000-0000-0000A1690000}"/>
    <cellStyle name="Normal 15 4 4 2 2 3 2" xfId="49767" xr:uid="{00000000-0005-0000-0000-0000A2690000}"/>
    <cellStyle name="Normal 15 4 4 2 2 4" xfId="36205" xr:uid="{00000000-0005-0000-0000-0000A3690000}"/>
    <cellStyle name="Normal 15 4 4 2 3" xfId="12458" xr:uid="{00000000-0005-0000-0000-0000A4690000}"/>
    <cellStyle name="Normal 15 4 4 2 3 2" xfId="26026" xr:uid="{00000000-0005-0000-0000-0000A5690000}"/>
    <cellStyle name="Normal 15 4 4 2 3 2 2" xfId="53159" xr:uid="{00000000-0005-0000-0000-0000A6690000}"/>
    <cellStyle name="Normal 15 4 4 2 3 3" xfId="39597" xr:uid="{00000000-0005-0000-0000-0000A7690000}"/>
    <cellStyle name="Normal 15 4 4 2 4" xfId="19245" xr:uid="{00000000-0005-0000-0000-0000A8690000}"/>
    <cellStyle name="Normal 15 4 4 2 4 2" xfId="46378" xr:uid="{00000000-0005-0000-0000-0000A9690000}"/>
    <cellStyle name="Normal 15 4 4 2 5" xfId="32816" xr:uid="{00000000-0005-0000-0000-0000AA690000}"/>
    <cellStyle name="Normal 15 4 4 3" xfId="9056" xr:uid="{00000000-0005-0000-0000-0000AB690000}"/>
    <cellStyle name="Normal 15 4 4 3 2" xfId="15846" xr:uid="{00000000-0005-0000-0000-0000AC690000}"/>
    <cellStyle name="Normal 15 4 4 3 2 2" xfId="29414" xr:uid="{00000000-0005-0000-0000-0000AD690000}"/>
    <cellStyle name="Normal 15 4 4 3 2 2 2" xfId="56547" xr:uid="{00000000-0005-0000-0000-0000AE690000}"/>
    <cellStyle name="Normal 15 4 4 3 2 3" xfId="42985" xr:uid="{00000000-0005-0000-0000-0000AF690000}"/>
    <cellStyle name="Normal 15 4 4 3 3" xfId="22633" xr:uid="{00000000-0005-0000-0000-0000B0690000}"/>
    <cellStyle name="Normal 15 4 4 3 3 2" xfId="49766" xr:uid="{00000000-0005-0000-0000-0000B1690000}"/>
    <cellStyle name="Normal 15 4 4 3 4" xfId="36204" xr:uid="{00000000-0005-0000-0000-0000B2690000}"/>
    <cellStyle name="Normal 15 4 4 4" xfId="12457" xr:uid="{00000000-0005-0000-0000-0000B3690000}"/>
    <cellStyle name="Normal 15 4 4 4 2" xfId="26025" xr:uid="{00000000-0005-0000-0000-0000B4690000}"/>
    <cellStyle name="Normal 15 4 4 4 2 2" xfId="53158" xr:uid="{00000000-0005-0000-0000-0000B5690000}"/>
    <cellStyle name="Normal 15 4 4 4 3" xfId="39596" xr:uid="{00000000-0005-0000-0000-0000B6690000}"/>
    <cellStyle name="Normal 15 4 4 5" xfId="19244" xr:uid="{00000000-0005-0000-0000-0000B7690000}"/>
    <cellStyle name="Normal 15 4 4 5 2" xfId="46377" xr:uid="{00000000-0005-0000-0000-0000B8690000}"/>
    <cellStyle name="Normal 15 4 4 6" xfId="32815" xr:uid="{00000000-0005-0000-0000-0000B9690000}"/>
    <cellStyle name="Normal 15 4 5" xfId="5512" xr:uid="{00000000-0005-0000-0000-0000BA690000}"/>
    <cellStyle name="Normal 15 4 5 2" xfId="9058" xr:uid="{00000000-0005-0000-0000-0000BB690000}"/>
    <cellStyle name="Normal 15 4 5 2 2" xfId="15848" xr:uid="{00000000-0005-0000-0000-0000BC690000}"/>
    <cellStyle name="Normal 15 4 5 2 2 2" xfId="29416" xr:uid="{00000000-0005-0000-0000-0000BD690000}"/>
    <cellStyle name="Normal 15 4 5 2 2 2 2" xfId="56549" xr:uid="{00000000-0005-0000-0000-0000BE690000}"/>
    <cellStyle name="Normal 15 4 5 2 2 3" xfId="42987" xr:uid="{00000000-0005-0000-0000-0000BF690000}"/>
    <cellStyle name="Normal 15 4 5 2 3" xfId="22635" xr:uid="{00000000-0005-0000-0000-0000C0690000}"/>
    <cellStyle name="Normal 15 4 5 2 3 2" xfId="49768" xr:uid="{00000000-0005-0000-0000-0000C1690000}"/>
    <cellStyle name="Normal 15 4 5 2 4" xfId="36206" xr:uid="{00000000-0005-0000-0000-0000C2690000}"/>
    <cellStyle name="Normal 15 4 5 3" xfId="12459" xr:uid="{00000000-0005-0000-0000-0000C3690000}"/>
    <cellStyle name="Normal 15 4 5 3 2" xfId="26027" xr:uid="{00000000-0005-0000-0000-0000C4690000}"/>
    <cellStyle name="Normal 15 4 5 3 2 2" xfId="53160" xr:uid="{00000000-0005-0000-0000-0000C5690000}"/>
    <cellStyle name="Normal 15 4 5 3 3" xfId="39598" xr:uid="{00000000-0005-0000-0000-0000C6690000}"/>
    <cellStyle name="Normal 15 4 5 4" xfId="19246" xr:uid="{00000000-0005-0000-0000-0000C7690000}"/>
    <cellStyle name="Normal 15 4 5 4 2" xfId="46379" xr:uid="{00000000-0005-0000-0000-0000C8690000}"/>
    <cellStyle name="Normal 15 4 5 5" xfId="32817" xr:uid="{00000000-0005-0000-0000-0000C9690000}"/>
    <cellStyle name="Normal 15 4 6" xfId="5513" xr:uid="{00000000-0005-0000-0000-0000CA690000}"/>
    <cellStyle name="Normal 15 4 6 2" xfId="9059" xr:uid="{00000000-0005-0000-0000-0000CB690000}"/>
    <cellStyle name="Normal 15 4 6 2 2" xfId="15849" xr:uid="{00000000-0005-0000-0000-0000CC690000}"/>
    <cellStyle name="Normal 15 4 6 2 2 2" xfId="29417" xr:uid="{00000000-0005-0000-0000-0000CD690000}"/>
    <cellStyle name="Normal 15 4 6 2 2 2 2" xfId="56550" xr:uid="{00000000-0005-0000-0000-0000CE690000}"/>
    <cellStyle name="Normal 15 4 6 2 2 3" xfId="42988" xr:uid="{00000000-0005-0000-0000-0000CF690000}"/>
    <cellStyle name="Normal 15 4 6 2 3" xfId="22636" xr:uid="{00000000-0005-0000-0000-0000D0690000}"/>
    <cellStyle name="Normal 15 4 6 2 3 2" xfId="49769" xr:uid="{00000000-0005-0000-0000-0000D1690000}"/>
    <cellStyle name="Normal 15 4 6 2 4" xfId="36207" xr:uid="{00000000-0005-0000-0000-0000D2690000}"/>
    <cellStyle name="Normal 15 4 6 3" xfId="12460" xr:uid="{00000000-0005-0000-0000-0000D3690000}"/>
    <cellStyle name="Normal 15 4 6 3 2" xfId="26028" xr:uid="{00000000-0005-0000-0000-0000D4690000}"/>
    <cellStyle name="Normal 15 4 6 3 2 2" xfId="53161" xr:uid="{00000000-0005-0000-0000-0000D5690000}"/>
    <cellStyle name="Normal 15 4 6 3 3" xfId="39599" xr:uid="{00000000-0005-0000-0000-0000D6690000}"/>
    <cellStyle name="Normal 15 4 6 4" xfId="19247" xr:uid="{00000000-0005-0000-0000-0000D7690000}"/>
    <cellStyle name="Normal 15 4 6 4 2" xfId="46380" xr:uid="{00000000-0005-0000-0000-0000D8690000}"/>
    <cellStyle name="Normal 15 4 6 5" xfId="32818" xr:uid="{00000000-0005-0000-0000-0000D9690000}"/>
    <cellStyle name="Normal 15 4 7" xfId="9044" xr:uid="{00000000-0005-0000-0000-0000DA690000}"/>
    <cellStyle name="Normal 15 4 7 2" xfId="15834" xr:uid="{00000000-0005-0000-0000-0000DB690000}"/>
    <cellStyle name="Normal 15 4 7 2 2" xfId="29402" xr:uid="{00000000-0005-0000-0000-0000DC690000}"/>
    <cellStyle name="Normal 15 4 7 2 2 2" xfId="56535" xr:uid="{00000000-0005-0000-0000-0000DD690000}"/>
    <cellStyle name="Normal 15 4 7 2 3" xfId="42973" xr:uid="{00000000-0005-0000-0000-0000DE690000}"/>
    <cellStyle name="Normal 15 4 7 3" xfId="22621" xr:uid="{00000000-0005-0000-0000-0000DF690000}"/>
    <cellStyle name="Normal 15 4 7 3 2" xfId="49754" xr:uid="{00000000-0005-0000-0000-0000E0690000}"/>
    <cellStyle name="Normal 15 4 7 4" xfId="36192" xr:uid="{00000000-0005-0000-0000-0000E1690000}"/>
    <cellStyle name="Normal 15 4 8" xfId="12445" xr:uid="{00000000-0005-0000-0000-0000E2690000}"/>
    <cellStyle name="Normal 15 4 8 2" xfId="26013" xr:uid="{00000000-0005-0000-0000-0000E3690000}"/>
    <cellStyle name="Normal 15 4 8 2 2" xfId="53146" xr:uid="{00000000-0005-0000-0000-0000E4690000}"/>
    <cellStyle name="Normal 15 4 8 3" xfId="39584" xr:uid="{00000000-0005-0000-0000-0000E5690000}"/>
    <cellStyle name="Normal 15 4 9" xfId="19232" xr:uid="{00000000-0005-0000-0000-0000E6690000}"/>
    <cellStyle name="Normal 15 4 9 2" xfId="46365" xr:uid="{00000000-0005-0000-0000-0000E7690000}"/>
    <cellStyle name="Normal 15 5" xfId="5514" xr:uid="{00000000-0005-0000-0000-0000E8690000}"/>
    <cellStyle name="Normal 15 5 2" xfId="5515" xr:uid="{00000000-0005-0000-0000-0000E9690000}"/>
    <cellStyle name="Normal 15 5 2 2" xfId="5516" xr:uid="{00000000-0005-0000-0000-0000EA690000}"/>
    <cellStyle name="Normal 15 5 2 2 2" xfId="9062" xr:uid="{00000000-0005-0000-0000-0000EB690000}"/>
    <cellStyle name="Normal 15 5 2 2 2 2" xfId="15852" xr:uid="{00000000-0005-0000-0000-0000EC690000}"/>
    <cellStyle name="Normal 15 5 2 2 2 2 2" xfId="29420" xr:uid="{00000000-0005-0000-0000-0000ED690000}"/>
    <cellStyle name="Normal 15 5 2 2 2 2 2 2" xfId="56553" xr:uid="{00000000-0005-0000-0000-0000EE690000}"/>
    <cellStyle name="Normal 15 5 2 2 2 2 3" xfId="42991" xr:uid="{00000000-0005-0000-0000-0000EF690000}"/>
    <cellStyle name="Normal 15 5 2 2 2 3" xfId="22639" xr:uid="{00000000-0005-0000-0000-0000F0690000}"/>
    <cellStyle name="Normal 15 5 2 2 2 3 2" xfId="49772" xr:uid="{00000000-0005-0000-0000-0000F1690000}"/>
    <cellStyle name="Normal 15 5 2 2 2 4" xfId="36210" xr:uid="{00000000-0005-0000-0000-0000F2690000}"/>
    <cellStyle name="Normal 15 5 2 2 3" xfId="12463" xr:uid="{00000000-0005-0000-0000-0000F3690000}"/>
    <cellStyle name="Normal 15 5 2 2 3 2" xfId="26031" xr:uid="{00000000-0005-0000-0000-0000F4690000}"/>
    <cellStyle name="Normal 15 5 2 2 3 2 2" xfId="53164" xr:uid="{00000000-0005-0000-0000-0000F5690000}"/>
    <cellStyle name="Normal 15 5 2 2 3 3" xfId="39602" xr:uid="{00000000-0005-0000-0000-0000F6690000}"/>
    <cellStyle name="Normal 15 5 2 2 4" xfId="19250" xr:uid="{00000000-0005-0000-0000-0000F7690000}"/>
    <cellStyle name="Normal 15 5 2 2 4 2" xfId="46383" xr:uid="{00000000-0005-0000-0000-0000F8690000}"/>
    <cellStyle name="Normal 15 5 2 2 5" xfId="32821" xr:uid="{00000000-0005-0000-0000-0000F9690000}"/>
    <cellStyle name="Normal 15 5 2 3" xfId="5517" xr:uid="{00000000-0005-0000-0000-0000FA690000}"/>
    <cellStyle name="Normal 15 5 2 3 2" xfId="9063" xr:uid="{00000000-0005-0000-0000-0000FB690000}"/>
    <cellStyle name="Normal 15 5 2 3 2 2" xfId="15853" xr:uid="{00000000-0005-0000-0000-0000FC690000}"/>
    <cellStyle name="Normal 15 5 2 3 2 2 2" xfId="29421" xr:uid="{00000000-0005-0000-0000-0000FD690000}"/>
    <cellStyle name="Normal 15 5 2 3 2 2 2 2" xfId="56554" xr:uid="{00000000-0005-0000-0000-0000FE690000}"/>
    <cellStyle name="Normal 15 5 2 3 2 2 3" xfId="42992" xr:uid="{00000000-0005-0000-0000-0000FF690000}"/>
    <cellStyle name="Normal 15 5 2 3 2 3" xfId="22640" xr:uid="{00000000-0005-0000-0000-0000006A0000}"/>
    <cellStyle name="Normal 15 5 2 3 2 3 2" xfId="49773" xr:uid="{00000000-0005-0000-0000-0000016A0000}"/>
    <cellStyle name="Normal 15 5 2 3 2 4" xfId="36211" xr:uid="{00000000-0005-0000-0000-0000026A0000}"/>
    <cellStyle name="Normal 15 5 2 3 3" xfId="12464" xr:uid="{00000000-0005-0000-0000-0000036A0000}"/>
    <cellStyle name="Normal 15 5 2 3 3 2" xfId="26032" xr:uid="{00000000-0005-0000-0000-0000046A0000}"/>
    <cellStyle name="Normal 15 5 2 3 3 2 2" xfId="53165" xr:uid="{00000000-0005-0000-0000-0000056A0000}"/>
    <cellStyle name="Normal 15 5 2 3 3 3" xfId="39603" xr:uid="{00000000-0005-0000-0000-0000066A0000}"/>
    <cellStyle name="Normal 15 5 2 3 4" xfId="19251" xr:uid="{00000000-0005-0000-0000-0000076A0000}"/>
    <cellStyle name="Normal 15 5 2 3 4 2" xfId="46384" xr:uid="{00000000-0005-0000-0000-0000086A0000}"/>
    <cellStyle name="Normal 15 5 2 3 5" xfId="32822" xr:uid="{00000000-0005-0000-0000-0000096A0000}"/>
    <cellStyle name="Normal 15 5 2 4" xfId="9061" xr:uid="{00000000-0005-0000-0000-00000A6A0000}"/>
    <cellStyle name="Normal 15 5 2 4 2" xfId="15851" xr:uid="{00000000-0005-0000-0000-00000B6A0000}"/>
    <cellStyle name="Normal 15 5 2 4 2 2" xfId="29419" xr:uid="{00000000-0005-0000-0000-00000C6A0000}"/>
    <cellStyle name="Normal 15 5 2 4 2 2 2" xfId="56552" xr:uid="{00000000-0005-0000-0000-00000D6A0000}"/>
    <cellStyle name="Normal 15 5 2 4 2 3" xfId="42990" xr:uid="{00000000-0005-0000-0000-00000E6A0000}"/>
    <cellStyle name="Normal 15 5 2 4 3" xfId="22638" xr:uid="{00000000-0005-0000-0000-00000F6A0000}"/>
    <cellStyle name="Normal 15 5 2 4 3 2" xfId="49771" xr:uid="{00000000-0005-0000-0000-0000106A0000}"/>
    <cellStyle name="Normal 15 5 2 4 4" xfId="36209" xr:uid="{00000000-0005-0000-0000-0000116A0000}"/>
    <cellStyle name="Normal 15 5 2 5" xfId="12462" xr:uid="{00000000-0005-0000-0000-0000126A0000}"/>
    <cellStyle name="Normal 15 5 2 5 2" xfId="26030" xr:uid="{00000000-0005-0000-0000-0000136A0000}"/>
    <cellStyle name="Normal 15 5 2 5 2 2" xfId="53163" xr:uid="{00000000-0005-0000-0000-0000146A0000}"/>
    <cellStyle name="Normal 15 5 2 5 3" xfId="39601" xr:uid="{00000000-0005-0000-0000-0000156A0000}"/>
    <cellStyle name="Normal 15 5 2 6" xfId="19249" xr:uid="{00000000-0005-0000-0000-0000166A0000}"/>
    <cellStyle name="Normal 15 5 2 6 2" xfId="46382" xr:uid="{00000000-0005-0000-0000-0000176A0000}"/>
    <cellStyle name="Normal 15 5 2 7" xfId="32820" xr:uid="{00000000-0005-0000-0000-0000186A0000}"/>
    <cellStyle name="Normal 15 5 3" xfId="5518" xr:uid="{00000000-0005-0000-0000-0000196A0000}"/>
    <cellStyle name="Normal 15 5 3 2" xfId="5519" xr:uid="{00000000-0005-0000-0000-00001A6A0000}"/>
    <cellStyle name="Normal 15 5 3 2 2" xfId="9065" xr:uid="{00000000-0005-0000-0000-00001B6A0000}"/>
    <cellStyle name="Normal 15 5 3 2 2 2" xfId="15855" xr:uid="{00000000-0005-0000-0000-00001C6A0000}"/>
    <cellStyle name="Normal 15 5 3 2 2 2 2" xfId="29423" xr:uid="{00000000-0005-0000-0000-00001D6A0000}"/>
    <cellStyle name="Normal 15 5 3 2 2 2 2 2" xfId="56556" xr:uid="{00000000-0005-0000-0000-00001E6A0000}"/>
    <cellStyle name="Normal 15 5 3 2 2 2 3" xfId="42994" xr:uid="{00000000-0005-0000-0000-00001F6A0000}"/>
    <cellStyle name="Normal 15 5 3 2 2 3" xfId="22642" xr:uid="{00000000-0005-0000-0000-0000206A0000}"/>
    <cellStyle name="Normal 15 5 3 2 2 3 2" xfId="49775" xr:uid="{00000000-0005-0000-0000-0000216A0000}"/>
    <cellStyle name="Normal 15 5 3 2 2 4" xfId="36213" xr:uid="{00000000-0005-0000-0000-0000226A0000}"/>
    <cellStyle name="Normal 15 5 3 2 3" xfId="12466" xr:uid="{00000000-0005-0000-0000-0000236A0000}"/>
    <cellStyle name="Normal 15 5 3 2 3 2" xfId="26034" xr:uid="{00000000-0005-0000-0000-0000246A0000}"/>
    <cellStyle name="Normal 15 5 3 2 3 2 2" xfId="53167" xr:uid="{00000000-0005-0000-0000-0000256A0000}"/>
    <cellStyle name="Normal 15 5 3 2 3 3" xfId="39605" xr:uid="{00000000-0005-0000-0000-0000266A0000}"/>
    <cellStyle name="Normal 15 5 3 2 4" xfId="19253" xr:uid="{00000000-0005-0000-0000-0000276A0000}"/>
    <cellStyle name="Normal 15 5 3 2 4 2" xfId="46386" xr:uid="{00000000-0005-0000-0000-0000286A0000}"/>
    <cellStyle name="Normal 15 5 3 2 5" xfId="32824" xr:uid="{00000000-0005-0000-0000-0000296A0000}"/>
    <cellStyle name="Normal 15 5 3 3" xfId="9064" xr:uid="{00000000-0005-0000-0000-00002A6A0000}"/>
    <cellStyle name="Normal 15 5 3 3 2" xfId="15854" xr:uid="{00000000-0005-0000-0000-00002B6A0000}"/>
    <cellStyle name="Normal 15 5 3 3 2 2" xfId="29422" xr:uid="{00000000-0005-0000-0000-00002C6A0000}"/>
    <cellStyle name="Normal 15 5 3 3 2 2 2" xfId="56555" xr:uid="{00000000-0005-0000-0000-00002D6A0000}"/>
    <cellStyle name="Normal 15 5 3 3 2 3" xfId="42993" xr:uid="{00000000-0005-0000-0000-00002E6A0000}"/>
    <cellStyle name="Normal 15 5 3 3 3" xfId="22641" xr:uid="{00000000-0005-0000-0000-00002F6A0000}"/>
    <cellStyle name="Normal 15 5 3 3 3 2" xfId="49774" xr:uid="{00000000-0005-0000-0000-0000306A0000}"/>
    <cellStyle name="Normal 15 5 3 3 4" xfId="36212" xr:uid="{00000000-0005-0000-0000-0000316A0000}"/>
    <cellStyle name="Normal 15 5 3 4" xfId="12465" xr:uid="{00000000-0005-0000-0000-0000326A0000}"/>
    <cellStyle name="Normal 15 5 3 4 2" xfId="26033" xr:uid="{00000000-0005-0000-0000-0000336A0000}"/>
    <cellStyle name="Normal 15 5 3 4 2 2" xfId="53166" xr:uid="{00000000-0005-0000-0000-0000346A0000}"/>
    <cellStyle name="Normal 15 5 3 4 3" xfId="39604" xr:uid="{00000000-0005-0000-0000-0000356A0000}"/>
    <cellStyle name="Normal 15 5 3 5" xfId="19252" xr:uid="{00000000-0005-0000-0000-0000366A0000}"/>
    <cellStyle name="Normal 15 5 3 5 2" xfId="46385" xr:uid="{00000000-0005-0000-0000-0000376A0000}"/>
    <cellStyle name="Normal 15 5 3 6" xfId="32823" xr:uid="{00000000-0005-0000-0000-0000386A0000}"/>
    <cellStyle name="Normal 15 5 4" xfId="5520" xr:uid="{00000000-0005-0000-0000-0000396A0000}"/>
    <cellStyle name="Normal 15 5 4 2" xfId="9066" xr:uid="{00000000-0005-0000-0000-00003A6A0000}"/>
    <cellStyle name="Normal 15 5 4 2 2" xfId="15856" xr:uid="{00000000-0005-0000-0000-00003B6A0000}"/>
    <cellStyle name="Normal 15 5 4 2 2 2" xfId="29424" xr:uid="{00000000-0005-0000-0000-00003C6A0000}"/>
    <cellStyle name="Normal 15 5 4 2 2 2 2" xfId="56557" xr:uid="{00000000-0005-0000-0000-00003D6A0000}"/>
    <cellStyle name="Normal 15 5 4 2 2 3" xfId="42995" xr:uid="{00000000-0005-0000-0000-00003E6A0000}"/>
    <cellStyle name="Normal 15 5 4 2 3" xfId="22643" xr:uid="{00000000-0005-0000-0000-00003F6A0000}"/>
    <cellStyle name="Normal 15 5 4 2 3 2" xfId="49776" xr:uid="{00000000-0005-0000-0000-0000406A0000}"/>
    <cellStyle name="Normal 15 5 4 2 4" xfId="36214" xr:uid="{00000000-0005-0000-0000-0000416A0000}"/>
    <cellStyle name="Normal 15 5 4 3" xfId="12467" xr:uid="{00000000-0005-0000-0000-0000426A0000}"/>
    <cellStyle name="Normal 15 5 4 3 2" xfId="26035" xr:uid="{00000000-0005-0000-0000-0000436A0000}"/>
    <cellStyle name="Normal 15 5 4 3 2 2" xfId="53168" xr:uid="{00000000-0005-0000-0000-0000446A0000}"/>
    <cellStyle name="Normal 15 5 4 3 3" xfId="39606" xr:uid="{00000000-0005-0000-0000-0000456A0000}"/>
    <cellStyle name="Normal 15 5 4 4" xfId="19254" xr:uid="{00000000-0005-0000-0000-0000466A0000}"/>
    <cellStyle name="Normal 15 5 4 4 2" xfId="46387" xr:uid="{00000000-0005-0000-0000-0000476A0000}"/>
    <cellStyle name="Normal 15 5 4 5" xfId="32825" xr:uid="{00000000-0005-0000-0000-0000486A0000}"/>
    <cellStyle name="Normal 15 5 5" xfId="5521" xr:uid="{00000000-0005-0000-0000-0000496A0000}"/>
    <cellStyle name="Normal 15 5 5 2" xfId="9067" xr:uid="{00000000-0005-0000-0000-00004A6A0000}"/>
    <cellStyle name="Normal 15 5 5 2 2" xfId="15857" xr:uid="{00000000-0005-0000-0000-00004B6A0000}"/>
    <cellStyle name="Normal 15 5 5 2 2 2" xfId="29425" xr:uid="{00000000-0005-0000-0000-00004C6A0000}"/>
    <cellStyle name="Normal 15 5 5 2 2 2 2" xfId="56558" xr:uid="{00000000-0005-0000-0000-00004D6A0000}"/>
    <cellStyle name="Normal 15 5 5 2 2 3" xfId="42996" xr:uid="{00000000-0005-0000-0000-00004E6A0000}"/>
    <cellStyle name="Normal 15 5 5 2 3" xfId="22644" xr:uid="{00000000-0005-0000-0000-00004F6A0000}"/>
    <cellStyle name="Normal 15 5 5 2 3 2" xfId="49777" xr:uid="{00000000-0005-0000-0000-0000506A0000}"/>
    <cellStyle name="Normal 15 5 5 2 4" xfId="36215" xr:uid="{00000000-0005-0000-0000-0000516A0000}"/>
    <cellStyle name="Normal 15 5 5 3" xfId="12468" xr:uid="{00000000-0005-0000-0000-0000526A0000}"/>
    <cellStyle name="Normal 15 5 5 3 2" xfId="26036" xr:uid="{00000000-0005-0000-0000-0000536A0000}"/>
    <cellStyle name="Normal 15 5 5 3 2 2" xfId="53169" xr:uid="{00000000-0005-0000-0000-0000546A0000}"/>
    <cellStyle name="Normal 15 5 5 3 3" xfId="39607" xr:uid="{00000000-0005-0000-0000-0000556A0000}"/>
    <cellStyle name="Normal 15 5 5 4" xfId="19255" xr:uid="{00000000-0005-0000-0000-0000566A0000}"/>
    <cellStyle name="Normal 15 5 5 4 2" xfId="46388" xr:uid="{00000000-0005-0000-0000-0000576A0000}"/>
    <cellStyle name="Normal 15 5 5 5" xfId="32826" xr:uid="{00000000-0005-0000-0000-0000586A0000}"/>
    <cellStyle name="Normal 15 5 6" xfId="9060" xr:uid="{00000000-0005-0000-0000-0000596A0000}"/>
    <cellStyle name="Normal 15 5 6 2" xfId="15850" xr:uid="{00000000-0005-0000-0000-00005A6A0000}"/>
    <cellStyle name="Normal 15 5 6 2 2" xfId="29418" xr:uid="{00000000-0005-0000-0000-00005B6A0000}"/>
    <cellStyle name="Normal 15 5 6 2 2 2" xfId="56551" xr:uid="{00000000-0005-0000-0000-00005C6A0000}"/>
    <cellStyle name="Normal 15 5 6 2 3" xfId="42989" xr:uid="{00000000-0005-0000-0000-00005D6A0000}"/>
    <cellStyle name="Normal 15 5 6 3" xfId="22637" xr:uid="{00000000-0005-0000-0000-00005E6A0000}"/>
    <cellStyle name="Normal 15 5 6 3 2" xfId="49770" xr:uid="{00000000-0005-0000-0000-00005F6A0000}"/>
    <cellStyle name="Normal 15 5 6 4" xfId="36208" xr:uid="{00000000-0005-0000-0000-0000606A0000}"/>
    <cellStyle name="Normal 15 5 7" xfId="12461" xr:uid="{00000000-0005-0000-0000-0000616A0000}"/>
    <cellStyle name="Normal 15 5 7 2" xfId="26029" xr:uid="{00000000-0005-0000-0000-0000626A0000}"/>
    <cellStyle name="Normal 15 5 7 2 2" xfId="53162" xr:uid="{00000000-0005-0000-0000-0000636A0000}"/>
    <cellStyle name="Normal 15 5 7 3" xfId="39600" xr:uid="{00000000-0005-0000-0000-0000646A0000}"/>
    <cellStyle name="Normal 15 5 8" xfId="19248" xr:uid="{00000000-0005-0000-0000-0000656A0000}"/>
    <cellStyle name="Normal 15 5 8 2" xfId="46381" xr:uid="{00000000-0005-0000-0000-0000666A0000}"/>
    <cellStyle name="Normal 15 5 9" xfId="32819" xr:uid="{00000000-0005-0000-0000-0000676A0000}"/>
    <cellStyle name="Normal 15 6" xfId="5522" xr:uid="{00000000-0005-0000-0000-0000686A0000}"/>
    <cellStyle name="Normal 15 6 2" xfId="5523" xr:uid="{00000000-0005-0000-0000-0000696A0000}"/>
    <cellStyle name="Normal 15 6 2 2" xfId="5524" xr:uid="{00000000-0005-0000-0000-00006A6A0000}"/>
    <cellStyle name="Normal 15 6 2 2 2" xfId="9070" xr:uid="{00000000-0005-0000-0000-00006B6A0000}"/>
    <cellStyle name="Normal 15 6 2 2 2 2" xfId="15860" xr:uid="{00000000-0005-0000-0000-00006C6A0000}"/>
    <cellStyle name="Normal 15 6 2 2 2 2 2" xfId="29428" xr:uid="{00000000-0005-0000-0000-00006D6A0000}"/>
    <cellStyle name="Normal 15 6 2 2 2 2 2 2" xfId="56561" xr:uid="{00000000-0005-0000-0000-00006E6A0000}"/>
    <cellStyle name="Normal 15 6 2 2 2 2 3" xfId="42999" xr:uid="{00000000-0005-0000-0000-00006F6A0000}"/>
    <cellStyle name="Normal 15 6 2 2 2 3" xfId="22647" xr:uid="{00000000-0005-0000-0000-0000706A0000}"/>
    <cellStyle name="Normal 15 6 2 2 2 3 2" xfId="49780" xr:uid="{00000000-0005-0000-0000-0000716A0000}"/>
    <cellStyle name="Normal 15 6 2 2 2 4" xfId="36218" xr:uid="{00000000-0005-0000-0000-0000726A0000}"/>
    <cellStyle name="Normal 15 6 2 2 3" xfId="12471" xr:uid="{00000000-0005-0000-0000-0000736A0000}"/>
    <cellStyle name="Normal 15 6 2 2 3 2" xfId="26039" xr:uid="{00000000-0005-0000-0000-0000746A0000}"/>
    <cellStyle name="Normal 15 6 2 2 3 2 2" xfId="53172" xr:uid="{00000000-0005-0000-0000-0000756A0000}"/>
    <cellStyle name="Normal 15 6 2 2 3 3" xfId="39610" xr:uid="{00000000-0005-0000-0000-0000766A0000}"/>
    <cellStyle name="Normal 15 6 2 2 4" xfId="19258" xr:uid="{00000000-0005-0000-0000-0000776A0000}"/>
    <cellStyle name="Normal 15 6 2 2 4 2" xfId="46391" xr:uid="{00000000-0005-0000-0000-0000786A0000}"/>
    <cellStyle name="Normal 15 6 2 2 5" xfId="32829" xr:uid="{00000000-0005-0000-0000-0000796A0000}"/>
    <cellStyle name="Normal 15 6 2 3" xfId="5525" xr:uid="{00000000-0005-0000-0000-00007A6A0000}"/>
    <cellStyle name="Normal 15 6 2 3 2" xfId="9071" xr:uid="{00000000-0005-0000-0000-00007B6A0000}"/>
    <cellStyle name="Normal 15 6 2 3 2 2" xfId="15861" xr:uid="{00000000-0005-0000-0000-00007C6A0000}"/>
    <cellStyle name="Normal 15 6 2 3 2 2 2" xfId="29429" xr:uid="{00000000-0005-0000-0000-00007D6A0000}"/>
    <cellStyle name="Normal 15 6 2 3 2 2 2 2" xfId="56562" xr:uid="{00000000-0005-0000-0000-00007E6A0000}"/>
    <cellStyle name="Normal 15 6 2 3 2 2 3" xfId="43000" xr:uid="{00000000-0005-0000-0000-00007F6A0000}"/>
    <cellStyle name="Normal 15 6 2 3 2 3" xfId="22648" xr:uid="{00000000-0005-0000-0000-0000806A0000}"/>
    <cellStyle name="Normal 15 6 2 3 2 3 2" xfId="49781" xr:uid="{00000000-0005-0000-0000-0000816A0000}"/>
    <cellStyle name="Normal 15 6 2 3 2 4" xfId="36219" xr:uid="{00000000-0005-0000-0000-0000826A0000}"/>
    <cellStyle name="Normal 15 6 2 3 3" xfId="12472" xr:uid="{00000000-0005-0000-0000-0000836A0000}"/>
    <cellStyle name="Normal 15 6 2 3 3 2" xfId="26040" xr:uid="{00000000-0005-0000-0000-0000846A0000}"/>
    <cellStyle name="Normal 15 6 2 3 3 2 2" xfId="53173" xr:uid="{00000000-0005-0000-0000-0000856A0000}"/>
    <cellStyle name="Normal 15 6 2 3 3 3" xfId="39611" xr:uid="{00000000-0005-0000-0000-0000866A0000}"/>
    <cellStyle name="Normal 15 6 2 3 4" xfId="19259" xr:uid="{00000000-0005-0000-0000-0000876A0000}"/>
    <cellStyle name="Normal 15 6 2 3 4 2" xfId="46392" xr:uid="{00000000-0005-0000-0000-0000886A0000}"/>
    <cellStyle name="Normal 15 6 2 3 5" xfId="32830" xr:uid="{00000000-0005-0000-0000-0000896A0000}"/>
    <cellStyle name="Normal 15 6 2 4" xfId="9069" xr:uid="{00000000-0005-0000-0000-00008A6A0000}"/>
    <cellStyle name="Normal 15 6 2 4 2" xfId="15859" xr:uid="{00000000-0005-0000-0000-00008B6A0000}"/>
    <cellStyle name="Normal 15 6 2 4 2 2" xfId="29427" xr:uid="{00000000-0005-0000-0000-00008C6A0000}"/>
    <cellStyle name="Normal 15 6 2 4 2 2 2" xfId="56560" xr:uid="{00000000-0005-0000-0000-00008D6A0000}"/>
    <cellStyle name="Normal 15 6 2 4 2 3" xfId="42998" xr:uid="{00000000-0005-0000-0000-00008E6A0000}"/>
    <cellStyle name="Normal 15 6 2 4 3" xfId="22646" xr:uid="{00000000-0005-0000-0000-00008F6A0000}"/>
    <cellStyle name="Normal 15 6 2 4 3 2" xfId="49779" xr:uid="{00000000-0005-0000-0000-0000906A0000}"/>
    <cellStyle name="Normal 15 6 2 4 4" xfId="36217" xr:uid="{00000000-0005-0000-0000-0000916A0000}"/>
    <cellStyle name="Normal 15 6 2 5" xfId="12470" xr:uid="{00000000-0005-0000-0000-0000926A0000}"/>
    <cellStyle name="Normal 15 6 2 5 2" xfId="26038" xr:uid="{00000000-0005-0000-0000-0000936A0000}"/>
    <cellStyle name="Normal 15 6 2 5 2 2" xfId="53171" xr:uid="{00000000-0005-0000-0000-0000946A0000}"/>
    <cellStyle name="Normal 15 6 2 5 3" xfId="39609" xr:uid="{00000000-0005-0000-0000-0000956A0000}"/>
    <cellStyle name="Normal 15 6 2 6" xfId="19257" xr:uid="{00000000-0005-0000-0000-0000966A0000}"/>
    <cellStyle name="Normal 15 6 2 6 2" xfId="46390" xr:uid="{00000000-0005-0000-0000-0000976A0000}"/>
    <cellStyle name="Normal 15 6 2 7" xfId="32828" xr:uid="{00000000-0005-0000-0000-0000986A0000}"/>
    <cellStyle name="Normal 15 6 3" xfId="5526" xr:uid="{00000000-0005-0000-0000-0000996A0000}"/>
    <cellStyle name="Normal 15 6 3 2" xfId="9072" xr:uid="{00000000-0005-0000-0000-00009A6A0000}"/>
    <cellStyle name="Normal 15 6 3 2 2" xfId="15862" xr:uid="{00000000-0005-0000-0000-00009B6A0000}"/>
    <cellStyle name="Normal 15 6 3 2 2 2" xfId="29430" xr:uid="{00000000-0005-0000-0000-00009C6A0000}"/>
    <cellStyle name="Normal 15 6 3 2 2 2 2" xfId="56563" xr:uid="{00000000-0005-0000-0000-00009D6A0000}"/>
    <cellStyle name="Normal 15 6 3 2 2 3" xfId="43001" xr:uid="{00000000-0005-0000-0000-00009E6A0000}"/>
    <cellStyle name="Normal 15 6 3 2 3" xfId="22649" xr:uid="{00000000-0005-0000-0000-00009F6A0000}"/>
    <cellStyle name="Normal 15 6 3 2 3 2" xfId="49782" xr:uid="{00000000-0005-0000-0000-0000A06A0000}"/>
    <cellStyle name="Normal 15 6 3 2 4" xfId="36220" xr:uid="{00000000-0005-0000-0000-0000A16A0000}"/>
    <cellStyle name="Normal 15 6 3 3" xfId="12473" xr:uid="{00000000-0005-0000-0000-0000A26A0000}"/>
    <cellStyle name="Normal 15 6 3 3 2" xfId="26041" xr:uid="{00000000-0005-0000-0000-0000A36A0000}"/>
    <cellStyle name="Normal 15 6 3 3 2 2" xfId="53174" xr:uid="{00000000-0005-0000-0000-0000A46A0000}"/>
    <cellStyle name="Normal 15 6 3 3 3" xfId="39612" xr:uid="{00000000-0005-0000-0000-0000A56A0000}"/>
    <cellStyle name="Normal 15 6 3 4" xfId="19260" xr:uid="{00000000-0005-0000-0000-0000A66A0000}"/>
    <cellStyle name="Normal 15 6 3 4 2" xfId="46393" xr:uid="{00000000-0005-0000-0000-0000A76A0000}"/>
    <cellStyle name="Normal 15 6 3 5" xfId="32831" xr:uid="{00000000-0005-0000-0000-0000A86A0000}"/>
    <cellStyle name="Normal 15 6 4" xfId="5527" xr:uid="{00000000-0005-0000-0000-0000A96A0000}"/>
    <cellStyle name="Normal 15 6 4 2" xfId="9073" xr:uid="{00000000-0005-0000-0000-0000AA6A0000}"/>
    <cellStyle name="Normal 15 6 4 2 2" xfId="15863" xr:uid="{00000000-0005-0000-0000-0000AB6A0000}"/>
    <cellStyle name="Normal 15 6 4 2 2 2" xfId="29431" xr:uid="{00000000-0005-0000-0000-0000AC6A0000}"/>
    <cellStyle name="Normal 15 6 4 2 2 2 2" xfId="56564" xr:uid="{00000000-0005-0000-0000-0000AD6A0000}"/>
    <cellStyle name="Normal 15 6 4 2 2 3" xfId="43002" xr:uid="{00000000-0005-0000-0000-0000AE6A0000}"/>
    <cellStyle name="Normal 15 6 4 2 3" xfId="22650" xr:uid="{00000000-0005-0000-0000-0000AF6A0000}"/>
    <cellStyle name="Normal 15 6 4 2 3 2" xfId="49783" xr:uid="{00000000-0005-0000-0000-0000B06A0000}"/>
    <cellStyle name="Normal 15 6 4 2 4" xfId="36221" xr:uid="{00000000-0005-0000-0000-0000B16A0000}"/>
    <cellStyle name="Normal 15 6 4 3" xfId="12474" xr:uid="{00000000-0005-0000-0000-0000B26A0000}"/>
    <cellStyle name="Normal 15 6 4 3 2" xfId="26042" xr:uid="{00000000-0005-0000-0000-0000B36A0000}"/>
    <cellStyle name="Normal 15 6 4 3 2 2" xfId="53175" xr:uid="{00000000-0005-0000-0000-0000B46A0000}"/>
    <cellStyle name="Normal 15 6 4 3 3" xfId="39613" xr:uid="{00000000-0005-0000-0000-0000B56A0000}"/>
    <cellStyle name="Normal 15 6 4 4" xfId="19261" xr:uid="{00000000-0005-0000-0000-0000B66A0000}"/>
    <cellStyle name="Normal 15 6 4 4 2" xfId="46394" xr:uid="{00000000-0005-0000-0000-0000B76A0000}"/>
    <cellStyle name="Normal 15 6 4 5" xfId="32832" xr:uid="{00000000-0005-0000-0000-0000B86A0000}"/>
    <cellStyle name="Normal 15 6 5" xfId="9068" xr:uid="{00000000-0005-0000-0000-0000B96A0000}"/>
    <cellStyle name="Normal 15 6 5 2" xfId="15858" xr:uid="{00000000-0005-0000-0000-0000BA6A0000}"/>
    <cellStyle name="Normal 15 6 5 2 2" xfId="29426" xr:uid="{00000000-0005-0000-0000-0000BB6A0000}"/>
    <cellStyle name="Normal 15 6 5 2 2 2" xfId="56559" xr:uid="{00000000-0005-0000-0000-0000BC6A0000}"/>
    <cellStyle name="Normal 15 6 5 2 3" xfId="42997" xr:uid="{00000000-0005-0000-0000-0000BD6A0000}"/>
    <cellStyle name="Normal 15 6 5 3" xfId="22645" xr:uid="{00000000-0005-0000-0000-0000BE6A0000}"/>
    <cellStyle name="Normal 15 6 5 3 2" xfId="49778" xr:uid="{00000000-0005-0000-0000-0000BF6A0000}"/>
    <cellStyle name="Normal 15 6 5 4" xfId="36216" xr:uid="{00000000-0005-0000-0000-0000C06A0000}"/>
    <cellStyle name="Normal 15 6 6" xfId="12469" xr:uid="{00000000-0005-0000-0000-0000C16A0000}"/>
    <cellStyle name="Normal 15 6 6 2" xfId="26037" xr:uid="{00000000-0005-0000-0000-0000C26A0000}"/>
    <cellStyle name="Normal 15 6 6 2 2" xfId="53170" xr:uid="{00000000-0005-0000-0000-0000C36A0000}"/>
    <cellStyle name="Normal 15 6 6 3" xfId="39608" xr:uid="{00000000-0005-0000-0000-0000C46A0000}"/>
    <cellStyle name="Normal 15 6 7" xfId="19256" xr:uid="{00000000-0005-0000-0000-0000C56A0000}"/>
    <cellStyle name="Normal 15 6 7 2" xfId="46389" xr:uid="{00000000-0005-0000-0000-0000C66A0000}"/>
    <cellStyle name="Normal 15 6 8" xfId="32827" xr:uid="{00000000-0005-0000-0000-0000C76A0000}"/>
    <cellStyle name="Normal 15 7" xfId="5528" xr:uid="{00000000-0005-0000-0000-0000C86A0000}"/>
    <cellStyle name="Normal 15 7 2" xfId="5529" xr:uid="{00000000-0005-0000-0000-0000C96A0000}"/>
    <cellStyle name="Normal 15 7 2 2" xfId="5530" xr:uid="{00000000-0005-0000-0000-0000CA6A0000}"/>
    <cellStyle name="Normal 15 7 2 2 2" xfId="9076" xr:uid="{00000000-0005-0000-0000-0000CB6A0000}"/>
    <cellStyle name="Normal 15 7 2 2 2 2" xfId="15866" xr:uid="{00000000-0005-0000-0000-0000CC6A0000}"/>
    <cellStyle name="Normal 15 7 2 2 2 2 2" xfId="29434" xr:uid="{00000000-0005-0000-0000-0000CD6A0000}"/>
    <cellStyle name="Normal 15 7 2 2 2 2 2 2" xfId="56567" xr:uid="{00000000-0005-0000-0000-0000CE6A0000}"/>
    <cellStyle name="Normal 15 7 2 2 2 2 3" xfId="43005" xr:uid="{00000000-0005-0000-0000-0000CF6A0000}"/>
    <cellStyle name="Normal 15 7 2 2 2 3" xfId="22653" xr:uid="{00000000-0005-0000-0000-0000D06A0000}"/>
    <cellStyle name="Normal 15 7 2 2 2 3 2" xfId="49786" xr:uid="{00000000-0005-0000-0000-0000D16A0000}"/>
    <cellStyle name="Normal 15 7 2 2 2 4" xfId="36224" xr:uid="{00000000-0005-0000-0000-0000D26A0000}"/>
    <cellStyle name="Normal 15 7 2 2 3" xfId="12477" xr:uid="{00000000-0005-0000-0000-0000D36A0000}"/>
    <cellStyle name="Normal 15 7 2 2 3 2" xfId="26045" xr:uid="{00000000-0005-0000-0000-0000D46A0000}"/>
    <cellStyle name="Normal 15 7 2 2 3 2 2" xfId="53178" xr:uid="{00000000-0005-0000-0000-0000D56A0000}"/>
    <cellStyle name="Normal 15 7 2 2 3 3" xfId="39616" xr:uid="{00000000-0005-0000-0000-0000D66A0000}"/>
    <cellStyle name="Normal 15 7 2 2 4" xfId="19264" xr:uid="{00000000-0005-0000-0000-0000D76A0000}"/>
    <cellStyle name="Normal 15 7 2 2 4 2" xfId="46397" xr:uid="{00000000-0005-0000-0000-0000D86A0000}"/>
    <cellStyle name="Normal 15 7 2 2 5" xfId="32835" xr:uid="{00000000-0005-0000-0000-0000D96A0000}"/>
    <cellStyle name="Normal 15 7 2 3" xfId="5531" xr:uid="{00000000-0005-0000-0000-0000DA6A0000}"/>
    <cellStyle name="Normal 15 7 2 3 2" xfId="9077" xr:uid="{00000000-0005-0000-0000-0000DB6A0000}"/>
    <cellStyle name="Normal 15 7 2 3 2 2" xfId="15867" xr:uid="{00000000-0005-0000-0000-0000DC6A0000}"/>
    <cellStyle name="Normal 15 7 2 3 2 2 2" xfId="29435" xr:uid="{00000000-0005-0000-0000-0000DD6A0000}"/>
    <cellStyle name="Normal 15 7 2 3 2 2 2 2" xfId="56568" xr:uid="{00000000-0005-0000-0000-0000DE6A0000}"/>
    <cellStyle name="Normal 15 7 2 3 2 2 3" xfId="43006" xr:uid="{00000000-0005-0000-0000-0000DF6A0000}"/>
    <cellStyle name="Normal 15 7 2 3 2 3" xfId="22654" xr:uid="{00000000-0005-0000-0000-0000E06A0000}"/>
    <cellStyle name="Normal 15 7 2 3 2 3 2" xfId="49787" xr:uid="{00000000-0005-0000-0000-0000E16A0000}"/>
    <cellStyle name="Normal 15 7 2 3 2 4" xfId="36225" xr:uid="{00000000-0005-0000-0000-0000E26A0000}"/>
    <cellStyle name="Normal 15 7 2 3 3" xfId="12478" xr:uid="{00000000-0005-0000-0000-0000E36A0000}"/>
    <cellStyle name="Normal 15 7 2 3 3 2" xfId="26046" xr:uid="{00000000-0005-0000-0000-0000E46A0000}"/>
    <cellStyle name="Normal 15 7 2 3 3 2 2" xfId="53179" xr:uid="{00000000-0005-0000-0000-0000E56A0000}"/>
    <cellStyle name="Normal 15 7 2 3 3 3" xfId="39617" xr:uid="{00000000-0005-0000-0000-0000E66A0000}"/>
    <cellStyle name="Normal 15 7 2 3 4" xfId="19265" xr:uid="{00000000-0005-0000-0000-0000E76A0000}"/>
    <cellStyle name="Normal 15 7 2 3 4 2" xfId="46398" xr:uid="{00000000-0005-0000-0000-0000E86A0000}"/>
    <cellStyle name="Normal 15 7 2 3 5" xfId="32836" xr:uid="{00000000-0005-0000-0000-0000E96A0000}"/>
    <cellStyle name="Normal 15 7 2 4" xfId="9075" xr:uid="{00000000-0005-0000-0000-0000EA6A0000}"/>
    <cellStyle name="Normal 15 7 2 4 2" xfId="15865" xr:uid="{00000000-0005-0000-0000-0000EB6A0000}"/>
    <cellStyle name="Normal 15 7 2 4 2 2" xfId="29433" xr:uid="{00000000-0005-0000-0000-0000EC6A0000}"/>
    <cellStyle name="Normal 15 7 2 4 2 2 2" xfId="56566" xr:uid="{00000000-0005-0000-0000-0000ED6A0000}"/>
    <cellStyle name="Normal 15 7 2 4 2 3" xfId="43004" xr:uid="{00000000-0005-0000-0000-0000EE6A0000}"/>
    <cellStyle name="Normal 15 7 2 4 3" xfId="22652" xr:uid="{00000000-0005-0000-0000-0000EF6A0000}"/>
    <cellStyle name="Normal 15 7 2 4 3 2" xfId="49785" xr:uid="{00000000-0005-0000-0000-0000F06A0000}"/>
    <cellStyle name="Normal 15 7 2 4 4" xfId="36223" xr:uid="{00000000-0005-0000-0000-0000F16A0000}"/>
    <cellStyle name="Normal 15 7 2 5" xfId="12476" xr:uid="{00000000-0005-0000-0000-0000F26A0000}"/>
    <cellStyle name="Normal 15 7 2 5 2" xfId="26044" xr:uid="{00000000-0005-0000-0000-0000F36A0000}"/>
    <cellStyle name="Normal 15 7 2 5 2 2" xfId="53177" xr:uid="{00000000-0005-0000-0000-0000F46A0000}"/>
    <cellStyle name="Normal 15 7 2 5 3" xfId="39615" xr:uid="{00000000-0005-0000-0000-0000F56A0000}"/>
    <cellStyle name="Normal 15 7 2 6" xfId="19263" xr:uid="{00000000-0005-0000-0000-0000F66A0000}"/>
    <cellStyle name="Normal 15 7 2 6 2" xfId="46396" xr:uid="{00000000-0005-0000-0000-0000F76A0000}"/>
    <cellStyle name="Normal 15 7 2 7" xfId="32834" xr:uid="{00000000-0005-0000-0000-0000F86A0000}"/>
    <cellStyle name="Normal 15 7 3" xfId="5532" xr:uid="{00000000-0005-0000-0000-0000F96A0000}"/>
    <cellStyle name="Normal 15 7 3 2" xfId="9078" xr:uid="{00000000-0005-0000-0000-0000FA6A0000}"/>
    <cellStyle name="Normal 15 7 3 2 2" xfId="15868" xr:uid="{00000000-0005-0000-0000-0000FB6A0000}"/>
    <cellStyle name="Normal 15 7 3 2 2 2" xfId="29436" xr:uid="{00000000-0005-0000-0000-0000FC6A0000}"/>
    <cellStyle name="Normal 15 7 3 2 2 2 2" xfId="56569" xr:uid="{00000000-0005-0000-0000-0000FD6A0000}"/>
    <cellStyle name="Normal 15 7 3 2 2 3" xfId="43007" xr:uid="{00000000-0005-0000-0000-0000FE6A0000}"/>
    <cellStyle name="Normal 15 7 3 2 3" xfId="22655" xr:uid="{00000000-0005-0000-0000-0000FF6A0000}"/>
    <cellStyle name="Normal 15 7 3 2 3 2" xfId="49788" xr:uid="{00000000-0005-0000-0000-0000006B0000}"/>
    <cellStyle name="Normal 15 7 3 2 4" xfId="36226" xr:uid="{00000000-0005-0000-0000-0000016B0000}"/>
    <cellStyle name="Normal 15 7 3 3" xfId="12479" xr:uid="{00000000-0005-0000-0000-0000026B0000}"/>
    <cellStyle name="Normal 15 7 3 3 2" xfId="26047" xr:uid="{00000000-0005-0000-0000-0000036B0000}"/>
    <cellStyle name="Normal 15 7 3 3 2 2" xfId="53180" xr:uid="{00000000-0005-0000-0000-0000046B0000}"/>
    <cellStyle name="Normal 15 7 3 3 3" xfId="39618" xr:uid="{00000000-0005-0000-0000-0000056B0000}"/>
    <cellStyle name="Normal 15 7 3 4" xfId="19266" xr:uid="{00000000-0005-0000-0000-0000066B0000}"/>
    <cellStyle name="Normal 15 7 3 4 2" xfId="46399" xr:uid="{00000000-0005-0000-0000-0000076B0000}"/>
    <cellStyle name="Normal 15 7 3 5" xfId="32837" xr:uid="{00000000-0005-0000-0000-0000086B0000}"/>
    <cellStyle name="Normal 15 7 4" xfId="5533" xr:uid="{00000000-0005-0000-0000-0000096B0000}"/>
    <cellStyle name="Normal 15 7 4 2" xfId="9079" xr:uid="{00000000-0005-0000-0000-00000A6B0000}"/>
    <cellStyle name="Normal 15 7 4 2 2" xfId="15869" xr:uid="{00000000-0005-0000-0000-00000B6B0000}"/>
    <cellStyle name="Normal 15 7 4 2 2 2" xfId="29437" xr:uid="{00000000-0005-0000-0000-00000C6B0000}"/>
    <cellStyle name="Normal 15 7 4 2 2 2 2" xfId="56570" xr:uid="{00000000-0005-0000-0000-00000D6B0000}"/>
    <cellStyle name="Normal 15 7 4 2 2 3" xfId="43008" xr:uid="{00000000-0005-0000-0000-00000E6B0000}"/>
    <cellStyle name="Normal 15 7 4 2 3" xfId="22656" xr:uid="{00000000-0005-0000-0000-00000F6B0000}"/>
    <cellStyle name="Normal 15 7 4 2 3 2" xfId="49789" xr:uid="{00000000-0005-0000-0000-0000106B0000}"/>
    <cellStyle name="Normal 15 7 4 2 4" xfId="36227" xr:uid="{00000000-0005-0000-0000-0000116B0000}"/>
    <cellStyle name="Normal 15 7 4 3" xfId="12480" xr:uid="{00000000-0005-0000-0000-0000126B0000}"/>
    <cellStyle name="Normal 15 7 4 3 2" xfId="26048" xr:uid="{00000000-0005-0000-0000-0000136B0000}"/>
    <cellStyle name="Normal 15 7 4 3 2 2" xfId="53181" xr:uid="{00000000-0005-0000-0000-0000146B0000}"/>
    <cellStyle name="Normal 15 7 4 3 3" xfId="39619" xr:uid="{00000000-0005-0000-0000-0000156B0000}"/>
    <cellStyle name="Normal 15 7 4 4" xfId="19267" xr:uid="{00000000-0005-0000-0000-0000166B0000}"/>
    <cellStyle name="Normal 15 7 4 4 2" xfId="46400" xr:uid="{00000000-0005-0000-0000-0000176B0000}"/>
    <cellStyle name="Normal 15 7 4 5" xfId="32838" xr:uid="{00000000-0005-0000-0000-0000186B0000}"/>
    <cellStyle name="Normal 15 7 5" xfId="9074" xr:uid="{00000000-0005-0000-0000-0000196B0000}"/>
    <cellStyle name="Normal 15 7 5 2" xfId="15864" xr:uid="{00000000-0005-0000-0000-00001A6B0000}"/>
    <cellStyle name="Normal 15 7 5 2 2" xfId="29432" xr:uid="{00000000-0005-0000-0000-00001B6B0000}"/>
    <cellStyle name="Normal 15 7 5 2 2 2" xfId="56565" xr:uid="{00000000-0005-0000-0000-00001C6B0000}"/>
    <cellStyle name="Normal 15 7 5 2 3" xfId="43003" xr:uid="{00000000-0005-0000-0000-00001D6B0000}"/>
    <cellStyle name="Normal 15 7 5 3" xfId="22651" xr:uid="{00000000-0005-0000-0000-00001E6B0000}"/>
    <cellStyle name="Normal 15 7 5 3 2" xfId="49784" xr:uid="{00000000-0005-0000-0000-00001F6B0000}"/>
    <cellStyle name="Normal 15 7 5 4" xfId="36222" xr:uid="{00000000-0005-0000-0000-0000206B0000}"/>
    <cellStyle name="Normal 15 7 6" xfId="12475" xr:uid="{00000000-0005-0000-0000-0000216B0000}"/>
    <cellStyle name="Normal 15 7 6 2" xfId="26043" xr:uid="{00000000-0005-0000-0000-0000226B0000}"/>
    <cellStyle name="Normal 15 7 6 2 2" xfId="53176" xr:uid="{00000000-0005-0000-0000-0000236B0000}"/>
    <cellStyle name="Normal 15 7 6 3" xfId="39614" xr:uid="{00000000-0005-0000-0000-0000246B0000}"/>
    <cellStyle name="Normal 15 7 7" xfId="19262" xr:uid="{00000000-0005-0000-0000-0000256B0000}"/>
    <cellStyle name="Normal 15 7 7 2" xfId="46395" xr:uid="{00000000-0005-0000-0000-0000266B0000}"/>
    <cellStyle name="Normal 15 7 8" xfId="32833" xr:uid="{00000000-0005-0000-0000-0000276B0000}"/>
    <cellStyle name="Normal 15 8" xfId="5534" xr:uid="{00000000-0005-0000-0000-0000286B0000}"/>
    <cellStyle name="Normal 15 8 2" xfId="5535" xr:uid="{00000000-0005-0000-0000-0000296B0000}"/>
    <cellStyle name="Normal 15 8 2 2" xfId="9081" xr:uid="{00000000-0005-0000-0000-00002A6B0000}"/>
    <cellStyle name="Normal 15 8 2 2 2" xfId="15871" xr:uid="{00000000-0005-0000-0000-00002B6B0000}"/>
    <cellStyle name="Normal 15 8 2 2 2 2" xfId="29439" xr:uid="{00000000-0005-0000-0000-00002C6B0000}"/>
    <cellStyle name="Normal 15 8 2 2 2 2 2" xfId="56572" xr:uid="{00000000-0005-0000-0000-00002D6B0000}"/>
    <cellStyle name="Normal 15 8 2 2 2 3" xfId="43010" xr:uid="{00000000-0005-0000-0000-00002E6B0000}"/>
    <cellStyle name="Normal 15 8 2 2 3" xfId="22658" xr:uid="{00000000-0005-0000-0000-00002F6B0000}"/>
    <cellStyle name="Normal 15 8 2 2 3 2" xfId="49791" xr:uid="{00000000-0005-0000-0000-0000306B0000}"/>
    <cellStyle name="Normal 15 8 2 2 4" xfId="36229" xr:uid="{00000000-0005-0000-0000-0000316B0000}"/>
    <cellStyle name="Normal 15 8 2 3" xfId="12482" xr:uid="{00000000-0005-0000-0000-0000326B0000}"/>
    <cellStyle name="Normal 15 8 2 3 2" xfId="26050" xr:uid="{00000000-0005-0000-0000-0000336B0000}"/>
    <cellStyle name="Normal 15 8 2 3 2 2" xfId="53183" xr:uid="{00000000-0005-0000-0000-0000346B0000}"/>
    <cellStyle name="Normal 15 8 2 3 3" xfId="39621" xr:uid="{00000000-0005-0000-0000-0000356B0000}"/>
    <cellStyle name="Normal 15 8 2 4" xfId="19269" xr:uid="{00000000-0005-0000-0000-0000366B0000}"/>
    <cellStyle name="Normal 15 8 2 4 2" xfId="46402" xr:uid="{00000000-0005-0000-0000-0000376B0000}"/>
    <cellStyle name="Normal 15 8 2 5" xfId="32840" xr:uid="{00000000-0005-0000-0000-0000386B0000}"/>
    <cellStyle name="Normal 15 8 3" xfId="9080" xr:uid="{00000000-0005-0000-0000-0000396B0000}"/>
    <cellStyle name="Normal 15 8 3 2" xfId="15870" xr:uid="{00000000-0005-0000-0000-00003A6B0000}"/>
    <cellStyle name="Normal 15 8 3 2 2" xfId="29438" xr:uid="{00000000-0005-0000-0000-00003B6B0000}"/>
    <cellStyle name="Normal 15 8 3 2 2 2" xfId="56571" xr:uid="{00000000-0005-0000-0000-00003C6B0000}"/>
    <cellStyle name="Normal 15 8 3 2 3" xfId="43009" xr:uid="{00000000-0005-0000-0000-00003D6B0000}"/>
    <cellStyle name="Normal 15 8 3 3" xfId="22657" xr:uid="{00000000-0005-0000-0000-00003E6B0000}"/>
    <cellStyle name="Normal 15 8 3 3 2" xfId="49790" xr:uid="{00000000-0005-0000-0000-00003F6B0000}"/>
    <cellStyle name="Normal 15 8 3 4" xfId="36228" xr:uid="{00000000-0005-0000-0000-0000406B0000}"/>
    <cellStyle name="Normal 15 8 4" xfId="12481" xr:uid="{00000000-0005-0000-0000-0000416B0000}"/>
    <cellStyle name="Normal 15 8 4 2" xfId="26049" xr:uid="{00000000-0005-0000-0000-0000426B0000}"/>
    <cellStyle name="Normal 15 8 4 2 2" xfId="53182" xr:uid="{00000000-0005-0000-0000-0000436B0000}"/>
    <cellStyle name="Normal 15 8 4 3" xfId="39620" xr:uid="{00000000-0005-0000-0000-0000446B0000}"/>
    <cellStyle name="Normal 15 8 5" xfId="19268" xr:uid="{00000000-0005-0000-0000-0000456B0000}"/>
    <cellStyle name="Normal 15 8 5 2" xfId="46401" xr:uid="{00000000-0005-0000-0000-0000466B0000}"/>
    <cellStyle name="Normal 15 8 6" xfId="32839" xr:uid="{00000000-0005-0000-0000-0000476B0000}"/>
    <cellStyle name="Normal 15 9" xfId="5536" xr:uid="{00000000-0005-0000-0000-0000486B0000}"/>
    <cellStyle name="Normal 15 9 2" xfId="9082" xr:uid="{00000000-0005-0000-0000-0000496B0000}"/>
    <cellStyle name="Normal 15 9 2 2" xfId="15872" xr:uid="{00000000-0005-0000-0000-00004A6B0000}"/>
    <cellStyle name="Normal 15 9 2 2 2" xfId="29440" xr:uid="{00000000-0005-0000-0000-00004B6B0000}"/>
    <cellStyle name="Normal 15 9 2 2 2 2" xfId="56573" xr:uid="{00000000-0005-0000-0000-00004C6B0000}"/>
    <cellStyle name="Normal 15 9 2 2 3" xfId="43011" xr:uid="{00000000-0005-0000-0000-00004D6B0000}"/>
    <cellStyle name="Normal 15 9 2 3" xfId="22659" xr:uid="{00000000-0005-0000-0000-00004E6B0000}"/>
    <cellStyle name="Normal 15 9 2 3 2" xfId="49792" xr:uid="{00000000-0005-0000-0000-00004F6B0000}"/>
    <cellStyle name="Normal 15 9 2 4" xfId="36230" xr:uid="{00000000-0005-0000-0000-0000506B0000}"/>
    <cellStyle name="Normal 15 9 3" xfId="12483" xr:uid="{00000000-0005-0000-0000-0000516B0000}"/>
    <cellStyle name="Normal 15 9 3 2" xfId="26051" xr:uid="{00000000-0005-0000-0000-0000526B0000}"/>
    <cellStyle name="Normal 15 9 3 2 2" xfId="53184" xr:uid="{00000000-0005-0000-0000-0000536B0000}"/>
    <cellStyle name="Normal 15 9 3 3" xfId="39622" xr:uid="{00000000-0005-0000-0000-0000546B0000}"/>
    <cellStyle name="Normal 15 9 4" xfId="19270" xr:uid="{00000000-0005-0000-0000-0000556B0000}"/>
    <cellStyle name="Normal 15 9 4 2" xfId="46403" xr:uid="{00000000-0005-0000-0000-0000566B0000}"/>
    <cellStyle name="Normal 15 9 5" xfId="32841" xr:uid="{00000000-0005-0000-0000-0000576B0000}"/>
    <cellStyle name="Normal 16" xfId="2567" xr:uid="{00000000-0005-0000-0000-0000586B0000}"/>
    <cellStyle name="Normal 16 2" xfId="2568" xr:uid="{00000000-0005-0000-0000-0000596B0000}"/>
    <cellStyle name="Normal 164 2" xfId="16" xr:uid="{00000000-0005-0000-0000-00005A6B0000}"/>
    <cellStyle name="Normal 164 2 2" xfId="18" xr:uid="{00000000-0005-0000-0000-00005B6B0000}"/>
    <cellStyle name="Normal 164 4 3" xfId="58373" xr:uid="{00000000-0005-0000-0000-00005C6B0000}"/>
    <cellStyle name="Normal 17" xfId="2569" xr:uid="{00000000-0005-0000-0000-00005D6B0000}"/>
    <cellStyle name="Normal 17 2" xfId="2570" xr:uid="{00000000-0005-0000-0000-00005E6B0000}"/>
    <cellStyle name="Normal 170 2" xfId="39" xr:uid="{00000000-0005-0000-0000-00005F6B0000}"/>
    <cellStyle name="Normal 172" xfId="31" xr:uid="{00000000-0005-0000-0000-0000606B0000}"/>
    <cellStyle name="Normal 173" xfId="58379" xr:uid="{D825BD91-BB82-4011-9B29-D32C29D096F2}"/>
    <cellStyle name="Normal 18" xfId="2571" xr:uid="{00000000-0005-0000-0000-0000616B0000}"/>
    <cellStyle name="Normal 18 2" xfId="2572" xr:uid="{00000000-0005-0000-0000-0000626B0000}"/>
    <cellStyle name="Normal 19" xfId="2573" xr:uid="{00000000-0005-0000-0000-0000636B0000}"/>
    <cellStyle name="Normal 19 2" xfId="2574" xr:uid="{00000000-0005-0000-0000-0000646B0000}"/>
    <cellStyle name="Normal 2" xfId="2" xr:uid="{00000000-0005-0000-0000-0000656B0000}"/>
    <cellStyle name="Normal 2 10" xfId="7" xr:uid="{00000000-0005-0000-0000-0000666B0000}"/>
    <cellStyle name="Normal 2 10 2 2" xfId="7393" xr:uid="{00000000-0005-0000-0000-0000676B0000}"/>
    <cellStyle name="Normal 2 11" xfId="2575" xr:uid="{00000000-0005-0000-0000-0000686B0000}"/>
    <cellStyle name="Normal 2 12" xfId="2576" xr:uid="{00000000-0005-0000-0000-0000696B0000}"/>
    <cellStyle name="Normal 2 13" xfId="2577" xr:uid="{00000000-0005-0000-0000-00006A6B0000}"/>
    <cellStyle name="Normal 2 14" xfId="2578" xr:uid="{00000000-0005-0000-0000-00006B6B0000}"/>
    <cellStyle name="Normal 2 15" xfId="2579" xr:uid="{00000000-0005-0000-0000-00006C6B0000}"/>
    <cellStyle name="Normal 2 16" xfId="2580" xr:uid="{00000000-0005-0000-0000-00006D6B0000}"/>
    <cellStyle name="Normal 2 17" xfId="2581" xr:uid="{00000000-0005-0000-0000-00006E6B0000}"/>
    <cellStyle name="Normal 2 18" xfId="2582" xr:uid="{00000000-0005-0000-0000-00006F6B0000}"/>
    <cellStyle name="Normal 2 19" xfId="2583" xr:uid="{00000000-0005-0000-0000-0000706B0000}"/>
    <cellStyle name="Normal 2 2" xfId="68" xr:uid="{00000000-0005-0000-0000-0000716B0000}"/>
    <cellStyle name="Normal 2 2 2" xfId="79" xr:uid="{00000000-0005-0000-0000-0000726B0000}"/>
    <cellStyle name="Normal 2 2 2 10" xfId="7394" xr:uid="{00000000-0005-0000-0000-0000736B0000}"/>
    <cellStyle name="Normal 2 2 2 10 2" xfId="7395" xr:uid="{00000000-0005-0000-0000-0000746B0000}"/>
    <cellStyle name="Normal 2 2 2 10 2 2" xfId="10815" xr:uid="{00000000-0005-0000-0000-0000756B0000}"/>
    <cellStyle name="Normal 2 2 2 10 2 2 2" xfId="17605" xr:uid="{00000000-0005-0000-0000-0000766B0000}"/>
    <cellStyle name="Normal 2 2 2 10 2 2 2 2" xfId="31173" xr:uid="{00000000-0005-0000-0000-0000776B0000}"/>
    <cellStyle name="Normal 2 2 2 10 2 2 2 2 2" xfId="58306" xr:uid="{00000000-0005-0000-0000-0000786B0000}"/>
    <cellStyle name="Normal 2 2 2 10 2 2 2 3" xfId="44744" xr:uid="{00000000-0005-0000-0000-0000796B0000}"/>
    <cellStyle name="Normal 2 2 2 10 2 2 3" xfId="24392" xr:uid="{00000000-0005-0000-0000-00007A6B0000}"/>
    <cellStyle name="Normal 2 2 2 10 2 2 3 2" xfId="51525" xr:uid="{00000000-0005-0000-0000-00007B6B0000}"/>
    <cellStyle name="Normal 2 2 2 10 2 2 4" xfId="37963" xr:uid="{00000000-0005-0000-0000-00007C6B0000}"/>
    <cellStyle name="Normal 2 2 2 10 2 3" xfId="14216" xr:uid="{00000000-0005-0000-0000-00007D6B0000}"/>
    <cellStyle name="Normal 2 2 2 10 2 3 2" xfId="27784" xr:uid="{00000000-0005-0000-0000-00007E6B0000}"/>
    <cellStyle name="Normal 2 2 2 10 2 3 2 2" xfId="54917" xr:uid="{00000000-0005-0000-0000-00007F6B0000}"/>
    <cellStyle name="Normal 2 2 2 10 2 3 3" xfId="41355" xr:uid="{00000000-0005-0000-0000-0000806B0000}"/>
    <cellStyle name="Normal 2 2 2 10 2 4" xfId="21003" xr:uid="{00000000-0005-0000-0000-0000816B0000}"/>
    <cellStyle name="Normal 2 2 2 10 2 4 2" xfId="48136" xr:uid="{00000000-0005-0000-0000-0000826B0000}"/>
    <cellStyle name="Normal 2 2 2 10 2 5" xfId="34574" xr:uid="{00000000-0005-0000-0000-0000836B0000}"/>
    <cellStyle name="Normal 2 2 2 10 3" xfId="10814" xr:uid="{00000000-0005-0000-0000-0000846B0000}"/>
    <cellStyle name="Normal 2 2 2 10 3 2" xfId="17604" xr:uid="{00000000-0005-0000-0000-0000856B0000}"/>
    <cellStyle name="Normal 2 2 2 10 3 2 2" xfId="31172" xr:uid="{00000000-0005-0000-0000-0000866B0000}"/>
    <cellStyle name="Normal 2 2 2 10 3 2 2 2" xfId="58305" xr:uid="{00000000-0005-0000-0000-0000876B0000}"/>
    <cellStyle name="Normal 2 2 2 10 3 2 3" xfId="44743" xr:uid="{00000000-0005-0000-0000-0000886B0000}"/>
    <cellStyle name="Normal 2 2 2 10 3 3" xfId="24391" xr:uid="{00000000-0005-0000-0000-0000896B0000}"/>
    <cellStyle name="Normal 2 2 2 10 3 3 2" xfId="51524" xr:uid="{00000000-0005-0000-0000-00008A6B0000}"/>
    <cellStyle name="Normal 2 2 2 10 3 4" xfId="37962" xr:uid="{00000000-0005-0000-0000-00008B6B0000}"/>
    <cellStyle name="Normal 2 2 2 10 4" xfId="14215" xr:uid="{00000000-0005-0000-0000-00008C6B0000}"/>
    <cellStyle name="Normal 2 2 2 10 4 2" xfId="27783" xr:uid="{00000000-0005-0000-0000-00008D6B0000}"/>
    <cellStyle name="Normal 2 2 2 10 4 2 2" xfId="54916" xr:uid="{00000000-0005-0000-0000-00008E6B0000}"/>
    <cellStyle name="Normal 2 2 2 10 4 3" xfId="41354" xr:uid="{00000000-0005-0000-0000-00008F6B0000}"/>
    <cellStyle name="Normal 2 2 2 10 5" xfId="21002" xr:uid="{00000000-0005-0000-0000-0000906B0000}"/>
    <cellStyle name="Normal 2 2 2 10 5 2" xfId="48135" xr:uid="{00000000-0005-0000-0000-0000916B0000}"/>
    <cellStyle name="Normal 2 2 2 10 6" xfId="34573" xr:uid="{00000000-0005-0000-0000-0000926B0000}"/>
    <cellStyle name="Normal 2 2 2 11" xfId="7396" xr:uid="{00000000-0005-0000-0000-0000936B0000}"/>
    <cellStyle name="Normal 2 2 2 11 2" xfId="7397" xr:uid="{00000000-0005-0000-0000-0000946B0000}"/>
    <cellStyle name="Normal 2 2 2 11 2 2" xfId="10817" xr:uid="{00000000-0005-0000-0000-0000956B0000}"/>
    <cellStyle name="Normal 2 2 2 11 2 2 2" xfId="17607" xr:uid="{00000000-0005-0000-0000-0000966B0000}"/>
    <cellStyle name="Normal 2 2 2 11 2 2 2 2" xfId="31175" xr:uid="{00000000-0005-0000-0000-0000976B0000}"/>
    <cellStyle name="Normal 2 2 2 11 2 2 2 2 2" xfId="58308" xr:uid="{00000000-0005-0000-0000-0000986B0000}"/>
    <cellStyle name="Normal 2 2 2 11 2 2 2 3" xfId="44746" xr:uid="{00000000-0005-0000-0000-0000996B0000}"/>
    <cellStyle name="Normal 2 2 2 11 2 2 3" xfId="24394" xr:uid="{00000000-0005-0000-0000-00009A6B0000}"/>
    <cellStyle name="Normal 2 2 2 11 2 2 3 2" xfId="51527" xr:uid="{00000000-0005-0000-0000-00009B6B0000}"/>
    <cellStyle name="Normal 2 2 2 11 2 2 4" xfId="37965" xr:uid="{00000000-0005-0000-0000-00009C6B0000}"/>
    <cellStyle name="Normal 2 2 2 11 2 3" xfId="14218" xr:uid="{00000000-0005-0000-0000-00009D6B0000}"/>
    <cellStyle name="Normal 2 2 2 11 2 3 2" xfId="27786" xr:uid="{00000000-0005-0000-0000-00009E6B0000}"/>
    <cellStyle name="Normal 2 2 2 11 2 3 2 2" xfId="54919" xr:uid="{00000000-0005-0000-0000-00009F6B0000}"/>
    <cellStyle name="Normal 2 2 2 11 2 3 3" xfId="41357" xr:uid="{00000000-0005-0000-0000-0000A06B0000}"/>
    <cellStyle name="Normal 2 2 2 11 2 4" xfId="21005" xr:uid="{00000000-0005-0000-0000-0000A16B0000}"/>
    <cellStyle name="Normal 2 2 2 11 2 4 2" xfId="48138" xr:uid="{00000000-0005-0000-0000-0000A26B0000}"/>
    <cellStyle name="Normal 2 2 2 11 2 5" xfId="34576" xr:uid="{00000000-0005-0000-0000-0000A36B0000}"/>
    <cellStyle name="Normal 2 2 2 11 3" xfId="10816" xr:uid="{00000000-0005-0000-0000-0000A46B0000}"/>
    <cellStyle name="Normal 2 2 2 11 3 2" xfId="17606" xr:uid="{00000000-0005-0000-0000-0000A56B0000}"/>
    <cellStyle name="Normal 2 2 2 11 3 2 2" xfId="31174" xr:uid="{00000000-0005-0000-0000-0000A66B0000}"/>
    <cellStyle name="Normal 2 2 2 11 3 2 2 2" xfId="58307" xr:uid="{00000000-0005-0000-0000-0000A76B0000}"/>
    <cellStyle name="Normal 2 2 2 11 3 2 3" xfId="44745" xr:uid="{00000000-0005-0000-0000-0000A86B0000}"/>
    <cellStyle name="Normal 2 2 2 11 3 3" xfId="24393" xr:uid="{00000000-0005-0000-0000-0000A96B0000}"/>
    <cellStyle name="Normal 2 2 2 11 3 3 2" xfId="51526" xr:uid="{00000000-0005-0000-0000-0000AA6B0000}"/>
    <cellStyle name="Normal 2 2 2 11 3 4" xfId="37964" xr:uid="{00000000-0005-0000-0000-0000AB6B0000}"/>
    <cellStyle name="Normal 2 2 2 11 4" xfId="14217" xr:uid="{00000000-0005-0000-0000-0000AC6B0000}"/>
    <cellStyle name="Normal 2 2 2 11 4 2" xfId="27785" xr:uid="{00000000-0005-0000-0000-0000AD6B0000}"/>
    <cellStyle name="Normal 2 2 2 11 4 2 2" xfId="54918" xr:uid="{00000000-0005-0000-0000-0000AE6B0000}"/>
    <cellStyle name="Normal 2 2 2 11 4 3" xfId="41356" xr:uid="{00000000-0005-0000-0000-0000AF6B0000}"/>
    <cellStyle name="Normal 2 2 2 11 5" xfId="21004" xr:uid="{00000000-0005-0000-0000-0000B06B0000}"/>
    <cellStyle name="Normal 2 2 2 11 5 2" xfId="48137" xr:uid="{00000000-0005-0000-0000-0000B16B0000}"/>
    <cellStyle name="Normal 2 2 2 11 6" xfId="34575" xr:uid="{00000000-0005-0000-0000-0000B26B0000}"/>
    <cellStyle name="Normal 2 2 2 12" xfId="7398" xr:uid="{00000000-0005-0000-0000-0000B36B0000}"/>
    <cellStyle name="Normal 2 2 2 12 2" xfId="7399" xr:uid="{00000000-0005-0000-0000-0000B46B0000}"/>
    <cellStyle name="Normal 2 2 2 12 2 2" xfId="10819" xr:uid="{00000000-0005-0000-0000-0000B56B0000}"/>
    <cellStyle name="Normal 2 2 2 12 2 2 2" xfId="17609" xr:uid="{00000000-0005-0000-0000-0000B66B0000}"/>
    <cellStyle name="Normal 2 2 2 12 2 2 2 2" xfId="31177" xr:uid="{00000000-0005-0000-0000-0000B76B0000}"/>
    <cellStyle name="Normal 2 2 2 12 2 2 2 2 2" xfId="58310" xr:uid="{00000000-0005-0000-0000-0000B86B0000}"/>
    <cellStyle name="Normal 2 2 2 12 2 2 2 3" xfId="44748" xr:uid="{00000000-0005-0000-0000-0000B96B0000}"/>
    <cellStyle name="Normal 2 2 2 12 2 2 3" xfId="24396" xr:uid="{00000000-0005-0000-0000-0000BA6B0000}"/>
    <cellStyle name="Normal 2 2 2 12 2 2 3 2" xfId="51529" xr:uid="{00000000-0005-0000-0000-0000BB6B0000}"/>
    <cellStyle name="Normal 2 2 2 12 2 2 4" xfId="37967" xr:uid="{00000000-0005-0000-0000-0000BC6B0000}"/>
    <cellStyle name="Normal 2 2 2 12 2 3" xfId="14220" xr:uid="{00000000-0005-0000-0000-0000BD6B0000}"/>
    <cellStyle name="Normal 2 2 2 12 2 3 2" xfId="27788" xr:uid="{00000000-0005-0000-0000-0000BE6B0000}"/>
    <cellStyle name="Normal 2 2 2 12 2 3 2 2" xfId="54921" xr:uid="{00000000-0005-0000-0000-0000BF6B0000}"/>
    <cellStyle name="Normal 2 2 2 12 2 3 3" xfId="41359" xr:uid="{00000000-0005-0000-0000-0000C06B0000}"/>
    <cellStyle name="Normal 2 2 2 12 2 4" xfId="21007" xr:uid="{00000000-0005-0000-0000-0000C16B0000}"/>
    <cellStyle name="Normal 2 2 2 12 2 4 2" xfId="48140" xr:uid="{00000000-0005-0000-0000-0000C26B0000}"/>
    <cellStyle name="Normal 2 2 2 12 2 5" xfId="34578" xr:uid="{00000000-0005-0000-0000-0000C36B0000}"/>
    <cellStyle name="Normal 2 2 2 12 3" xfId="10818" xr:uid="{00000000-0005-0000-0000-0000C46B0000}"/>
    <cellStyle name="Normal 2 2 2 12 3 2" xfId="17608" xr:uid="{00000000-0005-0000-0000-0000C56B0000}"/>
    <cellStyle name="Normal 2 2 2 12 3 2 2" xfId="31176" xr:uid="{00000000-0005-0000-0000-0000C66B0000}"/>
    <cellStyle name="Normal 2 2 2 12 3 2 2 2" xfId="58309" xr:uid="{00000000-0005-0000-0000-0000C76B0000}"/>
    <cellStyle name="Normal 2 2 2 12 3 2 3" xfId="44747" xr:uid="{00000000-0005-0000-0000-0000C86B0000}"/>
    <cellStyle name="Normal 2 2 2 12 3 3" xfId="24395" xr:uid="{00000000-0005-0000-0000-0000C96B0000}"/>
    <cellStyle name="Normal 2 2 2 12 3 3 2" xfId="51528" xr:uid="{00000000-0005-0000-0000-0000CA6B0000}"/>
    <cellStyle name="Normal 2 2 2 12 3 4" xfId="37966" xr:uid="{00000000-0005-0000-0000-0000CB6B0000}"/>
    <cellStyle name="Normal 2 2 2 12 4" xfId="14219" xr:uid="{00000000-0005-0000-0000-0000CC6B0000}"/>
    <cellStyle name="Normal 2 2 2 12 4 2" xfId="27787" xr:uid="{00000000-0005-0000-0000-0000CD6B0000}"/>
    <cellStyle name="Normal 2 2 2 12 4 2 2" xfId="54920" xr:uid="{00000000-0005-0000-0000-0000CE6B0000}"/>
    <cellStyle name="Normal 2 2 2 12 4 3" xfId="41358" xr:uid="{00000000-0005-0000-0000-0000CF6B0000}"/>
    <cellStyle name="Normal 2 2 2 12 5" xfId="21006" xr:uid="{00000000-0005-0000-0000-0000D06B0000}"/>
    <cellStyle name="Normal 2 2 2 12 5 2" xfId="48139" xr:uid="{00000000-0005-0000-0000-0000D16B0000}"/>
    <cellStyle name="Normal 2 2 2 12 6" xfId="34577" xr:uid="{00000000-0005-0000-0000-0000D26B0000}"/>
    <cellStyle name="Normal 2 2 2 13" xfId="7400" xr:uid="{00000000-0005-0000-0000-0000D36B0000}"/>
    <cellStyle name="Normal 2 2 2 13 2" xfId="7401" xr:uid="{00000000-0005-0000-0000-0000D46B0000}"/>
    <cellStyle name="Normal 2 2 2 13 2 2" xfId="10821" xr:uid="{00000000-0005-0000-0000-0000D56B0000}"/>
    <cellStyle name="Normal 2 2 2 13 2 2 2" xfId="17611" xr:uid="{00000000-0005-0000-0000-0000D66B0000}"/>
    <cellStyle name="Normal 2 2 2 13 2 2 2 2" xfId="31179" xr:uid="{00000000-0005-0000-0000-0000D76B0000}"/>
    <cellStyle name="Normal 2 2 2 13 2 2 2 2 2" xfId="58312" xr:uid="{00000000-0005-0000-0000-0000D86B0000}"/>
    <cellStyle name="Normal 2 2 2 13 2 2 2 3" xfId="44750" xr:uid="{00000000-0005-0000-0000-0000D96B0000}"/>
    <cellStyle name="Normal 2 2 2 13 2 2 3" xfId="24398" xr:uid="{00000000-0005-0000-0000-0000DA6B0000}"/>
    <cellStyle name="Normal 2 2 2 13 2 2 3 2" xfId="51531" xr:uid="{00000000-0005-0000-0000-0000DB6B0000}"/>
    <cellStyle name="Normal 2 2 2 13 2 2 4" xfId="37969" xr:uid="{00000000-0005-0000-0000-0000DC6B0000}"/>
    <cellStyle name="Normal 2 2 2 13 2 3" xfId="14222" xr:uid="{00000000-0005-0000-0000-0000DD6B0000}"/>
    <cellStyle name="Normal 2 2 2 13 2 3 2" xfId="27790" xr:uid="{00000000-0005-0000-0000-0000DE6B0000}"/>
    <cellStyle name="Normal 2 2 2 13 2 3 2 2" xfId="54923" xr:uid="{00000000-0005-0000-0000-0000DF6B0000}"/>
    <cellStyle name="Normal 2 2 2 13 2 3 3" xfId="41361" xr:uid="{00000000-0005-0000-0000-0000E06B0000}"/>
    <cellStyle name="Normal 2 2 2 13 2 4" xfId="21009" xr:uid="{00000000-0005-0000-0000-0000E16B0000}"/>
    <cellStyle name="Normal 2 2 2 13 2 4 2" xfId="48142" xr:uid="{00000000-0005-0000-0000-0000E26B0000}"/>
    <cellStyle name="Normal 2 2 2 13 2 5" xfId="34580" xr:uid="{00000000-0005-0000-0000-0000E36B0000}"/>
    <cellStyle name="Normal 2 2 2 13 3" xfId="10820" xr:uid="{00000000-0005-0000-0000-0000E46B0000}"/>
    <cellStyle name="Normal 2 2 2 13 3 2" xfId="17610" xr:uid="{00000000-0005-0000-0000-0000E56B0000}"/>
    <cellStyle name="Normal 2 2 2 13 3 2 2" xfId="31178" xr:uid="{00000000-0005-0000-0000-0000E66B0000}"/>
    <cellStyle name="Normal 2 2 2 13 3 2 2 2" xfId="58311" xr:uid="{00000000-0005-0000-0000-0000E76B0000}"/>
    <cellStyle name="Normal 2 2 2 13 3 2 3" xfId="44749" xr:uid="{00000000-0005-0000-0000-0000E86B0000}"/>
    <cellStyle name="Normal 2 2 2 13 3 3" xfId="24397" xr:uid="{00000000-0005-0000-0000-0000E96B0000}"/>
    <cellStyle name="Normal 2 2 2 13 3 3 2" xfId="51530" xr:uid="{00000000-0005-0000-0000-0000EA6B0000}"/>
    <cellStyle name="Normal 2 2 2 13 3 4" xfId="37968" xr:uid="{00000000-0005-0000-0000-0000EB6B0000}"/>
    <cellStyle name="Normal 2 2 2 13 4" xfId="14221" xr:uid="{00000000-0005-0000-0000-0000EC6B0000}"/>
    <cellStyle name="Normal 2 2 2 13 4 2" xfId="27789" xr:uid="{00000000-0005-0000-0000-0000ED6B0000}"/>
    <cellStyle name="Normal 2 2 2 13 4 2 2" xfId="54922" xr:uid="{00000000-0005-0000-0000-0000EE6B0000}"/>
    <cellStyle name="Normal 2 2 2 13 4 3" xfId="41360" xr:uid="{00000000-0005-0000-0000-0000EF6B0000}"/>
    <cellStyle name="Normal 2 2 2 13 5" xfId="21008" xr:uid="{00000000-0005-0000-0000-0000F06B0000}"/>
    <cellStyle name="Normal 2 2 2 13 5 2" xfId="48141" xr:uid="{00000000-0005-0000-0000-0000F16B0000}"/>
    <cellStyle name="Normal 2 2 2 13 6" xfId="34579" xr:uid="{00000000-0005-0000-0000-0000F26B0000}"/>
    <cellStyle name="Normal 2 2 2 14" xfId="7402" xr:uid="{00000000-0005-0000-0000-0000F36B0000}"/>
    <cellStyle name="Normal 2 2 2 14 2" xfId="7403" xr:uid="{00000000-0005-0000-0000-0000F46B0000}"/>
    <cellStyle name="Normal 2 2 2 14 2 2" xfId="10823" xr:uid="{00000000-0005-0000-0000-0000F56B0000}"/>
    <cellStyle name="Normal 2 2 2 14 2 2 2" xfId="17613" xr:uid="{00000000-0005-0000-0000-0000F66B0000}"/>
    <cellStyle name="Normal 2 2 2 14 2 2 2 2" xfId="31181" xr:uid="{00000000-0005-0000-0000-0000F76B0000}"/>
    <cellStyle name="Normal 2 2 2 14 2 2 2 2 2" xfId="58314" xr:uid="{00000000-0005-0000-0000-0000F86B0000}"/>
    <cellStyle name="Normal 2 2 2 14 2 2 2 3" xfId="44752" xr:uid="{00000000-0005-0000-0000-0000F96B0000}"/>
    <cellStyle name="Normal 2 2 2 14 2 2 3" xfId="24400" xr:uid="{00000000-0005-0000-0000-0000FA6B0000}"/>
    <cellStyle name="Normal 2 2 2 14 2 2 3 2" xfId="51533" xr:uid="{00000000-0005-0000-0000-0000FB6B0000}"/>
    <cellStyle name="Normal 2 2 2 14 2 2 4" xfId="37971" xr:uid="{00000000-0005-0000-0000-0000FC6B0000}"/>
    <cellStyle name="Normal 2 2 2 14 2 3" xfId="14224" xr:uid="{00000000-0005-0000-0000-0000FD6B0000}"/>
    <cellStyle name="Normal 2 2 2 14 2 3 2" xfId="27792" xr:uid="{00000000-0005-0000-0000-0000FE6B0000}"/>
    <cellStyle name="Normal 2 2 2 14 2 3 2 2" xfId="54925" xr:uid="{00000000-0005-0000-0000-0000FF6B0000}"/>
    <cellStyle name="Normal 2 2 2 14 2 3 3" xfId="41363" xr:uid="{00000000-0005-0000-0000-0000006C0000}"/>
    <cellStyle name="Normal 2 2 2 14 2 4" xfId="21011" xr:uid="{00000000-0005-0000-0000-0000016C0000}"/>
    <cellStyle name="Normal 2 2 2 14 2 4 2" xfId="48144" xr:uid="{00000000-0005-0000-0000-0000026C0000}"/>
    <cellStyle name="Normal 2 2 2 14 2 5" xfId="34582" xr:uid="{00000000-0005-0000-0000-0000036C0000}"/>
    <cellStyle name="Normal 2 2 2 14 3" xfId="10822" xr:uid="{00000000-0005-0000-0000-0000046C0000}"/>
    <cellStyle name="Normal 2 2 2 14 3 2" xfId="17612" xr:uid="{00000000-0005-0000-0000-0000056C0000}"/>
    <cellStyle name="Normal 2 2 2 14 3 2 2" xfId="31180" xr:uid="{00000000-0005-0000-0000-0000066C0000}"/>
    <cellStyle name="Normal 2 2 2 14 3 2 2 2" xfId="58313" xr:uid="{00000000-0005-0000-0000-0000076C0000}"/>
    <cellStyle name="Normal 2 2 2 14 3 2 3" xfId="44751" xr:uid="{00000000-0005-0000-0000-0000086C0000}"/>
    <cellStyle name="Normal 2 2 2 14 3 3" xfId="24399" xr:uid="{00000000-0005-0000-0000-0000096C0000}"/>
    <cellStyle name="Normal 2 2 2 14 3 3 2" xfId="51532" xr:uid="{00000000-0005-0000-0000-00000A6C0000}"/>
    <cellStyle name="Normal 2 2 2 14 3 4" xfId="37970" xr:uid="{00000000-0005-0000-0000-00000B6C0000}"/>
    <cellStyle name="Normal 2 2 2 14 4" xfId="14223" xr:uid="{00000000-0005-0000-0000-00000C6C0000}"/>
    <cellStyle name="Normal 2 2 2 14 4 2" xfId="27791" xr:uid="{00000000-0005-0000-0000-00000D6C0000}"/>
    <cellStyle name="Normal 2 2 2 14 4 2 2" xfId="54924" xr:uid="{00000000-0005-0000-0000-00000E6C0000}"/>
    <cellStyle name="Normal 2 2 2 14 4 3" xfId="41362" xr:uid="{00000000-0005-0000-0000-00000F6C0000}"/>
    <cellStyle name="Normal 2 2 2 14 5" xfId="21010" xr:uid="{00000000-0005-0000-0000-0000106C0000}"/>
    <cellStyle name="Normal 2 2 2 14 5 2" xfId="48143" xr:uid="{00000000-0005-0000-0000-0000116C0000}"/>
    <cellStyle name="Normal 2 2 2 14 6" xfId="34581" xr:uid="{00000000-0005-0000-0000-0000126C0000}"/>
    <cellStyle name="Normal 2 2 2 15" xfId="7404" xr:uid="{00000000-0005-0000-0000-0000136C0000}"/>
    <cellStyle name="Normal 2 2 2 15 2" xfId="7405" xr:uid="{00000000-0005-0000-0000-0000146C0000}"/>
    <cellStyle name="Normal 2 2 2 15 2 2" xfId="10825" xr:uid="{00000000-0005-0000-0000-0000156C0000}"/>
    <cellStyle name="Normal 2 2 2 15 2 2 2" xfId="17615" xr:uid="{00000000-0005-0000-0000-0000166C0000}"/>
    <cellStyle name="Normal 2 2 2 15 2 2 2 2" xfId="31183" xr:uid="{00000000-0005-0000-0000-0000176C0000}"/>
    <cellStyle name="Normal 2 2 2 15 2 2 2 2 2" xfId="58316" xr:uid="{00000000-0005-0000-0000-0000186C0000}"/>
    <cellStyle name="Normal 2 2 2 15 2 2 2 3" xfId="44754" xr:uid="{00000000-0005-0000-0000-0000196C0000}"/>
    <cellStyle name="Normal 2 2 2 15 2 2 3" xfId="24402" xr:uid="{00000000-0005-0000-0000-00001A6C0000}"/>
    <cellStyle name="Normal 2 2 2 15 2 2 3 2" xfId="51535" xr:uid="{00000000-0005-0000-0000-00001B6C0000}"/>
    <cellStyle name="Normal 2 2 2 15 2 2 4" xfId="37973" xr:uid="{00000000-0005-0000-0000-00001C6C0000}"/>
    <cellStyle name="Normal 2 2 2 15 2 3" xfId="14226" xr:uid="{00000000-0005-0000-0000-00001D6C0000}"/>
    <cellStyle name="Normal 2 2 2 15 2 3 2" xfId="27794" xr:uid="{00000000-0005-0000-0000-00001E6C0000}"/>
    <cellStyle name="Normal 2 2 2 15 2 3 2 2" xfId="54927" xr:uid="{00000000-0005-0000-0000-00001F6C0000}"/>
    <cellStyle name="Normal 2 2 2 15 2 3 3" xfId="41365" xr:uid="{00000000-0005-0000-0000-0000206C0000}"/>
    <cellStyle name="Normal 2 2 2 15 2 4" xfId="21013" xr:uid="{00000000-0005-0000-0000-0000216C0000}"/>
    <cellStyle name="Normal 2 2 2 15 2 4 2" xfId="48146" xr:uid="{00000000-0005-0000-0000-0000226C0000}"/>
    <cellStyle name="Normal 2 2 2 15 2 5" xfId="34584" xr:uid="{00000000-0005-0000-0000-0000236C0000}"/>
    <cellStyle name="Normal 2 2 2 15 3" xfId="10824" xr:uid="{00000000-0005-0000-0000-0000246C0000}"/>
    <cellStyle name="Normal 2 2 2 15 3 2" xfId="17614" xr:uid="{00000000-0005-0000-0000-0000256C0000}"/>
    <cellStyle name="Normal 2 2 2 15 3 2 2" xfId="31182" xr:uid="{00000000-0005-0000-0000-0000266C0000}"/>
    <cellStyle name="Normal 2 2 2 15 3 2 2 2" xfId="58315" xr:uid="{00000000-0005-0000-0000-0000276C0000}"/>
    <cellStyle name="Normal 2 2 2 15 3 2 3" xfId="44753" xr:uid="{00000000-0005-0000-0000-0000286C0000}"/>
    <cellStyle name="Normal 2 2 2 15 3 3" xfId="24401" xr:uid="{00000000-0005-0000-0000-0000296C0000}"/>
    <cellStyle name="Normal 2 2 2 15 3 3 2" xfId="51534" xr:uid="{00000000-0005-0000-0000-00002A6C0000}"/>
    <cellStyle name="Normal 2 2 2 15 3 4" xfId="37972" xr:uid="{00000000-0005-0000-0000-00002B6C0000}"/>
    <cellStyle name="Normal 2 2 2 15 4" xfId="14225" xr:uid="{00000000-0005-0000-0000-00002C6C0000}"/>
    <cellStyle name="Normal 2 2 2 15 4 2" xfId="27793" xr:uid="{00000000-0005-0000-0000-00002D6C0000}"/>
    <cellStyle name="Normal 2 2 2 15 4 2 2" xfId="54926" xr:uid="{00000000-0005-0000-0000-00002E6C0000}"/>
    <cellStyle name="Normal 2 2 2 15 4 3" xfId="41364" xr:uid="{00000000-0005-0000-0000-00002F6C0000}"/>
    <cellStyle name="Normal 2 2 2 15 5" xfId="21012" xr:uid="{00000000-0005-0000-0000-0000306C0000}"/>
    <cellStyle name="Normal 2 2 2 15 5 2" xfId="48145" xr:uid="{00000000-0005-0000-0000-0000316C0000}"/>
    <cellStyle name="Normal 2 2 2 15 6" xfId="34583" xr:uid="{00000000-0005-0000-0000-0000326C0000}"/>
    <cellStyle name="Normal 2 2 2 16" xfId="7406" xr:uid="{00000000-0005-0000-0000-0000336C0000}"/>
    <cellStyle name="Normal 2 2 2 16 2" xfId="7407" xr:uid="{00000000-0005-0000-0000-0000346C0000}"/>
    <cellStyle name="Normal 2 2 2 16 2 2" xfId="10827" xr:uid="{00000000-0005-0000-0000-0000356C0000}"/>
    <cellStyle name="Normal 2 2 2 16 2 2 2" xfId="17617" xr:uid="{00000000-0005-0000-0000-0000366C0000}"/>
    <cellStyle name="Normal 2 2 2 16 2 2 2 2" xfId="31185" xr:uid="{00000000-0005-0000-0000-0000376C0000}"/>
    <cellStyle name="Normal 2 2 2 16 2 2 2 2 2" xfId="58318" xr:uid="{00000000-0005-0000-0000-0000386C0000}"/>
    <cellStyle name="Normal 2 2 2 16 2 2 2 3" xfId="44756" xr:uid="{00000000-0005-0000-0000-0000396C0000}"/>
    <cellStyle name="Normal 2 2 2 16 2 2 3" xfId="24404" xr:uid="{00000000-0005-0000-0000-00003A6C0000}"/>
    <cellStyle name="Normal 2 2 2 16 2 2 3 2" xfId="51537" xr:uid="{00000000-0005-0000-0000-00003B6C0000}"/>
    <cellStyle name="Normal 2 2 2 16 2 2 4" xfId="37975" xr:uid="{00000000-0005-0000-0000-00003C6C0000}"/>
    <cellStyle name="Normal 2 2 2 16 2 3" xfId="14228" xr:uid="{00000000-0005-0000-0000-00003D6C0000}"/>
    <cellStyle name="Normal 2 2 2 16 2 3 2" xfId="27796" xr:uid="{00000000-0005-0000-0000-00003E6C0000}"/>
    <cellStyle name="Normal 2 2 2 16 2 3 2 2" xfId="54929" xr:uid="{00000000-0005-0000-0000-00003F6C0000}"/>
    <cellStyle name="Normal 2 2 2 16 2 3 3" xfId="41367" xr:uid="{00000000-0005-0000-0000-0000406C0000}"/>
    <cellStyle name="Normal 2 2 2 16 2 4" xfId="21015" xr:uid="{00000000-0005-0000-0000-0000416C0000}"/>
    <cellStyle name="Normal 2 2 2 16 2 4 2" xfId="48148" xr:uid="{00000000-0005-0000-0000-0000426C0000}"/>
    <cellStyle name="Normal 2 2 2 16 2 5" xfId="34586" xr:uid="{00000000-0005-0000-0000-0000436C0000}"/>
    <cellStyle name="Normal 2 2 2 16 3" xfId="10826" xr:uid="{00000000-0005-0000-0000-0000446C0000}"/>
    <cellStyle name="Normal 2 2 2 16 3 2" xfId="17616" xr:uid="{00000000-0005-0000-0000-0000456C0000}"/>
    <cellStyle name="Normal 2 2 2 16 3 2 2" xfId="31184" xr:uid="{00000000-0005-0000-0000-0000466C0000}"/>
    <cellStyle name="Normal 2 2 2 16 3 2 2 2" xfId="58317" xr:uid="{00000000-0005-0000-0000-0000476C0000}"/>
    <cellStyle name="Normal 2 2 2 16 3 2 3" xfId="44755" xr:uid="{00000000-0005-0000-0000-0000486C0000}"/>
    <cellStyle name="Normal 2 2 2 16 3 3" xfId="24403" xr:uid="{00000000-0005-0000-0000-0000496C0000}"/>
    <cellStyle name="Normal 2 2 2 16 3 3 2" xfId="51536" xr:uid="{00000000-0005-0000-0000-00004A6C0000}"/>
    <cellStyle name="Normal 2 2 2 16 3 4" xfId="37974" xr:uid="{00000000-0005-0000-0000-00004B6C0000}"/>
    <cellStyle name="Normal 2 2 2 16 4" xfId="14227" xr:uid="{00000000-0005-0000-0000-00004C6C0000}"/>
    <cellStyle name="Normal 2 2 2 16 4 2" xfId="27795" xr:uid="{00000000-0005-0000-0000-00004D6C0000}"/>
    <cellStyle name="Normal 2 2 2 16 4 2 2" xfId="54928" xr:uid="{00000000-0005-0000-0000-00004E6C0000}"/>
    <cellStyle name="Normal 2 2 2 16 4 3" xfId="41366" xr:uid="{00000000-0005-0000-0000-00004F6C0000}"/>
    <cellStyle name="Normal 2 2 2 16 5" xfId="21014" xr:uid="{00000000-0005-0000-0000-0000506C0000}"/>
    <cellStyle name="Normal 2 2 2 16 5 2" xfId="48147" xr:uid="{00000000-0005-0000-0000-0000516C0000}"/>
    <cellStyle name="Normal 2 2 2 16 6" xfId="34585" xr:uid="{00000000-0005-0000-0000-0000526C0000}"/>
    <cellStyle name="Normal 2 2 2 2" xfId="201" xr:uid="{00000000-0005-0000-0000-0000536C0000}"/>
    <cellStyle name="Normal 2 2 2 2 2" xfId="7408" xr:uid="{00000000-0005-0000-0000-0000546C0000}"/>
    <cellStyle name="Normal 2 2 2 2 2 2" xfId="10828" xr:uid="{00000000-0005-0000-0000-0000556C0000}"/>
    <cellStyle name="Normal 2 2 2 2 2 2 2" xfId="17618" xr:uid="{00000000-0005-0000-0000-0000566C0000}"/>
    <cellStyle name="Normal 2 2 2 2 2 2 2 2" xfId="31186" xr:uid="{00000000-0005-0000-0000-0000576C0000}"/>
    <cellStyle name="Normal 2 2 2 2 2 2 2 2 2" xfId="58319" xr:uid="{00000000-0005-0000-0000-0000586C0000}"/>
    <cellStyle name="Normal 2 2 2 2 2 2 2 3" xfId="44757" xr:uid="{00000000-0005-0000-0000-0000596C0000}"/>
    <cellStyle name="Normal 2 2 2 2 2 2 3" xfId="24405" xr:uid="{00000000-0005-0000-0000-00005A6C0000}"/>
    <cellStyle name="Normal 2 2 2 2 2 2 3 2" xfId="51538" xr:uid="{00000000-0005-0000-0000-00005B6C0000}"/>
    <cellStyle name="Normal 2 2 2 2 2 2 4" xfId="37976" xr:uid="{00000000-0005-0000-0000-00005C6C0000}"/>
    <cellStyle name="Normal 2 2 2 2 2 3" xfId="14229" xr:uid="{00000000-0005-0000-0000-00005D6C0000}"/>
    <cellStyle name="Normal 2 2 2 2 2 3 2" xfId="27797" xr:uid="{00000000-0005-0000-0000-00005E6C0000}"/>
    <cellStyle name="Normal 2 2 2 2 2 3 2 2" xfId="54930" xr:uid="{00000000-0005-0000-0000-00005F6C0000}"/>
    <cellStyle name="Normal 2 2 2 2 2 3 3" xfId="41368" xr:uid="{00000000-0005-0000-0000-0000606C0000}"/>
    <cellStyle name="Normal 2 2 2 2 2 4" xfId="21016" xr:uid="{00000000-0005-0000-0000-0000616C0000}"/>
    <cellStyle name="Normal 2 2 2 2 2 4 2" xfId="48149" xr:uid="{00000000-0005-0000-0000-0000626C0000}"/>
    <cellStyle name="Normal 2 2 2 2 2 5" xfId="34587" xr:uid="{00000000-0005-0000-0000-0000636C0000}"/>
    <cellStyle name="Normal 2 2 2 3" xfId="7409" xr:uid="{00000000-0005-0000-0000-0000646C0000}"/>
    <cellStyle name="Normal 2 2 2 3 2" xfId="7410" xr:uid="{00000000-0005-0000-0000-0000656C0000}"/>
    <cellStyle name="Normal 2 2 2 3 2 2" xfId="10830" xr:uid="{00000000-0005-0000-0000-0000666C0000}"/>
    <cellStyle name="Normal 2 2 2 3 2 2 2" xfId="17620" xr:uid="{00000000-0005-0000-0000-0000676C0000}"/>
    <cellStyle name="Normal 2 2 2 3 2 2 2 2" xfId="31188" xr:uid="{00000000-0005-0000-0000-0000686C0000}"/>
    <cellStyle name="Normal 2 2 2 3 2 2 2 2 2" xfId="58321" xr:uid="{00000000-0005-0000-0000-0000696C0000}"/>
    <cellStyle name="Normal 2 2 2 3 2 2 2 3" xfId="44759" xr:uid="{00000000-0005-0000-0000-00006A6C0000}"/>
    <cellStyle name="Normal 2 2 2 3 2 2 3" xfId="24407" xr:uid="{00000000-0005-0000-0000-00006B6C0000}"/>
    <cellStyle name="Normal 2 2 2 3 2 2 3 2" xfId="51540" xr:uid="{00000000-0005-0000-0000-00006C6C0000}"/>
    <cellStyle name="Normal 2 2 2 3 2 2 4" xfId="37978" xr:uid="{00000000-0005-0000-0000-00006D6C0000}"/>
    <cellStyle name="Normal 2 2 2 3 2 3" xfId="14231" xr:uid="{00000000-0005-0000-0000-00006E6C0000}"/>
    <cellStyle name="Normal 2 2 2 3 2 3 2" xfId="27799" xr:uid="{00000000-0005-0000-0000-00006F6C0000}"/>
    <cellStyle name="Normal 2 2 2 3 2 3 2 2" xfId="54932" xr:uid="{00000000-0005-0000-0000-0000706C0000}"/>
    <cellStyle name="Normal 2 2 2 3 2 3 3" xfId="41370" xr:uid="{00000000-0005-0000-0000-0000716C0000}"/>
    <cellStyle name="Normal 2 2 2 3 2 4" xfId="21018" xr:uid="{00000000-0005-0000-0000-0000726C0000}"/>
    <cellStyle name="Normal 2 2 2 3 2 4 2" xfId="48151" xr:uid="{00000000-0005-0000-0000-0000736C0000}"/>
    <cellStyle name="Normal 2 2 2 3 2 5" xfId="34589" xr:uid="{00000000-0005-0000-0000-0000746C0000}"/>
    <cellStyle name="Normal 2 2 2 3 3" xfId="10829" xr:uid="{00000000-0005-0000-0000-0000756C0000}"/>
    <cellStyle name="Normal 2 2 2 3 3 2" xfId="17619" xr:uid="{00000000-0005-0000-0000-0000766C0000}"/>
    <cellStyle name="Normal 2 2 2 3 3 2 2" xfId="31187" xr:uid="{00000000-0005-0000-0000-0000776C0000}"/>
    <cellStyle name="Normal 2 2 2 3 3 2 2 2" xfId="58320" xr:uid="{00000000-0005-0000-0000-0000786C0000}"/>
    <cellStyle name="Normal 2 2 2 3 3 2 3" xfId="44758" xr:uid="{00000000-0005-0000-0000-0000796C0000}"/>
    <cellStyle name="Normal 2 2 2 3 3 3" xfId="24406" xr:uid="{00000000-0005-0000-0000-00007A6C0000}"/>
    <cellStyle name="Normal 2 2 2 3 3 3 2" xfId="51539" xr:uid="{00000000-0005-0000-0000-00007B6C0000}"/>
    <cellStyle name="Normal 2 2 2 3 3 4" xfId="37977" xr:uid="{00000000-0005-0000-0000-00007C6C0000}"/>
    <cellStyle name="Normal 2 2 2 3 4" xfId="14230" xr:uid="{00000000-0005-0000-0000-00007D6C0000}"/>
    <cellStyle name="Normal 2 2 2 3 4 2" xfId="27798" xr:uid="{00000000-0005-0000-0000-00007E6C0000}"/>
    <cellStyle name="Normal 2 2 2 3 4 2 2" xfId="54931" xr:uid="{00000000-0005-0000-0000-00007F6C0000}"/>
    <cellStyle name="Normal 2 2 2 3 4 3" xfId="41369" xr:uid="{00000000-0005-0000-0000-0000806C0000}"/>
    <cellStyle name="Normal 2 2 2 3 5" xfId="21017" xr:uid="{00000000-0005-0000-0000-0000816C0000}"/>
    <cellStyle name="Normal 2 2 2 3 5 2" xfId="48150" xr:uid="{00000000-0005-0000-0000-0000826C0000}"/>
    <cellStyle name="Normal 2 2 2 3 6" xfId="34588" xr:uid="{00000000-0005-0000-0000-0000836C0000}"/>
    <cellStyle name="Normal 2 2 2 4" xfId="7411" xr:uid="{00000000-0005-0000-0000-0000846C0000}"/>
    <cellStyle name="Normal 2 2 2 4 2" xfId="7412" xr:uid="{00000000-0005-0000-0000-0000856C0000}"/>
    <cellStyle name="Normal 2 2 2 4 2 2" xfId="10832" xr:uid="{00000000-0005-0000-0000-0000866C0000}"/>
    <cellStyle name="Normal 2 2 2 4 2 2 2" xfId="17622" xr:uid="{00000000-0005-0000-0000-0000876C0000}"/>
    <cellStyle name="Normal 2 2 2 4 2 2 2 2" xfId="31190" xr:uid="{00000000-0005-0000-0000-0000886C0000}"/>
    <cellStyle name="Normal 2 2 2 4 2 2 2 2 2" xfId="58323" xr:uid="{00000000-0005-0000-0000-0000896C0000}"/>
    <cellStyle name="Normal 2 2 2 4 2 2 2 3" xfId="44761" xr:uid="{00000000-0005-0000-0000-00008A6C0000}"/>
    <cellStyle name="Normal 2 2 2 4 2 2 3" xfId="24409" xr:uid="{00000000-0005-0000-0000-00008B6C0000}"/>
    <cellStyle name="Normal 2 2 2 4 2 2 3 2" xfId="51542" xr:uid="{00000000-0005-0000-0000-00008C6C0000}"/>
    <cellStyle name="Normal 2 2 2 4 2 2 4" xfId="37980" xr:uid="{00000000-0005-0000-0000-00008D6C0000}"/>
    <cellStyle name="Normal 2 2 2 4 2 3" xfId="14233" xr:uid="{00000000-0005-0000-0000-00008E6C0000}"/>
    <cellStyle name="Normal 2 2 2 4 2 3 2" xfId="27801" xr:uid="{00000000-0005-0000-0000-00008F6C0000}"/>
    <cellStyle name="Normal 2 2 2 4 2 3 2 2" xfId="54934" xr:uid="{00000000-0005-0000-0000-0000906C0000}"/>
    <cellStyle name="Normal 2 2 2 4 2 3 3" xfId="41372" xr:uid="{00000000-0005-0000-0000-0000916C0000}"/>
    <cellStyle name="Normal 2 2 2 4 2 4" xfId="21020" xr:uid="{00000000-0005-0000-0000-0000926C0000}"/>
    <cellStyle name="Normal 2 2 2 4 2 4 2" xfId="48153" xr:uid="{00000000-0005-0000-0000-0000936C0000}"/>
    <cellStyle name="Normal 2 2 2 4 2 5" xfId="34591" xr:uid="{00000000-0005-0000-0000-0000946C0000}"/>
    <cellStyle name="Normal 2 2 2 4 3" xfId="10831" xr:uid="{00000000-0005-0000-0000-0000956C0000}"/>
    <cellStyle name="Normal 2 2 2 4 3 2" xfId="17621" xr:uid="{00000000-0005-0000-0000-0000966C0000}"/>
    <cellStyle name="Normal 2 2 2 4 3 2 2" xfId="31189" xr:uid="{00000000-0005-0000-0000-0000976C0000}"/>
    <cellStyle name="Normal 2 2 2 4 3 2 2 2" xfId="58322" xr:uid="{00000000-0005-0000-0000-0000986C0000}"/>
    <cellStyle name="Normal 2 2 2 4 3 2 3" xfId="44760" xr:uid="{00000000-0005-0000-0000-0000996C0000}"/>
    <cellStyle name="Normal 2 2 2 4 3 3" xfId="24408" xr:uid="{00000000-0005-0000-0000-00009A6C0000}"/>
    <cellStyle name="Normal 2 2 2 4 3 3 2" xfId="51541" xr:uid="{00000000-0005-0000-0000-00009B6C0000}"/>
    <cellStyle name="Normal 2 2 2 4 3 4" xfId="37979" xr:uid="{00000000-0005-0000-0000-00009C6C0000}"/>
    <cellStyle name="Normal 2 2 2 4 4" xfId="14232" xr:uid="{00000000-0005-0000-0000-00009D6C0000}"/>
    <cellStyle name="Normal 2 2 2 4 4 2" xfId="27800" xr:uid="{00000000-0005-0000-0000-00009E6C0000}"/>
    <cellStyle name="Normal 2 2 2 4 4 2 2" xfId="54933" xr:uid="{00000000-0005-0000-0000-00009F6C0000}"/>
    <cellStyle name="Normal 2 2 2 4 4 3" xfId="41371" xr:uid="{00000000-0005-0000-0000-0000A06C0000}"/>
    <cellStyle name="Normal 2 2 2 4 5" xfId="21019" xr:uid="{00000000-0005-0000-0000-0000A16C0000}"/>
    <cellStyle name="Normal 2 2 2 4 5 2" xfId="48152" xr:uid="{00000000-0005-0000-0000-0000A26C0000}"/>
    <cellStyle name="Normal 2 2 2 4 6" xfId="34590" xr:uid="{00000000-0005-0000-0000-0000A36C0000}"/>
    <cellStyle name="Normal 2 2 2 5" xfId="7413" xr:uid="{00000000-0005-0000-0000-0000A46C0000}"/>
    <cellStyle name="Normal 2 2 2 5 2" xfId="7414" xr:uid="{00000000-0005-0000-0000-0000A56C0000}"/>
    <cellStyle name="Normal 2 2 2 5 2 2" xfId="10834" xr:uid="{00000000-0005-0000-0000-0000A66C0000}"/>
    <cellStyle name="Normal 2 2 2 5 2 2 2" xfId="17624" xr:uid="{00000000-0005-0000-0000-0000A76C0000}"/>
    <cellStyle name="Normal 2 2 2 5 2 2 2 2" xfId="31192" xr:uid="{00000000-0005-0000-0000-0000A86C0000}"/>
    <cellStyle name="Normal 2 2 2 5 2 2 2 2 2" xfId="58325" xr:uid="{00000000-0005-0000-0000-0000A96C0000}"/>
    <cellStyle name="Normal 2 2 2 5 2 2 2 3" xfId="44763" xr:uid="{00000000-0005-0000-0000-0000AA6C0000}"/>
    <cellStyle name="Normal 2 2 2 5 2 2 3" xfId="24411" xr:uid="{00000000-0005-0000-0000-0000AB6C0000}"/>
    <cellStyle name="Normal 2 2 2 5 2 2 3 2" xfId="51544" xr:uid="{00000000-0005-0000-0000-0000AC6C0000}"/>
    <cellStyle name="Normal 2 2 2 5 2 2 4" xfId="37982" xr:uid="{00000000-0005-0000-0000-0000AD6C0000}"/>
    <cellStyle name="Normal 2 2 2 5 2 3" xfId="14235" xr:uid="{00000000-0005-0000-0000-0000AE6C0000}"/>
    <cellStyle name="Normal 2 2 2 5 2 3 2" xfId="27803" xr:uid="{00000000-0005-0000-0000-0000AF6C0000}"/>
    <cellStyle name="Normal 2 2 2 5 2 3 2 2" xfId="54936" xr:uid="{00000000-0005-0000-0000-0000B06C0000}"/>
    <cellStyle name="Normal 2 2 2 5 2 3 3" xfId="41374" xr:uid="{00000000-0005-0000-0000-0000B16C0000}"/>
    <cellStyle name="Normal 2 2 2 5 2 4" xfId="21022" xr:uid="{00000000-0005-0000-0000-0000B26C0000}"/>
    <cellStyle name="Normal 2 2 2 5 2 4 2" xfId="48155" xr:uid="{00000000-0005-0000-0000-0000B36C0000}"/>
    <cellStyle name="Normal 2 2 2 5 2 5" xfId="34593" xr:uid="{00000000-0005-0000-0000-0000B46C0000}"/>
    <cellStyle name="Normal 2 2 2 5 3" xfId="10833" xr:uid="{00000000-0005-0000-0000-0000B56C0000}"/>
    <cellStyle name="Normal 2 2 2 5 3 2" xfId="17623" xr:uid="{00000000-0005-0000-0000-0000B66C0000}"/>
    <cellStyle name="Normal 2 2 2 5 3 2 2" xfId="31191" xr:uid="{00000000-0005-0000-0000-0000B76C0000}"/>
    <cellStyle name="Normal 2 2 2 5 3 2 2 2" xfId="58324" xr:uid="{00000000-0005-0000-0000-0000B86C0000}"/>
    <cellStyle name="Normal 2 2 2 5 3 2 3" xfId="44762" xr:uid="{00000000-0005-0000-0000-0000B96C0000}"/>
    <cellStyle name="Normal 2 2 2 5 3 3" xfId="24410" xr:uid="{00000000-0005-0000-0000-0000BA6C0000}"/>
    <cellStyle name="Normal 2 2 2 5 3 3 2" xfId="51543" xr:uid="{00000000-0005-0000-0000-0000BB6C0000}"/>
    <cellStyle name="Normal 2 2 2 5 3 4" xfId="37981" xr:uid="{00000000-0005-0000-0000-0000BC6C0000}"/>
    <cellStyle name="Normal 2 2 2 5 4" xfId="14234" xr:uid="{00000000-0005-0000-0000-0000BD6C0000}"/>
    <cellStyle name="Normal 2 2 2 5 4 2" xfId="27802" xr:uid="{00000000-0005-0000-0000-0000BE6C0000}"/>
    <cellStyle name="Normal 2 2 2 5 4 2 2" xfId="54935" xr:uid="{00000000-0005-0000-0000-0000BF6C0000}"/>
    <cellStyle name="Normal 2 2 2 5 4 3" xfId="41373" xr:uid="{00000000-0005-0000-0000-0000C06C0000}"/>
    <cellStyle name="Normal 2 2 2 5 5" xfId="21021" xr:uid="{00000000-0005-0000-0000-0000C16C0000}"/>
    <cellStyle name="Normal 2 2 2 5 5 2" xfId="48154" xr:uid="{00000000-0005-0000-0000-0000C26C0000}"/>
    <cellStyle name="Normal 2 2 2 5 6" xfId="34592" xr:uid="{00000000-0005-0000-0000-0000C36C0000}"/>
    <cellStyle name="Normal 2 2 2 6" xfId="7415" xr:uid="{00000000-0005-0000-0000-0000C46C0000}"/>
    <cellStyle name="Normal 2 2 2 6 2" xfId="7416" xr:uid="{00000000-0005-0000-0000-0000C56C0000}"/>
    <cellStyle name="Normal 2 2 2 6 2 2" xfId="10836" xr:uid="{00000000-0005-0000-0000-0000C66C0000}"/>
    <cellStyle name="Normal 2 2 2 6 2 2 2" xfId="17626" xr:uid="{00000000-0005-0000-0000-0000C76C0000}"/>
    <cellStyle name="Normal 2 2 2 6 2 2 2 2" xfId="31194" xr:uid="{00000000-0005-0000-0000-0000C86C0000}"/>
    <cellStyle name="Normal 2 2 2 6 2 2 2 2 2" xfId="58327" xr:uid="{00000000-0005-0000-0000-0000C96C0000}"/>
    <cellStyle name="Normal 2 2 2 6 2 2 2 3" xfId="44765" xr:uid="{00000000-0005-0000-0000-0000CA6C0000}"/>
    <cellStyle name="Normal 2 2 2 6 2 2 3" xfId="24413" xr:uid="{00000000-0005-0000-0000-0000CB6C0000}"/>
    <cellStyle name="Normal 2 2 2 6 2 2 3 2" xfId="51546" xr:uid="{00000000-0005-0000-0000-0000CC6C0000}"/>
    <cellStyle name="Normal 2 2 2 6 2 2 4" xfId="37984" xr:uid="{00000000-0005-0000-0000-0000CD6C0000}"/>
    <cellStyle name="Normal 2 2 2 6 2 3" xfId="14237" xr:uid="{00000000-0005-0000-0000-0000CE6C0000}"/>
    <cellStyle name="Normal 2 2 2 6 2 3 2" xfId="27805" xr:uid="{00000000-0005-0000-0000-0000CF6C0000}"/>
    <cellStyle name="Normal 2 2 2 6 2 3 2 2" xfId="54938" xr:uid="{00000000-0005-0000-0000-0000D06C0000}"/>
    <cellStyle name="Normal 2 2 2 6 2 3 3" xfId="41376" xr:uid="{00000000-0005-0000-0000-0000D16C0000}"/>
    <cellStyle name="Normal 2 2 2 6 2 4" xfId="21024" xr:uid="{00000000-0005-0000-0000-0000D26C0000}"/>
    <cellStyle name="Normal 2 2 2 6 2 4 2" xfId="48157" xr:uid="{00000000-0005-0000-0000-0000D36C0000}"/>
    <cellStyle name="Normal 2 2 2 6 2 5" xfId="34595" xr:uid="{00000000-0005-0000-0000-0000D46C0000}"/>
    <cellStyle name="Normal 2 2 2 6 3" xfId="10835" xr:uid="{00000000-0005-0000-0000-0000D56C0000}"/>
    <cellStyle name="Normal 2 2 2 6 3 2" xfId="17625" xr:uid="{00000000-0005-0000-0000-0000D66C0000}"/>
    <cellStyle name="Normal 2 2 2 6 3 2 2" xfId="31193" xr:uid="{00000000-0005-0000-0000-0000D76C0000}"/>
    <cellStyle name="Normal 2 2 2 6 3 2 2 2" xfId="58326" xr:uid="{00000000-0005-0000-0000-0000D86C0000}"/>
    <cellStyle name="Normal 2 2 2 6 3 2 3" xfId="44764" xr:uid="{00000000-0005-0000-0000-0000D96C0000}"/>
    <cellStyle name="Normal 2 2 2 6 3 3" xfId="24412" xr:uid="{00000000-0005-0000-0000-0000DA6C0000}"/>
    <cellStyle name="Normal 2 2 2 6 3 3 2" xfId="51545" xr:uid="{00000000-0005-0000-0000-0000DB6C0000}"/>
    <cellStyle name="Normal 2 2 2 6 3 4" xfId="37983" xr:uid="{00000000-0005-0000-0000-0000DC6C0000}"/>
    <cellStyle name="Normal 2 2 2 6 4" xfId="14236" xr:uid="{00000000-0005-0000-0000-0000DD6C0000}"/>
    <cellStyle name="Normal 2 2 2 6 4 2" xfId="27804" xr:uid="{00000000-0005-0000-0000-0000DE6C0000}"/>
    <cellStyle name="Normal 2 2 2 6 4 2 2" xfId="54937" xr:uid="{00000000-0005-0000-0000-0000DF6C0000}"/>
    <cellStyle name="Normal 2 2 2 6 4 3" xfId="41375" xr:uid="{00000000-0005-0000-0000-0000E06C0000}"/>
    <cellStyle name="Normal 2 2 2 6 5" xfId="21023" xr:uid="{00000000-0005-0000-0000-0000E16C0000}"/>
    <cellStyle name="Normal 2 2 2 6 5 2" xfId="48156" xr:uid="{00000000-0005-0000-0000-0000E26C0000}"/>
    <cellStyle name="Normal 2 2 2 6 6" xfId="34594" xr:uid="{00000000-0005-0000-0000-0000E36C0000}"/>
    <cellStyle name="Normal 2 2 2 7" xfId="7417" xr:uid="{00000000-0005-0000-0000-0000E46C0000}"/>
    <cellStyle name="Normal 2 2 2 7 2" xfId="7418" xr:uid="{00000000-0005-0000-0000-0000E56C0000}"/>
    <cellStyle name="Normal 2 2 2 7 2 2" xfId="10838" xr:uid="{00000000-0005-0000-0000-0000E66C0000}"/>
    <cellStyle name="Normal 2 2 2 7 2 2 2" xfId="17628" xr:uid="{00000000-0005-0000-0000-0000E76C0000}"/>
    <cellStyle name="Normal 2 2 2 7 2 2 2 2" xfId="31196" xr:uid="{00000000-0005-0000-0000-0000E86C0000}"/>
    <cellStyle name="Normal 2 2 2 7 2 2 2 2 2" xfId="58329" xr:uid="{00000000-0005-0000-0000-0000E96C0000}"/>
    <cellStyle name="Normal 2 2 2 7 2 2 2 3" xfId="44767" xr:uid="{00000000-0005-0000-0000-0000EA6C0000}"/>
    <cellStyle name="Normal 2 2 2 7 2 2 3" xfId="24415" xr:uid="{00000000-0005-0000-0000-0000EB6C0000}"/>
    <cellStyle name="Normal 2 2 2 7 2 2 3 2" xfId="51548" xr:uid="{00000000-0005-0000-0000-0000EC6C0000}"/>
    <cellStyle name="Normal 2 2 2 7 2 2 4" xfId="37986" xr:uid="{00000000-0005-0000-0000-0000ED6C0000}"/>
    <cellStyle name="Normal 2 2 2 7 2 3" xfId="14239" xr:uid="{00000000-0005-0000-0000-0000EE6C0000}"/>
    <cellStyle name="Normal 2 2 2 7 2 3 2" xfId="27807" xr:uid="{00000000-0005-0000-0000-0000EF6C0000}"/>
    <cellStyle name="Normal 2 2 2 7 2 3 2 2" xfId="54940" xr:uid="{00000000-0005-0000-0000-0000F06C0000}"/>
    <cellStyle name="Normal 2 2 2 7 2 3 3" xfId="41378" xr:uid="{00000000-0005-0000-0000-0000F16C0000}"/>
    <cellStyle name="Normal 2 2 2 7 2 4" xfId="21026" xr:uid="{00000000-0005-0000-0000-0000F26C0000}"/>
    <cellStyle name="Normal 2 2 2 7 2 4 2" xfId="48159" xr:uid="{00000000-0005-0000-0000-0000F36C0000}"/>
    <cellStyle name="Normal 2 2 2 7 2 5" xfId="34597" xr:uid="{00000000-0005-0000-0000-0000F46C0000}"/>
    <cellStyle name="Normal 2 2 2 7 3" xfId="10837" xr:uid="{00000000-0005-0000-0000-0000F56C0000}"/>
    <cellStyle name="Normal 2 2 2 7 3 2" xfId="17627" xr:uid="{00000000-0005-0000-0000-0000F66C0000}"/>
    <cellStyle name="Normal 2 2 2 7 3 2 2" xfId="31195" xr:uid="{00000000-0005-0000-0000-0000F76C0000}"/>
    <cellStyle name="Normal 2 2 2 7 3 2 2 2" xfId="58328" xr:uid="{00000000-0005-0000-0000-0000F86C0000}"/>
    <cellStyle name="Normal 2 2 2 7 3 2 3" xfId="44766" xr:uid="{00000000-0005-0000-0000-0000F96C0000}"/>
    <cellStyle name="Normal 2 2 2 7 3 3" xfId="24414" xr:uid="{00000000-0005-0000-0000-0000FA6C0000}"/>
    <cellStyle name="Normal 2 2 2 7 3 3 2" xfId="51547" xr:uid="{00000000-0005-0000-0000-0000FB6C0000}"/>
    <cellStyle name="Normal 2 2 2 7 3 4" xfId="37985" xr:uid="{00000000-0005-0000-0000-0000FC6C0000}"/>
    <cellStyle name="Normal 2 2 2 7 4" xfId="14238" xr:uid="{00000000-0005-0000-0000-0000FD6C0000}"/>
    <cellStyle name="Normal 2 2 2 7 4 2" xfId="27806" xr:uid="{00000000-0005-0000-0000-0000FE6C0000}"/>
    <cellStyle name="Normal 2 2 2 7 4 2 2" xfId="54939" xr:uid="{00000000-0005-0000-0000-0000FF6C0000}"/>
    <cellStyle name="Normal 2 2 2 7 4 3" xfId="41377" xr:uid="{00000000-0005-0000-0000-0000006D0000}"/>
    <cellStyle name="Normal 2 2 2 7 5" xfId="21025" xr:uid="{00000000-0005-0000-0000-0000016D0000}"/>
    <cellStyle name="Normal 2 2 2 7 5 2" xfId="48158" xr:uid="{00000000-0005-0000-0000-0000026D0000}"/>
    <cellStyle name="Normal 2 2 2 7 6" xfId="34596" xr:uid="{00000000-0005-0000-0000-0000036D0000}"/>
    <cellStyle name="Normal 2 2 2 8" xfId="7419" xr:uid="{00000000-0005-0000-0000-0000046D0000}"/>
    <cellStyle name="Normal 2 2 2 8 2" xfId="7420" xr:uid="{00000000-0005-0000-0000-0000056D0000}"/>
    <cellStyle name="Normal 2 2 2 8 2 2" xfId="10840" xr:uid="{00000000-0005-0000-0000-0000066D0000}"/>
    <cellStyle name="Normal 2 2 2 8 2 2 2" xfId="17630" xr:uid="{00000000-0005-0000-0000-0000076D0000}"/>
    <cellStyle name="Normal 2 2 2 8 2 2 2 2" xfId="31198" xr:uid="{00000000-0005-0000-0000-0000086D0000}"/>
    <cellStyle name="Normal 2 2 2 8 2 2 2 2 2" xfId="58331" xr:uid="{00000000-0005-0000-0000-0000096D0000}"/>
    <cellStyle name="Normal 2 2 2 8 2 2 2 3" xfId="44769" xr:uid="{00000000-0005-0000-0000-00000A6D0000}"/>
    <cellStyle name="Normal 2 2 2 8 2 2 3" xfId="24417" xr:uid="{00000000-0005-0000-0000-00000B6D0000}"/>
    <cellStyle name="Normal 2 2 2 8 2 2 3 2" xfId="51550" xr:uid="{00000000-0005-0000-0000-00000C6D0000}"/>
    <cellStyle name="Normal 2 2 2 8 2 2 4" xfId="37988" xr:uid="{00000000-0005-0000-0000-00000D6D0000}"/>
    <cellStyle name="Normal 2 2 2 8 2 3" xfId="14241" xr:uid="{00000000-0005-0000-0000-00000E6D0000}"/>
    <cellStyle name="Normal 2 2 2 8 2 3 2" xfId="27809" xr:uid="{00000000-0005-0000-0000-00000F6D0000}"/>
    <cellStyle name="Normal 2 2 2 8 2 3 2 2" xfId="54942" xr:uid="{00000000-0005-0000-0000-0000106D0000}"/>
    <cellStyle name="Normal 2 2 2 8 2 3 3" xfId="41380" xr:uid="{00000000-0005-0000-0000-0000116D0000}"/>
    <cellStyle name="Normal 2 2 2 8 2 4" xfId="21028" xr:uid="{00000000-0005-0000-0000-0000126D0000}"/>
    <cellStyle name="Normal 2 2 2 8 2 4 2" xfId="48161" xr:uid="{00000000-0005-0000-0000-0000136D0000}"/>
    <cellStyle name="Normal 2 2 2 8 2 5" xfId="34599" xr:uid="{00000000-0005-0000-0000-0000146D0000}"/>
    <cellStyle name="Normal 2 2 2 8 3" xfId="10839" xr:uid="{00000000-0005-0000-0000-0000156D0000}"/>
    <cellStyle name="Normal 2 2 2 8 3 2" xfId="17629" xr:uid="{00000000-0005-0000-0000-0000166D0000}"/>
    <cellStyle name="Normal 2 2 2 8 3 2 2" xfId="31197" xr:uid="{00000000-0005-0000-0000-0000176D0000}"/>
    <cellStyle name="Normal 2 2 2 8 3 2 2 2" xfId="58330" xr:uid="{00000000-0005-0000-0000-0000186D0000}"/>
    <cellStyle name="Normal 2 2 2 8 3 2 3" xfId="44768" xr:uid="{00000000-0005-0000-0000-0000196D0000}"/>
    <cellStyle name="Normal 2 2 2 8 3 3" xfId="24416" xr:uid="{00000000-0005-0000-0000-00001A6D0000}"/>
    <cellStyle name="Normal 2 2 2 8 3 3 2" xfId="51549" xr:uid="{00000000-0005-0000-0000-00001B6D0000}"/>
    <cellStyle name="Normal 2 2 2 8 3 4" xfId="37987" xr:uid="{00000000-0005-0000-0000-00001C6D0000}"/>
    <cellStyle name="Normal 2 2 2 8 4" xfId="14240" xr:uid="{00000000-0005-0000-0000-00001D6D0000}"/>
    <cellStyle name="Normal 2 2 2 8 4 2" xfId="27808" xr:uid="{00000000-0005-0000-0000-00001E6D0000}"/>
    <cellStyle name="Normal 2 2 2 8 4 2 2" xfId="54941" xr:uid="{00000000-0005-0000-0000-00001F6D0000}"/>
    <cellStyle name="Normal 2 2 2 8 4 3" xfId="41379" xr:uid="{00000000-0005-0000-0000-0000206D0000}"/>
    <cellStyle name="Normal 2 2 2 8 5" xfId="21027" xr:uid="{00000000-0005-0000-0000-0000216D0000}"/>
    <cellStyle name="Normal 2 2 2 8 5 2" xfId="48160" xr:uid="{00000000-0005-0000-0000-0000226D0000}"/>
    <cellStyle name="Normal 2 2 2 8 6" xfId="34598" xr:uid="{00000000-0005-0000-0000-0000236D0000}"/>
    <cellStyle name="Normal 2 2 2 9" xfId="7421" xr:uid="{00000000-0005-0000-0000-0000246D0000}"/>
    <cellStyle name="Normal 2 2 2 9 2" xfId="7422" xr:uid="{00000000-0005-0000-0000-0000256D0000}"/>
    <cellStyle name="Normal 2 2 2 9 2 2" xfId="10842" xr:uid="{00000000-0005-0000-0000-0000266D0000}"/>
    <cellStyle name="Normal 2 2 2 9 2 2 2" xfId="17632" xr:uid="{00000000-0005-0000-0000-0000276D0000}"/>
    <cellStyle name="Normal 2 2 2 9 2 2 2 2" xfId="31200" xr:uid="{00000000-0005-0000-0000-0000286D0000}"/>
    <cellStyle name="Normal 2 2 2 9 2 2 2 2 2" xfId="58333" xr:uid="{00000000-0005-0000-0000-0000296D0000}"/>
    <cellStyle name="Normal 2 2 2 9 2 2 2 3" xfId="44771" xr:uid="{00000000-0005-0000-0000-00002A6D0000}"/>
    <cellStyle name="Normal 2 2 2 9 2 2 3" xfId="24419" xr:uid="{00000000-0005-0000-0000-00002B6D0000}"/>
    <cellStyle name="Normal 2 2 2 9 2 2 3 2" xfId="51552" xr:uid="{00000000-0005-0000-0000-00002C6D0000}"/>
    <cellStyle name="Normal 2 2 2 9 2 2 4" xfId="37990" xr:uid="{00000000-0005-0000-0000-00002D6D0000}"/>
    <cellStyle name="Normal 2 2 2 9 2 3" xfId="14243" xr:uid="{00000000-0005-0000-0000-00002E6D0000}"/>
    <cellStyle name="Normal 2 2 2 9 2 3 2" xfId="27811" xr:uid="{00000000-0005-0000-0000-00002F6D0000}"/>
    <cellStyle name="Normal 2 2 2 9 2 3 2 2" xfId="54944" xr:uid="{00000000-0005-0000-0000-0000306D0000}"/>
    <cellStyle name="Normal 2 2 2 9 2 3 3" xfId="41382" xr:uid="{00000000-0005-0000-0000-0000316D0000}"/>
    <cellStyle name="Normal 2 2 2 9 2 4" xfId="21030" xr:uid="{00000000-0005-0000-0000-0000326D0000}"/>
    <cellStyle name="Normal 2 2 2 9 2 4 2" xfId="48163" xr:uid="{00000000-0005-0000-0000-0000336D0000}"/>
    <cellStyle name="Normal 2 2 2 9 2 5" xfId="34601" xr:uid="{00000000-0005-0000-0000-0000346D0000}"/>
    <cellStyle name="Normal 2 2 2 9 3" xfId="10841" xr:uid="{00000000-0005-0000-0000-0000356D0000}"/>
    <cellStyle name="Normal 2 2 2 9 3 2" xfId="17631" xr:uid="{00000000-0005-0000-0000-0000366D0000}"/>
    <cellStyle name="Normal 2 2 2 9 3 2 2" xfId="31199" xr:uid="{00000000-0005-0000-0000-0000376D0000}"/>
    <cellStyle name="Normal 2 2 2 9 3 2 2 2" xfId="58332" xr:uid="{00000000-0005-0000-0000-0000386D0000}"/>
    <cellStyle name="Normal 2 2 2 9 3 2 3" xfId="44770" xr:uid="{00000000-0005-0000-0000-0000396D0000}"/>
    <cellStyle name="Normal 2 2 2 9 3 3" xfId="24418" xr:uid="{00000000-0005-0000-0000-00003A6D0000}"/>
    <cellStyle name="Normal 2 2 2 9 3 3 2" xfId="51551" xr:uid="{00000000-0005-0000-0000-00003B6D0000}"/>
    <cellStyle name="Normal 2 2 2 9 3 4" xfId="37989" xr:uid="{00000000-0005-0000-0000-00003C6D0000}"/>
    <cellStyle name="Normal 2 2 2 9 4" xfId="14242" xr:uid="{00000000-0005-0000-0000-00003D6D0000}"/>
    <cellStyle name="Normal 2 2 2 9 4 2" xfId="27810" xr:uid="{00000000-0005-0000-0000-00003E6D0000}"/>
    <cellStyle name="Normal 2 2 2 9 4 2 2" xfId="54943" xr:uid="{00000000-0005-0000-0000-00003F6D0000}"/>
    <cellStyle name="Normal 2 2 2 9 4 3" xfId="41381" xr:uid="{00000000-0005-0000-0000-0000406D0000}"/>
    <cellStyle name="Normal 2 2 2 9 5" xfId="21029" xr:uid="{00000000-0005-0000-0000-0000416D0000}"/>
    <cellStyle name="Normal 2 2 2 9 5 2" xfId="48162" xr:uid="{00000000-0005-0000-0000-0000426D0000}"/>
    <cellStyle name="Normal 2 2 2 9 6" xfId="34600" xr:uid="{00000000-0005-0000-0000-0000436D0000}"/>
    <cellStyle name="Normal 2 2 3" xfId="151" xr:uid="{00000000-0005-0000-0000-0000446D0000}"/>
    <cellStyle name="Normal 2 2 4" xfId="2584" xr:uid="{00000000-0005-0000-0000-0000456D0000}"/>
    <cellStyle name="Normal 2 2 5" xfId="2585" xr:uid="{00000000-0005-0000-0000-0000466D0000}"/>
    <cellStyle name="Normal 2 2 6" xfId="7302" xr:uid="{00000000-0005-0000-0000-0000476D0000}"/>
    <cellStyle name="Normal 2 2 6 2" xfId="10802" xr:uid="{00000000-0005-0000-0000-0000486D0000}"/>
    <cellStyle name="Normal 2 2 6 2 2" xfId="17592" xr:uid="{00000000-0005-0000-0000-0000496D0000}"/>
    <cellStyle name="Normal 2 2 6 2 2 2" xfId="31160" xr:uid="{00000000-0005-0000-0000-00004A6D0000}"/>
    <cellStyle name="Normal 2 2 6 2 2 2 2" xfId="58293" xr:uid="{00000000-0005-0000-0000-00004B6D0000}"/>
    <cellStyle name="Normal 2 2 6 2 2 3" xfId="44731" xr:uid="{00000000-0005-0000-0000-00004C6D0000}"/>
    <cellStyle name="Normal 2 2 6 2 3" xfId="24379" xr:uid="{00000000-0005-0000-0000-00004D6D0000}"/>
    <cellStyle name="Normal 2 2 6 2 3 2" xfId="51512" xr:uid="{00000000-0005-0000-0000-00004E6D0000}"/>
    <cellStyle name="Normal 2 2 6 2 4" xfId="37950" xr:uid="{00000000-0005-0000-0000-00004F6D0000}"/>
    <cellStyle name="Normal 2 2 6 3" xfId="14203" xr:uid="{00000000-0005-0000-0000-0000506D0000}"/>
    <cellStyle name="Normal 2 2 6 3 2" xfId="27771" xr:uid="{00000000-0005-0000-0000-0000516D0000}"/>
    <cellStyle name="Normal 2 2 6 3 2 2" xfId="54904" xr:uid="{00000000-0005-0000-0000-0000526D0000}"/>
    <cellStyle name="Normal 2 2 6 3 3" xfId="41342" xr:uid="{00000000-0005-0000-0000-0000536D0000}"/>
    <cellStyle name="Normal 2 2 6 4" xfId="20990" xr:uid="{00000000-0005-0000-0000-0000546D0000}"/>
    <cellStyle name="Normal 2 2 6 4 2" xfId="48123" xr:uid="{00000000-0005-0000-0000-0000556D0000}"/>
    <cellStyle name="Normal 2 2 6 5" xfId="34561" xr:uid="{00000000-0005-0000-0000-0000566D0000}"/>
    <cellStyle name="Normal 2 20" xfId="2586" xr:uid="{00000000-0005-0000-0000-0000576D0000}"/>
    <cellStyle name="Normal 2 21" xfId="2587" xr:uid="{00000000-0005-0000-0000-0000586D0000}"/>
    <cellStyle name="Normal 2 22" xfId="2588" xr:uid="{00000000-0005-0000-0000-0000596D0000}"/>
    <cellStyle name="Normal 2 23" xfId="2589" xr:uid="{00000000-0005-0000-0000-00005A6D0000}"/>
    <cellStyle name="Normal 2 24" xfId="2590" xr:uid="{00000000-0005-0000-0000-00005B6D0000}"/>
    <cellStyle name="Normal 2 25" xfId="2591" xr:uid="{00000000-0005-0000-0000-00005C6D0000}"/>
    <cellStyle name="Normal 2 26" xfId="2592" xr:uid="{00000000-0005-0000-0000-00005D6D0000}"/>
    <cellStyle name="Normal 2 26 2" xfId="2593" xr:uid="{00000000-0005-0000-0000-00005E6D0000}"/>
    <cellStyle name="Normal 2 27" xfId="2594" xr:uid="{00000000-0005-0000-0000-00005F6D0000}"/>
    <cellStyle name="Normal 2 28" xfId="2595" xr:uid="{00000000-0005-0000-0000-0000606D0000}"/>
    <cellStyle name="Normal 2 29" xfId="2596" xr:uid="{00000000-0005-0000-0000-0000616D0000}"/>
    <cellStyle name="Normal 2 3" xfId="69" xr:uid="{00000000-0005-0000-0000-0000626D0000}"/>
    <cellStyle name="Normal 2 3 2" xfId="2597" xr:uid="{00000000-0005-0000-0000-0000636D0000}"/>
    <cellStyle name="Normal 2 3 2 2" xfId="7307" xr:uid="{00000000-0005-0000-0000-0000646D0000}"/>
    <cellStyle name="Normal 2 30" xfId="2598" xr:uid="{00000000-0005-0000-0000-0000656D0000}"/>
    <cellStyle name="Normal 2 31" xfId="2599" xr:uid="{00000000-0005-0000-0000-0000666D0000}"/>
    <cellStyle name="Normal 2 32" xfId="2600" xr:uid="{00000000-0005-0000-0000-0000676D0000}"/>
    <cellStyle name="Normal 2 33" xfId="2601" xr:uid="{00000000-0005-0000-0000-0000686D0000}"/>
    <cellStyle name="Normal 2 34" xfId="2602" xr:uid="{00000000-0005-0000-0000-0000696D0000}"/>
    <cellStyle name="Normal 2 35" xfId="2603" xr:uid="{00000000-0005-0000-0000-00006A6D0000}"/>
    <cellStyle name="Normal 2 36" xfId="2604" xr:uid="{00000000-0005-0000-0000-00006B6D0000}"/>
    <cellStyle name="Normal 2 37" xfId="2605" xr:uid="{00000000-0005-0000-0000-00006C6D0000}"/>
    <cellStyle name="Normal 2 38" xfId="2606" xr:uid="{00000000-0005-0000-0000-00006D6D0000}"/>
    <cellStyle name="Normal 2 39" xfId="2607" xr:uid="{00000000-0005-0000-0000-00006E6D0000}"/>
    <cellStyle name="Normal 2 4" xfId="195" xr:uid="{00000000-0005-0000-0000-00006F6D0000}"/>
    <cellStyle name="Normal 2 4 2" xfId="3423" xr:uid="{00000000-0005-0000-0000-0000706D0000}"/>
    <cellStyle name="Normal 2 4 3" xfId="7461" xr:uid="{00000000-0005-0000-0000-0000716D0000}"/>
    <cellStyle name="Normal 2 4 3 2" xfId="14251" xr:uid="{00000000-0005-0000-0000-0000726D0000}"/>
    <cellStyle name="Normal 2 4 3 2 2" xfId="27819" xr:uid="{00000000-0005-0000-0000-0000736D0000}"/>
    <cellStyle name="Normal 2 4 3 2 2 2" xfId="54952" xr:uid="{00000000-0005-0000-0000-0000746D0000}"/>
    <cellStyle name="Normal 2 4 3 2 3" xfId="41390" xr:uid="{00000000-0005-0000-0000-0000756D0000}"/>
    <cellStyle name="Normal 2 4 3 3" xfId="21038" xr:uid="{00000000-0005-0000-0000-0000766D0000}"/>
    <cellStyle name="Normal 2 4 3 3 2" xfId="48171" xr:uid="{00000000-0005-0000-0000-0000776D0000}"/>
    <cellStyle name="Normal 2 4 3 4" xfId="34609" xr:uid="{00000000-0005-0000-0000-0000786D0000}"/>
    <cellStyle name="Normal 2 4 4" xfId="10862" xr:uid="{00000000-0005-0000-0000-0000796D0000}"/>
    <cellStyle name="Normal 2 4 4 2" xfId="24430" xr:uid="{00000000-0005-0000-0000-00007A6D0000}"/>
    <cellStyle name="Normal 2 4 4 2 2" xfId="51563" xr:uid="{00000000-0005-0000-0000-00007B6D0000}"/>
    <cellStyle name="Normal 2 4 4 3" xfId="38001" xr:uid="{00000000-0005-0000-0000-00007C6D0000}"/>
    <cellStyle name="Normal 2 4 5" xfId="17646" xr:uid="{00000000-0005-0000-0000-00007D6D0000}"/>
    <cellStyle name="Normal 2 4 5 2" xfId="44782" xr:uid="{00000000-0005-0000-0000-00007E6D0000}"/>
    <cellStyle name="Normal 2 4 6" xfId="31220" xr:uid="{00000000-0005-0000-0000-00007F6D0000}"/>
    <cellStyle name="Normal 2 40" xfId="2608" xr:uid="{00000000-0005-0000-0000-0000806D0000}"/>
    <cellStyle name="Normal 2 41" xfId="2609" xr:uid="{00000000-0005-0000-0000-0000816D0000}"/>
    <cellStyle name="Normal 2 42" xfId="2610" xr:uid="{00000000-0005-0000-0000-0000826D0000}"/>
    <cellStyle name="Normal 2 43" xfId="2611" xr:uid="{00000000-0005-0000-0000-0000836D0000}"/>
    <cellStyle name="Normal 2 44" xfId="2612" xr:uid="{00000000-0005-0000-0000-0000846D0000}"/>
    <cellStyle name="Normal 2 45" xfId="2613" xr:uid="{00000000-0005-0000-0000-0000856D0000}"/>
    <cellStyle name="Normal 2 46" xfId="2614" xr:uid="{00000000-0005-0000-0000-0000866D0000}"/>
    <cellStyle name="Normal 2 47" xfId="2615" xr:uid="{00000000-0005-0000-0000-0000876D0000}"/>
    <cellStyle name="Normal 2 48" xfId="2616" xr:uid="{00000000-0005-0000-0000-0000886D0000}"/>
    <cellStyle name="Normal 2 49" xfId="2617" xr:uid="{00000000-0005-0000-0000-0000896D0000}"/>
    <cellStyle name="Normal 2 5" xfId="189" xr:uid="{00000000-0005-0000-0000-00008A6D0000}"/>
    <cellStyle name="Normal 2 5 2" xfId="7460" xr:uid="{00000000-0005-0000-0000-00008B6D0000}"/>
    <cellStyle name="Normal 2 5 2 2" xfId="14250" xr:uid="{00000000-0005-0000-0000-00008C6D0000}"/>
    <cellStyle name="Normal 2 5 2 2 2" xfId="27818" xr:uid="{00000000-0005-0000-0000-00008D6D0000}"/>
    <cellStyle name="Normal 2 5 2 2 2 2" xfId="54951" xr:uid="{00000000-0005-0000-0000-00008E6D0000}"/>
    <cellStyle name="Normal 2 5 2 2 3" xfId="41389" xr:uid="{00000000-0005-0000-0000-00008F6D0000}"/>
    <cellStyle name="Normal 2 5 2 3" xfId="21037" xr:uid="{00000000-0005-0000-0000-0000906D0000}"/>
    <cellStyle name="Normal 2 5 2 3 2" xfId="48170" xr:uid="{00000000-0005-0000-0000-0000916D0000}"/>
    <cellStyle name="Normal 2 5 2 4" xfId="34608" xr:uid="{00000000-0005-0000-0000-0000926D0000}"/>
    <cellStyle name="Normal 2 5 3" xfId="10861" xr:uid="{00000000-0005-0000-0000-0000936D0000}"/>
    <cellStyle name="Normal 2 5 3 2" xfId="24429" xr:uid="{00000000-0005-0000-0000-0000946D0000}"/>
    <cellStyle name="Normal 2 5 3 2 2" xfId="51562" xr:uid="{00000000-0005-0000-0000-0000956D0000}"/>
    <cellStyle name="Normal 2 5 3 3" xfId="38000" xr:uid="{00000000-0005-0000-0000-0000966D0000}"/>
    <cellStyle name="Normal 2 5 4" xfId="17645" xr:uid="{00000000-0005-0000-0000-0000976D0000}"/>
    <cellStyle name="Normal 2 5 4 2" xfId="44781" xr:uid="{00000000-0005-0000-0000-0000986D0000}"/>
    <cellStyle name="Normal 2 5 5" xfId="31219" xr:uid="{00000000-0005-0000-0000-0000996D0000}"/>
    <cellStyle name="Normal 2 50" xfId="2618" xr:uid="{00000000-0005-0000-0000-00009A6D0000}"/>
    <cellStyle name="Normal 2 51" xfId="2619" xr:uid="{00000000-0005-0000-0000-00009B6D0000}"/>
    <cellStyle name="Normal 2 52" xfId="2620" xr:uid="{00000000-0005-0000-0000-00009C6D0000}"/>
    <cellStyle name="Normal 2 53" xfId="2621" xr:uid="{00000000-0005-0000-0000-00009D6D0000}"/>
    <cellStyle name="Normal 2 54" xfId="2622" xr:uid="{00000000-0005-0000-0000-00009E6D0000}"/>
    <cellStyle name="Normal 2 55" xfId="2623" xr:uid="{00000000-0005-0000-0000-00009F6D0000}"/>
    <cellStyle name="Normal 2 56" xfId="2624" xr:uid="{00000000-0005-0000-0000-0000A06D0000}"/>
    <cellStyle name="Normal 2 57" xfId="2625" xr:uid="{00000000-0005-0000-0000-0000A16D0000}"/>
    <cellStyle name="Normal 2 58" xfId="2626" xr:uid="{00000000-0005-0000-0000-0000A26D0000}"/>
    <cellStyle name="Normal 2 59" xfId="2627" xr:uid="{00000000-0005-0000-0000-0000A36D0000}"/>
    <cellStyle name="Normal 2 6" xfId="2628" xr:uid="{00000000-0005-0000-0000-0000A46D0000}"/>
    <cellStyle name="Normal 2 6 2" xfId="7471" xr:uid="{00000000-0005-0000-0000-0000A56D0000}"/>
    <cellStyle name="Normal 2 6 2 2" xfId="14261" xr:uid="{00000000-0005-0000-0000-0000A66D0000}"/>
    <cellStyle name="Normal 2 6 2 2 2" xfId="27829" xr:uid="{00000000-0005-0000-0000-0000A76D0000}"/>
    <cellStyle name="Normal 2 6 2 2 2 2" xfId="54962" xr:uid="{00000000-0005-0000-0000-0000A86D0000}"/>
    <cellStyle name="Normal 2 6 2 2 3" xfId="41400" xr:uid="{00000000-0005-0000-0000-0000A96D0000}"/>
    <cellStyle name="Normal 2 6 2 3" xfId="21048" xr:uid="{00000000-0005-0000-0000-0000AA6D0000}"/>
    <cellStyle name="Normal 2 6 2 3 2" xfId="48181" xr:uid="{00000000-0005-0000-0000-0000AB6D0000}"/>
    <cellStyle name="Normal 2 6 2 4" xfId="34619" xr:uid="{00000000-0005-0000-0000-0000AC6D0000}"/>
    <cellStyle name="Normal 2 6 3" xfId="10872" xr:uid="{00000000-0005-0000-0000-0000AD6D0000}"/>
    <cellStyle name="Normal 2 6 3 2" xfId="24440" xr:uid="{00000000-0005-0000-0000-0000AE6D0000}"/>
    <cellStyle name="Normal 2 6 3 2 2" xfId="51573" xr:uid="{00000000-0005-0000-0000-0000AF6D0000}"/>
    <cellStyle name="Normal 2 6 3 3" xfId="38011" xr:uid="{00000000-0005-0000-0000-0000B06D0000}"/>
    <cellStyle name="Normal 2 6 4" xfId="17659" xr:uid="{00000000-0005-0000-0000-0000B16D0000}"/>
    <cellStyle name="Normal 2 6 4 2" xfId="44792" xr:uid="{00000000-0005-0000-0000-0000B26D0000}"/>
    <cellStyle name="Normal 2 6 5" xfId="31230" xr:uid="{00000000-0005-0000-0000-0000B36D0000}"/>
    <cellStyle name="Normal 2 60" xfId="2629" xr:uid="{00000000-0005-0000-0000-0000B46D0000}"/>
    <cellStyle name="Normal 2 61" xfId="2630" xr:uid="{00000000-0005-0000-0000-0000B56D0000}"/>
    <cellStyle name="Normal 2 62" xfId="2631" xr:uid="{00000000-0005-0000-0000-0000B66D0000}"/>
    <cellStyle name="Normal 2 63" xfId="2632" xr:uid="{00000000-0005-0000-0000-0000B76D0000}"/>
    <cellStyle name="Normal 2 64" xfId="2633" xr:uid="{00000000-0005-0000-0000-0000B86D0000}"/>
    <cellStyle name="Normal 2 65" xfId="2634" xr:uid="{00000000-0005-0000-0000-0000B96D0000}"/>
    <cellStyle name="Normal 2 66" xfId="2635" xr:uid="{00000000-0005-0000-0000-0000BA6D0000}"/>
    <cellStyle name="Normal 2 67" xfId="2636" xr:uid="{00000000-0005-0000-0000-0000BB6D0000}"/>
    <cellStyle name="Normal 2 68" xfId="2637" xr:uid="{00000000-0005-0000-0000-0000BC6D0000}"/>
    <cellStyle name="Normal 2 69" xfId="7458" xr:uid="{00000000-0005-0000-0000-0000BD6D0000}"/>
    <cellStyle name="Normal 2 69 2" xfId="14249" xr:uid="{00000000-0005-0000-0000-0000BE6D0000}"/>
    <cellStyle name="Normal 2 69 2 2" xfId="27817" xr:uid="{00000000-0005-0000-0000-0000BF6D0000}"/>
    <cellStyle name="Normal 2 69 2 2 2" xfId="54950" xr:uid="{00000000-0005-0000-0000-0000C06D0000}"/>
    <cellStyle name="Normal 2 69 2 3" xfId="41388" xr:uid="{00000000-0005-0000-0000-0000C16D0000}"/>
    <cellStyle name="Normal 2 69 3" xfId="21036" xr:uid="{00000000-0005-0000-0000-0000C26D0000}"/>
    <cellStyle name="Normal 2 69 3 2" xfId="48169" xr:uid="{00000000-0005-0000-0000-0000C36D0000}"/>
    <cellStyle name="Normal 2 69 4" xfId="34607" xr:uid="{00000000-0005-0000-0000-0000C46D0000}"/>
    <cellStyle name="Normal 2 7" xfId="2638" xr:uid="{00000000-0005-0000-0000-0000C56D0000}"/>
    <cellStyle name="Normal 2 7 2" xfId="7472" xr:uid="{00000000-0005-0000-0000-0000C66D0000}"/>
    <cellStyle name="Normal 2 7 2 2" xfId="14262" xr:uid="{00000000-0005-0000-0000-0000C76D0000}"/>
    <cellStyle name="Normal 2 7 2 2 2" xfId="27830" xr:uid="{00000000-0005-0000-0000-0000C86D0000}"/>
    <cellStyle name="Normal 2 7 2 2 2 2" xfId="54963" xr:uid="{00000000-0005-0000-0000-0000C96D0000}"/>
    <cellStyle name="Normal 2 7 2 2 3" xfId="41401" xr:uid="{00000000-0005-0000-0000-0000CA6D0000}"/>
    <cellStyle name="Normal 2 7 2 3" xfId="21049" xr:uid="{00000000-0005-0000-0000-0000CB6D0000}"/>
    <cellStyle name="Normal 2 7 2 3 2" xfId="48182" xr:uid="{00000000-0005-0000-0000-0000CC6D0000}"/>
    <cellStyle name="Normal 2 7 2 4" xfId="34620" xr:uid="{00000000-0005-0000-0000-0000CD6D0000}"/>
    <cellStyle name="Normal 2 7 3" xfId="10873" xr:uid="{00000000-0005-0000-0000-0000CE6D0000}"/>
    <cellStyle name="Normal 2 7 3 2" xfId="24441" xr:uid="{00000000-0005-0000-0000-0000CF6D0000}"/>
    <cellStyle name="Normal 2 7 3 2 2" xfId="51574" xr:uid="{00000000-0005-0000-0000-0000D06D0000}"/>
    <cellStyle name="Normal 2 7 3 3" xfId="38012" xr:uid="{00000000-0005-0000-0000-0000D16D0000}"/>
    <cellStyle name="Normal 2 7 4" xfId="17660" xr:uid="{00000000-0005-0000-0000-0000D26D0000}"/>
    <cellStyle name="Normal 2 7 4 2" xfId="44793" xr:uid="{00000000-0005-0000-0000-0000D36D0000}"/>
    <cellStyle name="Normal 2 7 5" xfId="31231" xr:uid="{00000000-0005-0000-0000-0000D46D0000}"/>
    <cellStyle name="Normal 2 70" xfId="10859" xr:uid="{00000000-0005-0000-0000-0000D56D0000}"/>
    <cellStyle name="Normal 2 70 2" xfId="24428" xr:uid="{00000000-0005-0000-0000-0000D66D0000}"/>
    <cellStyle name="Normal 2 70 2 2" xfId="51561" xr:uid="{00000000-0005-0000-0000-0000D76D0000}"/>
    <cellStyle name="Normal 2 70 3" xfId="37999" xr:uid="{00000000-0005-0000-0000-0000D86D0000}"/>
    <cellStyle name="Normal 2 71" xfId="17643" xr:uid="{00000000-0005-0000-0000-0000D96D0000}"/>
    <cellStyle name="Normal 2 71 2" xfId="44780" xr:uid="{00000000-0005-0000-0000-0000DA6D0000}"/>
    <cellStyle name="Normal 2 72" xfId="31217" xr:uid="{00000000-0005-0000-0000-0000DB6D0000}"/>
    <cellStyle name="Normal 2 73" xfId="58346" xr:uid="{00000000-0005-0000-0000-0000DC6D0000}"/>
    <cellStyle name="Normal 2 74" xfId="67" xr:uid="{00000000-0005-0000-0000-0000DD6D0000}"/>
    <cellStyle name="Normal 2 8" xfId="2639" xr:uid="{00000000-0005-0000-0000-0000DE6D0000}"/>
    <cellStyle name="Normal 2 9" xfId="4" xr:uid="{00000000-0005-0000-0000-0000DF6D0000}"/>
    <cellStyle name="Normal 2 9 2" xfId="58368" xr:uid="{00000000-0005-0000-0000-0000E06D0000}"/>
    <cellStyle name="Normal 2 9 3" xfId="2640" xr:uid="{00000000-0005-0000-0000-0000E16D0000}"/>
    <cellStyle name="Normal 2_01_METRADO_IBF(1)" xfId="70" xr:uid="{00000000-0005-0000-0000-0000E26D0000}"/>
    <cellStyle name="Normal 20" xfId="2641" xr:uid="{00000000-0005-0000-0000-0000E36D0000}"/>
    <cellStyle name="Normal 20 2" xfId="2642" xr:uid="{00000000-0005-0000-0000-0000E46D0000}"/>
    <cellStyle name="Normal 21" xfId="2643" xr:uid="{00000000-0005-0000-0000-0000E56D0000}"/>
    <cellStyle name="Normal 21 2" xfId="2644" xr:uid="{00000000-0005-0000-0000-0000E66D0000}"/>
    <cellStyle name="Normal 22" xfId="2645" xr:uid="{00000000-0005-0000-0000-0000E76D0000}"/>
    <cellStyle name="Normal 22 2" xfId="2646" xr:uid="{00000000-0005-0000-0000-0000E86D0000}"/>
    <cellStyle name="Normal 23" xfId="2647" xr:uid="{00000000-0005-0000-0000-0000E96D0000}"/>
    <cellStyle name="Normal 23 2" xfId="2648" xr:uid="{00000000-0005-0000-0000-0000EA6D0000}"/>
    <cellStyle name="Normal 24" xfId="2649" xr:uid="{00000000-0005-0000-0000-0000EB6D0000}"/>
    <cellStyle name="Normal 24 2" xfId="2650" xr:uid="{00000000-0005-0000-0000-0000EC6D0000}"/>
    <cellStyle name="Normal 25" xfId="14" xr:uid="{00000000-0005-0000-0000-0000ED6D0000}"/>
    <cellStyle name="Normal 25 2" xfId="2652" xr:uid="{00000000-0005-0000-0000-0000EE6D0000}"/>
    <cellStyle name="Normal 25 3" xfId="2651" xr:uid="{00000000-0005-0000-0000-0000EF6D0000}"/>
    <cellStyle name="Normal 26" xfId="2653" xr:uid="{00000000-0005-0000-0000-0000F06D0000}"/>
    <cellStyle name="Normal 26 2" xfId="2654" xr:uid="{00000000-0005-0000-0000-0000F16D0000}"/>
    <cellStyle name="Normal 27" xfId="2655" xr:uid="{00000000-0005-0000-0000-0000F26D0000}"/>
    <cellStyle name="Normal 27 2" xfId="2656" xr:uid="{00000000-0005-0000-0000-0000F36D0000}"/>
    <cellStyle name="Normal 28" xfId="2657" xr:uid="{00000000-0005-0000-0000-0000F46D0000}"/>
    <cellStyle name="Normal 28 2" xfId="2658" xr:uid="{00000000-0005-0000-0000-0000F56D0000}"/>
    <cellStyle name="Normal 28 2 2" xfId="5537" xr:uid="{00000000-0005-0000-0000-0000F66D0000}"/>
    <cellStyle name="Normal 28 2 2 2" xfId="5538" xr:uid="{00000000-0005-0000-0000-0000F76D0000}"/>
    <cellStyle name="Normal 28 2 2 2 2" xfId="5539" xr:uid="{00000000-0005-0000-0000-0000F86D0000}"/>
    <cellStyle name="Normal 28 2 2 2 2 2" xfId="9085" xr:uid="{00000000-0005-0000-0000-0000F96D0000}"/>
    <cellStyle name="Normal 28 2 2 2 2 2 2" xfId="15875" xr:uid="{00000000-0005-0000-0000-0000FA6D0000}"/>
    <cellStyle name="Normal 28 2 2 2 2 2 2 2" xfId="29443" xr:uid="{00000000-0005-0000-0000-0000FB6D0000}"/>
    <cellStyle name="Normal 28 2 2 2 2 2 2 2 2" xfId="56576" xr:uid="{00000000-0005-0000-0000-0000FC6D0000}"/>
    <cellStyle name="Normal 28 2 2 2 2 2 2 3" xfId="43014" xr:uid="{00000000-0005-0000-0000-0000FD6D0000}"/>
    <cellStyle name="Normal 28 2 2 2 2 2 3" xfId="22662" xr:uid="{00000000-0005-0000-0000-0000FE6D0000}"/>
    <cellStyle name="Normal 28 2 2 2 2 2 3 2" xfId="49795" xr:uid="{00000000-0005-0000-0000-0000FF6D0000}"/>
    <cellStyle name="Normal 28 2 2 2 2 2 4" xfId="36233" xr:uid="{00000000-0005-0000-0000-0000006E0000}"/>
    <cellStyle name="Normal 28 2 2 2 2 3" xfId="12486" xr:uid="{00000000-0005-0000-0000-0000016E0000}"/>
    <cellStyle name="Normal 28 2 2 2 2 3 2" xfId="26054" xr:uid="{00000000-0005-0000-0000-0000026E0000}"/>
    <cellStyle name="Normal 28 2 2 2 2 3 2 2" xfId="53187" xr:uid="{00000000-0005-0000-0000-0000036E0000}"/>
    <cellStyle name="Normal 28 2 2 2 2 3 3" xfId="39625" xr:uid="{00000000-0005-0000-0000-0000046E0000}"/>
    <cellStyle name="Normal 28 2 2 2 2 4" xfId="19273" xr:uid="{00000000-0005-0000-0000-0000056E0000}"/>
    <cellStyle name="Normal 28 2 2 2 2 4 2" xfId="46406" xr:uid="{00000000-0005-0000-0000-0000066E0000}"/>
    <cellStyle name="Normal 28 2 2 2 2 5" xfId="32844" xr:uid="{00000000-0005-0000-0000-0000076E0000}"/>
    <cellStyle name="Normal 28 2 2 2 3" xfId="5540" xr:uid="{00000000-0005-0000-0000-0000086E0000}"/>
    <cellStyle name="Normal 28 2 2 2 3 2" xfId="9086" xr:uid="{00000000-0005-0000-0000-0000096E0000}"/>
    <cellStyle name="Normal 28 2 2 2 3 2 2" xfId="15876" xr:uid="{00000000-0005-0000-0000-00000A6E0000}"/>
    <cellStyle name="Normal 28 2 2 2 3 2 2 2" xfId="29444" xr:uid="{00000000-0005-0000-0000-00000B6E0000}"/>
    <cellStyle name="Normal 28 2 2 2 3 2 2 2 2" xfId="56577" xr:uid="{00000000-0005-0000-0000-00000C6E0000}"/>
    <cellStyle name="Normal 28 2 2 2 3 2 2 3" xfId="43015" xr:uid="{00000000-0005-0000-0000-00000D6E0000}"/>
    <cellStyle name="Normal 28 2 2 2 3 2 3" xfId="22663" xr:uid="{00000000-0005-0000-0000-00000E6E0000}"/>
    <cellStyle name="Normal 28 2 2 2 3 2 3 2" xfId="49796" xr:uid="{00000000-0005-0000-0000-00000F6E0000}"/>
    <cellStyle name="Normal 28 2 2 2 3 2 4" xfId="36234" xr:uid="{00000000-0005-0000-0000-0000106E0000}"/>
    <cellStyle name="Normal 28 2 2 2 3 3" xfId="12487" xr:uid="{00000000-0005-0000-0000-0000116E0000}"/>
    <cellStyle name="Normal 28 2 2 2 3 3 2" xfId="26055" xr:uid="{00000000-0005-0000-0000-0000126E0000}"/>
    <cellStyle name="Normal 28 2 2 2 3 3 2 2" xfId="53188" xr:uid="{00000000-0005-0000-0000-0000136E0000}"/>
    <cellStyle name="Normal 28 2 2 2 3 3 3" xfId="39626" xr:uid="{00000000-0005-0000-0000-0000146E0000}"/>
    <cellStyle name="Normal 28 2 2 2 3 4" xfId="19274" xr:uid="{00000000-0005-0000-0000-0000156E0000}"/>
    <cellStyle name="Normal 28 2 2 2 3 4 2" xfId="46407" xr:uid="{00000000-0005-0000-0000-0000166E0000}"/>
    <cellStyle name="Normal 28 2 2 2 3 5" xfId="32845" xr:uid="{00000000-0005-0000-0000-0000176E0000}"/>
    <cellStyle name="Normal 28 2 2 2 4" xfId="9084" xr:uid="{00000000-0005-0000-0000-0000186E0000}"/>
    <cellStyle name="Normal 28 2 2 2 4 2" xfId="15874" xr:uid="{00000000-0005-0000-0000-0000196E0000}"/>
    <cellStyle name="Normal 28 2 2 2 4 2 2" xfId="29442" xr:uid="{00000000-0005-0000-0000-00001A6E0000}"/>
    <cellStyle name="Normal 28 2 2 2 4 2 2 2" xfId="56575" xr:uid="{00000000-0005-0000-0000-00001B6E0000}"/>
    <cellStyle name="Normal 28 2 2 2 4 2 3" xfId="43013" xr:uid="{00000000-0005-0000-0000-00001C6E0000}"/>
    <cellStyle name="Normal 28 2 2 2 4 3" xfId="22661" xr:uid="{00000000-0005-0000-0000-00001D6E0000}"/>
    <cellStyle name="Normal 28 2 2 2 4 3 2" xfId="49794" xr:uid="{00000000-0005-0000-0000-00001E6E0000}"/>
    <cellStyle name="Normal 28 2 2 2 4 4" xfId="36232" xr:uid="{00000000-0005-0000-0000-00001F6E0000}"/>
    <cellStyle name="Normal 28 2 2 2 5" xfId="12485" xr:uid="{00000000-0005-0000-0000-0000206E0000}"/>
    <cellStyle name="Normal 28 2 2 2 5 2" xfId="26053" xr:uid="{00000000-0005-0000-0000-0000216E0000}"/>
    <cellStyle name="Normal 28 2 2 2 5 2 2" xfId="53186" xr:uid="{00000000-0005-0000-0000-0000226E0000}"/>
    <cellStyle name="Normal 28 2 2 2 5 3" xfId="39624" xr:uid="{00000000-0005-0000-0000-0000236E0000}"/>
    <cellStyle name="Normal 28 2 2 2 6" xfId="19272" xr:uid="{00000000-0005-0000-0000-0000246E0000}"/>
    <cellStyle name="Normal 28 2 2 2 6 2" xfId="46405" xr:uid="{00000000-0005-0000-0000-0000256E0000}"/>
    <cellStyle name="Normal 28 2 2 2 7" xfId="32843" xr:uid="{00000000-0005-0000-0000-0000266E0000}"/>
    <cellStyle name="Normal 28 2 2 3" xfId="5541" xr:uid="{00000000-0005-0000-0000-0000276E0000}"/>
    <cellStyle name="Normal 28 2 2 3 2" xfId="5542" xr:uid="{00000000-0005-0000-0000-0000286E0000}"/>
    <cellStyle name="Normal 28 2 2 3 2 2" xfId="9088" xr:uid="{00000000-0005-0000-0000-0000296E0000}"/>
    <cellStyle name="Normal 28 2 2 3 2 2 2" xfId="15878" xr:uid="{00000000-0005-0000-0000-00002A6E0000}"/>
    <cellStyle name="Normal 28 2 2 3 2 2 2 2" xfId="29446" xr:uid="{00000000-0005-0000-0000-00002B6E0000}"/>
    <cellStyle name="Normal 28 2 2 3 2 2 2 2 2" xfId="56579" xr:uid="{00000000-0005-0000-0000-00002C6E0000}"/>
    <cellStyle name="Normal 28 2 2 3 2 2 2 3" xfId="43017" xr:uid="{00000000-0005-0000-0000-00002D6E0000}"/>
    <cellStyle name="Normal 28 2 2 3 2 2 3" xfId="22665" xr:uid="{00000000-0005-0000-0000-00002E6E0000}"/>
    <cellStyle name="Normal 28 2 2 3 2 2 3 2" xfId="49798" xr:uid="{00000000-0005-0000-0000-00002F6E0000}"/>
    <cellStyle name="Normal 28 2 2 3 2 2 4" xfId="36236" xr:uid="{00000000-0005-0000-0000-0000306E0000}"/>
    <cellStyle name="Normal 28 2 2 3 2 3" xfId="12489" xr:uid="{00000000-0005-0000-0000-0000316E0000}"/>
    <cellStyle name="Normal 28 2 2 3 2 3 2" xfId="26057" xr:uid="{00000000-0005-0000-0000-0000326E0000}"/>
    <cellStyle name="Normal 28 2 2 3 2 3 2 2" xfId="53190" xr:uid="{00000000-0005-0000-0000-0000336E0000}"/>
    <cellStyle name="Normal 28 2 2 3 2 3 3" xfId="39628" xr:uid="{00000000-0005-0000-0000-0000346E0000}"/>
    <cellStyle name="Normal 28 2 2 3 2 4" xfId="19276" xr:uid="{00000000-0005-0000-0000-0000356E0000}"/>
    <cellStyle name="Normal 28 2 2 3 2 4 2" xfId="46409" xr:uid="{00000000-0005-0000-0000-0000366E0000}"/>
    <cellStyle name="Normal 28 2 2 3 2 5" xfId="32847" xr:uid="{00000000-0005-0000-0000-0000376E0000}"/>
    <cellStyle name="Normal 28 2 2 3 3" xfId="9087" xr:uid="{00000000-0005-0000-0000-0000386E0000}"/>
    <cellStyle name="Normal 28 2 2 3 3 2" xfId="15877" xr:uid="{00000000-0005-0000-0000-0000396E0000}"/>
    <cellStyle name="Normal 28 2 2 3 3 2 2" xfId="29445" xr:uid="{00000000-0005-0000-0000-00003A6E0000}"/>
    <cellStyle name="Normal 28 2 2 3 3 2 2 2" xfId="56578" xr:uid="{00000000-0005-0000-0000-00003B6E0000}"/>
    <cellStyle name="Normal 28 2 2 3 3 2 3" xfId="43016" xr:uid="{00000000-0005-0000-0000-00003C6E0000}"/>
    <cellStyle name="Normal 28 2 2 3 3 3" xfId="22664" xr:uid="{00000000-0005-0000-0000-00003D6E0000}"/>
    <cellStyle name="Normal 28 2 2 3 3 3 2" xfId="49797" xr:uid="{00000000-0005-0000-0000-00003E6E0000}"/>
    <cellStyle name="Normal 28 2 2 3 3 4" xfId="36235" xr:uid="{00000000-0005-0000-0000-00003F6E0000}"/>
    <cellStyle name="Normal 28 2 2 3 4" xfId="12488" xr:uid="{00000000-0005-0000-0000-0000406E0000}"/>
    <cellStyle name="Normal 28 2 2 3 4 2" xfId="26056" xr:uid="{00000000-0005-0000-0000-0000416E0000}"/>
    <cellStyle name="Normal 28 2 2 3 4 2 2" xfId="53189" xr:uid="{00000000-0005-0000-0000-0000426E0000}"/>
    <cellStyle name="Normal 28 2 2 3 4 3" xfId="39627" xr:uid="{00000000-0005-0000-0000-0000436E0000}"/>
    <cellStyle name="Normal 28 2 2 3 5" xfId="19275" xr:uid="{00000000-0005-0000-0000-0000446E0000}"/>
    <cellStyle name="Normal 28 2 2 3 5 2" xfId="46408" xr:uid="{00000000-0005-0000-0000-0000456E0000}"/>
    <cellStyle name="Normal 28 2 2 3 6" xfId="32846" xr:uid="{00000000-0005-0000-0000-0000466E0000}"/>
    <cellStyle name="Normal 28 2 2 4" xfId="5543" xr:uid="{00000000-0005-0000-0000-0000476E0000}"/>
    <cellStyle name="Normal 28 2 2 4 2" xfId="9089" xr:uid="{00000000-0005-0000-0000-0000486E0000}"/>
    <cellStyle name="Normal 28 2 2 4 2 2" xfId="15879" xr:uid="{00000000-0005-0000-0000-0000496E0000}"/>
    <cellStyle name="Normal 28 2 2 4 2 2 2" xfId="29447" xr:uid="{00000000-0005-0000-0000-00004A6E0000}"/>
    <cellStyle name="Normal 28 2 2 4 2 2 2 2" xfId="56580" xr:uid="{00000000-0005-0000-0000-00004B6E0000}"/>
    <cellStyle name="Normal 28 2 2 4 2 2 3" xfId="43018" xr:uid="{00000000-0005-0000-0000-00004C6E0000}"/>
    <cellStyle name="Normal 28 2 2 4 2 3" xfId="22666" xr:uid="{00000000-0005-0000-0000-00004D6E0000}"/>
    <cellStyle name="Normal 28 2 2 4 2 3 2" xfId="49799" xr:uid="{00000000-0005-0000-0000-00004E6E0000}"/>
    <cellStyle name="Normal 28 2 2 4 2 4" xfId="36237" xr:uid="{00000000-0005-0000-0000-00004F6E0000}"/>
    <cellStyle name="Normal 28 2 2 4 3" xfId="12490" xr:uid="{00000000-0005-0000-0000-0000506E0000}"/>
    <cellStyle name="Normal 28 2 2 4 3 2" xfId="26058" xr:uid="{00000000-0005-0000-0000-0000516E0000}"/>
    <cellStyle name="Normal 28 2 2 4 3 2 2" xfId="53191" xr:uid="{00000000-0005-0000-0000-0000526E0000}"/>
    <cellStyle name="Normal 28 2 2 4 3 3" xfId="39629" xr:uid="{00000000-0005-0000-0000-0000536E0000}"/>
    <cellStyle name="Normal 28 2 2 4 4" xfId="19277" xr:uid="{00000000-0005-0000-0000-0000546E0000}"/>
    <cellStyle name="Normal 28 2 2 4 4 2" xfId="46410" xr:uid="{00000000-0005-0000-0000-0000556E0000}"/>
    <cellStyle name="Normal 28 2 2 4 5" xfId="32848" xr:uid="{00000000-0005-0000-0000-0000566E0000}"/>
    <cellStyle name="Normal 28 2 2 5" xfId="5544" xr:uid="{00000000-0005-0000-0000-0000576E0000}"/>
    <cellStyle name="Normal 28 2 2 5 2" xfId="9090" xr:uid="{00000000-0005-0000-0000-0000586E0000}"/>
    <cellStyle name="Normal 28 2 2 5 2 2" xfId="15880" xr:uid="{00000000-0005-0000-0000-0000596E0000}"/>
    <cellStyle name="Normal 28 2 2 5 2 2 2" xfId="29448" xr:uid="{00000000-0005-0000-0000-00005A6E0000}"/>
    <cellStyle name="Normal 28 2 2 5 2 2 2 2" xfId="56581" xr:uid="{00000000-0005-0000-0000-00005B6E0000}"/>
    <cellStyle name="Normal 28 2 2 5 2 2 3" xfId="43019" xr:uid="{00000000-0005-0000-0000-00005C6E0000}"/>
    <cellStyle name="Normal 28 2 2 5 2 3" xfId="22667" xr:uid="{00000000-0005-0000-0000-00005D6E0000}"/>
    <cellStyle name="Normal 28 2 2 5 2 3 2" xfId="49800" xr:uid="{00000000-0005-0000-0000-00005E6E0000}"/>
    <cellStyle name="Normal 28 2 2 5 2 4" xfId="36238" xr:uid="{00000000-0005-0000-0000-00005F6E0000}"/>
    <cellStyle name="Normal 28 2 2 5 3" xfId="12491" xr:uid="{00000000-0005-0000-0000-0000606E0000}"/>
    <cellStyle name="Normal 28 2 2 5 3 2" xfId="26059" xr:uid="{00000000-0005-0000-0000-0000616E0000}"/>
    <cellStyle name="Normal 28 2 2 5 3 2 2" xfId="53192" xr:uid="{00000000-0005-0000-0000-0000626E0000}"/>
    <cellStyle name="Normal 28 2 2 5 3 3" xfId="39630" xr:uid="{00000000-0005-0000-0000-0000636E0000}"/>
    <cellStyle name="Normal 28 2 2 5 4" xfId="19278" xr:uid="{00000000-0005-0000-0000-0000646E0000}"/>
    <cellStyle name="Normal 28 2 2 5 4 2" xfId="46411" xr:uid="{00000000-0005-0000-0000-0000656E0000}"/>
    <cellStyle name="Normal 28 2 2 5 5" xfId="32849" xr:uid="{00000000-0005-0000-0000-0000666E0000}"/>
    <cellStyle name="Normal 28 2 2 6" xfId="9083" xr:uid="{00000000-0005-0000-0000-0000676E0000}"/>
    <cellStyle name="Normal 28 2 2 6 2" xfId="15873" xr:uid="{00000000-0005-0000-0000-0000686E0000}"/>
    <cellStyle name="Normal 28 2 2 6 2 2" xfId="29441" xr:uid="{00000000-0005-0000-0000-0000696E0000}"/>
    <cellStyle name="Normal 28 2 2 6 2 2 2" xfId="56574" xr:uid="{00000000-0005-0000-0000-00006A6E0000}"/>
    <cellStyle name="Normal 28 2 2 6 2 3" xfId="43012" xr:uid="{00000000-0005-0000-0000-00006B6E0000}"/>
    <cellStyle name="Normal 28 2 2 6 3" xfId="22660" xr:uid="{00000000-0005-0000-0000-00006C6E0000}"/>
    <cellStyle name="Normal 28 2 2 6 3 2" xfId="49793" xr:uid="{00000000-0005-0000-0000-00006D6E0000}"/>
    <cellStyle name="Normal 28 2 2 6 4" xfId="36231" xr:uid="{00000000-0005-0000-0000-00006E6E0000}"/>
    <cellStyle name="Normal 28 2 2 7" xfId="12484" xr:uid="{00000000-0005-0000-0000-00006F6E0000}"/>
    <cellStyle name="Normal 28 2 2 7 2" xfId="26052" xr:uid="{00000000-0005-0000-0000-0000706E0000}"/>
    <cellStyle name="Normal 28 2 2 7 2 2" xfId="53185" xr:uid="{00000000-0005-0000-0000-0000716E0000}"/>
    <cellStyle name="Normal 28 2 2 7 3" xfId="39623" xr:uid="{00000000-0005-0000-0000-0000726E0000}"/>
    <cellStyle name="Normal 28 2 2 8" xfId="19271" xr:uid="{00000000-0005-0000-0000-0000736E0000}"/>
    <cellStyle name="Normal 28 2 2 8 2" xfId="46404" xr:uid="{00000000-0005-0000-0000-0000746E0000}"/>
    <cellStyle name="Normal 28 2 2 9" xfId="32842" xr:uid="{00000000-0005-0000-0000-0000756E0000}"/>
    <cellStyle name="Normal 28 2 3" xfId="5545" xr:uid="{00000000-0005-0000-0000-0000766E0000}"/>
    <cellStyle name="Normal 28 2 3 2" xfId="5546" xr:uid="{00000000-0005-0000-0000-0000776E0000}"/>
    <cellStyle name="Normal 28 2 3 2 2" xfId="9092" xr:uid="{00000000-0005-0000-0000-0000786E0000}"/>
    <cellStyle name="Normal 28 2 3 2 2 2" xfId="15882" xr:uid="{00000000-0005-0000-0000-0000796E0000}"/>
    <cellStyle name="Normal 28 2 3 2 2 2 2" xfId="29450" xr:uid="{00000000-0005-0000-0000-00007A6E0000}"/>
    <cellStyle name="Normal 28 2 3 2 2 2 2 2" xfId="56583" xr:uid="{00000000-0005-0000-0000-00007B6E0000}"/>
    <cellStyle name="Normal 28 2 3 2 2 2 3" xfId="43021" xr:uid="{00000000-0005-0000-0000-00007C6E0000}"/>
    <cellStyle name="Normal 28 2 3 2 2 3" xfId="22669" xr:uid="{00000000-0005-0000-0000-00007D6E0000}"/>
    <cellStyle name="Normal 28 2 3 2 2 3 2" xfId="49802" xr:uid="{00000000-0005-0000-0000-00007E6E0000}"/>
    <cellStyle name="Normal 28 2 3 2 2 4" xfId="36240" xr:uid="{00000000-0005-0000-0000-00007F6E0000}"/>
    <cellStyle name="Normal 28 2 3 2 3" xfId="12493" xr:uid="{00000000-0005-0000-0000-0000806E0000}"/>
    <cellStyle name="Normal 28 2 3 2 3 2" xfId="26061" xr:uid="{00000000-0005-0000-0000-0000816E0000}"/>
    <cellStyle name="Normal 28 2 3 2 3 2 2" xfId="53194" xr:uid="{00000000-0005-0000-0000-0000826E0000}"/>
    <cellStyle name="Normal 28 2 3 2 3 3" xfId="39632" xr:uid="{00000000-0005-0000-0000-0000836E0000}"/>
    <cellStyle name="Normal 28 2 3 2 4" xfId="19280" xr:uid="{00000000-0005-0000-0000-0000846E0000}"/>
    <cellStyle name="Normal 28 2 3 2 4 2" xfId="46413" xr:uid="{00000000-0005-0000-0000-0000856E0000}"/>
    <cellStyle name="Normal 28 2 3 2 5" xfId="32851" xr:uid="{00000000-0005-0000-0000-0000866E0000}"/>
    <cellStyle name="Normal 28 2 3 3" xfId="5547" xr:uid="{00000000-0005-0000-0000-0000876E0000}"/>
    <cellStyle name="Normal 28 2 3 3 2" xfId="9093" xr:uid="{00000000-0005-0000-0000-0000886E0000}"/>
    <cellStyle name="Normal 28 2 3 3 2 2" xfId="15883" xr:uid="{00000000-0005-0000-0000-0000896E0000}"/>
    <cellStyle name="Normal 28 2 3 3 2 2 2" xfId="29451" xr:uid="{00000000-0005-0000-0000-00008A6E0000}"/>
    <cellStyle name="Normal 28 2 3 3 2 2 2 2" xfId="56584" xr:uid="{00000000-0005-0000-0000-00008B6E0000}"/>
    <cellStyle name="Normal 28 2 3 3 2 2 3" xfId="43022" xr:uid="{00000000-0005-0000-0000-00008C6E0000}"/>
    <cellStyle name="Normal 28 2 3 3 2 3" xfId="22670" xr:uid="{00000000-0005-0000-0000-00008D6E0000}"/>
    <cellStyle name="Normal 28 2 3 3 2 3 2" xfId="49803" xr:uid="{00000000-0005-0000-0000-00008E6E0000}"/>
    <cellStyle name="Normal 28 2 3 3 2 4" xfId="36241" xr:uid="{00000000-0005-0000-0000-00008F6E0000}"/>
    <cellStyle name="Normal 28 2 3 3 3" xfId="12494" xr:uid="{00000000-0005-0000-0000-0000906E0000}"/>
    <cellStyle name="Normal 28 2 3 3 3 2" xfId="26062" xr:uid="{00000000-0005-0000-0000-0000916E0000}"/>
    <cellStyle name="Normal 28 2 3 3 3 2 2" xfId="53195" xr:uid="{00000000-0005-0000-0000-0000926E0000}"/>
    <cellStyle name="Normal 28 2 3 3 3 3" xfId="39633" xr:uid="{00000000-0005-0000-0000-0000936E0000}"/>
    <cellStyle name="Normal 28 2 3 3 4" xfId="19281" xr:uid="{00000000-0005-0000-0000-0000946E0000}"/>
    <cellStyle name="Normal 28 2 3 3 4 2" xfId="46414" xr:uid="{00000000-0005-0000-0000-0000956E0000}"/>
    <cellStyle name="Normal 28 2 3 3 5" xfId="32852" xr:uid="{00000000-0005-0000-0000-0000966E0000}"/>
    <cellStyle name="Normal 28 2 3 4" xfId="9091" xr:uid="{00000000-0005-0000-0000-0000976E0000}"/>
    <cellStyle name="Normal 28 2 3 4 2" xfId="15881" xr:uid="{00000000-0005-0000-0000-0000986E0000}"/>
    <cellStyle name="Normal 28 2 3 4 2 2" xfId="29449" xr:uid="{00000000-0005-0000-0000-0000996E0000}"/>
    <cellStyle name="Normal 28 2 3 4 2 2 2" xfId="56582" xr:uid="{00000000-0005-0000-0000-00009A6E0000}"/>
    <cellStyle name="Normal 28 2 3 4 2 3" xfId="43020" xr:uid="{00000000-0005-0000-0000-00009B6E0000}"/>
    <cellStyle name="Normal 28 2 3 4 3" xfId="22668" xr:uid="{00000000-0005-0000-0000-00009C6E0000}"/>
    <cellStyle name="Normal 28 2 3 4 3 2" xfId="49801" xr:uid="{00000000-0005-0000-0000-00009D6E0000}"/>
    <cellStyle name="Normal 28 2 3 4 4" xfId="36239" xr:uid="{00000000-0005-0000-0000-00009E6E0000}"/>
    <cellStyle name="Normal 28 2 3 5" xfId="12492" xr:uid="{00000000-0005-0000-0000-00009F6E0000}"/>
    <cellStyle name="Normal 28 2 3 5 2" xfId="26060" xr:uid="{00000000-0005-0000-0000-0000A06E0000}"/>
    <cellStyle name="Normal 28 2 3 5 2 2" xfId="53193" xr:uid="{00000000-0005-0000-0000-0000A16E0000}"/>
    <cellStyle name="Normal 28 2 3 5 3" xfId="39631" xr:uid="{00000000-0005-0000-0000-0000A26E0000}"/>
    <cellStyle name="Normal 28 2 3 6" xfId="19279" xr:uid="{00000000-0005-0000-0000-0000A36E0000}"/>
    <cellStyle name="Normal 28 2 3 6 2" xfId="46412" xr:uid="{00000000-0005-0000-0000-0000A46E0000}"/>
    <cellStyle name="Normal 28 2 3 7" xfId="32850" xr:uid="{00000000-0005-0000-0000-0000A56E0000}"/>
    <cellStyle name="Normal 28 2 4" xfId="5548" xr:uid="{00000000-0005-0000-0000-0000A66E0000}"/>
    <cellStyle name="Normal 28 2 4 2" xfId="5549" xr:uid="{00000000-0005-0000-0000-0000A76E0000}"/>
    <cellStyle name="Normal 28 2 4 2 2" xfId="9095" xr:uid="{00000000-0005-0000-0000-0000A86E0000}"/>
    <cellStyle name="Normal 28 2 4 2 2 2" xfId="15885" xr:uid="{00000000-0005-0000-0000-0000A96E0000}"/>
    <cellStyle name="Normal 28 2 4 2 2 2 2" xfId="29453" xr:uid="{00000000-0005-0000-0000-0000AA6E0000}"/>
    <cellStyle name="Normal 28 2 4 2 2 2 2 2" xfId="56586" xr:uid="{00000000-0005-0000-0000-0000AB6E0000}"/>
    <cellStyle name="Normal 28 2 4 2 2 2 3" xfId="43024" xr:uid="{00000000-0005-0000-0000-0000AC6E0000}"/>
    <cellStyle name="Normal 28 2 4 2 2 3" xfId="22672" xr:uid="{00000000-0005-0000-0000-0000AD6E0000}"/>
    <cellStyle name="Normal 28 2 4 2 2 3 2" xfId="49805" xr:uid="{00000000-0005-0000-0000-0000AE6E0000}"/>
    <cellStyle name="Normal 28 2 4 2 2 4" xfId="36243" xr:uid="{00000000-0005-0000-0000-0000AF6E0000}"/>
    <cellStyle name="Normal 28 2 4 2 3" xfId="12496" xr:uid="{00000000-0005-0000-0000-0000B06E0000}"/>
    <cellStyle name="Normal 28 2 4 2 3 2" xfId="26064" xr:uid="{00000000-0005-0000-0000-0000B16E0000}"/>
    <cellStyle name="Normal 28 2 4 2 3 2 2" xfId="53197" xr:uid="{00000000-0005-0000-0000-0000B26E0000}"/>
    <cellStyle name="Normal 28 2 4 2 3 3" xfId="39635" xr:uid="{00000000-0005-0000-0000-0000B36E0000}"/>
    <cellStyle name="Normal 28 2 4 2 4" xfId="19283" xr:uid="{00000000-0005-0000-0000-0000B46E0000}"/>
    <cellStyle name="Normal 28 2 4 2 4 2" xfId="46416" xr:uid="{00000000-0005-0000-0000-0000B56E0000}"/>
    <cellStyle name="Normal 28 2 4 2 5" xfId="32854" xr:uid="{00000000-0005-0000-0000-0000B66E0000}"/>
    <cellStyle name="Normal 28 2 4 3" xfId="9094" xr:uid="{00000000-0005-0000-0000-0000B76E0000}"/>
    <cellStyle name="Normal 28 2 4 3 2" xfId="15884" xr:uid="{00000000-0005-0000-0000-0000B86E0000}"/>
    <cellStyle name="Normal 28 2 4 3 2 2" xfId="29452" xr:uid="{00000000-0005-0000-0000-0000B96E0000}"/>
    <cellStyle name="Normal 28 2 4 3 2 2 2" xfId="56585" xr:uid="{00000000-0005-0000-0000-0000BA6E0000}"/>
    <cellStyle name="Normal 28 2 4 3 2 3" xfId="43023" xr:uid="{00000000-0005-0000-0000-0000BB6E0000}"/>
    <cellStyle name="Normal 28 2 4 3 3" xfId="22671" xr:uid="{00000000-0005-0000-0000-0000BC6E0000}"/>
    <cellStyle name="Normal 28 2 4 3 3 2" xfId="49804" xr:uid="{00000000-0005-0000-0000-0000BD6E0000}"/>
    <cellStyle name="Normal 28 2 4 3 4" xfId="36242" xr:uid="{00000000-0005-0000-0000-0000BE6E0000}"/>
    <cellStyle name="Normal 28 2 4 4" xfId="12495" xr:uid="{00000000-0005-0000-0000-0000BF6E0000}"/>
    <cellStyle name="Normal 28 2 4 4 2" xfId="26063" xr:uid="{00000000-0005-0000-0000-0000C06E0000}"/>
    <cellStyle name="Normal 28 2 4 4 2 2" xfId="53196" xr:uid="{00000000-0005-0000-0000-0000C16E0000}"/>
    <cellStyle name="Normal 28 2 4 4 3" xfId="39634" xr:uid="{00000000-0005-0000-0000-0000C26E0000}"/>
    <cellStyle name="Normal 28 2 4 5" xfId="19282" xr:uid="{00000000-0005-0000-0000-0000C36E0000}"/>
    <cellStyle name="Normal 28 2 4 5 2" xfId="46415" xr:uid="{00000000-0005-0000-0000-0000C46E0000}"/>
    <cellStyle name="Normal 28 2 4 6" xfId="32853" xr:uid="{00000000-0005-0000-0000-0000C56E0000}"/>
    <cellStyle name="Normal 28 2 5" xfId="5550" xr:uid="{00000000-0005-0000-0000-0000C66E0000}"/>
    <cellStyle name="Normal 28 2 5 2" xfId="9096" xr:uid="{00000000-0005-0000-0000-0000C76E0000}"/>
    <cellStyle name="Normal 28 2 5 2 2" xfId="15886" xr:uid="{00000000-0005-0000-0000-0000C86E0000}"/>
    <cellStyle name="Normal 28 2 5 2 2 2" xfId="29454" xr:uid="{00000000-0005-0000-0000-0000C96E0000}"/>
    <cellStyle name="Normal 28 2 5 2 2 2 2" xfId="56587" xr:uid="{00000000-0005-0000-0000-0000CA6E0000}"/>
    <cellStyle name="Normal 28 2 5 2 2 3" xfId="43025" xr:uid="{00000000-0005-0000-0000-0000CB6E0000}"/>
    <cellStyle name="Normal 28 2 5 2 3" xfId="22673" xr:uid="{00000000-0005-0000-0000-0000CC6E0000}"/>
    <cellStyle name="Normal 28 2 5 2 3 2" xfId="49806" xr:uid="{00000000-0005-0000-0000-0000CD6E0000}"/>
    <cellStyle name="Normal 28 2 5 2 4" xfId="36244" xr:uid="{00000000-0005-0000-0000-0000CE6E0000}"/>
    <cellStyle name="Normal 28 2 5 3" xfId="12497" xr:uid="{00000000-0005-0000-0000-0000CF6E0000}"/>
    <cellStyle name="Normal 28 2 5 3 2" xfId="26065" xr:uid="{00000000-0005-0000-0000-0000D06E0000}"/>
    <cellStyle name="Normal 28 2 5 3 2 2" xfId="53198" xr:uid="{00000000-0005-0000-0000-0000D16E0000}"/>
    <cellStyle name="Normal 28 2 5 3 3" xfId="39636" xr:uid="{00000000-0005-0000-0000-0000D26E0000}"/>
    <cellStyle name="Normal 28 2 5 4" xfId="19284" xr:uid="{00000000-0005-0000-0000-0000D36E0000}"/>
    <cellStyle name="Normal 28 2 5 4 2" xfId="46417" xr:uid="{00000000-0005-0000-0000-0000D46E0000}"/>
    <cellStyle name="Normal 28 2 5 5" xfId="32855" xr:uid="{00000000-0005-0000-0000-0000D56E0000}"/>
    <cellStyle name="Normal 28 2 6" xfId="5551" xr:uid="{00000000-0005-0000-0000-0000D66E0000}"/>
    <cellStyle name="Normal 28 2 6 2" xfId="9097" xr:uid="{00000000-0005-0000-0000-0000D76E0000}"/>
    <cellStyle name="Normal 28 2 6 2 2" xfId="15887" xr:uid="{00000000-0005-0000-0000-0000D86E0000}"/>
    <cellStyle name="Normal 28 2 6 2 2 2" xfId="29455" xr:uid="{00000000-0005-0000-0000-0000D96E0000}"/>
    <cellStyle name="Normal 28 2 6 2 2 2 2" xfId="56588" xr:uid="{00000000-0005-0000-0000-0000DA6E0000}"/>
    <cellStyle name="Normal 28 2 6 2 2 3" xfId="43026" xr:uid="{00000000-0005-0000-0000-0000DB6E0000}"/>
    <cellStyle name="Normal 28 2 6 2 3" xfId="22674" xr:uid="{00000000-0005-0000-0000-0000DC6E0000}"/>
    <cellStyle name="Normal 28 2 6 2 3 2" xfId="49807" xr:uid="{00000000-0005-0000-0000-0000DD6E0000}"/>
    <cellStyle name="Normal 28 2 6 2 4" xfId="36245" xr:uid="{00000000-0005-0000-0000-0000DE6E0000}"/>
    <cellStyle name="Normal 28 2 6 3" xfId="12498" xr:uid="{00000000-0005-0000-0000-0000DF6E0000}"/>
    <cellStyle name="Normal 28 2 6 3 2" xfId="26066" xr:uid="{00000000-0005-0000-0000-0000E06E0000}"/>
    <cellStyle name="Normal 28 2 6 3 2 2" xfId="53199" xr:uid="{00000000-0005-0000-0000-0000E16E0000}"/>
    <cellStyle name="Normal 28 2 6 3 3" xfId="39637" xr:uid="{00000000-0005-0000-0000-0000E26E0000}"/>
    <cellStyle name="Normal 28 2 6 4" xfId="19285" xr:uid="{00000000-0005-0000-0000-0000E36E0000}"/>
    <cellStyle name="Normal 28 2 6 4 2" xfId="46418" xr:uid="{00000000-0005-0000-0000-0000E46E0000}"/>
    <cellStyle name="Normal 28 2 6 5" xfId="32856" xr:uid="{00000000-0005-0000-0000-0000E56E0000}"/>
    <cellStyle name="Normal 28 3" xfId="5552" xr:uid="{00000000-0005-0000-0000-0000E66E0000}"/>
    <cellStyle name="Normal 28 3 2" xfId="5553" xr:uid="{00000000-0005-0000-0000-0000E76E0000}"/>
    <cellStyle name="Normal 28 3 2 2" xfId="5554" xr:uid="{00000000-0005-0000-0000-0000E86E0000}"/>
    <cellStyle name="Normal 28 3 2 2 2" xfId="9100" xr:uid="{00000000-0005-0000-0000-0000E96E0000}"/>
    <cellStyle name="Normal 28 3 2 2 2 2" xfId="15890" xr:uid="{00000000-0005-0000-0000-0000EA6E0000}"/>
    <cellStyle name="Normal 28 3 2 2 2 2 2" xfId="29458" xr:uid="{00000000-0005-0000-0000-0000EB6E0000}"/>
    <cellStyle name="Normal 28 3 2 2 2 2 2 2" xfId="56591" xr:uid="{00000000-0005-0000-0000-0000EC6E0000}"/>
    <cellStyle name="Normal 28 3 2 2 2 2 3" xfId="43029" xr:uid="{00000000-0005-0000-0000-0000ED6E0000}"/>
    <cellStyle name="Normal 28 3 2 2 2 3" xfId="22677" xr:uid="{00000000-0005-0000-0000-0000EE6E0000}"/>
    <cellStyle name="Normal 28 3 2 2 2 3 2" xfId="49810" xr:uid="{00000000-0005-0000-0000-0000EF6E0000}"/>
    <cellStyle name="Normal 28 3 2 2 2 4" xfId="36248" xr:uid="{00000000-0005-0000-0000-0000F06E0000}"/>
    <cellStyle name="Normal 28 3 2 2 3" xfId="12501" xr:uid="{00000000-0005-0000-0000-0000F16E0000}"/>
    <cellStyle name="Normal 28 3 2 2 3 2" xfId="26069" xr:uid="{00000000-0005-0000-0000-0000F26E0000}"/>
    <cellStyle name="Normal 28 3 2 2 3 2 2" xfId="53202" xr:uid="{00000000-0005-0000-0000-0000F36E0000}"/>
    <cellStyle name="Normal 28 3 2 2 3 3" xfId="39640" xr:uid="{00000000-0005-0000-0000-0000F46E0000}"/>
    <cellStyle name="Normal 28 3 2 2 4" xfId="19288" xr:uid="{00000000-0005-0000-0000-0000F56E0000}"/>
    <cellStyle name="Normal 28 3 2 2 4 2" xfId="46421" xr:uid="{00000000-0005-0000-0000-0000F66E0000}"/>
    <cellStyle name="Normal 28 3 2 2 5" xfId="32859" xr:uid="{00000000-0005-0000-0000-0000F76E0000}"/>
    <cellStyle name="Normal 28 3 2 3" xfId="5555" xr:uid="{00000000-0005-0000-0000-0000F86E0000}"/>
    <cellStyle name="Normal 28 3 2 3 2" xfId="9101" xr:uid="{00000000-0005-0000-0000-0000F96E0000}"/>
    <cellStyle name="Normal 28 3 2 3 2 2" xfId="15891" xr:uid="{00000000-0005-0000-0000-0000FA6E0000}"/>
    <cellStyle name="Normal 28 3 2 3 2 2 2" xfId="29459" xr:uid="{00000000-0005-0000-0000-0000FB6E0000}"/>
    <cellStyle name="Normal 28 3 2 3 2 2 2 2" xfId="56592" xr:uid="{00000000-0005-0000-0000-0000FC6E0000}"/>
    <cellStyle name="Normal 28 3 2 3 2 2 3" xfId="43030" xr:uid="{00000000-0005-0000-0000-0000FD6E0000}"/>
    <cellStyle name="Normal 28 3 2 3 2 3" xfId="22678" xr:uid="{00000000-0005-0000-0000-0000FE6E0000}"/>
    <cellStyle name="Normal 28 3 2 3 2 3 2" xfId="49811" xr:uid="{00000000-0005-0000-0000-0000FF6E0000}"/>
    <cellStyle name="Normal 28 3 2 3 2 4" xfId="36249" xr:uid="{00000000-0005-0000-0000-0000006F0000}"/>
    <cellStyle name="Normal 28 3 2 3 3" xfId="12502" xr:uid="{00000000-0005-0000-0000-0000016F0000}"/>
    <cellStyle name="Normal 28 3 2 3 3 2" xfId="26070" xr:uid="{00000000-0005-0000-0000-0000026F0000}"/>
    <cellStyle name="Normal 28 3 2 3 3 2 2" xfId="53203" xr:uid="{00000000-0005-0000-0000-0000036F0000}"/>
    <cellStyle name="Normal 28 3 2 3 3 3" xfId="39641" xr:uid="{00000000-0005-0000-0000-0000046F0000}"/>
    <cellStyle name="Normal 28 3 2 3 4" xfId="19289" xr:uid="{00000000-0005-0000-0000-0000056F0000}"/>
    <cellStyle name="Normal 28 3 2 3 4 2" xfId="46422" xr:uid="{00000000-0005-0000-0000-0000066F0000}"/>
    <cellStyle name="Normal 28 3 2 3 5" xfId="32860" xr:uid="{00000000-0005-0000-0000-0000076F0000}"/>
    <cellStyle name="Normal 28 3 2 4" xfId="9099" xr:uid="{00000000-0005-0000-0000-0000086F0000}"/>
    <cellStyle name="Normal 28 3 2 4 2" xfId="15889" xr:uid="{00000000-0005-0000-0000-0000096F0000}"/>
    <cellStyle name="Normal 28 3 2 4 2 2" xfId="29457" xr:uid="{00000000-0005-0000-0000-00000A6F0000}"/>
    <cellStyle name="Normal 28 3 2 4 2 2 2" xfId="56590" xr:uid="{00000000-0005-0000-0000-00000B6F0000}"/>
    <cellStyle name="Normal 28 3 2 4 2 3" xfId="43028" xr:uid="{00000000-0005-0000-0000-00000C6F0000}"/>
    <cellStyle name="Normal 28 3 2 4 3" xfId="22676" xr:uid="{00000000-0005-0000-0000-00000D6F0000}"/>
    <cellStyle name="Normal 28 3 2 4 3 2" xfId="49809" xr:uid="{00000000-0005-0000-0000-00000E6F0000}"/>
    <cellStyle name="Normal 28 3 2 4 4" xfId="36247" xr:uid="{00000000-0005-0000-0000-00000F6F0000}"/>
    <cellStyle name="Normal 28 3 2 5" xfId="12500" xr:uid="{00000000-0005-0000-0000-0000106F0000}"/>
    <cellStyle name="Normal 28 3 2 5 2" xfId="26068" xr:uid="{00000000-0005-0000-0000-0000116F0000}"/>
    <cellStyle name="Normal 28 3 2 5 2 2" xfId="53201" xr:uid="{00000000-0005-0000-0000-0000126F0000}"/>
    <cellStyle name="Normal 28 3 2 5 3" xfId="39639" xr:uid="{00000000-0005-0000-0000-0000136F0000}"/>
    <cellStyle name="Normal 28 3 2 6" xfId="19287" xr:uid="{00000000-0005-0000-0000-0000146F0000}"/>
    <cellStyle name="Normal 28 3 2 6 2" xfId="46420" xr:uid="{00000000-0005-0000-0000-0000156F0000}"/>
    <cellStyle name="Normal 28 3 2 7" xfId="32858" xr:uid="{00000000-0005-0000-0000-0000166F0000}"/>
    <cellStyle name="Normal 28 3 3" xfId="5556" xr:uid="{00000000-0005-0000-0000-0000176F0000}"/>
    <cellStyle name="Normal 28 3 3 2" xfId="5557" xr:uid="{00000000-0005-0000-0000-0000186F0000}"/>
    <cellStyle name="Normal 28 3 3 2 2" xfId="9103" xr:uid="{00000000-0005-0000-0000-0000196F0000}"/>
    <cellStyle name="Normal 28 3 3 2 2 2" xfId="15893" xr:uid="{00000000-0005-0000-0000-00001A6F0000}"/>
    <cellStyle name="Normal 28 3 3 2 2 2 2" xfId="29461" xr:uid="{00000000-0005-0000-0000-00001B6F0000}"/>
    <cellStyle name="Normal 28 3 3 2 2 2 2 2" xfId="56594" xr:uid="{00000000-0005-0000-0000-00001C6F0000}"/>
    <cellStyle name="Normal 28 3 3 2 2 2 3" xfId="43032" xr:uid="{00000000-0005-0000-0000-00001D6F0000}"/>
    <cellStyle name="Normal 28 3 3 2 2 3" xfId="22680" xr:uid="{00000000-0005-0000-0000-00001E6F0000}"/>
    <cellStyle name="Normal 28 3 3 2 2 3 2" xfId="49813" xr:uid="{00000000-0005-0000-0000-00001F6F0000}"/>
    <cellStyle name="Normal 28 3 3 2 2 4" xfId="36251" xr:uid="{00000000-0005-0000-0000-0000206F0000}"/>
    <cellStyle name="Normal 28 3 3 2 3" xfId="12504" xr:uid="{00000000-0005-0000-0000-0000216F0000}"/>
    <cellStyle name="Normal 28 3 3 2 3 2" xfId="26072" xr:uid="{00000000-0005-0000-0000-0000226F0000}"/>
    <cellStyle name="Normal 28 3 3 2 3 2 2" xfId="53205" xr:uid="{00000000-0005-0000-0000-0000236F0000}"/>
    <cellStyle name="Normal 28 3 3 2 3 3" xfId="39643" xr:uid="{00000000-0005-0000-0000-0000246F0000}"/>
    <cellStyle name="Normal 28 3 3 2 4" xfId="19291" xr:uid="{00000000-0005-0000-0000-0000256F0000}"/>
    <cellStyle name="Normal 28 3 3 2 4 2" xfId="46424" xr:uid="{00000000-0005-0000-0000-0000266F0000}"/>
    <cellStyle name="Normal 28 3 3 2 5" xfId="32862" xr:uid="{00000000-0005-0000-0000-0000276F0000}"/>
    <cellStyle name="Normal 28 3 3 3" xfId="9102" xr:uid="{00000000-0005-0000-0000-0000286F0000}"/>
    <cellStyle name="Normal 28 3 3 3 2" xfId="15892" xr:uid="{00000000-0005-0000-0000-0000296F0000}"/>
    <cellStyle name="Normal 28 3 3 3 2 2" xfId="29460" xr:uid="{00000000-0005-0000-0000-00002A6F0000}"/>
    <cellStyle name="Normal 28 3 3 3 2 2 2" xfId="56593" xr:uid="{00000000-0005-0000-0000-00002B6F0000}"/>
    <cellStyle name="Normal 28 3 3 3 2 3" xfId="43031" xr:uid="{00000000-0005-0000-0000-00002C6F0000}"/>
    <cellStyle name="Normal 28 3 3 3 3" xfId="22679" xr:uid="{00000000-0005-0000-0000-00002D6F0000}"/>
    <cellStyle name="Normal 28 3 3 3 3 2" xfId="49812" xr:uid="{00000000-0005-0000-0000-00002E6F0000}"/>
    <cellStyle name="Normal 28 3 3 3 4" xfId="36250" xr:uid="{00000000-0005-0000-0000-00002F6F0000}"/>
    <cellStyle name="Normal 28 3 3 4" xfId="12503" xr:uid="{00000000-0005-0000-0000-0000306F0000}"/>
    <cellStyle name="Normal 28 3 3 4 2" xfId="26071" xr:uid="{00000000-0005-0000-0000-0000316F0000}"/>
    <cellStyle name="Normal 28 3 3 4 2 2" xfId="53204" xr:uid="{00000000-0005-0000-0000-0000326F0000}"/>
    <cellStyle name="Normal 28 3 3 4 3" xfId="39642" xr:uid="{00000000-0005-0000-0000-0000336F0000}"/>
    <cellStyle name="Normal 28 3 3 5" xfId="19290" xr:uid="{00000000-0005-0000-0000-0000346F0000}"/>
    <cellStyle name="Normal 28 3 3 5 2" xfId="46423" xr:uid="{00000000-0005-0000-0000-0000356F0000}"/>
    <cellStyle name="Normal 28 3 3 6" xfId="32861" xr:uid="{00000000-0005-0000-0000-0000366F0000}"/>
    <cellStyle name="Normal 28 3 4" xfId="5558" xr:uid="{00000000-0005-0000-0000-0000376F0000}"/>
    <cellStyle name="Normal 28 3 4 2" xfId="9104" xr:uid="{00000000-0005-0000-0000-0000386F0000}"/>
    <cellStyle name="Normal 28 3 4 2 2" xfId="15894" xr:uid="{00000000-0005-0000-0000-0000396F0000}"/>
    <cellStyle name="Normal 28 3 4 2 2 2" xfId="29462" xr:uid="{00000000-0005-0000-0000-00003A6F0000}"/>
    <cellStyle name="Normal 28 3 4 2 2 2 2" xfId="56595" xr:uid="{00000000-0005-0000-0000-00003B6F0000}"/>
    <cellStyle name="Normal 28 3 4 2 2 3" xfId="43033" xr:uid="{00000000-0005-0000-0000-00003C6F0000}"/>
    <cellStyle name="Normal 28 3 4 2 3" xfId="22681" xr:uid="{00000000-0005-0000-0000-00003D6F0000}"/>
    <cellStyle name="Normal 28 3 4 2 3 2" xfId="49814" xr:uid="{00000000-0005-0000-0000-00003E6F0000}"/>
    <cellStyle name="Normal 28 3 4 2 4" xfId="36252" xr:uid="{00000000-0005-0000-0000-00003F6F0000}"/>
    <cellStyle name="Normal 28 3 4 3" xfId="12505" xr:uid="{00000000-0005-0000-0000-0000406F0000}"/>
    <cellStyle name="Normal 28 3 4 3 2" xfId="26073" xr:uid="{00000000-0005-0000-0000-0000416F0000}"/>
    <cellStyle name="Normal 28 3 4 3 2 2" xfId="53206" xr:uid="{00000000-0005-0000-0000-0000426F0000}"/>
    <cellStyle name="Normal 28 3 4 3 3" xfId="39644" xr:uid="{00000000-0005-0000-0000-0000436F0000}"/>
    <cellStyle name="Normal 28 3 4 4" xfId="19292" xr:uid="{00000000-0005-0000-0000-0000446F0000}"/>
    <cellStyle name="Normal 28 3 4 4 2" xfId="46425" xr:uid="{00000000-0005-0000-0000-0000456F0000}"/>
    <cellStyle name="Normal 28 3 4 5" xfId="32863" xr:uid="{00000000-0005-0000-0000-0000466F0000}"/>
    <cellStyle name="Normal 28 3 5" xfId="5559" xr:uid="{00000000-0005-0000-0000-0000476F0000}"/>
    <cellStyle name="Normal 28 3 5 2" xfId="9105" xr:uid="{00000000-0005-0000-0000-0000486F0000}"/>
    <cellStyle name="Normal 28 3 5 2 2" xfId="15895" xr:uid="{00000000-0005-0000-0000-0000496F0000}"/>
    <cellStyle name="Normal 28 3 5 2 2 2" xfId="29463" xr:uid="{00000000-0005-0000-0000-00004A6F0000}"/>
    <cellStyle name="Normal 28 3 5 2 2 2 2" xfId="56596" xr:uid="{00000000-0005-0000-0000-00004B6F0000}"/>
    <cellStyle name="Normal 28 3 5 2 2 3" xfId="43034" xr:uid="{00000000-0005-0000-0000-00004C6F0000}"/>
    <cellStyle name="Normal 28 3 5 2 3" xfId="22682" xr:uid="{00000000-0005-0000-0000-00004D6F0000}"/>
    <cellStyle name="Normal 28 3 5 2 3 2" xfId="49815" xr:uid="{00000000-0005-0000-0000-00004E6F0000}"/>
    <cellStyle name="Normal 28 3 5 2 4" xfId="36253" xr:uid="{00000000-0005-0000-0000-00004F6F0000}"/>
    <cellStyle name="Normal 28 3 5 3" xfId="12506" xr:uid="{00000000-0005-0000-0000-0000506F0000}"/>
    <cellStyle name="Normal 28 3 5 3 2" xfId="26074" xr:uid="{00000000-0005-0000-0000-0000516F0000}"/>
    <cellStyle name="Normal 28 3 5 3 2 2" xfId="53207" xr:uid="{00000000-0005-0000-0000-0000526F0000}"/>
    <cellStyle name="Normal 28 3 5 3 3" xfId="39645" xr:uid="{00000000-0005-0000-0000-0000536F0000}"/>
    <cellStyle name="Normal 28 3 5 4" xfId="19293" xr:uid="{00000000-0005-0000-0000-0000546F0000}"/>
    <cellStyle name="Normal 28 3 5 4 2" xfId="46426" xr:uid="{00000000-0005-0000-0000-0000556F0000}"/>
    <cellStyle name="Normal 28 3 5 5" xfId="32864" xr:uid="{00000000-0005-0000-0000-0000566F0000}"/>
    <cellStyle name="Normal 28 3 6" xfId="9098" xr:uid="{00000000-0005-0000-0000-0000576F0000}"/>
    <cellStyle name="Normal 28 3 6 2" xfId="15888" xr:uid="{00000000-0005-0000-0000-0000586F0000}"/>
    <cellStyle name="Normal 28 3 6 2 2" xfId="29456" xr:uid="{00000000-0005-0000-0000-0000596F0000}"/>
    <cellStyle name="Normal 28 3 6 2 2 2" xfId="56589" xr:uid="{00000000-0005-0000-0000-00005A6F0000}"/>
    <cellStyle name="Normal 28 3 6 2 3" xfId="43027" xr:uid="{00000000-0005-0000-0000-00005B6F0000}"/>
    <cellStyle name="Normal 28 3 6 3" xfId="22675" xr:uid="{00000000-0005-0000-0000-00005C6F0000}"/>
    <cellStyle name="Normal 28 3 6 3 2" xfId="49808" xr:uid="{00000000-0005-0000-0000-00005D6F0000}"/>
    <cellStyle name="Normal 28 3 6 4" xfId="36246" xr:uid="{00000000-0005-0000-0000-00005E6F0000}"/>
    <cellStyle name="Normal 28 3 7" xfId="12499" xr:uid="{00000000-0005-0000-0000-00005F6F0000}"/>
    <cellStyle name="Normal 28 3 7 2" xfId="26067" xr:uid="{00000000-0005-0000-0000-0000606F0000}"/>
    <cellStyle name="Normal 28 3 7 2 2" xfId="53200" xr:uid="{00000000-0005-0000-0000-0000616F0000}"/>
    <cellStyle name="Normal 28 3 7 3" xfId="39638" xr:uid="{00000000-0005-0000-0000-0000626F0000}"/>
    <cellStyle name="Normal 28 3 8" xfId="19286" xr:uid="{00000000-0005-0000-0000-0000636F0000}"/>
    <cellStyle name="Normal 28 3 8 2" xfId="46419" xr:uid="{00000000-0005-0000-0000-0000646F0000}"/>
    <cellStyle name="Normal 28 3 9" xfId="32857" xr:uid="{00000000-0005-0000-0000-0000656F0000}"/>
    <cellStyle name="Normal 28 4" xfId="5560" xr:uid="{00000000-0005-0000-0000-0000666F0000}"/>
    <cellStyle name="Normal 28 5" xfId="5561" xr:uid="{00000000-0005-0000-0000-0000676F0000}"/>
    <cellStyle name="Normal 28 5 2" xfId="5562" xr:uid="{00000000-0005-0000-0000-0000686F0000}"/>
    <cellStyle name="Normal 28 5 2 2" xfId="5563" xr:uid="{00000000-0005-0000-0000-0000696F0000}"/>
    <cellStyle name="Normal 28 5 2 2 2" xfId="9108" xr:uid="{00000000-0005-0000-0000-00006A6F0000}"/>
    <cellStyle name="Normal 28 5 2 2 2 2" xfId="15898" xr:uid="{00000000-0005-0000-0000-00006B6F0000}"/>
    <cellStyle name="Normal 28 5 2 2 2 2 2" xfId="29466" xr:uid="{00000000-0005-0000-0000-00006C6F0000}"/>
    <cellStyle name="Normal 28 5 2 2 2 2 2 2" xfId="56599" xr:uid="{00000000-0005-0000-0000-00006D6F0000}"/>
    <cellStyle name="Normal 28 5 2 2 2 2 3" xfId="43037" xr:uid="{00000000-0005-0000-0000-00006E6F0000}"/>
    <cellStyle name="Normal 28 5 2 2 2 3" xfId="22685" xr:uid="{00000000-0005-0000-0000-00006F6F0000}"/>
    <cellStyle name="Normal 28 5 2 2 2 3 2" xfId="49818" xr:uid="{00000000-0005-0000-0000-0000706F0000}"/>
    <cellStyle name="Normal 28 5 2 2 2 4" xfId="36256" xr:uid="{00000000-0005-0000-0000-0000716F0000}"/>
    <cellStyle name="Normal 28 5 2 2 3" xfId="12509" xr:uid="{00000000-0005-0000-0000-0000726F0000}"/>
    <cellStyle name="Normal 28 5 2 2 3 2" xfId="26077" xr:uid="{00000000-0005-0000-0000-0000736F0000}"/>
    <cellStyle name="Normal 28 5 2 2 3 2 2" xfId="53210" xr:uid="{00000000-0005-0000-0000-0000746F0000}"/>
    <cellStyle name="Normal 28 5 2 2 3 3" xfId="39648" xr:uid="{00000000-0005-0000-0000-0000756F0000}"/>
    <cellStyle name="Normal 28 5 2 2 4" xfId="19296" xr:uid="{00000000-0005-0000-0000-0000766F0000}"/>
    <cellStyle name="Normal 28 5 2 2 4 2" xfId="46429" xr:uid="{00000000-0005-0000-0000-0000776F0000}"/>
    <cellStyle name="Normal 28 5 2 2 5" xfId="32867" xr:uid="{00000000-0005-0000-0000-0000786F0000}"/>
    <cellStyle name="Normal 28 5 2 3" xfId="5564" xr:uid="{00000000-0005-0000-0000-0000796F0000}"/>
    <cellStyle name="Normal 28 5 2 3 2" xfId="9109" xr:uid="{00000000-0005-0000-0000-00007A6F0000}"/>
    <cellStyle name="Normal 28 5 2 3 2 2" xfId="15899" xr:uid="{00000000-0005-0000-0000-00007B6F0000}"/>
    <cellStyle name="Normal 28 5 2 3 2 2 2" xfId="29467" xr:uid="{00000000-0005-0000-0000-00007C6F0000}"/>
    <cellStyle name="Normal 28 5 2 3 2 2 2 2" xfId="56600" xr:uid="{00000000-0005-0000-0000-00007D6F0000}"/>
    <cellStyle name="Normal 28 5 2 3 2 2 3" xfId="43038" xr:uid="{00000000-0005-0000-0000-00007E6F0000}"/>
    <cellStyle name="Normal 28 5 2 3 2 3" xfId="22686" xr:uid="{00000000-0005-0000-0000-00007F6F0000}"/>
    <cellStyle name="Normal 28 5 2 3 2 3 2" xfId="49819" xr:uid="{00000000-0005-0000-0000-0000806F0000}"/>
    <cellStyle name="Normal 28 5 2 3 2 4" xfId="36257" xr:uid="{00000000-0005-0000-0000-0000816F0000}"/>
    <cellStyle name="Normal 28 5 2 3 3" xfId="12510" xr:uid="{00000000-0005-0000-0000-0000826F0000}"/>
    <cellStyle name="Normal 28 5 2 3 3 2" xfId="26078" xr:uid="{00000000-0005-0000-0000-0000836F0000}"/>
    <cellStyle name="Normal 28 5 2 3 3 2 2" xfId="53211" xr:uid="{00000000-0005-0000-0000-0000846F0000}"/>
    <cellStyle name="Normal 28 5 2 3 3 3" xfId="39649" xr:uid="{00000000-0005-0000-0000-0000856F0000}"/>
    <cellStyle name="Normal 28 5 2 3 4" xfId="19297" xr:uid="{00000000-0005-0000-0000-0000866F0000}"/>
    <cellStyle name="Normal 28 5 2 3 4 2" xfId="46430" xr:uid="{00000000-0005-0000-0000-0000876F0000}"/>
    <cellStyle name="Normal 28 5 2 3 5" xfId="32868" xr:uid="{00000000-0005-0000-0000-0000886F0000}"/>
    <cellStyle name="Normal 28 5 2 4" xfId="9107" xr:uid="{00000000-0005-0000-0000-0000896F0000}"/>
    <cellStyle name="Normal 28 5 2 4 2" xfId="15897" xr:uid="{00000000-0005-0000-0000-00008A6F0000}"/>
    <cellStyle name="Normal 28 5 2 4 2 2" xfId="29465" xr:uid="{00000000-0005-0000-0000-00008B6F0000}"/>
    <cellStyle name="Normal 28 5 2 4 2 2 2" xfId="56598" xr:uid="{00000000-0005-0000-0000-00008C6F0000}"/>
    <cellStyle name="Normal 28 5 2 4 2 3" xfId="43036" xr:uid="{00000000-0005-0000-0000-00008D6F0000}"/>
    <cellStyle name="Normal 28 5 2 4 3" xfId="22684" xr:uid="{00000000-0005-0000-0000-00008E6F0000}"/>
    <cellStyle name="Normal 28 5 2 4 3 2" xfId="49817" xr:uid="{00000000-0005-0000-0000-00008F6F0000}"/>
    <cellStyle name="Normal 28 5 2 4 4" xfId="36255" xr:uid="{00000000-0005-0000-0000-0000906F0000}"/>
    <cellStyle name="Normal 28 5 2 5" xfId="12508" xr:uid="{00000000-0005-0000-0000-0000916F0000}"/>
    <cellStyle name="Normal 28 5 2 5 2" xfId="26076" xr:uid="{00000000-0005-0000-0000-0000926F0000}"/>
    <cellStyle name="Normal 28 5 2 5 2 2" xfId="53209" xr:uid="{00000000-0005-0000-0000-0000936F0000}"/>
    <cellStyle name="Normal 28 5 2 5 3" xfId="39647" xr:uid="{00000000-0005-0000-0000-0000946F0000}"/>
    <cellStyle name="Normal 28 5 2 6" xfId="19295" xr:uid="{00000000-0005-0000-0000-0000956F0000}"/>
    <cellStyle name="Normal 28 5 2 6 2" xfId="46428" xr:uid="{00000000-0005-0000-0000-0000966F0000}"/>
    <cellStyle name="Normal 28 5 2 7" xfId="32866" xr:uid="{00000000-0005-0000-0000-0000976F0000}"/>
    <cellStyle name="Normal 28 5 3" xfId="5565" xr:uid="{00000000-0005-0000-0000-0000986F0000}"/>
    <cellStyle name="Normal 28 5 3 2" xfId="9110" xr:uid="{00000000-0005-0000-0000-0000996F0000}"/>
    <cellStyle name="Normal 28 5 3 2 2" xfId="15900" xr:uid="{00000000-0005-0000-0000-00009A6F0000}"/>
    <cellStyle name="Normal 28 5 3 2 2 2" xfId="29468" xr:uid="{00000000-0005-0000-0000-00009B6F0000}"/>
    <cellStyle name="Normal 28 5 3 2 2 2 2" xfId="56601" xr:uid="{00000000-0005-0000-0000-00009C6F0000}"/>
    <cellStyle name="Normal 28 5 3 2 2 3" xfId="43039" xr:uid="{00000000-0005-0000-0000-00009D6F0000}"/>
    <cellStyle name="Normal 28 5 3 2 3" xfId="22687" xr:uid="{00000000-0005-0000-0000-00009E6F0000}"/>
    <cellStyle name="Normal 28 5 3 2 3 2" xfId="49820" xr:uid="{00000000-0005-0000-0000-00009F6F0000}"/>
    <cellStyle name="Normal 28 5 3 2 4" xfId="36258" xr:uid="{00000000-0005-0000-0000-0000A06F0000}"/>
    <cellStyle name="Normal 28 5 3 3" xfId="12511" xr:uid="{00000000-0005-0000-0000-0000A16F0000}"/>
    <cellStyle name="Normal 28 5 3 3 2" xfId="26079" xr:uid="{00000000-0005-0000-0000-0000A26F0000}"/>
    <cellStyle name="Normal 28 5 3 3 2 2" xfId="53212" xr:uid="{00000000-0005-0000-0000-0000A36F0000}"/>
    <cellStyle name="Normal 28 5 3 3 3" xfId="39650" xr:uid="{00000000-0005-0000-0000-0000A46F0000}"/>
    <cellStyle name="Normal 28 5 3 4" xfId="19298" xr:uid="{00000000-0005-0000-0000-0000A56F0000}"/>
    <cellStyle name="Normal 28 5 3 4 2" xfId="46431" xr:uid="{00000000-0005-0000-0000-0000A66F0000}"/>
    <cellStyle name="Normal 28 5 3 5" xfId="32869" xr:uid="{00000000-0005-0000-0000-0000A76F0000}"/>
    <cellStyle name="Normal 28 5 4" xfId="5566" xr:uid="{00000000-0005-0000-0000-0000A86F0000}"/>
    <cellStyle name="Normal 28 5 4 2" xfId="9111" xr:uid="{00000000-0005-0000-0000-0000A96F0000}"/>
    <cellStyle name="Normal 28 5 4 2 2" xfId="15901" xr:uid="{00000000-0005-0000-0000-0000AA6F0000}"/>
    <cellStyle name="Normal 28 5 4 2 2 2" xfId="29469" xr:uid="{00000000-0005-0000-0000-0000AB6F0000}"/>
    <cellStyle name="Normal 28 5 4 2 2 2 2" xfId="56602" xr:uid="{00000000-0005-0000-0000-0000AC6F0000}"/>
    <cellStyle name="Normal 28 5 4 2 2 3" xfId="43040" xr:uid="{00000000-0005-0000-0000-0000AD6F0000}"/>
    <cellStyle name="Normal 28 5 4 2 3" xfId="22688" xr:uid="{00000000-0005-0000-0000-0000AE6F0000}"/>
    <cellStyle name="Normal 28 5 4 2 3 2" xfId="49821" xr:uid="{00000000-0005-0000-0000-0000AF6F0000}"/>
    <cellStyle name="Normal 28 5 4 2 4" xfId="36259" xr:uid="{00000000-0005-0000-0000-0000B06F0000}"/>
    <cellStyle name="Normal 28 5 4 3" xfId="12512" xr:uid="{00000000-0005-0000-0000-0000B16F0000}"/>
    <cellStyle name="Normal 28 5 4 3 2" xfId="26080" xr:uid="{00000000-0005-0000-0000-0000B26F0000}"/>
    <cellStyle name="Normal 28 5 4 3 2 2" xfId="53213" xr:uid="{00000000-0005-0000-0000-0000B36F0000}"/>
    <cellStyle name="Normal 28 5 4 3 3" xfId="39651" xr:uid="{00000000-0005-0000-0000-0000B46F0000}"/>
    <cellStyle name="Normal 28 5 4 4" xfId="19299" xr:uid="{00000000-0005-0000-0000-0000B56F0000}"/>
    <cellStyle name="Normal 28 5 4 4 2" xfId="46432" xr:uid="{00000000-0005-0000-0000-0000B66F0000}"/>
    <cellStyle name="Normal 28 5 4 5" xfId="32870" xr:uid="{00000000-0005-0000-0000-0000B76F0000}"/>
    <cellStyle name="Normal 28 5 5" xfId="9106" xr:uid="{00000000-0005-0000-0000-0000B86F0000}"/>
    <cellStyle name="Normal 28 5 5 2" xfId="15896" xr:uid="{00000000-0005-0000-0000-0000B96F0000}"/>
    <cellStyle name="Normal 28 5 5 2 2" xfId="29464" xr:uid="{00000000-0005-0000-0000-0000BA6F0000}"/>
    <cellStyle name="Normal 28 5 5 2 2 2" xfId="56597" xr:uid="{00000000-0005-0000-0000-0000BB6F0000}"/>
    <cellStyle name="Normal 28 5 5 2 3" xfId="43035" xr:uid="{00000000-0005-0000-0000-0000BC6F0000}"/>
    <cellStyle name="Normal 28 5 5 3" xfId="22683" xr:uid="{00000000-0005-0000-0000-0000BD6F0000}"/>
    <cellStyle name="Normal 28 5 5 3 2" xfId="49816" xr:uid="{00000000-0005-0000-0000-0000BE6F0000}"/>
    <cellStyle name="Normal 28 5 5 4" xfId="36254" xr:uid="{00000000-0005-0000-0000-0000BF6F0000}"/>
    <cellStyle name="Normal 28 5 6" xfId="12507" xr:uid="{00000000-0005-0000-0000-0000C06F0000}"/>
    <cellStyle name="Normal 28 5 6 2" xfId="26075" xr:uid="{00000000-0005-0000-0000-0000C16F0000}"/>
    <cellStyle name="Normal 28 5 6 2 2" xfId="53208" xr:uid="{00000000-0005-0000-0000-0000C26F0000}"/>
    <cellStyle name="Normal 28 5 6 3" xfId="39646" xr:uid="{00000000-0005-0000-0000-0000C36F0000}"/>
    <cellStyle name="Normal 28 5 7" xfId="19294" xr:uid="{00000000-0005-0000-0000-0000C46F0000}"/>
    <cellStyle name="Normal 28 5 7 2" xfId="46427" xr:uid="{00000000-0005-0000-0000-0000C56F0000}"/>
    <cellStyle name="Normal 28 5 8" xfId="32865" xr:uid="{00000000-0005-0000-0000-0000C66F0000}"/>
    <cellStyle name="Normal 28 6" xfId="5567" xr:uid="{00000000-0005-0000-0000-0000C76F0000}"/>
    <cellStyle name="Normal 28 6 2" xfId="5568" xr:uid="{00000000-0005-0000-0000-0000C86F0000}"/>
    <cellStyle name="Normal 28 6 2 2" xfId="9113" xr:uid="{00000000-0005-0000-0000-0000C96F0000}"/>
    <cellStyle name="Normal 28 6 2 2 2" xfId="15903" xr:uid="{00000000-0005-0000-0000-0000CA6F0000}"/>
    <cellStyle name="Normal 28 6 2 2 2 2" xfId="29471" xr:uid="{00000000-0005-0000-0000-0000CB6F0000}"/>
    <cellStyle name="Normal 28 6 2 2 2 2 2" xfId="56604" xr:uid="{00000000-0005-0000-0000-0000CC6F0000}"/>
    <cellStyle name="Normal 28 6 2 2 2 3" xfId="43042" xr:uid="{00000000-0005-0000-0000-0000CD6F0000}"/>
    <cellStyle name="Normal 28 6 2 2 3" xfId="22690" xr:uid="{00000000-0005-0000-0000-0000CE6F0000}"/>
    <cellStyle name="Normal 28 6 2 2 3 2" xfId="49823" xr:uid="{00000000-0005-0000-0000-0000CF6F0000}"/>
    <cellStyle name="Normal 28 6 2 2 4" xfId="36261" xr:uid="{00000000-0005-0000-0000-0000D06F0000}"/>
    <cellStyle name="Normal 28 6 2 3" xfId="12514" xr:uid="{00000000-0005-0000-0000-0000D16F0000}"/>
    <cellStyle name="Normal 28 6 2 3 2" xfId="26082" xr:uid="{00000000-0005-0000-0000-0000D26F0000}"/>
    <cellStyle name="Normal 28 6 2 3 2 2" xfId="53215" xr:uid="{00000000-0005-0000-0000-0000D36F0000}"/>
    <cellStyle name="Normal 28 6 2 3 3" xfId="39653" xr:uid="{00000000-0005-0000-0000-0000D46F0000}"/>
    <cellStyle name="Normal 28 6 2 4" xfId="19301" xr:uid="{00000000-0005-0000-0000-0000D56F0000}"/>
    <cellStyle name="Normal 28 6 2 4 2" xfId="46434" xr:uid="{00000000-0005-0000-0000-0000D66F0000}"/>
    <cellStyle name="Normal 28 6 2 5" xfId="32872" xr:uid="{00000000-0005-0000-0000-0000D76F0000}"/>
    <cellStyle name="Normal 28 6 3" xfId="5569" xr:uid="{00000000-0005-0000-0000-0000D86F0000}"/>
    <cellStyle name="Normal 28 6 4" xfId="9112" xr:uid="{00000000-0005-0000-0000-0000D96F0000}"/>
    <cellStyle name="Normal 28 6 4 2" xfId="15902" xr:uid="{00000000-0005-0000-0000-0000DA6F0000}"/>
    <cellStyle name="Normal 28 6 4 2 2" xfId="29470" xr:uid="{00000000-0005-0000-0000-0000DB6F0000}"/>
    <cellStyle name="Normal 28 6 4 2 2 2" xfId="56603" xr:uid="{00000000-0005-0000-0000-0000DC6F0000}"/>
    <cellStyle name="Normal 28 6 4 2 3" xfId="43041" xr:uid="{00000000-0005-0000-0000-0000DD6F0000}"/>
    <cellStyle name="Normal 28 6 4 3" xfId="22689" xr:uid="{00000000-0005-0000-0000-0000DE6F0000}"/>
    <cellStyle name="Normal 28 6 4 3 2" xfId="49822" xr:uid="{00000000-0005-0000-0000-0000DF6F0000}"/>
    <cellStyle name="Normal 28 6 4 4" xfId="36260" xr:uid="{00000000-0005-0000-0000-0000E06F0000}"/>
    <cellStyle name="Normal 28 6 5" xfId="12513" xr:uid="{00000000-0005-0000-0000-0000E16F0000}"/>
    <cellStyle name="Normal 28 6 5 2" xfId="26081" xr:uid="{00000000-0005-0000-0000-0000E26F0000}"/>
    <cellStyle name="Normal 28 6 5 2 2" xfId="53214" xr:uid="{00000000-0005-0000-0000-0000E36F0000}"/>
    <cellStyle name="Normal 28 6 5 3" xfId="39652" xr:uid="{00000000-0005-0000-0000-0000E46F0000}"/>
    <cellStyle name="Normal 28 6 6" xfId="19300" xr:uid="{00000000-0005-0000-0000-0000E56F0000}"/>
    <cellStyle name="Normal 28 6 6 2" xfId="46433" xr:uid="{00000000-0005-0000-0000-0000E66F0000}"/>
    <cellStyle name="Normal 28 6 7" xfId="32871" xr:uid="{00000000-0005-0000-0000-0000E76F0000}"/>
    <cellStyle name="Normal 28 7" xfId="5570" xr:uid="{00000000-0005-0000-0000-0000E86F0000}"/>
    <cellStyle name="Normal 28 7 2" xfId="9114" xr:uid="{00000000-0005-0000-0000-0000E96F0000}"/>
    <cellStyle name="Normal 28 7 2 2" xfId="15904" xr:uid="{00000000-0005-0000-0000-0000EA6F0000}"/>
    <cellStyle name="Normal 28 7 2 2 2" xfId="29472" xr:uid="{00000000-0005-0000-0000-0000EB6F0000}"/>
    <cellStyle name="Normal 28 7 2 2 2 2" xfId="56605" xr:uid="{00000000-0005-0000-0000-0000EC6F0000}"/>
    <cellStyle name="Normal 28 7 2 2 3" xfId="43043" xr:uid="{00000000-0005-0000-0000-0000ED6F0000}"/>
    <cellStyle name="Normal 28 7 2 3" xfId="22691" xr:uid="{00000000-0005-0000-0000-0000EE6F0000}"/>
    <cellStyle name="Normal 28 7 2 3 2" xfId="49824" xr:uid="{00000000-0005-0000-0000-0000EF6F0000}"/>
    <cellStyle name="Normal 28 7 2 4" xfId="36262" xr:uid="{00000000-0005-0000-0000-0000F06F0000}"/>
    <cellStyle name="Normal 28 7 3" xfId="12515" xr:uid="{00000000-0005-0000-0000-0000F16F0000}"/>
    <cellStyle name="Normal 28 7 3 2" xfId="26083" xr:uid="{00000000-0005-0000-0000-0000F26F0000}"/>
    <cellStyle name="Normal 28 7 3 2 2" xfId="53216" xr:uid="{00000000-0005-0000-0000-0000F36F0000}"/>
    <cellStyle name="Normal 28 7 3 3" xfId="39654" xr:uid="{00000000-0005-0000-0000-0000F46F0000}"/>
    <cellStyle name="Normal 28 7 4" xfId="19302" xr:uid="{00000000-0005-0000-0000-0000F56F0000}"/>
    <cellStyle name="Normal 28 7 4 2" xfId="46435" xr:uid="{00000000-0005-0000-0000-0000F66F0000}"/>
    <cellStyle name="Normal 28 7 5" xfId="32873" xr:uid="{00000000-0005-0000-0000-0000F76F0000}"/>
    <cellStyle name="Normal 28 8" xfId="5571" xr:uid="{00000000-0005-0000-0000-0000F86F0000}"/>
    <cellStyle name="Normal 28 8 2" xfId="9115" xr:uid="{00000000-0005-0000-0000-0000F96F0000}"/>
    <cellStyle name="Normal 28 8 2 2" xfId="15905" xr:uid="{00000000-0005-0000-0000-0000FA6F0000}"/>
    <cellStyle name="Normal 28 8 2 2 2" xfId="29473" xr:uid="{00000000-0005-0000-0000-0000FB6F0000}"/>
    <cellStyle name="Normal 28 8 2 2 2 2" xfId="56606" xr:uid="{00000000-0005-0000-0000-0000FC6F0000}"/>
    <cellStyle name="Normal 28 8 2 2 3" xfId="43044" xr:uid="{00000000-0005-0000-0000-0000FD6F0000}"/>
    <cellStyle name="Normal 28 8 2 3" xfId="22692" xr:uid="{00000000-0005-0000-0000-0000FE6F0000}"/>
    <cellStyle name="Normal 28 8 2 3 2" xfId="49825" xr:uid="{00000000-0005-0000-0000-0000FF6F0000}"/>
    <cellStyle name="Normal 28 8 2 4" xfId="36263" xr:uid="{00000000-0005-0000-0000-000000700000}"/>
    <cellStyle name="Normal 28 8 3" xfId="12516" xr:uid="{00000000-0005-0000-0000-000001700000}"/>
    <cellStyle name="Normal 28 8 3 2" xfId="26084" xr:uid="{00000000-0005-0000-0000-000002700000}"/>
    <cellStyle name="Normal 28 8 3 2 2" xfId="53217" xr:uid="{00000000-0005-0000-0000-000003700000}"/>
    <cellStyle name="Normal 28 8 3 3" xfId="39655" xr:uid="{00000000-0005-0000-0000-000004700000}"/>
    <cellStyle name="Normal 28 8 4" xfId="19303" xr:uid="{00000000-0005-0000-0000-000005700000}"/>
    <cellStyle name="Normal 28 8 4 2" xfId="46436" xr:uid="{00000000-0005-0000-0000-000006700000}"/>
    <cellStyle name="Normal 28 8 5" xfId="32874" xr:uid="{00000000-0005-0000-0000-000007700000}"/>
    <cellStyle name="Normal 29" xfId="2659" xr:uid="{00000000-0005-0000-0000-000008700000}"/>
    <cellStyle name="Normal 29 2" xfId="5572" xr:uid="{00000000-0005-0000-0000-000009700000}"/>
    <cellStyle name="Normal 29 2 2" xfId="5573" xr:uid="{00000000-0005-0000-0000-00000A700000}"/>
    <cellStyle name="Normal 29 2 2 2" xfId="5574" xr:uid="{00000000-0005-0000-0000-00000B700000}"/>
    <cellStyle name="Normal 29 2 2 2 2" xfId="9118" xr:uid="{00000000-0005-0000-0000-00000C700000}"/>
    <cellStyle name="Normal 29 2 2 2 2 2" xfId="15908" xr:uid="{00000000-0005-0000-0000-00000D700000}"/>
    <cellStyle name="Normal 29 2 2 2 2 2 2" xfId="29476" xr:uid="{00000000-0005-0000-0000-00000E700000}"/>
    <cellStyle name="Normal 29 2 2 2 2 2 2 2" xfId="56609" xr:uid="{00000000-0005-0000-0000-00000F700000}"/>
    <cellStyle name="Normal 29 2 2 2 2 2 3" xfId="43047" xr:uid="{00000000-0005-0000-0000-000010700000}"/>
    <cellStyle name="Normal 29 2 2 2 2 3" xfId="22695" xr:uid="{00000000-0005-0000-0000-000011700000}"/>
    <cellStyle name="Normal 29 2 2 2 2 3 2" xfId="49828" xr:uid="{00000000-0005-0000-0000-000012700000}"/>
    <cellStyle name="Normal 29 2 2 2 2 4" xfId="36266" xr:uid="{00000000-0005-0000-0000-000013700000}"/>
    <cellStyle name="Normal 29 2 2 2 3" xfId="12519" xr:uid="{00000000-0005-0000-0000-000014700000}"/>
    <cellStyle name="Normal 29 2 2 2 3 2" xfId="26087" xr:uid="{00000000-0005-0000-0000-000015700000}"/>
    <cellStyle name="Normal 29 2 2 2 3 2 2" xfId="53220" xr:uid="{00000000-0005-0000-0000-000016700000}"/>
    <cellStyle name="Normal 29 2 2 2 3 3" xfId="39658" xr:uid="{00000000-0005-0000-0000-000017700000}"/>
    <cellStyle name="Normal 29 2 2 2 4" xfId="19306" xr:uid="{00000000-0005-0000-0000-000018700000}"/>
    <cellStyle name="Normal 29 2 2 2 4 2" xfId="46439" xr:uid="{00000000-0005-0000-0000-000019700000}"/>
    <cellStyle name="Normal 29 2 2 2 5" xfId="32877" xr:uid="{00000000-0005-0000-0000-00001A700000}"/>
    <cellStyle name="Normal 29 2 2 3" xfId="5575" xr:uid="{00000000-0005-0000-0000-00001B700000}"/>
    <cellStyle name="Normal 29 2 2 3 2" xfId="9119" xr:uid="{00000000-0005-0000-0000-00001C700000}"/>
    <cellStyle name="Normal 29 2 2 3 2 2" xfId="15909" xr:uid="{00000000-0005-0000-0000-00001D700000}"/>
    <cellStyle name="Normal 29 2 2 3 2 2 2" xfId="29477" xr:uid="{00000000-0005-0000-0000-00001E700000}"/>
    <cellStyle name="Normal 29 2 2 3 2 2 2 2" xfId="56610" xr:uid="{00000000-0005-0000-0000-00001F700000}"/>
    <cellStyle name="Normal 29 2 2 3 2 2 3" xfId="43048" xr:uid="{00000000-0005-0000-0000-000020700000}"/>
    <cellStyle name="Normal 29 2 2 3 2 3" xfId="22696" xr:uid="{00000000-0005-0000-0000-000021700000}"/>
    <cellStyle name="Normal 29 2 2 3 2 3 2" xfId="49829" xr:uid="{00000000-0005-0000-0000-000022700000}"/>
    <cellStyle name="Normal 29 2 2 3 2 4" xfId="36267" xr:uid="{00000000-0005-0000-0000-000023700000}"/>
    <cellStyle name="Normal 29 2 2 3 3" xfId="12520" xr:uid="{00000000-0005-0000-0000-000024700000}"/>
    <cellStyle name="Normal 29 2 2 3 3 2" xfId="26088" xr:uid="{00000000-0005-0000-0000-000025700000}"/>
    <cellStyle name="Normal 29 2 2 3 3 2 2" xfId="53221" xr:uid="{00000000-0005-0000-0000-000026700000}"/>
    <cellStyle name="Normal 29 2 2 3 3 3" xfId="39659" xr:uid="{00000000-0005-0000-0000-000027700000}"/>
    <cellStyle name="Normal 29 2 2 3 4" xfId="19307" xr:uid="{00000000-0005-0000-0000-000028700000}"/>
    <cellStyle name="Normal 29 2 2 3 4 2" xfId="46440" xr:uid="{00000000-0005-0000-0000-000029700000}"/>
    <cellStyle name="Normal 29 2 2 3 5" xfId="32878" xr:uid="{00000000-0005-0000-0000-00002A700000}"/>
    <cellStyle name="Normal 29 2 2 4" xfId="9117" xr:uid="{00000000-0005-0000-0000-00002B700000}"/>
    <cellStyle name="Normal 29 2 2 4 2" xfId="15907" xr:uid="{00000000-0005-0000-0000-00002C700000}"/>
    <cellStyle name="Normal 29 2 2 4 2 2" xfId="29475" xr:uid="{00000000-0005-0000-0000-00002D700000}"/>
    <cellStyle name="Normal 29 2 2 4 2 2 2" xfId="56608" xr:uid="{00000000-0005-0000-0000-00002E700000}"/>
    <cellStyle name="Normal 29 2 2 4 2 3" xfId="43046" xr:uid="{00000000-0005-0000-0000-00002F700000}"/>
    <cellStyle name="Normal 29 2 2 4 3" xfId="22694" xr:uid="{00000000-0005-0000-0000-000030700000}"/>
    <cellStyle name="Normal 29 2 2 4 3 2" xfId="49827" xr:uid="{00000000-0005-0000-0000-000031700000}"/>
    <cellStyle name="Normal 29 2 2 4 4" xfId="36265" xr:uid="{00000000-0005-0000-0000-000032700000}"/>
    <cellStyle name="Normal 29 2 2 5" xfId="12518" xr:uid="{00000000-0005-0000-0000-000033700000}"/>
    <cellStyle name="Normal 29 2 2 5 2" xfId="26086" xr:uid="{00000000-0005-0000-0000-000034700000}"/>
    <cellStyle name="Normal 29 2 2 5 2 2" xfId="53219" xr:uid="{00000000-0005-0000-0000-000035700000}"/>
    <cellStyle name="Normal 29 2 2 5 3" xfId="39657" xr:uid="{00000000-0005-0000-0000-000036700000}"/>
    <cellStyle name="Normal 29 2 2 6" xfId="19305" xr:uid="{00000000-0005-0000-0000-000037700000}"/>
    <cellStyle name="Normal 29 2 2 6 2" xfId="46438" xr:uid="{00000000-0005-0000-0000-000038700000}"/>
    <cellStyle name="Normal 29 2 2 7" xfId="32876" xr:uid="{00000000-0005-0000-0000-000039700000}"/>
    <cellStyle name="Normal 29 2 3" xfId="5576" xr:uid="{00000000-0005-0000-0000-00003A700000}"/>
    <cellStyle name="Normal 29 2 3 2" xfId="5577" xr:uid="{00000000-0005-0000-0000-00003B700000}"/>
    <cellStyle name="Normal 29 2 3 2 2" xfId="9121" xr:uid="{00000000-0005-0000-0000-00003C700000}"/>
    <cellStyle name="Normal 29 2 3 2 2 2" xfId="15911" xr:uid="{00000000-0005-0000-0000-00003D700000}"/>
    <cellStyle name="Normal 29 2 3 2 2 2 2" xfId="29479" xr:uid="{00000000-0005-0000-0000-00003E700000}"/>
    <cellStyle name="Normal 29 2 3 2 2 2 2 2" xfId="56612" xr:uid="{00000000-0005-0000-0000-00003F700000}"/>
    <cellStyle name="Normal 29 2 3 2 2 2 3" xfId="43050" xr:uid="{00000000-0005-0000-0000-000040700000}"/>
    <cellStyle name="Normal 29 2 3 2 2 3" xfId="22698" xr:uid="{00000000-0005-0000-0000-000041700000}"/>
    <cellStyle name="Normal 29 2 3 2 2 3 2" xfId="49831" xr:uid="{00000000-0005-0000-0000-000042700000}"/>
    <cellStyle name="Normal 29 2 3 2 2 4" xfId="36269" xr:uid="{00000000-0005-0000-0000-000043700000}"/>
    <cellStyle name="Normal 29 2 3 2 3" xfId="12522" xr:uid="{00000000-0005-0000-0000-000044700000}"/>
    <cellStyle name="Normal 29 2 3 2 3 2" xfId="26090" xr:uid="{00000000-0005-0000-0000-000045700000}"/>
    <cellStyle name="Normal 29 2 3 2 3 2 2" xfId="53223" xr:uid="{00000000-0005-0000-0000-000046700000}"/>
    <cellStyle name="Normal 29 2 3 2 3 3" xfId="39661" xr:uid="{00000000-0005-0000-0000-000047700000}"/>
    <cellStyle name="Normal 29 2 3 2 4" xfId="19309" xr:uid="{00000000-0005-0000-0000-000048700000}"/>
    <cellStyle name="Normal 29 2 3 2 4 2" xfId="46442" xr:uid="{00000000-0005-0000-0000-000049700000}"/>
    <cellStyle name="Normal 29 2 3 2 5" xfId="32880" xr:uid="{00000000-0005-0000-0000-00004A700000}"/>
    <cellStyle name="Normal 29 2 3 3" xfId="9120" xr:uid="{00000000-0005-0000-0000-00004B700000}"/>
    <cellStyle name="Normal 29 2 3 3 2" xfId="15910" xr:uid="{00000000-0005-0000-0000-00004C700000}"/>
    <cellStyle name="Normal 29 2 3 3 2 2" xfId="29478" xr:uid="{00000000-0005-0000-0000-00004D700000}"/>
    <cellStyle name="Normal 29 2 3 3 2 2 2" xfId="56611" xr:uid="{00000000-0005-0000-0000-00004E700000}"/>
    <cellStyle name="Normal 29 2 3 3 2 3" xfId="43049" xr:uid="{00000000-0005-0000-0000-00004F700000}"/>
    <cellStyle name="Normal 29 2 3 3 3" xfId="22697" xr:uid="{00000000-0005-0000-0000-000050700000}"/>
    <cellStyle name="Normal 29 2 3 3 3 2" xfId="49830" xr:uid="{00000000-0005-0000-0000-000051700000}"/>
    <cellStyle name="Normal 29 2 3 3 4" xfId="36268" xr:uid="{00000000-0005-0000-0000-000052700000}"/>
    <cellStyle name="Normal 29 2 3 4" xfId="12521" xr:uid="{00000000-0005-0000-0000-000053700000}"/>
    <cellStyle name="Normal 29 2 3 4 2" xfId="26089" xr:uid="{00000000-0005-0000-0000-000054700000}"/>
    <cellStyle name="Normal 29 2 3 4 2 2" xfId="53222" xr:uid="{00000000-0005-0000-0000-000055700000}"/>
    <cellStyle name="Normal 29 2 3 4 3" xfId="39660" xr:uid="{00000000-0005-0000-0000-000056700000}"/>
    <cellStyle name="Normal 29 2 3 5" xfId="19308" xr:uid="{00000000-0005-0000-0000-000057700000}"/>
    <cellStyle name="Normal 29 2 3 5 2" xfId="46441" xr:uid="{00000000-0005-0000-0000-000058700000}"/>
    <cellStyle name="Normal 29 2 3 6" xfId="32879" xr:uid="{00000000-0005-0000-0000-000059700000}"/>
    <cellStyle name="Normal 29 2 4" xfId="5578" xr:uid="{00000000-0005-0000-0000-00005A700000}"/>
    <cellStyle name="Normal 29 2 4 2" xfId="9122" xr:uid="{00000000-0005-0000-0000-00005B700000}"/>
    <cellStyle name="Normal 29 2 4 2 2" xfId="15912" xr:uid="{00000000-0005-0000-0000-00005C700000}"/>
    <cellStyle name="Normal 29 2 4 2 2 2" xfId="29480" xr:uid="{00000000-0005-0000-0000-00005D700000}"/>
    <cellStyle name="Normal 29 2 4 2 2 2 2" xfId="56613" xr:uid="{00000000-0005-0000-0000-00005E700000}"/>
    <cellStyle name="Normal 29 2 4 2 2 3" xfId="43051" xr:uid="{00000000-0005-0000-0000-00005F700000}"/>
    <cellStyle name="Normal 29 2 4 2 3" xfId="22699" xr:uid="{00000000-0005-0000-0000-000060700000}"/>
    <cellStyle name="Normal 29 2 4 2 3 2" xfId="49832" xr:uid="{00000000-0005-0000-0000-000061700000}"/>
    <cellStyle name="Normal 29 2 4 2 4" xfId="36270" xr:uid="{00000000-0005-0000-0000-000062700000}"/>
    <cellStyle name="Normal 29 2 4 3" xfId="12523" xr:uid="{00000000-0005-0000-0000-000063700000}"/>
    <cellStyle name="Normal 29 2 4 3 2" xfId="26091" xr:uid="{00000000-0005-0000-0000-000064700000}"/>
    <cellStyle name="Normal 29 2 4 3 2 2" xfId="53224" xr:uid="{00000000-0005-0000-0000-000065700000}"/>
    <cellStyle name="Normal 29 2 4 3 3" xfId="39662" xr:uid="{00000000-0005-0000-0000-000066700000}"/>
    <cellStyle name="Normal 29 2 4 4" xfId="19310" xr:uid="{00000000-0005-0000-0000-000067700000}"/>
    <cellStyle name="Normal 29 2 4 4 2" xfId="46443" xr:uid="{00000000-0005-0000-0000-000068700000}"/>
    <cellStyle name="Normal 29 2 4 5" xfId="32881" xr:uid="{00000000-0005-0000-0000-000069700000}"/>
    <cellStyle name="Normal 29 2 5" xfId="5579" xr:uid="{00000000-0005-0000-0000-00006A700000}"/>
    <cellStyle name="Normal 29 2 5 2" xfId="9123" xr:uid="{00000000-0005-0000-0000-00006B700000}"/>
    <cellStyle name="Normal 29 2 5 2 2" xfId="15913" xr:uid="{00000000-0005-0000-0000-00006C700000}"/>
    <cellStyle name="Normal 29 2 5 2 2 2" xfId="29481" xr:uid="{00000000-0005-0000-0000-00006D700000}"/>
    <cellStyle name="Normal 29 2 5 2 2 2 2" xfId="56614" xr:uid="{00000000-0005-0000-0000-00006E700000}"/>
    <cellStyle name="Normal 29 2 5 2 2 3" xfId="43052" xr:uid="{00000000-0005-0000-0000-00006F700000}"/>
    <cellStyle name="Normal 29 2 5 2 3" xfId="22700" xr:uid="{00000000-0005-0000-0000-000070700000}"/>
    <cellStyle name="Normal 29 2 5 2 3 2" xfId="49833" xr:uid="{00000000-0005-0000-0000-000071700000}"/>
    <cellStyle name="Normal 29 2 5 2 4" xfId="36271" xr:uid="{00000000-0005-0000-0000-000072700000}"/>
    <cellStyle name="Normal 29 2 5 3" xfId="12524" xr:uid="{00000000-0005-0000-0000-000073700000}"/>
    <cellStyle name="Normal 29 2 5 3 2" xfId="26092" xr:uid="{00000000-0005-0000-0000-000074700000}"/>
    <cellStyle name="Normal 29 2 5 3 2 2" xfId="53225" xr:uid="{00000000-0005-0000-0000-000075700000}"/>
    <cellStyle name="Normal 29 2 5 3 3" xfId="39663" xr:uid="{00000000-0005-0000-0000-000076700000}"/>
    <cellStyle name="Normal 29 2 5 4" xfId="19311" xr:uid="{00000000-0005-0000-0000-000077700000}"/>
    <cellStyle name="Normal 29 2 5 4 2" xfId="46444" xr:uid="{00000000-0005-0000-0000-000078700000}"/>
    <cellStyle name="Normal 29 2 5 5" xfId="32882" xr:uid="{00000000-0005-0000-0000-000079700000}"/>
    <cellStyle name="Normal 29 2 6" xfId="9116" xr:uid="{00000000-0005-0000-0000-00007A700000}"/>
    <cellStyle name="Normal 29 2 6 2" xfId="15906" xr:uid="{00000000-0005-0000-0000-00007B700000}"/>
    <cellStyle name="Normal 29 2 6 2 2" xfId="29474" xr:uid="{00000000-0005-0000-0000-00007C700000}"/>
    <cellStyle name="Normal 29 2 6 2 2 2" xfId="56607" xr:uid="{00000000-0005-0000-0000-00007D700000}"/>
    <cellStyle name="Normal 29 2 6 2 3" xfId="43045" xr:uid="{00000000-0005-0000-0000-00007E700000}"/>
    <cellStyle name="Normal 29 2 6 3" xfId="22693" xr:uid="{00000000-0005-0000-0000-00007F700000}"/>
    <cellStyle name="Normal 29 2 6 3 2" xfId="49826" xr:uid="{00000000-0005-0000-0000-000080700000}"/>
    <cellStyle name="Normal 29 2 6 4" xfId="36264" xr:uid="{00000000-0005-0000-0000-000081700000}"/>
    <cellStyle name="Normal 29 2 7" xfId="12517" xr:uid="{00000000-0005-0000-0000-000082700000}"/>
    <cellStyle name="Normal 29 2 7 2" xfId="26085" xr:uid="{00000000-0005-0000-0000-000083700000}"/>
    <cellStyle name="Normal 29 2 7 2 2" xfId="53218" xr:uid="{00000000-0005-0000-0000-000084700000}"/>
    <cellStyle name="Normal 29 2 7 3" xfId="39656" xr:uid="{00000000-0005-0000-0000-000085700000}"/>
    <cellStyle name="Normal 29 2 8" xfId="19304" xr:uid="{00000000-0005-0000-0000-000086700000}"/>
    <cellStyle name="Normal 29 2 8 2" xfId="46437" xr:uid="{00000000-0005-0000-0000-000087700000}"/>
    <cellStyle name="Normal 29 2 9" xfId="32875" xr:uid="{00000000-0005-0000-0000-000088700000}"/>
    <cellStyle name="Normal 29 3" xfId="5580" xr:uid="{00000000-0005-0000-0000-000089700000}"/>
    <cellStyle name="Normal 29 3 2" xfId="5581" xr:uid="{00000000-0005-0000-0000-00008A700000}"/>
    <cellStyle name="Normal 29 3 2 2" xfId="9125" xr:uid="{00000000-0005-0000-0000-00008B700000}"/>
    <cellStyle name="Normal 29 3 2 2 2" xfId="15915" xr:uid="{00000000-0005-0000-0000-00008C700000}"/>
    <cellStyle name="Normal 29 3 2 2 2 2" xfId="29483" xr:uid="{00000000-0005-0000-0000-00008D700000}"/>
    <cellStyle name="Normal 29 3 2 2 2 2 2" xfId="56616" xr:uid="{00000000-0005-0000-0000-00008E700000}"/>
    <cellStyle name="Normal 29 3 2 2 2 3" xfId="43054" xr:uid="{00000000-0005-0000-0000-00008F700000}"/>
    <cellStyle name="Normal 29 3 2 2 3" xfId="22702" xr:uid="{00000000-0005-0000-0000-000090700000}"/>
    <cellStyle name="Normal 29 3 2 2 3 2" xfId="49835" xr:uid="{00000000-0005-0000-0000-000091700000}"/>
    <cellStyle name="Normal 29 3 2 2 4" xfId="36273" xr:uid="{00000000-0005-0000-0000-000092700000}"/>
    <cellStyle name="Normal 29 3 2 3" xfId="12526" xr:uid="{00000000-0005-0000-0000-000093700000}"/>
    <cellStyle name="Normal 29 3 2 3 2" xfId="26094" xr:uid="{00000000-0005-0000-0000-000094700000}"/>
    <cellStyle name="Normal 29 3 2 3 2 2" xfId="53227" xr:uid="{00000000-0005-0000-0000-000095700000}"/>
    <cellStyle name="Normal 29 3 2 3 3" xfId="39665" xr:uid="{00000000-0005-0000-0000-000096700000}"/>
    <cellStyle name="Normal 29 3 2 4" xfId="19313" xr:uid="{00000000-0005-0000-0000-000097700000}"/>
    <cellStyle name="Normal 29 3 2 4 2" xfId="46446" xr:uid="{00000000-0005-0000-0000-000098700000}"/>
    <cellStyle name="Normal 29 3 2 5" xfId="32884" xr:uid="{00000000-0005-0000-0000-000099700000}"/>
    <cellStyle name="Normal 29 3 3" xfId="5582" xr:uid="{00000000-0005-0000-0000-00009A700000}"/>
    <cellStyle name="Normal 29 3 3 2" xfId="9126" xr:uid="{00000000-0005-0000-0000-00009B700000}"/>
    <cellStyle name="Normal 29 3 3 2 2" xfId="15916" xr:uid="{00000000-0005-0000-0000-00009C700000}"/>
    <cellStyle name="Normal 29 3 3 2 2 2" xfId="29484" xr:uid="{00000000-0005-0000-0000-00009D700000}"/>
    <cellStyle name="Normal 29 3 3 2 2 2 2" xfId="56617" xr:uid="{00000000-0005-0000-0000-00009E700000}"/>
    <cellStyle name="Normal 29 3 3 2 2 3" xfId="43055" xr:uid="{00000000-0005-0000-0000-00009F700000}"/>
    <cellStyle name="Normal 29 3 3 2 3" xfId="22703" xr:uid="{00000000-0005-0000-0000-0000A0700000}"/>
    <cellStyle name="Normal 29 3 3 2 3 2" xfId="49836" xr:uid="{00000000-0005-0000-0000-0000A1700000}"/>
    <cellStyle name="Normal 29 3 3 2 4" xfId="36274" xr:uid="{00000000-0005-0000-0000-0000A2700000}"/>
    <cellStyle name="Normal 29 3 3 3" xfId="12527" xr:uid="{00000000-0005-0000-0000-0000A3700000}"/>
    <cellStyle name="Normal 29 3 3 3 2" xfId="26095" xr:uid="{00000000-0005-0000-0000-0000A4700000}"/>
    <cellStyle name="Normal 29 3 3 3 2 2" xfId="53228" xr:uid="{00000000-0005-0000-0000-0000A5700000}"/>
    <cellStyle name="Normal 29 3 3 3 3" xfId="39666" xr:uid="{00000000-0005-0000-0000-0000A6700000}"/>
    <cellStyle name="Normal 29 3 3 4" xfId="19314" xr:uid="{00000000-0005-0000-0000-0000A7700000}"/>
    <cellStyle name="Normal 29 3 3 4 2" xfId="46447" xr:uid="{00000000-0005-0000-0000-0000A8700000}"/>
    <cellStyle name="Normal 29 3 3 5" xfId="32885" xr:uid="{00000000-0005-0000-0000-0000A9700000}"/>
    <cellStyle name="Normal 29 3 4" xfId="9124" xr:uid="{00000000-0005-0000-0000-0000AA700000}"/>
    <cellStyle name="Normal 29 3 4 2" xfId="15914" xr:uid="{00000000-0005-0000-0000-0000AB700000}"/>
    <cellStyle name="Normal 29 3 4 2 2" xfId="29482" xr:uid="{00000000-0005-0000-0000-0000AC700000}"/>
    <cellStyle name="Normal 29 3 4 2 2 2" xfId="56615" xr:uid="{00000000-0005-0000-0000-0000AD700000}"/>
    <cellStyle name="Normal 29 3 4 2 3" xfId="43053" xr:uid="{00000000-0005-0000-0000-0000AE700000}"/>
    <cellStyle name="Normal 29 3 4 3" xfId="22701" xr:uid="{00000000-0005-0000-0000-0000AF700000}"/>
    <cellStyle name="Normal 29 3 4 3 2" xfId="49834" xr:uid="{00000000-0005-0000-0000-0000B0700000}"/>
    <cellStyle name="Normal 29 3 4 4" xfId="36272" xr:uid="{00000000-0005-0000-0000-0000B1700000}"/>
    <cellStyle name="Normal 29 3 5" xfId="12525" xr:uid="{00000000-0005-0000-0000-0000B2700000}"/>
    <cellStyle name="Normal 29 3 5 2" xfId="26093" xr:uid="{00000000-0005-0000-0000-0000B3700000}"/>
    <cellStyle name="Normal 29 3 5 2 2" xfId="53226" xr:uid="{00000000-0005-0000-0000-0000B4700000}"/>
    <cellStyle name="Normal 29 3 5 3" xfId="39664" xr:uid="{00000000-0005-0000-0000-0000B5700000}"/>
    <cellStyle name="Normal 29 3 6" xfId="19312" xr:uid="{00000000-0005-0000-0000-0000B6700000}"/>
    <cellStyle name="Normal 29 3 6 2" xfId="46445" xr:uid="{00000000-0005-0000-0000-0000B7700000}"/>
    <cellStyle name="Normal 29 3 7" xfId="32883" xr:uid="{00000000-0005-0000-0000-0000B8700000}"/>
    <cellStyle name="Normal 29 4" xfId="5583" xr:uid="{00000000-0005-0000-0000-0000B9700000}"/>
    <cellStyle name="Normal 29 4 2" xfId="5584" xr:uid="{00000000-0005-0000-0000-0000BA700000}"/>
    <cellStyle name="Normal 29 4 2 2" xfId="9128" xr:uid="{00000000-0005-0000-0000-0000BB700000}"/>
    <cellStyle name="Normal 29 4 2 2 2" xfId="15918" xr:uid="{00000000-0005-0000-0000-0000BC700000}"/>
    <cellStyle name="Normal 29 4 2 2 2 2" xfId="29486" xr:uid="{00000000-0005-0000-0000-0000BD700000}"/>
    <cellStyle name="Normal 29 4 2 2 2 2 2" xfId="56619" xr:uid="{00000000-0005-0000-0000-0000BE700000}"/>
    <cellStyle name="Normal 29 4 2 2 2 3" xfId="43057" xr:uid="{00000000-0005-0000-0000-0000BF700000}"/>
    <cellStyle name="Normal 29 4 2 2 3" xfId="22705" xr:uid="{00000000-0005-0000-0000-0000C0700000}"/>
    <cellStyle name="Normal 29 4 2 2 3 2" xfId="49838" xr:uid="{00000000-0005-0000-0000-0000C1700000}"/>
    <cellStyle name="Normal 29 4 2 2 4" xfId="36276" xr:uid="{00000000-0005-0000-0000-0000C2700000}"/>
    <cellStyle name="Normal 29 4 2 3" xfId="12529" xr:uid="{00000000-0005-0000-0000-0000C3700000}"/>
    <cellStyle name="Normal 29 4 2 3 2" xfId="26097" xr:uid="{00000000-0005-0000-0000-0000C4700000}"/>
    <cellStyle name="Normal 29 4 2 3 2 2" xfId="53230" xr:uid="{00000000-0005-0000-0000-0000C5700000}"/>
    <cellStyle name="Normal 29 4 2 3 3" xfId="39668" xr:uid="{00000000-0005-0000-0000-0000C6700000}"/>
    <cellStyle name="Normal 29 4 2 4" xfId="19316" xr:uid="{00000000-0005-0000-0000-0000C7700000}"/>
    <cellStyle name="Normal 29 4 2 4 2" xfId="46449" xr:uid="{00000000-0005-0000-0000-0000C8700000}"/>
    <cellStyle name="Normal 29 4 2 5" xfId="32887" xr:uid="{00000000-0005-0000-0000-0000C9700000}"/>
    <cellStyle name="Normal 29 4 3" xfId="9127" xr:uid="{00000000-0005-0000-0000-0000CA700000}"/>
    <cellStyle name="Normal 29 4 3 2" xfId="15917" xr:uid="{00000000-0005-0000-0000-0000CB700000}"/>
    <cellStyle name="Normal 29 4 3 2 2" xfId="29485" xr:uid="{00000000-0005-0000-0000-0000CC700000}"/>
    <cellStyle name="Normal 29 4 3 2 2 2" xfId="56618" xr:uid="{00000000-0005-0000-0000-0000CD700000}"/>
    <cellStyle name="Normal 29 4 3 2 3" xfId="43056" xr:uid="{00000000-0005-0000-0000-0000CE700000}"/>
    <cellStyle name="Normal 29 4 3 3" xfId="22704" xr:uid="{00000000-0005-0000-0000-0000CF700000}"/>
    <cellStyle name="Normal 29 4 3 3 2" xfId="49837" xr:uid="{00000000-0005-0000-0000-0000D0700000}"/>
    <cellStyle name="Normal 29 4 3 4" xfId="36275" xr:uid="{00000000-0005-0000-0000-0000D1700000}"/>
    <cellStyle name="Normal 29 4 4" xfId="12528" xr:uid="{00000000-0005-0000-0000-0000D2700000}"/>
    <cellStyle name="Normal 29 4 4 2" xfId="26096" xr:uid="{00000000-0005-0000-0000-0000D3700000}"/>
    <cellStyle name="Normal 29 4 4 2 2" xfId="53229" xr:uid="{00000000-0005-0000-0000-0000D4700000}"/>
    <cellStyle name="Normal 29 4 4 3" xfId="39667" xr:uid="{00000000-0005-0000-0000-0000D5700000}"/>
    <cellStyle name="Normal 29 4 5" xfId="19315" xr:uid="{00000000-0005-0000-0000-0000D6700000}"/>
    <cellStyle name="Normal 29 4 5 2" xfId="46448" xr:uid="{00000000-0005-0000-0000-0000D7700000}"/>
    <cellStyle name="Normal 29 4 6" xfId="32886" xr:uid="{00000000-0005-0000-0000-0000D8700000}"/>
    <cellStyle name="Normal 29 5" xfId="5585" xr:uid="{00000000-0005-0000-0000-0000D9700000}"/>
    <cellStyle name="Normal 29 5 2" xfId="9129" xr:uid="{00000000-0005-0000-0000-0000DA700000}"/>
    <cellStyle name="Normal 29 5 2 2" xfId="15919" xr:uid="{00000000-0005-0000-0000-0000DB700000}"/>
    <cellStyle name="Normal 29 5 2 2 2" xfId="29487" xr:uid="{00000000-0005-0000-0000-0000DC700000}"/>
    <cellStyle name="Normal 29 5 2 2 2 2" xfId="56620" xr:uid="{00000000-0005-0000-0000-0000DD700000}"/>
    <cellStyle name="Normal 29 5 2 2 3" xfId="43058" xr:uid="{00000000-0005-0000-0000-0000DE700000}"/>
    <cellStyle name="Normal 29 5 2 3" xfId="22706" xr:uid="{00000000-0005-0000-0000-0000DF700000}"/>
    <cellStyle name="Normal 29 5 2 3 2" xfId="49839" xr:uid="{00000000-0005-0000-0000-0000E0700000}"/>
    <cellStyle name="Normal 29 5 2 4" xfId="36277" xr:uid="{00000000-0005-0000-0000-0000E1700000}"/>
    <cellStyle name="Normal 29 5 3" xfId="12530" xr:uid="{00000000-0005-0000-0000-0000E2700000}"/>
    <cellStyle name="Normal 29 5 3 2" xfId="26098" xr:uid="{00000000-0005-0000-0000-0000E3700000}"/>
    <cellStyle name="Normal 29 5 3 2 2" xfId="53231" xr:uid="{00000000-0005-0000-0000-0000E4700000}"/>
    <cellStyle name="Normal 29 5 3 3" xfId="39669" xr:uid="{00000000-0005-0000-0000-0000E5700000}"/>
    <cellStyle name="Normal 29 5 4" xfId="19317" xr:uid="{00000000-0005-0000-0000-0000E6700000}"/>
    <cellStyle name="Normal 29 5 4 2" xfId="46450" xr:uid="{00000000-0005-0000-0000-0000E7700000}"/>
    <cellStyle name="Normal 29 5 5" xfId="32888" xr:uid="{00000000-0005-0000-0000-0000E8700000}"/>
    <cellStyle name="Normal 29 6" xfId="5586" xr:uid="{00000000-0005-0000-0000-0000E9700000}"/>
    <cellStyle name="Normal 29 6 2" xfId="9130" xr:uid="{00000000-0005-0000-0000-0000EA700000}"/>
    <cellStyle name="Normal 29 6 2 2" xfId="15920" xr:uid="{00000000-0005-0000-0000-0000EB700000}"/>
    <cellStyle name="Normal 29 6 2 2 2" xfId="29488" xr:uid="{00000000-0005-0000-0000-0000EC700000}"/>
    <cellStyle name="Normal 29 6 2 2 2 2" xfId="56621" xr:uid="{00000000-0005-0000-0000-0000ED700000}"/>
    <cellStyle name="Normal 29 6 2 2 3" xfId="43059" xr:uid="{00000000-0005-0000-0000-0000EE700000}"/>
    <cellStyle name="Normal 29 6 2 3" xfId="22707" xr:uid="{00000000-0005-0000-0000-0000EF700000}"/>
    <cellStyle name="Normal 29 6 2 3 2" xfId="49840" xr:uid="{00000000-0005-0000-0000-0000F0700000}"/>
    <cellStyle name="Normal 29 6 2 4" xfId="36278" xr:uid="{00000000-0005-0000-0000-0000F1700000}"/>
    <cellStyle name="Normal 29 6 3" xfId="12531" xr:uid="{00000000-0005-0000-0000-0000F2700000}"/>
    <cellStyle name="Normal 29 6 3 2" xfId="26099" xr:uid="{00000000-0005-0000-0000-0000F3700000}"/>
    <cellStyle name="Normal 29 6 3 2 2" xfId="53232" xr:uid="{00000000-0005-0000-0000-0000F4700000}"/>
    <cellStyle name="Normal 29 6 3 3" xfId="39670" xr:uid="{00000000-0005-0000-0000-0000F5700000}"/>
    <cellStyle name="Normal 29 6 4" xfId="19318" xr:uid="{00000000-0005-0000-0000-0000F6700000}"/>
    <cellStyle name="Normal 29 6 4 2" xfId="46451" xr:uid="{00000000-0005-0000-0000-0000F7700000}"/>
    <cellStyle name="Normal 29 6 5" xfId="32889" xr:uid="{00000000-0005-0000-0000-0000F8700000}"/>
    <cellStyle name="Normal 3" xfId="41" xr:uid="{00000000-0005-0000-0000-0000F9700000}"/>
    <cellStyle name="Normal 3 10" xfId="2660" xr:uid="{00000000-0005-0000-0000-0000FA700000}"/>
    <cellStyle name="Normal 3 10 2" xfId="2661" xr:uid="{00000000-0005-0000-0000-0000FB700000}"/>
    <cellStyle name="Normal 3 10 2 2" xfId="5587" xr:uid="{00000000-0005-0000-0000-0000FC700000}"/>
    <cellStyle name="Normal 3 10 2 2 2" xfId="9131" xr:uid="{00000000-0005-0000-0000-0000FD700000}"/>
    <cellStyle name="Normal 3 10 2 2 2 2" xfId="15921" xr:uid="{00000000-0005-0000-0000-0000FE700000}"/>
    <cellStyle name="Normal 3 10 2 2 2 2 2" xfId="29489" xr:uid="{00000000-0005-0000-0000-0000FF700000}"/>
    <cellStyle name="Normal 3 10 2 2 2 2 2 2" xfId="56622" xr:uid="{00000000-0005-0000-0000-000000710000}"/>
    <cellStyle name="Normal 3 10 2 2 2 2 3" xfId="43060" xr:uid="{00000000-0005-0000-0000-000001710000}"/>
    <cellStyle name="Normal 3 10 2 2 2 3" xfId="22708" xr:uid="{00000000-0005-0000-0000-000002710000}"/>
    <cellStyle name="Normal 3 10 2 2 2 3 2" xfId="49841" xr:uid="{00000000-0005-0000-0000-000003710000}"/>
    <cellStyle name="Normal 3 10 2 2 2 4" xfId="36279" xr:uid="{00000000-0005-0000-0000-000004710000}"/>
    <cellStyle name="Normal 3 10 2 2 3" xfId="12532" xr:uid="{00000000-0005-0000-0000-000005710000}"/>
    <cellStyle name="Normal 3 10 2 2 3 2" xfId="26100" xr:uid="{00000000-0005-0000-0000-000006710000}"/>
    <cellStyle name="Normal 3 10 2 2 3 2 2" xfId="53233" xr:uid="{00000000-0005-0000-0000-000007710000}"/>
    <cellStyle name="Normal 3 10 2 2 3 3" xfId="39671" xr:uid="{00000000-0005-0000-0000-000008710000}"/>
    <cellStyle name="Normal 3 10 2 2 4" xfId="19319" xr:uid="{00000000-0005-0000-0000-000009710000}"/>
    <cellStyle name="Normal 3 10 2 2 4 2" xfId="46452" xr:uid="{00000000-0005-0000-0000-00000A710000}"/>
    <cellStyle name="Normal 3 10 2 2 5" xfId="32890" xr:uid="{00000000-0005-0000-0000-00000B710000}"/>
    <cellStyle name="Normal 3 10 2 3" xfId="5588" xr:uid="{00000000-0005-0000-0000-00000C710000}"/>
    <cellStyle name="Normal 3 10 2 3 2" xfId="9132" xr:uid="{00000000-0005-0000-0000-00000D710000}"/>
    <cellStyle name="Normal 3 10 2 3 2 2" xfId="15922" xr:uid="{00000000-0005-0000-0000-00000E710000}"/>
    <cellStyle name="Normal 3 10 2 3 2 2 2" xfId="29490" xr:uid="{00000000-0005-0000-0000-00000F710000}"/>
    <cellStyle name="Normal 3 10 2 3 2 2 2 2" xfId="56623" xr:uid="{00000000-0005-0000-0000-000010710000}"/>
    <cellStyle name="Normal 3 10 2 3 2 2 3" xfId="43061" xr:uid="{00000000-0005-0000-0000-000011710000}"/>
    <cellStyle name="Normal 3 10 2 3 2 3" xfId="22709" xr:uid="{00000000-0005-0000-0000-000012710000}"/>
    <cellStyle name="Normal 3 10 2 3 2 3 2" xfId="49842" xr:uid="{00000000-0005-0000-0000-000013710000}"/>
    <cellStyle name="Normal 3 10 2 3 2 4" xfId="36280" xr:uid="{00000000-0005-0000-0000-000014710000}"/>
    <cellStyle name="Normal 3 10 2 3 3" xfId="12533" xr:uid="{00000000-0005-0000-0000-000015710000}"/>
    <cellStyle name="Normal 3 10 2 3 3 2" xfId="26101" xr:uid="{00000000-0005-0000-0000-000016710000}"/>
    <cellStyle name="Normal 3 10 2 3 3 2 2" xfId="53234" xr:uid="{00000000-0005-0000-0000-000017710000}"/>
    <cellStyle name="Normal 3 10 2 3 3 3" xfId="39672" xr:uid="{00000000-0005-0000-0000-000018710000}"/>
    <cellStyle name="Normal 3 10 2 3 4" xfId="19320" xr:uid="{00000000-0005-0000-0000-000019710000}"/>
    <cellStyle name="Normal 3 10 2 3 4 2" xfId="46453" xr:uid="{00000000-0005-0000-0000-00001A710000}"/>
    <cellStyle name="Normal 3 10 2 3 5" xfId="32891" xr:uid="{00000000-0005-0000-0000-00001B710000}"/>
    <cellStyle name="Normal 3 10 2 4" xfId="7474" xr:uid="{00000000-0005-0000-0000-00001C710000}"/>
    <cellStyle name="Normal 3 10 2 4 2" xfId="14264" xr:uid="{00000000-0005-0000-0000-00001D710000}"/>
    <cellStyle name="Normal 3 10 2 4 2 2" xfId="27832" xr:uid="{00000000-0005-0000-0000-00001E710000}"/>
    <cellStyle name="Normal 3 10 2 4 2 2 2" xfId="54965" xr:uid="{00000000-0005-0000-0000-00001F710000}"/>
    <cellStyle name="Normal 3 10 2 4 2 3" xfId="41403" xr:uid="{00000000-0005-0000-0000-000020710000}"/>
    <cellStyle name="Normal 3 10 2 4 3" xfId="21051" xr:uid="{00000000-0005-0000-0000-000021710000}"/>
    <cellStyle name="Normal 3 10 2 4 3 2" xfId="48184" xr:uid="{00000000-0005-0000-0000-000022710000}"/>
    <cellStyle name="Normal 3 10 2 4 4" xfId="34622" xr:uid="{00000000-0005-0000-0000-000023710000}"/>
    <cellStyle name="Normal 3 10 2 5" xfId="10875" xr:uid="{00000000-0005-0000-0000-000024710000}"/>
    <cellStyle name="Normal 3 10 2 5 2" xfId="24443" xr:uid="{00000000-0005-0000-0000-000025710000}"/>
    <cellStyle name="Normal 3 10 2 5 2 2" xfId="51576" xr:uid="{00000000-0005-0000-0000-000026710000}"/>
    <cellStyle name="Normal 3 10 2 5 3" xfId="38014" xr:uid="{00000000-0005-0000-0000-000027710000}"/>
    <cellStyle name="Normal 3 10 2 6" xfId="17662" xr:uid="{00000000-0005-0000-0000-000028710000}"/>
    <cellStyle name="Normal 3 10 2 6 2" xfId="44795" xr:uid="{00000000-0005-0000-0000-000029710000}"/>
    <cellStyle name="Normal 3 10 2 7" xfId="31233" xr:uid="{00000000-0005-0000-0000-00002A710000}"/>
    <cellStyle name="Normal 3 10 3" xfId="5589" xr:uid="{00000000-0005-0000-0000-00002B710000}"/>
    <cellStyle name="Normal 3 10 3 2" xfId="9133" xr:uid="{00000000-0005-0000-0000-00002C710000}"/>
    <cellStyle name="Normal 3 10 3 2 2" xfId="15923" xr:uid="{00000000-0005-0000-0000-00002D710000}"/>
    <cellStyle name="Normal 3 10 3 2 2 2" xfId="29491" xr:uid="{00000000-0005-0000-0000-00002E710000}"/>
    <cellStyle name="Normal 3 10 3 2 2 2 2" xfId="56624" xr:uid="{00000000-0005-0000-0000-00002F710000}"/>
    <cellStyle name="Normal 3 10 3 2 2 3" xfId="43062" xr:uid="{00000000-0005-0000-0000-000030710000}"/>
    <cellStyle name="Normal 3 10 3 2 3" xfId="22710" xr:uid="{00000000-0005-0000-0000-000031710000}"/>
    <cellStyle name="Normal 3 10 3 2 3 2" xfId="49843" xr:uid="{00000000-0005-0000-0000-000032710000}"/>
    <cellStyle name="Normal 3 10 3 2 4" xfId="36281" xr:uid="{00000000-0005-0000-0000-000033710000}"/>
    <cellStyle name="Normal 3 10 3 3" xfId="12534" xr:uid="{00000000-0005-0000-0000-000034710000}"/>
    <cellStyle name="Normal 3 10 3 3 2" xfId="26102" xr:uid="{00000000-0005-0000-0000-000035710000}"/>
    <cellStyle name="Normal 3 10 3 3 2 2" xfId="53235" xr:uid="{00000000-0005-0000-0000-000036710000}"/>
    <cellStyle name="Normal 3 10 3 3 3" xfId="39673" xr:uid="{00000000-0005-0000-0000-000037710000}"/>
    <cellStyle name="Normal 3 10 3 4" xfId="19321" xr:uid="{00000000-0005-0000-0000-000038710000}"/>
    <cellStyle name="Normal 3 10 3 4 2" xfId="46454" xr:uid="{00000000-0005-0000-0000-000039710000}"/>
    <cellStyle name="Normal 3 10 3 5" xfId="32892" xr:uid="{00000000-0005-0000-0000-00003A710000}"/>
    <cellStyle name="Normal 3 10 4" xfId="5590" xr:uid="{00000000-0005-0000-0000-00003B710000}"/>
    <cellStyle name="Normal 3 10 4 2" xfId="9134" xr:uid="{00000000-0005-0000-0000-00003C710000}"/>
    <cellStyle name="Normal 3 10 4 2 2" xfId="15924" xr:uid="{00000000-0005-0000-0000-00003D710000}"/>
    <cellStyle name="Normal 3 10 4 2 2 2" xfId="29492" xr:uid="{00000000-0005-0000-0000-00003E710000}"/>
    <cellStyle name="Normal 3 10 4 2 2 2 2" xfId="56625" xr:uid="{00000000-0005-0000-0000-00003F710000}"/>
    <cellStyle name="Normal 3 10 4 2 2 3" xfId="43063" xr:uid="{00000000-0005-0000-0000-000040710000}"/>
    <cellStyle name="Normal 3 10 4 2 3" xfId="22711" xr:uid="{00000000-0005-0000-0000-000041710000}"/>
    <cellStyle name="Normal 3 10 4 2 3 2" xfId="49844" xr:uid="{00000000-0005-0000-0000-000042710000}"/>
    <cellStyle name="Normal 3 10 4 2 4" xfId="36282" xr:uid="{00000000-0005-0000-0000-000043710000}"/>
    <cellStyle name="Normal 3 10 4 3" xfId="12535" xr:uid="{00000000-0005-0000-0000-000044710000}"/>
    <cellStyle name="Normal 3 10 4 3 2" xfId="26103" xr:uid="{00000000-0005-0000-0000-000045710000}"/>
    <cellStyle name="Normal 3 10 4 3 2 2" xfId="53236" xr:uid="{00000000-0005-0000-0000-000046710000}"/>
    <cellStyle name="Normal 3 10 4 3 3" xfId="39674" xr:uid="{00000000-0005-0000-0000-000047710000}"/>
    <cellStyle name="Normal 3 10 4 4" xfId="19322" xr:uid="{00000000-0005-0000-0000-000048710000}"/>
    <cellStyle name="Normal 3 10 4 4 2" xfId="46455" xr:uid="{00000000-0005-0000-0000-000049710000}"/>
    <cellStyle name="Normal 3 10 4 5" xfId="32893" xr:uid="{00000000-0005-0000-0000-00004A710000}"/>
    <cellStyle name="Normal 3 10 5" xfId="7473" xr:uid="{00000000-0005-0000-0000-00004B710000}"/>
    <cellStyle name="Normal 3 10 5 2" xfId="14263" xr:uid="{00000000-0005-0000-0000-00004C710000}"/>
    <cellStyle name="Normal 3 10 5 2 2" xfId="27831" xr:uid="{00000000-0005-0000-0000-00004D710000}"/>
    <cellStyle name="Normal 3 10 5 2 2 2" xfId="54964" xr:uid="{00000000-0005-0000-0000-00004E710000}"/>
    <cellStyle name="Normal 3 10 5 2 3" xfId="41402" xr:uid="{00000000-0005-0000-0000-00004F710000}"/>
    <cellStyle name="Normal 3 10 5 3" xfId="21050" xr:uid="{00000000-0005-0000-0000-000050710000}"/>
    <cellStyle name="Normal 3 10 5 3 2" xfId="48183" xr:uid="{00000000-0005-0000-0000-000051710000}"/>
    <cellStyle name="Normal 3 10 5 4" xfId="34621" xr:uid="{00000000-0005-0000-0000-000052710000}"/>
    <cellStyle name="Normal 3 10 6" xfId="10874" xr:uid="{00000000-0005-0000-0000-000053710000}"/>
    <cellStyle name="Normal 3 10 6 2" xfId="24442" xr:uid="{00000000-0005-0000-0000-000054710000}"/>
    <cellStyle name="Normal 3 10 6 2 2" xfId="51575" xr:uid="{00000000-0005-0000-0000-000055710000}"/>
    <cellStyle name="Normal 3 10 6 3" xfId="38013" xr:uid="{00000000-0005-0000-0000-000056710000}"/>
    <cellStyle name="Normal 3 10 7" xfId="17661" xr:uid="{00000000-0005-0000-0000-000057710000}"/>
    <cellStyle name="Normal 3 10 7 2" xfId="44794" xr:uid="{00000000-0005-0000-0000-000058710000}"/>
    <cellStyle name="Normal 3 10 8" xfId="31232" xr:uid="{00000000-0005-0000-0000-000059710000}"/>
    <cellStyle name="Normal 3 11" xfId="2662" xr:uid="{00000000-0005-0000-0000-00005A710000}"/>
    <cellStyle name="Normal 3 11 2" xfId="2663" xr:uid="{00000000-0005-0000-0000-00005B710000}"/>
    <cellStyle name="Normal 3 11 2 2" xfId="5591" xr:uid="{00000000-0005-0000-0000-00005C710000}"/>
    <cellStyle name="Normal 3 11 2 2 2" xfId="9135" xr:uid="{00000000-0005-0000-0000-00005D710000}"/>
    <cellStyle name="Normal 3 11 2 2 2 2" xfId="15925" xr:uid="{00000000-0005-0000-0000-00005E710000}"/>
    <cellStyle name="Normal 3 11 2 2 2 2 2" xfId="29493" xr:uid="{00000000-0005-0000-0000-00005F710000}"/>
    <cellStyle name="Normal 3 11 2 2 2 2 2 2" xfId="56626" xr:uid="{00000000-0005-0000-0000-000060710000}"/>
    <cellStyle name="Normal 3 11 2 2 2 2 3" xfId="43064" xr:uid="{00000000-0005-0000-0000-000061710000}"/>
    <cellStyle name="Normal 3 11 2 2 2 3" xfId="22712" xr:uid="{00000000-0005-0000-0000-000062710000}"/>
    <cellStyle name="Normal 3 11 2 2 2 3 2" xfId="49845" xr:uid="{00000000-0005-0000-0000-000063710000}"/>
    <cellStyle name="Normal 3 11 2 2 2 4" xfId="36283" xr:uid="{00000000-0005-0000-0000-000064710000}"/>
    <cellStyle name="Normal 3 11 2 2 3" xfId="12536" xr:uid="{00000000-0005-0000-0000-000065710000}"/>
    <cellStyle name="Normal 3 11 2 2 3 2" xfId="26104" xr:uid="{00000000-0005-0000-0000-000066710000}"/>
    <cellStyle name="Normal 3 11 2 2 3 2 2" xfId="53237" xr:uid="{00000000-0005-0000-0000-000067710000}"/>
    <cellStyle name="Normal 3 11 2 2 3 3" xfId="39675" xr:uid="{00000000-0005-0000-0000-000068710000}"/>
    <cellStyle name="Normal 3 11 2 2 4" xfId="19323" xr:uid="{00000000-0005-0000-0000-000069710000}"/>
    <cellStyle name="Normal 3 11 2 2 4 2" xfId="46456" xr:uid="{00000000-0005-0000-0000-00006A710000}"/>
    <cellStyle name="Normal 3 11 2 2 5" xfId="32894" xr:uid="{00000000-0005-0000-0000-00006B710000}"/>
    <cellStyle name="Normal 3 11 2 3" xfId="5592" xr:uid="{00000000-0005-0000-0000-00006C710000}"/>
    <cellStyle name="Normal 3 11 2 3 2" xfId="9136" xr:uid="{00000000-0005-0000-0000-00006D710000}"/>
    <cellStyle name="Normal 3 11 2 3 2 2" xfId="15926" xr:uid="{00000000-0005-0000-0000-00006E710000}"/>
    <cellStyle name="Normal 3 11 2 3 2 2 2" xfId="29494" xr:uid="{00000000-0005-0000-0000-00006F710000}"/>
    <cellStyle name="Normal 3 11 2 3 2 2 2 2" xfId="56627" xr:uid="{00000000-0005-0000-0000-000070710000}"/>
    <cellStyle name="Normal 3 11 2 3 2 2 3" xfId="43065" xr:uid="{00000000-0005-0000-0000-000071710000}"/>
    <cellStyle name="Normal 3 11 2 3 2 3" xfId="22713" xr:uid="{00000000-0005-0000-0000-000072710000}"/>
    <cellStyle name="Normal 3 11 2 3 2 3 2" xfId="49846" xr:uid="{00000000-0005-0000-0000-000073710000}"/>
    <cellStyle name="Normal 3 11 2 3 2 4" xfId="36284" xr:uid="{00000000-0005-0000-0000-000074710000}"/>
    <cellStyle name="Normal 3 11 2 3 3" xfId="12537" xr:uid="{00000000-0005-0000-0000-000075710000}"/>
    <cellStyle name="Normal 3 11 2 3 3 2" xfId="26105" xr:uid="{00000000-0005-0000-0000-000076710000}"/>
    <cellStyle name="Normal 3 11 2 3 3 2 2" xfId="53238" xr:uid="{00000000-0005-0000-0000-000077710000}"/>
    <cellStyle name="Normal 3 11 2 3 3 3" xfId="39676" xr:uid="{00000000-0005-0000-0000-000078710000}"/>
    <cellStyle name="Normal 3 11 2 3 4" xfId="19324" xr:uid="{00000000-0005-0000-0000-000079710000}"/>
    <cellStyle name="Normal 3 11 2 3 4 2" xfId="46457" xr:uid="{00000000-0005-0000-0000-00007A710000}"/>
    <cellStyle name="Normal 3 11 2 3 5" xfId="32895" xr:uid="{00000000-0005-0000-0000-00007B710000}"/>
    <cellStyle name="Normal 3 11 2 4" xfId="7476" xr:uid="{00000000-0005-0000-0000-00007C710000}"/>
    <cellStyle name="Normal 3 11 2 4 2" xfId="14266" xr:uid="{00000000-0005-0000-0000-00007D710000}"/>
    <cellStyle name="Normal 3 11 2 4 2 2" xfId="27834" xr:uid="{00000000-0005-0000-0000-00007E710000}"/>
    <cellStyle name="Normal 3 11 2 4 2 2 2" xfId="54967" xr:uid="{00000000-0005-0000-0000-00007F710000}"/>
    <cellStyle name="Normal 3 11 2 4 2 3" xfId="41405" xr:uid="{00000000-0005-0000-0000-000080710000}"/>
    <cellStyle name="Normal 3 11 2 4 3" xfId="21053" xr:uid="{00000000-0005-0000-0000-000081710000}"/>
    <cellStyle name="Normal 3 11 2 4 3 2" xfId="48186" xr:uid="{00000000-0005-0000-0000-000082710000}"/>
    <cellStyle name="Normal 3 11 2 4 4" xfId="34624" xr:uid="{00000000-0005-0000-0000-000083710000}"/>
    <cellStyle name="Normal 3 11 2 5" xfId="10877" xr:uid="{00000000-0005-0000-0000-000084710000}"/>
    <cellStyle name="Normal 3 11 2 5 2" xfId="24445" xr:uid="{00000000-0005-0000-0000-000085710000}"/>
    <cellStyle name="Normal 3 11 2 5 2 2" xfId="51578" xr:uid="{00000000-0005-0000-0000-000086710000}"/>
    <cellStyle name="Normal 3 11 2 5 3" xfId="38016" xr:uid="{00000000-0005-0000-0000-000087710000}"/>
    <cellStyle name="Normal 3 11 2 6" xfId="17664" xr:uid="{00000000-0005-0000-0000-000088710000}"/>
    <cellStyle name="Normal 3 11 2 6 2" xfId="44797" xr:uid="{00000000-0005-0000-0000-000089710000}"/>
    <cellStyle name="Normal 3 11 2 7" xfId="31235" xr:uid="{00000000-0005-0000-0000-00008A710000}"/>
    <cellStyle name="Normal 3 11 3" xfId="5593" xr:uid="{00000000-0005-0000-0000-00008B710000}"/>
    <cellStyle name="Normal 3 11 3 2" xfId="9137" xr:uid="{00000000-0005-0000-0000-00008C710000}"/>
    <cellStyle name="Normal 3 11 3 2 2" xfId="15927" xr:uid="{00000000-0005-0000-0000-00008D710000}"/>
    <cellStyle name="Normal 3 11 3 2 2 2" xfId="29495" xr:uid="{00000000-0005-0000-0000-00008E710000}"/>
    <cellStyle name="Normal 3 11 3 2 2 2 2" xfId="56628" xr:uid="{00000000-0005-0000-0000-00008F710000}"/>
    <cellStyle name="Normal 3 11 3 2 2 3" xfId="43066" xr:uid="{00000000-0005-0000-0000-000090710000}"/>
    <cellStyle name="Normal 3 11 3 2 3" xfId="22714" xr:uid="{00000000-0005-0000-0000-000091710000}"/>
    <cellStyle name="Normal 3 11 3 2 3 2" xfId="49847" xr:uid="{00000000-0005-0000-0000-000092710000}"/>
    <cellStyle name="Normal 3 11 3 2 4" xfId="36285" xr:uid="{00000000-0005-0000-0000-000093710000}"/>
    <cellStyle name="Normal 3 11 3 3" xfId="12538" xr:uid="{00000000-0005-0000-0000-000094710000}"/>
    <cellStyle name="Normal 3 11 3 3 2" xfId="26106" xr:uid="{00000000-0005-0000-0000-000095710000}"/>
    <cellStyle name="Normal 3 11 3 3 2 2" xfId="53239" xr:uid="{00000000-0005-0000-0000-000096710000}"/>
    <cellStyle name="Normal 3 11 3 3 3" xfId="39677" xr:uid="{00000000-0005-0000-0000-000097710000}"/>
    <cellStyle name="Normal 3 11 3 4" xfId="19325" xr:uid="{00000000-0005-0000-0000-000098710000}"/>
    <cellStyle name="Normal 3 11 3 4 2" xfId="46458" xr:uid="{00000000-0005-0000-0000-000099710000}"/>
    <cellStyle name="Normal 3 11 3 5" xfId="32896" xr:uid="{00000000-0005-0000-0000-00009A710000}"/>
    <cellStyle name="Normal 3 11 4" xfId="5594" xr:uid="{00000000-0005-0000-0000-00009B710000}"/>
    <cellStyle name="Normal 3 11 4 2" xfId="9138" xr:uid="{00000000-0005-0000-0000-00009C710000}"/>
    <cellStyle name="Normal 3 11 4 2 2" xfId="15928" xr:uid="{00000000-0005-0000-0000-00009D710000}"/>
    <cellStyle name="Normal 3 11 4 2 2 2" xfId="29496" xr:uid="{00000000-0005-0000-0000-00009E710000}"/>
    <cellStyle name="Normal 3 11 4 2 2 2 2" xfId="56629" xr:uid="{00000000-0005-0000-0000-00009F710000}"/>
    <cellStyle name="Normal 3 11 4 2 2 3" xfId="43067" xr:uid="{00000000-0005-0000-0000-0000A0710000}"/>
    <cellStyle name="Normal 3 11 4 2 3" xfId="22715" xr:uid="{00000000-0005-0000-0000-0000A1710000}"/>
    <cellStyle name="Normal 3 11 4 2 3 2" xfId="49848" xr:uid="{00000000-0005-0000-0000-0000A2710000}"/>
    <cellStyle name="Normal 3 11 4 2 4" xfId="36286" xr:uid="{00000000-0005-0000-0000-0000A3710000}"/>
    <cellStyle name="Normal 3 11 4 3" xfId="12539" xr:uid="{00000000-0005-0000-0000-0000A4710000}"/>
    <cellStyle name="Normal 3 11 4 3 2" xfId="26107" xr:uid="{00000000-0005-0000-0000-0000A5710000}"/>
    <cellStyle name="Normal 3 11 4 3 2 2" xfId="53240" xr:uid="{00000000-0005-0000-0000-0000A6710000}"/>
    <cellStyle name="Normal 3 11 4 3 3" xfId="39678" xr:uid="{00000000-0005-0000-0000-0000A7710000}"/>
    <cellStyle name="Normal 3 11 4 4" xfId="19326" xr:uid="{00000000-0005-0000-0000-0000A8710000}"/>
    <cellStyle name="Normal 3 11 4 4 2" xfId="46459" xr:uid="{00000000-0005-0000-0000-0000A9710000}"/>
    <cellStyle name="Normal 3 11 4 5" xfId="32897" xr:uid="{00000000-0005-0000-0000-0000AA710000}"/>
    <cellStyle name="Normal 3 11 5" xfId="7475" xr:uid="{00000000-0005-0000-0000-0000AB710000}"/>
    <cellStyle name="Normal 3 11 5 2" xfId="14265" xr:uid="{00000000-0005-0000-0000-0000AC710000}"/>
    <cellStyle name="Normal 3 11 5 2 2" xfId="27833" xr:uid="{00000000-0005-0000-0000-0000AD710000}"/>
    <cellStyle name="Normal 3 11 5 2 2 2" xfId="54966" xr:uid="{00000000-0005-0000-0000-0000AE710000}"/>
    <cellStyle name="Normal 3 11 5 2 3" xfId="41404" xr:uid="{00000000-0005-0000-0000-0000AF710000}"/>
    <cellStyle name="Normal 3 11 5 3" xfId="21052" xr:uid="{00000000-0005-0000-0000-0000B0710000}"/>
    <cellStyle name="Normal 3 11 5 3 2" xfId="48185" xr:uid="{00000000-0005-0000-0000-0000B1710000}"/>
    <cellStyle name="Normal 3 11 5 4" xfId="34623" xr:uid="{00000000-0005-0000-0000-0000B2710000}"/>
    <cellStyle name="Normal 3 11 6" xfId="10876" xr:uid="{00000000-0005-0000-0000-0000B3710000}"/>
    <cellStyle name="Normal 3 11 6 2" xfId="24444" xr:uid="{00000000-0005-0000-0000-0000B4710000}"/>
    <cellStyle name="Normal 3 11 6 2 2" xfId="51577" xr:uid="{00000000-0005-0000-0000-0000B5710000}"/>
    <cellStyle name="Normal 3 11 6 3" xfId="38015" xr:uid="{00000000-0005-0000-0000-0000B6710000}"/>
    <cellStyle name="Normal 3 11 7" xfId="17663" xr:uid="{00000000-0005-0000-0000-0000B7710000}"/>
    <cellStyle name="Normal 3 11 7 2" xfId="44796" xr:uid="{00000000-0005-0000-0000-0000B8710000}"/>
    <cellStyle name="Normal 3 11 8" xfId="31234" xr:uid="{00000000-0005-0000-0000-0000B9710000}"/>
    <cellStyle name="Normal 3 12" xfId="2664" xr:uid="{00000000-0005-0000-0000-0000BA710000}"/>
    <cellStyle name="Normal 3 12 2" xfId="2665" xr:uid="{00000000-0005-0000-0000-0000BB710000}"/>
    <cellStyle name="Normal 3 12 2 2" xfId="7478" xr:uid="{00000000-0005-0000-0000-0000BC710000}"/>
    <cellStyle name="Normal 3 12 2 2 2" xfId="14268" xr:uid="{00000000-0005-0000-0000-0000BD710000}"/>
    <cellStyle name="Normal 3 12 2 2 2 2" xfId="27836" xr:uid="{00000000-0005-0000-0000-0000BE710000}"/>
    <cellStyle name="Normal 3 12 2 2 2 2 2" xfId="54969" xr:uid="{00000000-0005-0000-0000-0000BF710000}"/>
    <cellStyle name="Normal 3 12 2 2 2 3" xfId="41407" xr:uid="{00000000-0005-0000-0000-0000C0710000}"/>
    <cellStyle name="Normal 3 12 2 2 3" xfId="21055" xr:uid="{00000000-0005-0000-0000-0000C1710000}"/>
    <cellStyle name="Normal 3 12 2 2 3 2" xfId="48188" xr:uid="{00000000-0005-0000-0000-0000C2710000}"/>
    <cellStyle name="Normal 3 12 2 2 4" xfId="34626" xr:uid="{00000000-0005-0000-0000-0000C3710000}"/>
    <cellStyle name="Normal 3 12 2 3" xfId="10879" xr:uid="{00000000-0005-0000-0000-0000C4710000}"/>
    <cellStyle name="Normal 3 12 2 3 2" xfId="24447" xr:uid="{00000000-0005-0000-0000-0000C5710000}"/>
    <cellStyle name="Normal 3 12 2 3 2 2" xfId="51580" xr:uid="{00000000-0005-0000-0000-0000C6710000}"/>
    <cellStyle name="Normal 3 12 2 3 3" xfId="38018" xr:uid="{00000000-0005-0000-0000-0000C7710000}"/>
    <cellStyle name="Normal 3 12 2 4" xfId="17666" xr:uid="{00000000-0005-0000-0000-0000C8710000}"/>
    <cellStyle name="Normal 3 12 2 4 2" xfId="44799" xr:uid="{00000000-0005-0000-0000-0000C9710000}"/>
    <cellStyle name="Normal 3 12 2 5" xfId="31237" xr:uid="{00000000-0005-0000-0000-0000CA710000}"/>
    <cellStyle name="Normal 3 12 3" xfId="7477" xr:uid="{00000000-0005-0000-0000-0000CB710000}"/>
    <cellStyle name="Normal 3 12 3 2" xfId="14267" xr:uid="{00000000-0005-0000-0000-0000CC710000}"/>
    <cellStyle name="Normal 3 12 3 2 2" xfId="27835" xr:uid="{00000000-0005-0000-0000-0000CD710000}"/>
    <cellStyle name="Normal 3 12 3 2 2 2" xfId="54968" xr:uid="{00000000-0005-0000-0000-0000CE710000}"/>
    <cellStyle name="Normal 3 12 3 2 3" xfId="41406" xr:uid="{00000000-0005-0000-0000-0000CF710000}"/>
    <cellStyle name="Normal 3 12 3 3" xfId="21054" xr:uid="{00000000-0005-0000-0000-0000D0710000}"/>
    <cellStyle name="Normal 3 12 3 3 2" xfId="48187" xr:uid="{00000000-0005-0000-0000-0000D1710000}"/>
    <cellStyle name="Normal 3 12 3 4" xfId="34625" xr:uid="{00000000-0005-0000-0000-0000D2710000}"/>
    <cellStyle name="Normal 3 12 4" xfId="10878" xr:uid="{00000000-0005-0000-0000-0000D3710000}"/>
    <cellStyle name="Normal 3 12 4 2" xfId="24446" xr:uid="{00000000-0005-0000-0000-0000D4710000}"/>
    <cellStyle name="Normal 3 12 4 2 2" xfId="51579" xr:uid="{00000000-0005-0000-0000-0000D5710000}"/>
    <cellStyle name="Normal 3 12 4 3" xfId="38017" xr:uid="{00000000-0005-0000-0000-0000D6710000}"/>
    <cellStyle name="Normal 3 12 5" xfId="17665" xr:uid="{00000000-0005-0000-0000-0000D7710000}"/>
    <cellStyle name="Normal 3 12 5 2" xfId="44798" xr:uid="{00000000-0005-0000-0000-0000D8710000}"/>
    <cellStyle name="Normal 3 12 6" xfId="31236" xr:uid="{00000000-0005-0000-0000-0000D9710000}"/>
    <cellStyle name="Normal 3 13" xfId="2666" xr:uid="{00000000-0005-0000-0000-0000DA710000}"/>
    <cellStyle name="Normal 3 13 2" xfId="2667" xr:uid="{00000000-0005-0000-0000-0000DB710000}"/>
    <cellStyle name="Normal 3 13 2 2" xfId="7480" xr:uid="{00000000-0005-0000-0000-0000DC710000}"/>
    <cellStyle name="Normal 3 13 2 2 2" xfId="14270" xr:uid="{00000000-0005-0000-0000-0000DD710000}"/>
    <cellStyle name="Normal 3 13 2 2 2 2" xfId="27838" xr:uid="{00000000-0005-0000-0000-0000DE710000}"/>
    <cellStyle name="Normal 3 13 2 2 2 2 2" xfId="54971" xr:uid="{00000000-0005-0000-0000-0000DF710000}"/>
    <cellStyle name="Normal 3 13 2 2 2 3" xfId="41409" xr:uid="{00000000-0005-0000-0000-0000E0710000}"/>
    <cellStyle name="Normal 3 13 2 2 3" xfId="21057" xr:uid="{00000000-0005-0000-0000-0000E1710000}"/>
    <cellStyle name="Normal 3 13 2 2 3 2" xfId="48190" xr:uid="{00000000-0005-0000-0000-0000E2710000}"/>
    <cellStyle name="Normal 3 13 2 2 4" xfId="34628" xr:uid="{00000000-0005-0000-0000-0000E3710000}"/>
    <cellStyle name="Normal 3 13 2 3" xfId="10881" xr:uid="{00000000-0005-0000-0000-0000E4710000}"/>
    <cellStyle name="Normal 3 13 2 3 2" xfId="24449" xr:uid="{00000000-0005-0000-0000-0000E5710000}"/>
    <cellStyle name="Normal 3 13 2 3 2 2" xfId="51582" xr:uid="{00000000-0005-0000-0000-0000E6710000}"/>
    <cellStyle name="Normal 3 13 2 3 3" xfId="38020" xr:uid="{00000000-0005-0000-0000-0000E7710000}"/>
    <cellStyle name="Normal 3 13 2 4" xfId="17668" xr:uid="{00000000-0005-0000-0000-0000E8710000}"/>
    <cellStyle name="Normal 3 13 2 4 2" xfId="44801" xr:uid="{00000000-0005-0000-0000-0000E9710000}"/>
    <cellStyle name="Normal 3 13 2 5" xfId="31239" xr:uid="{00000000-0005-0000-0000-0000EA710000}"/>
    <cellStyle name="Normal 3 13 3" xfId="7479" xr:uid="{00000000-0005-0000-0000-0000EB710000}"/>
    <cellStyle name="Normal 3 13 3 2" xfId="14269" xr:uid="{00000000-0005-0000-0000-0000EC710000}"/>
    <cellStyle name="Normal 3 13 3 2 2" xfId="27837" xr:uid="{00000000-0005-0000-0000-0000ED710000}"/>
    <cellStyle name="Normal 3 13 3 2 2 2" xfId="54970" xr:uid="{00000000-0005-0000-0000-0000EE710000}"/>
    <cellStyle name="Normal 3 13 3 2 3" xfId="41408" xr:uid="{00000000-0005-0000-0000-0000EF710000}"/>
    <cellStyle name="Normal 3 13 3 3" xfId="21056" xr:uid="{00000000-0005-0000-0000-0000F0710000}"/>
    <cellStyle name="Normal 3 13 3 3 2" xfId="48189" xr:uid="{00000000-0005-0000-0000-0000F1710000}"/>
    <cellStyle name="Normal 3 13 3 4" xfId="34627" xr:uid="{00000000-0005-0000-0000-0000F2710000}"/>
    <cellStyle name="Normal 3 13 4" xfId="10880" xr:uid="{00000000-0005-0000-0000-0000F3710000}"/>
    <cellStyle name="Normal 3 13 4 2" xfId="24448" xr:uid="{00000000-0005-0000-0000-0000F4710000}"/>
    <cellStyle name="Normal 3 13 4 2 2" xfId="51581" xr:uid="{00000000-0005-0000-0000-0000F5710000}"/>
    <cellStyle name="Normal 3 13 4 3" xfId="38019" xr:uid="{00000000-0005-0000-0000-0000F6710000}"/>
    <cellStyle name="Normal 3 13 5" xfId="17667" xr:uid="{00000000-0005-0000-0000-0000F7710000}"/>
    <cellStyle name="Normal 3 13 5 2" xfId="44800" xr:uid="{00000000-0005-0000-0000-0000F8710000}"/>
    <cellStyle name="Normal 3 13 6" xfId="31238" xr:uid="{00000000-0005-0000-0000-0000F9710000}"/>
    <cellStyle name="Normal 3 14" xfId="2668" xr:uid="{00000000-0005-0000-0000-0000FA710000}"/>
    <cellStyle name="Normal 3 14 2" xfId="2669" xr:uid="{00000000-0005-0000-0000-0000FB710000}"/>
    <cellStyle name="Normal 3 14 2 2" xfId="7482" xr:uid="{00000000-0005-0000-0000-0000FC710000}"/>
    <cellStyle name="Normal 3 14 2 2 2" xfId="14272" xr:uid="{00000000-0005-0000-0000-0000FD710000}"/>
    <cellStyle name="Normal 3 14 2 2 2 2" xfId="27840" xr:uid="{00000000-0005-0000-0000-0000FE710000}"/>
    <cellStyle name="Normal 3 14 2 2 2 2 2" xfId="54973" xr:uid="{00000000-0005-0000-0000-0000FF710000}"/>
    <cellStyle name="Normal 3 14 2 2 2 3" xfId="41411" xr:uid="{00000000-0005-0000-0000-000000720000}"/>
    <cellStyle name="Normal 3 14 2 2 3" xfId="21059" xr:uid="{00000000-0005-0000-0000-000001720000}"/>
    <cellStyle name="Normal 3 14 2 2 3 2" xfId="48192" xr:uid="{00000000-0005-0000-0000-000002720000}"/>
    <cellStyle name="Normal 3 14 2 2 4" xfId="34630" xr:uid="{00000000-0005-0000-0000-000003720000}"/>
    <cellStyle name="Normal 3 14 2 3" xfId="10883" xr:uid="{00000000-0005-0000-0000-000004720000}"/>
    <cellStyle name="Normal 3 14 2 3 2" xfId="24451" xr:uid="{00000000-0005-0000-0000-000005720000}"/>
    <cellStyle name="Normal 3 14 2 3 2 2" xfId="51584" xr:uid="{00000000-0005-0000-0000-000006720000}"/>
    <cellStyle name="Normal 3 14 2 3 3" xfId="38022" xr:uid="{00000000-0005-0000-0000-000007720000}"/>
    <cellStyle name="Normal 3 14 2 4" xfId="17670" xr:uid="{00000000-0005-0000-0000-000008720000}"/>
    <cellStyle name="Normal 3 14 2 4 2" xfId="44803" xr:uid="{00000000-0005-0000-0000-000009720000}"/>
    <cellStyle name="Normal 3 14 2 5" xfId="31241" xr:uid="{00000000-0005-0000-0000-00000A720000}"/>
    <cellStyle name="Normal 3 14 3" xfId="7481" xr:uid="{00000000-0005-0000-0000-00000B720000}"/>
    <cellStyle name="Normal 3 14 3 2" xfId="14271" xr:uid="{00000000-0005-0000-0000-00000C720000}"/>
    <cellStyle name="Normal 3 14 3 2 2" xfId="27839" xr:uid="{00000000-0005-0000-0000-00000D720000}"/>
    <cellStyle name="Normal 3 14 3 2 2 2" xfId="54972" xr:uid="{00000000-0005-0000-0000-00000E720000}"/>
    <cellStyle name="Normal 3 14 3 2 3" xfId="41410" xr:uid="{00000000-0005-0000-0000-00000F720000}"/>
    <cellStyle name="Normal 3 14 3 3" xfId="21058" xr:uid="{00000000-0005-0000-0000-000010720000}"/>
    <cellStyle name="Normal 3 14 3 3 2" xfId="48191" xr:uid="{00000000-0005-0000-0000-000011720000}"/>
    <cellStyle name="Normal 3 14 3 4" xfId="34629" xr:uid="{00000000-0005-0000-0000-000012720000}"/>
    <cellStyle name="Normal 3 14 4" xfId="10882" xr:uid="{00000000-0005-0000-0000-000013720000}"/>
    <cellStyle name="Normal 3 14 4 2" xfId="24450" xr:uid="{00000000-0005-0000-0000-000014720000}"/>
    <cellStyle name="Normal 3 14 4 2 2" xfId="51583" xr:uid="{00000000-0005-0000-0000-000015720000}"/>
    <cellStyle name="Normal 3 14 4 3" xfId="38021" xr:uid="{00000000-0005-0000-0000-000016720000}"/>
    <cellStyle name="Normal 3 14 5" xfId="17669" xr:uid="{00000000-0005-0000-0000-000017720000}"/>
    <cellStyle name="Normal 3 14 5 2" xfId="44802" xr:uid="{00000000-0005-0000-0000-000018720000}"/>
    <cellStyle name="Normal 3 14 6" xfId="31240" xr:uid="{00000000-0005-0000-0000-000019720000}"/>
    <cellStyle name="Normal 3 15" xfId="2670" xr:uid="{00000000-0005-0000-0000-00001A720000}"/>
    <cellStyle name="Normal 3 15 2" xfId="2671" xr:uid="{00000000-0005-0000-0000-00001B720000}"/>
    <cellStyle name="Normal 3 15 2 2" xfId="7484" xr:uid="{00000000-0005-0000-0000-00001C720000}"/>
    <cellStyle name="Normal 3 15 2 2 2" xfId="14274" xr:uid="{00000000-0005-0000-0000-00001D720000}"/>
    <cellStyle name="Normal 3 15 2 2 2 2" xfId="27842" xr:uid="{00000000-0005-0000-0000-00001E720000}"/>
    <cellStyle name="Normal 3 15 2 2 2 2 2" xfId="54975" xr:uid="{00000000-0005-0000-0000-00001F720000}"/>
    <cellStyle name="Normal 3 15 2 2 2 3" xfId="41413" xr:uid="{00000000-0005-0000-0000-000020720000}"/>
    <cellStyle name="Normal 3 15 2 2 3" xfId="21061" xr:uid="{00000000-0005-0000-0000-000021720000}"/>
    <cellStyle name="Normal 3 15 2 2 3 2" xfId="48194" xr:uid="{00000000-0005-0000-0000-000022720000}"/>
    <cellStyle name="Normal 3 15 2 2 4" xfId="34632" xr:uid="{00000000-0005-0000-0000-000023720000}"/>
    <cellStyle name="Normal 3 15 2 3" xfId="10885" xr:uid="{00000000-0005-0000-0000-000024720000}"/>
    <cellStyle name="Normal 3 15 2 3 2" xfId="24453" xr:uid="{00000000-0005-0000-0000-000025720000}"/>
    <cellStyle name="Normal 3 15 2 3 2 2" xfId="51586" xr:uid="{00000000-0005-0000-0000-000026720000}"/>
    <cellStyle name="Normal 3 15 2 3 3" xfId="38024" xr:uid="{00000000-0005-0000-0000-000027720000}"/>
    <cellStyle name="Normal 3 15 2 4" xfId="17672" xr:uid="{00000000-0005-0000-0000-000028720000}"/>
    <cellStyle name="Normal 3 15 2 4 2" xfId="44805" xr:uid="{00000000-0005-0000-0000-000029720000}"/>
    <cellStyle name="Normal 3 15 2 5" xfId="31243" xr:uid="{00000000-0005-0000-0000-00002A720000}"/>
    <cellStyle name="Normal 3 15 3" xfId="7483" xr:uid="{00000000-0005-0000-0000-00002B720000}"/>
    <cellStyle name="Normal 3 15 3 2" xfId="14273" xr:uid="{00000000-0005-0000-0000-00002C720000}"/>
    <cellStyle name="Normal 3 15 3 2 2" xfId="27841" xr:uid="{00000000-0005-0000-0000-00002D720000}"/>
    <cellStyle name="Normal 3 15 3 2 2 2" xfId="54974" xr:uid="{00000000-0005-0000-0000-00002E720000}"/>
    <cellStyle name="Normal 3 15 3 2 3" xfId="41412" xr:uid="{00000000-0005-0000-0000-00002F720000}"/>
    <cellStyle name="Normal 3 15 3 3" xfId="21060" xr:uid="{00000000-0005-0000-0000-000030720000}"/>
    <cellStyle name="Normal 3 15 3 3 2" xfId="48193" xr:uid="{00000000-0005-0000-0000-000031720000}"/>
    <cellStyle name="Normal 3 15 3 4" xfId="34631" xr:uid="{00000000-0005-0000-0000-000032720000}"/>
    <cellStyle name="Normal 3 15 4" xfId="10884" xr:uid="{00000000-0005-0000-0000-000033720000}"/>
    <cellStyle name="Normal 3 15 4 2" xfId="24452" xr:uid="{00000000-0005-0000-0000-000034720000}"/>
    <cellStyle name="Normal 3 15 4 2 2" xfId="51585" xr:uid="{00000000-0005-0000-0000-000035720000}"/>
    <cellStyle name="Normal 3 15 4 3" xfId="38023" xr:uid="{00000000-0005-0000-0000-000036720000}"/>
    <cellStyle name="Normal 3 15 5" xfId="17671" xr:uid="{00000000-0005-0000-0000-000037720000}"/>
    <cellStyle name="Normal 3 15 5 2" xfId="44804" xr:uid="{00000000-0005-0000-0000-000038720000}"/>
    <cellStyle name="Normal 3 15 6" xfId="31242" xr:uid="{00000000-0005-0000-0000-000039720000}"/>
    <cellStyle name="Normal 3 16" xfId="2672" xr:uid="{00000000-0005-0000-0000-00003A720000}"/>
    <cellStyle name="Normal 3 16 2" xfId="2673" xr:uid="{00000000-0005-0000-0000-00003B720000}"/>
    <cellStyle name="Normal 3 16 2 2" xfId="7486" xr:uid="{00000000-0005-0000-0000-00003C720000}"/>
    <cellStyle name="Normal 3 16 2 2 2" xfId="14276" xr:uid="{00000000-0005-0000-0000-00003D720000}"/>
    <cellStyle name="Normal 3 16 2 2 2 2" xfId="27844" xr:uid="{00000000-0005-0000-0000-00003E720000}"/>
    <cellStyle name="Normal 3 16 2 2 2 2 2" xfId="54977" xr:uid="{00000000-0005-0000-0000-00003F720000}"/>
    <cellStyle name="Normal 3 16 2 2 2 3" xfId="41415" xr:uid="{00000000-0005-0000-0000-000040720000}"/>
    <cellStyle name="Normal 3 16 2 2 3" xfId="21063" xr:uid="{00000000-0005-0000-0000-000041720000}"/>
    <cellStyle name="Normal 3 16 2 2 3 2" xfId="48196" xr:uid="{00000000-0005-0000-0000-000042720000}"/>
    <cellStyle name="Normal 3 16 2 2 4" xfId="34634" xr:uid="{00000000-0005-0000-0000-000043720000}"/>
    <cellStyle name="Normal 3 16 2 3" xfId="10887" xr:uid="{00000000-0005-0000-0000-000044720000}"/>
    <cellStyle name="Normal 3 16 2 3 2" xfId="24455" xr:uid="{00000000-0005-0000-0000-000045720000}"/>
    <cellStyle name="Normal 3 16 2 3 2 2" xfId="51588" xr:uid="{00000000-0005-0000-0000-000046720000}"/>
    <cellStyle name="Normal 3 16 2 3 3" xfId="38026" xr:uid="{00000000-0005-0000-0000-000047720000}"/>
    <cellStyle name="Normal 3 16 2 4" xfId="17674" xr:uid="{00000000-0005-0000-0000-000048720000}"/>
    <cellStyle name="Normal 3 16 2 4 2" xfId="44807" xr:uid="{00000000-0005-0000-0000-000049720000}"/>
    <cellStyle name="Normal 3 16 2 5" xfId="31245" xr:uid="{00000000-0005-0000-0000-00004A720000}"/>
    <cellStyle name="Normal 3 16 3" xfId="7485" xr:uid="{00000000-0005-0000-0000-00004B720000}"/>
    <cellStyle name="Normal 3 16 3 2" xfId="14275" xr:uid="{00000000-0005-0000-0000-00004C720000}"/>
    <cellStyle name="Normal 3 16 3 2 2" xfId="27843" xr:uid="{00000000-0005-0000-0000-00004D720000}"/>
    <cellStyle name="Normal 3 16 3 2 2 2" xfId="54976" xr:uid="{00000000-0005-0000-0000-00004E720000}"/>
    <cellStyle name="Normal 3 16 3 2 3" xfId="41414" xr:uid="{00000000-0005-0000-0000-00004F720000}"/>
    <cellStyle name="Normal 3 16 3 3" xfId="21062" xr:uid="{00000000-0005-0000-0000-000050720000}"/>
    <cellStyle name="Normal 3 16 3 3 2" xfId="48195" xr:uid="{00000000-0005-0000-0000-000051720000}"/>
    <cellStyle name="Normal 3 16 3 4" xfId="34633" xr:uid="{00000000-0005-0000-0000-000052720000}"/>
    <cellStyle name="Normal 3 16 4" xfId="10886" xr:uid="{00000000-0005-0000-0000-000053720000}"/>
    <cellStyle name="Normal 3 16 4 2" xfId="24454" xr:uid="{00000000-0005-0000-0000-000054720000}"/>
    <cellStyle name="Normal 3 16 4 2 2" xfId="51587" xr:uid="{00000000-0005-0000-0000-000055720000}"/>
    <cellStyle name="Normal 3 16 4 3" xfId="38025" xr:uid="{00000000-0005-0000-0000-000056720000}"/>
    <cellStyle name="Normal 3 16 5" xfId="17673" xr:uid="{00000000-0005-0000-0000-000057720000}"/>
    <cellStyle name="Normal 3 16 5 2" xfId="44806" xr:uid="{00000000-0005-0000-0000-000058720000}"/>
    <cellStyle name="Normal 3 16 6" xfId="31244" xr:uid="{00000000-0005-0000-0000-000059720000}"/>
    <cellStyle name="Normal 3 17" xfId="2674" xr:uid="{00000000-0005-0000-0000-00005A720000}"/>
    <cellStyle name="Normal 3 17 2" xfId="2675" xr:uid="{00000000-0005-0000-0000-00005B720000}"/>
    <cellStyle name="Normal 3 17 2 2" xfId="7488" xr:uid="{00000000-0005-0000-0000-00005C720000}"/>
    <cellStyle name="Normal 3 17 2 2 2" xfId="14278" xr:uid="{00000000-0005-0000-0000-00005D720000}"/>
    <cellStyle name="Normal 3 17 2 2 2 2" xfId="27846" xr:uid="{00000000-0005-0000-0000-00005E720000}"/>
    <cellStyle name="Normal 3 17 2 2 2 2 2" xfId="54979" xr:uid="{00000000-0005-0000-0000-00005F720000}"/>
    <cellStyle name="Normal 3 17 2 2 2 3" xfId="41417" xr:uid="{00000000-0005-0000-0000-000060720000}"/>
    <cellStyle name="Normal 3 17 2 2 3" xfId="21065" xr:uid="{00000000-0005-0000-0000-000061720000}"/>
    <cellStyle name="Normal 3 17 2 2 3 2" xfId="48198" xr:uid="{00000000-0005-0000-0000-000062720000}"/>
    <cellStyle name="Normal 3 17 2 2 4" xfId="34636" xr:uid="{00000000-0005-0000-0000-000063720000}"/>
    <cellStyle name="Normal 3 17 2 3" xfId="10889" xr:uid="{00000000-0005-0000-0000-000064720000}"/>
    <cellStyle name="Normal 3 17 2 3 2" xfId="24457" xr:uid="{00000000-0005-0000-0000-000065720000}"/>
    <cellStyle name="Normal 3 17 2 3 2 2" xfId="51590" xr:uid="{00000000-0005-0000-0000-000066720000}"/>
    <cellStyle name="Normal 3 17 2 3 3" xfId="38028" xr:uid="{00000000-0005-0000-0000-000067720000}"/>
    <cellStyle name="Normal 3 17 2 4" xfId="17676" xr:uid="{00000000-0005-0000-0000-000068720000}"/>
    <cellStyle name="Normal 3 17 2 4 2" xfId="44809" xr:uid="{00000000-0005-0000-0000-000069720000}"/>
    <cellStyle name="Normal 3 17 2 5" xfId="31247" xr:uid="{00000000-0005-0000-0000-00006A720000}"/>
    <cellStyle name="Normal 3 17 3" xfId="7487" xr:uid="{00000000-0005-0000-0000-00006B720000}"/>
    <cellStyle name="Normal 3 17 3 2" xfId="14277" xr:uid="{00000000-0005-0000-0000-00006C720000}"/>
    <cellStyle name="Normal 3 17 3 2 2" xfId="27845" xr:uid="{00000000-0005-0000-0000-00006D720000}"/>
    <cellStyle name="Normal 3 17 3 2 2 2" xfId="54978" xr:uid="{00000000-0005-0000-0000-00006E720000}"/>
    <cellStyle name="Normal 3 17 3 2 3" xfId="41416" xr:uid="{00000000-0005-0000-0000-00006F720000}"/>
    <cellStyle name="Normal 3 17 3 3" xfId="21064" xr:uid="{00000000-0005-0000-0000-000070720000}"/>
    <cellStyle name="Normal 3 17 3 3 2" xfId="48197" xr:uid="{00000000-0005-0000-0000-000071720000}"/>
    <cellStyle name="Normal 3 17 3 4" xfId="34635" xr:uid="{00000000-0005-0000-0000-000072720000}"/>
    <cellStyle name="Normal 3 17 4" xfId="10888" xr:uid="{00000000-0005-0000-0000-000073720000}"/>
    <cellStyle name="Normal 3 17 4 2" xfId="24456" xr:uid="{00000000-0005-0000-0000-000074720000}"/>
    <cellStyle name="Normal 3 17 4 2 2" xfId="51589" xr:uid="{00000000-0005-0000-0000-000075720000}"/>
    <cellStyle name="Normal 3 17 4 3" xfId="38027" xr:uid="{00000000-0005-0000-0000-000076720000}"/>
    <cellStyle name="Normal 3 17 5" xfId="17675" xr:uid="{00000000-0005-0000-0000-000077720000}"/>
    <cellStyle name="Normal 3 17 5 2" xfId="44808" xr:uid="{00000000-0005-0000-0000-000078720000}"/>
    <cellStyle name="Normal 3 17 6" xfId="31246" xr:uid="{00000000-0005-0000-0000-000079720000}"/>
    <cellStyle name="Normal 3 18" xfId="2676" xr:uid="{00000000-0005-0000-0000-00007A720000}"/>
    <cellStyle name="Normal 3 18 2" xfId="7489" xr:uid="{00000000-0005-0000-0000-00007B720000}"/>
    <cellStyle name="Normal 3 18 2 2" xfId="14279" xr:uid="{00000000-0005-0000-0000-00007C720000}"/>
    <cellStyle name="Normal 3 18 2 2 2" xfId="27847" xr:uid="{00000000-0005-0000-0000-00007D720000}"/>
    <cellStyle name="Normal 3 18 2 2 2 2" xfId="54980" xr:uid="{00000000-0005-0000-0000-00007E720000}"/>
    <cellStyle name="Normal 3 18 2 2 3" xfId="41418" xr:uid="{00000000-0005-0000-0000-00007F720000}"/>
    <cellStyle name="Normal 3 18 2 3" xfId="21066" xr:uid="{00000000-0005-0000-0000-000080720000}"/>
    <cellStyle name="Normal 3 18 2 3 2" xfId="48199" xr:uid="{00000000-0005-0000-0000-000081720000}"/>
    <cellStyle name="Normal 3 18 2 4" xfId="34637" xr:uid="{00000000-0005-0000-0000-000082720000}"/>
    <cellStyle name="Normal 3 18 3" xfId="10890" xr:uid="{00000000-0005-0000-0000-000083720000}"/>
    <cellStyle name="Normal 3 18 3 2" xfId="24458" xr:uid="{00000000-0005-0000-0000-000084720000}"/>
    <cellStyle name="Normal 3 18 3 2 2" xfId="51591" xr:uid="{00000000-0005-0000-0000-000085720000}"/>
    <cellStyle name="Normal 3 18 3 3" xfId="38029" xr:uid="{00000000-0005-0000-0000-000086720000}"/>
    <cellStyle name="Normal 3 18 4" xfId="17677" xr:uid="{00000000-0005-0000-0000-000087720000}"/>
    <cellStyle name="Normal 3 18 4 2" xfId="44810" xr:uid="{00000000-0005-0000-0000-000088720000}"/>
    <cellStyle name="Normal 3 18 5" xfId="31248" xr:uid="{00000000-0005-0000-0000-000089720000}"/>
    <cellStyle name="Normal 3 19" xfId="5595" xr:uid="{00000000-0005-0000-0000-00008A720000}"/>
    <cellStyle name="Normal 3 19 10" xfId="5596" xr:uid="{00000000-0005-0000-0000-00008B720000}"/>
    <cellStyle name="Normal 3 19 10 2" xfId="9139" xr:uid="{00000000-0005-0000-0000-00008C720000}"/>
    <cellStyle name="Normal 3 19 10 2 2" xfId="15929" xr:uid="{00000000-0005-0000-0000-00008D720000}"/>
    <cellStyle name="Normal 3 19 10 2 2 2" xfId="29497" xr:uid="{00000000-0005-0000-0000-00008E720000}"/>
    <cellStyle name="Normal 3 19 10 2 2 2 2" xfId="56630" xr:uid="{00000000-0005-0000-0000-00008F720000}"/>
    <cellStyle name="Normal 3 19 10 2 2 3" xfId="43068" xr:uid="{00000000-0005-0000-0000-000090720000}"/>
    <cellStyle name="Normal 3 19 10 2 3" xfId="22716" xr:uid="{00000000-0005-0000-0000-000091720000}"/>
    <cellStyle name="Normal 3 19 10 2 3 2" xfId="49849" xr:uid="{00000000-0005-0000-0000-000092720000}"/>
    <cellStyle name="Normal 3 19 10 2 4" xfId="36287" xr:uid="{00000000-0005-0000-0000-000093720000}"/>
    <cellStyle name="Normal 3 19 10 3" xfId="12540" xr:uid="{00000000-0005-0000-0000-000094720000}"/>
    <cellStyle name="Normal 3 19 10 3 2" xfId="26108" xr:uid="{00000000-0005-0000-0000-000095720000}"/>
    <cellStyle name="Normal 3 19 10 3 2 2" xfId="53241" xr:uid="{00000000-0005-0000-0000-000096720000}"/>
    <cellStyle name="Normal 3 19 10 3 3" xfId="39679" xr:uid="{00000000-0005-0000-0000-000097720000}"/>
    <cellStyle name="Normal 3 19 10 4" xfId="19327" xr:uid="{00000000-0005-0000-0000-000098720000}"/>
    <cellStyle name="Normal 3 19 10 4 2" xfId="46460" xr:uid="{00000000-0005-0000-0000-000099720000}"/>
    <cellStyle name="Normal 3 19 10 5" xfId="32898" xr:uid="{00000000-0005-0000-0000-00009A720000}"/>
    <cellStyle name="Normal 3 19 11" xfId="5597" xr:uid="{00000000-0005-0000-0000-00009B720000}"/>
    <cellStyle name="Normal 3 19 11 2" xfId="9140" xr:uid="{00000000-0005-0000-0000-00009C720000}"/>
    <cellStyle name="Normal 3 19 11 2 2" xfId="15930" xr:uid="{00000000-0005-0000-0000-00009D720000}"/>
    <cellStyle name="Normal 3 19 11 2 2 2" xfId="29498" xr:uid="{00000000-0005-0000-0000-00009E720000}"/>
    <cellStyle name="Normal 3 19 11 2 2 2 2" xfId="56631" xr:uid="{00000000-0005-0000-0000-00009F720000}"/>
    <cellStyle name="Normal 3 19 11 2 2 3" xfId="43069" xr:uid="{00000000-0005-0000-0000-0000A0720000}"/>
    <cellStyle name="Normal 3 19 11 2 3" xfId="22717" xr:uid="{00000000-0005-0000-0000-0000A1720000}"/>
    <cellStyle name="Normal 3 19 11 2 3 2" xfId="49850" xr:uid="{00000000-0005-0000-0000-0000A2720000}"/>
    <cellStyle name="Normal 3 19 11 2 4" xfId="36288" xr:uid="{00000000-0005-0000-0000-0000A3720000}"/>
    <cellStyle name="Normal 3 19 11 3" xfId="12541" xr:uid="{00000000-0005-0000-0000-0000A4720000}"/>
    <cellStyle name="Normal 3 19 11 3 2" xfId="26109" xr:uid="{00000000-0005-0000-0000-0000A5720000}"/>
    <cellStyle name="Normal 3 19 11 3 2 2" xfId="53242" xr:uid="{00000000-0005-0000-0000-0000A6720000}"/>
    <cellStyle name="Normal 3 19 11 3 3" xfId="39680" xr:uid="{00000000-0005-0000-0000-0000A7720000}"/>
    <cellStyle name="Normal 3 19 11 4" xfId="19328" xr:uid="{00000000-0005-0000-0000-0000A8720000}"/>
    <cellStyle name="Normal 3 19 11 4 2" xfId="46461" xr:uid="{00000000-0005-0000-0000-0000A9720000}"/>
    <cellStyle name="Normal 3 19 11 5" xfId="32899" xr:uid="{00000000-0005-0000-0000-0000AA720000}"/>
    <cellStyle name="Normal 3 19 2" xfId="5598" xr:uid="{00000000-0005-0000-0000-0000AB720000}"/>
    <cellStyle name="Normal 3 19 2 10" xfId="5599" xr:uid="{00000000-0005-0000-0000-0000AC720000}"/>
    <cellStyle name="Normal 3 19 2 10 2" xfId="9142" xr:uid="{00000000-0005-0000-0000-0000AD720000}"/>
    <cellStyle name="Normal 3 19 2 10 2 2" xfId="15932" xr:uid="{00000000-0005-0000-0000-0000AE720000}"/>
    <cellStyle name="Normal 3 19 2 10 2 2 2" xfId="29500" xr:uid="{00000000-0005-0000-0000-0000AF720000}"/>
    <cellStyle name="Normal 3 19 2 10 2 2 2 2" xfId="56633" xr:uid="{00000000-0005-0000-0000-0000B0720000}"/>
    <cellStyle name="Normal 3 19 2 10 2 2 3" xfId="43071" xr:uid="{00000000-0005-0000-0000-0000B1720000}"/>
    <cellStyle name="Normal 3 19 2 10 2 3" xfId="22719" xr:uid="{00000000-0005-0000-0000-0000B2720000}"/>
    <cellStyle name="Normal 3 19 2 10 2 3 2" xfId="49852" xr:uid="{00000000-0005-0000-0000-0000B3720000}"/>
    <cellStyle name="Normal 3 19 2 10 2 4" xfId="36290" xr:uid="{00000000-0005-0000-0000-0000B4720000}"/>
    <cellStyle name="Normal 3 19 2 10 3" xfId="12543" xr:uid="{00000000-0005-0000-0000-0000B5720000}"/>
    <cellStyle name="Normal 3 19 2 10 3 2" xfId="26111" xr:uid="{00000000-0005-0000-0000-0000B6720000}"/>
    <cellStyle name="Normal 3 19 2 10 3 2 2" xfId="53244" xr:uid="{00000000-0005-0000-0000-0000B7720000}"/>
    <cellStyle name="Normal 3 19 2 10 3 3" xfId="39682" xr:uid="{00000000-0005-0000-0000-0000B8720000}"/>
    <cellStyle name="Normal 3 19 2 10 4" xfId="19330" xr:uid="{00000000-0005-0000-0000-0000B9720000}"/>
    <cellStyle name="Normal 3 19 2 10 4 2" xfId="46463" xr:uid="{00000000-0005-0000-0000-0000BA720000}"/>
    <cellStyle name="Normal 3 19 2 10 5" xfId="32901" xr:uid="{00000000-0005-0000-0000-0000BB720000}"/>
    <cellStyle name="Normal 3 19 2 11" xfId="9141" xr:uid="{00000000-0005-0000-0000-0000BC720000}"/>
    <cellStyle name="Normal 3 19 2 11 2" xfId="15931" xr:uid="{00000000-0005-0000-0000-0000BD720000}"/>
    <cellStyle name="Normal 3 19 2 11 2 2" xfId="29499" xr:uid="{00000000-0005-0000-0000-0000BE720000}"/>
    <cellStyle name="Normal 3 19 2 11 2 2 2" xfId="56632" xr:uid="{00000000-0005-0000-0000-0000BF720000}"/>
    <cellStyle name="Normal 3 19 2 11 2 3" xfId="43070" xr:uid="{00000000-0005-0000-0000-0000C0720000}"/>
    <cellStyle name="Normal 3 19 2 11 3" xfId="22718" xr:uid="{00000000-0005-0000-0000-0000C1720000}"/>
    <cellStyle name="Normal 3 19 2 11 3 2" xfId="49851" xr:uid="{00000000-0005-0000-0000-0000C2720000}"/>
    <cellStyle name="Normal 3 19 2 11 4" xfId="36289" xr:uid="{00000000-0005-0000-0000-0000C3720000}"/>
    <cellStyle name="Normal 3 19 2 12" xfId="12542" xr:uid="{00000000-0005-0000-0000-0000C4720000}"/>
    <cellStyle name="Normal 3 19 2 12 2" xfId="26110" xr:uid="{00000000-0005-0000-0000-0000C5720000}"/>
    <cellStyle name="Normal 3 19 2 12 2 2" xfId="53243" xr:uid="{00000000-0005-0000-0000-0000C6720000}"/>
    <cellStyle name="Normal 3 19 2 12 3" xfId="39681" xr:uid="{00000000-0005-0000-0000-0000C7720000}"/>
    <cellStyle name="Normal 3 19 2 13" xfId="19329" xr:uid="{00000000-0005-0000-0000-0000C8720000}"/>
    <cellStyle name="Normal 3 19 2 13 2" xfId="46462" xr:uid="{00000000-0005-0000-0000-0000C9720000}"/>
    <cellStyle name="Normal 3 19 2 14" xfId="32900" xr:uid="{00000000-0005-0000-0000-0000CA720000}"/>
    <cellStyle name="Normal 3 19 2 2" xfId="5600" xr:uid="{00000000-0005-0000-0000-0000CB720000}"/>
    <cellStyle name="Normal 3 19 2 2 10" xfId="12544" xr:uid="{00000000-0005-0000-0000-0000CC720000}"/>
    <cellStyle name="Normal 3 19 2 2 10 2" xfId="26112" xr:uid="{00000000-0005-0000-0000-0000CD720000}"/>
    <cellStyle name="Normal 3 19 2 2 10 2 2" xfId="53245" xr:uid="{00000000-0005-0000-0000-0000CE720000}"/>
    <cellStyle name="Normal 3 19 2 2 10 3" xfId="39683" xr:uid="{00000000-0005-0000-0000-0000CF720000}"/>
    <cellStyle name="Normal 3 19 2 2 11" xfId="19331" xr:uid="{00000000-0005-0000-0000-0000D0720000}"/>
    <cellStyle name="Normal 3 19 2 2 11 2" xfId="46464" xr:uid="{00000000-0005-0000-0000-0000D1720000}"/>
    <cellStyle name="Normal 3 19 2 2 12" xfId="32902" xr:uid="{00000000-0005-0000-0000-0000D2720000}"/>
    <cellStyle name="Normal 3 19 2 2 2" xfId="5601" xr:uid="{00000000-0005-0000-0000-0000D3720000}"/>
    <cellStyle name="Normal 3 19 2 2 2 10" xfId="32903" xr:uid="{00000000-0005-0000-0000-0000D4720000}"/>
    <cellStyle name="Normal 3 19 2 2 2 2" xfId="5602" xr:uid="{00000000-0005-0000-0000-0000D5720000}"/>
    <cellStyle name="Normal 3 19 2 2 2 2 2" xfId="5603" xr:uid="{00000000-0005-0000-0000-0000D6720000}"/>
    <cellStyle name="Normal 3 19 2 2 2 2 2 2" xfId="5604" xr:uid="{00000000-0005-0000-0000-0000D7720000}"/>
    <cellStyle name="Normal 3 19 2 2 2 2 2 2 2" xfId="9147" xr:uid="{00000000-0005-0000-0000-0000D8720000}"/>
    <cellStyle name="Normal 3 19 2 2 2 2 2 2 2 2" xfId="15937" xr:uid="{00000000-0005-0000-0000-0000D9720000}"/>
    <cellStyle name="Normal 3 19 2 2 2 2 2 2 2 2 2" xfId="29505" xr:uid="{00000000-0005-0000-0000-0000DA720000}"/>
    <cellStyle name="Normal 3 19 2 2 2 2 2 2 2 2 2 2" xfId="56638" xr:uid="{00000000-0005-0000-0000-0000DB720000}"/>
    <cellStyle name="Normal 3 19 2 2 2 2 2 2 2 2 3" xfId="43076" xr:uid="{00000000-0005-0000-0000-0000DC720000}"/>
    <cellStyle name="Normal 3 19 2 2 2 2 2 2 2 3" xfId="22724" xr:uid="{00000000-0005-0000-0000-0000DD720000}"/>
    <cellStyle name="Normal 3 19 2 2 2 2 2 2 2 3 2" xfId="49857" xr:uid="{00000000-0005-0000-0000-0000DE720000}"/>
    <cellStyle name="Normal 3 19 2 2 2 2 2 2 2 4" xfId="36295" xr:uid="{00000000-0005-0000-0000-0000DF720000}"/>
    <cellStyle name="Normal 3 19 2 2 2 2 2 2 3" xfId="12548" xr:uid="{00000000-0005-0000-0000-0000E0720000}"/>
    <cellStyle name="Normal 3 19 2 2 2 2 2 2 3 2" xfId="26116" xr:uid="{00000000-0005-0000-0000-0000E1720000}"/>
    <cellStyle name="Normal 3 19 2 2 2 2 2 2 3 2 2" xfId="53249" xr:uid="{00000000-0005-0000-0000-0000E2720000}"/>
    <cellStyle name="Normal 3 19 2 2 2 2 2 2 3 3" xfId="39687" xr:uid="{00000000-0005-0000-0000-0000E3720000}"/>
    <cellStyle name="Normal 3 19 2 2 2 2 2 2 4" xfId="19335" xr:uid="{00000000-0005-0000-0000-0000E4720000}"/>
    <cellStyle name="Normal 3 19 2 2 2 2 2 2 4 2" xfId="46468" xr:uid="{00000000-0005-0000-0000-0000E5720000}"/>
    <cellStyle name="Normal 3 19 2 2 2 2 2 2 5" xfId="32906" xr:uid="{00000000-0005-0000-0000-0000E6720000}"/>
    <cellStyle name="Normal 3 19 2 2 2 2 2 3" xfId="5605" xr:uid="{00000000-0005-0000-0000-0000E7720000}"/>
    <cellStyle name="Normal 3 19 2 2 2 2 2 3 2" xfId="9148" xr:uid="{00000000-0005-0000-0000-0000E8720000}"/>
    <cellStyle name="Normal 3 19 2 2 2 2 2 3 2 2" xfId="15938" xr:uid="{00000000-0005-0000-0000-0000E9720000}"/>
    <cellStyle name="Normal 3 19 2 2 2 2 2 3 2 2 2" xfId="29506" xr:uid="{00000000-0005-0000-0000-0000EA720000}"/>
    <cellStyle name="Normal 3 19 2 2 2 2 2 3 2 2 2 2" xfId="56639" xr:uid="{00000000-0005-0000-0000-0000EB720000}"/>
    <cellStyle name="Normal 3 19 2 2 2 2 2 3 2 2 3" xfId="43077" xr:uid="{00000000-0005-0000-0000-0000EC720000}"/>
    <cellStyle name="Normal 3 19 2 2 2 2 2 3 2 3" xfId="22725" xr:uid="{00000000-0005-0000-0000-0000ED720000}"/>
    <cellStyle name="Normal 3 19 2 2 2 2 2 3 2 3 2" xfId="49858" xr:uid="{00000000-0005-0000-0000-0000EE720000}"/>
    <cellStyle name="Normal 3 19 2 2 2 2 2 3 2 4" xfId="36296" xr:uid="{00000000-0005-0000-0000-0000EF720000}"/>
    <cellStyle name="Normal 3 19 2 2 2 2 2 3 3" xfId="12549" xr:uid="{00000000-0005-0000-0000-0000F0720000}"/>
    <cellStyle name="Normal 3 19 2 2 2 2 2 3 3 2" xfId="26117" xr:uid="{00000000-0005-0000-0000-0000F1720000}"/>
    <cellStyle name="Normal 3 19 2 2 2 2 2 3 3 2 2" xfId="53250" xr:uid="{00000000-0005-0000-0000-0000F2720000}"/>
    <cellStyle name="Normal 3 19 2 2 2 2 2 3 3 3" xfId="39688" xr:uid="{00000000-0005-0000-0000-0000F3720000}"/>
    <cellStyle name="Normal 3 19 2 2 2 2 2 3 4" xfId="19336" xr:uid="{00000000-0005-0000-0000-0000F4720000}"/>
    <cellStyle name="Normal 3 19 2 2 2 2 2 3 4 2" xfId="46469" xr:uid="{00000000-0005-0000-0000-0000F5720000}"/>
    <cellStyle name="Normal 3 19 2 2 2 2 2 3 5" xfId="32907" xr:uid="{00000000-0005-0000-0000-0000F6720000}"/>
    <cellStyle name="Normal 3 19 2 2 2 2 2 4" xfId="9146" xr:uid="{00000000-0005-0000-0000-0000F7720000}"/>
    <cellStyle name="Normal 3 19 2 2 2 2 2 4 2" xfId="15936" xr:uid="{00000000-0005-0000-0000-0000F8720000}"/>
    <cellStyle name="Normal 3 19 2 2 2 2 2 4 2 2" xfId="29504" xr:uid="{00000000-0005-0000-0000-0000F9720000}"/>
    <cellStyle name="Normal 3 19 2 2 2 2 2 4 2 2 2" xfId="56637" xr:uid="{00000000-0005-0000-0000-0000FA720000}"/>
    <cellStyle name="Normal 3 19 2 2 2 2 2 4 2 3" xfId="43075" xr:uid="{00000000-0005-0000-0000-0000FB720000}"/>
    <cellStyle name="Normal 3 19 2 2 2 2 2 4 3" xfId="22723" xr:uid="{00000000-0005-0000-0000-0000FC720000}"/>
    <cellStyle name="Normal 3 19 2 2 2 2 2 4 3 2" xfId="49856" xr:uid="{00000000-0005-0000-0000-0000FD720000}"/>
    <cellStyle name="Normal 3 19 2 2 2 2 2 4 4" xfId="36294" xr:uid="{00000000-0005-0000-0000-0000FE720000}"/>
    <cellStyle name="Normal 3 19 2 2 2 2 2 5" xfId="12547" xr:uid="{00000000-0005-0000-0000-0000FF720000}"/>
    <cellStyle name="Normal 3 19 2 2 2 2 2 5 2" xfId="26115" xr:uid="{00000000-0005-0000-0000-000000730000}"/>
    <cellStyle name="Normal 3 19 2 2 2 2 2 5 2 2" xfId="53248" xr:uid="{00000000-0005-0000-0000-000001730000}"/>
    <cellStyle name="Normal 3 19 2 2 2 2 2 5 3" xfId="39686" xr:uid="{00000000-0005-0000-0000-000002730000}"/>
    <cellStyle name="Normal 3 19 2 2 2 2 2 6" xfId="19334" xr:uid="{00000000-0005-0000-0000-000003730000}"/>
    <cellStyle name="Normal 3 19 2 2 2 2 2 6 2" xfId="46467" xr:uid="{00000000-0005-0000-0000-000004730000}"/>
    <cellStyle name="Normal 3 19 2 2 2 2 2 7" xfId="32905" xr:uid="{00000000-0005-0000-0000-000005730000}"/>
    <cellStyle name="Normal 3 19 2 2 2 2 3" xfId="5606" xr:uid="{00000000-0005-0000-0000-000006730000}"/>
    <cellStyle name="Normal 3 19 2 2 2 2 3 2" xfId="5607" xr:uid="{00000000-0005-0000-0000-000007730000}"/>
    <cellStyle name="Normal 3 19 2 2 2 2 3 2 2" xfId="9150" xr:uid="{00000000-0005-0000-0000-000008730000}"/>
    <cellStyle name="Normal 3 19 2 2 2 2 3 2 2 2" xfId="15940" xr:uid="{00000000-0005-0000-0000-000009730000}"/>
    <cellStyle name="Normal 3 19 2 2 2 2 3 2 2 2 2" xfId="29508" xr:uid="{00000000-0005-0000-0000-00000A730000}"/>
    <cellStyle name="Normal 3 19 2 2 2 2 3 2 2 2 2 2" xfId="56641" xr:uid="{00000000-0005-0000-0000-00000B730000}"/>
    <cellStyle name="Normal 3 19 2 2 2 2 3 2 2 2 3" xfId="43079" xr:uid="{00000000-0005-0000-0000-00000C730000}"/>
    <cellStyle name="Normal 3 19 2 2 2 2 3 2 2 3" xfId="22727" xr:uid="{00000000-0005-0000-0000-00000D730000}"/>
    <cellStyle name="Normal 3 19 2 2 2 2 3 2 2 3 2" xfId="49860" xr:uid="{00000000-0005-0000-0000-00000E730000}"/>
    <cellStyle name="Normal 3 19 2 2 2 2 3 2 2 4" xfId="36298" xr:uid="{00000000-0005-0000-0000-00000F730000}"/>
    <cellStyle name="Normal 3 19 2 2 2 2 3 2 3" xfId="12551" xr:uid="{00000000-0005-0000-0000-000010730000}"/>
    <cellStyle name="Normal 3 19 2 2 2 2 3 2 3 2" xfId="26119" xr:uid="{00000000-0005-0000-0000-000011730000}"/>
    <cellStyle name="Normal 3 19 2 2 2 2 3 2 3 2 2" xfId="53252" xr:uid="{00000000-0005-0000-0000-000012730000}"/>
    <cellStyle name="Normal 3 19 2 2 2 2 3 2 3 3" xfId="39690" xr:uid="{00000000-0005-0000-0000-000013730000}"/>
    <cellStyle name="Normal 3 19 2 2 2 2 3 2 4" xfId="19338" xr:uid="{00000000-0005-0000-0000-000014730000}"/>
    <cellStyle name="Normal 3 19 2 2 2 2 3 2 4 2" xfId="46471" xr:uid="{00000000-0005-0000-0000-000015730000}"/>
    <cellStyle name="Normal 3 19 2 2 2 2 3 2 5" xfId="32909" xr:uid="{00000000-0005-0000-0000-000016730000}"/>
    <cellStyle name="Normal 3 19 2 2 2 2 3 3" xfId="9149" xr:uid="{00000000-0005-0000-0000-000017730000}"/>
    <cellStyle name="Normal 3 19 2 2 2 2 3 3 2" xfId="15939" xr:uid="{00000000-0005-0000-0000-000018730000}"/>
    <cellStyle name="Normal 3 19 2 2 2 2 3 3 2 2" xfId="29507" xr:uid="{00000000-0005-0000-0000-000019730000}"/>
    <cellStyle name="Normal 3 19 2 2 2 2 3 3 2 2 2" xfId="56640" xr:uid="{00000000-0005-0000-0000-00001A730000}"/>
    <cellStyle name="Normal 3 19 2 2 2 2 3 3 2 3" xfId="43078" xr:uid="{00000000-0005-0000-0000-00001B730000}"/>
    <cellStyle name="Normal 3 19 2 2 2 2 3 3 3" xfId="22726" xr:uid="{00000000-0005-0000-0000-00001C730000}"/>
    <cellStyle name="Normal 3 19 2 2 2 2 3 3 3 2" xfId="49859" xr:uid="{00000000-0005-0000-0000-00001D730000}"/>
    <cellStyle name="Normal 3 19 2 2 2 2 3 3 4" xfId="36297" xr:uid="{00000000-0005-0000-0000-00001E730000}"/>
    <cellStyle name="Normal 3 19 2 2 2 2 3 4" xfId="12550" xr:uid="{00000000-0005-0000-0000-00001F730000}"/>
    <cellStyle name="Normal 3 19 2 2 2 2 3 4 2" xfId="26118" xr:uid="{00000000-0005-0000-0000-000020730000}"/>
    <cellStyle name="Normal 3 19 2 2 2 2 3 4 2 2" xfId="53251" xr:uid="{00000000-0005-0000-0000-000021730000}"/>
    <cellStyle name="Normal 3 19 2 2 2 2 3 4 3" xfId="39689" xr:uid="{00000000-0005-0000-0000-000022730000}"/>
    <cellStyle name="Normal 3 19 2 2 2 2 3 5" xfId="19337" xr:uid="{00000000-0005-0000-0000-000023730000}"/>
    <cellStyle name="Normal 3 19 2 2 2 2 3 5 2" xfId="46470" xr:uid="{00000000-0005-0000-0000-000024730000}"/>
    <cellStyle name="Normal 3 19 2 2 2 2 3 6" xfId="32908" xr:uid="{00000000-0005-0000-0000-000025730000}"/>
    <cellStyle name="Normal 3 19 2 2 2 2 4" xfId="5608" xr:uid="{00000000-0005-0000-0000-000026730000}"/>
    <cellStyle name="Normal 3 19 2 2 2 2 4 2" xfId="9151" xr:uid="{00000000-0005-0000-0000-000027730000}"/>
    <cellStyle name="Normal 3 19 2 2 2 2 4 2 2" xfId="15941" xr:uid="{00000000-0005-0000-0000-000028730000}"/>
    <cellStyle name="Normal 3 19 2 2 2 2 4 2 2 2" xfId="29509" xr:uid="{00000000-0005-0000-0000-000029730000}"/>
    <cellStyle name="Normal 3 19 2 2 2 2 4 2 2 2 2" xfId="56642" xr:uid="{00000000-0005-0000-0000-00002A730000}"/>
    <cellStyle name="Normal 3 19 2 2 2 2 4 2 2 3" xfId="43080" xr:uid="{00000000-0005-0000-0000-00002B730000}"/>
    <cellStyle name="Normal 3 19 2 2 2 2 4 2 3" xfId="22728" xr:uid="{00000000-0005-0000-0000-00002C730000}"/>
    <cellStyle name="Normal 3 19 2 2 2 2 4 2 3 2" xfId="49861" xr:uid="{00000000-0005-0000-0000-00002D730000}"/>
    <cellStyle name="Normal 3 19 2 2 2 2 4 2 4" xfId="36299" xr:uid="{00000000-0005-0000-0000-00002E730000}"/>
    <cellStyle name="Normal 3 19 2 2 2 2 4 3" xfId="12552" xr:uid="{00000000-0005-0000-0000-00002F730000}"/>
    <cellStyle name="Normal 3 19 2 2 2 2 4 3 2" xfId="26120" xr:uid="{00000000-0005-0000-0000-000030730000}"/>
    <cellStyle name="Normal 3 19 2 2 2 2 4 3 2 2" xfId="53253" xr:uid="{00000000-0005-0000-0000-000031730000}"/>
    <cellStyle name="Normal 3 19 2 2 2 2 4 3 3" xfId="39691" xr:uid="{00000000-0005-0000-0000-000032730000}"/>
    <cellStyle name="Normal 3 19 2 2 2 2 4 4" xfId="19339" xr:uid="{00000000-0005-0000-0000-000033730000}"/>
    <cellStyle name="Normal 3 19 2 2 2 2 4 4 2" xfId="46472" xr:uid="{00000000-0005-0000-0000-000034730000}"/>
    <cellStyle name="Normal 3 19 2 2 2 2 4 5" xfId="32910" xr:uid="{00000000-0005-0000-0000-000035730000}"/>
    <cellStyle name="Normal 3 19 2 2 2 2 5" xfId="5609" xr:uid="{00000000-0005-0000-0000-000036730000}"/>
    <cellStyle name="Normal 3 19 2 2 2 2 5 2" xfId="9152" xr:uid="{00000000-0005-0000-0000-000037730000}"/>
    <cellStyle name="Normal 3 19 2 2 2 2 5 2 2" xfId="15942" xr:uid="{00000000-0005-0000-0000-000038730000}"/>
    <cellStyle name="Normal 3 19 2 2 2 2 5 2 2 2" xfId="29510" xr:uid="{00000000-0005-0000-0000-000039730000}"/>
    <cellStyle name="Normal 3 19 2 2 2 2 5 2 2 2 2" xfId="56643" xr:uid="{00000000-0005-0000-0000-00003A730000}"/>
    <cellStyle name="Normal 3 19 2 2 2 2 5 2 2 3" xfId="43081" xr:uid="{00000000-0005-0000-0000-00003B730000}"/>
    <cellStyle name="Normal 3 19 2 2 2 2 5 2 3" xfId="22729" xr:uid="{00000000-0005-0000-0000-00003C730000}"/>
    <cellStyle name="Normal 3 19 2 2 2 2 5 2 3 2" xfId="49862" xr:uid="{00000000-0005-0000-0000-00003D730000}"/>
    <cellStyle name="Normal 3 19 2 2 2 2 5 2 4" xfId="36300" xr:uid="{00000000-0005-0000-0000-00003E730000}"/>
    <cellStyle name="Normal 3 19 2 2 2 2 5 3" xfId="12553" xr:uid="{00000000-0005-0000-0000-00003F730000}"/>
    <cellStyle name="Normal 3 19 2 2 2 2 5 3 2" xfId="26121" xr:uid="{00000000-0005-0000-0000-000040730000}"/>
    <cellStyle name="Normal 3 19 2 2 2 2 5 3 2 2" xfId="53254" xr:uid="{00000000-0005-0000-0000-000041730000}"/>
    <cellStyle name="Normal 3 19 2 2 2 2 5 3 3" xfId="39692" xr:uid="{00000000-0005-0000-0000-000042730000}"/>
    <cellStyle name="Normal 3 19 2 2 2 2 5 4" xfId="19340" xr:uid="{00000000-0005-0000-0000-000043730000}"/>
    <cellStyle name="Normal 3 19 2 2 2 2 5 4 2" xfId="46473" xr:uid="{00000000-0005-0000-0000-000044730000}"/>
    <cellStyle name="Normal 3 19 2 2 2 2 5 5" xfId="32911" xr:uid="{00000000-0005-0000-0000-000045730000}"/>
    <cellStyle name="Normal 3 19 2 2 2 2 6" xfId="9145" xr:uid="{00000000-0005-0000-0000-000046730000}"/>
    <cellStyle name="Normal 3 19 2 2 2 2 6 2" xfId="15935" xr:uid="{00000000-0005-0000-0000-000047730000}"/>
    <cellStyle name="Normal 3 19 2 2 2 2 6 2 2" xfId="29503" xr:uid="{00000000-0005-0000-0000-000048730000}"/>
    <cellStyle name="Normal 3 19 2 2 2 2 6 2 2 2" xfId="56636" xr:uid="{00000000-0005-0000-0000-000049730000}"/>
    <cellStyle name="Normal 3 19 2 2 2 2 6 2 3" xfId="43074" xr:uid="{00000000-0005-0000-0000-00004A730000}"/>
    <cellStyle name="Normal 3 19 2 2 2 2 6 3" xfId="22722" xr:uid="{00000000-0005-0000-0000-00004B730000}"/>
    <cellStyle name="Normal 3 19 2 2 2 2 6 3 2" xfId="49855" xr:uid="{00000000-0005-0000-0000-00004C730000}"/>
    <cellStyle name="Normal 3 19 2 2 2 2 6 4" xfId="36293" xr:uid="{00000000-0005-0000-0000-00004D730000}"/>
    <cellStyle name="Normal 3 19 2 2 2 2 7" xfId="12546" xr:uid="{00000000-0005-0000-0000-00004E730000}"/>
    <cellStyle name="Normal 3 19 2 2 2 2 7 2" xfId="26114" xr:uid="{00000000-0005-0000-0000-00004F730000}"/>
    <cellStyle name="Normal 3 19 2 2 2 2 7 2 2" xfId="53247" xr:uid="{00000000-0005-0000-0000-000050730000}"/>
    <cellStyle name="Normal 3 19 2 2 2 2 7 3" xfId="39685" xr:uid="{00000000-0005-0000-0000-000051730000}"/>
    <cellStyle name="Normal 3 19 2 2 2 2 8" xfId="19333" xr:uid="{00000000-0005-0000-0000-000052730000}"/>
    <cellStyle name="Normal 3 19 2 2 2 2 8 2" xfId="46466" xr:uid="{00000000-0005-0000-0000-000053730000}"/>
    <cellStyle name="Normal 3 19 2 2 2 2 9" xfId="32904" xr:uid="{00000000-0005-0000-0000-000054730000}"/>
    <cellStyle name="Normal 3 19 2 2 2 3" xfId="5610" xr:uid="{00000000-0005-0000-0000-000055730000}"/>
    <cellStyle name="Normal 3 19 2 2 2 3 2" xfId="5611" xr:uid="{00000000-0005-0000-0000-000056730000}"/>
    <cellStyle name="Normal 3 19 2 2 2 3 2 2" xfId="9154" xr:uid="{00000000-0005-0000-0000-000057730000}"/>
    <cellStyle name="Normal 3 19 2 2 2 3 2 2 2" xfId="15944" xr:uid="{00000000-0005-0000-0000-000058730000}"/>
    <cellStyle name="Normal 3 19 2 2 2 3 2 2 2 2" xfId="29512" xr:uid="{00000000-0005-0000-0000-000059730000}"/>
    <cellStyle name="Normal 3 19 2 2 2 3 2 2 2 2 2" xfId="56645" xr:uid="{00000000-0005-0000-0000-00005A730000}"/>
    <cellStyle name="Normal 3 19 2 2 2 3 2 2 2 3" xfId="43083" xr:uid="{00000000-0005-0000-0000-00005B730000}"/>
    <cellStyle name="Normal 3 19 2 2 2 3 2 2 3" xfId="22731" xr:uid="{00000000-0005-0000-0000-00005C730000}"/>
    <cellStyle name="Normal 3 19 2 2 2 3 2 2 3 2" xfId="49864" xr:uid="{00000000-0005-0000-0000-00005D730000}"/>
    <cellStyle name="Normal 3 19 2 2 2 3 2 2 4" xfId="36302" xr:uid="{00000000-0005-0000-0000-00005E730000}"/>
    <cellStyle name="Normal 3 19 2 2 2 3 2 3" xfId="12555" xr:uid="{00000000-0005-0000-0000-00005F730000}"/>
    <cellStyle name="Normal 3 19 2 2 2 3 2 3 2" xfId="26123" xr:uid="{00000000-0005-0000-0000-000060730000}"/>
    <cellStyle name="Normal 3 19 2 2 2 3 2 3 2 2" xfId="53256" xr:uid="{00000000-0005-0000-0000-000061730000}"/>
    <cellStyle name="Normal 3 19 2 2 2 3 2 3 3" xfId="39694" xr:uid="{00000000-0005-0000-0000-000062730000}"/>
    <cellStyle name="Normal 3 19 2 2 2 3 2 4" xfId="19342" xr:uid="{00000000-0005-0000-0000-000063730000}"/>
    <cellStyle name="Normal 3 19 2 2 2 3 2 4 2" xfId="46475" xr:uid="{00000000-0005-0000-0000-000064730000}"/>
    <cellStyle name="Normal 3 19 2 2 2 3 2 5" xfId="32913" xr:uid="{00000000-0005-0000-0000-000065730000}"/>
    <cellStyle name="Normal 3 19 2 2 2 3 3" xfId="5612" xr:uid="{00000000-0005-0000-0000-000066730000}"/>
    <cellStyle name="Normal 3 19 2 2 2 3 3 2" xfId="9155" xr:uid="{00000000-0005-0000-0000-000067730000}"/>
    <cellStyle name="Normal 3 19 2 2 2 3 3 2 2" xfId="15945" xr:uid="{00000000-0005-0000-0000-000068730000}"/>
    <cellStyle name="Normal 3 19 2 2 2 3 3 2 2 2" xfId="29513" xr:uid="{00000000-0005-0000-0000-000069730000}"/>
    <cellStyle name="Normal 3 19 2 2 2 3 3 2 2 2 2" xfId="56646" xr:uid="{00000000-0005-0000-0000-00006A730000}"/>
    <cellStyle name="Normal 3 19 2 2 2 3 3 2 2 3" xfId="43084" xr:uid="{00000000-0005-0000-0000-00006B730000}"/>
    <cellStyle name="Normal 3 19 2 2 2 3 3 2 3" xfId="22732" xr:uid="{00000000-0005-0000-0000-00006C730000}"/>
    <cellStyle name="Normal 3 19 2 2 2 3 3 2 3 2" xfId="49865" xr:uid="{00000000-0005-0000-0000-00006D730000}"/>
    <cellStyle name="Normal 3 19 2 2 2 3 3 2 4" xfId="36303" xr:uid="{00000000-0005-0000-0000-00006E730000}"/>
    <cellStyle name="Normal 3 19 2 2 2 3 3 3" xfId="12556" xr:uid="{00000000-0005-0000-0000-00006F730000}"/>
    <cellStyle name="Normal 3 19 2 2 2 3 3 3 2" xfId="26124" xr:uid="{00000000-0005-0000-0000-000070730000}"/>
    <cellStyle name="Normal 3 19 2 2 2 3 3 3 2 2" xfId="53257" xr:uid="{00000000-0005-0000-0000-000071730000}"/>
    <cellStyle name="Normal 3 19 2 2 2 3 3 3 3" xfId="39695" xr:uid="{00000000-0005-0000-0000-000072730000}"/>
    <cellStyle name="Normal 3 19 2 2 2 3 3 4" xfId="19343" xr:uid="{00000000-0005-0000-0000-000073730000}"/>
    <cellStyle name="Normal 3 19 2 2 2 3 3 4 2" xfId="46476" xr:uid="{00000000-0005-0000-0000-000074730000}"/>
    <cellStyle name="Normal 3 19 2 2 2 3 3 5" xfId="32914" xr:uid="{00000000-0005-0000-0000-000075730000}"/>
    <cellStyle name="Normal 3 19 2 2 2 3 4" xfId="9153" xr:uid="{00000000-0005-0000-0000-000076730000}"/>
    <cellStyle name="Normal 3 19 2 2 2 3 4 2" xfId="15943" xr:uid="{00000000-0005-0000-0000-000077730000}"/>
    <cellStyle name="Normal 3 19 2 2 2 3 4 2 2" xfId="29511" xr:uid="{00000000-0005-0000-0000-000078730000}"/>
    <cellStyle name="Normal 3 19 2 2 2 3 4 2 2 2" xfId="56644" xr:uid="{00000000-0005-0000-0000-000079730000}"/>
    <cellStyle name="Normal 3 19 2 2 2 3 4 2 3" xfId="43082" xr:uid="{00000000-0005-0000-0000-00007A730000}"/>
    <cellStyle name="Normal 3 19 2 2 2 3 4 3" xfId="22730" xr:uid="{00000000-0005-0000-0000-00007B730000}"/>
    <cellStyle name="Normal 3 19 2 2 2 3 4 3 2" xfId="49863" xr:uid="{00000000-0005-0000-0000-00007C730000}"/>
    <cellStyle name="Normal 3 19 2 2 2 3 4 4" xfId="36301" xr:uid="{00000000-0005-0000-0000-00007D730000}"/>
    <cellStyle name="Normal 3 19 2 2 2 3 5" xfId="12554" xr:uid="{00000000-0005-0000-0000-00007E730000}"/>
    <cellStyle name="Normal 3 19 2 2 2 3 5 2" xfId="26122" xr:uid="{00000000-0005-0000-0000-00007F730000}"/>
    <cellStyle name="Normal 3 19 2 2 2 3 5 2 2" xfId="53255" xr:uid="{00000000-0005-0000-0000-000080730000}"/>
    <cellStyle name="Normal 3 19 2 2 2 3 5 3" xfId="39693" xr:uid="{00000000-0005-0000-0000-000081730000}"/>
    <cellStyle name="Normal 3 19 2 2 2 3 6" xfId="19341" xr:uid="{00000000-0005-0000-0000-000082730000}"/>
    <cellStyle name="Normal 3 19 2 2 2 3 6 2" xfId="46474" xr:uid="{00000000-0005-0000-0000-000083730000}"/>
    <cellStyle name="Normal 3 19 2 2 2 3 7" xfId="32912" xr:uid="{00000000-0005-0000-0000-000084730000}"/>
    <cellStyle name="Normal 3 19 2 2 2 4" xfId="5613" xr:uid="{00000000-0005-0000-0000-000085730000}"/>
    <cellStyle name="Normal 3 19 2 2 2 4 2" xfId="5614" xr:uid="{00000000-0005-0000-0000-000086730000}"/>
    <cellStyle name="Normal 3 19 2 2 2 4 2 2" xfId="9157" xr:uid="{00000000-0005-0000-0000-000087730000}"/>
    <cellStyle name="Normal 3 19 2 2 2 4 2 2 2" xfId="15947" xr:uid="{00000000-0005-0000-0000-000088730000}"/>
    <cellStyle name="Normal 3 19 2 2 2 4 2 2 2 2" xfId="29515" xr:uid="{00000000-0005-0000-0000-000089730000}"/>
    <cellStyle name="Normal 3 19 2 2 2 4 2 2 2 2 2" xfId="56648" xr:uid="{00000000-0005-0000-0000-00008A730000}"/>
    <cellStyle name="Normal 3 19 2 2 2 4 2 2 2 3" xfId="43086" xr:uid="{00000000-0005-0000-0000-00008B730000}"/>
    <cellStyle name="Normal 3 19 2 2 2 4 2 2 3" xfId="22734" xr:uid="{00000000-0005-0000-0000-00008C730000}"/>
    <cellStyle name="Normal 3 19 2 2 2 4 2 2 3 2" xfId="49867" xr:uid="{00000000-0005-0000-0000-00008D730000}"/>
    <cellStyle name="Normal 3 19 2 2 2 4 2 2 4" xfId="36305" xr:uid="{00000000-0005-0000-0000-00008E730000}"/>
    <cellStyle name="Normal 3 19 2 2 2 4 2 3" xfId="12558" xr:uid="{00000000-0005-0000-0000-00008F730000}"/>
    <cellStyle name="Normal 3 19 2 2 2 4 2 3 2" xfId="26126" xr:uid="{00000000-0005-0000-0000-000090730000}"/>
    <cellStyle name="Normal 3 19 2 2 2 4 2 3 2 2" xfId="53259" xr:uid="{00000000-0005-0000-0000-000091730000}"/>
    <cellStyle name="Normal 3 19 2 2 2 4 2 3 3" xfId="39697" xr:uid="{00000000-0005-0000-0000-000092730000}"/>
    <cellStyle name="Normal 3 19 2 2 2 4 2 4" xfId="19345" xr:uid="{00000000-0005-0000-0000-000093730000}"/>
    <cellStyle name="Normal 3 19 2 2 2 4 2 4 2" xfId="46478" xr:uid="{00000000-0005-0000-0000-000094730000}"/>
    <cellStyle name="Normal 3 19 2 2 2 4 2 5" xfId="32916" xr:uid="{00000000-0005-0000-0000-000095730000}"/>
    <cellStyle name="Normal 3 19 2 2 2 4 3" xfId="9156" xr:uid="{00000000-0005-0000-0000-000096730000}"/>
    <cellStyle name="Normal 3 19 2 2 2 4 3 2" xfId="15946" xr:uid="{00000000-0005-0000-0000-000097730000}"/>
    <cellStyle name="Normal 3 19 2 2 2 4 3 2 2" xfId="29514" xr:uid="{00000000-0005-0000-0000-000098730000}"/>
    <cellStyle name="Normal 3 19 2 2 2 4 3 2 2 2" xfId="56647" xr:uid="{00000000-0005-0000-0000-000099730000}"/>
    <cellStyle name="Normal 3 19 2 2 2 4 3 2 3" xfId="43085" xr:uid="{00000000-0005-0000-0000-00009A730000}"/>
    <cellStyle name="Normal 3 19 2 2 2 4 3 3" xfId="22733" xr:uid="{00000000-0005-0000-0000-00009B730000}"/>
    <cellStyle name="Normal 3 19 2 2 2 4 3 3 2" xfId="49866" xr:uid="{00000000-0005-0000-0000-00009C730000}"/>
    <cellStyle name="Normal 3 19 2 2 2 4 3 4" xfId="36304" xr:uid="{00000000-0005-0000-0000-00009D730000}"/>
    <cellStyle name="Normal 3 19 2 2 2 4 4" xfId="12557" xr:uid="{00000000-0005-0000-0000-00009E730000}"/>
    <cellStyle name="Normal 3 19 2 2 2 4 4 2" xfId="26125" xr:uid="{00000000-0005-0000-0000-00009F730000}"/>
    <cellStyle name="Normal 3 19 2 2 2 4 4 2 2" xfId="53258" xr:uid="{00000000-0005-0000-0000-0000A0730000}"/>
    <cellStyle name="Normal 3 19 2 2 2 4 4 3" xfId="39696" xr:uid="{00000000-0005-0000-0000-0000A1730000}"/>
    <cellStyle name="Normal 3 19 2 2 2 4 5" xfId="19344" xr:uid="{00000000-0005-0000-0000-0000A2730000}"/>
    <cellStyle name="Normal 3 19 2 2 2 4 5 2" xfId="46477" xr:uid="{00000000-0005-0000-0000-0000A3730000}"/>
    <cellStyle name="Normal 3 19 2 2 2 4 6" xfId="32915" xr:uid="{00000000-0005-0000-0000-0000A4730000}"/>
    <cellStyle name="Normal 3 19 2 2 2 5" xfId="5615" xr:uid="{00000000-0005-0000-0000-0000A5730000}"/>
    <cellStyle name="Normal 3 19 2 2 2 5 2" xfId="9158" xr:uid="{00000000-0005-0000-0000-0000A6730000}"/>
    <cellStyle name="Normal 3 19 2 2 2 5 2 2" xfId="15948" xr:uid="{00000000-0005-0000-0000-0000A7730000}"/>
    <cellStyle name="Normal 3 19 2 2 2 5 2 2 2" xfId="29516" xr:uid="{00000000-0005-0000-0000-0000A8730000}"/>
    <cellStyle name="Normal 3 19 2 2 2 5 2 2 2 2" xfId="56649" xr:uid="{00000000-0005-0000-0000-0000A9730000}"/>
    <cellStyle name="Normal 3 19 2 2 2 5 2 2 3" xfId="43087" xr:uid="{00000000-0005-0000-0000-0000AA730000}"/>
    <cellStyle name="Normal 3 19 2 2 2 5 2 3" xfId="22735" xr:uid="{00000000-0005-0000-0000-0000AB730000}"/>
    <cellStyle name="Normal 3 19 2 2 2 5 2 3 2" xfId="49868" xr:uid="{00000000-0005-0000-0000-0000AC730000}"/>
    <cellStyle name="Normal 3 19 2 2 2 5 2 4" xfId="36306" xr:uid="{00000000-0005-0000-0000-0000AD730000}"/>
    <cellStyle name="Normal 3 19 2 2 2 5 3" xfId="12559" xr:uid="{00000000-0005-0000-0000-0000AE730000}"/>
    <cellStyle name="Normal 3 19 2 2 2 5 3 2" xfId="26127" xr:uid="{00000000-0005-0000-0000-0000AF730000}"/>
    <cellStyle name="Normal 3 19 2 2 2 5 3 2 2" xfId="53260" xr:uid="{00000000-0005-0000-0000-0000B0730000}"/>
    <cellStyle name="Normal 3 19 2 2 2 5 3 3" xfId="39698" xr:uid="{00000000-0005-0000-0000-0000B1730000}"/>
    <cellStyle name="Normal 3 19 2 2 2 5 4" xfId="19346" xr:uid="{00000000-0005-0000-0000-0000B2730000}"/>
    <cellStyle name="Normal 3 19 2 2 2 5 4 2" xfId="46479" xr:uid="{00000000-0005-0000-0000-0000B3730000}"/>
    <cellStyle name="Normal 3 19 2 2 2 5 5" xfId="32917" xr:uid="{00000000-0005-0000-0000-0000B4730000}"/>
    <cellStyle name="Normal 3 19 2 2 2 6" xfId="5616" xr:uid="{00000000-0005-0000-0000-0000B5730000}"/>
    <cellStyle name="Normal 3 19 2 2 2 6 2" xfId="9159" xr:uid="{00000000-0005-0000-0000-0000B6730000}"/>
    <cellStyle name="Normal 3 19 2 2 2 6 2 2" xfId="15949" xr:uid="{00000000-0005-0000-0000-0000B7730000}"/>
    <cellStyle name="Normal 3 19 2 2 2 6 2 2 2" xfId="29517" xr:uid="{00000000-0005-0000-0000-0000B8730000}"/>
    <cellStyle name="Normal 3 19 2 2 2 6 2 2 2 2" xfId="56650" xr:uid="{00000000-0005-0000-0000-0000B9730000}"/>
    <cellStyle name="Normal 3 19 2 2 2 6 2 2 3" xfId="43088" xr:uid="{00000000-0005-0000-0000-0000BA730000}"/>
    <cellStyle name="Normal 3 19 2 2 2 6 2 3" xfId="22736" xr:uid="{00000000-0005-0000-0000-0000BB730000}"/>
    <cellStyle name="Normal 3 19 2 2 2 6 2 3 2" xfId="49869" xr:uid="{00000000-0005-0000-0000-0000BC730000}"/>
    <cellStyle name="Normal 3 19 2 2 2 6 2 4" xfId="36307" xr:uid="{00000000-0005-0000-0000-0000BD730000}"/>
    <cellStyle name="Normal 3 19 2 2 2 6 3" xfId="12560" xr:uid="{00000000-0005-0000-0000-0000BE730000}"/>
    <cellStyle name="Normal 3 19 2 2 2 6 3 2" xfId="26128" xr:uid="{00000000-0005-0000-0000-0000BF730000}"/>
    <cellStyle name="Normal 3 19 2 2 2 6 3 2 2" xfId="53261" xr:uid="{00000000-0005-0000-0000-0000C0730000}"/>
    <cellStyle name="Normal 3 19 2 2 2 6 3 3" xfId="39699" xr:uid="{00000000-0005-0000-0000-0000C1730000}"/>
    <cellStyle name="Normal 3 19 2 2 2 6 4" xfId="19347" xr:uid="{00000000-0005-0000-0000-0000C2730000}"/>
    <cellStyle name="Normal 3 19 2 2 2 6 4 2" xfId="46480" xr:uid="{00000000-0005-0000-0000-0000C3730000}"/>
    <cellStyle name="Normal 3 19 2 2 2 6 5" xfId="32918" xr:uid="{00000000-0005-0000-0000-0000C4730000}"/>
    <cellStyle name="Normal 3 19 2 2 2 7" xfId="9144" xr:uid="{00000000-0005-0000-0000-0000C5730000}"/>
    <cellStyle name="Normal 3 19 2 2 2 7 2" xfId="15934" xr:uid="{00000000-0005-0000-0000-0000C6730000}"/>
    <cellStyle name="Normal 3 19 2 2 2 7 2 2" xfId="29502" xr:uid="{00000000-0005-0000-0000-0000C7730000}"/>
    <cellStyle name="Normal 3 19 2 2 2 7 2 2 2" xfId="56635" xr:uid="{00000000-0005-0000-0000-0000C8730000}"/>
    <cellStyle name="Normal 3 19 2 2 2 7 2 3" xfId="43073" xr:uid="{00000000-0005-0000-0000-0000C9730000}"/>
    <cellStyle name="Normal 3 19 2 2 2 7 3" xfId="22721" xr:uid="{00000000-0005-0000-0000-0000CA730000}"/>
    <cellStyle name="Normal 3 19 2 2 2 7 3 2" xfId="49854" xr:uid="{00000000-0005-0000-0000-0000CB730000}"/>
    <cellStyle name="Normal 3 19 2 2 2 7 4" xfId="36292" xr:uid="{00000000-0005-0000-0000-0000CC730000}"/>
    <cellStyle name="Normal 3 19 2 2 2 8" xfId="12545" xr:uid="{00000000-0005-0000-0000-0000CD730000}"/>
    <cellStyle name="Normal 3 19 2 2 2 8 2" xfId="26113" xr:uid="{00000000-0005-0000-0000-0000CE730000}"/>
    <cellStyle name="Normal 3 19 2 2 2 8 2 2" xfId="53246" xr:uid="{00000000-0005-0000-0000-0000CF730000}"/>
    <cellStyle name="Normal 3 19 2 2 2 8 3" xfId="39684" xr:uid="{00000000-0005-0000-0000-0000D0730000}"/>
    <cellStyle name="Normal 3 19 2 2 2 9" xfId="19332" xr:uid="{00000000-0005-0000-0000-0000D1730000}"/>
    <cellStyle name="Normal 3 19 2 2 2 9 2" xfId="46465" xr:uid="{00000000-0005-0000-0000-0000D2730000}"/>
    <cellStyle name="Normal 3 19 2 2 3" xfId="5617" xr:uid="{00000000-0005-0000-0000-0000D3730000}"/>
    <cellStyle name="Normal 3 19 2 2 3 2" xfId="5618" xr:uid="{00000000-0005-0000-0000-0000D4730000}"/>
    <cellStyle name="Normal 3 19 2 2 3 2 2" xfId="5619" xr:uid="{00000000-0005-0000-0000-0000D5730000}"/>
    <cellStyle name="Normal 3 19 2 2 3 2 2 2" xfId="9162" xr:uid="{00000000-0005-0000-0000-0000D6730000}"/>
    <cellStyle name="Normal 3 19 2 2 3 2 2 2 2" xfId="15952" xr:uid="{00000000-0005-0000-0000-0000D7730000}"/>
    <cellStyle name="Normal 3 19 2 2 3 2 2 2 2 2" xfId="29520" xr:uid="{00000000-0005-0000-0000-0000D8730000}"/>
    <cellStyle name="Normal 3 19 2 2 3 2 2 2 2 2 2" xfId="56653" xr:uid="{00000000-0005-0000-0000-0000D9730000}"/>
    <cellStyle name="Normal 3 19 2 2 3 2 2 2 2 3" xfId="43091" xr:uid="{00000000-0005-0000-0000-0000DA730000}"/>
    <cellStyle name="Normal 3 19 2 2 3 2 2 2 3" xfId="22739" xr:uid="{00000000-0005-0000-0000-0000DB730000}"/>
    <cellStyle name="Normal 3 19 2 2 3 2 2 2 3 2" xfId="49872" xr:uid="{00000000-0005-0000-0000-0000DC730000}"/>
    <cellStyle name="Normal 3 19 2 2 3 2 2 2 4" xfId="36310" xr:uid="{00000000-0005-0000-0000-0000DD730000}"/>
    <cellStyle name="Normal 3 19 2 2 3 2 2 3" xfId="12563" xr:uid="{00000000-0005-0000-0000-0000DE730000}"/>
    <cellStyle name="Normal 3 19 2 2 3 2 2 3 2" xfId="26131" xr:uid="{00000000-0005-0000-0000-0000DF730000}"/>
    <cellStyle name="Normal 3 19 2 2 3 2 2 3 2 2" xfId="53264" xr:uid="{00000000-0005-0000-0000-0000E0730000}"/>
    <cellStyle name="Normal 3 19 2 2 3 2 2 3 3" xfId="39702" xr:uid="{00000000-0005-0000-0000-0000E1730000}"/>
    <cellStyle name="Normal 3 19 2 2 3 2 2 4" xfId="19350" xr:uid="{00000000-0005-0000-0000-0000E2730000}"/>
    <cellStyle name="Normal 3 19 2 2 3 2 2 4 2" xfId="46483" xr:uid="{00000000-0005-0000-0000-0000E3730000}"/>
    <cellStyle name="Normal 3 19 2 2 3 2 2 5" xfId="32921" xr:uid="{00000000-0005-0000-0000-0000E4730000}"/>
    <cellStyle name="Normal 3 19 2 2 3 2 3" xfId="5620" xr:uid="{00000000-0005-0000-0000-0000E5730000}"/>
    <cellStyle name="Normal 3 19 2 2 3 2 3 2" xfId="9163" xr:uid="{00000000-0005-0000-0000-0000E6730000}"/>
    <cellStyle name="Normal 3 19 2 2 3 2 3 2 2" xfId="15953" xr:uid="{00000000-0005-0000-0000-0000E7730000}"/>
    <cellStyle name="Normal 3 19 2 2 3 2 3 2 2 2" xfId="29521" xr:uid="{00000000-0005-0000-0000-0000E8730000}"/>
    <cellStyle name="Normal 3 19 2 2 3 2 3 2 2 2 2" xfId="56654" xr:uid="{00000000-0005-0000-0000-0000E9730000}"/>
    <cellStyle name="Normal 3 19 2 2 3 2 3 2 2 3" xfId="43092" xr:uid="{00000000-0005-0000-0000-0000EA730000}"/>
    <cellStyle name="Normal 3 19 2 2 3 2 3 2 3" xfId="22740" xr:uid="{00000000-0005-0000-0000-0000EB730000}"/>
    <cellStyle name="Normal 3 19 2 2 3 2 3 2 3 2" xfId="49873" xr:uid="{00000000-0005-0000-0000-0000EC730000}"/>
    <cellStyle name="Normal 3 19 2 2 3 2 3 2 4" xfId="36311" xr:uid="{00000000-0005-0000-0000-0000ED730000}"/>
    <cellStyle name="Normal 3 19 2 2 3 2 3 3" xfId="12564" xr:uid="{00000000-0005-0000-0000-0000EE730000}"/>
    <cellStyle name="Normal 3 19 2 2 3 2 3 3 2" xfId="26132" xr:uid="{00000000-0005-0000-0000-0000EF730000}"/>
    <cellStyle name="Normal 3 19 2 2 3 2 3 3 2 2" xfId="53265" xr:uid="{00000000-0005-0000-0000-0000F0730000}"/>
    <cellStyle name="Normal 3 19 2 2 3 2 3 3 3" xfId="39703" xr:uid="{00000000-0005-0000-0000-0000F1730000}"/>
    <cellStyle name="Normal 3 19 2 2 3 2 3 4" xfId="19351" xr:uid="{00000000-0005-0000-0000-0000F2730000}"/>
    <cellStyle name="Normal 3 19 2 2 3 2 3 4 2" xfId="46484" xr:uid="{00000000-0005-0000-0000-0000F3730000}"/>
    <cellStyle name="Normal 3 19 2 2 3 2 3 5" xfId="32922" xr:uid="{00000000-0005-0000-0000-0000F4730000}"/>
    <cellStyle name="Normal 3 19 2 2 3 2 4" xfId="9161" xr:uid="{00000000-0005-0000-0000-0000F5730000}"/>
    <cellStyle name="Normal 3 19 2 2 3 2 4 2" xfId="15951" xr:uid="{00000000-0005-0000-0000-0000F6730000}"/>
    <cellStyle name="Normal 3 19 2 2 3 2 4 2 2" xfId="29519" xr:uid="{00000000-0005-0000-0000-0000F7730000}"/>
    <cellStyle name="Normal 3 19 2 2 3 2 4 2 2 2" xfId="56652" xr:uid="{00000000-0005-0000-0000-0000F8730000}"/>
    <cellStyle name="Normal 3 19 2 2 3 2 4 2 3" xfId="43090" xr:uid="{00000000-0005-0000-0000-0000F9730000}"/>
    <cellStyle name="Normal 3 19 2 2 3 2 4 3" xfId="22738" xr:uid="{00000000-0005-0000-0000-0000FA730000}"/>
    <cellStyle name="Normal 3 19 2 2 3 2 4 3 2" xfId="49871" xr:uid="{00000000-0005-0000-0000-0000FB730000}"/>
    <cellStyle name="Normal 3 19 2 2 3 2 4 4" xfId="36309" xr:uid="{00000000-0005-0000-0000-0000FC730000}"/>
    <cellStyle name="Normal 3 19 2 2 3 2 5" xfId="12562" xr:uid="{00000000-0005-0000-0000-0000FD730000}"/>
    <cellStyle name="Normal 3 19 2 2 3 2 5 2" xfId="26130" xr:uid="{00000000-0005-0000-0000-0000FE730000}"/>
    <cellStyle name="Normal 3 19 2 2 3 2 5 2 2" xfId="53263" xr:uid="{00000000-0005-0000-0000-0000FF730000}"/>
    <cellStyle name="Normal 3 19 2 2 3 2 5 3" xfId="39701" xr:uid="{00000000-0005-0000-0000-000000740000}"/>
    <cellStyle name="Normal 3 19 2 2 3 2 6" xfId="19349" xr:uid="{00000000-0005-0000-0000-000001740000}"/>
    <cellStyle name="Normal 3 19 2 2 3 2 6 2" xfId="46482" xr:uid="{00000000-0005-0000-0000-000002740000}"/>
    <cellStyle name="Normal 3 19 2 2 3 2 7" xfId="32920" xr:uid="{00000000-0005-0000-0000-000003740000}"/>
    <cellStyle name="Normal 3 19 2 2 3 3" xfId="5621" xr:uid="{00000000-0005-0000-0000-000004740000}"/>
    <cellStyle name="Normal 3 19 2 2 3 3 2" xfId="5622" xr:uid="{00000000-0005-0000-0000-000005740000}"/>
    <cellStyle name="Normal 3 19 2 2 3 3 2 2" xfId="9165" xr:uid="{00000000-0005-0000-0000-000006740000}"/>
    <cellStyle name="Normal 3 19 2 2 3 3 2 2 2" xfId="15955" xr:uid="{00000000-0005-0000-0000-000007740000}"/>
    <cellStyle name="Normal 3 19 2 2 3 3 2 2 2 2" xfId="29523" xr:uid="{00000000-0005-0000-0000-000008740000}"/>
    <cellStyle name="Normal 3 19 2 2 3 3 2 2 2 2 2" xfId="56656" xr:uid="{00000000-0005-0000-0000-000009740000}"/>
    <cellStyle name="Normal 3 19 2 2 3 3 2 2 2 3" xfId="43094" xr:uid="{00000000-0005-0000-0000-00000A740000}"/>
    <cellStyle name="Normal 3 19 2 2 3 3 2 2 3" xfId="22742" xr:uid="{00000000-0005-0000-0000-00000B740000}"/>
    <cellStyle name="Normal 3 19 2 2 3 3 2 2 3 2" xfId="49875" xr:uid="{00000000-0005-0000-0000-00000C740000}"/>
    <cellStyle name="Normal 3 19 2 2 3 3 2 2 4" xfId="36313" xr:uid="{00000000-0005-0000-0000-00000D740000}"/>
    <cellStyle name="Normal 3 19 2 2 3 3 2 3" xfId="12566" xr:uid="{00000000-0005-0000-0000-00000E740000}"/>
    <cellStyle name="Normal 3 19 2 2 3 3 2 3 2" xfId="26134" xr:uid="{00000000-0005-0000-0000-00000F740000}"/>
    <cellStyle name="Normal 3 19 2 2 3 3 2 3 2 2" xfId="53267" xr:uid="{00000000-0005-0000-0000-000010740000}"/>
    <cellStyle name="Normal 3 19 2 2 3 3 2 3 3" xfId="39705" xr:uid="{00000000-0005-0000-0000-000011740000}"/>
    <cellStyle name="Normal 3 19 2 2 3 3 2 4" xfId="19353" xr:uid="{00000000-0005-0000-0000-000012740000}"/>
    <cellStyle name="Normal 3 19 2 2 3 3 2 4 2" xfId="46486" xr:uid="{00000000-0005-0000-0000-000013740000}"/>
    <cellStyle name="Normal 3 19 2 2 3 3 2 5" xfId="32924" xr:uid="{00000000-0005-0000-0000-000014740000}"/>
    <cellStyle name="Normal 3 19 2 2 3 3 3" xfId="9164" xr:uid="{00000000-0005-0000-0000-000015740000}"/>
    <cellStyle name="Normal 3 19 2 2 3 3 3 2" xfId="15954" xr:uid="{00000000-0005-0000-0000-000016740000}"/>
    <cellStyle name="Normal 3 19 2 2 3 3 3 2 2" xfId="29522" xr:uid="{00000000-0005-0000-0000-000017740000}"/>
    <cellStyle name="Normal 3 19 2 2 3 3 3 2 2 2" xfId="56655" xr:uid="{00000000-0005-0000-0000-000018740000}"/>
    <cellStyle name="Normal 3 19 2 2 3 3 3 2 3" xfId="43093" xr:uid="{00000000-0005-0000-0000-000019740000}"/>
    <cellStyle name="Normal 3 19 2 2 3 3 3 3" xfId="22741" xr:uid="{00000000-0005-0000-0000-00001A740000}"/>
    <cellStyle name="Normal 3 19 2 2 3 3 3 3 2" xfId="49874" xr:uid="{00000000-0005-0000-0000-00001B740000}"/>
    <cellStyle name="Normal 3 19 2 2 3 3 3 4" xfId="36312" xr:uid="{00000000-0005-0000-0000-00001C740000}"/>
    <cellStyle name="Normal 3 19 2 2 3 3 4" xfId="12565" xr:uid="{00000000-0005-0000-0000-00001D740000}"/>
    <cellStyle name="Normal 3 19 2 2 3 3 4 2" xfId="26133" xr:uid="{00000000-0005-0000-0000-00001E740000}"/>
    <cellStyle name="Normal 3 19 2 2 3 3 4 2 2" xfId="53266" xr:uid="{00000000-0005-0000-0000-00001F740000}"/>
    <cellStyle name="Normal 3 19 2 2 3 3 4 3" xfId="39704" xr:uid="{00000000-0005-0000-0000-000020740000}"/>
    <cellStyle name="Normal 3 19 2 2 3 3 5" xfId="19352" xr:uid="{00000000-0005-0000-0000-000021740000}"/>
    <cellStyle name="Normal 3 19 2 2 3 3 5 2" xfId="46485" xr:uid="{00000000-0005-0000-0000-000022740000}"/>
    <cellStyle name="Normal 3 19 2 2 3 3 6" xfId="32923" xr:uid="{00000000-0005-0000-0000-000023740000}"/>
    <cellStyle name="Normal 3 19 2 2 3 4" xfId="5623" xr:uid="{00000000-0005-0000-0000-000024740000}"/>
    <cellStyle name="Normal 3 19 2 2 3 4 2" xfId="9166" xr:uid="{00000000-0005-0000-0000-000025740000}"/>
    <cellStyle name="Normal 3 19 2 2 3 4 2 2" xfId="15956" xr:uid="{00000000-0005-0000-0000-000026740000}"/>
    <cellStyle name="Normal 3 19 2 2 3 4 2 2 2" xfId="29524" xr:uid="{00000000-0005-0000-0000-000027740000}"/>
    <cellStyle name="Normal 3 19 2 2 3 4 2 2 2 2" xfId="56657" xr:uid="{00000000-0005-0000-0000-000028740000}"/>
    <cellStyle name="Normal 3 19 2 2 3 4 2 2 3" xfId="43095" xr:uid="{00000000-0005-0000-0000-000029740000}"/>
    <cellStyle name="Normal 3 19 2 2 3 4 2 3" xfId="22743" xr:uid="{00000000-0005-0000-0000-00002A740000}"/>
    <cellStyle name="Normal 3 19 2 2 3 4 2 3 2" xfId="49876" xr:uid="{00000000-0005-0000-0000-00002B740000}"/>
    <cellStyle name="Normal 3 19 2 2 3 4 2 4" xfId="36314" xr:uid="{00000000-0005-0000-0000-00002C740000}"/>
    <cellStyle name="Normal 3 19 2 2 3 4 3" xfId="12567" xr:uid="{00000000-0005-0000-0000-00002D740000}"/>
    <cellStyle name="Normal 3 19 2 2 3 4 3 2" xfId="26135" xr:uid="{00000000-0005-0000-0000-00002E740000}"/>
    <cellStyle name="Normal 3 19 2 2 3 4 3 2 2" xfId="53268" xr:uid="{00000000-0005-0000-0000-00002F740000}"/>
    <cellStyle name="Normal 3 19 2 2 3 4 3 3" xfId="39706" xr:uid="{00000000-0005-0000-0000-000030740000}"/>
    <cellStyle name="Normal 3 19 2 2 3 4 4" xfId="19354" xr:uid="{00000000-0005-0000-0000-000031740000}"/>
    <cellStyle name="Normal 3 19 2 2 3 4 4 2" xfId="46487" xr:uid="{00000000-0005-0000-0000-000032740000}"/>
    <cellStyle name="Normal 3 19 2 2 3 4 5" xfId="32925" xr:uid="{00000000-0005-0000-0000-000033740000}"/>
    <cellStyle name="Normal 3 19 2 2 3 5" xfId="5624" xr:uid="{00000000-0005-0000-0000-000034740000}"/>
    <cellStyle name="Normal 3 19 2 2 3 5 2" xfId="9167" xr:uid="{00000000-0005-0000-0000-000035740000}"/>
    <cellStyle name="Normal 3 19 2 2 3 5 2 2" xfId="15957" xr:uid="{00000000-0005-0000-0000-000036740000}"/>
    <cellStyle name="Normal 3 19 2 2 3 5 2 2 2" xfId="29525" xr:uid="{00000000-0005-0000-0000-000037740000}"/>
    <cellStyle name="Normal 3 19 2 2 3 5 2 2 2 2" xfId="56658" xr:uid="{00000000-0005-0000-0000-000038740000}"/>
    <cellStyle name="Normal 3 19 2 2 3 5 2 2 3" xfId="43096" xr:uid="{00000000-0005-0000-0000-000039740000}"/>
    <cellStyle name="Normal 3 19 2 2 3 5 2 3" xfId="22744" xr:uid="{00000000-0005-0000-0000-00003A740000}"/>
    <cellStyle name="Normal 3 19 2 2 3 5 2 3 2" xfId="49877" xr:uid="{00000000-0005-0000-0000-00003B740000}"/>
    <cellStyle name="Normal 3 19 2 2 3 5 2 4" xfId="36315" xr:uid="{00000000-0005-0000-0000-00003C740000}"/>
    <cellStyle name="Normal 3 19 2 2 3 5 3" xfId="12568" xr:uid="{00000000-0005-0000-0000-00003D740000}"/>
    <cellStyle name="Normal 3 19 2 2 3 5 3 2" xfId="26136" xr:uid="{00000000-0005-0000-0000-00003E740000}"/>
    <cellStyle name="Normal 3 19 2 2 3 5 3 2 2" xfId="53269" xr:uid="{00000000-0005-0000-0000-00003F740000}"/>
    <cellStyle name="Normal 3 19 2 2 3 5 3 3" xfId="39707" xr:uid="{00000000-0005-0000-0000-000040740000}"/>
    <cellStyle name="Normal 3 19 2 2 3 5 4" xfId="19355" xr:uid="{00000000-0005-0000-0000-000041740000}"/>
    <cellStyle name="Normal 3 19 2 2 3 5 4 2" xfId="46488" xr:uid="{00000000-0005-0000-0000-000042740000}"/>
    <cellStyle name="Normal 3 19 2 2 3 5 5" xfId="32926" xr:uid="{00000000-0005-0000-0000-000043740000}"/>
    <cellStyle name="Normal 3 19 2 2 3 6" xfId="9160" xr:uid="{00000000-0005-0000-0000-000044740000}"/>
    <cellStyle name="Normal 3 19 2 2 3 6 2" xfId="15950" xr:uid="{00000000-0005-0000-0000-000045740000}"/>
    <cellStyle name="Normal 3 19 2 2 3 6 2 2" xfId="29518" xr:uid="{00000000-0005-0000-0000-000046740000}"/>
    <cellStyle name="Normal 3 19 2 2 3 6 2 2 2" xfId="56651" xr:uid="{00000000-0005-0000-0000-000047740000}"/>
    <cellStyle name="Normal 3 19 2 2 3 6 2 3" xfId="43089" xr:uid="{00000000-0005-0000-0000-000048740000}"/>
    <cellStyle name="Normal 3 19 2 2 3 6 3" xfId="22737" xr:uid="{00000000-0005-0000-0000-000049740000}"/>
    <cellStyle name="Normal 3 19 2 2 3 6 3 2" xfId="49870" xr:uid="{00000000-0005-0000-0000-00004A740000}"/>
    <cellStyle name="Normal 3 19 2 2 3 6 4" xfId="36308" xr:uid="{00000000-0005-0000-0000-00004B740000}"/>
    <cellStyle name="Normal 3 19 2 2 3 7" xfId="12561" xr:uid="{00000000-0005-0000-0000-00004C740000}"/>
    <cellStyle name="Normal 3 19 2 2 3 7 2" xfId="26129" xr:uid="{00000000-0005-0000-0000-00004D740000}"/>
    <cellStyle name="Normal 3 19 2 2 3 7 2 2" xfId="53262" xr:uid="{00000000-0005-0000-0000-00004E740000}"/>
    <cellStyle name="Normal 3 19 2 2 3 7 3" xfId="39700" xr:uid="{00000000-0005-0000-0000-00004F740000}"/>
    <cellStyle name="Normal 3 19 2 2 3 8" xfId="19348" xr:uid="{00000000-0005-0000-0000-000050740000}"/>
    <cellStyle name="Normal 3 19 2 2 3 8 2" xfId="46481" xr:uid="{00000000-0005-0000-0000-000051740000}"/>
    <cellStyle name="Normal 3 19 2 2 3 9" xfId="32919" xr:uid="{00000000-0005-0000-0000-000052740000}"/>
    <cellStyle name="Normal 3 19 2 2 4" xfId="5625" xr:uid="{00000000-0005-0000-0000-000053740000}"/>
    <cellStyle name="Normal 3 19 2 2 4 2" xfId="5626" xr:uid="{00000000-0005-0000-0000-000054740000}"/>
    <cellStyle name="Normal 3 19 2 2 4 2 2" xfId="5627" xr:uid="{00000000-0005-0000-0000-000055740000}"/>
    <cellStyle name="Normal 3 19 2 2 4 2 2 2" xfId="9170" xr:uid="{00000000-0005-0000-0000-000056740000}"/>
    <cellStyle name="Normal 3 19 2 2 4 2 2 2 2" xfId="15960" xr:uid="{00000000-0005-0000-0000-000057740000}"/>
    <cellStyle name="Normal 3 19 2 2 4 2 2 2 2 2" xfId="29528" xr:uid="{00000000-0005-0000-0000-000058740000}"/>
    <cellStyle name="Normal 3 19 2 2 4 2 2 2 2 2 2" xfId="56661" xr:uid="{00000000-0005-0000-0000-000059740000}"/>
    <cellStyle name="Normal 3 19 2 2 4 2 2 2 2 3" xfId="43099" xr:uid="{00000000-0005-0000-0000-00005A740000}"/>
    <cellStyle name="Normal 3 19 2 2 4 2 2 2 3" xfId="22747" xr:uid="{00000000-0005-0000-0000-00005B740000}"/>
    <cellStyle name="Normal 3 19 2 2 4 2 2 2 3 2" xfId="49880" xr:uid="{00000000-0005-0000-0000-00005C740000}"/>
    <cellStyle name="Normal 3 19 2 2 4 2 2 2 4" xfId="36318" xr:uid="{00000000-0005-0000-0000-00005D740000}"/>
    <cellStyle name="Normal 3 19 2 2 4 2 2 3" xfId="12571" xr:uid="{00000000-0005-0000-0000-00005E740000}"/>
    <cellStyle name="Normal 3 19 2 2 4 2 2 3 2" xfId="26139" xr:uid="{00000000-0005-0000-0000-00005F740000}"/>
    <cellStyle name="Normal 3 19 2 2 4 2 2 3 2 2" xfId="53272" xr:uid="{00000000-0005-0000-0000-000060740000}"/>
    <cellStyle name="Normal 3 19 2 2 4 2 2 3 3" xfId="39710" xr:uid="{00000000-0005-0000-0000-000061740000}"/>
    <cellStyle name="Normal 3 19 2 2 4 2 2 4" xfId="19358" xr:uid="{00000000-0005-0000-0000-000062740000}"/>
    <cellStyle name="Normal 3 19 2 2 4 2 2 4 2" xfId="46491" xr:uid="{00000000-0005-0000-0000-000063740000}"/>
    <cellStyle name="Normal 3 19 2 2 4 2 2 5" xfId="32929" xr:uid="{00000000-0005-0000-0000-000064740000}"/>
    <cellStyle name="Normal 3 19 2 2 4 2 3" xfId="5628" xr:uid="{00000000-0005-0000-0000-000065740000}"/>
    <cellStyle name="Normal 3 19 2 2 4 2 3 2" xfId="9171" xr:uid="{00000000-0005-0000-0000-000066740000}"/>
    <cellStyle name="Normal 3 19 2 2 4 2 3 2 2" xfId="15961" xr:uid="{00000000-0005-0000-0000-000067740000}"/>
    <cellStyle name="Normal 3 19 2 2 4 2 3 2 2 2" xfId="29529" xr:uid="{00000000-0005-0000-0000-000068740000}"/>
    <cellStyle name="Normal 3 19 2 2 4 2 3 2 2 2 2" xfId="56662" xr:uid="{00000000-0005-0000-0000-000069740000}"/>
    <cellStyle name="Normal 3 19 2 2 4 2 3 2 2 3" xfId="43100" xr:uid="{00000000-0005-0000-0000-00006A740000}"/>
    <cellStyle name="Normal 3 19 2 2 4 2 3 2 3" xfId="22748" xr:uid="{00000000-0005-0000-0000-00006B740000}"/>
    <cellStyle name="Normal 3 19 2 2 4 2 3 2 3 2" xfId="49881" xr:uid="{00000000-0005-0000-0000-00006C740000}"/>
    <cellStyle name="Normal 3 19 2 2 4 2 3 2 4" xfId="36319" xr:uid="{00000000-0005-0000-0000-00006D740000}"/>
    <cellStyle name="Normal 3 19 2 2 4 2 3 3" xfId="12572" xr:uid="{00000000-0005-0000-0000-00006E740000}"/>
    <cellStyle name="Normal 3 19 2 2 4 2 3 3 2" xfId="26140" xr:uid="{00000000-0005-0000-0000-00006F740000}"/>
    <cellStyle name="Normal 3 19 2 2 4 2 3 3 2 2" xfId="53273" xr:uid="{00000000-0005-0000-0000-000070740000}"/>
    <cellStyle name="Normal 3 19 2 2 4 2 3 3 3" xfId="39711" xr:uid="{00000000-0005-0000-0000-000071740000}"/>
    <cellStyle name="Normal 3 19 2 2 4 2 3 4" xfId="19359" xr:uid="{00000000-0005-0000-0000-000072740000}"/>
    <cellStyle name="Normal 3 19 2 2 4 2 3 4 2" xfId="46492" xr:uid="{00000000-0005-0000-0000-000073740000}"/>
    <cellStyle name="Normal 3 19 2 2 4 2 3 5" xfId="32930" xr:uid="{00000000-0005-0000-0000-000074740000}"/>
    <cellStyle name="Normal 3 19 2 2 4 2 4" xfId="9169" xr:uid="{00000000-0005-0000-0000-000075740000}"/>
    <cellStyle name="Normal 3 19 2 2 4 2 4 2" xfId="15959" xr:uid="{00000000-0005-0000-0000-000076740000}"/>
    <cellStyle name="Normal 3 19 2 2 4 2 4 2 2" xfId="29527" xr:uid="{00000000-0005-0000-0000-000077740000}"/>
    <cellStyle name="Normal 3 19 2 2 4 2 4 2 2 2" xfId="56660" xr:uid="{00000000-0005-0000-0000-000078740000}"/>
    <cellStyle name="Normal 3 19 2 2 4 2 4 2 3" xfId="43098" xr:uid="{00000000-0005-0000-0000-000079740000}"/>
    <cellStyle name="Normal 3 19 2 2 4 2 4 3" xfId="22746" xr:uid="{00000000-0005-0000-0000-00007A740000}"/>
    <cellStyle name="Normal 3 19 2 2 4 2 4 3 2" xfId="49879" xr:uid="{00000000-0005-0000-0000-00007B740000}"/>
    <cellStyle name="Normal 3 19 2 2 4 2 4 4" xfId="36317" xr:uid="{00000000-0005-0000-0000-00007C740000}"/>
    <cellStyle name="Normal 3 19 2 2 4 2 5" xfId="12570" xr:uid="{00000000-0005-0000-0000-00007D740000}"/>
    <cellStyle name="Normal 3 19 2 2 4 2 5 2" xfId="26138" xr:uid="{00000000-0005-0000-0000-00007E740000}"/>
    <cellStyle name="Normal 3 19 2 2 4 2 5 2 2" xfId="53271" xr:uid="{00000000-0005-0000-0000-00007F740000}"/>
    <cellStyle name="Normal 3 19 2 2 4 2 5 3" xfId="39709" xr:uid="{00000000-0005-0000-0000-000080740000}"/>
    <cellStyle name="Normal 3 19 2 2 4 2 6" xfId="19357" xr:uid="{00000000-0005-0000-0000-000081740000}"/>
    <cellStyle name="Normal 3 19 2 2 4 2 6 2" xfId="46490" xr:uid="{00000000-0005-0000-0000-000082740000}"/>
    <cellStyle name="Normal 3 19 2 2 4 2 7" xfId="32928" xr:uid="{00000000-0005-0000-0000-000083740000}"/>
    <cellStyle name="Normal 3 19 2 2 4 3" xfId="5629" xr:uid="{00000000-0005-0000-0000-000084740000}"/>
    <cellStyle name="Normal 3 19 2 2 4 3 2" xfId="9172" xr:uid="{00000000-0005-0000-0000-000085740000}"/>
    <cellStyle name="Normal 3 19 2 2 4 3 2 2" xfId="15962" xr:uid="{00000000-0005-0000-0000-000086740000}"/>
    <cellStyle name="Normal 3 19 2 2 4 3 2 2 2" xfId="29530" xr:uid="{00000000-0005-0000-0000-000087740000}"/>
    <cellStyle name="Normal 3 19 2 2 4 3 2 2 2 2" xfId="56663" xr:uid="{00000000-0005-0000-0000-000088740000}"/>
    <cellStyle name="Normal 3 19 2 2 4 3 2 2 3" xfId="43101" xr:uid="{00000000-0005-0000-0000-000089740000}"/>
    <cellStyle name="Normal 3 19 2 2 4 3 2 3" xfId="22749" xr:uid="{00000000-0005-0000-0000-00008A740000}"/>
    <cellStyle name="Normal 3 19 2 2 4 3 2 3 2" xfId="49882" xr:uid="{00000000-0005-0000-0000-00008B740000}"/>
    <cellStyle name="Normal 3 19 2 2 4 3 2 4" xfId="36320" xr:uid="{00000000-0005-0000-0000-00008C740000}"/>
    <cellStyle name="Normal 3 19 2 2 4 3 3" xfId="12573" xr:uid="{00000000-0005-0000-0000-00008D740000}"/>
    <cellStyle name="Normal 3 19 2 2 4 3 3 2" xfId="26141" xr:uid="{00000000-0005-0000-0000-00008E740000}"/>
    <cellStyle name="Normal 3 19 2 2 4 3 3 2 2" xfId="53274" xr:uid="{00000000-0005-0000-0000-00008F740000}"/>
    <cellStyle name="Normal 3 19 2 2 4 3 3 3" xfId="39712" xr:uid="{00000000-0005-0000-0000-000090740000}"/>
    <cellStyle name="Normal 3 19 2 2 4 3 4" xfId="19360" xr:uid="{00000000-0005-0000-0000-000091740000}"/>
    <cellStyle name="Normal 3 19 2 2 4 3 4 2" xfId="46493" xr:uid="{00000000-0005-0000-0000-000092740000}"/>
    <cellStyle name="Normal 3 19 2 2 4 3 5" xfId="32931" xr:uid="{00000000-0005-0000-0000-000093740000}"/>
    <cellStyle name="Normal 3 19 2 2 4 4" xfId="5630" xr:uid="{00000000-0005-0000-0000-000094740000}"/>
    <cellStyle name="Normal 3 19 2 2 4 4 2" xfId="9173" xr:uid="{00000000-0005-0000-0000-000095740000}"/>
    <cellStyle name="Normal 3 19 2 2 4 4 2 2" xfId="15963" xr:uid="{00000000-0005-0000-0000-000096740000}"/>
    <cellStyle name="Normal 3 19 2 2 4 4 2 2 2" xfId="29531" xr:uid="{00000000-0005-0000-0000-000097740000}"/>
    <cellStyle name="Normal 3 19 2 2 4 4 2 2 2 2" xfId="56664" xr:uid="{00000000-0005-0000-0000-000098740000}"/>
    <cellStyle name="Normal 3 19 2 2 4 4 2 2 3" xfId="43102" xr:uid="{00000000-0005-0000-0000-000099740000}"/>
    <cellStyle name="Normal 3 19 2 2 4 4 2 3" xfId="22750" xr:uid="{00000000-0005-0000-0000-00009A740000}"/>
    <cellStyle name="Normal 3 19 2 2 4 4 2 3 2" xfId="49883" xr:uid="{00000000-0005-0000-0000-00009B740000}"/>
    <cellStyle name="Normal 3 19 2 2 4 4 2 4" xfId="36321" xr:uid="{00000000-0005-0000-0000-00009C740000}"/>
    <cellStyle name="Normal 3 19 2 2 4 4 3" xfId="12574" xr:uid="{00000000-0005-0000-0000-00009D740000}"/>
    <cellStyle name="Normal 3 19 2 2 4 4 3 2" xfId="26142" xr:uid="{00000000-0005-0000-0000-00009E740000}"/>
    <cellStyle name="Normal 3 19 2 2 4 4 3 2 2" xfId="53275" xr:uid="{00000000-0005-0000-0000-00009F740000}"/>
    <cellStyle name="Normal 3 19 2 2 4 4 3 3" xfId="39713" xr:uid="{00000000-0005-0000-0000-0000A0740000}"/>
    <cellStyle name="Normal 3 19 2 2 4 4 4" xfId="19361" xr:uid="{00000000-0005-0000-0000-0000A1740000}"/>
    <cellStyle name="Normal 3 19 2 2 4 4 4 2" xfId="46494" xr:uid="{00000000-0005-0000-0000-0000A2740000}"/>
    <cellStyle name="Normal 3 19 2 2 4 4 5" xfId="32932" xr:uid="{00000000-0005-0000-0000-0000A3740000}"/>
    <cellStyle name="Normal 3 19 2 2 4 5" xfId="9168" xr:uid="{00000000-0005-0000-0000-0000A4740000}"/>
    <cellStyle name="Normal 3 19 2 2 4 5 2" xfId="15958" xr:uid="{00000000-0005-0000-0000-0000A5740000}"/>
    <cellStyle name="Normal 3 19 2 2 4 5 2 2" xfId="29526" xr:uid="{00000000-0005-0000-0000-0000A6740000}"/>
    <cellStyle name="Normal 3 19 2 2 4 5 2 2 2" xfId="56659" xr:uid="{00000000-0005-0000-0000-0000A7740000}"/>
    <cellStyle name="Normal 3 19 2 2 4 5 2 3" xfId="43097" xr:uid="{00000000-0005-0000-0000-0000A8740000}"/>
    <cellStyle name="Normal 3 19 2 2 4 5 3" xfId="22745" xr:uid="{00000000-0005-0000-0000-0000A9740000}"/>
    <cellStyle name="Normal 3 19 2 2 4 5 3 2" xfId="49878" xr:uid="{00000000-0005-0000-0000-0000AA740000}"/>
    <cellStyle name="Normal 3 19 2 2 4 5 4" xfId="36316" xr:uid="{00000000-0005-0000-0000-0000AB740000}"/>
    <cellStyle name="Normal 3 19 2 2 4 6" xfId="12569" xr:uid="{00000000-0005-0000-0000-0000AC740000}"/>
    <cellStyle name="Normal 3 19 2 2 4 6 2" xfId="26137" xr:uid="{00000000-0005-0000-0000-0000AD740000}"/>
    <cellStyle name="Normal 3 19 2 2 4 6 2 2" xfId="53270" xr:uid="{00000000-0005-0000-0000-0000AE740000}"/>
    <cellStyle name="Normal 3 19 2 2 4 6 3" xfId="39708" xr:uid="{00000000-0005-0000-0000-0000AF740000}"/>
    <cellStyle name="Normal 3 19 2 2 4 7" xfId="19356" xr:uid="{00000000-0005-0000-0000-0000B0740000}"/>
    <cellStyle name="Normal 3 19 2 2 4 7 2" xfId="46489" xr:uid="{00000000-0005-0000-0000-0000B1740000}"/>
    <cellStyle name="Normal 3 19 2 2 4 8" xfId="32927" xr:uid="{00000000-0005-0000-0000-0000B2740000}"/>
    <cellStyle name="Normal 3 19 2 2 5" xfId="5631" xr:uid="{00000000-0005-0000-0000-0000B3740000}"/>
    <cellStyle name="Normal 3 19 2 2 5 2" xfId="5632" xr:uid="{00000000-0005-0000-0000-0000B4740000}"/>
    <cellStyle name="Normal 3 19 2 2 5 2 2" xfId="9175" xr:uid="{00000000-0005-0000-0000-0000B5740000}"/>
    <cellStyle name="Normal 3 19 2 2 5 2 2 2" xfId="15965" xr:uid="{00000000-0005-0000-0000-0000B6740000}"/>
    <cellStyle name="Normal 3 19 2 2 5 2 2 2 2" xfId="29533" xr:uid="{00000000-0005-0000-0000-0000B7740000}"/>
    <cellStyle name="Normal 3 19 2 2 5 2 2 2 2 2" xfId="56666" xr:uid="{00000000-0005-0000-0000-0000B8740000}"/>
    <cellStyle name="Normal 3 19 2 2 5 2 2 2 3" xfId="43104" xr:uid="{00000000-0005-0000-0000-0000B9740000}"/>
    <cellStyle name="Normal 3 19 2 2 5 2 2 3" xfId="22752" xr:uid="{00000000-0005-0000-0000-0000BA740000}"/>
    <cellStyle name="Normal 3 19 2 2 5 2 2 3 2" xfId="49885" xr:uid="{00000000-0005-0000-0000-0000BB740000}"/>
    <cellStyle name="Normal 3 19 2 2 5 2 2 4" xfId="36323" xr:uid="{00000000-0005-0000-0000-0000BC740000}"/>
    <cellStyle name="Normal 3 19 2 2 5 2 3" xfId="12576" xr:uid="{00000000-0005-0000-0000-0000BD740000}"/>
    <cellStyle name="Normal 3 19 2 2 5 2 3 2" xfId="26144" xr:uid="{00000000-0005-0000-0000-0000BE740000}"/>
    <cellStyle name="Normal 3 19 2 2 5 2 3 2 2" xfId="53277" xr:uid="{00000000-0005-0000-0000-0000BF740000}"/>
    <cellStyle name="Normal 3 19 2 2 5 2 3 3" xfId="39715" xr:uid="{00000000-0005-0000-0000-0000C0740000}"/>
    <cellStyle name="Normal 3 19 2 2 5 2 4" xfId="19363" xr:uid="{00000000-0005-0000-0000-0000C1740000}"/>
    <cellStyle name="Normal 3 19 2 2 5 2 4 2" xfId="46496" xr:uid="{00000000-0005-0000-0000-0000C2740000}"/>
    <cellStyle name="Normal 3 19 2 2 5 2 5" xfId="32934" xr:uid="{00000000-0005-0000-0000-0000C3740000}"/>
    <cellStyle name="Normal 3 19 2 2 5 3" xfId="5633" xr:uid="{00000000-0005-0000-0000-0000C4740000}"/>
    <cellStyle name="Normal 3 19 2 2 5 3 2" xfId="9176" xr:uid="{00000000-0005-0000-0000-0000C5740000}"/>
    <cellStyle name="Normal 3 19 2 2 5 3 2 2" xfId="15966" xr:uid="{00000000-0005-0000-0000-0000C6740000}"/>
    <cellStyle name="Normal 3 19 2 2 5 3 2 2 2" xfId="29534" xr:uid="{00000000-0005-0000-0000-0000C7740000}"/>
    <cellStyle name="Normal 3 19 2 2 5 3 2 2 2 2" xfId="56667" xr:uid="{00000000-0005-0000-0000-0000C8740000}"/>
    <cellStyle name="Normal 3 19 2 2 5 3 2 2 3" xfId="43105" xr:uid="{00000000-0005-0000-0000-0000C9740000}"/>
    <cellStyle name="Normal 3 19 2 2 5 3 2 3" xfId="22753" xr:uid="{00000000-0005-0000-0000-0000CA740000}"/>
    <cellStyle name="Normal 3 19 2 2 5 3 2 3 2" xfId="49886" xr:uid="{00000000-0005-0000-0000-0000CB740000}"/>
    <cellStyle name="Normal 3 19 2 2 5 3 2 4" xfId="36324" xr:uid="{00000000-0005-0000-0000-0000CC740000}"/>
    <cellStyle name="Normal 3 19 2 2 5 3 3" xfId="12577" xr:uid="{00000000-0005-0000-0000-0000CD740000}"/>
    <cellStyle name="Normal 3 19 2 2 5 3 3 2" xfId="26145" xr:uid="{00000000-0005-0000-0000-0000CE740000}"/>
    <cellStyle name="Normal 3 19 2 2 5 3 3 2 2" xfId="53278" xr:uid="{00000000-0005-0000-0000-0000CF740000}"/>
    <cellStyle name="Normal 3 19 2 2 5 3 3 3" xfId="39716" xr:uid="{00000000-0005-0000-0000-0000D0740000}"/>
    <cellStyle name="Normal 3 19 2 2 5 3 4" xfId="19364" xr:uid="{00000000-0005-0000-0000-0000D1740000}"/>
    <cellStyle name="Normal 3 19 2 2 5 3 4 2" xfId="46497" xr:uid="{00000000-0005-0000-0000-0000D2740000}"/>
    <cellStyle name="Normal 3 19 2 2 5 3 5" xfId="32935" xr:uid="{00000000-0005-0000-0000-0000D3740000}"/>
    <cellStyle name="Normal 3 19 2 2 5 4" xfId="9174" xr:uid="{00000000-0005-0000-0000-0000D4740000}"/>
    <cellStyle name="Normal 3 19 2 2 5 4 2" xfId="15964" xr:uid="{00000000-0005-0000-0000-0000D5740000}"/>
    <cellStyle name="Normal 3 19 2 2 5 4 2 2" xfId="29532" xr:uid="{00000000-0005-0000-0000-0000D6740000}"/>
    <cellStyle name="Normal 3 19 2 2 5 4 2 2 2" xfId="56665" xr:uid="{00000000-0005-0000-0000-0000D7740000}"/>
    <cellStyle name="Normal 3 19 2 2 5 4 2 3" xfId="43103" xr:uid="{00000000-0005-0000-0000-0000D8740000}"/>
    <cellStyle name="Normal 3 19 2 2 5 4 3" xfId="22751" xr:uid="{00000000-0005-0000-0000-0000D9740000}"/>
    <cellStyle name="Normal 3 19 2 2 5 4 3 2" xfId="49884" xr:uid="{00000000-0005-0000-0000-0000DA740000}"/>
    <cellStyle name="Normal 3 19 2 2 5 4 4" xfId="36322" xr:uid="{00000000-0005-0000-0000-0000DB740000}"/>
    <cellStyle name="Normal 3 19 2 2 5 5" xfId="12575" xr:uid="{00000000-0005-0000-0000-0000DC740000}"/>
    <cellStyle name="Normal 3 19 2 2 5 5 2" xfId="26143" xr:uid="{00000000-0005-0000-0000-0000DD740000}"/>
    <cellStyle name="Normal 3 19 2 2 5 5 2 2" xfId="53276" xr:uid="{00000000-0005-0000-0000-0000DE740000}"/>
    <cellStyle name="Normal 3 19 2 2 5 5 3" xfId="39714" xr:uid="{00000000-0005-0000-0000-0000DF740000}"/>
    <cellStyle name="Normal 3 19 2 2 5 6" xfId="19362" xr:uid="{00000000-0005-0000-0000-0000E0740000}"/>
    <cellStyle name="Normal 3 19 2 2 5 6 2" xfId="46495" xr:uid="{00000000-0005-0000-0000-0000E1740000}"/>
    <cellStyle name="Normal 3 19 2 2 5 7" xfId="32933" xr:uid="{00000000-0005-0000-0000-0000E2740000}"/>
    <cellStyle name="Normal 3 19 2 2 6" xfId="5634" xr:uid="{00000000-0005-0000-0000-0000E3740000}"/>
    <cellStyle name="Normal 3 19 2 2 6 2" xfId="5635" xr:uid="{00000000-0005-0000-0000-0000E4740000}"/>
    <cellStyle name="Normal 3 19 2 2 6 2 2" xfId="9178" xr:uid="{00000000-0005-0000-0000-0000E5740000}"/>
    <cellStyle name="Normal 3 19 2 2 6 2 2 2" xfId="15968" xr:uid="{00000000-0005-0000-0000-0000E6740000}"/>
    <cellStyle name="Normal 3 19 2 2 6 2 2 2 2" xfId="29536" xr:uid="{00000000-0005-0000-0000-0000E7740000}"/>
    <cellStyle name="Normal 3 19 2 2 6 2 2 2 2 2" xfId="56669" xr:uid="{00000000-0005-0000-0000-0000E8740000}"/>
    <cellStyle name="Normal 3 19 2 2 6 2 2 2 3" xfId="43107" xr:uid="{00000000-0005-0000-0000-0000E9740000}"/>
    <cellStyle name="Normal 3 19 2 2 6 2 2 3" xfId="22755" xr:uid="{00000000-0005-0000-0000-0000EA740000}"/>
    <cellStyle name="Normal 3 19 2 2 6 2 2 3 2" xfId="49888" xr:uid="{00000000-0005-0000-0000-0000EB740000}"/>
    <cellStyle name="Normal 3 19 2 2 6 2 2 4" xfId="36326" xr:uid="{00000000-0005-0000-0000-0000EC740000}"/>
    <cellStyle name="Normal 3 19 2 2 6 2 3" xfId="12579" xr:uid="{00000000-0005-0000-0000-0000ED740000}"/>
    <cellStyle name="Normal 3 19 2 2 6 2 3 2" xfId="26147" xr:uid="{00000000-0005-0000-0000-0000EE740000}"/>
    <cellStyle name="Normal 3 19 2 2 6 2 3 2 2" xfId="53280" xr:uid="{00000000-0005-0000-0000-0000EF740000}"/>
    <cellStyle name="Normal 3 19 2 2 6 2 3 3" xfId="39718" xr:uid="{00000000-0005-0000-0000-0000F0740000}"/>
    <cellStyle name="Normal 3 19 2 2 6 2 4" xfId="19366" xr:uid="{00000000-0005-0000-0000-0000F1740000}"/>
    <cellStyle name="Normal 3 19 2 2 6 2 4 2" xfId="46499" xr:uid="{00000000-0005-0000-0000-0000F2740000}"/>
    <cellStyle name="Normal 3 19 2 2 6 2 5" xfId="32937" xr:uid="{00000000-0005-0000-0000-0000F3740000}"/>
    <cellStyle name="Normal 3 19 2 2 6 3" xfId="5636" xr:uid="{00000000-0005-0000-0000-0000F4740000}"/>
    <cellStyle name="Normal 3 19 2 2 6 3 2" xfId="9179" xr:uid="{00000000-0005-0000-0000-0000F5740000}"/>
    <cellStyle name="Normal 3 19 2 2 6 3 2 2" xfId="15969" xr:uid="{00000000-0005-0000-0000-0000F6740000}"/>
    <cellStyle name="Normal 3 19 2 2 6 3 2 2 2" xfId="29537" xr:uid="{00000000-0005-0000-0000-0000F7740000}"/>
    <cellStyle name="Normal 3 19 2 2 6 3 2 2 2 2" xfId="56670" xr:uid="{00000000-0005-0000-0000-0000F8740000}"/>
    <cellStyle name="Normal 3 19 2 2 6 3 2 2 3" xfId="43108" xr:uid="{00000000-0005-0000-0000-0000F9740000}"/>
    <cellStyle name="Normal 3 19 2 2 6 3 2 3" xfId="22756" xr:uid="{00000000-0005-0000-0000-0000FA740000}"/>
    <cellStyle name="Normal 3 19 2 2 6 3 2 3 2" xfId="49889" xr:uid="{00000000-0005-0000-0000-0000FB740000}"/>
    <cellStyle name="Normal 3 19 2 2 6 3 2 4" xfId="36327" xr:uid="{00000000-0005-0000-0000-0000FC740000}"/>
    <cellStyle name="Normal 3 19 2 2 6 3 3" xfId="12580" xr:uid="{00000000-0005-0000-0000-0000FD740000}"/>
    <cellStyle name="Normal 3 19 2 2 6 3 3 2" xfId="26148" xr:uid="{00000000-0005-0000-0000-0000FE740000}"/>
    <cellStyle name="Normal 3 19 2 2 6 3 3 2 2" xfId="53281" xr:uid="{00000000-0005-0000-0000-0000FF740000}"/>
    <cellStyle name="Normal 3 19 2 2 6 3 3 3" xfId="39719" xr:uid="{00000000-0005-0000-0000-000000750000}"/>
    <cellStyle name="Normal 3 19 2 2 6 3 4" xfId="19367" xr:uid="{00000000-0005-0000-0000-000001750000}"/>
    <cellStyle name="Normal 3 19 2 2 6 3 4 2" xfId="46500" xr:uid="{00000000-0005-0000-0000-000002750000}"/>
    <cellStyle name="Normal 3 19 2 2 6 3 5" xfId="32938" xr:uid="{00000000-0005-0000-0000-000003750000}"/>
    <cellStyle name="Normal 3 19 2 2 6 4" xfId="9177" xr:uid="{00000000-0005-0000-0000-000004750000}"/>
    <cellStyle name="Normal 3 19 2 2 6 4 2" xfId="15967" xr:uid="{00000000-0005-0000-0000-000005750000}"/>
    <cellStyle name="Normal 3 19 2 2 6 4 2 2" xfId="29535" xr:uid="{00000000-0005-0000-0000-000006750000}"/>
    <cellStyle name="Normal 3 19 2 2 6 4 2 2 2" xfId="56668" xr:uid="{00000000-0005-0000-0000-000007750000}"/>
    <cellStyle name="Normal 3 19 2 2 6 4 2 3" xfId="43106" xr:uid="{00000000-0005-0000-0000-000008750000}"/>
    <cellStyle name="Normal 3 19 2 2 6 4 3" xfId="22754" xr:uid="{00000000-0005-0000-0000-000009750000}"/>
    <cellStyle name="Normal 3 19 2 2 6 4 3 2" xfId="49887" xr:uid="{00000000-0005-0000-0000-00000A750000}"/>
    <cellStyle name="Normal 3 19 2 2 6 4 4" xfId="36325" xr:uid="{00000000-0005-0000-0000-00000B750000}"/>
    <cellStyle name="Normal 3 19 2 2 6 5" xfId="12578" xr:uid="{00000000-0005-0000-0000-00000C750000}"/>
    <cellStyle name="Normal 3 19 2 2 6 5 2" xfId="26146" xr:uid="{00000000-0005-0000-0000-00000D750000}"/>
    <cellStyle name="Normal 3 19 2 2 6 5 2 2" xfId="53279" xr:uid="{00000000-0005-0000-0000-00000E750000}"/>
    <cellStyle name="Normal 3 19 2 2 6 5 3" xfId="39717" xr:uid="{00000000-0005-0000-0000-00000F750000}"/>
    <cellStyle name="Normal 3 19 2 2 6 6" xfId="19365" xr:uid="{00000000-0005-0000-0000-000010750000}"/>
    <cellStyle name="Normal 3 19 2 2 6 6 2" xfId="46498" xr:uid="{00000000-0005-0000-0000-000011750000}"/>
    <cellStyle name="Normal 3 19 2 2 6 7" xfId="32936" xr:uid="{00000000-0005-0000-0000-000012750000}"/>
    <cellStyle name="Normal 3 19 2 2 7" xfId="5637" xr:uid="{00000000-0005-0000-0000-000013750000}"/>
    <cellStyle name="Normal 3 19 2 2 7 2" xfId="9180" xr:uid="{00000000-0005-0000-0000-000014750000}"/>
    <cellStyle name="Normal 3 19 2 2 7 2 2" xfId="15970" xr:uid="{00000000-0005-0000-0000-000015750000}"/>
    <cellStyle name="Normal 3 19 2 2 7 2 2 2" xfId="29538" xr:uid="{00000000-0005-0000-0000-000016750000}"/>
    <cellStyle name="Normal 3 19 2 2 7 2 2 2 2" xfId="56671" xr:uid="{00000000-0005-0000-0000-000017750000}"/>
    <cellStyle name="Normal 3 19 2 2 7 2 2 3" xfId="43109" xr:uid="{00000000-0005-0000-0000-000018750000}"/>
    <cellStyle name="Normal 3 19 2 2 7 2 3" xfId="22757" xr:uid="{00000000-0005-0000-0000-000019750000}"/>
    <cellStyle name="Normal 3 19 2 2 7 2 3 2" xfId="49890" xr:uid="{00000000-0005-0000-0000-00001A750000}"/>
    <cellStyle name="Normal 3 19 2 2 7 2 4" xfId="36328" xr:uid="{00000000-0005-0000-0000-00001B750000}"/>
    <cellStyle name="Normal 3 19 2 2 7 3" xfId="12581" xr:uid="{00000000-0005-0000-0000-00001C750000}"/>
    <cellStyle name="Normal 3 19 2 2 7 3 2" xfId="26149" xr:uid="{00000000-0005-0000-0000-00001D750000}"/>
    <cellStyle name="Normal 3 19 2 2 7 3 2 2" xfId="53282" xr:uid="{00000000-0005-0000-0000-00001E750000}"/>
    <cellStyle name="Normal 3 19 2 2 7 3 3" xfId="39720" xr:uid="{00000000-0005-0000-0000-00001F750000}"/>
    <cellStyle name="Normal 3 19 2 2 7 4" xfId="19368" xr:uid="{00000000-0005-0000-0000-000020750000}"/>
    <cellStyle name="Normal 3 19 2 2 7 4 2" xfId="46501" xr:uid="{00000000-0005-0000-0000-000021750000}"/>
    <cellStyle name="Normal 3 19 2 2 7 5" xfId="32939" xr:uid="{00000000-0005-0000-0000-000022750000}"/>
    <cellStyle name="Normal 3 19 2 2 8" xfId="5638" xr:uid="{00000000-0005-0000-0000-000023750000}"/>
    <cellStyle name="Normal 3 19 2 2 8 2" xfId="9181" xr:uid="{00000000-0005-0000-0000-000024750000}"/>
    <cellStyle name="Normal 3 19 2 2 8 2 2" xfId="15971" xr:uid="{00000000-0005-0000-0000-000025750000}"/>
    <cellStyle name="Normal 3 19 2 2 8 2 2 2" xfId="29539" xr:uid="{00000000-0005-0000-0000-000026750000}"/>
    <cellStyle name="Normal 3 19 2 2 8 2 2 2 2" xfId="56672" xr:uid="{00000000-0005-0000-0000-000027750000}"/>
    <cellStyle name="Normal 3 19 2 2 8 2 2 3" xfId="43110" xr:uid="{00000000-0005-0000-0000-000028750000}"/>
    <cellStyle name="Normal 3 19 2 2 8 2 3" xfId="22758" xr:uid="{00000000-0005-0000-0000-000029750000}"/>
    <cellStyle name="Normal 3 19 2 2 8 2 3 2" xfId="49891" xr:uid="{00000000-0005-0000-0000-00002A750000}"/>
    <cellStyle name="Normal 3 19 2 2 8 2 4" xfId="36329" xr:uid="{00000000-0005-0000-0000-00002B750000}"/>
    <cellStyle name="Normal 3 19 2 2 8 3" xfId="12582" xr:uid="{00000000-0005-0000-0000-00002C750000}"/>
    <cellStyle name="Normal 3 19 2 2 8 3 2" xfId="26150" xr:uid="{00000000-0005-0000-0000-00002D750000}"/>
    <cellStyle name="Normal 3 19 2 2 8 3 2 2" xfId="53283" xr:uid="{00000000-0005-0000-0000-00002E750000}"/>
    <cellStyle name="Normal 3 19 2 2 8 3 3" xfId="39721" xr:uid="{00000000-0005-0000-0000-00002F750000}"/>
    <cellStyle name="Normal 3 19 2 2 8 4" xfId="19369" xr:uid="{00000000-0005-0000-0000-000030750000}"/>
    <cellStyle name="Normal 3 19 2 2 8 4 2" xfId="46502" xr:uid="{00000000-0005-0000-0000-000031750000}"/>
    <cellStyle name="Normal 3 19 2 2 8 5" xfId="32940" xr:uid="{00000000-0005-0000-0000-000032750000}"/>
    <cellStyle name="Normal 3 19 2 2 9" xfId="9143" xr:uid="{00000000-0005-0000-0000-000033750000}"/>
    <cellStyle name="Normal 3 19 2 2 9 2" xfId="15933" xr:uid="{00000000-0005-0000-0000-000034750000}"/>
    <cellStyle name="Normal 3 19 2 2 9 2 2" xfId="29501" xr:uid="{00000000-0005-0000-0000-000035750000}"/>
    <cellStyle name="Normal 3 19 2 2 9 2 2 2" xfId="56634" xr:uid="{00000000-0005-0000-0000-000036750000}"/>
    <cellStyle name="Normal 3 19 2 2 9 2 3" xfId="43072" xr:uid="{00000000-0005-0000-0000-000037750000}"/>
    <cellStyle name="Normal 3 19 2 2 9 3" xfId="22720" xr:uid="{00000000-0005-0000-0000-000038750000}"/>
    <cellStyle name="Normal 3 19 2 2 9 3 2" xfId="49853" xr:uid="{00000000-0005-0000-0000-000039750000}"/>
    <cellStyle name="Normal 3 19 2 2 9 4" xfId="36291" xr:uid="{00000000-0005-0000-0000-00003A750000}"/>
    <cellStyle name="Normal 3 19 2 3" xfId="5639" xr:uid="{00000000-0005-0000-0000-00003B750000}"/>
    <cellStyle name="Normal 3 19 2 3 10" xfId="32941" xr:uid="{00000000-0005-0000-0000-00003C750000}"/>
    <cellStyle name="Normal 3 19 2 3 2" xfId="5640" xr:uid="{00000000-0005-0000-0000-00003D750000}"/>
    <cellStyle name="Normal 3 19 2 3 2 2" xfId="5641" xr:uid="{00000000-0005-0000-0000-00003E750000}"/>
    <cellStyle name="Normal 3 19 2 3 2 2 2" xfId="5642" xr:uid="{00000000-0005-0000-0000-00003F750000}"/>
    <cellStyle name="Normal 3 19 2 3 2 2 2 2" xfId="9185" xr:uid="{00000000-0005-0000-0000-000040750000}"/>
    <cellStyle name="Normal 3 19 2 3 2 2 2 2 2" xfId="15975" xr:uid="{00000000-0005-0000-0000-000041750000}"/>
    <cellStyle name="Normal 3 19 2 3 2 2 2 2 2 2" xfId="29543" xr:uid="{00000000-0005-0000-0000-000042750000}"/>
    <cellStyle name="Normal 3 19 2 3 2 2 2 2 2 2 2" xfId="56676" xr:uid="{00000000-0005-0000-0000-000043750000}"/>
    <cellStyle name="Normal 3 19 2 3 2 2 2 2 2 3" xfId="43114" xr:uid="{00000000-0005-0000-0000-000044750000}"/>
    <cellStyle name="Normal 3 19 2 3 2 2 2 2 3" xfId="22762" xr:uid="{00000000-0005-0000-0000-000045750000}"/>
    <cellStyle name="Normal 3 19 2 3 2 2 2 2 3 2" xfId="49895" xr:uid="{00000000-0005-0000-0000-000046750000}"/>
    <cellStyle name="Normal 3 19 2 3 2 2 2 2 4" xfId="36333" xr:uid="{00000000-0005-0000-0000-000047750000}"/>
    <cellStyle name="Normal 3 19 2 3 2 2 2 3" xfId="12586" xr:uid="{00000000-0005-0000-0000-000048750000}"/>
    <cellStyle name="Normal 3 19 2 3 2 2 2 3 2" xfId="26154" xr:uid="{00000000-0005-0000-0000-000049750000}"/>
    <cellStyle name="Normal 3 19 2 3 2 2 2 3 2 2" xfId="53287" xr:uid="{00000000-0005-0000-0000-00004A750000}"/>
    <cellStyle name="Normal 3 19 2 3 2 2 2 3 3" xfId="39725" xr:uid="{00000000-0005-0000-0000-00004B750000}"/>
    <cellStyle name="Normal 3 19 2 3 2 2 2 4" xfId="19373" xr:uid="{00000000-0005-0000-0000-00004C750000}"/>
    <cellStyle name="Normal 3 19 2 3 2 2 2 4 2" xfId="46506" xr:uid="{00000000-0005-0000-0000-00004D750000}"/>
    <cellStyle name="Normal 3 19 2 3 2 2 2 5" xfId="32944" xr:uid="{00000000-0005-0000-0000-00004E750000}"/>
    <cellStyle name="Normal 3 19 2 3 2 2 3" xfId="5643" xr:uid="{00000000-0005-0000-0000-00004F750000}"/>
    <cellStyle name="Normal 3 19 2 3 2 2 3 2" xfId="9186" xr:uid="{00000000-0005-0000-0000-000050750000}"/>
    <cellStyle name="Normal 3 19 2 3 2 2 3 2 2" xfId="15976" xr:uid="{00000000-0005-0000-0000-000051750000}"/>
    <cellStyle name="Normal 3 19 2 3 2 2 3 2 2 2" xfId="29544" xr:uid="{00000000-0005-0000-0000-000052750000}"/>
    <cellStyle name="Normal 3 19 2 3 2 2 3 2 2 2 2" xfId="56677" xr:uid="{00000000-0005-0000-0000-000053750000}"/>
    <cellStyle name="Normal 3 19 2 3 2 2 3 2 2 3" xfId="43115" xr:uid="{00000000-0005-0000-0000-000054750000}"/>
    <cellStyle name="Normal 3 19 2 3 2 2 3 2 3" xfId="22763" xr:uid="{00000000-0005-0000-0000-000055750000}"/>
    <cellStyle name="Normal 3 19 2 3 2 2 3 2 3 2" xfId="49896" xr:uid="{00000000-0005-0000-0000-000056750000}"/>
    <cellStyle name="Normal 3 19 2 3 2 2 3 2 4" xfId="36334" xr:uid="{00000000-0005-0000-0000-000057750000}"/>
    <cellStyle name="Normal 3 19 2 3 2 2 3 3" xfId="12587" xr:uid="{00000000-0005-0000-0000-000058750000}"/>
    <cellStyle name="Normal 3 19 2 3 2 2 3 3 2" xfId="26155" xr:uid="{00000000-0005-0000-0000-000059750000}"/>
    <cellStyle name="Normal 3 19 2 3 2 2 3 3 2 2" xfId="53288" xr:uid="{00000000-0005-0000-0000-00005A750000}"/>
    <cellStyle name="Normal 3 19 2 3 2 2 3 3 3" xfId="39726" xr:uid="{00000000-0005-0000-0000-00005B750000}"/>
    <cellStyle name="Normal 3 19 2 3 2 2 3 4" xfId="19374" xr:uid="{00000000-0005-0000-0000-00005C750000}"/>
    <cellStyle name="Normal 3 19 2 3 2 2 3 4 2" xfId="46507" xr:uid="{00000000-0005-0000-0000-00005D750000}"/>
    <cellStyle name="Normal 3 19 2 3 2 2 3 5" xfId="32945" xr:uid="{00000000-0005-0000-0000-00005E750000}"/>
    <cellStyle name="Normal 3 19 2 3 2 2 4" xfId="9184" xr:uid="{00000000-0005-0000-0000-00005F750000}"/>
    <cellStyle name="Normal 3 19 2 3 2 2 4 2" xfId="15974" xr:uid="{00000000-0005-0000-0000-000060750000}"/>
    <cellStyle name="Normal 3 19 2 3 2 2 4 2 2" xfId="29542" xr:uid="{00000000-0005-0000-0000-000061750000}"/>
    <cellStyle name="Normal 3 19 2 3 2 2 4 2 2 2" xfId="56675" xr:uid="{00000000-0005-0000-0000-000062750000}"/>
    <cellStyle name="Normal 3 19 2 3 2 2 4 2 3" xfId="43113" xr:uid="{00000000-0005-0000-0000-000063750000}"/>
    <cellStyle name="Normal 3 19 2 3 2 2 4 3" xfId="22761" xr:uid="{00000000-0005-0000-0000-000064750000}"/>
    <cellStyle name="Normal 3 19 2 3 2 2 4 3 2" xfId="49894" xr:uid="{00000000-0005-0000-0000-000065750000}"/>
    <cellStyle name="Normal 3 19 2 3 2 2 4 4" xfId="36332" xr:uid="{00000000-0005-0000-0000-000066750000}"/>
    <cellStyle name="Normal 3 19 2 3 2 2 5" xfId="12585" xr:uid="{00000000-0005-0000-0000-000067750000}"/>
    <cellStyle name="Normal 3 19 2 3 2 2 5 2" xfId="26153" xr:uid="{00000000-0005-0000-0000-000068750000}"/>
    <cellStyle name="Normal 3 19 2 3 2 2 5 2 2" xfId="53286" xr:uid="{00000000-0005-0000-0000-000069750000}"/>
    <cellStyle name="Normal 3 19 2 3 2 2 5 3" xfId="39724" xr:uid="{00000000-0005-0000-0000-00006A750000}"/>
    <cellStyle name="Normal 3 19 2 3 2 2 6" xfId="19372" xr:uid="{00000000-0005-0000-0000-00006B750000}"/>
    <cellStyle name="Normal 3 19 2 3 2 2 6 2" xfId="46505" xr:uid="{00000000-0005-0000-0000-00006C750000}"/>
    <cellStyle name="Normal 3 19 2 3 2 2 7" xfId="32943" xr:uid="{00000000-0005-0000-0000-00006D750000}"/>
    <cellStyle name="Normal 3 19 2 3 2 3" xfId="5644" xr:uid="{00000000-0005-0000-0000-00006E750000}"/>
    <cellStyle name="Normal 3 19 2 3 2 3 2" xfId="5645" xr:uid="{00000000-0005-0000-0000-00006F750000}"/>
    <cellStyle name="Normal 3 19 2 3 2 3 2 2" xfId="9188" xr:uid="{00000000-0005-0000-0000-000070750000}"/>
    <cellStyle name="Normal 3 19 2 3 2 3 2 2 2" xfId="15978" xr:uid="{00000000-0005-0000-0000-000071750000}"/>
    <cellStyle name="Normal 3 19 2 3 2 3 2 2 2 2" xfId="29546" xr:uid="{00000000-0005-0000-0000-000072750000}"/>
    <cellStyle name="Normal 3 19 2 3 2 3 2 2 2 2 2" xfId="56679" xr:uid="{00000000-0005-0000-0000-000073750000}"/>
    <cellStyle name="Normal 3 19 2 3 2 3 2 2 2 3" xfId="43117" xr:uid="{00000000-0005-0000-0000-000074750000}"/>
    <cellStyle name="Normal 3 19 2 3 2 3 2 2 3" xfId="22765" xr:uid="{00000000-0005-0000-0000-000075750000}"/>
    <cellStyle name="Normal 3 19 2 3 2 3 2 2 3 2" xfId="49898" xr:uid="{00000000-0005-0000-0000-000076750000}"/>
    <cellStyle name="Normal 3 19 2 3 2 3 2 2 4" xfId="36336" xr:uid="{00000000-0005-0000-0000-000077750000}"/>
    <cellStyle name="Normal 3 19 2 3 2 3 2 3" xfId="12589" xr:uid="{00000000-0005-0000-0000-000078750000}"/>
    <cellStyle name="Normal 3 19 2 3 2 3 2 3 2" xfId="26157" xr:uid="{00000000-0005-0000-0000-000079750000}"/>
    <cellStyle name="Normal 3 19 2 3 2 3 2 3 2 2" xfId="53290" xr:uid="{00000000-0005-0000-0000-00007A750000}"/>
    <cellStyle name="Normal 3 19 2 3 2 3 2 3 3" xfId="39728" xr:uid="{00000000-0005-0000-0000-00007B750000}"/>
    <cellStyle name="Normal 3 19 2 3 2 3 2 4" xfId="19376" xr:uid="{00000000-0005-0000-0000-00007C750000}"/>
    <cellStyle name="Normal 3 19 2 3 2 3 2 4 2" xfId="46509" xr:uid="{00000000-0005-0000-0000-00007D750000}"/>
    <cellStyle name="Normal 3 19 2 3 2 3 2 5" xfId="32947" xr:uid="{00000000-0005-0000-0000-00007E750000}"/>
    <cellStyle name="Normal 3 19 2 3 2 3 3" xfId="9187" xr:uid="{00000000-0005-0000-0000-00007F750000}"/>
    <cellStyle name="Normal 3 19 2 3 2 3 3 2" xfId="15977" xr:uid="{00000000-0005-0000-0000-000080750000}"/>
    <cellStyle name="Normal 3 19 2 3 2 3 3 2 2" xfId="29545" xr:uid="{00000000-0005-0000-0000-000081750000}"/>
    <cellStyle name="Normal 3 19 2 3 2 3 3 2 2 2" xfId="56678" xr:uid="{00000000-0005-0000-0000-000082750000}"/>
    <cellStyle name="Normal 3 19 2 3 2 3 3 2 3" xfId="43116" xr:uid="{00000000-0005-0000-0000-000083750000}"/>
    <cellStyle name="Normal 3 19 2 3 2 3 3 3" xfId="22764" xr:uid="{00000000-0005-0000-0000-000084750000}"/>
    <cellStyle name="Normal 3 19 2 3 2 3 3 3 2" xfId="49897" xr:uid="{00000000-0005-0000-0000-000085750000}"/>
    <cellStyle name="Normal 3 19 2 3 2 3 3 4" xfId="36335" xr:uid="{00000000-0005-0000-0000-000086750000}"/>
    <cellStyle name="Normal 3 19 2 3 2 3 4" xfId="12588" xr:uid="{00000000-0005-0000-0000-000087750000}"/>
    <cellStyle name="Normal 3 19 2 3 2 3 4 2" xfId="26156" xr:uid="{00000000-0005-0000-0000-000088750000}"/>
    <cellStyle name="Normal 3 19 2 3 2 3 4 2 2" xfId="53289" xr:uid="{00000000-0005-0000-0000-000089750000}"/>
    <cellStyle name="Normal 3 19 2 3 2 3 4 3" xfId="39727" xr:uid="{00000000-0005-0000-0000-00008A750000}"/>
    <cellStyle name="Normal 3 19 2 3 2 3 5" xfId="19375" xr:uid="{00000000-0005-0000-0000-00008B750000}"/>
    <cellStyle name="Normal 3 19 2 3 2 3 5 2" xfId="46508" xr:uid="{00000000-0005-0000-0000-00008C750000}"/>
    <cellStyle name="Normal 3 19 2 3 2 3 6" xfId="32946" xr:uid="{00000000-0005-0000-0000-00008D750000}"/>
    <cellStyle name="Normal 3 19 2 3 2 4" xfId="5646" xr:uid="{00000000-0005-0000-0000-00008E750000}"/>
    <cellStyle name="Normal 3 19 2 3 2 4 2" xfId="9189" xr:uid="{00000000-0005-0000-0000-00008F750000}"/>
    <cellStyle name="Normal 3 19 2 3 2 4 2 2" xfId="15979" xr:uid="{00000000-0005-0000-0000-000090750000}"/>
    <cellStyle name="Normal 3 19 2 3 2 4 2 2 2" xfId="29547" xr:uid="{00000000-0005-0000-0000-000091750000}"/>
    <cellStyle name="Normal 3 19 2 3 2 4 2 2 2 2" xfId="56680" xr:uid="{00000000-0005-0000-0000-000092750000}"/>
    <cellStyle name="Normal 3 19 2 3 2 4 2 2 3" xfId="43118" xr:uid="{00000000-0005-0000-0000-000093750000}"/>
    <cellStyle name="Normal 3 19 2 3 2 4 2 3" xfId="22766" xr:uid="{00000000-0005-0000-0000-000094750000}"/>
    <cellStyle name="Normal 3 19 2 3 2 4 2 3 2" xfId="49899" xr:uid="{00000000-0005-0000-0000-000095750000}"/>
    <cellStyle name="Normal 3 19 2 3 2 4 2 4" xfId="36337" xr:uid="{00000000-0005-0000-0000-000096750000}"/>
    <cellStyle name="Normal 3 19 2 3 2 4 3" xfId="12590" xr:uid="{00000000-0005-0000-0000-000097750000}"/>
    <cellStyle name="Normal 3 19 2 3 2 4 3 2" xfId="26158" xr:uid="{00000000-0005-0000-0000-000098750000}"/>
    <cellStyle name="Normal 3 19 2 3 2 4 3 2 2" xfId="53291" xr:uid="{00000000-0005-0000-0000-000099750000}"/>
    <cellStyle name="Normal 3 19 2 3 2 4 3 3" xfId="39729" xr:uid="{00000000-0005-0000-0000-00009A750000}"/>
    <cellStyle name="Normal 3 19 2 3 2 4 4" xfId="19377" xr:uid="{00000000-0005-0000-0000-00009B750000}"/>
    <cellStyle name="Normal 3 19 2 3 2 4 4 2" xfId="46510" xr:uid="{00000000-0005-0000-0000-00009C750000}"/>
    <cellStyle name="Normal 3 19 2 3 2 4 5" xfId="32948" xr:uid="{00000000-0005-0000-0000-00009D750000}"/>
    <cellStyle name="Normal 3 19 2 3 2 5" xfId="5647" xr:uid="{00000000-0005-0000-0000-00009E750000}"/>
    <cellStyle name="Normal 3 19 2 3 2 5 2" xfId="9190" xr:uid="{00000000-0005-0000-0000-00009F750000}"/>
    <cellStyle name="Normal 3 19 2 3 2 5 2 2" xfId="15980" xr:uid="{00000000-0005-0000-0000-0000A0750000}"/>
    <cellStyle name="Normal 3 19 2 3 2 5 2 2 2" xfId="29548" xr:uid="{00000000-0005-0000-0000-0000A1750000}"/>
    <cellStyle name="Normal 3 19 2 3 2 5 2 2 2 2" xfId="56681" xr:uid="{00000000-0005-0000-0000-0000A2750000}"/>
    <cellStyle name="Normal 3 19 2 3 2 5 2 2 3" xfId="43119" xr:uid="{00000000-0005-0000-0000-0000A3750000}"/>
    <cellStyle name="Normal 3 19 2 3 2 5 2 3" xfId="22767" xr:uid="{00000000-0005-0000-0000-0000A4750000}"/>
    <cellStyle name="Normal 3 19 2 3 2 5 2 3 2" xfId="49900" xr:uid="{00000000-0005-0000-0000-0000A5750000}"/>
    <cellStyle name="Normal 3 19 2 3 2 5 2 4" xfId="36338" xr:uid="{00000000-0005-0000-0000-0000A6750000}"/>
    <cellStyle name="Normal 3 19 2 3 2 5 3" xfId="12591" xr:uid="{00000000-0005-0000-0000-0000A7750000}"/>
    <cellStyle name="Normal 3 19 2 3 2 5 3 2" xfId="26159" xr:uid="{00000000-0005-0000-0000-0000A8750000}"/>
    <cellStyle name="Normal 3 19 2 3 2 5 3 2 2" xfId="53292" xr:uid="{00000000-0005-0000-0000-0000A9750000}"/>
    <cellStyle name="Normal 3 19 2 3 2 5 3 3" xfId="39730" xr:uid="{00000000-0005-0000-0000-0000AA750000}"/>
    <cellStyle name="Normal 3 19 2 3 2 5 4" xfId="19378" xr:uid="{00000000-0005-0000-0000-0000AB750000}"/>
    <cellStyle name="Normal 3 19 2 3 2 5 4 2" xfId="46511" xr:uid="{00000000-0005-0000-0000-0000AC750000}"/>
    <cellStyle name="Normal 3 19 2 3 2 5 5" xfId="32949" xr:uid="{00000000-0005-0000-0000-0000AD750000}"/>
    <cellStyle name="Normal 3 19 2 3 2 6" xfId="9183" xr:uid="{00000000-0005-0000-0000-0000AE750000}"/>
    <cellStyle name="Normal 3 19 2 3 2 6 2" xfId="15973" xr:uid="{00000000-0005-0000-0000-0000AF750000}"/>
    <cellStyle name="Normal 3 19 2 3 2 6 2 2" xfId="29541" xr:uid="{00000000-0005-0000-0000-0000B0750000}"/>
    <cellStyle name="Normal 3 19 2 3 2 6 2 2 2" xfId="56674" xr:uid="{00000000-0005-0000-0000-0000B1750000}"/>
    <cellStyle name="Normal 3 19 2 3 2 6 2 3" xfId="43112" xr:uid="{00000000-0005-0000-0000-0000B2750000}"/>
    <cellStyle name="Normal 3 19 2 3 2 6 3" xfId="22760" xr:uid="{00000000-0005-0000-0000-0000B3750000}"/>
    <cellStyle name="Normal 3 19 2 3 2 6 3 2" xfId="49893" xr:uid="{00000000-0005-0000-0000-0000B4750000}"/>
    <cellStyle name="Normal 3 19 2 3 2 6 4" xfId="36331" xr:uid="{00000000-0005-0000-0000-0000B5750000}"/>
    <cellStyle name="Normal 3 19 2 3 2 7" xfId="12584" xr:uid="{00000000-0005-0000-0000-0000B6750000}"/>
    <cellStyle name="Normal 3 19 2 3 2 7 2" xfId="26152" xr:uid="{00000000-0005-0000-0000-0000B7750000}"/>
    <cellStyle name="Normal 3 19 2 3 2 7 2 2" xfId="53285" xr:uid="{00000000-0005-0000-0000-0000B8750000}"/>
    <cellStyle name="Normal 3 19 2 3 2 7 3" xfId="39723" xr:uid="{00000000-0005-0000-0000-0000B9750000}"/>
    <cellStyle name="Normal 3 19 2 3 2 8" xfId="19371" xr:uid="{00000000-0005-0000-0000-0000BA750000}"/>
    <cellStyle name="Normal 3 19 2 3 2 8 2" xfId="46504" xr:uid="{00000000-0005-0000-0000-0000BB750000}"/>
    <cellStyle name="Normal 3 19 2 3 2 9" xfId="32942" xr:uid="{00000000-0005-0000-0000-0000BC750000}"/>
    <cellStyle name="Normal 3 19 2 3 3" xfId="5648" xr:uid="{00000000-0005-0000-0000-0000BD750000}"/>
    <cellStyle name="Normal 3 19 2 3 3 2" xfId="5649" xr:uid="{00000000-0005-0000-0000-0000BE750000}"/>
    <cellStyle name="Normal 3 19 2 3 3 2 2" xfId="9192" xr:uid="{00000000-0005-0000-0000-0000BF750000}"/>
    <cellStyle name="Normal 3 19 2 3 3 2 2 2" xfId="15982" xr:uid="{00000000-0005-0000-0000-0000C0750000}"/>
    <cellStyle name="Normal 3 19 2 3 3 2 2 2 2" xfId="29550" xr:uid="{00000000-0005-0000-0000-0000C1750000}"/>
    <cellStyle name="Normal 3 19 2 3 3 2 2 2 2 2" xfId="56683" xr:uid="{00000000-0005-0000-0000-0000C2750000}"/>
    <cellStyle name="Normal 3 19 2 3 3 2 2 2 3" xfId="43121" xr:uid="{00000000-0005-0000-0000-0000C3750000}"/>
    <cellStyle name="Normal 3 19 2 3 3 2 2 3" xfId="22769" xr:uid="{00000000-0005-0000-0000-0000C4750000}"/>
    <cellStyle name="Normal 3 19 2 3 3 2 2 3 2" xfId="49902" xr:uid="{00000000-0005-0000-0000-0000C5750000}"/>
    <cellStyle name="Normal 3 19 2 3 3 2 2 4" xfId="36340" xr:uid="{00000000-0005-0000-0000-0000C6750000}"/>
    <cellStyle name="Normal 3 19 2 3 3 2 3" xfId="12593" xr:uid="{00000000-0005-0000-0000-0000C7750000}"/>
    <cellStyle name="Normal 3 19 2 3 3 2 3 2" xfId="26161" xr:uid="{00000000-0005-0000-0000-0000C8750000}"/>
    <cellStyle name="Normal 3 19 2 3 3 2 3 2 2" xfId="53294" xr:uid="{00000000-0005-0000-0000-0000C9750000}"/>
    <cellStyle name="Normal 3 19 2 3 3 2 3 3" xfId="39732" xr:uid="{00000000-0005-0000-0000-0000CA750000}"/>
    <cellStyle name="Normal 3 19 2 3 3 2 4" xfId="19380" xr:uid="{00000000-0005-0000-0000-0000CB750000}"/>
    <cellStyle name="Normal 3 19 2 3 3 2 4 2" xfId="46513" xr:uid="{00000000-0005-0000-0000-0000CC750000}"/>
    <cellStyle name="Normal 3 19 2 3 3 2 5" xfId="32951" xr:uid="{00000000-0005-0000-0000-0000CD750000}"/>
    <cellStyle name="Normal 3 19 2 3 3 3" xfId="5650" xr:uid="{00000000-0005-0000-0000-0000CE750000}"/>
    <cellStyle name="Normal 3 19 2 3 3 3 2" xfId="9193" xr:uid="{00000000-0005-0000-0000-0000CF750000}"/>
    <cellStyle name="Normal 3 19 2 3 3 3 2 2" xfId="15983" xr:uid="{00000000-0005-0000-0000-0000D0750000}"/>
    <cellStyle name="Normal 3 19 2 3 3 3 2 2 2" xfId="29551" xr:uid="{00000000-0005-0000-0000-0000D1750000}"/>
    <cellStyle name="Normal 3 19 2 3 3 3 2 2 2 2" xfId="56684" xr:uid="{00000000-0005-0000-0000-0000D2750000}"/>
    <cellStyle name="Normal 3 19 2 3 3 3 2 2 3" xfId="43122" xr:uid="{00000000-0005-0000-0000-0000D3750000}"/>
    <cellStyle name="Normal 3 19 2 3 3 3 2 3" xfId="22770" xr:uid="{00000000-0005-0000-0000-0000D4750000}"/>
    <cellStyle name="Normal 3 19 2 3 3 3 2 3 2" xfId="49903" xr:uid="{00000000-0005-0000-0000-0000D5750000}"/>
    <cellStyle name="Normal 3 19 2 3 3 3 2 4" xfId="36341" xr:uid="{00000000-0005-0000-0000-0000D6750000}"/>
    <cellStyle name="Normal 3 19 2 3 3 3 3" xfId="12594" xr:uid="{00000000-0005-0000-0000-0000D7750000}"/>
    <cellStyle name="Normal 3 19 2 3 3 3 3 2" xfId="26162" xr:uid="{00000000-0005-0000-0000-0000D8750000}"/>
    <cellStyle name="Normal 3 19 2 3 3 3 3 2 2" xfId="53295" xr:uid="{00000000-0005-0000-0000-0000D9750000}"/>
    <cellStyle name="Normal 3 19 2 3 3 3 3 3" xfId="39733" xr:uid="{00000000-0005-0000-0000-0000DA750000}"/>
    <cellStyle name="Normal 3 19 2 3 3 3 4" xfId="19381" xr:uid="{00000000-0005-0000-0000-0000DB750000}"/>
    <cellStyle name="Normal 3 19 2 3 3 3 4 2" xfId="46514" xr:uid="{00000000-0005-0000-0000-0000DC750000}"/>
    <cellStyle name="Normal 3 19 2 3 3 3 5" xfId="32952" xr:uid="{00000000-0005-0000-0000-0000DD750000}"/>
    <cellStyle name="Normal 3 19 2 3 3 4" xfId="9191" xr:uid="{00000000-0005-0000-0000-0000DE750000}"/>
    <cellStyle name="Normal 3 19 2 3 3 4 2" xfId="15981" xr:uid="{00000000-0005-0000-0000-0000DF750000}"/>
    <cellStyle name="Normal 3 19 2 3 3 4 2 2" xfId="29549" xr:uid="{00000000-0005-0000-0000-0000E0750000}"/>
    <cellStyle name="Normal 3 19 2 3 3 4 2 2 2" xfId="56682" xr:uid="{00000000-0005-0000-0000-0000E1750000}"/>
    <cellStyle name="Normal 3 19 2 3 3 4 2 3" xfId="43120" xr:uid="{00000000-0005-0000-0000-0000E2750000}"/>
    <cellStyle name="Normal 3 19 2 3 3 4 3" xfId="22768" xr:uid="{00000000-0005-0000-0000-0000E3750000}"/>
    <cellStyle name="Normal 3 19 2 3 3 4 3 2" xfId="49901" xr:uid="{00000000-0005-0000-0000-0000E4750000}"/>
    <cellStyle name="Normal 3 19 2 3 3 4 4" xfId="36339" xr:uid="{00000000-0005-0000-0000-0000E5750000}"/>
    <cellStyle name="Normal 3 19 2 3 3 5" xfId="12592" xr:uid="{00000000-0005-0000-0000-0000E6750000}"/>
    <cellStyle name="Normal 3 19 2 3 3 5 2" xfId="26160" xr:uid="{00000000-0005-0000-0000-0000E7750000}"/>
    <cellStyle name="Normal 3 19 2 3 3 5 2 2" xfId="53293" xr:uid="{00000000-0005-0000-0000-0000E8750000}"/>
    <cellStyle name="Normal 3 19 2 3 3 5 3" xfId="39731" xr:uid="{00000000-0005-0000-0000-0000E9750000}"/>
    <cellStyle name="Normal 3 19 2 3 3 6" xfId="19379" xr:uid="{00000000-0005-0000-0000-0000EA750000}"/>
    <cellStyle name="Normal 3 19 2 3 3 6 2" xfId="46512" xr:uid="{00000000-0005-0000-0000-0000EB750000}"/>
    <cellStyle name="Normal 3 19 2 3 3 7" xfId="32950" xr:uid="{00000000-0005-0000-0000-0000EC750000}"/>
    <cellStyle name="Normal 3 19 2 3 4" xfId="5651" xr:uid="{00000000-0005-0000-0000-0000ED750000}"/>
    <cellStyle name="Normal 3 19 2 3 4 2" xfId="5652" xr:uid="{00000000-0005-0000-0000-0000EE750000}"/>
    <cellStyle name="Normal 3 19 2 3 4 2 2" xfId="9195" xr:uid="{00000000-0005-0000-0000-0000EF750000}"/>
    <cellStyle name="Normal 3 19 2 3 4 2 2 2" xfId="15985" xr:uid="{00000000-0005-0000-0000-0000F0750000}"/>
    <cellStyle name="Normal 3 19 2 3 4 2 2 2 2" xfId="29553" xr:uid="{00000000-0005-0000-0000-0000F1750000}"/>
    <cellStyle name="Normal 3 19 2 3 4 2 2 2 2 2" xfId="56686" xr:uid="{00000000-0005-0000-0000-0000F2750000}"/>
    <cellStyle name="Normal 3 19 2 3 4 2 2 2 3" xfId="43124" xr:uid="{00000000-0005-0000-0000-0000F3750000}"/>
    <cellStyle name="Normal 3 19 2 3 4 2 2 3" xfId="22772" xr:uid="{00000000-0005-0000-0000-0000F4750000}"/>
    <cellStyle name="Normal 3 19 2 3 4 2 2 3 2" xfId="49905" xr:uid="{00000000-0005-0000-0000-0000F5750000}"/>
    <cellStyle name="Normal 3 19 2 3 4 2 2 4" xfId="36343" xr:uid="{00000000-0005-0000-0000-0000F6750000}"/>
    <cellStyle name="Normal 3 19 2 3 4 2 3" xfId="12596" xr:uid="{00000000-0005-0000-0000-0000F7750000}"/>
    <cellStyle name="Normal 3 19 2 3 4 2 3 2" xfId="26164" xr:uid="{00000000-0005-0000-0000-0000F8750000}"/>
    <cellStyle name="Normal 3 19 2 3 4 2 3 2 2" xfId="53297" xr:uid="{00000000-0005-0000-0000-0000F9750000}"/>
    <cellStyle name="Normal 3 19 2 3 4 2 3 3" xfId="39735" xr:uid="{00000000-0005-0000-0000-0000FA750000}"/>
    <cellStyle name="Normal 3 19 2 3 4 2 4" xfId="19383" xr:uid="{00000000-0005-0000-0000-0000FB750000}"/>
    <cellStyle name="Normal 3 19 2 3 4 2 4 2" xfId="46516" xr:uid="{00000000-0005-0000-0000-0000FC750000}"/>
    <cellStyle name="Normal 3 19 2 3 4 2 5" xfId="32954" xr:uid="{00000000-0005-0000-0000-0000FD750000}"/>
    <cellStyle name="Normal 3 19 2 3 4 3" xfId="9194" xr:uid="{00000000-0005-0000-0000-0000FE750000}"/>
    <cellStyle name="Normal 3 19 2 3 4 3 2" xfId="15984" xr:uid="{00000000-0005-0000-0000-0000FF750000}"/>
    <cellStyle name="Normal 3 19 2 3 4 3 2 2" xfId="29552" xr:uid="{00000000-0005-0000-0000-000000760000}"/>
    <cellStyle name="Normal 3 19 2 3 4 3 2 2 2" xfId="56685" xr:uid="{00000000-0005-0000-0000-000001760000}"/>
    <cellStyle name="Normal 3 19 2 3 4 3 2 3" xfId="43123" xr:uid="{00000000-0005-0000-0000-000002760000}"/>
    <cellStyle name="Normal 3 19 2 3 4 3 3" xfId="22771" xr:uid="{00000000-0005-0000-0000-000003760000}"/>
    <cellStyle name="Normal 3 19 2 3 4 3 3 2" xfId="49904" xr:uid="{00000000-0005-0000-0000-000004760000}"/>
    <cellStyle name="Normal 3 19 2 3 4 3 4" xfId="36342" xr:uid="{00000000-0005-0000-0000-000005760000}"/>
    <cellStyle name="Normal 3 19 2 3 4 4" xfId="12595" xr:uid="{00000000-0005-0000-0000-000006760000}"/>
    <cellStyle name="Normal 3 19 2 3 4 4 2" xfId="26163" xr:uid="{00000000-0005-0000-0000-000007760000}"/>
    <cellStyle name="Normal 3 19 2 3 4 4 2 2" xfId="53296" xr:uid="{00000000-0005-0000-0000-000008760000}"/>
    <cellStyle name="Normal 3 19 2 3 4 4 3" xfId="39734" xr:uid="{00000000-0005-0000-0000-000009760000}"/>
    <cellStyle name="Normal 3 19 2 3 4 5" xfId="19382" xr:uid="{00000000-0005-0000-0000-00000A760000}"/>
    <cellStyle name="Normal 3 19 2 3 4 5 2" xfId="46515" xr:uid="{00000000-0005-0000-0000-00000B760000}"/>
    <cellStyle name="Normal 3 19 2 3 4 6" xfId="32953" xr:uid="{00000000-0005-0000-0000-00000C760000}"/>
    <cellStyle name="Normal 3 19 2 3 5" xfId="5653" xr:uid="{00000000-0005-0000-0000-00000D760000}"/>
    <cellStyle name="Normal 3 19 2 3 5 2" xfId="9196" xr:uid="{00000000-0005-0000-0000-00000E760000}"/>
    <cellStyle name="Normal 3 19 2 3 5 2 2" xfId="15986" xr:uid="{00000000-0005-0000-0000-00000F760000}"/>
    <cellStyle name="Normal 3 19 2 3 5 2 2 2" xfId="29554" xr:uid="{00000000-0005-0000-0000-000010760000}"/>
    <cellStyle name="Normal 3 19 2 3 5 2 2 2 2" xfId="56687" xr:uid="{00000000-0005-0000-0000-000011760000}"/>
    <cellStyle name="Normal 3 19 2 3 5 2 2 3" xfId="43125" xr:uid="{00000000-0005-0000-0000-000012760000}"/>
    <cellStyle name="Normal 3 19 2 3 5 2 3" xfId="22773" xr:uid="{00000000-0005-0000-0000-000013760000}"/>
    <cellStyle name="Normal 3 19 2 3 5 2 3 2" xfId="49906" xr:uid="{00000000-0005-0000-0000-000014760000}"/>
    <cellStyle name="Normal 3 19 2 3 5 2 4" xfId="36344" xr:uid="{00000000-0005-0000-0000-000015760000}"/>
    <cellStyle name="Normal 3 19 2 3 5 3" xfId="12597" xr:uid="{00000000-0005-0000-0000-000016760000}"/>
    <cellStyle name="Normal 3 19 2 3 5 3 2" xfId="26165" xr:uid="{00000000-0005-0000-0000-000017760000}"/>
    <cellStyle name="Normal 3 19 2 3 5 3 2 2" xfId="53298" xr:uid="{00000000-0005-0000-0000-000018760000}"/>
    <cellStyle name="Normal 3 19 2 3 5 3 3" xfId="39736" xr:uid="{00000000-0005-0000-0000-000019760000}"/>
    <cellStyle name="Normal 3 19 2 3 5 4" xfId="19384" xr:uid="{00000000-0005-0000-0000-00001A760000}"/>
    <cellStyle name="Normal 3 19 2 3 5 4 2" xfId="46517" xr:uid="{00000000-0005-0000-0000-00001B760000}"/>
    <cellStyle name="Normal 3 19 2 3 5 5" xfId="32955" xr:uid="{00000000-0005-0000-0000-00001C760000}"/>
    <cellStyle name="Normal 3 19 2 3 6" xfId="5654" xr:uid="{00000000-0005-0000-0000-00001D760000}"/>
    <cellStyle name="Normal 3 19 2 3 6 2" xfId="9197" xr:uid="{00000000-0005-0000-0000-00001E760000}"/>
    <cellStyle name="Normal 3 19 2 3 6 2 2" xfId="15987" xr:uid="{00000000-0005-0000-0000-00001F760000}"/>
    <cellStyle name="Normal 3 19 2 3 6 2 2 2" xfId="29555" xr:uid="{00000000-0005-0000-0000-000020760000}"/>
    <cellStyle name="Normal 3 19 2 3 6 2 2 2 2" xfId="56688" xr:uid="{00000000-0005-0000-0000-000021760000}"/>
    <cellStyle name="Normal 3 19 2 3 6 2 2 3" xfId="43126" xr:uid="{00000000-0005-0000-0000-000022760000}"/>
    <cellStyle name="Normal 3 19 2 3 6 2 3" xfId="22774" xr:uid="{00000000-0005-0000-0000-000023760000}"/>
    <cellStyle name="Normal 3 19 2 3 6 2 3 2" xfId="49907" xr:uid="{00000000-0005-0000-0000-000024760000}"/>
    <cellStyle name="Normal 3 19 2 3 6 2 4" xfId="36345" xr:uid="{00000000-0005-0000-0000-000025760000}"/>
    <cellStyle name="Normal 3 19 2 3 6 3" xfId="12598" xr:uid="{00000000-0005-0000-0000-000026760000}"/>
    <cellStyle name="Normal 3 19 2 3 6 3 2" xfId="26166" xr:uid="{00000000-0005-0000-0000-000027760000}"/>
    <cellStyle name="Normal 3 19 2 3 6 3 2 2" xfId="53299" xr:uid="{00000000-0005-0000-0000-000028760000}"/>
    <cellStyle name="Normal 3 19 2 3 6 3 3" xfId="39737" xr:uid="{00000000-0005-0000-0000-000029760000}"/>
    <cellStyle name="Normal 3 19 2 3 6 4" xfId="19385" xr:uid="{00000000-0005-0000-0000-00002A760000}"/>
    <cellStyle name="Normal 3 19 2 3 6 4 2" xfId="46518" xr:uid="{00000000-0005-0000-0000-00002B760000}"/>
    <cellStyle name="Normal 3 19 2 3 6 5" xfId="32956" xr:uid="{00000000-0005-0000-0000-00002C760000}"/>
    <cellStyle name="Normal 3 19 2 3 7" xfId="9182" xr:uid="{00000000-0005-0000-0000-00002D760000}"/>
    <cellStyle name="Normal 3 19 2 3 7 2" xfId="15972" xr:uid="{00000000-0005-0000-0000-00002E760000}"/>
    <cellStyle name="Normal 3 19 2 3 7 2 2" xfId="29540" xr:uid="{00000000-0005-0000-0000-00002F760000}"/>
    <cellStyle name="Normal 3 19 2 3 7 2 2 2" xfId="56673" xr:uid="{00000000-0005-0000-0000-000030760000}"/>
    <cellStyle name="Normal 3 19 2 3 7 2 3" xfId="43111" xr:uid="{00000000-0005-0000-0000-000031760000}"/>
    <cellStyle name="Normal 3 19 2 3 7 3" xfId="22759" xr:uid="{00000000-0005-0000-0000-000032760000}"/>
    <cellStyle name="Normal 3 19 2 3 7 3 2" xfId="49892" xr:uid="{00000000-0005-0000-0000-000033760000}"/>
    <cellStyle name="Normal 3 19 2 3 7 4" xfId="36330" xr:uid="{00000000-0005-0000-0000-000034760000}"/>
    <cellStyle name="Normal 3 19 2 3 8" xfId="12583" xr:uid="{00000000-0005-0000-0000-000035760000}"/>
    <cellStyle name="Normal 3 19 2 3 8 2" xfId="26151" xr:uid="{00000000-0005-0000-0000-000036760000}"/>
    <cellStyle name="Normal 3 19 2 3 8 2 2" xfId="53284" xr:uid="{00000000-0005-0000-0000-000037760000}"/>
    <cellStyle name="Normal 3 19 2 3 8 3" xfId="39722" xr:uid="{00000000-0005-0000-0000-000038760000}"/>
    <cellStyle name="Normal 3 19 2 3 9" xfId="19370" xr:uid="{00000000-0005-0000-0000-000039760000}"/>
    <cellStyle name="Normal 3 19 2 3 9 2" xfId="46503" xr:uid="{00000000-0005-0000-0000-00003A760000}"/>
    <cellStyle name="Normal 3 19 2 4" xfId="5655" xr:uid="{00000000-0005-0000-0000-00003B760000}"/>
    <cellStyle name="Normal 3 19 2 4 2" xfId="5656" xr:uid="{00000000-0005-0000-0000-00003C760000}"/>
    <cellStyle name="Normal 3 19 2 4 2 2" xfId="5657" xr:uid="{00000000-0005-0000-0000-00003D760000}"/>
    <cellStyle name="Normal 3 19 2 4 2 2 2" xfId="9200" xr:uid="{00000000-0005-0000-0000-00003E760000}"/>
    <cellStyle name="Normal 3 19 2 4 2 2 2 2" xfId="15990" xr:uid="{00000000-0005-0000-0000-00003F760000}"/>
    <cellStyle name="Normal 3 19 2 4 2 2 2 2 2" xfId="29558" xr:uid="{00000000-0005-0000-0000-000040760000}"/>
    <cellStyle name="Normal 3 19 2 4 2 2 2 2 2 2" xfId="56691" xr:uid="{00000000-0005-0000-0000-000041760000}"/>
    <cellStyle name="Normal 3 19 2 4 2 2 2 2 3" xfId="43129" xr:uid="{00000000-0005-0000-0000-000042760000}"/>
    <cellStyle name="Normal 3 19 2 4 2 2 2 3" xfId="22777" xr:uid="{00000000-0005-0000-0000-000043760000}"/>
    <cellStyle name="Normal 3 19 2 4 2 2 2 3 2" xfId="49910" xr:uid="{00000000-0005-0000-0000-000044760000}"/>
    <cellStyle name="Normal 3 19 2 4 2 2 2 4" xfId="36348" xr:uid="{00000000-0005-0000-0000-000045760000}"/>
    <cellStyle name="Normal 3 19 2 4 2 2 3" xfId="12601" xr:uid="{00000000-0005-0000-0000-000046760000}"/>
    <cellStyle name="Normal 3 19 2 4 2 2 3 2" xfId="26169" xr:uid="{00000000-0005-0000-0000-000047760000}"/>
    <cellStyle name="Normal 3 19 2 4 2 2 3 2 2" xfId="53302" xr:uid="{00000000-0005-0000-0000-000048760000}"/>
    <cellStyle name="Normal 3 19 2 4 2 2 3 3" xfId="39740" xr:uid="{00000000-0005-0000-0000-000049760000}"/>
    <cellStyle name="Normal 3 19 2 4 2 2 4" xfId="19388" xr:uid="{00000000-0005-0000-0000-00004A760000}"/>
    <cellStyle name="Normal 3 19 2 4 2 2 4 2" xfId="46521" xr:uid="{00000000-0005-0000-0000-00004B760000}"/>
    <cellStyle name="Normal 3 19 2 4 2 2 5" xfId="32959" xr:uid="{00000000-0005-0000-0000-00004C760000}"/>
    <cellStyle name="Normal 3 19 2 4 2 3" xfId="5658" xr:uid="{00000000-0005-0000-0000-00004D760000}"/>
    <cellStyle name="Normal 3 19 2 4 2 3 2" xfId="9201" xr:uid="{00000000-0005-0000-0000-00004E760000}"/>
    <cellStyle name="Normal 3 19 2 4 2 3 2 2" xfId="15991" xr:uid="{00000000-0005-0000-0000-00004F760000}"/>
    <cellStyle name="Normal 3 19 2 4 2 3 2 2 2" xfId="29559" xr:uid="{00000000-0005-0000-0000-000050760000}"/>
    <cellStyle name="Normal 3 19 2 4 2 3 2 2 2 2" xfId="56692" xr:uid="{00000000-0005-0000-0000-000051760000}"/>
    <cellStyle name="Normal 3 19 2 4 2 3 2 2 3" xfId="43130" xr:uid="{00000000-0005-0000-0000-000052760000}"/>
    <cellStyle name="Normal 3 19 2 4 2 3 2 3" xfId="22778" xr:uid="{00000000-0005-0000-0000-000053760000}"/>
    <cellStyle name="Normal 3 19 2 4 2 3 2 3 2" xfId="49911" xr:uid="{00000000-0005-0000-0000-000054760000}"/>
    <cellStyle name="Normal 3 19 2 4 2 3 2 4" xfId="36349" xr:uid="{00000000-0005-0000-0000-000055760000}"/>
    <cellStyle name="Normal 3 19 2 4 2 3 3" xfId="12602" xr:uid="{00000000-0005-0000-0000-000056760000}"/>
    <cellStyle name="Normal 3 19 2 4 2 3 3 2" xfId="26170" xr:uid="{00000000-0005-0000-0000-000057760000}"/>
    <cellStyle name="Normal 3 19 2 4 2 3 3 2 2" xfId="53303" xr:uid="{00000000-0005-0000-0000-000058760000}"/>
    <cellStyle name="Normal 3 19 2 4 2 3 3 3" xfId="39741" xr:uid="{00000000-0005-0000-0000-000059760000}"/>
    <cellStyle name="Normal 3 19 2 4 2 3 4" xfId="19389" xr:uid="{00000000-0005-0000-0000-00005A760000}"/>
    <cellStyle name="Normal 3 19 2 4 2 3 4 2" xfId="46522" xr:uid="{00000000-0005-0000-0000-00005B760000}"/>
    <cellStyle name="Normal 3 19 2 4 2 3 5" xfId="32960" xr:uid="{00000000-0005-0000-0000-00005C760000}"/>
    <cellStyle name="Normal 3 19 2 4 2 4" xfId="9199" xr:uid="{00000000-0005-0000-0000-00005D760000}"/>
    <cellStyle name="Normal 3 19 2 4 2 4 2" xfId="15989" xr:uid="{00000000-0005-0000-0000-00005E760000}"/>
    <cellStyle name="Normal 3 19 2 4 2 4 2 2" xfId="29557" xr:uid="{00000000-0005-0000-0000-00005F760000}"/>
    <cellStyle name="Normal 3 19 2 4 2 4 2 2 2" xfId="56690" xr:uid="{00000000-0005-0000-0000-000060760000}"/>
    <cellStyle name="Normal 3 19 2 4 2 4 2 3" xfId="43128" xr:uid="{00000000-0005-0000-0000-000061760000}"/>
    <cellStyle name="Normal 3 19 2 4 2 4 3" xfId="22776" xr:uid="{00000000-0005-0000-0000-000062760000}"/>
    <cellStyle name="Normal 3 19 2 4 2 4 3 2" xfId="49909" xr:uid="{00000000-0005-0000-0000-000063760000}"/>
    <cellStyle name="Normal 3 19 2 4 2 4 4" xfId="36347" xr:uid="{00000000-0005-0000-0000-000064760000}"/>
    <cellStyle name="Normal 3 19 2 4 2 5" xfId="12600" xr:uid="{00000000-0005-0000-0000-000065760000}"/>
    <cellStyle name="Normal 3 19 2 4 2 5 2" xfId="26168" xr:uid="{00000000-0005-0000-0000-000066760000}"/>
    <cellStyle name="Normal 3 19 2 4 2 5 2 2" xfId="53301" xr:uid="{00000000-0005-0000-0000-000067760000}"/>
    <cellStyle name="Normal 3 19 2 4 2 5 3" xfId="39739" xr:uid="{00000000-0005-0000-0000-000068760000}"/>
    <cellStyle name="Normal 3 19 2 4 2 6" xfId="19387" xr:uid="{00000000-0005-0000-0000-000069760000}"/>
    <cellStyle name="Normal 3 19 2 4 2 6 2" xfId="46520" xr:uid="{00000000-0005-0000-0000-00006A760000}"/>
    <cellStyle name="Normal 3 19 2 4 2 7" xfId="32958" xr:uid="{00000000-0005-0000-0000-00006B760000}"/>
    <cellStyle name="Normal 3 19 2 4 3" xfId="5659" xr:uid="{00000000-0005-0000-0000-00006C760000}"/>
    <cellStyle name="Normal 3 19 2 4 3 2" xfId="5660" xr:uid="{00000000-0005-0000-0000-00006D760000}"/>
    <cellStyle name="Normal 3 19 2 4 3 2 2" xfId="9203" xr:uid="{00000000-0005-0000-0000-00006E760000}"/>
    <cellStyle name="Normal 3 19 2 4 3 2 2 2" xfId="15993" xr:uid="{00000000-0005-0000-0000-00006F760000}"/>
    <cellStyle name="Normal 3 19 2 4 3 2 2 2 2" xfId="29561" xr:uid="{00000000-0005-0000-0000-000070760000}"/>
    <cellStyle name="Normal 3 19 2 4 3 2 2 2 2 2" xfId="56694" xr:uid="{00000000-0005-0000-0000-000071760000}"/>
    <cellStyle name="Normal 3 19 2 4 3 2 2 2 3" xfId="43132" xr:uid="{00000000-0005-0000-0000-000072760000}"/>
    <cellStyle name="Normal 3 19 2 4 3 2 2 3" xfId="22780" xr:uid="{00000000-0005-0000-0000-000073760000}"/>
    <cellStyle name="Normal 3 19 2 4 3 2 2 3 2" xfId="49913" xr:uid="{00000000-0005-0000-0000-000074760000}"/>
    <cellStyle name="Normal 3 19 2 4 3 2 2 4" xfId="36351" xr:uid="{00000000-0005-0000-0000-000075760000}"/>
    <cellStyle name="Normal 3 19 2 4 3 2 3" xfId="12604" xr:uid="{00000000-0005-0000-0000-000076760000}"/>
    <cellStyle name="Normal 3 19 2 4 3 2 3 2" xfId="26172" xr:uid="{00000000-0005-0000-0000-000077760000}"/>
    <cellStyle name="Normal 3 19 2 4 3 2 3 2 2" xfId="53305" xr:uid="{00000000-0005-0000-0000-000078760000}"/>
    <cellStyle name="Normal 3 19 2 4 3 2 3 3" xfId="39743" xr:uid="{00000000-0005-0000-0000-000079760000}"/>
    <cellStyle name="Normal 3 19 2 4 3 2 4" xfId="19391" xr:uid="{00000000-0005-0000-0000-00007A760000}"/>
    <cellStyle name="Normal 3 19 2 4 3 2 4 2" xfId="46524" xr:uid="{00000000-0005-0000-0000-00007B760000}"/>
    <cellStyle name="Normal 3 19 2 4 3 2 5" xfId="32962" xr:uid="{00000000-0005-0000-0000-00007C760000}"/>
    <cellStyle name="Normal 3 19 2 4 3 3" xfId="9202" xr:uid="{00000000-0005-0000-0000-00007D760000}"/>
    <cellStyle name="Normal 3 19 2 4 3 3 2" xfId="15992" xr:uid="{00000000-0005-0000-0000-00007E760000}"/>
    <cellStyle name="Normal 3 19 2 4 3 3 2 2" xfId="29560" xr:uid="{00000000-0005-0000-0000-00007F760000}"/>
    <cellStyle name="Normal 3 19 2 4 3 3 2 2 2" xfId="56693" xr:uid="{00000000-0005-0000-0000-000080760000}"/>
    <cellStyle name="Normal 3 19 2 4 3 3 2 3" xfId="43131" xr:uid="{00000000-0005-0000-0000-000081760000}"/>
    <cellStyle name="Normal 3 19 2 4 3 3 3" xfId="22779" xr:uid="{00000000-0005-0000-0000-000082760000}"/>
    <cellStyle name="Normal 3 19 2 4 3 3 3 2" xfId="49912" xr:uid="{00000000-0005-0000-0000-000083760000}"/>
    <cellStyle name="Normal 3 19 2 4 3 3 4" xfId="36350" xr:uid="{00000000-0005-0000-0000-000084760000}"/>
    <cellStyle name="Normal 3 19 2 4 3 4" xfId="12603" xr:uid="{00000000-0005-0000-0000-000085760000}"/>
    <cellStyle name="Normal 3 19 2 4 3 4 2" xfId="26171" xr:uid="{00000000-0005-0000-0000-000086760000}"/>
    <cellStyle name="Normal 3 19 2 4 3 4 2 2" xfId="53304" xr:uid="{00000000-0005-0000-0000-000087760000}"/>
    <cellStyle name="Normal 3 19 2 4 3 4 3" xfId="39742" xr:uid="{00000000-0005-0000-0000-000088760000}"/>
    <cellStyle name="Normal 3 19 2 4 3 5" xfId="19390" xr:uid="{00000000-0005-0000-0000-000089760000}"/>
    <cellStyle name="Normal 3 19 2 4 3 5 2" xfId="46523" xr:uid="{00000000-0005-0000-0000-00008A760000}"/>
    <cellStyle name="Normal 3 19 2 4 3 6" xfId="32961" xr:uid="{00000000-0005-0000-0000-00008B760000}"/>
    <cellStyle name="Normal 3 19 2 4 4" xfId="5661" xr:uid="{00000000-0005-0000-0000-00008C760000}"/>
    <cellStyle name="Normal 3 19 2 4 4 2" xfId="9204" xr:uid="{00000000-0005-0000-0000-00008D760000}"/>
    <cellStyle name="Normal 3 19 2 4 4 2 2" xfId="15994" xr:uid="{00000000-0005-0000-0000-00008E760000}"/>
    <cellStyle name="Normal 3 19 2 4 4 2 2 2" xfId="29562" xr:uid="{00000000-0005-0000-0000-00008F760000}"/>
    <cellStyle name="Normal 3 19 2 4 4 2 2 2 2" xfId="56695" xr:uid="{00000000-0005-0000-0000-000090760000}"/>
    <cellStyle name="Normal 3 19 2 4 4 2 2 3" xfId="43133" xr:uid="{00000000-0005-0000-0000-000091760000}"/>
    <cellStyle name="Normal 3 19 2 4 4 2 3" xfId="22781" xr:uid="{00000000-0005-0000-0000-000092760000}"/>
    <cellStyle name="Normal 3 19 2 4 4 2 3 2" xfId="49914" xr:uid="{00000000-0005-0000-0000-000093760000}"/>
    <cellStyle name="Normal 3 19 2 4 4 2 4" xfId="36352" xr:uid="{00000000-0005-0000-0000-000094760000}"/>
    <cellStyle name="Normal 3 19 2 4 4 3" xfId="12605" xr:uid="{00000000-0005-0000-0000-000095760000}"/>
    <cellStyle name="Normal 3 19 2 4 4 3 2" xfId="26173" xr:uid="{00000000-0005-0000-0000-000096760000}"/>
    <cellStyle name="Normal 3 19 2 4 4 3 2 2" xfId="53306" xr:uid="{00000000-0005-0000-0000-000097760000}"/>
    <cellStyle name="Normal 3 19 2 4 4 3 3" xfId="39744" xr:uid="{00000000-0005-0000-0000-000098760000}"/>
    <cellStyle name="Normal 3 19 2 4 4 4" xfId="19392" xr:uid="{00000000-0005-0000-0000-000099760000}"/>
    <cellStyle name="Normal 3 19 2 4 4 4 2" xfId="46525" xr:uid="{00000000-0005-0000-0000-00009A760000}"/>
    <cellStyle name="Normal 3 19 2 4 4 5" xfId="32963" xr:uid="{00000000-0005-0000-0000-00009B760000}"/>
    <cellStyle name="Normal 3 19 2 4 5" xfId="5662" xr:uid="{00000000-0005-0000-0000-00009C760000}"/>
    <cellStyle name="Normal 3 19 2 4 5 2" xfId="9205" xr:uid="{00000000-0005-0000-0000-00009D760000}"/>
    <cellStyle name="Normal 3 19 2 4 5 2 2" xfId="15995" xr:uid="{00000000-0005-0000-0000-00009E760000}"/>
    <cellStyle name="Normal 3 19 2 4 5 2 2 2" xfId="29563" xr:uid="{00000000-0005-0000-0000-00009F760000}"/>
    <cellStyle name="Normal 3 19 2 4 5 2 2 2 2" xfId="56696" xr:uid="{00000000-0005-0000-0000-0000A0760000}"/>
    <cellStyle name="Normal 3 19 2 4 5 2 2 3" xfId="43134" xr:uid="{00000000-0005-0000-0000-0000A1760000}"/>
    <cellStyle name="Normal 3 19 2 4 5 2 3" xfId="22782" xr:uid="{00000000-0005-0000-0000-0000A2760000}"/>
    <cellStyle name="Normal 3 19 2 4 5 2 3 2" xfId="49915" xr:uid="{00000000-0005-0000-0000-0000A3760000}"/>
    <cellStyle name="Normal 3 19 2 4 5 2 4" xfId="36353" xr:uid="{00000000-0005-0000-0000-0000A4760000}"/>
    <cellStyle name="Normal 3 19 2 4 5 3" xfId="12606" xr:uid="{00000000-0005-0000-0000-0000A5760000}"/>
    <cellStyle name="Normal 3 19 2 4 5 3 2" xfId="26174" xr:uid="{00000000-0005-0000-0000-0000A6760000}"/>
    <cellStyle name="Normal 3 19 2 4 5 3 2 2" xfId="53307" xr:uid="{00000000-0005-0000-0000-0000A7760000}"/>
    <cellStyle name="Normal 3 19 2 4 5 3 3" xfId="39745" xr:uid="{00000000-0005-0000-0000-0000A8760000}"/>
    <cellStyle name="Normal 3 19 2 4 5 4" xfId="19393" xr:uid="{00000000-0005-0000-0000-0000A9760000}"/>
    <cellStyle name="Normal 3 19 2 4 5 4 2" xfId="46526" xr:uid="{00000000-0005-0000-0000-0000AA760000}"/>
    <cellStyle name="Normal 3 19 2 4 5 5" xfId="32964" xr:uid="{00000000-0005-0000-0000-0000AB760000}"/>
    <cellStyle name="Normal 3 19 2 4 6" xfId="9198" xr:uid="{00000000-0005-0000-0000-0000AC760000}"/>
    <cellStyle name="Normal 3 19 2 4 6 2" xfId="15988" xr:uid="{00000000-0005-0000-0000-0000AD760000}"/>
    <cellStyle name="Normal 3 19 2 4 6 2 2" xfId="29556" xr:uid="{00000000-0005-0000-0000-0000AE760000}"/>
    <cellStyle name="Normal 3 19 2 4 6 2 2 2" xfId="56689" xr:uid="{00000000-0005-0000-0000-0000AF760000}"/>
    <cellStyle name="Normal 3 19 2 4 6 2 3" xfId="43127" xr:uid="{00000000-0005-0000-0000-0000B0760000}"/>
    <cellStyle name="Normal 3 19 2 4 6 3" xfId="22775" xr:uid="{00000000-0005-0000-0000-0000B1760000}"/>
    <cellStyle name="Normal 3 19 2 4 6 3 2" xfId="49908" xr:uid="{00000000-0005-0000-0000-0000B2760000}"/>
    <cellStyle name="Normal 3 19 2 4 6 4" xfId="36346" xr:uid="{00000000-0005-0000-0000-0000B3760000}"/>
    <cellStyle name="Normal 3 19 2 4 7" xfId="12599" xr:uid="{00000000-0005-0000-0000-0000B4760000}"/>
    <cellStyle name="Normal 3 19 2 4 7 2" xfId="26167" xr:uid="{00000000-0005-0000-0000-0000B5760000}"/>
    <cellStyle name="Normal 3 19 2 4 7 2 2" xfId="53300" xr:uid="{00000000-0005-0000-0000-0000B6760000}"/>
    <cellStyle name="Normal 3 19 2 4 7 3" xfId="39738" xr:uid="{00000000-0005-0000-0000-0000B7760000}"/>
    <cellStyle name="Normal 3 19 2 4 8" xfId="19386" xr:uid="{00000000-0005-0000-0000-0000B8760000}"/>
    <cellStyle name="Normal 3 19 2 4 8 2" xfId="46519" xr:uid="{00000000-0005-0000-0000-0000B9760000}"/>
    <cellStyle name="Normal 3 19 2 4 9" xfId="32957" xr:uid="{00000000-0005-0000-0000-0000BA760000}"/>
    <cellStyle name="Normal 3 19 2 5" xfId="5663" xr:uid="{00000000-0005-0000-0000-0000BB760000}"/>
    <cellStyle name="Normal 3 19 2 5 2" xfId="5664" xr:uid="{00000000-0005-0000-0000-0000BC760000}"/>
    <cellStyle name="Normal 3 19 2 5 2 2" xfId="5665" xr:uid="{00000000-0005-0000-0000-0000BD760000}"/>
    <cellStyle name="Normal 3 19 2 5 2 2 2" xfId="9208" xr:uid="{00000000-0005-0000-0000-0000BE760000}"/>
    <cellStyle name="Normal 3 19 2 5 2 2 2 2" xfId="15998" xr:uid="{00000000-0005-0000-0000-0000BF760000}"/>
    <cellStyle name="Normal 3 19 2 5 2 2 2 2 2" xfId="29566" xr:uid="{00000000-0005-0000-0000-0000C0760000}"/>
    <cellStyle name="Normal 3 19 2 5 2 2 2 2 2 2" xfId="56699" xr:uid="{00000000-0005-0000-0000-0000C1760000}"/>
    <cellStyle name="Normal 3 19 2 5 2 2 2 2 3" xfId="43137" xr:uid="{00000000-0005-0000-0000-0000C2760000}"/>
    <cellStyle name="Normal 3 19 2 5 2 2 2 3" xfId="22785" xr:uid="{00000000-0005-0000-0000-0000C3760000}"/>
    <cellStyle name="Normal 3 19 2 5 2 2 2 3 2" xfId="49918" xr:uid="{00000000-0005-0000-0000-0000C4760000}"/>
    <cellStyle name="Normal 3 19 2 5 2 2 2 4" xfId="36356" xr:uid="{00000000-0005-0000-0000-0000C5760000}"/>
    <cellStyle name="Normal 3 19 2 5 2 2 3" xfId="12609" xr:uid="{00000000-0005-0000-0000-0000C6760000}"/>
    <cellStyle name="Normal 3 19 2 5 2 2 3 2" xfId="26177" xr:uid="{00000000-0005-0000-0000-0000C7760000}"/>
    <cellStyle name="Normal 3 19 2 5 2 2 3 2 2" xfId="53310" xr:uid="{00000000-0005-0000-0000-0000C8760000}"/>
    <cellStyle name="Normal 3 19 2 5 2 2 3 3" xfId="39748" xr:uid="{00000000-0005-0000-0000-0000C9760000}"/>
    <cellStyle name="Normal 3 19 2 5 2 2 4" xfId="19396" xr:uid="{00000000-0005-0000-0000-0000CA760000}"/>
    <cellStyle name="Normal 3 19 2 5 2 2 4 2" xfId="46529" xr:uid="{00000000-0005-0000-0000-0000CB760000}"/>
    <cellStyle name="Normal 3 19 2 5 2 2 5" xfId="32967" xr:uid="{00000000-0005-0000-0000-0000CC760000}"/>
    <cellStyle name="Normal 3 19 2 5 2 3" xfId="5666" xr:uid="{00000000-0005-0000-0000-0000CD760000}"/>
    <cellStyle name="Normal 3 19 2 5 2 3 2" xfId="9209" xr:uid="{00000000-0005-0000-0000-0000CE760000}"/>
    <cellStyle name="Normal 3 19 2 5 2 3 2 2" xfId="15999" xr:uid="{00000000-0005-0000-0000-0000CF760000}"/>
    <cellStyle name="Normal 3 19 2 5 2 3 2 2 2" xfId="29567" xr:uid="{00000000-0005-0000-0000-0000D0760000}"/>
    <cellStyle name="Normal 3 19 2 5 2 3 2 2 2 2" xfId="56700" xr:uid="{00000000-0005-0000-0000-0000D1760000}"/>
    <cellStyle name="Normal 3 19 2 5 2 3 2 2 3" xfId="43138" xr:uid="{00000000-0005-0000-0000-0000D2760000}"/>
    <cellStyle name="Normal 3 19 2 5 2 3 2 3" xfId="22786" xr:uid="{00000000-0005-0000-0000-0000D3760000}"/>
    <cellStyle name="Normal 3 19 2 5 2 3 2 3 2" xfId="49919" xr:uid="{00000000-0005-0000-0000-0000D4760000}"/>
    <cellStyle name="Normal 3 19 2 5 2 3 2 4" xfId="36357" xr:uid="{00000000-0005-0000-0000-0000D5760000}"/>
    <cellStyle name="Normal 3 19 2 5 2 3 3" xfId="12610" xr:uid="{00000000-0005-0000-0000-0000D6760000}"/>
    <cellStyle name="Normal 3 19 2 5 2 3 3 2" xfId="26178" xr:uid="{00000000-0005-0000-0000-0000D7760000}"/>
    <cellStyle name="Normal 3 19 2 5 2 3 3 2 2" xfId="53311" xr:uid="{00000000-0005-0000-0000-0000D8760000}"/>
    <cellStyle name="Normal 3 19 2 5 2 3 3 3" xfId="39749" xr:uid="{00000000-0005-0000-0000-0000D9760000}"/>
    <cellStyle name="Normal 3 19 2 5 2 3 4" xfId="19397" xr:uid="{00000000-0005-0000-0000-0000DA760000}"/>
    <cellStyle name="Normal 3 19 2 5 2 3 4 2" xfId="46530" xr:uid="{00000000-0005-0000-0000-0000DB760000}"/>
    <cellStyle name="Normal 3 19 2 5 2 3 5" xfId="32968" xr:uid="{00000000-0005-0000-0000-0000DC760000}"/>
    <cellStyle name="Normal 3 19 2 5 2 4" xfId="9207" xr:uid="{00000000-0005-0000-0000-0000DD760000}"/>
    <cellStyle name="Normal 3 19 2 5 2 4 2" xfId="15997" xr:uid="{00000000-0005-0000-0000-0000DE760000}"/>
    <cellStyle name="Normal 3 19 2 5 2 4 2 2" xfId="29565" xr:uid="{00000000-0005-0000-0000-0000DF760000}"/>
    <cellStyle name="Normal 3 19 2 5 2 4 2 2 2" xfId="56698" xr:uid="{00000000-0005-0000-0000-0000E0760000}"/>
    <cellStyle name="Normal 3 19 2 5 2 4 2 3" xfId="43136" xr:uid="{00000000-0005-0000-0000-0000E1760000}"/>
    <cellStyle name="Normal 3 19 2 5 2 4 3" xfId="22784" xr:uid="{00000000-0005-0000-0000-0000E2760000}"/>
    <cellStyle name="Normal 3 19 2 5 2 4 3 2" xfId="49917" xr:uid="{00000000-0005-0000-0000-0000E3760000}"/>
    <cellStyle name="Normal 3 19 2 5 2 4 4" xfId="36355" xr:uid="{00000000-0005-0000-0000-0000E4760000}"/>
    <cellStyle name="Normal 3 19 2 5 2 5" xfId="12608" xr:uid="{00000000-0005-0000-0000-0000E5760000}"/>
    <cellStyle name="Normal 3 19 2 5 2 5 2" xfId="26176" xr:uid="{00000000-0005-0000-0000-0000E6760000}"/>
    <cellStyle name="Normal 3 19 2 5 2 5 2 2" xfId="53309" xr:uid="{00000000-0005-0000-0000-0000E7760000}"/>
    <cellStyle name="Normal 3 19 2 5 2 5 3" xfId="39747" xr:uid="{00000000-0005-0000-0000-0000E8760000}"/>
    <cellStyle name="Normal 3 19 2 5 2 6" xfId="19395" xr:uid="{00000000-0005-0000-0000-0000E9760000}"/>
    <cellStyle name="Normal 3 19 2 5 2 6 2" xfId="46528" xr:uid="{00000000-0005-0000-0000-0000EA760000}"/>
    <cellStyle name="Normal 3 19 2 5 2 7" xfId="32966" xr:uid="{00000000-0005-0000-0000-0000EB760000}"/>
    <cellStyle name="Normal 3 19 2 5 3" xfId="5667" xr:uid="{00000000-0005-0000-0000-0000EC760000}"/>
    <cellStyle name="Normal 3 19 2 5 3 2" xfId="9210" xr:uid="{00000000-0005-0000-0000-0000ED760000}"/>
    <cellStyle name="Normal 3 19 2 5 3 2 2" xfId="16000" xr:uid="{00000000-0005-0000-0000-0000EE760000}"/>
    <cellStyle name="Normal 3 19 2 5 3 2 2 2" xfId="29568" xr:uid="{00000000-0005-0000-0000-0000EF760000}"/>
    <cellStyle name="Normal 3 19 2 5 3 2 2 2 2" xfId="56701" xr:uid="{00000000-0005-0000-0000-0000F0760000}"/>
    <cellStyle name="Normal 3 19 2 5 3 2 2 3" xfId="43139" xr:uid="{00000000-0005-0000-0000-0000F1760000}"/>
    <cellStyle name="Normal 3 19 2 5 3 2 3" xfId="22787" xr:uid="{00000000-0005-0000-0000-0000F2760000}"/>
    <cellStyle name="Normal 3 19 2 5 3 2 3 2" xfId="49920" xr:uid="{00000000-0005-0000-0000-0000F3760000}"/>
    <cellStyle name="Normal 3 19 2 5 3 2 4" xfId="36358" xr:uid="{00000000-0005-0000-0000-0000F4760000}"/>
    <cellStyle name="Normal 3 19 2 5 3 3" xfId="12611" xr:uid="{00000000-0005-0000-0000-0000F5760000}"/>
    <cellStyle name="Normal 3 19 2 5 3 3 2" xfId="26179" xr:uid="{00000000-0005-0000-0000-0000F6760000}"/>
    <cellStyle name="Normal 3 19 2 5 3 3 2 2" xfId="53312" xr:uid="{00000000-0005-0000-0000-0000F7760000}"/>
    <cellStyle name="Normal 3 19 2 5 3 3 3" xfId="39750" xr:uid="{00000000-0005-0000-0000-0000F8760000}"/>
    <cellStyle name="Normal 3 19 2 5 3 4" xfId="19398" xr:uid="{00000000-0005-0000-0000-0000F9760000}"/>
    <cellStyle name="Normal 3 19 2 5 3 4 2" xfId="46531" xr:uid="{00000000-0005-0000-0000-0000FA760000}"/>
    <cellStyle name="Normal 3 19 2 5 3 5" xfId="32969" xr:uid="{00000000-0005-0000-0000-0000FB760000}"/>
    <cellStyle name="Normal 3 19 2 5 4" xfId="5668" xr:uid="{00000000-0005-0000-0000-0000FC760000}"/>
    <cellStyle name="Normal 3 19 2 5 4 2" xfId="9211" xr:uid="{00000000-0005-0000-0000-0000FD760000}"/>
    <cellStyle name="Normal 3 19 2 5 4 2 2" xfId="16001" xr:uid="{00000000-0005-0000-0000-0000FE760000}"/>
    <cellStyle name="Normal 3 19 2 5 4 2 2 2" xfId="29569" xr:uid="{00000000-0005-0000-0000-0000FF760000}"/>
    <cellStyle name="Normal 3 19 2 5 4 2 2 2 2" xfId="56702" xr:uid="{00000000-0005-0000-0000-000000770000}"/>
    <cellStyle name="Normal 3 19 2 5 4 2 2 3" xfId="43140" xr:uid="{00000000-0005-0000-0000-000001770000}"/>
    <cellStyle name="Normal 3 19 2 5 4 2 3" xfId="22788" xr:uid="{00000000-0005-0000-0000-000002770000}"/>
    <cellStyle name="Normal 3 19 2 5 4 2 3 2" xfId="49921" xr:uid="{00000000-0005-0000-0000-000003770000}"/>
    <cellStyle name="Normal 3 19 2 5 4 2 4" xfId="36359" xr:uid="{00000000-0005-0000-0000-000004770000}"/>
    <cellStyle name="Normal 3 19 2 5 4 3" xfId="12612" xr:uid="{00000000-0005-0000-0000-000005770000}"/>
    <cellStyle name="Normal 3 19 2 5 4 3 2" xfId="26180" xr:uid="{00000000-0005-0000-0000-000006770000}"/>
    <cellStyle name="Normal 3 19 2 5 4 3 2 2" xfId="53313" xr:uid="{00000000-0005-0000-0000-000007770000}"/>
    <cellStyle name="Normal 3 19 2 5 4 3 3" xfId="39751" xr:uid="{00000000-0005-0000-0000-000008770000}"/>
    <cellStyle name="Normal 3 19 2 5 4 4" xfId="19399" xr:uid="{00000000-0005-0000-0000-000009770000}"/>
    <cellStyle name="Normal 3 19 2 5 4 4 2" xfId="46532" xr:uid="{00000000-0005-0000-0000-00000A770000}"/>
    <cellStyle name="Normal 3 19 2 5 4 5" xfId="32970" xr:uid="{00000000-0005-0000-0000-00000B770000}"/>
    <cellStyle name="Normal 3 19 2 5 5" xfId="9206" xr:uid="{00000000-0005-0000-0000-00000C770000}"/>
    <cellStyle name="Normal 3 19 2 5 5 2" xfId="15996" xr:uid="{00000000-0005-0000-0000-00000D770000}"/>
    <cellStyle name="Normal 3 19 2 5 5 2 2" xfId="29564" xr:uid="{00000000-0005-0000-0000-00000E770000}"/>
    <cellStyle name="Normal 3 19 2 5 5 2 2 2" xfId="56697" xr:uid="{00000000-0005-0000-0000-00000F770000}"/>
    <cellStyle name="Normal 3 19 2 5 5 2 3" xfId="43135" xr:uid="{00000000-0005-0000-0000-000010770000}"/>
    <cellStyle name="Normal 3 19 2 5 5 3" xfId="22783" xr:uid="{00000000-0005-0000-0000-000011770000}"/>
    <cellStyle name="Normal 3 19 2 5 5 3 2" xfId="49916" xr:uid="{00000000-0005-0000-0000-000012770000}"/>
    <cellStyle name="Normal 3 19 2 5 5 4" xfId="36354" xr:uid="{00000000-0005-0000-0000-000013770000}"/>
    <cellStyle name="Normal 3 19 2 5 6" xfId="12607" xr:uid="{00000000-0005-0000-0000-000014770000}"/>
    <cellStyle name="Normal 3 19 2 5 6 2" xfId="26175" xr:uid="{00000000-0005-0000-0000-000015770000}"/>
    <cellStyle name="Normal 3 19 2 5 6 2 2" xfId="53308" xr:uid="{00000000-0005-0000-0000-000016770000}"/>
    <cellStyle name="Normal 3 19 2 5 6 3" xfId="39746" xr:uid="{00000000-0005-0000-0000-000017770000}"/>
    <cellStyle name="Normal 3 19 2 5 7" xfId="19394" xr:uid="{00000000-0005-0000-0000-000018770000}"/>
    <cellStyle name="Normal 3 19 2 5 7 2" xfId="46527" xr:uid="{00000000-0005-0000-0000-000019770000}"/>
    <cellStyle name="Normal 3 19 2 5 8" xfId="32965" xr:uid="{00000000-0005-0000-0000-00001A770000}"/>
    <cellStyle name="Normal 3 19 2 6" xfId="5669" xr:uid="{00000000-0005-0000-0000-00001B770000}"/>
    <cellStyle name="Normal 3 19 2 6 2" xfId="5670" xr:uid="{00000000-0005-0000-0000-00001C770000}"/>
    <cellStyle name="Normal 3 19 2 6 2 2" xfId="5671" xr:uid="{00000000-0005-0000-0000-00001D770000}"/>
    <cellStyle name="Normal 3 19 2 6 2 2 2" xfId="9214" xr:uid="{00000000-0005-0000-0000-00001E770000}"/>
    <cellStyle name="Normal 3 19 2 6 2 2 2 2" xfId="16004" xr:uid="{00000000-0005-0000-0000-00001F770000}"/>
    <cellStyle name="Normal 3 19 2 6 2 2 2 2 2" xfId="29572" xr:uid="{00000000-0005-0000-0000-000020770000}"/>
    <cellStyle name="Normal 3 19 2 6 2 2 2 2 2 2" xfId="56705" xr:uid="{00000000-0005-0000-0000-000021770000}"/>
    <cellStyle name="Normal 3 19 2 6 2 2 2 2 3" xfId="43143" xr:uid="{00000000-0005-0000-0000-000022770000}"/>
    <cellStyle name="Normal 3 19 2 6 2 2 2 3" xfId="22791" xr:uid="{00000000-0005-0000-0000-000023770000}"/>
    <cellStyle name="Normal 3 19 2 6 2 2 2 3 2" xfId="49924" xr:uid="{00000000-0005-0000-0000-000024770000}"/>
    <cellStyle name="Normal 3 19 2 6 2 2 2 4" xfId="36362" xr:uid="{00000000-0005-0000-0000-000025770000}"/>
    <cellStyle name="Normal 3 19 2 6 2 2 3" xfId="12615" xr:uid="{00000000-0005-0000-0000-000026770000}"/>
    <cellStyle name="Normal 3 19 2 6 2 2 3 2" xfId="26183" xr:uid="{00000000-0005-0000-0000-000027770000}"/>
    <cellStyle name="Normal 3 19 2 6 2 2 3 2 2" xfId="53316" xr:uid="{00000000-0005-0000-0000-000028770000}"/>
    <cellStyle name="Normal 3 19 2 6 2 2 3 3" xfId="39754" xr:uid="{00000000-0005-0000-0000-000029770000}"/>
    <cellStyle name="Normal 3 19 2 6 2 2 4" xfId="19402" xr:uid="{00000000-0005-0000-0000-00002A770000}"/>
    <cellStyle name="Normal 3 19 2 6 2 2 4 2" xfId="46535" xr:uid="{00000000-0005-0000-0000-00002B770000}"/>
    <cellStyle name="Normal 3 19 2 6 2 2 5" xfId="32973" xr:uid="{00000000-0005-0000-0000-00002C770000}"/>
    <cellStyle name="Normal 3 19 2 6 2 3" xfId="5672" xr:uid="{00000000-0005-0000-0000-00002D770000}"/>
    <cellStyle name="Normal 3 19 2 6 2 3 2" xfId="9215" xr:uid="{00000000-0005-0000-0000-00002E770000}"/>
    <cellStyle name="Normal 3 19 2 6 2 3 2 2" xfId="16005" xr:uid="{00000000-0005-0000-0000-00002F770000}"/>
    <cellStyle name="Normal 3 19 2 6 2 3 2 2 2" xfId="29573" xr:uid="{00000000-0005-0000-0000-000030770000}"/>
    <cellStyle name="Normal 3 19 2 6 2 3 2 2 2 2" xfId="56706" xr:uid="{00000000-0005-0000-0000-000031770000}"/>
    <cellStyle name="Normal 3 19 2 6 2 3 2 2 3" xfId="43144" xr:uid="{00000000-0005-0000-0000-000032770000}"/>
    <cellStyle name="Normal 3 19 2 6 2 3 2 3" xfId="22792" xr:uid="{00000000-0005-0000-0000-000033770000}"/>
    <cellStyle name="Normal 3 19 2 6 2 3 2 3 2" xfId="49925" xr:uid="{00000000-0005-0000-0000-000034770000}"/>
    <cellStyle name="Normal 3 19 2 6 2 3 2 4" xfId="36363" xr:uid="{00000000-0005-0000-0000-000035770000}"/>
    <cellStyle name="Normal 3 19 2 6 2 3 3" xfId="12616" xr:uid="{00000000-0005-0000-0000-000036770000}"/>
    <cellStyle name="Normal 3 19 2 6 2 3 3 2" xfId="26184" xr:uid="{00000000-0005-0000-0000-000037770000}"/>
    <cellStyle name="Normal 3 19 2 6 2 3 3 2 2" xfId="53317" xr:uid="{00000000-0005-0000-0000-000038770000}"/>
    <cellStyle name="Normal 3 19 2 6 2 3 3 3" xfId="39755" xr:uid="{00000000-0005-0000-0000-000039770000}"/>
    <cellStyle name="Normal 3 19 2 6 2 3 4" xfId="19403" xr:uid="{00000000-0005-0000-0000-00003A770000}"/>
    <cellStyle name="Normal 3 19 2 6 2 3 4 2" xfId="46536" xr:uid="{00000000-0005-0000-0000-00003B770000}"/>
    <cellStyle name="Normal 3 19 2 6 2 3 5" xfId="32974" xr:uid="{00000000-0005-0000-0000-00003C770000}"/>
    <cellStyle name="Normal 3 19 2 6 2 4" xfId="9213" xr:uid="{00000000-0005-0000-0000-00003D770000}"/>
    <cellStyle name="Normal 3 19 2 6 2 4 2" xfId="16003" xr:uid="{00000000-0005-0000-0000-00003E770000}"/>
    <cellStyle name="Normal 3 19 2 6 2 4 2 2" xfId="29571" xr:uid="{00000000-0005-0000-0000-00003F770000}"/>
    <cellStyle name="Normal 3 19 2 6 2 4 2 2 2" xfId="56704" xr:uid="{00000000-0005-0000-0000-000040770000}"/>
    <cellStyle name="Normal 3 19 2 6 2 4 2 3" xfId="43142" xr:uid="{00000000-0005-0000-0000-000041770000}"/>
    <cellStyle name="Normal 3 19 2 6 2 4 3" xfId="22790" xr:uid="{00000000-0005-0000-0000-000042770000}"/>
    <cellStyle name="Normal 3 19 2 6 2 4 3 2" xfId="49923" xr:uid="{00000000-0005-0000-0000-000043770000}"/>
    <cellStyle name="Normal 3 19 2 6 2 4 4" xfId="36361" xr:uid="{00000000-0005-0000-0000-000044770000}"/>
    <cellStyle name="Normal 3 19 2 6 2 5" xfId="12614" xr:uid="{00000000-0005-0000-0000-000045770000}"/>
    <cellStyle name="Normal 3 19 2 6 2 5 2" xfId="26182" xr:uid="{00000000-0005-0000-0000-000046770000}"/>
    <cellStyle name="Normal 3 19 2 6 2 5 2 2" xfId="53315" xr:uid="{00000000-0005-0000-0000-000047770000}"/>
    <cellStyle name="Normal 3 19 2 6 2 5 3" xfId="39753" xr:uid="{00000000-0005-0000-0000-000048770000}"/>
    <cellStyle name="Normal 3 19 2 6 2 6" xfId="19401" xr:uid="{00000000-0005-0000-0000-000049770000}"/>
    <cellStyle name="Normal 3 19 2 6 2 6 2" xfId="46534" xr:uid="{00000000-0005-0000-0000-00004A770000}"/>
    <cellStyle name="Normal 3 19 2 6 2 7" xfId="32972" xr:uid="{00000000-0005-0000-0000-00004B770000}"/>
    <cellStyle name="Normal 3 19 2 6 3" xfId="5673" xr:uid="{00000000-0005-0000-0000-00004C770000}"/>
    <cellStyle name="Normal 3 19 2 6 3 2" xfId="9216" xr:uid="{00000000-0005-0000-0000-00004D770000}"/>
    <cellStyle name="Normal 3 19 2 6 3 2 2" xfId="16006" xr:uid="{00000000-0005-0000-0000-00004E770000}"/>
    <cellStyle name="Normal 3 19 2 6 3 2 2 2" xfId="29574" xr:uid="{00000000-0005-0000-0000-00004F770000}"/>
    <cellStyle name="Normal 3 19 2 6 3 2 2 2 2" xfId="56707" xr:uid="{00000000-0005-0000-0000-000050770000}"/>
    <cellStyle name="Normal 3 19 2 6 3 2 2 3" xfId="43145" xr:uid="{00000000-0005-0000-0000-000051770000}"/>
    <cellStyle name="Normal 3 19 2 6 3 2 3" xfId="22793" xr:uid="{00000000-0005-0000-0000-000052770000}"/>
    <cellStyle name="Normal 3 19 2 6 3 2 3 2" xfId="49926" xr:uid="{00000000-0005-0000-0000-000053770000}"/>
    <cellStyle name="Normal 3 19 2 6 3 2 4" xfId="36364" xr:uid="{00000000-0005-0000-0000-000054770000}"/>
    <cellStyle name="Normal 3 19 2 6 3 3" xfId="12617" xr:uid="{00000000-0005-0000-0000-000055770000}"/>
    <cellStyle name="Normal 3 19 2 6 3 3 2" xfId="26185" xr:uid="{00000000-0005-0000-0000-000056770000}"/>
    <cellStyle name="Normal 3 19 2 6 3 3 2 2" xfId="53318" xr:uid="{00000000-0005-0000-0000-000057770000}"/>
    <cellStyle name="Normal 3 19 2 6 3 3 3" xfId="39756" xr:uid="{00000000-0005-0000-0000-000058770000}"/>
    <cellStyle name="Normal 3 19 2 6 3 4" xfId="19404" xr:uid="{00000000-0005-0000-0000-000059770000}"/>
    <cellStyle name="Normal 3 19 2 6 3 4 2" xfId="46537" xr:uid="{00000000-0005-0000-0000-00005A770000}"/>
    <cellStyle name="Normal 3 19 2 6 3 5" xfId="32975" xr:uid="{00000000-0005-0000-0000-00005B770000}"/>
    <cellStyle name="Normal 3 19 2 6 4" xfId="5674" xr:uid="{00000000-0005-0000-0000-00005C770000}"/>
    <cellStyle name="Normal 3 19 2 6 4 2" xfId="9217" xr:uid="{00000000-0005-0000-0000-00005D770000}"/>
    <cellStyle name="Normal 3 19 2 6 4 2 2" xfId="16007" xr:uid="{00000000-0005-0000-0000-00005E770000}"/>
    <cellStyle name="Normal 3 19 2 6 4 2 2 2" xfId="29575" xr:uid="{00000000-0005-0000-0000-00005F770000}"/>
    <cellStyle name="Normal 3 19 2 6 4 2 2 2 2" xfId="56708" xr:uid="{00000000-0005-0000-0000-000060770000}"/>
    <cellStyle name="Normal 3 19 2 6 4 2 2 3" xfId="43146" xr:uid="{00000000-0005-0000-0000-000061770000}"/>
    <cellStyle name="Normal 3 19 2 6 4 2 3" xfId="22794" xr:uid="{00000000-0005-0000-0000-000062770000}"/>
    <cellStyle name="Normal 3 19 2 6 4 2 3 2" xfId="49927" xr:uid="{00000000-0005-0000-0000-000063770000}"/>
    <cellStyle name="Normal 3 19 2 6 4 2 4" xfId="36365" xr:uid="{00000000-0005-0000-0000-000064770000}"/>
    <cellStyle name="Normal 3 19 2 6 4 3" xfId="12618" xr:uid="{00000000-0005-0000-0000-000065770000}"/>
    <cellStyle name="Normal 3 19 2 6 4 3 2" xfId="26186" xr:uid="{00000000-0005-0000-0000-000066770000}"/>
    <cellStyle name="Normal 3 19 2 6 4 3 2 2" xfId="53319" xr:uid="{00000000-0005-0000-0000-000067770000}"/>
    <cellStyle name="Normal 3 19 2 6 4 3 3" xfId="39757" xr:uid="{00000000-0005-0000-0000-000068770000}"/>
    <cellStyle name="Normal 3 19 2 6 4 4" xfId="19405" xr:uid="{00000000-0005-0000-0000-000069770000}"/>
    <cellStyle name="Normal 3 19 2 6 4 4 2" xfId="46538" xr:uid="{00000000-0005-0000-0000-00006A770000}"/>
    <cellStyle name="Normal 3 19 2 6 4 5" xfId="32976" xr:uid="{00000000-0005-0000-0000-00006B770000}"/>
    <cellStyle name="Normal 3 19 2 6 5" xfId="9212" xr:uid="{00000000-0005-0000-0000-00006C770000}"/>
    <cellStyle name="Normal 3 19 2 6 5 2" xfId="16002" xr:uid="{00000000-0005-0000-0000-00006D770000}"/>
    <cellStyle name="Normal 3 19 2 6 5 2 2" xfId="29570" xr:uid="{00000000-0005-0000-0000-00006E770000}"/>
    <cellStyle name="Normal 3 19 2 6 5 2 2 2" xfId="56703" xr:uid="{00000000-0005-0000-0000-00006F770000}"/>
    <cellStyle name="Normal 3 19 2 6 5 2 3" xfId="43141" xr:uid="{00000000-0005-0000-0000-000070770000}"/>
    <cellStyle name="Normal 3 19 2 6 5 3" xfId="22789" xr:uid="{00000000-0005-0000-0000-000071770000}"/>
    <cellStyle name="Normal 3 19 2 6 5 3 2" xfId="49922" xr:uid="{00000000-0005-0000-0000-000072770000}"/>
    <cellStyle name="Normal 3 19 2 6 5 4" xfId="36360" xr:uid="{00000000-0005-0000-0000-000073770000}"/>
    <cellStyle name="Normal 3 19 2 6 6" xfId="12613" xr:uid="{00000000-0005-0000-0000-000074770000}"/>
    <cellStyle name="Normal 3 19 2 6 6 2" xfId="26181" xr:uid="{00000000-0005-0000-0000-000075770000}"/>
    <cellStyle name="Normal 3 19 2 6 6 2 2" xfId="53314" xr:uid="{00000000-0005-0000-0000-000076770000}"/>
    <cellStyle name="Normal 3 19 2 6 6 3" xfId="39752" xr:uid="{00000000-0005-0000-0000-000077770000}"/>
    <cellStyle name="Normal 3 19 2 6 7" xfId="19400" xr:uid="{00000000-0005-0000-0000-000078770000}"/>
    <cellStyle name="Normal 3 19 2 6 7 2" xfId="46533" xr:uid="{00000000-0005-0000-0000-000079770000}"/>
    <cellStyle name="Normal 3 19 2 6 8" xfId="32971" xr:uid="{00000000-0005-0000-0000-00007A770000}"/>
    <cellStyle name="Normal 3 19 2 7" xfId="5675" xr:uid="{00000000-0005-0000-0000-00007B770000}"/>
    <cellStyle name="Normal 3 19 2 7 2" xfId="5676" xr:uid="{00000000-0005-0000-0000-00007C770000}"/>
    <cellStyle name="Normal 3 19 2 7 2 2" xfId="9219" xr:uid="{00000000-0005-0000-0000-00007D770000}"/>
    <cellStyle name="Normal 3 19 2 7 2 2 2" xfId="16009" xr:uid="{00000000-0005-0000-0000-00007E770000}"/>
    <cellStyle name="Normal 3 19 2 7 2 2 2 2" xfId="29577" xr:uid="{00000000-0005-0000-0000-00007F770000}"/>
    <cellStyle name="Normal 3 19 2 7 2 2 2 2 2" xfId="56710" xr:uid="{00000000-0005-0000-0000-000080770000}"/>
    <cellStyle name="Normal 3 19 2 7 2 2 2 3" xfId="43148" xr:uid="{00000000-0005-0000-0000-000081770000}"/>
    <cellStyle name="Normal 3 19 2 7 2 2 3" xfId="22796" xr:uid="{00000000-0005-0000-0000-000082770000}"/>
    <cellStyle name="Normal 3 19 2 7 2 2 3 2" xfId="49929" xr:uid="{00000000-0005-0000-0000-000083770000}"/>
    <cellStyle name="Normal 3 19 2 7 2 2 4" xfId="36367" xr:uid="{00000000-0005-0000-0000-000084770000}"/>
    <cellStyle name="Normal 3 19 2 7 2 3" xfId="12620" xr:uid="{00000000-0005-0000-0000-000085770000}"/>
    <cellStyle name="Normal 3 19 2 7 2 3 2" xfId="26188" xr:uid="{00000000-0005-0000-0000-000086770000}"/>
    <cellStyle name="Normal 3 19 2 7 2 3 2 2" xfId="53321" xr:uid="{00000000-0005-0000-0000-000087770000}"/>
    <cellStyle name="Normal 3 19 2 7 2 3 3" xfId="39759" xr:uid="{00000000-0005-0000-0000-000088770000}"/>
    <cellStyle name="Normal 3 19 2 7 2 4" xfId="19407" xr:uid="{00000000-0005-0000-0000-000089770000}"/>
    <cellStyle name="Normal 3 19 2 7 2 4 2" xfId="46540" xr:uid="{00000000-0005-0000-0000-00008A770000}"/>
    <cellStyle name="Normal 3 19 2 7 2 5" xfId="32978" xr:uid="{00000000-0005-0000-0000-00008B770000}"/>
    <cellStyle name="Normal 3 19 2 7 3" xfId="5677" xr:uid="{00000000-0005-0000-0000-00008C770000}"/>
    <cellStyle name="Normal 3 19 2 7 3 2" xfId="9220" xr:uid="{00000000-0005-0000-0000-00008D770000}"/>
    <cellStyle name="Normal 3 19 2 7 3 2 2" xfId="16010" xr:uid="{00000000-0005-0000-0000-00008E770000}"/>
    <cellStyle name="Normal 3 19 2 7 3 2 2 2" xfId="29578" xr:uid="{00000000-0005-0000-0000-00008F770000}"/>
    <cellStyle name="Normal 3 19 2 7 3 2 2 2 2" xfId="56711" xr:uid="{00000000-0005-0000-0000-000090770000}"/>
    <cellStyle name="Normal 3 19 2 7 3 2 2 3" xfId="43149" xr:uid="{00000000-0005-0000-0000-000091770000}"/>
    <cellStyle name="Normal 3 19 2 7 3 2 3" xfId="22797" xr:uid="{00000000-0005-0000-0000-000092770000}"/>
    <cellStyle name="Normal 3 19 2 7 3 2 3 2" xfId="49930" xr:uid="{00000000-0005-0000-0000-000093770000}"/>
    <cellStyle name="Normal 3 19 2 7 3 2 4" xfId="36368" xr:uid="{00000000-0005-0000-0000-000094770000}"/>
    <cellStyle name="Normal 3 19 2 7 3 3" xfId="12621" xr:uid="{00000000-0005-0000-0000-000095770000}"/>
    <cellStyle name="Normal 3 19 2 7 3 3 2" xfId="26189" xr:uid="{00000000-0005-0000-0000-000096770000}"/>
    <cellStyle name="Normal 3 19 2 7 3 3 2 2" xfId="53322" xr:uid="{00000000-0005-0000-0000-000097770000}"/>
    <cellStyle name="Normal 3 19 2 7 3 3 3" xfId="39760" xr:uid="{00000000-0005-0000-0000-000098770000}"/>
    <cellStyle name="Normal 3 19 2 7 3 4" xfId="19408" xr:uid="{00000000-0005-0000-0000-000099770000}"/>
    <cellStyle name="Normal 3 19 2 7 3 4 2" xfId="46541" xr:uid="{00000000-0005-0000-0000-00009A770000}"/>
    <cellStyle name="Normal 3 19 2 7 3 5" xfId="32979" xr:uid="{00000000-0005-0000-0000-00009B770000}"/>
    <cellStyle name="Normal 3 19 2 7 4" xfId="9218" xr:uid="{00000000-0005-0000-0000-00009C770000}"/>
    <cellStyle name="Normal 3 19 2 7 4 2" xfId="16008" xr:uid="{00000000-0005-0000-0000-00009D770000}"/>
    <cellStyle name="Normal 3 19 2 7 4 2 2" xfId="29576" xr:uid="{00000000-0005-0000-0000-00009E770000}"/>
    <cellStyle name="Normal 3 19 2 7 4 2 2 2" xfId="56709" xr:uid="{00000000-0005-0000-0000-00009F770000}"/>
    <cellStyle name="Normal 3 19 2 7 4 2 3" xfId="43147" xr:uid="{00000000-0005-0000-0000-0000A0770000}"/>
    <cellStyle name="Normal 3 19 2 7 4 3" xfId="22795" xr:uid="{00000000-0005-0000-0000-0000A1770000}"/>
    <cellStyle name="Normal 3 19 2 7 4 3 2" xfId="49928" xr:uid="{00000000-0005-0000-0000-0000A2770000}"/>
    <cellStyle name="Normal 3 19 2 7 4 4" xfId="36366" xr:uid="{00000000-0005-0000-0000-0000A3770000}"/>
    <cellStyle name="Normal 3 19 2 7 5" xfId="12619" xr:uid="{00000000-0005-0000-0000-0000A4770000}"/>
    <cellStyle name="Normal 3 19 2 7 5 2" xfId="26187" xr:uid="{00000000-0005-0000-0000-0000A5770000}"/>
    <cellStyle name="Normal 3 19 2 7 5 2 2" xfId="53320" xr:uid="{00000000-0005-0000-0000-0000A6770000}"/>
    <cellStyle name="Normal 3 19 2 7 5 3" xfId="39758" xr:uid="{00000000-0005-0000-0000-0000A7770000}"/>
    <cellStyle name="Normal 3 19 2 7 6" xfId="19406" xr:uid="{00000000-0005-0000-0000-0000A8770000}"/>
    <cellStyle name="Normal 3 19 2 7 6 2" xfId="46539" xr:uid="{00000000-0005-0000-0000-0000A9770000}"/>
    <cellStyle name="Normal 3 19 2 7 7" xfId="32977" xr:uid="{00000000-0005-0000-0000-0000AA770000}"/>
    <cellStyle name="Normal 3 19 2 8" xfId="5678" xr:uid="{00000000-0005-0000-0000-0000AB770000}"/>
    <cellStyle name="Normal 3 19 2 8 2" xfId="5679" xr:uid="{00000000-0005-0000-0000-0000AC770000}"/>
    <cellStyle name="Normal 3 19 2 8 2 2" xfId="9222" xr:uid="{00000000-0005-0000-0000-0000AD770000}"/>
    <cellStyle name="Normal 3 19 2 8 2 2 2" xfId="16012" xr:uid="{00000000-0005-0000-0000-0000AE770000}"/>
    <cellStyle name="Normal 3 19 2 8 2 2 2 2" xfId="29580" xr:uid="{00000000-0005-0000-0000-0000AF770000}"/>
    <cellStyle name="Normal 3 19 2 8 2 2 2 2 2" xfId="56713" xr:uid="{00000000-0005-0000-0000-0000B0770000}"/>
    <cellStyle name="Normal 3 19 2 8 2 2 2 3" xfId="43151" xr:uid="{00000000-0005-0000-0000-0000B1770000}"/>
    <cellStyle name="Normal 3 19 2 8 2 2 3" xfId="22799" xr:uid="{00000000-0005-0000-0000-0000B2770000}"/>
    <cellStyle name="Normal 3 19 2 8 2 2 3 2" xfId="49932" xr:uid="{00000000-0005-0000-0000-0000B3770000}"/>
    <cellStyle name="Normal 3 19 2 8 2 2 4" xfId="36370" xr:uid="{00000000-0005-0000-0000-0000B4770000}"/>
    <cellStyle name="Normal 3 19 2 8 2 3" xfId="12623" xr:uid="{00000000-0005-0000-0000-0000B5770000}"/>
    <cellStyle name="Normal 3 19 2 8 2 3 2" xfId="26191" xr:uid="{00000000-0005-0000-0000-0000B6770000}"/>
    <cellStyle name="Normal 3 19 2 8 2 3 2 2" xfId="53324" xr:uid="{00000000-0005-0000-0000-0000B7770000}"/>
    <cellStyle name="Normal 3 19 2 8 2 3 3" xfId="39762" xr:uid="{00000000-0005-0000-0000-0000B8770000}"/>
    <cellStyle name="Normal 3 19 2 8 2 4" xfId="19410" xr:uid="{00000000-0005-0000-0000-0000B9770000}"/>
    <cellStyle name="Normal 3 19 2 8 2 4 2" xfId="46543" xr:uid="{00000000-0005-0000-0000-0000BA770000}"/>
    <cellStyle name="Normal 3 19 2 8 2 5" xfId="32981" xr:uid="{00000000-0005-0000-0000-0000BB770000}"/>
    <cellStyle name="Normal 3 19 2 8 3" xfId="5680" xr:uid="{00000000-0005-0000-0000-0000BC770000}"/>
    <cellStyle name="Normal 3 19 2 8 3 2" xfId="9223" xr:uid="{00000000-0005-0000-0000-0000BD770000}"/>
    <cellStyle name="Normal 3 19 2 8 3 2 2" xfId="16013" xr:uid="{00000000-0005-0000-0000-0000BE770000}"/>
    <cellStyle name="Normal 3 19 2 8 3 2 2 2" xfId="29581" xr:uid="{00000000-0005-0000-0000-0000BF770000}"/>
    <cellStyle name="Normal 3 19 2 8 3 2 2 2 2" xfId="56714" xr:uid="{00000000-0005-0000-0000-0000C0770000}"/>
    <cellStyle name="Normal 3 19 2 8 3 2 2 3" xfId="43152" xr:uid="{00000000-0005-0000-0000-0000C1770000}"/>
    <cellStyle name="Normal 3 19 2 8 3 2 3" xfId="22800" xr:uid="{00000000-0005-0000-0000-0000C2770000}"/>
    <cellStyle name="Normal 3 19 2 8 3 2 3 2" xfId="49933" xr:uid="{00000000-0005-0000-0000-0000C3770000}"/>
    <cellStyle name="Normal 3 19 2 8 3 2 4" xfId="36371" xr:uid="{00000000-0005-0000-0000-0000C4770000}"/>
    <cellStyle name="Normal 3 19 2 8 3 3" xfId="12624" xr:uid="{00000000-0005-0000-0000-0000C5770000}"/>
    <cellStyle name="Normal 3 19 2 8 3 3 2" xfId="26192" xr:uid="{00000000-0005-0000-0000-0000C6770000}"/>
    <cellStyle name="Normal 3 19 2 8 3 3 2 2" xfId="53325" xr:uid="{00000000-0005-0000-0000-0000C7770000}"/>
    <cellStyle name="Normal 3 19 2 8 3 3 3" xfId="39763" xr:uid="{00000000-0005-0000-0000-0000C8770000}"/>
    <cellStyle name="Normal 3 19 2 8 3 4" xfId="19411" xr:uid="{00000000-0005-0000-0000-0000C9770000}"/>
    <cellStyle name="Normal 3 19 2 8 3 4 2" xfId="46544" xr:uid="{00000000-0005-0000-0000-0000CA770000}"/>
    <cellStyle name="Normal 3 19 2 8 3 5" xfId="32982" xr:uid="{00000000-0005-0000-0000-0000CB770000}"/>
    <cellStyle name="Normal 3 19 2 8 4" xfId="9221" xr:uid="{00000000-0005-0000-0000-0000CC770000}"/>
    <cellStyle name="Normal 3 19 2 8 4 2" xfId="16011" xr:uid="{00000000-0005-0000-0000-0000CD770000}"/>
    <cellStyle name="Normal 3 19 2 8 4 2 2" xfId="29579" xr:uid="{00000000-0005-0000-0000-0000CE770000}"/>
    <cellStyle name="Normal 3 19 2 8 4 2 2 2" xfId="56712" xr:uid="{00000000-0005-0000-0000-0000CF770000}"/>
    <cellStyle name="Normal 3 19 2 8 4 2 3" xfId="43150" xr:uid="{00000000-0005-0000-0000-0000D0770000}"/>
    <cellStyle name="Normal 3 19 2 8 4 3" xfId="22798" xr:uid="{00000000-0005-0000-0000-0000D1770000}"/>
    <cellStyle name="Normal 3 19 2 8 4 3 2" xfId="49931" xr:uid="{00000000-0005-0000-0000-0000D2770000}"/>
    <cellStyle name="Normal 3 19 2 8 4 4" xfId="36369" xr:uid="{00000000-0005-0000-0000-0000D3770000}"/>
    <cellStyle name="Normal 3 19 2 8 5" xfId="12622" xr:uid="{00000000-0005-0000-0000-0000D4770000}"/>
    <cellStyle name="Normal 3 19 2 8 5 2" xfId="26190" xr:uid="{00000000-0005-0000-0000-0000D5770000}"/>
    <cellStyle name="Normal 3 19 2 8 5 2 2" xfId="53323" xr:uid="{00000000-0005-0000-0000-0000D6770000}"/>
    <cellStyle name="Normal 3 19 2 8 5 3" xfId="39761" xr:uid="{00000000-0005-0000-0000-0000D7770000}"/>
    <cellStyle name="Normal 3 19 2 8 6" xfId="19409" xr:uid="{00000000-0005-0000-0000-0000D8770000}"/>
    <cellStyle name="Normal 3 19 2 8 6 2" xfId="46542" xr:uid="{00000000-0005-0000-0000-0000D9770000}"/>
    <cellStyle name="Normal 3 19 2 8 7" xfId="32980" xr:uid="{00000000-0005-0000-0000-0000DA770000}"/>
    <cellStyle name="Normal 3 19 2 9" xfId="5681" xr:uid="{00000000-0005-0000-0000-0000DB770000}"/>
    <cellStyle name="Normal 3 19 2 9 2" xfId="9224" xr:uid="{00000000-0005-0000-0000-0000DC770000}"/>
    <cellStyle name="Normal 3 19 2 9 2 2" xfId="16014" xr:uid="{00000000-0005-0000-0000-0000DD770000}"/>
    <cellStyle name="Normal 3 19 2 9 2 2 2" xfId="29582" xr:uid="{00000000-0005-0000-0000-0000DE770000}"/>
    <cellStyle name="Normal 3 19 2 9 2 2 2 2" xfId="56715" xr:uid="{00000000-0005-0000-0000-0000DF770000}"/>
    <cellStyle name="Normal 3 19 2 9 2 2 3" xfId="43153" xr:uid="{00000000-0005-0000-0000-0000E0770000}"/>
    <cellStyle name="Normal 3 19 2 9 2 3" xfId="22801" xr:uid="{00000000-0005-0000-0000-0000E1770000}"/>
    <cellStyle name="Normal 3 19 2 9 2 3 2" xfId="49934" xr:uid="{00000000-0005-0000-0000-0000E2770000}"/>
    <cellStyle name="Normal 3 19 2 9 2 4" xfId="36372" xr:uid="{00000000-0005-0000-0000-0000E3770000}"/>
    <cellStyle name="Normal 3 19 2 9 3" xfId="12625" xr:uid="{00000000-0005-0000-0000-0000E4770000}"/>
    <cellStyle name="Normal 3 19 2 9 3 2" xfId="26193" xr:uid="{00000000-0005-0000-0000-0000E5770000}"/>
    <cellStyle name="Normal 3 19 2 9 3 2 2" xfId="53326" xr:uid="{00000000-0005-0000-0000-0000E6770000}"/>
    <cellStyle name="Normal 3 19 2 9 3 3" xfId="39764" xr:uid="{00000000-0005-0000-0000-0000E7770000}"/>
    <cellStyle name="Normal 3 19 2 9 4" xfId="19412" xr:uid="{00000000-0005-0000-0000-0000E8770000}"/>
    <cellStyle name="Normal 3 19 2 9 4 2" xfId="46545" xr:uid="{00000000-0005-0000-0000-0000E9770000}"/>
    <cellStyle name="Normal 3 19 2 9 5" xfId="32983" xr:uid="{00000000-0005-0000-0000-0000EA770000}"/>
    <cellStyle name="Normal 3 19 3" xfId="5682" xr:uid="{00000000-0005-0000-0000-0000EB770000}"/>
    <cellStyle name="Normal 3 19 3 10" xfId="9225" xr:uid="{00000000-0005-0000-0000-0000EC770000}"/>
    <cellStyle name="Normal 3 19 3 10 2" xfId="16015" xr:uid="{00000000-0005-0000-0000-0000ED770000}"/>
    <cellStyle name="Normal 3 19 3 10 2 2" xfId="29583" xr:uid="{00000000-0005-0000-0000-0000EE770000}"/>
    <cellStyle name="Normal 3 19 3 10 2 2 2" xfId="56716" xr:uid="{00000000-0005-0000-0000-0000EF770000}"/>
    <cellStyle name="Normal 3 19 3 10 2 3" xfId="43154" xr:uid="{00000000-0005-0000-0000-0000F0770000}"/>
    <cellStyle name="Normal 3 19 3 10 3" xfId="22802" xr:uid="{00000000-0005-0000-0000-0000F1770000}"/>
    <cellStyle name="Normal 3 19 3 10 3 2" xfId="49935" xr:uid="{00000000-0005-0000-0000-0000F2770000}"/>
    <cellStyle name="Normal 3 19 3 10 4" xfId="36373" xr:uid="{00000000-0005-0000-0000-0000F3770000}"/>
    <cellStyle name="Normal 3 19 3 11" xfId="12626" xr:uid="{00000000-0005-0000-0000-0000F4770000}"/>
    <cellStyle name="Normal 3 19 3 11 2" xfId="26194" xr:uid="{00000000-0005-0000-0000-0000F5770000}"/>
    <cellStyle name="Normal 3 19 3 11 2 2" xfId="53327" xr:uid="{00000000-0005-0000-0000-0000F6770000}"/>
    <cellStyle name="Normal 3 19 3 11 3" xfId="39765" xr:uid="{00000000-0005-0000-0000-0000F7770000}"/>
    <cellStyle name="Normal 3 19 3 12" xfId="19413" xr:uid="{00000000-0005-0000-0000-0000F8770000}"/>
    <cellStyle name="Normal 3 19 3 12 2" xfId="46546" xr:uid="{00000000-0005-0000-0000-0000F9770000}"/>
    <cellStyle name="Normal 3 19 3 13" xfId="32984" xr:uid="{00000000-0005-0000-0000-0000FA770000}"/>
    <cellStyle name="Normal 3 19 3 2" xfId="5683" xr:uid="{00000000-0005-0000-0000-0000FB770000}"/>
    <cellStyle name="Normal 3 19 3 2 10" xfId="32985" xr:uid="{00000000-0005-0000-0000-0000FC770000}"/>
    <cellStyle name="Normal 3 19 3 2 2" xfId="5684" xr:uid="{00000000-0005-0000-0000-0000FD770000}"/>
    <cellStyle name="Normal 3 19 3 2 2 2" xfId="5685" xr:uid="{00000000-0005-0000-0000-0000FE770000}"/>
    <cellStyle name="Normal 3 19 3 2 2 2 2" xfId="5686" xr:uid="{00000000-0005-0000-0000-0000FF770000}"/>
    <cellStyle name="Normal 3 19 3 2 2 2 2 2" xfId="9229" xr:uid="{00000000-0005-0000-0000-000000780000}"/>
    <cellStyle name="Normal 3 19 3 2 2 2 2 2 2" xfId="16019" xr:uid="{00000000-0005-0000-0000-000001780000}"/>
    <cellStyle name="Normal 3 19 3 2 2 2 2 2 2 2" xfId="29587" xr:uid="{00000000-0005-0000-0000-000002780000}"/>
    <cellStyle name="Normal 3 19 3 2 2 2 2 2 2 2 2" xfId="56720" xr:uid="{00000000-0005-0000-0000-000003780000}"/>
    <cellStyle name="Normal 3 19 3 2 2 2 2 2 2 3" xfId="43158" xr:uid="{00000000-0005-0000-0000-000004780000}"/>
    <cellStyle name="Normal 3 19 3 2 2 2 2 2 3" xfId="22806" xr:uid="{00000000-0005-0000-0000-000005780000}"/>
    <cellStyle name="Normal 3 19 3 2 2 2 2 2 3 2" xfId="49939" xr:uid="{00000000-0005-0000-0000-000006780000}"/>
    <cellStyle name="Normal 3 19 3 2 2 2 2 2 4" xfId="36377" xr:uid="{00000000-0005-0000-0000-000007780000}"/>
    <cellStyle name="Normal 3 19 3 2 2 2 2 3" xfId="12630" xr:uid="{00000000-0005-0000-0000-000008780000}"/>
    <cellStyle name="Normal 3 19 3 2 2 2 2 3 2" xfId="26198" xr:uid="{00000000-0005-0000-0000-000009780000}"/>
    <cellStyle name="Normal 3 19 3 2 2 2 2 3 2 2" xfId="53331" xr:uid="{00000000-0005-0000-0000-00000A780000}"/>
    <cellStyle name="Normal 3 19 3 2 2 2 2 3 3" xfId="39769" xr:uid="{00000000-0005-0000-0000-00000B780000}"/>
    <cellStyle name="Normal 3 19 3 2 2 2 2 4" xfId="19417" xr:uid="{00000000-0005-0000-0000-00000C780000}"/>
    <cellStyle name="Normal 3 19 3 2 2 2 2 4 2" xfId="46550" xr:uid="{00000000-0005-0000-0000-00000D780000}"/>
    <cellStyle name="Normal 3 19 3 2 2 2 2 5" xfId="32988" xr:uid="{00000000-0005-0000-0000-00000E780000}"/>
    <cellStyle name="Normal 3 19 3 2 2 2 3" xfId="5687" xr:uid="{00000000-0005-0000-0000-00000F780000}"/>
    <cellStyle name="Normal 3 19 3 2 2 2 3 2" xfId="9230" xr:uid="{00000000-0005-0000-0000-000010780000}"/>
    <cellStyle name="Normal 3 19 3 2 2 2 3 2 2" xfId="16020" xr:uid="{00000000-0005-0000-0000-000011780000}"/>
    <cellStyle name="Normal 3 19 3 2 2 2 3 2 2 2" xfId="29588" xr:uid="{00000000-0005-0000-0000-000012780000}"/>
    <cellStyle name="Normal 3 19 3 2 2 2 3 2 2 2 2" xfId="56721" xr:uid="{00000000-0005-0000-0000-000013780000}"/>
    <cellStyle name="Normal 3 19 3 2 2 2 3 2 2 3" xfId="43159" xr:uid="{00000000-0005-0000-0000-000014780000}"/>
    <cellStyle name="Normal 3 19 3 2 2 2 3 2 3" xfId="22807" xr:uid="{00000000-0005-0000-0000-000015780000}"/>
    <cellStyle name="Normal 3 19 3 2 2 2 3 2 3 2" xfId="49940" xr:uid="{00000000-0005-0000-0000-000016780000}"/>
    <cellStyle name="Normal 3 19 3 2 2 2 3 2 4" xfId="36378" xr:uid="{00000000-0005-0000-0000-000017780000}"/>
    <cellStyle name="Normal 3 19 3 2 2 2 3 3" xfId="12631" xr:uid="{00000000-0005-0000-0000-000018780000}"/>
    <cellStyle name="Normal 3 19 3 2 2 2 3 3 2" xfId="26199" xr:uid="{00000000-0005-0000-0000-000019780000}"/>
    <cellStyle name="Normal 3 19 3 2 2 2 3 3 2 2" xfId="53332" xr:uid="{00000000-0005-0000-0000-00001A780000}"/>
    <cellStyle name="Normal 3 19 3 2 2 2 3 3 3" xfId="39770" xr:uid="{00000000-0005-0000-0000-00001B780000}"/>
    <cellStyle name="Normal 3 19 3 2 2 2 3 4" xfId="19418" xr:uid="{00000000-0005-0000-0000-00001C780000}"/>
    <cellStyle name="Normal 3 19 3 2 2 2 3 4 2" xfId="46551" xr:uid="{00000000-0005-0000-0000-00001D780000}"/>
    <cellStyle name="Normal 3 19 3 2 2 2 3 5" xfId="32989" xr:uid="{00000000-0005-0000-0000-00001E780000}"/>
    <cellStyle name="Normal 3 19 3 2 2 2 4" xfId="9228" xr:uid="{00000000-0005-0000-0000-00001F780000}"/>
    <cellStyle name="Normal 3 19 3 2 2 2 4 2" xfId="16018" xr:uid="{00000000-0005-0000-0000-000020780000}"/>
    <cellStyle name="Normal 3 19 3 2 2 2 4 2 2" xfId="29586" xr:uid="{00000000-0005-0000-0000-000021780000}"/>
    <cellStyle name="Normal 3 19 3 2 2 2 4 2 2 2" xfId="56719" xr:uid="{00000000-0005-0000-0000-000022780000}"/>
    <cellStyle name="Normal 3 19 3 2 2 2 4 2 3" xfId="43157" xr:uid="{00000000-0005-0000-0000-000023780000}"/>
    <cellStyle name="Normal 3 19 3 2 2 2 4 3" xfId="22805" xr:uid="{00000000-0005-0000-0000-000024780000}"/>
    <cellStyle name="Normal 3 19 3 2 2 2 4 3 2" xfId="49938" xr:uid="{00000000-0005-0000-0000-000025780000}"/>
    <cellStyle name="Normal 3 19 3 2 2 2 4 4" xfId="36376" xr:uid="{00000000-0005-0000-0000-000026780000}"/>
    <cellStyle name="Normal 3 19 3 2 2 2 5" xfId="12629" xr:uid="{00000000-0005-0000-0000-000027780000}"/>
    <cellStyle name="Normal 3 19 3 2 2 2 5 2" xfId="26197" xr:uid="{00000000-0005-0000-0000-000028780000}"/>
    <cellStyle name="Normal 3 19 3 2 2 2 5 2 2" xfId="53330" xr:uid="{00000000-0005-0000-0000-000029780000}"/>
    <cellStyle name="Normal 3 19 3 2 2 2 5 3" xfId="39768" xr:uid="{00000000-0005-0000-0000-00002A780000}"/>
    <cellStyle name="Normal 3 19 3 2 2 2 6" xfId="19416" xr:uid="{00000000-0005-0000-0000-00002B780000}"/>
    <cellStyle name="Normal 3 19 3 2 2 2 6 2" xfId="46549" xr:uid="{00000000-0005-0000-0000-00002C780000}"/>
    <cellStyle name="Normal 3 19 3 2 2 2 7" xfId="32987" xr:uid="{00000000-0005-0000-0000-00002D780000}"/>
    <cellStyle name="Normal 3 19 3 2 2 3" xfId="5688" xr:uid="{00000000-0005-0000-0000-00002E780000}"/>
    <cellStyle name="Normal 3 19 3 2 2 3 2" xfId="5689" xr:uid="{00000000-0005-0000-0000-00002F780000}"/>
    <cellStyle name="Normal 3 19 3 2 2 3 2 2" xfId="9232" xr:uid="{00000000-0005-0000-0000-000030780000}"/>
    <cellStyle name="Normal 3 19 3 2 2 3 2 2 2" xfId="16022" xr:uid="{00000000-0005-0000-0000-000031780000}"/>
    <cellStyle name="Normal 3 19 3 2 2 3 2 2 2 2" xfId="29590" xr:uid="{00000000-0005-0000-0000-000032780000}"/>
    <cellStyle name="Normal 3 19 3 2 2 3 2 2 2 2 2" xfId="56723" xr:uid="{00000000-0005-0000-0000-000033780000}"/>
    <cellStyle name="Normal 3 19 3 2 2 3 2 2 2 3" xfId="43161" xr:uid="{00000000-0005-0000-0000-000034780000}"/>
    <cellStyle name="Normal 3 19 3 2 2 3 2 2 3" xfId="22809" xr:uid="{00000000-0005-0000-0000-000035780000}"/>
    <cellStyle name="Normal 3 19 3 2 2 3 2 2 3 2" xfId="49942" xr:uid="{00000000-0005-0000-0000-000036780000}"/>
    <cellStyle name="Normal 3 19 3 2 2 3 2 2 4" xfId="36380" xr:uid="{00000000-0005-0000-0000-000037780000}"/>
    <cellStyle name="Normal 3 19 3 2 2 3 2 3" xfId="12633" xr:uid="{00000000-0005-0000-0000-000038780000}"/>
    <cellStyle name="Normal 3 19 3 2 2 3 2 3 2" xfId="26201" xr:uid="{00000000-0005-0000-0000-000039780000}"/>
    <cellStyle name="Normal 3 19 3 2 2 3 2 3 2 2" xfId="53334" xr:uid="{00000000-0005-0000-0000-00003A780000}"/>
    <cellStyle name="Normal 3 19 3 2 2 3 2 3 3" xfId="39772" xr:uid="{00000000-0005-0000-0000-00003B780000}"/>
    <cellStyle name="Normal 3 19 3 2 2 3 2 4" xfId="19420" xr:uid="{00000000-0005-0000-0000-00003C780000}"/>
    <cellStyle name="Normal 3 19 3 2 2 3 2 4 2" xfId="46553" xr:uid="{00000000-0005-0000-0000-00003D780000}"/>
    <cellStyle name="Normal 3 19 3 2 2 3 2 5" xfId="32991" xr:uid="{00000000-0005-0000-0000-00003E780000}"/>
    <cellStyle name="Normal 3 19 3 2 2 3 3" xfId="9231" xr:uid="{00000000-0005-0000-0000-00003F780000}"/>
    <cellStyle name="Normal 3 19 3 2 2 3 3 2" xfId="16021" xr:uid="{00000000-0005-0000-0000-000040780000}"/>
    <cellStyle name="Normal 3 19 3 2 2 3 3 2 2" xfId="29589" xr:uid="{00000000-0005-0000-0000-000041780000}"/>
    <cellStyle name="Normal 3 19 3 2 2 3 3 2 2 2" xfId="56722" xr:uid="{00000000-0005-0000-0000-000042780000}"/>
    <cellStyle name="Normal 3 19 3 2 2 3 3 2 3" xfId="43160" xr:uid="{00000000-0005-0000-0000-000043780000}"/>
    <cellStyle name="Normal 3 19 3 2 2 3 3 3" xfId="22808" xr:uid="{00000000-0005-0000-0000-000044780000}"/>
    <cellStyle name="Normal 3 19 3 2 2 3 3 3 2" xfId="49941" xr:uid="{00000000-0005-0000-0000-000045780000}"/>
    <cellStyle name="Normal 3 19 3 2 2 3 3 4" xfId="36379" xr:uid="{00000000-0005-0000-0000-000046780000}"/>
    <cellStyle name="Normal 3 19 3 2 2 3 4" xfId="12632" xr:uid="{00000000-0005-0000-0000-000047780000}"/>
    <cellStyle name="Normal 3 19 3 2 2 3 4 2" xfId="26200" xr:uid="{00000000-0005-0000-0000-000048780000}"/>
    <cellStyle name="Normal 3 19 3 2 2 3 4 2 2" xfId="53333" xr:uid="{00000000-0005-0000-0000-000049780000}"/>
    <cellStyle name="Normal 3 19 3 2 2 3 4 3" xfId="39771" xr:uid="{00000000-0005-0000-0000-00004A780000}"/>
    <cellStyle name="Normal 3 19 3 2 2 3 5" xfId="19419" xr:uid="{00000000-0005-0000-0000-00004B780000}"/>
    <cellStyle name="Normal 3 19 3 2 2 3 5 2" xfId="46552" xr:uid="{00000000-0005-0000-0000-00004C780000}"/>
    <cellStyle name="Normal 3 19 3 2 2 3 6" xfId="32990" xr:uid="{00000000-0005-0000-0000-00004D780000}"/>
    <cellStyle name="Normal 3 19 3 2 2 4" xfId="5690" xr:uid="{00000000-0005-0000-0000-00004E780000}"/>
    <cellStyle name="Normal 3 19 3 2 2 4 2" xfId="9233" xr:uid="{00000000-0005-0000-0000-00004F780000}"/>
    <cellStyle name="Normal 3 19 3 2 2 4 2 2" xfId="16023" xr:uid="{00000000-0005-0000-0000-000050780000}"/>
    <cellStyle name="Normal 3 19 3 2 2 4 2 2 2" xfId="29591" xr:uid="{00000000-0005-0000-0000-000051780000}"/>
    <cellStyle name="Normal 3 19 3 2 2 4 2 2 2 2" xfId="56724" xr:uid="{00000000-0005-0000-0000-000052780000}"/>
    <cellStyle name="Normal 3 19 3 2 2 4 2 2 3" xfId="43162" xr:uid="{00000000-0005-0000-0000-000053780000}"/>
    <cellStyle name="Normal 3 19 3 2 2 4 2 3" xfId="22810" xr:uid="{00000000-0005-0000-0000-000054780000}"/>
    <cellStyle name="Normal 3 19 3 2 2 4 2 3 2" xfId="49943" xr:uid="{00000000-0005-0000-0000-000055780000}"/>
    <cellStyle name="Normal 3 19 3 2 2 4 2 4" xfId="36381" xr:uid="{00000000-0005-0000-0000-000056780000}"/>
    <cellStyle name="Normal 3 19 3 2 2 4 3" xfId="12634" xr:uid="{00000000-0005-0000-0000-000057780000}"/>
    <cellStyle name="Normal 3 19 3 2 2 4 3 2" xfId="26202" xr:uid="{00000000-0005-0000-0000-000058780000}"/>
    <cellStyle name="Normal 3 19 3 2 2 4 3 2 2" xfId="53335" xr:uid="{00000000-0005-0000-0000-000059780000}"/>
    <cellStyle name="Normal 3 19 3 2 2 4 3 3" xfId="39773" xr:uid="{00000000-0005-0000-0000-00005A780000}"/>
    <cellStyle name="Normal 3 19 3 2 2 4 4" xfId="19421" xr:uid="{00000000-0005-0000-0000-00005B780000}"/>
    <cellStyle name="Normal 3 19 3 2 2 4 4 2" xfId="46554" xr:uid="{00000000-0005-0000-0000-00005C780000}"/>
    <cellStyle name="Normal 3 19 3 2 2 4 5" xfId="32992" xr:uid="{00000000-0005-0000-0000-00005D780000}"/>
    <cellStyle name="Normal 3 19 3 2 2 5" xfId="5691" xr:uid="{00000000-0005-0000-0000-00005E780000}"/>
    <cellStyle name="Normal 3 19 3 2 2 5 2" xfId="9234" xr:uid="{00000000-0005-0000-0000-00005F780000}"/>
    <cellStyle name="Normal 3 19 3 2 2 5 2 2" xfId="16024" xr:uid="{00000000-0005-0000-0000-000060780000}"/>
    <cellStyle name="Normal 3 19 3 2 2 5 2 2 2" xfId="29592" xr:uid="{00000000-0005-0000-0000-000061780000}"/>
    <cellStyle name="Normal 3 19 3 2 2 5 2 2 2 2" xfId="56725" xr:uid="{00000000-0005-0000-0000-000062780000}"/>
    <cellStyle name="Normal 3 19 3 2 2 5 2 2 3" xfId="43163" xr:uid="{00000000-0005-0000-0000-000063780000}"/>
    <cellStyle name="Normal 3 19 3 2 2 5 2 3" xfId="22811" xr:uid="{00000000-0005-0000-0000-000064780000}"/>
    <cellStyle name="Normal 3 19 3 2 2 5 2 3 2" xfId="49944" xr:uid="{00000000-0005-0000-0000-000065780000}"/>
    <cellStyle name="Normal 3 19 3 2 2 5 2 4" xfId="36382" xr:uid="{00000000-0005-0000-0000-000066780000}"/>
    <cellStyle name="Normal 3 19 3 2 2 5 3" xfId="12635" xr:uid="{00000000-0005-0000-0000-000067780000}"/>
    <cellStyle name="Normal 3 19 3 2 2 5 3 2" xfId="26203" xr:uid="{00000000-0005-0000-0000-000068780000}"/>
    <cellStyle name="Normal 3 19 3 2 2 5 3 2 2" xfId="53336" xr:uid="{00000000-0005-0000-0000-000069780000}"/>
    <cellStyle name="Normal 3 19 3 2 2 5 3 3" xfId="39774" xr:uid="{00000000-0005-0000-0000-00006A780000}"/>
    <cellStyle name="Normal 3 19 3 2 2 5 4" xfId="19422" xr:uid="{00000000-0005-0000-0000-00006B780000}"/>
    <cellStyle name="Normal 3 19 3 2 2 5 4 2" xfId="46555" xr:uid="{00000000-0005-0000-0000-00006C780000}"/>
    <cellStyle name="Normal 3 19 3 2 2 5 5" xfId="32993" xr:uid="{00000000-0005-0000-0000-00006D780000}"/>
    <cellStyle name="Normal 3 19 3 2 2 6" xfId="9227" xr:uid="{00000000-0005-0000-0000-00006E780000}"/>
    <cellStyle name="Normal 3 19 3 2 2 6 2" xfId="16017" xr:uid="{00000000-0005-0000-0000-00006F780000}"/>
    <cellStyle name="Normal 3 19 3 2 2 6 2 2" xfId="29585" xr:uid="{00000000-0005-0000-0000-000070780000}"/>
    <cellStyle name="Normal 3 19 3 2 2 6 2 2 2" xfId="56718" xr:uid="{00000000-0005-0000-0000-000071780000}"/>
    <cellStyle name="Normal 3 19 3 2 2 6 2 3" xfId="43156" xr:uid="{00000000-0005-0000-0000-000072780000}"/>
    <cellStyle name="Normal 3 19 3 2 2 6 3" xfId="22804" xr:uid="{00000000-0005-0000-0000-000073780000}"/>
    <cellStyle name="Normal 3 19 3 2 2 6 3 2" xfId="49937" xr:uid="{00000000-0005-0000-0000-000074780000}"/>
    <cellStyle name="Normal 3 19 3 2 2 6 4" xfId="36375" xr:uid="{00000000-0005-0000-0000-000075780000}"/>
    <cellStyle name="Normal 3 19 3 2 2 7" xfId="12628" xr:uid="{00000000-0005-0000-0000-000076780000}"/>
    <cellStyle name="Normal 3 19 3 2 2 7 2" xfId="26196" xr:uid="{00000000-0005-0000-0000-000077780000}"/>
    <cellStyle name="Normal 3 19 3 2 2 7 2 2" xfId="53329" xr:uid="{00000000-0005-0000-0000-000078780000}"/>
    <cellStyle name="Normal 3 19 3 2 2 7 3" xfId="39767" xr:uid="{00000000-0005-0000-0000-000079780000}"/>
    <cellStyle name="Normal 3 19 3 2 2 8" xfId="19415" xr:uid="{00000000-0005-0000-0000-00007A780000}"/>
    <cellStyle name="Normal 3 19 3 2 2 8 2" xfId="46548" xr:uid="{00000000-0005-0000-0000-00007B780000}"/>
    <cellStyle name="Normal 3 19 3 2 2 9" xfId="32986" xr:uid="{00000000-0005-0000-0000-00007C780000}"/>
    <cellStyle name="Normal 3 19 3 2 3" xfId="5692" xr:uid="{00000000-0005-0000-0000-00007D780000}"/>
    <cellStyle name="Normal 3 19 3 2 3 2" xfId="5693" xr:uid="{00000000-0005-0000-0000-00007E780000}"/>
    <cellStyle name="Normal 3 19 3 2 3 2 2" xfId="9236" xr:uid="{00000000-0005-0000-0000-00007F780000}"/>
    <cellStyle name="Normal 3 19 3 2 3 2 2 2" xfId="16026" xr:uid="{00000000-0005-0000-0000-000080780000}"/>
    <cellStyle name="Normal 3 19 3 2 3 2 2 2 2" xfId="29594" xr:uid="{00000000-0005-0000-0000-000081780000}"/>
    <cellStyle name="Normal 3 19 3 2 3 2 2 2 2 2" xfId="56727" xr:uid="{00000000-0005-0000-0000-000082780000}"/>
    <cellStyle name="Normal 3 19 3 2 3 2 2 2 3" xfId="43165" xr:uid="{00000000-0005-0000-0000-000083780000}"/>
    <cellStyle name="Normal 3 19 3 2 3 2 2 3" xfId="22813" xr:uid="{00000000-0005-0000-0000-000084780000}"/>
    <cellStyle name="Normal 3 19 3 2 3 2 2 3 2" xfId="49946" xr:uid="{00000000-0005-0000-0000-000085780000}"/>
    <cellStyle name="Normal 3 19 3 2 3 2 2 4" xfId="36384" xr:uid="{00000000-0005-0000-0000-000086780000}"/>
    <cellStyle name="Normal 3 19 3 2 3 2 3" xfId="12637" xr:uid="{00000000-0005-0000-0000-000087780000}"/>
    <cellStyle name="Normal 3 19 3 2 3 2 3 2" xfId="26205" xr:uid="{00000000-0005-0000-0000-000088780000}"/>
    <cellStyle name="Normal 3 19 3 2 3 2 3 2 2" xfId="53338" xr:uid="{00000000-0005-0000-0000-000089780000}"/>
    <cellStyle name="Normal 3 19 3 2 3 2 3 3" xfId="39776" xr:uid="{00000000-0005-0000-0000-00008A780000}"/>
    <cellStyle name="Normal 3 19 3 2 3 2 4" xfId="19424" xr:uid="{00000000-0005-0000-0000-00008B780000}"/>
    <cellStyle name="Normal 3 19 3 2 3 2 4 2" xfId="46557" xr:uid="{00000000-0005-0000-0000-00008C780000}"/>
    <cellStyle name="Normal 3 19 3 2 3 2 5" xfId="32995" xr:uid="{00000000-0005-0000-0000-00008D780000}"/>
    <cellStyle name="Normal 3 19 3 2 3 3" xfId="5694" xr:uid="{00000000-0005-0000-0000-00008E780000}"/>
    <cellStyle name="Normal 3 19 3 2 3 3 2" xfId="9237" xr:uid="{00000000-0005-0000-0000-00008F780000}"/>
    <cellStyle name="Normal 3 19 3 2 3 3 2 2" xfId="16027" xr:uid="{00000000-0005-0000-0000-000090780000}"/>
    <cellStyle name="Normal 3 19 3 2 3 3 2 2 2" xfId="29595" xr:uid="{00000000-0005-0000-0000-000091780000}"/>
    <cellStyle name="Normal 3 19 3 2 3 3 2 2 2 2" xfId="56728" xr:uid="{00000000-0005-0000-0000-000092780000}"/>
    <cellStyle name="Normal 3 19 3 2 3 3 2 2 3" xfId="43166" xr:uid="{00000000-0005-0000-0000-000093780000}"/>
    <cellStyle name="Normal 3 19 3 2 3 3 2 3" xfId="22814" xr:uid="{00000000-0005-0000-0000-000094780000}"/>
    <cellStyle name="Normal 3 19 3 2 3 3 2 3 2" xfId="49947" xr:uid="{00000000-0005-0000-0000-000095780000}"/>
    <cellStyle name="Normal 3 19 3 2 3 3 2 4" xfId="36385" xr:uid="{00000000-0005-0000-0000-000096780000}"/>
    <cellStyle name="Normal 3 19 3 2 3 3 3" xfId="12638" xr:uid="{00000000-0005-0000-0000-000097780000}"/>
    <cellStyle name="Normal 3 19 3 2 3 3 3 2" xfId="26206" xr:uid="{00000000-0005-0000-0000-000098780000}"/>
    <cellStyle name="Normal 3 19 3 2 3 3 3 2 2" xfId="53339" xr:uid="{00000000-0005-0000-0000-000099780000}"/>
    <cellStyle name="Normal 3 19 3 2 3 3 3 3" xfId="39777" xr:uid="{00000000-0005-0000-0000-00009A780000}"/>
    <cellStyle name="Normal 3 19 3 2 3 3 4" xfId="19425" xr:uid="{00000000-0005-0000-0000-00009B780000}"/>
    <cellStyle name="Normal 3 19 3 2 3 3 4 2" xfId="46558" xr:uid="{00000000-0005-0000-0000-00009C780000}"/>
    <cellStyle name="Normal 3 19 3 2 3 3 5" xfId="32996" xr:uid="{00000000-0005-0000-0000-00009D780000}"/>
    <cellStyle name="Normal 3 19 3 2 3 4" xfId="9235" xr:uid="{00000000-0005-0000-0000-00009E780000}"/>
    <cellStyle name="Normal 3 19 3 2 3 4 2" xfId="16025" xr:uid="{00000000-0005-0000-0000-00009F780000}"/>
    <cellStyle name="Normal 3 19 3 2 3 4 2 2" xfId="29593" xr:uid="{00000000-0005-0000-0000-0000A0780000}"/>
    <cellStyle name="Normal 3 19 3 2 3 4 2 2 2" xfId="56726" xr:uid="{00000000-0005-0000-0000-0000A1780000}"/>
    <cellStyle name="Normal 3 19 3 2 3 4 2 3" xfId="43164" xr:uid="{00000000-0005-0000-0000-0000A2780000}"/>
    <cellStyle name="Normal 3 19 3 2 3 4 3" xfId="22812" xr:uid="{00000000-0005-0000-0000-0000A3780000}"/>
    <cellStyle name="Normal 3 19 3 2 3 4 3 2" xfId="49945" xr:uid="{00000000-0005-0000-0000-0000A4780000}"/>
    <cellStyle name="Normal 3 19 3 2 3 4 4" xfId="36383" xr:uid="{00000000-0005-0000-0000-0000A5780000}"/>
    <cellStyle name="Normal 3 19 3 2 3 5" xfId="12636" xr:uid="{00000000-0005-0000-0000-0000A6780000}"/>
    <cellStyle name="Normal 3 19 3 2 3 5 2" xfId="26204" xr:uid="{00000000-0005-0000-0000-0000A7780000}"/>
    <cellStyle name="Normal 3 19 3 2 3 5 2 2" xfId="53337" xr:uid="{00000000-0005-0000-0000-0000A8780000}"/>
    <cellStyle name="Normal 3 19 3 2 3 5 3" xfId="39775" xr:uid="{00000000-0005-0000-0000-0000A9780000}"/>
    <cellStyle name="Normal 3 19 3 2 3 6" xfId="19423" xr:uid="{00000000-0005-0000-0000-0000AA780000}"/>
    <cellStyle name="Normal 3 19 3 2 3 6 2" xfId="46556" xr:uid="{00000000-0005-0000-0000-0000AB780000}"/>
    <cellStyle name="Normal 3 19 3 2 3 7" xfId="32994" xr:uid="{00000000-0005-0000-0000-0000AC780000}"/>
    <cellStyle name="Normal 3 19 3 2 4" xfId="5695" xr:uid="{00000000-0005-0000-0000-0000AD780000}"/>
    <cellStyle name="Normal 3 19 3 2 4 2" xfId="5696" xr:uid="{00000000-0005-0000-0000-0000AE780000}"/>
    <cellStyle name="Normal 3 19 3 2 4 2 2" xfId="9239" xr:uid="{00000000-0005-0000-0000-0000AF780000}"/>
    <cellStyle name="Normal 3 19 3 2 4 2 2 2" xfId="16029" xr:uid="{00000000-0005-0000-0000-0000B0780000}"/>
    <cellStyle name="Normal 3 19 3 2 4 2 2 2 2" xfId="29597" xr:uid="{00000000-0005-0000-0000-0000B1780000}"/>
    <cellStyle name="Normal 3 19 3 2 4 2 2 2 2 2" xfId="56730" xr:uid="{00000000-0005-0000-0000-0000B2780000}"/>
    <cellStyle name="Normal 3 19 3 2 4 2 2 2 3" xfId="43168" xr:uid="{00000000-0005-0000-0000-0000B3780000}"/>
    <cellStyle name="Normal 3 19 3 2 4 2 2 3" xfId="22816" xr:uid="{00000000-0005-0000-0000-0000B4780000}"/>
    <cellStyle name="Normal 3 19 3 2 4 2 2 3 2" xfId="49949" xr:uid="{00000000-0005-0000-0000-0000B5780000}"/>
    <cellStyle name="Normal 3 19 3 2 4 2 2 4" xfId="36387" xr:uid="{00000000-0005-0000-0000-0000B6780000}"/>
    <cellStyle name="Normal 3 19 3 2 4 2 3" xfId="12640" xr:uid="{00000000-0005-0000-0000-0000B7780000}"/>
    <cellStyle name="Normal 3 19 3 2 4 2 3 2" xfId="26208" xr:uid="{00000000-0005-0000-0000-0000B8780000}"/>
    <cellStyle name="Normal 3 19 3 2 4 2 3 2 2" xfId="53341" xr:uid="{00000000-0005-0000-0000-0000B9780000}"/>
    <cellStyle name="Normal 3 19 3 2 4 2 3 3" xfId="39779" xr:uid="{00000000-0005-0000-0000-0000BA780000}"/>
    <cellStyle name="Normal 3 19 3 2 4 2 4" xfId="19427" xr:uid="{00000000-0005-0000-0000-0000BB780000}"/>
    <cellStyle name="Normal 3 19 3 2 4 2 4 2" xfId="46560" xr:uid="{00000000-0005-0000-0000-0000BC780000}"/>
    <cellStyle name="Normal 3 19 3 2 4 2 5" xfId="32998" xr:uid="{00000000-0005-0000-0000-0000BD780000}"/>
    <cellStyle name="Normal 3 19 3 2 4 3" xfId="9238" xr:uid="{00000000-0005-0000-0000-0000BE780000}"/>
    <cellStyle name="Normal 3 19 3 2 4 3 2" xfId="16028" xr:uid="{00000000-0005-0000-0000-0000BF780000}"/>
    <cellStyle name="Normal 3 19 3 2 4 3 2 2" xfId="29596" xr:uid="{00000000-0005-0000-0000-0000C0780000}"/>
    <cellStyle name="Normal 3 19 3 2 4 3 2 2 2" xfId="56729" xr:uid="{00000000-0005-0000-0000-0000C1780000}"/>
    <cellStyle name="Normal 3 19 3 2 4 3 2 3" xfId="43167" xr:uid="{00000000-0005-0000-0000-0000C2780000}"/>
    <cellStyle name="Normal 3 19 3 2 4 3 3" xfId="22815" xr:uid="{00000000-0005-0000-0000-0000C3780000}"/>
    <cellStyle name="Normal 3 19 3 2 4 3 3 2" xfId="49948" xr:uid="{00000000-0005-0000-0000-0000C4780000}"/>
    <cellStyle name="Normal 3 19 3 2 4 3 4" xfId="36386" xr:uid="{00000000-0005-0000-0000-0000C5780000}"/>
    <cellStyle name="Normal 3 19 3 2 4 4" xfId="12639" xr:uid="{00000000-0005-0000-0000-0000C6780000}"/>
    <cellStyle name="Normal 3 19 3 2 4 4 2" xfId="26207" xr:uid="{00000000-0005-0000-0000-0000C7780000}"/>
    <cellStyle name="Normal 3 19 3 2 4 4 2 2" xfId="53340" xr:uid="{00000000-0005-0000-0000-0000C8780000}"/>
    <cellStyle name="Normal 3 19 3 2 4 4 3" xfId="39778" xr:uid="{00000000-0005-0000-0000-0000C9780000}"/>
    <cellStyle name="Normal 3 19 3 2 4 5" xfId="19426" xr:uid="{00000000-0005-0000-0000-0000CA780000}"/>
    <cellStyle name="Normal 3 19 3 2 4 5 2" xfId="46559" xr:uid="{00000000-0005-0000-0000-0000CB780000}"/>
    <cellStyle name="Normal 3 19 3 2 4 6" xfId="32997" xr:uid="{00000000-0005-0000-0000-0000CC780000}"/>
    <cellStyle name="Normal 3 19 3 2 5" xfId="5697" xr:uid="{00000000-0005-0000-0000-0000CD780000}"/>
    <cellStyle name="Normal 3 19 3 2 5 2" xfId="9240" xr:uid="{00000000-0005-0000-0000-0000CE780000}"/>
    <cellStyle name="Normal 3 19 3 2 5 2 2" xfId="16030" xr:uid="{00000000-0005-0000-0000-0000CF780000}"/>
    <cellStyle name="Normal 3 19 3 2 5 2 2 2" xfId="29598" xr:uid="{00000000-0005-0000-0000-0000D0780000}"/>
    <cellStyle name="Normal 3 19 3 2 5 2 2 2 2" xfId="56731" xr:uid="{00000000-0005-0000-0000-0000D1780000}"/>
    <cellStyle name="Normal 3 19 3 2 5 2 2 3" xfId="43169" xr:uid="{00000000-0005-0000-0000-0000D2780000}"/>
    <cellStyle name="Normal 3 19 3 2 5 2 3" xfId="22817" xr:uid="{00000000-0005-0000-0000-0000D3780000}"/>
    <cellStyle name="Normal 3 19 3 2 5 2 3 2" xfId="49950" xr:uid="{00000000-0005-0000-0000-0000D4780000}"/>
    <cellStyle name="Normal 3 19 3 2 5 2 4" xfId="36388" xr:uid="{00000000-0005-0000-0000-0000D5780000}"/>
    <cellStyle name="Normal 3 19 3 2 5 3" xfId="12641" xr:uid="{00000000-0005-0000-0000-0000D6780000}"/>
    <cellStyle name="Normal 3 19 3 2 5 3 2" xfId="26209" xr:uid="{00000000-0005-0000-0000-0000D7780000}"/>
    <cellStyle name="Normal 3 19 3 2 5 3 2 2" xfId="53342" xr:uid="{00000000-0005-0000-0000-0000D8780000}"/>
    <cellStyle name="Normal 3 19 3 2 5 3 3" xfId="39780" xr:uid="{00000000-0005-0000-0000-0000D9780000}"/>
    <cellStyle name="Normal 3 19 3 2 5 4" xfId="19428" xr:uid="{00000000-0005-0000-0000-0000DA780000}"/>
    <cellStyle name="Normal 3 19 3 2 5 4 2" xfId="46561" xr:uid="{00000000-0005-0000-0000-0000DB780000}"/>
    <cellStyle name="Normal 3 19 3 2 5 5" xfId="32999" xr:uid="{00000000-0005-0000-0000-0000DC780000}"/>
    <cellStyle name="Normal 3 19 3 2 6" xfId="5698" xr:uid="{00000000-0005-0000-0000-0000DD780000}"/>
    <cellStyle name="Normal 3 19 3 2 6 2" xfId="9241" xr:uid="{00000000-0005-0000-0000-0000DE780000}"/>
    <cellStyle name="Normal 3 19 3 2 6 2 2" xfId="16031" xr:uid="{00000000-0005-0000-0000-0000DF780000}"/>
    <cellStyle name="Normal 3 19 3 2 6 2 2 2" xfId="29599" xr:uid="{00000000-0005-0000-0000-0000E0780000}"/>
    <cellStyle name="Normal 3 19 3 2 6 2 2 2 2" xfId="56732" xr:uid="{00000000-0005-0000-0000-0000E1780000}"/>
    <cellStyle name="Normal 3 19 3 2 6 2 2 3" xfId="43170" xr:uid="{00000000-0005-0000-0000-0000E2780000}"/>
    <cellStyle name="Normal 3 19 3 2 6 2 3" xfId="22818" xr:uid="{00000000-0005-0000-0000-0000E3780000}"/>
    <cellStyle name="Normal 3 19 3 2 6 2 3 2" xfId="49951" xr:uid="{00000000-0005-0000-0000-0000E4780000}"/>
    <cellStyle name="Normal 3 19 3 2 6 2 4" xfId="36389" xr:uid="{00000000-0005-0000-0000-0000E5780000}"/>
    <cellStyle name="Normal 3 19 3 2 6 3" xfId="12642" xr:uid="{00000000-0005-0000-0000-0000E6780000}"/>
    <cellStyle name="Normal 3 19 3 2 6 3 2" xfId="26210" xr:uid="{00000000-0005-0000-0000-0000E7780000}"/>
    <cellStyle name="Normal 3 19 3 2 6 3 2 2" xfId="53343" xr:uid="{00000000-0005-0000-0000-0000E8780000}"/>
    <cellStyle name="Normal 3 19 3 2 6 3 3" xfId="39781" xr:uid="{00000000-0005-0000-0000-0000E9780000}"/>
    <cellStyle name="Normal 3 19 3 2 6 4" xfId="19429" xr:uid="{00000000-0005-0000-0000-0000EA780000}"/>
    <cellStyle name="Normal 3 19 3 2 6 4 2" xfId="46562" xr:uid="{00000000-0005-0000-0000-0000EB780000}"/>
    <cellStyle name="Normal 3 19 3 2 6 5" xfId="33000" xr:uid="{00000000-0005-0000-0000-0000EC780000}"/>
    <cellStyle name="Normal 3 19 3 2 7" xfId="9226" xr:uid="{00000000-0005-0000-0000-0000ED780000}"/>
    <cellStyle name="Normal 3 19 3 2 7 2" xfId="16016" xr:uid="{00000000-0005-0000-0000-0000EE780000}"/>
    <cellStyle name="Normal 3 19 3 2 7 2 2" xfId="29584" xr:uid="{00000000-0005-0000-0000-0000EF780000}"/>
    <cellStyle name="Normal 3 19 3 2 7 2 2 2" xfId="56717" xr:uid="{00000000-0005-0000-0000-0000F0780000}"/>
    <cellStyle name="Normal 3 19 3 2 7 2 3" xfId="43155" xr:uid="{00000000-0005-0000-0000-0000F1780000}"/>
    <cellStyle name="Normal 3 19 3 2 7 3" xfId="22803" xr:uid="{00000000-0005-0000-0000-0000F2780000}"/>
    <cellStyle name="Normal 3 19 3 2 7 3 2" xfId="49936" xr:uid="{00000000-0005-0000-0000-0000F3780000}"/>
    <cellStyle name="Normal 3 19 3 2 7 4" xfId="36374" xr:uid="{00000000-0005-0000-0000-0000F4780000}"/>
    <cellStyle name="Normal 3 19 3 2 8" xfId="12627" xr:uid="{00000000-0005-0000-0000-0000F5780000}"/>
    <cellStyle name="Normal 3 19 3 2 8 2" xfId="26195" xr:uid="{00000000-0005-0000-0000-0000F6780000}"/>
    <cellStyle name="Normal 3 19 3 2 8 2 2" xfId="53328" xr:uid="{00000000-0005-0000-0000-0000F7780000}"/>
    <cellStyle name="Normal 3 19 3 2 8 3" xfId="39766" xr:uid="{00000000-0005-0000-0000-0000F8780000}"/>
    <cellStyle name="Normal 3 19 3 2 9" xfId="19414" xr:uid="{00000000-0005-0000-0000-0000F9780000}"/>
    <cellStyle name="Normal 3 19 3 2 9 2" xfId="46547" xr:uid="{00000000-0005-0000-0000-0000FA780000}"/>
    <cellStyle name="Normal 3 19 3 3" xfId="5699" xr:uid="{00000000-0005-0000-0000-0000FB780000}"/>
    <cellStyle name="Normal 3 19 3 3 2" xfId="5700" xr:uid="{00000000-0005-0000-0000-0000FC780000}"/>
    <cellStyle name="Normal 3 19 3 3 2 2" xfId="5701" xr:uid="{00000000-0005-0000-0000-0000FD780000}"/>
    <cellStyle name="Normal 3 19 3 3 2 2 2" xfId="9244" xr:uid="{00000000-0005-0000-0000-0000FE780000}"/>
    <cellStyle name="Normal 3 19 3 3 2 2 2 2" xfId="16034" xr:uid="{00000000-0005-0000-0000-0000FF780000}"/>
    <cellStyle name="Normal 3 19 3 3 2 2 2 2 2" xfId="29602" xr:uid="{00000000-0005-0000-0000-000000790000}"/>
    <cellStyle name="Normal 3 19 3 3 2 2 2 2 2 2" xfId="56735" xr:uid="{00000000-0005-0000-0000-000001790000}"/>
    <cellStyle name="Normal 3 19 3 3 2 2 2 2 3" xfId="43173" xr:uid="{00000000-0005-0000-0000-000002790000}"/>
    <cellStyle name="Normal 3 19 3 3 2 2 2 3" xfId="22821" xr:uid="{00000000-0005-0000-0000-000003790000}"/>
    <cellStyle name="Normal 3 19 3 3 2 2 2 3 2" xfId="49954" xr:uid="{00000000-0005-0000-0000-000004790000}"/>
    <cellStyle name="Normal 3 19 3 3 2 2 2 4" xfId="36392" xr:uid="{00000000-0005-0000-0000-000005790000}"/>
    <cellStyle name="Normal 3 19 3 3 2 2 3" xfId="12645" xr:uid="{00000000-0005-0000-0000-000006790000}"/>
    <cellStyle name="Normal 3 19 3 3 2 2 3 2" xfId="26213" xr:uid="{00000000-0005-0000-0000-000007790000}"/>
    <cellStyle name="Normal 3 19 3 3 2 2 3 2 2" xfId="53346" xr:uid="{00000000-0005-0000-0000-000008790000}"/>
    <cellStyle name="Normal 3 19 3 3 2 2 3 3" xfId="39784" xr:uid="{00000000-0005-0000-0000-000009790000}"/>
    <cellStyle name="Normal 3 19 3 3 2 2 4" xfId="19432" xr:uid="{00000000-0005-0000-0000-00000A790000}"/>
    <cellStyle name="Normal 3 19 3 3 2 2 4 2" xfId="46565" xr:uid="{00000000-0005-0000-0000-00000B790000}"/>
    <cellStyle name="Normal 3 19 3 3 2 2 5" xfId="33003" xr:uid="{00000000-0005-0000-0000-00000C790000}"/>
    <cellStyle name="Normal 3 19 3 3 2 3" xfId="5702" xr:uid="{00000000-0005-0000-0000-00000D790000}"/>
    <cellStyle name="Normal 3 19 3 3 2 3 2" xfId="9245" xr:uid="{00000000-0005-0000-0000-00000E790000}"/>
    <cellStyle name="Normal 3 19 3 3 2 3 2 2" xfId="16035" xr:uid="{00000000-0005-0000-0000-00000F790000}"/>
    <cellStyle name="Normal 3 19 3 3 2 3 2 2 2" xfId="29603" xr:uid="{00000000-0005-0000-0000-000010790000}"/>
    <cellStyle name="Normal 3 19 3 3 2 3 2 2 2 2" xfId="56736" xr:uid="{00000000-0005-0000-0000-000011790000}"/>
    <cellStyle name="Normal 3 19 3 3 2 3 2 2 3" xfId="43174" xr:uid="{00000000-0005-0000-0000-000012790000}"/>
    <cellStyle name="Normal 3 19 3 3 2 3 2 3" xfId="22822" xr:uid="{00000000-0005-0000-0000-000013790000}"/>
    <cellStyle name="Normal 3 19 3 3 2 3 2 3 2" xfId="49955" xr:uid="{00000000-0005-0000-0000-000014790000}"/>
    <cellStyle name="Normal 3 19 3 3 2 3 2 4" xfId="36393" xr:uid="{00000000-0005-0000-0000-000015790000}"/>
    <cellStyle name="Normal 3 19 3 3 2 3 3" xfId="12646" xr:uid="{00000000-0005-0000-0000-000016790000}"/>
    <cellStyle name="Normal 3 19 3 3 2 3 3 2" xfId="26214" xr:uid="{00000000-0005-0000-0000-000017790000}"/>
    <cellStyle name="Normal 3 19 3 3 2 3 3 2 2" xfId="53347" xr:uid="{00000000-0005-0000-0000-000018790000}"/>
    <cellStyle name="Normal 3 19 3 3 2 3 3 3" xfId="39785" xr:uid="{00000000-0005-0000-0000-000019790000}"/>
    <cellStyle name="Normal 3 19 3 3 2 3 4" xfId="19433" xr:uid="{00000000-0005-0000-0000-00001A790000}"/>
    <cellStyle name="Normal 3 19 3 3 2 3 4 2" xfId="46566" xr:uid="{00000000-0005-0000-0000-00001B790000}"/>
    <cellStyle name="Normal 3 19 3 3 2 3 5" xfId="33004" xr:uid="{00000000-0005-0000-0000-00001C790000}"/>
    <cellStyle name="Normal 3 19 3 3 2 4" xfId="9243" xr:uid="{00000000-0005-0000-0000-00001D790000}"/>
    <cellStyle name="Normal 3 19 3 3 2 4 2" xfId="16033" xr:uid="{00000000-0005-0000-0000-00001E790000}"/>
    <cellStyle name="Normal 3 19 3 3 2 4 2 2" xfId="29601" xr:uid="{00000000-0005-0000-0000-00001F790000}"/>
    <cellStyle name="Normal 3 19 3 3 2 4 2 2 2" xfId="56734" xr:uid="{00000000-0005-0000-0000-000020790000}"/>
    <cellStyle name="Normal 3 19 3 3 2 4 2 3" xfId="43172" xr:uid="{00000000-0005-0000-0000-000021790000}"/>
    <cellStyle name="Normal 3 19 3 3 2 4 3" xfId="22820" xr:uid="{00000000-0005-0000-0000-000022790000}"/>
    <cellStyle name="Normal 3 19 3 3 2 4 3 2" xfId="49953" xr:uid="{00000000-0005-0000-0000-000023790000}"/>
    <cellStyle name="Normal 3 19 3 3 2 4 4" xfId="36391" xr:uid="{00000000-0005-0000-0000-000024790000}"/>
    <cellStyle name="Normal 3 19 3 3 2 5" xfId="12644" xr:uid="{00000000-0005-0000-0000-000025790000}"/>
    <cellStyle name="Normal 3 19 3 3 2 5 2" xfId="26212" xr:uid="{00000000-0005-0000-0000-000026790000}"/>
    <cellStyle name="Normal 3 19 3 3 2 5 2 2" xfId="53345" xr:uid="{00000000-0005-0000-0000-000027790000}"/>
    <cellStyle name="Normal 3 19 3 3 2 5 3" xfId="39783" xr:uid="{00000000-0005-0000-0000-000028790000}"/>
    <cellStyle name="Normal 3 19 3 3 2 6" xfId="19431" xr:uid="{00000000-0005-0000-0000-000029790000}"/>
    <cellStyle name="Normal 3 19 3 3 2 6 2" xfId="46564" xr:uid="{00000000-0005-0000-0000-00002A790000}"/>
    <cellStyle name="Normal 3 19 3 3 2 7" xfId="33002" xr:uid="{00000000-0005-0000-0000-00002B790000}"/>
    <cellStyle name="Normal 3 19 3 3 3" xfId="5703" xr:uid="{00000000-0005-0000-0000-00002C790000}"/>
    <cellStyle name="Normal 3 19 3 3 3 2" xfId="5704" xr:uid="{00000000-0005-0000-0000-00002D790000}"/>
    <cellStyle name="Normal 3 19 3 3 3 2 2" xfId="9247" xr:uid="{00000000-0005-0000-0000-00002E790000}"/>
    <cellStyle name="Normal 3 19 3 3 3 2 2 2" xfId="16037" xr:uid="{00000000-0005-0000-0000-00002F790000}"/>
    <cellStyle name="Normal 3 19 3 3 3 2 2 2 2" xfId="29605" xr:uid="{00000000-0005-0000-0000-000030790000}"/>
    <cellStyle name="Normal 3 19 3 3 3 2 2 2 2 2" xfId="56738" xr:uid="{00000000-0005-0000-0000-000031790000}"/>
    <cellStyle name="Normal 3 19 3 3 3 2 2 2 3" xfId="43176" xr:uid="{00000000-0005-0000-0000-000032790000}"/>
    <cellStyle name="Normal 3 19 3 3 3 2 2 3" xfId="22824" xr:uid="{00000000-0005-0000-0000-000033790000}"/>
    <cellStyle name="Normal 3 19 3 3 3 2 2 3 2" xfId="49957" xr:uid="{00000000-0005-0000-0000-000034790000}"/>
    <cellStyle name="Normal 3 19 3 3 3 2 2 4" xfId="36395" xr:uid="{00000000-0005-0000-0000-000035790000}"/>
    <cellStyle name="Normal 3 19 3 3 3 2 3" xfId="12648" xr:uid="{00000000-0005-0000-0000-000036790000}"/>
    <cellStyle name="Normal 3 19 3 3 3 2 3 2" xfId="26216" xr:uid="{00000000-0005-0000-0000-000037790000}"/>
    <cellStyle name="Normal 3 19 3 3 3 2 3 2 2" xfId="53349" xr:uid="{00000000-0005-0000-0000-000038790000}"/>
    <cellStyle name="Normal 3 19 3 3 3 2 3 3" xfId="39787" xr:uid="{00000000-0005-0000-0000-000039790000}"/>
    <cellStyle name="Normal 3 19 3 3 3 2 4" xfId="19435" xr:uid="{00000000-0005-0000-0000-00003A790000}"/>
    <cellStyle name="Normal 3 19 3 3 3 2 4 2" xfId="46568" xr:uid="{00000000-0005-0000-0000-00003B790000}"/>
    <cellStyle name="Normal 3 19 3 3 3 2 5" xfId="33006" xr:uid="{00000000-0005-0000-0000-00003C790000}"/>
    <cellStyle name="Normal 3 19 3 3 3 3" xfId="9246" xr:uid="{00000000-0005-0000-0000-00003D790000}"/>
    <cellStyle name="Normal 3 19 3 3 3 3 2" xfId="16036" xr:uid="{00000000-0005-0000-0000-00003E790000}"/>
    <cellStyle name="Normal 3 19 3 3 3 3 2 2" xfId="29604" xr:uid="{00000000-0005-0000-0000-00003F790000}"/>
    <cellStyle name="Normal 3 19 3 3 3 3 2 2 2" xfId="56737" xr:uid="{00000000-0005-0000-0000-000040790000}"/>
    <cellStyle name="Normal 3 19 3 3 3 3 2 3" xfId="43175" xr:uid="{00000000-0005-0000-0000-000041790000}"/>
    <cellStyle name="Normal 3 19 3 3 3 3 3" xfId="22823" xr:uid="{00000000-0005-0000-0000-000042790000}"/>
    <cellStyle name="Normal 3 19 3 3 3 3 3 2" xfId="49956" xr:uid="{00000000-0005-0000-0000-000043790000}"/>
    <cellStyle name="Normal 3 19 3 3 3 3 4" xfId="36394" xr:uid="{00000000-0005-0000-0000-000044790000}"/>
    <cellStyle name="Normal 3 19 3 3 3 4" xfId="12647" xr:uid="{00000000-0005-0000-0000-000045790000}"/>
    <cellStyle name="Normal 3 19 3 3 3 4 2" xfId="26215" xr:uid="{00000000-0005-0000-0000-000046790000}"/>
    <cellStyle name="Normal 3 19 3 3 3 4 2 2" xfId="53348" xr:uid="{00000000-0005-0000-0000-000047790000}"/>
    <cellStyle name="Normal 3 19 3 3 3 4 3" xfId="39786" xr:uid="{00000000-0005-0000-0000-000048790000}"/>
    <cellStyle name="Normal 3 19 3 3 3 5" xfId="19434" xr:uid="{00000000-0005-0000-0000-000049790000}"/>
    <cellStyle name="Normal 3 19 3 3 3 5 2" xfId="46567" xr:uid="{00000000-0005-0000-0000-00004A790000}"/>
    <cellStyle name="Normal 3 19 3 3 3 6" xfId="33005" xr:uid="{00000000-0005-0000-0000-00004B790000}"/>
    <cellStyle name="Normal 3 19 3 3 4" xfId="5705" xr:uid="{00000000-0005-0000-0000-00004C790000}"/>
    <cellStyle name="Normal 3 19 3 3 4 2" xfId="9248" xr:uid="{00000000-0005-0000-0000-00004D790000}"/>
    <cellStyle name="Normal 3 19 3 3 4 2 2" xfId="16038" xr:uid="{00000000-0005-0000-0000-00004E790000}"/>
    <cellStyle name="Normal 3 19 3 3 4 2 2 2" xfId="29606" xr:uid="{00000000-0005-0000-0000-00004F790000}"/>
    <cellStyle name="Normal 3 19 3 3 4 2 2 2 2" xfId="56739" xr:uid="{00000000-0005-0000-0000-000050790000}"/>
    <cellStyle name="Normal 3 19 3 3 4 2 2 3" xfId="43177" xr:uid="{00000000-0005-0000-0000-000051790000}"/>
    <cellStyle name="Normal 3 19 3 3 4 2 3" xfId="22825" xr:uid="{00000000-0005-0000-0000-000052790000}"/>
    <cellStyle name="Normal 3 19 3 3 4 2 3 2" xfId="49958" xr:uid="{00000000-0005-0000-0000-000053790000}"/>
    <cellStyle name="Normal 3 19 3 3 4 2 4" xfId="36396" xr:uid="{00000000-0005-0000-0000-000054790000}"/>
    <cellStyle name="Normal 3 19 3 3 4 3" xfId="12649" xr:uid="{00000000-0005-0000-0000-000055790000}"/>
    <cellStyle name="Normal 3 19 3 3 4 3 2" xfId="26217" xr:uid="{00000000-0005-0000-0000-000056790000}"/>
    <cellStyle name="Normal 3 19 3 3 4 3 2 2" xfId="53350" xr:uid="{00000000-0005-0000-0000-000057790000}"/>
    <cellStyle name="Normal 3 19 3 3 4 3 3" xfId="39788" xr:uid="{00000000-0005-0000-0000-000058790000}"/>
    <cellStyle name="Normal 3 19 3 3 4 4" xfId="19436" xr:uid="{00000000-0005-0000-0000-000059790000}"/>
    <cellStyle name="Normal 3 19 3 3 4 4 2" xfId="46569" xr:uid="{00000000-0005-0000-0000-00005A790000}"/>
    <cellStyle name="Normal 3 19 3 3 4 5" xfId="33007" xr:uid="{00000000-0005-0000-0000-00005B790000}"/>
    <cellStyle name="Normal 3 19 3 3 5" xfId="5706" xr:uid="{00000000-0005-0000-0000-00005C790000}"/>
    <cellStyle name="Normal 3 19 3 3 5 2" xfId="9249" xr:uid="{00000000-0005-0000-0000-00005D790000}"/>
    <cellStyle name="Normal 3 19 3 3 5 2 2" xfId="16039" xr:uid="{00000000-0005-0000-0000-00005E790000}"/>
    <cellStyle name="Normal 3 19 3 3 5 2 2 2" xfId="29607" xr:uid="{00000000-0005-0000-0000-00005F790000}"/>
    <cellStyle name="Normal 3 19 3 3 5 2 2 2 2" xfId="56740" xr:uid="{00000000-0005-0000-0000-000060790000}"/>
    <cellStyle name="Normal 3 19 3 3 5 2 2 3" xfId="43178" xr:uid="{00000000-0005-0000-0000-000061790000}"/>
    <cellStyle name="Normal 3 19 3 3 5 2 3" xfId="22826" xr:uid="{00000000-0005-0000-0000-000062790000}"/>
    <cellStyle name="Normal 3 19 3 3 5 2 3 2" xfId="49959" xr:uid="{00000000-0005-0000-0000-000063790000}"/>
    <cellStyle name="Normal 3 19 3 3 5 2 4" xfId="36397" xr:uid="{00000000-0005-0000-0000-000064790000}"/>
    <cellStyle name="Normal 3 19 3 3 5 3" xfId="12650" xr:uid="{00000000-0005-0000-0000-000065790000}"/>
    <cellStyle name="Normal 3 19 3 3 5 3 2" xfId="26218" xr:uid="{00000000-0005-0000-0000-000066790000}"/>
    <cellStyle name="Normal 3 19 3 3 5 3 2 2" xfId="53351" xr:uid="{00000000-0005-0000-0000-000067790000}"/>
    <cellStyle name="Normal 3 19 3 3 5 3 3" xfId="39789" xr:uid="{00000000-0005-0000-0000-000068790000}"/>
    <cellStyle name="Normal 3 19 3 3 5 4" xfId="19437" xr:uid="{00000000-0005-0000-0000-000069790000}"/>
    <cellStyle name="Normal 3 19 3 3 5 4 2" xfId="46570" xr:uid="{00000000-0005-0000-0000-00006A790000}"/>
    <cellStyle name="Normal 3 19 3 3 5 5" xfId="33008" xr:uid="{00000000-0005-0000-0000-00006B790000}"/>
    <cellStyle name="Normal 3 19 3 3 6" xfId="9242" xr:uid="{00000000-0005-0000-0000-00006C790000}"/>
    <cellStyle name="Normal 3 19 3 3 6 2" xfId="16032" xr:uid="{00000000-0005-0000-0000-00006D790000}"/>
    <cellStyle name="Normal 3 19 3 3 6 2 2" xfId="29600" xr:uid="{00000000-0005-0000-0000-00006E790000}"/>
    <cellStyle name="Normal 3 19 3 3 6 2 2 2" xfId="56733" xr:uid="{00000000-0005-0000-0000-00006F790000}"/>
    <cellStyle name="Normal 3 19 3 3 6 2 3" xfId="43171" xr:uid="{00000000-0005-0000-0000-000070790000}"/>
    <cellStyle name="Normal 3 19 3 3 6 3" xfId="22819" xr:uid="{00000000-0005-0000-0000-000071790000}"/>
    <cellStyle name="Normal 3 19 3 3 6 3 2" xfId="49952" xr:uid="{00000000-0005-0000-0000-000072790000}"/>
    <cellStyle name="Normal 3 19 3 3 6 4" xfId="36390" xr:uid="{00000000-0005-0000-0000-000073790000}"/>
    <cellStyle name="Normal 3 19 3 3 7" xfId="12643" xr:uid="{00000000-0005-0000-0000-000074790000}"/>
    <cellStyle name="Normal 3 19 3 3 7 2" xfId="26211" xr:uid="{00000000-0005-0000-0000-000075790000}"/>
    <cellStyle name="Normal 3 19 3 3 7 2 2" xfId="53344" xr:uid="{00000000-0005-0000-0000-000076790000}"/>
    <cellStyle name="Normal 3 19 3 3 7 3" xfId="39782" xr:uid="{00000000-0005-0000-0000-000077790000}"/>
    <cellStyle name="Normal 3 19 3 3 8" xfId="19430" xr:uid="{00000000-0005-0000-0000-000078790000}"/>
    <cellStyle name="Normal 3 19 3 3 8 2" xfId="46563" xr:uid="{00000000-0005-0000-0000-000079790000}"/>
    <cellStyle name="Normal 3 19 3 3 9" xfId="33001" xr:uid="{00000000-0005-0000-0000-00007A790000}"/>
    <cellStyle name="Normal 3 19 3 4" xfId="5707" xr:uid="{00000000-0005-0000-0000-00007B790000}"/>
    <cellStyle name="Normal 3 19 3 4 2" xfId="5708" xr:uid="{00000000-0005-0000-0000-00007C790000}"/>
    <cellStyle name="Normal 3 19 3 4 2 2" xfId="5709" xr:uid="{00000000-0005-0000-0000-00007D790000}"/>
    <cellStyle name="Normal 3 19 3 4 2 2 2" xfId="9252" xr:uid="{00000000-0005-0000-0000-00007E790000}"/>
    <cellStyle name="Normal 3 19 3 4 2 2 2 2" xfId="16042" xr:uid="{00000000-0005-0000-0000-00007F790000}"/>
    <cellStyle name="Normal 3 19 3 4 2 2 2 2 2" xfId="29610" xr:uid="{00000000-0005-0000-0000-000080790000}"/>
    <cellStyle name="Normal 3 19 3 4 2 2 2 2 2 2" xfId="56743" xr:uid="{00000000-0005-0000-0000-000081790000}"/>
    <cellStyle name="Normal 3 19 3 4 2 2 2 2 3" xfId="43181" xr:uid="{00000000-0005-0000-0000-000082790000}"/>
    <cellStyle name="Normal 3 19 3 4 2 2 2 3" xfId="22829" xr:uid="{00000000-0005-0000-0000-000083790000}"/>
    <cellStyle name="Normal 3 19 3 4 2 2 2 3 2" xfId="49962" xr:uid="{00000000-0005-0000-0000-000084790000}"/>
    <cellStyle name="Normal 3 19 3 4 2 2 2 4" xfId="36400" xr:uid="{00000000-0005-0000-0000-000085790000}"/>
    <cellStyle name="Normal 3 19 3 4 2 2 3" xfId="12653" xr:uid="{00000000-0005-0000-0000-000086790000}"/>
    <cellStyle name="Normal 3 19 3 4 2 2 3 2" xfId="26221" xr:uid="{00000000-0005-0000-0000-000087790000}"/>
    <cellStyle name="Normal 3 19 3 4 2 2 3 2 2" xfId="53354" xr:uid="{00000000-0005-0000-0000-000088790000}"/>
    <cellStyle name="Normal 3 19 3 4 2 2 3 3" xfId="39792" xr:uid="{00000000-0005-0000-0000-000089790000}"/>
    <cellStyle name="Normal 3 19 3 4 2 2 4" xfId="19440" xr:uid="{00000000-0005-0000-0000-00008A790000}"/>
    <cellStyle name="Normal 3 19 3 4 2 2 4 2" xfId="46573" xr:uid="{00000000-0005-0000-0000-00008B790000}"/>
    <cellStyle name="Normal 3 19 3 4 2 2 5" xfId="33011" xr:uid="{00000000-0005-0000-0000-00008C790000}"/>
    <cellStyle name="Normal 3 19 3 4 2 3" xfId="5710" xr:uid="{00000000-0005-0000-0000-00008D790000}"/>
    <cellStyle name="Normal 3 19 3 4 2 3 2" xfId="9253" xr:uid="{00000000-0005-0000-0000-00008E790000}"/>
    <cellStyle name="Normal 3 19 3 4 2 3 2 2" xfId="16043" xr:uid="{00000000-0005-0000-0000-00008F790000}"/>
    <cellStyle name="Normal 3 19 3 4 2 3 2 2 2" xfId="29611" xr:uid="{00000000-0005-0000-0000-000090790000}"/>
    <cellStyle name="Normal 3 19 3 4 2 3 2 2 2 2" xfId="56744" xr:uid="{00000000-0005-0000-0000-000091790000}"/>
    <cellStyle name="Normal 3 19 3 4 2 3 2 2 3" xfId="43182" xr:uid="{00000000-0005-0000-0000-000092790000}"/>
    <cellStyle name="Normal 3 19 3 4 2 3 2 3" xfId="22830" xr:uid="{00000000-0005-0000-0000-000093790000}"/>
    <cellStyle name="Normal 3 19 3 4 2 3 2 3 2" xfId="49963" xr:uid="{00000000-0005-0000-0000-000094790000}"/>
    <cellStyle name="Normal 3 19 3 4 2 3 2 4" xfId="36401" xr:uid="{00000000-0005-0000-0000-000095790000}"/>
    <cellStyle name="Normal 3 19 3 4 2 3 3" xfId="12654" xr:uid="{00000000-0005-0000-0000-000096790000}"/>
    <cellStyle name="Normal 3 19 3 4 2 3 3 2" xfId="26222" xr:uid="{00000000-0005-0000-0000-000097790000}"/>
    <cellStyle name="Normal 3 19 3 4 2 3 3 2 2" xfId="53355" xr:uid="{00000000-0005-0000-0000-000098790000}"/>
    <cellStyle name="Normal 3 19 3 4 2 3 3 3" xfId="39793" xr:uid="{00000000-0005-0000-0000-000099790000}"/>
    <cellStyle name="Normal 3 19 3 4 2 3 4" xfId="19441" xr:uid="{00000000-0005-0000-0000-00009A790000}"/>
    <cellStyle name="Normal 3 19 3 4 2 3 4 2" xfId="46574" xr:uid="{00000000-0005-0000-0000-00009B790000}"/>
    <cellStyle name="Normal 3 19 3 4 2 3 5" xfId="33012" xr:uid="{00000000-0005-0000-0000-00009C790000}"/>
    <cellStyle name="Normal 3 19 3 4 2 4" xfId="9251" xr:uid="{00000000-0005-0000-0000-00009D790000}"/>
    <cellStyle name="Normal 3 19 3 4 2 4 2" xfId="16041" xr:uid="{00000000-0005-0000-0000-00009E790000}"/>
    <cellStyle name="Normal 3 19 3 4 2 4 2 2" xfId="29609" xr:uid="{00000000-0005-0000-0000-00009F790000}"/>
    <cellStyle name="Normal 3 19 3 4 2 4 2 2 2" xfId="56742" xr:uid="{00000000-0005-0000-0000-0000A0790000}"/>
    <cellStyle name="Normal 3 19 3 4 2 4 2 3" xfId="43180" xr:uid="{00000000-0005-0000-0000-0000A1790000}"/>
    <cellStyle name="Normal 3 19 3 4 2 4 3" xfId="22828" xr:uid="{00000000-0005-0000-0000-0000A2790000}"/>
    <cellStyle name="Normal 3 19 3 4 2 4 3 2" xfId="49961" xr:uid="{00000000-0005-0000-0000-0000A3790000}"/>
    <cellStyle name="Normal 3 19 3 4 2 4 4" xfId="36399" xr:uid="{00000000-0005-0000-0000-0000A4790000}"/>
    <cellStyle name="Normal 3 19 3 4 2 5" xfId="12652" xr:uid="{00000000-0005-0000-0000-0000A5790000}"/>
    <cellStyle name="Normal 3 19 3 4 2 5 2" xfId="26220" xr:uid="{00000000-0005-0000-0000-0000A6790000}"/>
    <cellStyle name="Normal 3 19 3 4 2 5 2 2" xfId="53353" xr:uid="{00000000-0005-0000-0000-0000A7790000}"/>
    <cellStyle name="Normal 3 19 3 4 2 5 3" xfId="39791" xr:uid="{00000000-0005-0000-0000-0000A8790000}"/>
    <cellStyle name="Normal 3 19 3 4 2 6" xfId="19439" xr:uid="{00000000-0005-0000-0000-0000A9790000}"/>
    <cellStyle name="Normal 3 19 3 4 2 6 2" xfId="46572" xr:uid="{00000000-0005-0000-0000-0000AA790000}"/>
    <cellStyle name="Normal 3 19 3 4 2 7" xfId="33010" xr:uid="{00000000-0005-0000-0000-0000AB790000}"/>
    <cellStyle name="Normal 3 19 3 4 3" xfId="5711" xr:uid="{00000000-0005-0000-0000-0000AC790000}"/>
    <cellStyle name="Normal 3 19 3 4 3 2" xfId="9254" xr:uid="{00000000-0005-0000-0000-0000AD790000}"/>
    <cellStyle name="Normal 3 19 3 4 3 2 2" xfId="16044" xr:uid="{00000000-0005-0000-0000-0000AE790000}"/>
    <cellStyle name="Normal 3 19 3 4 3 2 2 2" xfId="29612" xr:uid="{00000000-0005-0000-0000-0000AF790000}"/>
    <cellStyle name="Normal 3 19 3 4 3 2 2 2 2" xfId="56745" xr:uid="{00000000-0005-0000-0000-0000B0790000}"/>
    <cellStyle name="Normal 3 19 3 4 3 2 2 3" xfId="43183" xr:uid="{00000000-0005-0000-0000-0000B1790000}"/>
    <cellStyle name="Normal 3 19 3 4 3 2 3" xfId="22831" xr:uid="{00000000-0005-0000-0000-0000B2790000}"/>
    <cellStyle name="Normal 3 19 3 4 3 2 3 2" xfId="49964" xr:uid="{00000000-0005-0000-0000-0000B3790000}"/>
    <cellStyle name="Normal 3 19 3 4 3 2 4" xfId="36402" xr:uid="{00000000-0005-0000-0000-0000B4790000}"/>
    <cellStyle name="Normal 3 19 3 4 3 3" xfId="12655" xr:uid="{00000000-0005-0000-0000-0000B5790000}"/>
    <cellStyle name="Normal 3 19 3 4 3 3 2" xfId="26223" xr:uid="{00000000-0005-0000-0000-0000B6790000}"/>
    <cellStyle name="Normal 3 19 3 4 3 3 2 2" xfId="53356" xr:uid="{00000000-0005-0000-0000-0000B7790000}"/>
    <cellStyle name="Normal 3 19 3 4 3 3 3" xfId="39794" xr:uid="{00000000-0005-0000-0000-0000B8790000}"/>
    <cellStyle name="Normal 3 19 3 4 3 4" xfId="19442" xr:uid="{00000000-0005-0000-0000-0000B9790000}"/>
    <cellStyle name="Normal 3 19 3 4 3 4 2" xfId="46575" xr:uid="{00000000-0005-0000-0000-0000BA790000}"/>
    <cellStyle name="Normal 3 19 3 4 3 5" xfId="33013" xr:uid="{00000000-0005-0000-0000-0000BB790000}"/>
    <cellStyle name="Normal 3 19 3 4 4" xfId="5712" xr:uid="{00000000-0005-0000-0000-0000BC790000}"/>
    <cellStyle name="Normal 3 19 3 4 4 2" xfId="9255" xr:uid="{00000000-0005-0000-0000-0000BD790000}"/>
    <cellStyle name="Normal 3 19 3 4 4 2 2" xfId="16045" xr:uid="{00000000-0005-0000-0000-0000BE790000}"/>
    <cellStyle name="Normal 3 19 3 4 4 2 2 2" xfId="29613" xr:uid="{00000000-0005-0000-0000-0000BF790000}"/>
    <cellStyle name="Normal 3 19 3 4 4 2 2 2 2" xfId="56746" xr:uid="{00000000-0005-0000-0000-0000C0790000}"/>
    <cellStyle name="Normal 3 19 3 4 4 2 2 3" xfId="43184" xr:uid="{00000000-0005-0000-0000-0000C1790000}"/>
    <cellStyle name="Normal 3 19 3 4 4 2 3" xfId="22832" xr:uid="{00000000-0005-0000-0000-0000C2790000}"/>
    <cellStyle name="Normal 3 19 3 4 4 2 3 2" xfId="49965" xr:uid="{00000000-0005-0000-0000-0000C3790000}"/>
    <cellStyle name="Normal 3 19 3 4 4 2 4" xfId="36403" xr:uid="{00000000-0005-0000-0000-0000C4790000}"/>
    <cellStyle name="Normal 3 19 3 4 4 3" xfId="12656" xr:uid="{00000000-0005-0000-0000-0000C5790000}"/>
    <cellStyle name="Normal 3 19 3 4 4 3 2" xfId="26224" xr:uid="{00000000-0005-0000-0000-0000C6790000}"/>
    <cellStyle name="Normal 3 19 3 4 4 3 2 2" xfId="53357" xr:uid="{00000000-0005-0000-0000-0000C7790000}"/>
    <cellStyle name="Normal 3 19 3 4 4 3 3" xfId="39795" xr:uid="{00000000-0005-0000-0000-0000C8790000}"/>
    <cellStyle name="Normal 3 19 3 4 4 4" xfId="19443" xr:uid="{00000000-0005-0000-0000-0000C9790000}"/>
    <cellStyle name="Normal 3 19 3 4 4 4 2" xfId="46576" xr:uid="{00000000-0005-0000-0000-0000CA790000}"/>
    <cellStyle name="Normal 3 19 3 4 4 5" xfId="33014" xr:uid="{00000000-0005-0000-0000-0000CB790000}"/>
    <cellStyle name="Normal 3 19 3 4 5" xfId="9250" xr:uid="{00000000-0005-0000-0000-0000CC790000}"/>
    <cellStyle name="Normal 3 19 3 4 5 2" xfId="16040" xr:uid="{00000000-0005-0000-0000-0000CD790000}"/>
    <cellStyle name="Normal 3 19 3 4 5 2 2" xfId="29608" xr:uid="{00000000-0005-0000-0000-0000CE790000}"/>
    <cellStyle name="Normal 3 19 3 4 5 2 2 2" xfId="56741" xr:uid="{00000000-0005-0000-0000-0000CF790000}"/>
    <cellStyle name="Normal 3 19 3 4 5 2 3" xfId="43179" xr:uid="{00000000-0005-0000-0000-0000D0790000}"/>
    <cellStyle name="Normal 3 19 3 4 5 3" xfId="22827" xr:uid="{00000000-0005-0000-0000-0000D1790000}"/>
    <cellStyle name="Normal 3 19 3 4 5 3 2" xfId="49960" xr:uid="{00000000-0005-0000-0000-0000D2790000}"/>
    <cellStyle name="Normal 3 19 3 4 5 4" xfId="36398" xr:uid="{00000000-0005-0000-0000-0000D3790000}"/>
    <cellStyle name="Normal 3 19 3 4 6" xfId="12651" xr:uid="{00000000-0005-0000-0000-0000D4790000}"/>
    <cellStyle name="Normal 3 19 3 4 6 2" xfId="26219" xr:uid="{00000000-0005-0000-0000-0000D5790000}"/>
    <cellStyle name="Normal 3 19 3 4 6 2 2" xfId="53352" xr:uid="{00000000-0005-0000-0000-0000D6790000}"/>
    <cellStyle name="Normal 3 19 3 4 6 3" xfId="39790" xr:uid="{00000000-0005-0000-0000-0000D7790000}"/>
    <cellStyle name="Normal 3 19 3 4 7" xfId="19438" xr:uid="{00000000-0005-0000-0000-0000D8790000}"/>
    <cellStyle name="Normal 3 19 3 4 7 2" xfId="46571" xr:uid="{00000000-0005-0000-0000-0000D9790000}"/>
    <cellStyle name="Normal 3 19 3 4 8" xfId="33009" xr:uid="{00000000-0005-0000-0000-0000DA790000}"/>
    <cellStyle name="Normal 3 19 3 5" xfId="5713" xr:uid="{00000000-0005-0000-0000-0000DB790000}"/>
    <cellStyle name="Normal 3 19 3 5 2" xfId="5714" xr:uid="{00000000-0005-0000-0000-0000DC790000}"/>
    <cellStyle name="Normal 3 19 3 5 2 2" xfId="5715" xr:uid="{00000000-0005-0000-0000-0000DD790000}"/>
    <cellStyle name="Normal 3 19 3 5 2 2 2" xfId="9258" xr:uid="{00000000-0005-0000-0000-0000DE790000}"/>
    <cellStyle name="Normal 3 19 3 5 2 2 2 2" xfId="16048" xr:uid="{00000000-0005-0000-0000-0000DF790000}"/>
    <cellStyle name="Normal 3 19 3 5 2 2 2 2 2" xfId="29616" xr:uid="{00000000-0005-0000-0000-0000E0790000}"/>
    <cellStyle name="Normal 3 19 3 5 2 2 2 2 2 2" xfId="56749" xr:uid="{00000000-0005-0000-0000-0000E1790000}"/>
    <cellStyle name="Normal 3 19 3 5 2 2 2 2 3" xfId="43187" xr:uid="{00000000-0005-0000-0000-0000E2790000}"/>
    <cellStyle name="Normal 3 19 3 5 2 2 2 3" xfId="22835" xr:uid="{00000000-0005-0000-0000-0000E3790000}"/>
    <cellStyle name="Normal 3 19 3 5 2 2 2 3 2" xfId="49968" xr:uid="{00000000-0005-0000-0000-0000E4790000}"/>
    <cellStyle name="Normal 3 19 3 5 2 2 2 4" xfId="36406" xr:uid="{00000000-0005-0000-0000-0000E5790000}"/>
    <cellStyle name="Normal 3 19 3 5 2 2 3" xfId="12659" xr:uid="{00000000-0005-0000-0000-0000E6790000}"/>
    <cellStyle name="Normal 3 19 3 5 2 2 3 2" xfId="26227" xr:uid="{00000000-0005-0000-0000-0000E7790000}"/>
    <cellStyle name="Normal 3 19 3 5 2 2 3 2 2" xfId="53360" xr:uid="{00000000-0005-0000-0000-0000E8790000}"/>
    <cellStyle name="Normal 3 19 3 5 2 2 3 3" xfId="39798" xr:uid="{00000000-0005-0000-0000-0000E9790000}"/>
    <cellStyle name="Normal 3 19 3 5 2 2 4" xfId="19446" xr:uid="{00000000-0005-0000-0000-0000EA790000}"/>
    <cellStyle name="Normal 3 19 3 5 2 2 4 2" xfId="46579" xr:uid="{00000000-0005-0000-0000-0000EB790000}"/>
    <cellStyle name="Normal 3 19 3 5 2 2 5" xfId="33017" xr:uid="{00000000-0005-0000-0000-0000EC790000}"/>
    <cellStyle name="Normal 3 19 3 5 2 3" xfId="5716" xr:uid="{00000000-0005-0000-0000-0000ED790000}"/>
    <cellStyle name="Normal 3 19 3 5 2 3 2" xfId="9259" xr:uid="{00000000-0005-0000-0000-0000EE790000}"/>
    <cellStyle name="Normal 3 19 3 5 2 3 2 2" xfId="16049" xr:uid="{00000000-0005-0000-0000-0000EF790000}"/>
    <cellStyle name="Normal 3 19 3 5 2 3 2 2 2" xfId="29617" xr:uid="{00000000-0005-0000-0000-0000F0790000}"/>
    <cellStyle name="Normal 3 19 3 5 2 3 2 2 2 2" xfId="56750" xr:uid="{00000000-0005-0000-0000-0000F1790000}"/>
    <cellStyle name="Normal 3 19 3 5 2 3 2 2 3" xfId="43188" xr:uid="{00000000-0005-0000-0000-0000F2790000}"/>
    <cellStyle name="Normal 3 19 3 5 2 3 2 3" xfId="22836" xr:uid="{00000000-0005-0000-0000-0000F3790000}"/>
    <cellStyle name="Normal 3 19 3 5 2 3 2 3 2" xfId="49969" xr:uid="{00000000-0005-0000-0000-0000F4790000}"/>
    <cellStyle name="Normal 3 19 3 5 2 3 2 4" xfId="36407" xr:uid="{00000000-0005-0000-0000-0000F5790000}"/>
    <cellStyle name="Normal 3 19 3 5 2 3 3" xfId="12660" xr:uid="{00000000-0005-0000-0000-0000F6790000}"/>
    <cellStyle name="Normal 3 19 3 5 2 3 3 2" xfId="26228" xr:uid="{00000000-0005-0000-0000-0000F7790000}"/>
    <cellStyle name="Normal 3 19 3 5 2 3 3 2 2" xfId="53361" xr:uid="{00000000-0005-0000-0000-0000F8790000}"/>
    <cellStyle name="Normal 3 19 3 5 2 3 3 3" xfId="39799" xr:uid="{00000000-0005-0000-0000-0000F9790000}"/>
    <cellStyle name="Normal 3 19 3 5 2 3 4" xfId="19447" xr:uid="{00000000-0005-0000-0000-0000FA790000}"/>
    <cellStyle name="Normal 3 19 3 5 2 3 4 2" xfId="46580" xr:uid="{00000000-0005-0000-0000-0000FB790000}"/>
    <cellStyle name="Normal 3 19 3 5 2 3 5" xfId="33018" xr:uid="{00000000-0005-0000-0000-0000FC790000}"/>
    <cellStyle name="Normal 3 19 3 5 2 4" xfId="9257" xr:uid="{00000000-0005-0000-0000-0000FD790000}"/>
    <cellStyle name="Normal 3 19 3 5 2 4 2" xfId="16047" xr:uid="{00000000-0005-0000-0000-0000FE790000}"/>
    <cellStyle name="Normal 3 19 3 5 2 4 2 2" xfId="29615" xr:uid="{00000000-0005-0000-0000-0000FF790000}"/>
    <cellStyle name="Normal 3 19 3 5 2 4 2 2 2" xfId="56748" xr:uid="{00000000-0005-0000-0000-0000007A0000}"/>
    <cellStyle name="Normal 3 19 3 5 2 4 2 3" xfId="43186" xr:uid="{00000000-0005-0000-0000-0000017A0000}"/>
    <cellStyle name="Normal 3 19 3 5 2 4 3" xfId="22834" xr:uid="{00000000-0005-0000-0000-0000027A0000}"/>
    <cellStyle name="Normal 3 19 3 5 2 4 3 2" xfId="49967" xr:uid="{00000000-0005-0000-0000-0000037A0000}"/>
    <cellStyle name="Normal 3 19 3 5 2 4 4" xfId="36405" xr:uid="{00000000-0005-0000-0000-0000047A0000}"/>
    <cellStyle name="Normal 3 19 3 5 2 5" xfId="12658" xr:uid="{00000000-0005-0000-0000-0000057A0000}"/>
    <cellStyle name="Normal 3 19 3 5 2 5 2" xfId="26226" xr:uid="{00000000-0005-0000-0000-0000067A0000}"/>
    <cellStyle name="Normal 3 19 3 5 2 5 2 2" xfId="53359" xr:uid="{00000000-0005-0000-0000-0000077A0000}"/>
    <cellStyle name="Normal 3 19 3 5 2 5 3" xfId="39797" xr:uid="{00000000-0005-0000-0000-0000087A0000}"/>
    <cellStyle name="Normal 3 19 3 5 2 6" xfId="19445" xr:uid="{00000000-0005-0000-0000-0000097A0000}"/>
    <cellStyle name="Normal 3 19 3 5 2 6 2" xfId="46578" xr:uid="{00000000-0005-0000-0000-00000A7A0000}"/>
    <cellStyle name="Normal 3 19 3 5 2 7" xfId="33016" xr:uid="{00000000-0005-0000-0000-00000B7A0000}"/>
    <cellStyle name="Normal 3 19 3 5 3" xfId="5717" xr:uid="{00000000-0005-0000-0000-00000C7A0000}"/>
    <cellStyle name="Normal 3 19 3 5 3 2" xfId="9260" xr:uid="{00000000-0005-0000-0000-00000D7A0000}"/>
    <cellStyle name="Normal 3 19 3 5 3 2 2" xfId="16050" xr:uid="{00000000-0005-0000-0000-00000E7A0000}"/>
    <cellStyle name="Normal 3 19 3 5 3 2 2 2" xfId="29618" xr:uid="{00000000-0005-0000-0000-00000F7A0000}"/>
    <cellStyle name="Normal 3 19 3 5 3 2 2 2 2" xfId="56751" xr:uid="{00000000-0005-0000-0000-0000107A0000}"/>
    <cellStyle name="Normal 3 19 3 5 3 2 2 3" xfId="43189" xr:uid="{00000000-0005-0000-0000-0000117A0000}"/>
    <cellStyle name="Normal 3 19 3 5 3 2 3" xfId="22837" xr:uid="{00000000-0005-0000-0000-0000127A0000}"/>
    <cellStyle name="Normal 3 19 3 5 3 2 3 2" xfId="49970" xr:uid="{00000000-0005-0000-0000-0000137A0000}"/>
    <cellStyle name="Normal 3 19 3 5 3 2 4" xfId="36408" xr:uid="{00000000-0005-0000-0000-0000147A0000}"/>
    <cellStyle name="Normal 3 19 3 5 3 3" xfId="12661" xr:uid="{00000000-0005-0000-0000-0000157A0000}"/>
    <cellStyle name="Normal 3 19 3 5 3 3 2" xfId="26229" xr:uid="{00000000-0005-0000-0000-0000167A0000}"/>
    <cellStyle name="Normal 3 19 3 5 3 3 2 2" xfId="53362" xr:uid="{00000000-0005-0000-0000-0000177A0000}"/>
    <cellStyle name="Normal 3 19 3 5 3 3 3" xfId="39800" xr:uid="{00000000-0005-0000-0000-0000187A0000}"/>
    <cellStyle name="Normal 3 19 3 5 3 4" xfId="19448" xr:uid="{00000000-0005-0000-0000-0000197A0000}"/>
    <cellStyle name="Normal 3 19 3 5 3 4 2" xfId="46581" xr:uid="{00000000-0005-0000-0000-00001A7A0000}"/>
    <cellStyle name="Normal 3 19 3 5 3 5" xfId="33019" xr:uid="{00000000-0005-0000-0000-00001B7A0000}"/>
    <cellStyle name="Normal 3 19 3 5 4" xfId="5718" xr:uid="{00000000-0005-0000-0000-00001C7A0000}"/>
    <cellStyle name="Normal 3 19 3 5 4 2" xfId="9261" xr:uid="{00000000-0005-0000-0000-00001D7A0000}"/>
    <cellStyle name="Normal 3 19 3 5 4 2 2" xfId="16051" xr:uid="{00000000-0005-0000-0000-00001E7A0000}"/>
    <cellStyle name="Normal 3 19 3 5 4 2 2 2" xfId="29619" xr:uid="{00000000-0005-0000-0000-00001F7A0000}"/>
    <cellStyle name="Normal 3 19 3 5 4 2 2 2 2" xfId="56752" xr:uid="{00000000-0005-0000-0000-0000207A0000}"/>
    <cellStyle name="Normal 3 19 3 5 4 2 2 3" xfId="43190" xr:uid="{00000000-0005-0000-0000-0000217A0000}"/>
    <cellStyle name="Normal 3 19 3 5 4 2 3" xfId="22838" xr:uid="{00000000-0005-0000-0000-0000227A0000}"/>
    <cellStyle name="Normal 3 19 3 5 4 2 3 2" xfId="49971" xr:uid="{00000000-0005-0000-0000-0000237A0000}"/>
    <cellStyle name="Normal 3 19 3 5 4 2 4" xfId="36409" xr:uid="{00000000-0005-0000-0000-0000247A0000}"/>
    <cellStyle name="Normal 3 19 3 5 4 3" xfId="12662" xr:uid="{00000000-0005-0000-0000-0000257A0000}"/>
    <cellStyle name="Normal 3 19 3 5 4 3 2" xfId="26230" xr:uid="{00000000-0005-0000-0000-0000267A0000}"/>
    <cellStyle name="Normal 3 19 3 5 4 3 2 2" xfId="53363" xr:uid="{00000000-0005-0000-0000-0000277A0000}"/>
    <cellStyle name="Normal 3 19 3 5 4 3 3" xfId="39801" xr:uid="{00000000-0005-0000-0000-0000287A0000}"/>
    <cellStyle name="Normal 3 19 3 5 4 4" xfId="19449" xr:uid="{00000000-0005-0000-0000-0000297A0000}"/>
    <cellStyle name="Normal 3 19 3 5 4 4 2" xfId="46582" xr:uid="{00000000-0005-0000-0000-00002A7A0000}"/>
    <cellStyle name="Normal 3 19 3 5 4 5" xfId="33020" xr:uid="{00000000-0005-0000-0000-00002B7A0000}"/>
    <cellStyle name="Normal 3 19 3 5 5" xfId="9256" xr:uid="{00000000-0005-0000-0000-00002C7A0000}"/>
    <cellStyle name="Normal 3 19 3 5 5 2" xfId="16046" xr:uid="{00000000-0005-0000-0000-00002D7A0000}"/>
    <cellStyle name="Normal 3 19 3 5 5 2 2" xfId="29614" xr:uid="{00000000-0005-0000-0000-00002E7A0000}"/>
    <cellStyle name="Normal 3 19 3 5 5 2 2 2" xfId="56747" xr:uid="{00000000-0005-0000-0000-00002F7A0000}"/>
    <cellStyle name="Normal 3 19 3 5 5 2 3" xfId="43185" xr:uid="{00000000-0005-0000-0000-0000307A0000}"/>
    <cellStyle name="Normal 3 19 3 5 5 3" xfId="22833" xr:uid="{00000000-0005-0000-0000-0000317A0000}"/>
    <cellStyle name="Normal 3 19 3 5 5 3 2" xfId="49966" xr:uid="{00000000-0005-0000-0000-0000327A0000}"/>
    <cellStyle name="Normal 3 19 3 5 5 4" xfId="36404" xr:uid="{00000000-0005-0000-0000-0000337A0000}"/>
    <cellStyle name="Normal 3 19 3 5 6" xfId="12657" xr:uid="{00000000-0005-0000-0000-0000347A0000}"/>
    <cellStyle name="Normal 3 19 3 5 6 2" xfId="26225" xr:uid="{00000000-0005-0000-0000-0000357A0000}"/>
    <cellStyle name="Normal 3 19 3 5 6 2 2" xfId="53358" xr:uid="{00000000-0005-0000-0000-0000367A0000}"/>
    <cellStyle name="Normal 3 19 3 5 6 3" xfId="39796" xr:uid="{00000000-0005-0000-0000-0000377A0000}"/>
    <cellStyle name="Normal 3 19 3 5 7" xfId="19444" xr:uid="{00000000-0005-0000-0000-0000387A0000}"/>
    <cellStyle name="Normal 3 19 3 5 7 2" xfId="46577" xr:uid="{00000000-0005-0000-0000-0000397A0000}"/>
    <cellStyle name="Normal 3 19 3 5 8" xfId="33015" xr:uid="{00000000-0005-0000-0000-00003A7A0000}"/>
    <cellStyle name="Normal 3 19 3 6" xfId="5719" xr:uid="{00000000-0005-0000-0000-00003B7A0000}"/>
    <cellStyle name="Normal 3 19 3 6 2" xfId="5720" xr:uid="{00000000-0005-0000-0000-00003C7A0000}"/>
    <cellStyle name="Normal 3 19 3 6 2 2" xfId="9263" xr:uid="{00000000-0005-0000-0000-00003D7A0000}"/>
    <cellStyle name="Normal 3 19 3 6 2 2 2" xfId="16053" xr:uid="{00000000-0005-0000-0000-00003E7A0000}"/>
    <cellStyle name="Normal 3 19 3 6 2 2 2 2" xfId="29621" xr:uid="{00000000-0005-0000-0000-00003F7A0000}"/>
    <cellStyle name="Normal 3 19 3 6 2 2 2 2 2" xfId="56754" xr:uid="{00000000-0005-0000-0000-0000407A0000}"/>
    <cellStyle name="Normal 3 19 3 6 2 2 2 3" xfId="43192" xr:uid="{00000000-0005-0000-0000-0000417A0000}"/>
    <cellStyle name="Normal 3 19 3 6 2 2 3" xfId="22840" xr:uid="{00000000-0005-0000-0000-0000427A0000}"/>
    <cellStyle name="Normal 3 19 3 6 2 2 3 2" xfId="49973" xr:uid="{00000000-0005-0000-0000-0000437A0000}"/>
    <cellStyle name="Normal 3 19 3 6 2 2 4" xfId="36411" xr:uid="{00000000-0005-0000-0000-0000447A0000}"/>
    <cellStyle name="Normal 3 19 3 6 2 3" xfId="12664" xr:uid="{00000000-0005-0000-0000-0000457A0000}"/>
    <cellStyle name="Normal 3 19 3 6 2 3 2" xfId="26232" xr:uid="{00000000-0005-0000-0000-0000467A0000}"/>
    <cellStyle name="Normal 3 19 3 6 2 3 2 2" xfId="53365" xr:uid="{00000000-0005-0000-0000-0000477A0000}"/>
    <cellStyle name="Normal 3 19 3 6 2 3 3" xfId="39803" xr:uid="{00000000-0005-0000-0000-0000487A0000}"/>
    <cellStyle name="Normal 3 19 3 6 2 4" xfId="19451" xr:uid="{00000000-0005-0000-0000-0000497A0000}"/>
    <cellStyle name="Normal 3 19 3 6 2 4 2" xfId="46584" xr:uid="{00000000-0005-0000-0000-00004A7A0000}"/>
    <cellStyle name="Normal 3 19 3 6 2 5" xfId="33022" xr:uid="{00000000-0005-0000-0000-00004B7A0000}"/>
    <cellStyle name="Normal 3 19 3 6 3" xfId="5721" xr:uid="{00000000-0005-0000-0000-00004C7A0000}"/>
    <cellStyle name="Normal 3 19 3 6 3 2" xfId="9264" xr:uid="{00000000-0005-0000-0000-00004D7A0000}"/>
    <cellStyle name="Normal 3 19 3 6 3 2 2" xfId="16054" xr:uid="{00000000-0005-0000-0000-00004E7A0000}"/>
    <cellStyle name="Normal 3 19 3 6 3 2 2 2" xfId="29622" xr:uid="{00000000-0005-0000-0000-00004F7A0000}"/>
    <cellStyle name="Normal 3 19 3 6 3 2 2 2 2" xfId="56755" xr:uid="{00000000-0005-0000-0000-0000507A0000}"/>
    <cellStyle name="Normal 3 19 3 6 3 2 2 3" xfId="43193" xr:uid="{00000000-0005-0000-0000-0000517A0000}"/>
    <cellStyle name="Normal 3 19 3 6 3 2 3" xfId="22841" xr:uid="{00000000-0005-0000-0000-0000527A0000}"/>
    <cellStyle name="Normal 3 19 3 6 3 2 3 2" xfId="49974" xr:uid="{00000000-0005-0000-0000-0000537A0000}"/>
    <cellStyle name="Normal 3 19 3 6 3 2 4" xfId="36412" xr:uid="{00000000-0005-0000-0000-0000547A0000}"/>
    <cellStyle name="Normal 3 19 3 6 3 3" xfId="12665" xr:uid="{00000000-0005-0000-0000-0000557A0000}"/>
    <cellStyle name="Normal 3 19 3 6 3 3 2" xfId="26233" xr:uid="{00000000-0005-0000-0000-0000567A0000}"/>
    <cellStyle name="Normal 3 19 3 6 3 3 2 2" xfId="53366" xr:uid="{00000000-0005-0000-0000-0000577A0000}"/>
    <cellStyle name="Normal 3 19 3 6 3 3 3" xfId="39804" xr:uid="{00000000-0005-0000-0000-0000587A0000}"/>
    <cellStyle name="Normal 3 19 3 6 3 4" xfId="19452" xr:uid="{00000000-0005-0000-0000-0000597A0000}"/>
    <cellStyle name="Normal 3 19 3 6 3 4 2" xfId="46585" xr:uid="{00000000-0005-0000-0000-00005A7A0000}"/>
    <cellStyle name="Normal 3 19 3 6 3 5" xfId="33023" xr:uid="{00000000-0005-0000-0000-00005B7A0000}"/>
    <cellStyle name="Normal 3 19 3 6 4" xfId="9262" xr:uid="{00000000-0005-0000-0000-00005C7A0000}"/>
    <cellStyle name="Normal 3 19 3 6 4 2" xfId="16052" xr:uid="{00000000-0005-0000-0000-00005D7A0000}"/>
    <cellStyle name="Normal 3 19 3 6 4 2 2" xfId="29620" xr:uid="{00000000-0005-0000-0000-00005E7A0000}"/>
    <cellStyle name="Normal 3 19 3 6 4 2 2 2" xfId="56753" xr:uid="{00000000-0005-0000-0000-00005F7A0000}"/>
    <cellStyle name="Normal 3 19 3 6 4 2 3" xfId="43191" xr:uid="{00000000-0005-0000-0000-0000607A0000}"/>
    <cellStyle name="Normal 3 19 3 6 4 3" xfId="22839" xr:uid="{00000000-0005-0000-0000-0000617A0000}"/>
    <cellStyle name="Normal 3 19 3 6 4 3 2" xfId="49972" xr:uid="{00000000-0005-0000-0000-0000627A0000}"/>
    <cellStyle name="Normal 3 19 3 6 4 4" xfId="36410" xr:uid="{00000000-0005-0000-0000-0000637A0000}"/>
    <cellStyle name="Normal 3 19 3 6 5" xfId="12663" xr:uid="{00000000-0005-0000-0000-0000647A0000}"/>
    <cellStyle name="Normal 3 19 3 6 5 2" xfId="26231" xr:uid="{00000000-0005-0000-0000-0000657A0000}"/>
    <cellStyle name="Normal 3 19 3 6 5 2 2" xfId="53364" xr:uid="{00000000-0005-0000-0000-0000667A0000}"/>
    <cellStyle name="Normal 3 19 3 6 5 3" xfId="39802" xr:uid="{00000000-0005-0000-0000-0000677A0000}"/>
    <cellStyle name="Normal 3 19 3 6 6" xfId="19450" xr:uid="{00000000-0005-0000-0000-0000687A0000}"/>
    <cellStyle name="Normal 3 19 3 6 6 2" xfId="46583" xr:uid="{00000000-0005-0000-0000-0000697A0000}"/>
    <cellStyle name="Normal 3 19 3 6 7" xfId="33021" xr:uid="{00000000-0005-0000-0000-00006A7A0000}"/>
    <cellStyle name="Normal 3 19 3 7" xfId="5722" xr:uid="{00000000-0005-0000-0000-00006B7A0000}"/>
    <cellStyle name="Normal 3 19 3 7 2" xfId="5723" xr:uid="{00000000-0005-0000-0000-00006C7A0000}"/>
    <cellStyle name="Normal 3 19 3 7 2 2" xfId="9266" xr:uid="{00000000-0005-0000-0000-00006D7A0000}"/>
    <cellStyle name="Normal 3 19 3 7 2 2 2" xfId="16056" xr:uid="{00000000-0005-0000-0000-00006E7A0000}"/>
    <cellStyle name="Normal 3 19 3 7 2 2 2 2" xfId="29624" xr:uid="{00000000-0005-0000-0000-00006F7A0000}"/>
    <cellStyle name="Normal 3 19 3 7 2 2 2 2 2" xfId="56757" xr:uid="{00000000-0005-0000-0000-0000707A0000}"/>
    <cellStyle name="Normal 3 19 3 7 2 2 2 3" xfId="43195" xr:uid="{00000000-0005-0000-0000-0000717A0000}"/>
    <cellStyle name="Normal 3 19 3 7 2 2 3" xfId="22843" xr:uid="{00000000-0005-0000-0000-0000727A0000}"/>
    <cellStyle name="Normal 3 19 3 7 2 2 3 2" xfId="49976" xr:uid="{00000000-0005-0000-0000-0000737A0000}"/>
    <cellStyle name="Normal 3 19 3 7 2 2 4" xfId="36414" xr:uid="{00000000-0005-0000-0000-0000747A0000}"/>
    <cellStyle name="Normal 3 19 3 7 2 3" xfId="12667" xr:uid="{00000000-0005-0000-0000-0000757A0000}"/>
    <cellStyle name="Normal 3 19 3 7 2 3 2" xfId="26235" xr:uid="{00000000-0005-0000-0000-0000767A0000}"/>
    <cellStyle name="Normal 3 19 3 7 2 3 2 2" xfId="53368" xr:uid="{00000000-0005-0000-0000-0000777A0000}"/>
    <cellStyle name="Normal 3 19 3 7 2 3 3" xfId="39806" xr:uid="{00000000-0005-0000-0000-0000787A0000}"/>
    <cellStyle name="Normal 3 19 3 7 2 4" xfId="19454" xr:uid="{00000000-0005-0000-0000-0000797A0000}"/>
    <cellStyle name="Normal 3 19 3 7 2 4 2" xfId="46587" xr:uid="{00000000-0005-0000-0000-00007A7A0000}"/>
    <cellStyle name="Normal 3 19 3 7 2 5" xfId="33025" xr:uid="{00000000-0005-0000-0000-00007B7A0000}"/>
    <cellStyle name="Normal 3 19 3 7 3" xfId="5724" xr:uid="{00000000-0005-0000-0000-00007C7A0000}"/>
    <cellStyle name="Normal 3 19 3 7 3 2" xfId="9267" xr:uid="{00000000-0005-0000-0000-00007D7A0000}"/>
    <cellStyle name="Normal 3 19 3 7 3 2 2" xfId="16057" xr:uid="{00000000-0005-0000-0000-00007E7A0000}"/>
    <cellStyle name="Normal 3 19 3 7 3 2 2 2" xfId="29625" xr:uid="{00000000-0005-0000-0000-00007F7A0000}"/>
    <cellStyle name="Normal 3 19 3 7 3 2 2 2 2" xfId="56758" xr:uid="{00000000-0005-0000-0000-0000807A0000}"/>
    <cellStyle name="Normal 3 19 3 7 3 2 2 3" xfId="43196" xr:uid="{00000000-0005-0000-0000-0000817A0000}"/>
    <cellStyle name="Normal 3 19 3 7 3 2 3" xfId="22844" xr:uid="{00000000-0005-0000-0000-0000827A0000}"/>
    <cellStyle name="Normal 3 19 3 7 3 2 3 2" xfId="49977" xr:uid="{00000000-0005-0000-0000-0000837A0000}"/>
    <cellStyle name="Normal 3 19 3 7 3 2 4" xfId="36415" xr:uid="{00000000-0005-0000-0000-0000847A0000}"/>
    <cellStyle name="Normal 3 19 3 7 3 3" xfId="12668" xr:uid="{00000000-0005-0000-0000-0000857A0000}"/>
    <cellStyle name="Normal 3 19 3 7 3 3 2" xfId="26236" xr:uid="{00000000-0005-0000-0000-0000867A0000}"/>
    <cellStyle name="Normal 3 19 3 7 3 3 2 2" xfId="53369" xr:uid="{00000000-0005-0000-0000-0000877A0000}"/>
    <cellStyle name="Normal 3 19 3 7 3 3 3" xfId="39807" xr:uid="{00000000-0005-0000-0000-0000887A0000}"/>
    <cellStyle name="Normal 3 19 3 7 3 4" xfId="19455" xr:uid="{00000000-0005-0000-0000-0000897A0000}"/>
    <cellStyle name="Normal 3 19 3 7 3 4 2" xfId="46588" xr:uid="{00000000-0005-0000-0000-00008A7A0000}"/>
    <cellStyle name="Normal 3 19 3 7 3 5" xfId="33026" xr:uid="{00000000-0005-0000-0000-00008B7A0000}"/>
    <cellStyle name="Normal 3 19 3 7 4" xfId="9265" xr:uid="{00000000-0005-0000-0000-00008C7A0000}"/>
    <cellStyle name="Normal 3 19 3 7 4 2" xfId="16055" xr:uid="{00000000-0005-0000-0000-00008D7A0000}"/>
    <cellStyle name="Normal 3 19 3 7 4 2 2" xfId="29623" xr:uid="{00000000-0005-0000-0000-00008E7A0000}"/>
    <cellStyle name="Normal 3 19 3 7 4 2 2 2" xfId="56756" xr:uid="{00000000-0005-0000-0000-00008F7A0000}"/>
    <cellStyle name="Normal 3 19 3 7 4 2 3" xfId="43194" xr:uid="{00000000-0005-0000-0000-0000907A0000}"/>
    <cellStyle name="Normal 3 19 3 7 4 3" xfId="22842" xr:uid="{00000000-0005-0000-0000-0000917A0000}"/>
    <cellStyle name="Normal 3 19 3 7 4 3 2" xfId="49975" xr:uid="{00000000-0005-0000-0000-0000927A0000}"/>
    <cellStyle name="Normal 3 19 3 7 4 4" xfId="36413" xr:uid="{00000000-0005-0000-0000-0000937A0000}"/>
    <cellStyle name="Normal 3 19 3 7 5" xfId="12666" xr:uid="{00000000-0005-0000-0000-0000947A0000}"/>
    <cellStyle name="Normal 3 19 3 7 5 2" xfId="26234" xr:uid="{00000000-0005-0000-0000-0000957A0000}"/>
    <cellStyle name="Normal 3 19 3 7 5 2 2" xfId="53367" xr:uid="{00000000-0005-0000-0000-0000967A0000}"/>
    <cellStyle name="Normal 3 19 3 7 5 3" xfId="39805" xr:uid="{00000000-0005-0000-0000-0000977A0000}"/>
    <cellStyle name="Normal 3 19 3 7 6" xfId="19453" xr:uid="{00000000-0005-0000-0000-0000987A0000}"/>
    <cellStyle name="Normal 3 19 3 7 6 2" xfId="46586" xr:uid="{00000000-0005-0000-0000-0000997A0000}"/>
    <cellStyle name="Normal 3 19 3 7 7" xfId="33024" xr:uid="{00000000-0005-0000-0000-00009A7A0000}"/>
    <cellStyle name="Normal 3 19 3 8" xfId="5725" xr:uid="{00000000-0005-0000-0000-00009B7A0000}"/>
    <cellStyle name="Normal 3 19 3 8 2" xfId="9268" xr:uid="{00000000-0005-0000-0000-00009C7A0000}"/>
    <cellStyle name="Normal 3 19 3 8 2 2" xfId="16058" xr:uid="{00000000-0005-0000-0000-00009D7A0000}"/>
    <cellStyle name="Normal 3 19 3 8 2 2 2" xfId="29626" xr:uid="{00000000-0005-0000-0000-00009E7A0000}"/>
    <cellStyle name="Normal 3 19 3 8 2 2 2 2" xfId="56759" xr:uid="{00000000-0005-0000-0000-00009F7A0000}"/>
    <cellStyle name="Normal 3 19 3 8 2 2 3" xfId="43197" xr:uid="{00000000-0005-0000-0000-0000A07A0000}"/>
    <cellStyle name="Normal 3 19 3 8 2 3" xfId="22845" xr:uid="{00000000-0005-0000-0000-0000A17A0000}"/>
    <cellStyle name="Normal 3 19 3 8 2 3 2" xfId="49978" xr:uid="{00000000-0005-0000-0000-0000A27A0000}"/>
    <cellStyle name="Normal 3 19 3 8 2 4" xfId="36416" xr:uid="{00000000-0005-0000-0000-0000A37A0000}"/>
    <cellStyle name="Normal 3 19 3 8 3" xfId="12669" xr:uid="{00000000-0005-0000-0000-0000A47A0000}"/>
    <cellStyle name="Normal 3 19 3 8 3 2" xfId="26237" xr:uid="{00000000-0005-0000-0000-0000A57A0000}"/>
    <cellStyle name="Normal 3 19 3 8 3 2 2" xfId="53370" xr:uid="{00000000-0005-0000-0000-0000A67A0000}"/>
    <cellStyle name="Normal 3 19 3 8 3 3" xfId="39808" xr:uid="{00000000-0005-0000-0000-0000A77A0000}"/>
    <cellStyle name="Normal 3 19 3 8 4" xfId="19456" xr:uid="{00000000-0005-0000-0000-0000A87A0000}"/>
    <cellStyle name="Normal 3 19 3 8 4 2" xfId="46589" xr:uid="{00000000-0005-0000-0000-0000A97A0000}"/>
    <cellStyle name="Normal 3 19 3 8 5" xfId="33027" xr:uid="{00000000-0005-0000-0000-0000AA7A0000}"/>
    <cellStyle name="Normal 3 19 3 9" xfId="5726" xr:uid="{00000000-0005-0000-0000-0000AB7A0000}"/>
    <cellStyle name="Normal 3 19 3 9 2" xfId="9269" xr:uid="{00000000-0005-0000-0000-0000AC7A0000}"/>
    <cellStyle name="Normal 3 19 3 9 2 2" xfId="16059" xr:uid="{00000000-0005-0000-0000-0000AD7A0000}"/>
    <cellStyle name="Normal 3 19 3 9 2 2 2" xfId="29627" xr:uid="{00000000-0005-0000-0000-0000AE7A0000}"/>
    <cellStyle name="Normal 3 19 3 9 2 2 2 2" xfId="56760" xr:uid="{00000000-0005-0000-0000-0000AF7A0000}"/>
    <cellStyle name="Normal 3 19 3 9 2 2 3" xfId="43198" xr:uid="{00000000-0005-0000-0000-0000B07A0000}"/>
    <cellStyle name="Normal 3 19 3 9 2 3" xfId="22846" xr:uid="{00000000-0005-0000-0000-0000B17A0000}"/>
    <cellStyle name="Normal 3 19 3 9 2 3 2" xfId="49979" xr:uid="{00000000-0005-0000-0000-0000B27A0000}"/>
    <cellStyle name="Normal 3 19 3 9 2 4" xfId="36417" xr:uid="{00000000-0005-0000-0000-0000B37A0000}"/>
    <cellStyle name="Normal 3 19 3 9 3" xfId="12670" xr:uid="{00000000-0005-0000-0000-0000B47A0000}"/>
    <cellStyle name="Normal 3 19 3 9 3 2" xfId="26238" xr:uid="{00000000-0005-0000-0000-0000B57A0000}"/>
    <cellStyle name="Normal 3 19 3 9 3 2 2" xfId="53371" xr:uid="{00000000-0005-0000-0000-0000B67A0000}"/>
    <cellStyle name="Normal 3 19 3 9 3 3" xfId="39809" xr:uid="{00000000-0005-0000-0000-0000B77A0000}"/>
    <cellStyle name="Normal 3 19 3 9 4" xfId="19457" xr:uid="{00000000-0005-0000-0000-0000B87A0000}"/>
    <cellStyle name="Normal 3 19 3 9 4 2" xfId="46590" xr:uid="{00000000-0005-0000-0000-0000B97A0000}"/>
    <cellStyle name="Normal 3 19 3 9 5" xfId="33028" xr:uid="{00000000-0005-0000-0000-0000BA7A0000}"/>
    <cellStyle name="Normal 3 19 4" xfId="5727" xr:uid="{00000000-0005-0000-0000-0000BB7A0000}"/>
    <cellStyle name="Normal 3 19 4 10" xfId="33029" xr:uid="{00000000-0005-0000-0000-0000BC7A0000}"/>
    <cellStyle name="Normal 3 19 4 2" xfId="5728" xr:uid="{00000000-0005-0000-0000-0000BD7A0000}"/>
    <cellStyle name="Normal 3 19 4 2 2" xfId="5729" xr:uid="{00000000-0005-0000-0000-0000BE7A0000}"/>
    <cellStyle name="Normal 3 19 4 2 2 2" xfId="5730" xr:uid="{00000000-0005-0000-0000-0000BF7A0000}"/>
    <cellStyle name="Normal 3 19 4 2 2 2 2" xfId="9273" xr:uid="{00000000-0005-0000-0000-0000C07A0000}"/>
    <cellStyle name="Normal 3 19 4 2 2 2 2 2" xfId="16063" xr:uid="{00000000-0005-0000-0000-0000C17A0000}"/>
    <cellStyle name="Normal 3 19 4 2 2 2 2 2 2" xfId="29631" xr:uid="{00000000-0005-0000-0000-0000C27A0000}"/>
    <cellStyle name="Normal 3 19 4 2 2 2 2 2 2 2" xfId="56764" xr:uid="{00000000-0005-0000-0000-0000C37A0000}"/>
    <cellStyle name="Normal 3 19 4 2 2 2 2 2 3" xfId="43202" xr:uid="{00000000-0005-0000-0000-0000C47A0000}"/>
    <cellStyle name="Normal 3 19 4 2 2 2 2 3" xfId="22850" xr:uid="{00000000-0005-0000-0000-0000C57A0000}"/>
    <cellStyle name="Normal 3 19 4 2 2 2 2 3 2" xfId="49983" xr:uid="{00000000-0005-0000-0000-0000C67A0000}"/>
    <cellStyle name="Normal 3 19 4 2 2 2 2 4" xfId="36421" xr:uid="{00000000-0005-0000-0000-0000C77A0000}"/>
    <cellStyle name="Normal 3 19 4 2 2 2 3" xfId="12674" xr:uid="{00000000-0005-0000-0000-0000C87A0000}"/>
    <cellStyle name="Normal 3 19 4 2 2 2 3 2" xfId="26242" xr:uid="{00000000-0005-0000-0000-0000C97A0000}"/>
    <cellStyle name="Normal 3 19 4 2 2 2 3 2 2" xfId="53375" xr:uid="{00000000-0005-0000-0000-0000CA7A0000}"/>
    <cellStyle name="Normal 3 19 4 2 2 2 3 3" xfId="39813" xr:uid="{00000000-0005-0000-0000-0000CB7A0000}"/>
    <cellStyle name="Normal 3 19 4 2 2 2 4" xfId="19461" xr:uid="{00000000-0005-0000-0000-0000CC7A0000}"/>
    <cellStyle name="Normal 3 19 4 2 2 2 4 2" xfId="46594" xr:uid="{00000000-0005-0000-0000-0000CD7A0000}"/>
    <cellStyle name="Normal 3 19 4 2 2 2 5" xfId="33032" xr:uid="{00000000-0005-0000-0000-0000CE7A0000}"/>
    <cellStyle name="Normal 3 19 4 2 2 3" xfId="5731" xr:uid="{00000000-0005-0000-0000-0000CF7A0000}"/>
    <cellStyle name="Normal 3 19 4 2 2 3 2" xfId="9274" xr:uid="{00000000-0005-0000-0000-0000D07A0000}"/>
    <cellStyle name="Normal 3 19 4 2 2 3 2 2" xfId="16064" xr:uid="{00000000-0005-0000-0000-0000D17A0000}"/>
    <cellStyle name="Normal 3 19 4 2 2 3 2 2 2" xfId="29632" xr:uid="{00000000-0005-0000-0000-0000D27A0000}"/>
    <cellStyle name="Normal 3 19 4 2 2 3 2 2 2 2" xfId="56765" xr:uid="{00000000-0005-0000-0000-0000D37A0000}"/>
    <cellStyle name="Normal 3 19 4 2 2 3 2 2 3" xfId="43203" xr:uid="{00000000-0005-0000-0000-0000D47A0000}"/>
    <cellStyle name="Normal 3 19 4 2 2 3 2 3" xfId="22851" xr:uid="{00000000-0005-0000-0000-0000D57A0000}"/>
    <cellStyle name="Normal 3 19 4 2 2 3 2 3 2" xfId="49984" xr:uid="{00000000-0005-0000-0000-0000D67A0000}"/>
    <cellStyle name="Normal 3 19 4 2 2 3 2 4" xfId="36422" xr:uid="{00000000-0005-0000-0000-0000D77A0000}"/>
    <cellStyle name="Normal 3 19 4 2 2 3 3" xfId="12675" xr:uid="{00000000-0005-0000-0000-0000D87A0000}"/>
    <cellStyle name="Normal 3 19 4 2 2 3 3 2" xfId="26243" xr:uid="{00000000-0005-0000-0000-0000D97A0000}"/>
    <cellStyle name="Normal 3 19 4 2 2 3 3 2 2" xfId="53376" xr:uid="{00000000-0005-0000-0000-0000DA7A0000}"/>
    <cellStyle name="Normal 3 19 4 2 2 3 3 3" xfId="39814" xr:uid="{00000000-0005-0000-0000-0000DB7A0000}"/>
    <cellStyle name="Normal 3 19 4 2 2 3 4" xfId="19462" xr:uid="{00000000-0005-0000-0000-0000DC7A0000}"/>
    <cellStyle name="Normal 3 19 4 2 2 3 4 2" xfId="46595" xr:uid="{00000000-0005-0000-0000-0000DD7A0000}"/>
    <cellStyle name="Normal 3 19 4 2 2 3 5" xfId="33033" xr:uid="{00000000-0005-0000-0000-0000DE7A0000}"/>
    <cellStyle name="Normal 3 19 4 2 2 4" xfId="9272" xr:uid="{00000000-0005-0000-0000-0000DF7A0000}"/>
    <cellStyle name="Normal 3 19 4 2 2 4 2" xfId="16062" xr:uid="{00000000-0005-0000-0000-0000E07A0000}"/>
    <cellStyle name="Normal 3 19 4 2 2 4 2 2" xfId="29630" xr:uid="{00000000-0005-0000-0000-0000E17A0000}"/>
    <cellStyle name="Normal 3 19 4 2 2 4 2 2 2" xfId="56763" xr:uid="{00000000-0005-0000-0000-0000E27A0000}"/>
    <cellStyle name="Normal 3 19 4 2 2 4 2 3" xfId="43201" xr:uid="{00000000-0005-0000-0000-0000E37A0000}"/>
    <cellStyle name="Normal 3 19 4 2 2 4 3" xfId="22849" xr:uid="{00000000-0005-0000-0000-0000E47A0000}"/>
    <cellStyle name="Normal 3 19 4 2 2 4 3 2" xfId="49982" xr:uid="{00000000-0005-0000-0000-0000E57A0000}"/>
    <cellStyle name="Normal 3 19 4 2 2 4 4" xfId="36420" xr:uid="{00000000-0005-0000-0000-0000E67A0000}"/>
    <cellStyle name="Normal 3 19 4 2 2 5" xfId="12673" xr:uid="{00000000-0005-0000-0000-0000E77A0000}"/>
    <cellStyle name="Normal 3 19 4 2 2 5 2" xfId="26241" xr:uid="{00000000-0005-0000-0000-0000E87A0000}"/>
    <cellStyle name="Normal 3 19 4 2 2 5 2 2" xfId="53374" xr:uid="{00000000-0005-0000-0000-0000E97A0000}"/>
    <cellStyle name="Normal 3 19 4 2 2 5 3" xfId="39812" xr:uid="{00000000-0005-0000-0000-0000EA7A0000}"/>
    <cellStyle name="Normal 3 19 4 2 2 6" xfId="19460" xr:uid="{00000000-0005-0000-0000-0000EB7A0000}"/>
    <cellStyle name="Normal 3 19 4 2 2 6 2" xfId="46593" xr:uid="{00000000-0005-0000-0000-0000EC7A0000}"/>
    <cellStyle name="Normal 3 19 4 2 2 7" xfId="33031" xr:uid="{00000000-0005-0000-0000-0000ED7A0000}"/>
    <cellStyle name="Normal 3 19 4 2 3" xfId="5732" xr:uid="{00000000-0005-0000-0000-0000EE7A0000}"/>
    <cellStyle name="Normal 3 19 4 2 3 2" xfId="5733" xr:uid="{00000000-0005-0000-0000-0000EF7A0000}"/>
    <cellStyle name="Normal 3 19 4 2 3 2 2" xfId="9276" xr:uid="{00000000-0005-0000-0000-0000F07A0000}"/>
    <cellStyle name="Normal 3 19 4 2 3 2 2 2" xfId="16066" xr:uid="{00000000-0005-0000-0000-0000F17A0000}"/>
    <cellStyle name="Normal 3 19 4 2 3 2 2 2 2" xfId="29634" xr:uid="{00000000-0005-0000-0000-0000F27A0000}"/>
    <cellStyle name="Normal 3 19 4 2 3 2 2 2 2 2" xfId="56767" xr:uid="{00000000-0005-0000-0000-0000F37A0000}"/>
    <cellStyle name="Normal 3 19 4 2 3 2 2 2 3" xfId="43205" xr:uid="{00000000-0005-0000-0000-0000F47A0000}"/>
    <cellStyle name="Normal 3 19 4 2 3 2 2 3" xfId="22853" xr:uid="{00000000-0005-0000-0000-0000F57A0000}"/>
    <cellStyle name="Normal 3 19 4 2 3 2 2 3 2" xfId="49986" xr:uid="{00000000-0005-0000-0000-0000F67A0000}"/>
    <cellStyle name="Normal 3 19 4 2 3 2 2 4" xfId="36424" xr:uid="{00000000-0005-0000-0000-0000F77A0000}"/>
    <cellStyle name="Normal 3 19 4 2 3 2 3" xfId="12677" xr:uid="{00000000-0005-0000-0000-0000F87A0000}"/>
    <cellStyle name="Normal 3 19 4 2 3 2 3 2" xfId="26245" xr:uid="{00000000-0005-0000-0000-0000F97A0000}"/>
    <cellStyle name="Normal 3 19 4 2 3 2 3 2 2" xfId="53378" xr:uid="{00000000-0005-0000-0000-0000FA7A0000}"/>
    <cellStyle name="Normal 3 19 4 2 3 2 3 3" xfId="39816" xr:uid="{00000000-0005-0000-0000-0000FB7A0000}"/>
    <cellStyle name="Normal 3 19 4 2 3 2 4" xfId="19464" xr:uid="{00000000-0005-0000-0000-0000FC7A0000}"/>
    <cellStyle name="Normal 3 19 4 2 3 2 4 2" xfId="46597" xr:uid="{00000000-0005-0000-0000-0000FD7A0000}"/>
    <cellStyle name="Normal 3 19 4 2 3 2 5" xfId="33035" xr:uid="{00000000-0005-0000-0000-0000FE7A0000}"/>
    <cellStyle name="Normal 3 19 4 2 3 3" xfId="9275" xr:uid="{00000000-0005-0000-0000-0000FF7A0000}"/>
    <cellStyle name="Normal 3 19 4 2 3 3 2" xfId="16065" xr:uid="{00000000-0005-0000-0000-0000007B0000}"/>
    <cellStyle name="Normal 3 19 4 2 3 3 2 2" xfId="29633" xr:uid="{00000000-0005-0000-0000-0000017B0000}"/>
    <cellStyle name="Normal 3 19 4 2 3 3 2 2 2" xfId="56766" xr:uid="{00000000-0005-0000-0000-0000027B0000}"/>
    <cellStyle name="Normal 3 19 4 2 3 3 2 3" xfId="43204" xr:uid="{00000000-0005-0000-0000-0000037B0000}"/>
    <cellStyle name="Normal 3 19 4 2 3 3 3" xfId="22852" xr:uid="{00000000-0005-0000-0000-0000047B0000}"/>
    <cellStyle name="Normal 3 19 4 2 3 3 3 2" xfId="49985" xr:uid="{00000000-0005-0000-0000-0000057B0000}"/>
    <cellStyle name="Normal 3 19 4 2 3 3 4" xfId="36423" xr:uid="{00000000-0005-0000-0000-0000067B0000}"/>
    <cellStyle name="Normal 3 19 4 2 3 4" xfId="12676" xr:uid="{00000000-0005-0000-0000-0000077B0000}"/>
    <cellStyle name="Normal 3 19 4 2 3 4 2" xfId="26244" xr:uid="{00000000-0005-0000-0000-0000087B0000}"/>
    <cellStyle name="Normal 3 19 4 2 3 4 2 2" xfId="53377" xr:uid="{00000000-0005-0000-0000-0000097B0000}"/>
    <cellStyle name="Normal 3 19 4 2 3 4 3" xfId="39815" xr:uid="{00000000-0005-0000-0000-00000A7B0000}"/>
    <cellStyle name="Normal 3 19 4 2 3 5" xfId="19463" xr:uid="{00000000-0005-0000-0000-00000B7B0000}"/>
    <cellStyle name="Normal 3 19 4 2 3 5 2" xfId="46596" xr:uid="{00000000-0005-0000-0000-00000C7B0000}"/>
    <cellStyle name="Normal 3 19 4 2 3 6" xfId="33034" xr:uid="{00000000-0005-0000-0000-00000D7B0000}"/>
    <cellStyle name="Normal 3 19 4 2 4" xfId="5734" xr:uid="{00000000-0005-0000-0000-00000E7B0000}"/>
    <cellStyle name="Normal 3 19 4 2 4 2" xfId="9277" xr:uid="{00000000-0005-0000-0000-00000F7B0000}"/>
    <cellStyle name="Normal 3 19 4 2 4 2 2" xfId="16067" xr:uid="{00000000-0005-0000-0000-0000107B0000}"/>
    <cellStyle name="Normal 3 19 4 2 4 2 2 2" xfId="29635" xr:uid="{00000000-0005-0000-0000-0000117B0000}"/>
    <cellStyle name="Normal 3 19 4 2 4 2 2 2 2" xfId="56768" xr:uid="{00000000-0005-0000-0000-0000127B0000}"/>
    <cellStyle name="Normal 3 19 4 2 4 2 2 3" xfId="43206" xr:uid="{00000000-0005-0000-0000-0000137B0000}"/>
    <cellStyle name="Normal 3 19 4 2 4 2 3" xfId="22854" xr:uid="{00000000-0005-0000-0000-0000147B0000}"/>
    <cellStyle name="Normal 3 19 4 2 4 2 3 2" xfId="49987" xr:uid="{00000000-0005-0000-0000-0000157B0000}"/>
    <cellStyle name="Normal 3 19 4 2 4 2 4" xfId="36425" xr:uid="{00000000-0005-0000-0000-0000167B0000}"/>
    <cellStyle name="Normal 3 19 4 2 4 3" xfId="12678" xr:uid="{00000000-0005-0000-0000-0000177B0000}"/>
    <cellStyle name="Normal 3 19 4 2 4 3 2" xfId="26246" xr:uid="{00000000-0005-0000-0000-0000187B0000}"/>
    <cellStyle name="Normal 3 19 4 2 4 3 2 2" xfId="53379" xr:uid="{00000000-0005-0000-0000-0000197B0000}"/>
    <cellStyle name="Normal 3 19 4 2 4 3 3" xfId="39817" xr:uid="{00000000-0005-0000-0000-00001A7B0000}"/>
    <cellStyle name="Normal 3 19 4 2 4 4" xfId="19465" xr:uid="{00000000-0005-0000-0000-00001B7B0000}"/>
    <cellStyle name="Normal 3 19 4 2 4 4 2" xfId="46598" xr:uid="{00000000-0005-0000-0000-00001C7B0000}"/>
    <cellStyle name="Normal 3 19 4 2 4 5" xfId="33036" xr:uid="{00000000-0005-0000-0000-00001D7B0000}"/>
    <cellStyle name="Normal 3 19 4 2 5" xfId="5735" xr:uid="{00000000-0005-0000-0000-00001E7B0000}"/>
    <cellStyle name="Normal 3 19 4 2 5 2" xfId="9278" xr:uid="{00000000-0005-0000-0000-00001F7B0000}"/>
    <cellStyle name="Normal 3 19 4 2 5 2 2" xfId="16068" xr:uid="{00000000-0005-0000-0000-0000207B0000}"/>
    <cellStyle name="Normal 3 19 4 2 5 2 2 2" xfId="29636" xr:uid="{00000000-0005-0000-0000-0000217B0000}"/>
    <cellStyle name="Normal 3 19 4 2 5 2 2 2 2" xfId="56769" xr:uid="{00000000-0005-0000-0000-0000227B0000}"/>
    <cellStyle name="Normal 3 19 4 2 5 2 2 3" xfId="43207" xr:uid="{00000000-0005-0000-0000-0000237B0000}"/>
    <cellStyle name="Normal 3 19 4 2 5 2 3" xfId="22855" xr:uid="{00000000-0005-0000-0000-0000247B0000}"/>
    <cellStyle name="Normal 3 19 4 2 5 2 3 2" xfId="49988" xr:uid="{00000000-0005-0000-0000-0000257B0000}"/>
    <cellStyle name="Normal 3 19 4 2 5 2 4" xfId="36426" xr:uid="{00000000-0005-0000-0000-0000267B0000}"/>
    <cellStyle name="Normal 3 19 4 2 5 3" xfId="12679" xr:uid="{00000000-0005-0000-0000-0000277B0000}"/>
    <cellStyle name="Normal 3 19 4 2 5 3 2" xfId="26247" xr:uid="{00000000-0005-0000-0000-0000287B0000}"/>
    <cellStyle name="Normal 3 19 4 2 5 3 2 2" xfId="53380" xr:uid="{00000000-0005-0000-0000-0000297B0000}"/>
    <cellStyle name="Normal 3 19 4 2 5 3 3" xfId="39818" xr:uid="{00000000-0005-0000-0000-00002A7B0000}"/>
    <cellStyle name="Normal 3 19 4 2 5 4" xfId="19466" xr:uid="{00000000-0005-0000-0000-00002B7B0000}"/>
    <cellStyle name="Normal 3 19 4 2 5 4 2" xfId="46599" xr:uid="{00000000-0005-0000-0000-00002C7B0000}"/>
    <cellStyle name="Normal 3 19 4 2 5 5" xfId="33037" xr:uid="{00000000-0005-0000-0000-00002D7B0000}"/>
    <cellStyle name="Normal 3 19 4 2 6" xfId="9271" xr:uid="{00000000-0005-0000-0000-00002E7B0000}"/>
    <cellStyle name="Normal 3 19 4 2 6 2" xfId="16061" xr:uid="{00000000-0005-0000-0000-00002F7B0000}"/>
    <cellStyle name="Normal 3 19 4 2 6 2 2" xfId="29629" xr:uid="{00000000-0005-0000-0000-0000307B0000}"/>
    <cellStyle name="Normal 3 19 4 2 6 2 2 2" xfId="56762" xr:uid="{00000000-0005-0000-0000-0000317B0000}"/>
    <cellStyle name="Normal 3 19 4 2 6 2 3" xfId="43200" xr:uid="{00000000-0005-0000-0000-0000327B0000}"/>
    <cellStyle name="Normal 3 19 4 2 6 3" xfId="22848" xr:uid="{00000000-0005-0000-0000-0000337B0000}"/>
    <cellStyle name="Normal 3 19 4 2 6 3 2" xfId="49981" xr:uid="{00000000-0005-0000-0000-0000347B0000}"/>
    <cellStyle name="Normal 3 19 4 2 6 4" xfId="36419" xr:uid="{00000000-0005-0000-0000-0000357B0000}"/>
    <cellStyle name="Normal 3 19 4 2 7" xfId="12672" xr:uid="{00000000-0005-0000-0000-0000367B0000}"/>
    <cellStyle name="Normal 3 19 4 2 7 2" xfId="26240" xr:uid="{00000000-0005-0000-0000-0000377B0000}"/>
    <cellStyle name="Normal 3 19 4 2 7 2 2" xfId="53373" xr:uid="{00000000-0005-0000-0000-0000387B0000}"/>
    <cellStyle name="Normal 3 19 4 2 7 3" xfId="39811" xr:uid="{00000000-0005-0000-0000-0000397B0000}"/>
    <cellStyle name="Normal 3 19 4 2 8" xfId="19459" xr:uid="{00000000-0005-0000-0000-00003A7B0000}"/>
    <cellStyle name="Normal 3 19 4 2 8 2" xfId="46592" xr:uid="{00000000-0005-0000-0000-00003B7B0000}"/>
    <cellStyle name="Normal 3 19 4 2 9" xfId="33030" xr:uid="{00000000-0005-0000-0000-00003C7B0000}"/>
    <cellStyle name="Normal 3 19 4 3" xfId="5736" xr:uid="{00000000-0005-0000-0000-00003D7B0000}"/>
    <cellStyle name="Normal 3 19 4 3 2" xfId="5737" xr:uid="{00000000-0005-0000-0000-00003E7B0000}"/>
    <cellStyle name="Normal 3 19 4 3 2 2" xfId="9280" xr:uid="{00000000-0005-0000-0000-00003F7B0000}"/>
    <cellStyle name="Normal 3 19 4 3 2 2 2" xfId="16070" xr:uid="{00000000-0005-0000-0000-0000407B0000}"/>
    <cellStyle name="Normal 3 19 4 3 2 2 2 2" xfId="29638" xr:uid="{00000000-0005-0000-0000-0000417B0000}"/>
    <cellStyle name="Normal 3 19 4 3 2 2 2 2 2" xfId="56771" xr:uid="{00000000-0005-0000-0000-0000427B0000}"/>
    <cellStyle name="Normal 3 19 4 3 2 2 2 3" xfId="43209" xr:uid="{00000000-0005-0000-0000-0000437B0000}"/>
    <cellStyle name="Normal 3 19 4 3 2 2 3" xfId="22857" xr:uid="{00000000-0005-0000-0000-0000447B0000}"/>
    <cellStyle name="Normal 3 19 4 3 2 2 3 2" xfId="49990" xr:uid="{00000000-0005-0000-0000-0000457B0000}"/>
    <cellStyle name="Normal 3 19 4 3 2 2 4" xfId="36428" xr:uid="{00000000-0005-0000-0000-0000467B0000}"/>
    <cellStyle name="Normal 3 19 4 3 2 3" xfId="12681" xr:uid="{00000000-0005-0000-0000-0000477B0000}"/>
    <cellStyle name="Normal 3 19 4 3 2 3 2" xfId="26249" xr:uid="{00000000-0005-0000-0000-0000487B0000}"/>
    <cellStyle name="Normal 3 19 4 3 2 3 2 2" xfId="53382" xr:uid="{00000000-0005-0000-0000-0000497B0000}"/>
    <cellStyle name="Normal 3 19 4 3 2 3 3" xfId="39820" xr:uid="{00000000-0005-0000-0000-00004A7B0000}"/>
    <cellStyle name="Normal 3 19 4 3 2 4" xfId="19468" xr:uid="{00000000-0005-0000-0000-00004B7B0000}"/>
    <cellStyle name="Normal 3 19 4 3 2 4 2" xfId="46601" xr:uid="{00000000-0005-0000-0000-00004C7B0000}"/>
    <cellStyle name="Normal 3 19 4 3 2 5" xfId="33039" xr:uid="{00000000-0005-0000-0000-00004D7B0000}"/>
    <cellStyle name="Normal 3 19 4 3 3" xfId="5738" xr:uid="{00000000-0005-0000-0000-00004E7B0000}"/>
    <cellStyle name="Normal 3 19 4 3 3 2" xfId="9281" xr:uid="{00000000-0005-0000-0000-00004F7B0000}"/>
    <cellStyle name="Normal 3 19 4 3 3 2 2" xfId="16071" xr:uid="{00000000-0005-0000-0000-0000507B0000}"/>
    <cellStyle name="Normal 3 19 4 3 3 2 2 2" xfId="29639" xr:uid="{00000000-0005-0000-0000-0000517B0000}"/>
    <cellStyle name="Normal 3 19 4 3 3 2 2 2 2" xfId="56772" xr:uid="{00000000-0005-0000-0000-0000527B0000}"/>
    <cellStyle name="Normal 3 19 4 3 3 2 2 3" xfId="43210" xr:uid="{00000000-0005-0000-0000-0000537B0000}"/>
    <cellStyle name="Normal 3 19 4 3 3 2 3" xfId="22858" xr:uid="{00000000-0005-0000-0000-0000547B0000}"/>
    <cellStyle name="Normal 3 19 4 3 3 2 3 2" xfId="49991" xr:uid="{00000000-0005-0000-0000-0000557B0000}"/>
    <cellStyle name="Normal 3 19 4 3 3 2 4" xfId="36429" xr:uid="{00000000-0005-0000-0000-0000567B0000}"/>
    <cellStyle name="Normal 3 19 4 3 3 3" xfId="12682" xr:uid="{00000000-0005-0000-0000-0000577B0000}"/>
    <cellStyle name="Normal 3 19 4 3 3 3 2" xfId="26250" xr:uid="{00000000-0005-0000-0000-0000587B0000}"/>
    <cellStyle name="Normal 3 19 4 3 3 3 2 2" xfId="53383" xr:uid="{00000000-0005-0000-0000-0000597B0000}"/>
    <cellStyle name="Normal 3 19 4 3 3 3 3" xfId="39821" xr:uid="{00000000-0005-0000-0000-00005A7B0000}"/>
    <cellStyle name="Normal 3 19 4 3 3 4" xfId="19469" xr:uid="{00000000-0005-0000-0000-00005B7B0000}"/>
    <cellStyle name="Normal 3 19 4 3 3 4 2" xfId="46602" xr:uid="{00000000-0005-0000-0000-00005C7B0000}"/>
    <cellStyle name="Normal 3 19 4 3 3 5" xfId="33040" xr:uid="{00000000-0005-0000-0000-00005D7B0000}"/>
    <cellStyle name="Normal 3 19 4 3 4" xfId="9279" xr:uid="{00000000-0005-0000-0000-00005E7B0000}"/>
    <cellStyle name="Normal 3 19 4 3 4 2" xfId="16069" xr:uid="{00000000-0005-0000-0000-00005F7B0000}"/>
    <cellStyle name="Normal 3 19 4 3 4 2 2" xfId="29637" xr:uid="{00000000-0005-0000-0000-0000607B0000}"/>
    <cellStyle name="Normal 3 19 4 3 4 2 2 2" xfId="56770" xr:uid="{00000000-0005-0000-0000-0000617B0000}"/>
    <cellStyle name="Normal 3 19 4 3 4 2 3" xfId="43208" xr:uid="{00000000-0005-0000-0000-0000627B0000}"/>
    <cellStyle name="Normal 3 19 4 3 4 3" xfId="22856" xr:uid="{00000000-0005-0000-0000-0000637B0000}"/>
    <cellStyle name="Normal 3 19 4 3 4 3 2" xfId="49989" xr:uid="{00000000-0005-0000-0000-0000647B0000}"/>
    <cellStyle name="Normal 3 19 4 3 4 4" xfId="36427" xr:uid="{00000000-0005-0000-0000-0000657B0000}"/>
    <cellStyle name="Normal 3 19 4 3 5" xfId="12680" xr:uid="{00000000-0005-0000-0000-0000667B0000}"/>
    <cellStyle name="Normal 3 19 4 3 5 2" xfId="26248" xr:uid="{00000000-0005-0000-0000-0000677B0000}"/>
    <cellStyle name="Normal 3 19 4 3 5 2 2" xfId="53381" xr:uid="{00000000-0005-0000-0000-0000687B0000}"/>
    <cellStyle name="Normal 3 19 4 3 5 3" xfId="39819" xr:uid="{00000000-0005-0000-0000-0000697B0000}"/>
    <cellStyle name="Normal 3 19 4 3 6" xfId="19467" xr:uid="{00000000-0005-0000-0000-00006A7B0000}"/>
    <cellStyle name="Normal 3 19 4 3 6 2" xfId="46600" xr:uid="{00000000-0005-0000-0000-00006B7B0000}"/>
    <cellStyle name="Normal 3 19 4 3 7" xfId="33038" xr:uid="{00000000-0005-0000-0000-00006C7B0000}"/>
    <cellStyle name="Normal 3 19 4 4" xfId="5739" xr:uid="{00000000-0005-0000-0000-00006D7B0000}"/>
    <cellStyle name="Normal 3 19 4 4 2" xfId="5740" xr:uid="{00000000-0005-0000-0000-00006E7B0000}"/>
    <cellStyle name="Normal 3 19 4 4 2 2" xfId="9283" xr:uid="{00000000-0005-0000-0000-00006F7B0000}"/>
    <cellStyle name="Normal 3 19 4 4 2 2 2" xfId="16073" xr:uid="{00000000-0005-0000-0000-0000707B0000}"/>
    <cellStyle name="Normal 3 19 4 4 2 2 2 2" xfId="29641" xr:uid="{00000000-0005-0000-0000-0000717B0000}"/>
    <cellStyle name="Normal 3 19 4 4 2 2 2 2 2" xfId="56774" xr:uid="{00000000-0005-0000-0000-0000727B0000}"/>
    <cellStyle name="Normal 3 19 4 4 2 2 2 3" xfId="43212" xr:uid="{00000000-0005-0000-0000-0000737B0000}"/>
    <cellStyle name="Normal 3 19 4 4 2 2 3" xfId="22860" xr:uid="{00000000-0005-0000-0000-0000747B0000}"/>
    <cellStyle name="Normal 3 19 4 4 2 2 3 2" xfId="49993" xr:uid="{00000000-0005-0000-0000-0000757B0000}"/>
    <cellStyle name="Normal 3 19 4 4 2 2 4" xfId="36431" xr:uid="{00000000-0005-0000-0000-0000767B0000}"/>
    <cellStyle name="Normal 3 19 4 4 2 3" xfId="12684" xr:uid="{00000000-0005-0000-0000-0000777B0000}"/>
    <cellStyle name="Normal 3 19 4 4 2 3 2" xfId="26252" xr:uid="{00000000-0005-0000-0000-0000787B0000}"/>
    <cellStyle name="Normal 3 19 4 4 2 3 2 2" xfId="53385" xr:uid="{00000000-0005-0000-0000-0000797B0000}"/>
    <cellStyle name="Normal 3 19 4 4 2 3 3" xfId="39823" xr:uid="{00000000-0005-0000-0000-00007A7B0000}"/>
    <cellStyle name="Normal 3 19 4 4 2 4" xfId="19471" xr:uid="{00000000-0005-0000-0000-00007B7B0000}"/>
    <cellStyle name="Normal 3 19 4 4 2 4 2" xfId="46604" xr:uid="{00000000-0005-0000-0000-00007C7B0000}"/>
    <cellStyle name="Normal 3 19 4 4 2 5" xfId="33042" xr:uid="{00000000-0005-0000-0000-00007D7B0000}"/>
    <cellStyle name="Normal 3 19 4 4 3" xfId="9282" xr:uid="{00000000-0005-0000-0000-00007E7B0000}"/>
    <cellStyle name="Normal 3 19 4 4 3 2" xfId="16072" xr:uid="{00000000-0005-0000-0000-00007F7B0000}"/>
    <cellStyle name="Normal 3 19 4 4 3 2 2" xfId="29640" xr:uid="{00000000-0005-0000-0000-0000807B0000}"/>
    <cellStyle name="Normal 3 19 4 4 3 2 2 2" xfId="56773" xr:uid="{00000000-0005-0000-0000-0000817B0000}"/>
    <cellStyle name="Normal 3 19 4 4 3 2 3" xfId="43211" xr:uid="{00000000-0005-0000-0000-0000827B0000}"/>
    <cellStyle name="Normal 3 19 4 4 3 3" xfId="22859" xr:uid="{00000000-0005-0000-0000-0000837B0000}"/>
    <cellStyle name="Normal 3 19 4 4 3 3 2" xfId="49992" xr:uid="{00000000-0005-0000-0000-0000847B0000}"/>
    <cellStyle name="Normal 3 19 4 4 3 4" xfId="36430" xr:uid="{00000000-0005-0000-0000-0000857B0000}"/>
    <cellStyle name="Normal 3 19 4 4 4" xfId="12683" xr:uid="{00000000-0005-0000-0000-0000867B0000}"/>
    <cellStyle name="Normal 3 19 4 4 4 2" xfId="26251" xr:uid="{00000000-0005-0000-0000-0000877B0000}"/>
    <cellStyle name="Normal 3 19 4 4 4 2 2" xfId="53384" xr:uid="{00000000-0005-0000-0000-0000887B0000}"/>
    <cellStyle name="Normal 3 19 4 4 4 3" xfId="39822" xr:uid="{00000000-0005-0000-0000-0000897B0000}"/>
    <cellStyle name="Normal 3 19 4 4 5" xfId="19470" xr:uid="{00000000-0005-0000-0000-00008A7B0000}"/>
    <cellStyle name="Normal 3 19 4 4 5 2" xfId="46603" xr:uid="{00000000-0005-0000-0000-00008B7B0000}"/>
    <cellStyle name="Normal 3 19 4 4 6" xfId="33041" xr:uid="{00000000-0005-0000-0000-00008C7B0000}"/>
    <cellStyle name="Normal 3 19 4 5" xfId="5741" xr:uid="{00000000-0005-0000-0000-00008D7B0000}"/>
    <cellStyle name="Normal 3 19 4 5 2" xfId="9284" xr:uid="{00000000-0005-0000-0000-00008E7B0000}"/>
    <cellStyle name="Normal 3 19 4 5 2 2" xfId="16074" xr:uid="{00000000-0005-0000-0000-00008F7B0000}"/>
    <cellStyle name="Normal 3 19 4 5 2 2 2" xfId="29642" xr:uid="{00000000-0005-0000-0000-0000907B0000}"/>
    <cellStyle name="Normal 3 19 4 5 2 2 2 2" xfId="56775" xr:uid="{00000000-0005-0000-0000-0000917B0000}"/>
    <cellStyle name="Normal 3 19 4 5 2 2 3" xfId="43213" xr:uid="{00000000-0005-0000-0000-0000927B0000}"/>
    <cellStyle name="Normal 3 19 4 5 2 3" xfId="22861" xr:uid="{00000000-0005-0000-0000-0000937B0000}"/>
    <cellStyle name="Normal 3 19 4 5 2 3 2" xfId="49994" xr:uid="{00000000-0005-0000-0000-0000947B0000}"/>
    <cellStyle name="Normal 3 19 4 5 2 4" xfId="36432" xr:uid="{00000000-0005-0000-0000-0000957B0000}"/>
    <cellStyle name="Normal 3 19 4 5 3" xfId="12685" xr:uid="{00000000-0005-0000-0000-0000967B0000}"/>
    <cellStyle name="Normal 3 19 4 5 3 2" xfId="26253" xr:uid="{00000000-0005-0000-0000-0000977B0000}"/>
    <cellStyle name="Normal 3 19 4 5 3 2 2" xfId="53386" xr:uid="{00000000-0005-0000-0000-0000987B0000}"/>
    <cellStyle name="Normal 3 19 4 5 3 3" xfId="39824" xr:uid="{00000000-0005-0000-0000-0000997B0000}"/>
    <cellStyle name="Normal 3 19 4 5 4" xfId="19472" xr:uid="{00000000-0005-0000-0000-00009A7B0000}"/>
    <cellStyle name="Normal 3 19 4 5 4 2" xfId="46605" xr:uid="{00000000-0005-0000-0000-00009B7B0000}"/>
    <cellStyle name="Normal 3 19 4 5 5" xfId="33043" xr:uid="{00000000-0005-0000-0000-00009C7B0000}"/>
    <cellStyle name="Normal 3 19 4 6" xfId="5742" xr:uid="{00000000-0005-0000-0000-00009D7B0000}"/>
    <cellStyle name="Normal 3 19 4 6 2" xfId="9285" xr:uid="{00000000-0005-0000-0000-00009E7B0000}"/>
    <cellStyle name="Normal 3 19 4 6 2 2" xfId="16075" xr:uid="{00000000-0005-0000-0000-00009F7B0000}"/>
    <cellStyle name="Normal 3 19 4 6 2 2 2" xfId="29643" xr:uid="{00000000-0005-0000-0000-0000A07B0000}"/>
    <cellStyle name="Normal 3 19 4 6 2 2 2 2" xfId="56776" xr:uid="{00000000-0005-0000-0000-0000A17B0000}"/>
    <cellStyle name="Normal 3 19 4 6 2 2 3" xfId="43214" xr:uid="{00000000-0005-0000-0000-0000A27B0000}"/>
    <cellStyle name="Normal 3 19 4 6 2 3" xfId="22862" xr:uid="{00000000-0005-0000-0000-0000A37B0000}"/>
    <cellStyle name="Normal 3 19 4 6 2 3 2" xfId="49995" xr:uid="{00000000-0005-0000-0000-0000A47B0000}"/>
    <cellStyle name="Normal 3 19 4 6 2 4" xfId="36433" xr:uid="{00000000-0005-0000-0000-0000A57B0000}"/>
    <cellStyle name="Normal 3 19 4 6 3" xfId="12686" xr:uid="{00000000-0005-0000-0000-0000A67B0000}"/>
    <cellStyle name="Normal 3 19 4 6 3 2" xfId="26254" xr:uid="{00000000-0005-0000-0000-0000A77B0000}"/>
    <cellStyle name="Normal 3 19 4 6 3 2 2" xfId="53387" xr:uid="{00000000-0005-0000-0000-0000A87B0000}"/>
    <cellStyle name="Normal 3 19 4 6 3 3" xfId="39825" xr:uid="{00000000-0005-0000-0000-0000A97B0000}"/>
    <cellStyle name="Normal 3 19 4 6 4" xfId="19473" xr:uid="{00000000-0005-0000-0000-0000AA7B0000}"/>
    <cellStyle name="Normal 3 19 4 6 4 2" xfId="46606" xr:uid="{00000000-0005-0000-0000-0000AB7B0000}"/>
    <cellStyle name="Normal 3 19 4 6 5" xfId="33044" xr:uid="{00000000-0005-0000-0000-0000AC7B0000}"/>
    <cellStyle name="Normal 3 19 4 7" xfId="9270" xr:uid="{00000000-0005-0000-0000-0000AD7B0000}"/>
    <cellStyle name="Normal 3 19 4 7 2" xfId="16060" xr:uid="{00000000-0005-0000-0000-0000AE7B0000}"/>
    <cellStyle name="Normal 3 19 4 7 2 2" xfId="29628" xr:uid="{00000000-0005-0000-0000-0000AF7B0000}"/>
    <cellStyle name="Normal 3 19 4 7 2 2 2" xfId="56761" xr:uid="{00000000-0005-0000-0000-0000B07B0000}"/>
    <cellStyle name="Normal 3 19 4 7 2 3" xfId="43199" xr:uid="{00000000-0005-0000-0000-0000B17B0000}"/>
    <cellStyle name="Normal 3 19 4 7 3" xfId="22847" xr:uid="{00000000-0005-0000-0000-0000B27B0000}"/>
    <cellStyle name="Normal 3 19 4 7 3 2" xfId="49980" xr:uid="{00000000-0005-0000-0000-0000B37B0000}"/>
    <cellStyle name="Normal 3 19 4 7 4" xfId="36418" xr:uid="{00000000-0005-0000-0000-0000B47B0000}"/>
    <cellStyle name="Normal 3 19 4 8" xfId="12671" xr:uid="{00000000-0005-0000-0000-0000B57B0000}"/>
    <cellStyle name="Normal 3 19 4 8 2" xfId="26239" xr:uid="{00000000-0005-0000-0000-0000B67B0000}"/>
    <cellStyle name="Normal 3 19 4 8 2 2" xfId="53372" xr:uid="{00000000-0005-0000-0000-0000B77B0000}"/>
    <cellStyle name="Normal 3 19 4 8 3" xfId="39810" xr:uid="{00000000-0005-0000-0000-0000B87B0000}"/>
    <cellStyle name="Normal 3 19 4 9" xfId="19458" xr:uid="{00000000-0005-0000-0000-0000B97B0000}"/>
    <cellStyle name="Normal 3 19 4 9 2" xfId="46591" xr:uid="{00000000-0005-0000-0000-0000BA7B0000}"/>
    <cellStyle name="Normal 3 19 5" xfId="5743" xr:uid="{00000000-0005-0000-0000-0000BB7B0000}"/>
    <cellStyle name="Normal 3 19 5 2" xfId="5744" xr:uid="{00000000-0005-0000-0000-0000BC7B0000}"/>
    <cellStyle name="Normal 3 19 5 2 2" xfId="5745" xr:uid="{00000000-0005-0000-0000-0000BD7B0000}"/>
    <cellStyle name="Normal 3 19 5 2 2 2" xfId="9288" xr:uid="{00000000-0005-0000-0000-0000BE7B0000}"/>
    <cellStyle name="Normal 3 19 5 2 2 2 2" xfId="16078" xr:uid="{00000000-0005-0000-0000-0000BF7B0000}"/>
    <cellStyle name="Normal 3 19 5 2 2 2 2 2" xfId="29646" xr:uid="{00000000-0005-0000-0000-0000C07B0000}"/>
    <cellStyle name="Normal 3 19 5 2 2 2 2 2 2" xfId="56779" xr:uid="{00000000-0005-0000-0000-0000C17B0000}"/>
    <cellStyle name="Normal 3 19 5 2 2 2 2 3" xfId="43217" xr:uid="{00000000-0005-0000-0000-0000C27B0000}"/>
    <cellStyle name="Normal 3 19 5 2 2 2 3" xfId="22865" xr:uid="{00000000-0005-0000-0000-0000C37B0000}"/>
    <cellStyle name="Normal 3 19 5 2 2 2 3 2" xfId="49998" xr:uid="{00000000-0005-0000-0000-0000C47B0000}"/>
    <cellStyle name="Normal 3 19 5 2 2 2 4" xfId="36436" xr:uid="{00000000-0005-0000-0000-0000C57B0000}"/>
    <cellStyle name="Normal 3 19 5 2 2 3" xfId="12689" xr:uid="{00000000-0005-0000-0000-0000C67B0000}"/>
    <cellStyle name="Normal 3 19 5 2 2 3 2" xfId="26257" xr:uid="{00000000-0005-0000-0000-0000C77B0000}"/>
    <cellStyle name="Normal 3 19 5 2 2 3 2 2" xfId="53390" xr:uid="{00000000-0005-0000-0000-0000C87B0000}"/>
    <cellStyle name="Normal 3 19 5 2 2 3 3" xfId="39828" xr:uid="{00000000-0005-0000-0000-0000C97B0000}"/>
    <cellStyle name="Normal 3 19 5 2 2 4" xfId="19476" xr:uid="{00000000-0005-0000-0000-0000CA7B0000}"/>
    <cellStyle name="Normal 3 19 5 2 2 4 2" xfId="46609" xr:uid="{00000000-0005-0000-0000-0000CB7B0000}"/>
    <cellStyle name="Normal 3 19 5 2 2 5" xfId="33047" xr:uid="{00000000-0005-0000-0000-0000CC7B0000}"/>
    <cellStyle name="Normal 3 19 5 2 3" xfId="5746" xr:uid="{00000000-0005-0000-0000-0000CD7B0000}"/>
    <cellStyle name="Normal 3 19 5 2 3 2" xfId="9289" xr:uid="{00000000-0005-0000-0000-0000CE7B0000}"/>
    <cellStyle name="Normal 3 19 5 2 3 2 2" xfId="16079" xr:uid="{00000000-0005-0000-0000-0000CF7B0000}"/>
    <cellStyle name="Normal 3 19 5 2 3 2 2 2" xfId="29647" xr:uid="{00000000-0005-0000-0000-0000D07B0000}"/>
    <cellStyle name="Normal 3 19 5 2 3 2 2 2 2" xfId="56780" xr:uid="{00000000-0005-0000-0000-0000D17B0000}"/>
    <cellStyle name="Normal 3 19 5 2 3 2 2 3" xfId="43218" xr:uid="{00000000-0005-0000-0000-0000D27B0000}"/>
    <cellStyle name="Normal 3 19 5 2 3 2 3" xfId="22866" xr:uid="{00000000-0005-0000-0000-0000D37B0000}"/>
    <cellStyle name="Normal 3 19 5 2 3 2 3 2" xfId="49999" xr:uid="{00000000-0005-0000-0000-0000D47B0000}"/>
    <cellStyle name="Normal 3 19 5 2 3 2 4" xfId="36437" xr:uid="{00000000-0005-0000-0000-0000D57B0000}"/>
    <cellStyle name="Normal 3 19 5 2 3 3" xfId="12690" xr:uid="{00000000-0005-0000-0000-0000D67B0000}"/>
    <cellStyle name="Normal 3 19 5 2 3 3 2" xfId="26258" xr:uid="{00000000-0005-0000-0000-0000D77B0000}"/>
    <cellStyle name="Normal 3 19 5 2 3 3 2 2" xfId="53391" xr:uid="{00000000-0005-0000-0000-0000D87B0000}"/>
    <cellStyle name="Normal 3 19 5 2 3 3 3" xfId="39829" xr:uid="{00000000-0005-0000-0000-0000D97B0000}"/>
    <cellStyle name="Normal 3 19 5 2 3 4" xfId="19477" xr:uid="{00000000-0005-0000-0000-0000DA7B0000}"/>
    <cellStyle name="Normal 3 19 5 2 3 4 2" xfId="46610" xr:uid="{00000000-0005-0000-0000-0000DB7B0000}"/>
    <cellStyle name="Normal 3 19 5 2 3 5" xfId="33048" xr:uid="{00000000-0005-0000-0000-0000DC7B0000}"/>
    <cellStyle name="Normal 3 19 5 2 4" xfId="9287" xr:uid="{00000000-0005-0000-0000-0000DD7B0000}"/>
    <cellStyle name="Normal 3 19 5 2 4 2" xfId="16077" xr:uid="{00000000-0005-0000-0000-0000DE7B0000}"/>
    <cellStyle name="Normal 3 19 5 2 4 2 2" xfId="29645" xr:uid="{00000000-0005-0000-0000-0000DF7B0000}"/>
    <cellStyle name="Normal 3 19 5 2 4 2 2 2" xfId="56778" xr:uid="{00000000-0005-0000-0000-0000E07B0000}"/>
    <cellStyle name="Normal 3 19 5 2 4 2 3" xfId="43216" xr:uid="{00000000-0005-0000-0000-0000E17B0000}"/>
    <cellStyle name="Normal 3 19 5 2 4 3" xfId="22864" xr:uid="{00000000-0005-0000-0000-0000E27B0000}"/>
    <cellStyle name="Normal 3 19 5 2 4 3 2" xfId="49997" xr:uid="{00000000-0005-0000-0000-0000E37B0000}"/>
    <cellStyle name="Normal 3 19 5 2 4 4" xfId="36435" xr:uid="{00000000-0005-0000-0000-0000E47B0000}"/>
    <cellStyle name="Normal 3 19 5 2 5" xfId="12688" xr:uid="{00000000-0005-0000-0000-0000E57B0000}"/>
    <cellStyle name="Normal 3 19 5 2 5 2" xfId="26256" xr:uid="{00000000-0005-0000-0000-0000E67B0000}"/>
    <cellStyle name="Normal 3 19 5 2 5 2 2" xfId="53389" xr:uid="{00000000-0005-0000-0000-0000E77B0000}"/>
    <cellStyle name="Normal 3 19 5 2 5 3" xfId="39827" xr:uid="{00000000-0005-0000-0000-0000E87B0000}"/>
    <cellStyle name="Normal 3 19 5 2 6" xfId="19475" xr:uid="{00000000-0005-0000-0000-0000E97B0000}"/>
    <cellStyle name="Normal 3 19 5 2 6 2" xfId="46608" xr:uid="{00000000-0005-0000-0000-0000EA7B0000}"/>
    <cellStyle name="Normal 3 19 5 2 7" xfId="33046" xr:uid="{00000000-0005-0000-0000-0000EB7B0000}"/>
    <cellStyle name="Normal 3 19 5 3" xfId="5747" xr:uid="{00000000-0005-0000-0000-0000EC7B0000}"/>
    <cellStyle name="Normal 3 19 5 3 2" xfId="5748" xr:uid="{00000000-0005-0000-0000-0000ED7B0000}"/>
    <cellStyle name="Normal 3 19 5 3 2 2" xfId="9291" xr:uid="{00000000-0005-0000-0000-0000EE7B0000}"/>
    <cellStyle name="Normal 3 19 5 3 2 2 2" xfId="16081" xr:uid="{00000000-0005-0000-0000-0000EF7B0000}"/>
    <cellStyle name="Normal 3 19 5 3 2 2 2 2" xfId="29649" xr:uid="{00000000-0005-0000-0000-0000F07B0000}"/>
    <cellStyle name="Normal 3 19 5 3 2 2 2 2 2" xfId="56782" xr:uid="{00000000-0005-0000-0000-0000F17B0000}"/>
    <cellStyle name="Normal 3 19 5 3 2 2 2 3" xfId="43220" xr:uid="{00000000-0005-0000-0000-0000F27B0000}"/>
    <cellStyle name="Normal 3 19 5 3 2 2 3" xfId="22868" xr:uid="{00000000-0005-0000-0000-0000F37B0000}"/>
    <cellStyle name="Normal 3 19 5 3 2 2 3 2" xfId="50001" xr:uid="{00000000-0005-0000-0000-0000F47B0000}"/>
    <cellStyle name="Normal 3 19 5 3 2 2 4" xfId="36439" xr:uid="{00000000-0005-0000-0000-0000F57B0000}"/>
    <cellStyle name="Normal 3 19 5 3 2 3" xfId="12692" xr:uid="{00000000-0005-0000-0000-0000F67B0000}"/>
    <cellStyle name="Normal 3 19 5 3 2 3 2" xfId="26260" xr:uid="{00000000-0005-0000-0000-0000F77B0000}"/>
    <cellStyle name="Normal 3 19 5 3 2 3 2 2" xfId="53393" xr:uid="{00000000-0005-0000-0000-0000F87B0000}"/>
    <cellStyle name="Normal 3 19 5 3 2 3 3" xfId="39831" xr:uid="{00000000-0005-0000-0000-0000F97B0000}"/>
    <cellStyle name="Normal 3 19 5 3 2 4" xfId="19479" xr:uid="{00000000-0005-0000-0000-0000FA7B0000}"/>
    <cellStyle name="Normal 3 19 5 3 2 4 2" xfId="46612" xr:uid="{00000000-0005-0000-0000-0000FB7B0000}"/>
    <cellStyle name="Normal 3 19 5 3 2 5" xfId="33050" xr:uid="{00000000-0005-0000-0000-0000FC7B0000}"/>
    <cellStyle name="Normal 3 19 5 3 3" xfId="9290" xr:uid="{00000000-0005-0000-0000-0000FD7B0000}"/>
    <cellStyle name="Normal 3 19 5 3 3 2" xfId="16080" xr:uid="{00000000-0005-0000-0000-0000FE7B0000}"/>
    <cellStyle name="Normal 3 19 5 3 3 2 2" xfId="29648" xr:uid="{00000000-0005-0000-0000-0000FF7B0000}"/>
    <cellStyle name="Normal 3 19 5 3 3 2 2 2" xfId="56781" xr:uid="{00000000-0005-0000-0000-0000007C0000}"/>
    <cellStyle name="Normal 3 19 5 3 3 2 3" xfId="43219" xr:uid="{00000000-0005-0000-0000-0000017C0000}"/>
    <cellStyle name="Normal 3 19 5 3 3 3" xfId="22867" xr:uid="{00000000-0005-0000-0000-0000027C0000}"/>
    <cellStyle name="Normal 3 19 5 3 3 3 2" xfId="50000" xr:uid="{00000000-0005-0000-0000-0000037C0000}"/>
    <cellStyle name="Normal 3 19 5 3 3 4" xfId="36438" xr:uid="{00000000-0005-0000-0000-0000047C0000}"/>
    <cellStyle name="Normal 3 19 5 3 4" xfId="12691" xr:uid="{00000000-0005-0000-0000-0000057C0000}"/>
    <cellStyle name="Normal 3 19 5 3 4 2" xfId="26259" xr:uid="{00000000-0005-0000-0000-0000067C0000}"/>
    <cellStyle name="Normal 3 19 5 3 4 2 2" xfId="53392" xr:uid="{00000000-0005-0000-0000-0000077C0000}"/>
    <cellStyle name="Normal 3 19 5 3 4 3" xfId="39830" xr:uid="{00000000-0005-0000-0000-0000087C0000}"/>
    <cellStyle name="Normal 3 19 5 3 5" xfId="19478" xr:uid="{00000000-0005-0000-0000-0000097C0000}"/>
    <cellStyle name="Normal 3 19 5 3 5 2" xfId="46611" xr:uid="{00000000-0005-0000-0000-00000A7C0000}"/>
    <cellStyle name="Normal 3 19 5 3 6" xfId="33049" xr:uid="{00000000-0005-0000-0000-00000B7C0000}"/>
    <cellStyle name="Normal 3 19 5 4" xfId="5749" xr:uid="{00000000-0005-0000-0000-00000C7C0000}"/>
    <cellStyle name="Normal 3 19 5 4 2" xfId="9292" xr:uid="{00000000-0005-0000-0000-00000D7C0000}"/>
    <cellStyle name="Normal 3 19 5 4 2 2" xfId="16082" xr:uid="{00000000-0005-0000-0000-00000E7C0000}"/>
    <cellStyle name="Normal 3 19 5 4 2 2 2" xfId="29650" xr:uid="{00000000-0005-0000-0000-00000F7C0000}"/>
    <cellStyle name="Normal 3 19 5 4 2 2 2 2" xfId="56783" xr:uid="{00000000-0005-0000-0000-0000107C0000}"/>
    <cellStyle name="Normal 3 19 5 4 2 2 3" xfId="43221" xr:uid="{00000000-0005-0000-0000-0000117C0000}"/>
    <cellStyle name="Normal 3 19 5 4 2 3" xfId="22869" xr:uid="{00000000-0005-0000-0000-0000127C0000}"/>
    <cellStyle name="Normal 3 19 5 4 2 3 2" xfId="50002" xr:uid="{00000000-0005-0000-0000-0000137C0000}"/>
    <cellStyle name="Normal 3 19 5 4 2 4" xfId="36440" xr:uid="{00000000-0005-0000-0000-0000147C0000}"/>
    <cellStyle name="Normal 3 19 5 4 3" xfId="12693" xr:uid="{00000000-0005-0000-0000-0000157C0000}"/>
    <cellStyle name="Normal 3 19 5 4 3 2" xfId="26261" xr:uid="{00000000-0005-0000-0000-0000167C0000}"/>
    <cellStyle name="Normal 3 19 5 4 3 2 2" xfId="53394" xr:uid="{00000000-0005-0000-0000-0000177C0000}"/>
    <cellStyle name="Normal 3 19 5 4 3 3" xfId="39832" xr:uid="{00000000-0005-0000-0000-0000187C0000}"/>
    <cellStyle name="Normal 3 19 5 4 4" xfId="19480" xr:uid="{00000000-0005-0000-0000-0000197C0000}"/>
    <cellStyle name="Normal 3 19 5 4 4 2" xfId="46613" xr:uid="{00000000-0005-0000-0000-00001A7C0000}"/>
    <cellStyle name="Normal 3 19 5 4 5" xfId="33051" xr:uid="{00000000-0005-0000-0000-00001B7C0000}"/>
    <cellStyle name="Normal 3 19 5 5" xfId="5750" xr:uid="{00000000-0005-0000-0000-00001C7C0000}"/>
    <cellStyle name="Normal 3 19 5 5 2" xfId="9293" xr:uid="{00000000-0005-0000-0000-00001D7C0000}"/>
    <cellStyle name="Normal 3 19 5 5 2 2" xfId="16083" xr:uid="{00000000-0005-0000-0000-00001E7C0000}"/>
    <cellStyle name="Normal 3 19 5 5 2 2 2" xfId="29651" xr:uid="{00000000-0005-0000-0000-00001F7C0000}"/>
    <cellStyle name="Normal 3 19 5 5 2 2 2 2" xfId="56784" xr:uid="{00000000-0005-0000-0000-0000207C0000}"/>
    <cellStyle name="Normal 3 19 5 5 2 2 3" xfId="43222" xr:uid="{00000000-0005-0000-0000-0000217C0000}"/>
    <cellStyle name="Normal 3 19 5 5 2 3" xfId="22870" xr:uid="{00000000-0005-0000-0000-0000227C0000}"/>
    <cellStyle name="Normal 3 19 5 5 2 3 2" xfId="50003" xr:uid="{00000000-0005-0000-0000-0000237C0000}"/>
    <cellStyle name="Normal 3 19 5 5 2 4" xfId="36441" xr:uid="{00000000-0005-0000-0000-0000247C0000}"/>
    <cellStyle name="Normal 3 19 5 5 3" xfId="12694" xr:uid="{00000000-0005-0000-0000-0000257C0000}"/>
    <cellStyle name="Normal 3 19 5 5 3 2" xfId="26262" xr:uid="{00000000-0005-0000-0000-0000267C0000}"/>
    <cellStyle name="Normal 3 19 5 5 3 2 2" xfId="53395" xr:uid="{00000000-0005-0000-0000-0000277C0000}"/>
    <cellStyle name="Normal 3 19 5 5 3 3" xfId="39833" xr:uid="{00000000-0005-0000-0000-0000287C0000}"/>
    <cellStyle name="Normal 3 19 5 5 4" xfId="19481" xr:uid="{00000000-0005-0000-0000-0000297C0000}"/>
    <cellStyle name="Normal 3 19 5 5 4 2" xfId="46614" xr:uid="{00000000-0005-0000-0000-00002A7C0000}"/>
    <cellStyle name="Normal 3 19 5 5 5" xfId="33052" xr:uid="{00000000-0005-0000-0000-00002B7C0000}"/>
    <cellStyle name="Normal 3 19 5 6" xfId="9286" xr:uid="{00000000-0005-0000-0000-00002C7C0000}"/>
    <cellStyle name="Normal 3 19 5 6 2" xfId="16076" xr:uid="{00000000-0005-0000-0000-00002D7C0000}"/>
    <cellStyle name="Normal 3 19 5 6 2 2" xfId="29644" xr:uid="{00000000-0005-0000-0000-00002E7C0000}"/>
    <cellStyle name="Normal 3 19 5 6 2 2 2" xfId="56777" xr:uid="{00000000-0005-0000-0000-00002F7C0000}"/>
    <cellStyle name="Normal 3 19 5 6 2 3" xfId="43215" xr:uid="{00000000-0005-0000-0000-0000307C0000}"/>
    <cellStyle name="Normal 3 19 5 6 3" xfId="22863" xr:uid="{00000000-0005-0000-0000-0000317C0000}"/>
    <cellStyle name="Normal 3 19 5 6 3 2" xfId="49996" xr:uid="{00000000-0005-0000-0000-0000327C0000}"/>
    <cellStyle name="Normal 3 19 5 6 4" xfId="36434" xr:uid="{00000000-0005-0000-0000-0000337C0000}"/>
    <cellStyle name="Normal 3 19 5 7" xfId="12687" xr:uid="{00000000-0005-0000-0000-0000347C0000}"/>
    <cellStyle name="Normal 3 19 5 7 2" xfId="26255" xr:uid="{00000000-0005-0000-0000-0000357C0000}"/>
    <cellStyle name="Normal 3 19 5 7 2 2" xfId="53388" xr:uid="{00000000-0005-0000-0000-0000367C0000}"/>
    <cellStyle name="Normal 3 19 5 7 3" xfId="39826" xr:uid="{00000000-0005-0000-0000-0000377C0000}"/>
    <cellStyle name="Normal 3 19 5 8" xfId="19474" xr:uid="{00000000-0005-0000-0000-0000387C0000}"/>
    <cellStyle name="Normal 3 19 5 8 2" xfId="46607" xr:uid="{00000000-0005-0000-0000-0000397C0000}"/>
    <cellStyle name="Normal 3 19 5 9" xfId="33045" xr:uid="{00000000-0005-0000-0000-00003A7C0000}"/>
    <cellStyle name="Normal 3 19 6" xfId="5751" xr:uid="{00000000-0005-0000-0000-00003B7C0000}"/>
    <cellStyle name="Normal 3 19 6 2" xfId="5752" xr:uid="{00000000-0005-0000-0000-00003C7C0000}"/>
    <cellStyle name="Normal 3 19 6 2 2" xfId="5753" xr:uid="{00000000-0005-0000-0000-00003D7C0000}"/>
    <cellStyle name="Normal 3 19 6 2 2 2" xfId="9296" xr:uid="{00000000-0005-0000-0000-00003E7C0000}"/>
    <cellStyle name="Normal 3 19 6 2 2 2 2" xfId="16086" xr:uid="{00000000-0005-0000-0000-00003F7C0000}"/>
    <cellStyle name="Normal 3 19 6 2 2 2 2 2" xfId="29654" xr:uid="{00000000-0005-0000-0000-0000407C0000}"/>
    <cellStyle name="Normal 3 19 6 2 2 2 2 2 2" xfId="56787" xr:uid="{00000000-0005-0000-0000-0000417C0000}"/>
    <cellStyle name="Normal 3 19 6 2 2 2 2 3" xfId="43225" xr:uid="{00000000-0005-0000-0000-0000427C0000}"/>
    <cellStyle name="Normal 3 19 6 2 2 2 3" xfId="22873" xr:uid="{00000000-0005-0000-0000-0000437C0000}"/>
    <cellStyle name="Normal 3 19 6 2 2 2 3 2" xfId="50006" xr:uid="{00000000-0005-0000-0000-0000447C0000}"/>
    <cellStyle name="Normal 3 19 6 2 2 2 4" xfId="36444" xr:uid="{00000000-0005-0000-0000-0000457C0000}"/>
    <cellStyle name="Normal 3 19 6 2 2 3" xfId="12697" xr:uid="{00000000-0005-0000-0000-0000467C0000}"/>
    <cellStyle name="Normal 3 19 6 2 2 3 2" xfId="26265" xr:uid="{00000000-0005-0000-0000-0000477C0000}"/>
    <cellStyle name="Normal 3 19 6 2 2 3 2 2" xfId="53398" xr:uid="{00000000-0005-0000-0000-0000487C0000}"/>
    <cellStyle name="Normal 3 19 6 2 2 3 3" xfId="39836" xr:uid="{00000000-0005-0000-0000-0000497C0000}"/>
    <cellStyle name="Normal 3 19 6 2 2 4" xfId="19484" xr:uid="{00000000-0005-0000-0000-00004A7C0000}"/>
    <cellStyle name="Normal 3 19 6 2 2 4 2" xfId="46617" xr:uid="{00000000-0005-0000-0000-00004B7C0000}"/>
    <cellStyle name="Normal 3 19 6 2 2 5" xfId="33055" xr:uid="{00000000-0005-0000-0000-00004C7C0000}"/>
    <cellStyle name="Normal 3 19 6 2 3" xfId="5754" xr:uid="{00000000-0005-0000-0000-00004D7C0000}"/>
    <cellStyle name="Normal 3 19 6 2 3 2" xfId="9297" xr:uid="{00000000-0005-0000-0000-00004E7C0000}"/>
    <cellStyle name="Normal 3 19 6 2 3 2 2" xfId="16087" xr:uid="{00000000-0005-0000-0000-00004F7C0000}"/>
    <cellStyle name="Normal 3 19 6 2 3 2 2 2" xfId="29655" xr:uid="{00000000-0005-0000-0000-0000507C0000}"/>
    <cellStyle name="Normal 3 19 6 2 3 2 2 2 2" xfId="56788" xr:uid="{00000000-0005-0000-0000-0000517C0000}"/>
    <cellStyle name="Normal 3 19 6 2 3 2 2 3" xfId="43226" xr:uid="{00000000-0005-0000-0000-0000527C0000}"/>
    <cellStyle name="Normal 3 19 6 2 3 2 3" xfId="22874" xr:uid="{00000000-0005-0000-0000-0000537C0000}"/>
    <cellStyle name="Normal 3 19 6 2 3 2 3 2" xfId="50007" xr:uid="{00000000-0005-0000-0000-0000547C0000}"/>
    <cellStyle name="Normal 3 19 6 2 3 2 4" xfId="36445" xr:uid="{00000000-0005-0000-0000-0000557C0000}"/>
    <cellStyle name="Normal 3 19 6 2 3 3" xfId="12698" xr:uid="{00000000-0005-0000-0000-0000567C0000}"/>
    <cellStyle name="Normal 3 19 6 2 3 3 2" xfId="26266" xr:uid="{00000000-0005-0000-0000-0000577C0000}"/>
    <cellStyle name="Normal 3 19 6 2 3 3 2 2" xfId="53399" xr:uid="{00000000-0005-0000-0000-0000587C0000}"/>
    <cellStyle name="Normal 3 19 6 2 3 3 3" xfId="39837" xr:uid="{00000000-0005-0000-0000-0000597C0000}"/>
    <cellStyle name="Normal 3 19 6 2 3 4" xfId="19485" xr:uid="{00000000-0005-0000-0000-00005A7C0000}"/>
    <cellStyle name="Normal 3 19 6 2 3 4 2" xfId="46618" xr:uid="{00000000-0005-0000-0000-00005B7C0000}"/>
    <cellStyle name="Normal 3 19 6 2 3 5" xfId="33056" xr:uid="{00000000-0005-0000-0000-00005C7C0000}"/>
    <cellStyle name="Normal 3 19 6 2 4" xfId="9295" xr:uid="{00000000-0005-0000-0000-00005D7C0000}"/>
    <cellStyle name="Normal 3 19 6 2 4 2" xfId="16085" xr:uid="{00000000-0005-0000-0000-00005E7C0000}"/>
    <cellStyle name="Normal 3 19 6 2 4 2 2" xfId="29653" xr:uid="{00000000-0005-0000-0000-00005F7C0000}"/>
    <cellStyle name="Normal 3 19 6 2 4 2 2 2" xfId="56786" xr:uid="{00000000-0005-0000-0000-0000607C0000}"/>
    <cellStyle name="Normal 3 19 6 2 4 2 3" xfId="43224" xr:uid="{00000000-0005-0000-0000-0000617C0000}"/>
    <cellStyle name="Normal 3 19 6 2 4 3" xfId="22872" xr:uid="{00000000-0005-0000-0000-0000627C0000}"/>
    <cellStyle name="Normal 3 19 6 2 4 3 2" xfId="50005" xr:uid="{00000000-0005-0000-0000-0000637C0000}"/>
    <cellStyle name="Normal 3 19 6 2 4 4" xfId="36443" xr:uid="{00000000-0005-0000-0000-0000647C0000}"/>
    <cellStyle name="Normal 3 19 6 2 5" xfId="12696" xr:uid="{00000000-0005-0000-0000-0000657C0000}"/>
    <cellStyle name="Normal 3 19 6 2 5 2" xfId="26264" xr:uid="{00000000-0005-0000-0000-0000667C0000}"/>
    <cellStyle name="Normal 3 19 6 2 5 2 2" xfId="53397" xr:uid="{00000000-0005-0000-0000-0000677C0000}"/>
    <cellStyle name="Normal 3 19 6 2 5 3" xfId="39835" xr:uid="{00000000-0005-0000-0000-0000687C0000}"/>
    <cellStyle name="Normal 3 19 6 2 6" xfId="19483" xr:uid="{00000000-0005-0000-0000-0000697C0000}"/>
    <cellStyle name="Normal 3 19 6 2 6 2" xfId="46616" xr:uid="{00000000-0005-0000-0000-00006A7C0000}"/>
    <cellStyle name="Normal 3 19 6 2 7" xfId="33054" xr:uid="{00000000-0005-0000-0000-00006B7C0000}"/>
    <cellStyle name="Normal 3 19 6 3" xfId="5755" xr:uid="{00000000-0005-0000-0000-00006C7C0000}"/>
    <cellStyle name="Normal 3 19 6 3 2" xfId="9298" xr:uid="{00000000-0005-0000-0000-00006D7C0000}"/>
    <cellStyle name="Normal 3 19 6 3 2 2" xfId="16088" xr:uid="{00000000-0005-0000-0000-00006E7C0000}"/>
    <cellStyle name="Normal 3 19 6 3 2 2 2" xfId="29656" xr:uid="{00000000-0005-0000-0000-00006F7C0000}"/>
    <cellStyle name="Normal 3 19 6 3 2 2 2 2" xfId="56789" xr:uid="{00000000-0005-0000-0000-0000707C0000}"/>
    <cellStyle name="Normal 3 19 6 3 2 2 3" xfId="43227" xr:uid="{00000000-0005-0000-0000-0000717C0000}"/>
    <cellStyle name="Normal 3 19 6 3 2 3" xfId="22875" xr:uid="{00000000-0005-0000-0000-0000727C0000}"/>
    <cellStyle name="Normal 3 19 6 3 2 3 2" xfId="50008" xr:uid="{00000000-0005-0000-0000-0000737C0000}"/>
    <cellStyle name="Normal 3 19 6 3 2 4" xfId="36446" xr:uid="{00000000-0005-0000-0000-0000747C0000}"/>
    <cellStyle name="Normal 3 19 6 3 3" xfId="12699" xr:uid="{00000000-0005-0000-0000-0000757C0000}"/>
    <cellStyle name="Normal 3 19 6 3 3 2" xfId="26267" xr:uid="{00000000-0005-0000-0000-0000767C0000}"/>
    <cellStyle name="Normal 3 19 6 3 3 2 2" xfId="53400" xr:uid="{00000000-0005-0000-0000-0000777C0000}"/>
    <cellStyle name="Normal 3 19 6 3 3 3" xfId="39838" xr:uid="{00000000-0005-0000-0000-0000787C0000}"/>
    <cellStyle name="Normal 3 19 6 3 4" xfId="19486" xr:uid="{00000000-0005-0000-0000-0000797C0000}"/>
    <cellStyle name="Normal 3 19 6 3 4 2" xfId="46619" xr:uid="{00000000-0005-0000-0000-00007A7C0000}"/>
    <cellStyle name="Normal 3 19 6 3 5" xfId="33057" xr:uid="{00000000-0005-0000-0000-00007B7C0000}"/>
    <cellStyle name="Normal 3 19 6 4" xfId="5756" xr:uid="{00000000-0005-0000-0000-00007C7C0000}"/>
    <cellStyle name="Normal 3 19 6 4 2" xfId="9299" xr:uid="{00000000-0005-0000-0000-00007D7C0000}"/>
    <cellStyle name="Normal 3 19 6 4 2 2" xfId="16089" xr:uid="{00000000-0005-0000-0000-00007E7C0000}"/>
    <cellStyle name="Normal 3 19 6 4 2 2 2" xfId="29657" xr:uid="{00000000-0005-0000-0000-00007F7C0000}"/>
    <cellStyle name="Normal 3 19 6 4 2 2 2 2" xfId="56790" xr:uid="{00000000-0005-0000-0000-0000807C0000}"/>
    <cellStyle name="Normal 3 19 6 4 2 2 3" xfId="43228" xr:uid="{00000000-0005-0000-0000-0000817C0000}"/>
    <cellStyle name="Normal 3 19 6 4 2 3" xfId="22876" xr:uid="{00000000-0005-0000-0000-0000827C0000}"/>
    <cellStyle name="Normal 3 19 6 4 2 3 2" xfId="50009" xr:uid="{00000000-0005-0000-0000-0000837C0000}"/>
    <cellStyle name="Normal 3 19 6 4 2 4" xfId="36447" xr:uid="{00000000-0005-0000-0000-0000847C0000}"/>
    <cellStyle name="Normal 3 19 6 4 3" xfId="12700" xr:uid="{00000000-0005-0000-0000-0000857C0000}"/>
    <cellStyle name="Normal 3 19 6 4 3 2" xfId="26268" xr:uid="{00000000-0005-0000-0000-0000867C0000}"/>
    <cellStyle name="Normal 3 19 6 4 3 2 2" xfId="53401" xr:uid="{00000000-0005-0000-0000-0000877C0000}"/>
    <cellStyle name="Normal 3 19 6 4 3 3" xfId="39839" xr:uid="{00000000-0005-0000-0000-0000887C0000}"/>
    <cellStyle name="Normal 3 19 6 4 4" xfId="19487" xr:uid="{00000000-0005-0000-0000-0000897C0000}"/>
    <cellStyle name="Normal 3 19 6 4 4 2" xfId="46620" xr:uid="{00000000-0005-0000-0000-00008A7C0000}"/>
    <cellStyle name="Normal 3 19 6 4 5" xfId="33058" xr:uid="{00000000-0005-0000-0000-00008B7C0000}"/>
    <cellStyle name="Normal 3 19 6 5" xfId="9294" xr:uid="{00000000-0005-0000-0000-00008C7C0000}"/>
    <cellStyle name="Normal 3 19 6 5 2" xfId="16084" xr:uid="{00000000-0005-0000-0000-00008D7C0000}"/>
    <cellStyle name="Normal 3 19 6 5 2 2" xfId="29652" xr:uid="{00000000-0005-0000-0000-00008E7C0000}"/>
    <cellStyle name="Normal 3 19 6 5 2 2 2" xfId="56785" xr:uid="{00000000-0005-0000-0000-00008F7C0000}"/>
    <cellStyle name="Normal 3 19 6 5 2 3" xfId="43223" xr:uid="{00000000-0005-0000-0000-0000907C0000}"/>
    <cellStyle name="Normal 3 19 6 5 3" xfId="22871" xr:uid="{00000000-0005-0000-0000-0000917C0000}"/>
    <cellStyle name="Normal 3 19 6 5 3 2" xfId="50004" xr:uid="{00000000-0005-0000-0000-0000927C0000}"/>
    <cellStyle name="Normal 3 19 6 5 4" xfId="36442" xr:uid="{00000000-0005-0000-0000-0000937C0000}"/>
    <cellStyle name="Normal 3 19 6 6" xfId="12695" xr:uid="{00000000-0005-0000-0000-0000947C0000}"/>
    <cellStyle name="Normal 3 19 6 6 2" xfId="26263" xr:uid="{00000000-0005-0000-0000-0000957C0000}"/>
    <cellStyle name="Normal 3 19 6 6 2 2" xfId="53396" xr:uid="{00000000-0005-0000-0000-0000967C0000}"/>
    <cellStyle name="Normal 3 19 6 6 3" xfId="39834" xr:uid="{00000000-0005-0000-0000-0000977C0000}"/>
    <cellStyle name="Normal 3 19 6 7" xfId="19482" xr:uid="{00000000-0005-0000-0000-0000987C0000}"/>
    <cellStyle name="Normal 3 19 6 7 2" xfId="46615" xr:uid="{00000000-0005-0000-0000-0000997C0000}"/>
    <cellStyle name="Normal 3 19 6 8" xfId="33053" xr:uid="{00000000-0005-0000-0000-00009A7C0000}"/>
    <cellStyle name="Normal 3 19 7" xfId="5757" xr:uid="{00000000-0005-0000-0000-00009B7C0000}"/>
    <cellStyle name="Normal 3 19 7 2" xfId="5758" xr:uid="{00000000-0005-0000-0000-00009C7C0000}"/>
    <cellStyle name="Normal 3 19 7 2 2" xfId="5759" xr:uid="{00000000-0005-0000-0000-00009D7C0000}"/>
    <cellStyle name="Normal 3 19 7 2 2 2" xfId="9302" xr:uid="{00000000-0005-0000-0000-00009E7C0000}"/>
    <cellStyle name="Normal 3 19 7 2 2 2 2" xfId="16092" xr:uid="{00000000-0005-0000-0000-00009F7C0000}"/>
    <cellStyle name="Normal 3 19 7 2 2 2 2 2" xfId="29660" xr:uid="{00000000-0005-0000-0000-0000A07C0000}"/>
    <cellStyle name="Normal 3 19 7 2 2 2 2 2 2" xfId="56793" xr:uid="{00000000-0005-0000-0000-0000A17C0000}"/>
    <cellStyle name="Normal 3 19 7 2 2 2 2 3" xfId="43231" xr:uid="{00000000-0005-0000-0000-0000A27C0000}"/>
    <cellStyle name="Normal 3 19 7 2 2 2 3" xfId="22879" xr:uid="{00000000-0005-0000-0000-0000A37C0000}"/>
    <cellStyle name="Normal 3 19 7 2 2 2 3 2" xfId="50012" xr:uid="{00000000-0005-0000-0000-0000A47C0000}"/>
    <cellStyle name="Normal 3 19 7 2 2 2 4" xfId="36450" xr:uid="{00000000-0005-0000-0000-0000A57C0000}"/>
    <cellStyle name="Normal 3 19 7 2 2 3" xfId="12703" xr:uid="{00000000-0005-0000-0000-0000A67C0000}"/>
    <cellStyle name="Normal 3 19 7 2 2 3 2" xfId="26271" xr:uid="{00000000-0005-0000-0000-0000A77C0000}"/>
    <cellStyle name="Normal 3 19 7 2 2 3 2 2" xfId="53404" xr:uid="{00000000-0005-0000-0000-0000A87C0000}"/>
    <cellStyle name="Normal 3 19 7 2 2 3 3" xfId="39842" xr:uid="{00000000-0005-0000-0000-0000A97C0000}"/>
    <cellStyle name="Normal 3 19 7 2 2 4" xfId="19490" xr:uid="{00000000-0005-0000-0000-0000AA7C0000}"/>
    <cellStyle name="Normal 3 19 7 2 2 4 2" xfId="46623" xr:uid="{00000000-0005-0000-0000-0000AB7C0000}"/>
    <cellStyle name="Normal 3 19 7 2 2 5" xfId="33061" xr:uid="{00000000-0005-0000-0000-0000AC7C0000}"/>
    <cellStyle name="Normal 3 19 7 2 3" xfId="5760" xr:uid="{00000000-0005-0000-0000-0000AD7C0000}"/>
    <cellStyle name="Normal 3 19 7 2 3 2" xfId="9303" xr:uid="{00000000-0005-0000-0000-0000AE7C0000}"/>
    <cellStyle name="Normal 3 19 7 2 3 2 2" xfId="16093" xr:uid="{00000000-0005-0000-0000-0000AF7C0000}"/>
    <cellStyle name="Normal 3 19 7 2 3 2 2 2" xfId="29661" xr:uid="{00000000-0005-0000-0000-0000B07C0000}"/>
    <cellStyle name="Normal 3 19 7 2 3 2 2 2 2" xfId="56794" xr:uid="{00000000-0005-0000-0000-0000B17C0000}"/>
    <cellStyle name="Normal 3 19 7 2 3 2 2 3" xfId="43232" xr:uid="{00000000-0005-0000-0000-0000B27C0000}"/>
    <cellStyle name="Normal 3 19 7 2 3 2 3" xfId="22880" xr:uid="{00000000-0005-0000-0000-0000B37C0000}"/>
    <cellStyle name="Normal 3 19 7 2 3 2 3 2" xfId="50013" xr:uid="{00000000-0005-0000-0000-0000B47C0000}"/>
    <cellStyle name="Normal 3 19 7 2 3 2 4" xfId="36451" xr:uid="{00000000-0005-0000-0000-0000B57C0000}"/>
    <cellStyle name="Normal 3 19 7 2 3 3" xfId="12704" xr:uid="{00000000-0005-0000-0000-0000B67C0000}"/>
    <cellStyle name="Normal 3 19 7 2 3 3 2" xfId="26272" xr:uid="{00000000-0005-0000-0000-0000B77C0000}"/>
    <cellStyle name="Normal 3 19 7 2 3 3 2 2" xfId="53405" xr:uid="{00000000-0005-0000-0000-0000B87C0000}"/>
    <cellStyle name="Normal 3 19 7 2 3 3 3" xfId="39843" xr:uid="{00000000-0005-0000-0000-0000B97C0000}"/>
    <cellStyle name="Normal 3 19 7 2 3 4" xfId="19491" xr:uid="{00000000-0005-0000-0000-0000BA7C0000}"/>
    <cellStyle name="Normal 3 19 7 2 3 4 2" xfId="46624" xr:uid="{00000000-0005-0000-0000-0000BB7C0000}"/>
    <cellStyle name="Normal 3 19 7 2 3 5" xfId="33062" xr:uid="{00000000-0005-0000-0000-0000BC7C0000}"/>
    <cellStyle name="Normal 3 19 7 2 4" xfId="9301" xr:uid="{00000000-0005-0000-0000-0000BD7C0000}"/>
    <cellStyle name="Normal 3 19 7 2 4 2" xfId="16091" xr:uid="{00000000-0005-0000-0000-0000BE7C0000}"/>
    <cellStyle name="Normal 3 19 7 2 4 2 2" xfId="29659" xr:uid="{00000000-0005-0000-0000-0000BF7C0000}"/>
    <cellStyle name="Normal 3 19 7 2 4 2 2 2" xfId="56792" xr:uid="{00000000-0005-0000-0000-0000C07C0000}"/>
    <cellStyle name="Normal 3 19 7 2 4 2 3" xfId="43230" xr:uid="{00000000-0005-0000-0000-0000C17C0000}"/>
    <cellStyle name="Normal 3 19 7 2 4 3" xfId="22878" xr:uid="{00000000-0005-0000-0000-0000C27C0000}"/>
    <cellStyle name="Normal 3 19 7 2 4 3 2" xfId="50011" xr:uid="{00000000-0005-0000-0000-0000C37C0000}"/>
    <cellStyle name="Normal 3 19 7 2 4 4" xfId="36449" xr:uid="{00000000-0005-0000-0000-0000C47C0000}"/>
    <cellStyle name="Normal 3 19 7 2 5" xfId="12702" xr:uid="{00000000-0005-0000-0000-0000C57C0000}"/>
    <cellStyle name="Normal 3 19 7 2 5 2" xfId="26270" xr:uid="{00000000-0005-0000-0000-0000C67C0000}"/>
    <cellStyle name="Normal 3 19 7 2 5 2 2" xfId="53403" xr:uid="{00000000-0005-0000-0000-0000C77C0000}"/>
    <cellStyle name="Normal 3 19 7 2 5 3" xfId="39841" xr:uid="{00000000-0005-0000-0000-0000C87C0000}"/>
    <cellStyle name="Normal 3 19 7 2 6" xfId="19489" xr:uid="{00000000-0005-0000-0000-0000C97C0000}"/>
    <cellStyle name="Normal 3 19 7 2 6 2" xfId="46622" xr:uid="{00000000-0005-0000-0000-0000CA7C0000}"/>
    <cellStyle name="Normal 3 19 7 2 7" xfId="33060" xr:uid="{00000000-0005-0000-0000-0000CB7C0000}"/>
    <cellStyle name="Normal 3 19 7 3" xfId="5761" xr:uid="{00000000-0005-0000-0000-0000CC7C0000}"/>
    <cellStyle name="Normal 3 19 7 3 2" xfId="9304" xr:uid="{00000000-0005-0000-0000-0000CD7C0000}"/>
    <cellStyle name="Normal 3 19 7 3 2 2" xfId="16094" xr:uid="{00000000-0005-0000-0000-0000CE7C0000}"/>
    <cellStyle name="Normal 3 19 7 3 2 2 2" xfId="29662" xr:uid="{00000000-0005-0000-0000-0000CF7C0000}"/>
    <cellStyle name="Normal 3 19 7 3 2 2 2 2" xfId="56795" xr:uid="{00000000-0005-0000-0000-0000D07C0000}"/>
    <cellStyle name="Normal 3 19 7 3 2 2 3" xfId="43233" xr:uid="{00000000-0005-0000-0000-0000D17C0000}"/>
    <cellStyle name="Normal 3 19 7 3 2 3" xfId="22881" xr:uid="{00000000-0005-0000-0000-0000D27C0000}"/>
    <cellStyle name="Normal 3 19 7 3 2 3 2" xfId="50014" xr:uid="{00000000-0005-0000-0000-0000D37C0000}"/>
    <cellStyle name="Normal 3 19 7 3 2 4" xfId="36452" xr:uid="{00000000-0005-0000-0000-0000D47C0000}"/>
    <cellStyle name="Normal 3 19 7 3 3" xfId="12705" xr:uid="{00000000-0005-0000-0000-0000D57C0000}"/>
    <cellStyle name="Normal 3 19 7 3 3 2" xfId="26273" xr:uid="{00000000-0005-0000-0000-0000D67C0000}"/>
    <cellStyle name="Normal 3 19 7 3 3 2 2" xfId="53406" xr:uid="{00000000-0005-0000-0000-0000D77C0000}"/>
    <cellStyle name="Normal 3 19 7 3 3 3" xfId="39844" xr:uid="{00000000-0005-0000-0000-0000D87C0000}"/>
    <cellStyle name="Normal 3 19 7 3 4" xfId="19492" xr:uid="{00000000-0005-0000-0000-0000D97C0000}"/>
    <cellStyle name="Normal 3 19 7 3 4 2" xfId="46625" xr:uid="{00000000-0005-0000-0000-0000DA7C0000}"/>
    <cellStyle name="Normal 3 19 7 3 5" xfId="33063" xr:uid="{00000000-0005-0000-0000-0000DB7C0000}"/>
    <cellStyle name="Normal 3 19 7 4" xfId="5762" xr:uid="{00000000-0005-0000-0000-0000DC7C0000}"/>
    <cellStyle name="Normal 3 19 7 4 2" xfId="9305" xr:uid="{00000000-0005-0000-0000-0000DD7C0000}"/>
    <cellStyle name="Normal 3 19 7 4 2 2" xfId="16095" xr:uid="{00000000-0005-0000-0000-0000DE7C0000}"/>
    <cellStyle name="Normal 3 19 7 4 2 2 2" xfId="29663" xr:uid="{00000000-0005-0000-0000-0000DF7C0000}"/>
    <cellStyle name="Normal 3 19 7 4 2 2 2 2" xfId="56796" xr:uid="{00000000-0005-0000-0000-0000E07C0000}"/>
    <cellStyle name="Normal 3 19 7 4 2 2 3" xfId="43234" xr:uid="{00000000-0005-0000-0000-0000E17C0000}"/>
    <cellStyle name="Normal 3 19 7 4 2 3" xfId="22882" xr:uid="{00000000-0005-0000-0000-0000E27C0000}"/>
    <cellStyle name="Normal 3 19 7 4 2 3 2" xfId="50015" xr:uid="{00000000-0005-0000-0000-0000E37C0000}"/>
    <cellStyle name="Normal 3 19 7 4 2 4" xfId="36453" xr:uid="{00000000-0005-0000-0000-0000E47C0000}"/>
    <cellStyle name="Normal 3 19 7 4 3" xfId="12706" xr:uid="{00000000-0005-0000-0000-0000E57C0000}"/>
    <cellStyle name="Normal 3 19 7 4 3 2" xfId="26274" xr:uid="{00000000-0005-0000-0000-0000E67C0000}"/>
    <cellStyle name="Normal 3 19 7 4 3 2 2" xfId="53407" xr:uid="{00000000-0005-0000-0000-0000E77C0000}"/>
    <cellStyle name="Normal 3 19 7 4 3 3" xfId="39845" xr:uid="{00000000-0005-0000-0000-0000E87C0000}"/>
    <cellStyle name="Normal 3 19 7 4 4" xfId="19493" xr:uid="{00000000-0005-0000-0000-0000E97C0000}"/>
    <cellStyle name="Normal 3 19 7 4 4 2" xfId="46626" xr:uid="{00000000-0005-0000-0000-0000EA7C0000}"/>
    <cellStyle name="Normal 3 19 7 4 5" xfId="33064" xr:uid="{00000000-0005-0000-0000-0000EB7C0000}"/>
    <cellStyle name="Normal 3 19 7 5" xfId="9300" xr:uid="{00000000-0005-0000-0000-0000EC7C0000}"/>
    <cellStyle name="Normal 3 19 7 5 2" xfId="16090" xr:uid="{00000000-0005-0000-0000-0000ED7C0000}"/>
    <cellStyle name="Normal 3 19 7 5 2 2" xfId="29658" xr:uid="{00000000-0005-0000-0000-0000EE7C0000}"/>
    <cellStyle name="Normal 3 19 7 5 2 2 2" xfId="56791" xr:uid="{00000000-0005-0000-0000-0000EF7C0000}"/>
    <cellStyle name="Normal 3 19 7 5 2 3" xfId="43229" xr:uid="{00000000-0005-0000-0000-0000F07C0000}"/>
    <cellStyle name="Normal 3 19 7 5 3" xfId="22877" xr:uid="{00000000-0005-0000-0000-0000F17C0000}"/>
    <cellStyle name="Normal 3 19 7 5 3 2" xfId="50010" xr:uid="{00000000-0005-0000-0000-0000F27C0000}"/>
    <cellStyle name="Normal 3 19 7 5 4" xfId="36448" xr:uid="{00000000-0005-0000-0000-0000F37C0000}"/>
    <cellStyle name="Normal 3 19 7 6" xfId="12701" xr:uid="{00000000-0005-0000-0000-0000F47C0000}"/>
    <cellStyle name="Normal 3 19 7 6 2" xfId="26269" xr:uid="{00000000-0005-0000-0000-0000F57C0000}"/>
    <cellStyle name="Normal 3 19 7 6 2 2" xfId="53402" xr:uid="{00000000-0005-0000-0000-0000F67C0000}"/>
    <cellStyle name="Normal 3 19 7 6 3" xfId="39840" xr:uid="{00000000-0005-0000-0000-0000F77C0000}"/>
    <cellStyle name="Normal 3 19 7 7" xfId="19488" xr:uid="{00000000-0005-0000-0000-0000F87C0000}"/>
    <cellStyle name="Normal 3 19 7 7 2" xfId="46621" xr:uid="{00000000-0005-0000-0000-0000F97C0000}"/>
    <cellStyle name="Normal 3 19 7 8" xfId="33059" xr:uid="{00000000-0005-0000-0000-0000FA7C0000}"/>
    <cellStyle name="Normal 3 19 8" xfId="5763" xr:uid="{00000000-0005-0000-0000-0000FB7C0000}"/>
    <cellStyle name="Normal 3 19 8 2" xfId="5764" xr:uid="{00000000-0005-0000-0000-0000FC7C0000}"/>
    <cellStyle name="Normal 3 19 8 2 2" xfId="9307" xr:uid="{00000000-0005-0000-0000-0000FD7C0000}"/>
    <cellStyle name="Normal 3 19 8 2 2 2" xfId="16097" xr:uid="{00000000-0005-0000-0000-0000FE7C0000}"/>
    <cellStyle name="Normal 3 19 8 2 2 2 2" xfId="29665" xr:uid="{00000000-0005-0000-0000-0000FF7C0000}"/>
    <cellStyle name="Normal 3 19 8 2 2 2 2 2" xfId="56798" xr:uid="{00000000-0005-0000-0000-0000007D0000}"/>
    <cellStyle name="Normal 3 19 8 2 2 2 3" xfId="43236" xr:uid="{00000000-0005-0000-0000-0000017D0000}"/>
    <cellStyle name="Normal 3 19 8 2 2 3" xfId="22884" xr:uid="{00000000-0005-0000-0000-0000027D0000}"/>
    <cellStyle name="Normal 3 19 8 2 2 3 2" xfId="50017" xr:uid="{00000000-0005-0000-0000-0000037D0000}"/>
    <cellStyle name="Normal 3 19 8 2 2 4" xfId="36455" xr:uid="{00000000-0005-0000-0000-0000047D0000}"/>
    <cellStyle name="Normal 3 19 8 2 3" xfId="12708" xr:uid="{00000000-0005-0000-0000-0000057D0000}"/>
    <cellStyle name="Normal 3 19 8 2 3 2" xfId="26276" xr:uid="{00000000-0005-0000-0000-0000067D0000}"/>
    <cellStyle name="Normal 3 19 8 2 3 2 2" xfId="53409" xr:uid="{00000000-0005-0000-0000-0000077D0000}"/>
    <cellStyle name="Normal 3 19 8 2 3 3" xfId="39847" xr:uid="{00000000-0005-0000-0000-0000087D0000}"/>
    <cellStyle name="Normal 3 19 8 2 4" xfId="19495" xr:uid="{00000000-0005-0000-0000-0000097D0000}"/>
    <cellStyle name="Normal 3 19 8 2 4 2" xfId="46628" xr:uid="{00000000-0005-0000-0000-00000A7D0000}"/>
    <cellStyle name="Normal 3 19 8 2 5" xfId="33066" xr:uid="{00000000-0005-0000-0000-00000B7D0000}"/>
    <cellStyle name="Normal 3 19 8 3" xfId="5765" xr:uid="{00000000-0005-0000-0000-00000C7D0000}"/>
    <cellStyle name="Normal 3 19 8 3 2" xfId="9308" xr:uid="{00000000-0005-0000-0000-00000D7D0000}"/>
    <cellStyle name="Normal 3 19 8 3 2 2" xfId="16098" xr:uid="{00000000-0005-0000-0000-00000E7D0000}"/>
    <cellStyle name="Normal 3 19 8 3 2 2 2" xfId="29666" xr:uid="{00000000-0005-0000-0000-00000F7D0000}"/>
    <cellStyle name="Normal 3 19 8 3 2 2 2 2" xfId="56799" xr:uid="{00000000-0005-0000-0000-0000107D0000}"/>
    <cellStyle name="Normal 3 19 8 3 2 2 3" xfId="43237" xr:uid="{00000000-0005-0000-0000-0000117D0000}"/>
    <cellStyle name="Normal 3 19 8 3 2 3" xfId="22885" xr:uid="{00000000-0005-0000-0000-0000127D0000}"/>
    <cellStyle name="Normal 3 19 8 3 2 3 2" xfId="50018" xr:uid="{00000000-0005-0000-0000-0000137D0000}"/>
    <cellStyle name="Normal 3 19 8 3 2 4" xfId="36456" xr:uid="{00000000-0005-0000-0000-0000147D0000}"/>
    <cellStyle name="Normal 3 19 8 3 3" xfId="12709" xr:uid="{00000000-0005-0000-0000-0000157D0000}"/>
    <cellStyle name="Normal 3 19 8 3 3 2" xfId="26277" xr:uid="{00000000-0005-0000-0000-0000167D0000}"/>
    <cellStyle name="Normal 3 19 8 3 3 2 2" xfId="53410" xr:uid="{00000000-0005-0000-0000-0000177D0000}"/>
    <cellStyle name="Normal 3 19 8 3 3 3" xfId="39848" xr:uid="{00000000-0005-0000-0000-0000187D0000}"/>
    <cellStyle name="Normal 3 19 8 3 4" xfId="19496" xr:uid="{00000000-0005-0000-0000-0000197D0000}"/>
    <cellStyle name="Normal 3 19 8 3 4 2" xfId="46629" xr:uid="{00000000-0005-0000-0000-00001A7D0000}"/>
    <cellStyle name="Normal 3 19 8 3 5" xfId="33067" xr:uid="{00000000-0005-0000-0000-00001B7D0000}"/>
    <cellStyle name="Normal 3 19 8 4" xfId="9306" xr:uid="{00000000-0005-0000-0000-00001C7D0000}"/>
    <cellStyle name="Normal 3 19 8 4 2" xfId="16096" xr:uid="{00000000-0005-0000-0000-00001D7D0000}"/>
    <cellStyle name="Normal 3 19 8 4 2 2" xfId="29664" xr:uid="{00000000-0005-0000-0000-00001E7D0000}"/>
    <cellStyle name="Normal 3 19 8 4 2 2 2" xfId="56797" xr:uid="{00000000-0005-0000-0000-00001F7D0000}"/>
    <cellStyle name="Normal 3 19 8 4 2 3" xfId="43235" xr:uid="{00000000-0005-0000-0000-0000207D0000}"/>
    <cellStyle name="Normal 3 19 8 4 3" xfId="22883" xr:uid="{00000000-0005-0000-0000-0000217D0000}"/>
    <cellStyle name="Normal 3 19 8 4 3 2" xfId="50016" xr:uid="{00000000-0005-0000-0000-0000227D0000}"/>
    <cellStyle name="Normal 3 19 8 4 4" xfId="36454" xr:uid="{00000000-0005-0000-0000-0000237D0000}"/>
    <cellStyle name="Normal 3 19 8 5" xfId="12707" xr:uid="{00000000-0005-0000-0000-0000247D0000}"/>
    <cellStyle name="Normal 3 19 8 5 2" xfId="26275" xr:uid="{00000000-0005-0000-0000-0000257D0000}"/>
    <cellStyle name="Normal 3 19 8 5 2 2" xfId="53408" xr:uid="{00000000-0005-0000-0000-0000267D0000}"/>
    <cellStyle name="Normal 3 19 8 5 3" xfId="39846" xr:uid="{00000000-0005-0000-0000-0000277D0000}"/>
    <cellStyle name="Normal 3 19 8 6" xfId="19494" xr:uid="{00000000-0005-0000-0000-0000287D0000}"/>
    <cellStyle name="Normal 3 19 8 6 2" xfId="46627" xr:uid="{00000000-0005-0000-0000-0000297D0000}"/>
    <cellStyle name="Normal 3 19 8 7" xfId="33065" xr:uid="{00000000-0005-0000-0000-00002A7D0000}"/>
    <cellStyle name="Normal 3 19 9" xfId="5766" xr:uid="{00000000-0005-0000-0000-00002B7D0000}"/>
    <cellStyle name="Normal 3 19 9 2" xfId="5767" xr:uid="{00000000-0005-0000-0000-00002C7D0000}"/>
    <cellStyle name="Normal 3 19 9 2 2" xfId="9310" xr:uid="{00000000-0005-0000-0000-00002D7D0000}"/>
    <cellStyle name="Normal 3 19 9 2 2 2" xfId="16100" xr:uid="{00000000-0005-0000-0000-00002E7D0000}"/>
    <cellStyle name="Normal 3 19 9 2 2 2 2" xfId="29668" xr:uid="{00000000-0005-0000-0000-00002F7D0000}"/>
    <cellStyle name="Normal 3 19 9 2 2 2 2 2" xfId="56801" xr:uid="{00000000-0005-0000-0000-0000307D0000}"/>
    <cellStyle name="Normal 3 19 9 2 2 2 3" xfId="43239" xr:uid="{00000000-0005-0000-0000-0000317D0000}"/>
    <cellStyle name="Normal 3 19 9 2 2 3" xfId="22887" xr:uid="{00000000-0005-0000-0000-0000327D0000}"/>
    <cellStyle name="Normal 3 19 9 2 2 3 2" xfId="50020" xr:uid="{00000000-0005-0000-0000-0000337D0000}"/>
    <cellStyle name="Normal 3 19 9 2 2 4" xfId="36458" xr:uid="{00000000-0005-0000-0000-0000347D0000}"/>
    <cellStyle name="Normal 3 19 9 2 3" xfId="12711" xr:uid="{00000000-0005-0000-0000-0000357D0000}"/>
    <cellStyle name="Normal 3 19 9 2 3 2" xfId="26279" xr:uid="{00000000-0005-0000-0000-0000367D0000}"/>
    <cellStyle name="Normal 3 19 9 2 3 2 2" xfId="53412" xr:uid="{00000000-0005-0000-0000-0000377D0000}"/>
    <cellStyle name="Normal 3 19 9 2 3 3" xfId="39850" xr:uid="{00000000-0005-0000-0000-0000387D0000}"/>
    <cellStyle name="Normal 3 19 9 2 4" xfId="19498" xr:uid="{00000000-0005-0000-0000-0000397D0000}"/>
    <cellStyle name="Normal 3 19 9 2 4 2" xfId="46631" xr:uid="{00000000-0005-0000-0000-00003A7D0000}"/>
    <cellStyle name="Normal 3 19 9 2 5" xfId="33069" xr:uid="{00000000-0005-0000-0000-00003B7D0000}"/>
    <cellStyle name="Normal 3 19 9 3" xfId="5768" xr:uid="{00000000-0005-0000-0000-00003C7D0000}"/>
    <cellStyle name="Normal 3 19 9 3 2" xfId="9311" xr:uid="{00000000-0005-0000-0000-00003D7D0000}"/>
    <cellStyle name="Normal 3 19 9 3 2 2" xfId="16101" xr:uid="{00000000-0005-0000-0000-00003E7D0000}"/>
    <cellStyle name="Normal 3 19 9 3 2 2 2" xfId="29669" xr:uid="{00000000-0005-0000-0000-00003F7D0000}"/>
    <cellStyle name="Normal 3 19 9 3 2 2 2 2" xfId="56802" xr:uid="{00000000-0005-0000-0000-0000407D0000}"/>
    <cellStyle name="Normal 3 19 9 3 2 2 3" xfId="43240" xr:uid="{00000000-0005-0000-0000-0000417D0000}"/>
    <cellStyle name="Normal 3 19 9 3 2 3" xfId="22888" xr:uid="{00000000-0005-0000-0000-0000427D0000}"/>
    <cellStyle name="Normal 3 19 9 3 2 3 2" xfId="50021" xr:uid="{00000000-0005-0000-0000-0000437D0000}"/>
    <cellStyle name="Normal 3 19 9 3 2 4" xfId="36459" xr:uid="{00000000-0005-0000-0000-0000447D0000}"/>
    <cellStyle name="Normal 3 19 9 3 3" xfId="12712" xr:uid="{00000000-0005-0000-0000-0000457D0000}"/>
    <cellStyle name="Normal 3 19 9 3 3 2" xfId="26280" xr:uid="{00000000-0005-0000-0000-0000467D0000}"/>
    <cellStyle name="Normal 3 19 9 3 3 2 2" xfId="53413" xr:uid="{00000000-0005-0000-0000-0000477D0000}"/>
    <cellStyle name="Normal 3 19 9 3 3 3" xfId="39851" xr:uid="{00000000-0005-0000-0000-0000487D0000}"/>
    <cellStyle name="Normal 3 19 9 3 4" xfId="19499" xr:uid="{00000000-0005-0000-0000-0000497D0000}"/>
    <cellStyle name="Normal 3 19 9 3 4 2" xfId="46632" xr:uid="{00000000-0005-0000-0000-00004A7D0000}"/>
    <cellStyle name="Normal 3 19 9 3 5" xfId="33070" xr:uid="{00000000-0005-0000-0000-00004B7D0000}"/>
    <cellStyle name="Normal 3 19 9 4" xfId="9309" xr:uid="{00000000-0005-0000-0000-00004C7D0000}"/>
    <cellStyle name="Normal 3 19 9 4 2" xfId="16099" xr:uid="{00000000-0005-0000-0000-00004D7D0000}"/>
    <cellStyle name="Normal 3 19 9 4 2 2" xfId="29667" xr:uid="{00000000-0005-0000-0000-00004E7D0000}"/>
    <cellStyle name="Normal 3 19 9 4 2 2 2" xfId="56800" xr:uid="{00000000-0005-0000-0000-00004F7D0000}"/>
    <cellStyle name="Normal 3 19 9 4 2 3" xfId="43238" xr:uid="{00000000-0005-0000-0000-0000507D0000}"/>
    <cellStyle name="Normal 3 19 9 4 3" xfId="22886" xr:uid="{00000000-0005-0000-0000-0000517D0000}"/>
    <cellStyle name="Normal 3 19 9 4 3 2" xfId="50019" xr:uid="{00000000-0005-0000-0000-0000527D0000}"/>
    <cellStyle name="Normal 3 19 9 4 4" xfId="36457" xr:uid="{00000000-0005-0000-0000-0000537D0000}"/>
    <cellStyle name="Normal 3 19 9 5" xfId="12710" xr:uid="{00000000-0005-0000-0000-0000547D0000}"/>
    <cellStyle name="Normal 3 19 9 5 2" xfId="26278" xr:uid="{00000000-0005-0000-0000-0000557D0000}"/>
    <cellStyle name="Normal 3 19 9 5 2 2" xfId="53411" xr:uid="{00000000-0005-0000-0000-0000567D0000}"/>
    <cellStyle name="Normal 3 19 9 5 3" xfId="39849" xr:uid="{00000000-0005-0000-0000-0000577D0000}"/>
    <cellStyle name="Normal 3 19 9 6" xfId="19497" xr:uid="{00000000-0005-0000-0000-0000587D0000}"/>
    <cellStyle name="Normal 3 19 9 6 2" xfId="46630" xr:uid="{00000000-0005-0000-0000-0000597D0000}"/>
    <cellStyle name="Normal 3 19 9 7" xfId="33068" xr:uid="{00000000-0005-0000-0000-00005A7D0000}"/>
    <cellStyle name="Normal 3 2" xfId="152" xr:uid="{00000000-0005-0000-0000-00005B7D0000}"/>
    <cellStyle name="Normal 3 2 2" xfId="2677" xr:uid="{00000000-0005-0000-0000-00005C7D0000}"/>
    <cellStyle name="Normal 3 2 2 2" xfId="2678" xr:uid="{00000000-0005-0000-0000-00005D7D0000}"/>
    <cellStyle name="Normal 3 2 2 2 2" xfId="7491" xr:uid="{00000000-0005-0000-0000-00005E7D0000}"/>
    <cellStyle name="Normal 3 2 2 2 2 2" xfId="14281" xr:uid="{00000000-0005-0000-0000-00005F7D0000}"/>
    <cellStyle name="Normal 3 2 2 2 2 2 2" xfId="27849" xr:uid="{00000000-0005-0000-0000-0000607D0000}"/>
    <cellStyle name="Normal 3 2 2 2 2 2 2 2" xfId="54982" xr:uid="{00000000-0005-0000-0000-0000617D0000}"/>
    <cellStyle name="Normal 3 2 2 2 2 2 3" xfId="41420" xr:uid="{00000000-0005-0000-0000-0000627D0000}"/>
    <cellStyle name="Normal 3 2 2 2 2 3" xfId="21068" xr:uid="{00000000-0005-0000-0000-0000637D0000}"/>
    <cellStyle name="Normal 3 2 2 2 2 3 2" xfId="48201" xr:uid="{00000000-0005-0000-0000-0000647D0000}"/>
    <cellStyle name="Normal 3 2 2 2 2 4" xfId="34639" xr:uid="{00000000-0005-0000-0000-0000657D0000}"/>
    <cellStyle name="Normal 3 2 2 2 3" xfId="10892" xr:uid="{00000000-0005-0000-0000-0000667D0000}"/>
    <cellStyle name="Normal 3 2 2 2 3 2" xfId="24460" xr:uid="{00000000-0005-0000-0000-0000677D0000}"/>
    <cellStyle name="Normal 3 2 2 2 3 2 2" xfId="51593" xr:uid="{00000000-0005-0000-0000-0000687D0000}"/>
    <cellStyle name="Normal 3 2 2 2 3 3" xfId="38031" xr:uid="{00000000-0005-0000-0000-0000697D0000}"/>
    <cellStyle name="Normal 3 2 2 2 4" xfId="17679" xr:uid="{00000000-0005-0000-0000-00006A7D0000}"/>
    <cellStyle name="Normal 3 2 2 2 4 2" xfId="44812" xr:uid="{00000000-0005-0000-0000-00006B7D0000}"/>
    <cellStyle name="Normal 3 2 2 2 5" xfId="31250" xr:uid="{00000000-0005-0000-0000-00006C7D0000}"/>
    <cellStyle name="Normal 3 2 2 3" xfId="7490" xr:uid="{00000000-0005-0000-0000-00006D7D0000}"/>
    <cellStyle name="Normal 3 2 2 3 2" xfId="14280" xr:uid="{00000000-0005-0000-0000-00006E7D0000}"/>
    <cellStyle name="Normal 3 2 2 3 2 2" xfId="27848" xr:uid="{00000000-0005-0000-0000-00006F7D0000}"/>
    <cellStyle name="Normal 3 2 2 3 2 2 2" xfId="54981" xr:uid="{00000000-0005-0000-0000-0000707D0000}"/>
    <cellStyle name="Normal 3 2 2 3 2 3" xfId="41419" xr:uid="{00000000-0005-0000-0000-0000717D0000}"/>
    <cellStyle name="Normal 3 2 2 3 3" xfId="21067" xr:uid="{00000000-0005-0000-0000-0000727D0000}"/>
    <cellStyle name="Normal 3 2 2 3 3 2" xfId="48200" xr:uid="{00000000-0005-0000-0000-0000737D0000}"/>
    <cellStyle name="Normal 3 2 2 3 4" xfId="34638" xr:uid="{00000000-0005-0000-0000-0000747D0000}"/>
    <cellStyle name="Normal 3 2 2 4" xfId="10891" xr:uid="{00000000-0005-0000-0000-0000757D0000}"/>
    <cellStyle name="Normal 3 2 2 4 2" xfId="24459" xr:uid="{00000000-0005-0000-0000-0000767D0000}"/>
    <cellStyle name="Normal 3 2 2 4 2 2" xfId="51592" xr:uid="{00000000-0005-0000-0000-0000777D0000}"/>
    <cellStyle name="Normal 3 2 2 4 3" xfId="38030" xr:uid="{00000000-0005-0000-0000-0000787D0000}"/>
    <cellStyle name="Normal 3 2 2 5" xfId="17678" xr:uid="{00000000-0005-0000-0000-0000797D0000}"/>
    <cellStyle name="Normal 3 2 2 5 2" xfId="44811" xr:uid="{00000000-0005-0000-0000-00007A7D0000}"/>
    <cellStyle name="Normal 3 2 2 6" xfId="31249" xr:uid="{00000000-0005-0000-0000-00007B7D0000}"/>
    <cellStyle name="Normal 3 2 3" xfId="2679" xr:uid="{00000000-0005-0000-0000-00007C7D0000}"/>
    <cellStyle name="Normal 3 2 3 2" xfId="2680" xr:uid="{00000000-0005-0000-0000-00007D7D0000}"/>
    <cellStyle name="Normal 3 2 3 2 2" xfId="7493" xr:uid="{00000000-0005-0000-0000-00007E7D0000}"/>
    <cellStyle name="Normal 3 2 3 2 2 2" xfId="14283" xr:uid="{00000000-0005-0000-0000-00007F7D0000}"/>
    <cellStyle name="Normal 3 2 3 2 2 2 2" xfId="27851" xr:uid="{00000000-0005-0000-0000-0000807D0000}"/>
    <cellStyle name="Normal 3 2 3 2 2 2 2 2" xfId="54984" xr:uid="{00000000-0005-0000-0000-0000817D0000}"/>
    <cellStyle name="Normal 3 2 3 2 2 2 3" xfId="41422" xr:uid="{00000000-0005-0000-0000-0000827D0000}"/>
    <cellStyle name="Normal 3 2 3 2 2 3" xfId="21070" xr:uid="{00000000-0005-0000-0000-0000837D0000}"/>
    <cellStyle name="Normal 3 2 3 2 2 3 2" xfId="48203" xr:uid="{00000000-0005-0000-0000-0000847D0000}"/>
    <cellStyle name="Normal 3 2 3 2 2 4" xfId="34641" xr:uid="{00000000-0005-0000-0000-0000857D0000}"/>
    <cellStyle name="Normal 3 2 3 2 3" xfId="10894" xr:uid="{00000000-0005-0000-0000-0000867D0000}"/>
    <cellStyle name="Normal 3 2 3 2 3 2" xfId="24462" xr:uid="{00000000-0005-0000-0000-0000877D0000}"/>
    <cellStyle name="Normal 3 2 3 2 3 2 2" xfId="51595" xr:uid="{00000000-0005-0000-0000-0000887D0000}"/>
    <cellStyle name="Normal 3 2 3 2 3 3" xfId="38033" xr:uid="{00000000-0005-0000-0000-0000897D0000}"/>
    <cellStyle name="Normal 3 2 3 2 4" xfId="17681" xr:uid="{00000000-0005-0000-0000-00008A7D0000}"/>
    <cellStyle name="Normal 3 2 3 2 4 2" xfId="44814" xr:uid="{00000000-0005-0000-0000-00008B7D0000}"/>
    <cellStyle name="Normal 3 2 3 2 5" xfId="31252" xr:uid="{00000000-0005-0000-0000-00008C7D0000}"/>
    <cellStyle name="Normal 3 2 3 3" xfId="7492" xr:uid="{00000000-0005-0000-0000-00008D7D0000}"/>
    <cellStyle name="Normal 3 2 3 3 2" xfId="14282" xr:uid="{00000000-0005-0000-0000-00008E7D0000}"/>
    <cellStyle name="Normal 3 2 3 3 2 2" xfId="27850" xr:uid="{00000000-0005-0000-0000-00008F7D0000}"/>
    <cellStyle name="Normal 3 2 3 3 2 2 2" xfId="54983" xr:uid="{00000000-0005-0000-0000-0000907D0000}"/>
    <cellStyle name="Normal 3 2 3 3 2 3" xfId="41421" xr:uid="{00000000-0005-0000-0000-0000917D0000}"/>
    <cellStyle name="Normal 3 2 3 3 3" xfId="21069" xr:uid="{00000000-0005-0000-0000-0000927D0000}"/>
    <cellStyle name="Normal 3 2 3 3 3 2" xfId="48202" xr:uid="{00000000-0005-0000-0000-0000937D0000}"/>
    <cellStyle name="Normal 3 2 3 3 4" xfId="34640" xr:uid="{00000000-0005-0000-0000-0000947D0000}"/>
    <cellStyle name="Normal 3 2 3 4" xfId="10893" xr:uid="{00000000-0005-0000-0000-0000957D0000}"/>
    <cellStyle name="Normal 3 2 3 4 2" xfId="24461" xr:uid="{00000000-0005-0000-0000-0000967D0000}"/>
    <cellStyle name="Normal 3 2 3 4 2 2" xfId="51594" xr:uid="{00000000-0005-0000-0000-0000977D0000}"/>
    <cellStyle name="Normal 3 2 3 4 3" xfId="38032" xr:uid="{00000000-0005-0000-0000-0000987D0000}"/>
    <cellStyle name="Normal 3 2 3 5" xfId="17680" xr:uid="{00000000-0005-0000-0000-0000997D0000}"/>
    <cellStyle name="Normal 3 2 3 5 2" xfId="44813" xr:uid="{00000000-0005-0000-0000-00009A7D0000}"/>
    <cellStyle name="Normal 3 2 3 6" xfId="31251" xr:uid="{00000000-0005-0000-0000-00009B7D0000}"/>
    <cellStyle name="Normal 3 2 4" xfId="2681" xr:uid="{00000000-0005-0000-0000-00009C7D0000}"/>
    <cellStyle name="Normal 3 2 4 2" xfId="2682" xr:uid="{00000000-0005-0000-0000-00009D7D0000}"/>
    <cellStyle name="Normal 3 2 4 2 2" xfId="7495" xr:uid="{00000000-0005-0000-0000-00009E7D0000}"/>
    <cellStyle name="Normal 3 2 4 2 2 2" xfId="14285" xr:uid="{00000000-0005-0000-0000-00009F7D0000}"/>
    <cellStyle name="Normal 3 2 4 2 2 2 2" xfId="27853" xr:uid="{00000000-0005-0000-0000-0000A07D0000}"/>
    <cellStyle name="Normal 3 2 4 2 2 2 2 2" xfId="54986" xr:uid="{00000000-0005-0000-0000-0000A17D0000}"/>
    <cellStyle name="Normal 3 2 4 2 2 2 3" xfId="41424" xr:uid="{00000000-0005-0000-0000-0000A27D0000}"/>
    <cellStyle name="Normal 3 2 4 2 2 3" xfId="21072" xr:uid="{00000000-0005-0000-0000-0000A37D0000}"/>
    <cellStyle name="Normal 3 2 4 2 2 3 2" xfId="48205" xr:uid="{00000000-0005-0000-0000-0000A47D0000}"/>
    <cellStyle name="Normal 3 2 4 2 2 4" xfId="34643" xr:uid="{00000000-0005-0000-0000-0000A57D0000}"/>
    <cellStyle name="Normal 3 2 4 2 3" xfId="10896" xr:uid="{00000000-0005-0000-0000-0000A67D0000}"/>
    <cellStyle name="Normal 3 2 4 2 3 2" xfId="24464" xr:uid="{00000000-0005-0000-0000-0000A77D0000}"/>
    <cellStyle name="Normal 3 2 4 2 3 2 2" xfId="51597" xr:uid="{00000000-0005-0000-0000-0000A87D0000}"/>
    <cellStyle name="Normal 3 2 4 2 3 3" xfId="38035" xr:uid="{00000000-0005-0000-0000-0000A97D0000}"/>
    <cellStyle name="Normal 3 2 4 2 4" xfId="17683" xr:uid="{00000000-0005-0000-0000-0000AA7D0000}"/>
    <cellStyle name="Normal 3 2 4 2 4 2" xfId="44816" xr:uid="{00000000-0005-0000-0000-0000AB7D0000}"/>
    <cellStyle name="Normal 3 2 4 2 5" xfId="31254" xr:uid="{00000000-0005-0000-0000-0000AC7D0000}"/>
    <cellStyle name="Normal 3 2 4 3" xfId="7494" xr:uid="{00000000-0005-0000-0000-0000AD7D0000}"/>
    <cellStyle name="Normal 3 2 4 3 2" xfId="14284" xr:uid="{00000000-0005-0000-0000-0000AE7D0000}"/>
    <cellStyle name="Normal 3 2 4 3 2 2" xfId="27852" xr:uid="{00000000-0005-0000-0000-0000AF7D0000}"/>
    <cellStyle name="Normal 3 2 4 3 2 2 2" xfId="54985" xr:uid="{00000000-0005-0000-0000-0000B07D0000}"/>
    <cellStyle name="Normal 3 2 4 3 2 3" xfId="41423" xr:uid="{00000000-0005-0000-0000-0000B17D0000}"/>
    <cellStyle name="Normal 3 2 4 3 3" xfId="21071" xr:uid="{00000000-0005-0000-0000-0000B27D0000}"/>
    <cellStyle name="Normal 3 2 4 3 3 2" xfId="48204" xr:uid="{00000000-0005-0000-0000-0000B37D0000}"/>
    <cellStyle name="Normal 3 2 4 3 4" xfId="34642" xr:uid="{00000000-0005-0000-0000-0000B47D0000}"/>
    <cellStyle name="Normal 3 2 4 4" xfId="10895" xr:uid="{00000000-0005-0000-0000-0000B57D0000}"/>
    <cellStyle name="Normal 3 2 4 4 2" xfId="24463" xr:uid="{00000000-0005-0000-0000-0000B67D0000}"/>
    <cellStyle name="Normal 3 2 4 4 2 2" xfId="51596" xr:uid="{00000000-0005-0000-0000-0000B77D0000}"/>
    <cellStyle name="Normal 3 2 4 4 3" xfId="38034" xr:uid="{00000000-0005-0000-0000-0000B87D0000}"/>
    <cellStyle name="Normal 3 2 4 5" xfId="17682" xr:uid="{00000000-0005-0000-0000-0000B97D0000}"/>
    <cellStyle name="Normal 3 2 4 5 2" xfId="44815" xr:uid="{00000000-0005-0000-0000-0000BA7D0000}"/>
    <cellStyle name="Normal 3 2 4 6" xfId="31253" xr:uid="{00000000-0005-0000-0000-0000BB7D0000}"/>
    <cellStyle name="Normal 3 2 5" xfId="2683" xr:uid="{00000000-0005-0000-0000-0000BC7D0000}"/>
    <cellStyle name="Normal 3 2 5 2" xfId="2684" xr:uid="{00000000-0005-0000-0000-0000BD7D0000}"/>
    <cellStyle name="Normal 3 2 5 2 2" xfId="7497" xr:uid="{00000000-0005-0000-0000-0000BE7D0000}"/>
    <cellStyle name="Normal 3 2 5 2 2 2" xfId="14287" xr:uid="{00000000-0005-0000-0000-0000BF7D0000}"/>
    <cellStyle name="Normal 3 2 5 2 2 2 2" xfId="27855" xr:uid="{00000000-0005-0000-0000-0000C07D0000}"/>
    <cellStyle name="Normal 3 2 5 2 2 2 2 2" xfId="54988" xr:uid="{00000000-0005-0000-0000-0000C17D0000}"/>
    <cellStyle name="Normal 3 2 5 2 2 2 3" xfId="41426" xr:uid="{00000000-0005-0000-0000-0000C27D0000}"/>
    <cellStyle name="Normal 3 2 5 2 2 3" xfId="21074" xr:uid="{00000000-0005-0000-0000-0000C37D0000}"/>
    <cellStyle name="Normal 3 2 5 2 2 3 2" xfId="48207" xr:uid="{00000000-0005-0000-0000-0000C47D0000}"/>
    <cellStyle name="Normal 3 2 5 2 2 4" xfId="34645" xr:uid="{00000000-0005-0000-0000-0000C57D0000}"/>
    <cellStyle name="Normal 3 2 5 2 3" xfId="10898" xr:uid="{00000000-0005-0000-0000-0000C67D0000}"/>
    <cellStyle name="Normal 3 2 5 2 3 2" xfId="24466" xr:uid="{00000000-0005-0000-0000-0000C77D0000}"/>
    <cellStyle name="Normal 3 2 5 2 3 2 2" xfId="51599" xr:uid="{00000000-0005-0000-0000-0000C87D0000}"/>
    <cellStyle name="Normal 3 2 5 2 3 3" xfId="38037" xr:uid="{00000000-0005-0000-0000-0000C97D0000}"/>
    <cellStyle name="Normal 3 2 5 2 4" xfId="17685" xr:uid="{00000000-0005-0000-0000-0000CA7D0000}"/>
    <cellStyle name="Normal 3 2 5 2 4 2" xfId="44818" xr:uid="{00000000-0005-0000-0000-0000CB7D0000}"/>
    <cellStyle name="Normal 3 2 5 2 5" xfId="31256" xr:uid="{00000000-0005-0000-0000-0000CC7D0000}"/>
    <cellStyle name="Normal 3 2 5 3" xfId="7496" xr:uid="{00000000-0005-0000-0000-0000CD7D0000}"/>
    <cellStyle name="Normal 3 2 5 3 2" xfId="14286" xr:uid="{00000000-0005-0000-0000-0000CE7D0000}"/>
    <cellStyle name="Normal 3 2 5 3 2 2" xfId="27854" xr:uid="{00000000-0005-0000-0000-0000CF7D0000}"/>
    <cellStyle name="Normal 3 2 5 3 2 2 2" xfId="54987" xr:uid="{00000000-0005-0000-0000-0000D07D0000}"/>
    <cellStyle name="Normal 3 2 5 3 2 3" xfId="41425" xr:uid="{00000000-0005-0000-0000-0000D17D0000}"/>
    <cellStyle name="Normal 3 2 5 3 3" xfId="21073" xr:uid="{00000000-0005-0000-0000-0000D27D0000}"/>
    <cellStyle name="Normal 3 2 5 3 3 2" xfId="48206" xr:uid="{00000000-0005-0000-0000-0000D37D0000}"/>
    <cellStyle name="Normal 3 2 5 3 4" xfId="34644" xr:uid="{00000000-0005-0000-0000-0000D47D0000}"/>
    <cellStyle name="Normal 3 2 5 4" xfId="10897" xr:uid="{00000000-0005-0000-0000-0000D57D0000}"/>
    <cellStyle name="Normal 3 2 5 4 2" xfId="24465" xr:uid="{00000000-0005-0000-0000-0000D67D0000}"/>
    <cellStyle name="Normal 3 2 5 4 2 2" xfId="51598" xr:uid="{00000000-0005-0000-0000-0000D77D0000}"/>
    <cellStyle name="Normal 3 2 5 4 3" xfId="38036" xr:uid="{00000000-0005-0000-0000-0000D87D0000}"/>
    <cellStyle name="Normal 3 2 5 5" xfId="17684" xr:uid="{00000000-0005-0000-0000-0000D97D0000}"/>
    <cellStyle name="Normal 3 2 5 5 2" xfId="44817" xr:uid="{00000000-0005-0000-0000-0000DA7D0000}"/>
    <cellStyle name="Normal 3 2 5 6" xfId="31255" xr:uid="{00000000-0005-0000-0000-0000DB7D0000}"/>
    <cellStyle name="Normal 3 2 6" xfId="2685" xr:uid="{00000000-0005-0000-0000-0000DC7D0000}"/>
    <cellStyle name="Normal 3 2 6 2" xfId="2686" xr:uid="{00000000-0005-0000-0000-0000DD7D0000}"/>
    <cellStyle name="Normal 3 2 6 2 2" xfId="7499" xr:uid="{00000000-0005-0000-0000-0000DE7D0000}"/>
    <cellStyle name="Normal 3 2 6 2 2 2" xfId="14289" xr:uid="{00000000-0005-0000-0000-0000DF7D0000}"/>
    <cellStyle name="Normal 3 2 6 2 2 2 2" xfId="27857" xr:uid="{00000000-0005-0000-0000-0000E07D0000}"/>
    <cellStyle name="Normal 3 2 6 2 2 2 2 2" xfId="54990" xr:uid="{00000000-0005-0000-0000-0000E17D0000}"/>
    <cellStyle name="Normal 3 2 6 2 2 2 3" xfId="41428" xr:uid="{00000000-0005-0000-0000-0000E27D0000}"/>
    <cellStyle name="Normal 3 2 6 2 2 3" xfId="21076" xr:uid="{00000000-0005-0000-0000-0000E37D0000}"/>
    <cellStyle name="Normal 3 2 6 2 2 3 2" xfId="48209" xr:uid="{00000000-0005-0000-0000-0000E47D0000}"/>
    <cellStyle name="Normal 3 2 6 2 2 4" xfId="34647" xr:uid="{00000000-0005-0000-0000-0000E57D0000}"/>
    <cellStyle name="Normal 3 2 6 2 3" xfId="10900" xr:uid="{00000000-0005-0000-0000-0000E67D0000}"/>
    <cellStyle name="Normal 3 2 6 2 3 2" xfId="24468" xr:uid="{00000000-0005-0000-0000-0000E77D0000}"/>
    <cellStyle name="Normal 3 2 6 2 3 2 2" xfId="51601" xr:uid="{00000000-0005-0000-0000-0000E87D0000}"/>
    <cellStyle name="Normal 3 2 6 2 3 3" xfId="38039" xr:uid="{00000000-0005-0000-0000-0000E97D0000}"/>
    <cellStyle name="Normal 3 2 6 2 4" xfId="17687" xr:uid="{00000000-0005-0000-0000-0000EA7D0000}"/>
    <cellStyle name="Normal 3 2 6 2 4 2" xfId="44820" xr:uid="{00000000-0005-0000-0000-0000EB7D0000}"/>
    <cellStyle name="Normal 3 2 6 2 5" xfId="31258" xr:uid="{00000000-0005-0000-0000-0000EC7D0000}"/>
    <cellStyle name="Normal 3 2 6 3" xfId="7498" xr:uid="{00000000-0005-0000-0000-0000ED7D0000}"/>
    <cellStyle name="Normal 3 2 6 3 2" xfId="14288" xr:uid="{00000000-0005-0000-0000-0000EE7D0000}"/>
    <cellStyle name="Normal 3 2 6 3 2 2" xfId="27856" xr:uid="{00000000-0005-0000-0000-0000EF7D0000}"/>
    <cellStyle name="Normal 3 2 6 3 2 2 2" xfId="54989" xr:uid="{00000000-0005-0000-0000-0000F07D0000}"/>
    <cellStyle name="Normal 3 2 6 3 2 3" xfId="41427" xr:uid="{00000000-0005-0000-0000-0000F17D0000}"/>
    <cellStyle name="Normal 3 2 6 3 3" xfId="21075" xr:uid="{00000000-0005-0000-0000-0000F27D0000}"/>
    <cellStyle name="Normal 3 2 6 3 3 2" xfId="48208" xr:uid="{00000000-0005-0000-0000-0000F37D0000}"/>
    <cellStyle name="Normal 3 2 6 3 4" xfId="34646" xr:uid="{00000000-0005-0000-0000-0000F47D0000}"/>
    <cellStyle name="Normal 3 2 6 4" xfId="10899" xr:uid="{00000000-0005-0000-0000-0000F57D0000}"/>
    <cellStyle name="Normal 3 2 6 4 2" xfId="24467" xr:uid="{00000000-0005-0000-0000-0000F67D0000}"/>
    <cellStyle name="Normal 3 2 6 4 2 2" xfId="51600" xr:uid="{00000000-0005-0000-0000-0000F77D0000}"/>
    <cellStyle name="Normal 3 2 6 4 3" xfId="38038" xr:uid="{00000000-0005-0000-0000-0000F87D0000}"/>
    <cellStyle name="Normal 3 2 6 5" xfId="17686" xr:uid="{00000000-0005-0000-0000-0000F97D0000}"/>
    <cellStyle name="Normal 3 2 6 5 2" xfId="44819" xr:uid="{00000000-0005-0000-0000-0000FA7D0000}"/>
    <cellStyle name="Normal 3 2 6 6" xfId="31257" xr:uid="{00000000-0005-0000-0000-0000FB7D0000}"/>
    <cellStyle name="Normal 3 2 7" xfId="2687" xr:uid="{00000000-0005-0000-0000-0000FC7D0000}"/>
    <cellStyle name="Normal 3 2 7 2" xfId="2688" xr:uid="{00000000-0005-0000-0000-0000FD7D0000}"/>
    <cellStyle name="Normal 3 2 7 2 2" xfId="7501" xr:uid="{00000000-0005-0000-0000-0000FE7D0000}"/>
    <cellStyle name="Normal 3 2 7 2 2 2" xfId="14291" xr:uid="{00000000-0005-0000-0000-0000FF7D0000}"/>
    <cellStyle name="Normal 3 2 7 2 2 2 2" xfId="27859" xr:uid="{00000000-0005-0000-0000-0000007E0000}"/>
    <cellStyle name="Normal 3 2 7 2 2 2 2 2" xfId="54992" xr:uid="{00000000-0005-0000-0000-0000017E0000}"/>
    <cellStyle name="Normal 3 2 7 2 2 2 3" xfId="41430" xr:uid="{00000000-0005-0000-0000-0000027E0000}"/>
    <cellStyle name="Normal 3 2 7 2 2 3" xfId="21078" xr:uid="{00000000-0005-0000-0000-0000037E0000}"/>
    <cellStyle name="Normal 3 2 7 2 2 3 2" xfId="48211" xr:uid="{00000000-0005-0000-0000-0000047E0000}"/>
    <cellStyle name="Normal 3 2 7 2 2 4" xfId="34649" xr:uid="{00000000-0005-0000-0000-0000057E0000}"/>
    <cellStyle name="Normal 3 2 7 2 3" xfId="10902" xr:uid="{00000000-0005-0000-0000-0000067E0000}"/>
    <cellStyle name="Normal 3 2 7 2 3 2" xfId="24470" xr:uid="{00000000-0005-0000-0000-0000077E0000}"/>
    <cellStyle name="Normal 3 2 7 2 3 2 2" xfId="51603" xr:uid="{00000000-0005-0000-0000-0000087E0000}"/>
    <cellStyle name="Normal 3 2 7 2 3 3" xfId="38041" xr:uid="{00000000-0005-0000-0000-0000097E0000}"/>
    <cellStyle name="Normal 3 2 7 2 4" xfId="17689" xr:uid="{00000000-0005-0000-0000-00000A7E0000}"/>
    <cellStyle name="Normal 3 2 7 2 4 2" xfId="44822" xr:uid="{00000000-0005-0000-0000-00000B7E0000}"/>
    <cellStyle name="Normal 3 2 7 2 5" xfId="31260" xr:uid="{00000000-0005-0000-0000-00000C7E0000}"/>
    <cellStyle name="Normal 3 2 7 3" xfId="7500" xr:uid="{00000000-0005-0000-0000-00000D7E0000}"/>
    <cellStyle name="Normal 3 2 7 3 2" xfId="14290" xr:uid="{00000000-0005-0000-0000-00000E7E0000}"/>
    <cellStyle name="Normal 3 2 7 3 2 2" xfId="27858" xr:uid="{00000000-0005-0000-0000-00000F7E0000}"/>
    <cellStyle name="Normal 3 2 7 3 2 2 2" xfId="54991" xr:uid="{00000000-0005-0000-0000-0000107E0000}"/>
    <cellStyle name="Normal 3 2 7 3 2 3" xfId="41429" xr:uid="{00000000-0005-0000-0000-0000117E0000}"/>
    <cellStyle name="Normal 3 2 7 3 3" xfId="21077" xr:uid="{00000000-0005-0000-0000-0000127E0000}"/>
    <cellStyle name="Normal 3 2 7 3 3 2" xfId="48210" xr:uid="{00000000-0005-0000-0000-0000137E0000}"/>
    <cellStyle name="Normal 3 2 7 3 4" xfId="34648" xr:uid="{00000000-0005-0000-0000-0000147E0000}"/>
    <cellStyle name="Normal 3 2 7 4" xfId="10901" xr:uid="{00000000-0005-0000-0000-0000157E0000}"/>
    <cellStyle name="Normal 3 2 7 4 2" xfId="24469" xr:uid="{00000000-0005-0000-0000-0000167E0000}"/>
    <cellStyle name="Normal 3 2 7 4 2 2" xfId="51602" xr:uid="{00000000-0005-0000-0000-0000177E0000}"/>
    <cellStyle name="Normal 3 2 7 4 3" xfId="38040" xr:uid="{00000000-0005-0000-0000-0000187E0000}"/>
    <cellStyle name="Normal 3 2 7 5" xfId="17688" xr:uid="{00000000-0005-0000-0000-0000197E0000}"/>
    <cellStyle name="Normal 3 2 7 5 2" xfId="44821" xr:uid="{00000000-0005-0000-0000-00001A7E0000}"/>
    <cellStyle name="Normal 3 2 7 6" xfId="31259" xr:uid="{00000000-0005-0000-0000-00001B7E0000}"/>
    <cellStyle name="Normal 3 2 8" xfId="2689" xr:uid="{00000000-0005-0000-0000-00001C7E0000}"/>
    <cellStyle name="Normal 3 2 8 2" xfId="2690" xr:uid="{00000000-0005-0000-0000-00001D7E0000}"/>
    <cellStyle name="Normal 3 2 8 2 2" xfId="7503" xr:uid="{00000000-0005-0000-0000-00001E7E0000}"/>
    <cellStyle name="Normal 3 2 8 2 2 2" xfId="14293" xr:uid="{00000000-0005-0000-0000-00001F7E0000}"/>
    <cellStyle name="Normal 3 2 8 2 2 2 2" xfId="27861" xr:uid="{00000000-0005-0000-0000-0000207E0000}"/>
    <cellStyle name="Normal 3 2 8 2 2 2 2 2" xfId="54994" xr:uid="{00000000-0005-0000-0000-0000217E0000}"/>
    <cellStyle name="Normal 3 2 8 2 2 2 3" xfId="41432" xr:uid="{00000000-0005-0000-0000-0000227E0000}"/>
    <cellStyle name="Normal 3 2 8 2 2 3" xfId="21080" xr:uid="{00000000-0005-0000-0000-0000237E0000}"/>
    <cellStyle name="Normal 3 2 8 2 2 3 2" xfId="48213" xr:uid="{00000000-0005-0000-0000-0000247E0000}"/>
    <cellStyle name="Normal 3 2 8 2 2 4" xfId="34651" xr:uid="{00000000-0005-0000-0000-0000257E0000}"/>
    <cellStyle name="Normal 3 2 8 2 3" xfId="10904" xr:uid="{00000000-0005-0000-0000-0000267E0000}"/>
    <cellStyle name="Normal 3 2 8 2 3 2" xfId="24472" xr:uid="{00000000-0005-0000-0000-0000277E0000}"/>
    <cellStyle name="Normal 3 2 8 2 3 2 2" xfId="51605" xr:uid="{00000000-0005-0000-0000-0000287E0000}"/>
    <cellStyle name="Normal 3 2 8 2 3 3" xfId="38043" xr:uid="{00000000-0005-0000-0000-0000297E0000}"/>
    <cellStyle name="Normal 3 2 8 2 4" xfId="17691" xr:uid="{00000000-0005-0000-0000-00002A7E0000}"/>
    <cellStyle name="Normal 3 2 8 2 4 2" xfId="44824" xr:uid="{00000000-0005-0000-0000-00002B7E0000}"/>
    <cellStyle name="Normal 3 2 8 2 5" xfId="31262" xr:uid="{00000000-0005-0000-0000-00002C7E0000}"/>
    <cellStyle name="Normal 3 2 8 3" xfId="7502" xr:uid="{00000000-0005-0000-0000-00002D7E0000}"/>
    <cellStyle name="Normal 3 2 8 3 2" xfId="14292" xr:uid="{00000000-0005-0000-0000-00002E7E0000}"/>
    <cellStyle name="Normal 3 2 8 3 2 2" xfId="27860" xr:uid="{00000000-0005-0000-0000-00002F7E0000}"/>
    <cellStyle name="Normal 3 2 8 3 2 2 2" xfId="54993" xr:uid="{00000000-0005-0000-0000-0000307E0000}"/>
    <cellStyle name="Normal 3 2 8 3 2 3" xfId="41431" xr:uid="{00000000-0005-0000-0000-0000317E0000}"/>
    <cellStyle name="Normal 3 2 8 3 3" xfId="21079" xr:uid="{00000000-0005-0000-0000-0000327E0000}"/>
    <cellStyle name="Normal 3 2 8 3 3 2" xfId="48212" xr:uid="{00000000-0005-0000-0000-0000337E0000}"/>
    <cellStyle name="Normal 3 2 8 3 4" xfId="34650" xr:uid="{00000000-0005-0000-0000-0000347E0000}"/>
    <cellStyle name="Normal 3 2 8 4" xfId="10903" xr:uid="{00000000-0005-0000-0000-0000357E0000}"/>
    <cellStyle name="Normal 3 2 8 4 2" xfId="24471" xr:uid="{00000000-0005-0000-0000-0000367E0000}"/>
    <cellStyle name="Normal 3 2 8 4 2 2" xfId="51604" xr:uid="{00000000-0005-0000-0000-0000377E0000}"/>
    <cellStyle name="Normal 3 2 8 4 3" xfId="38042" xr:uid="{00000000-0005-0000-0000-0000387E0000}"/>
    <cellStyle name="Normal 3 2 8 5" xfId="17690" xr:uid="{00000000-0005-0000-0000-0000397E0000}"/>
    <cellStyle name="Normal 3 2 8 5 2" xfId="44823" xr:uid="{00000000-0005-0000-0000-00003A7E0000}"/>
    <cellStyle name="Normal 3 2 8 6" xfId="31261" xr:uid="{00000000-0005-0000-0000-00003B7E0000}"/>
    <cellStyle name="Normal 3 2 9" xfId="2691" xr:uid="{00000000-0005-0000-0000-00003C7E0000}"/>
    <cellStyle name="Normal 3 2 9 2" xfId="7504" xr:uid="{00000000-0005-0000-0000-00003D7E0000}"/>
    <cellStyle name="Normal 3 2 9 2 2" xfId="14294" xr:uid="{00000000-0005-0000-0000-00003E7E0000}"/>
    <cellStyle name="Normal 3 2 9 2 2 2" xfId="27862" xr:uid="{00000000-0005-0000-0000-00003F7E0000}"/>
    <cellStyle name="Normal 3 2 9 2 2 2 2" xfId="54995" xr:uid="{00000000-0005-0000-0000-0000407E0000}"/>
    <cellStyle name="Normal 3 2 9 2 2 3" xfId="41433" xr:uid="{00000000-0005-0000-0000-0000417E0000}"/>
    <cellStyle name="Normal 3 2 9 2 3" xfId="21081" xr:uid="{00000000-0005-0000-0000-0000427E0000}"/>
    <cellStyle name="Normal 3 2 9 2 3 2" xfId="48214" xr:uid="{00000000-0005-0000-0000-0000437E0000}"/>
    <cellStyle name="Normal 3 2 9 2 4" xfId="34652" xr:uid="{00000000-0005-0000-0000-0000447E0000}"/>
    <cellStyle name="Normal 3 2 9 3" xfId="10905" xr:uid="{00000000-0005-0000-0000-0000457E0000}"/>
    <cellStyle name="Normal 3 2 9 3 2" xfId="24473" xr:uid="{00000000-0005-0000-0000-0000467E0000}"/>
    <cellStyle name="Normal 3 2 9 3 2 2" xfId="51606" xr:uid="{00000000-0005-0000-0000-0000477E0000}"/>
    <cellStyle name="Normal 3 2 9 3 3" xfId="38044" xr:uid="{00000000-0005-0000-0000-0000487E0000}"/>
    <cellStyle name="Normal 3 2 9 4" xfId="17692" xr:uid="{00000000-0005-0000-0000-0000497E0000}"/>
    <cellStyle name="Normal 3 2 9 4 2" xfId="44825" xr:uid="{00000000-0005-0000-0000-00004A7E0000}"/>
    <cellStyle name="Normal 3 2 9 5" xfId="31263" xr:uid="{00000000-0005-0000-0000-00004B7E0000}"/>
    <cellStyle name="Normal 3 20" xfId="7324" xr:uid="{00000000-0005-0000-0000-00004C7E0000}"/>
    <cellStyle name="Normal 3 26" xfId="7423" xr:uid="{00000000-0005-0000-0000-00004D7E0000}"/>
    <cellStyle name="Normal 3 3" xfId="196" xr:uid="{00000000-0005-0000-0000-00004E7E0000}"/>
    <cellStyle name="Normal 3 3 10" xfId="5769" xr:uid="{00000000-0005-0000-0000-00004F7E0000}"/>
    <cellStyle name="Normal 3 3 10 2" xfId="5770" xr:uid="{00000000-0005-0000-0000-0000507E0000}"/>
    <cellStyle name="Normal 3 3 10 2 2" xfId="9313" xr:uid="{00000000-0005-0000-0000-0000517E0000}"/>
    <cellStyle name="Normal 3 3 10 2 2 2" xfId="16103" xr:uid="{00000000-0005-0000-0000-0000527E0000}"/>
    <cellStyle name="Normal 3 3 10 2 2 2 2" xfId="29671" xr:uid="{00000000-0005-0000-0000-0000537E0000}"/>
    <cellStyle name="Normal 3 3 10 2 2 2 2 2" xfId="56804" xr:uid="{00000000-0005-0000-0000-0000547E0000}"/>
    <cellStyle name="Normal 3 3 10 2 2 2 3" xfId="43242" xr:uid="{00000000-0005-0000-0000-0000557E0000}"/>
    <cellStyle name="Normal 3 3 10 2 2 3" xfId="22890" xr:uid="{00000000-0005-0000-0000-0000567E0000}"/>
    <cellStyle name="Normal 3 3 10 2 2 3 2" xfId="50023" xr:uid="{00000000-0005-0000-0000-0000577E0000}"/>
    <cellStyle name="Normal 3 3 10 2 2 4" xfId="36461" xr:uid="{00000000-0005-0000-0000-0000587E0000}"/>
    <cellStyle name="Normal 3 3 10 2 3" xfId="12714" xr:uid="{00000000-0005-0000-0000-0000597E0000}"/>
    <cellStyle name="Normal 3 3 10 2 3 2" xfId="26282" xr:uid="{00000000-0005-0000-0000-00005A7E0000}"/>
    <cellStyle name="Normal 3 3 10 2 3 2 2" xfId="53415" xr:uid="{00000000-0005-0000-0000-00005B7E0000}"/>
    <cellStyle name="Normal 3 3 10 2 3 3" xfId="39853" xr:uid="{00000000-0005-0000-0000-00005C7E0000}"/>
    <cellStyle name="Normal 3 3 10 2 4" xfId="19501" xr:uid="{00000000-0005-0000-0000-00005D7E0000}"/>
    <cellStyle name="Normal 3 3 10 2 4 2" xfId="46634" xr:uid="{00000000-0005-0000-0000-00005E7E0000}"/>
    <cellStyle name="Normal 3 3 10 2 5" xfId="33072" xr:uid="{00000000-0005-0000-0000-00005F7E0000}"/>
    <cellStyle name="Normal 3 3 10 3" xfId="5771" xr:uid="{00000000-0005-0000-0000-0000607E0000}"/>
    <cellStyle name="Normal 3 3 10 3 2" xfId="9314" xr:uid="{00000000-0005-0000-0000-0000617E0000}"/>
    <cellStyle name="Normal 3 3 10 3 2 2" xfId="16104" xr:uid="{00000000-0005-0000-0000-0000627E0000}"/>
    <cellStyle name="Normal 3 3 10 3 2 2 2" xfId="29672" xr:uid="{00000000-0005-0000-0000-0000637E0000}"/>
    <cellStyle name="Normal 3 3 10 3 2 2 2 2" xfId="56805" xr:uid="{00000000-0005-0000-0000-0000647E0000}"/>
    <cellStyle name="Normal 3 3 10 3 2 2 3" xfId="43243" xr:uid="{00000000-0005-0000-0000-0000657E0000}"/>
    <cellStyle name="Normal 3 3 10 3 2 3" xfId="22891" xr:uid="{00000000-0005-0000-0000-0000667E0000}"/>
    <cellStyle name="Normal 3 3 10 3 2 3 2" xfId="50024" xr:uid="{00000000-0005-0000-0000-0000677E0000}"/>
    <cellStyle name="Normal 3 3 10 3 2 4" xfId="36462" xr:uid="{00000000-0005-0000-0000-0000687E0000}"/>
    <cellStyle name="Normal 3 3 10 3 3" xfId="12715" xr:uid="{00000000-0005-0000-0000-0000697E0000}"/>
    <cellStyle name="Normal 3 3 10 3 3 2" xfId="26283" xr:uid="{00000000-0005-0000-0000-00006A7E0000}"/>
    <cellStyle name="Normal 3 3 10 3 3 2 2" xfId="53416" xr:uid="{00000000-0005-0000-0000-00006B7E0000}"/>
    <cellStyle name="Normal 3 3 10 3 3 3" xfId="39854" xr:uid="{00000000-0005-0000-0000-00006C7E0000}"/>
    <cellStyle name="Normal 3 3 10 3 4" xfId="19502" xr:uid="{00000000-0005-0000-0000-00006D7E0000}"/>
    <cellStyle name="Normal 3 3 10 3 4 2" xfId="46635" xr:uid="{00000000-0005-0000-0000-00006E7E0000}"/>
    <cellStyle name="Normal 3 3 10 3 5" xfId="33073" xr:uid="{00000000-0005-0000-0000-00006F7E0000}"/>
    <cellStyle name="Normal 3 3 10 4" xfId="9312" xr:uid="{00000000-0005-0000-0000-0000707E0000}"/>
    <cellStyle name="Normal 3 3 10 4 2" xfId="16102" xr:uid="{00000000-0005-0000-0000-0000717E0000}"/>
    <cellStyle name="Normal 3 3 10 4 2 2" xfId="29670" xr:uid="{00000000-0005-0000-0000-0000727E0000}"/>
    <cellStyle name="Normal 3 3 10 4 2 2 2" xfId="56803" xr:uid="{00000000-0005-0000-0000-0000737E0000}"/>
    <cellStyle name="Normal 3 3 10 4 2 3" xfId="43241" xr:uid="{00000000-0005-0000-0000-0000747E0000}"/>
    <cellStyle name="Normal 3 3 10 4 3" xfId="22889" xr:uid="{00000000-0005-0000-0000-0000757E0000}"/>
    <cellStyle name="Normal 3 3 10 4 3 2" xfId="50022" xr:uid="{00000000-0005-0000-0000-0000767E0000}"/>
    <cellStyle name="Normal 3 3 10 4 4" xfId="36460" xr:uid="{00000000-0005-0000-0000-0000777E0000}"/>
    <cellStyle name="Normal 3 3 10 5" xfId="12713" xr:uid="{00000000-0005-0000-0000-0000787E0000}"/>
    <cellStyle name="Normal 3 3 10 5 2" xfId="26281" xr:uid="{00000000-0005-0000-0000-0000797E0000}"/>
    <cellStyle name="Normal 3 3 10 5 2 2" xfId="53414" xr:uid="{00000000-0005-0000-0000-00007A7E0000}"/>
    <cellStyle name="Normal 3 3 10 5 3" xfId="39852" xr:uid="{00000000-0005-0000-0000-00007B7E0000}"/>
    <cellStyle name="Normal 3 3 10 6" xfId="19500" xr:uid="{00000000-0005-0000-0000-00007C7E0000}"/>
    <cellStyle name="Normal 3 3 10 6 2" xfId="46633" xr:uid="{00000000-0005-0000-0000-00007D7E0000}"/>
    <cellStyle name="Normal 3 3 10 7" xfId="33071" xr:uid="{00000000-0005-0000-0000-00007E7E0000}"/>
    <cellStyle name="Normal 3 3 11" xfId="5772" xr:uid="{00000000-0005-0000-0000-00007F7E0000}"/>
    <cellStyle name="Normal 3 3 11 2" xfId="9315" xr:uid="{00000000-0005-0000-0000-0000807E0000}"/>
    <cellStyle name="Normal 3 3 11 2 2" xfId="16105" xr:uid="{00000000-0005-0000-0000-0000817E0000}"/>
    <cellStyle name="Normal 3 3 11 2 2 2" xfId="29673" xr:uid="{00000000-0005-0000-0000-0000827E0000}"/>
    <cellStyle name="Normal 3 3 11 2 2 2 2" xfId="56806" xr:uid="{00000000-0005-0000-0000-0000837E0000}"/>
    <cellStyle name="Normal 3 3 11 2 2 3" xfId="43244" xr:uid="{00000000-0005-0000-0000-0000847E0000}"/>
    <cellStyle name="Normal 3 3 11 2 3" xfId="22892" xr:uid="{00000000-0005-0000-0000-0000857E0000}"/>
    <cellStyle name="Normal 3 3 11 2 3 2" xfId="50025" xr:uid="{00000000-0005-0000-0000-0000867E0000}"/>
    <cellStyle name="Normal 3 3 11 2 4" xfId="36463" xr:uid="{00000000-0005-0000-0000-0000877E0000}"/>
    <cellStyle name="Normal 3 3 11 3" xfId="12716" xr:uid="{00000000-0005-0000-0000-0000887E0000}"/>
    <cellStyle name="Normal 3 3 11 3 2" xfId="26284" xr:uid="{00000000-0005-0000-0000-0000897E0000}"/>
    <cellStyle name="Normal 3 3 11 3 2 2" xfId="53417" xr:uid="{00000000-0005-0000-0000-00008A7E0000}"/>
    <cellStyle name="Normal 3 3 11 3 3" xfId="39855" xr:uid="{00000000-0005-0000-0000-00008B7E0000}"/>
    <cellStyle name="Normal 3 3 11 4" xfId="19503" xr:uid="{00000000-0005-0000-0000-00008C7E0000}"/>
    <cellStyle name="Normal 3 3 11 4 2" xfId="46636" xr:uid="{00000000-0005-0000-0000-00008D7E0000}"/>
    <cellStyle name="Normal 3 3 11 5" xfId="33074" xr:uid="{00000000-0005-0000-0000-00008E7E0000}"/>
    <cellStyle name="Normal 3 3 12" xfId="5773" xr:uid="{00000000-0005-0000-0000-00008F7E0000}"/>
    <cellStyle name="Normal 3 3 12 2" xfId="9316" xr:uid="{00000000-0005-0000-0000-0000907E0000}"/>
    <cellStyle name="Normal 3 3 12 2 2" xfId="16106" xr:uid="{00000000-0005-0000-0000-0000917E0000}"/>
    <cellStyle name="Normal 3 3 12 2 2 2" xfId="29674" xr:uid="{00000000-0005-0000-0000-0000927E0000}"/>
    <cellStyle name="Normal 3 3 12 2 2 2 2" xfId="56807" xr:uid="{00000000-0005-0000-0000-0000937E0000}"/>
    <cellStyle name="Normal 3 3 12 2 2 3" xfId="43245" xr:uid="{00000000-0005-0000-0000-0000947E0000}"/>
    <cellStyle name="Normal 3 3 12 2 3" xfId="22893" xr:uid="{00000000-0005-0000-0000-0000957E0000}"/>
    <cellStyle name="Normal 3 3 12 2 3 2" xfId="50026" xr:uid="{00000000-0005-0000-0000-0000967E0000}"/>
    <cellStyle name="Normal 3 3 12 2 4" xfId="36464" xr:uid="{00000000-0005-0000-0000-0000977E0000}"/>
    <cellStyle name="Normal 3 3 12 3" xfId="12717" xr:uid="{00000000-0005-0000-0000-0000987E0000}"/>
    <cellStyle name="Normal 3 3 12 3 2" xfId="26285" xr:uid="{00000000-0005-0000-0000-0000997E0000}"/>
    <cellStyle name="Normal 3 3 12 3 2 2" xfId="53418" xr:uid="{00000000-0005-0000-0000-00009A7E0000}"/>
    <cellStyle name="Normal 3 3 12 3 3" xfId="39856" xr:uid="{00000000-0005-0000-0000-00009B7E0000}"/>
    <cellStyle name="Normal 3 3 12 4" xfId="19504" xr:uid="{00000000-0005-0000-0000-00009C7E0000}"/>
    <cellStyle name="Normal 3 3 12 4 2" xfId="46637" xr:uid="{00000000-0005-0000-0000-00009D7E0000}"/>
    <cellStyle name="Normal 3 3 12 5" xfId="33075" xr:uid="{00000000-0005-0000-0000-00009E7E0000}"/>
    <cellStyle name="Normal 3 3 2" xfId="2692" xr:uid="{00000000-0005-0000-0000-00009F7E0000}"/>
    <cellStyle name="Normal 3 3 2 10" xfId="5774" xr:uid="{00000000-0005-0000-0000-0000A07E0000}"/>
    <cellStyle name="Normal 3 3 2 10 2" xfId="9317" xr:uid="{00000000-0005-0000-0000-0000A17E0000}"/>
    <cellStyle name="Normal 3 3 2 10 2 2" xfId="16107" xr:uid="{00000000-0005-0000-0000-0000A27E0000}"/>
    <cellStyle name="Normal 3 3 2 10 2 2 2" xfId="29675" xr:uid="{00000000-0005-0000-0000-0000A37E0000}"/>
    <cellStyle name="Normal 3 3 2 10 2 2 2 2" xfId="56808" xr:uid="{00000000-0005-0000-0000-0000A47E0000}"/>
    <cellStyle name="Normal 3 3 2 10 2 2 3" xfId="43246" xr:uid="{00000000-0005-0000-0000-0000A57E0000}"/>
    <cellStyle name="Normal 3 3 2 10 2 3" xfId="22894" xr:uid="{00000000-0005-0000-0000-0000A67E0000}"/>
    <cellStyle name="Normal 3 3 2 10 2 3 2" xfId="50027" xr:uid="{00000000-0005-0000-0000-0000A77E0000}"/>
    <cellStyle name="Normal 3 3 2 10 2 4" xfId="36465" xr:uid="{00000000-0005-0000-0000-0000A87E0000}"/>
    <cellStyle name="Normal 3 3 2 10 3" xfId="12718" xr:uid="{00000000-0005-0000-0000-0000A97E0000}"/>
    <cellStyle name="Normal 3 3 2 10 3 2" xfId="26286" xr:uid="{00000000-0005-0000-0000-0000AA7E0000}"/>
    <cellStyle name="Normal 3 3 2 10 3 2 2" xfId="53419" xr:uid="{00000000-0005-0000-0000-0000AB7E0000}"/>
    <cellStyle name="Normal 3 3 2 10 3 3" xfId="39857" xr:uid="{00000000-0005-0000-0000-0000AC7E0000}"/>
    <cellStyle name="Normal 3 3 2 10 4" xfId="19505" xr:uid="{00000000-0005-0000-0000-0000AD7E0000}"/>
    <cellStyle name="Normal 3 3 2 10 4 2" xfId="46638" xr:uid="{00000000-0005-0000-0000-0000AE7E0000}"/>
    <cellStyle name="Normal 3 3 2 10 5" xfId="33076" xr:uid="{00000000-0005-0000-0000-0000AF7E0000}"/>
    <cellStyle name="Normal 3 3 2 11" xfId="7505" xr:uid="{00000000-0005-0000-0000-0000B07E0000}"/>
    <cellStyle name="Normal 3 3 2 11 2" xfId="14295" xr:uid="{00000000-0005-0000-0000-0000B17E0000}"/>
    <cellStyle name="Normal 3 3 2 11 2 2" xfId="27863" xr:uid="{00000000-0005-0000-0000-0000B27E0000}"/>
    <cellStyle name="Normal 3 3 2 11 2 2 2" xfId="54996" xr:uid="{00000000-0005-0000-0000-0000B37E0000}"/>
    <cellStyle name="Normal 3 3 2 11 2 3" xfId="41434" xr:uid="{00000000-0005-0000-0000-0000B47E0000}"/>
    <cellStyle name="Normal 3 3 2 11 3" xfId="21082" xr:uid="{00000000-0005-0000-0000-0000B57E0000}"/>
    <cellStyle name="Normal 3 3 2 11 3 2" xfId="48215" xr:uid="{00000000-0005-0000-0000-0000B67E0000}"/>
    <cellStyle name="Normal 3 3 2 11 4" xfId="34653" xr:uid="{00000000-0005-0000-0000-0000B77E0000}"/>
    <cellStyle name="Normal 3 3 2 12" xfId="10906" xr:uid="{00000000-0005-0000-0000-0000B87E0000}"/>
    <cellStyle name="Normal 3 3 2 12 2" xfId="24474" xr:uid="{00000000-0005-0000-0000-0000B97E0000}"/>
    <cellStyle name="Normal 3 3 2 12 2 2" xfId="51607" xr:uid="{00000000-0005-0000-0000-0000BA7E0000}"/>
    <cellStyle name="Normal 3 3 2 12 3" xfId="38045" xr:uid="{00000000-0005-0000-0000-0000BB7E0000}"/>
    <cellStyle name="Normal 3 3 2 13" xfId="17693" xr:uid="{00000000-0005-0000-0000-0000BC7E0000}"/>
    <cellStyle name="Normal 3 3 2 13 2" xfId="44826" xr:uid="{00000000-0005-0000-0000-0000BD7E0000}"/>
    <cellStyle name="Normal 3 3 2 14" xfId="31264" xr:uid="{00000000-0005-0000-0000-0000BE7E0000}"/>
    <cellStyle name="Normal 3 3 2 2" xfId="2693" xr:uid="{00000000-0005-0000-0000-0000BF7E0000}"/>
    <cellStyle name="Normal 3 3 2 2 10" xfId="10907" xr:uid="{00000000-0005-0000-0000-0000C07E0000}"/>
    <cellStyle name="Normal 3 3 2 2 10 2" xfId="24475" xr:uid="{00000000-0005-0000-0000-0000C17E0000}"/>
    <cellStyle name="Normal 3 3 2 2 10 2 2" xfId="51608" xr:uid="{00000000-0005-0000-0000-0000C27E0000}"/>
    <cellStyle name="Normal 3 3 2 2 10 3" xfId="38046" xr:uid="{00000000-0005-0000-0000-0000C37E0000}"/>
    <cellStyle name="Normal 3 3 2 2 11" xfId="17694" xr:uid="{00000000-0005-0000-0000-0000C47E0000}"/>
    <cellStyle name="Normal 3 3 2 2 11 2" xfId="44827" xr:uid="{00000000-0005-0000-0000-0000C57E0000}"/>
    <cellStyle name="Normal 3 3 2 2 12" xfId="31265" xr:uid="{00000000-0005-0000-0000-0000C67E0000}"/>
    <cellStyle name="Normal 3 3 2 2 2" xfId="5775" xr:uid="{00000000-0005-0000-0000-0000C77E0000}"/>
    <cellStyle name="Normal 3 3 2 2 2 10" xfId="33077" xr:uid="{00000000-0005-0000-0000-0000C87E0000}"/>
    <cellStyle name="Normal 3 3 2 2 2 2" xfId="5776" xr:uid="{00000000-0005-0000-0000-0000C97E0000}"/>
    <cellStyle name="Normal 3 3 2 2 2 2 2" xfId="5777" xr:uid="{00000000-0005-0000-0000-0000CA7E0000}"/>
    <cellStyle name="Normal 3 3 2 2 2 2 2 2" xfId="5778" xr:uid="{00000000-0005-0000-0000-0000CB7E0000}"/>
    <cellStyle name="Normal 3 3 2 2 2 2 2 2 2" xfId="9321" xr:uid="{00000000-0005-0000-0000-0000CC7E0000}"/>
    <cellStyle name="Normal 3 3 2 2 2 2 2 2 2 2" xfId="16111" xr:uid="{00000000-0005-0000-0000-0000CD7E0000}"/>
    <cellStyle name="Normal 3 3 2 2 2 2 2 2 2 2 2" xfId="29679" xr:uid="{00000000-0005-0000-0000-0000CE7E0000}"/>
    <cellStyle name="Normal 3 3 2 2 2 2 2 2 2 2 2 2" xfId="56812" xr:uid="{00000000-0005-0000-0000-0000CF7E0000}"/>
    <cellStyle name="Normal 3 3 2 2 2 2 2 2 2 2 3" xfId="43250" xr:uid="{00000000-0005-0000-0000-0000D07E0000}"/>
    <cellStyle name="Normal 3 3 2 2 2 2 2 2 2 3" xfId="22898" xr:uid="{00000000-0005-0000-0000-0000D17E0000}"/>
    <cellStyle name="Normal 3 3 2 2 2 2 2 2 2 3 2" xfId="50031" xr:uid="{00000000-0005-0000-0000-0000D27E0000}"/>
    <cellStyle name="Normal 3 3 2 2 2 2 2 2 2 4" xfId="36469" xr:uid="{00000000-0005-0000-0000-0000D37E0000}"/>
    <cellStyle name="Normal 3 3 2 2 2 2 2 2 3" xfId="12722" xr:uid="{00000000-0005-0000-0000-0000D47E0000}"/>
    <cellStyle name="Normal 3 3 2 2 2 2 2 2 3 2" xfId="26290" xr:uid="{00000000-0005-0000-0000-0000D57E0000}"/>
    <cellStyle name="Normal 3 3 2 2 2 2 2 2 3 2 2" xfId="53423" xr:uid="{00000000-0005-0000-0000-0000D67E0000}"/>
    <cellStyle name="Normal 3 3 2 2 2 2 2 2 3 3" xfId="39861" xr:uid="{00000000-0005-0000-0000-0000D77E0000}"/>
    <cellStyle name="Normal 3 3 2 2 2 2 2 2 4" xfId="19509" xr:uid="{00000000-0005-0000-0000-0000D87E0000}"/>
    <cellStyle name="Normal 3 3 2 2 2 2 2 2 4 2" xfId="46642" xr:uid="{00000000-0005-0000-0000-0000D97E0000}"/>
    <cellStyle name="Normal 3 3 2 2 2 2 2 2 5" xfId="33080" xr:uid="{00000000-0005-0000-0000-0000DA7E0000}"/>
    <cellStyle name="Normal 3 3 2 2 2 2 2 3" xfId="5779" xr:uid="{00000000-0005-0000-0000-0000DB7E0000}"/>
    <cellStyle name="Normal 3 3 2 2 2 2 2 3 2" xfId="9322" xr:uid="{00000000-0005-0000-0000-0000DC7E0000}"/>
    <cellStyle name="Normal 3 3 2 2 2 2 2 3 2 2" xfId="16112" xr:uid="{00000000-0005-0000-0000-0000DD7E0000}"/>
    <cellStyle name="Normal 3 3 2 2 2 2 2 3 2 2 2" xfId="29680" xr:uid="{00000000-0005-0000-0000-0000DE7E0000}"/>
    <cellStyle name="Normal 3 3 2 2 2 2 2 3 2 2 2 2" xfId="56813" xr:uid="{00000000-0005-0000-0000-0000DF7E0000}"/>
    <cellStyle name="Normal 3 3 2 2 2 2 2 3 2 2 3" xfId="43251" xr:uid="{00000000-0005-0000-0000-0000E07E0000}"/>
    <cellStyle name="Normal 3 3 2 2 2 2 2 3 2 3" xfId="22899" xr:uid="{00000000-0005-0000-0000-0000E17E0000}"/>
    <cellStyle name="Normal 3 3 2 2 2 2 2 3 2 3 2" xfId="50032" xr:uid="{00000000-0005-0000-0000-0000E27E0000}"/>
    <cellStyle name="Normal 3 3 2 2 2 2 2 3 2 4" xfId="36470" xr:uid="{00000000-0005-0000-0000-0000E37E0000}"/>
    <cellStyle name="Normal 3 3 2 2 2 2 2 3 3" xfId="12723" xr:uid="{00000000-0005-0000-0000-0000E47E0000}"/>
    <cellStyle name="Normal 3 3 2 2 2 2 2 3 3 2" xfId="26291" xr:uid="{00000000-0005-0000-0000-0000E57E0000}"/>
    <cellStyle name="Normal 3 3 2 2 2 2 2 3 3 2 2" xfId="53424" xr:uid="{00000000-0005-0000-0000-0000E67E0000}"/>
    <cellStyle name="Normal 3 3 2 2 2 2 2 3 3 3" xfId="39862" xr:uid="{00000000-0005-0000-0000-0000E77E0000}"/>
    <cellStyle name="Normal 3 3 2 2 2 2 2 3 4" xfId="19510" xr:uid="{00000000-0005-0000-0000-0000E87E0000}"/>
    <cellStyle name="Normal 3 3 2 2 2 2 2 3 4 2" xfId="46643" xr:uid="{00000000-0005-0000-0000-0000E97E0000}"/>
    <cellStyle name="Normal 3 3 2 2 2 2 2 3 5" xfId="33081" xr:uid="{00000000-0005-0000-0000-0000EA7E0000}"/>
    <cellStyle name="Normal 3 3 2 2 2 2 2 4" xfId="9320" xr:uid="{00000000-0005-0000-0000-0000EB7E0000}"/>
    <cellStyle name="Normal 3 3 2 2 2 2 2 4 2" xfId="16110" xr:uid="{00000000-0005-0000-0000-0000EC7E0000}"/>
    <cellStyle name="Normal 3 3 2 2 2 2 2 4 2 2" xfId="29678" xr:uid="{00000000-0005-0000-0000-0000ED7E0000}"/>
    <cellStyle name="Normal 3 3 2 2 2 2 2 4 2 2 2" xfId="56811" xr:uid="{00000000-0005-0000-0000-0000EE7E0000}"/>
    <cellStyle name="Normal 3 3 2 2 2 2 2 4 2 3" xfId="43249" xr:uid="{00000000-0005-0000-0000-0000EF7E0000}"/>
    <cellStyle name="Normal 3 3 2 2 2 2 2 4 3" xfId="22897" xr:uid="{00000000-0005-0000-0000-0000F07E0000}"/>
    <cellStyle name="Normal 3 3 2 2 2 2 2 4 3 2" xfId="50030" xr:uid="{00000000-0005-0000-0000-0000F17E0000}"/>
    <cellStyle name="Normal 3 3 2 2 2 2 2 4 4" xfId="36468" xr:uid="{00000000-0005-0000-0000-0000F27E0000}"/>
    <cellStyle name="Normal 3 3 2 2 2 2 2 5" xfId="12721" xr:uid="{00000000-0005-0000-0000-0000F37E0000}"/>
    <cellStyle name="Normal 3 3 2 2 2 2 2 5 2" xfId="26289" xr:uid="{00000000-0005-0000-0000-0000F47E0000}"/>
    <cellStyle name="Normal 3 3 2 2 2 2 2 5 2 2" xfId="53422" xr:uid="{00000000-0005-0000-0000-0000F57E0000}"/>
    <cellStyle name="Normal 3 3 2 2 2 2 2 5 3" xfId="39860" xr:uid="{00000000-0005-0000-0000-0000F67E0000}"/>
    <cellStyle name="Normal 3 3 2 2 2 2 2 6" xfId="19508" xr:uid="{00000000-0005-0000-0000-0000F77E0000}"/>
    <cellStyle name="Normal 3 3 2 2 2 2 2 6 2" xfId="46641" xr:uid="{00000000-0005-0000-0000-0000F87E0000}"/>
    <cellStyle name="Normal 3 3 2 2 2 2 2 7" xfId="33079" xr:uid="{00000000-0005-0000-0000-0000F97E0000}"/>
    <cellStyle name="Normal 3 3 2 2 2 2 3" xfId="5780" xr:uid="{00000000-0005-0000-0000-0000FA7E0000}"/>
    <cellStyle name="Normal 3 3 2 2 2 2 3 2" xfId="5781" xr:uid="{00000000-0005-0000-0000-0000FB7E0000}"/>
    <cellStyle name="Normal 3 3 2 2 2 2 3 2 2" xfId="9324" xr:uid="{00000000-0005-0000-0000-0000FC7E0000}"/>
    <cellStyle name="Normal 3 3 2 2 2 2 3 2 2 2" xfId="16114" xr:uid="{00000000-0005-0000-0000-0000FD7E0000}"/>
    <cellStyle name="Normal 3 3 2 2 2 2 3 2 2 2 2" xfId="29682" xr:uid="{00000000-0005-0000-0000-0000FE7E0000}"/>
    <cellStyle name="Normal 3 3 2 2 2 2 3 2 2 2 2 2" xfId="56815" xr:uid="{00000000-0005-0000-0000-0000FF7E0000}"/>
    <cellStyle name="Normal 3 3 2 2 2 2 3 2 2 2 3" xfId="43253" xr:uid="{00000000-0005-0000-0000-0000007F0000}"/>
    <cellStyle name="Normal 3 3 2 2 2 2 3 2 2 3" xfId="22901" xr:uid="{00000000-0005-0000-0000-0000017F0000}"/>
    <cellStyle name="Normal 3 3 2 2 2 2 3 2 2 3 2" xfId="50034" xr:uid="{00000000-0005-0000-0000-0000027F0000}"/>
    <cellStyle name="Normal 3 3 2 2 2 2 3 2 2 4" xfId="36472" xr:uid="{00000000-0005-0000-0000-0000037F0000}"/>
    <cellStyle name="Normal 3 3 2 2 2 2 3 2 3" xfId="12725" xr:uid="{00000000-0005-0000-0000-0000047F0000}"/>
    <cellStyle name="Normal 3 3 2 2 2 2 3 2 3 2" xfId="26293" xr:uid="{00000000-0005-0000-0000-0000057F0000}"/>
    <cellStyle name="Normal 3 3 2 2 2 2 3 2 3 2 2" xfId="53426" xr:uid="{00000000-0005-0000-0000-0000067F0000}"/>
    <cellStyle name="Normal 3 3 2 2 2 2 3 2 3 3" xfId="39864" xr:uid="{00000000-0005-0000-0000-0000077F0000}"/>
    <cellStyle name="Normal 3 3 2 2 2 2 3 2 4" xfId="19512" xr:uid="{00000000-0005-0000-0000-0000087F0000}"/>
    <cellStyle name="Normal 3 3 2 2 2 2 3 2 4 2" xfId="46645" xr:uid="{00000000-0005-0000-0000-0000097F0000}"/>
    <cellStyle name="Normal 3 3 2 2 2 2 3 2 5" xfId="33083" xr:uid="{00000000-0005-0000-0000-00000A7F0000}"/>
    <cellStyle name="Normal 3 3 2 2 2 2 3 3" xfId="9323" xr:uid="{00000000-0005-0000-0000-00000B7F0000}"/>
    <cellStyle name="Normal 3 3 2 2 2 2 3 3 2" xfId="16113" xr:uid="{00000000-0005-0000-0000-00000C7F0000}"/>
    <cellStyle name="Normal 3 3 2 2 2 2 3 3 2 2" xfId="29681" xr:uid="{00000000-0005-0000-0000-00000D7F0000}"/>
    <cellStyle name="Normal 3 3 2 2 2 2 3 3 2 2 2" xfId="56814" xr:uid="{00000000-0005-0000-0000-00000E7F0000}"/>
    <cellStyle name="Normal 3 3 2 2 2 2 3 3 2 3" xfId="43252" xr:uid="{00000000-0005-0000-0000-00000F7F0000}"/>
    <cellStyle name="Normal 3 3 2 2 2 2 3 3 3" xfId="22900" xr:uid="{00000000-0005-0000-0000-0000107F0000}"/>
    <cellStyle name="Normal 3 3 2 2 2 2 3 3 3 2" xfId="50033" xr:uid="{00000000-0005-0000-0000-0000117F0000}"/>
    <cellStyle name="Normal 3 3 2 2 2 2 3 3 4" xfId="36471" xr:uid="{00000000-0005-0000-0000-0000127F0000}"/>
    <cellStyle name="Normal 3 3 2 2 2 2 3 4" xfId="12724" xr:uid="{00000000-0005-0000-0000-0000137F0000}"/>
    <cellStyle name="Normal 3 3 2 2 2 2 3 4 2" xfId="26292" xr:uid="{00000000-0005-0000-0000-0000147F0000}"/>
    <cellStyle name="Normal 3 3 2 2 2 2 3 4 2 2" xfId="53425" xr:uid="{00000000-0005-0000-0000-0000157F0000}"/>
    <cellStyle name="Normal 3 3 2 2 2 2 3 4 3" xfId="39863" xr:uid="{00000000-0005-0000-0000-0000167F0000}"/>
    <cellStyle name="Normal 3 3 2 2 2 2 3 5" xfId="19511" xr:uid="{00000000-0005-0000-0000-0000177F0000}"/>
    <cellStyle name="Normal 3 3 2 2 2 2 3 5 2" xfId="46644" xr:uid="{00000000-0005-0000-0000-0000187F0000}"/>
    <cellStyle name="Normal 3 3 2 2 2 2 3 6" xfId="33082" xr:uid="{00000000-0005-0000-0000-0000197F0000}"/>
    <cellStyle name="Normal 3 3 2 2 2 2 4" xfId="5782" xr:uid="{00000000-0005-0000-0000-00001A7F0000}"/>
    <cellStyle name="Normal 3 3 2 2 2 2 4 2" xfId="9325" xr:uid="{00000000-0005-0000-0000-00001B7F0000}"/>
    <cellStyle name="Normal 3 3 2 2 2 2 4 2 2" xfId="16115" xr:uid="{00000000-0005-0000-0000-00001C7F0000}"/>
    <cellStyle name="Normal 3 3 2 2 2 2 4 2 2 2" xfId="29683" xr:uid="{00000000-0005-0000-0000-00001D7F0000}"/>
    <cellStyle name="Normal 3 3 2 2 2 2 4 2 2 2 2" xfId="56816" xr:uid="{00000000-0005-0000-0000-00001E7F0000}"/>
    <cellStyle name="Normal 3 3 2 2 2 2 4 2 2 3" xfId="43254" xr:uid="{00000000-0005-0000-0000-00001F7F0000}"/>
    <cellStyle name="Normal 3 3 2 2 2 2 4 2 3" xfId="22902" xr:uid="{00000000-0005-0000-0000-0000207F0000}"/>
    <cellStyle name="Normal 3 3 2 2 2 2 4 2 3 2" xfId="50035" xr:uid="{00000000-0005-0000-0000-0000217F0000}"/>
    <cellStyle name="Normal 3 3 2 2 2 2 4 2 4" xfId="36473" xr:uid="{00000000-0005-0000-0000-0000227F0000}"/>
    <cellStyle name="Normal 3 3 2 2 2 2 4 3" xfId="12726" xr:uid="{00000000-0005-0000-0000-0000237F0000}"/>
    <cellStyle name="Normal 3 3 2 2 2 2 4 3 2" xfId="26294" xr:uid="{00000000-0005-0000-0000-0000247F0000}"/>
    <cellStyle name="Normal 3 3 2 2 2 2 4 3 2 2" xfId="53427" xr:uid="{00000000-0005-0000-0000-0000257F0000}"/>
    <cellStyle name="Normal 3 3 2 2 2 2 4 3 3" xfId="39865" xr:uid="{00000000-0005-0000-0000-0000267F0000}"/>
    <cellStyle name="Normal 3 3 2 2 2 2 4 4" xfId="19513" xr:uid="{00000000-0005-0000-0000-0000277F0000}"/>
    <cellStyle name="Normal 3 3 2 2 2 2 4 4 2" xfId="46646" xr:uid="{00000000-0005-0000-0000-0000287F0000}"/>
    <cellStyle name="Normal 3 3 2 2 2 2 4 5" xfId="33084" xr:uid="{00000000-0005-0000-0000-0000297F0000}"/>
    <cellStyle name="Normal 3 3 2 2 2 2 5" xfId="5783" xr:uid="{00000000-0005-0000-0000-00002A7F0000}"/>
    <cellStyle name="Normal 3 3 2 2 2 2 5 2" xfId="9326" xr:uid="{00000000-0005-0000-0000-00002B7F0000}"/>
    <cellStyle name="Normal 3 3 2 2 2 2 5 2 2" xfId="16116" xr:uid="{00000000-0005-0000-0000-00002C7F0000}"/>
    <cellStyle name="Normal 3 3 2 2 2 2 5 2 2 2" xfId="29684" xr:uid="{00000000-0005-0000-0000-00002D7F0000}"/>
    <cellStyle name="Normal 3 3 2 2 2 2 5 2 2 2 2" xfId="56817" xr:uid="{00000000-0005-0000-0000-00002E7F0000}"/>
    <cellStyle name="Normal 3 3 2 2 2 2 5 2 2 3" xfId="43255" xr:uid="{00000000-0005-0000-0000-00002F7F0000}"/>
    <cellStyle name="Normal 3 3 2 2 2 2 5 2 3" xfId="22903" xr:uid="{00000000-0005-0000-0000-0000307F0000}"/>
    <cellStyle name="Normal 3 3 2 2 2 2 5 2 3 2" xfId="50036" xr:uid="{00000000-0005-0000-0000-0000317F0000}"/>
    <cellStyle name="Normal 3 3 2 2 2 2 5 2 4" xfId="36474" xr:uid="{00000000-0005-0000-0000-0000327F0000}"/>
    <cellStyle name="Normal 3 3 2 2 2 2 5 3" xfId="12727" xr:uid="{00000000-0005-0000-0000-0000337F0000}"/>
    <cellStyle name="Normal 3 3 2 2 2 2 5 3 2" xfId="26295" xr:uid="{00000000-0005-0000-0000-0000347F0000}"/>
    <cellStyle name="Normal 3 3 2 2 2 2 5 3 2 2" xfId="53428" xr:uid="{00000000-0005-0000-0000-0000357F0000}"/>
    <cellStyle name="Normal 3 3 2 2 2 2 5 3 3" xfId="39866" xr:uid="{00000000-0005-0000-0000-0000367F0000}"/>
    <cellStyle name="Normal 3 3 2 2 2 2 5 4" xfId="19514" xr:uid="{00000000-0005-0000-0000-0000377F0000}"/>
    <cellStyle name="Normal 3 3 2 2 2 2 5 4 2" xfId="46647" xr:uid="{00000000-0005-0000-0000-0000387F0000}"/>
    <cellStyle name="Normal 3 3 2 2 2 2 5 5" xfId="33085" xr:uid="{00000000-0005-0000-0000-0000397F0000}"/>
    <cellStyle name="Normal 3 3 2 2 2 2 6" xfId="9319" xr:uid="{00000000-0005-0000-0000-00003A7F0000}"/>
    <cellStyle name="Normal 3 3 2 2 2 2 6 2" xfId="16109" xr:uid="{00000000-0005-0000-0000-00003B7F0000}"/>
    <cellStyle name="Normal 3 3 2 2 2 2 6 2 2" xfId="29677" xr:uid="{00000000-0005-0000-0000-00003C7F0000}"/>
    <cellStyle name="Normal 3 3 2 2 2 2 6 2 2 2" xfId="56810" xr:uid="{00000000-0005-0000-0000-00003D7F0000}"/>
    <cellStyle name="Normal 3 3 2 2 2 2 6 2 3" xfId="43248" xr:uid="{00000000-0005-0000-0000-00003E7F0000}"/>
    <cellStyle name="Normal 3 3 2 2 2 2 6 3" xfId="22896" xr:uid="{00000000-0005-0000-0000-00003F7F0000}"/>
    <cellStyle name="Normal 3 3 2 2 2 2 6 3 2" xfId="50029" xr:uid="{00000000-0005-0000-0000-0000407F0000}"/>
    <cellStyle name="Normal 3 3 2 2 2 2 6 4" xfId="36467" xr:uid="{00000000-0005-0000-0000-0000417F0000}"/>
    <cellStyle name="Normal 3 3 2 2 2 2 7" xfId="12720" xr:uid="{00000000-0005-0000-0000-0000427F0000}"/>
    <cellStyle name="Normal 3 3 2 2 2 2 7 2" xfId="26288" xr:uid="{00000000-0005-0000-0000-0000437F0000}"/>
    <cellStyle name="Normal 3 3 2 2 2 2 7 2 2" xfId="53421" xr:uid="{00000000-0005-0000-0000-0000447F0000}"/>
    <cellStyle name="Normal 3 3 2 2 2 2 7 3" xfId="39859" xr:uid="{00000000-0005-0000-0000-0000457F0000}"/>
    <cellStyle name="Normal 3 3 2 2 2 2 8" xfId="19507" xr:uid="{00000000-0005-0000-0000-0000467F0000}"/>
    <cellStyle name="Normal 3 3 2 2 2 2 8 2" xfId="46640" xr:uid="{00000000-0005-0000-0000-0000477F0000}"/>
    <cellStyle name="Normal 3 3 2 2 2 2 9" xfId="33078" xr:uid="{00000000-0005-0000-0000-0000487F0000}"/>
    <cellStyle name="Normal 3 3 2 2 2 3" xfId="5784" xr:uid="{00000000-0005-0000-0000-0000497F0000}"/>
    <cellStyle name="Normal 3 3 2 2 2 3 2" xfId="5785" xr:uid="{00000000-0005-0000-0000-00004A7F0000}"/>
    <cellStyle name="Normal 3 3 2 2 2 3 2 2" xfId="9328" xr:uid="{00000000-0005-0000-0000-00004B7F0000}"/>
    <cellStyle name="Normal 3 3 2 2 2 3 2 2 2" xfId="16118" xr:uid="{00000000-0005-0000-0000-00004C7F0000}"/>
    <cellStyle name="Normal 3 3 2 2 2 3 2 2 2 2" xfId="29686" xr:uid="{00000000-0005-0000-0000-00004D7F0000}"/>
    <cellStyle name="Normal 3 3 2 2 2 3 2 2 2 2 2" xfId="56819" xr:uid="{00000000-0005-0000-0000-00004E7F0000}"/>
    <cellStyle name="Normal 3 3 2 2 2 3 2 2 2 3" xfId="43257" xr:uid="{00000000-0005-0000-0000-00004F7F0000}"/>
    <cellStyle name="Normal 3 3 2 2 2 3 2 2 3" xfId="22905" xr:uid="{00000000-0005-0000-0000-0000507F0000}"/>
    <cellStyle name="Normal 3 3 2 2 2 3 2 2 3 2" xfId="50038" xr:uid="{00000000-0005-0000-0000-0000517F0000}"/>
    <cellStyle name="Normal 3 3 2 2 2 3 2 2 4" xfId="36476" xr:uid="{00000000-0005-0000-0000-0000527F0000}"/>
    <cellStyle name="Normal 3 3 2 2 2 3 2 3" xfId="12729" xr:uid="{00000000-0005-0000-0000-0000537F0000}"/>
    <cellStyle name="Normal 3 3 2 2 2 3 2 3 2" xfId="26297" xr:uid="{00000000-0005-0000-0000-0000547F0000}"/>
    <cellStyle name="Normal 3 3 2 2 2 3 2 3 2 2" xfId="53430" xr:uid="{00000000-0005-0000-0000-0000557F0000}"/>
    <cellStyle name="Normal 3 3 2 2 2 3 2 3 3" xfId="39868" xr:uid="{00000000-0005-0000-0000-0000567F0000}"/>
    <cellStyle name="Normal 3 3 2 2 2 3 2 4" xfId="19516" xr:uid="{00000000-0005-0000-0000-0000577F0000}"/>
    <cellStyle name="Normal 3 3 2 2 2 3 2 4 2" xfId="46649" xr:uid="{00000000-0005-0000-0000-0000587F0000}"/>
    <cellStyle name="Normal 3 3 2 2 2 3 2 5" xfId="33087" xr:uid="{00000000-0005-0000-0000-0000597F0000}"/>
    <cellStyle name="Normal 3 3 2 2 2 3 3" xfId="5786" xr:uid="{00000000-0005-0000-0000-00005A7F0000}"/>
    <cellStyle name="Normal 3 3 2 2 2 3 3 2" xfId="9329" xr:uid="{00000000-0005-0000-0000-00005B7F0000}"/>
    <cellStyle name="Normal 3 3 2 2 2 3 3 2 2" xfId="16119" xr:uid="{00000000-0005-0000-0000-00005C7F0000}"/>
    <cellStyle name="Normal 3 3 2 2 2 3 3 2 2 2" xfId="29687" xr:uid="{00000000-0005-0000-0000-00005D7F0000}"/>
    <cellStyle name="Normal 3 3 2 2 2 3 3 2 2 2 2" xfId="56820" xr:uid="{00000000-0005-0000-0000-00005E7F0000}"/>
    <cellStyle name="Normal 3 3 2 2 2 3 3 2 2 3" xfId="43258" xr:uid="{00000000-0005-0000-0000-00005F7F0000}"/>
    <cellStyle name="Normal 3 3 2 2 2 3 3 2 3" xfId="22906" xr:uid="{00000000-0005-0000-0000-0000607F0000}"/>
    <cellStyle name="Normal 3 3 2 2 2 3 3 2 3 2" xfId="50039" xr:uid="{00000000-0005-0000-0000-0000617F0000}"/>
    <cellStyle name="Normal 3 3 2 2 2 3 3 2 4" xfId="36477" xr:uid="{00000000-0005-0000-0000-0000627F0000}"/>
    <cellStyle name="Normal 3 3 2 2 2 3 3 3" xfId="12730" xr:uid="{00000000-0005-0000-0000-0000637F0000}"/>
    <cellStyle name="Normal 3 3 2 2 2 3 3 3 2" xfId="26298" xr:uid="{00000000-0005-0000-0000-0000647F0000}"/>
    <cellStyle name="Normal 3 3 2 2 2 3 3 3 2 2" xfId="53431" xr:uid="{00000000-0005-0000-0000-0000657F0000}"/>
    <cellStyle name="Normal 3 3 2 2 2 3 3 3 3" xfId="39869" xr:uid="{00000000-0005-0000-0000-0000667F0000}"/>
    <cellStyle name="Normal 3 3 2 2 2 3 3 4" xfId="19517" xr:uid="{00000000-0005-0000-0000-0000677F0000}"/>
    <cellStyle name="Normal 3 3 2 2 2 3 3 4 2" xfId="46650" xr:uid="{00000000-0005-0000-0000-0000687F0000}"/>
    <cellStyle name="Normal 3 3 2 2 2 3 3 5" xfId="33088" xr:uid="{00000000-0005-0000-0000-0000697F0000}"/>
    <cellStyle name="Normal 3 3 2 2 2 3 4" xfId="9327" xr:uid="{00000000-0005-0000-0000-00006A7F0000}"/>
    <cellStyle name="Normal 3 3 2 2 2 3 4 2" xfId="16117" xr:uid="{00000000-0005-0000-0000-00006B7F0000}"/>
    <cellStyle name="Normal 3 3 2 2 2 3 4 2 2" xfId="29685" xr:uid="{00000000-0005-0000-0000-00006C7F0000}"/>
    <cellStyle name="Normal 3 3 2 2 2 3 4 2 2 2" xfId="56818" xr:uid="{00000000-0005-0000-0000-00006D7F0000}"/>
    <cellStyle name="Normal 3 3 2 2 2 3 4 2 3" xfId="43256" xr:uid="{00000000-0005-0000-0000-00006E7F0000}"/>
    <cellStyle name="Normal 3 3 2 2 2 3 4 3" xfId="22904" xr:uid="{00000000-0005-0000-0000-00006F7F0000}"/>
    <cellStyle name="Normal 3 3 2 2 2 3 4 3 2" xfId="50037" xr:uid="{00000000-0005-0000-0000-0000707F0000}"/>
    <cellStyle name="Normal 3 3 2 2 2 3 4 4" xfId="36475" xr:uid="{00000000-0005-0000-0000-0000717F0000}"/>
    <cellStyle name="Normal 3 3 2 2 2 3 5" xfId="12728" xr:uid="{00000000-0005-0000-0000-0000727F0000}"/>
    <cellStyle name="Normal 3 3 2 2 2 3 5 2" xfId="26296" xr:uid="{00000000-0005-0000-0000-0000737F0000}"/>
    <cellStyle name="Normal 3 3 2 2 2 3 5 2 2" xfId="53429" xr:uid="{00000000-0005-0000-0000-0000747F0000}"/>
    <cellStyle name="Normal 3 3 2 2 2 3 5 3" xfId="39867" xr:uid="{00000000-0005-0000-0000-0000757F0000}"/>
    <cellStyle name="Normal 3 3 2 2 2 3 6" xfId="19515" xr:uid="{00000000-0005-0000-0000-0000767F0000}"/>
    <cellStyle name="Normal 3 3 2 2 2 3 6 2" xfId="46648" xr:uid="{00000000-0005-0000-0000-0000777F0000}"/>
    <cellStyle name="Normal 3 3 2 2 2 3 7" xfId="33086" xr:uid="{00000000-0005-0000-0000-0000787F0000}"/>
    <cellStyle name="Normal 3 3 2 2 2 4" xfId="5787" xr:uid="{00000000-0005-0000-0000-0000797F0000}"/>
    <cellStyle name="Normal 3 3 2 2 2 4 2" xfId="5788" xr:uid="{00000000-0005-0000-0000-00007A7F0000}"/>
    <cellStyle name="Normal 3 3 2 2 2 4 2 2" xfId="9331" xr:uid="{00000000-0005-0000-0000-00007B7F0000}"/>
    <cellStyle name="Normal 3 3 2 2 2 4 2 2 2" xfId="16121" xr:uid="{00000000-0005-0000-0000-00007C7F0000}"/>
    <cellStyle name="Normal 3 3 2 2 2 4 2 2 2 2" xfId="29689" xr:uid="{00000000-0005-0000-0000-00007D7F0000}"/>
    <cellStyle name="Normal 3 3 2 2 2 4 2 2 2 2 2" xfId="56822" xr:uid="{00000000-0005-0000-0000-00007E7F0000}"/>
    <cellStyle name="Normal 3 3 2 2 2 4 2 2 2 3" xfId="43260" xr:uid="{00000000-0005-0000-0000-00007F7F0000}"/>
    <cellStyle name="Normal 3 3 2 2 2 4 2 2 3" xfId="22908" xr:uid="{00000000-0005-0000-0000-0000807F0000}"/>
    <cellStyle name="Normal 3 3 2 2 2 4 2 2 3 2" xfId="50041" xr:uid="{00000000-0005-0000-0000-0000817F0000}"/>
    <cellStyle name="Normal 3 3 2 2 2 4 2 2 4" xfId="36479" xr:uid="{00000000-0005-0000-0000-0000827F0000}"/>
    <cellStyle name="Normal 3 3 2 2 2 4 2 3" xfId="12732" xr:uid="{00000000-0005-0000-0000-0000837F0000}"/>
    <cellStyle name="Normal 3 3 2 2 2 4 2 3 2" xfId="26300" xr:uid="{00000000-0005-0000-0000-0000847F0000}"/>
    <cellStyle name="Normal 3 3 2 2 2 4 2 3 2 2" xfId="53433" xr:uid="{00000000-0005-0000-0000-0000857F0000}"/>
    <cellStyle name="Normal 3 3 2 2 2 4 2 3 3" xfId="39871" xr:uid="{00000000-0005-0000-0000-0000867F0000}"/>
    <cellStyle name="Normal 3 3 2 2 2 4 2 4" xfId="19519" xr:uid="{00000000-0005-0000-0000-0000877F0000}"/>
    <cellStyle name="Normal 3 3 2 2 2 4 2 4 2" xfId="46652" xr:uid="{00000000-0005-0000-0000-0000887F0000}"/>
    <cellStyle name="Normal 3 3 2 2 2 4 2 5" xfId="33090" xr:uid="{00000000-0005-0000-0000-0000897F0000}"/>
    <cellStyle name="Normal 3 3 2 2 2 4 3" xfId="9330" xr:uid="{00000000-0005-0000-0000-00008A7F0000}"/>
    <cellStyle name="Normal 3 3 2 2 2 4 3 2" xfId="16120" xr:uid="{00000000-0005-0000-0000-00008B7F0000}"/>
    <cellStyle name="Normal 3 3 2 2 2 4 3 2 2" xfId="29688" xr:uid="{00000000-0005-0000-0000-00008C7F0000}"/>
    <cellStyle name="Normal 3 3 2 2 2 4 3 2 2 2" xfId="56821" xr:uid="{00000000-0005-0000-0000-00008D7F0000}"/>
    <cellStyle name="Normal 3 3 2 2 2 4 3 2 3" xfId="43259" xr:uid="{00000000-0005-0000-0000-00008E7F0000}"/>
    <cellStyle name="Normal 3 3 2 2 2 4 3 3" xfId="22907" xr:uid="{00000000-0005-0000-0000-00008F7F0000}"/>
    <cellStyle name="Normal 3 3 2 2 2 4 3 3 2" xfId="50040" xr:uid="{00000000-0005-0000-0000-0000907F0000}"/>
    <cellStyle name="Normal 3 3 2 2 2 4 3 4" xfId="36478" xr:uid="{00000000-0005-0000-0000-0000917F0000}"/>
    <cellStyle name="Normal 3 3 2 2 2 4 4" xfId="12731" xr:uid="{00000000-0005-0000-0000-0000927F0000}"/>
    <cellStyle name="Normal 3 3 2 2 2 4 4 2" xfId="26299" xr:uid="{00000000-0005-0000-0000-0000937F0000}"/>
    <cellStyle name="Normal 3 3 2 2 2 4 4 2 2" xfId="53432" xr:uid="{00000000-0005-0000-0000-0000947F0000}"/>
    <cellStyle name="Normal 3 3 2 2 2 4 4 3" xfId="39870" xr:uid="{00000000-0005-0000-0000-0000957F0000}"/>
    <cellStyle name="Normal 3 3 2 2 2 4 5" xfId="19518" xr:uid="{00000000-0005-0000-0000-0000967F0000}"/>
    <cellStyle name="Normal 3 3 2 2 2 4 5 2" xfId="46651" xr:uid="{00000000-0005-0000-0000-0000977F0000}"/>
    <cellStyle name="Normal 3 3 2 2 2 4 6" xfId="33089" xr:uid="{00000000-0005-0000-0000-0000987F0000}"/>
    <cellStyle name="Normal 3 3 2 2 2 5" xfId="5789" xr:uid="{00000000-0005-0000-0000-0000997F0000}"/>
    <cellStyle name="Normal 3 3 2 2 2 5 2" xfId="9332" xr:uid="{00000000-0005-0000-0000-00009A7F0000}"/>
    <cellStyle name="Normal 3 3 2 2 2 5 2 2" xfId="16122" xr:uid="{00000000-0005-0000-0000-00009B7F0000}"/>
    <cellStyle name="Normal 3 3 2 2 2 5 2 2 2" xfId="29690" xr:uid="{00000000-0005-0000-0000-00009C7F0000}"/>
    <cellStyle name="Normal 3 3 2 2 2 5 2 2 2 2" xfId="56823" xr:uid="{00000000-0005-0000-0000-00009D7F0000}"/>
    <cellStyle name="Normal 3 3 2 2 2 5 2 2 3" xfId="43261" xr:uid="{00000000-0005-0000-0000-00009E7F0000}"/>
    <cellStyle name="Normal 3 3 2 2 2 5 2 3" xfId="22909" xr:uid="{00000000-0005-0000-0000-00009F7F0000}"/>
    <cellStyle name="Normal 3 3 2 2 2 5 2 3 2" xfId="50042" xr:uid="{00000000-0005-0000-0000-0000A07F0000}"/>
    <cellStyle name="Normal 3 3 2 2 2 5 2 4" xfId="36480" xr:uid="{00000000-0005-0000-0000-0000A17F0000}"/>
    <cellStyle name="Normal 3 3 2 2 2 5 3" xfId="12733" xr:uid="{00000000-0005-0000-0000-0000A27F0000}"/>
    <cellStyle name="Normal 3 3 2 2 2 5 3 2" xfId="26301" xr:uid="{00000000-0005-0000-0000-0000A37F0000}"/>
    <cellStyle name="Normal 3 3 2 2 2 5 3 2 2" xfId="53434" xr:uid="{00000000-0005-0000-0000-0000A47F0000}"/>
    <cellStyle name="Normal 3 3 2 2 2 5 3 3" xfId="39872" xr:uid="{00000000-0005-0000-0000-0000A57F0000}"/>
    <cellStyle name="Normal 3 3 2 2 2 5 4" xfId="19520" xr:uid="{00000000-0005-0000-0000-0000A67F0000}"/>
    <cellStyle name="Normal 3 3 2 2 2 5 4 2" xfId="46653" xr:uid="{00000000-0005-0000-0000-0000A77F0000}"/>
    <cellStyle name="Normal 3 3 2 2 2 5 5" xfId="33091" xr:uid="{00000000-0005-0000-0000-0000A87F0000}"/>
    <cellStyle name="Normal 3 3 2 2 2 6" xfId="5790" xr:uid="{00000000-0005-0000-0000-0000A97F0000}"/>
    <cellStyle name="Normal 3 3 2 2 2 6 2" xfId="9333" xr:uid="{00000000-0005-0000-0000-0000AA7F0000}"/>
    <cellStyle name="Normal 3 3 2 2 2 6 2 2" xfId="16123" xr:uid="{00000000-0005-0000-0000-0000AB7F0000}"/>
    <cellStyle name="Normal 3 3 2 2 2 6 2 2 2" xfId="29691" xr:uid="{00000000-0005-0000-0000-0000AC7F0000}"/>
    <cellStyle name="Normal 3 3 2 2 2 6 2 2 2 2" xfId="56824" xr:uid="{00000000-0005-0000-0000-0000AD7F0000}"/>
    <cellStyle name="Normal 3 3 2 2 2 6 2 2 3" xfId="43262" xr:uid="{00000000-0005-0000-0000-0000AE7F0000}"/>
    <cellStyle name="Normal 3 3 2 2 2 6 2 3" xfId="22910" xr:uid="{00000000-0005-0000-0000-0000AF7F0000}"/>
    <cellStyle name="Normal 3 3 2 2 2 6 2 3 2" xfId="50043" xr:uid="{00000000-0005-0000-0000-0000B07F0000}"/>
    <cellStyle name="Normal 3 3 2 2 2 6 2 4" xfId="36481" xr:uid="{00000000-0005-0000-0000-0000B17F0000}"/>
    <cellStyle name="Normal 3 3 2 2 2 6 3" xfId="12734" xr:uid="{00000000-0005-0000-0000-0000B27F0000}"/>
    <cellStyle name="Normal 3 3 2 2 2 6 3 2" xfId="26302" xr:uid="{00000000-0005-0000-0000-0000B37F0000}"/>
    <cellStyle name="Normal 3 3 2 2 2 6 3 2 2" xfId="53435" xr:uid="{00000000-0005-0000-0000-0000B47F0000}"/>
    <cellStyle name="Normal 3 3 2 2 2 6 3 3" xfId="39873" xr:uid="{00000000-0005-0000-0000-0000B57F0000}"/>
    <cellStyle name="Normal 3 3 2 2 2 6 4" xfId="19521" xr:uid="{00000000-0005-0000-0000-0000B67F0000}"/>
    <cellStyle name="Normal 3 3 2 2 2 6 4 2" xfId="46654" xr:uid="{00000000-0005-0000-0000-0000B77F0000}"/>
    <cellStyle name="Normal 3 3 2 2 2 6 5" xfId="33092" xr:uid="{00000000-0005-0000-0000-0000B87F0000}"/>
    <cellStyle name="Normal 3 3 2 2 2 7" xfId="9318" xr:uid="{00000000-0005-0000-0000-0000B97F0000}"/>
    <cellStyle name="Normal 3 3 2 2 2 7 2" xfId="16108" xr:uid="{00000000-0005-0000-0000-0000BA7F0000}"/>
    <cellStyle name="Normal 3 3 2 2 2 7 2 2" xfId="29676" xr:uid="{00000000-0005-0000-0000-0000BB7F0000}"/>
    <cellStyle name="Normal 3 3 2 2 2 7 2 2 2" xfId="56809" xr:uid="{00000000-0005-0000-0000-0000BC7F0000}"/>
    <cellStyle name="Normal 3 3 2 2 2 7 2 3" xfId="43247" xr:uid="{00000000-0005-0000-0000-0000BD7F0000}"/>
    <cellStyle name="Normal 3 3 2 2 2 7 3" xfId="22895" xr:uid="{00000000-0005-0000-0000-0000BE7F0000}"/>
    <cellStyle name="Normal 3 3 2 2 2 7 3 2" xfId="50028" xr:uid="{00000000-0005-0000-0000-0000BF7F0000}"/>
    <cellStyle name="Normal 3 3 2 2 2 7 4" xfId="36466" xr:uid="{00000000-0005-0000-0000-0000C07F0000}"/>
    <cellStyle name="Normal 3 3 2 2 2 8" xfId="12719" xr:uid="{00000000-0005-0000-0000-0000C17F0000}"/>
    <cellStyle name="Normal 3 3 2 2 2 8 2" xfId="26287" xr:uid="{00000000-0005-0000-0000-0000C27F0000}"/>
    <cellStyle name="Normal 3 3 2 2 2 8 2 2" xfId="53420" xr:uid="{00000000-0005-0000-0000-0000C37F0000}"/>
    <cellStyle name="Normal 3 3 2 2 2 8 3" xfId="39858" xr:uid="{00000000-0005-0000-0000-0000C47F0000}"/>
    <cellStyle name="Normal 3 3 2 2 2 9" xfId="19506" xr:uid="{00000000-0005-0000-0000-0000C57F0000}"/>
    <cellStyle name="Normal 3 3 2 2 2 9 2" xfId="46639" xr:uid="{00000000-0005-0000-0000-0000C67F0000}"/>
    <cellStyle name="Normal 3 3 2 2 3" xfId="5791" xr:uid="{00000000-0005-0000-0000-0000C77F0000}"/>
    <cellStyle name="Normal 3 3 2 2 3 2" xfId="5792" xr:uid="{00000000-0005-0000-0000-0000C87F0000}"/>
    <cellStyle name="Normal 3 3 2 2 3 2 2" xfId="5793" xr:uid="{00000000-0005-0000-0000-0000C97F0000}"/>
    <cellStyle name="Normal 3 3 2 2 3 2 2 2" xfId="9336" xr:uid="{00000000-0005-0000-0000-0000CA7F0000}"/>
    <cellStyle name="Normal 3 3 2 2 3 2 2 2 2" xfId="16126" xr:uid="{00000000-0005-0000-0000-0000CB7F0000}"/>
    <cellStyle name="Normal 3 3 2 2 3 2 2 2 2 2" xfId="29694" xr:uid="{00000000-0005-0000-0000-0000CC7F0000}"/>
    <cellStyle name="Normal 3 3 2 2 3 2 2 2 2 2 2" xfId="56827" xr:uid="{00000000-0005-0000-0000-0000CD7F0000}"/>
    <cellStyle name="Normal 3 3 2 2 3 2 2 2 2 3" xfId="43265" xr:uid="{00000000-0005-0000-0000-0000CE7F0000}"/>
    <cellStyle name="Normal 3 3 2 2 3 2 2 2 3" xfId="22913" xr:uid="{00000000-0005-0000-0000-0000CF7F0000}"/>
    <cellStyle name="Normal 3 3 2 2 3 2 2 2 3 2" xfId="50046" xr:uid="{00000000-0005-0000-0000-0000D07F0000}"/>
    <cellStyle name="Normal 3 3 2 2 3 2 2 2 4" xfId="36484" xr:uid="{00000000-0005-0000-0000-0000D17F0000}"/>
    <cellStyle name="Normal 3 3 2 2 3 2 2 3" xfId="12737" xr:uid="{00000000-0005-0000-0000-0000D27F0000}"/>
    <cellStyle name="Normal 3 3 2 2 3 2 2 3 2" xfId="26305" xr:uid="{00000000-0005-0000-0000-0000D37F0000}"/>
    <cellStyle name="Normal 3 3 2 2 3 2 2 3 2 2" xfId="53438" xr:uid="{00000000-0005-0000-0000-0000D47F0000}"/>
    <cellStyle name="Normal 3 3 2 2 3 2 2 3 3" xfId="39876" xr:uid="{00000000-0005-0000-0000-0000D57F0000}"/>
    <cellStyle name="Normal 3 3 2 2 3 2 2 4" xfId="19524" xr:uid="{00000000-0005-0000-0000-0000D67F0000}"/>
    <cellStyle name="Normal 3 3 2 2 3 2 2 4 2" xfId="46657" xr:uid="{00000000-0005-0000-0000-0000D77F0000}"/>
    <cellStyle name="Normal 3 3 2 2 3 2 2 5" xfId="33095" xr:uid="{00000000-0005-0000-0000-0000D87F0000}"/>
    <cellStyle name="Normal 3 3 2 2 3 2 3" xfId="5794" xr:uid="{00000000-0005-0000-0000-0000D97F0000}"/>
    <cellStyle name="Normal 3 3 2 2 3 2 3 2" xfId="9337" xr:uid="{00000000-0005-0000-0000-0000DA7F0000}"/>
    <cellStyle name="Normal 3 3 2 2 3 2 3 2 2" xfId="16127" xr:uid="{00000000-0005-0000-0000-0000DB7F0000}"/>
    <cellStyle name="Normal 3 3 2 2 3 2 3 2 2 2" xfId="29695" xr:uid="{00000000-0005-0000-0000-0000DC7F0000}"/>
    <cellStyle name="Normal 3 3 2 2 3 2 3 2 2 2 2" xfId="56828" xr:uid="{00000000-0005-0000-0000-0000DD7F0000}"/>
    <cellStyle name="Normal 3 3 2 2 3 2 3 2 2 3" xfId="43266" xr:uid="{00000000-0005-0000-0000-0000DE7F0000}"/>
    <cellStyle name="Normal 3 3 2 2 3 2 3 2 3" xfId="22914" xr:uid="{00000000-0005-0000-0000-0000DF7F0000}"/>
    <cellStyle name="Normal 3 3 2 2 3 2 3 2 3 2" xfId="50047" xr:uid="{00000000-0005-0000-0000-0000E07F0000}"/>
    <cellStyle name="Normal 3 3 2 2 3 2 3 2 4" xfId="36485" xr:uid="{00000000-0005-0000-0000-0000E17F0000}"/>
    <cellStyle name="Normal 3 3 2 2 3 2 3 3" xfId="12738" xr:uid="{00000000-0005-0000-0000-0000E27F0000}"/>
    <cellStyle name="Normal 3 3 2 2 3 2 3 3 2" xfId="26306" xr:uid="{00000000-0005-0000-0000-0000E37F0000}"/>
    <cellStyle name="Normal 3 3 2 2 3 2 3 3 2 2" xfId="53439" xr:uid="{00000000-0005-0000-0000-0000E47F0000}"/>
    <cellStyle name="Normal 3 3 2 2 3 2 3 3 3" xfId="39877" xr:uid="{00000000-0005-0000-0000-0000E57F0000}"/>
    <cellStyle name="Normal 3 3 2 2 3 2 3 4" xfId="19525" xr:uid="{00000000-0005-0000-0000-0000E67F0000}"/>
    <cellStyle name="Normal 3 3 2 2 3 2 3 4 2" xfId="46658" xr:uid="{00000000-0005-0000-0000-0000E77F0000}"/>
    <cellStyle name="Normal 3 3 2 2 3 2 3 5" xfId="33096" xr:uid="{00000000-0005-0000-0000-0000E87F0000}"/>
    <cellStyle name="Normal 3 3 2 2 3 2 4" xfId="9335" xr:uid="{00000000-0005-0000-0000-0000E97F0000}"/>
    <cellStyle name="Normal 3 3 2 2 3 2 4 2" xfId="16125" xr:uid="{00000000-0005-0000-0000-0000EA7F0000}"/>
    <cellStyle name="Normal 3 3 2 2 3 2 4 2 2" xfId="29693" xr:uid="{00000000-0005-0000-0000-0000EB7F0000}"/>
    <cellStyle name="Normal 3 3 2 2 3 2 4 2 2 2" xfId="56826" xr:uid="{00000000-0005-0000-0000-0000EC7F0000}"/>
    <cellStyle name="Normal 3 3 2 2 3 2 4 2 3" xfId="43264" xr:uid="{00000000-0005-0000-0000-0000ED7F0000}"/>
    <cellStyle name="Normal 3 3 2 2 3 2 4 3" xfId="22912" xr:uid="{00000000-0005-0000-0000-0000EE7F0000}"/>
    <cellStyle name="Normal 3 3 2 2 3 2 4 3 2" xfId="50045" xr:uid="{00000000-0005-0000-0000-0000EF7F0000}"/>
    <cellStyle name="Normal 3 3 2 2 3 2 4 4" xfId="36483" xr:uid="{00000000-0005-0000-0000-0000F07F0000}"/>
    <cellStyle name="Normal 3 3 2 2 3 2 5" xfId="12736" xr:uid="{00000000-0005-0000-0000-0000F17F0000}"/>
    <cellStyle name="Normal 3 3 2 2 3 2 5 2" xfId="26304" xr:uid="{00000000-0005-0000-0000-0000F27F0000}"/>
    <cellStyle name="Normal 3 3 2 2 3 2 5 2 2" xfId="53437" xr:uid="{00000000-0005-0000-0000-0000F37F0000}"/>
    <cellStyle name="Normal 3 3 2 2 3 2 5 3" xfId="39875" xr:uid="{00000000-0005-0000-0000-0000F47F0000}"/>
    <cellStyle name="Normal 3 3 2 2 3 2 6" xfId="19523" xr:uid="{00000000-0005-0000-0000-0000F57F0000}"/>
    <cellStyle name="Normal 3 3 2 2 3 2 6 2" xfId="46656" xr:uid="{00000000-0005-0000-0000-0000F67F0000}"/>
    <cellStyle name="Normal 3 3 2 2 3 2 7" xfId="33094" xr:uid="{00000000-0005-0000-0000-0000F77F0000}"/>
    <cellStyle name="Normal 3 3 2 2 3 3" xfId="5795" xr:uid="{00000000-0005-0000-0000-0000F87F0000}"/>
    <cellStyle name="Normal 3 3 2 2 3 3 2" xfId="5796" xr:uid="{00000000-0005-0000-0000-0000F97F0000}"/>
    <cellStyle name="Normal 3 3 2 2 3 3 2 2" xfId="9339" xr:uid="{00000000-0005-0000-0000-0000FA7F0000}"/>
    <cellStyle name="Normal 3 3 2 2 3 3 2 2 2" xfId="16129" xr:uid="{00000000-0005-0000-0000-0000FB7F0000}"/>
    <cellStyle name="Normal 3 3 2 2 3 3 2 2 2 2" xfId="29697" xr:uid="{00000000-0005-0000-0000-0000FC7F0000}"/>
    <cellStyle name="Normal 3 3 2 2 3 3 2 2 2 2 2" xfId="56830" xr:uid="{00000000-0005-0000-0000-0000FD7F0000}"/>
    <cellStyle name="Normal 3 3 2 2 3 3 2 2 2 3" xfId="43268" xr:uid="{00000000-0005-0000-0000-0000FE7F0000}"/>
    <cellStyle name="Normal 3 3 2 2 3 3 2 2 3" xfId="22916" xr:uid="{00000000-0005-0000-0000-0000FF7F0000}"/>
    <cellStyle name="Normal 3 3 2 2 3 3 2 2 3 2" xfId="50049" xr:uid="{00000000-0005-0000-0000-000000800000}"/>
    <cellStyle name="Normal 3 3 2 2 3 3 2 2 4" xfId="36487" xr:uid="{00000000-0005-0000-0000-000001800000}"/>
    <cellStyle name="Normal 3 3 2 2 3 3 2 3" xfId="12740" xr:uid="{00000000-0005-0000-0000-000002800000}"/>
    <cellStyle name="Normal 3 3 2 2 3 3 2 3 2" xfId="26308" xr:uid="{00000000-0005-0000-0000-000003800000}"/>
    <cellStyle name="Normal 3 3 2 2 3 3 2 3 2 2" xfId="53441" xr:uid="{00000000-0005-0000-0000-000004800000}"/>
    <cellStyle name="Normal 3 3 2 2 3 3 2 3 3" xfId="39879" xr:uid="{00000000-0005-0000-0000-000005800000}"/>
    <cellStyle name="Normal 3 3 2 2 3 3 2 4" xfId="19527" xr:uid="{00000000-0005-0000-0000-000006800000}"/>
    <cellStyle name="Normal 3 3 2 2 3 3 2 4 2" xfId="46660" xr:uid="{00000000-0005-0000-0000-000007800000}"/>
    <cellStyle name="Normal 3 3 2 2 3 3 2 5" xfId="33098" xr:uid="{00000000-0005-0000-0000-000008800000}"/>
    <cellStyle name="Normal 3 3 2 2 3 3 3" xfId="9338" xr:uid="{00000000-0005-0000-0000-000009800000}"/>
    <cellStyle name="Normal 3 3 2 2 3 3 3 2" xfId="16128" xr:uid="{00000000-0005-0000-0000-00000A800000}"/>
    <cellStyle name="Normal 3 3 2 2 3 3 3 2 2" xfId="29696" xr:uid="{00000000-0005-0000-0000-00000B800000}"/>
    <cellStyle name="Normal 3 3 2 2 3 3 3 2 2 2" xfId="56829" xr:uid="{00000000-0005-0000-0000-00000C800000}"/>
    <cellStyle name="Normal 3 3 2 2 3 3 3 2 3" xfId="43267" xr:uid="{00000000-0005-0000-0000-00000D800000}"/>
    <cellStyle name="Normal 3 3 2 2 3 3 3 3" xfId="22915" xr:uid="{00000000-0005-0000-0000-00000E800000}"/>
    <cellStyle name="Normal 3 3 2 2 3 3 3 3 2" xfId="50048" xr:uid="{00000000-0005-0000-0000-00000F800000}"/>
    <cellStyle name="Normal 3 3 2 2 3 3 3 4" xfId="36486" xr:uid="{00000000-0005-0000-0000-000010800000}"/>
    <cellStyle name="Normal 3 3 2 2 3 3 4" xfId="12739" xr:uid="{00000000-0005-0000-0000-000011800000}"/>
    <cellStyle name="Normal 3 3 2 2 3 3 4 2" xfId="26307" xr:uid="{00000000-0005-0000-0000-000012800000}"/>
    <cellStyle name="Normal 3 3 2 2 3 3 4 2 2" xfId="53440" xr:uid="{00000000-0005-0000-0000-000013800000}"/>
    <cellStyle name="Normal 3 3 2 2 3 3 4 3" xfId="39878" xr:uid="{00000000-0005-0000-0000-000014800000}"/>
    <cellStyle name="Normal 3 3 2 2 3 3 5" xfId="19526" xr:uid="{00000000-0005-0000-0000-000015800000}"/>
    <cellStyle name="Normal 3 3 2 2 3 3 5 2" xfId="46659" xr:uid="{00000000-0005-0000-0000-000016800000}"/>
    <cellStyle name="Normal 3 3 2 2 3 3 6" xfId="33097" xr:uid="{00000000-0005-0000-0000-000017800000}"/>
    <cellStyle name="Normal 3 3 2 2 3 4" xfId="5797" xr:uid="{00000000-0005-0000-0000-000018800000}"/>
    <cellStyle name="Normal 3 3 2 2 3 4 2" xfId="9340" xr:uid="{00000000-0005-0000-0000-000019800000}"/>
    <cellStyle name="Normal 3 3 2 2 3 4 2 2" xfId="16130" xr:uid="{00000000-0005-0000-0000-00001A800000}"/>
    <cellStyle name="Normal 3 3 2 2 3 4 2 2 2" xfId="29698" xr:uid="{00000000-0005-0000-0000-00001B800000}"/>
    <cellStyle name="Normal 3 3 2 2 3 4 2 2 2 2" xfId="56831" xr:uid="{00000000-0005-0000-0000-00001C800000}"/>
    <cellStyle name="Normal 3 3 2 2 3 4 2 2 3" xfId="43269" xr:uid="{00000000-0005-0000-0000-00001D800000}"/>
    <cellStyle name="Normal 3 3 2 2 3 4 2 3" xfId="22917" xr:uid="{00000000-0005-0000-0000-00001E800000}"/>
    <cellStyle name="Normal 3 3 2 2 3 4 2 3 2" xfId="50050" xr:uid="{00000000-0005-0000-0000-00001F800000}"/>
    <cellStyle name="Normal 3 3 2 2 3 4 2 4" xfId="36488" xr:uid="{00000000-0005-0000-0000-000020800000}"/>
    <cellStyle name="Normal 3 3 2 2 3 4 3" xfId="12741" xr:uid="{00000000-0005-0000-0000-000021800000}"/>
    <cellStyle name="Normal 3 3 2 2 3 4 3 2" xfId="26309" xr:uid="{00000000-0005-0000-0000-000022800000}"/>
    <cellStyle name="Normal 3 3 2 2 3 4 3 2 2" xfId="53442" xr:uid="{00000000-0005-0000-0000-000023800000}"/>
    <cellStyle name="Normal 3 3 2 2 3 4 3 3" xfId="39880" xr:uid="{00000000-0005-0000-0000-000024800000}"/>
    <cellStyle name="Normal 3 3 2 2 3 4 4" xfId="19528" xr:uid="{00000000-0005-0000-0000-000025800000}"/>
    <cellStyle name="Normal 3 3 2 2 3 4 4 2" xfId="46661" xr:uid="{00000000-0005-0000-0000-000026800000}"/>
    <cellStyle name="Normal 3 3 2 2 3 4 5" xfId="33099" xr:uid="{00000000-0005-0000-0000-000027800000}"/>
    <cellStyle name="Normal 3 3 2 2 3 5" xfId="5798" xr:uid="{00000000-0005-0000-0000-000028800000}"/>
    <cellStyle name="Normal 3 3 2 2 3 5 2" xfId="9341" xr:uid="{00000000-0005-0000-0000-000029800000}"/>
    <cellStyle name="Normal 3 3 2 2 3 5 2 2" xfId="16131" xr:uid="{00000000-0005-0000-0000-00002A800000}"/>
    <cellStyle name="Normal 3 3 2 2 3 5 2 2 2" xfId="29699" xr:uid="{00000000-0005-0000-0000-00002B800000}"/>
    <cellStyle name="Normal 3 3 2 2 3 5 2 2 2 2" xfId="56832" xr:uid="{00000000-0005-0000-0000-00002C800000}"/>
    <cellStyle name="Normal 3 3 2 2 3 5 2 2 3" xfId="43270" xr:uid="{00000000-0005-0000-0000-00002D800000}"/>
    <cellStyle name="Normal 3 3 2 2 3 5 2 3" xfId="22918" xr:uid="{00000000-0005-0000-0000-00002E800000}"/>
    <cellStyle name="Normal 3 3 2 2 3 5 2 3 2" xfId="50051" xr:uid="{00000000-0005-0000-0000-00002F800000}"/>
    <cellStyle name="Normal 3 3 2 2 3 5 2 4" xfId="36489" xr:uid="{00000000-0005-0000-0000-000030800000}"/>
    <cellStyle name="Normal 3 3 2 2 3 5 3" xfId="12742" xr:uid="{00000000-0005-0000-0000-000031800000}"/>
    <cellStyle name="Normal 3 3 2 2 3 5 3 2" xfId="26310" xr:uid="{00000000-0005-0000-0000-000032800000}"/>
    <cellStyle name="Normal 3 3 2 2 3 5 3 2 2" xfId="53443" xr:uid="{00000000-0005-0000-0000-000033800000}"/>
    <cellStyle name="Normal 3 3 2 2 3 5 3 3" xfId="39881" xr:uid="{00000000-0005-0000-0000-000034800000}"/>
    <cellStyle name="Normal 3 3 2 2 3 5 4" xfId="19529" xr:uid="{00000000-0005-0000-0000-000035800000}"/>
    <cellStyle name="Normal 3 3 2 2 3 5 4 2" xfId="46662" xr:uid="{00000000-0005-0000-0000-000036800000}"/>
    <cellStyle name="Normal 3 3 2 2 3 5 5" xfId="33100" xr:uid="{00000000-0005-0000-0000-000037800000}"/>
    <cellStyle name="Normal 3 3 2 2 3 6" xfId="9334" xr:uid="{00000000-0005-0000-0000-000038800000}"/>
    <cellStyle name="Normal 3 3 2 2 3 6 2" xfId="16124" xr:uid="{00000000-0005-0000-0000-000039800000}"/>
    <cellStyle name="Normal 3 3 2 2 3 6 2 2" xfId="29692" xr:uid="{00000000-0005-0000-0000-00003A800000}"/>
    <cellStyle name="Normal 3 3 2 2 3 6 2 2 2" xfId="56825" xr:uid="{00000000-0005-0000-0000-00003B800000}"/>
    <cellStyle name="Normal 3 3 2 2 3 6 2 3" xfId="43263" xr:uid="{00000000-0005-0000-0000-00003C800000}"/>
    <cellStyle name="Normal 3 3 2 2 3 6 3" xfId="22911" xr:uid="{00000000-0005-0000-0000-00003D800000}"/>
    <cellStyle name="Normal 3 3 2 2 3 6 3 2" xfId="50044" xr:uid="{00000000-0005-0000-0000-00003E800000}"/>
    <cellStyle name="Normal 3 3 2 2 3 6 4" xfId="36482" xr:uid="{00000000-0005-0000-0000-00003F800000}"/>
    <cellStyle name="Normal 3 3 2 2 3 7" xfId="12735" xr:uid="{00000000-0005-0000-0000-000040800000}"/>
    <cellStyle name="Normal 3 3 2 2 3 7 2" xfId="26303" xr:uid="{00000000-0005-0000-0000-000041800000}"/>
    <cellStyle name="Normal 3 3 2 2 3 7 2 2" xfId="53436" xr:uid="{00000000-0005-0000-0000-000042800000}"/>
    <cellStyle name="Normal 3 3 2 2 3 7 3" xfId="39874" xr:uid="{00000000-0005-0000-0000-000043800000}"/>
    <cellStyle name="Normal 3 3 2 2 3 8" xfId="19522" xr:uid="{00000000-0005-0000-0000-000044800000}"/>
    <cellStyle name="Normal 3 3 2 2 3 8 2" xfId="46655" xr:uid="{00000000-0005-0000-0000-000045800000}"/>
    <cellStyle name="Normal 3 3 2 2 3 9" xfId="33093" xr:uid="{00000000-0005-0000-0000-000046800000}"/>
    <cellStyle name="Normal 3 3 2 2 4" xfId="5799" xr:uid="{00000000-0005-0000-0000-000047800000}"/>
    <cellStyle name="Normal 3 3 2 2 4 2" xfId="5800" xr:uid="{00000000-0005-0000-0000-000048800000}"/>
    <cellStyle name="Normal 3 3 2 2 4 2 2" xfId="5801" xr:uid="{00000000-0005-0000-0000-000049800000}"/>
    <cellStyle name="Normal 3 3 2 2 4 2 2 2" xfId="9344" xr:uid="{00000000-0005-0000-0000-00004A800000}"/>
    <cellStyle name="Normal 3 3 2 2 4 2 2 2 2" xfId="16134" xr:uid="{00000000-0005-0000-0000-00004B800000}"/>
    <cellStyle name="Normal 3 3 2 2 4 2 2 2 2 2" xfId="29702" xr:uid="{00000000-0005-0000-0000-00004C800000}"/>
    <cellStyle name="Normal 3 3 2 2 4 2 2 2 2 2 2" xfId="56835" xr:uid="{00000000-0005-0000-0000-00004D800000}"/>
    <cellStyle name="Normal 3 3 2 2 4 2 2 2 2 3" xfId="43273" xr:uid="{00000000-0005-0000-0000-00004E800000}"/>
    <cellStyle name="Normal 3 3 2 2 4 2 2 2 3" xfId="22921" xr:uid="{00000000-0005-0000-0000-00004F800000}"/>
    <cellStyle name="Normal 3 3 2 2 4 2 2 2 3 2" xfId="50054" xr:uid="{00000000-0005-0000-0000-000050800000}"/>
    <cellStyle name="Normal 3 3 2 2 4 2 2 2 4" xfId="36492" xr:uid="{00000000-0005-0000-0000-000051800000}"/>
    <cellStyle name="Normal 3 3 2 2 4 2 2 3" xfId="12745" xr:uid="{00000000-0005-0000-0000-000052800000}"/>
    <cellStyle name="Normal 3 3 2 2 4 2 2 3 2" xfId="26313" xr:uid="{00000000-0005-0000-0000-000053800000}"/>
    <cellStyle name="Normal 3 3 2 2 4 2 2 3 2 2" xfId="53446" xr:uid="{00000000-0005-0000-0000-000054800000}"/>
    <cellStyle name="Normal 3 3 2 2 4 2 2 3 3" xfId="39884" xr:uid="{00000000-0005-0000-0000-000055800000}"/>
    <cellStyle name="Normal 3 3 2 2 4 2 2 4" xfId="19532" xr:uid="{00000000-0005-0000-0000-000056800000}"/>
    <cellStyle name="Normal 3 3 2 2 4 2 2 4 2" xfId="46665" xr:uid="{00000000-0005-0000-0000-000057800000}"/>
    <cellStyle name="Normal 3 3 2 2 4 2 2 5" xfId="33103" xr:uid="{00000000-0005-0000-0000-000058800000}"/>
    <cellStyle name="Normal 3 3 2 2 4 2 3" xfId="5802" xr:uid="{00000000-0005-0000-0000-000059800000}"/>
    <cellStyle name="Normal 3 3 2 2 4 2 3 2" xfId="9345" xr:uid="{00000000-0005-0000-0000-00005A800000}"/>
    <cellStyle name="Normal 3 3 2 2 4 2 3 2 2" xfId="16135" xr:uid="{00000000-0005-0000-0000-00005B800000}"/>
    <cellStyle name="Normal 3 3 2 2 4 2 3 2 2 2" xfId="29703" xr:uid="{00000000-0005-0000-0000-00005C800000}"/>
    <cellStyle name="Normal 3 3 2 2 4 2 3 2 2 2 2" xfId="56836" xr:uid="{00000000-0005-0000-0000-00005D800000}"/>
    <cellStyle name="Normal 3 3 2 2 4 2 3 2 2 3" xfId="43274" xr:uid="{00000000-0005-0000-0000-00005E800000}"/>
    <cellStyle name="Normal 3 3 2 2 4 2 3 2 3" xfId="22922" xr:uid="{00000000-0005-0000-0000-00005F800000}"/>
    <cellStyle name="Normal 3 3 2 2 4 2 3 2 3 2" xfId="50055" xr:uid="{00000000-0005-0000-0000-000060800000}"/>
    <cellStyle name="Normal 3 3 2 2 4 2 3 2 4" xfId="36493" xr:uid="{00000000-0005-0000-0000-000061800000}"/>
    <cellStyle name="Normal 3 3 2 2 4 2 3 3" xfId="12746" xr:uid="{00000000-0005-0000-0000-000062800000}"/>
    <cellStyle name="Normal 3 3 2 2 4 2 3 3 2" xfId="26314" xr:uid="{00000000-0005-0000-0000-000063800000}"/>
    <cellStyle name="Normal 3 3 2 2 4 2 3 3 2 2" xfId="53447" xr:uid="{00000000-0005-0000-0000-000064800000}"/>
    <cellStyle name="Normal 3 3 2 2 4 2 3 3 3" xfId="39885" xr:uid="{00000000-0005-0000-0000-000065800000}"/>
    <cellStyle name="Normal 3 3 2 2 4 2 3 4" xfId="19533" xr:uid="{00000000-0005-0000-0000-000066800000}"/>
    <cellStyle name="Normal 3 3 2 2 4 2 3 4 2" xfId="46666" xr:uid="{00000000-0005-0000-0000-000067800000}"/>
    <cellStyle name="Normal 3 3 2 2 4 2 3 5" xfId="33104" xr:uid="{00000000-0005-0000-0000-000068800000}"/>
    <cellStyle name="Normal 3 3 2 2 4 2 4" xfId="9343" xr:uid="{00000000-0005-0000-0000-000069800000}"/>
    <cellStyle name="Normal 3 3 2 2 4 2 4 2" xfId="16133" xr:uid="{00000000-0005-0000-0000-00006A800000}"/>
    <cellStyle name="Normal 3 3 2 2 4 2 4 2 2" xfId="29701" xr:uid="{00000000-0005-0000-0000-00006B800000}"/>
    <cellStyle name="Normal 3 3 2 2 4 2 4 2 2 2" xfId="56834" xr:uid="{00000000-0005-0000-0000-00006C800000}"/>
    <cellStyle name="Normal 3 3 2 2 4 2 4 2 3" xfId="43272" xr:uid="{00000000-0005-0000-0000-00006D800000}"/>
    <cellStyle name="Normal 3 3 2 2 4 2 4 3" xfId="22920" xr:uid="{00000000-0005-0000-0000-00006E800000}"/>
    <cellStyle name="Normal 3 3 2 2 4 2 4 3 2" xfId="50053" xr:uid="{00000000-0005-0000-0000-00006F800000}"/>
    <cellStyle name="Normal 3 3 2 2 4 2 4 4" xfId="36491" xr:uid="{00000000-0005-0000-0000-000070800000}"/>
    <cellStyle name="Normal 3 3 2 2 4 2 5" xfId="12744" xr:uid="{00000000-0005-0000-0000-000071800000}"/>
    <cellStyle name="Normal 3 3 2 2 4 2 5 2" xfId="26312" xr:uid="{00000000-0005-0000-0000-000072800000}"/>
    <cellStyle name="Normal 3 3 2 2 4 2 5 2 2" xfId="53445" xr:uid="{00000000-0005-0000-0000-000073800000}"/>
    <cellStyle name="Normal 3 3 2 2 4 2 5 3" xfId="39883" xr:uid="{00000000-0005-0000-0000-000074800000}"/>
    <cellStyle name="Normal 3 3 2 2 4 2 6" xfId="19531" xr:uid="{00000000-0005-0000-0000-000075800000}"/>
    <cellStyle name="Normal 3 3 2 2 4 2 6 2" xfId="46664" xr:uid="{00000000-0005-0000-0000-000076800000}"/>
    <cellStyle name="Normal 3 3 2 2 4 2 7" xfId="33102" xr:uid="{00000000-0005-0000-0000-000077800000}"/>
    <cellStyle name="Normal 3 3 2 2 4 3" xfId="5803" xr:uid="{00000000-0005-0000-0000-000078800000}"/>
    <cellStyle name="Normal 3 3 2 2 4 3 2" xfId="9346" xr:uid="{00000000-0005-0000-0000-000079800000}"/>
    <cellStyle name="Normal 3 3 2 2 4 3 2 2" xfId="16136" xr:uid="{00000000-0005-0000-0000-00007A800000}"/>
    <cellStyle name="Normal 3 3 2 2 4 3 2 2 2" xfId="29704" xr:uid="{00000000-0005-0000-0000-00007B800000}"/>
    <cellStyle name="Normal 3 3 2 2 4 3 2 2 2 2" xfId="56837" xr:uid="{00000000-0005-0000-0000-00007C800000}"/>
    <cellStyle name="Normal 3 3 2 2 4 3 2 2 3" xfId="43275" xr:uid="{00000000-0005-0000-0000-00007D800000}"/>
    <cellStyle name="Normal 3 3 2 2 4 3 2 3" xfId="22923" xr:uid="{00000000-0005-0000-0000-00007E800000}"/>
    <cellStyle name="Normal 3 3 2 2 4 3 2 3 2" xfId="50056" xr:uid="{00000000-0005-0000-0000-00007F800000}"/>
    <cellStyle name="Normal 3 3 2 2 4 3 2 4" xfId="36494" xr:uid="{00000000-0005-0000-0000-000080800000}"/>
    <cellStyle name="Normal 3 3 2 2 4 3 3" xfId="12747" xr:uid="{00000000-0005-0000-0000-000081800000}"/>
    <cellStyle name="Normal 3 3 2 2 4 3 3 2" xfId="26315" xr:uid="{00000000-0005-0000-0000-000082800000}"/>
    <cellStyle name="Normal 3 3 2 2 4 3 3 2 2" xfId="53448" xr:uid="{00000000-0005-0000-0000-000083800000}"/>
    <cellStyle name="Normal 3 3 2 2 4 3 3 3" xfId="39886" xr:uid="{00000000-0005-0000-0000-000084800000}"/>
    <cellStyle name="Normal 3 3 2 2 4 3 4" xfId="19534" xr:uid="{00000000-0005-0000-0000-000085800000}"/>
    <cellStyle name="Normal 3 3 2 2 4 3 4 2" xfId="46667" xr:uid="{00000000-0005-0000-0000-000086800000}"/>
    <cellStyle name="Normal 3 3 2 2 4 3 5" xfId="33105" xr:uid="{00000000-0005-0000-0000-000087800000}"/>
    <cellStyle name="Normal 3 3 2 2 4 4" xfId="5804" xr:uid="{00000000-0005-0000-0000-000088800000}"/>
    <cellStyle name="Normal 3 3 2 2 4 4 2" xfId="9347" xr:uid="{00000000-0005-0000-0000-000089800000}"/>
    <cellStyle name="Normal 3 3 2 2 4 4 2 2" xfId="16137" xr:uid="{00000000-0005-0000-0000-00008A800000}"/>
    <cellStyle name="Normal 3 3 2 2 4 4 2 2 2" xfId="29705" xr:uid="{00000000-0005-0000-0000-00008B800000}"/>
    <cellStyle name="Normal 3 3 2 2 4 4 2 2 2 2" xfId="56838" xr:uid="{00000000-0005-0000-0000-00008C800000}"/>
    <cellStyle name="Normal 3 3 2 2 4 4 2 2 3" xfId="43276" xr:uid="{00000000-0005-0000-0000-00008D800000}"/>
    <cellStyle name="Normal 3 3 2 2 4 4 2 3" xfId="22924" xr:uid="{00000000-0005-0000-0000-00008E800000}"/>
    <cellStyle name="Normal 3 3 2 2 4 4 2 3 2" xfId="50057" xr:uid="{00000000-0005-0000-0000-00008F800000}"/>
    <cellStyle name="Normal 3 3 2 2 4 4 2 4" xfId="36495" xr:uid="{00000000-0005-0000-0000-000090800000}"/>
    <cellStyle name="Normal 3 3 2 2 4 4 3" xfId="12748" xr:uid="{00000000-0005-0000-0000-000091800000}"/>
    <cellStyle name="Normal 3 3 2 2 4 4 3 2" xfId="26316" xr:uid="{00000000-0005-0000-0000-000092800000}"/>
    <cellStyle name="Normal 3 3 2 2 4 4 3 2 2" xfId="53449" xr:uid="{00000000-0005-0000-0000-000093800000}"/>
    <cellStyle name="Normal 3 3 2 2 4 4 3 3" xfId="39887" xr:uid="{00000000-0005-0000-0000-000094800000}"/>
    <cellStyle name="Normal 3 3 2 2 4 4 4" xfId="19535" xr:uid="{00000000-0005-0000-0000-000095800000}"/>
    <cellStyle name="Normal 3 3 2 2 4 4 4 2" xfId="46668" xr:uid="{00000000-0005-0000-0000-000096800000}"/>
    <cellStyle name="Normal 3 3 2 2 4 4 5" xfId="33106" xr:uid="{00000000-0005-0000-0000-000097800000}"/>
    <cellStyle name="Normal 3 3 2 2 4 5" xfId="9342" xr:uid="{00000000-0005-0000-0000-000098800000}"/>
    <cellStyle name="Normal 3 3 2 2 4 5 2" xfId="16132" xr:uid="{00000000-0005-0000-0000-000099800000}"/>
    <cellStyle name="Normal 3 3 2 2 4 5 2 2" xfId="29700" xr:uid="{00000000-0005-0000-0000-00009A800000}"/>
    <cellStyle name="Normal 3 3 2 2 4 5 2 2 2" xfId="56833" xr:uid="{00000000-0005-0000-0000-00009B800000}"/>
    <cellStyle name="Normal 3 3 2 2 4 5 2 3" xfId="43271" xr:uid="{00000000-0005-0000-0000-00009C800000}"/>
    <cellStyle name="Normal 3 3 2 2 4 5 3" xfId="22919" xr:uid="{00000000-0005-0000-0000-00009D800000}"/>
    <cellStyle name="Normal 3 3 2 2 4 5 3 2" xfId="50052" xr:uid="{00000000-0005-0000-0000-00009E800000}"/>
    <cellStyle name="Normal 3 3 2 2 4 5 4" xfId="36490" xr:uid="{00000000-0005-0000-0000-00009F800000}"/>
    <cellStyle name="Normal 3 3 2 2 4 6" xfId="12743" xr:uid="{00000000-0005-0000-0000-0000A0800000}"/>
    <cellStyle name="Normal 3 3 2 2 4 6 2" xfId="26311" xr:uid="{00000000-0005-0000-0000-0000A1800000}"/>
    <cellStyle name="Normal 3 3 2 2 4 6 2 2" xfId="53444" xr:uid="{00000000-0005-0000-0000-0000A2800000}"/>
    <cellStyle name="Normal 3 3 2 2 4 6 3" xfId="39882" xr:uid="{00000000-0005-0000-0000-0000A3800000}"/>
    <cellStyle name="Normal 3 3 2 2 4 7" xfId="19530" xr:uid="{00000000-0005-0000-0000-0000A4800000}"/>
    <cellStyle name="Normal 3 3 2 2 4 7 2" xfId="46663" xr:uid="{00000000-0005-0000-0000-0000A5800000}"/>
    <cellStyle name="Normal 3 3 2 2 4 8" xfId="33101" xr:uid="{00000000-0005-0000-0000-0000A6800000}"/>
    <cellStyle name="Normal 3 3 2 2 5" xfId="5805" xr:uid="{00000000-0005-0000-0000-0000A7800000}"/>
    <cellStyle name="Normal 3 3 2 2 5 2" xfId="5806" xr:uid="{00000000-0005-0000-0000-0000A8800000}"/>
    <cellStyle name="Normal 3 3 2 2 5 2 2" xfId="9349" xr:uid="{00000000-0005-0000-0000-0000A9800000}"/>
    <cellStyle name="Normal 3 3 2 2 5 2 2 2" xfId="16139" xr:uid="{00000000-0005-0000-0000-0000AA800000}"/>
    <cellStyle name="Normal 3 3 2 2 5 2 2 2 2" xfId="29707" xr:uid="{00000000-0005-0000-0000-0000AB800000}"/>
    <cellStyle name="Normal 3 3 2 2 5 2 2 2 2 2" xfId="56840" xr:uid="{00000000-0005-0000-0000-0000AC800000}"/>
    <cellStyle name="Normal 3 3 2 2 5 2 2 2 3" xfId="43278" xr:uid="{00000000-0005-0000-0000-0000AD800000}"/>
    <cellStyle name="Normal 3 3 2 2 5 2 2 3" xfId="22926" xr:uid="{00000000-0005-0000-0000-0000AE800000}"/>
    <cellStyle name="Normal 3 3 2 2 5 2 2 3 2" xfId="50059" xr:uid="{00000000-0005-0000-0000-0000AF800000}"/>
    <cellStyle name="Normal 3 3 2 2 5 2 2 4" xfId="36497" xr:uid="{00000000-0005-0000-0000-0000B0800000}"/>
    <cellStyle name="Normal 3 3 2 2 5 2 3" xfId="12750" xr:uid="{00000000-0005-0000-0000-0000B1800000}"/>
    <cellStyle name="Normal 3 3 2 2 5 2 3 2" xfId="26318" xr:uid="{00000000-0005-0000-0000-0000B2800000}"/>
    <cellStyle name="Normal 3 3 2 2 5 2 3 2 2" xfId="53451" xr:uid="{00000000-0005-0000-0000-0000B3800000}"/>
    <cellStyle name="Normal 3 3 2 2 5 2 3 3" xfId="39889" xr:uid="{00000000-0005-0000-0000-0000B4800000}"/>
    <cellStyle name="Normal 3 3 2 2 5 2 4" xfId="19537" xr:uid="{00000000-0005-0000-0000-0000B5800000}"/>
    <cellStyle name="Normal 3 3 2 2 5 2 4 2" xfId="46670" xr:uid="{00000000-0005-0000-0000-0000B6800000}"/>
    <cellStyle name="Normal 3 3 2 2 5 2 5" xfId="33108" xr:uid="{00000000-0005-0000-0000-0000B7800000}"/>
    <cellStyle name="Normal 3 3 2 2 5 3" xfId="5807" xr:uid="{00000000-0005-0000-0000-0000B8800000}"/>
    <cellStyle name="Normal 3 3 2 2 5 3 2" xfId="9350" xr:uid="{00000000-0005-0000-0000-0000B9800000}"/>
    <cellStyle name="Normal 3 3 2 2 5 3 2 2" xfId="16140" xr:uid="{00000000-0005-0000-0000-0000BA800000}"/>
    <cellStyle name="Normal 3 3 2 2 5 3 2 2 2" xfId="29708" xr:uid="{00000000-0005-0000-0000-0000BB800000}"/>
    <cellStyle name="Normal 3 3 2 2 5 3 2 2 2 2" xfId="56841" xr:uid="{00000000-0005-0000-0000-0000BC800000}"/>
    <cellStyle name="Normal 3 3 2 2 5 3 2 2 3" xfId="43279" xr:uid="{00000000-0005-0000-0000-0000BD800000}"/>
    <cellStyle name="Normal 3 3 2 2 5 3 2 3" xfId="22927" xr:uid="{00000000-0005-0000-0000-0000BE800000}"/>
    <cellStyle name="Normal 3 3 2 2 5 3 2 3 2" xfId="50060" xr:uid="{00000000-0005-0000-0000-0000BF800000}"/>
    <cellStyle name="Normal 3 3 2 2 5 3 2 4" xfId="36498" xr:uid="{00000000-0005-0000-0000-0000C0800000}"/>
    <cellStyle name="Normal 3 3 2 2 5 3 3" xfId="12751" xr:uid="{00000000-0005-0000-0000-0000C1800000}"/>
    <cellStyle name="Normal 3 3 2 2 5 3 3 2" xfId="26319" xr:uid="{00000000-0005-0000-0000-0000C2800000}"/>
    <cellStyle name="Normal 3 3 2 2 5 3 3 2 2" xfId="53452" xr:uid="{00000000-0005-0000-0000-0000C3800000}"/>
    <cellStyle name="Normal 3 3 2 2 5 3 3 3" xfId="39890" xr:uid="{00000000-0005-0000-0000-0000C4800000}"/>
    <cellStyle name="Normal 3 3 2 2 5 3 4" xfId="19538" xr:uid="{00000000-0005-0000-0000-0000C5800000}"/>
    <cellStyle name="Normal 3 3 2 2 5 3 4 2" xfId="46671" xr:uid="{00000000-0005-0000-0000-0000C6800000}"/>
    <cellStyle name="Normal 3 3 2 2 5 3 5" xfId="33109" xr:uid="{00000000-0005-0000-0000-0000C7800000}"/>
    <cellStyle name="Normal 3 3 2 2 5 4" xfId="9348" xr:uid="{00000000-0005-0000-0000-0000C8800000}"/>
    <cellStyle name="Normal 3 3 2 2 5 4 2" xfId="16138" xr:uid="{00000000-0005-0000-0000-0000C9800000}"/>
    <cellStyle name="Normal 3 3 2 2 5 4 2 2" xfId="29706" xr:uid="{00000000-0005-0000-0000-0000CA800000}"/>
    <cellStyle name="Normal 3 3 2 2 5 4 2 2 2" xfId="56839" xr:uid="{00000000-0005-0000-0000-0000CB800000}"/>
    <cellStyle name="Normal 3 3 2 2 5 4 2 3" xfId="43277" xr:uid="{00000000-0005-0000-0000-0000CC800000}"/>
    <cellStyle name="Normal 3 3 2 2 5 4 3" xfId="22925" xr:uid="{00000000-0005-0000-0000-0000CD800000}"/>
    <cellStyle name="Normal 3 3 2 2 5 4 3 2" xfId="50058" xr:uid="{00000000-0005-0000-0000-0000CE800000}"/>
    <cellStyle name="Normal 3 3 2 2 5 4 4" xfId="36496" xr:uid="{00000000-0005-0000-0000-0000CF800000}"/>
    <cellStyle name="Normal 3 3 2 2 5 5" xfId="12749" xr:uid="{00000000-0005-0000-0000-0000D0800000}"/>
    <cellStyle name="Normal 3 3 2 2 5 5 2" xfId="26317" xr:uid="{00000000-0005-0000-0000-0000D1800000}"/>
    <cellStyle name="Normal 3 3 2 2 5 5 2 2" xfId="53450" xr:uid="{00000000-0005-0000-0000-0000D2800000}"/>
    <cellStyle name="Normal 3 3 2 2 5 5 3" xfId="39888" xr:uid="{00000000-0005-0000-0000-0000D3800000}"/>
    <cellStyle name="Normal 3 3 2 2 5 6" xfId="19536" xr:uid="{00000000-0005-0000-0000-0000D4800000}"/>
    <cellStyle name="Normal 3 3 2 2 5 6 2" xfId="46669" xr:uid="{00000000-0005-0000-0000-0000D5800000}"/>
    <cellStyle name="Normal 3 3 2 2 5 7" xfId="33107" xr:uid="{00000000-0005-0000-0000-0000D6800000}"/>
    <cellStyle name="Normal 3 3 2 2 6" xfId="5808" xr:uid="{00000000-0005-0000-0000-0000D7800000}"/>
    <cellStyle name="Normal 3 3 2 2 6 2" xfId="5809" xr:uid="{00000000-0005-0000-0000-0000D8800000}"/>
    <cellStyle name="Normal 3 3 2 2 6 2 2" xfId="9352" xr:uid="{00000000-0005-0000-0000-0000D9800000}"/>
    <cellStyle name="Normal 3 3 2 2 6 2 2 2" xfId="16142" xr:uid="{00000000-0005-0000-0000-0000DA800000}"/>
    <cellStyle name="Normal 3 3 2 2 6 2 2 2 2" xfId="29710" xr:uid="{00000000-0005-0000-0000-0000DB800000}"/>
    <cellStyle name="Normal 3 3 2 2 6 2 2 2 2 2" xfId="56843" xr:uid="{00000000-0005-0000-0000-0000DC800000}"/>
    <cellStyle name="Normal 3 3 2 2 6 2 2 2 3" xfId="43281" xr:uid="{00000000-0005-0000-0000-0000DD800000}"/>
    <cellStyle name="Normal 3 3 2 2 6 2 2 3" xfId="22929" xr:uid="{00000000-0005-0000-0000-0000DE800000}"/>
    <cellStyle name="Normal 3 3 2 2 6 2 2 3 2" xfId="50062" xr:uid="{00000000-0005-0000-0000-0000DF800000}"/>
    <cellStyle name="Normal 3 3 2 2 6 2 2 4" xfId="36500" xr:uid="{00000000-0005-0000-0000-0000E0800000}"/>
    <cellStyle name="Normal 3 3 2 2 6 2 3" xfId="12753" xr:uid="{00000000-0005-0000-0000-0000E1800000}"/>
    <cellStyle name="Normal 3 3 2 2 6 2 3 2" xfId="26321" xr:uid="{00000000-0005-0000-0000-0000E2800000}"/>
    <cellStyle name="Normal 3 3 2 2 6 2 3 2 2" xfId="53454" xr:uid="{00000000-0005-0000-0000-0000E3800000}"/>
    <cellStyle name="Normal 3 3 2 2 6 2 3 3" xfId="39892" xr:uid="{00000000-0005-0000-0000-0000E4800000}"/>
    <cellStyle name="Normal 3 3 2 2 6 2 4" xfId="19540" xr:uid="{00000000-0005-0000-0000-0000E5800000}"/>
    <cellStyle name="Normal 3 3 2 2 6 2 4 2" xfId="46673" xr:uid="{00000000-0005-0000-0000-0000E6800000}"/>
    <cellStyle name="Normal 3 3 2 2 6 2 5" xfId="33111" xr:uid="{00000000-0005-0000-0000-0000E7800000}"/>
    <cellStyle name="Normal 3 3 2 2 6 3" xfId="5810" xr:uid="{00000000-0005-0000-0000-0000E8800000}"/>
    <cellStyle name="Normal 3 3 2 2 6 3 2" xfId="9353" xr:uid="{00000000-0005-0000-0000-0000E9800000}"/>
    <cellStyle name="Normal 3 3 2 2 6 3 2 2" xfId="16143" xr:uid="{00000000-0005-0000-0000-0000EA800000}"/>
    <cellStyle name="Normal 3 3 2 2 6 3 2 2 2" xfId="29711" xr:uid="{00000000-0005-0000-0000-0000EB800000}"/>
    <cellStyle name="Normal 3 3 2 2 6 3 2 2 2 2" xfId="56844" xr:uid="{00000000-0005-0000-0000-0000EC800000}"/>
    <cellStyle name="Normal 3 3 2 2 6 3 2 2 3" xfId="43282" xr:uid="{00000000-0005-0000-0000-0000ED800000}"/>
    <cellStyle name="Normal 3 3 2 2 6 3 2 3" xfId="22930" xr:uid="{00000000-0005-0000-0000-0000EE800000}"/>
    <cellStyle name="Normal 3 3 2 2 6 3 2 3 2" xfId="50063" xr:uid="{00000000-0005-0000-0000-0000EF800000}"/>
    <cellStyle name="Normal 3 3 2 2 6 3 2 4" xfId="36501" xr:uid="{00000000-0005-0000-0000-0000F0800000}"/>
    <cellStyle name="Normal 3 3 2 2 6 3 3" xfId="12754" xr:uid="{00000000-0005-0000-0000-0000F1800000}"/>
    <cellStyle name="Normal 3 3 2 2 6 3 3 2" xfId="26322" xr:uid="{00000000-0005-0000-0000-0000F2800000}"/>
    <cellStyle name="Normal 3 3 2 2 6 3 3 2 2" xfId="53455" xr:uid="{00000000-0005-0000-0000-0000F3800000}"/>
    <cellStyle name="Normal 3 3 2 2 6 3 3 3" xfId="39893" xr:uid="{00000000-0005-0000-0000-0000F4800000}"/>
    <cellStyle name="Normal 3 3 2 2 6 3 4" xfId="19541" xr:uid="{00000000-0005-0000-0000-0000F5800000}"/>
    <cellStyle name="Normal 3 3 2 2 6 3 4 2" xfId="46674" xr:uid="{00000000-0005-0000-0000-0000F6800000}"/>
    <cellStyle name="Normal 3 3 2 2 6 3 5" xfId="33112" xr:uid="{00000000-0005-0000-0000-0000F7800000}"/>
    <cellStyle name="Normal 3 3 2 2 6 4" xfId="9351" xr:uid="{00000000-0005-0000-0000-0000F8800000}"/>
    <cellStyle name="Normal 3 3 2 2 6 4 2" xfId="16141" xr:uid="{00000000-0005-0000-0000-0000F9800000}"/>
    <cellStyle name="Normal 3 3 2 2 6 4 2 2" xfId="29709" xr:uid="{00000000-0005-0000-0000-0000FA800000}"/>
    <cellStyle name="Normal 3 3 2 2 6 4 2 2 2" xfId="56842" xr:uid="{00000000-0005-0000-0000-0000FB800000}"/>
    <cellStyle name="Normal 3 3 2 2 6 4 2 3" xfId="43280" xr:uid="{00000000-0005-0000-0000-0000FC800000}"/>
    <cellStyle name="Normal 3 3 2 2 6 4 3" xfId="22928" xr:uid="{00000000-0005-0000-0000-0000FD800000}"/>
    <cellStyle name="Normal 3 3 2 2 6 4 3 2" xfId="50061" xr:uid="{00000000-0005-0000-0000-0000FE800000}"/>
    <cellStyle name="Normal 3 3 2 2 6 4 4" xfId="36499" xr:uid="{00000000-0005-0000-0000-0000FF800000}"/>
    <cellStyle name="Normal 3 3 2 2 6 5" xfId="12752" xr:uid="{00000000-0005-0000-0000-000000810000}"/>
    <cellStyle name="Normal 3 3 2 2 6 5 2" xfId="26320" xr:uid="{00000000-0005-0000-0000-000001810000}"/>
    <cellStyle name="Normal 3 3 2 2 6 5 2 2" xfId="53453" xr:uid="{00000000-0005-0000-0000-000002810000}"/>
    <cellStyle name="Normal 3 3 2 2 6 5 3" xfId="39891" xr:uid="{00000000-0005-0000-0000-000003810000}"/>
    <cellStyle name="Normal 3 3 2 2 6 6" xfId="19539" xr:uid="{00000000-0005-0000-0000-000004810000}"/>
    <cellStyle name="Normal 3 3 2 2 6 6 2" xfId="46672" xr:uid="{00000000-0005-0000-0000-000005810000}"/>
    <cellStyle name="Normal 3 3 2 2 6 7" xfId="33110" xr:uid="{00000000-0005-0000-0000-000006810000}"/>
    <cellStyle name="Normal 3 3 2 2 7" xfId="5811" xr:uid="{00000000-0005-0000-0000-000007810000}"/>
    <cellStyle name="Normal 3 3 2 2 7 2" xfId="9354" xr:uid="{00000000-0005-0000-0000-000008810000}"/>
    <cellStyle name="Normal 3 3 2 2 7 2 2" xfId="16144" xr:uid="{00000000-0005-0000-0000-000009810000}"/>
    <cellStyle name="Normal 3 3 2 2 7 2 2 2" xfId="29712" xr:uid="{00000000-0005-0000-0000-00000A810000}"/>
    <cellStyle name="Normal 3 3 2 2 7 2 2 2 2" xfId="56845" xr:uid="{00000000-0005-0000-0000-00000B810000}"/>
    <cellStyle name="Normal 3 3 2 2 7 2 2 3" xfId="43283" xr:uid="{00000000-0005-0000-0000-00000C810000}"/>
    <cellStyle name="Normal 3 3 2 2 7 2 3" xfId="22931" xr:uid="{00000000-0005-0000-0000-00000D810000}"/>
    <cellStyle name="Normal 3 3 2 2 7 2 3 2" xfId="50064" xr:uid="{00000000-0005-0000-0000-00000E810000}"/>
    <cellStyle name="Normal 3 3 2 2 7 2 4" xfId="36502" xr:uid="{00000000-0005-0000-0000-00000F810000}"/>
    <cellStyle name="Normal 3 3 2 2 7 3" xfId="12755" xr:uid="{00000000-0005-0000-0000-000010810000}"/>
    <cellStyle name="Normal 3 3 2 2 7 3 2" xfId="26323" xr:uid="{00000000-0005-0000-0000-000011810000}"/>
    <cellStyle name="Normal 3 3 2 2 7 3 2 2" xfId="53456" xr:uid="{00000000-0005-0000-0000-000012810000}"/>
    <cellStyle name="Normal 3 3 2 2 7 3 3" xfId="39894" xr:uid="{00000000-0005-0000-0000-000013810000}"/>
    <cellStyle name="Normal 3 3 2 2 7 4" xfId="19542" xr:uid="{00000000-0005-0000-0000-000014810000}"/>
    <cellStyle name="Normal 3 3 2 2 7 4 2" xfId="46675" xr:uid="{00000000-0005-0000-0000-000015810000}"/>
    <cellStyle name="Normal 3 3 2 2 7 5" xfId="33113" xr:uid="{00000000-0005-0000-0000-000016810000}"/>
    <cellStyle name="Normal 3 3 2 2 8" xfId="5812" xr:uid="{00000000-0005-0000-0000-000017810000}"/>
    <cellStyle name="Normal 3 3 2 2 8 2" xfId="9355" xr:uid="{00000000-0005-0000-0000-000018810000}"/>
    <cellStyle name="Normal 3 3 2 2 8 2 2" xfId="16145" xr:uid="{00000000-0005-0000-0000-000019810000}"/>
    <cellStyle name="Normal 3 3 2 2 8 2 2 2" xfId="29713" xr:uid="{00000000-0005-0000-0000-00001A810000}"/>
    <cellStyle name="Normal 3 3 2 2 8 2 2 2 2" xfId="56846" xr:uid="{00000000-0005-0000-0000-00001B810000}"/>
    <cellStyle name="Normal 3 3 2 2 8 2 2 3" xfId="43284" xr:uid="{00000000-0005-0000-0000-00001C810000}"/>
    <cellStyle name="Normal 3 3 2 2 8 2 3" xfId="22932" xr:uid="{00000000-0005-0000-0000-00001D810000}"/>
    <cellStyle name="Normal 3 3 2 2 8 2 3 2" xfId="50065" xr:uid="{00000000-0005-0000-0000-00001E810000}"/>
    <cellStyle name="Normal 3 3 2 2 8 2 4" xfId="36503" xr:uid="{00000000-0005-0000-0000-00001F810000}"/>
    <cellStyle name="Normal 3 3 2 2 8 3" xfId="12756" xr:uid="{00000000-0005-0000-0000-000020810000}"/>
    <cellStyle name="Normal 3 3 2 2 8 3 2" xfId="26324" xr:uid="{00000000-0005-0000-0000-000021810000}"/>
    <cellStyle name="Normal 3 3 2 2 8 3 2 2" xfId="53457" xr:uid="{00000000-0005-0000-0000-000022810000}"/>
    <cellStyle name="Normal 3 3 2 2 8 3 3" xfId="39895" xr:uid="{00000000-0005-0000-0000-000023810000}"/>
    <cellStyle name="Normal 3 3 2 2 8 4" xfId="19543" xr:uid="{00000000-0005-0000-0000-000024810000}"/>
    <cellStyle name="Normal 3 3 2 2 8 4 2" xfId="46676" xr:uid="{00000000-0005-0000-0000-000025810000}"/>
    <cellStyle name="Normal 3 3 2 2 8 5" xfId="33114" xr:uid="{00000000-0005-0000-0000-000026810000}"/>
    <cellStyle name="Normal 3 3 2 2 9" xfId="7506" xr:uid="{00000000-0005-0000-0000-000027810000}"/>
    <cellStyle name="Normal 3 3 2 2 9 2" xfId="14296" xr:uid="{00000000-0005-0000-0000-000028810000}"/>
    <cellStyle name="Normal 3 3 2 2 9 2 2" xfId="27864" xr:uid="{00000000-0005-0000-0000-000029810000}"/>
    <cellStyle name="Normal 3 3 2 2 9 2 2 2" xfId="54997" xr:uid="{00000000-0005-0000-0000-00002A810000}"/>
    <cellStyle name="Normal 3 3 2 2 9 2 3" xfId="41435" xr:uid="{00000000-0005-0000-0000-00002B810000}"/>
    <cellStyle name="Normal 3 3 2 2 9 3" xfId="21083" xr:uid="{00000000-0005-0000-0000-00002C810000}"/>
    <cellStyle name="Normal 3 3 2 2 9 3 2" xfId="48216" xr:uid="{00000000-0005-0000-0000-00002D810000}"/>
    <cellStyle name="Normal 3 3 2 2 9 4" xfId="34654" xr:uid="{00000000-0005-0000-0000-00002E810000}"/>
    <cellStyle name="Normal 3 3 2 3" xfId="5813" xr:uid="{00000000-0005-0000-0000-00002F810000}"/>
    <cellStyle name="Normal 3 3 2 3 10" xfId="33115" xr:uid="{00000000-0005-0000-0000-000030810000}"/>
    <cellStyle name="Normal 3 3 2 3 2" xfId="5814" xr:uid="{00000000-0005-0000-0000-000031810000}"/>
    <cellStyle name="Normal 3 3 2 3 2 2" xfId="5815" xr:uid="{00000000-0005-0000-0000-000032810000}"/>
    <cellStyle name="Normal 3 3 2 3 2 2 2" xfId="5816" xr:uid="{00000000-0005-0000-0000-000033810000}"/>
    <cellStyle name="Normal 3 3 2 3 2 2 2 2" xfId="9359" xr:uid="{00000000-0005-0000-0000-000034810000}"/>
    <cellStyle name="Normal 3 3 2 3 2 2 2 2 2" xfId="16149" xr:uid="{00000000-0005-0000-0000-000035810000}"/>
    <cellStyle name="Normal 3 3 2 3 2 2 2 2 2 2" xfId="29717" xr:uid="{00000000-0005-0000-0000-000036810000}"/>
    <cellStyle name="Normal 3 3 2 3 2 2 2 2 2 2 2" xfId="56850" xr:uid="{00000000-0005-0000-0000-000037810000}"/>
    <cellStyle name="Normal 3 3 2 3 2 2 2 2 2 3" xfId="43288" xr:uid="{00000000-0005-0000-0000-000038810000}"/>
    <cellStyle name="Normal 3 3 2 3 2 2 2 2 3" xfId="22936" xr:uid="{00000000-0005-0000-0000-000039810000}"/>
    <cellStyle name="Normal 3 3 2 3 2 2 2 2 3 2" xfId="50069" xr:uid="{00000000-0005-0000-0000-00003A810000}"/>
    <cellStyle name="Normal 3 3 2 3 2 2 2 2 4" xfId="36507" xr:uid="{00000000-0005-0000-0000-00003B810000}"/>
    <cellStyle name="Normal 3 3 2 3 2 2 2 3" xfId="12760" xr:uid="{00000000-0005-0000-0000-00003C810000}"/>
    <cellStyle name="Normal 3 3 2 3 2 2 2 3 2" xfId="26328" xr:uid="{00000000-0005-0000-0000-00003D810000}"/>
    <cellStyle name="Normal 3 3 2 3 2 2 2 3 2 2" xfId="53461" xr:uid="{00000000-0005-0000-0000-00003E810000}"/>
    <cellStyle name="Normal 3 3 2 3 2 2 2 3 3" xfId="39899" xr:uid="{00000000-0005-0000-0000-00003F810000}"/>
    <cellStyle name="Normal 3 3 2 3 2 2 2 4" xfId="19547" xr:uid="{00000000-0005-0000-0000-000040810000}"/>
    <cellStyle name="Normal 3 3 2 3 2 2 2 4 2" xfId="46680" xr:uid="{00000000-0005-0000-0000-000041810000}"/>
    <cellStyle name="Normal 3 3 2 3 2 2 2 5" xfId="33118" xr:uid="{00000000-0005-0000-0000-000042810000}"/>
    <cellStyle name="Normal 3 3 2 3 2 2 3" xfId="5817" xr:uid="{00000000-0005-0000-0000-000043810000}"/>
    <cellStyle name="Normal 3 3 2 3 2 2 3 2" xfId="9360" xr:uid="{00000000-0005-0000-0000-000044810000}"/>
    <cellStyle name="Normal 3 3 2 3 2 2 3 2 2" xfId="16150" xr:uid="{00000000-0005-0000-0000-000045810000}"/>
    <cellStyle name="Normal 3 3 2 3 2 2 3 2 2 2" xfId="29718" xr:uid="{00000000-0005-0000-0000-000046810000}"/>
    <cellStyle name="Normal 3 3 2 3 2 2 3 2 2 2 2" xfId="56851" xr:uid="{00000000-0005-0000-0000-000047810000}"/>
    <cellStyle name="Normal 3 3 2 3 2 2 3 2 2 3" xfId="43289" xr:uid="{00000000-0005-0000-0000-000048810000}"/>
    <cellStyle name="Normal 3 3 2 3 2 2 3 2 3" xfId="22937" xr:uid="{00000000-0005-0000-0000-000049810000}"/>
    <cellStyle name="Normal 3 3 2 3 2 2 3 2 3 2" xfId="50070" xr:uid="{00000000-0005-0000-0000-00004A810000}"/>
    <cellStyle name="Normal 3 3 2 3 2 2 3 2 4" xfId="36508" xr:uid="{00000000-0005-0000-0000-00004B810000}"/>
    <cellStyle name="Normal 3 3 2 3 2 2 3 3" xfId="12761" xr:uid="{00000000-0005-0000-0000-00004C810000}"/>
    <cellStyle name="Normal 3 3 2 3 2 2 3 3 2" xfId="26329" xr:uid="{00000000-0005-0000-0000-00004D810000}"/>
    <cellStyle name="Normal 3 3 2 3 2 2 3 3 2 2" xfId="53462" xr:uid="{00000000-0005-0000-0000-00004E810000}"/>
    <cellStyle name="Normal 3 3 2 3 2 2 3 3 3" xfId="39900" xr:uid="{00000000-0005-0000-0000-00004F810000}"/>
    <cellStyle name="Normal 3 3 2 3 2 2 3 4" xfId="19548" xr:uid="{00000000-0005-0000-0000-000050810000}"/>
    <cellStyle name="Normal 3 3 2 3 2 2 3 4 2" xfId="46681" xr:uid="{00000000-0005-0000-0000-000051810000}"/>
    <cellStyle name="Normal 3 3 2 3 2 2 3 5" xfId="33119" xr:uid="{00000000-0005-0000-0000-000052810000}"/>
    <cellStyle name="Normal 3 3 2 3 2 2 4" xfId="9358" xr:uid="{00000000-0005-0000-0000-000053810000}"/>
    <cellStyle name="Normal 3 3 2 3 2 2 4 2" xfId="16148" xr:uid="{00000000-0005-0000-0000-000054810000}"/>
    <cellStyle name="Normal 3 3 2 3 2 2 4 2 2" xfId="29716" xr:uid="{00000000-0005-0000-0000-000055810000}"/>
    <cellStyle name="Normal 3 3 2 3 2 2 4 2 2 2" xfId="56849" xr:uid="{00000000-0005-0000-0000-000056810000}"/>
    <cellStyle name="Normal 3 3 2 3 2 2 4 2 3" xfId="43287" xr:uid="{00000000-0005-0000-0000-000057810000}"/>
    <cellStyle name="Normal 3 3 2 3 2 2 4 3" xfId="22935" xr:uid="{00000000-0005-0000-0000-000058810000}"/>
    <cellStyle name="Normal 3 3 2 3 2 2 4 3 2" xfId="50068" xr:uid="{00000000-0005-0000-0000-000059810000}"/>
    <cellStyle name="Normal 3 3 2 3 2 2 4 4" xfId="36506" xr:uid="{00000000-0005-0000-0000-00005A810000}"/>
    <cellStyle name="Normal 3 3 2 3 2 2 5" xfId="12759" xr:uid="{00000000-0005-0000-0000-00005B810000}"/>
    <cellStyle name="Normal 3 3 2 3 2 2 5 2" xfId="26327" xr:uid="{00000000-0005-0000-0000-00005C810000}"/>
    <cellStyle name="Normal 3 3 2 3 2 2 5 2 2" xfId="53460" xr:uid="{00000000-0005-0000-0000-00005D810000}"/>
    <cellStyle name="Normal 3 3 2 3 2 2 5 3" xfId="39898" xr:uid="{00000000-0005-0000-0000-00005E810000}"/>
    <cellStyle name="Normal 3 3 2 3 2 2 6" xfId="19546" xr:uid="{00000000-0005-0000-0000-00005F810000}"/>
    <cellStyle name="Normal 3 3 2 3 2 2 6 2" xfId="46679" xr:uid="{00000000-0005-0000-0000-000060810000}"/>
    <cellStyle name="Normal 3 3 2 3 2 2 7" xfId="33117" xr:uid="{00000000-0005-0000-0000-000061810000}"/>
    <cellStyle name="Normal 3 3 2 3 2 3" xfId="5818" xr:uid="{00000000-0005-0000-0000-000062810000}"/>
    <cellStyle name="Normal 3 3 2 3 2 3 2" xfId="5819" xr:uid="{00000000-0005-0000-0000-000063810000}"/>
    <cellStyle name="Normal 3 3 2 3 2 3 2 2" xfId="9362" xr:uid="{00000000-0005-0000-0000-000064810000}"/>
    <cellStyle name="Normal 3 3 2 3 2 3 2 2 2" xfId="16152" xr:uid="{00000000-0005-0000-0000-000065810000}"/>
    <cellStyle name="Normal 3 3 2 3 2 3 2 2 2 2" xfId="29720" xr:uid="{00000000-0005-0000-0000-000066810000}"/>
    <cellStyle name="Normal 3 3 2 3 2 3 2 2 2 2 2" xfId="56853" xr:uid="{00000000-0005-0000-0000-000067810000}"/>
    <cellStyle name="Normal 3 3 2 3 2 3 2 2 2 3" xfId="43291" xr:uid="{00000000-0005-0000-0000-000068810000}"/>
    <cellStyle name="Normal 3 3 2 3 2 3 2 2 3" xfId="22939" xr:uid="{00000000-0005-0000-0000-000069810000}"/>
    <cellStyle name="Normal 3 3 2 3 2 3 2 2 3 2" xfId="50072" xr:uid="{00000000-0005-0000-0000-00006A810000}"/>
    <cellStyle name="Normal 3 3 2 3 2 3 2 2 4" xfId="36510" xr:uid="{00000000-0005-0000-0000-00006B810000}"/>
    <cellStyle name="Normal 3 3 2 3 2 3 2 3" xfId="12763" xr:uid="{00000000-0005-0000-0000-00006C810000}"/>
    <cellStyle name="Normal 3 3 2 3 2 3 2 3 2" xfId="26331" xr:uid="{00000000-0005-0000-0000-00006D810000}"/>
    <cellStyle name="Normal 3 3 2 3 2 3 2 3 2 2" xfId="53464" xr:uid="{00000000-0005-0000-0000-00006E810000}"/>
    <cellStyle name="Normal 3 3 2 3 2 3 2 3 3" xfId="39902" xr:uid="{00000000-0005-0000-0000-00006F810000}"/>
    <cellStyle name="Normal 3 3 2 3 2 3 2 4" xfId="19550" xr:uid="{00000000-0005-0000-0000-000070810000}"/>
    <cellStyle name="Normal 3 3 2 3 2 3 2 4 2" xfId="46683" xr:uid="{00000000-0005-0000-0000-000071810000}"/>
    <cellStyle name="Normal 3 3 2 3 2 3 2 5" xfId="33121" xr:uid="{00000000-0005-0000-0000-000072810000}"/>
    <cellStyle name="Normal 3 3 2 3 2 3 3" xfId="9361" xr:uid="{00000000-0005-0000-0000-000073810000}"/>
    <cellStyle name="Normal 3 3 2 3 2 3 3 2" xfId="16151" xr:uid="{00000000-0005-0000-0000-000074810000}"/>
    <cellStyle name="Normal 3 3 2 3 2 3 3 2 2" xfId="29719" xr:uid="{00000000-0005-0000-0000-000075810000}"/>
    <cellStyle name="Normal 3 3 2 3 2 3 3 2 2 2" xfId="56852" xr:uid="{00000000-0005-0000-0000-000076810000}"/>
    <cellStyle name="Normal 3 3 2 3 2 3 3 2 3" xfId="43290" xr:uid="{00000000-0005-0000-0000-000077810000}"/>
    <cellStyle name="Normal 3 3 2 3 2 3 3 3" xfId="22938" xr:uid="{00000000-0005-0000-0000-000078810000}"/>
    <cellStyle name="Normal 3 3 2 3 2 3 3 3 2" xfId="50071" xr:uid="{00000000-0005-0000-0000-000079810000}"/>
    <cellStyle name="Normal 3 3 2 3 2 3 3 4" xfId="36509" xr:uid="{00000000-0005-0000-0000-00007A810000}"/>
    <cellStyle name="Normal 3 3 2 3 2 3 4" xfId="12762" xr:uid="{00000000-0005-0000-0000-00007B810000}"/>
    <cellStyle name="Normal 3 3 2 3 2 3 4 2" xfId="26330" xr:uid="{00000000-0005-0000-0000-00007C810000}"/>
    <cellStyle name="Normal 3 3 2 3 2 3 4 2 2" xfId="53463" xr:uid="{00000000-0005-0000-0000-00007D810000}"/>
    <cellStyle name="Normal 3 3 2 3 2 3 4 3" xfId="39901" xr:uid="{00000000-0005-0000-0000-00007E810000}"/>
    <cellStyle name="Normal 3 3 2 3 2 3 5" xfId="19549" xr:uid="{00000000-0005-0000-0000-00007F810000}"/>
    <cellStyle name="Normal 3 3 2 3 2 3 5 2" xfId="46682" xr:uid="{00000000-0005-0000-0000-000080810000}"/>
    <cellStyle name="Normal 3 3 2 3 2 3 6" xfId="33120" xr:uid="{00000000-0005-0000-0000-000081810000}"/>
    <cellStyle name="Normal 3 3 2 3 2 4" xfId="5820" xr:uid="{00000000-0005-0000-0000-000082810000}"/>
    <cellStyle name="Normal 3 3 2 3 2 4 2" xfId="9363" xr:uid="{00000000-0005-0000-0000-000083810000}"/>
    <cellStyle name="Normal 3 3 2 3 2 4 2 2" xfId="16153" xr:uid="{00000000-0005-0000-0000-000084810000}"/>
    <cellStyle name="Normal 3 3 2 3 2 4 2 2 2" xfId="29721" xr:uid="{00000000-0005-0000-0000-000085810000}"/>
    <cellStyle name="Normal 3 3 2 3 2 4 2 2 2 2" xfId="56854" xr:uid="{00000000-0005-0000-0000-000086810000}"/>
    <cellStyle name="Normal 3 3 2 3 2 4 2 2 3" xfId="43292" xr:uid="{00000000-0005-0000-0000-000087810000}"/>
    <cellStyle name="Normal 3 3 2 3 2 4 2 3" xfId="22940" xr:uid="{00000000-0005-0000-0000-000088810000}"/>
    <cellStyle name="Normal 3 3 2 3 2 4 2 3 2" xfId="50073" xr:uid="{00000000-0005-0000-0000-000089810000}"/>
    <cellStyle name="Normal 3 3 2 3 2 4 2 4" xfId="36511" xr:uid="{00000000-0005-0000-0000-00008A810000}"/>
    <cellStyle name="Normal 3 3 2 3 2 4 3" xfId="12764" xr:uid="{00000000-0005-0000-0000-00008B810000}"/>
    <cellStyle name="Normal 3 3 2 3 2 4 3 2" xfId="26332" xr:uid="{00000000-0005-0000-0000-00008C810000}"/>
    <cellStyle name="Normal 3 3 2 3 2 4 3 2 2" xfId="53465" xr:uid="{00000000-0005-0000-0000-00008D810000}"/>
    <cellStyle name="Normal 3 3 2 3 2 4 3 3" xfId="39903" xr:uid="{00000000-0005-0000-0000-00008E810000}"/>
    <cellStyle name="Normal 3 3 2 3 2 4 4" xfId="19551" xr:uid="{00000000-0005-0000-0000-00008F810000}"/>
    <cellStyle name="Normal 3 3 2 3 2 4 4 2" xfId="46684" xr:uid="{00000000-0005-0000-0000-000090810000}"/>
    <cellStyle name="Normal 3 3 2 3 2 4 5" xfId="33122" xr:uid="{00000000-0005-0000-0000-000091810000}"/>
    <cellStyle name="Normal 3 3 2 3 2 5" xfId="5821" xr:uid="{00000000-0005-0000-0000-000092810000}"/>
    <cellStyle name="Normal 3 3 2 3 2 5 2" xfId="9364" xr:uid="{00000000-0005-0000-0000-000093810000}"/>
    <cellStyle name="Normal 3 3 2 3 2 5 2 2" xfId="16154" xr:uid="{00000000-0005-0000-0000-000094810000}"/>
    <cellStyle name="Normal 3 3 2 3 2 5 2 2 2" xfId="29722" xr:uid="{00000000-0005-0000-0000-000095810000}"/>
    <cellStyle name="Normal 3 3 2 3 2 5 2 2 2 2" xfId="56855" xr:uid="{00000000-0005-0000-0000-000096810000}"/>
    <cellStyle name="Normal 3 3 2 3 2 5 2 2 3" xfId="43293" xr:uid="{00000000-0005-0000-0000-000097810000}"/>
    <cellStyle name="Normal 3 3 2 3 2 5 2 3" xfId="22941" xr:uid="{00000000-0005-0000-0000-000098810000}"/>
    <cellStyle name="Normal 3 3 2 3 2 5 2 3 2" xfId="50074" xr:uid="{00000000-0005-0000-0000-000099810000}"/>
    <cellStyle name="Normal 3 3 2 3 2 5 2 4" xfId="36512" xr:uid="{00000000-0005-0000-0000-00009A810000}"/>
    <cellStyle name="Normal 3 3 2 3 2 5 3" xfId="12765" xr:uid="{00000000-0005-0000-0000-00009B810000}"/>
    <cellStyle name="Normal 3 3 2 3 2 5 3 2" xfId="26333" xr:uid="{00000000-0005-0000-0000-00009C810000}"/>
    <cellStyle name="Normal 3 3 2 3 2 5 3 2 2" xfId="53466" xr:uid="{00000000-0005-0000-0000-00009D810000}"/>
    <cellStyle name="Normal 3 3 2 3 2 5 3 3" xfId="39904" xr:uid="{00000000-0005-0000-0000-00009E810000}"/>
    <cellStyle name="Normal 3 3 2 3 2 5 4" xfId="19552" xr:uid="{00000000-0005-0000-0000-00009F810000}"/>
    <cellStyle name="Normal 3 3 2 3 2 5 4 2" xfId="46685" xr:uid="{00000000-0005-0000-0000-0000A0810000}"/>
    <cellStyle name="Normal 3 3 2 3 2 5 5" xfId="33123" xr:uid="{00000000-0005-0000-0000-0000A1810000}"/>
    <cellStyle name="Normal 3 3 2 3 2 6" xfId="9357" xr:uid="{00000000-0005-0000-0000-0000A2810000}"/>
    <cellStyle name="Normal 3 3 2 3 2 6 2" xfId="16147" xr:uid="{00000000-0005-0000-0000-0000A3810000}"/>
    <cellStyle name="Normal 3 3 2 3 2 6 2 2" xfId="29715" xr:uid="{00000000-0005-0000-0000-0000A4810000}"/>
    <cellStyle name="Normal 3 3 2 3 2 6 2 2 2" xfId="56848" xr:uid="{00000000-0005-0000-0000-0000A5810000}"/>
    <cellStyle name="Normal 3 3 2 3 2 6 2 3" xfId="43286" xr:uid="{00000000-0005-0000-0000-0000A6810000}"/>
    <cellStyle name="Normal 3 3 2 3 2 6 3" xfId="22934" xr:uid="{00000000-0005-0000-0000-0000A7810000}"/>
    <cellStyle name="Normal 3 3 2 3 2 6 3 2" xfId="50067" xr:uid="{00000000-0005-0000-0000-0000A8810000}"/>
    <cellStyle name="Normal 3 3 2 3 2 6 4" xfId="36505" xr:uid="{00000000-0005-0000-0000-0000A9810000}"/>
    <cellStyle name="Normal 3 3 2 3 2 7" xfId="12758" xr:uid="{00000000-0005-0000-0000-0000AA810000}"/>
    <cellStyle name="Normal 3 3 2 3 2 7 2" xfId="26326" xr:uid="{00000000-0005-0000-0000-0000AB810000}"/>
    <cellStyle name="Normal 3 3 2 3 2 7 2 2" xfId="53459" xr:uid="{00000000-0005-0000-0000-0000AC810000}"/>
    <cellStyle name="Normal 3 3 2 3 2 7 3" xfId="39897" xr:uid="{00000000-0005-0000-0000-0000AD810000}"/>
    <cellStyle name="Normal 3 3 2 3 2 8" xfId="19545" xr:uid="{00000000-0005-0000-0000-0000AE810000}"/>
    <cellStyle name="Normal 3 3 2 3 2 8 2" xfId="46678" xr:uid="{00000000-0005-0000-0000-0000AF810000}"/>
    <cellStyle name="Normal 3 3 2 3 2 9" xfId="33116" xr:uid="{00000000-0005-0000-0000-0000B0810000}"/>
    <cellStyle name="Normal 3 3 2 3 3" xfId="5822" xr:uid="{00000000-0005-0000-0000-0000B1810000}"/>
    <cellStyle name="Normal 3 3 2 3 3 2" xfId="5823" xr:uid="{00000000-0005-0000-0000-0000B2810000}"/>
    <cellStyle name="Normal 3 3 2 3 3 2 2" xfId="9366" xr:uid="{00000000-0005-0000-0000-0000B3810000}"/>
    <cellStyle name="Normal 3 3 2 3 3 2 2 2" xfId="16156" xr:uid="{00000000-0005-0000-0000-0000B4810000}"/>
    <cellStyle name="Normal 3 3 2 3 3 2 2 2 2" xfId="29724" xr:uid="{00000000-0005-0000-0000-0000B5810000}"/>
    <cellStyle name="Normal 3 3 2 3 3 2 2 2 2 2" xfId="56857" xr:uid="{00000000-0005-0000-0000-0000B6810000}"/>
    <cellStyle name="Normal 3 3 2 3 3 2 2 2 3" xfId="43295" xr:uid="{00000000-0005-0000-0000-0000B7810000}"/>
    <cellStyle name="Normal 3 3 2 3 3 2 2 3" xfId="22943" xr:uid="{00000000-0005-0000-0000-0000B8810000}"/>
    <cellStyle name="Normal 3 3 2 3 3 2 2 3 2" xfId="50076" xr:uid="{00000000-0005-0000-0000-0000B9810000}"/>
    <cellStyle name="Normal 3 3 2 3 3 2 2 4" xfId="36514" xr:uid="{00000000-0005-0000-0000-0000BA810000}"/>
    <cellStyle name="Normal 3 3 2 3 3 2 3" xfId="12767" xr:uid="{00000000-0005-0000-0000-0000BB810000}"/>
    <cellStyle name="Normal 3 3 2 3 3 2 3 2" xfId="26335" xr:uid="{00000000-0005-0000-0000-0000BC810000}"/>
    <cellStyle name="Normal 3 3 2 3 3 2 3 2 2" xfId="53468" xr:uid="{00000000-0005-0000-0000-0000BD810000}"/>
    <cellStyle name="Normal 3 3 2 3 3 2 3 3" xfId="39906" xr:uid="{00000000-0005-0000-0000-0000BE810000}"/>
    <cellStyle name="Normal 3 3 2 3 3 2 4" xfId="19554" xr:uid="{00000000-0005-0000-0000-0000BF810000}"/>
    <cellStyle name="Normal 3 3 2 3 3 2 4 2" xfId="46687" xr:uid="{00000000-0005-0000-0000-0000C0810000}"/>
    <cellStyle name="Normal 3 3 2 3 3 2 5" xfId="33125" xr:uid="{00000000-0005-0000-0000-0000C1810000}"/>
    <cellStyle name="Normal 3 3 2 3 3 3" xfId="5824" xr:uid="{00000000-0005-0000-0000-0000C2810000}"/>
    <cellStyle name="Normal 3 3 2 3 3 3 2" xfId="9367" xr:uid="{00000000-0005-0000-0000-0000C3810000}"/>
    <cellStyle name="Normal 3 3 2 3 3 3 2 2" xfId="16157" xr:uid="{00000000-0005-0000-0000-0000C4810000}"/>
    <cellStyle name="Normal 3 3 2 3 3 3 2 2 2" xfId="29725" xr:uid="{00000000-0005-0000-0000-0000C5810000}"/>
    <cellStyle name="Normal 3 3 2 3 3 3 2 2 2 2" xfId="56858" xr:uid="{00000000-0005-0000-0000-0000C6810000}"/>
    <cellStyle name="Normal 3 3 2 3 3 3 2 2 3" xfId="43296" xr:uid="{00000000-0005-0000-0000-0000C7810000}"/>
    <cellStyle name="Normal 3 3 2 3 3 3 2 3" xfId="22944" xr:uid="{00000000-0005-0000-0000-0000C8810000}"/>
    <cellStyle name="Normal 3 3 2 3 3 3 2 3 2" xfId="50077" xr:uid="{00000000-0005-0000-0000-0000C9810000}"/>
    <cellStyle name="Normal 3 3 2 3 3 3 2 4" xfId="36515" xr:uid="{00000000-0005-0000-0000-0000CA810000}"/>
    <cellStyle name="Normal 3 3 2 3 3 3 3" xfId="12768" xr:uid="{00000000-0005-0000-0000-0000CB810000}"/>
    <cellStyle name="Normal 3 3 2 3 3 3 3 2" xfId="26336" xr:uid="{00000000-0005-0000-0000-0000CC810000}"/>
    <cellStyle name="Normal 3 3 2 3 3 3 3 2 2" xfId="53469" xr:uid="{00000000-0005-0000-0000-0000CD810000}"/>
    <cellStyle name="Normal 3 3 2 3 3 3 3 3" xfId="39907" xr:uid="{00000000-0005-0000-0000-0000CE810000}"/>
    <cellStyle name="Normal 3 3 2 3 3 3 4" xfId="19555" xr:uid="{00000000-0005-0000-0000-0000CF810000}"/>
    <cellStyle name="Normal 3 3 2 3 3 3 4 2" xfId="46688" xr:uid="{00000000-0005-0000-0000-0000D0810000}"/>
    <cellStyle name="Normal 3 3 2 3 3 3 5" xfId="33126" xr:uid="{00000000-0005-0000-0000-0000D1810000}"/>
    <cellStyle name="Normal 3 3 2 3 3 4" xfId="9365" xr:uid="{00000000-0005-0000-0000-0000D2810000}"/>
    <cellStyle name="Normal 3 3 2 3 3 4 2" xfId="16155" xr:uid="{00000000-0005-0000-0000-0000D3810000}"/>
    <cellStyle name="Normal 3 3 2 3 3 4 2 2" xfId="29723" xr:uid="{00000000-0005-0000-0000-0000D4810000}"/>
    <cellStyle name="Normal 3 3 2 3 3 4 2 2 2" xfId="56856" xr:uid="{00000000-0005-0000-0000-0000D5810000}"/>
    <cellStyle name="Normal 3 3 2 3 3 4 2 3" xfId="43294" xr:uid="{00000000-0005-0000-0000-0000D6810000}"/>
    <cellStyle name="Normal 3 3 2 3 3 4 3" xfId="22942" xr:uid="{00000000-0005-0000-0000-0000D7810000}"/>
    <cellStyle name="Normal 3 3 2 3 3 4 3 2" xfId="50075" xr:uid="{00000000-0005-0000-0000-0000D8810000}"/>
    <cellStyle name="Normal 3 3 2 3 3 4 4" xfId="36513" xr:uid="{00000000-0005-0000-0000-0000D9810000}"/>
    <cellStyle name="Normal 3 3 2 3 3 5" xfId="12766" xr:uid="{00000000-0005-0000-0000-0000DA810000}"/>
    <cellStyle name="Normal 3 3 2 3 3 5 2" xfId="26334" xr:uid="{00000000-0005-0000-0000-0000DB810000}"/>
    <cellStyle name="Normal 3 3 2 3 3 5 2 2" xfId="53467" xr:uid="{00000000-0005-0000-0000-0000DC810000}"/>
    <cellStyle name="Normal 3 3 2 3 3 5 3" xfId="39905" xr:uid="{00000000-0005-0000-0000-0000DD810000}"/>
    <cellStyle name="Normal 3 3 2 3 3 6" xfId="19553" xr:uid="{00000000-0005-0000-0000-0000DE810000}"/>
    <cellStyle name="Normal 3 3 2 3 3 6 2" xfId="46686" xr:uid="{00000000-0005-0000-0000-0000DF810000}"/>
    <cellStyle name="Normal 3 3 2 3 3 7" xfId="33124" xr:uid="{00000000-0005-0000-0000-0000E0810000}"/>
    <cellStyle name="Normal 3 3 2 3 4" xfId="5825" xr:uid="{00000000-0005-0000-0000-0000E1810000}"/>
    <cellStyle name="Normal 3 3 2 3 4 2" xfId="5826" xr:uid="{00000000-0005-0000-0000-0000E2810000}"/>
    <cellStyle name="Normal 3 3 2 3 4 2 2" xfId="9369" xr:uid="{00000000-0005-0000-0000-0000E3810000}"/>
    <cellStyle name="Normal 3 3 2 3 4 2 2 2" xfId="16159" xr:uid="{00000000-0005-0000-0000-0000E4810000}"/>
    <cellStyle name="Normal 3 3 2 3 4 2 2 2 2" xfId="29727" xr:uid="{00000000-0005-0000-0000-0000E5810000}"/>
    <cellStyle name="Normal 3 3 2 3 4 2 2 2 2 2" xfId="56860" xr:uid="{00000000-0005-0000-0000-0000E6810000}"/>
    <cellStyle name="Normal 3 3 2 3 4 2 2 2 3" xfId="43298" xr:uid="{00000000-0005-0000-0000-0000E7810000}"/>
    <cellStyle name="Normal 3 3 2 3 4 2 2 3" xfId="22946" xr:uid="{00000000-0005-0000-0000-0000E8810000}"/>
    <cellStyle name="Normal 3 3 2 3 4 2 2 3 2" xfId="50079" xr:uid="{00000000-0005-0000-0000-0000E9810000}"/>
    <cellStyle name="Normal 3 3 2 3 4 2 2 4" xfId="36517" xr:uid="{00000000-0005-0000-0000-0000EA810000}"/>
    <cellStyle name="Normal 3 3 2 3 4 2 3" xfId="12770" xr:uid="{00000000-0005-0000-0000-0000EB810000}"/>
    <cellStyle name="Normal 3 3 2 3 4 2 3 2" xfId="26338" xr:uid="{00000000-0005-0000-0000-0000EC810000}"/>
    <cellStyle name="Normal 3 3 2 3 4 2 3 2 2" xfId="53471" xr:uid="{00000000-0005-0000-0000-0000ED810000}"/>
    <cellStyle name="Normal 3 3 2 3 4 2 3 3" xfId="39909" xr:uid="{00000000-0005-0000-0000-0000EE810000}"/>
    <cellStyle name="Normal 3 3 2 3 4 2 4" xfId="19557" xr:uid="{00000000-0005-0000-0000-0000EF810000}"/>
    <cellStyle name="Normal 3 3 2 3 4 2 4 2" xfId="46690" xr:uid="{00000000-0005-0000-0000-0000F0810000}"/>
    <cellStyle name="Normal 3 3 2 3 4 2 5" xfId="33128" xr:uid="{00000000-0005-0000-0000-0000F1810000}"/>
    <cellStyle name="Normal 3 3 2 3 4 3" xfId="9368" xr:uid="{00000000-0005-0000-0000-0000F2810000}"/>
    <cellStyle name="Normal 3 3 2 3 4 3 2" xfId="16158" xr:uid="{00000000-0005-0000-0000-0000F3810000}"/>
    <cellStyle name="Normal 3 3 2 3 4 3 2 2" xfId="29726" xr:uid="{00000000-0005-0000-0000-0000F4810000}"/>
    <cellStyle name="Normal 3 3 2 3 4 3 2 2 2" xfId="56859" xr:uid="{00000000-0005-0000-0000-0000F5810000}"/>
    <cellStyle name="Normal 3 3 2 3 4 3 2 3" xfId="43297" xr:uid="{00000000-0005-0000-0000-0000F6810000}"/>
    <cellStyle name="Normal 3 3 2 3 4 3 3" xfId="22945" xr:uid="{00000000-0005-0000-0000-0000F7810000}"/>
    <cellStyle name="Normal 3 3 2 3 4 3 3 2" xfId="50078" xr:uid="{00000000-0005-0000-0000-0000F8810000}"/>
    <cellStyle name="Normal 3 3 2 3 4 3 4" xfId="36516" xr:uid="{00000000-0005-0000-0000-0000F9810000}"/>
    <cellStyle name="Normal 3 3 2 3 4 4" xfId="12769" xr:uid="{00000000-0005-0000-0000-0000FA810000}"/>
    <cellStyle name="Normal 3 3 2 3 4 4 2" xfId="26337" xr:uid="{00000000-0005-0000-0000-0000FB810000}"/>
    <cellStyle name="Normal 3 3 2 3 4 4 2 2" xfId="53470" xr:uid="{00000000-0005-0000-0000-0000FC810000}"/>
    <cellStyle name="Normal 3 3 2 3 4 4 3" xfId="39908" xr:uid="{00000000-0005-0000-0000-0000FD810000}"/>
    <cellStyle name="Normal 3 3 2 3 4 5" xfId="19556" xr:uid="{00000000-0005-0000-0000-0000FE810000}"/>
    <cellStyle name="Normal 3 3 2 3 4 5 2" xfId="46689" xr:uid="{00000000-0005-0000-0000-0000FF810000}"/>
    <cellStyle name="Normal 3 3 2 3 4 6" xfId="33127" xr:uid="{00000000-0005-0000-0000-000000820000}"/>
    <cellStyle name="Normal 3 3 2 3 5" xfId="5827" xr:uid="{00000000-0005-0000-0000-000001820000}"/>
    <cellStyle name="Normal 3 3 2 3 5 2" xfId="9370" xr:uid="{00000000-0005-0000-0000-000002820000}"/>
    <cellStyle name="Normal 3 3 2 3 5 2 2" xfId="16160" xr:uid="{00000000-0005-0000-0000-000003820000}"/>
    <cellStyle name="Normal 3 3 2 3 5 2 2 2" xfId="29728" xr:uid="{00000000-0005-0000-0000-000004820000}"/>
    <cellStyle name="Normal 3 3 2 3 5 2 2 2 2" xfId="56861" xr:uid="{00000000-0005-0000-0000-000005820000}"/>
    <cellStyle name="Normal 3 3 2 3 5 2 2 3" xfId="43299" xr:uid="{00000000-0005-0000-0000-000006820000}"/>
    <cellStyle name="Normal 3 3 2 3 5 2 3" xfId="22947" xr:uid="{00000000-0005-0000-0000-000007820000}"/>
    <cellStyle name="Normal 3 3 2 3 5 2 3 2" xfId="50080" xr:uid="{00000000-0005-0000-0000-000008820000}"/>
    <cellStyle name="Normal 3 3 2 3 5 2 4" xfId="36518" xr:uid="{00000000-0005-0000-0000-000009820000}"/>
    <cellStyle name="Normal 3 3 2 3 5 3" xfId="12771" xr:uid="{00000000-0005-0000-0000-00000A820000}"/>
    <cellStyle name="Normal 3 3 2 3 5 3 2" xfId="26339" xr:uid="{00000000-0005-0000-0000-00000B820000}"/>
    <cellStyle name="Normal 3 3 2 3 5 3 2 2" xfId="53472" xr:uid="{00000000-0005-0000-0000-00000C820000}"/>
    <cellStyle name="Normal 3 3 2 3 5 3 3" xfId="39910" xr:uid="{00000000-0005-0000-0000-00000D820000}"/>
    <cellStyle name="Normal 3 3 2 3 5 4" xfId="19558" xr:uid="{00000000-0005-0000-0000-00000E820000}"/>
    <cellStyle name="Normal 3 3 2 3 5 4 2" xfId="46691" xr:uid="{00000000-0005-0000-0000-00000F820000}"/>
    <cellStyle name="Normal 3 3 2 3 5 5" xfId="33129" xr:uid="{00000000-0005-0000-0000-000010820000}"/>
    <cellStyle name="Normal 3 3 2 3 6" xfId="5828" xr:uid="{00000000-0005-0000-0000-000011820000}"/>
    <cellStyle name="Normal 3 3 2 3 6 2" xfId="9371" xr:uid="{00000000-0005-0000-0000-000012820000}"/>
    <cellStyle name="Normal 3 3 2 3 6 2 2" xfId="16161" xr:uid="{00000000-0005-0000-0000-000013820000}"/>
    <cellStyle name="Normal 3 3 2 3 6 2 2 2" xfId="29729" xr:uid="{00000000-0005-0000-0000-000014820000}"/>
    <cellStyle name="Normal 3 3 2 3 6 2 2 2 2" xfId="56862" xr:uid="{00000000-0005-0000-0000-000015820000}"/>
    <cellStyle name="Normal 3 3 2 3 6 2 2 3" xfId="43300" xr:uid="{00000000-0005-0000-0000-000016820000}"/>
    <cellStyle name="Normal 3 3 2 3 6 2 3" xfId="22948" xr:uid="{00000000-0005-0000-0000-000017820000}"/>
    <cellStyle name="Normal 3 3 2 3 6 2 3 2" xfId="50081" xr:uid="{00000000-0005-0000-0000-000018820000}"/>
    <cellStyle name="Normal 3 3 2 3 6 2 4" xfId="36519" xr:uid="{00000000-0005-0000-0000-000019820000}"/>
    <cellStyle name="Normal 3 3 2 3 6 3" xfId="12772" xr:uid="{00000000-0005-0000-0000-00001A820000}"/>
    <cellStyle name="Normal 3 3 2 3 6 3 2" xfId="26340" xr:uid="{00000000-0005-0000-0000-00001B820000}"/>
    <cellStyle name="Normal 3 3 2 3 6 3 2 2" xfId="53473" xr:uid="{00000000-0005-0000-0000-00001C820000}"/>
    <cellStyle name="Normal 3 3 2 3 6 3 3" xfId="39911" xr:uid="{00000000-0005-0000-0000-00001D820000}"/>
    <cellStyle name="Normal 3 3 2 3 6 4" xfId="19559" xr:uid="{00000000-0005-0000-0000-00001E820000}"/>
    <cellStyle name="Normal 3 3 2 3 6 4 2" xfId="46692" xr:uid="{00000000-0005-0000-0000-00001F820000}"/>
    <cellStyle name="Normal 3 3 2 3 6 5" xfId="33130" xr:uid="{00000000-0005-0000-0000-000020820000}"/>
    <cellStyle name="Normal 3 3 2 3 7" xfId="9356" xr:uid="{00000000-0005-0000-0000-000021820000}"/>
    <cellStyle name="Normal 3 3 2 3 7 2" xfId="16146" xr:uid="{00000000-0005-0000-0000-000022820000}"/>
    <cellStyle name="Normal 3 3 2 3 7 2 2" xfId="29714" xr:uid="{00000000-0005-0000-0000-000023820000}"/>
    <cellStyle name="Normal 3 3 2 3 7 2 2 2" xfId="56847" xr:uid="{00000000-0005-0000-0000-000024820000}"/>
    <cellStyle name="Normal 3 3 2 3 7 2 3" xfId="43285" xr:uid="{00000000-0005-0000-0000-000025820000}"/>
    <cellStyle name="Normal 3 3 2 3 7 3" xfId="22933" xr:uid="{00000000-0005-0000-0000-000026820000}"/>
    <cellStyle name="Normal 3 3 2 3 7 3 2" xfId="50066" xr:uid="{00000000-0005-0000-0000-000027820000}"/>
    <cellStyle name="Normal 3 3 2 3 7 4" xfId="36504" xr:uid="{00000000-0005-0000-0000-000028820000}"/>
    <cellStyle name="Normal 3 3 2 3 8" xfId="12757" xr:uid="{00000000-0005-0000-0000-000029820000}"/>
    <cellStyle name="Normal 3 3 2 3 8 2" xfId="26325" xr:uid="{00000000-0005-0000-0000-00002A820000}"/>
    <cellStyle name="Normal 3 3 2 3 8 2 2" xfId="53458" xr:uid="{00000000-0005-0000-0000-00002B820000}"/>
    <cellStyle name="Normal 3 3 2 3 8 3" xfId="39896" xr:uid="{00000000-0005-0000-0000-00002C820000}"/>
    <cellStyle name="Normal 3 3 2 3 9" xfId="19544" xr:uid="{00000000-0005-0000-0000-00002D820000}"/>
    <cellStyle name="Normal 3 3 2 3 9 2" xfId="46677" xr:uid="{00000000-0005-0000-0000-00002E820000}"/>
    <cellStyle name="Normal 3 3 2 4" xfId="5829" xr:uid="{00000000-0005-0000-0000-00002F820000}"/>
    <cellStyle name="Normal 3 3 2 4 2" xfId="5830" xr:uid="{00000000-0005-0000-0000-000030820000}"/>
    <cellStyle name="Normal 3 3 2 4 2 2" xfId="5831" xr:uid="{00000000-0005-0000-0000-000031820000}"/>
    <cellStyle name="Normal 3 3 2 4 2 2 2" xfId="9374" xr:uid="{00000000-0005-0000-0000-000032820000}"/>
    <cellStyle name="Normal 3 3 2 4 2 2 2 2" xfId="16164" xr:uid="{00000000-0005-0000-0000-000033820000}"/>
    <cellStyle name="Normal 3 3 2 4 2 2 2 2 2" xfId="29732" xr:uid="{00000000-0005-0000-0000-000034820000}"/>
    <cellStyle name="Normal 3 3 2 4 2 2 2 2 2 2" xfId="56865" xr:uid="{00000000-0005-0000-0000-000035820000}"/>
    <cellStyle name="Normal 3 3 2 4 2 2 2 2 3" xfId="43303" xr:uid="{00000000-0005-0000-0000-000036820000}"/>
    <cellStyle name="Normal 3 3 2 4 2 2 2 3" xfId="22951" xr:uid="{00000000-0005-0000-0000-000037820000}"/>
    <cellStyle name="Normal 3 3 2 4 2 2 2 3 2" xfId="50084" xr:uid="{00000000-0005-0000-0000-000038820000}"/>
    <cellStyle name="Normal 3 3 2 4 2 2 2 4" xfId="36522" xr:uid="{00000000-0005-0000-0000-000039820000}"/>
    <cellStyle name="Normal 3 3 2 4 2 2 3" xfId="12775" xr:uid="{00000000-0005-0000-0000-00003A820000}"/>
    <cellStyle name="Normal 3 3 2 4 2 2 3 2" xfId="26343" xr:uid="{00000000-0005-0000-0000-00003B820000}"/>
    <cellStyle name="Normal 3 3 2 4 2 2 3 2 2" xfId="53476" xr:uid="{00000000-0005-0000-0000-00003C820000}"/>
    <cellStyle name="Normal 3 3 2 4 2 2 3 3" xfId="39914" xr:uid="{00000000-0005-0000-0000-00003D820000}"/>
    <cellStyle name="Normal 3 3 2 4 2 2 4" xfId="19562" xr:uid="{00000000-0005-0000-0000-00003E820000}"/>
    <cellStyle name="Normal 3 3 2 4 2 2 4 2" xfId="46695" xr:uid="{00000000-0005-0000-0000-00003F820000}"/>
    <cellStyle name="Normal 3 3 2 4 2 2 5" xfId="33133" xr:uid="{00000000-0005-0000-0000-000040820000}"/>
    <cellStyle name="Normal 3 3 2 4 2 3" xfId="5832" xr:uid="{00000000-0005-0000-0000-000041820000}"/>
    <cellStyle name="Normal 3 3 2 4 2 3 2" xfId="9375" xr:uid="{00000000-0005-0000-0000-000042820000}"/>
    <cellStyle name="Normal 3 3 2 4 2 3 2 2" xfId="16165" xr:uid="{00000000-0005-0000-0000-000043820000}"/>
    <cellStyle name="Normal 3 3 2 4 2 3 2 2 2" xfId="29733" xr:uid="{00000000-0005-0000-0000-000044820000}"/>
    <cellStyle name="Normal 3 3 2 4 2 3 2 2 2 2" xfId="56866" xr:uid="{00000000-0005-0000-0000-000045820000}"/>
    <cellStyle name="Normal 3 3 2 4 2 3 2 2 3" xfId="43304" xr:uid="{00000000-0005-0000-0000-000046820000}"/>
    <cellStyle name="Normal 3 3 2 4 2 3 2 3" xfId="22952" xr:uid="{00000000-0005-0000-0000-000047820000}"/>
    <cellStyle name="Normal 3 3 2 4 2 3 2 3 2" xfId="50085" xr:uid="{00000000-0005-0000-0000-000048820000}"/>
    <cellStyle name="Normal 3 3 2 4 2 3 2 4" xfId="36523" xr:uid="{00000000-0005-0000-0000-000049820000}"/>
    <cellStyle name="Normal 3 3 2 4 2 3 3" xfId="12776" xr:uid="{00000000-0005-0000-0000-00004A820000}"/>
    <cellStyle name="Normal 3 3 2 4 2 3 3 2" xfId="26344" xr:uid="{00000000-0005-0000-0000-00004B820000}"/>
    <cellStyle name="Normal 3 3 2 4 2 3 3 2 2" xfId="53477" xr:uid="{00000000-0005-0000-0000-00004C820000}"/>
    <cellStyle name="Normal 3 3 2 4 2 3 3 3" xfId="39915" xr:uid="{00000000-0005-0000-0000-00004D820000}"/>
    <cellStyle name="Normal 3 3 2 4 2 3 4" xfId="19563" xr:uid="{00000000-0005-0000-0000-00004E820000}"/>
    <cellStyle name="Normal 3 3 2 4 2 3 4 2" xfId="46696" xr:uid="{00000000-0005-0000-0000-00004F820000}"/>
    <cellStyle name="Normal 3 3 2 4 2 3 5" xfId="33134" xr:uid="{00000000-0005-0000-0000-000050820000}"/>
    <cellStyle name="Normal 3 3 2 4 2 4" xfId="9373" xr:uid="{00000000-0005-0000-0000-000051820000}"/>
    <cellStyle name="Normal 3 3 2 4 2 4 2" xfId="16163" xr:uid="{00000000-0005-0000-0000-000052820000}"/>
    <cellStyle name="Normal 3 3 2 4 2 4 2 2" xfId="29731" xr:uid="{00000000-0005-0000-0000-000053820000}"/>
    <cellStyle name="Normal 3 3 2 4 2 4 2 2 2" xfId="56864" xr:uid="{00000000-0005-0000-0000-000054820000}"/>
    <cellStyle name="Normal 3 3 2 4 2 4 2 3" xfId="43302" xr:uid="{00000000-0005-0000-0000-000055820000}"/>
    <cellStyle name="Normal 3 3 2 4 2 4 3" xfId="22950" xr:uid="{00000000-0005-0000-0000-000056820000}"/>
    <cellStyle name="Normal 3 3 2 4 2 4 3 2" xfId="50083" xr:uid="{00000000-0005-0000-0000-000057820000}"/>
    <cellStyle name="Normal 3 3 2 4 2 4 4" xfId="36521" xr:uid="{00000000-0005-0000-0000-000058820000}"/>
    <cellStyle name="Normal 3 3 2 4 2 5" xfId="12774" xr:uid="{00000000-0005-0000-0000-000059820000}"/>
    <cellStyle name="Normal 3 3 2 4 2 5 2" xfId="26342" xr:uid="{00000000-0005-0000-0000-00005A820000}"/>
    <cellStyle name="Normal 3 3 2 4 2 5 2 2" xfId="53475" xr:uid="{00000000-0005-0000-0000-00005B820000}"/>
    <cellStyle name="Normal 3 3 2 4 2 5 3" xfId="39913" xr:uid="{00000000-0005-0000-0000-00005C820000}"/>
    <cellStyle name="Normal 3 3 2 4 2 6" xfId="19561" xr:uid="{00000000-0005-0000-0000-00005D820000}"/>
    <cellStyle name="Normal 3 3 2 4 2 6 2" xfId="46694" xr:uid="{00000000-0005-0000-0000-00005E820000}"/>
    <cellStyle name="Normal 3 3 2 4 2 7" xfId="33132" xr:uid="{00000000-0005-0000-0000-00005F820000}"/>
    <cellStyle name="Normal 3 3 2 4 3" xfId="5833" xr:uid="{00000000-0005-0000-0000-000060820000}"/>
    <cellStyle name="Normal 3 3 2 4 3 2" xfId="5834" xr:uid="{00000000-0005-0000-0000-000061820000}"/>
    <cellStyle name="Normal 3 3 2 4 3 2 2" xfId="9377" xr:uid="{00000000-0005-0000-0000-000062820000}"/>
    <cellStyle name="Normal 3 3 2 4 3 2 2 2" xfId="16167" xr:uid="{00000000-0005-0000-0000-000063820000}"/>
    <cellStyle name="Normal 3 3 2 4 3 2 2 2 2" xfId="29735" xr:uid="{00000000-0005-0000-0000-000064820000}"/>
    <cellStyle name="Normal 3 3 2 4 3 2 2 2 2 2" xfId="56868" xr:uid="{00000000-0005-0000-0000-000065820000}"/>
    <cellStyle name="Normal 3 3 2 4 3 2 2 2 3" xfId="43306" xr:uid="{00000000-0005-0000-0000-000066820000}"/>
    <cellStyle name="Normal 3 3 2 4 3 2 2 3" xfId="22954" xr:uid="{00000000-0005-0000-0000-000067820000}"/>
    <cellStyle name="Normal 3 3 2 4 3 2 2 3 2" xfId="50087" xr:uid="{00000000-0005-0000-0000-000068820000}"/>
    <cellStyle name="Normal 3 3 2 4 3 2 2 4" xfId="36525" xr:uid="{00000000-0005-0000-0000-000069820000}"/>
    <cellStyle name="Normal 3 3 2 4 3 2 3" xfId="12778" xr:uid="{00000000-0005-0000-0000-00006A820000}"/>
    <cellStyle name="Normal 3 3 2 4 3 2 3 2" xfId="26346" xr:uid="{00000000-0005-0000-0000-00006B820000}"/>
    <cellStyle name="Normal 3 3 2 4 3 2 3 2 2" xfId="53479" xr:uid="{00000000-0005-0000-0000-00006C820000}"/>
    <cellStyle name="Normal 3 3 2 4 3 2 3 3" xfId="39917" xr:uid="{00000000-0005-0000-0000-00006D820000}"/>
    <cellStyle name="Normal 3 3 2 4 3 2 4" xfId="19565" xr:uid="{00000000-0005-0000-0000-00006E820000}"/>
    <cellStyle name="Normal 3 3 2 4 3 2 4 2" xfId="46698" xr:uid="{00000000-0005-0000-0000-00006F820000}"/>
    <cellStyle name="Normal 3 3 2 4 3 2 5" xfId="33136" xr:uid="{00000000-0005-0000-0000-000070820000}"/>
    <cellStyle name="Normal 3 3 2 4 3 3" xfId="9376" xr:uid="{00000000-0005-0000-0000-000071820000}"/>
    <cellStyle name="Normal 3 3 2 4 3 3 2" xfId="16166" xr:uid="{00000000-0005-0000-0000-000072820000}"/>
    <cellStyle name="Normal 3 3 2 4 3 3 2 2" xfId="29734" xr:uid="{00000000-0005-0000-0000-000073820000}"/>
    <cellStyle name="Normal 3 3 2 4 3 3 2 2 2" xfId="56867" xr:uid="{00000000-0005-0000-0000-000074820000}"/>
    <cellStyle name="Normal 3 3 2 4 3 3 2 3" xfId="43305" xr:uid="{00000000-0005-0000-0000-000075820000}"/>
    <cellStyle name="Normal 3 3 2 4 3 3 3" xfId="22953" xr:uid="{00000000-0005-0000-0000-000076820000}"/>
    <cellStyle name="Normal 3 3 2 4 3 3 3 2" xfId="50086" xr:uid="{00000000-0005-0000-0000-000077820000}"/>
    <cellStyle name="Normal 3 3 2 4 3 3 4" xfId="36524" xr:uid="{00000000-0005-0000-0000-000078820000}"/>
    <cellStyle name="Normal 3 3 2 4 3 4" xfId="12777" xr:uid="{00000000-0005-0000-0000-000079820000}"/>
    <cellStyle name="Normal 3 3 2 4 3 4 2" xfId="26345" xr:uid="{00000000-0005-0000-0000-00007A820000}"/>
    <cellStyle name="Normal 3 3 2 4 3 4 2 2" xfId="53478" xr:uid="{00000000-0005-0000-0000-00007B820000}"/>
    <cellStyle name="Normal 3 3 2 4 3 4 3" xfId="39916" xr:uid="{00000000-0005-0000-0000-00007C820000}"/>
    <cellStyle name="Normal 3 3 2 4 3 5" xfId="19564" xr:uid="{00000000-0005-0000-0000-00007D820000}"/>
    <cellStyle name="Normal 3 3 2 4 3 5 2" xfId="46697" xr:uid="{00000000-0005-0000-0000-00007E820000}"/>
    <cellStyle name="Normal 3 3 2 4 3 6" xfId="33135" xr:uid="{00000000-0005-0000-0000-00007F820000}"/>
    <cellStyle name="Normal 3 3 2 4 4" xfId="5835" xr:uid="{00000000-0005-0000-0000-000080820000}"/>
    <cellStyle name="Normal 3 3 2 4 4 2" xfId="9378" xr:uid="{00000000-0005-0000-0000-000081820000}"/>
    <cellStyle name="Normal 3 3 2 4 4 2 2" xfId="16168" xr:uid="{00000000-0005-0000-0000-000082820000}"/>
    <cellStyle name="Normal 3 3 2 4 4 2 2 2" xfId="29736" xr:uid="{00000000-0005-0000-0000-000083820000}"/>
    <cellStyle name="Normal 3 3 2 4 4 2 2 2 2" xfId="56869" xr:uid="{00000000-0005-0000-0000-000084820000}"/>
    <cellStyle name="Normal 3 3 2 4 4 2 2 3" xfId="43307" xr:uid="{00000000-0005-0000-0000-000085820000}"/>
    <cellStyle name="Normal 3 3 2 4 4 2 3" xfId="22955" xr:uid="{00000000-0005-0000-0000-000086820000}"/>
    <cellStyle name="Normal 3 3 2 4 4 2 3 2" xfId="50088" xr:uid="{00000000-0005-0000-0000-000087820000}"/>
    <cellStyle name="Normal 3 3 2 4 4 2 4" xfId="36526" xr:uid="{00000000-0005-0000-0000-000088820000}"/>
    <cellStyle name="Normal 3 3 2 4 4 3" xfId="12779" xr:uid="{00000000-0005-0000-0000-000089820000}"/>
    <cellStyle name="Normal 3 3 2 4 4 3 2" xfId="26347" xr:uid="{00000000-0005-0000-0000-00008A820000}"/>
    <cellStyle name="Normal 3 3 2 4 4 3 2 2" xfId="53480" xr:uid="{00000000-0005-0000-0000-00008B820000}"/>
    <cellStyle name="Normal 3 3 2 4 4 3 3" xfId="39918" xr:uid="{00000000-0005-0000-0000-00008C820000}"/>
    <cellStyle name="Normal 3 3 2 4 4 4" xfId="19566" xr:uid="{00000000-0005-0000-0000-00008D820000}"/>
    <cellStyle name="Normal 3 3 2 4 4 4 2" xfId="46699" xr:uid="{00000000-0005-0000-0000-00008E820000}"/>
    <cellStyle name="Normal 3 3 2 4 4 5" xfId="33137" xr:uid="{00000000-0005-0000-0000-00008F820000}"/>
    <cellStyle name="Normal 3 3 2 4 5" xfId="5836" xr:uid="{00000000-0005-0000-0000-000090820000}"/>
    <cellStyle name="Normal 3 3 2 4 5 2" xfId="9379" xr:uid="{00000000-0005-0000-0000-000091820000}"/>
    <cellStyle name="Normal 3 3 2 4 5 2 2" xfId="16169" xr:uid="{00000000-0005-0000-0000-000092820000}"/>
    <cellStyle name="Normal 3 3 2 4 5 2 2 2" xfId="29737" xr:uid="{00000000-0005-0000-0000-000093820000}"/>
    <cellStyle name="Normal 3 3 2 4 5 2 2 2 2" xfId="56870" xr:uid="{00000000-0005-0000-0000-000094820000}"/>
    <cellStyle name="Normal 3 3 2 4 5 2 2 3" xfId="43308" xr:uid="{00000000-0005-0000-0000-000095820000}"/>
    <cellStyle name="Normal 3 3 2 4 5 2 3" xfId="22956" xr:uid="{00000000-0005-0000-0000-000096820000}"/>
    <cellStyle name="Normal 3 3 2 4 5 2 3 2" xfId="50089" xr:uid="{00000000-0005-0000-0000-000097820000}"/>
    <cellStyle name="Normal 3 3 2 4 5 2 4" xfId="36527" xr:uid="{00000000-0005-0000-0000-000098820000}"/>
    <cellStyle name="Normal 3 3 2 4 5 3" xfId="12780" xr:uid="{00000000-0005-0000-0000-000099820000}"/>
    <cellStyle name="Normal 3 3 2 4 5 3 2" xfId="26348" xr:uid="{00000000-0005-0000-0000-00009A820000}"/>
    <cellStyle name="Normal 3 3 2 4 5 3 2 2" xfId="53481" xr:uid="{00000000-0005-0000-0000-00009B820000}"/>
    <cellStyle name="Normal 3 3 2 4 5 3 3" xfId="39919" xr:uid="{00000000-0005-0000-0000-00009C820000}"/>
    <cellStyle name="Normal 3 3 2 4 5 4" xfId="19567" xr:uid="{00000000-0005-0000-0000-00009D820000}"/>
    <cellStyle name="Normal 3 3 2 4 5 4 2" xfId="46700" xr:uid="{00000000-0005-0000-0000-00009E820000}"/>
    <cellStyle name="Normal 3 3 2 4 5 5" xfId="33138" xr:uid="{00000000-0005-0000-0000-00009F820000}"/>
    <cellStyle name="Normal 3 3 2 4 6" xfId="9372" xr:uid="{00000000-0005-0000-0000-0000A0820000}"/>
    <cellStyle name="Normal 3 3 2 4 6 2" xfId="16162" xr:uid="{00000000-0005-0000-0000-0000A1820000}"/>
    <cellStyle name="Normal 3 3 2 4 6 2 2" xfId="29730" xr:uid="{00000000-0005-0000-0000-0000A2820000}"/>
    <cellStyle name="Normal 3 3 2 4 6 2 2 2" xfId="56863" xr:uid="{00000000-0005-0000-0000-0000A3820000}"/>
    <cellStyle name="Normal 3 3 2 4 6 2 3" xfId="43301" xr:uid="{00000000-0005-0000-0000-0000A4820000}"/>
    <cellStyle name="Normal 3 3 2 4 6 3" xfId="22949" xr:uid="{00000000-0005-0000-0000-0000A5820000}"/>
    <cellStyle name="Normal 3 3 2 4 6 3 2" xfId="50082" xr:uid="{00000000-0005-0000-0000-0000A6820000}"/>
    <cellStyle name="Normal 3 3 2 4 6 4" xfId="36520" xr:uid="{00000000-0005-0000-0000-0000A7820000}"/>
    <cellStyle name="Normal 3 3 2 4 7" xfId="12773" xr:uid="{00000000-0005-0000-0000-0000A8820000}"/>
    <cellStyle name="Normal 3 3 2 4 7 2" xfId="26341" xr:uid="{00000000-0005-0000-0000-0000A9820000}"/>
    <cellStyle name="Normal 3 3 2 4 7 2 2" xfId="53474" xr:uid="{00000000-0005-0000-0000-0000AA820000}"/>
    <cellStyle name="Normal 3 3 2 4 7 3" xfId="39912" xr:uid="{00000000-0005-0000-0000-0000AB820000}"/>
    <cellStyle name="Normal 3 3 2 4 8" xfId="19560" xr:uid="{00000000-0005-0000-0000-0000AC820000}"/>
    <cellStyle name="Normal 3 3 2 4 8 2" xfId="46693" xr:uid="{00000000-0005-0000-0000-0000AD820000}"/>
    <cellStyle name="Normal 3 3 2 4 9" xfId="33131" xr:uid="{00000000-0005-0000-0000-0000AE820000}"/>
    <cellStyle name="Normal 3 3 2 5" xfId="5837" xr:uid="{00000000-0005-0000-0000-0000AF820000}"/>
    <cellStyle name="Normal 3 3 2 5 2" xfId="5838" xr:uid="{00000000-0005-0000-0000-0000B0820000}"/>
    <cellStyle name="Normal 3 3 2 5 2 2" xfId="5839" xr:uid="{00000000-0005-0000-0000-0000B1820000}"/>
    <cellStyle name="Normal 3 3 2 5 2 2 2" xfId="9382" xr:uid="{00000000-0005-0000-0000-0000B2820000}"/>
    <cellStyle name="Normal 3 3 2 5 2 2 2 2" xfId="16172" xr:uid="{00000000-0005-0000-0000-0000B3820000}"/>
    <cellStyle name="Normal 3 3 2 5 2 2 2 2 2" xfId="29740" xr:uid="{00000000-0005-0000-0000-0000B4820000}"/>
    <cellStyle name="Normal 3 3 2 5 2 2 2 2 2 2" xfId="56873" xr:uid="{00000000-0005-0000-0000-0000B5820000}"/>
    <cellStyle name="Normal 3 3 2 5 2 2 2 2 3" xfId="43311" xr:uid="{00000000-0005-0000-0000-0000B6820000}"/>
    <cellStyle name="Normal 3 3 2 5 2 2 2 3" xfId="22959" xr:uid="{00000000-0005-0000-0000-0000B7820000}"/>
    <cellStyle name="Normal 3 3 2 5 2 2 2 3 2" xfId="50092" xr:uid="{00000000-0005-0000-0000-0000B8820000}"/>
    <cellStyle name="Normal 3 3 2 5 2 2 2 4" xfId="36530" xr:uid="{00000000-0005-0000-0000-0000B9820000}"/>
    <cellStyle name="Normal 3 3 2 5 2 2 3" xfId="12783" xr:uid="{00000000-0005-0000-0000-0000BA820000}"/>
    <cellStyle name="Normal 3 3 2 5 2 2 3 2" xfId="26351" xr:uid="{00000000-0005-0000-0000-0000BB820000}"/>
    <cellStyle name="Normal 3 3 2 5 2 2 3 2 2" xfId="53484" xr:uid="{00000000-0005-0000-0000-0000BC820000}"/>
    <cellStyle name="Normal 3 3 2 5 2 2 3 3" xfId="39922" xr:uid="{00000000-0005-0000-0000-0000BD820000}"/>
    <cellStyle name="Normal 3 3 2 5 2 2 4" xfId="19570" xr:uid="{00000000-0005-0000-0000-0000BE820000}"/>
    <cellStyle name="Normal 3 3 2 5 2 2 4 2" xfId="46703" xr:uid="{00000000-0005-0000-0000-0000BF820000}"/>
    <cellStyle name="Normal 3 3 2 5 2 2 5" xfId="33141" xr:uid="{00000000-0005-0000-0000-0000C0820000}"/>
    <cellStyle name="Normal 3 3 2 5 2 3" xfId="5840" xr:uid="{00000000-0005-0000-0000-0000C1820000}"/>
    <cellStyle name="Normal 3 3 2 5 2 3 2" xfId="9383" xr:uid="{00000000-0005-0000-0000-0000C2820000}"/>
    <cellStyle name="Normal 3 3 2 5 2 3 2 2" xfId="16173" xr:uid="{00000000-0005-0000-0000-0000C3820000}"/>
    <cellStyle name="Normal 3 3 2 5 2 3 2 2 2" xfId="29741" xr:uid="{00000000-0005-0000-0000-0000C4820000}"/>
    <cellStyle name="Normal 3 3 2 5 2 3 2 2 2 2" xfId="56874" xr:uid="{00000000-0005-0000-0000-0000C5820000}"/>
    <cellStyle name="Normal 3 3 2 5 2 3 2 2 3" xfId="43312" xr:uid="{00000000-0005-0000-0000-0000C6820000}"/>
    <cellStyle name="Normal 3 3 2 5 2 3 2 3" xfId="22960" xr:uid="{00000000-0005-0000-0000-0000C7820000}"/>
    <cellStyle name="Normal 3 3 2 5 2 3 2 3 2" xfId="50093" xr:uid="{00000000-0005-0000-0000-0000C8820000}"/>
    <cellStyle name="Normal 3 3 2 5 2 3 2 4" xfId="36531" xr:uid="{00000000-0005-0000-0000-0000C9820000}"/>
    <cellStyle name="Normal 3 3 2 5 2 3 3" xfId="12784" xr:uid="{00000000-0005-0000-0000-0000CA820000}"/>
    <cellStyle name="Normal 3 3 2 5 2 3 3 2" xfId="26352" xr:uid="{00000000-0005-0000-0000-0000CB820000}"/>
    <cellStyle name="Normal 3 3 2 5 2 3 3 2 2" xfId="53485" xr:uid="{00000000-0005-0000-0000-0000CC820000}"/>
    <cellStyle name="Normal 3 3 2 5 2 3 3 3" xfId="39923" xr:uid="{00000000-0005-0000-0000-0000CD820000}"/>
    <cellStyle name="Normal 3 3 2 5 2 3 4" xfId="19571" xr:uid="{00000000-0005-0000-0000-0000CE820000}"/>
    <cellStyle name="Normal 3 3 2 5 2 3 4 2" xfId="46704" xr:uid="{00000000-0005-0000-0000-0000CF820000}"/>
    <cellStyle name="Normal 3 3 2 5 2 3 5" xfId="33142" xr:uid="{00000000-0005-0000-0000-0000D0820000}"/>
    <cellStyle name="Normal 3 3 2 5 2 4" xfId="9381" xr:uid="{00000000-0005-0000-0000-0000D1820000}"/>
    <cellStyle name="Normal 3 3 2 5 2 4 2" xfId="16171" xr:uid="{00000000-0005-0000-0000-0000D2820000}"/>
    <cellStyle name="Normal 3 3 2 5 2 4 2 2" xfId="29739" xr:uid="{00000000-0005-0000-0000-0000D3820000}"/>
    <cellStyle name="Normal 3 3 2 5 2 4 2 2 2" xfId="56872" xr:uid="{00000000-0005-0000-0000-0000D4820000}"/>
    <cellStyle name="Normal 3 3 2 5 2 4 2 3" xfId="43310" xr:uid="{00000000-0005-0000-0000-0000D5820000}"/>
    <cellStyle name="Normal 3 3 2 5 2 4 3" xfId="22958" xr:uid="{00000000-0005-0000-0000-0000D6820000}"/>
    <cellStyle name="Normal 3 3 2 5 2 4 3 2" xfId="50091" xr:uid="{00000000-0005-0000-0000-0000D7820000}"/>
    <cellStyle name="Normal 3 3 2 5 2 4 4" xfId="36529" xr:uid="{00000000-0005-0000-0000-0000D8820000}"/>
    <cellStyle name="Normal 3 3 2 5 2 5" xfId="12782" xr:uid="{00000000-0005-0000-0000-0000D9820000}"/>
    <cellStyle name="Normal 3 3 2 5 2 5 2" xfId="26350" xr:uid="{00000000-0005-0000-0000-0000DA820000}"/>
    <cellStyle name="Normal 3 3 2 5 2 5 2 2" xfId="53483" xr:uid="{00000000-0005-0000-0000-0000DB820000}"/>
    <cellStyle name="Normal 3 3 2 5 2 5 3" xfId="39921" xr:uid="{00000000-0005-0000-0000-0000DC820000}"/>
    <cellStyle name="Normal 3 3 2 5 2 6" xfId="19569" xr:uid="{00000000-0005-0000-0000-0000DD820000}"/>
    <cellStyle name="Normal 3 3 2 5 2 6 2" xfId="46702" xr:uid="{00000000-0005-0000-0000-0000DE820000}"/>
    <cellStyle name="Normal 3 3 2 5 2 7" xfId="33140" xr:uid="{00000000-0005-0000-0000-0000DF820000}"/>
    <cellStyle name="Normal 3 3 2 5 3" xfId="5841" xr:uid="{00000000-0005-0000-0000-0000E0820000}"/>
    <cellStyle name="Normal 3 3 2 5 3 2" xfId="9384" xr:uid="{00000000-0005-0000-0000-0000E1820000}"/>
    <cellStyle name="Normal 3 3 2 5 3 2 2" xfId="16174" xr:uid="{00000000-0005-0000-0000-0000E2820000}"/>
    <cellStyle name="Normal 3 3 2 5 3 2 2 2" xfId="29742" xr:uid="{00000000-0005-0000-0000-0000E3820000}"/>
    <cellStyle name="Normal 3 3 2 5 3 2 2 2 2" xfId="56875" xr:uid="{00000000-0005-0000-0000-0000E4820000}"/>
    <cellStyle name="Normal 3 3 2 5 3 2 2 3" xfId="43313" xr:uid="{00000000-0005-0000-0000-0000E5820000}"/>
    <cellStyle name="Normal 3 3 2 5 3 2 3" xfId="22961" xr:uid="{00000000-0005-0000-0000-0000E6820000}"/>
    <cellStyle name="Normal 3 3 2 5 3 2 3 2" xfId="50094" xr:uid="{00000000-0005-0000-0000-0000E7820000}"/>
    <cellStyle name="Normal 3 3 2 5 3 2 4" xfId="36532" xr:uid="{00000000-0005-0000-0000-0000E8820000}"/>
    <cellStyle name="Normal 3 3 2 5 3 3" xfId="12785" xr:uid="{00000000-0005-0000-0000-0000E9820000}"/>
    <cellStyle name="Normal 3 3 2 5 3 3 2" xfId="26353" xr:uid="{00000000-0005-0000-0000-0000EA820000}"/>
    <cellStyle name="Normal 3 3 2 5 3 3 2 2" xfId="53486" xr:uid="{00000000-0005-0000-0000-0000EB820000}"/>
    <cellStyle name="Normal 3 3 2 5 3 3 3" xfId="39924" xr:uid="{00000000-0005-0000-0000-0000EC820000}"/>
    <cellStyle name="Normal 3 3 2 5 3 4" xfId="19572" xr:uid="{00000000-0005-0000-0000-0000ED820000}"/>
    <cellStyle name="Normal 3 3 2 5 3 4 2" xfId="46705" xr:uid="{00000000-0005-0000-0000-0000EE820000}"/>
    <cellStyle name="Normal 3 3 2 5 3 5" xfId="33143" xr:uid="{00000000-0005-0000-0000-0000EF820000}"/>
    <cellStyle name="Normal 3 3 2 5 4" xfId="5842" xr:uid="{00000000-0005-0000-0000-0000F0820000}"/>
    <cellStyle name="Normal 3 3 2 5 4 2" xfId="9385" xr:uid="{00000000-0005-0000-0000-0000F1820000}"/>
    <cellStyle name="Normal 3 3 2 5 4 2 2" xfId="16175" xr:uid="{00000000-0005-0000-0000-0000F2820000}"/>
    <cellStyle name="Normal 3 3 2 5 4 2 2 2" xfId="29743" xr:uid="{00000000-0005-0000-0000-0000F3820000}"/>
    <cellStyle name="Normal 3 3 2 5 4 2 2 2 2" xfId="56876" xr:uid="{00000000-0005-0000-0000-0000F4820000}"/>
    <cellStyle name="Normal 3 3 2 5 4 2 2 3" xfId="43314" xr:uid="{00000000-0005-0000-0000-0000F5820000}"/>
    <cellStyle name="Normal 3 3 2 5 4 2 3" xfId="22962" xr:uid="{00000000-0005-0000-0000-0000F6820000}"/>
    <cellStyle name="Normal 3 3 2 5 4 2 3 2" xfId="50095" xr:uid="{00000000-0005-0000-0000-0000F7820000}"/>
    <cellStyle name="Normal 3 3 2 5 4 2 4" xfId="36533" xr:uid="{00000000-0005-0000-0000-0000F8820000}"/>
    <cellStyle name="Normal 3 3 2 5 4 3" xfId="12786" xr:uid="{00000000-0005-0000-0000-0000F9820000}"/>
    <cellStyle name="Normal 3 3 2 5 4 3 2" xfId="26354" xr:uid="{00000000-0005-0000-0000-0000FA820000}"/>
    <cellStyle name="Normal 3 3 2 5 4 3 2 2" xfId="53487" xr:uid="{00000000-0005-0000-0000-0000FB820000}"/>
    <cellStyle name="Normal 3 3 2 5 4 3 3" xfId="39925" xr:uid="{00000000-0005-0000-0000-0000FC820000}"/>
    <cellStyle name="Normal 3 3 2 5 4 4" xfId="19573" xr:uid="{00000000-0005-0000-0000-0000FD820000}"/>
    <cellStyle name="Normal 3 3 2 5 4 4 2" xfId="46706" xr:uid="{00000000-0005-0000-0000-0000FE820000}"/>
    <cellStyle name="Normal 3 3 2 5 4 5" xfId="33144" xr:uid="{00000000-0005-0000-0000-0000FF820000}"/>
    <cellStyle name="Normal 3 3 2 5 5" xfId="9380" xr:uid="{00000000-0005-0000-0000-000000830000}"/>
    <cellStyle name="Normal 3 3 2 5 5 2" xfId="16170" xr:uid="{00000000-0005-0000-0000-000001830000}"/>
    <cellStyle name="Normal 3 3 2 5 5 2 2" xfId="29738" xr:uid="{00000000-0005-0000-0000-000002830000}"/>
    <cellStyle name="Normal 3 3 2 5 5 2 2 2" xfId="56871" xr:uid="{00000000-0005-0000-0000-000003830000}"/>
    <cellStyle name="Normal 3 3 2 5 5 2 3" xfId="43309" xr:uid="{00000000-0005-0000-0000-000004830000}"/>
    <cellStyle name="Normal 3 3 2 5 5 3" xfId="22957" xr:uid="{00000000-0005-0000-0000-000005830000}"/>
    <cellStyle name="Normal 3 3 2 5 5 3 2" xfId="50090" xr:uid="{00000000-0005-0000-0000-000006830000}"/>
    <cellStyle name="Normal 3 3 2 5 5 4" xfId="36528" xr:uid="{00000000-0005-0000-0000-000007830000}"/>
    <cellStyle name="Normal 3 3 2 5 6" xfId="12781" xr:uid="{00000000-0005-0000-0000-000008830000}"/>
    <cellStyle name="Normal 3 3 2 5 6 2" xfId="26349" xr:uid="{00000000-0005-0000-0000-000009830000}"/>
    <cellStyle name="Normal 3 3 2 5 6 2 2" xfId="53482" xr:uid="{00000000-0005-0000-0000-00000A830000}"/>
    <cellStyle name="Normal 3 3 2 5 6 3" xfId="39920" xr:uid="{00000000-0005-0000-0000-00000B830000}"/>
    <cellStyle name="Normal 3 3 2 5 7" xfId="19568" xr:uid="{00000000-0005-0000-0000-00000C830000}"/>
    <cellStyle name="Normal 3 3 2 5 7 2" xfId="46701" xr:uid="{00000000-0005-0000-0000-00000D830000}"/>
    <cellStyle name="Normal 3 3 2 5 8" xfId="33139" xr:uid="{00000000-0005-0000-0000-00000E830000}"/>
    <cellStyle name="Normal 3 3 2 6" xfId="5843" xr:uid="{00000000-0005-0000-0000-00000F830000}"/>
    <cellStyle name="Normal 3 3 2 6 2" xfId="5844" xr:uid="{00000000-0005-0000-0000-000010830000}"/>
    <cellStyle name="Normal 3 3 2 6 2 2" xfId="5845" xr:uid="{00000000-0005-0000-0000-000011830000}"/>
    <cellStyle name="Normal 3 3 2 6 2 2 2" xfId="9388" xr:uid="{00000000-0005-0000-0000-000012830000}"/>
    <cellStyle name="Normal 3 3 2 6 2 2 2 2" xfId="16178" xr:uid="{00000000-0005-0000-0000-000013830000}"/>
    <cellStyle name="Normal 3 3 2 6 2 2 2 2 2" xfId="29746" xr:uid="{00000000-0005-0000-0000-000014830000}"/>
    <cellStyle name="Normal 3 3 2 6 2 2 2 2 2 2" xfId="56879" xr:uid="{00000000-0005-0000-0000-000015830000}"/>
    <cellStyle name="Normal 3 3 2 6 2 2 2 2 3" xfId="43317" xr:uid="{00000000-0005-0000-0000-000016830000}"/>
    <cellStyle name="Normal 3 3 2 6 2 2 2 3" xfId="22965" xr:uid="{00000000-0005-0000-0000-000017830000}"/>
    <cellStyle name="Normal 3 3 2 6 2 2 2 3 2" xfId="50098" xr:uid="{00000000-0005-0000-0000-000018830000}"/>
    <cellStyle name="Normal 3 3 2 6 2 2 2 4" xfId="36536" xr:uid="{00000000-0005-0000-0000-000019830000}"/>
    <cellStyle name="Normal 3 3 2 6 2 2 3" xfId="12789" xr:uid="{00000000-0005-0000-0000-00001A830000}"/>
    <cellStyle name="Normal 3 3 2 6 2 2 3 2" xfId="26357" xr:uid="{00000000-0005-0000-0000-00001B830000}"/>
    <cellStyle name="Normal 3 3 2 6 2 2 3 2 2" xfId="53490" xr:uid="{00000000-0005-0000-0000-00001C830000}"/>
    <cellStyle name="Normal 3 3 2 6 2 2 3 3" xfId="39928" xr:uid="{00000000-0005-0000-0000-00001D830000}"/>
    <cellStyle name="Normal 3 3 2 6 2 2 4" xfId="19576" xr:uid="{00000000-0005-0000-0000-00001E830000}"/>
    <cellStyle name="Normal 3 3 2 6 2 2 4 2" xfId="46709" xr:uid="{00000000-0005-0000-0000-00001F830000}"/>
    <cellStyle name="Normal 3 3 2 6 2 2 5" xfId="33147" xr:uid="{00000000-0005-0000-0000-000020830000}"/>
    <cellStyle name="Normal 3 3 2 6 2 3" xfId="5846" xr:uid="{00000000-0005-0000-0000-000021830000}"/>
    <cellStyle name="Normal 3 3 2 6 2 3 2" xfId="9389" xr:uid="{00000000-0005-0000-0000-000022830000}"/>
    <cellStyle name="Normal 3 3 2 6 2 3 2 2" xfId="16179" xr:uid="{00000000-0005-0000-0000-000023830000}"/>
    <cellStyle name="Normal 3 3 2 6 2 3 2 2 2" xfId="29747" xr:uid="{00000000-0005-0000-0000-000024830000}"/>
    <cellStyle name="Normal 3 3 2 6 2 3 2 2 2 2" xfId="56880" xr:uid="{00000000-0005-0000-0000-000025830000}"/>
    <cellStyle name="Normal 3 3 2 6 2 3 2 2 3" xfId="43318" xr:uid="{00000000-0005-0000-0000-000026830000}"/>
    <cellStyle name="Normal 3 3 2 6 2 3 2 3" xfId="22966" xr:uid="{00000000-0005-0000-0000-000027830000}"/>
    <cellStyle name="Normal 3 3 2 6 2 3 2 3 2" xfId="50099" xr:uid="{00000000-0005-0000-0000-000028830000}"/>
    <cellStyle name="Normal 3 3 2 6 2 3 2 4" xfId="36537" xr:uid="{00000000-0005-0000-0000-000029830000}"/>
    <cellStyle name="Normal 3 3 2 6 2 3 3" xfId="12790" xr:uid="{00000000-0005-0000-0000-00002A830000}"/>
    <cellStyle name="Normal 3 3 2 6 2 3 3 2" xfId="26358" xr:uid="{00000000-0005-0000-0000-00002B830000}"/>
    <cellStyle name="Normal 3 3 2 6 2 3 3 2 2" xfId="53491" xr:uid="{00000000-0005-0000-0000-00002C830000}"/>
    <cellStyle name="Normal 3 3 2 6 2 3 3 3" xfId="39929" xr:uid="{00000000-0005-0000-0000-00002D830000}"/>
    <cellStyle name="Normal 3 3 2 6 2 3 4" xfId="19577" xr:uid="{00000000-0005-0000-0000-00002E830000}"/>
    <cellStyle name="Normal 3 3 2 6 2 3 4 2" xfId="46710" xr:uid="{00000000-0005-0000-0000-00002F830000}"/>
    <cellStyle name="Normal 3 3 2 6 2 3 5" xfId="33148" xr:uid="{00000000-0005-0000-0000-000030830000}"/>
    <cellStyle name="Normal 3 3 2 6 2 4" xfId="9387" xr:uid="{00000000-0005-0000-0000-000031830000}"/>
    <cellStyle name="Normal 3 3 2 6 2 4 2" xfId="16177" xr:uid="{00000000-0005-0000-0000-000032830000}"/>
    <cellStyle name="Normal 3 3 2 6 2 4 2 2" xfId="29745" xr:uid="{00000000-0005-0000-0000-000033830000}"/>
    <cellStyle name="Normal 3 3 2 6 2 4 2 2 2" xfId="56878" xr:uid="{00000000-0005-0000-0000-000034830000}"/>
    <cellStyle name="Normal 3 3 2 6 2 4 2 3" xfId="43316" xr:uid="{00000000-0005-0000-0000-000035830000}"/>
    <cellStyle name="Normal 3 3 2 6 2 4 3" xfId="22964" xr:uid="{00000000-0005-0000-0000-000036830000}"/>
    <cellStyle name="Normal 3 3 2 6 2 4 3 2" xfId="50097" xr:uid="{00000000-0005-0000-0000-000037830000}"/>
    <cellStyle name="Normal 3 3 2 6 2 4 4" xfId="36535" xr:uid="{00000000-0005-0000-0000-000038830000}"/>
    <cellStyle name="Normal 3 3 2 6 2 5" xfId="12788" xr:uid="{00000000-0005-0000-0000-000039830000}"/>
    <cellStyle name="Normal 3 3 2 6 2 5 2" xfId="26356" xr:uid="{00000000-0005-0000-0000-00003A830000}"/>
    <cellStyle name="Normal 3 3 2 6 2 5 2 2" xfId="53489" xr:uid="{00000000-0005-0000-0000-00003B830000}"/>
    <cellStyle name="Normal 3 3 2 6 2 5 3" xfId="39927" xr:uid="{00000000-0005-0000-0000-00003C830000}"/>
    <cellStyle name="Normal 3 3 2 6 2 6" xfId="19575" xr:uid="{00000000-0005-0000-0000-00003D830000}"/>
    <cellStyle name="Normal 3 3 2 6 2 6 2" xfId="46708" xr:uid="{00000000-0005-0000-0000-00003E830000}"/>
    <cellStyle name="Normal 3 3 2 6 2 7" xfId="33146" xr:uid="{00000000-0005-0000-0000-00003F830000}"/>
    <cellStyle name="Normal 3 3 2 6 3" xfId="5847" xr:uid="{00000000-0005-0000-0000-000040830000}"/>
    <cellStyle name="Normal 3 3 2 6 3 2" xfId="9390" xr:uid="{00000000-0005-0000-0000-000041830000}"/>
    <cellStyle name="Normal 3 3 2 6 3 2 2" xfId="16180" xr:uid="{00000000-0005-0000-0000-000042830000}"/>
    <cellStyle name="Normal 3 3 2 6 3 2 2 2" xfId="29748" xr:uid="{00000000-0005-0000-0000-000043830000}"/>
    <cellStyle name="Normal 3 3 2 6 3 2 2 2 2" xfId="56881" xr:uid="{00000000-0005-0000-0000-000044830000}"/>
    <cellStyle name="Normal 3 3 2 6 3 2 2 3" xfId="43319" xr:uid="{00000000-0005-0000-0000-000045830000}"/>
    <cellStyle name="Normal 3 3 2 6 3 2 3" xfId="22967" xr:uid="{00000000-0005-0000-0000-000046830000}"/>
    <cellStyle name="Normal 3 3 2 6 3 2 3 2" xfId="50100" xr:uid="{00000000-0005-0000-0000-000047830000}"/>
    <cellStyle name="Normal 3 3 2 6 3 2 4" xfId="36538" xr:uid="{00000000-0005-0000-0000-000048830000}"/>
    <cellStyle name="Normal 3 3 2 6 3 3" xfId="12791" xr:uid="{00000000-0005-0000-0000-000049830000}"/>
    <cellStyle name="Normal 3 3 2 6 3 3 2" xfId="26359" xr:uid="{00000000-0005-0000-0000-00004A830000}"/>
    <cellStyle name="Normal 3 3 2 6 3 3 2 2" xfId="53492" xr:uid="{00000000-0005-0000-0000-00004B830000}"/>
    <cellStyle name="Normal 3 3 2 6 3 3 3" xfId="39930" xr:uid="{00000000-0005-0000-0000-00004C830000}"/>
    <cellStyle name="Normal 3 3 2 6 3 4" xfId="19578" xr:uid="{00000000-0005-0000-0000-00004D830000}"/>
    <cellStyle name="Normal 3 3 2 6 3 4 2" xfId="46711" xr:uid="{00000000-0005-0000-0000-00004E830000}"/>
    <cellStyle name="Normal 3 3 2 6 3 5" xfId="33149" xr:uid="{00000000-0005-0000-0000-00004F830000}"/>
    <cellStyle name="Normal 3 3 2 6 4" xfId="5848" xr:uid="{00000000-0005-0000-0000-000050830000}"/>
    <cellStyle name="Normal 3 3 2 6 4 2" xfId="9391" xr:uid="{00000000-0005-0000-0000-000051830000}"/>
    <cellStyle name="Normal 3 3 2 6 4 2 2" xfId="16181" xr:uid="{00000000-0005-0000-0000-000052830000}"/>
    <cellStyle name="Normal 3 3 2 6 4 2 2 2" xfId="29749" xr:uid="{00000000-0005-0000-0000-000053830000}"/>
    <cellStyle name="Normal 3 3 2 6 4 2 2 2 2" xfId="56882" xr:uid="{00000000-0005-0000-0000-000054830000}"/>
    <cellStyle name="Normal 3 3 2 6 4 2 2 3" xfId="43320" xr:uid="{00000000-0005-0000-0000-000055830000}"/>
    <cellStyle name="Normal 3 3 2 6 4 2 3" xfId="22968" xr:uid="{00000000-0005-0000-0000-000056830000}"/>
    <cellStyle name="Normal 3 3 2 6 4 2 3 2" xfId="50101" xr:uid="{00000000-0005-0000-0000-000057830000}"/>
    <cellStyle name="Normal 3 3 2 6 4 2 4" xfId="36539" xr:uid="{00000000-0005-0000-0000-000058830000}"/>
    <cellStyle name="Normal 3 3 2 6 4 3" xfId="12792" xr:uid="{00000000-0005-0000-0000-000059830000}"/>
    <cellStyle name="Normal 3 3 2 6 4 3 2" xfId="26360" xr:uid="{00000000-0005-0000-0000-00005A830000}"/>
    <cellStyle name="Normal 3 3 2 6 4 3 2 2" xfId="53493" xr:uid="{00000000-0005-0000-0000-00005B830000}"/>
    <cellStyle name="Normal 3 3 2 6 4 3 3" xfId="39931" xr:uid="{00000000-0005-0000-0000-00005C830000}"/>
    <cellStyle name="Normal 3 3 2 6 4 4" xfId="19579" xr:uid="{00000000-0005-0000-0000-00005D830000}"/>
    <cellStyle name="Normal 3 3 2 6 4 4 2" xfId="46712" xr:uid="{00000000-0005-0000-0000-00005E830000}"/>
    <cellStyle name="Normal 3 3 2 6 4 5" xfId="33150" xr:uid="{00000000-0005-0000-0000-00005F830000}"/>
    <cellStyle name="Normal 3 3 2 6 5" xfId="9386" xr:uid="{00000000-0005-0000-0000-000060830000}"/>
    <cellStyle name="Normal 3 3 2 6 5 2" xfId="16176" xr:uid="{00000000-0005-0000-0000-000061830000}"/>
    <cellStyle name="Normal 3 3 2 6 5 2 2" xfId="29744" xr:uid="{00000000-0005-0000-0000-000062830000}"/>
    <cellStyle name="Normal 3 3 2 6 5 2 2 2" xfId="56877" xr:uid="{00000000-0005-0000-0000-000063830000}"/>
    <cellStyle name="Normal 3 3 2 6 5 2 3" xfId="43315" xr:uid="{00000000-0005-0000-0000-000064830000}"/>
    <cellStyle name="Normal 3 3 2 6 5 3" xfId="22963" xr:uid="{00000000-0005-0000-0000-000065830000}"/>
    <cellStyle name="Normal 3 3 2 6 5 3 2" xfId="50096" xr:uid="{00000000-0005-0000-0000-000066830000}"/>
    <cellStyle name="Normal 3 3 2 6 5 4" xfId="36534" xr:uid="{00000000-0005-0000-0000-000067830000}"/>
    <cellStyle name="Normal 3 3 2 6 6" xfId="12787" xr:uid="{00000000-0005-0000-0000-000068830000}"/>
    <cellStyle name="Normal 3 3 2 6 6 2" xfId="26355" xr:uid="{00000000-0005-0000-0000-000069830000}"/>
    <cellStyle name="Normal 3 3 2 6 6 2 2" xfId="53488" xr:uid="{00000000-0005-0000-0000-00006A830000}"/>
    <cellStyle name="Normal 3 3 2 6 6 3" xfId="39926" xr:uid="{00000000-0005-0000-0000-00006B830000}"/>
    <cellStyle name="Normal 3 3 2 6 7" xfId="19574" xr:uid="{00000000-0005-0000-0000-00006C830000}"/>
    <cellStyle name="Normal 3 3 2 6 7 2" xfId="46707" xr:uid="{00000000-0005-0000-0000-00006D830000}"/>
    <cellStyle name="Normal 3 3 2 6 8" xfId="33145" xr:uid="{00000000-0005-0000-0000-00006E830000}"/>
    <cellStyle name="Normal 3 3 2 7" xfId="5849" xr:uid="{00000000-0005-0000-0000-00006F830000}"/>
    <cellStyle name="Normal 3 3 2 7 2" xfId="5850" xr:uid="{00000000-0005-0000-0000-000070830000}"/>
    <cellStyle name="Normal 3 3 2 7 2 2" xfId="9393" xr:uid="{00000000-0005-0000-0000-000071830000}"/>
    <cellStyle name="Normal 3 3 2 7 2 2 2" xfId="16183" xr:uid="{00000000-0005-0000-0000-000072830000}"/>
    <cellStyle name="Normal 3 3 2 7 2 2 2 2" xfId="29751" xr:uid="{00000000-0005-0000-0000-000073830000}"/>
    <cellStyle name="Normal 3 3 2 7 2 2 2 2 2" xfId="56884" xr:uid="{00000000-0005-0000-0000-000074830000}"/>
    <cellStyle name="Normal 3 3 2 7 2 2 2 3" xfId="43322" xr:uid="{00000000-0005-0000-0000-000075830000}"/>
    <cellStyle name="Normal 3 3 2 7 2 2 3" xfId="22970" xr:uid="{00000000-0005-0000-0000-000076830000}"/>
    <cellStyle name="Normal 3 3 2 7 2 2 3 2" xfId="50103" xr:uid="{00000000-0005-0000-0000-000077830000}"/>
    <cellStyle name="Normal 3 3 2 7 2 2 4" xfId="36541" xr:uid="{00000000-0005-0000-0000-000078830000}"/>
    <cellStyle name="Normal 3 3 2 7 2 3" xfId="12794" xr:uid="{00000000-0005-0000-0000-000079830000}"/>
    <cellStyle name="Normal 3 3 2 7 2 3 2" xfId="26362" xr:uid="{00000000-0005-0000-0000-00007A830000}"/>
    <cellStyle name="Normal 3 3 2 7 2 3 2 2" xfId="53495" xr:uid="{00000000-0005-0000-0000-00007B830000}"/>
    <cellStyle name="Normal 3 3 2 7 2 3 3" xfId="39933" xr:uid="{00000000-0005-0000-0000-00007C830000}"/>
    <cellStyle name="Normal 3 3 2 7 2 4" xfId="19581" xr:uid="{00000000-0005-0000-0000-00007D830000}"/>
    <cellStyle name="Normal 3 3 2 7 2 4 2" xfId="46714" xr:uid="{00000000-0005-0000-0000-00007E830000}"/>
    <cellStyle name="Normal 3 3 2 7 2 5" xfId="33152" xr:uid="{00000000-0005-0000-0000-00007F830000}"/>
    <cellStyle name="Normal 3 3 2 7 3" xfId="5851" xr:uid="{00000000-0005-0000-0000-000080830000}"/>
    <cellStyle name="Normal 3 3 2 7 3 2" xfId="9394" xr:uid="{00000000-0005-0000-0000-000081830000}"/>
    <cellStyle name="Normal 3 3 2 7 3 2 2" xfId="16184" xr:uid="{00000000-0005-0000-0000-000082830000}"/>
    <cellStyle name="Normal 3 3 2 7 3 2 2 2" xfId="29752" xr:uid="{00000000-0005-0000-0000-000083830000}"/>
    <cellStyle name="Normal 3 3 2 7 3 2 2 2 2" xfId="56885" xr:uid="{00000000-0005-0000-0000-000084830000}"/>
    <cellStyle name="Normal 3 3 2 7 3 2 2 3" xfId="43323" xr:uid="{00000000-0005-0000-0000-000085830000}"/>
    <cellStyle name="Normal 3 3 2 7 3 2 3" xfId="22971" xr:uid="{00000000-0005-0000-0000-000086830000}"/>
    <cellStyle name="Normal 3 3 2 7 3 2 3 2" xfId="50104" xr:uid="{00000000-0005-0000-0000-000087830000}"/>
    <cellStyle name="Normal 3 3 2 7 3 2 4" xfId="36542" xr:uid="{00000000-0005-0000-0000-000088830000}"/>
    <cellStyle name="Normal 3 3 2 7 3 3" xfId="12795" xr:uid="{00000000-0005-0000-0000-000089830000}"/>
    <cellStyle name="Normal 3 3 2 7 3 3 2" xfId="26363" xr:uid="{00000000-0005-0000-0000-00008A830000}"/>
    <cellStyle name="Normal 3 3 2 7 3 3 2 2" xfId="53496" xr:uid="{00000000-0005-0000-0000-00008B830000}"/>
    <cellStyle name="Normal 3 3 2 7 3 3 3" xfId="39934" xr:uid="{00000000-0005-0000-0000-00008C830000}"/>
    <cellStyle name="Normal 3 3 2 7 3 4" xfId="19582" xr:uid="{00000000-0005-0000-0000-00008D830000}"/>
    <cellStyle name="Normal 3 3 2 7 3 4 2" xfId="46715" xr:uid="{00000000-0005-0000-0000-00008E830000}"/>
    <cellStyle name="Normal 3 3 2 7 3 5" xfId="33153" xr:uid="{00000000-0005-0000-0000-00008F830000}"/>
    <cellStyle name="Normal 3 3 2 7 4" xfId="9392" xr:uid="{00000000-0005-0000-0000-000090830000}"/>
    <cellStyle name="Normal 3 3 2 7 4 2" xfId="16182" xr:uid="{00000000-0005-0000-0000-000091830000}"/>
    <cellStyle name="Normal 3 3 2 7 4 2 2" xfId="29750" xr:uid="{00000000-0005-0000-0000-000092830000}"/>
    <cellStyle name="Normal 3 3 2 7 4 2 2 2" xfId="56883" xr:uid="{00000000-0005-0000-0000-000093830000}"/>
    <cellStyle name="Normal 3 3 2 7 4 2 3" xfId="43321" xr:uid="{00000000-0005-0000-0000-000094830000}"/>
    <cellStyle name="Normal 3 3 2 7 4 3" xfId="22969" xr:uid="{00000000-0005-0000-0000-000095830000}"/>
    <cellStyle name="Normal 3 3 2 7 4 3 2" xfId="50102" xr:uid="{00000000-0005-0000-0000-000096830000}"/>
    <cellStyle name="Normal 3 3 2 7 4 4" xfId="36540" xr:uid="{00000000-0005-0000-0000-000097830000}"/>
    <cellStyle name="Normal 3 3 2 7 5" xfId="12793" xr:uid="{00000000-0005-0000-0000-000098830000}"/>
    <cellStyle name="Normal 3 3 2 7 5 2" xfId="26361" xr:uid="{00000000-0005-0000-0000-000099830000}"/>
    <cellStyle name="Normal 3 3 2 7 5 2 2" xfId="53494" xr:uid="{00000000-0005-0000-0000-00009A830000}"/>
    <cellStyle name="Normal 3 3 2 7 5 3" xfId="39932" xr:uid="{00000000-0005-0000-0000-00009B830000}"/>
    <cellStyle name="Normal 3 3 2 7 6" xfId="19580" xr:uid="{00000000-0005-0000-0000-00009C830000}"/>
    <cellStyle name="Normal 3 3 2 7 6 2" xfId="46713" xr:uid="{00000000-0005-0000-0000-00009D830000}"/>
    <cellStyle name="Normal 3 3 2 7 7" xfId="33151" xr:uid="{00000000-0005-0000-0000-00009E830000}"/>
    <cellStyle name="Normal 3 3 2 8" xfId="5852" xr:uid="{00000000-0005-0000-0000-00009F830000}"/>
    <cellStyle name="Normal 3 3 2 8 2" xfId="5853" xr:uid="{00000000-0005-0000-0000-0000A0830000}"/>
    <cellStyle name="Normal 3 3 2 8 2 2" xfId="9396" xr:uid="{00000000-0005-0000-0000-0000A1830000}"/>
    <cellStyle name="Normal 3 3 2 8 2 2 2" xfId="16186" xr:uid="{00000000-0005-0000-0000-0000A2830000}"/>
    <cellStyle name="Normal 3 3 2 8 2 2 2 2" xfId="29754" xr:uid="{00000000-0005-0000-0000-0000A3830000}"/>
    <cellStyle name="Normal 3 3 2 8 2 2 2 2 2" xfId="56887" xr:uid="{00000000-0005-0000-0000-0000A4830000}"/>
    <cellStyle name="Normal 3 3 2 8 2 2 2 3" xfId="43325" xr:uid="{00000000-0005-0000-0000-0000A5830000}"/>
    <cellStyle name="Normal 3 3 2 8 2 2 3" xfId="22973" xr:uid="{00000000-0005-0000-0000-0000A6830000}"/>
    <cellStyle name="Normal 3 3 2 8 2 2 3 2" xfId="50106" xr:uid="{00000000-0005-0000-0000-0000A7830000}"/>
    <cellStyle name="Normal 3 3 2 8 2 2 4" xfId="36544" xr:uid="{00000000-0005-0000-0000-0000A8830000}"/>
    <cellStyle name="Normal 3 3 2 8 2 3" xfId="12797" xr:uid="{00000000-0005-0000-0000-0000A9830000}"/>
    <cellStyle name="Normal 3 3 2 8 2 3 2" xfId="26365" xr:uid="{00000000-0005-0000-0000-0000AA830000}"/>
    <cellStyle name="Normal 3 3 2 8 2 3 2 2" xfId="53498" xr:uid="{00000000-0005-0000-0000-0000AB830000}"/>
    <cellStyle name="Normal 3 3 2 8 2 3 3" xfId="39936" xr:uid="{00000000-0005-0000-0000-0000AC830000}"/>
    <cellStyle name="Normal 3 3 2 8 2 4" xfId="19584" xr:uid="{00000000-0005-0000-0000-0000AD830000}"/>
    <cellStyle name="Normal 3 3 2 8 2 4 2" xfId="46717" xr:uid="{00000000-0005-0000-0000-0000AE830000}"/>
    <cellStyle name="Normal 3 3 2 8 2 5" xfId="33155" xr:uid="{00000000-0005-0000-0000-0000AF830000}"/>
    <cellStyle name="Normal 3 3 2 8 3" xfId="5854" xr:uid="{00000000-0005-0000-0000-0000B0830000}"/>
    <cellStyle name="Normal 3 3 2 8 3 2" xfId="9397" xr:uid="{00000000-0005-0000-0000-0000B1830000}"/>
    <cellStyle name="Normal 3 3 2 8 3 2 2" xfId="16187" xr:uid="{00000000-0005-0000-0000-0000B2830000}"/>
    <cellStyle name="Normal 3 3 2 8 3 2 2 2" xfId="29755" xr:uid="{00000000-0005-0000-0000-0000B3830000}"/>
    <cellStyle name="Normal 3 3 2 8 3 2 2 2 2" xfId="56888" xr:uid="{00000000-0005-0000-0000-0000B4830000}"/>
    <cellStyle name="Normal 3 3 2 8 3 2 2 3" xfId="43326" xr:uid="{00000000-0005-0000-0000-0000B5830000}"/>
    <cellStyle name="Normal 3 3 2 8 3 2 3" xfId="22974" xr:uid="{00000000-0005-0000-0000-0000B6830000}"/>
    <cellStyle name="Normal 3 3 2 8 3 2 3 2" xfId="50107" xr:uid="{00000000-0005-0000-0000-0000B7830000}"/>
    <cellStyle name="Normal 3 3 2 8 3 2 4" xfId="36545" xr:uid="{00000000-0005-0000-0000-0000B8830000}"/>
    <cellStyle name="Normal 3 3 2 8 3 3" xfId="12798" xr:uid="{00000000-0005-0000-0000-0000B9830000}"/>
    <cellStyle name="Normal 3 3 2 8 3 3 2" xfId="26366" xr:uid="{00000000-0005-0000-0000-0000BA830000}"/>
    <cellStyle name="Normal 3 3 2 8 3 3 2 2" xfId="53499" xr:uid="{00000000-0005-0000-0000-0000BB830000}"/>
    <cellStyle name="Normal 3 3 2 8 3 3 3" xfId="39937" xr:uid="{00000000-0005-0000-0000-0000BC830000}"/>
    <cellStyle name="Normal 3 3 2 8 3 4" xfId="19585" xr:uid="{00000000-0005-0000-0000-0000BD830000}"/>
    <cellStyle name="Normal 3 3 2 8 3 4 2" xfId="46718" xr:uid="{00000000-0005-0000-0000-0000BE830000}"/>
    <cellStyle name="Normal 3 3 2 8 3 5" xfId="33156" xr:uid="{00000000-0005-0000-0000-0000BF830000}"/>
    <cellStyle name="Normal 3 3 2 8 4" xfId="9395" xr:uid="{00000000-0005-0000-0000-0000C0830000}"/>
    <cellStyle name="Normal 3 3 2 8 4 2" xfId="16185" xr:uid="{00000000-0005-0000-0000-0000C1830000}"/>
    <cellStyle name="Normal 3 3 2 8 4 2 2" xfId="29753" xr:uid="{00000000-0005-0000-0000-0000C2830000}"/>
    <cellStyle name="Normal 3 3 2 8 4 2 2 2" xfId="56886" xr:uid="{00000000-0005-0000-0000-0000C3830000}"/>
    <cellStyle name="Normal 3 3 2 8 4 2 3" xfId="43324" xr:uid="{00000000-0005-0000-0000-0000C4830000}"/>
    <cellStyle name="Normal 3 3 2 8 4 3" xfId="22972" xr:uid="{00000000-0005-0000-0000-0000C5830000}"/>
    <cellStyle name="Normal 3 3 2 8 4 3 2" xfId="50105" xr:uid="{00000000-0005-0000-0000-0000C6830000}"/>
    <cellStyle name="Normal 3 3 2 8 4 4" xfId="36543" xr:uid="{00000000-0005-0000-0000-0000C7830000}"/>
    <cellStyle name="Normal 3 3 2 8 5" xfId="12796" xr:uid="{00000000-0005-0000-0000-0000C8830000}"/>
    <cellStyle name="Normal 3 3 2 8 5 2" xfId="26364" xr:uid="{00000000-0005-0000-0000-0000C9830000}"/>
    <cellStyle name="Normal 3 3 2 8 5 2 2" xfId="53497" xr:uid="{00000000-0005-0000-0000-0000CA830000}"/>
    <cellStyle name="Normal 3 3 2 8 5 3" xfId="39935" xr:uid="{00000000-0005-0000-0000-0000CB830000}"/>
    <cellStyle name="Normal 3 3 2 8 6" xfId="19583" xr:uid="{00000000-0005-0000-0000-0000CC830000}"/>
    <cellStyle name="Normal 3 3 2 8 6 2" xfId="46716" xr:uid="{00000000-0005-0000-0000-0000CD830000}"/>
    <cellStyle name="Normal 3 3 2 8 7" xfId="33154" xr:uid="{00000000-0005-0000-0000-0000CE830000}"/>
    <cellStyle name="Normal 3 3 2 9" xfId="5855" xr:uid="{00000000-0005-0000-0000-0000CF830000}"/>
    <cellStyle name="Normal 3 3 2 9 2" xfId="9398" xr:uid="{00000000-0005-0000-0000-0000D0830000}"/>
    <cellStyle name="Normal 3 3 2 9 2 2" xfId="16188" xr:uid="{00000000-0005-0000-0000-0000D1830000}"/>
    <cellStyle name="Normal 3 3 2 9 2 2 2" xfId="29756" xr:uid="{00000000-0005-0000-0000-0000D2830000}"/>
    <cellStyle name="Normal 3 3 2 9 2 2 2 2" xfId="56889" xr:uid="{00000000-0005-0000-0000-0000D3830000}"/>
    <cellStyle name="Normal 3 3 2 9 2 2 3" xfId="43327" xr:uid="{00000000-0005-0000-0000-0000D4830000}"/>
    <cellStyle name="Normal 3 3 2 9 2 3" xfId="22975" xr:uid="{00000000-0005-0000-0000-0000D5830000}"/>
    <cellStyle name="Normal 3 3 2 9 2 3 2" xfId="50108" xr:uid="{00000000-0005-0000-0000-0000D6830000}"/>
    <cellStyle name="Normal 3 3 2 9 2 4" xfId="36546" xr:uid="{00000000-0005-0000-0000-0000D7830000}"/>
    <cellStyle name="Normal 3 3 2 9 3" xfId="12799" xr:uid="{00000000-0005-0000-0000-0000D8830000}"/>
    <cellStyle name="Normal 3 3 2 9 3 2" xfId="26367" xr:uid="{00000000-0005-0000-0000-0000D9830000}"/>
    <cellStyle name="Normal 3 3 2 9 3 2 2" xfId="53500" xr:uid="{00000000-0005-0000-0000-0000DA830000}"/>
    <cellStyle name="Normal 3 3 2 9 3 3" xfId="39938" xr:uid="{00000000-0005-0000-0000-0000DB830000}"/>
    <cellStyle name="Normal 3 3 2 9 4" xfId="19586" xr:uid="{00000000-0005-0000-0000-0000DC830000}"/>
    <cellStyle name="Normal 3 3 2 9 4 2" xfId="46719" xr:uid="{00000000-0005-0000-0000-0000DD830000}"/>
    <cellStyle name="Normal 3 3 2 9 5" xfId="33157" xr:uid="{00000000-0005-0000-0000-0000DE830000}"/>
    <cellStyle name="Normal 3 3 3" xfId="2694" xr:uid="{00000000-0005-0000-0000-0000DF830000}"/>
    <cellStyle name="Normal 3 3 3 10" xfId="7507" xr:uid="{00000000-0005-0000-0000-0000E0830000}"/>
    <cellStyle name="Normal 3 3 3 10 2" xfId="14297" xr:uid="{00000000-0005-0000-0000-0000E1830000}"/>
    <cellStyle name="Normal 3 3 3 10 2 2" xfId="27865" xr:uid="{00000000-0005-0000-0000-0000E2830000}"/>
    <cellStyle name="Normal 3 3 3 10 2 2 2" xfId="54998" xr:uid="{00000000-0005-0000-0000-0000E3830000}"/>
    <cellStyle name="Normal 3 3 3 10 2 3" xfId="41436" xr:uid="{00000000-0005-0000-0000-0000E4830000}"/>
    <cellStyle name="Normal 3 3 3 10 3" xfId="21084" xr:uid="{00000000-0005-0000-0000-0000E5830000}"/>
    <cellStyle name="Normal 3 3 3 10 3 2" xfId="48217" xr:uid="{00000000-0005-0000-0000-0000E6830000}"/>
    <cellStyle name="Normal 3 3 3 10 4" xfId="34655" xr:uid="{00000000-0005-0000-0000-0000E7830000}"/>
    <cellStyle name="Normal 3 3 3 11" xfId="10908" xr:uid="{00000000-0005-0000-0000-0000E8830000}"/>
    <cellStyle name="Normal 3 3 3 11 2" xfId="24476" xr:uid="{00000000-0005-0000-0000-0000E9830000}"/>
    <cellStyle name="Normal 3 3 3 11 2 2" xfId="51609" xr:uid="{00000000-0005-0000-0000-0000EA830000}"/>
    <cellStyle name="Normal 3 3 3 11 3" xfId="38047" xr:uid="{00000000-0005-0000-0000-0000EB830000}"/>
    <cellStyle name="Normal 3 3 3 12" xfId="17695" xr:uid="{00000000-0005-0000-0000-0000EC830000}"/>
    <cellStyle name="Normal 3 3 3 12 2" xfId="44828" xr:uid="{00000000-0005-0000-0000-0000ED830000}"/>
    <cellStyle name="Normal 3 3 3 13" xfId="31266" xr:uid="{00000000-0005-0000-0000-0000EE830000}"/>
    <cellStyle name="Normal 3 3 3 2" xfId="2695" xr:uid="{00000000-0005-0000-0000-0000EF830000}"/>
    <cellStyle name="Normal 3 3 3 2 10" xfId="31267" xr:uid="{00000000-0005-0000-0000-0000F0830000}"/>
    <cellStyle name="Normal 3 3 3 2 2" xfId="5856" xr:uid="{00000000-0005-0000-0000-0000F1830000}"/>
    <cellStyle name="Normal 3 3 3 2 2 2" xfId="5857" xr:uid="{00000000-0005-0000-0000-0000F2830000}"/>
    <cellStyle name="Normal 3 3 3 2 2 2 2" xfId="5858" xr:uid="{00000000-0005-0000-0000-0000F3830000}"/>
    <cellStyle name="Normal 3 3 3 2 2 2 2 2" xfId="9401" xr:uid="{00000000-0005-0000-0000-0000F4830000}"/>
    <cellStyle name="Normal 3 3 3 2 2 2 2 2 2" xfId="16191" xr:uid="{00000000-0005-0000-0000-0000F5830000}"/>
    <cellStyle name="Normal 3 3 3 2 2 2 2 2 2 2" xfId="29759" xr:uid="{00000000-0005-0000-0000-0000F6830000}"/>
    <cellStyle name="Normal 3 3 3 2 2 2 2 2 2 2 2" xfId="56892" xr:uid="{00000000-0005-0000-0000-0000F7830000}"/>
    <cellStyle name="Normal 3 3 3 2 2 2 2 2 2 3" xfId="43330" xr:uid="{00000000-0005-0000-0000-0000F8830000}"/>
    <cellStyle name="Normal 3 3 3 2 2 2 2 2 3" xfId="22978" xr:uid="{00000000-0005-0000-0000-0000F9830000}"/>
    <cellStyle name="Normal 3 3 3 2 2 2 2 2 3 2" xfId="50111" xr:uid="{00000000-0005-0000-0000-0000FA830000}"/>
    <cellStyle name="Normal 3 3 3 2 2 2 2 2 4" xfId="36549" xr:uid="{00000000-0005-0000-0000-0000FB830000}"/>
    <cellStyle name="Normal 3 3 3 2 2 2 2 3" xfId="12802" xr:uid="{00000000-0005-0000-0000-0000FC830000}"/>
    <cellStyle name="Normal 3 3 3 2 2 2 2 3 2" xfId="26370" xr:uid="{00000000-0005-0000-0000-0000FD830000}"/>
    <cellStyle name="Normal 3 3 3 2 2 2 2 3 2 2" xfId="53503" xr:uid="{00000000-0005-0000-0000-0000FE830000}"/>
    <cellStyle name="Normal 3 3 3 2 2 2 2 3 3" xfId="39941" xr:uid="{00000000-0005-0000-0000-0000FF830000}"/>
    <cellStyle name="Normal 3 3 3 2 2 2 2 4" xfId="19589" xr:uid="{00000000-0005-0000-0000-000000840000}"/>
    <cellStyle name="Normal 3 3 3 2 2 2 2 4 2" xfId="46722" xr:uid="{00000000-0005-0000-0000-000001840000}"/>
    <cellStyle name="Normal 3 3 3 2 2 2 2 5" xfId="33160" xr:uid="{00000000-0005-0000-0000-000002840000}"/>
    <cellStyle name="Normal 3 3 3 2 2 2 3" xfId="5859" xr:uid="{00000000-0005-0000-0000-000003840000}"/>
    <cellStyle name="Normal 3 3 3 2 2 2 3 2" xfId="9402" xr:uid="{00000000-0005-0000-0000-000004840000}"/>
    <cellStyle name="Normal 3 3 3 2 2 2 3 2 2" xfId="16192" xr:uid="{00000000-0005-0000-0000-000005840000}"/>
    <cellStyle name="Normal 3 3 3 2 2 2 3 2 2 2" xfId="29760" xr:uid="{00000000-0005-0000-0000-000006840000}"/>
    <cellStyle name="Normal 3 3 3 2 2 2 3 2 2 2 2" xfId="56893" xr:uid="{00000000-0005-0000-0000-000007840000}"/>
    <cellStyle name="Normal 3 3 3 2 2 2 3 2 2 3" xfId="43331" xr:uid="{00000000-0005-0000-0000-000008840000}"/>
    <cellStyle name="Normal 3 3 3 2 2 2 3 2 3" xfId="22979" xr:uid="{00000000-0005-0000-0000-000009840000}"/>
    <cellStyle name="Normal 3 3 3 2 2 2 3 2 3 2" xfId="50112" xr:uid="{00000000-0005-0000-0000-00000A840000}"/>
    <cellStyle name="Normal 3 3 3 2 2 2 3 2 4" xfId="36550" xr:uid="{00000000-0005-0000-0000-00000B840000}"/>
    <cellStyle name="Normal 3 3 3 2 2 2 3 3" xfId="12803" xr:uid="{00000000-0005-0000-0000-00000C840000}"/>
    <cellStyle name="Normal 3 3 3 2 2 2 3 3 2" xfId="26371" xr:uid="{00000000-0005-0000-0000-00000D840000}"/>
    <cellStyle name="Normal 3 3 3 2 2 2 3 3 2 2" xfId="53504" xr:uid="{00000000-0005-0000-0000-00000E840000}"/>
    <cellStyle name="Normal 3 3 3 2 2 2 3 3 3" xfId="39942" xr:uid="{00000000-0005-0000-0000-00000F840000}"/>
    <cellStyle name="Normal 3 3 3 2 2 2 3 4" xfId="19590" xr:uid="{00000000-0005-0000-0000-000010840000}"/>
    <cellStyle name="Normal 3 3 3 2 2 2 3 4 2" xfId="46723" xr:uid="{00000000-0005-0000-0000-000011840000}"/>
    <cellStyle name="Normal 3 3 3 2 2 2 3 5" xfId="33161" xr:uid="{00000000-0005-0000-0000-000012840000}"/>
    <cellStyle name="Normal 3 3 3 2 2 2 4" xfId="9400" xr:uid="{00000000-0005-0000-0000-000013840000}"/>
    <cellStyle name="Normal 3 3 3 2 2 2 4 2" xfId="16190" xr:uid="{00000000-0005-0000-0000-000014840000}"/>
    <cellStyle name="Normal 3 3 3 2 2 2 4 2 2" xfId="29758" xr:uid="{00000000-0005-0000-0000-000015840000}"/>
    <cellStyle name="Normal 3 3 3 2 2 2 4 2 2 2" xfId="56891" xr:uid="{00000000-0005-0000-0000-000016840000}"/>
    <cellStyle name="Normal 3 3 3 2 2 2 4 2 3" xfId="43329" xr:uid="{00000000-0005-0000-0000-000017840000}"/>
    <cellStyle name="Normal 3 3 3 2 2 2 4 3" xfId="22977" xr:uid="{00000000-0005-0000-0000-000018840000}"/>
    <cellStyle name="Normal 3 3 3 2 2 2 4 3 2" xfId="50110" xr:uid="{00000000-0005-0000-0000-000019840000}"/>
    <cellStyle name="Normal 3 3 3 2 2 2 4 4" xfId="36548" xr:uid="{00000000-0005-0000-0000-00001A840000}"/>
    <cellStyle name="Normal 3 3 3 2 2 2 5" xfId="12801" xr:uid="{00000000-0005-0000-0000-00001B840000}"/>
    <cellStyle name="Normal 3 3 3 2 2 2 5 2" xfId="26369" xr:uid="{00000000-0005-0000-0000-00001C840000}"/>
    <cellStyle name="Normal 3 3 3 2 2 2 5 2 2" xfId="53502" xr:uid="{00000000-0005-0000-0000-00001D840000}"/>
    <cellStyle name="Normal 3 3 3 2 2 2 5 3" xfId="39940" xr:uid="{00000000-0005-0000-0000-00001E840000}"/>
    <cellStyle name="Normal 3 3 3 2 2 2 6" xfId="19588" xr:uid="{00000000-0005-0000-0000-00001F840000}"/>
    <cellStyle name="Normal 3 3 3 2 2 2 6 2" xfId="46721" xr:uid="{00000000-0005-0000-0000-000020840000}"/>
    <cellStyle name="Normal 3 3 3 2 2 2 7" xfId="33159" xr:uid="{00000000-0005-0000-0000-000021840000}"/>
    <cellStyle name="Normal 3 3 3 2 2 3" xfId="5860" xr:uid="{00000000-0005-0000-0000-000022840000}"/>
    <cellStyle name="Normal 3 3 3 2 2 3 2" xfId="5861" xr:uid="{00000000-0005-0000-0000-000023840000}"/>
    <cellStyle name="Normal 3 3 3 2 2 3 2 2" xfId="9404" xr:uid="{00000000-0005-0000-0000-000024840000}"/>
    <cellStyle name="Normal 3 3 3 2 2 3 2 2 2" xfId="16194" xr:uid="{00000000-0005-0000-0000-000025840000}"/>
    <cellStyle name="Normal 3 3 3 2 2 3 2 2 2 2" xfId="29762" xr:uid="{00000000-0005-0000-0000-000026840000}"/>
    <cellStyle name="Normal 3 3 3 2 2 3 2 2 2 2 2" xfId="56895" xr:uid="{00000000-0005-0000-0000-000027840000}"/>
    <cellStyle name="Normal 3 3 3 2 2 3 2 2 2 3" xfId="43333" xr:uid="{00000000-0005-0000-0000-000028840000}"/>
    <cellStyle name="Normal 3 3 3 2 2 3 2 2 3" xfId="22981" xr:uid="{00000000-0005-0000-0000-000029840000}"/>
    <cellStyle name="Normal 3 3 3 2 2 3 2 2 3 2" xfId="50114" xr:uid="{00000000-0005-0000-0000-00002A840000}"/>
    <cellStyle name="Normal 3 3 3 2 2 3 2 2 4" xfId="36552" xr:uid="{00000000-0005-0000-0000-00002B840000}"/>
    <cellStyle name="Normal 3 3 3 2 2 3 2 3" xfId="12805" xr:uid="{00000000-0005-0000-0000-00002C840000}"/>
    <cellStyle name="Normal 3 3 3 2 2 3 2 3 2" xfId="26373" xr:uid="{00000000-0005-0000-0000-00002D840000}"/>
    <cellStyle name="Normal 3 3 3 2 2 3 2 3 2 2" xfId="53506" xr:uid="{00000000-0005-0000-0000-00002E840000}"/>
    <cellStyle name="Normal 3 3 3 2 2 3 2 3 3" xfId="39944" xr:uid="{00000000-0005-0000-0000-00002F840000}"/>
    <cellStyle name="Normal 3 3 3 2 2 3 2 4" xfId="19592" xr:uid="{00000000-0005-0000-0000-000030840000}"/>
    <cellStyle name="Normal 3 3 3 2 2 3 2 4 2" xfId="46725" xr:uid="{00000000-0005-0000-0000-000031840000}"/>
    <cellStyle name="Normal 3 3 3 2 2 3 2 5" xfId="33163" xr:uid="{00000000-0005-0000-0000-000032840000}"/>
    <cellStyle name="Normal 3 3 3 2 2 3 3" xfId="9403" xr:uid="{00000000-0005-0000-0000-000033840000}"/>
    <cellStyle name="Normal 3 3 3 2 2 3 3 2" xfId="16193" xr:uid="{00000000-0005-0000-0000-000034840000}"/>
    <cellStyle name="Normal 3 3 3 2 2 3 3 2 2" xfId="29761" xr:uid="{00000000-0005-0000-0000-000035840000}"/>
    <cellStyle name="Normal 3 3 3 2 2 3 3 2 2 2" xfId="56894" xr:uid="{00000000-0005-0000-0000-000036840000}"/>
    <cellStyle name="Normal 3 3 3 2 2 3 3 2 3" xfId="43332" xr:uid="{00000000-0005-0000-0000-000037840000}"/>
    <cellStyle name="Normal 3 3 3 2 2 3 3 3" xfId="22980" xr:uid="{00000000-0005-0000-0000-000038840000}"/>
    <cellStyle name="Normal 3 3 3 2 2 3 3 3 2" xfId="50113" xr:uid="{00000000-0005-0000-0000-000039840000}"/>
    <cellStyle name="Normal 3 3 3 2 2 3 3 4" xfId="36551" xr:uid="{00000000-0005-0000-0000-00003A840000}"/>
    <cellStyle name="Normal 3 3 3 2 2 3 4" xfId="12804" xr:uid="{00000000-0005-0000-0000-00003B840000}"/>
    <cellStyle name="Normal 3 3 3 2 2 3 4 2" xfId="26372" xr:uid="{00000000-0005-0000-0000-00003C840000}"/>
    <cellStyle name="Normal 3 3 3 2 2 3 4 2 2" xfId="53505" xr:uid="{00000000-0005-0000-0000-00003D840000}"/>
    <cellStyle name="Normal 3 3 3 2 2 3 4 3" xfId="39943" xr:uid="{00000000-0005-0000-0000-00003E840000}"/>
    <cellStyle name="Normal 3 3 3 2 2 3 5" xfId="19591" xr:uid="{00000000-0005-0000-0000-00003F840000}"/>
    <cellStyle name="Normal 3 3 3 2 2 3 5 2" xfId="46724" xr:uid="{00000000-0005-0000-0000-000040840000}"/>
    <cellStyle name="Normal 3 3 3 2 2 3 6" xfId="33162" xr:uid="{00000000-0005-0000-0000-000041840000}"/>
    <cellStyle name="Normal 3 3 3 2 2 4" xfId="5862" xr:uid="{00000000-0005-0000-0000-000042840000}"/>
    <cellStyle name="Normal 3 3 3 2 2 4 2" xfId="9405" xr:uid="{00000000-0005-0000-0000-000043840000}"/>
    <cellStyle name="Normal 3 3 3 2 2 4 2 2" xfId="16195" xr:uid="{00000000-0005-0000-0000-000044840000}"/>
    <cellStyle name="Normal 3 3 3 2 2 4 2 2 2" xfId="29763" xr:uid="{00000000-0005-0000-0000-000045840000}"/>
    <cellStyle name="Normal 3 3 3 2 2 4 2 2 2 2" xfId="56896" xr:uid="{00000000-0005-0000-0000-000046840000}"/>
    <cellStyle name="Normal 3 3 3 2 2 4 2 2 3" xfId="43334" xr:uid="{00000000-0005-0000-0000-000047840000}"/>
    <cellStyle name="Normal 3 3 3 2 2 4 2 3" xfId="22982" xr:uid="{00000000-0005-0000-0000-000048840000}"/>
    <cellStyle name="Normal 3 3 3 2 2 4 2 3 2" xfId="50115" xr:uid="{00000000-0005-0000-0000-000049840000}"/>
    <cellStyle name="Normal 3 3 3 2 2 4 2 4" xfId="36553" xr:uid="{00000000-0005-0000-0000-00004A840000}"/>
    <cellStyle name="Normal 3 3 3 2 2 4 3" xfId="12806" xr:uid="{00000000-0005-0000-0000-00004B840000}"/>
    <cellStyle name="Normal 3 3 3 2 2 4 3 2" xfId="26374" xr:uid="{00000000-0005-0000-0000-00004C840000}"/>
    <cellStyle name="Normal 3 3 3 2 2 4 3 2 2" xfId="53507" xr:uid="{00000000-0005-0000-0000-00004D840000}"/>
    <cellStyle name="Normal 3 3 3 2 2 4 3 3" xfId="39945" xr:uid="{00000000-0005-0000-0000-00004E840000}"/>
    <cellStyle name="Normal 3 3 3 2 2 4 4" xfId="19593" xr:uid="{00000000-0005-0000-0000-00004F840000}"/>
    <cellStyle name="Normal 3 3 3 2 2 4 4 2" xfId="46726" xr:uid="{00000000-0005-0000-0000-000050840000}"/>
    <cellStyle name="Normal 3 3 3 2 2 4 5" xfId="33164" xr:uid="{00000000-0005-0000-0000-000051840000}"/>
    <cellStyle name="Normal 3 3 3 2 2 5" xfId="5863" xr:uid="{00000000-0005-0000-0000-000052840000}"/>
    <cellStyle name="Normal 3 3 3 2 2 5 2" xfId="9406" xr:uid="{00000000-0005-0000-0000-000053840000}"/>
    <cellStyle name="Normal 3 3 3 2 2 5 2 2" xfId="16196" xr:uid="{00000000-0005-0000-0000-000054840000}"/>
    <cellStyle name="Normal 3 3 3 2 2 5 2 2 2" xfId="29764" xr:uid="{00000000-0005-0000-0000-000055840000}"/>
    <cellStyle name="Normal 3 3 3 2 2 5 2 2 2 2" xfId="56897" xr:uid="{00000000-0005-0000-0000-000056840000}"/>
    <cellStyle name="Normal 3 3 3 2 2 5 2 2 3" xfId="43335" xr:uid="{00000000-0005-0000-0000-000057840000}"/>
    <cellStyle name="Normal 3 3 3 2 2 5 2 3" xfId="22983" xr:uid="{00000000-0005-0000-0000-000058840000}"/>
    <cellStyle name="Normal 3 3 3 2 2 5 2 3 2" xfId="50116" xr:uid="{00000000-0005-0000-0000-000059840000}"/>
    <cellStyle name="Normal 3 3 3 2 2 5 2 4" xfId="36554" xr:uid="{00000000-0005-0000-0000-00005A840000}"/>
    <cellStyle name="Normal 3 3 3 2 2 5 3" xfId="12807" xr:uid="{00000000-0005-0000-0000-00005B840000}"/>
    <cellStyle name="Normal 3 3 3 2 2 5 3 2" xfId="26375" xr:uid="{00000000-0005-0000-0000-00005C840000}"/>
    <cellStyle name="Normal 3 3 3 2 2 5 3 2 2" xfId="53508" xr:uid="{00000000-0005-0000-0000-00005D840000}"/>
    <cellStyle name="Normal 3 3 3 2 2 5 3 3" xfId="39946" xr:uid="{00000000-0005-0000-0000-00005E840000}"/>
    <cellStyle name="Normal 3 3 3 2 2 5 4" xfId="19594" xr:uid="{00000000-0005-0000-0000-00005F840000}"/>
    <cellStyle name="Normal 3 3 3 2 2 5 4 2" xfId="46727" xr:uid="{00000000-0005-0000-0000-000060840000}"/>
    <cellStyle name="Normal 3 3 3 2 2 5 5" xfId="33165" xr:uid="{00000000-0005-0000-0000-000061840000}"/>
    <cellStyle name="Normal 3 3 3 2 2 6" xfId="9399" xr:uid="{00000000-0005-0000-0000-000062840000}"/>
    <cellStyle name="Normal 3 3 3 2 2 6 2" xfId="16189" xr:uid="{00000000-0005-0000-0000-000063840000}"/>
    <cellStyle name="Normal 3 3 3 2 2 6 2 2" xfId="29757" xr:uid="{00000000-0005-0000-0000-000064840000}"/>
    <cellStyle name="Normal 3 3 3 2 2 6 2 2 2" xfId="56890" xr:uid="{00000000-0005-0000-0000-000065840000}"/>
    <cellStyle name="Normal 3 3 3 2 2 6 2 3" xfId="43328" xr:uid="{00000000-0005-0000-0000-000066840000}"/>
    <cellStyle name="Normal 3 3 3 2 2 6 3" xfId="22976" xr:uid="{00000000-0005-0000-0000-000067840000}"/>
    <cellStyle name="Normal 3 3 3 2 2 6 3 2" xfId="50109" xr:uid="{00000000-0005-0000-0000-000068840000}"/>
    <cellStyle name="Normal 3 3 3 2 2 6 4" xfId="36547" xr:uid="{00000000-0005-0000-0000-000069840000}"/>
    <cellStyle name="Normal 3 3 3 2 2 7" xfId="12800" xr:uid="{00000000-0005-0000-0000-00006A840000}"/>
    <cellStyle name="Normal 3 3 3 2 2 7 2" xfId="26368" xr:uid="{00000000-0005-0000-0000-00006B840000}"/>
    <cellStyle name="Normal 3 3 3 2 2 7 2 2" xfId="53501" xr:uid="{00000000-0005-0000-0000-00006C840000}"/>
    <cellStyle name="Normal 3 3 3 2 2 7 3" xfId="39939" xr:uid="{00000000-0005-0000-0000-00006D840000}"/>
    <cellStyle name="Normal 3 3 3 2 2 8" xfId="19587" xr:uid="{00000000-0005-0000-0000-00006E840000}"/>
    <cellStyle name="Normal 3 3 3 2 2 8 2" xfId="46720" xr:uid="{00000000-0005-0000-0000-00006F840000}"/>
    <cellStyle name="Normal 3 3 3 2 2 9" xfId="33158" xr:uid="{00000000-0005-0000-0000-000070840000}"/>
    <cellStyle name="Normal 3 3 3 2 3" xfId="5864" xr:uid="{00000000-0005-0000-0000-000071840000}"/>
    <cellStyle name="Normal 3 3 3 2 3 2" xfId="5865" xr:uid="{00000000-0005-0000-0000-000072840000}"/>
    <cellStyle name="Normal 3 3 3 2 3 2 2" xfId="9408" xr:uid="{00000000-0005-0000-0000-000073840000}"/>
    <cellStyle name="Normal 3 3 3 2 3 2 2 2" xfId="16198" xr:uid="{00000000-0005-0000-0000-000074840000}"/>
    <cellStyle name="Normal 3 3 3 2 3 2 2 2 2" xfId="29766" xr:uid="{00000000-0005-0000-0000-000075840000}"/>
    <cellStyle name="Normal 3 3 3 2 3 2 2 2 2 2" xfId="56899" xr:uid="{00000000-0005-0000-0000-000076840000}"/>
    <cellStyle name="Normal 3 3 3 2 3 2 2 2 3" xfId="43337" xr:uid="{00000000-0005-0000-0000-000077840000}"/>
    <cellStyle name="Normal 3 3 3 2 3 2 2 3" xfId="22985" xr:uid="{00000000-0005-0000-0000-000078840000}"/>
    <cellStyle name="Normal 3 3 3 2 3 2 2 3 2" xfId="50118" xr:uid="{00000000-0005-0000-0000-000079840000}"/>
    <cellStyle name="Normal 3 3 3 2 3 2 2 4" xfId="36556" xr:uid="{00000000-0005-0000-0000-00007A840000}"/>
    <cellStyle name="Normal 3 3 3 2 3 2 3" xfId="12809" xr:uid="{00000000-0005-0000-0000-00007B840000}"/>
    <cellStyle name="Normal 3 3 3 2 3 2 3 2" xfId="26377" xr:uid="{00000000-0005-0000-0000-00007C840000}"/>
    <cellStyle name="Normal 3 3 3 2 3 2 3 2 2" xfId="53510" xr:uid="{00000000-0005-0000-0000-00007D840000}"/>
    <cellStyle name="Normal 3 3 3 2 3 2 3 3" xfId="39948" xr:uid="{00000000-0005-0000-0000-00007E840000}"/>
    <cellStyle name="Normal 3 3 3 2 3 2 4" xfId="19596" xr:uid="{00000000-0005-0000-0000-00007F840000}"/>
    <cellStyle name="Normal 3 3 3 2 3 2 4 2" xfId="46729" xr:uid="{00000000-0005-0000-0000-000080840000}"/>
    <cellStyle name="Normal 3 3 3 2 3 2 5" xfId="33167" xr:uid="{00000000-0005-0000-0000-000081840000}"/>
    <cellStyle name="Normal 3 3 3 2 3 3" xfId="5866" xr:uid="{00000000-0005-0000-0000-000082840000}"/>
    <cellStyle name="Normal 3 3 3 2 3 3 2" xfId="9409" xr:uid="{00000000-0005-0000-0000-000083840000}"/>
    <cellStyle name="Normal 3 3 3 2 3 3 2 2" xfId="16199" xr:uid="{00000000-0005-0000-0000-000084840000}"/>
    <cellStyle name="Normal 3 3 3 2 3 3 2 2 2" xfId="29767" xr:uid="{00000000-0005-0000-0000-000085840000}"/>
    <cellStyle name="Normal 3 3 3 2 3 3 2 2 2 2" xfId="56900" xr:uid="{00000000-0005-0000-0000-000086840000}"/>
    <cellStyle name="Normal 3 3 3 2 3 3 2 2 3" xfId="43338" xr:uid="{00000000-0005-0000-0000-000087840000}"/>
    <cellStyle name="Normal 3 3 3 2 3 3 2 3" xfId="22986" xr:uid="{00000000-0005-0000-0000-000088840000}"/>
    <cellStyle name="Normal 3 3 3 2 3 3 2 3 2" xfId="50119" xr:uid="{00000000-0005-0000-0000-000089840000}"/>
    <cellStyle name="Normal 3 3 3 2 3 3 2 4" xfId="36557" xr:uid="{00000000-0005-0000-0000-00008A840000}"/>
    <cellStyle name="Normal 3 3 3 2 3 3 3" xfId="12810" xr:uid="{00000000-0005-0000-0000-00008B840000}"/>
    <cellStyle name="Normal 3 3 3 2 3 3 3 2" xfId="26378" xr:uid="{00000000-0005-0000-0000-00008C840000}"/>
    <cellStyle name="Normal 3 3 3 2 3 3 3 2 2" xfId="53511" xr:uid="{00000000-0005-0000-0000-00008D840000}"/>
    <cellStyle name="Normal 3 3 3 2 3 3 3 3" xfId="39949" xr:uid="{00000000-0005-0000-0000-00008E840000}"/>
    <cellStyle name="Normal 3 3 3 2 3 3 4" xfId="19597" xr:uid="{00000000-0005-0000-0000-00008F840000}"/>
    <cellStyle name="Normal 3 3 3 2 3 3 4 2" xfId="46730" xr:uid="{00000000-0005-0000-0000-000090840000}"/>
    <cellStyle name="Normal 3 3 3 2 3 3 5" xfId="33168" xr:uid="{00000000-0005-0000-0000-000091840000}"/>
    <cellStyle name="Normal 3 3 3 2 3 4" xfId="9407" xr:uid="{00000000-0005-0000-0000-000092840000}"/>
    <cellStyle name="Normal 3 3 3 2 3 4 2" xfId="16197" xr:uid="{00000000-0005-0000-0000-000093840000}"/>
    <cellStyle name="Normal 3 3 3 2 3 4 2 2" xfId="29765" xr:uid="{00000000-0005-0000-0000-000094840000}"/>
    <cellStyle name="Normal 3 3 3 2 3 4 2 2 2" xfId="56898" xr:uid="{00000000-0005-0000-0000-000095840000}"/>
    <cellStyle name="Normal 3 3 3 2 3 4 2 3" xfId="43336" xr:uid="{00000000-0005-0000-0000-000096840000}"/>
    <cellStyle name="Normal 3 3 3 2 3 4 3" xfId="22984" xr:uid="{00000000-0005-0000-0000-000097840000}"/>
    <cellStyle name="Normal 3 3 3 2 3 4 3 2" xfId="50117" xr:uid="{00000000-0005-0000-0000-000098840000}"/>
    <cellStyle name="Normal 3 3 3 2 3 4 4" xfId="36555" xr:uid="{00000000-0005-0000-0000-000099840000}"/>
    <cellStyle name="Normal 3 3 3 2 3 5" xfId="12808" xr:uid="{00000000-0005-0000-0000-00009A840000}"/>
    <cellStyle name="Normal 3 3 3 2 3 5 2" xfId="26376" xr:uid="{00000000-0005-0000-0000-00009B840000}"/>
    <cellStyle name="Normal 3 3 3 2 3 5 2 2" xfId="53509" xr:uid="{00000000-0005-0000-0000-00009C840000}"/>
    <cellStyle name="Normal 3 3 3 2 3 5 3" xfId="39947" xr:uid="{00000000-0005-0000-0000-00009D840000}"/>
    <cellStyle name="Normal 3 3 3 2 3 6" xfId="19595" xr:uid="{00000000-0005-0000-0000-00009E840000}"/>
    <cellStyle name="Normal 3 3 3 2 3 6 2" xfId="46728" xr:uid="{00000000-0005-0000-0000-00009F840000}"/>
    <cellStyle name="Normal 3 3 3 2 3 7" xfId="33166" xr:uid="{00000000-0005-0000-0000-0000A0840000}"/>
    <cellStyle name="Normal 3 3 3 2 4" xfId="5867" xr:uid="{00000000-0005-0000-0000-0000A1840000}"/>
    <cellStyle name="Normal 3 3 3 2 4 2" xfId="5868" xr:uid="{00000000-0005-0000-0000-0000A2840000}"/>
    <cellStyle name="Normal 3 3 3 2 4 2 2" xfId="9411" xr:uid="{00000000-0005-0000-0000-0000A3840000}"/>
    <cellStyle name="Normal 3 3 3 2 4 2 2 2" xfId="16201" xr:uid="{00000000-0005-0000-0000-0000A4840000}"/>
    <cellStyle name="Normal 3 3 3 2 4 2 2 2 2" xfId="29769" xr:uid="{00000000-0005-0000-0000-0000A5840000}"/>
    <cellStyle name="Normal 3 3 3 2 4 2 2 2 2 2" xfId="56902" xr:uid="{00000000-0005-0000-0000-0000A6840000}"/>
    <cellStyle name="Normal 3 3 3 2 4 2 2 2 3" xfId="43340" xr:uid="{00000000-0005-0000-0000-0000A7840000}"/>
    <cellStyle name="Normal 3 3 3 2 4 2 2 3" xfId="22988" xr:uid="{00000000-0005-0000-0000-0000A8840000}"/>
    <cellStyle name="Normal 3 3 3 2 4 2 2 3 2" xfId="50121" xr:uid="{00000000-0005-0000-0000-0000A9840000}"/>
    <cellStyle name="Normal 3 3 3 2 4 2 2 4" xfId="36559" xr:uid="{00000000-0005-0000-0000-0000AA840000}"/>
    <cellStyle name="Normal 3 3 3 2 4 2 3" xfId="12812" xr:uid="{00000000-0005-0000-0000-0000AB840000}"/>
    <cellStyle name="Normal 3 3 3 2 4 2 3 2" xfId="26380" xr:uid="{00000000-0005-0000-0000-0000AC840000}"/>
    <cellStyle name="Normal 3 3 3 2 4 2 3 2 2" xfId="53513" xr:uid="{00000000-0005-0000-0000-0000AD840000}"/>
    <cellStyle name="Normal 3 3 3 2 4 2 3 3" xfId="39951" xr:uid="{00000000-0005-0000-0000-0000AE840000}"/>
    <cellStyle name="Normal 3 3 3 2 4 2 4" xfId="19599" xr:uid="{00000000-0005-0000-0000-0000AF840000}"/>
    <cellStyle name="Normal 3 3 3 2 4 2 4 2" xfId="46732" xr:uid="{00000000-0005-0000-0000-0000B0840000}"/>
    <cellStyle name="Normal 3 3 3 2 4 2 5" xfId="33170" xr:uid="{00000000-0005-0000-0000-0000B1840000}"/>
    <cellStyle name="Normal 3 3 3 2 4 3" xfId="9410" xr:uid="{00000000-0005-0000-0000-0000B2840000}"/>
    <cellStyle name="Normal 3 3 3 2 4 3 2" xfId="16200" xr:uid="{00000000-0005-0000-0000-0000B3840000}"/>
    <cellStyle name="Normal 3 3 3 2 4 3 2 2" xfId="29768" xr:uid="{00000000-0005-0000-0000-0000B4840000}"/>
    <cellStyle name="Normal 3 3 3 2 4 3 2 2 2" xfId="56901" xr:uid="{00000000-0005-0000-0000-0000B5840000}"/>
    <cellStyle name="Normal 3 3 3 2 4 3 2 3" xfId="43339" xr:uid="{00000000-0005-0000-0000-0000B6840000}"/>
    <cellStyle name="Normal 3 3 3 2 4 3 3" xfId="22987" xr:uid="{00000000-0005-0000-0000-0000B7840000}"/>
    <cellStyle name="Normal 3 3 3 2 4 3 3 2" xfId="50120" xr:uid="{00000000-0005-0000-0000-0000B8840000}"/>
    <cellStyle name="Normal 3 3 3 2 4 3 4" xfId="36558" xr:uid="{00000000-0005-0000-0000-0000B9840000}"/>
    <cellStyle name="Normal 3 3 3 2 4 4" xfId="12811" xr:uid="{00000000-0005-0000-0000-0000BA840000}"/>
    <cellStyle name="Normal 3 3 3 2 4 4 2" xfId="26379" xr:uid="{00000000-0005-0000-0000-0000BB840000}"/>
    <cellStyle name="Normal 3 3 3 2 4 4 2 2" xfId="53512" xr:uid="{00000000-0005-0000-0000-0000BC840000}"/>
    <cellStyle name="Normal 3 3 3 2 4 4 3" xfId="39950" xr:uid="{00000000-0005-0000-0000-0000BD840000}"/>
    <cellStyle name="Normal 3 3 3 2 4 5" xfId="19598" xr:uid="{00000000-0005-0000-0000-0000BE840000}"/>
    <cellStyle name="Normal 3 3 3 2 4 5 2" xfId="46731" xr:uid="{00000000-0005-0000-0000-0000BF840000}"/>
    <cellStyle name="Normal 3 3 3 2 4 6" xfId="33169" xr:uid="{00000000-0005-0000-0000-0000C0840000}"/>
    <cellStyle name="Normal 3 3 3 2 5" xfId="5869" xr:uid="{00000000-0005-0000-0000-0000C1840000}"/>
    <cellStyle name="Normal 3 3 3 2 5 2" xfId="9412" xr:uid="{00000000-0005-0000-0000-0000C2840000}"/>
    <cellStyle name="Normal 3 3 3 2 5 2 2" xfId="16202" xr:uid="{00000000-0005-0000-0000-0000C3840000}"/>
    <cellStyle name="Normal 3 3 3 2 5 2 2 2" xfId="29770" xr:uid="{00000000-0005-0000-0000-0000C4840000}"/>
    <cellStyle name="Normal 3 3 3 2 5 2 2 2 2" xfId="56903" xr:uid="{00000000-0005-0000-0000-0000C5840000}"/>
    <cellStyle name="Normal 3 3 3 2 5 2 2 3" xfId="43341" xr:uid="{00000000-0005-0000-0000-0000C6840000}"/>
    <cellStyle name="Normal 3 3 3 2 5 2 3" xfId="22989" xr:uid="{00000000-0005-0000-0000-0000C7840000}"/>
    <cellStyle name="Normal 3 3 3 2 5 2 3 2" xfId="50122" xr:uid="{00000000-0005-0000-0000-0000C8840000}"/>
    <cellStyle name="Normal 3 3 3 2 5 2 4" xfId="36560" xr:uid="{00000000-0005-0000-0000-0000C9840000}"/>
    <cellStyle name="Normal 3 3 3 2 5 3" xfId="12813" xr:uid="{00000000-0005-0000-0000-0000CA840000}"/>
    <cellStyle name="Normal 3 3 3 2 5 3 2" xfId="26381" xr:uid="{00000000-0005-0000-0000-0000CB840000}"/>
    <cellStyle name="Normal 3 3 3 2 5 3 2 2" xfId="53514" xr:uid="{00000000-0005-0000-0000-0000CC840000}"/>
    <cellStyle name="Normal 3 3 3 2 5 3 3" xfId="39952" xr:uid="{00000000-0005-0000-0000-0000CD840000}"/>
    <cellStyle name="Normal 3 3 3 2 5 4" xfId="19600" xr:uid="{00000000-0005-0000-0000-0000CE840000}"/>
    <cellStyle name="Normal 3 3 3 2 5 4 2" xfId="46733" xr:uid="{00000000-0005-0000-0000-0000CF840000}"/>
    <cellStyle name="Normal 3 3 3 2 5 5" xfId="33171" xr:uid="{00000000-0005-0000-0000-0000D0840000}"/>
    <cellStyle name="Normal 3 3 3 2 6" xfId="5870" xr:uid="{00000000-0005-0000-0000-0000D1840000}"/>
    <cellStyle name="Normal 3 3 3 2 6 2" xfId="9413" xr:uid="{00000000-0005-0000-0000-0000D2840000}"/>
    <cellStyle name="Normal 3 3 3 2 6 2 2" xfId="16203" xr:uid="{00000000-0005-0000-0000-0000D3840000}"/>
    <cellStyle name="Normal 3 3 3 2 6 2 2 2" xfId="29771" xr:uid="{00000000-0005-0000-0000-0000D4840000}"/>
    <cellStyle name="Normal 3 3 3 2 6 2 2 2 2" xfId="56904" xr:uid="{00000000-0005-0000-0000-0000D5840000}"/>
    <cellStyle name="Normal 3 3 3 2 6 2 2 3" xfId="43342" xr:uid="{00000000-0005-0000-0000-0000D6840000}"/>
    <cellStyle name="Normal 3 3 3 2 6 2 3" xfId="22990" xr:uid="{00000000-0005-0000-0000-0000D7840000}"/>
    <cellStyle name="Normal 3 3 3 2 6 2 3 2" xfId="50123" xr:uid="{00000000-0005-0000-0000-0000D8840000}"/>
    <cellStyle name="Normal 3 3 3 2 6 2 4" xfId="36561" xr:uid="{00000000-0005-0000-0000-0000D9840000}"/>
    <cellStyle name="Normal 3 3 3 2 6 3" xfId="12814" xr:uid="{00000000-0005-0000-0000-0000DA840000}"/>
    <cellStyle name="Normal 3 3 3 2 6 3 2" xfId="26382" xr:uid="{00000000-0005-0000-0000-0000DB840000}"/>
    <cellStyle name="Normal 3 3 3 2 6 3 2 2" xfId="53515" xr:uid="{00000000-0005-0000-0000-0000DC840000}"/>
    <cellStyle name="Normal 3 3 3 2 6 3 3" xfId="39953" xr:uid="{00000000-0005-0000-0000-0000DD840000}"/>
    <cellStyle name="Normal 3 3 3 2 6 4" xfId="19601" xr:uid="{00000000-0005-0000-0000-0000DE840000}"/>
    <cellStyle name="Normal 3 3 3 2 6 4 2" xfId="46734" xr:uid="{00000000-0005-0000-0000-0000DF840000}"/>
    <cellStyle name="Normal 3 3 3 2 6 5" xfId="33172" xr:uid="{00000000-0005-0000-0000-0000E0840000}"/>
    <cellStyle name="Normal 3 3 3 2 7" xfId="7508" xr:uid="{00000000-0005-0000-0000-0000E1840000}"/>
    <cellStyle name="Normal 3 3 3 2 7 2" xfId="14298" xr:uid="{00000000-0005-0000-0000-0000E2840000}"/>
    <cellStyle name="Normal 3 3 3 2 7 2 2" xfId="27866" xr:uid="{00000000-0005-0000-0000-0000E3840000}"/>
    <cellStyle name="Normal 3 3 3 2 7 2 2 2" xfId="54999" xr:uid="{00000000-0005-0000-0000-0000E4840000}"/>
    <cellStyle name="Normal 3 3 3 2 7 2 3" xfId="41437" xr:uid="{00000000-0005-0000-0000-0000E5840000}"/>
    <cellStyle name="Normal 3 3 3 2 7 3" xfId="21085" xr:uid="{00000000-0005-0000-0000-0000E6840000}"/>
    <cellStyle name="Normal 3 3 3 2 7 3 2" xfId="48218" xr:uid="{00000000-0005-0000-0000-0000E7840000}"/>
    <cellStyle name="Normal 3 3 3 2 7 4" xfId="34656" xr:uid="{00000000-0005-0000-0000-0000E8840000}"/>
    <cellStyle name="Normal 3 3 3 2 8" xfId="10909" xr:uid="{00000000-0005-0000-0000-0000E9840000}"/>
    <cellStyle name="Normal 3 3 3 2 8 2" xfId="24477" xr:uid="{00000000-0005-0000-0000-0000EA840000}"/>
    <cellStyle name="Normal 3 3 3 2 8 2 2" xfId="51610" xr:uid="{00000000-0005-0000-0000-0000EB840000}"/>
    <cellStyle name="Normal 3 3 3 2 8 3" xfId="38048" xr:uid="{00000000-0005-0000-0000-0000EC840000}"/>
    <cellStyle name="Normal 3 3 3 2 9" xfId="17696" xr:uid="{00000000-0005-0000-0000-0000ED840000}"/>
    <cellStyle name="Normal 3 3 3 2 9 2" xfId="44829" xr:uid="{00000000-0005-0000-0000-0000EE840000}"/>
    <cellStyle name="Normal 3 3 3 3" xfId="5871" xr:uid="{00000000-0005-0000-0000-0000EF840000}"/>
    <cellStyle name="Normal 3 3 3 3 2" xfId="5872" xr:uid="{00000000-0005-0000-0000-0000F0840000}"/>
    <cellStyle name="Normal 3 3 3 3 2 2" xfId="5873" xr:uid="{00000000-0005-0000-0000-0000F1840000}"/>
    <cellStyle name="Normal 3 3 3 3 2 2 2" xfId="9416" xr:uid="{00000000-0005-0000-0000-0000F2840000}"/>
    <cellStyle name="Normal 3 3 3 3 2 2 2 2" xfId="16206" xr:uid="{00000000-0005-0000-0000-0000F3840000}"/>
    <cellStyle name="Normal 3 3 3 3 2 2 2 2 2" xfId="29774" xr:uid="{00000000-0005-0000-0000-0000F4840000}"/>
    <cellStyle name="Normal 3 3 3 3 2 2 2 2 2 2" xfId="56907" xr:uid="{00000000-0005-0000-0000-0000F5840000}"/>
    <cellStyle name="Normal 3 3 3 3 2 2 2 2 3" xfId="43345" xr:uid="{00000000-0005-0000-0000-0000F6840000}"/>
    <cellStyle name="Normal 3 3 3 3 2 2 2 3" xfId="22993" xr:uid="{00000000-0005-0000-0000-0000F7840000}"/>
    <cellStyle name="Normal 3 3 3 3 2 2 2 3 2" xfId="50126" xr:uid="{00000000-0005-0000-0000-0000F8840000}"/>
    <cellStyle name="Normal 3 3 3 3 2 2 2 4" xfId="36564" xr:uid="{00000000-0005-0000-0000-0000F9840000}"/>
    <cellStyle name="Normal 3 3 3 3 2 2 3" xfId="12817" xr:uid="{00000000-0005-0000-0000-0000FA840000}"/>
    <cellStyle name="Normal 3 3 3 3 2 2 3 2" xfId="26385" xr:uid="{00000000-0005-0000-0000-0000FB840000}"/>
    <cellStyle name="Normal 3 3 3 3 2 2 3 2 2" xfId="53518" xr:uid="{00000000-0005-0000-0000-0000FC840000}"/>
    <cellStyle name="Normal 3 3 3 3 2 2 3 3" xfId="39956" xr:uid="{00000000-0005-0000-0000-0000FD840000}"/>
    <cellStyle name="Normal 3 3 3 3 2 2 4" xfId="19604" xr:uid="{00000000-0005-0000-0000-0000FE840000}"/>
    <cellStyle name="Normal 3 3 3 3 2 2 4 2" xfId="46737" xr:uid="{00000000-0005-0000-0000-0000FF840000}"/>
    <cellStyle name="Normal 3 3 3 3 2 2 5" xfId="33175" xr:uid="{00000000-0005-0000-0000-000000850000}"/>
    <cellStyle name="Normal 3 3 3 3 2 3" xfId="5874" xr:uid="{00000000-0005-0000-0000-000001850000}"/>
    <cellStyle name="Normal 3 3 3 3 2 3 2" xfId="9417" xr:uid="{00000000-0005-0000-0000-000002850000}"/>
    <cellStyle name="Normal 3 3 3 3 2 3 2 2" xfId="16207" xr:uid="{00000000-0005-0000-0000-000003850000}"/>
    <cellStyle name="Normal 3 3 3 3 2 3 2 2 2" xfId="29775" xr:uid="{00000000-0005-0000-0000-000004850000}"/>
    <cellStyle name="Normal 3 3 3 3 2 3 2 2 2 2" xfId="56908" xr:uid="{00000000-0005-0000-0000-000005850000}"/>
    <cellStyle name="Normal 3 3 3 3 2 3 2 2 3" xfId="43346" xr:uid="{00000000-0005-0000-0000-000006850000}"/>
    <cellStyle name="Normal 3 3 3 3 2 3 2 3" xfId="22994" xr:uid="{00000000-0005-0000-0000-000007850000}"/>
    <cellStyle name="Normal 3 3 3 3 2 3 2 3 2" xfId="50127" xr:uid="{00000000-0005-0000-0000-000008850000}"/>
    <cellStyle name="Normal 3 3 3 3 2 3 2 4" xfId="36565" xr:uid="{00000000-0005-0000-0000-000009850000}"/>
    <cellStyle name="Normal 3 3 3 3 2 3 3" xfId="12818" xr:uid="{00000000-0005-0000-0000-00000A850000}"/>
    <cellStyle name="Normal 3 3 3 3 2 3 3 2" xfId="26386" xr:uid="{00000000-0005-0000-0000-00000B850000}"/>
    <cellStyle name="Normal 3 3 3 3 2 3 3 2 2" xfId="53519" xr:uid="{00000000-0005-0000-0000-00000C850000}"/>
    <cellStyle name="Normal 3 3 3 3 2 3 3 3" xfId="39957" xr:uid="{00000000-0005-0000-0000-00000D850000}"/>
    <cellStyle name="Normal 3 3 3 3 2 3 4" xfId="19605" xr:uid="{00000000-0005-0000-0000-00000E850000}"/>
    <cellStyle name="Normal 3 3 3 3 2 3 4 2" xfId="46738" xr:uid="{00000000-0005-0000-0000-00000F850000}"/>
    <cellStyle name="Normal 3 3 3 3 2 3 5" xfId="33176" xr:uid="{00000000-0005-0000-0000-000010850000}"/>
    <cellStyle name="Normal 3 3 3 3 2 4" xfId="9415" xr:uid="{00000000-0005-0000-0000-000011850000}"/>
    <cellStyle name="Normal 3 3 3 3 2 4 2" xfId="16205" xr:uid="{00000000-0005-0000-0000-000012850000}"/>
    <cellStyle name="Normal 3 3 3 3 2 4 2 2" xfId="29773" xr:uid="{00000000-0005-0000-0000-000013850000}"/>
    <cellStyle name="Normal 3 3 3 3 2 4 2 2 2" xfId="56906" xr:uid="{00000000-0005-0000-0000-000014850000}"/>
    <cellStyle name="Normal 3 3 3 3 2 4 2 3" xfId="43344" xr:uid="{00000000-0005-0000-0000-000015850000}"/>
    <cellStyle name="Normal 3 3 3 3 2 4 3" xfId="22992" xr:uid="{00000000-0005-0000-0000-000016850000}"/>
    <cellStyle name="Normal 3 3 3 3 2 4 3 2" xfId="50125" xr:uid="{00000000-0005-0000-0000-000017850000}"/>
    <cellStyle name="Normal 3 3 3 3 2 4 4" xfId="36563" xr:uid="{00000000-0005-0000-0000-000018850000}"/>
    <cellStyle name="Normal 3 3 3 3 2 5" xfId="12816" xr:uid="{00000000-0005-0000-0000-000019850000}"/>
    <cellStyle name="Normal 3 3 3 3 2 5 2" xfId="26384" xr:uid="{00000000-0005-0000-0000-00001A850000}"/>
    <cellStyle name="Normal 3 3 3 3 2 5 2 2" xfId="53517" xr:uid="{00000000-0005-0000-0000-00001B850000}"/>
    <cellStyle name="Normal 3 3 3 3 2 5 3" xfId="39955" xr:uid="{00000000-0005-0000-0000-00001C850000}"/>
    <cellStyle name="Normal 3 3 3 3 2 6" xfId="19603" xr:uid="{00000000-0005-0000-0000-00001D850000}"/>
    <cellStyle name="Normal 3 3 3 3 2 6 2" xfId="46736" xr:uid="{00000000-0005-0000-0000-00001E850000}"/>
    <cellStyle name="Normal 3 3 3 3 2 7" xfId="33174" xr:uid="{00000000-0005-0000-0000-00001F850000}"/>
    <cellStyle name="Normal 3 3 3 3 3" xfId="5875" xr:uid="{00000000-0005-0000-0000-000020850000}"/>
    <cellStyle name="Normal 3 3 3 3 3 2" xfId="5876" xr:uid="{00000000-0005-0000-0000-000021850000}"/>
    <cellStyle name="Normal 3 3 3 3 3 2 2" xfId="9419" xr:uid="{00000000-0005-0000-0000-000022850000}"/>
    <cellStyle name="Normal 3 3 3 3 3 2 2 2" xfId="16209" xr:uid="{00000000-0005-0000-0000-000023850000}"/>
    <cellStyle name="Normal 3 3 3 3 3 2 2 2 2" xfId="29777" xr:uid="{00000000-0005-0000-0000-000024850000}"/>
    <cellStyle name="Normal 3 3 3 3 3 2 2 2 2 2" xfId="56910" xr:uid="{00000000-0005-0000-0000-000025850000}"/>
    <cellStyle name="Normal 3 3 3 3 3 2 2 2 3" xfId="43348" xr:uid="{00000000-0005-0000-0000-000026850000}"/>
    <cellStyle name="Normal 3 3 3 3 3 2 2 3" xfId="22996" xr:uid="{00000000-0005-0000-0000-000027850000}"/>
    <cellStyle name="Normal 3 3 3 3 3 2 2 3 2" xfId="50129" xr:uid="{00000000-0005-0000-0000-000028850000}"/>
    <cellStyle name="Normal 3 3 3 3 3 2 2 4" xfId="36567" xr:uid="{00000000-0005-0000-0000-000029850000}"/>
    <cellStyle name="Normal 3 3 3 3 3 2 3" xfId="12820" xr:uid="{00000000-0005-0000-0000-00002A850000}"/>
    <cellStyle name="Normal 3 3 3 3 3 2 3 2" xfId="26388" xr:uid="{00000000-0005-0000-0000-00002B850000}"/>
    <cellStyle name="Normal 3 3 3 3 3 2 3 2 2" xfId="53521" xr:uid="{00000000-0005-0000-0000-00002C850000}"/>
    <cellStyle name="Normal 3 3 3 3 3 2 3 3" xfId="39959" xr:uid="{00000000-0005-0000-0000-00002D850000}"/>
    <cellStyle name="Normal 3 3 3 3 3 2 4" xfId="19607" xr:uid="{00000000-0005-0000-0000-00002E850000}"/>
    <cellStyle name="Normal 3 3 3 3 3 2 4 2" xfId="46740" xr:uid="{00000000-0005-0000-0000-00002F850000}"/>
    <cellStyle name="Normal 3 3 3 3 3 2 5" xfId="33178" xr:uid="{00000000-0005-0000-0000-000030850000}"/>
    <cellStyle name="Normal 3 3 3 3 3 3" xfId="9418" xr:uid="{00000000-0005-0000-0000-000031850000}"/>
    <cellStyle name="Normal 3 3 3 3 3 3 2" xfId="16208" xr:uid="{00000000-0005-0000-0000-000032850000}"/>
    <cellStyle name="Normal 3 3 3 3 3 3 2 2" xfId="29776" xr:uid="{00000000-0005-0000-0000-000033850000}"/>
    <cellStyle name="Normal 3 3 3 3 3 3 2 2 2" xfId="56909" xr:uid="{00000000-0005-0000-0000-000034850000}"/>
    <cellStyle name="Normal 3 3 3 3 3 3 2 3" xfId="43347" xr:uid="{00000000-0005-0000-0000-000035850000}"/>
    <cellStyle name="Normal 3 3 3 3 3 3 3" xfId="22995" xr:uid="{00000000-0005-0000-0000-000036850000}"/>
    <cellStyle name="Normal 3 3 3 3 3 3 3 2" xfId="50128" xr:uid="{00000000-0005-0000-0000-000037850000}"/>
    <cellStyle name="Normal 3 3 3 3 3 3 4" xfId="36566" xr:uid="{00000000-0005-0000-0000-000038850000}"/>
    <cellStyle name="Normal 3 3 3 3 3 4" xfId="12819" xr:uid="{00000000-0005-0000-0000-000039850000}"/>
    <cellStyle name="Normal 3 3 3 3 3 4 2" xfId="26387" xr:uid="{00000000-0005-0000-0000-00003A850000}"/>
    <cellStyle name="Normal 3 3 3 3 3 4 2 2" xfId="53520" xr:uid="{00000000-0005-0000-0000-00003B850000}"/>
    <cellStyle name="Normal 3 3 3 3 3 4 3" xfId="39958" xr:uid="{00000000-0005-0000-0000-00003C850000}"/>
    <cellStyle name="Normal 3 3 3 3 3 5" xfId="19606" xr:uid="{00000000-0005-0000-0000-00003D850000}"/>
    <cellStyle name="Normal 3 3 3 3 3 5 2" xfId="46739" xr:uid="{00000000-0005-0000-0000-00003E850000}"/>
    <cellStyle name="Normal 3 3 3 3 3 6" xfId="33177" xr:uid="{00000000-0005-0000-0000-00003F850000}"/>
    <cellStyle name="Normal 3 3 3 3 4" xfId="5877" xr:uid="{00000000-0005-0000-0000-000040850000}"/>
    <cellStyle name="Normal 3 3 3 3 4 2" xfId="9420" xr:uid="{00000000-0005-0000-0000-000041850000}"/>
    <cellStyle name="Normal 3 3 3 3 4 2 2" xfId="16210" xr:uid="{00000000-0005-0000-0000-000042850000}"/>
    <cellStyle name="Normal 3 3 3 3 4 2 2 2" xfId="29778" xr:uid="{00000000-0005-0000-0000-000043850000}"/>
    <cellStyle name="Normal 3 3 3 3 4 2 2 2 2" xfId="56911" xr:uid="{00000000-0005-0000-0000-000044850000}"/>
    <cellStyle name="Normal 3 3 3 3 4 2 2 3" xfId="43349" xr:uid="{00000000-0005-0000-0000-000045850000}"/>
    <cellStyle name="Normal 3 3 3 3 4 2 3" xfId="22997" xr:uid="{00000000-0005-0000-0000-000046850000}"/>
    <cellStyle name="Normal 3 3 3 3 4 2 3 2" xfId="50130" xr:uid="{00000000-0005-0000-0000-000047850000}"/>
    <cellStyle name="Normal 3 3 3 3 4 2 4" xfId="36568" xr:uid="{00000000-0005-0000-0000-000048850000}"/>
    <cellStyle name="Normal 3 3 3 3 4 3" xfId="12821" xr:uid="{00000000-0005-0000-0000-000049850000}"/>
    <cellStyle name="Normal 3 3 3 3 4 3 2" xfId="26389" xr:uid="{00000000-0005-0000-0000-00004A850000}"/>
    <cellStyle name="Normal 3 3 3 3 4 3 2 2" xfId="53522" xr:uid="{00000000-0005-0000-0000-00004B850000}"/>
    <cellStyle name="Normal 3 3 3 3 4 3 3" xfId="39960" xr:uid="{00000000-0005-0000-0000-00004C850000}"/>
    <cellStyle name="Normal 3 3 3 3 4 4" xfId="19608" xr:uid="{00000000-0005-0000-0000-00004D850000}"/>
    <cellStyle name="Normal 3 3 3 3 4 4 2" xfId="46741" xr:uid="{00000000-0005-0000-0000-00004E850000}"/>
    <cellStyle name="Normal 3 3 3 3 4 5" xfId="33179" xr:uid="{00000000-0005-0000-0000-00004F850000}"/>
    <cellStyle name="Normal 3 3 3 3 5" xfId="5878" xr:uid="{00000000-0005-0000-0000-000050850000}"/>
    <cellStyle name="Normal 3 3 3 3 5 2" xfId="9421" xr:uid="{00000000-0005-0000-0000-000051850000}"/>
    <cellStyle name="Normal 3 3 3 3 5 2 2" xfId="16211" xr:uid="{00000000-0005-0000-0000-000052850000}"/>
    <cellStyle name="Normal 3 3 3 3 5 2 2 2" xfId="29779" xr:uid="{00000000-0005-0000-0000-000053850000}"/>
    <cellStyle name="Normal 3 3 3 3 5 2 2 2 2" xfId="56912" xr:uid="{00000000-0005-0000-0000-000054850000}"/>
    <cellStyle name="Normal 3 3 3 3 5 2 2 3" xfId="43350" xr:uid="{00000000-0005-0000-0000-000055850000}"/>
    <cellStyle name="Normal 3 3 3 3 5 2 3" xfId="22998" xr:uid="{00000000-0005-0000-0000-000056850000}"/>
    <cellStyle name="Normal 3 3 3 3 5 2 3 2" xfId="50131" xr:uid="{00000000-0005-0000-0000-000057850000}"/>
    <cellStyle name="Normal 3 3 3 3 5 2 4" xfId="36569" xr:uid="{00000000-0005-0000-0000-000058850000}"/>
    <cellStyle name="Normal 3 3 3 3 5 3" xfId="12822" xr:uid="{00000000-0005-0000-0000-000059850000}"/>
    <cellStyle name="Normal 3 3 3 3 5 3 2" xfId="26390" xr:uid="{00000000-0005-0000-0000-00005A850000}"/>
    <cellStyle name="Normal 3 3 3 3 5 3 2 2" xfId="53523" xr:uid="{00000000-0005-0000-0000-00005B850000}"/>
    <cellStyle name="Normal 3 3 3 3 5 3 3" xfId="39961" xr:uid="{00000000-0005-0000-0000-00005C850000}"/>
    <cellStyle name="Normal 3 3 3 3 5 4" xfId="19609" xr:uid="{00000000-0005-0000-0000-00005D850000}"/>
    <cellStyle name="Normal 3 3 3 3 5 4 2" xfId="46742" xr:uid="{00000000-0005-0000-0000-00005E850000}"/>
    <cellStyle name="Normal 3 3 3 3 5 5" xfId="33180" xr:uid="{00000000-0005-0000-0000-00005F850000}"/>
    <cellStyle name="Normal 3 3 3 3 6" xfId="9414" xr:uid="{00000000-0005-0000-0000-000060850000}"/>
    <cellStyle name="Normal 3 3 3 3 6 2" xfId="16204" xr:uid="{00000000-0005-0000-0000-000061850000}"/>
    <cellStyle name="Normal 3 3 3 3 6 2 2" xfId="29772" xr:uid="{00000000-0005-0000-0000-000062850000}"/>
    <cellStyle name="Normal 3 3 3 3 6 2 2 2" xfId="56905" xr:uid="{00000000-0005-0000-0000-000063850000}"/>
    <cellStyle name="Normal 3 3 3 3 6 2 3" xfId="43343" xr:uid="{00000000-0005-0000-0000-000064850000}"/>
    <cellStyle name="Normal 3 3 3 3 6 3" xfId="22991" xr:uid="{00000000-0005-0000-0000-000065850000}"/>
    <cellStyle name="Normal 3 3 3 3 6 3 2" xfId="50124" xr:uid="{00000000-0005-0000-0000-000066850000}"/>
    <cellStyle name="Normal 3 3 3 3 6 4" xfId="36562" xr:uid="{00000000-0005-0000-0000-000067850000}"/>
    <cellStyle name="Normal 3 3 3 3 7" xfId="12815" xr:uid="{00000000-0005-0000-0000-000068850000}"/>
    <cellStyle name="Normal 3 3 3 3 7 2" xfId="26383" xr:uid="{00000000-0005-0000-0000-000069850000}"/>
    <cellStyle name="Normal 3 3 3 3 7 2 2" xfId="53516" xr:uid="{00000000-0005-0000-0000-00006A850000}"/>
    <cellStyle name="Normal 3 3 3 3 7 3" xfId="39954" xr:uid="{00000000-0005-0000-0000-00006B850000}"/>
    <cellStyle name="Normal 3 3 3 3 8" xfId="19602" xr:uid="{00000000-0005-0000-0000-00006C850000}"/>
    <cellStyle name="Normal 3 3 3 3 8 2" xfId="46735" xr:uid="{00000000-0005-0000-0000-00006D850000}"/>
    <cellStyle name="Normal 3 3 3 3 9" xfId="33173" xr:uid="{00000000-0005-0000-0000-00006E850000}"/>
    <cellStyle name="Normal 3 3 3 4" xfId="5879" xr:uid="{00000000-0005-0000-0000-00006F850000}"/>
    <cellStyle name="Normal 3 3 3 4 2" xfId="5880" xr:uid="{00000000-0005-0000-0000-000070850000}"/>
    <cellStyle name="Normal 3 3 3 4 2 2" xfId="5881" xr:uid="{00000000-0005-0000-0000-000071850000}"/>
    <cellStyle name="Normal 3 3 3 4 2 2 2" xfId="9424" xr:uid="{00000000-0005-0000-0000-000072850000}"/>
    <cellStyle name="Normal 3 3 3 4 2 2 2 2" xfId="16214" xr:uid="{00000000-0005-0000-0000-000073850000}"/>
    <cellStyle name="Normal 3 3 3 4 2 2 2 2 2" xfId="29782" xr:uid="{00000000-0005-0000-0000-000074850000}"/>
    <cellStyle name="Normal 3 3 3 4 2 2 2 2 2 2" xfId="56915" xr:uid="{00000000-0005-0000-0000-000075850000}"/>
    <cellStyle name="Normal 3 3 3 4 2 2 2 2 3" xfId="43353" xr:uid="{00000000-0005-0000-0000-000076850000}"/>
    <cellStyle name="Normal 3 3 3 4 2 2 2 3" xfId="23001" xr:uid="{00000000-0005-0000-0000-000077850000}"/>
    <cellStyle name="Normal 3 3 3 4 2 2 2 3 2" xfId="50134" xr:uid="{00000000-0005-0000-0000-000078850000}"/>
    <cellStyle name="Normal 3 3 3 4 2 2 2 4" xfId="36572" xr:uid="{00000000-0005-0000-0000-000079850000}"/>
    <cellStyle name="Normal 3 3 3 4 2 2 3" xfId="12825" xr:uid="{00000000-0005-0000-0000-00007A850000}"/>
    <cellStyle name="Normal 3 3 3 4 2 2 3 2" xfId="26393" xr:uid="{00000000-0005-0000-0000-00007B850000}"/>
    <cellStyle name="Normal 3 3 3 4 2 2 3 2 2" xfId="53526" xr:uid="{00000000-0005-0000-0000-00007C850000}"/>
    <cellStyle name="Normal 3 3 3 4 2 2 3 3" xfId="39964" xr:uid="{00000000-0005-0000-0000-00007D850000}"/>
    <cellStyle name="Normal 3 3 3 4 2 2 4" xfId="19612" xr:uid="{00000000-0005-0000-0000-00007E850000}"/>
    <cellStyle name="Normal 3 3 3 4 2 2 4 2" xfId="46745" xr:uid="{00000000-0005-0000-0000-00007F850000}"/>
    <cellStyle name="Normal 3 3 3 4 2 2 5" xfId="33183" xr:uid="{00000000-0005-0000-0000-000080850000}"/>
    <cellStyle name="Normal 3 3 3 4 2 3" xfId="5882" xr:uid="{00000000-0005-0000-0000-000081850000}"/>
    <cellStyle name="Normal 3 3 3 4 2 3 2" xfId="9425" xr:uid="{00000000-0005-0000-0000-000082850000}"/>
    <cellStyle name="Normal 3 3 3 4 2 3 2 2" xfId="16215" xr:uid="{00000000-0005-0000-0000-000083850000}"/>
    <cellStyle name="Normal 3 3 3 4 2 3 2 2 2" xfId="29783" xr:uid="{00000000-0005-0000-0000-000084850000}"/>
    <cellStyle name="Normal 3 3 3 4 2 3 2 2 2 2" xfId="56916" xr:uid="{00000000-0005-0000-0000-000085850000}"/>
    <cellStyle name="Normal 3 3 3 4 2 3 2 2 3" xfId="43354" xr:uid="{00000000-0005-0000-0000-000086850000}"/>
    <cellStyle name="Normal 3 3 3 4 2 3 2 3" xfId="23002" xr:uid="{00000000-0005-0000-0000-000087850000}"/>
    <cellStyle name="Normal 3 3 3 4 2 3 2 3 2" xfId="50135" xr:uid="{00000000-0005-0000-0000-000088850000}"/>
    <cellStyle name="Normal 3 3 3 4 2 3 2 4" xfId="36573" xr:uid="{00000000-0005-0000-0000-000089850000}"/>
    <cellStyle name="Normal 3 3 3 4 2 3 3" xfId="12826" xr:uid="{00000000-0005-0000-0000-00008A850000}"/>
    <cellStyle name="Normal 3 3 3 4 2 3 3 2" xfId="26394" xr:uid="{00000000-0005-0000-0000-00008B850000}"/>
    <cellStyle name="Normal 3 3 3 4 2 3 3 2 2" xfId="53527" xr:uid="{00000000-0005-0000-0000-00008C850000}"/>
    <cellStyle name="Normal 3 3 3 4 2 3 3 3" xfId="39965" xr:uid="{00000000-0005-0000-0000-00008D850000}"/>
    <cellStyle name="Normal 3 3 3 4 2 3 4" xfId="19613" xr:uid="{00000000-0005-0000-0000-00008E850000}"/>
    <cellStyle name="Normal 3 3 3 4 2 3 4 2" xfId="46746" xr:uid="{00000000-0005-0000-0000-00008F850000}"/>
    <cellStyle name="Normal 3 3 3 4 2 3 5" xfId="33184" xr:uid="{00000000-0005-0000-0000-000090850000}"/>
    <cellStyle name="Normal 3 3 3 4 2 4" xfId="9423" xr:uid="{00000000-0005-0000-0000-000091850000}"/>
    <cellStyle name="Normal 3 3 3 4 2 4 2" xfId="16213" xr:uid="{00000000-0005-0000-0000-000092850000}"/>
    <cellStyle name="Normal 3 3 3 4 2 4 2 2" xfId="29781" xr:uid="{00000000-0005-0000-0000-000093850000}"/>
    <cellStyle name="Normal 3 3 3 4 2 4 2 2 2" xfId="56914" xr:uid="{00000000-0005-0000-0000-000094850000}"/>
    <cellStyle name="Normal 3 3 3 4 2 4 2 3" xfId="43352" xr:uid="{00000000-0005-0000-0000-000095850000}"/>
    <cellStyle name="Normal 3 3 3 4 2 4 3" xfId="23000" xr:uid="{00000000-0005-0000-0000-000096850000}"/>
    <cellStyle name="Normal 3 3 3 4 2 4 3 2" xfId="50133" xr:uid="{00000000-0005-0000-0000-000097850000}"/>
    <cellStyle name="Normal 3 3 3 4 2 4 4" xfId="36571" xr:uid="{00000000-0005-0000-0000-000098850000}"/>
    <cellStyle name="Normal 3 3 3 4 2 5" xfId="12824" xr:uid="{00000000-0005-0000-0000-000099850000}"/>
    <cellStyle name="Normal 3 3 3 4 2 5 2" xfId="26392" xr:uid="{00000000-0005-0000-0000-00009A850000}"/>
    <cellStyle name="Normal 3 3 3 4 2 5 2 2" xfId="53525" xr:uid="{00000000-0005-0000-0000-00009B850000}"/>
    <cellStyle name="Normal 3 3 3 4 2 5 3" xfId="39963" xr:uid="{00000000-0005-0000-0000-00009C850000}"/>
    <cellStyle name="Normal 3 3 3 4 2 6" xfId="19611" xr:uid="{00000000-0005-0000-0000-00009D850000}"/>
    <cellStyle name="Normal 3 3 3 4 2 6 2" xfId="46744" xr:uid="{00000000-0005-0000-0000-00009E850000}"/>
    <cellStyle name="Normal 3 3 3 4 2 7" xfId="33182" xr:uid="{00000000-0005-0000-0000-00009F850000}"/>
    <cellStyle name="Normal 3 3 3 4 3" xfId="5883" xr:uid="{00000000-0005-0000-0000-0000A0850000}"/>
    <cellStyle name="Normal 3 3 3 4 3 2" xfId="9426" xr:uid="{00000000-0005-0000-0000-0000A1850000}"/>
    <cellStyle name="Normal 3 3 3 4 3 2 2" xfId="16216" xr:uid="{00000000-0005-0000-0000-0000A2850000}"/>
    <cellStyle name="Normal 3 3 3 4 3 2 2 2" xfId="29784" xr:uid="{00000000-0005-0000-0000-0000A3850000}"/>
    <cellStyle name="Normal 3 3 3 4 3 2 2 2 2" xfId="56917" xr:uid="{00000000-0005-0000-0000-0000A4850000}"/>
    <cellStyle name="Normal 3 3 3 4 3 2 2 3" xfId="43355" xr:uid="{00000000-0005-0000-0000-0000A5850000}"/>
    <cellStyle name="Normal 3 3 3 4 3 2 3" xfId="23003" xr:uid="{00000000-0005-0000-0000-0000A6850000}"/>
    <cellStyle name="Normal 3 3 3 4 3 2 3 2" xfId="50136" xr:uid="{00000000-0005-0000-0000-0000A7850000}"/>
    <cellStyle name="Normal 3 3 3 4 3 2 4" xfId="36574" xr:uid="{00000000-0005-0000-0000-0000A8850000}"/>
    <cellStyle name="Normal 3 3 3 4 3 3" xfId="12827" xr:uid="{00000000-0005-0000-0000-0000A9850000}"/>
    <cellStyle name="Normal 3 3 3 4 3 3 2" xfId="26395" xr:uid="{00000000-0005-0000-0000-0000AA850000}"/>
    <cellStyle name="Normal 3 3 3 4 3 3 2 2" xfId="53528" xr:uid="{00000000-0005-0000-0000-0000AB850000}"/>
    <cellStyle name="Normal 3 3 3 4 3 3 3" xfId="39966" xr:uid="{00000000-0005-0000-0000-0000AC850000}"/>
    <cellStyle name="Normal 3 3 3 4 3 4" xfId="19614" xr:uid="{00000000-0005-0000-0000-0000AD850000}"/>
    <cellStyle name="Normal 3 3 3 4 3 4 2" xfId="46747" xr:uid="{00000000-0005-0000-0000-0000AE850000}"/>
    <cellStyle name="Normal 3 3 3 4 3 5" xfId="33185" xr:uid="{00000000-0005-0000-0000-0000AF850000}"/>
    <cellStyle name="Normal 3 3 3 4 4" xfId="5884" xr:uid="{00000000-0005-0000-0000-0000B0850000}"/>
    <cellStyle name="Normal 3 3 3 4 4 2" xfId="9427" xr:uid="{00000000-0005-0000-0000-0000B1850000}"/>
    <cellStyle name="Normal 3 3 3 4 4 2 2" xfId="16217" xr:uid="{00000000-0005-0000-0000-0000B2850000}"/>
    <cellStyle name="Normal 3 3 3 4 4 2 2 2" xfId="29785" xr:uid="{00000000-0005-0000-0000-0000B3850000}"/>
    <cellStyle name="Normal 3 3 3 4 4 2 2 2 2" xfId="56918" xr:uid="{00000000-0005-0000-0000-0000B4850000}"/>
    <cellStyle name="Normal 3 3 3 4 4 2 2 3" xfId="43356" xr:uid="{00000000-0005-0000-0000-0000B5850000}"/>
    <cellStyle name="Normal 3 3 3 4 4 2 3" xfId="23004" xr:uid="{00000000-0005-0000-0000-0000B6850000}"/>
    <cellStyle name="Normal 3 3 3 4 4 2 3 2" xfId="50137" xr:uid="{00000000-0005-0000-0000-0000B7850000}"/>
    <cellStyle name="Normal 3 3 3 4 4 2 4" xfId="36575" xr:uid="{00000000-0005-0000-0000-0000B8850000}"/>
    <cellStyle name="Normal 3 3 3 4 4 3" xfId="12828" xr:uid="{00000000-0005-0000-0000-0000B9850000}"/>
    <cellStyle name="Normal 3 3 3 4 4 3 2" xfId="26396" xr:uid="{00000000-0005-0000-0000-0000BA850000}"/>
    <cellStyle name="Normal 3 3 3 4 4 3 2 2" xfId="53529" xr:uid="{00000000-0005-0000-0000-0000BB850000}"/>
    <cellStyle name="Normal 3 3 3 4 4 3 3" xfId="39967" xr:uid="{00000000-0005-0000-0000-0000BC850000}"/>
    <cellStyle name="Normal 3 3 3 4 4 4" xfId="19615" xr:uid="{00000000-0005-0000-0000-0000BD850000}"/>
    <cellStyle name="Normal 3 3 3 4 4 4 2" xfId="46748" xr:uid="{00000000-0005-0000-0000-0000BE850000}"/>
    <cellStyle name="Normal 3 3 3 4 4 5" xfId="33186" xr:uid="{00000000-0005-0000-0000-0000BF850000}"/>
    <cellStyle name="Normal 3 3 3 4 5" xfId="9422" xr:uid="{00000000-0005-0000-0000-0000C0850000}"/>
    <cellStyle name="Normal 3 3 3 4 5 2" xfId="16212" xr:uid="{00000000-0005-0000-0000-0000C1850000}"/>
    <cellStyle name="Normal 3 3 3 4 5 2 2" xfId="29780" xr:uid="{00000000-0005-0000-0000-0000C2850000}"/>
    <cellStyle name="Normal 3 3 3 4 5 2 2 2" xfId="56913" xr:uid="{00000000-0005-0000-0000-0000C3850000}"/>
    <cellStyle name="Normal 3 3 3 4 5 2 3" xfId="43351" xr:uid="{00000000-0005-0000-0000-0000C4850000}"/>
    <cellStyle name="Normal 3 3 3 4 5 3" xfId="22999" xr:uid="{00000000-0005-0000-0000-0000C5850000}"/>
    <cellStyle name="Normal 3 3 3 4 5 3 2" xfId="50132" xr:uid="{00000000-0005-0000-0000-0000C6850000}"/>
    <cellStyle name="Normal 3 3 3 4 5 4" xfId="36570" xr:uid="{00000000-0005-0000-0000-0000C7850000}"/>
    <cellStyle name="Normal 3 3 3 4 6" xfId="12823" xr:uid="{00000000-0005-0000-0000-0000C8850000}"/>
    <cellStyle name="Normal 3 3 3 4 6 2" xfId="26391" xr:uid="{00000000-0005-0000-0000-0000C9850000}"/>
    <cellStyle name="Normal 3 3 3 4 6 2 2" xfId="53524" xr:uid="{00000000-0005-0000-0000-0000CA850000}"/>
    <cellStyle name="Normal 3 3 3 4 6 3" xfId="39962" xr:uid="{00000000-0005-0000-0000-0000CB850000}"/>
    <cellStyle name="Normal 3 3 3 4 7" xfId="19610" xr:uid="{00000000-0005-0000-0000-0000CC850000}"/>
    <cellStyle name="Normal 3 3 3 4 7 2" xfId="46743" xr:uid="{00000000-0005-0000-0000-0000CD850000}"/>
    <cellStyle name="Normal 3 3 3 4 8" xfId="33181" xr:uid="{00000000-0005-0000-0000-0000CE850000}"/>
    <cellStyle name="Normal 3 3 3 5" xfId="5885" xr:uid="{00000000-0005-0000-0000-0000CF850000}"/>
    <cellStyle name="Normal 3 3 3 5 2" xfId="5886" xr:uid="{00000000-0005-0000-0000-0000D0850000}"/>
    <cellStyle name="Normal 3 3 3 5 2 2" xfId="5887" xr:uid="{00000000-0005-0000-0000-0000D1850000}"/>
    <cellStyle name="Normal 3 3 3 5 2 2 2" xfId="9430" xr:uid="{00000000-0005-0000-0000-0000D2850000}"/>
    <cellStyle name="Normal 3 3 3 5 2 2 2 2" xfId="16220" xr:uid="{00000000-0005-0000-0000-0000D3850000}"/>
    <cellStyle name="Normal 3 3 3 5 2 2 2 2 2" xfId="29788" xr:uid="{00000000-0005-0000-0000-0000D4850000}"/>
    <cellStyle name="Normal 3 3 3 5 2 2 2 2 2 2" xfId="56921" xr:uid="{00000000-0005-0000-0000-0000D5850000}"/>
    <cellStyle name="Normal 3 3 3 5 2 2 2 2 3" xfId="43359" xr:uid="{00000000-0005-0000-0000-0000D6850000}"/>
    <cellStyle name="Normal 3 3 3 5 2 2 2 3" xfId="23007" xr:uid="{00000000-0005-0000-0000-0000D7850000}"/>
    <cellStyle name="Normal 3 3 3 5 2 2 2 3 2" xfId="50140" xr:uid="{00000000-0005-0000-0000-0000D8850000}"/>
    <cellStyle name="Normal 3 3 3 5 2 2 2 4" xfId="36578" xr:uid="{00000000-0005-0000-0000-0000D9850000}"/>
    <cellStyle name="Normal 3 3 3 5 2 2 3" xfId="12831" xr:uid="{00000000-0005-0000-0000-0000DA850000}"/>
    <cellStyle name="Normal 3 3 3 5 2 2 3 2" xfId="26399" xr:uid="{00000000-0005-0000-0000-0000DB850000}"/>
    <cellStyle name="Normal 3 3 3 5 2 2 3 2 2" xfId="53532" xr:uid="{00000000-0005-0000-0000-0000DC850000}"/>
    <cellStyle name="Normal 3 3 3 5 2 2 3 3" xfId="39970" xr:uid="{00000000-0005-0000-0000-0000DD850000}"/>
    <cellStyle name="Normal 3 3 3 5 2 2 4" xfId="19618" xr:uid="{00000000-0005-0000-0000-0000DE850000}"/>
    <cellStyle name="Normal 3 3 3 5 2 2 4 2" xfId="46751" xr:uid="{00000000-0005-0000-0000-0000DF850000}"/>
    <cellStyle name="Normal 3 3 3 5 2 2 5" xfId="33189" xr:uid="{00000000-0005-0000-0000-0000E0850000}"/>
    <cellStyle name="Normal 3 3 3 5 2 3" xfId="5888" xr:uid="{00000000-0005-0000-0000-0000E1850000}"/>
    <cellStyle name="Normal 3 3 3 5 2 3 2" xfId="9431" xr:uid="{00000000-0005-0000-0000-0000E2850000}"/>
    <cellStyle name="Normal 3 3 3 5 2 3 2 2" xfId="16221" xr:uid="{00000000-0005-0000-0000-0000E3850000}"/>
    <cellStyle name="Normal 3 3 3 5 2 3 2 2 2" xfId="29789" xr:uid="{00000000-0005-0000-0000-0000E4850000}"/>
    <cellStyle name="Normal 3 3 3 5 2 3 2 2 2 2" xfId="56922" xr:uid="{00000000-0005-0000-0000-0000E5850000}"/>
    <cellStyle name="Normal 3 3 3 5 2 3 2 2 3" xfId="43360" xr:uid="{00000000-0005-0000-0000-0000E6850000}"/>
    <cellStyle name="Normal 3 3 3 5 2 3 2 3" xfId="23008" xr:uid="{00000000-0005-0000-0000-0000E7850000}"/>
    <cellStyle name="Normal 3 3 3 5 2 3 2 3 2" xfId="50141" xr:uid="{00000000-0005-0000-0000-0000E8850000}"/>
    <cellStyle name="Normal 3 3 3 5 2 3 2 4" xfId="36579" xr:uid="{00000000-0005-0000-0000-0000E9850000}"/>
    <cellStyle name="Normal 3 3 3 5 2 3 3" xfId="12832" xr:uid="{00000000-0005-0000-0000-0000EA850000}"/>
    <cellStyle name="Normal 3 3 3 5 2 3 3 2" xfId="26400" xr:uid="{00000000-0005-0000-0000-0000EB850000}"/>
    <cellStyle name="Normal 3 3 3 5 2 3 3 2 2" xfId="53533" xr:uid="{00000000-0005-0000-0000-0000EC850000}"/>
    <cellStyle name="Normal 3 3 3 5 2 3 3 3" xfId="39971" xr:uid="{00000000-0005-0000-0000-0000ED850000}"/>
    <cellStyle name="Normal 3 3 3 5 2 3 4" xfId="19619" xr:uid="{00000000-0005-0000-0000-0000EE850000}"/>
    <cellStyle name="Normal 3 3 3 5 2 3 4 2" xfId="46752" xr:uid="{00000000-0005-0000-0000-0000EF850000}"/>
    <cellStyle name="Normal 3 3 3 5 2 3 5" xfId="33190" xr:uid="{00000000-0005-0000-0000-0000F0850000}"/>
    <cellStyle name="Normal 3 3 3 5 2 4" xfId="9429" xr:uid="{00000000-0005-0000-0000-0000F1850000}"/>
    <cellStyle name="Normal 3 3 3 5 2 4 2" xfId="16219" xr:uid="{00000000-0005-0000-0000-0000F2850000}"/>
    <cellStyle name="Normal 3 3 3 5 2 4 2 2" xfId="29787" xr:uid="{00000000-0005-0000-0000-0000F3850000}"/>
    <cellStyle name="Normal 3 3 3 5 2 4 2 2 2" xfId="56920" xr:uid="{00000000-0005-0000-0000-0000F4850000}"/>
    <cellStyle name="Normal 3 3 3 5 2 4 2 3" xfId="43358" xr:uid="{00000000-0005-0000-0000-0000F5850000}"/>
    <cellStyle name="Normal 3 3 3 5 2 4 3" xfId="23006" xr:uid="{00000000-0005-0000-0000-0000F6850000}"/>
    <cellStyle name="Normal 3 3 3 5 2 4 3 2" xfId="50139" xr:uid="{00000000-0005-0000-0000-0000F7850000}"/>
    <cellStyle name="Normal 3 3 3 5 2 4 4" xfId="36577" xr:uid="{00000000-0005-0000-0000-0000F8850000}"/>
    <cellStyle name="Normal 3 3 3 5 2 5" xfId="12830" xr:uid="{00000000-0005-0000-0000-0000F9850000}"/>
    <cellStyle name="Normal 3 3 3 5 2 5 2" xfId="26398" xr:uid="{00000000-0005-0000-0000-0000FA850000}"/>
    <cellStyle name="Normal 3 3 3 5 2 5 2 2" xfId="53531" xr:uid="{00000000-0005-0000-0000-0000FB850000}"/>
    <cellStyle name="Normal 3 3 3 5 2 5 3" xfId="39969" xr:uid="{00000000-0005-0000-0000-0000FC850000}"/>
    <cellStyle name="Normal 3 3 3 5 2 6" xfId="19617" xr:uid="{00000000-0005-0000-0000-0000FD850000}"/>
    <cellStyle name="Normal 3 3 3 5 2 6 2" xfId="46750" xr:uid="{00000000-0005-0000-0000-0000FE850000}"/>
    <cellStyle name="Normal 3 3 3 5 2 7" xfId="33188" xr:uid="{00000000-0005-0000-0000-0000FF850000}"/>
    <cellStyle name="Normal 3 3 3 5 3" xfId="5889" xr:uid="{00000000-0005-0000-0000-000000860000}"/>
    <cellStyle name="Normal 3 3 3 5 3 2" xfId="9432" xr:uid="{00000000-0005-0000-0000-000001860000}"/>
    <cellStyle name="Normal 3 3 3 5 3 2 2" xfId="16222" xr:uid="{00000000-0005-0000-0000-000002860000}"/>
    <cellStyle name="Normal 3 3 3 5 3 2 2 2" xfId="29790" xr:uid="{00000000-0005-0000-0000-000003860000}"/>
    <cellStyle name="Normal 3 3 3 5 3 2 2 2 2" xfId="56923" xr:uid="{00000000-0005-0000-0000-000004860000}"/>
    <cellStyle name="Normal 3 3 3 5 3 2 2 3" xfId="43361" xr:uid="{00000000-0005-0000-0000-000005860000}"/>
    <cellStyle name="Normal 3 3 3 5 3 2 3" xfId="23009" xr:uid="{00000000-0005-0000-0000-000006860000}"/>
    <cellStyle name="Normal 3 3 3 5 3 2 3 2" xfId="50142" xr:uid="{00000000-0005-0000-0000-000007860000}"/>
    <cellStyle name="Normal 3 3 3 5 3 2 4" xfId="36580" xr:uid="{00000000-0005-0000-0000-000008860000}"/>
    <cellStyle name="Normal 3 3 3 5 3 3" xfId="12833" xr:uid="{00000000-0005-0000-0000-000009860000}"/>
    <cellStyle name="Normal 3 3 3 5 3 3 2" xfId="26401" xr:uid="{00000000-0005-0000-0000-00000A860000}"/>
    <cellStyle name="Normal 3 3 3 5 3 3 2 2" xfId="53534" xr:uid="{00000000-0005-0000-0000-00000B860000}"/>
    <cellStyle name="Normal 3 3 3 5 3 3 3" xfId="39972" xr:uid="{00000000-0005-0000-0000-00000C860000}"/>
    <cellStyle name="Normal 3 3 3 5 3 4" xfId="19620" xr:uid="{00000000-0005-0000-0000-00000D860000}"/>
    <cellStyle name="Normal 3 3 3 5 3 4 2" xfId="46753" xr:uid="{00000000-0005-0000-0000-00000E860000}"/>
    <cellStyle name="Normal 3 3 3 5 3 5" xfId="33191" xr:uid="{00000000-0005-0000-0000-00000F860000}"/>
    <cellStyle name="Normal 3 3 3 5 4" xfId="5890" xr:uid="{00000000-0005-0000-0000-000010860000}"/>
    <cellStyle name="Normal 3 3 3 5 4 2" xfId="9433" xr:uid="{00000000-0005-0000-0000-000011860000}"/>
    <cellStyle name="Normal 3 3 3 5 4 2 2" xfId="16223" xr:uid="{00000000-0005-0000-0000-000012860000}"/>
    <cellStyle name="Normal 3 3 3 5 4 2 2 2" xfId="29791" xr:uid="{00000000-0005-0000-0000-000013860000}"/>
    <cellStyle name="Normal 3 3 3 5 4 2 2 2 2" xfId="56924" xr:uid="{00000000-0005-0000-0000-000014860000}"/>
    <cellStyle name="Normal 3 3 3 5 4 2 2 3" xfId="43362" xr:uid="{00000000-0005-0000-0000-000015860000}"/>
    <cellStyle name="Normal 3 3 3 5 4 2 3" xfId="23010" xr:uid="{00000000-0005-0000-0000-000016860000}"/>
    <cellStyle name="Normal 3 3 3 5 4 2 3 2" xfId="50143" xr:uid="{00000000-0005-0000-0000-000017860000}"/>
    <cellStyle name="Normal 3 3 3 5 4 2 4" xfId="36581" xr:uid="{00000000-0005-0000-0000-000018860000}"/>
    <cellStyle name="Normal 3 3 3 5 4 3" xfId="12834" xr:uid="{00000000-0005-0000-0000-000019860000}"/>
    <cellStyle name="Normal 3 3 3 5 4 3 2" xfId="26402" xr:uid="{00000000-0005-0000-0000-00001A860000}"/>
    <cellStyle name="Normal 3 3 3 5 4 3 2 2" xfId="53535" xr:uid="{00000000-0005-0000-0000-00001B860000}"/>
    <cellStyle name="Normal 3 3 3 5 4 3 3" xfId="39973" xr:uid="{00000000-0005-0000-0000-00001C860000}"/>
    <cellStyle name="Normal 3 3 3 5 4 4" xfId="19621" xr:uid="{00000000-0005-0000-0000-00001D860000}"/>
    <cellStyle name="Normal 3 3 3 5 4 4 2" xfId="46754" xr:uid="{00000000-0005-0000-0000-00001E860000}"/>
    <cellStyle name="Normal 3 3 3 5 4 5" xfId="33192" xr:uid="{00000000-0005-0000-0000-00001F860000}"/>
    <cellStyle name="Normal 3 3 3 5 5" xfId="9428" xr:uid="{00000000-0005-0000-0000-000020860000}"/>
    <cellStyle name="Normal 3 3 3 5 5 2" xfId="16218" xr:uid="{00000000-0005-0000-0000-000021860000}"/>
    <cellStyle name="Normal 3 3 3 5 5 2 2" xfId="29786" xr:uid="{00000000-0005-0000-0000-000022860000}"/>
    <cellStyle name="Normal 3 3 3 5 5 2 2 2" xfId="56919" xr:uid="{00000000-0005-0000-0000-000023860000}"/>
    <cellStyle name="Normal 3 3 3 5 5 2 3" xfId="43357" xr:uid="{00000000-0005-0000-0000-000024860000}"/>
    <cellStyle name="Normal 3 3 3 5 5 3" xfId="23005" xr:uid="{00000000-0005-0000-0000-000025860000}"/>
    <cellStyle name="Normal 3 3 3 5 5 3 2" xfId="50138" xr:uid="{00000000-0005-0000-0000-000026860000}"/>
    <cellStyle name="Normal 3 3 3 5 5 4" xfId="36576" xr:uid="{00000000-0005-0000-0000-000027860000}"/>
    <cellStyle name="Normal 3 3 3 5 6" xfId="12829" xr:uid="{00000000-0005-0000-0000-000028860000}"/>
    <cellStyle name="Normal 3 3 3 5 6 2" xfId="26397" xr:uid="{00000000-0005-0000-0000-000029860000}"/>
    <cellStyle name="Normal 3 3 3 5 6 2 2" xfId="53530" xr:uid="{00000000-0005-0000-0000-00002A860000}"/>
    <cellStyle name="Normal 3 3 3 5 6 3" xfId="39968" xr:uid="{00000000-0005-0000-0000-00002B860000}"/>
    <cellStyle name="Normal 3 3 3 5 7" xfId="19616" xr:uid="{00000000-0005-0000-0000-00002C860000}"/>
    <cellStyle name="Normal 3 3 3 5 7 2" xfId="46749" xr:uid="{00000000-0005-0000-0000-00002D860000}"/>
    <cellStyle name="Normal 3 3 3 5 8" xfId="33187" xr:uid="{00000000-0005-0000-0000-00002E860000}"/>
    <cellStyle name="Normal 3 3 3 6" xfId="5891" xr:uid="{00000000-0005-0000-0000-00002F860000}"/>
    <cellStyle name="Normal 3 3 3 6 2" xfId="5892" xr:uid="{00000000-0005-0000-0000-000030860000}"/>
    <cellStyle name="Normal 3 3 3 6 2 2" xfId="9435" xr:uid="{00000000-0005-0000-0000-000031860000}"/>
    <cellStyle name="Normal 3 3 3 6 2 2 2" xfId="16225" xr:uid="{00000000-0005-0000-0000-000032860000}"/>
    <cellStyle name="Normal 3 3 3 6 2 2 2 2" xfId="29793" xr:uid="{00000000-0005-0000-0000-000033860000}"/>
    <cellStyle name="Normal 3 3 3 6 2 2 2 2 2" xfId="56926" xr:uid="{00000000-0005-0000-0000-000034860000}"/>
    <cellStyle name="Normal 3 3 3 6 2 2 2 3" xfId="43364" xr:uid="{00000000-0005-0000-0000-000035860000}"/>
    <cellStyle name="Normal 3 3 3 6 2 2 3" xfId="23012" xr:uid="{00000000-0005-0000-0000-000036860000}"/>
    <cellStyle name="Normal 3 3 3 6 2 2 3 2" xfId="50145" xr:uid="{00000000-0005-0000-0000-000037860000}"/>
    <cellStyle name="Normal 3 3 3 6 2 2 4" xfId="36583" xr:uid="{00000000-0005-0000-0000-000038860000}"/>
    <cellStyle name="Normal 3 3 3 6 2 3" xfId="12836" xr:uid="{00000000-0005-0000-0000-000039860000}"/>
    <cellStyle name="Normal 3 3 3 6 2 3 2" xfId="26404" xr:uid="{00000000-0005-0000-0000-00003A860000}"/>
    <cellStyle name="Normal 3 3 3 6 2 3 2 2" xfId="53537" xr:uid="{00000000-0005-0000-0000-00003B860000}"/>
    <cellStyle name="Normal 3 3 3 6 2 3 3" xfId="39975" xr:uid="{00000000-0005-0000-0000-00003C860000}"/>
    <cellStyle name="Normal 3 3 3 6 2 4" xfId="19623" xr:uid="{00000000-0005-0000-0000-00003D860000}"/>
    <cellStyle name="Normal 3 3 3 6 2 4 2" xfId="46756" xr:uid="{00000000-0005-0000-0000-00003E860000}"/>
    <cellStyle name="Normal 3 3 3 6 2 5" xfId="33194" xr:uid="{00000000-0005-0000-0000-00003F860000}"/>
    <cellStyle name="Normal 3 3 3 6 3" xfId="5893" xr:uid="{00000000-0005-0000-0000-000040860000}"/>
    <cellStyle name="Normal 3 3 3 6 3 2" xfId="9436" xr:uid="{00000000-0005-0000-0000-000041860000}"/>
    <cellStyle name="Normal 3 3 3 6 3 2 2" xfId="16226" xr:uid="{00000000-0005-0000-0000-000042860000}"/>
    <cellStyle name="Normal 3 3 3 6 3 2 2 2" xfId="29794" xr:uid="{00000000-0005-0000-0000-000043860000}"/>
    <cellStyle name="Normal 3 3 3 6 3 2 2 2 2" xfId="56927" xr:uid="{00000000-0005-0000-0000-000044860000}"/>
    <cellStyle name="Normal 3 3 3 6 3 2 2 3" xfId="43365" xr:uid="{00000000-0005-0000-0000-000045860000}"/>
    <cellStyle name="Normal 3 3 3 6 3 2 3" xfId="23013" xr:uid="{00000000-0005-0000-0000-000046860000}"/>
    <cellStyle name="Normal 3 3 3 6 3 2 3 2" xfId="50146" xr:uid="{00000000-0005-0000-0000-000047860000}"/>
    <cellStyle name="Normal 3 3 3 6 3 2 4" xfId="36584" xr:uid="{00000000-0005-0000-0000-000048860000}"/>
    <cellStyle name="Normal 3 3 3 6 3 3" xfId="12837" xr:uid="{00000000-0005-0000-0000-000049860000}"/>
    <cellStyle name="Normal 3 3 3 6 3 3 2" xfId="26405" xr:uid="{00000000-0005-0000-0000-00004A860000}"/>
    <cellStyle name="Normal 3 3 3 6 3 3 2 2" xfId="53538" xr:uid="{00000000-0005-0000-0000-00004B860000}"/>
    <cellStyle name="Normal 3 3 3 6 3 3 3" xfId="39976" xr:uid="{00000000-0005-0000-0000-00004C860000}"/>
    <cellStyle name="Normal 3 3 3 6 3 4" xfId="19624" xr:uid="{00000000-0005-0000-0000-00004D860000}"/>
    <cellStyle name="Normal 3 3 3 6 3 4 2" xfId="46757" xr:uid="{00000000-0005-0000-0000-00004E860000}"/>
    <cellStyle name="Normal 3 3 3 6 3 5" xfId="33195" xr:uid="{00000000-0005-0000-0000-00004F860000}"/>
    <cellStyle name="Normal 3 3 3 6 4" xfId="9434" xr:uid="{00000000-0005-0000-0000-000050860000}"/>
    <cellStyle name="Normal 3 3 3 6 4 2" xfId="16224" xr:uid="{00000000-0005-0000-0000-000051860000}"/>
    <cellStyle name="Normal 3 3 3 6 4 2 2" xfId="29792" xr:uid="{00000000-0005-0000-0000-000052860000}"/>
    <cellStyle name="Normal 3 3 3 6 4 2 2 2" xfId="56925" xr:uid="{00000000-0005-0000-0000-000053860000}"/>
    <cellStyle name="Normal 3 3 3 6 4 2 3" xfId="43363" xr:uid="{00000000-0005-0000-0000-000054860000}"/>
    <cellStyle name="Normal 3 3 3 6 4 3" xfId="23011" xr:uid="{00000000-0005-0000-0000-000055860000}"/>
    <cellStyle name="Normal 3 3 3 6 4 3 2" xfId="50144" xr:uid="{00000000-0005-0000-0000-000056860000}"/>
    <cellStyle name="Normal 3 3 3 6 4 4" xfId="36582" xr:uid="{00000000-0005-0000-0000-000057860000}"/>
    <cellStyle name="Normal 3 3 3 6 5" xfId="12835" xr:uid="{00000000-0005-0000-0000-000058860000}"/>
    <cellStyle name="Normal 3 3 3 6 5 2" xfId="26403" xr:uid="{00000000-0005-0000-0000-000059860000}"/>
    <cellStyle name="Normal 3 3 3 6 5 2 2" xfId="53536" xr:uid="{00000000-0005-0000-0000-00005A860000}"/>
    <cellStyle name="Normal 3 3 3 6 5 3" xfId="39974" xr:uid="{00000000-0005-0000-0000-00005B860000}"/>
    <cellStyle name="Normal 3 3 3 6 6" xfId="19622" xr:uid="{00000000-0005-0000-0000-00005C860000}"/>
    <cellStyle name="Normal 3 3 3 6 6 2" xfId="46755" xr:uid="{00000000-0005-0000-0000-00005D860000}"/>
    <cellStyle name="Normal 3 3 3 6 7" xfId="33193" xr:uid="{00000000-0005-0000-0000-00005E860000}"/>
    <cellStyle name="Normal 3 3 3 7" xfId="5894" xr:uid="{00000000-0005-0000-0000-00005F860000}"/>
    <cellStyle name="Normal 3 3 3 7 2" xfId="5895" xr:uid="{00000000-0005-0000-0000-000060860000}"/>
    <cellStyle name="Normal 3 3 3 7 2 2" xfId="9438" xr:uid="{00000000-0005-0000-0000-000061860000}"/>
    <cellStyle name="Normal 3 3 3 7 2 2 2" xfId="16228" xr:uid="{00000000-0005-0000-0000-000062860000}"/>
    <cellStyle name="Normal 3 3 3 7 2 2 2 2" xfId="29796" xr:uid="{00000000-0005-0000-0000-000063860000}"/>
    <cellStyle name="Normal 3 3 3 7 2 2 2 2 2" xfId="56929" xr:uid="{00000000-0005-0000-0000-000064860000}"/>
    <cellStyle name="Normal 3 3 3 7 2 2 2 3" xfId="43367" xr:uid="{00000000-0005-0000-0000-000065860000}"/>
    <cellStyle name="Normal 3 3 3 7 2 2 3" xfId="23015" xr:uid="{00000000-0005-0000-0000-000066860000}"/>
    <cellStyle name="Normal 3 3 3 7 2 2 3 2" xfId="50148" xr:uid="{00000000-0005-0000-0000-000067860000}"/>
    <cellStyle name="Normal 3 3 3 7 2 2 4" xfId="36586" xr:uid="{00000000-0005-0000-0000-000068860000}"/>
    <cellStyle name="Normal 3 3 3 7 2 3" xfId="12839" xr:uid="{00000000-0005-0000-0000-000069860000}"/>
    <cellStyle name="Normal 3 3 3 7 2 3 2" xfId="26407" xr:uid="{00000000-0005-0000-0000-00006A860000}"/>
    <cellStyle name="Normal 3 3 3 7 2 3 2 2" xfId="53540" xr:uid="{00000000-0005-0000-0000-00006B860000}"/>
    <cellStyle name="Normal 3 3 3 7 2 3 3" xfId="39978" xr:uid="{00000000-0005-0000-0000-00006C860000}"/>
    <cellStyle name="Normal 3 3 3 7 2 4" xfId="19626" xr:uid="{00000000-0005-0000-0000-00006D860000}"/>
    <cellStyle name="Normal 3 3 3 7 2 4 2" xfId="46759" xr:uid="{00000000-0005-0000-0000-00006E860000}"/>
    <cellStyle name="Normal 3 3 3 7 2 5" xfId="33197" xr:uid="{00000000-0005-0000-0000-00006F860000}"/>
    <cellStyle name="Normal 3 3 3 7 3" xfId="5896" xr:uid="{00000000-0005-0000-0000-000070860000}"/>
    <cellStyle name="Normal 3 3 3 7 3 2" xfId="9439" xr:uid="{00000000-0005-0000-0000-000071860000}"/>
    <cellStyle name="Normal 3 3 3 7 3 2 2" xfId="16229" xr:uid="{00000000-0005-0000-0000-000072860000}"/>
    <cellStyle name="Normal 3 3 3 7 3 2 2 2" xfId="29797" xr:uid="{00000000-0005-0000-0000-000073860000}"/>
    <cellStyle name="Normal 3 3 3 7 3 2 2 2 2" xfId="56930" xr:uid="{00000000-0005-0000-0000-000074860000}"/>
    <cellStyle name="Normal 3 3 3 7 3 2 2 3" xfId="43368" xr:uid="{00000000-0005-0000-0000-000075860000}"/>
    <cellStyle name="Normal 3 3 3 7 3 2 3" xfId="23016" xr:uid="{00000000-0005-0000-0000-000076860000}"/>
    <cellStyle name="Normal 3 3 3 7 3 2 3 2" xfId="50149" xr:uid="{00000000-0005-0000-0000-000077860000}"/>
    <cellStyle name="Normal 3 3 3 7 3 2 4" xfId="36587" xr:uid="{00000000-0005-0000-0000-000078860000}"/>
    <cellStyle name="Normal 3 3 3 7 3 3" xfId="12840" xr:uid="{00000000-0005-0000-0000-000079860000}"/>
    <cellStyle name="Normal 3 3 3 7 3 3 2" xfId="26408" xr:uid="{00000000-0005-0000-0000-00007A860000}"/>
    <cellStyle name="Normal 3 3 3 7 3 3 2 2" xfId="53541" xr:uid="{00000000-0005-0000-0000-00007B860000}"/>
    <cellStyle name="Normal 3 3 3 7 3 3 3" xfId="39979" xr:uid="{00000000-0005-0000-0000-00007C860000}"/>
    <cellStyle name="Normal 3 3 3 7 3 4" xfId="19627" xr:uid="{00000000-0005-0000-0000-00007D860000}"/>
    <cellStyle name="Normal 3 3 3 7 3 4 2" xfId="46760" xr:uid="{00000000-0005-0000-0000-00007E860000}"/>
    <cellStyle name="Normal 3 3 3 7 3 5" xfId="33198" xr:uid="{00000000-0005-0000-0000-00007F860000}"/>
    <cellStyle name="Normal 3 3 3 7 4" xfId="9437" xr:uid="{00000000-0005-0000-0000-000080860000}"/>
    <cellStyle name="Normal 3 3 3 7 4 2" xfId="16227" xr:uid="{00000000-0005-0000-0000-000081860000}"/>
    <cellStyle name="Normal 3 3 3 7 4 2 2" xfId="29795" xr:uid="{00000000-0005-0000-0000-000082860000}"/>
    <cellStyle name="Normal 3 3 3 7 4 2 2 2" xfId="56928" xr:uid="{00000000-0005-0000-0000-000083860000}"/>
    <cellStyle name="Normal 3 3 3 7 4 2 3" xfId="43366" xr:uid="{00000000-0005-0000-0000-000084860000}"/>
    <cellStyle name="Normal 3 3 3 7 4 3" xfId="23014" xr:uid="{00000000-0005-0000-0000-000085860000}"/>
    <cellStyle name="Normal 3 3 3 7 4 3 2" xfId="50147" xr:uid="{00000000-0005-0000-0000-000086860000}"/>
    <cellStyle name="Normal 3 3 3 7 4 4" xfId="36585" xr:uid="{00000000-0005-0000-0000-000087860000}"/>
    <cellStyle name="Normal 3 3 3 7 5" xfId="12838" xr:uid="{00000000-0005-0000-0000-000088860000}"/>
    <cellStyle name="Normal 3 3 3 7 5 2" xfId="26406" xr:uid="{00000000-0005-0000-0000-000089860000}"/>
    <cellStyle name="Normal 3 3 3 7 5 2 2" xfId="53539" xr:uid="{00000000-0005-0000-0000-00008A860000}"/>
    <cellStyle name="Normal 3 3 3 7 5 3" xfId="39977" xr:uid="{00000000-0005-0000-0000-00008B860000}"/>
    <cellStyle name="Normal 3 3 3 7 6" xfId="19625" xr:uid="{00000000-0005-0000-0000-00008C860000}"/>
    <cellStyle name="Normal 3 3 3 7 6 2" xfId="46758" xr:uid="{00000000-0005-0000-0000-00008D860000}"/>
    <cellStyle name="Normal 3 3 3 7 7" xfId="33196" xr:uid="{00000000-0005-0000-0000-00008E860000}"/>
    <cellStyle name="Normal 3 3 3 8" xfId="5897" xr:uid="{00000000-0005-0000-0000-00008F860000}"/>
    <cellStyle name="Normal 3 3 3 8 2" xfId="9440" xr:uid="{00000000-0005-0000-0000-000090860000}"/>
    <cellStyle name="Normal 3 3 3 8 2 2" xfId="16230" xr:uid="{00000000-0005-0000-0000-000091860000}"/>
    <cellStyle name="Normal 3 3 3 8 2 2 2" xfId="29798" xr:uid="{00000000-0005-0000-0000-000092860000}"/>
    <cellStyle name="Normal 3 3 3 8 2 2 2 2" xfId="56931" xr:uid="{00000000-0005-0000-0000-000093860000}"/>
    <cellStyle name="Normal 3 3 3 8 2 2 3" xfId="43369" xr:uid="{00000000-0005-0000-0000-000094860000}"/>
    <cellStyle name="Normal 3 3 3 8 2 3" xfId="23017" xr:uid="{00000000-0005-0000-0000-000095860000}"/>
    <cellStyle name="Normal 3 3 3 8 2 3 2" xfId="50150" xr:uid="{00000000-0005-0000-0000-000096860000}"/>
    <cellStyle name="Normal 3 3 3 8 2 4" xfId="36588" xr:uid="{00000000-0005-0000-0000-000097860000}"/>
    <cellStyle name="Normal 3 3 3 8 3" xfId="12841" xr:uid="{00000000-0005-0000-0000-000098860000}"/>
    <cellStyle name="Normal 3 3 3 8 3 2" xfId="26409" xr:uid="{00000000-0005-0000-0000-000099860000}"/>
    <cellStyle name="Normal 3 3 3 8 3 2 2" xfId="53542" xr:uid="{00000000-0005-0000-0000-00009A860000}"/>
    <cellStyle name="Normal 3 3 3 8 3 3" xfId="39980" xr:uid="{00000000-0005-0000-0000-00009B860000}"/>
    <cellStyle name="Normal 3 3 3 8 4" xfId="19628" xr:uid="{00000000-0005-0000-0000-00009C860000}"/>
    <cellStyle name="Normal 3 3 3 8 4 2" xfId="46761" xr:uid="{00000000-0005-0000-0000-00009D860000}"/>
    <cellStyle name="Normal 3 3 3 8 5" xfId="33199" xr:uid="{00000000-0005-0000-0000-00009E860000}"/>
    <cellStyle name="Normal 3 3 3 9" xfId="5898" xr:uid="{00000000-0005-0000-0000-00009F860000}"/>
    <cellStyle name="Normal 3 3 3 9 2" xfId="9441" xr:uid="{00000000-0005-0000-0000-0000A0860000}"/>
    <cellStyle name="Normal 3 3 3 9 2 2" xfId="16231" xr:uid="{00000000-0005-0000-0000-0000A1860000}"/>
    <cellStyle name="Normal 3 3 3 9 2 2 2" xfId="29799" xr:uid="{00000000-0005-0000-0000-0000A2860000}"/>
    <cellStyle name="Normal 3 3 3 9 2 2 2 2" xfId="56932" xr:uid="{00000000-0005-0000-0000-0000A3860000}"/>
    <cellStyle name="Normal 3 3 3 9 2 2 3" xfId="43370" xr:uid="{00000000-0005-0000-0000-0000A4860000}"/>
    <cellStyle name="Normal 3 3 3 9 2 3" xfId="23018" xr:uid="{00000000-0005-0000-0000-0000A5860000}"/>
    <cellStyle name="Normal 3 3 3 9 2 3 2" xfId="50151" xr:uid="{00000000-0005-0000-0000-0000A6860000}"/>
    <cellStyle name="Normal 3 3 3 9 2 4" xfId="36589" xr:uid="{00000000-0005-0000-0000-0000A7860000}"/>
    <cellStyle name="Normal 3 3 3 9 3" xfId="12842" xr:uid="{00000000-0005-0000-0000-0000A8860000}"/>
    <cellStyle name="Normal 3 3 3 9 3 2" xfId="26410" xr:uid="{00000000-0005-0000-0000-0000A9860000}"/>
    <cellStyle name="Normal 3 3 3 9 3 2 2" xfId="53543" xr:uid="{00000000-0005-0000-0000-0000AA860000}"/>
    <cellStyle name="Normal 3 3 3 9 3 3" xfId="39981" xr:uid="{00000000-0005-0000-0000-0000AB860000}"/>
    <cellStyle name="Normal 3 3 3 9 4" xfId="19629" xr:uid="{00000000-0005-0000-0000-0000AC860000}"/>
    <cellStyle name="Normal 3 3 3 9 4 2" xfId="46762" xr:uid="{00000000-0005-0000-0000-0000AD860000}"/>
    <cellStyle name="Normal 3 3 3 9 5" xfId="33200" xr:uid="{00000000-0005-0000-0000-0000AE860000}"/>
    <cellStyle name="Normal 3 3 4" xfId="2696" xr:uid="{00000000-0005-0000-0000-0000AF860000}"/>
    <cellStyle name="Normal 3 3 4 10" xfId="7509" xr:uid="{00000000-0005-0000-0000-0000B0860000}"/>
    <cellStyle name="Normal 3 3 4 10 2" xfId="14299" xr:uid="{00000000-0005-0000-0000-0000B1860000}"/>
    <cellStyle name="Normal 3 3 4 10 2 2" xfId="27867" xr:uid="{00000000-0005-0000-0000-0000B2860000}"/>
    <cellStyle name="Normal 3 3 4 10 2 2 2" xfId="55000" xr:uid="{00000000-0005-0000-0000-0000B3860000}"/>
    <cellStyle name="Normal 3 3 4 10 2 3" xfId="41438" xr:uid="{00000000-0005-0000-0000-0000B4860000}"/>
    <cellStyle name="Normal 3 3 4 10 3" xfId="21086" xr:uid="{00000000-0005-0000-0000-0000B5860000}"/>
    <cellStyle name="Normal 3 3 4 10 3 2" xfId="48219" xr:uid="{00000000-0005-0000-0000-0000B6860000}"/>
    <cellStyle name="Normal 3 3 4 10 4" xfId="34657" xr:uid="{00000000-0005-0000-0000-0000B7860000}"/>
    <cellStyle name="Normal 3 3 4 11" xfId="10910" xr:uid="{00000000-0005-0000-0000-0000B8860000}"/>
    <cellStyle name="Normal 3 3 4 11 2" xfId="24478" xr:uid="{00000000-0005-0000-0000-0000B9860000}"/>
    <cellStyle name="Normal 3 3 4 11 2 2" xfId="51611" xr:uid="{00000000-0005-0000-0000-0000BA860000}"/>
    <cellStyle name="Normal 3 3 4 11 3" xfId="38049" xr:uid="{00000000-0005-0000-0000-0000BB860000}"/>
    <cellStyle name="Normal 3 3 4 12" xfId="17697" xr:uid="{00000000-0005-0000-0000-0000BC860000}"/>
    <cellStyle name="Normal 3 3 4 12 2" xfId="44830" xr:uid="{00000000-0005-0000-0000-0000BD860000}"/>
    <cellStyle name="Normal 3 3 4 13" xfId="31268" xr:uid="{00000000-0005-0000-0000-0000BE860000}"/>
    <cellStyle name="Normal 3 3 4 2" xfId="2697" xr:uid="{00000000-0005-0000-0000-0000BF860000}"/>
    <cellStyle name="Normal 3 3 4 2 10" xfId="31269" xr:uid="{00000000-0005-0000-0000-0000C0860000}"/>
    <cellStyle name="Normal 3 3 4 2 2" xfId="5899" xr:uid="{00000000-0005-0000-0000-0000C1860000}"/>
    <cellStyle name="Normal 3 3 4 2 2 2" xfId="5900" xr:uid="{00000000-0005-0000-0000-0000C2860000}"/>
    <cellStyle name="Normal 3 3 4 2 2 2 2" xfId="5901" xr:uid="{00000000-0005-0000-0000-0000C3860000}"/>
    <cellStyle name="Normal 3 3 4 2 2 2 2 2" xfId="9444" xr:uid="{00000000-0005-0000-0000-0000C4860000}"/>
    <cellStyle name="Normal 3 3 4 2 2 2 2 2 2" xfId="16234" xr:uid="{00000000-0005-0000-0000-0000C5860000}"/>
    <cellStyle name="Normal 3 3 4 2 2 2 2 2 2 2" xfId="29802" xr:uid="{00000000-0005-0000-0000-0000C6860000}"/>
    <cellStyle name="Normal 3 3 4 2 2 2 2 2 2 2 2" xfId="56935" xr:uid="{00000000-0005-0000-0000-0000C7860000}"/>
    <cellStyle name="Normal 3 3 4 2 2 2 2 2 2 3" xfId="43373" xr:uid="{00000000-0005-0000-0000-0000C8860000}"/>
    <cellStyle name="Normal 3 3 4 2 2 2 2 2 3" xfId="23021" xr:uid="{00000000-0005-0000-0000-0000C9860000}"/>
    <cellStyle name="Normal 3 3 4 2 2 2 2 2 3 2" xfId="50154" xr:uid="{00000000-0005-0000-0000-0000CA860000}"/>
    <cellStyle name="Normal 3 3 4 2 2 2 2 2 4" xfId="36592" xr:uid="{00000000-0005-0000-0000-0000CB860000}"/>
    <cellStyle name="Normal 3 3 4 2 2 2 2 3" xfId="12845" xr:uid="{00000000-0005-0000-0000-0000CC860000}"/>
    <cellStyle name="Normal 3 3 4 2 2 2 2 3 2" xfId="26413" xr:uid="{00000000-0005-0000-0000-0000CD860000}"/>
    <cellStyle name="Normal 3 3 4 2 2 2 2 3 2 2" xfId="53546" xr:uid="{00000000-0005-0000-0000-0000CE860000}"/>
    <cellStyle name="Normal 3 3 4 2 2 2 2 3 3" xfId="39984" xr:uid="{00000000-0005-0000-0000-0000CF860000}"/>
    <cellStyle name="Normal 3 3 4 2 2 2 2 4" xfId="19632" xr:uid="{00000000-0005-0000-0000-0000D0860000}"/>
    <cellStyle name="Normal 3 3 4 2 2 2 2 4 2" xfId="46765" xr:uid="{00000000-0005-0000-0000-0000D1860000}"/>
    <cellStyle name="Normal 3 3 4 2 2 2 2 5" xfId="33203" xr:uid="{00000000-0005-0000-0000-0000D2860000}"/>
    <cellStyle name="Normal 3 3 4 2 2 2 3" xfId="5902" xr:uid="{00000000-0005-0000-0000-0000D3860000}"/>
    <cellStyle name="Normal 3 3 4 2 2 2 3 2" xfId="9445" xr:uid="{00000000-0005-0000-0000-0000D4860000}"/>
    <cellStyle name="Normal 3 3 4 2 2 2 3 2 2" xfId="16235" xr:uid="{00000000-0005-0000-0000-0000D5860000}"/>
    <cellStyle name="Normal 3 3 4 2 2 2 3 2 2 2" xfId="29803" xr:uid="{00000000-0005-0000-0000-0000D6860000}"/>
    <cellStyle name="Normal 3 3 4 2 2 2 3 2 2 2 2" xfId="56936" xr:uid="{00000000-0005-0000-0000-0000D7860000}"/>
    <cellStyle name="Normal 3 3 4 2 2 2 3 2 2 3" xfId="43374" xr:uid="{00000000-0005-0000-0000-0000D8860000}"/>
    <cellStyle name="Normal 3 3 4 2 2 2 3 2 3" xfId="23022" xr:uid="{00000000-0005-0000-0000-0000D9860000}"/>
    <cellStyle name="Normal 3 3 4 2 2 2 3 2 3 2" xfId="50155" xr:uid="{00000000-0005-0000-0000-0000DA860000}"/>
    <cellStyle name="Normal 3 3 4 2 2 2 3 2 4" xfId="36593" xr:uid="{00000000-0005-0000-0000-0000DB860000}"/>
    <cellStyle name="Normal 3 3 4 2 2 2 3 3" xfId="12846" xr:uid="{00000000-0005-0000-0000-0000DC860000}"/>
    <cellStyle name="Normal 3 3 4 2 2 2 3 3 2" xfId="26414" xr:uid="{00000000-0005-0000-0000-0000DD860000}"/>
    <cellStyle name="Normal 3 3 4 2 2 2 3 3 2 2" xfId="53547" xr:uid="{00000000-0005-0000-0000-0000DE860000}"/>
    <cellStyle name="Normal 3 3 4 2 2 2 3 3 3" xfId="39985" xr:uid="{00000000-0005-0000-0000-0000DF860000}"/>
    <cellStyle name="Normal 3 3 4 2 2 2 3 4" xfId="19633" xr:uid="{00000000-0005-0000-0000-0000E0860000}"/>
    <cellStyle name="Normal 3 3 4 2 2 2 3 4 2" xfId="46766" xr:uid="{00000000-0005-0000-0000-0000E1860000}"/>
    <cellStyle name="Normal 3 3 4 2 2 2 3 5" xfId="33204" xr:uid="{00000000-0005-0000-0000-0000E2860000}"/>
    <cellStyle name="Normal 3 3 4 2 2 2 4" xfId="9443" xr:uid="{00000000-0005-0000-0000-0000E3860000}"/>
    <cellStyle name="Normal 3 3 4 2 2 2 4 2" xfId="16233" xr:uid="{00000000-0005-0000-0000-0000E4860000}"/>
    <cellStyle name="Normal 3 3 4 2 2 2 4 2 2" xfId="29801" xr:uid="{00000000-0005-0000-0000-0000E5860000}"/>
    <cellStyle name="Normal 3 3 4 2 2 2 4 2 2 2" xfId="56934" xr:uid="{00000000-0005-0000-0000-0000E6860000}"/>
    <cellStyle name="Normal 3 3 4 2 2 2 4 2 3" xfId="43372" xr:uid="{00000000-0005-0000-0000-0000E7860000}"/>
    <cellStyle name="Normal 3 3 4 2 2 2 4 3" xfId="23020" xr:uid="{00000000-0005-0000-0000-0000E8860000}"/>
    <cellStyle name="Normal 3 3 4 2 2 2 4 3 2" xfId="50153" xr:uid="{00000000-0005-0000-0000-0000E9860000}"/>
    <cellStyle name="Normal 3 3 4 2 2 2 4 4" xfId="36591" xr:uid="{00000000-0005-0000-0000-0000EA860000}"/>
    <cellStyle name="Normal 3 3 4 2 2 2 5" xfId="12844" xr:uid="{00000000-0005-0000-0000-0000EB860000}"/>
    <cellStyle name="Normal 3 3 4 2 2 2 5 2" xfId="26412" xr:uid="{00000000-0005-0000-0000-0000EC860000}"/>
    <cellStyle name="Normal 3 3 4 2 2 2 5 2 2" xfId="53545" xr:uid="{00000000-0005-0000-0000-0000ED860000}"/>
    <cellStyle name="Normal 3 3 4 2 2 2 5 3" xfId="39983" xr:uid="{00000000-0005-0000-0000-0000EE860000}"/>
    <cellStyle name="Normal 3 3 4 2 2 2 6" xfId="19631" xr:uid="{00000000-0005-0000-0000-0000EF860000}"/>
    <cellStyle name="Normal 3 3 4 2 2 2 6 2" xfId="46764" xr:uid="{00000000-0005-0000-0000-0000F0860000}"/>
    <cellStyle name="Normal 3 3 4 2 2 2 7" xfId="33202" xr:uid="{00000000-0005-0000-0000-0000F1860000}"/>
    <cellStyle name="Normal 3 3 4 2 2 3" xfId="5903" xr:uid="{00000000-0005-0000-0000-0000F2860000}"/>
    <cellStyle name="Normal 3 3 4 2 2 3 2" xfId="5904" xr:uid="{00000000-0005-0000-0000-0000F3860000}"/>
    <cellStyle name="Normal 3 3 4 2 2 3 2 2" xfId="9447" xr:uid="{00000000-0005-0000-0000-0000F4860000}"/>
    <cellStyle name="Normal 3 3 4 2 2 3 2 2 2" xfId="16237" xr:uid="{00000000-0005-0000-0000-0000F5860000}"/>
    <cellStyle name="Normal 3 3 4 2 2 3 2 2 2 2" xfId="29805" xr:uid="{00000000-0005-0000-0000-0000F6860000}"/>
    <cellStyle name="Normal 3 3 4 2 2 3 2 2 2 2 2" xfId="56938" xr:uid="{00000000-0005-0000-0000-0000F7860000}"/>
    <cellStyle name="Normal 3 3 4 2 2 3 2 2 2 3" xfId="43376" xr:uid="{00000000-0005-0000-0000-0000F8860000}"/>
    <cellStyle name="Normal 3 3 4 2 2 3 2 2 3" xfId="23024" xr:uid="{00000000-0005-0000-0000-0000F9860000}"/>
    <cellStyle name="Normal 3 3 4 2 2 3 2 2 3 2" xfId="50157" xr:uid="{00000000-0005-0000-0000-0000FA860000}"/>
    <cellStyle name="Normal 3 3 4 2 2 3 2 2 4" xfId="36595" xr:uid="{00000000-0005-0000-0000-0000FB860000}"/>
    <cellStyle name="Normal 3 3 4 2 2 3 2 3" xfId="12848" xr:uid="{00000000-0005-0000-0000-0000FC860000}"/>
    <cellStyle name="Normal 3 3 4 2 2 3 2 3 2" xfId="26416" xr:uid="{00000000-0005-0000-0000-0000FD860000}"/>
    <cellStyle name="Normal 3 3 4 2 2 3 2 3 2 2" xfId="53549" xr:uid="{00000000-0005-0000-0000-0000FE860000}"/>
    <cellStyle name="Normal 3 3 4 2 2 3 2 3 3" xfId="39987" xr:uid="{00000000-0005-0000-0000-0000FF860000}"/>
    <cellStyle name="Normal 3 3 4 2 2 3 2 4" xfId="19635" xr:uid="{00000000-0005-0000-0000-000000870000}"/>
    <cellStyle name="Normal 3 3 4 2 2 3 2 4 2" xfId="46768" xr:uid="{00000000-0005-0000-0000-000001870000}"/>
    <cellStyle name="Normal 3 3 4 2 2 3 2 5" xfId="33206" xr:uid="{00000000-0005-0000-0000-000002870000}"/>
    <cellStyle name="Normal 3 3 4 2 2 3 3" xfId="9446" xr:uid="{00000000-0005-0000-0000-000003870000}"/>
    <cellStyle name="Normal 3 3 4 2 2 3 3 2" xfId="16236" xr:uid="{00000000-0005-0000-0000-000004870000}"/>
    <cellStyle name="Normal 3 3 4 2 2 3 3 2 2" xfId="29804" xr:uid="{00000000-0005-0000-0000-000005870000}"/>
    <cellStyle name="Normal 3 3 4 2 2 3 3 2 2 2" xfId="56937" xr:uid="{00000000-0005-0000-0000-000006870000}"/>
    <cellStyle name="Normal 3 3 4 2 2 3 3 2 3" xfId="43375" xr:uid="{00000000-0005-0000-0000-000007870000}"/>
    <cellStyle name="Normal 3 3 4 2 2 3 3 3" xfId="23023" xr:uid="{00000000-0005-0000-0000-000008870000}"/>
    <cellStyle name="Normal 3 3 4 2 2 3 3 3 2" xfId="50156" xr:uid="{00000000-0005-0000-0000-000009870000}"/>
    <cellStyle name="Normal 3 3 4 2 2 3 3 4" xfId="36594" xr:uid="{00000000-0005-0000-0000-00000A870000}"/>
    <cellStyle name="Normal 3 3 4 2 2 3 4" xfId="12847" xr:uid="{00000000-0005-0000-0000-00000B870000}"/>
    <cellStyle name="Normal 3 3 4 2 2 3 4 2" xfId="26415" xr:uid="{00000000-0005-0000-0000-00000C870000}"/>
    <cellStyle name="Normal 3 3 4 2 2 3 4 2 2" xfId="53548" xr:uid="{00000000-0005-0000-0000-00000D870000}"/>
    <cellStyle name="Normal 3 3 4 2 2 3 4 3" xfId="39986" xr:uid="{00000000-0005-0000-0000-00000E870000}"/>
    <cellStyle name="Normal 3 3 4 2 2 3 5" xfId="19634" xr:uid="{00000000-0005-0000-0000-00000F870000}"/>
    <cellStyle name="Normal 3 3 4 2 2 3 5 2" xfId="46767" xr:uid="{00000000-0005-0000-0000-000010870000}"/>
    <cellStyle name="Normal 3 3 4 2 2 3 6" xfId="33205" xr:uid="{00000000-0005-0000-0000-000011870000}"/>
    <cellStyle name="Normal 3 3 4 2 2 4" xfId="5905" xr:uid="{00000000-0005-0000-0000-000012870000}"/>
    <cellStyle name="Normal 3 3 4 2 2 4 2" xfId="9448" xr:uid="{00000000-0005-0000-0000-000013870000}"/>
    <cellStyle name="Normal 3 3 4 2 2 4 2 2" xfId="16238" xr:uid="{00000000-0005-0000-0000-000014870000}"/>
    <cellStyle name="Normal 3 3 4 2 2 4 2 2 2" xfId="29806" xr:uid="{00000000-0005-0000-0000-000015870000}"/>
    <cellStyle name="Normal 3 3 4 2 2 4 2 2 2 2" xfId="56939" xr:uid="{00000000-0005-0000-0000-000016870000}"/>
    <cellStyle name="Normal 3 3 4 2 2 4 2 2 3" xfId="43377" xr:uid="{00000000-0005-0000-0000-000017870000}"/>
    <cellStyle name="Normal 3 3 4 2 2 4 2 3" xfId="23025" xr:uid="{00000000-0005-0000-0000-000018870000}"/>
    <cellStyle name="Normal 3 3 4 2 2 4 2 3 2" xfId="50158" xr:uid="{00000000-0005-0000-0000-000019870000}"/>
    <cellStyle name="Normal 3 3 4 2 2 4 2 4" xfId="36596" xr:uid="{00000000-0005-0000-0000-00001A870000}"/>
    <cellStyle name="Normal 3 3 4 2 2 4 3" xfId="12849" xr:uid="{00000000-0005-0000-0000-00001B870000}"/>
    <cellStyle name="Normal 3 3 4 2 2 4 3 2" xfId="26417" xr:uid="{00000000-0005-0000-0000-00001C870000}"/>
    <cellStyle name="Normal 3 3 4 2 2 4 3 2 2" xfId="53550" xr:uid="{00000000-0005-0000-0000-00001D870000}"/>
    <cellStyle name="Normal 3 3 4 2 2 4 3 3" xfId="39988" xr:uid="{00000000-0005-0000-0000-00001E870000}"/>
    <cellStyle name="Normal 3 3 4 2 2 4 4" xfId="19636" xr:uid="{00000000-0005-0000-0000-00001F870000}"/>
    <cellStyle name="Normal 3 3 4 2 2 4 4 2" xfId="46769" xr:uid="{00000000-0005-0000-0000-000020870000}"/>
    <cellStyle name="Normal 3 3 4 2 2 4 5" xfId="33207" xr:uid="{00000000-0005-0000-0000-000021870000}"/>
    <cellStyle name="Normal 3 3 4 2 2 5" xfId="5906" xr:uid="{00000000-0005-0000-0000-000022870000}"/>
    <cellStyle name="Normal 3 3 4 2 2 5 2" xfId="9449" xr:uid="{00000000-0005-0000-0000-000023870000}"/>
    <cellStyle name="Normal 3 3 4 2 2 5 2 2" xfId="16239" xr:uid="{00000000-0005-0000-0000-000024870000}"/>
    <cellStyle name="Normal 3 3 4 2 2 5 2 2 2" xfId="29807" xr:uid="{00000000-0005-0000-0000-000025870000}"/>
    <cellStyle name="Normal 3 3 4 2 2 5 2 2 2 2" xfId="56940" xr:uid="{00000000-0005-0000-0000-000026870000}"/>
    <cellStyle name="Normal 3 3 4 2 2 5 2 2 3" xfId="43378" xr:uid="{00000000-0005-0000-0000-000027870000}"/>
    <cellStyle name="Normal 3 3 4 2 2 5 2 3" xfId="23026" xr:uid="{00000000-0005-0000-0000-000028870000}"/>
    <cellStyle name="Normal 3 3 4 2 2 5 2 3 2" xfId="50159" xr:uid="{00000000-0005-0000-0000-000029870000}"/>
    <cellStyle name="Normal 3 3 4 2 2 5 2 4" xfId="36597" xr:uid="{00000000-0005-0000-0000-00002A870000}"/>
    <cellStyle name="Normal 3 3 4 2 2 5 3" xfId="12850" xr:uid="{00000000-0005-0000-0000-00002B870000}"/>
    <cellStyle name="Normal 3 3 4 2 2 5 3 2" xfId="26418" xr:uid="{00000000-0005-0000-0000-00002C870000}"/>
    <cellStyle name="Normal 3 3 4 2 2 5 3 2 2" xfId="53551" xr:uid="{00000000-0005-0000-0000-00002D870000}"/>
    <cellStyle name="Normal 3 3 4 2 2 5 3 3" xfId="39989" xr:uid="{00000000-0005-0000-0000-00002E870000}"/>
    <cellStyle name="Normal 3 3 4 2 2 5 4" xfId="19637" xr:uid="{00000000-0005-0000-0000-00002F870000}"/>
    <cellStyle name="Normal 3 3 4 2 2 5 4 2" xfId="46770" xr:uid="{00000000-0005-0000-0000-000030870000}"/>
    <cellStyle name="Normal 3 3 4 2 2 5 5" xfId="33208" xr:uid="{00000000-0005-0000-0000-000031870000}"/>
    <cellStyle name="Normal 3 3 4 2 2 6" xfId="9442" xr:uid="{00000000-0005-0000-0000-000032870000}"/>
    <cellStyle name="Normal 3 3 4 2 2 6 2" xfId="16232" xr:uid="{00000000-0005-0000-0000-000033870000}"/>
    <cellStyle name="Normal 3 3 4 2 2 6 2 2" xfId="29800" xr:uid="{00000000-0005-0000-0000-000034870000}"/>
    <cellStyle name="Normal 3 3 4 2 2 6 2 2 2" xfId="56933" xr:uid="{00000000-0005-0000-0000-000035870000}"/>
    <cellStyle name="Normal 3 3 4 2 2 6 2 3" xfId="43371" xr:uid="{00000000-0005-0000-0000-000036870000}"/>
    <cellStyle name="Normal 3 3 4 2 2 6 3" xfId="23019" xr:uid="{00000000-0005-0000-0000-000037870000}"/>
    <cellStyle name="Normal 3 3 4 2 2 6 3 2" xfId="50152" xr:uid="{00000000-0005-0000-0000-000038870000}"/>
    <cellStyle name="Normal 3 3 4 2 2 6 4" xfId="36590" xr:uid="{00000000-0005-0000-0000-000039870000}"/>
    <cellStyle name="Normal 3 3 4 2 2 7" xfId="12843" xr:uid="{00000000-0005-0000-0000-00003A870000}"/>
    <cellStyle name="Normal 3 3 4 2 2 7 2" xfId="26411" xr:uid="{00000000-0005-0000-0000-00003B870000}"/>
    <cellStyle name="Normal 3 3 4 2 2 7 2 2" xfId="53544" xr:uid="{00000000-0005-0000-0000-00003C870000}"/>
    <cellStyle name="Normal 3 3 4 2 2 7 3" xfId="39982" xr:uid="{00000000-0005-0000-0000-00003D870000}"/>
    <cellStyle name="Normal 3 3 4 2 2 8" xfId="19630" xr:uid="{00000000-0005-0000-0000-00003E870000}"/>
    <cellStyle name="Normal 3 3 4 2 2 8 2" xfId="46763" xr:uid="{00000000-0005-0000-0000-00003F870000}"/>
    <cellStyle name="Normal 3 3 4 2 2 9" xfId="33201" xr:uid="{00000000-0005-0000-0000-000040870000}"/>
    <cellStyle name="Normal 3 3 4 2 3" xfId="5907" xr:uid="{00000000-0005-0000-0000-000041870000}"/>
    <cellStyle name="Normal 3 3 4 2 3 2" xfId="5908" xr:uid="{00000000-0005-0000-0000-000042870000}"/>
    <cellStyle name="Normal 3 3 4 2 3 2 2" xfId="9451" xr:uid="{00000000-0005-0000-0000-000043870000}"/>
    <cellStyle name="Normal 3 3 4 2 3 2 2 2" xfId="16241" xr:uid="{00000000-0005-0000-0000-000044870000}"/>
    <cellStyle name="Normal 3 3 4 2 3 2 2 2 2" xfId="29809" xr:uid="{00000000-0005-0000-0000-000045870000}"/>
    <cellStyle name="Normal 3 3 4 2 3 2 2 2 2 2" xfId="56942" xr:uid="{00000000-0005-0000-0000-000046870000}"/>
    <cellStyle name="Normal 3 3 4 2 3 2 2 2 3" xfId="43380" xr:uid="{00000000-0005-0000-0000-000047870000}"/>
    <cellStyle name="Normal 3 3 4 2 3 2 2 3" xfId="23028" xr:uid="{00000000-0005-0000-0000-000048870000}"/>
    <cellStyle name="Normal 3 3 4 2 3 2 2 3 2" xfId="50161" xr:uid="{00000000-0005-0000-0000-000049870000}"/>
    <cellStyle name="Normal 3 3 4 2 3 2 2 4" xfId="36599" xr:uid="{00000000-0005-0000-0000-00004A870000}"/>
    <cellStyle name="Normal 3 3 4 2 3 2 3" xfId="12852" xr:uid="{00000000-0005-0000-0000-00004B870000}"/>
    <cellStyle name="Normal 3 3 4 2 3 2 3 2" xfId="26420" xr:uid="{00000000-0005-0000-0000-00004C870000}"/>
    <cellStyle name="Normal 3 3 4 2 3 2 3 2 2" xfId="53553" xr:uid="{00000000-0005-0000-0000-00004D870000}"/>
    <cellStyle name="Normal 3 3 4 2 3 2 3 3" xfId="39991" xr:uid="{00000000-0005-0000-0000-00004E870000}"/>
    <cellStyle name="Normal 3 3 4 2 3 2 4" xfId="19639" xr:uid="{00000000-0005-0000-0000-00004F870000}"/>
    <cellStyle name="Normal 3 3 4 2 3 2 4 2" xfId="46772" xr:uid="{00000000-0005-0000-0000-000050870000}"/>
    <cellStyle name="Normal 3 3 4 2 3 2 5" xfId="33210" xr:uid="{00000000-0005-0000-0000-000051870000}"/>
    <cellStyle name="Normal 3 3 4 2 3 3" xfId="5909" xr:uid="{00000000-0005-0000-0000-000052870000}"/>
    <cellStyle name="Normal 3 3 4 2 3 3 2" xfId="9452" xr:uid="{00000000-0005-0000-0000-000053870000}"/>
    <cellStyle name="Normal 3 3 4 2 3 3 2 2" xfId="16242" xr:uid="{00000000-0005-0000-0000-000054870000}"/>
    <cellStyle name="Normal 3 3 4 2 3 3 2 2 2" xfId="29810" xr:uid="{00000000-0005-0000-0000-000055870000}"/>
    <cellStyle name="Normal 3 3 4 2 3 3 2 2 2 2" xfId="56943" xr:uid="{00000000-0005-0000-0000-000056870000}"/>
    <cellStyle name="Normal 3 3 4 2 3 3 2 2 3" xfId="43381" xr:uid="{00000000-0005-0000-0000-000057870000}"/>
    <cellStyle name="Normal 3 3 4 2 3 3 2 3" xfId="23029" xr:uid="{00000000-0005-0000-0000-000058870000}"/>
    <cellStyle name="Normal 3 3 4 2 3 3 2 3 2" xfId="50162" xr:uid="{00000000-0005-0000-0000-000059870000}"/>
    <cellStyle name="Normal 3 3 4 2 3 3 2 4" xfId="36600" xr:uid="{00000000-0005-0000-0000-00005A870000}"/>
    <cellStyle name="Normal 3 3 4 2 3 3 3" xfId="12853" xr:uid="{00000000-0005-0000-0000-00005B870000}"/>
    <cellStyle name="Normal 3 3 4 2 3 3 3 2" xfId="26421" xr:uid="{00000000-0005-0000-0000-00005C870000}"/>
    <cellStyle name="Normal 3 3 4 2 3 3 3 2 2" xfId="53554" xr:uid="{00000000-0005-0000-0000-00005D870000}"/>
    <cellStyle name="Normal 3 3 4 2 3 3 3 3" xfId="39992" xr:uid="{00000000-0005-0000-0000-00005E870000}"/>
    <cellStyle name="Normal 3 3 4 2 3 3 4" xfId="19640" xr:uid="{00000000-0005-0000-0000-00005F870000}"/>
    <cellStyle name="Normal 3 3 4 2 3 3 4 2" xfId="46773" xr:uid="{00000000-0005-0000-0000-000060870000}"/>
    <cellStyle name="Normal 3 3 4 2 3 3 5" xfId="33211" xr:uid="{00000000-0005-0000-0000-000061870000}"/>
    <cellStyle name="Normal 3 3 4 2 3 4" xfId="9450" xr:uid="{00000000-0005-0000-0000-000062870000}"/>
    <cellStyle name="Normal 3 3 4 2 3 4 2" xfId="16240" xr:uid="{00000000-0005-0000-0000-000063870000}"/>
    <cellStyle name="Normal 3 3 4 2 3 4 2 2" xfId="29808" xr:uid="{00000000-0005-0000-0000-000064870000}"/>
    <cellStyle name="Normal 3 3 4 2 3 4 2 2 2" xfId="56941" xr:uid="{00000000-0005-0000-0000-000065870000}"/>
    <cellStyle name="Normal 3 3 4 2 3 4 2 3" xfId="43379" xr:uid="{00000000-0005-0000-0000-000066870000}"/>
    <cellStyle name="Normal 3 3 4 2 3 4 3" xfId="23027" xr:uid="{00000000-0005-0000-0000-000067870000}"/>
    <cellStyle name="Normal 3 3 4 2 3 4 3 2" xfId="50160" xr:uid="{00000000-0005-0000-0000-000068870000}"/>
    <cellStyle name="Normal 3 3 4 2 3 4 4" xfId="36598" xr:uid="{00000000-0005-0000-0000-000069870000}"/>
    <cellStyle name="Normal 3 3 4 2 3 5" xfId="12851" xr:uid="{00000000-0005-0000-0000-00006A870000}"/>
    <cellStyle name="Normal 3 3 4 2 3 5 2" xfId="26419" xr:uid="{00000000-0005-0000-0000-00006B870000}"/>
    <cellStyle name="Normal 3 3 4 2 3 5 2 2" xfId="53552" xr:uid="{00000000-0005-0000-0000-00006C870000}"/>
    <cellStyle name="Normal 3 3 4 2 3 5 3" xfId="39990" xr:uid="{00000000-0005-0000-0000-00006D870000}"/>
    <cellStyle name="Normal 3 3 4 2 3 6" xfId="19638" xr:uid="{00000000-0005-0000-0000-00006E870000}"/>
    <cellStyle name="Normal 3 3 4 2 3 6 2" xfId="46771" xr:uid="{00000000-0005-0000-0000-00006F870000}"/>
    <cellStyle name="Normal 3 3 4 2 3 7" xfId="33209" xr:uid="{00000000-0005-0000-0000-000070870000}"/>
    <cellStyle name="Normal 3 3 4 2 4" xfId="5910" xr:uid="{00000000-0005-0000-0000-000071870000}"/>
    <cellStyle name="Normal 3 3 4 2 4 2" xfId="5911" xr:uid="{00000000-0005-0000-0000-000072870000}"/>
    <cellStyle name="Normal 3 3 4 2 4 2 2" xfId="9454" xr:uid="{00000000-0005-0000-0000-000073870000}"/>
    <cellStyle name="Normal 3 3 4 2 4 2 2 2" xfId="16244" xr:uid="{00000000-0005-0000-0000-000074870000}"/>
    <cellStyle name="Normal 3 3 4 2 4 2 2 2 2" xfId="29812" xr:uid="{00000000-0005-0000-0000-000075870000}"/>
    <cellStyle name="Normal 3 3 4 2 4 2 2 2 2 2" xfId="56945" xr:uid="{00000000-0005-0000-0000-000076870000}"/>
    <cellStyle name="Normal 3 3 4 2 4 2 2 2 3" xfId="43383" xr:uid="{00000000-0005-0000-0000-000077870000}"/>
    <cellStyle name="Normal 3 3 4 2 4 2 2 3" xfId="23031" xr:uid="{00000000-0005-0000-0000-000078870000}"/>
    <cellStyle name="Normal 3 3 4 2 4 2 2 3 2" xfId="50164" xr:uid="{00000000-0005-0000-0000-000079870000}"/>
    <cellStyle name="Normal 3 3 4 2 4 2 2 4" xfId="36602" xr:uid="{00000000-0005-0000-0000-00007A870000}"/>
    <cellStyle name="Normal 3 3 4 2 4 2 3" xfId="12855" xr:uid="{00000000-0005-0000-0000-00007B870000}"/>
    <cellStyle name="Normal 3 3 4 2 4 2 3 2" xfId="26423" xr:uid="{00000000-0005-0000-0000-00007C870000}"/>
    <cellStyle name="Normal 3 3 4 2 4 2 3 2 2" xfId="53556" xr:uid="{00000000-0005-0000-0000-00007D870000}"/>
    <cellStyle name="Normal 3 3 4 2 4 2 3 3" xfId="39994" xr:uid="{00000000-0005-0000-0000-00007E870000}"/>
    <cellStyle name="Normal 3 3 4 2 4 2 4" xfId="19642" xr:uid="{00000000-0005-0000-0000-00007F870000}"/>
    <cellStyle name="Normal 3 3 4 2 4 2 4 2" xfId="46775" xr:uid="{00000000-0005-0000-0000-000080870000}"/>
    <cellStyle name="Normal 3 3 4 2 4 2 5" xfId="33213" xr:uid="{00000000-0005-0000-0000-000081870000}"/>
    <cellStyle name="Normal 3 3 4 2 4 3" xfId="9453" xr:uid="{00000000-0005-0000-0000-000082870000}"/>
    <cellStyle name="Normal 3 3 4 2 4 3 2" xfId="16243" xr:uid="{00000000-0005-0000-0000-000083870000}"/>
    <cellStyle name="Normal 3 3 4 2 4 3 2 2" xfId="29811" xr:uid="{00000000-0005-0000-0000-000084870000}"/>
    <cellStyle name="Normal 3 3 4 2 4 3 2 2 2" xfId="56944" xr:uid="{00000000-0005-0000-0000-000085870000}"/>
    <cellStyle name="Normal 3 3 4 2 4 3 2 3" xfId="43382" xr:uid="{00000000-0005-0000-0000-000086870000}"/>
    <cellStyle name="Normal 3 3 4 2 4 3 3" xfId="23030" xr:uid="{00000000-0005-0000-0000-000087870000}"/>
    <cellStyle name="Normal 3 3 4 2 4 3 3 2" xfId="50163" xr:uid="{00000000-0005-0000-0000-000088870000}"/>
    <cellStyle name="Normal 3 3 4 2 4 3 4" xfId="36601" xr:uid="{00000000-0005-0000-0000-000089870000}"/>
    <cellStyle name="Normal 3 3 4 2 4 4" xfId="12854" xr:uid="{00000000-0005-0000-0000-00008A870000}"/>
    <cellStyle name="Normal 3 3 4 2 4 4 2" xfId="26422" xr:uid="{00000000-0005-0000-0000-00008B870000}"/>
    <cellStyle name="Normal 3 3 4 2 4 4 2 2" xfId="53555" xr:uid="{00000000-0005-0000-0000-00008C870000}"/>
    <cellStyle name="Normal 3 3 4 2 4 4 3" xfId="39993" xr:uid="{00000000-0005-0000-0000-00008D870000}"/>
    <cellStyle name="Normal 3 3 4 2 4 5" xfId="19641" xr:uid="{00000000-0005-0000-0000-00008E870000}"/>
    <cellStyle name="Normal 3 3 4 2 4 5 2" xfId="46774" xr:uid="{00000000-0005-0000-0000-00008F870000}"/>
    <cellStyle name="Normal 3 3 4 2 4 6" xfId="33212" xr:uid="{00000000-0005-0000-0000-000090870000}"/>
    <cellStyle name="Normal 3 3 4 2 5" xfId="5912" xr:uid="{00000000-0005-0000-0000-000091870000}"/>
    <cellStyle name="Normal 3 3 4 2 5 2" xfId="9455" xr:uid="{00000000-0005-0000-0000-000092870000}"/>
    <cellStyle name="Normal 3 3 4 2 5 2 2" xfId="16245" xr:uid="{00000000-0005-0000-0000-000093870000}"/>
    <cellStyle name="Normal 3 3 4 2 5 2 2 2" xfId="29813" xr:uid="{00000000-0005-0000-0000-000094870000}"/>
    <cellStyle name="Normal 3 3 4 2 5 2 2 2 2" xfId="56946" xr:uid="{00000000-0005-0000-0000-000095870000}"/>
    <cellStyle name="Normal 3 3 4 2 5 2 2 3" xfId="43384" xr:uid="{00000000-0005-0000-0000-000096870000}"/>
    <cellStyle name="Normal 3 3 4 2 5 2 3" xfId="23032" xr:uid="{00000000-0005-0000-0000-000097870000}"/>
    <cellStyle name="Normal 3 3 4 2 5 2 3 2" xfId="50165" xr:uid="{00000000-0005-0000-0000-000098870000}"/>
    <cellStyle name="Normal 3 3 4 2 5 2 4" xfId="36603" xr:uid="{00000000-0005-0000-0000-000099870000}"/>
    <cellStyle name="Normal 3 3 4 2 5 3" xfId="12856" xr:uid="{00000000-0005-0000-0000-00009A870000}"/>
    <cellStyle name="Normal 3 3 4 2 5 3 2" xfId="26424" xr:uid="{00000000-0005-0000-0000-00009B870000}"/>
    <cellStyle name="Normal 3 3 4 2 5 3 2 2" xfId="53557" xr:uid="{00000000-0005-0000-0000-00009C870000}"/>
    <cellStyle name="Normal 3 3 4 2 5 3 3" xfId="39995" xr:uid="{00000000-0005-0000-0000-00009D870000}"/>
    <cellStyle name="Normal 3 3 4 2 5 4" xfId="19643" xr:uid="{00000000-0005-0000-0000-00009E870000}"/>
    <cellStyle name="Normal 3 3 4 2 5 4 2" xfId="46776" xr:uid="{00000000-0005-0000-0000-00009F870000}"/>
    <cellStyle name="Normal 3 3 4 2 5 5" xfId="33214" xr:uid="{00000000-0005-0000-0000-0000A0870000}"/>
    <cellStyle name="Normal 3 3 4 2 6" xfId="5913" xr:uid="{00000000-0005-0000-0000-0000A1870000}"/>
    <cellStyle name="Normal 3 3 4 2 6 2" xfId="9456" xr:uid="{00000000-0005-0000-0000-0000A2870000}"/>
    <cellStyle name="Normal 3 3 4 2 6 2 2" xfId="16246" xr:uid="{00000000-0005-0000-0000-0000A3870000}"/>
    <cellStyle name="Normal 3 3 4 2 6 2 2 2" xfId="29814" xr:uid="{00000000-0005-0000-0000-0000A4870000}"/>
    <cellStyle name="Normal 3 3 4 2 6 2 2 2 2" xfId="56947" xr:uid="{00000000-0005-0000-0000-0000A5870000}"/>
    <cellStyle name="Normal 3 3 4 2 6 2 2 3" xfId="43385" xr:uid="{00000000-0005-0000-0000-0000A6870000}"/>
    <cellStyle name="Normal 3 3 4 2 6 2 3" xfId="23033" xr:uid="{00000000-0005-0000-0000-0000A7870000}"/>
    <cellStyle name="Normal 3 3 4 2 6 2 3 2" xfId="50166" xr:uid="{00000000-0005-0000-0000-0000A8870000}"/>
    <cellStyle name="Normal 3 3 4 2 6 2 4" xfId="36604" xr:uid="{00000000-0005-0000-0000-0000A9870000}"/>
    <cellStyle name="Normal 3 3 4 2 6 3" xfId="12857" xr:uid="{00000000-0005-0000-0000-0000AA870000}"/>
    <cellStyle name="Normal 3 3 4 2 6 3 2" xfId="26425" xr:uid="{00000000-0005-0000-0000-0000AB870000}"/>
    <cellStyle name="Normal 3 3 4 2 6 3 2 2" xfId="53558" xr:uid="{00000000-0005-0000-0000-0000AC870000}"/>
    <cellStyle name="Normal 3 3 4 2 6 3 3" xfId="39996" xr:uid="{00000000-0005-0000-0000-0000AD870000}"/>
    <cellStyle name="Normal 3 3 4 2 6 4" xfId="19644" xr:uid="{00000000-0005-0000-0000-0000AE870000}"/>
    <cellStyle name="Normal 3 3 4 2 6 4 2" xfId="46777" xr:uid="{00000000-0005-0000-0000-0000AF870000}"/>
    <cellStyle name="Normal 3 3 4 2 6 5" xfId="33215" xr:uid="{00000000-0005-0000-0000-0000B0870000}"/>
    <cellStyle name="Normal 3 3 4 2 7" xfId="7510" xr:uid="{00000000-0005-0000-0000-0000B1870000}"/>
    <cellStyle name="Normal 3 3 4 2 7 2" xfId="14300" xr:uid="{00000000-0005-0000-0000-0000B2870000}"/>
    <cellStyle name="Normal 3 3 4 2 7 2 2" xfId="27868" xr:uid="{00000000-0005-0000-0000-0000B3870000}"/>
    <cellStyle name="Normal 3 3 4 2 7 2 2 2" xfId="55001" xr:uid="{00000000-0005-0000-0000-0000B4870000}"/>
    <cellStyle name="Normal 3 3 4 2 7 2 3" xfId="41439" xr:uid="{00000000-0005-0000-0000-0000B5870000}"/>
    <cellStyle name="Normal 3 3 4 2 7 3" xfId="21087" xr:uid="{00000000-0005-0000-0000-0000B6870000}"/>
    <cellStyle name="Normal 3 3 4 2 7 3 2" xfId="48220" xr:uid="{00000000-0005-0000-0000-0000B7870000}"/>
    <cellStyle name="Normal 3 3 4 2 7 4" xfId="34658" xr:uid="{00000000-0005-0000-0000-0000B8870000}"/>
    <cellStyle name="Normal 3 3 4 2 8" xfId="10911" xr:uid="{00000000-0005-0000-0000-0000B9870000}"/>
    <cellStyle name="Normal 3 3 4 2 8 2" xfId="24479" xr:uid="{00000000-0005-0000-0000-0000BA870000}"/>
    <cellStyle name="Normal 3 3 4 2 8 2 2" xfId="51612" xr:uid="{00000000-0005-0000-0000-0000BB870000}"/>
    <cellStyle name="Normal 3 3 4 2 8 3" xfId="38050" xr:uid="{00000000-0005-0000-0000-0000BC870000}"/>
    <cellStyle name="Normal 3 3 4 2 9" xfId="17698" xr:uid="{00000000-0005-0000-0000-0000BD870000}"/>
    <cellStyle name="Normal 3 3 4 2 9 2" xfId="44831" xr:uid="{00000000-0005-0000-0000-0000BE870000}"/>
    <cellStyle name="Normal 3 3 4 3" xfId="5914" xr:uid="{00000000-0005-0000-0000-0000BF870000}"/>
    <cellStyle name="Normal 3 3 4 3 2" xfId="5915" xr:uid="{00000000-0005-0000-0000-0000C0870000}"/>
    <cellStyle name="Normal 3 3 4 3 2 2" xfId="5916" xr:uid="{00000000-0005-0000-0000-0000C1870000}"/>
    <cellStyle name="Normal 3 3 4 3 2 2 2" xfId="9459" xr:uid="{00000000-0005-0000-0000-0000C2870000}"/>
    <cellStyle name="Normal 3 3 4 3 2 2 2 2" xfId="16249" xr:uid="{00000000-0005-0000-0000-0000C3870000}"/>
    <cellStyle name="Normal 3 3 4 3 2 2 2 2 2" xfId="29817" xr:uid="{00000000-0005-0000-0000-0000C4870000}"/>
    <cellStyle name="Normal 3 3 4 3 2 2 2 2 2 2" xfId="56950" xr:uid="{00000000-0005-0000-0000-0000C5870000}"/>
    <cellStyle name="Normal 3 3 4 3 2 2 2 2 3" xfId="43388" xr:uid="{00000000-0005-0000-0000-0000C6870000}"/>
    <cellStyle name="Normal 3 3 4 3 2 2 2 3" xfId="23036" xr:uid="{00000000-0005-0000-0000-0000C7870000}"/>
    <cellStyle name="Normal 3 3 4 3 2 2 2 3 2" xfId="50169" xr:uid="{00000000-0005-0000-0000-0000C8870000}"/>
    <cellStyle name="Normal 3 3 4 3 2 2 2 4" xfId="36607" xr:uid="{00000000-0005-0000-0000-0000C9870000}"/>
    <cellStyle name="Normal 3 3 4 3 2 2 3" xfId="12860" xr:uid="{00000000-0005-0000-0000-0000CA870000}"/>
    <cellStyle name="Normal 3 3 4 3 2 2 3 2" xfId="26428" xr:uid="{00000000-0005-0000-0000-0000CB870000}"/>
    <cellStyle name="Normal 3 3 4 3 2 2 3 2 2" xfId="53561" xr:uid="{00000000-0005-0000-0000-0000CC870000}"/>
    <cellStyle name="Normal 3 3 4 3 2 2 3 3" xfId="39999" xr:uid="{00000000-0005-0000-0000-0000CD870000}"/>
    <cellStyle name="Normal 3 3 4 3 2 2 4" xfId="19647" xr:uid="{00000000-0005-0000-0000-0000CE870000}"/>
    <cellStyle name="Normal 3 3 4 3 2 2 4 2" xfId="46780" xr:uid="{00000000-0005-0000-0000-0000CF870000}"/>
    <cellStyle name="Normal 3 3 4 3 2 2 5" xfId="33218" xr:uid="{00000000-0005-0000-0000-0000D0870000}"/>
    <cellStyle name="Normal 3 3 4 3 2 3" xfId="5917" xr:uid="{00000000-0005-0000-0000-0000D1870000}"/>
    <cellStyle name="Normal 3 3 4 3 2 3 2" xfId="9460" xr:uid="{00000000-0005-0000-0000-0000D2870000}"/>
    <cellStyle name="Normal 3 3 4 3 2 3 2 2" xfId="16250" xr:uid="{00000000-0005-0000-0000-0000D3870000}"/>
    <cellStyle name="Normal 3 3 4 3 2 3 2 2 2" xfId="29818" xr:uid="{00000000-0005-0000-0000-0000D4870000}"/>
    <cellStyle name="Normal 3 3 4 3 2 3 2 2 2 2" xfId="56951" xr:uid="{00000000-0005-0000-0000-0000D5870000}"/>
    <cellStyle name="Normal 3 3 4 3 2 3 2 2 3" xfId="43389" xr:uid="{00000000-0005-0000-0000-0000D6870000}"/>
    <cellStyle name="Normal 3 3 4 3 2 3 2 3" xfId="23037" xr:uid="{00000000-0005-0000-0000-0000D7870000}"/>
    <cellStyle name="Normal 3 3 4 3 2 3 2 3 2" xfId="50170" xr:uid="{00000000-0005-0000-0000-0000D8870000}"/>
    <cellStyle name="Normal 3 3 4 3 2 3 2 4" xfId="36608" xr:uid="{00000000-0005-0000-0000-0000D9870000}"/>
    <cellStyle name="Normal 3 3 4 3 2 3 3" xfId="12861" xr:uid="{00000000-0005-0000-0000-0000DA870000}"/>
    <cellStyle name="Normal 3 3 4 3 2 3 3 2" xfId="26429" xr:uid="{00000000-0005-0000-0000-0000DB870000}"/>
    <cellStyle name="Normal 3 3 4 3 2 3 3 2 2" xfId="53562" xr:uid="{00000000-0005-0000-0000-0000DC870000}"/>
    <cellStyle name="Normal 3 3 4 3 2 3 3 3" xfId="40000" xr:uid="{00000000-0005-0000-0000-0000DD870000}"/>
    <cellStyle name="Normal 3 3 4 3 2 3 4" xfId="19648" xr:uid="{00000000-0005-0000-0000-0000DE870000}"/>
    <cellStyle name="Normal 3 3 4 3 2 3 4 2" xfId="46781" xr:uid="{00000000-0005-0000-0000-0000DF870000}"/>
    <cellStyle name="Normal 3 3 4 3 2 3 5" xfId="33219" xr:uid="{00000000-0005-0000-0000-0000E0870000}"/>
    <cellStyle name="Normal 3 3 4 3 2 4" xfId="9458" xr:uid="{00000000-0005-0000-0000-0000E1870000}"/>
    <cellStyle name="Normal 3 3 4 3 2 4 2" xfId="16248" xr:uid="{00000000-0005-0000-0000-0000E2870000}"/>
    <cellStyle name="Normal 3 3 4 3 2 4 2 2" xfId="29816" xr:uid="{00000000-0005-0000-0000-0000E3870000}"/>
    <cellStyle name="Normal 3 3 4 3 2 4 2 2 2" xfId="56949" xr:uid="{00000000-0005-0000-0000-0000E4870000}"/>
    <cellStyle name="Normal 3 3 4 3 2 4 2 3" xfId="43387" xr:uid="{00000000-0005-0000-0000-0000E5870000}"/>
    <cellStyle name="Normal 3 3 4 3 2 4 3" xfId="23035" xr:uid="{00000000-0005-0000-0000-0000E6870000}"/>
    <cellStyle name="Normal 3 3 4 3 2 4 3 2" xfId="50168" xr:uid="{00000000-0005-0000-0000-0000E7870000}"/>
    <cellStyle name="Normal 3 3 4 3 2 4 4" xfId="36606" xr:uid="{00000000-0005-0000-0000-0000E8870000}"/>
    <cellStyle name="Normal 3 3 4 3 2 5" xfId="12859" xr:uid="{00000000-0005-0000-0000-0000E9870000}"/>
    <cellStyle name="Normal 3 3 4 3 2 5 2" xfId="26427" xr:uid="{00000000-0005-0000-0000-0000EA870000}"/>
    <cellStyle name="Normal 3 3 4 3 2 5 2 2" xfId="53560" xr:uid="{00000000-0005-0000-0000-0000EB870000}"/>
    <cellStyle name="Normal 3 3 4 3 2 5 3" xfId="39998" xr:uid="{00000000-0005-0000-0000-0000EC870000}"/>
    <cellStyle name="Normal 3 3 4 3 2 6" xfId="19646" xr:uid="{00000000-0005-0000-0000-0000ED870000}"/>
    <cellStyle name="Normal 3 3 4 3 2 6 2" xfId="46779" xr:uid="{00000000-0005-0000-0000-0000EE870000}"/>
    <cellStyle name="Normal 3 3 4 3 2 7" xfId="33217" xr:uid="{00000000-0005-0000-0000-0000EF870000}"/>
    <cellStyle name="Normal 3 3 4 3 3" xfId="5918" xr:uid="{00000000-0005-0000-0000-0000F0870000}"/>
    <cellStyle name="Normal 3 3 4 3 3 2" xfId="5919" xr:uid="{00000000-0005-0000-0000-0000F1870000}"/>
    <cellStyle name="Normal 3 3 4 3 3 2 2" xfId="9462" xr:uid="{00000000-0005-0000-0000-0000F2870000}"/>
    <cellStyle name="Normal 3 3 4 3 3 2 2 2" xfId="16252" xr:uid="{00000000-0005-0000-0000-0000F3870000}"/>
    <cellStyle name="Normal 3 3 4 3 3 2 2 2 2" xfId="29820" xr:uid="{00000000-0005-0000-0000-0000F4870000}"/>
    <cellStyle name="Normal 3 3 4 3 3 2 2 2 2 2" xfId="56953" xr:uid="{00000000-0005-0000-0000-0000F5870000}"/>
    <cellStyle name="Normal 3 3 4 3 3 2 2 2 3" xfId="43391" xr:uid="{00000000-0005-0000-0000-0000F6870000}"/>
    <cellStyle name="Normal 3 3 4 3 3 2 2 3" xfId="23039" xr:uid="{00000000-0005-0000-0000-0000F7870000}"/>
    <cellStyle name="Normal 3 3 4 3 3 2 2 3 2" xfId="50172" xr:uid="{00000000-0005-0000-0000-0000F8870000}"/>
    <cellStyle name="Normal 3 3 4 3 3 2 2 4" xfId="36610" xr:uid="{00000000-0005-0000-0000-0000F9870000}"/>
    <cellStyle name="Normal 3 3 4 3 3 2 3" xfId="12863" xr:uid="{00000000-0005-0000-0000-0000FA870000}"/>
    <cellStyle name="Normal 3 3 4 3 3 2 3 2" xfId="26431" xr:uid="{00000000-0005-0000-0000-0000FB870000}"/>
    <cellStyle name="Normal 3 3 4 3 3 2 3 2 2" xfId="53564" xr:uid="{00000000-0005-0000-0000-0000FC870000}"/>
    <cellStyle name="Normal 3 3 4 3 3 2 3 3" xfId="40002" xr:uid="{00000000-0005-0000-0000-0000FD870000}"/>
    <cellStyle name="Normal 3 3 4 3 3 2 4" xfId="19650" xr:uid="{00000000-0005-0000-0000-0000FE870000}"/>
    <cellStyle name="Normal 3 3 4 3 3 2 4 2" xfId="46783" xr:uid="{00000000-0005-0000-0000-0000FF870000}"/>
    <cellStyle name="Normal 3 3 4 3 3 2 5" xfId="33221" xr:uid="{00000000-0005-0000-0000-000000880000}"/>
    <cellStyle name="Normal 3 3 4 3 3 3" xfId="9461" xr:uid="{00000000-0005-0000-0000-000001880000}"/>
    <cellStyle name="Normal 3 3 4 3 3 3 2" xfId="16251" xr:uid="{00000000-0005-0000-0000-000002880000}"/>
    <cellStyle name="Normal 3 3 4 3 3 3 2 2" xfId="29819" xr:uid="{00000000-0005-0000-0000-000003880000}"/>
    <cellStyle name="Normal 3 3 4 3 3 3 2 2 2" xfId="56952" xr:uid="{00000000-0005-0000-0000-000004880000}"/>
    <cellStyle name="Normal 3 3 4 3 3 3 2 3" xfId="43390" xr:uid="{00000000-0005-0000-0000-000005880000}"/>
    <cellStyle name="Normal 3 3 4 3 3 3 3" xfId="23038" xr:uid="{00000000-0005-0000-0000-000006880000}"/>
    <cellStyle name="Normal 3 3 4 3 3 3 3 2" xfId="50171" xr:uid="{00000000-0005-0000-0000-000007880000}"/>
    <cellStyle name="Normal 3 3 4 3 3 3 4" xfId="36609" xr:uid="{00000000-0005-0000-0000-000008880000}"/>
    <cellStyle name="Normal 3 3 4 3 3 4" xfId="12862" xr:uid="{00000000-0005-0000-0000-000009880000}"/>
    <cellStyle name="Normal 3 3 4 3 3 4 2" xfId="26430" xr:uid="{00000000-0005-0000-0000-00000A880000}"/>
    <cellStyle name="Normal 3 3 4 3 3 4 2 2" xfId="53563" xr:uid="{00000000-0005-0000-0000-00000B880000}"/>
    <cellStyle name="Normal 3 3 4 3 3 4 3" xfId="40001" xr:uid="{00000000-0005-0000-0000-00000C880000}"/>
    <cellStyle name="Normal 3 3 4 3 3 5" xfId="19649" xr:uid="{00000000-0005-0000-0000-00000D880000}"/>
    <cellStyle name="Normal 3 3 4 3 3 5 2" xfId="46782" xr:uid="{00000000-0005-0000-0000-00000E880000}"/>
    <cellStyle name="Normal 3 3 4 3 3 6" xfId="33220" xr:uid="{00000000-0005-0000-0000-00000F880000}"/>
    <cellStyle name="Normal 3 3 4 3 4" xfId="5920" xr:uid="{00000000-0005-0000-0000-000010880000}"/>
    <cellStyle name="Normal 3 3 4 3 4 2" xfId="9463" xr:uid="{00000000-0005-0000-0000-000011880000}"/>
    <cellStyle name="Normal 3 3 4 3 4 2 2" xfId="16253" xr:uid="{00000000-0005-0000-0000-000012880000}"/>
    <cellStyle name="Normal 3 3 4 3 4 2 2 2" xfId="29821" xr:uid="{00000000-0005-0000-0000-000013880000}"/>
    <cellStyle name="Normal 3 3 4 3 4 2 2 2 2" xfId="56954" xr:uid="{00000000-0005-0000-0000-000014880000}"/>
    <cellStyle name="Normal 3 3 4 3 4 2 2 3" xfId="43392" xr:uid="{00000000-0005-0000-0000-000015880000}"/>
    <cellStyle name="Normal 3 3 4 3 4 2 3" xfId="23040" xr:uid="{00000000-0005-0000-0000-000016880000}"/>
    <cellStyle name="Normal 3 3 4 3 4 2 3 2" xfId="50173" xr:uid="{00000000-0005-0000-0000-000017880000}"/>
    <cellStyle name="Normal 3 3 4 3 4 2 4" xfId="36611" xr:uid="{00000000-0005-0000-0000-000018880000}"/>
    <cellStyle name="Normal 3 3 4 3 4 3" xfId="12864" xr:uid="{00000000-0005-0000-0000-000019880000}"/>
    <cellStyle name="Normal 3 3 4 3 4 3 2" xfId="26432" xr:uid="{00000000-0005-0000-0000-00001A880000}"/>
    <cellStyle name="Normal 3 3 4 3 4 3 2 2" xfId="53565" xr:uid="{00000000-0005-0000-0000-00001B880000}"/>
    <cellStyle name="Normal 3 3 4 3 4 3 3" xfId="40003" xr:uid="{00000000-0005-0000-0000-00001C880000}"/>
    <cellStyle name="Normal 3 3 4 3 4 4" xfId="19651" xr:uid="{00000000-0005-0000-0000-00001D880000}"/>
    <cellStyle name="Normal 3 3 4 3 4 4 2" xfId="46784" xr:uid="{00000000-0005-0000-0000-00001E880000}"/>
    <cellStyle name="Normal 3 3 4 3 4 5" xfId="33222" xr:uid="{00000000-0005-0000-0000-00001F880000}"/>
    <cellStyle name="Normal 3 3 4 3 5" xfId="5921" xr:uid="{00000000-0005-0000-0000-000020880000}"/>
    <cellStyle name="Normal 3 3 4 3 5 2" xfId="9464" xr:uid="{00000000-0005-0000-0000-000021880000}"/>
    <cellStyle name="Normal 3 3 4 3 5 2 2" xfId="16254" xr:uid="{00000000-0005-0000-0000-000022880000}"/>
    <cellStyle name="Normal 3 3 4 3 5 2 2 2" xfId="29822" xr:uid="{00000000-0005-0000-0000-000023880000}"/>
    <cellStyle name="Normal 3 3 4 3 5 2 2 2 2" xfId="56955" xr:uid="{00000000-0005-0000-0000-000024880000}"/>
    <cellStyle name="Normal 3 3 4 3 5 2 2 3" xfId="43393" xr:uid="{00000000-0005-0000-0000-000025880000}"/>
    <cellStyle name="Normal 3 3 4 3 5 2 3" xfId="23041" xr:uid="{00000000-0005-0000-0000-000026880000}"/>
    <cellStyle name="Normal 3 3 4 3 5 2 3 2" xfId="50174" xr:uid="{00000000-0005-0000-0000-000027880000}"/>
    <cellStyle name="Normal 3 3 4 3 5 2 4" xfId="36612" xr:uid="{00000000-0005-0000-0000-000028880000}"/>
    <cellStyle name="Normal 3 3 4 3 5 3" xfId="12865" xr:uid="{00000000-0005-0000-0000-000029880000}"/>
    <cellStyle name="Normal 3 3 4 3 5 3 2" xfId="26433" xr:uid="{00000000-0005-0000-0000-00002A880000}"/>
    <cellStyle name="Normal 3 3 4 3 5 3 2 2" xfId="53566" xr:uid="{00000000-0005-0000-0000-00002B880000}"/>
    <cellStyle name="Normal 3 3 4 3 5 3 3" xfId="40004" xr:uid="{00000000-0005-0000-0000-00002C880000}"/>
    <cellStyle name="Normal 3 3 4 3 5 4" xfId="19652" xr:uid="{00000000-0005-0000-0000-00002D880000}"/>
    <cellStyle name="Normal 3 3 4 3 5 4 2" xfId="46785" xr:uid="{00000000-0005-0000-0000-00002E880000}"/>
    <cellStyle name="Normal 3 3 4 3 5 5" xfId="33223" xr:uid="{00000000-0005-0000-0000-00002F880000}"/>
    <cellStyle name="Normal 3 3 4 3 6" xfId="9457" xr:uid="{00000000-0005-0000-0000-000030880000}"/>
    <cellStyle name="Normal 3 3 4 3 6 2" xfId="16247" xr:uid="{00000000-0005-0000-0000-000031880000}"/>
    <cellStyle name="Normal 3 3 4 3 6 2 2" xfId="29815" xr:uid="{00000000-0005-0000-0000-000032880000}"/>
    <cellStyle name="Normal 3 3 4 3 6 2 2 2" xfId="56948" xr:uid="{00000000-0005-0000-0000-000033880000}"/>
    <cellStyle name="Normal 3 3 4 3 6 2 3" xfId="43386" xr:uid="{00000000-0005-0000-0000-000034880000}"/>
    <cellStyle name="Normal 3 3 4 3 6 3" xfId="23034" xr:uid="{00000000-0005-0000-0000-000035880000}"/>
    <cellStyle name="Normal 3 3 4 3 6 3 2" xfId="50167" xr:uid="{00000000-0005-0000-0000-000036880000}"/>
    <cellStyle name="Normal 3 3 4 3 6 4" xfId="36605" xr:uid="{00000000-0005-0000-0000-000037880000}"/>
    <cellStyle name="Normal 3 3 4 3 7" xfId="12858" xr:uid="{00000000-0005-0000-0000-000038880000}"/>
    <cellStyle name="Normal 3 3 4 3 7 2" xfId="26426" xr:uid="{00000000-0005-0000-0000-000039880000}"/>
    <cellStyle name="Normal 3 3 4 3 7 2 2" xfId="53559" xr:uid="{00000000-0005-0000-0000-00003A880000}"/>
    <cellStyle name="Normal 3 3 4 3 7 3" xfId="39997" xr:uid="{00000000-0005-0000-0000-00003B880000}"/>
    <cellStyle name="Normal 3 3 4 3 8" xfId="19645" xr:uid="{00000000-0005-0000-0000-00003C880000}"/>
    <cellStyle name="Normal 3 3 4 3 8 2" xfId="46778" xr:uid="{00000000-0005-0000-0000-00003D880000}"/>
    <cellStyle name="Normal 3 3 4 3 9" xfId="33216" xr:uid="{00000000-0005-0000-0000-00003E880000}"/>
    <cellStyle name="Normal 3 3 4 4" xfId="5922" xr:uid="{00000000-0005-0000-0000-00003F880000}"/>
    <cellStyle name="Normal 3 3 4 4 2" xfId="5923" xr:uid="{00000000-0005-0000-0000-000040880000}"/>
    <cellStyle name="Normal 3 3 4 4 2 2" xfId="5924" xr:uid="{00000000-0005-0000-0000-000041880000}"/>
    <cellStyle name="Normal 3 3 4 4 2 2 2" xfId="9467" xr:uid="{00000000-0005-0000-0000-000042880000}"/>
    <cellStyle name="Normal 3 3 4 4 2 2 2 2" xfId="16257" xr:uid="{00000000-0005-0000-0000-000043880000}"/>
    <cellStyle name="Normal 3 3 4 4 2 2 2 2 2" xfId="29825" xr:uid="{00000000-0005-0000-0000-000044880000}"/>
    <cellStyle name="Normal 3 3 4 4 2 2 2 2 2 2" xfId="56958" xr:uid="{00000000-0005-0000-0000-000045880000}"/>
    <cellStyle name="Normal 3 3 4 4 2 2 2 2 3" xfId="43396" xr:uid="{00000000-0005-0000-0000-000046880000}"/>
    <cellStyle name="Normal 3 3 4 4 2 2 2 3" xfId="23044" xr:uid="{00000000-0005-0000-0000-000047880000}"/>
    <cellStyle name="Normal 3 3 4 4 2 2 2 3 2" xfId="50177" xr:uid="{00000000-0005-0000-0000-000048880000}"/>
    <cellStyle name="Normal 3 3 4 4 2 2 2 4" xfId="36615" xr:uid="{00000000-0005-0000-0000-000049880000}"/>
    <cellStyle name="Normal 3 3 4 4 2 2 3" xfId="12868" xr:uid="{00000000-0005-0000-0000-00004A880000}"/>
    <cellStyle name="Normal 3 3 4 4 2 2 3 2" xfId="26436" xr:uid="{00000000-0005-0000-0000-00004B880000}"/>
    <cellStyle name="Normal 3 3 4 4 2 2 3 2 2" xfId="53569" xr:uid="{00000000-0005-0000-0000-00004C880000}"/>
    <cellStyle name="Normal 3 3 4 4 2 2 3 3" xfId="40007" xr:uid="{00000000-0005-0000-0000-00004D880000}"/>
    <cellStyle name="Normal 3 3 4 4 2 2 4" xfId="19655" xr:uid="{00000000-0005-0000-0000-00004E880000}"/>
    <cellStyle name="Normal 3 3 4 4 2 2 4 2" xfId="46788" xr:uid="{00000000-0005-0000-0000-00004F880000}"/>
    <cellStyle name="Normal 3 3 4 4 2 2 5" xfId="33226" xr:uid="{00000000-0005-0000-0000-000050880000}"/>
    <cellStyle name="Normal 3 3 4 4 2 3" xfId="5925" xr:uid="{00000000-0005-0000-0000-000051880000}"/>
    <cellStyle name="Normal 3 3 4 4 2 3 2" xfId="9468" xr:uid="{00000000-0005-0000-0000-000052880000}"/>
    <cellStyle name="Normal 3 3 4 4 2 3 2 2" xfId="16258" xr:uid="{00000000-0005-0000-0000-000053880000}"/>
    <cellStyle name="Normal 3 3 4 4 2 3 2 2 2" xfId="29826" xr:uid="{00000000-0005-0000-0000-000054880000}"/>
    <cellStyle name="Normal 3 3 4 4 2 3 2 2 2 2" xfId="56959" xr:uid="{00000000-0005-0000-0000-000055880000}"/>
    <cellStyle name="Normal 3 3 4 4 2 3 2 2 3" xfId="43397" xr:uid="{00000000-0005-0000-0000-000056880000}"/>
    <cellStyle name="Normal 3 3 4 4 2 3 2 3" xfId="23045" xr:uid="{00000000-0005-0000-0000-000057880000}"/>
    <cellStyle name="Normal 3 3 4 4 2 3 2 3 2" xfId="50178" xr:uid="{00000000-0005-0000-0000-000058880000}"/>
    <cellStyle name="Normal 3 3 4 4 2 3 2 4" xfId="36616" xr:uid="{00000000-0005-0000-0000-000059880000}"/>
    <cellStyle name="Normal 3 3 4 4 2 3 3" xfId="12869" xr:uid="{00000000-0005-0000-0000-00005A880000}"/>
    <cellStyle name="Normal 3 3 4 4 2 3 3 2" xfId="26437" xr:uid="{00000000-0005-0000-0000-00005B880000}"/>
    <cellStyle name="Normal 3 3 4 4 2 3 3 2 2" xfId="53570" xr:uid="{00000000-0005-0000-0000-00005C880000}"/>
    <cellStyle name="Normal 3 3 4 4 2 3 3 3" xfId="40008" xr:uid="{00000000-0005-0000-0000-00005D880000}"/>
    <cellStyle name="Normal 3 3 4 4 2 3 4" xfId="19656" xr:uid="{00000000-0005-0000-0000-00005E880000}"/>
    <cellStyle name="Normal 3 3 4 4 2 3 4 2" xfId="46789" xr:uid="{00000000-0005-0000-0000-00005F880000}"/>
    <cellStyle name="Normal 3 3 4 4 2 3 5" xfId="33227" xr:uid="{00000000-0005-0000-0000-000060880000}"/>
    <cellStyle name="Normal 3 3 4 4 2 4" xfId="9466" xr:uid="{00000000-0005-0000-0000-000061880000}"/>
    <cellStyle name="Normal 3 3 4 4 2 4 2" xfId="16256" xr:uid="{00000000-0005-0000-0000-000062880000}"/>
    <cellStyle name="Normal 3 3 4 4 2 4 2 2" xfId="29824" xr:uid="{00000000-0005-0000-0000-000063880000}"/>
    <cellStyle name="Normal 3 3 4 4 2 4 2 2 2" xfId="56957" xr:uid="{00000000-0005-0000-0000-000064880000}"/>
    <cellStyle name="Normal 3 3 4 4 2 4 2 3" xfId="43395" xr:uid="{00000000-0005-0000-0000-000065880000}"/>
    <cellStyle name="Normal 3 3 4 4 2 4 3" xfId="23043" xr:uid="{00000000-0005-0000-0000-000066880000}"/>
    <cellStyle name="Normal 3 3 4 4 2 4 3 2" xfId="50176" xr:uid="{00000000-0005-0000-0000-000067880000}"/>
    <cellStyle name="Normal 3 3 4 4 2 4 4" xfId="36614" xr:uid="{00000000-0005-0000-0000-000068880000}"/>
    <cellStyle name="Normal 3 3 4 4 2 5" xfId="12867" xr:uid="{00000000-0005-0000-0000-000069880000}"/>
    <cellStyle name="Normal 3 3 4 4 2 5 2" xfId="26435" xr:uid="{00000000-0005-0000-0000-00006A880000}"/>
    <cellStyle name="Normal 3 3 4 4 2 5 2 2" xfId="53568" xr:uid="{00000000-0005-0000-0000-00006B880000}"/>
    <cellStyle name="Normal 3 3 4 4 2 5 3" xfId="40006" xr:uid="{00000000-0005-0000-0000-00006C880000}"/>
    <cellStyle name="Normal 3 3 4 4 2 6" xfId="19654" xr:uid="{00000000-0005-0000-0000-00006D880000}"/>
    <cellStyle name="Normal 3 3 4 4 2 6 2" xfId="46787" xr:uid="{00000000-0005-0000-0000-00006E880000}"/>
    <cellStyle name="Normal 3 3 4 4 2 7" xfId="33225" xr:uid="{00000000-0005-0000-0000-00006F880000}"/>
    <cellStyle name="Normal 3 3 4 4 3" xfId="5926" xr:uid="{00000000-0005-0000-0000-000070880000}"/>
    <cellStyle name="Normal 3 3 4 4 3 2" xfId="9469" xr:uid="{00000000-0005-0000-0000-000071880000}"/>
    <cellStyle name="Normal 3 3 4 4 3 2 2" xfId="16259" xr:uid="{00000000-0005-0000-0000-000072880000}"/>
    <cellStyle name="Normal 3 3 4 4 3 2 2 2" xfId="29827" xr:uid="{00000000-0005-0000-0000-000073880000}"/>
    <cellStyle name="Normal 3 3 4 4 3 2 2 2 2" xfId="56960" xr:uid="{00000000-0005-0000-0000-000074880000}"/>
    <cellStyle name="Normal 3 3 4 4 3 2 2 3" xfId="43398" xr:uid="{00000000-0005-0000-0000-000075880000}"/>
    <cellStyle name="Normal 3 3 4 4 3 2 3" xfId="23046" xr:uid="{00000000-0005-0000-0000-000076880000}"/>
    <cellStyle name="Normal 3 3 4 4 3 2 3 2" xfId="50179" xr:uid="{00000000-0005-0000-0000-000077880000}"/>
    <cellStyle name="Normal 3 3 4 4 3 2 4" xfId="36617" xr:uid="{00000000-0005-0000-0000-000078880000}"/>
    <cellStyle name="Normal 3 3 4 4 3 3" xfId="12870" xr:uid="{00000000-0005-0000-0000-000079880000}"/>
    <cellStyle name="Normal 3 3 4 4 3 3 2" xfId="26438" xr:uid="{00000000-0005-0000-0000-00007A880000}"/>
    <cellStyle name="Normal 3 3 4 4 3 3 2 2" xfId="53571" xr:uid="{00000000-0005-0000-0000-00007B880000}"/>
    <cellStyle name="Normal 3 3 4 4 3 3 3" xfId="40009" xr:uid="{00000000-0005-0000-0000-00007C880000}"/>
    <cellStyle name="Normal 3 3 4 4 3 4" xfId="19657" xr:uid="{00000000-0005-0000-0000-00007D880000}"/>
    <cellStyle name="Normal 3 3 4 4 3 4 2" xfId="46790" xr:uid="{00000000-0005-0000-0000-00007E880000}"/>
    <cellStyle name="Normal 3 3 4 4 3 5" xfId="33228" xr:uid="{00000000-0005-0000-0000-00007F880000}"/>
    <cellStyle name="Normal 3 3 4 4 4" xfId="5927" xr:uid="{00000000-0005-0000-0000-000080880000}"/>
    <cellStyle name="Normal 3 3 4 4 4 2" xfId="9470" xr:uid="{00000000-0005-0000-0000-000081880000}"/>
    <cellStyle name="Normal 3 3 4 4 4 2 2" xfId="16260" xr:uid="{00000000-0005-0000-0000-000082880000}"/>
    <cellStyle name="Normal 3 3 4 4 4 2 2 2" xfId="29828" xr:uid="{00000000-0005-0000-0000-000083880000}"/>
    <cellStyle name="Normal 3 3 4 4 4 2 2 2 2" xfId="56961" xr:uid="{00000000-0005-0000-0000-000084880000}"/>
    <cellStyle name="Normal 3 3 4 4 4 2 2 3" xfId="43399" xr:uid="{00000000-0005-0000-0000-000085880000}"/>
    <cellStyle name="Normal 3 3 4 4 4 2 3" xfId="23047" xr:uid="{00000000-0005-0000-0000-000086880000}"/>
    <cellStyle name="Normal 3 3 4 4 4 2 3 2" xfId="50180" xr:uid="{00000000-0005-0000-0000-000087880000}"/>
    <cellStyle name="Normal 3 3 4 4 4 2 4" xfId="36618" xr:uid="{00000000-0005-0000-0000-000088880000}"/>
    <cellStyle name="Normal 3 3 4 4 4 3" xfId="12871" xr:uid="{00000000-0005-0000-0000-000089880000}"/>
    <cellStyle name="Normal 3 3 4 4 4 3 2" xfId="26439" xr:uid="{00000000-0005-0000-0000-00008A880000}"/>
    <cellStyle name="Normal 3 3 4 4 4 3 2 2" xfId="53572" xr:uid="{00000000-0005-0000-0000-00008B880000}"/>
    <cellStyle name="Normal 3 3 4 4 4 3 3" xfId="40010" xr:uid="{00000000-0005-0000-0000-00008C880000}"/>
    <cellStyle name="Normal 3 3 4 4 4 4" xfId="19658" xr:uid="{00000000-0005-0000-0000-00008D880000}"/>
    <cellStyle name="Normal 3 3 4 4 4 4 2" xfId="46791" xr:uid="{00000000-0005-0000-0000-00008E880000}"/>
    <cellStyle name="Normal 3 3 4 4 4 5" xfId="33229" xr:uid="{00000000-0005-0000-0000-00008F880000}"/>
    <cellStyle name="Normal 3 3 4 4 5" xfId="9465" xr:uid="{00000000-0005-0000-0000-000090880000}"/>
    <cellStyle name="Normal 3 3 4 4 5 2" xfId="16255" xr:uid="{00000000-0005-0000-0000-000091880000}"/>
    <cellStyle name="Normal 3 3 4 4 5 2 2" xfId="29823" xr:uid="{00000000-0005-0000-0000-000092880000}"/>
    <cellStyle name="Normal 3 3 4 4 5 2 2 2" xfId="56956" xr:uid="{00000000-0005-0000-0000-000093880000}"/>
    <cellStyle name="Normal 3 3 4 4 5 2 3" xfId="43394" xr:uid="{00000000-0005-0000-0000-000094880000}"/>
    <cellStyle name="Normal 3 3 4 4 5 3" xfId="23042" xr:uid="{00000000-0005-0000-0000-000095880000}"/>
    <cellStyle name="Normal 3 3 4 4 5 3 2" xfId="50175" xr:uid="{00000000-0005-0000-0000-000096880000}"/>
    <cellStyle name="Normal 3 3 4 4 5 4" xfId="36613" xr:uid="{00000000-0005-0000-0000-000097880000}"/>
    <cellStyle name="Normal 3 3 4 4 6" xfId="12866" xr:uid="{00000000-0005-0000-0000-000098880000}"/>
    <cellStyle name="Normal 3 3 4 4 6 2" xfId="26434" xr:uid="{00000000-0005-0000-0000-000099880000}"/>
    <cellStyle name="Normal 3 3 4 4 6 2 2" xfId="53567" xr:uid="{00000000-0005-0000-0000-00009A880000}"/>
    <cellStyle name="Normal 3 3 4 4 6 3" xfId="40005" xr:uid="{00000000-0005-0000-0000-00009B880000}"/>
    <cellStyle name="Normal 3 3 4 4 7" xfId="19653" xr:uid="{00000000-0005-0000-0000-00009C880000}"/>
    <cellStyle name="Normal 3 3 4 4 7 2" xfId="46786" xr:uid="{00000000-0005-0000-0000-00009D880000}"/>
    <cellStyle name="Normal 3 3 4 4 8" xfId="33224" xr:uid="{00000000-0005-0000-0000-00009E880000}"/>
    <cellStyle name="Normal 3 3 4 5" xfId="5928" xr:uid="{00000000-0005-0000-0000-00009F880000}"/>
    <cellStyle name="Normal 3 3 4 5 2" xfId="5929" xr:uid="{00000000-0005-0000-0000-0000A0880000}"/>
    <cellStyle name="Normal 3 3 4 5 2 2" xfId="5930" xr:uid="{00000000-0005-0000-0000-0000A1880000}"/>
    <cellStyle name="Normal 3 3 4 5 2 2 2" xfId="9473" xr:uid="{00000000-0005-0000-0000-0000A2880000}"/>
    <cellStyle name="Normal 3 3 4 5 2 2 2 2" xfId="16263" xr:uid="{00000000-0005-0000-0000-0000A3880000}"/>
    <cellStyle name="Normal 3 3 4 5 2 2 2 2 2" xfId="29831" xr:uid="{00000000-0005-0000-0000-0000A4880000}"/>
    <cellStyle name="Normal 3 3 4 5 2 2 2 2 2 2" xfId="56964" xr:uid="{00000000-0005-0000-0000-0000A5880000}"/>
    <cellStyle name="Normal 3 3 4 5 2 2 2 2 3" xfId="43402" xr:uid="{00000000-0005-0000-0000-0000A6880000}"/>
    <cellStyle name="Normal 3 3 4 5 2 2 2 3" xfId="23050" xr:uid="{00000000-0005-0000-0000-0000A7880000}"/>
    <cellStyle name="Normal 3 3 4 5 2 2 2 3 2" xfId="50183" xr:uid="{00000000-0005-0000-0000-0000A8880000}"/>
    <cellStyle name="Normal 3 3 4 5 2 2 2 4" xfId="36621" xr:uid="{00000000-0005-0000-0000-0000A9880000}"/>
    <cellStyle name="Normal 3 3 4 5 2 2 3" xfId="12874" xr:uid="{00000000-0005-0000-0000-0000AA880000}"/>
    <cellStyle name="Normal 3 3 4 5 2 2 3 2" xfId="26442" xr:uid="{00000000-0005-0000-0000-0000AB880000}"/>
    <cellStyle name="Normal 3 3 4 5 2 2 3 2 2" xfId="53575" xr:uid="{00000000-0005-0000-0000-0000AC880000}"/>
    <cellStyle name="Normal 3 3 4 5 2 2 3 3" xfId="40013" xr:uid="{00000000-0005-0000-0000-0000AD880000}"/>
    <cellStyle name="Normal 3 3 4 5 2 2 4" xfId="19661" xr:uid="{00000000-0005-0000-0000-0000AE880000}"/>
    <cellStyle name="Normal 3 3 4 5 2 2 4 2" xfId="46794" xr:uid="{00000000-0005-0000-0000-0000AF880000}"/>
    <cellStyle name="Normal 3 3 4 5 2 2 5" xfId="33232" xr:uid="{00000000-0005-0000-0000-0000B0880000}"/>
    <cellStyle name="Normal 3 3 4 5 2 3" xfId="5931" xr:uid="{00000000-0005-0000-0000-0000B1880000}"/>
    <cellStyle name="Normal 3 3 4 5 2 3 2" xfId="9474" xr:uid="{00000000-0005-0000-0000-0000B2880000}"/>
    <cellStyle name="Normal 3 3 4 5 2 3 2 2" xfId="16264" xr:uid="{00000000-0005-0000-0000-0000B3880000}"/>
    <cellStyle name="Normal 3 3 4 5 2 3 2 2 2" xfId="29832" xr:uid="{00000000-0005-0000-0000-0000B4880000}"/>
    <cellStyle name="Normal 3 3 4 5 2 3 2 2 2 2" xfId="56965" xr:uid="{00000000-0005-0000-0000-0000B5880000}"/>
    <cellStyle name="Normal 3 3 4 5 2 3 2 2 3" xfId="43403" xr:uid="{00000000-0005-0000-0000-0000B6880000}"/>
    <cellStyle name="Normal 3 3 4 5 2 3 2 3" xfId="23051" xr:uid="{00000000-0005-0000-0000-0000B7880000}"/>
    <cellStyle name="Normal 3 3 4 5 2 3 2 3 2" xfId="50184" xr:uid="{00000000-0005-0000-0000-0000B8880000}"/>
    <cellStyle name="Normal 3 3 4 5 2 3 2 4" xfId="36622" xr:uid="{00000000-0005-0000-0000-0000B9880000}"/>
    <cellStyle name="Normal 3 3 4 5 2 3 3" xfId="12875" xr:uid="{00000000-0005-0000-0000-0000BA880000}"/>
    <cellStyle name="Normal 3 3 4 5 2 3 3 2" xfId="26443" xr:uid="{00000000-0005-0000-0000-0000BB880000}"/>
    <cellStyle name="Normal 3 3 4 5 2 3 3 2 2" xfId="53576" xr:uid="{00000000-0005-0000-0000-0000BC880000}"/>
    <cellStyle name="Normal 3 3 4 5 2 3 3 3" xfId="40014" xr:uid="{00000000-0005-0000-0000-0000BD880000}"/>
    <cellStyle name="Normal 3 3 4 5 2 3 4" xfId="19662" xr:uid="{00000000-0005-0000-0000-0000BE880000}"/>
    <cellStyle name="Normal 3 3 4 5 2 3 4 2" xfId="46795" xr:uid="{00000000-0005-0000-0000-0000BF880000}"/>
    <cellStyle name="Normal 3 3 4 5 2 3 5" xfId="33233" xr:uid="{00000000-0005-0000-0000-0000C0880000}"/>
    <cellStyle name="Normal 3 3 4 5 2 4" xfId="9472" xr:uid="{00000000-0005-0000-0000-0000C1880000}"/>
    <cellStyle name="Normal 3 3 4 5 2 4 2" xfId="16262" xr:uid="{00000000-0005-0000-0000-0000C2880000}"/>
    <cellStyle name="Normal 3 3 4 5 2 4 2 2" xfId="29830" xr:uid="{00000000-0005-0000-0000-0000C3880000}"/>
    <cellStyle name="Normal 3 3 4 5 2 4 2 2 2" xfId="56963" xr:uid="{00000000-0005-0000-0000-0000C4880000}"/>
    <cellStyle name="Normal 3 3 4 5 2 4 2 3" xfId="43401" xr:uid="{00000000-0005-0000-0000-0000C5880000}"/>
    <cellStyle name="Normal 3 3 4 5 2 4 3" xfId="23049" xr:uid="{00000000-0005-0000-0000-0000C6880000}"/>
    <cellStyle name="Normal 3 3 4 5 2 4 3 2" xfId="50182" xr:uid="{00000000-0005-0000-0000-0000C7880000}"/>
    <cellStyle name="Normal 3 3 4 5 2 4 4" xfId="36620" xr:uid="{00000000-0005-0000-0000-0000C8880000}"/>
    <cellStyle name="Normal 3 3 4 5 2 5" xfId="12873" xr:uid="{00000000-0005-0000-0000-0000C9880000}"/>
    <cellStyle name="Normal 3 3 4 5 2 5 2" xfId="26441" xr:uid="{00000000-0005-0000-0000-0000CA880000}"/>
    <cellStyle name="Normal 3 3 4 5 2 5 2 2" xfId="53574" xr:uid="{00000000-0005-0000-0000-0000CB880000}"/>
    <cellStyle name="Normal 3 3 4 5 2 5 3" xfId="40012" xr:uid="{00000000-0005-0000-0000-0000CC880000}"/>
    <cellStyle name="Normal 3 3 4 5 2 6" xfId="19660" xr:uid="{00000000-0005-0000-0000-0000CD880000}"/>
    <cellStyle name="Normal 3 3 4 5 2 6 2" xfId="46793" xr:uid="{00000000-0005-0000-0000-0000CE880000}"/>
    <cellStyle name="Normal 3 3 4 5 2 7" xfId="33231" xr:uid="{00000000-0005-0000-0000-0000CF880000}"/>
    <cellStyle name="Normal 3 3 4 5 3" xfId="5932" xr:uid="{00000000-0005-0000-0000-0000D0880000}"/>
    <cellStyle name="Normal 3 3 4 5 3 2" xfId="9475" xr:uid="{00000000-0005-0000-0000-0000D1880000}"/>
    <cellStyle name="Normal 3 3 4 5 3 2 2" xfId="16265" xr:uid="{00000000-0005-0000-0000-0000D2880000}"/>
    <cellStyle name="Normal 3 3 4 5 3 2 2 2" xfId="29833" xr:uid="{00000000-0005-0000-0000-0000D3880000}"/>
    <cellStyle name="Normal 3 3 4 5 3 2 2 2 2" xfId="56966" xr:uid="{00000000-0005-0000-0000-0000D4880000}"/>
    <cellStyle name="Normal 3 3 4 5 3 2 2 3" xfId="43404" xr:uid="{00000000-0005-0000-0000-0000D5880000}"/>
    <cellStyle name="Normal 3 3 4 5 3 2 3" xfId="23052" xr:uid="{00000000-0005-0000-0000-0000D6880000}"/>
    <cellStyle name="Normal 3 3 4 5 3 2 3 2" xfId="50185" xr:uid="{00000000-0005-0000-0000-0000D7880000}"/>
    <cellStyle name="Normal 3 3 4 5 3 2 4" xfId="36623" xr:uid="{00000000-0005-0000-0000-0000D8880000}"/>
    <cellStyle name="Normal 3 3 4 5 3 3" xfId="12876" xr:uid="{00000000-0005-0000-0000-0000D9880000}"/>
    <cellStyle name="Normal 3 3 4 5 3 3 2" xfId="26444" xr:uid="{00000000-0005-0000-0000-0000DA880000}"/>
    <cellStyle name="Normal 3 3 4 5 3 3 2 2" xfId="53577" xr:uid="{00000000-0005-0000-0000-0000DB880000}"/>
    <cellStyle name="Normal 3 3 4 5 3 3 3" xfId="40015" xr:uid="{00000000-0005-0000-0000-0000DC880000}"/>
    <cellStyle name="Normal 3 3 4 5 3 4" xfId="19663" xr:uid="{00000000-0005-0000-0000-0000DD880000}"/>
    <cellStyle name="Normal 3 3 4 5 3 4 2" xfId="46796" xr:uid="{00000000-0005-0000-0000-0000DE880000}"/>
    <cellStyle name="Normal 3 3 4 5 3 5" xfId="33234" xr:uid="{00000000-0005-0000-0000-0000DF880000}"/>
    <cellStyle name="Normal 3 3 4 5 4" xfId="5933" xr:uid="{00000000-0005-0000-0000-0000E0880000}"/>
    <cellStyle name="Normal 3 3 4 5 4 2" xfId="9476" xr:uid="{00000000-0005-0000-0000-0000E1880000}"/>
    <cellStyle name="Normal 3 3 4 5 4 2 2" xfId="16266" xr:uid="{00000000-0005-0000-0000-0000E2880000}"/>
    <cellStyle name="Normal 3 3 4 5 4 2 2 2" xfId="29834" xr:uid="{00000000-0005-0000-0000-0000E3880000}"/>
    <cellStyle name="Normal 3 3 4 5 4 2 2 2 2" xfId="56967" xr:uid="{00000000-0005-0000-0000-0000E4880000}"/>
    <cellStyle name="Normal 3 3 4 5 4 2 2 3" xfId="43405" xr:uid="{00000000-0005-0000-0000-0000E5880000}"/>
    <cellStyle name="Normal 3 3 4 5 4 2 3" xfId="23053" xr:uid="{00000000-0005-0000-0000-0000E6880000}"/>
    <cellStyle name="Normal 3 3 4 5 4 2 3 2" xfId="50186" xr:uid="{00000000-0005-0000-0000-0000E7880000}"/>
    <cellStyle name="Normal 3 3 4 5 4 2 4" xfId="36624" xr:uid="{00000000-0005-0000-0000-0000E8880000}"/>
    <cellStyle name="Normal 3 3 4 5 4 3" xfId="12877" xr:uid="{00000000-0005-0000-0000-0000E9880000}"/>
    <cellStyle name="Normal 3 3 4 5 4 3 2" xfId="26445" xr:uid="{00000000-0005-0000-0000-0000EA880000}"/>
    <cellStyle name="Normal 3 3 4 5 4 3 2 2" xfId="53578" xr:uid="{00000000-0005-0000-0000-0000EB880000}"/>
    <cellStyle name="Normal 3 3 4 5 4 3 3" xfId="40016" xr:uid="{00000000-0005-0000-0000-0000EC880000}"/>
    <cellStyle name="Normal 3 3 4 5 4 4" xfId="19664" xr:uid="{00000000-0005-0000-0000-0000ED880000}"/>
    <cellStyle name="Normal 3 3 4 5 4 4 2" xfId="46797" xr:uid="{00000000-0005-0000-0000-0000EE880000}"/>
    <cellStyle name="Normal 3 3 4 5 4 5" xfId="33235" xr:uid="{00000000-0005-0000-0000-0000EF880000}"/>
    <cellStyle name="Normal 3 3 4 5 5" xfId="9471" xr:uid="{00000000-0005-0000-0000-0000F0880000}"/>
    <cellStyle name="Normal 3 3 4 5 5 2" xfId="16261" xr:uid="{00000000-0005-0000-0000-0000F1880000}"/>
    <cellStyle name="Normal 3 3 4 5 5 2 2" xfId="29829" xr:uid="{00000000-0005-0000-0000-0000F2880000}"/>
    <cellStyle name="Normal 3 3 4 5 5 2 2 2" xfId="56962" xr:uid="{00000000-0005-0000-0000-0000F3880000}"/>
    <cellStyle name="Normal 3 3 4 5 5 2 3" xfId="43400" xr:uid="{00000000-0005-0000-0000-0000F4880000}"/>
    <cellStyle name="Normal 3 3 4 5 5 3" xfId="23048" xr:uid="{00000000-0005-0000-0000-0000F5880000}"/>
    <cellStyle name="Normal 3 3 4 5 5 3 2" xfId="50181" xr:uid="{00000000-0005-0000-0000-0000F6880000}"/>
    <cellStyle name="Normal 3 3 4 5 5 4" xfId="36619" xr:uid="{00000000-0005-0000-0000-0000F7880000}"/>
    <cellStyle name="Normal 3 3 4 5 6" xfId="12872" xr:uid="{00000000-0005-0000-0000-0000F8880000}"/>
    <cellStyle name="Normal 3 3 4 5 6 2" xfId="26440" xr:uid="{00000000-0005-0000-0000-0000F9880000}"/>
    <cellStyle name="Normal 3 3 4 5 6 2 2" xfId="53573" xr:uid="{00000000-0005-0000-0000-0000FA880000}"/>
    <cellStyle name="Normal 3 3 4 5 6 3" xfId="40011" xr:uid="{00000000-0005-0000-0000-0000FB880000}"/>
    <cellStyle name="Normal 3 3 4 5 7" xfId="19659" xr:uid="{00000000-0005-0000-0000-0000FC880000}"/>
    <cellStyle name="Normal 3 3 4 5 7 2" xfId="46792" xr:uid="{00000000-0005-0000-0000-0000FD880000}"/>
    <cellStyle name="Normal 3 3 4 5 8" xfId="33230" xr:uid="{00000000-0005-0000-0000-0000FE880000}"/>
    <cellStyle name="Normal 3 3 4 6" xfId="5934" xr:uid="{00000000-0005-0000-0000-0000FF880000}"/>
    <cellStyle name="Normal 3 3 4 6 2" xfId="5935" xr:uid="{00000000-0005-0000-0000-000000890000}"/>
    <cellStyle name="Normal 3 3 4 6 2 2" xfId="9478" xr:uid="{00000000-0005-0000-0000-000001890000}"/>
    <cellStyle name="Normal 3 3 4 6 2 2 2" xfId="16268" xr:uid="{00000000-0005-0000-0000-000002890000}"/>
    <cellStyle name="Normal 3 3 4 6 2 2 2 2" xfId="29836" xr:uid="{00000000-0005-0000-0000-000003890000}"/>
    <cellStyle name="Normal 3 3 4 6 2 2 2 2 2" xfId="56969" xr:uid="{00000000-0005-0000-0000-000004890000}"/>
    <cellStyle name="Normal 3 3 4 6 2 2 2 3" xfId="43407" xr:uid="{00000000-0005-0000-0000-000005890000}"/>
    <cellStyle name="Normal 3 3 4 6 2 2 3" xfId="23055" xr:uid="{00000000-0005-0000-0000-000006890000}"/>
    <cellStyle name="Normal 3 3 4 6 2 2 3 2" xfId="50188" xr:uid="{00000000-0005-0000-0000-000007890000}"/>
    <cellStyle name="Normal 3 3 4 6 2 2 4" xfId="36626" xr:uid="{00000000-0005-0000-0000-000008890000}"/>
    <cellStyle name="Normal 3 3 4 6 2 3" xfId="12879" xr:uid="{00000000-0005-0000-0000-000009890000}"/>
    <cellStyle name="Normal 3 3 4 6 2 3 2" xfId="26447" xr:uid="{00000000-0005-0000-0000-00000A890000}"/>
    <cellStyle name="Normal 3 3 4 6 2 3 2 2" xfId="53580" xr:uid="{00000000-0005-0000-0000-00000B890000}"/>
    <cellStyle name="Normal 3 3 4 6 2 3 3" xfId="40018" xr:uid="{00000000-0005-0000-0000-00000C890000}"/>
    <cellStyle name="Normal 3 3 4 6 2 4" xfId="19666" xr:uid="{00000000-0005-0000-0000-00000D890000}"/>
    <cellStyle name="Normal 3 3 4 6 2 4 2" xfId="46799" xr:uid="{00000000-0005-0000-0000-00000E890000}"/>
    <cellStyle name="Normal 3 3 4 6 2 5" xfId="33237" xr:uid="{00000000-0005-0000-0000-00000F890000}"/>
    <cellStyle name="Normal 3 3 4 6 3" xfId="5936" xr:uid="{00000000-0005-0000-0000-000010890000}"/>
    <cellStyle name="Normal 3 3 4 6 3 2" xfId="9479" xr:uid="{00000000-0005-0000-0000-000011890000}"/>
    <cellStyle name="Normal 3 3 4 6 3 2 2" xfId="16269" xr:uid="{00000000-0005-0000-0000-000012890000}"/>
    <cellStyle name="Normal 3 3 4 6 3 2 2 2" xfId="29837" xr:uid="{00000000-0005-0000-0000-000013890000}"/>
    <cellStyle name="Normal 3 3 4 6 3 2 2 2 2" xfId="56970" xr:uid="{00000000-0005-0000-0000-000014890000}"/>
    <cellStyle name="Normal 3 3 4 6 3 2 2 3" xfId="43408" xr:uid="{00000000-0005-0000-0000-000015890000}"/>
    <cellStyle name="Normal 3 3 4 6 3 2 3" xfId="23056" xr:uid="{00000000-0005-0000-0000-000016890000}"/>
    <cellStyle name="Normal 3 3 4 6 3 2 3 2" xfId="50189" xr:uid="{00000000-0005-0000-0000-000017890000}"/>
    <cellStyle name="Normal 3 3 4 6 3 2 4" xfId="36627" xr:uid="{00000000-0005-0000-0000-000018890000}"/>
    <cellStyle name="Normal 3 3 4 6 3 3" xfId="12880" xr:uid="{00000000-0005-0000-0000-000019890000}"/>
    <cellStyle name="Normal 3 3 4 6 3 3 2" xfId="26448" xr:uid="{00000000-0005-0000-0000-00001A890000}"/>
    <cellStyle name="Normal 3 3 4 6 3 3 2 2" xfId="53581" xr:uid="{00000000-0005-0000-0000-00001B890000}"/>
    <cellStyle name="Normal 3 3 4 6 3 3 3" xfId="40019" xr:uid="{00000000-0005-0000-0000-00001C890000}"/>
    <cellStyle name="Normal 3 3 4 6 3 4" xfId="19667" xr:uid="{00000000-0005-0000-0000-00001D890000}"/>
    <cellStyle name="Normal 3 3 4 6 3 4 2" xfId="46800" xr:uid="{00000000-0005-0000-0000-00001E890000}"/>
    <cellStyle name="Normal 3 3 4 6 3 5" xfId="33238" xr:uid="{00000000-0005-0000-0000-00001F890000}"/>
    <cellStyle name="Normal 3 3 4 6 4" xfId="9477" xr:uid="{00000000-0005-0000-0000-000020890000}"/>
    <cellStyle name="Normal 3 3 4 6 4 2" xfId="16267" xr:uid="{00000000-0005-0000-0000-000021890000}"/>
    <cellStyle name="Normal 3 3 4 6 4 2 2" xfId="29835" xr:uid="{00000000-0005-0000-0000-000022890000}"/>
    <cellStyle name="Normal 3 3 4 6 4 2 2 2" xfId="56968" xr:uid="{00000000-0005-0000-0000-000023890000}"/>
    <cellStyle name="Normal 3 3 4 6 4 2 3" xfId="43406" xr:uid="{00000000-0005-0000-0000-000024890000}"/>
    <cellStyle name="Normal 3 3 4 6 4 3" xfId="23054" xr:uid="{00000000-0005-0000-0000-000025890000}"/>
    <cellStyle name="Normal 3 3 4 6 4 3 2" xfId="50187" xr:uid="{00000000-0005-0000-0000-000026890000}"/>
    <cellStyle name="Normal 3 3 4 6 4 4" xfId="36625" xr:uid="{00000000-0005-0000-0000-000027890000}"/>
    <cellStyle name="Normal 3 3 4 6 5" xfId="12878" xr:uid="{00000000-0005-0000-0000-000028890000}"/>
    <cellStyle name="Normal 3 3 4 6 5 2" xfId="26446" xr:uid="{00000000-0005-0000-0000-000029890000}"/>
    <cellStyle name="Normal 3 3 4 6 5 2 2" xfId="53579" xr:uid="{00000000-0005-0000-0000-00002A890000}"/>
    <cellStyle name="Normal 3 3 4 6 5 3" xfId="40017" xr:uid="{00000000-0005-0000-0000-00002B890000}"/>
    <cellStyle name="Normal 3 3 4 6 6" xfId="19665" xr:uid="{00000000-0005-0000-0000-00002C890000}"/>
    <cellStyle name="Normal 3 3 4 6 6 2" xfId="46798" xr:uid="{00000000-0005-0000-0000-00002D890000}"/>
    <cellStyle name="Normal 3 3 4 6 7" xfId="33236" xr:uid="{00000000-0005-0000-0000-00002E890000}"/>
    <cellStyle name="Normal 3 3 4 7" xfId="5937" xr:uid="{00000000-0005-0000-0000-00002F890000}"/>
    <cellStyle name="Normal 3 3 4 7 2" xfId="5938" xr:uid="{00000000-0005-0000-0000-000030890000}"/>
    <cellStyle name="Normal 3 3 4 7 2 2" xfId="9481" xr:uid="{00000000-0005-0000-0000-000031890000}"/>
    <cellStyle name="Normal 3 3 4 7 2 2 2" xfId="16271" xr:uid="{00000000-0005-0000-0000-000032890000}"/>
    <cellStyle name="Normal 3 3 4 7 2 2 2 2" xfId="29839" xr:uid="{00000000-0005-0000-0000-000033890000}"/>
    <cellStyle name="Normal 3 3 4 7 2 2 2 2 2" xfId="56972" xr:uid="{00000000-0005-0000-0000-000034890000}"/>
    <cellStyle name="Normal 3 3 4 7 2 2 2 3" xfId="43410" xr:uid="{00000000-0005-0000-0000-000035890000}"/>
    <cellStyle name="Normal 3 3 4 7 2 2 3" xfId="23058" xr:uid="{00000000-0005-0000-0000-000036890000}"/>
    <cellStyle name="Normal 3 3 4 7 2 2 3 2" xfId="50191" xr:uid="{00000000-0005-0000-0000-000037890000}"/>
    <cellStyle name="Normal 3 3 4 7 2 2 4" xfId="36629" xr:uid="{00000000-0005-0000-0000-000038890000}"/>
    <cellStyle name="Normal 3 3 4 7 2 3" xfId="12882" xr:uid="{00000000-0005-0000-0000-000039890000}"/>
    <cellStyle name="Normal 3 3 4 7 2 3 2" xfId="26450" xr:uid="{00000000-0005-0000-0000-00003A890000}"/>
    <cellStyle name="Normal 3 3 4 7 2 3 2 2" xfId="53583" xr:uid="{00000000-0005-0000-0000-00003B890000}"/>
    <cellStyle name="Normal 3 3 4 7 2 3 3" xfId="40021" xr:uid="{00000000-0005-0000-0000-00003C890000}"/>
    <cellStyle name="Normal 3 3 4 7 2 4" xfId="19669" xr:uid="{00000000-0005-0000-0000-00003D890000}"/>
    <cellStyle name="Normal 3 3 4 7 2 4 2" xfId="46802" xr:uid="{00000000-0005-0000-0000-00003E890000}"/>
    <cellStyle name="Normal 3 3 4 7 2 5" xfId="33240" xr:uid="{00000000-0005-0000-0000-00003F890000}"/>
    <cellStyle name="Normal 3 3 4 7 3" xfId="9480" xr:uid="{00000000-0005-0000-0000-000040890000}"/>
    <cellStyle name="Normal 3 3 4 7 3 2" xfId="16270" xr:uid="{00000000-0005-0000-0000-000041890000}"/>
    <cellStyle name="Normal 3 3 4 7 3 2 2" xfId="29838" xr:uid="{00000000-0005-0000-0000-000042890000}"/>
    <cellStyle name="Normal 3 3 4 7 3 2 2 2" xfId="56971" xr:uid="{00000000-0005-0000-0000-000043890000}"/>
    <cellStyle name="Normal 3 3 4 7 3 2 3" xfId="43409" xr:uid="{00000000-0005-0000-0000-000044890000}"/>
    <cellStyle name="Normal 3 3 4 7 3 3" xfId="23057" xr:uid="{00000000-0005-0000-0000-000045890000}"/>
    <cellStyle name="Normal 3 3 4 7 3 3 2" xfId="50190" xr:uid="{00000000-0005-0000-0000-000046890000}"/>
    <cellStyle name="Normal 3 3 4 7 3 4" xfId="36628" xr:uid="{00000000-0005-0000-0000-000047890000}"/>
    <cellStyle name="Normal 3 3 4 7 4" xfId="12881" xr:uid="{00000000-0005-0000-0000-000048890000}"/>
    <cellStyle name="Normal 3 3 4 7 4 2" xfId="26449" xr:uid="{00000000-0005-0000-0000-000049890000}"/>
    <cellStyle name="Normal 3 3 4 7 4 2 2" xfId="53582" xr:uid="{00000000-0005-0000-0000-00004A890000}"/>
    <cellStyle name="Normal 3 3 4 7 4 3" xfId="40020" xr:uid="{00000000-0005-0000-0000-00004B890000}"/>
    <cellStyle name="Normal 3 3 4 7 5" xfId="19668" xr:uid="{00000000-0005-0000-0000-00004C890000}"/>
    <cellStyle name="Normal 3 3 4 7 5 2" xfId="46801" xr:uid="{00000000-0005-0000-0000-00004D890000}"/>
    <cellStyle name="Normal 3 3 4 7 6" xfId="33239" xr:uid="{00000000-0005-0000-0000-00004E890000}"/>
    <cellStyle name="Normal 3 3 4 8" xfId="5939" xr:uid="{00000000-0005-0000-0000-00004F890000}"/>
    <cellStyle name="Normal 3 3 4 8 2" xfId="9482" xr:uid="{00000000-0005-0000-0000-000050890000}"/>
    <cellStyle name="Normal 3 3 4 8 2 2" xfId="16272" xr:uid="{00000000-0005-0000-0000-000051890000}"/>
    <cellStyle name="Normal 3 3 4 8 2 2 2" xfId="29840" xr:uid="{00000000-0005-0000-0000-000052890000}"/>
    <cellStyle name="Normal 3 3 4 8 2 2 2 2" xfId="56973" xr:uid="{00000000-0005-0000-0000-000053890000}"/>
    <cellStyle name="Normal 3 3 4 8 2 2 3" xfId="43411" xr:uid="{00000000-0005-0000-0000-000054890000}"/>
    <cellStyle name="Normal 3 3 4 8 2 3" xfId="23059" xr:uid="{00000000-0005-0000-0000-000055890000}"/>
    <cellStyle name="Normal 3 3 4 8 2 3 2" xfId="50192" xr:uid="{00000000-0005-0000-0000-000056890000}"/>
    <cellStyle name="Normal 3 3 4 8 2 4" xfId="36630" xr:uid="{00000000-0005-0000-0000-000057890000}"/>
    <cellStyle name="Normal 3 3 4 8 3" xfId="12883" xr:uid="{00000000-0005-0000-0000-000058890000}"/>
    <cellStyle name="Normal 3 3 4 8 3 2" xfId="26451" xr:uid="{00000000-0005-0000-0000-000059890000}"/>
    <cellStyle name="Normal 3 3 4 8 3 2 2" xfId="53584" xr:uid="{00000000-0005-0000-0000-00005A890000}"/>
    <cellStyle name="Normal 3 3 4 8 3 3" xfId="40022" xr:uid="{00000000-0005-0000-0000-00005B890000}"/>
    <cellStyle name="Normal 3 3 4 8 4" xfId="19670" xr:uid="{00000000-0005-0000-0000-00005C890000}"/>
    <cellStyle name="Normal 3 3 4 8 4 2" xfId="46803" xr:uid="{00000000-0005-0000-0000-00005D890000}"/>
    <cellStyle name="Normal 3 3 4 8 5" xfId="33241" xr:uid="{00000000-0005-0000-0000-00005E890000}"/>
    <cellStyle name="Normal 3 3 4 9" xfId="5940" xr:uid="{00000000-0005-0000-0000-00005F890000}"/>
    <cellStyle name="Normal 3 3 4 9 2" xfId="9483" xr:uid="{00000000-0005-0000-0000-000060890000}"/>
    <cellStyle name="Normal 3 3 4 9 2 2" xfId="16273" xr:uid="{00000000-0005-0000-0000-000061890000}"/>
    <cellStyle name="Normal 3 3 4 9 2 2 2" xfId="29841" xr:uid="{00000000-0005-0000-0000-000062890000}"/>
    <cellStyle name="Normal 3 3 4 9 2 2 2 2" xfId="56974" xr:uid="{00000000-0005-0000-0000-000063890000}"/>
    <cellStyle name="Normal 3 3 4 9 2 2 3" xfId="43412" xr:uid="{00000000-0005-0000-0000-000064890000}"/>
    <cellStyle name="Normal 3 3 4 9 2 3" xfId="23060" xr:uid="{00000000-0005-0000-0000-000065890000}"/>
    <cellStyle name="Normal 3 3 4 9 2 3 2" xfId="50193" xr:uid="{00000000-0005-0000-0000-000066890000}"/>
    <cellStyle name="Normal 3 3 4 9 2 4" xfId="36631" xr:uid="{00000000-0005-0000-0000-000067890000}"/>
    <cellStyle name="Normal 3 3 4 9 3" xfId="12884" xr:uid="{00000000-0005-0000-0000-000068890000}"/>
    <cellStyle name="Normal 3 3 4 9 3 2" xfId="26452" xr:uid="{00000000-0005-0000-0000-000069890000}"/>
    <cellStyle name="Normal 3 3 4 9 3 2 2" xfId="53585" xr:uid="{00000000-0005-0000-0000-00006A890000}"/>
    <cellStyle name="Normal 3 3 4 9 3 3" xfId="40023" xr:uid="{00000000-0005-0000-0000-00006B890000}"/>
    <cellStyle name="Normal 3 3 4 9 4" xfId="19671" xr:uid="{00000000-0005-0000-0000-00006C890000}"/>
    <cellStyle name="Normal 3 3 4 9 4 2" xfId="46804" xr:uid="{00000000-0005-0000-0000-00006D890000}"/>
    <cellStyle name="Normal 3 3 4 9 5" xfId="33242" xr:uid="{00000000-0005-0000-0000-00006E890000}"/>
    <cellStyle name="Normal 3 3 5" xfId="2698" xr:uid="{00000000-0005-0000-0000-00006F890000}"/>
    <cellStyle name="Normal 3 3 5 10" xfId="31270" xr:uid="{00000000-0005-0000-0000-000070890000}"/>
    <cellStyle name="Normal 3 3 5 2" xfId="2699" xr:uid="{00000000-0005-0000-0000-000071890000}"/>
    <cellStyle name="Normal 3 3 5 2 2" xfId="5941" xr:uid="{00000000-0005-0000-0000-000072890000}"/>
    <cellStyle name="Normal 3 3 5 2 2 2" xfId="5942" xr:uid="{00000000-0005-0000-0000-000073890000}"/>
    <cellStyle name="Normal 3 3 5 2 2 2 2" xfId="9485" xr:uid="{00000000-0005-0000-0000-000074890000}"/>
    <cellStyle name="Normal 3 3 5 2 2 2 2 2" xfId="16275" xr:uid="{00000000-0005-0000-0000-000075890000}"/>
    <cellStyle name="Normal 3 3 5 2 2 2 2 2 2" xfId="29843" xr:uid="{00000000-0005-0000-0000-000076890000}"/>
    <cellStyle name="Normal 3 3 5 2 2 2 2 2 2 2" xfId="56976" xr:uid="{00000000-0005-0000-0000-000077890000}"/>
    <cellStyle name="Normal 3 3 5 2 2 2 2 2 3" xfId="43414" xr:uid="{00000000-0005-0000-0000-000078890000}"/>
    <cellStyle name="Normal 3 3 5 2 2 2 2 3" xfId="23062" xr:uid="{00000000-0005-0000-0000-000079890000}"/>
    <cellStyle name="Normal 3 3 5 2 2 2 2 3 2" xfId="50195" xr:uid="{00000000-0005-0000-0000-00007A890000}"/>
    <cellStyle name="Normal 3 3 5 2 2 2 2 4" xfId="36633" xr:uid="{00000000-0005-0000-0000-00007B890000}"/>
    <cellStyle name="Normal 3 3 5 2 2 2 3" xfId="12886" xr:uid="{00000000-0005-0000-0000-00007C890000}"/>
    <cellStyle name="Normal 3 3 5 2 2 2 3 2" xfId="26454" xr:uid="{00000000-0005-0000-0000-00007D890000}"/>
    <cellStyle name="Normal 3 3 5 2 2 2 3 2 2" xfId="53587" xr:uid="{00000000-0005-0000-0000-00007E890000}"/>
    <cellStyle name="Normal 3 3 5 2 2 2 3 3" xfId="40025" xr:uid="{00000000-0005-0000-0000-00007F890000}"/>
    <cellStyle name="Normal 3 3 5 2 2 2 4" xfId="19673" xr:uid="{00000000-0005-0000-0000-000080890000}"/>
    <cellStyle name="Normal 3 3 5 2 2 2 4 2" xfId="46806" xr:uid="{00000000-0005-0000-0000-000081890000}"/>
    <cellStyle name="Normal 3 3 5 2 2 2 5" xfId="33244" xr:uid="{00000000-0005-0000-0000-000082890000}"/>
    <cellStyle name="Normal 3 3 5 2 2 3" xfId="5943" xr:uid="{00000000-0005-0000-0000-000083890000}"/>
    <cellStyle name="Normal 3 3 5 2 2 3 2" xfId="9486" xr:uid="{00000000-0005-0000-0000-000084890000}"/>
    <cellStyle name="Normal 3 3 5 2 2 3 2 2" xfId="16276" xr:uid="{00000000-0005-0000-0000-000085890000}"/>
    <cellStyle name="Normal 3 3 5 2 2 3 2 2 2" xfId="29844" xr:uid="{00000000-0005-0000-0000-000086890000}"/>
    <cellStyle name="Normal 3 3 5 2 2 3 2 2 2 2" xfId="56977" xr:uid="{00000000-0005-0000-0000-000087890000}"/>
    <cellStyle name="Normal 3 3 5 2 2 3 2 2 3" xfId="43415" xr:uid="{00000000-0005-0000-0000-000088890000}"/>
    <cellStyle name="Normal 3 3 5 2 2 3 2 3" xfId="23063" xr:uid="{00000000-0005-0000-0000-000089890000}"/>
    <cellStyle name="Normal 3 3 5 2 2 3 2 3 2" xfId="50196" xr:uid="{00000000-0005-0000-0000-00008A890000}"/>
    <cellStyle name="Normal 3 3 5 2 2 3 2 4" xfId="36634" xr:uid="{00000000-0005-0000-0000-00008B890000}"/>
    <cellStyle name="Normal 3 3 5 2 2 3 3" xfId="12887" xr:uid="{00000000-0005-0000-0000-00008C890000}"/>
    <cellStyle name="Normal 3 3 5 2 2 3 3 2" xfId="26455" xr:uid="{00000000-0005-0000-0000-00008D890000}"/>
    <cellStyle name="Normal 3 3 5 2 2 3 3 2 2" xfId="53588" xr:uid="{00000000-0005-0000-0000-00008E890000}"/>
    <cellStyle name="Normal 3 3 5 2 2 3 3 3" xfId="40026" xr:uid="{00000000-0005-0000-0000-00008F890000}"/>
    <cellStyle name="Normal 3 3 5 2 2 3 4" xfId="19674" xr:uid="{00000000-0005-0000-0000-000090890000}"/>
    <cellStyle name="Normal 3 3 5 2 2 3 4 2" xfId="46807" xr:uid="{00000000-0005-0000-0000-000091890000}"/>
    <cellStyle name="Normal 3 3 5 2 2 3 5" xfId="33245" xr:uid="{00000000-0005-0000-0000-000092890000}"/>
    <cellStyle name="Normal 3 3 5 2 2 4" xfId="9484" xr:uid="{00000000-0005-0000-0000-000093890000}"/>
    <cellStyle name="Normal 3 3 5 2 2 4 2" xfId="16274" xr:uid="{00000000-0005-0000-0000-000094890000}"/>
    <cellStyle name="Normal 3 3 5 2 2 4 2 2" xfId="29842" xr:uid="{00000000-0005-0000-0000-000095890000}"/>
    <cellStyle name="Normal 3 3 5 2 2 4 2 2 2" xfId="56975" xr:uid="{00000000-0005-0000-0000-000096890000}"/>
    <cellStyle name="Normal 3 3 5 2 2 4 2 3" xfId="43413" xr:uid="{00000000-0005-0000-0000-000097890000}"/>
    <cellStyle name="Normal 3 3 5 2 2 4 3" xfId="23061" xr:uid="{00000000-0005-0000-0000-000098890000}"/>
    <cellStyle name="Normal 3 3 5 2 2 4 3 2" xfId="50194" xr:uid="{00000000-0005-0000-0000-000099890000}"/>
    <cellStyle name="Normal 3 3 5 2 2 4 4" xfId="36632" xr:uid="{00000000-0005-0000-0000-00009A890000}"/>
    <cellStyle name="Normal 3 3 5 2 2 5" xfId="12885" xr:uid="{00000000-0005-0000-0000-00009B890000}"/>
    <cellStyle name="Normal 3 3 5 2 2 5 2" xfId="26453" xr:uid="{00000000-0005-0000-0000-00009C890000}"/>
    <cellStyle name="Normal 3 3 5 2 2 5 2 2" xfId="53586" xr:uid="{00000000-0005-0000-0000-00009D890000}"/>
    <cellStyle name="Normal 3 3 5 2 2 5 3" xfId="40024" xr:uid="{00000000-0005-0000-0000-00009E890000}"/>
    <cellStyle name="Normal 3 3 5 2 2 6" xfId="19672" xr:uid="{00000000-0005-0000-0000-00009F890000}"/>
    <cellStyle name="Normal 3 3 5 2 2 6 2" xfId="46805" xr:uid="{00000000-0005-0000-0000-0000A0890000}"/>
    <cellStyle name="Normal 3 3 5 2 2 7" xfId="33243" xr:uid="{00000000-0005-0000-0000-0000A1890000}"/>
    <cellStyle name="Normal 3 3 5 2 3" xfId="5944" xr:uid="{00000000-0005-0000-0000-0000A2890000}"/>
    <cellStyle name="Normal 3 3 5 2 3 2" xfId="5945" xr:uid="{00000000-0005-0000-0000-0000A3890000}"/>
    <cellStyle name="Normal 3 3 5 2 3 2 2" xfId="9488" xr:uid="{00000000-0005-0000-0000-0000A4890000}"/>
    <cellStyle name="Normal 3 3 5 2 3 2 2 2" xfId="16278" xr:uid="{00000000-0005-0000-0000-0000A5890000}"/>
    <cellStyle name="Normal 3 3 5 2 3 2 2 2 2" xfId="29846" xr:uid="{00000000-0005-0000-0000-0000A6890000}"/>
    <cellStyle name="Normal 3 3 5 2 3 2 2 2 2 2" xfId="56979" xr:uid="{00000000-0005-0000-0000-0000A7890000}"/>
    <cellStyle name="Normal 3 3 5 2 3 2 2 2 3" xfId="43417" xr:uid="{00000000-0005-0000-0000-0000A8890000}"/>
    <cellStyle name="Normal 3 3 5 2 3 2 2 3" xfId="23065" xr:uid="{00000000-0005-0000-0000-0000A9890000}"/>
    <cellStyle name="Normal 3 3 5 2 3 2 2 3 2" xfId="50198" xr:uid="{00000000-0005-0000-0000-0000AA890000}"/>
    <cellStyle name="Normal 3 3 5 2 3 2 2 4" xfId="36636" xr:uid="{00000000-0005-0000-0000-0000AB890000}"/>
    <cellStyle name="Normal 3 3 5 2 3 2 3" xfId="12889" xr:uid="{00000000-0005-0000-0000-0000AC890000}"/>
    <cellStyle name="Normal 3 3 5 2 3 2 3 2" xfId="26457" xr:uid="{00000000-0005-0000-0000-0000AD890000}"/>
    <cellStyle name="Normal 3 3 5 2 3 2 3 2 2" xfId="53590" xr:uid="{00000000-0005-0000-0000-0000AE890000}"/>
    <cellStyle name="Normal 3 3 5 2 3 2 3 3" xfId="40028" xr:uid="{00000000-0005-0000-0000-0000AF890000}"/>
    <cellStyle name="Normal 3 3 5 2 3 2 4" xfId="19676" xr:uid="{00000000-0005-0000-0000-0000B0890000}"/>
    <cellStyle name="Normal 3 3 5 2 3 2 4 2" xfId="46809" xr:uid="{00000000-0005-0000-0000-0000B1890000}"/>
    <cellStyle name="Normal 3 3 5 2 3 2 5" xfId="33247" xr:uid="{00000000-0005-0000-0000-0000B2890000}"/>
    <cellStyle name="Normal 3 3 5 2 3 3" xfId="9487" xr:uid="{00000000-0005-0000-0000-0000B3890000}"/>
    <cellStyle name="Normal 3 3 5 2 3 3 2" xfId="16277" xr:uid="{00000000-0005-0000-0000-0000B4890000}"/>
    <cellStyle name="Normal 3 3 5 2 3 3 2 2" xfId="29845" xr:uid="{00000000-0005-0000-0000-0000B5890000}"/>
    <cellStyle name="Normal 3 3 5 2 3 3 2 2 2" xfId="56978" xr:uid="{00000000-0005-0000-0000-0000B6890000}"/>
    <cellStyle name="Normal 3 3 5 2 3 3 2 3" xfId="43416" xr:uid="{00000000-0005-0000-0000-0000B7890000}"/>
    <cellStyle name="Normal 3 3 5 2 3 3 3" xfId="23064" xr:uid="{00000000-0005-0000-0000-0000B8890000}"/>
    <cellStyle name="Normal 3 3 5 2 3 3 3 2" xfId="50197" xr:uid="{00000000-0005-0000-0000-0000B9890000}"/>
    <cellStyle name="Normal 3 3 5 2 3 3 4" xfId="36635" xr:uid="{00000000-0005-0000-0000-0000BA890000}"/>
    <cellStyle name="Normal 3 3 5 2 3 4" xfId="12888" xr:uid="{00000000-0005-0000-0000-0000BB890000}"/>
    <cellStyle name="Normal 3 3 5 2 3 4 2" xfId="26456" xr:uid="{00000000-0005-0000-0000-0000BC890000}"/>
    <cellStyle name="Normal 3 3 5 2 3 4 2 2" xfId="53589" xr:uid="{00000000-0005-0000-0000-0000BD890000}"/>
    <cellStyle name="Normal 3 3 5 2 3 4 3" xfId="40027" xr:uid="{00000000-0005-0000-0000-0000BE890000}"/>
    <cellStyle name="Normal 3 3 5 2 3 5" xfId="19675" xr:uid="{00000000-0005-0000-0000-0000BF890000}"/>
    <cellStyle name="Normal 3 3 5 2 3 5 2" xfId="46808" xr:uid="{00000000-0005-0000-0000-0000C0890000}"/>
    <cellStyle name="Normal 3 3 5 2 3 6" xfId="33246" xr:uid="{00000000-0005-0000-0000-0000C1890000}"/>
    <cellStyle name="Normal 3 3 5 2 4" xfId="5946" xr:uid="{00000000-0005-0000-0000-0000C2890000}"/>
    <cellStyle name="Normal 3 3 5 2 4 2" xfId="9489" xr:uid="{00000000-0005-0000-0000-0000C3890000}"/>
    <cellStyle name="Normal 3 3 5 2 4 2 2" xfId="16279" xr:uid="{00000000-0005-0000-0000-0000C4890000}"/>
    <cellStyle name="Normal 3 3 5 2 4 2 2 2" xfId="29847" xr:uid="{00000000-0005-0000-0000-0000C5890000}"/>
    <cellStyle name="Normal 3 3 5 2 4 2 2 2 2" xfId="56980" xr:uid="{00000000-0005-0000-0000-0000C6890000}"/>
    <cellStyle name="Normal 3 3 5 2 4 2 2 3" xfId="43418" xr:uid="{00000000-0005-0000-0000-0000C7890000}"/>
    <cellStyle name="Normal 3 3 5 2 4 2 3" xfId="23066" xr:uid="{00000000-0005-0000-0000-0000C8890000}"/>
    <cellStyle name="Normal 3 3 5 2 4 2 3 2" xfId="50199" xr:uid="{00000000-0005-0000-0000-0000C9890000}"/>
    <cellStyle name="Normal 3 3 5 2 4 2 4" xfId="36637" xr:uid="{00000000-0005-0000-0000-0000CA890000}"/>
    <cellStyle name="Normal 3 3 5 2 4 3" xfId="12890" xr:uid="{00000000-0005-0000-0000-0000CB890000}"/>
    <cellStyle name="Normal 3 3 5 2 4 3 2" xfId="26458" xr:uid="{00000000-0005-0000-0000-0000CC890000}"/>
    <cellStyle name="Normal 3 3 5 2 4 3 2 2" xfId="53591" xr:uid="{00000000-0005-0000-0000-0000CD890000}"/>
    <cellStyle name="Normal 3 3 5 2 4 3 3" xfId="40029" xr:uid="{00000000-0005-0000-0000-0000CE890000}"/>
    <cellStyle name="Normal 3 3 5 2 4 4" xfId="19677" xr:uid="{00000000-0005-0000-0000-0000CF890000}"/>
    <cellStyle name="Normal 3 3 5 2 4 4 2" xfId="46810" xr:uid="{00000000-0005-0000-0000-0000D0890000}"/>
    <cellStyle name="Normal 3 3 5 2 4 5" xfId="33248" xr:uid="{00000000-0005-0000-0000-0000D1890000}"/>
    <cellStyle name="Normal 3 3 5 2 5" xfId="5947" xr:uid="{00000000-0005-0000-0000-0000D2890000}"/>
    <cellStyle name="Normal 3 3 5 2 5 2" xfId="9490" xr:uid="{00000000-0005-0000-0000-0000D3890000}"/>
    <cellStyle name="Normal 3 3 5 2 5 2 2" xfId="16280" xr:uid="{00000000-0005-0000-0000-0000D4890000}"/>
    <cellStyle name="Normal 3 3 5 2 5 2 2 2" xfId="29848" xr:uid="{00000000-0005-0000-0000-0000D5890000}"/>
    <cellStyle name="Normal 3 3 5 2 5 2 2 2 2" xfId="56981" xr:uid="{00000000-0005-0000-0000-0000D6890000}"/>
    <cellStyle name="Normal 3 3 5 2 5 2 2 3" xfId="43419" xr:uid="{00000000-0005-0000-0000-0000D7890000}"/>
    <cellStyle name="Normal 3 3 5 2 5 2 3" xfId="23067" xr:uid="{00000000-0005-0000-0000-0000D8890000}"/>
    <cellStyle name="Normal 3 3 5 2 5 2 3 2" xfId="50200" xr:uid="{00000000-0005-0000-0000-0000D9890000}"/>
    <cellStyle name="Normal 3 3 5 2 5 2 4" xfId="36638" xr:uid="{00000000-0005-0000-0000-0000DA890000}"/>
    <cellStyle name="Normal 3 3 5 2 5 3" xfId="12891" xr:uid="{00000000-0005-0000-0000-0000DB890000}"/>
    <cellStyle name="Normal 3 3 5 2 5 3 2" xfId="26459" xr:uid="{00000000-0005-0000-0000-0000DC890000}"/>
    <cellStyle name="Normal 3 3 5 2 5 3 2 2" xfId="53592" xr:uid="{00000000-0005-0000-0000-0000DD890000}"/>
    <cellStyle name="Normal 3 3 5 2 5 3 3" xfId="40030" xr:uid="{00000000-0005-0000-0000-0000DE890000}"/>
    <cellStyle name="Normal 3 3 5 2 5 4" xfId="19678" xr:uid="{00000000-0005-0000-0000-0000DF890000}"/>
    <cellStyle name="Normal 3 3 5 2 5 4 2" xfId="46811" xr:uid="{00000000-0005-0000-0000-0000E0890000}"/>
    <cellStyle name="Normal 3 3 5 2 5 5" xfId="33249" xr:uid="{00000000-0005-0000-0000-0000E1890000}"/>
    <cellStyle name="Normal 3 3 5 2 6" xfId="7512" xr:uid="{00000000-0005-0000-0000-0000E2890000}"/>
    <cellStyle name="Normal 3 3 5 2 6 2" xfId="14302" xr:uid="{00000000-0005-0000-0000-0000E3890000}"/>
    <cellStyle name="Normal 3 3 5 2 6 2 2" xfId="27870" xr:uid="{00000000-0005-0000-0000-0000E4890000}"/>
    <cellStyle name="Normal 3 3 5 2 6 2 2 2" xfId="55003" xr:uid="{00000000-0005-0000-0000-0000E5890000}"/>
    <cellStyle name="Normal 3 3 5 2 6 2 3" xfId="41441" xr:uid="{00000000-0005-0000-0000-0000E6890000}"/>
    <cellStyle name="Normal 3 3 5 2 6 3" xfId="21089" xr:uid="{00000000-0005-0000-0000-0000E7890000}"/>
    <cellStyle name="Normal 3 3 5 2 6 3 2" xfId="48222" xr:uid="{00000000-0005-0000-0000-0000E8890000}"/>
    <cellStyle name="Normal 3 3 5 2 6 4" xfId="34660" xr:uid="{00000000-0005-0000-0000-0000E9890000}"/>
    <cellStyle name="Normal 3 3 5 2 7" xfId="10913" xr:uid="{00000000-0005-0000-0000-0000EA890000}"/>
    <cellStyle name="Normal 3 3 5 2 7 2" xfId="24481" xr:uid="{00000000-0005-0000-0000-0000EB890000}"/>
    <cellStyle name="Normal 3 3 5 2 7 2 2" xfId="51614" xr:uid="{00000000-0005-0000-0000-0000EC890000}"/>
    <cellStyle name="Normal 3 3 5 2 7 3" xfId="38052" xr:uid="{00000000-0005-0000-0000-0000ED890000}"/>
    <cellStyle name="Normal 3 3 5 2 8" xfId="17700" xr:uid="{00000000-0005-0000-0000-0000EE890000}"/>
    <cellStyle name="Normal 3 3 5 2 8 2" xfId="44833" xr:uid="{00000000-0005-0000-0000-0000EF890000}"/>
    <cellStyle name="Normal 3 3 5 2 9" xfId="31271" xr:uid="{00000000-0005-0000-0000-0000F0890000}"/>
    <cellStyle name="Normal 3 3 5 3" xfId="5948" xr:uid="{00000000-0005-0000-0000-0000F1890000}"/>
    <cellStyle name="Normal 3 3 5 3 2" xfId="5949" xr:uid="{00000000-0005-0000-0000-0000F2890000}"/>
    <cellStyle name="Normal 3 3 5 3 2 2" xfId="9492" xr:uid="{00000000-0005-0000-0000-0000F3890000}"/>
    <cellStyle name="Normal 3 3 5 3 2 2 2" xfId="16282" xr:uid="{00000000-0005-0000-0000-0000F4890000}"/>
    <cellStyle name="Normal 3 3 5 3 2 2 2 2" xfId="29850" xr:uid="{00000000-0005-0000-0000-0000F5890000}"/>
    <cellStyle name="Normal 3 3 5 3 2 2 2 2 2" xfId="56983" xr:uid="{00000000-0005-0000-0000-0000F6890000}"/>
    <cellStyle name="Normal 3 3 5 3 2 2 2 3" xfId="43421" xr:uid="{00000000-0005-0000-0000-0000F7890000}"/>
    <cellStyle name="Normal 3 3 5 3 2 2 3" xfId="23069" xr:uid="{00000000-0005-0000-0000-0000F8890000}"/>
    <cellStyle name="Normal 3 3 5 3 2 2 3 2" xfId="50202" xr:uid="{00000000-0005-0000-0000-0000F9890000}"/>
    <cellStyle name="Normal 3 3 5 3 2 2 4" xfId="36640" xr:uid="{00000000-0005-0000-0000-0000FA890000}"/>
    <cellStyle name="Normal 3 3 5 3 2 3" xfId="12893" xr:uid="{00000000-0005-0000-0000-0000FB890000}"/>
    <cellStyle name="Normal 3 3 5 3 2 3 2" xfId="26461" xr:uid="{00000000-0005-0000-0000-0000FC890000}"/>
    <cellStyle name="Normal 3 3 5 3 2 3 2 2" xfId="53594" xr:uid="{00000000-0005-0000-0000-0000FD890000}"/>
    <cellStyle name="Normal 3 3 5 3 2 3 3" xfId="40032" xr:uid="{00000000-0005-0000-0000-0000FE890000}"/>
    <cellStyle name="Normal 3 3 5 3 2 4" xfId="19680" xr:uid="{00000000-0005-0000-0000-0000FF890000}"/>
    <cellStyle name="Normal 3 3 5 3 2 4 2" xfId="46813" xr:uid="{00000000-0005-0000-0000-0000008A0000}"/>
    <cellStyle name="Normal 3 3 5 3 2 5" xfId="33251" xr:uid="{00000000-0005-0000-0000-0000018A0000}"/>
    <cellStyle name="Normal 3 3 5 3 3" xfId="5950" xr:uid="{00000000-0005-0000-0000-0000028A0000}"/>
    <cellStyle name="Normal 3 3 5 3 3 2" xfId="9493" xr:uid="{00000000-0005-0000-0000-0000038A0000}"/>
    <cellStyle name="Normal 3 3 5 3 3 2 2" xfId="16283" xr:uid="{00000000-0005-0000-0000-0000048A0000}"/>
    <cellStyle name="Normal 3 3 5 3 3 2 2 2" xfId="29851" xr:uid="{00000000-0005-0000-0000-0000058A0000}"/>
    <cellStyle name="Normal 3 3 5 3 3 2 2 2 2" xfId="56984" xr:uid="{00000000-0005-0000-0000-0000068A0000}"/>
    <cellStyle name="Normal 3 3 5 3 3 2 2 3" xfId="43422" xr:uid="{00000000-0005-0000-0000-0000078A0000}"/>
    <cellStyle name="Normal 3 3 5 3 3 2 3" xfId="23070" xr:uid="{00000000-0005-0000-0000-0000088A0000}"/>
    <cellStyle name="Normal 3 3 5 3 3 2 3 2" xfId="50203" xr:uid="{00000000-0005-0000-0000-0000098A0000}"/>
    <cellStyle name="Normal 3 3 5 3 3 2 4" xfId="36641" xr:uid="{00000000-0005-0000-0000-00000A8A0000}"/>
    <cellStyle name="Normal 3 3 5 3 3 3" xfId="12894" xr:uid="{00000000-0005-0000-0000-00000B8A0000}"/>
    <cellStyle name="Normal 3 3 5 3 3 3 2" xfId="26462" xr:uid="{00000000-0005-0000-0000-00000C8A0000}"/>
    <cellStyle name="Normal 3 3 5 3 3 3 2 2" xfId="53595" xr:uid="{00000000-0005-0000-0000-00000D8A0000}"/>
    <cellStyle name="Normal 3 3 5 3 3 3 3" xfId="40033" xr:uid="{00000000-0005-0000-0000-00000E8A0000}"/>
    <cellStyle name="Normal 3 3 5 3 3 4" xfId="19681" xr:uid="{00000000-0005-0000-0000-00000F8A0000}"/>
    <cellStyle name="Normal 3 3 5 3 3 4 2" xfId="46814" xr:uid="{00000000-0005-0000-0000-0000108A0000}"/>
    <cellStyle name="Normal 3 3 5 3 3 5" xfId="33252" xr:uid="{00000000-0005-0000-0000-0000118A0000}"/>
    <cellStyle name="Normal 3 3 5 3 4" xfId="9491" xr:uid="{00000000-0005-0000-0000-0000128A0000}"/>
    <cellStyle name="Normal 3 3 5 3 4 2" xfId="16281" xr:uid="{00000000-0005-0000-0000-0000138A0000}"/>
    <cellStyle name="Normal 3 3 5 3 4 2 2" xfId="29849" xr:uid="{00000000-0005-0000-0000-0000148A0000}"/>
    <cellStyle name="Normal 3 3 5 3 4 2 2 2" xfId="56982" xr:uid="{00000000-0005-0000-0000-0000158A0000}"/>
    <cellStyle name="Normal 3 3 5 3 4 2 3" xfId="43420" xr:uid="{00000000-0005-0000-0000-0000168A0000}"/>
    <cellStyle name="Normal 3 3 5 3 4 3" xfId="23068" xr:uid="{00000000-0005-0000-0000-0000178A0000}"/>
    <cellStyle name="Normal 3 3 5 3 4 3 2" xfId="50201" xr:uid="{00000000-0005-0000-0000-0000188A0000}"/>
    <cellStyle name="Normal 3 3 5 3 4 4" xfId="36639" xr:uid="{00000000-0005-0000-0000-0000198A0000}"/>
    <cellStyle name="Normal 3 3 5 3 5" xfId="12892" xr:uid="{00000000-0005-0000-0000-00001A8A0000}"/>
    <cellStyle name="Normal 3 3 5 3 5 2" xfId="26460" xr:uid="{00000000-0005-0000-0000-00001B8A0000}"/>
    <cellStyle name="Normal 3 3 5 3 5 2 2" xfId="53593" xr:uid="{00000000-0005-0000-0000-00001C8A0000}"/>
    <cellStyle name="Normal 3 3 5 3 5 3" xfId="40031" xr:uid="{00000000-0005-0000-0000-00001D8A0000}"/>
    <cellStyle name="Normal 3 3 5 3 6" xfId="19679" xr:uid="{00000000-0005-0000-0000-00001E8A0000}"/>
    <cellStyle name="Normal 3 3 5 3 6 2" xfId="46812" xr:uid="{00000000-0005-0000-0000-00001F8A0000}"/>
    <cellStyle name="Normal 3 3 5 3 7" xfId="33250" xr:uid="{00000000-0005-0000-0000-0000208A0000}"/>
    <cellStyle name="Normal 3 3 5 4" xfId="5951" xr:uid="{00000000-0005-0000-0000-0000218A0000}"/>
    <cellStyle name="Normal 3 3 5 4 2" xfId="5952" xr:uid="{00000000-0005-0000-0000-0000228A0000}"/>
    <cellStyle name="Normal 3 3 5 4 2 2" xfId="9495" xr:uid="{00000000-0005-0000-0000-0000238A0000}"/>
    <cellStyle name="Normal 3 3 5 4 2 2 2" xfId="16285" xr:uid="{00000000-0005-0000-0000-0000248A0000}"/>
    <cellStyle name="Normal 3 3 5 4 2 2 2 2" xfId="29853" xr:uid="{00000000-0005-0000-0000-0000258A0000}"/>
    <cellStyle name="Normal 3 3 5 4 2 2 2 2 2" xfId="56986" xr:uid="{00000000-0005-0000-0000-0000268A0000}"/>
    <cellStyle name="Normal 3 3 5 4 2 2 2 3" xfId="43424" xr:uid="{00000000-0005-0000-0000-0000278A0000}"/>
    <cellStyle name="Normal 3 3 5 4 2 2 3" xfId="23072" xr:uid="{00000000-0005-0000-0000-0000288A0000}"/>
    <cellStyle name="Normal 3 3 5 4 2 2 3 2" xfId="50205" xr:uid="{00000000-0005-0000-0000-0000298A0000}"/>
    <cellStyle name="Normal 3 3 5 4 2 2 4" xfId="36643" xr:uid="{00000000-0005-0000-0000-00002A8A0000}"/>
    <cellStyle name="Normal 3 3 5 4 2 3" xfId="12896" xr:uid="{00000000-0005-0000-0000-00002B8A0000}"/>
    <cellStyle name="Normal 3 3 5 4 2 3 2" xfId="26464" xr:uid="{00000000-0005-0000-0000-00002C8A0000}"/>
    <cellStyle name="Normal 3 3 5 4 2 3 2 2" xfId="53597" xr:uid="{00000000-0005-0000-0000-00002D8A0000}"/>
    <cellStyle name="Normal 3 3 5 4 2 3 3" xfId="40035" xr:uid="{00000000-0005-0000-0000-00002E8A0000}"/>
    <cellStyle name="Normal 3 3 5 4 2 4" xfId="19683" xr:uid="{00000000-0005-0000-0000-00002F8A0000}"/>
    <cellStyle name="Normal 3 3 5 4 2 4 2" xfId="46816" xr:uid="{00000000-0005-0000-0000-0000308A0000}"/>
    <cellStyle name="Normal 3 3 5 4 2 5" xfId="33254" xr:uid="{00000000-0005-0000-0000-0000318A0000}"/>
    <cellStyle name="Normal 3 3 5 4 3" xfId="9494" xr:uid="{00000000-0005-0000-0000-0000328A0000}"/>
    <cellStyle name="Normal 3 3 5 4 3 2" xfId="16284" xr:uid="{00000000-0005-0000-0000-0000338A0000}"/>
    <cellStyle name="Normal 3 3 5 4 3 2 2" xfId="29852" xr:uid="{00000000-0005-0000-0000-0000348A0000}"/>
    <cellStyle name="Normal 3 3 5 4 3 2 2 2" xfId="56985" xr:uid="{00000000-0005-0000-0000-0000358A0000}"/>
    <cellStyle name="Normal 3 3 5 4 3 2 3" xfId="43423" xr:uid="{00000000-0005-0000-0000-0000368A0000}"/>
    <cellStyle name="Normal 3 3 5 4 3 3" xfId="23071" xr:uid="{00000000-0005-0000-0000-0000378A0000}"/>
    <cellStyle name="Normal 3 3 5 4 3 3 2" xfId="50204" xr:uid="{00000000-0005-0000-0000-0000388A0000}"/>
    <cellStyle name="Normal 3 3 5 4 3 4" xfId="36642" xr:uid="{00000000-0005-0000-0000-0000398A0000}"/>
    <cellStyle name="Normal 3 3 5 4 4" xfId="12895" xr:uid="{00000000-0005-0000-0000-00003A8A0000}"/>
    <cellStyle name="Normal 3 3 5 4 4 2" xfId="26463" xr:uid="{00000000-0005-0000-0000-00003B8A0000}"/>
    <cellStyle name="Normal 3 3 5 4 4 2 2" xfId="53596" xr:uid="{00000000-0005-0000-0000-00003C8A0000}"/>
    <cellStyle name="Normal 3 3 5 4 4 3" xfId="40034" xr:uid="{00000000-0005-0000-0000-00003D8A0000}"/>
    <cellStyle name="Normal 3 3 5 4 5" xfId="19682" xr:uid="{00000000-0005-0000-0000-00003E8A0000}"/>
    <cellStyle name="Normal 3 3 5 4 5 2" xfId="46815" xr:uid="{00000000-0005-0000-0000-00003F8A0000}"/>
    <cellStyle name="Normal 3 3 5 4 6" xfId="33253" xr:uid="{00000000-0005-0000-0000-0000408A0000}"/>
    <cellStyle name="Normal 3 3 5 5" xfId="5953" xr:uid="{00000000-0005-0000-0000-0000418A0000}"/>
    <cellStyle name="Normal 3 3 5 5 2" xfId="9496" xr:uid="{00000000-0005-0000-0000-0000428A0000}"/>
    <cellStyle name="Normal 3 3 5 5 2 2" xfId="16286" xr:uid="{00000000-0005-0000-0000-0000438A0000}"/>
    <cellStyle name="Normal 3 3 5 5 2 2 2" xfId="29854" xr:uid="{00000000-0005-0000-0000-0000448A0000}"/>
    <cellStyle name="Normal 3 3 5 5 2 2 2 2" xfId="56987" xr:uid="{00000000-0005-0000-0000-0000458A0000}"/>
    <cellStyle name="Normal 3 3 5 5 2 2 3" xfId="43425" xr:uid="{00000000-0005-0000-0000-0000468A0000}"/>
    <cellStyle name="Normal 3 3 5 5 2 3" xfId="23073" xr:uid="{00000000-0005-0000-0000-0000478A0000}"/>
    <cellStyle name="Normal 3 3 5 5 2 3 2" xfId="50206" xr:uid="{00000000-0005-0000-0000-0000488A0000}"/>
    <cellStyle name="Normal 3 3 5 5 2 4" xfId="36644" xr:uid="{00000000-0005-0000-0000-0000498A0000}"/>
    <cellStyle name="Normal 3 3 5 5 3" xfId="12897" xr:uid="{00000000-0005-0000-0000-00004A8A0000}"/>
    <cellStyle name="Normal 3 3 5 5 3 2" xfId="26465" xr:uid="{00000000-0005-0000-0000-00004B8A0000}"/>
    <cellStyle name="Normal 3 3 5 5 3 2 2" xfId="53598" xr:uid="{00000000-0005-0000-0000-00004C8A0000}"/>
    <cellStyle name="Normal 3 3 5 5 3 3" xfId="40036" xr:uid="{00000000-0005-0000-0000-00004D8A0000}"/>
    <cellStyle name="Normal 3 3 5 5 4" xfId="19684" xr:uid="{00000000-0005-0000-0000-00004E8A0000}"/>
    <cellStyle name="Normal 3 3 5 5 4 2" xfId="46817" xr:uid="{00000000-0005-0000-0000-00004F8A0000}"/>
    <cellStyle name="Normal 3 3 5 5 5" xfId="33255" xr:uid="{00000000-0005-0000-0000-0000508A0000}"/>
    <cellStyle name="Normal 3 3 5 6" xfId="5954" xr:uid="{00000000-0005-0000-0000-0000518A0000}"/>
    <cellStyle name="Normal 3 3 5 6 2" xfId="9497" xr:uid="{00000000-0005-0000-0000-0000528A0000}"/>
    <cellStyle name="Normal 3 3 5 6 2 2" xfId="16287" xr:uid="{00000000-0005-0000-0000-0000538A0000}"/>
    <cellStyle name="Normal 3 3 5 6 2 2 2" xfId="29855" xr:uid="{00000000-0005-0000-0000-0000548A0000}"/>
    <cellStyle name="Normal 3 3 5 6 2 2 2 2" xfId="56988" xr:uid="{00000000-0005-0000-0000-0000558A0000}"/>
    <cellStyle name="Normal 3 3 5 6 2 2 3" xfId="43426" xr:uid="{00000000-0005-0000-0000-0000568A0000}"/>
    <cellStyle name="Normal 3 3 5 6 2 3" xfId="23074" xr:uid="{00000000-0005-0000-0000-0000578A0000}"/>
    <cellStyle name="Normal 3 3 5 6 2 3 2" xfId="50207" xr:uid="{00000000-0005-0000-0000-0000588A0000}"/>
    <cellStyle name="Normal 3 3 5 6 2 4" xfId="36645" xr:uid="{00000000-0005-0000-0000-0000598A0000}"/>
    <cellStyle name="Normal 3 3 5 6 3" xfId="12898" xr:uid="{00000000-0005-0000-0000-00005A8A0000}"/>
    <cellStyle name="Normal 3 3 5 6 3 2" xfId="26466" xr:uid="{00000000-0005-0000-0000-00005B8A0000}"/>
    <cellStyle name="Normal 3 3 5 6 3 2 2" xfId="53599" xr:uid="{00000000-0005-0000-0000-00005C8A0000}"/>
    <cellStyle name="Normal 3 3 5 6 3 3" xfId="40037" xr:uid="{00000000-0005-0000-0000-00005D8A0000}"/>
    <cellStyle name="Normal 3 3 5 6 4" xfId="19685" xr:uid="{00000000-0005-0000-0000-00005E8A0000}"/>
    <cellStyle name="Normal 3 3 5 6 4 2" xfId="46818" xr:uid="{00000000-0005-0000-0000-00005F8A0000}"/>
    <cellStyle name="Normal 3 3 5 6 5" xfId="33256" xr:uid="{00000000-0005-0000-0000-0000608A0000}"/>
    <cellStyle name="Normal 3 3 5 7" xfId="7511" xr:uid="{00000000-0005-0000-0000-0000618A0000}"/>
    <cellStyle name="Normal 3 3 5 7 2" xfId="14301" xr:uid="{00000000-0005-0000-0000-0000628A0000}"/>
    <cellStyle name="Normal 3 3 5 7 2 2" xfId="27869" xr:uid="{00000000-0005-0000-0000-0000638A0000}"/>
    <cellStyle name="Normal 3 3 5 7 2 2 2" xfId="55002" xr:uid="{00000000-0005-0000-0000-0000648A0000}"/>
    <cellStyle name="Normal 3 3 5 7 2 3" xfId="41440" xr:uid="{00000000-0005-0000-0000-0000658A0000}"/>
    <cellStyle name="Normal 3 3 5 7 3" xfId="21088" xr:uid="{00000000-0005-0000-0000-0000668A0000}"/>
    <cellStyle name="Normal 3 3 5 7 3 2" xfId="48221" xr:uid="{00000000-0005-0000-0000-0000678A0000}"/>
    <cellStyle name="Normal 3 3 5 7 4" xfId="34659" xr:uid="{00000000-0005-0000-0000-0000688A0000}"/>
    <cellStyle name="Normal 3 3 5 8" xfId="10912" xr:uid="{00000000-0005-0000-0000-0000698A0000}"/>
    <cellStyle name="Normal 3 3 5 8 2" xfId="24480" xr:uid="{00000000-0005-0000-0000-00006A8A0000}"/>
    <cellStyle name="Normal 3 3 5 8 2 2" xfId="51613" xr:uid="{00000000-0005-0000-0000-00006B8A0000}"/>
    <cellStyle name="Normal 3 3 5 8 3" xfId="38051" xr:uid="{00000000-0005-0000-0000-00006C8A0000}"/>
    <cellStyle name="Normal 3 3 5 9" xfId="17699" xr:uid="{00000000-0005-0000-0000-00006D8A0000}"/>
    <cellStyle name="Normal 3 3 5 9 2" xfId="44832" xr:uid="{00000000-0005-0000-0000-00006E8A0000}"/>
    <cellStyle name="Normal 3 3 6" xfId="37" xr:uid="{00000000-0005-0000-0000-00006F8A0000}"/>
    <cellStyle name="Normal 3 3 6 10" xfId="2700" xr:uid="{00000000-0005-0000-0000-0000708A0000}"/>
    <cellStyle name="Normal 3 3 6 2" xfId="2701" xr:uid="{00000000-0005-0000-0000-0000718A0000}"/>
    <cellStyle name="Normal 3 3 6 2 2" xfId="5955" xr:uid="{00000000-0005-0000-0000-0000728A0000}"/>
    <cellStyle name="Normal 3 3 6 2 2 2" xfId="9498" xr:uid="{00000000-0005-0000-0000-0000738A0000}"/>
    <cellStyle name="Normal 3 3 6 2 2 2 2" xfId="16288" xr:uid="{00000000-0005-0000-0000-0000748A0000}"/>
    <cellStyle name="Normal 3 3 6 2 2 2 2 2" xfId="29856" xr:uid="{00000000-0005-0000-0000-0000758A0000}"/>
    <cellStyle name="Normal 3 3 6 2 2 2 2 2 2" xfId="56989" xr:uid="{00000000-0005-0000-0000-0000768A0000}"/>
    <cellStyle name="Normal 3 3 6 2 2 2 2 3" xfId="43427" xr:uid="{00000000-0005-0000-0000-0000778A0000}"/>
    <cellStyle name="Normal 3 3 6 2 2 2 3" xfId="23075" xr:uid="{00000000-0005-0000-0000-0000788A0000}"/>
    <cellStyle name="Normal 3 3 6 2 2 2 3 2" xfId="50208" xr:uid="{00000000-0005-0000-0000-0000798A0000}"/>
    <cellStyle name="Normal 3 3 6 2 2 2 4" xfId="36646" xr:uid="{00000000-0005-0000-0000-00007A8A0000}"/>
    <cellStyle name="Normal 3 3 6 2 2 3" xfId="12899" xr:uid="{00000000-0005-0000-0000-00007B8A0000}"/>
    <cellStyle name="Normal 3 3 6 2 2 3 2" xfId="26467" xr:uid="{00000000-0005-0000-0000-00007C8A0000}"/>
    <cellStyle name="Normal 3 3 6 2 2 3 2 2" xfId="53600" xr:uid="{00000000-0005-0000-0000-00007D8A0000}"/>
    <cellStyle name="Normal 3 3 6 2 2 3 3" xfId="40038" xr:uid="{00000000-0005-0000-0000-00007E8A0000}"/>
    <cellStyle name="Normal 3 3 6 2 2 4" xfId="19686" xr:uid="{00000000-0005-0000-0000-00007F8A0000}"/>
    <cellStyle name="Normal 3 3 6 2 2 4 2" xfId="46819" xr:uid="{00000000-0005-0000-0000-0000808A0000}"/>
    <cellStyle name="Normal 3 3 6 2 2 5" xfId="33257" xr:uid="{00000000-0005-0000-0000-0000818A0000}"/>
    <cellStyle name="Normal 3 3 6 2 3" xfId="5956" xr:uid="{00000000-0005-0000-0000-0000828A0000}"/>
    <cellStyle name="Normal 3 3 6 2 3 2" xfId="9499" xr:uid="{00000000-0005-0000-0000-0000838A0000}"/>
    <cellStyle name="Normal 3 3 6 2 3 2 2" xfId="16289" xr:uid="{00000000-0005-0000-0000-0000848A0000}"/>
    <cellStyle name="Normal 3 3 6 2 3 2 2 2" xfId="29857" xr:uid="{00000000-0005-0000-0000-0000858A0000}"/>
    <cellStyle name="Normal 3 3 6 2 3 2 2 2 2" xfId="56990" xr:uid="{00000000-0005-0000-0000-0000868A0000}"/>
    <cellStyle name="Normal 3 3 6 2 3 2 2 3" xfId="43428" xr:uid="{00000000-0005-0000-0000-0000878A0000}"/>
    <cellStyle name="Normal 3 3 6 2 3 2 3" xfId="23076" xr:uid="{00000000-0005-0000-0000-0000888A0000}"/>
    <cellStyle name="Normal 3 3 6 2 3 2 3 2" xfId="50209" xr:uid="{00000000-0005-0000-0000-0000898A0000}"/>
    <cellStyle name="Normal 3 3 6 2 3 2 4" xfId="36647" xr:uid="{00000000-0005-0000-0000-00008A8A0000}"/>
    <cellStyle name="Normal 3 3 6 2 3 3" xfId="12900" xr:uid="{00000000-0005-0000-0000-00008B8A0000}"/>
    <cellStyle name="Normal 3 3 6 2 3 3 2" xfId="26468" xr:uid="{00000000-0005-0000-0000-00008C8A0000}"/>
    <cellStyle name="Normal 3 3 6 2 3 3 2 2" xfId="53601" xr:uid="{00000000-0005-0000-0000-00008D8A0000}"/>
    <cellStyle name="Normal 3 3 6 2 3 3 3" xfId="40039" xr:uid="{00000000-0005-0000-0000-00008E8A0000}"/>
    <cellStyle name="Normal 3 3 6 2 3 4" xfId="19687" xr:uid="{00000000-0005-0000-0000-00008F8A0000}"/>
    <cellStyle name="Normal 3 3 6 2 3 4 2" xfId="46820" xr:uid="{00000000-0005-0000-0000-0000908A0000}"/>
    <cellStyle name="Normal 3 3 6 2 3 5" xfId="33258" xr:uid="{00000000-0005-0000-0000-0000918A0000}"/>
    <cellStyle name="Normal 3 3 6 2 4" xfId="7514" xr:uid="{00000000-0005-0000-0000-0000928A0000}"/>
    <cellStyle name="Normal 3 3 6 2 4 2" xfId="14304" xr:uid="{00000000-0005-0000-0000-0000938A0000}"/>
    <cellStyle name="Normal 3 3 6 2 4 2 2" xfId="27872" xr:uid="{00000000-0005-0000-0000-0000948A0000}"/>
    <cellStyle name="Normal 3 3 6 2 4 2 2 2" xfId="55005" xr:uid="{00000000-0005-0000-0000-0000958A0000}"/>
    <cellStyle name="Normal 3 3 6 2 4 2 3" xfId="41443" xr:uid="{00000000-0005-0000-0000-0000968A0000}"/>
    <cellStyle name="Normal 3 3 6 2 4 3" xfId="21091" xr:uid="{00000000-0005-0000-0000-0000978A0000}"/>
    <cellStyle name="Normal 3 3 6 2 4 3 2" xfId="48224" xr:uid="{00000000-0005-0000-0000-0000988A0000}"/>
    <cellStyle name="Normal 3 3 6 2 4 4" xfId="34662" xr:uid="{00000000-0005-0000-0000-0000998A0000}"/>
    <cellStyle name="Normal 3 3 6 2 5" xfId="10915" xr:uid="{00000000-0005-0000-0000-00009A8A0000}"/>
    <cellStyle name="Normal 3 3 6 2 5 2" xfId="24483" xr:uid="{00000000-0005-0000-0000-00009B8A0000}"/>
    <cellStyle name="Normal 3 3 6 2 5 2 2" xfId="51616" xr:uid="{00000000-0005-0000-0000-00009C8A0000}"/>
    <cellStyle name="Normal 3 3 6 2 5 3" xfId="38054" xr:uid="{00000000-0005-0000-0000-00009D8A0000}"/>
    <cellStyle name="Normal 3 3 6 2 6" xfId="17702" xr:uid="{00000000-0005-0000-0000-00009E8A0000}"/>
    <cellStyle name="Normal 3 3 6 2 6 2" xfId="44835" xr:uid="{00000000-0005-0000-0000-00009F8A0000}"/>
    <cellStyle name="Normal 3 3 6 2 7" xfId="31273" xr:uid="{00000000-0005-0000-0000-0000A08A0000}"/>
    <cellStyle name="Normal 3 3 6 3" xfId="5957" xr:uid="{00000000-0005-0000-0000-0000A18A0000}"/>
    <cellStyle name="Normal 3 3 6 3 2" xfId="5958" xr:uid="{00000000-0005-0000-0000-0000A28A0000}"/>
    <cellStyle name="Normal 3 3 6 3 2 2" xfId="9501" xr:uid="{00000000-0005-0000-0000-0000A38A0000}"/>
    <cellStyle name="Normal 3 3 6 3 2 2 2" xfId="16291" xr:uid="{00000000-0005-0000-0000-0000A48A0000}"/>
    <cellStyle name="Normal 3 3 6 3 2 2 2 2" xfId="29859" xr:uid="{00000000-0005-0000-0000-0000A58A0000}"/>
    <cellStyle name="Normal 3 3 6 3 2 2 2 2 2" xfId="56992" xr:uid="{00000000-0005-0000-0000-0000A68A0000}"/>
    <cellStyle name="Normal 3 3 6 3 2 2 2 3" xfId="43430" xr:uid="{00000000-0005-0000-0000-0000A78A0000}"/>
    <cellStyle name="Normal 3 3 6 3 2 2 3" xfId="23078" xr:uid="{00000000-0005-0000-0000-0000A88A0000}"/>
    <cellStyle name="Normal 3 3 6 3 2 2 3 2" xfId="50211" xr:uid="{00000000-0005-0000-0000-0000A98A0000}"/>
    <cellStyle name="Normal 3 3 6 3 2 2 4" xfId="36649" xr:uid="{00000000-0005-0000-0000-0000AA8A0000}"/>
    <cellStyle name="Normal 3 3 6 3 2 3" xfId="12902" xr:uid="{00000000-0005-0000-0000-0000AB8A0000}"/>
    <cellStyle name="Normal 3 3 6 3 2 3 2" xfId="26470" xr:uid="{00000000-0005-0000-0000-0000AC8A0000}"/>
    <cellStyle name="Normal 3 3 6 3 2 3 2 2" xfId="53603" xr:uid="{00000000-0005-0000-0000-0000AD8A0000}"/>
    <cellStyle name="Normal 3 3 6 3 2 3 3" xfId="40041" xr:uid="{00000000-0005-0000-0000-0000AE8A0000}"/>
    <cellStyle name="Normal 3 3 6 3 2 4" xfId="19689" xr:uid="{00000000-0005-0000-0000-0000AF8A0000}"/>
    <cellStyle name="Normal 3 3 6 3 2 4 2" xfId="46822" xr:uid="{00000000-0005-0000-0000-0000B08A0000}"/>
    <cellStyle name="Normal 3 3 6 3 2 5" xfId="33260" xr:uid="{00000000-0005-0000-0000-0000B18A0000}"/>
    <cellStyle name="Normal 3 3 6 3 3" xfId="9500" xr:uid="{00000000-0005-0000-0000-0000B28A0000}"/>
    <cellStyle name="Normal 3 3 6 3 3 2" xfId="16290" xr:uid="{00000000-0005-0000-0000-0000B38A0000}"/>
    <cellStyle name="Normal 3 3 6 3 3 2 2" xfId="29858" xr:uid="{00000000-0005-0000-0000-0000B48A0000}"/>
    <cellStyle name="Normal 3 3 6 3 3 2 2 2" xfId="56991" xr:uid="{00000000-0005-0000-0000-0000B58A0000}"/>
    <cellStyle name="Normal 3 3 6 3 3 2 3" xfId="43429" xr:uid="{00000000-0005-0000-0000-0000B68A0000}"/>
    <cellStyle name="Normal 3 3 6 3 3 3" xfId="23077" xr:uid="{00000000-0005-0000-0000-0000B78A0000}"/>
    <cellStyle name="Normal 3 3 6 3 3 3 2" xfId="50210" xr:uid="{00000000-0005-0000-0000-0000B88A0000}"/>
    <cellStyle name="Normal 3 3 6 3 3 4" xfId="36648" xr:uid="{00000000-0005-0000-0000-0000B98A0000}"/>
    <cellStyle name="Normal 3 3 6 3 4" xfId="12901" xr:uid="{00000000-0005-0000-0000-0000BA8A0000}"/>
    <cellStyle name="Normal 3 3 6 3 4 2" xfId="26469" xr:uid="{00000000-0005-0000-0000-0000BB8A0000}"/>
    <cellStyle name="Normal 3 3 6 3 4 2 2" xfId="53602" xr:uid="{00000000-0005-0000-0000-0000BC8A0000}"/>
    <cellStyle name="Normal 3 3 6 3 4 3" xfId="40040" xr:uid="{00000000-0005-0000-0000-0000BD8A0000}"/>
    <cellStyle name="Normal 3 3 6 3 5" xfId="19688" xr:uid="{00000000-0005-0000-0000-0000BE8A0000}"/>
    <cellStyle name="Normal 3 3 6 3 5 2" xfId="46821" xr:uid="{00000000-0005-0000-0000-0000BF8A0000}"/>
    <cellStyle name="Normal 3 3 6 3 6" xfId="33259" xr:uid="{00000000-0005-0000-0000-0000C08A0000}"/>
    <cellStyle name="Normal 3 3 6 4" xfId="5959" xr:uid="{00000000-0005-0000-0000-0000C18A0000}"/>
    <cellStyle name="Normal 3 3 6 4 2" xfId="9502" xr:uid="{00000000-0005-0000-0000-0000C28A0000}"/>
    <cellStyle name="Normal 3 3 6 4 2 2" xfId="16292" xr:uid="{00000000-0005-0000-0000-0000C38A0000}"/>
    <cellStyle name="Normal 3 3 6 4 2 2 2" xfId="29860" xr:uid="{00000000-0005-0000-0000-0000C48A0000}"/>
    <cellStyle name="Normal 3 3 6 4 2 2 2 2" xfId="56993" xr:uid="{00000000-0005-0000-0000-0000C58A0000}"/>
    <cellStyle name="Normal 3 3 6 4 2 2 3" xfId="43431" xr:uid="{00000000-0005-0000-0000-0000C68A0000}"/>
    <cellStyle name="Normal 3 3 6 4 2 3" xfId="23079" xr:uid="{00000000-0005-0000-0000-0000C78A0000}"/>
    <cellStyle name="Normal 3 3 6 4 2 3 2" xfId="50212" xr:uid="{00000000-0005-0000-0000-0000C88A0000}"/>
    <cellStyle name="Normal 3 3 6 4 2 4" xfId="36650" xr:uid="{00000000-0005-0000-0000-0000C98A0000}"/>
    <cellStyle name="Normal 3 3 6 4 3" xfId="12903" xr:uid="{00000000-0005-0000-0000-0000CA8A0000}"/>
    <cellStyle name="Normal 3 3 6 4 3 2" xfId="26471" xr:uid="{00000000-0005-0000-0000-0000CB8A0000}"/>
    <cellStyle name="Normal 3 3 6 4 3 2 2" xfId="53604" xr:uid="{00000000-0005-0000-0000-0000CC8A0000}"/>
    <cellStyle name="Normal 3 3 6 4 3 3" xfId="40042" xr:uid="{00000000-0005-0000-0000-0000CD8A0000}"/>
    <cellStyle name="Normal 3 3 6 4 4" xfId="19690" xr:uid="{00000000-0005-0000-0000-0000CE8A0000}"/>
    <cellStyle name="Normal 3 3 6 4 4 2" xfId="46823" xr:uid="{00000000-0005-0000-0000-0000CF8A0000}"/>
    <cellStyle name="Normal 3 3 6 4 5" xfId="33261" xr:uid="{00000000-0005-0000-0000-0000D08A0000}"/>
    <cellStyle name="Normal 3 3 6 5" xfId="5960" xr:uid="{00000000-0005-0000-0000-0000D18A0000}"/>
    <cellStyle name="Normal 3 3 6 5 2" xfId="9503" xr:uid="{00000000-0005-0000-0000-0000D28A0000}"/>
    <cellStyle name="Normal 3 3 6 5 2 2" xfId="16293" xr:uid="{00000000-0005-0000-0000-0000D38A0000}"/>
    <cellStyle name="Normal 3 3 6 5 2 2 2" xfId="29861" xr:uid="{00000000-0005-0000-0000-0000D48A0000}"/>
    <cellStyle name="Normal 3 3 6 5 2 2 2 2" xfId="56994" xr:uid="{00000000-0005-0000-0000-0000D58A0000}"/>
    <cellStyle name="Normal 3 3 6 5 2 2 3" xfId="43432" xr:uid="{00000000-0005-0000-0000-0000D68A0000}"/>
    <cellStyle name="Normal 3 3 6 5 2 3" xfId="23080" xr:uid="{00000000-0005-0000-0000-0000D78A0000}"/>
    <cellStyle name="Normal 3 3 6 5 2 3 2" xfId="50213" xr:uid="{00000000-0005-0000-0000-0000D88A0000}"/>
    <cellStyle name="Normal 3 3 6 5 2 4" xfId="36651" xr:uid="{00000000-0005-0000-0000-0000D98A0000}"/>
    <cellStyle name="Normal 3 3 6 5 3" xfId="12904" xr:uid="{00000000-0005-0000-0000-0000DA8A0000}"/>
    <cellStyle name="Normal 3 3 6 5 3 2" xfId="26472" xr:uid="{00000000-0005-0000-0000-0000DB8A0000}"/>
    <cellStyle name="Normal 3 3 6 5 3 2 2" xfId="53605" xr:uid="{00000000-0005-0000-0000-0000DC8A0000}"/>
    <cellStyle name="Normal 3 3 6 5 3 3" xfId="40043" xr:uid="{00000000-0005-0000-0000-0000DD8A0000}"/>
    <cellStyle name="Normal 3 3 6 5 4" xfId="19691" xr:uid="{00000000-0005-0000-0000-0000DE8A0000}"/>
    <cellStyle name="Normal 3 3 6 5 4 2" xfId="46824" xr:uid="{00000000-0005-0000-0000-0000DF8A0000}"/>
    <cellStyle name="Normal 3 3 6 5 5" xfId="33262" xr:uid="{00000000-0005-0000-0000-0000E08A0000}"/>
    <cellStyle name="Normal 3 3 6 6" xfId="7513" xr:uid="{00000000-0005-0000-0000-0000E18A0000}"/>
    <cellStyle name="Normal 3 3 6 6 2" xfId="14303" xr:uid="{00000000-0005-0000-0000-0000E28A0000}"/>
    <cellStyle name="Normal 3 3 6 6 2 2" xfId="27871" xr:uid="{00000000-0005-0000-0000-0000E38A0000}"/>
    <cellStyle name="Normal 3 3 6 6 2 2 2" xfId="55004" xr:uid="{00000000-0005-0000-0000-0000E48A0000}"/>
    <cellStyle name="Normal 3 3 6 6 2 3" xfId="41442" xr:uid="{00000000-0005-0000-0000-0000E58A0000}"/>
    <cellStyle name="Normal 3 3 6 6 3" xfId="21090" xr:uid="{00000000-0005-0000-0000-0000E68A0000}"/>
    <cellStyle name="Normal 3 3 6 6 3 2" xfId="48223" xr:uid="{00000000-0005-0000-0000-0000E78A0000}"/>
    <cellStyle name="Normal 3 3 6 6 4" xfId="34661" xr:uid="{00000000-0005-0000-0000-0000E88A0000}"/>
    <cellStyle name="Normal 3 3 6 7" xfId="10914" xr:uid="{00000000-0005-0000-0000-0000E98A0000}"/>
    <cellStyle name="Normal 3 3 6 7 2" xfId="24482" xr:uid="{00000000-0005-0000-0000-0000EA8A0000}"/>
    <cellStyle name="Normal 3 3 6 7 2 2" xfId="51615" xr:uid="{00000000-0005-0000-0000-0000EB8A0000}"/>
    <cellStyle name="Normal 3 3 6 7 3" xfId="38053" xr:uid="{00000000-0005-0000-0000-0000EC8A0000}"/>
    <cellStyle name="Normal 3 3 6 8" xfId="17701" xr:uid="{00000000-0005-0000-0000-0000ED8A0000}"/>
    <cellStyle name="Normal 3 3 6 8 2" xfId="44834" xr:uid="{00000000-0005-0000-0000-0000EE8A0000}"/>
    <cellStyle name="Normal 3 3 6 9" xfId="31272" xr:uid="{00000000-0005-0000-0000-0000EF8A0000}"/>
    <cellStyle name="Normal 3 3 7" xfId="2702" xr:uid="{00000000-0005-0000-0000-0000F08A0000}"/>
    <cellStyle name="Normal 3 3 7 2" xfId="2703" xr:uid="{00000000-0005-0000-0000-0000F18A0000}"/>
    <cellStyle name="Normal 3 3 7 2 2" xfId="5961" xr:uid="{00000000-0005-0000-0000-0000F28A0000}"/>
    <cellStyle name="Normal 3 3 7 2 2 2" xfId="9504" xr:uid="{00000000-0005-0000-0000-0000F38A0000}"/>
    <cellStyle name="Normal 3 3 7 2 2 2 2" xfId="16294" xr:uid="{00000000-0005-0000-0000-0000F48A0000}"/>
    <cellStyle name="Normal 3 3 7 2 2 2 2 2" xfId="29862" xr:uid="{00000000-0005-0000-0000-0000F58A0000}"/>
    <cellStyle name="Normal 3 3 7 2 2 2 2 2 2" xfId="56995" xr:uid="{00000000-0005-0000-0000-0000F68A0000}"/>
    <cellStyle name="Normal 3 3 7 2 2 2 2 3" xfId="43433" xr:uid="{00000000-0005-0000-0000-0000F78A0000}"/>
    <cellStyle name="Normal 3 3 7 2 2 2 3" xfId="23081" xr:uid="{00000000-0005-0000-0000-0000F88A0000}"/>
    <cellStyle name="Normal 3 3 7 2 2 2 3 2" xfId="50214" xr:uid="{00000000-0005-0000-0000-0000F98A0000}"/>
    <cellStyle name="Normal 3 3 7 2 2 2 4" xfId="36652" xr:uid="{00000000-0005-0000-0000-0000FA8A0000}"/>
    <cellStyle name="Normal 3 3 7 2 2 3" xfId="12905" xr:uid="{00000000-0005-0000-0000-0000FB8A0000}"/>
    <cellStyle name="Normal 3 3 7 2 2 3 2" xfId="26473" xr:uid="{00000000-0005-0000-0000-0000FC8A0000}"/>
    <cellStyle name="Normal 3 3 7 2 2 3 2 2" xfId="53606" xr:uid="{00000000-0005-0000-0000-0000FD8A0000}"/>
    <cellStyle name="Normal 3 3 7 2 2 3 3" xfId="40044" xr:uid="{00000000-0005-0000-0000-0000FE8A0000}"/>
    <cellStyle name="Normal 3 3 7 2 2 4" xfId="19692" xr:uid="{00000000-0005-0000-0000-0000FF8A0000}"/>
    <cellStyle name="Normal 3 3 7 2 2 4 2" xfId="46825" xr:uid="{00000000-0005-0000-0000-0000008B0000}"/>
    <cellStyle name="Normal 3 3 7 2 2 5" xfId="33263" xr:uid="{00000000-0005-0000-0000-0000018B0000}"/>
    <cellStyle name="Normal 3 3 7 2 3" xfId="5962" xr:uid="{00000000-0005-0000-0000-0000028B0000}"/>
    <cellStyle name="Normal 3 3 7 2 3 2" xfId="9505" xr:uid="{00000000-0005-0000-0000-0000038B0000}"/>
    <cellStyle name="Normal 3 3 7 2 3 2 2" xfId="16295" xr:uid="{00000000-0005-0000-0000-0000048B0000}"/>
    <cellStyle name="Normal 3 3 7 2 3 2 2 2" xfId="29863" xr:uid="{00000000-0005-0000-0000-0000058B0000}"/>
    <cellStyle name="Normal 3 3 7 2 3 2 2 2 2" xfId="56996" xr:uid="{00000000-0005-0000-0000-0000068B0000}"/>
    <cellStyle name="Normal 3 3 7 2 3 2 2 3" xfId="43434" xr:uid="{00000000-0005-0000-0000-0000078B0000}"/>
    <cellStyle name="Normal 3 3 7 2 3 2 3" xfId="23082" xr:uid="{00000000-0005-0000-0000-0000088B0000}"/>
    <cellStyle name="Normal 3 3 7 2 3 2 3 2" xfId="50215" xr:uid="{00000000-0005-0000-0000-0000098B0000}"/>
    <cellStyle name="Normal 3 3 7 2 3 2 4" xfId="36653" xr:uid="{00000000-0005-0000-0000-00000A8B0000}"/>
    <cellStyle name="Normal 3 3 7 2 3 3" xfId="12906" xr:uid="{00000000-0005-0000-0000-00000B8B0000}"/>
    <cellStyle name="Normal 3 3 7 2 3 3 2" xfId="26474" xr:uid="{00000000-0005-0000-0000-00000C8B0000}"/>
    <cellStyle name="Normal 3 3 7 2 3 3 2 2" xfId="53607" xr:uid="{00000000-0005-0000-0000-00000D8B0000}"/>
    <cellStyle name="Normal 3 3 7 2 3 3 3" xfId="40045" xr:uid="{00000000-0005-0000-0000-00000E8B0000}"/>
    <cellStyle name="Normal 3 3 7 2 3 4" xfId="19693" xr:uid="{00000000-0005-0000-0000-00000F8B0000}"/>
    <cellStyle name="Normal 3 3 7 2 3 4 2" xfId="46826" xr:uid="{00000000-0005-0000-0000-0000108B0000}"/>
    <cellStyle name="Normal 3 3 7 2 3 5" xfId="33264" xr:uid="{00000000-0005-0000-0000-0000118B0000}"/>
    <cellStyle name="Normal 3 3 7 2 4" xfId="7516" xr:uid="{00000000-0005-0000-0000-0000128B0000}"/>
    <cellStyle name="Normal 3 3 7 2 4 2" xfId="14306" xr:uid="{00000000-0005-0000-0000-0000138B0000}"/>
    <cellStyle name="Normal 3 3 7 2 4 2 2" xfId="27874" xr:uid="{00000000-0005-0000-0000-0000148B0000}"/>
    <cellStyle name="Normal 3 3 7 2 4 2 2 2" xfId="55007" xr:uid="{00000000-0005-0000-0000-0000158B0000}"/>
    <cellStyle name="Normal 3 3 7 2 4 2 3" xfId="41445" xr:uid="{00000000-0005-0000-0000-0000168B0000}"/>
    <cellStyle name="Normal 3 3 7 2 4 3" xfId="21093" xr:uid="{00000000-0005-0000-0000-0000178B0000}"/>
    <cellStyle name="Normal 3 3 7 2 4 3 2" xfId="48226" xr:uid="{00000000-0005-0000-0000-0000188B0000}"/>
    <cellStyle name="Normal 3 3 7 2 4 4" xfId="34664" xr:uid="{00000000-0005-0000-0000-0000198B0000}"/>
    <cellStyle name="Normal 3 3 7 2 5" xfId="10917" xr:uid="{00000000-0005-0000-0000-00001A8B0000}"/>
    <cellStyle name="Normal 3 3 7 2 5 2" xfId="24485" xr:uid="{00000000-0005-0000-0000-00001B8B0000}"/>
    <cellStyle name="Normal 3 3 7 2 5 2 2" xfId="51618" xr:uid="{00000000-0005-0000-0000-00001C8B0000}"/>
    <cellStyle name="Normal 3 3 7 2 5 3" xfId="38056" xr:uid="{00000000-0005-0000-0000-00001D8B0000}"/>
    <cellStyle name="Normal 3 3 7 2 6" xfId="17704" xr:uid="{00000000-0005-0000-0000-00001E8B0000}"/>
    <cellStyle name="Normal 3 3 7 2 6 2" xfId="44837" xr:uid="{00000000-0005-0000-0000-00001F8B0000}"/>
    <cellStyle name="Normal 3 3 7 2 7" xfId="31275" xr:uid="{00000000-0005-0000-0000-0000208B0000}"/>
    <cellStyle name="Normal 3 3 7 3" xfId="5963" xr:uid="{00000000-0005-0000-0000-0000218B0000}"/>
    <cellStyle name="Normal 3 3 7 3 2" xfId="9506" xr:uid="{00000000-0005-0000-0000-0000228B0000}"/>
    <cellStyle name="Normal 3 3 7 3 2 2" xfId="16296" xr:uid="{00000000-0005-0000-0000-0000238B0000}"/>
    <cellStyle name="Normal 3 3 7 3 2 2 2" xfId="29864" xr:uid="{00000000-0005-0000-0000-0000248B0000}"/>
    <cellStyle name="Normal 3 3 7 3 2 2 2 2" xfId="56997" xr:uid="{00000000-0005-0000-0000-0000258B0000}"/>
    <cellStyle name="Normal 3 3 7 3 2 2 3" xfId="43435" xr:uid="{00000000-0005-0000-0000-0000268B0000}"/>
    <cellStyle name="Normal 3 3 7 3 2 3" xfId="23083" xr:uid="{00000000-0005-0000-0000-0000278B0000}"/>
    <cellStyle name="Normal 3 3 7 3 2 3 2" xfId="50216" xr:uid="{00000000-0005-0000-0000-0000288B0000}"/>
    <cellStyle name="Normal 3 3 7 3 2 4" xfId="36654" xr:uid="{00000000-0005-0000-0000-0000298B0000}"/>
    <cellStyle name="Normal 3 3 7 3 3" xfId="12907" xr:uid="{00000000-0005-0000-0000-00002A8B0000}"/>
    <cellStyle name="Normal 3 3 7 3 3 2" xfId="26475" xr:uid="{00000000-0005-0000-0000-00002B8B0000}"/>
    <cellStyle name="Normal 3 3 7 3 3 2 2" xfId="53608" xr:uid="{00000000-0005-0000-0000-00002C8B0000}"/>
    <cellStyle name="Normal 3 3 7 3 3 3" xfId="40046" xr:uid="{00000000-0005-0000-0000-00002D8B0000}"/>
    <cellStyle name="Normal 3 3 7 3 4" xfId="19694" xr:uid="{00000000-0005-0000-0000-00002E8B0000}"/>
    <cellStyle name="Normal 3 3 7 3 4 2" xfId="46827" xr:uid="{00000000-0005-0000-0000-00002F8B0000}"/>
    <cellStyle name="Normal 3 3 7 3 5" xfId="33265" xr:uid="{00000000-0005-0000-0000-0000308B0000}"/>
    <cellStyle name="Normal 3 3 7 4" xfId="5964" xr:uid="{00000000-0005-0000-0000-0000318B0000}"/>
    <cellStyle name="Normal 3 3 7 4 2" xfId="9507" xr:uid="{00000000-0005-0000-0000-0000328B0000}"/>
    <cellStyle name="Normal 3 3 7 4 2 2" xfId="16297" xr:uid="{00000000-0005-0000-0000-0000338B0000}"/>
    <cellStyle name="Normal 3 3 7 4 2 2 2" xfId="29865" xr:uid="{00000000-0005-0000-0000-0000348B0000}"/>
    <cellStyle name="Normal 3 3 7 4 2 2 2 2" xfId="56998" xr:uid="{00000000-0005-0000-0000-0000358B0000}"/>
    <cellStyle name="Normal 3 3 7 4 2 2 3" xfId="43436" xr:uid="{00000000-0005-0000-0000-0000368B0000}"/>
    <cellStyle name="Normal 3 3 7 4 2 3" xfId="23084" xr:uid="{00000000-0005-0000-0000-0000378B0000}"/>
    <cellStyle name="Normal 3 3 7 4 2 3 2" xfId="50217" xr:uid="{00000000-0005-0000-0000-0000388B0000}"/>
    <cellStyle name="Normal 3 3 7 4 2 4" xfId="36655" xr:uid="{00000000-0005-0000-0000-0000398B0000}"/>
    <cellStyle name="Normal 3 3 7 4 3" xfId="12908" xr:uid="{00000000-0005-0000-0000-00003A8B0000}"/>
    <cellStyle name="Normal 3 3 7 4 3 2" xfId="26476" xr:uid="{00000000-0005-0000-0000-00003B8B0000}"/>
    <cellStyle name="Normal 3 3 7 4 3 2 2" xfId="53609" xr:uid="{00000000-0005-0000-0000-00003C8B0000}"/>
    <cellStyle name="Normal 3 3 7 4 3 3" xfId="40047" xr:uid="{00000000-0005-0000-0000-00003D8B0000}"/>
    <cellStyle name="Normal 3 3 7 4 4" xfId="19695" xr:uid="{00000000-0005-0000-0000-00003E8B0000}"/>
    <cellStyle name="Normal 3 3 7 4 4 2" xfId="46828" xr:uid="{00000000-0005-0000-0000-00003F8B0000}"/>
    <cellStyle name="Normal 3 3 7 4 5" xfId="33266" xr:uid="{00000000-0005-0000-0000-0000408B0000}"/>
    <cellStyle name="Normal 3 3 7 5" xfId="7515" xr:uid="{00000000-0005-0000-0000-0000418B0000}"/>
    <cellStyle name="Normal 3 3 7 5 2" xfId="14305" xr:uid="{00000000-0005-0000-0000-0000428B0000}"/>
    <cellStyle name="Normal 3 3 7 5 2 2" xfId="27873" xr:uid="{00000000-0005-0000-0000-0000438B0000}"/>
    <cellStyle name="Normal 3 3 7 5 2 2 2" xfId="55006" xr:uid="{00000000-0005-0000-0000-0000448B0000}"/>
    <cellStyle name="Normal 3 3 7 5 2 3" xfId="41444" xr:uid="{00000000-0005-0000-0000-0000458B0000}"/>
    <cellStyle name="Normal 3 3 7 5 3" xfId="21092" xr:uid="{00000000-0005-0000-0000-0000468B0000}"/>
    <cellStyle name="Normal 3 3 7 5 3 2" xfId="48225" xr:uid="{00000000-0005-0000-0000-0000478B0000}"/>
    <cellStyle name="Normal 3 3 7 5 4" xfId="34663" xr:uid="{00000000-0005-0000-0000-0000488B0000}"/>
    <cellStyle name="Normal 3 3 7 6" xfId="10916" xr:uid="{00000000-0005-0000-0000-0000498B0000}"/>
    <cellStyle name="Normal 3 3 7 6 2" xfId="24484" xr:uid="{00000000-0005-0000-0000-00004A8B0000}"/>
    <cellStyle name="Normal 3 3 7 6 2 2" xfId="51617" xr:uid="{00000000-0005-0000-0000-00004B8B0000}"/>
    <cellStyle name="Normal 3 3 7 6 3" xfId="38055" xr:uid="{00000000-0005-0000-0000-00004C8B0000}"/>
    <cellStyle name="Normal 3 3 7 7" xfId="17703" xr:uid="{00000000-0005-0000-0000-00004D8B0000}"/>
    <cellStyle name="Normal 3 3 7 7 2" xfId="44836" xr:uid="{00000000-0005-0000-0000-00004E8B0000}"/>
    <cellStyle name="Normal 3 3 7 8" xfId="31274" xr:uid="{00000000-0005-0000-0000-00004F8B0000}"/>
    <cellStyle name="Normal 3 3 8" xfId="2704" xr:uid="{00000000-0005-0000-0000-0000508B0000}"/>
    <cellStyle name="Normal 3 3 8 2" xfId="2705" xr:uid="{00000000-0005-0000-0000-0000518B0000}"/>
    <cellStyle name="Normal 3 3 8 2 2" xfId="5965" xr:uid="{00000000-0005-0000-0000-0000528B0000}"/>
    <cellStyle name="Normal 3 3 8 2 2 2" xfId="9508" xr:uid="{00000000-0005-0000-0000-0000538B0000}"/>
    <cellStyle name="Normal 3 3 8 2 2 2 2" xfId="16298" xr:uid="{00000000-0005-0000-0000-0000548B0000}"/>
    <cellStyle name="Normal 3 3 8 2 2 2 2 2" xfId="29866" xr:uid="{00000000-0005-0000-0000-0000558B0000}"/>
    <cellStyle name="Normal 3 3 8 2 2 2 2 2 2" xfId="56999" xr:uid="{00000000-0005-0000-0000-0000568B0000}"/>
    <cellStyle name="Normal 3 3 8 2 2 2 2 3" xfId="43437" xr:uid="{00000000-0005-0000-0000-0000578B0000}"/>
    <cellStyle name="Normal 3 3 8 2 2 2 3" xfId="23085" xr:uid="{00000000-0005-0000-0000-0000588B0000}"/>
    <cellStyle name="Normal 3 3 8 2 2 2 3 2" xfId="50218" xr:uid="{00000000-0005-0000-0000-0000598B0000}"/>
    <cellStyle name="Normal 3 3 8 2 2 2 4" xfId="36656" xr:uid="{00000000-0005-0000-0000-00005A8B0000}"/>
    <cellStyle name="Normal 3 3 8 2 2 3" xfId="12909" xr:uid="{00000000-0005-0000-0000-00005B8B0000}"/>
    <cellStyle name="Normal 3 3 8 2 2 3 2" xfId="26477" xr:uid="{00000000-0005-0000-0000-00005C8B0000}"/>
    <cellStyle name="Normal 3 3 8 2 2 3 2 2" xfId="53610" xr:uid="{00000000-0005-0000-0000-00005D8B0000}"/>
    <cellStyle name="Normal 3 3 8 2 2 3 3" xfId="40048" xr:uid="{00000000-0005-0000-0000-00005E8B0000}"/>
    <cellStyle name="Normal 3 3 8 2 2 4" xfId="19696" xr:uid="{00000000-0005-0000-0000-00005F8B0000}"/>
    <cellStyle name="Normal 3 3 8 2 2 4 2" xfId="46829" xr:uid="{00000000-0005-0000-0000-0000608B0000}"/>
    <cellStyle name="Normal 3 3 8 2 2 5" xfId="33267" xr:uid="{00000000-0005-0000-0000-0000618B0000}"/>
    <cellStyle name="Normal 3 3 8 2 3" xfId="5966" xr:uid="{00000000-0005-0000-0000-0000628B0000}"/>
    <cellStyle name="Normal 3 3 8 2 3 2" xfId="9509" xr:uid="{00000000-0005-0000-0000-0000638B0000}"/>
    <cellStyle name="Normal 3 3 8 2 3 2 2" xfId="16299" xr:uid="{00000000-0005-0000-0000-0000648B0000}"/>
    <cellStyle name="Normal 3 3 8 2 3 2 2 2" xfId="29867" xr:uid="{00000000-0005-0000-0000-0000658B0000}"/>
    <cellStyle name="Normal 3 3 8 2 3 2 2 2 2" xfId="57000" xr:uid="{00000000-0005-0000-0000-0000668B0000}"/>
    <cellStyle name="Normal 3 3 8 2 3 2 2 3" xfId="43438" xr:uid="{00000000-0005-0000-0000-0000678B0000}"/>
    <cellStyle name="Normal 3 3 8 2 3 2 3" xfId="23086" xr:uid="{00000000-0005-0000-0000-0000688B0000}"/>
    <cellStyle name="Normal 3 3 8 2 3 2 3 2" xfId="50219" xr:uid="{00000000-0005-0000-0000-0000698B0000}"/>
    <cellStyle name="Normal 3 3 8 2 3 2 4" xfId="36657" xr:uid="{00000000-0005-0000-0000-00006A8B0000}"/>
    <cellStyle name="Normal 3 3 8 2 3 3" xfId="12910" xr:uid="{00000000-0005-0000-0000-00006B8B0000}"/>
    <cellStyle name="Normal 3 3 8 2 3 3 2" xfId="26478" xr:uid="{00000000-0005-0000-0000-00006C8B0000}"/>
    <cellStyle name="Normal 3 3 8 2 3 3 2 2" xfId="53611" xr:uid="{00000000-0005-0000-0000-00006D8B0000}"/>
    <cellStyle name="Normal 3 3 8 2 3 3 3" xfId="40049" xr:uid="{00000000-0005-0000-0000-00006E8B0000}"/>
    <cellStyle name="Normal 3 3 8 2 3 4" xfId="19697" xr:uid="{00000000-0005-0000-0000-00006F8B0000}"/>
    <cellStyle name="Normal 3 3 8 2 3 4 2" xfId="46830" xr:uid="{00000000-0005-0000-0000-0000708B0000}"/>
    <cellStyle name="Normal 3 3 8 2 3 5" xfId="33268" xr:uid="{00000000-0005-0000-0000-0000718B0000}"/>
    <cellStyle name="Normal 3 3 8 2 4" xfId="7518" xr:uid="{00000000-0005-0000-0000-0000728B0000}"/>
    <cellStyle name="Normal 3 3 8 2 4 2" xfId="14308" xr:uid="{00000000-0005-0000-0000-0000738B0000}"/>
    <cellStyle name="Normal 3 3 8 2 4 2 2" xfId="27876" xr:uid="{00000000-0005-0000-0000-0000748B0000}"/>
    <cellStyle name="Normal 3 3 8 2 4 2 2 2" xfId="55009" xr:uid="{00000000-0005-0000-0000-0000758B0000}"/>
    <cellStyle name="Normal 3 3 8 2 4 2 3" xfId="41447" xr:uid="{00000000-0005-0000-0000-0000768B0000}"/>
    <cellStyle name="Normal 3 3 8 2 4 3" xfId="21095" xr:uid="{00000000-0005-0000-0000-0000778B0000}"/>
    <cellStyle name="Normal 3 3 8 2 4 3 2" xfId="48228" xr:uid="{00000000-0005-0000-0000-0000788B0000}"/>
    <cellStyle name="Normal 3 3 8 2 4 4" xfId="34666" xr:uid="{00000000-0005-0000-0000-0000798B0000}"/>
    <cellStyle name="Normal 3 3 8 2 5" xfId="10919" xr:uid="{00000000-0005-0000-0000-00007A8B0000}"/>
    <cellStyle name="Normal 3 3 8 2 5 2" xfId="24487" xr:uid="{00000000-0005-0000-0000-00007B8B0000}"/>
    <cellStyle name="Normal 3 3 8 2 5 2 2" xfId="51620" xr:uid="{00000000-0005-0000-0000-00007C8B0000}"/>
    <cellStyle name="Normal 3 3 8 2 5 3" xfId="38058" xr:uid="{00000000-0005-0000-0000-00007D8B0000}"/>
    <cellStyle name="Normal 3 3 8 2 6" xfId="17706" xr:uid="{00000000-0005-0000-0000-00007E8B0000}"/>
    <cellStyle name="Normal 3 3 8 2 6 2" xfId="44839" xr:uid="{00000000-0005-0000-0000-00007F8B0000}"/>
    <cellStyle name="Normal 3 3 8 2 7" xfId="31277" xr:uid="{00000000-0005-0000-0000-0000808B0000}"/>
    <cellStyle name="Normal 3 3 8 3" xfId="5967" xr:uid="{00000000-0005-0000-0000-0000818B0000}"/>
    <cellStyle name="Normal 3 3 8 3 2" xfId="9510" xr:uid="{00000000-0005-0000-0000-0000828B0000}"/>
    <cellStyle name="Normal 3 3 8 3 2 2" xfId="16300" xr:uid="{00000000-0005-0000-0000-0000838B0000}"/>
    <cellStyle name="Normal 3 3 8 3 2 2 2" xfId="29868" xr:uid="{00000000-0005-0000-0000-0000848B0000}"/>
    <cellStyle name="Normal 3 3 8 3 2 2 2 2" xfId="57001" xr:uid="{00000000-0005-0000-0000-0000858B0000}"/>
    <cellStyle name="Normal 3 3 8 3 2 2 3" xfId="43439" xr:uid="{00000000-0005-0000-0000-0000868B0000}"/>
    <cellStyle name="Normal 3 3 8 3 2 3" xfId="23087" xr:uid="{00000000-0005-0000-0000-0000878B0000}"/>
    <cellStyle name="Normal 3 3 8 3 2 3 2" xfId="50220" xr:uid="{00000000-0005-0000-0000-0000888B0000}"/>
    <cellStyle name="Normal 3 3 8 3 2 4" xfId="36658" xr:uid="{00000000-0005-0000-0000-0000898B0000}"/>
    <cellStyle name="Normal 3 3 8 3 3" xfId="12911" xr:uid="{00000000-0005-0000-0000-00008A8B0000}"/>
    <cellStyle name="Normal 3 3 8 3 3 2" xfId="26479" xr:uid="{00000000-0005-0000-0000-00008B8B0000}"/>
    <cellStyle name="Normal 3 3 8 3 3 2 2" xfId="53612" xr:uid="{00000000-0005-0000-0000-00008C8B0000}"/>
    <cellStyle name="Normal 3 3 8 3 3 3" xfId="40050" xr:uid="{00000000-0005-0000-0000-00008D8B0000}"/>
    <cellStyle name="Normal 3 3 8 3 4" xfId="19698" xr:uid="{00000000-0005-0000-0000-00008E8B0000}"/>
    <cellStyle name="Normal 3 3 8 3 4 2" xfId="46831" xr:uid="{00000000-0005-0000-0000-00008F8B0000}"/>
    <cellStyle name="Normal 3 3 8 3 5" xfId="33269" xr:uid="{00000000-0005-0000-0000-0000908B0000}"/>
    <cellStyle name="Normal 3 3 8 4" xfId="5968" xr:uid="{00000000-0005-0000-0000-0000918B0000}"/>
    <cellStyle name="Normal 3 3 8 4 2" xfId="9511" xr:uid="{00000000-0005-0000-0000-0000928B0000}"/>
    <cellStyle name="Normal 3 3 8 4 2 2" xfId="16301" xr:uid="{00000000-0005-0000-0000-0000938B0000}"/>
    <cellStyle name="Normal 3 3 8 4 2 2 2" xfId="29869" xr:uid="{00000000-0005-0000-0000-0000948B0000}"/>
    <cellStyle name="Normal 3 3 8 4 2 2 2 2" xfId="57002" xr:uid="{00000000-0005-0000-0000-0000958B0000}"/>
    <cellStyle name="Normal 3 3 8 4 2 2 3" xfId="43440" xr:uid="{00000000-0005-0000-0000-0000968B0000}"/>
    <cellStyle name="Normal 3 3 8 4 2 3" xfId="23088" xr:uid="{00000000-0005-0000-0000-0000978B0000}"/>
    <cellStyle name="Normal 3 3 8 4 2 3 2" xfId="50221" xr:uid="{00000000-0005-0000-0000-0000988B0000}"/>
    <cellStyle name="Normal 3 3 8 4 2 4" xfId="36659" xr:uid="{00000000-0005-0000-0000-0000998B0000}"/>
    <cellStyle name="Normal 3 3 8 4 3" xfId="12912" xr:uid="{00000000-0005-0000-0000-00009A8B0000}"/>
    <cellStyle name="Normal 3 3 8 4 3 2" xfId="26480" xr:uid="{00000000-0005-0000-0000-00009B8B0000}"/>
    <cellStyle name="Normal 3 3 8 4 3 2 2" xfId="53613" xr:uid="{00000000-0005-0000-0000-00009C8B0000}"/>
    <cellStyle name="Normal 3 3 8 4 3 3" xfId="40051" xr:uid="{00000000-0005-0000-0000-00009D8B0000}"/>
    <cellStyle name="Normal 3 3 8 4 4" xfId="19699" xr:uid="{00000000-0005-0000-0000-00009E8B0000}"/>
    <cellStyle name="Normal 3 3 8 4 4 2" xfId="46832" xr:uid="{00000000-0005-0000-0000-00009F8B0000}"/>
    <cellStyle name="Normal 3 3 8 4 5" xfId="33270" xr:uid="{00000000-0005-0000-0000-0000A08B0000}"/>
    <cellStyle name="Normal 3 3 8 5" xfId="7517" xr:uid="{00000000-0005-0000-0000-0000A18B0000}"/>
    <cellStyle name="Normal 3 3 8 5 2" xfId="14307" xr:uid="{00000000-0005-0000-0000-0000A28B0000}"/>
    <cellStyle name="Normal 3 3 8 5 2 2" xfId="27875" xr:uid="{00000000-0005-0000-0000-0000A38B0000}"/>
    <cellStyle name="Normal 3 3 8 5 2 2 2" xfId="55008" xr:uid="{00000000-0005-0000-0000-0000A48B0000}"/>
    <cellStyle name="Normal 3 3 8 5 2 3" xfId="41446" xr:uid="{00000000-0005-0000-0000-0000A58B0000}"/>
    <cellStyle name="Normal 3 3 8 5 3" xfId="21094" xr:uid="{00000000-0005-0000-0000-0000A68B0000}"/>
    <cellStyle name="Normal 3 3 8 5 3 2" xfId="48227" xr:uid="{00000000-0005-0000-0000-0000A78B0000}"/>
    <cellStyle name="Normal 3 3 8 5 4" xfId="34665" xr:uid="{00000000-0005-0000-0000-0000A88B0000}"/>
    <cellStyle name="Normal 3 3 8 6" xfId="10918" xr:uid="{00000000-0005-0000-0000-0000A98B0000}"/>
    <cellStyle name="Normal 3 3 8 6 2" xfId="24486" xr:uid="{00000000-0005-0000-0000-0000AA8B0000}"/>
    <cellStyle name="Normal 3 3 8 6 2 2" xfId="51619" xr:uid="{00000000-0005-0000-0000-0000AB8B0000}"/>
    <cellStyle name="Normal 3 3 8 6 3" xfId="38057" xr:uid="{00000000-0005-0000-0000-0000AC8B0000}"/>
    <cellStyle name="Normal 3 3 8 7" xfId="17705" xr:uid="{00000000-0005-0000-0000-0000AD8B0000}"/>
    <cellStyle name="Normal 3 3 8 7 2" xfId="44838" xr:uid="{00000000-0005-0000-0000-0000AE8B0000}"/>
    <cellStyle name="Normal 3 3 8 8" xfId="31276" xr:uid="{00000000-0005-0000-0000-0000AF8B0000}"/>
    <cellStyle name="Normal 3 3 9" xfId="2706" xr:uid="{00000000-0005-0000-0000-0000B08B0000}"/>
    <cellStyle name="Normal 3 3 9 2" xfId="5969" xr:uid="{00000000-0005-0000-0000-0000B18B0000}"/>
    <cellStyle name="Normal 3 3 9 2 2" xfId="9512" xr:uid="{00000000-0005-0000-0000-0000B28B0000}"/>
    <cellStyle name="Normal 3 3 9 2 2 2" xfId="16302" xr:uid="{00000000-0005-0000-0000-0000B38B0000}"/>
    <cellStyle name="Normal 3 3 9 2 2 2 2" xfId="29870" xr:uid="{00000000-0005-0000-0000-0000B48B0000}"/>
    <cellStyle name="Normal 3 3 9 2 2 2 2 2" xfId="57003" xr:uid="{00000000-0005-0000-0000-0000B58B0000}"/>
    <cellStyle name="Normal 3 3 9 2 2 2 3" xfId="43441" xr:uid="{00000000-0005-0000-0000-0000B68B0000}"/>
    <cellStyle name="Normal 3 3 9 2 2 3" xfId="23089" xr:uid="{00000000-0005-0000-0000-0000B78B0000}"/>
    <cellStyle name="Normal 3 3 9 2 2 3 2" xfId="50222" xr:uid="{00000000-0005-0000-0000-0000B88B0000}"/>
    <cellStyle name="Normal 3 3 9 2 2 4" xfId="36660" xr:uid="{00000000-0005-0000-0000-0000B98B0000}"/>
    <cellStyle name="Normal 3 3 9 2 3" xfId="12913" xr:uid="{00000000-0005-0000-0000-0000BA8B0000}"/>
    <cellStyle name="Normal 3 3 9 2 3 2" xfId="26481" xr:uid="{00000000-0005-0000-0000-0000BB8B0000}"/>
    <cellStyle name="Normal 3 3 9 2 3 2 2" xfId="53614" xr:uid="{00000000-0005-0000-0000-0000BC8B0000}"/>
    <cellStyle name="Normal 3 3 9 2 3 3" xfId="40052" xr:uid="{00000000-0005-0000-0000-0000BD8B0000}"/>
    <cellStyle name="Normal 3 3 9 2 4" xfId="19700" xr:uid="{00000000-0005-0000-0000-0000BE8B0000}"/>
    <cellStyle name="Normal 3 3 9 2 4 2" xfId="46833" xr:uid="{00000000-0005-0000-0000-0000BF8B0000}"/>
    <cellStyle name="Normal 3 3 9 2 5" xfId="33271" xr:uid="{00000000-0005-0000-0000-0000C08B0000}"/>
    <cellStyle name="Normal 3 3 9 3" xfId="5970" xr:uid="{00000000-0005-0000-0000-0000C18B0000}"/>
    <cellStyle name="Normal 3 3 9 3 2" xfId="9513" xr:uid="{00000000-0005-0000-0000-0000C28B0000}"/>
    <cellStyle name="Normal 3 3 9 3 2 2" xfId="16303" xr:uid="{00000000-0005-0000-0000-0000C38B0000}"/>
    <cellStyle name="Normal 3 3 9 3 2 2 2" xfId="29871" xr:uid="{00000000-0005-0000-0000-0000C48B0000}"/>
    <cellStyle name="Normal 3 3 9 3 2 2 2 2" xfId="57004" xr:uid="{00000000-0005-0000-0000-0000C58B0000}"/>
    <cellStyle name="Normal 3 3 9 3 2 2 3" xfId="43442" xr:uid="{00000000-0005-0000-0000-0000C68B0000}"/>
    <cellStyle name="Normal 3 3 9 3 2 3" xfId="23090" xr:uid="{00000000-0005-0000-0000-0000C78B0000}"/>
    <cellStyle name="Normal 3 3 9 3 2 3 2" xfId="50223" xr:uid="{00000000-0005-0000-0000-0000C88B0000}"/>
    <cellStyle name="Normal 3 3 9 3 2 4" xfId="36661" xr:uid="{00000000-0005-0000-0000-0000C98B0000}"/>
    <cellStyle name="Normal 3 3 9 3 3" xfId="12914" xr:uid="{00000000-0005-0000-0000-0000CA8B0000}"/>
    <cellStyle name="Normal 3 3 9 3 3 2" xfId="26482" xr:uid="{00000000-0005-0000-0000-0000CB8B0000}"/>
    <cellStyle name="Normal 3 3 9 3 3 2 2" xfId="53615" xr:uid="{00000000-0005-0000-0000-0000CC8B0000}"/>
    <cellStyle name="Normal 3 3 9 3 3 3" xfId="40053" xr:uid="{00000000-0005-0000-0000-0000CD8B0000}"/>
    <cellStyle name="Normal 3 3 9 3 4" xfId="19701" xr:uid="{00000000-0005-0000-0000-0000CE8B0000}"/>
    <cellStyle name="Normal 3 3 9 3 4 2" xfId="46834" xr:uid="{00000000-0005-0000-0000-0000CF8B0000}"/>
    <cellStyle name="Normal 3 3 9 3 5" xfId="33272" xr:uid="{00000000-0005-0000-0000-0000D08B0000}"/>
    <cellStyle name="Normal 3 3 9 4" xfId="7519" xr:uid="{00000000-0005-0000-0000-0000D18B0000}"/>
    <cellStyle name="Normal 3 3 9 4 2" xfId="14309" xr:uid="{00000000-0005-0000-0000-0000D28B0000}"/>
    <cellStyle name="Normal 3 3 9 4 2 2" xfId="27877" xr:uid="{00000000-0005-0000-0000-0000D38B0000}"/>
    <cellStyle name="Normal 3 3 9 4 2 2 2" xfId="55010" xr:uid="{00000000-0005-0000-0000-0000D48B0000}"/>
    <cellStyle name="Normal 3 3 9 4 2 3" xfId="41448" xr:uid="{00000000-0005-0000-0000-0000D58B0000}"/>
    <cellStyle name="Normal 3 3 9 4 3" xfId="21096" xr:uid="{00000000-0005-0000-0000-0000D68B0000}"/>
    <cellStyle name="Normal 3 3 9 4 3 2" xfId="48229" xr:uid="{00000000-0005-0000-0000-0000D78B0000}"/>
    <cellStyle name="Normal 3 3 9 4 4" xfId="34667" xr:uid="{00000000-0005-0000-0000-0000D88B0000}"/>
    <cellStyle name="Normal 3 3 9 5" xfId="10920" xr:uid="{00000000-0005-0000-0000-0000D98B0000}"/>
    <cellStyle name="Normal 3 3 9 5 2" xfId="24488" xr:uid="{00000000-0005-0000-0000-0000DA8B0000}"/>
    <cellStyle name="Normal 3 3 9 5 2 2" xfId="51621" xr:uid="{00000000-0005-0000-0000-0000DB8B0000}"/>
    <cellStyle name="Normal 3 3 9 5 3" xfId="38059" xr:uid="{00000000-0005-0000-0000-0000DC8B0000}"/>
    <cellStyle name="Normal 3 3 9 6" xfId="17707" xr:uid="{00000000-0005-0000-0000-0000DD8B0000}"/>
    <cellStyle name="Normal 3 3 9 6 2" xfId="44840" xr:uid="{00000000-0005-0000-0000-0000DE8B0000}"/>
    <cellStyle name="Normal 3 3 9 7" xfId="31278" xr:uid="{00000000-0005-0000-0000-0000DF8B0000}"/>
    <cellStyle name="Normal 3 4" xfId="2707" xr:uid="{00000000-0005-0000-0000-0000E08B0000}"/>
    <cellStyle name="Normal 3 4 10" xfId="5971" xr:uid="{00000000-0005-0000-0000-0000E18B0000}"/>
    <cellStyle name="Normal 3 4 10 2" xfId="9514" xr:uid="{00000000-0005-0000-0000-0000E28B0000}"/>
    <cellStyle name="Normal 3 4 10 2 2" xfId="16304" xr:uid="{00000000-0005-0000-0000-0000E38B0000}"/>
    <cellStyle name="Normal 3 4 10 2 2 2" xfId="29872" xr:uid="{00000000-0005-0000-0000-0000E48B0000}"/>
    <cellStyle name="Normal 3 4 10 2 2 2 2" xfId="57005" xr:uid="{00000000-0005-0000-0000-0000E58B0000}"/>
    <cellStyle name="Normal 3 4 10 2 2 3" xfId="43443" xr:uid="{00000000-0005-0000-0000-0000E68B0000}"/>
    <cellStyle name="Normal 3 4 10 2 3" xfId="23091" xr:uid="{00000000-0005-0000-0000-0000E78B0000}"/>
    <cellStyle name="Normal 3 4 10 2 3 2" xfId="50224" xr:uid="{00000000-0005-0000-0000-0000E88B0000}"/>
    <cellStyle name="Normal 3 4 10 2 4" xfId="36662" xr:uid="{00000000-0005-0000-0000-0000E98B0000}"/>
    <cellStyle name="Normal 3 4 10 3" xfId="12915" xr:uid="{00000000-0005-0000-0000-0000EA8B0000}"/>
    <cellStyle name="Normal 3 4 10 3 2" xfId="26483" xr:uid="{00000000-0005-0000-0000-0000EB8B0000}"/>
    <cellStyle name="Normal 3 4 10 3 2 2" xfId="53616" xr:uid="{00000000-0005-0000-0000-0000EC8B0000}"/>
    <cellStyle name="Normal 3 4 10 3 3" xfId="40054" xr:uid="{00000000-0005-0000-0000-0000ED8B0000}"/>
    <cellStyle name="Normal 3 4 10 4" xfId="19702" xr:uid="{00000000-0005-0000-0000-0000EE8B0000}"/>
    <cellStyle name="Normal 3 4 10 4 2" xfId="46835" xr:uid="{00000000-0005-0000-0000-0000EF8B0000}"/>
    <cellStyle name="Normal 3 4 10 5" xfId="33273" xr:uid="{00000000-0005-0000-0000-0000F08B0000}"/>
    <cellStyle name="Normal 3 4 11" xfId="5972" xr:uid="{00000000-0005-0000-0000-0000F18B0000}"/>
    <cellStyle name="Normal 3 4 11 2" xfId="9515" xr:uid="{00000000-0005-0000-0000-0000F28B0000}"/>
    <cellStyle name="Normal 3 4 11 2 2" xfId="16305" xr:uid="{00000000-0005-0000-0000-0000F38B0000}"/>
    <cellStyle name="Normal 3 4 11 2 2 2" xfId="29873" xr:uid="{00000000-0005-0000-0000-0000F48B0000}"/>
    <cellStyle name="Normal 3 4 11 2 2 2 2" xfId="57006" xr:uid="{00000000-0005-0000-0000-0000F58B0000}"/>
    <cellStyle name="Normal 3 4 11 2 2 3" xfId="43444" xr:uid="{00000000-0005-0000-0000-0000F68B0000}"/>
    <cellStyle name="Normal 3 4 11 2 3" xfId="23092" xr:uid="{00000000-0005-0000-0000-0000F78B0000}"/>
    <cellStyle name="Normal 3 4 11 2 3 2" xfId="50225" xr:uid="{00000000-0005-0000-0000-0000F88B0000}"/>
    <cellStyle name="Normal 3 4 11 2 4" xfId="36663" xr:uid="{00000000-0005-0000-0000-0000F98B0000}"/>
    <cellStyle name="Normal 3 4 11 3" xfId="12916" xr:uid="{00000000-0005-0000-0000-0000FA8B0000}"/>
    <cellStyle name="Normal 3 4 11 3 2" xfId="26484" xr:uid="{00000000-0005-0000-0000-0000FB8B0000}"/>
    <cellStyle name="Normal 3 4 11 3 2 2" xfId="53617" xr:uid="{00000000-0005-0000-0000-0000FC8B0000}"/>
    <cellStyle name="Normal 3 4 11 3 3" xfId="40055" xr:uid="{00000000-0005-0000-0000-0000FD8B0000}"/>
    <cellStyle name="Normal 3 4 11 4" xfId="19703" xr:uid="{00000000-0005-0000-0000-0000FE8B0000}"/>
    <cellStyle name="Normal 3 4 11 4 2" xfId="46836" xr:uid="{00000000-0005-0000-0000-0000FF8B0000}"/>
    <cellStyle name="Normal 3 4 11 5" xfId="33274" xr:uid="{00000000-0005-0000-0000-0000008C0000}"/>
    <cellStyle name="Normal 3 4 12" xfId="7520" xr:uid="{00000000-0005-0000-0000-0000018C0000}"/>
    <cellStyle name="Normal 3 4 12 2" xfId="14310" xr:uid="{00000000-0005-0000-0000-0000028C0000}"/>
    <cellStyle name="Normal 3 4 12 2 2" xfId="27878" xr:uid="{00000000-0005-0000-0000-0000038C0000}"/>
    <cellStyle name="Normal 3 4 12 2 2 2" xfId="55011" xr:uid="{00000000-0005-0000-0000-0000048C0000}"/>
    <cellStyle name="Normal 3 4 12 2 3" xfId="41449" xr:uid="{00000000-0005-0000-0000-0000058C0000}"/>
    <cellStyle name="Normal 3 4 12 3" xfId="21097" xr:uid="{00000000-0005-0000-0000-0000068C0000}"/>
    <cellStyle name="Normal 3 4 12 3 2" xfId="48230" xr:uid="{00000000-0005-0000-0000-0000078C0000}"/>
    <cellStyle name="Normal 3 4 12 4" xfId="34668" xr:uid="{00000000-0005-0000-0000-0000088C0000}"/>
    <cellStyle name="Normal 3 4 13" xfId="10850" xr:uid="{00000000-0005-0000-0000-0000098C0000}"/>
    <cellStyle name="Normal 3 4 14" xfId="10921" xr:uid="{00000000-0005-0000-0000-00000A8C0000}"/>
    <cellStyle name="Normal 3 4 14 2" xfId="24489" xr:uid="{00000000-0005-0000-0000-00000B8C0000}"/>
    <cellStyle name="Normal 3 4 14 2 2" xfId="51622" xr:uid="{00000000-0005-0000-0000-00000C8C0000}"/>
    <cellStyle name="Normal 3 4 14 3" xfId="38060" xr:uid="{00000000-0005-0000-0000-00000D8C0000}"/>
    <cellStyle name="Normal 3 4 15" xfId="17708" xr:uid="{00000000-0005-0000-0000-00000E8C0000}"/>
    <cellStyle name="Normal 3 4 15 2" xfId="44841" xr:uid="{00000000-0005-0000-0000-00000F8C0000}"/>
    <cellStyle name="Normal 3 4 16" xfId="31279" xr:uid="{00000000-0005-0000-0000-0000108C0000}"/>
    <cellStyle name="Normal 3 4 2" xfId="2708" xr:uid="{00000000-0005-0000-0000-0000118C0000}"/>
    <cellStyle name="Normal 3 4 2 10" xfId="7521" xr:uid="{00000000-0005-0000-0000-0000128C0000}"/>
    <cellStyle name="Normal 3 4 2 10 2" xfId="14311" xr:uid="{00000000-0005-0000-0000-0000138C0000}"/>
    <cellStyle name="Normal 3 4 2 10 2 2" xfId="27879" xr:uid="{00000000-0005-0000-0000-0000148C0000}"/>
    <cellStyle name="Normal 3 4 2 10 2 2 2" xfId="55012" xr:uid="{00000000-0005-0000-0000-0000158C0000}"/>
    <cellStyle name="Normal 3 4 2 10 2 3" xfId="41450" xr:uid="{00000000-0005-0000-0000-0000168C0000}"/>
    <cellStyle name="Normal 3 4 2 10 3" xfId="21098" xr:uid="{00000000-0005-0000-0000-0000178C0000}"/>
    <cellStyle name="Normal 3 4 2 10 3 2" xfId="48231" xr:uid="{00000000-0005-0000-0000-0000188C0000}"/>
    <cellStyle name="Normal 3 4 2 10 4" xfId="34669" xr:uid="{00000000-0005-0000-0000-0000198C0000}"/>
    <cellStyle name="Normal 3 4 2 11" xfId="10922" xr:uid="{00000000-0005-0000-0000-00001A8C0000}"/>
    <cellStyle name="Normal 3 4 2 11 2" xfId="24490" xr:uid="{00000000-0005-0000-0000-00001B8C0000}"/>
    <cellStyle name="Normal 3 4 2 11 2 2" xfId="51623" xr:uid="{00000000-0005-0000-0000-00001C8C0000}"/>
    <cellStyle name="Normal 3 4 2 11 3" xfId="38061" xr:uid="{00000000-0005-0000-0000-00001D8C0000}"/>
    <cellStyle name="Normal 3 4 2 12" xfId="17709" xr:uid="{00000000-0005-0000-0000-00001E8C0000}"/>
    <cellStyle name="Normal 3 4 2 12 2" xfId="44842" xr:uid="{00000000-0005-0000-0000-00001F8C0000}"/>
    <cellStyle name="Normal 3 4 2 13" xfId="31280" xr:uid="{00000000-0005-0000-0000-0000208C0000}"/>
    <cellStyle name="Normal 3 4 2 2" xfId="2709" xr:uid="{00000000-0005-0000-0000-0000218C0000}"/>
    <cellStyle name="Normal 3 4 2 2 10" xfId="31281" xr:uid="{00000000-0005-0000-0000-0000228C0000}"/>
    <cellStyle name="Normal 3 4 2 2 2" xfId="5973" xr:uid="{00000000-0005-0000-0000-0000238C0000}"/>
    <cellStyle name="Normal 3 4 2 2 2 2" xfId="5974" xr:uid="{00000000-0005-0000-0000-0000248C0000}"/>
    <cellStyle name="Normal 3 4 2 2 2 2 2" xfId="5975" xr:uid="{00000000-0005-0000-0000-0000258C0000}"/>
    <cellStyle name="Normal 3 4 2 2 2 2 2 2" xfId="9518" xr:uid="{00000000-0005-0000-0000-0000268C0000}"/>
    <cellStyle name="Normal 3 4 2 2 2 2 2 2 2" xfId="16308" xr:uid="{00000000-0005-0000-0000-0000278C0000}"/>
    <cellStyle name="Normal 3 4 2 2 2 2 2 2 2 2" xfId="29876" xr:uid="{00000000-0005-0000-0000-0000288C0000}"/>
    <cellStyle name="Normal 3 4 2 2 2 2 2 2 2 2 2" xfId="57009" xr:uid="{00000000-0005-0000-0000-0000298C0000}"/>
    <cellStyle name="Normal 3 4 2 2 2 2 2 2 2 3" xfId="43447" xr:uid="{00000000-0005-0000-0000-00002A8C0000}"/>
    <cellStyle name="Normal 3 4 2 2 2 2 2 2 3" xfId="23095" xr:uid="{00000000-0005-0000-0000-00002B8C0000}"/>
    <cellStyle name="Normal 3 4 2 2 2 2 2 2 3 2" xfId="50228" xr:uid="{00000000-0005-0000-0000-00002C8C0000}"/>
    <cellStyle name="Normal 3 4 2 2 2 2 2 2 4" xfId="36666" xr:uid="{00000000-0005-0000-0000-00002D8C0000}"/>
    <cellStyle name="Normal 3 4 2 2 2 2 2 3" xfId="12919" xr:uid="{00000000-0005-0000-0000-00002E8C0000}"/>
    <cellStyle name="Normal 3 4 2 2 2 2 2 3 2" xfId="26487" xr:uid="{00000000-0005-0000-0000-00002F8C0000}"/>
    <cellStyle name="Normal 3 4 2 2 2 2 2 3 2 2" xfId="53620" xr:uid="{00000000-0005-0000-0000-0000308C0000}"/>
    <cellStyle name="Normal 3 4 2 2 2 2 2 3 3" xfId="40058" xr:uid="{00000000-0005-0000-0000-0000318C0000}"/>
    <cellStyle name="Normal 3 4 2 2 2 2 2 4" xfId="19706" xr:uid="{00000000-0005-0000-0000-0000328C0000}"/>
    <cellStyle name="Normal 3 4 2 2 2 2 2 4 2" xfId="46839" xr:uid="{00000000-0005-0000-0000-0000338C0000}"/>
    <cellStyle name="Normal 3 4 2 2 2 2 2 5" xfId="33277" xr:uid="{00000000-0005-0000-0000-0000348C0000}"/>
    <cellStyle name="Normal 3 4 2 2 2 2 3" xfId="5976" xr:uid="{00000000-0005-0000-0000-0000358C0000}"/>
    <cellStyle name="Normal 3 4 2 2 2 2 3 2" xfId="9519" xr:uid="{00000000-0005-0000-0000-0000368C0000}"/>
    <cellStyle name="Normal 3 4 2 2 2 2 3 2 2" xfId="16309" xr:uid="{00000000-0005-0000-0000-0000378C0000}"/>
    <cellStyle name="Normal 3 4 2 2 2 2 3 2 2 2" xfId="29877" xr:uid="{00000000-0005-0000-0000-0000388C0000}"/>
    <cellStyle name="Normal 3 4 2 2 2 2 3 2 2 2 2" xfId="57010" xr:uid="{00000000-0005-0000-0000-0000398C0000}"/>
    <cellStyle name="Normal 3 4 2 2 2 2 3 2 2 3" xfId="43448" xr:uid="{00000000-0005-0000-0000-00003A8C0000}"/>
    <cellStyle name="Normal 3 4 2 2 2 2 3 2 3" xfId="23096" xr:uid="{00000000-0005-0000-0000-00003B8C0000}"/>
    <cellStyle name="Normal 3 4 2 2 2 2 3 2 3 2" xfId="50229" xr:uid="{00000000-0005-0000-0000-00003C8C0000}"/>
    <cellStyle name="Normal 3 4 2 2 2 2 3 2 4" xfId="36667" xr:uid="{00000000-0005-0000-0000-00003D8C0000}"/>
    <cellStyle name="Normal 3 4 2 2 2 2 3 3" xfId="12920" xr:uid="{00000000-0005-0000-0000-00003E8C0000}"/>
    <cellStyle name="Normal 3 4 2 2 2 2 3 3 2" xfId="26488" xr:uid="{00000000-0005-0000-0000-00003F8C0000}"/>
    <cellStyle name="Normal 3 4 2 2 2 2 3 3 2 2" xfId="53621" xr:uid="{00000000-0005-0000-0000-0000408C0000}"/>
    <cellStyle name="Normal 3 4 2 2 2 2 3 3 3" xfId="40059" xr:uid="{00000000-0005-0000-0000-0000418C0000}"/>
    <cellStyle name="Normal 3 4 2 2 2 2 3 4" xfId="19707" xr:uid="{00000000-0005-0000-0000-0000428C0000}"/>
    <cellStyle name="Normal 3 4 2 2 2 2 3 4 2" xfId="46840" xr:uid="{00000000-0005-0000-0000-0000438C0000}"/>
    <cellStyle name="Normal 3 4 2 2 2 2 3 5" xfId="33278" xr:uid="{00000000-0005-0000-0000-0000448C0000}"/>
    <cellStyle name="Normal 3 4 2 2 2 2 4" xfId="9517" xr:uid="{00000000-0005-0000-0000-0000458C0000}"/>
    <cellStyle name="Normal 3 4 2 2 2 2 4 2" xfId="16307" xr:uid="{00000000-0005-0000-0000-0000468C0000}"/>
    <cellStyle name="Normal 3 4 2 2 2 2 4 2 2" xfId="29875" xr:uid="{00000000-0005-0000-0000-0000478C0000}"/>
    <cellStyle name="Normal 3 4 2 2 2 2 4 2 2 2" xfId="57008" xr:uid="{00000000-0005-0000-0000-0000488C0000}"/>
    <cellStyle name="Normal 3 4 2 2 2 2 4 2 3" xfId="43446" xr:uid="{00000000-0005-0000-0000-0000498C0000}"/>
    <cellStyle name="Normal 3 4 2 2 2 2 4 3" xfId="23094" xr:uid="{00000000-0005-0000-0000-00004A8C0000}"/>
    <cellStyle name="Normal 3 4 2 2 2 2 4 3 2" xfId="50227" xr:uid="{00000000-0005-0000-0000-00004B8C0000}"/>
    <cellStyle name="Normal 3 4 2 2 2 2 4 4" xfId="36665" xr:uid="{00000000-0005-0000-0000-00004C8C0000}"/>
    <cellStyle name="Normal 3 4 2 2 2 2 5" xfId="12918" xr:uid="{00000000-0005-0000-0000-00004D8C0000}"/>
    <cellStyle name="Normal 3 4 2 2 2 2 5 2" xfId="26486" xr:uid="{00000000-0005-0000-0000-00004E8C0000}"/>
    <cellStyle name="Normal 3 4 2 2 2 2 5 2 2" xfId="53619" xr:uid="{00000000-0005-0000-0000-00004F8C0000}"/>
    <cellStyle name="Normal 3 4 2 2 2 2 5 3" xfId="40057" xr:uid="{00000000-0005-0000-0000-0000508C0000}"/>
    <cellStyle name="Normal 3 4 2 2 2 2 6" xfId="19705" xr:uid="{00000000-0005-0000-0000-0000518C0000}"/>
    <cellStyle name="Normal 3 4 2 2 2 2 6 2" xfId="46838" xr:uid="{00000000-0005-0000-0000-0000528C0000}"/>
    <cellStyle name="Normal 3 4 2 2 2 2 7" xfId="33276" xr:uid="{00000000-0005-0000-0000-0000538C0000}"/>
    <cellStyle name="Normal 3 4 2 2 2 3" xfId="5977" xr:uid="{00000000-0005-0000-0000-0000548C0000}"/>
    <cellStyle name="Normal 3 4 2 2 2 3 2" xfId="5978" xr:uid="{00000000-0005-0000-0000-0000558C0000}"/>
    <cellStyle name="Normal 3 4 2 2 2 3 2 2" xfId="9521" xr:uid="{00000000-0005-0000-0000-0000568C0000}"/>
    <cellStyle name="Normal 3 4 2 2 2 3 2 2 2" xfId="16311" xr:uid="{00000000-0005-0000-0000-0000578C0000}"/>
    <cellStyle name="Normal 3 4 2 2 2 3 2 2 2 2" xfId="29879" xr:uid="{00000000-0005-0000-0000-0000588C0000}"/>
    <cellStyle name="Normal 3 4 2 2 2 3 2 2 2 2 2" xfId="57012" xr:uid="{00000000-0005-0000-0000-0000598C0000}"/>
    <cellStyle name="Normal 3 4 2 2 2 3 2 2 2 3" xfId="43450" xr:uid="{00000000-0005-0000-0000-00005A8C0000}"/>
    <cellStyle name="Normal 3 4 2 2 2 3 2 2 3" xfId="23098" xr:uid="{00000000-0005-0000-0000-00005B8C0000}"/>
    <cellStyle name="Normal 3 4 2 2 2 3 2 2 3 2" xfId="50231" xr:uid="{00000000-0005-0000-0000-00005C8C0000}"/>
    <cellStyle name="Normal 3 4 2 2 2 3 2 2 4" xfId="36669" xr:uid="{00000000-0005-0000-0000-00005D8C0000}"/>
    <cellStyle name="Normal 3 4 2 2 2 3 2 3" xfId="12922" xr:uid="{00000000-0005-0000-0000-00005E8C0000}"/>
    <cellStyle name="Normal 3 4 2 2 2 3 2 3 2" xfId="26490" xr:uid="{00000000-0005-0000-0000-00005F8C0000}"/>
    <cellStyle name="Normal 3 4 2 2 2 3 2 3 2 2" xfId="53623" xr:uid="{00000000-0005-0000-0000-0000608C0000}"/>
    <cellStyle name="Normal 3 4 2 2 2 3 2 3 3" xfId="40061" xr:uid="{00000000-0005-0000-0000-0000618C0000}"/>
    <cellStyle name="Normal 3 4 2 2 2 3 2 4" xfId="19709" xr:uid="{00000000-0005-0000-0000-0000628C0000}"/>
    <cellStyle name="Normal 3 4 2 2 2 3 2 4 2" xfId="46842" xr:uid="{00000000-0005-0000-0000-0000638C0000}"/>
    <cellStyle name="Normal 3 4 2 2 2 3 2 5" xfId="33280" xr:uid="{00000000-0005-0000-0000-0000648C0000}"/>
    <cellStyle name="Normal 3 4 2 2 2 3 3" xfId="9520" xr:uid="{00000000-0005-0000-0000-0000658C0000}"/>
    <cellStyle name="Normal 3 4 2 2 2 3 3 2" xfId="16310" xr:uid="{00000000-0005-0000-0000-0000668C0000}"/>
    <cellStyle name="Normal 3 4 2 2 2 3 3 2 2" xfId="29878" xr:uid="{00000000-0005-0000-0000-0000678C0000}"/>
    <cellStyle name="Normal 3 4 2 2 2 3 3 2 2 2" xfId="57011" xr:uid="{00000000-0005-0000-0000-0000688C0000}"/>
    <cellStyle name="Normal 3 4 2 2 2 3 3 2 3" xfId="43449" xr:uid="{00000000-0005-0000-0000-0000698C0000}"/>
    <cellStyle name="Normal 3 4 2 2 2 3 3 3" xfId="23097" xr:uid="{00000000-0005-0000-0000-00006A8C0000}"/>
    <cellStyle name="Normal 3 4 2 2 2 3 3 3 2" xfId="50230" xr:uid="{00000000-0005-0000-0000-00006B8C0000}"/>
    <cellStyle name="Normal 3 4 2 2 2 3 3 4" xfId="36668" xr:uid="{00000000-0005-0000-0000-00006C8C0000}"/>
    <cellStyle name="Normal 3 4 2 2 2 3 4" xfId="12921" xr:uid="{00000000-0005-0000-0000-00006D8C0000}"/>
    <cellStyle name="Normal 3 4 2 2 2 3 4 2" xfId="26489" xr:uid="{00000000-0005-0000-0000-00006E8C0000}"/>
    <cellStyle name="Normal 3 4 2 2 2 3 4 2 2" xfId="53622" xr:uid="{00000000-0005-0000-0000-00006F8C0000}"/>
    <cellStyle name="Normal 3 4 2 2 2 3 4 3" xfId="40060" xr:uid="{00000000-0005-0000-0000-0000708C0000}"/>
    <cellStyle name="Normal 3 4 2 2 2 3 5" xfId="19708" xr:uid="{00000000-0005-0000-0000-0000718C0000}"/>
    <cellStyle name="Normal 3 4 2 2 2 3 5 2" xfId="46841" xr:uid="{00000000-0005-0000-0000-0000728C0000}"/>
    <cellStyle name="Normal 3 4 2 2 2 3 6" xfId="33279" xr:uid="{00000000-0005-0000-0000-0000738C0000}"/>
    <cellStyle name="Normal 3 4 2 2 2 4" xfId="5979" xr:uid="{00000000-0005-0000-0000-0000748C0000}"/>
    <cellStyle name="Normal 3 4 2 2 2 4 2" xfId="9522" xr:uid="{00000000-0005-0000-0000-0000758C0000}"/>
    <cellStyle name="Normal 3 4 2 2 2 4 2 2" xfId="16312" xr:uid="{00000000-0005-0000-0000-0000768C0000}"/>
    <cellStyle name="Normal 3 4 2 2 2 4 2 2 2" xfId="29880" xr:uid="{00000000-0005-0000-0000-0000778C0000}"/>
    <cellStyle name="Normal 3 4 2 2 2 4 2 2 2 2" xfId="57013" xr:uid="{00000000-0005-0000-0000-0000788C0000}"/>
    <cellStyle name="Normal 3 4 2 2 2 4 2 2 3" xfId="43451" xr:uid="{00000000-0005-0000-0000-0000798C0000}"/>
    <cellStyle name="Normal 3 4 2 2 2 4 2 3" xfId="23099" xr:uid="{00000000-0005-0000-0000-00007A8C0000}"/>
    <cellStyle name="Normal 3 4 2 2 2 4 2 3 2" xfId="50232" xr:uid="{00000000-0005-0000-0000-00007B8C0000}"/>
    <cellStyle name="Normal 3 4 2 2 2 4 2 4" xfId="36670" xr:uid="{00000000-0005-0000-0000-00007C8C0000}"/>
    <cellStyle name="Normal 3 4 2 2 2 4 3" xfId="12923" xr:uid="{00000000-0005-0000-0000-00007D8C0000}"/>
    <cellStyle name="Normal 3 4 2 2 2 4 3 2" xfId="26491" xr:uid="{00000000-0005-0000-0000-00007E8C0000}"/>
    <cellStyle name="Normal 3 4 2 2 2 4 3 2 2" xfId="53624" xr:uid="{00000000-0005-0000-0000-00007F8C0000}"/>
    <cellStyle name="Normal 3 4 2 2 2 4 3 3" xfId="40062" xr:uid="{00000000-0005-0000-0000-0000808C0000}"/>
    <cellStyle name="Normal 3 4 2 2 2 4 4" xfId="19710" xr:uid="{00000000-0005-0000-0000-0000818C0000}"/>
    <cellStyle name="Normal 3 4 2 2 2 4 4 2" xfId="46843" xr:uid="{00000000-0005-0000-0000-0000828C0000}"/>
    <cellStyle name="Normal 3 4 2 2 2 4 5" xfId="33281" xr:uid="{00000000-0005-0000-0000-0000838C0000}"/>
    <cellStyle name="Normal 3 4 2 2 2 5" xfId="5980" xr:uid="{00000000-0005-0000-0000-0000848C0000}"/>
    <cellStyle name="Normal 3 4 2 2 2 5 2" xfId="9523" xr:uid="{00000000-0005-0000-0000-0000858C0000}"/>
    <cellStyle name="Normal 3 4 2 2 2 5 2 2" xfId="16313" xr:uid="{00000000-0005-0000-0000-0000868C0000}"/>
    <cellStyle name="Normal 3 4 2 2 2 5 2 2 2" xfId="29881" xr:uid="{00000000-0005-0000-0000-0000878C0000}"/>
    <cellStyle name="Normal 3 4 2 2 2 5 2 2 2 2" xfId="57014" xr:uid="{00000000-0005-0000-0000-0000888C0000}"/>
    <cellStyle name="Normal 3 4 2 2 2 5 2 2 3" xfId="43452" xr:uid="{00000000-0005-0000-0000-0000898C0000}"/>
    <cellStyle name="Normal 3 4 2 2 2 5 2 3" xfId="23100" xr:uid="{00000000-0005-0000-0000-00008A8C0000}"/>
    <cellStyle name="Normal 3 4 2 2 2 5 2 3 2" xfId="50233" xr:uid="{00000000-0005-0000-0000-00008B8C0000}"/>
    <cellStyle name="Normal 3 4 2 2 2 5 2 4" xfId="36671" xr:uid="{00000000-0005-0000-0000-00008C8C0000}"/>
    <cellStyle name="Normal 3 4 2 2 2 5 3" xfId="12924" xr:uid="{00000000-0005-0000-0000-00008D8C0000}"/>
    <cellStyle name="Normal 3 4 2 2 2 5 3 2" xfId="26492" xr:uid="{00000000-0005-0000-0000-00008E8C0000}"/>
    <cellStyle name="Normal 3 4 2 2 2 5 3 2 2" xfId="53625" xr:uid="{00000000-0005-0000-0000-00008F8C0000}"/>
    <cellStyle name="Normal 3 4 2 2 2 5 3 3" xfId="40063" xr:uid="{00000000-0005-0000-0000-0000908C0000}"/>
    <cellStyle name="Normal 3 4 2 2 2 5 4" xfId="19711" xr:uid="{00000000-0005-0000-0000-0000918C0000}"/>
    <cellStyle name="Normal 3 4 2 2 2 5 4 2" xfId="46844" xr:uid="{00000000-0005-0000-0000-0000928C0000}"/>
    <cellStyle name="Normal 3 4 2 2 2 5 5" xfId="33282" xr:uid="{00000000-0005-0000-0000-0000938C0000}"/>
    <cellStyle name="Normal 3 4 2 2 2 6" xfId="9516" xr:uid="{00000000-0005-0000-0000-0000948C0000}"/>
    <cellStyle name="Normal 3 4 2 2 2 6 2" xfId="16306" xr:uid="{00000000-0005-0000-0000-0000958C0000}"/>
    <cellStyle name="Normal 3 4 2 2 2 6 2 2" xfId="29874" xr:uid="{00000000-0005-0000-0000-0000968C0000}"/>
    <cellStyle name="Normal 3 4 2 2 2 6 2 2 2" xfId="57007" xr:uid="{00000000-0005-0000-0000-0000978C0000}"/>
    <cellStyle name="Normal 3 4 2 2 2 6 2 3" xfId="43445" xr:uid="{00000000-0005-0000-0000-0000988C0000}"/>
    <cellStyle name="Normal 3 4 2 2 2 6 3" xfId="23093" xr:uid="{00000000-0005-0000-0000-0000998C0000}"/>
    <cellStyle name="Normal 3 4 2 2 2 6 3 2" xfId="50226" xr:uid="{00000000-0005-0000-0000-00009A8C0000}"/>
    <cellStyle name="Normal 3 4 2 2 2 6 4" xfId="36664" xr:uid="{00000000-0005-0000-0000-00009B8C0000}"/>
    <cellStyle name="Normal 3 4 2 2 2 7" xfId="12917" xr:uid="{00000000-0005-0000-0000-00009C8C0000}"/>
    <cellStyle name="Normal 3 4 2 2 2 7 2" xfId="26485" xr:uid="{00000000-0005-0000-0000-00009D8C0000}"/>
    <cellStyle name="Normal 3 4 2 2 2 7 2 2" xfId="53618" xr:uid="{00000000-0005-0000-0000-00009E8C0000}"/>
    <cellStyle name="Normal 3 4 2 2 2 7 3" xfId="40056" xr:uid="{00000000-0005-0000-0000-00009F8C0000}"/>
    <cellStyle name="Normal 3 4 2 2 2 8" xfId="19704" xr:uid="{00000000-0005-0000-0000-0000A08C0000}"/>
    <cellStyle name="Normal 3 4 2 2 2 8 2" xfId="46837" xr:uid="{00000000-0005-0000-0000-0000A18C0000}"/>
    <cellStyle name="Normal 3 4 2 2 2 9" xfId="33275" xr:uid="{00000000-0005-0000-0000-0000A28C0000}"/>
    <cellStyle name="Normal 3 4 2 2 3" xfId="5981" xr:uid="{00000000-0005-0000-0000-0000A38C0000}"/>
    <cellStyle name="Normal 3 4 2 2 3 2" xfId="5982" xr:uid="{00000000-0005-0000-0000-0000A48C0000}"/>
    <cellStyle name="Normal 3 4 2 2 3 2 2" xfId="9525" xr:uid="{00000000-0005-0000-0000-0000A58C0000}"/>
    <cellStyle name="Normal 3 4 2 2 3 2 2 2" xfId="16315" xr:uid="{00000000-0005-0000-0000-0000A68C0000}"/>
    <cellStyle name="Normal 3 4 2 2 3 2 2 2 2" xfId="29883" xr:uid="{00000000-0005-0000-0000-0000A78C0000}"/>
    <cellStyle name="Normal 3 4 2 2 3 2 2 2 2 2" xfId="57016" xr:uid="{00000000-0005-0000-0000-0000A88C0000}"/>
    <cellStyle name="Normal 3 4 2 2 3 2 2 2 3" xfId="43454" xr:uid="{00000000-0005-0000-0000-0000A98C0000}"/>
    <cellStyle name="Normal 3 4 2 2 3 2 2 3" xfId="23102" xr:uid="{00000000-0005-0000-0000-0000AA8C0000}"/>
    <cellStyle name="Normal 3 4 2 2 3 2 2 3 2" xfId="50235" xr:uid="{00000000-0005-0000-0000-0000AB8C0000}"/>
    <cellStyle name="Normal 3 4 2 2 3 2 2 4" xfId="36673" xr:uid="{00000000-0005-0000-0000-0000AC8C0000}"/>
    <cellStyle name="Normal 3 4 2 2 3 2 3" xfId="12926" xr:uid="{00000000-0005-0000-0000-0000AD8C0000}"/>
    <cellStyle name="Normal 3 4 2 2 3 2 3 2" xfId="26494" xr:uid="{00000000-0005-0000-0000-0000AE8C0000}"/>
    <cellStyle name="Normal 3 4 2 2 3 2 3 2 2" xfId="53627" xr:uid="{00000000-0005-0000-0000-0000AF8C0000}"/>
    <cellStyle name="Normal 3 4 2 2 3 2 3 3" xfId="40065" xr:uid="{00000000-0005-0000-0000-0000B08C0000}"/>
    <cellStyle name="Normal 3 4 2 2 3 2 4" xfId="19713" xr:uid="{00000000-0005-0000-0000-0000B18C0000}"/>
    <cellStyle name="Normal 3 4 2 2 3 2 4 2" xfId="46846" xr:uid="{00000000-0005-0000-0000-0000B28C0000}"/>
    <cellStyle name="Normal 3 4 2 2 3 2 5" xfId="33284" xr:uid="{00000000-0005-0000-0000-0000B38C0000}"/>
    <cellStyle name="Normal 3 4 2 2 3 3" xfId="5983" xr:uid="{00000000-0005-0000-0000-0000B48C0000}"/>
    <cellStyle name="Normal 3 4 2 2 3 3 2" xfId="9526" xr:uid="{00000000-0005-0000-0000-0000B58C0000}"/>
    <cellStyle name="Normal 3 4 2 2 3 3 2 2" xfId="16316" xr:uid="{00000000-0005-0000-0000-0000B68C0000}"/>
    <cellStyle name="Normal 3 4 2 2 3 3 2 2 2" xfId="29884" xr:uid="{00000000-0005-0000-0000-0000B78C0000}"/>
    <cellStyle name="Normal 3 4 2 2 3 3 2 2 2 2" xfId="57017" xr:uid="{00000000-0005-0000-0000-0000B88C0000}"/>
    <cellStyle name="Normal 3 4 2 2 3 3 2 2 3" xfId="43455" xr:uid="{00000000-0005-0000-0000-0000B98C0000}"/>
    <cellStyle name="Normal 3 4 2 2 3 3 2 3" xfId="23103" xr:uid="{00000000-0005-0000-0000-0000BA8C0000}"/>
    <cellStyle name="Normal 3 4 2 2 3 3 2 3 2" xfId="50236" xr:uid="{00000000-0005-0000-0000-0000BB8C0000}"/>
    <cellStyle name="Normal 3 4 2 2 3 3 2 4" xfId="36674" xr:uid="{00000000-0005-0000-0000-0000BC8C0000}"/>
    <cellStyle name="Normal 3 4 2 2 3 3 3" xfId="12927" xr:uid="{00000000-0005-0000-0000-0000BD8C0000}"/>
    <cellStyle name="Normal 3 4 2 2 3 3 3 2" xfId="26495" xr:uid="{00000000-0005-0000-0000-0000BE8C0000}"/>
    <cellStyle name="Normal 3 4 2 2 3 3 3 2 2" xfId="53628" xr:uid="{00000000-0005-0000-0000-0000BF8C0000}"/>
    <cellStyle name="Normal 3 4 2 2 3 3 3 3" xfId="40066" xr:uid="{00000000-0005-0000-0000-0000C08C0000}"/>
    <cellStyle name="Normal 3 4 2 2 3 3 4" xfId="19714" xr:uid="{00000000-0005-0000-0000-0000C18C0000}"/>
    <cellStyle name="Normal 3 4 2 2 3 3 4 2" xfId="46847" xr:uid="{00000000-0005-0000-0000-0000C28C0000}"/>
    <cellStyle name="Normal 3 4 2 2 3 3 5" xfId="33285" xr:uid="{00000000-0005-0000-0000-0000C38C0000}"/>
    <cellStyle name="Normal 3 4 2 2 3 4" xfId="9524" xr:uid="{00000000-0005-0000-0000-0000C48C0000}"/>
    <cellStyle name="Normal 3 4 2 2 3 4 2" xfId="16314" xr:uid="{00000000-0005-0000-0000-0000C58C0000}"/>
    <cellStyle name="Normal 3 4 2 2 3 4 2 2" xfId="29882" xr:uid="{00000000-0005-0000-0000-0000C68C0000}"/>
    <cellStyle name="Normal 3 4 2 2 3 4 2 2 2" xfId="57015" xr:uid="{00000000-0005-0000-0000-0000C78C0000}"/>
    <cellStyle name="Normal 3 4 2 2 3 4 2 3" xfId="43453" xr:uid="{00000000-0005-0000-0000-0000C88C0000}"/>
    <cellStyle name="Normal 3 4 2 2 3 4 3" xfId="23101" xr:uid="{00000000-0005-0000-0000-0000C98C0000}"/>
    <cellStyle name="Normal 3 4 2 2 3 4 3 2" xfId="50234" xr:uid="{00000000-0005-0000-0000-0000CA8C0000}"/>
    <cellStyle name="Normal 3 4 2 2 3 4 4" xfId="36672" xr:uid="{00000000-0005-0000-0000-0000CB8C0000}"/>
    <cellStyle name="Normal 3 4 2 2 3 5" xfId="12925" xr:uid="{00000000-0005-0000-0000-0000CC8C0000}"/>
    <cellStyle name="Normal 3 4 2 2 3 5 2" xfId="26493" xr:uid="{00000000-0005-0000-0000-0000CD8C0000}"/>
    <cellStyle name="Normal 3 4 2 2 3 5 2 2" xfId="53626" xr:uid="{00000000-0005-0000-0000-0000CE8C0000}"/>
    <cellStyle name="Normal 3 4 2 2 3 5 3" xfId="40064" xr:uid="{00000000-0005-0000-0000-0000CF8C0000}"/>
    <cellStyle name="Normal 3 4 2 2 3 6" xfId="19712" xr:uid="{00000000-0005-0000-0000-0000D08C0000}"/>
    <cellStyle name="Normal 3 4 2 2 3 6 2" xfId="46845" xr:uid="{00000000-0005-0000-0000-0000D18C0000}"/>
    <cellStyle name="Normal 3 4 2 2 3 7" xfId="33283" xr:uid="{00000000-0005-0000-0000-0000D28C0000}"/>
    <cellStyle name="Normal 3 4 2 2 4" xfId="5984" xr:uid="{00000000-0005-0000-0000-0000D38C0000}"/>
    <cellStyle name="Normal 3 4 2 2 4 2" xfId="5985" xr:uid="{00000000-0005-0000-0000-0000D48C0000}"/>
    <cellStyle name="Normal 3 4 2 2 4 2 2" xfId="9528" xr:uid="{00000000-0005-0000-0000-0000D58C0000}"/>
    <cellStyle name="Normal 3 4 2 2 4 2 2 2" xfId="16318" xr:uid="{00000000-0005-0000-0000-0000D68C0000}"/>
    <cellStyle name="Normal 3 4 2 2 4 2 2 2 2" xfId="29886" xr:uid="{00000000-0005-0000-0000-0000D78C0000}"/>
    <cellStyle name="Normal 3 4 2 2 4 2 2 2 2 2" xfId="57019" xr:uid="{00000000-0005-0000-0000-0000D88C0000}"/>
    <cellStyle name="Normal 3 4 2 2 4 2 2 2 3" xfId="43457" xr:uid="{00000000-0005-0000-0000-0000D98C0000}"/>
    <cellStyle name="Normal 3 4 2 2 4 2 2 3" xfId="23105" xr:uid="{00000000-0005-0000-0000-0000DA8C0000}"/>
    <cellStyle name="Normal 3 4 2 2 4 2 2 3 2" xfId="50238" xr:uid="{00000000-0005-0000-0000-0000DB8C0000}"/>
    <cellStyle name="Normal 3 4 2 2 4 2 2 4" xfId="36676" xr:uid="{00000000-0005-0000-0000-0000DC8C0000}"/>
    <cellStyle name="Normal 3 4 2 2 4 2 3" xfId="12929" xr:uid="{00000000-0005-0000-0000-0000DD8C0000}"/>
    <cellStyle name="Normal 3 4 2 2 4 2 3 2" xfId="26497" xr:uid="{00000000-0005-0000-0000-0000DE8C0000}"/>
    <cellStyle name="Normal 3 4 2 2 4 2 3 2 2" xfId="53630" xr:uid="{00000000-0005-0000-0000-0000DF8C0000}"/>
    <cellStyle name="Normal 3 4 2 2 4 2 3 3" xfId="40068" xr:uid="{00000000-0005-0000-0000-0000E08C0000}"/>
    <cellStyle name="Normal 3 4 2 2 4 2 4" xfId="19716" xr:uid="{00000000-0005-0000-0000-0000E18C0000}"/>
    <cellStyle name="Normal 3 4 2 2 4 2 4 2" xfId="46849" xr:uid="{00000000-0005-0000-0000-0000E28C0000}"/>
    <cellStyle name="Normal 3 4 2 2 4 2 5" xfId="33287" xr:uid="{00000000-0005-0000-0000-0000E38C0000}"/>
    <cellStyle name="Normal 3 4 2 2 4 3" xfId="9527" xr:uid="{00000000-0005-0000-0000-0000E48C0000}"/>
    <cellStyle name="Normal 3 4 2 2 4 3 2" xfId="16317" xr:uid="{00000000-0005-0000-0000-0000E58C0000}"/>
    <cellStyle name="Normal 3 4 2 2 4 3 2 2" xfId="29885" xr:uid="{00000000-0005-0000-0000-0000E68C0000}"/>
    <cellStyle name="Normal 3 4 2 2 4 3 2 2 2" xfId="57018" xr:uid="{00000000-0005-0000-0000-0000E78C0000}"/>
    <cellStyle name="Normal 3 4 2 2 4 3 2 3" xfId="43456" xr:uid="{00000000-0005-0000-0000-0000E88C0000}"/>
    <cellStyle name="Normal 3 4 2 2 4 3 3" xfId="23104" xr:uid="{00000000-0005-0000-0000-0000E98C0000}"/>
    <cellStyle name="Normal 3 4 2 2 4 3 3 2" xfId="50237" xr:uid="{00000000-0005-0000-0000-0000EA8C0000}"/>
    <cellStyle name="Normal 3 4 2 2 4 3 4" xfId="36675" xr:uid="{00000000-0005-0000-0000-0000EB8C0000}"/>
    <cellStyle name="Normal 3 4 2 2 4 4" xfId="12928" xr:uid="{00000000-0005-0000-0000-0000EC8C0000}"/>
    <cellStyle name="Normal 3 4 2 2 4 4 2" xfId="26496" xr:uid="{00000000-0005-0000-0000-0000ED8C0000}"/>
    <cellStyle name="Normal 3 4 2 2 4 4 2 2" xfId="53629" xr:uid="{00000000-0005-0000-0000-0000EE8C0000}"/>
    <cellStyle name="Normal 3 4 2 2 4 4 3" xfId="40067" xr:uid="{00000000-0005-0000-0000-0000EF8C0000}"/>
    <cellStyle name="Normal 3 4 2 2 4 5" xfId="19715" xr:uid="{00000000-0005-0000-0000-0000F08C0000}"/>
    <cellStyle name="Normal 3 4 2 2 4 5 2" xfId="46848" xr:uid="{00000000-0005-0000-0000-0000F18C0000}"/>
    <cellStyle name="Normal 3 4 2 2 4 6" xfId="33286" xr:uid="{00000000-0005-0000-0000-0000F28C0000}"/>
    <cellStyle name="Normal 3 4 2 2 5" xfId="5986" xr:uid="{00000000-0005-0000-0000-0000F38C0000}"/>
    <cellStyle name="Normal 3 4 2 2 5 2" xfId="9529" xr:uid="{00000000-0005-0000-0000-0000F48C0000}"/>
    <cellStyle name="Normal 3 4 2 2 5 2 2" xfId="16319" xr:uid="{00000000-0005-0000-0000-0000F58C0000}"/>
    <cellStyle name="Normal 3 4 2 2 5 2 2 2" xfId="29887" xr:uid="{00000000-0005-0000-0000-0000F68C0000}"/>
    <cellStyle name="Normal 3 4 2 2 5 2 2 2 2" xfId="57020" xr:uid="{00000000-0005-0000-0000-0000F78C0000}"/>
    <cellStyle name="Normal 3 4 2 2 5 2 2 3" xfId="43458" xr:uid="{00000000-0005-0000-0000-0000F88C0000}"/>
    <cellStyle name="Normal 3 4 2 2 5 2 3" xfId="23106" xr:uid="{00000000-0005-0000-0000-0000F98C0000}"/>
    <cellStyle name="Normal 3 4 2 2 5 2 3 2" xfId="50239" xr:uid="{00000000-0005-0000-0000-0000FA8C0000}"/>
    <cellStyle name="Normal 3 4 2 2 5 2 4" xfId="36677" xr:uid="{00000000-0005-0000-0000-0000FB8C0000}"/>
    <cellStyle name="Normal 3 4 2 2 5 3" xfId="12930" xr:uid="{00000000-0005-0000-0000-0000FC8C0000}"/>
    <cellStyle name="Normal 3 4 2 2 5 3 2" xfId="26498" xr:uid="{00000000-0005-0000-0000-0000FD8C0000}"/>
    <cellStyle name="Normal 3 4 2 2 5 3 2 2" xfId="53631" xr:uid="{00000000-0005-0000-0000-0000FE8C0000}"/>
    <cellStyle name="Normal 3 4 2 2 5 3 3" xfId="40069" xr:uid="{00000000-0005-0000-0000-0000FF8C0000}"/>
    <cellStyle name="Normal 3 4 2 2 5 4" xfId="19717" xr:uid="{00000000-0005-0000-0000-0000008D0000}"/>
    <cellStyle name="Normal 3 4 2 2 5 4 2" xfId="46850" xr:uid="{00000000-0005-0000-0000-0000018D0000}"/>
    <cellStyle name="Normal 3 4 2 2 5 5" xfId="33288" xr:uid="{00000000-0005-0000-0000-0000028D0000}"/>
    <cellStyle name="Normal 3 4 2 2 6" xfId="5987" xr:uid="{00000000-0005-0000-0000-0000038D0000}"/>
    <cellStyle name="Normal 3 4 2 2 6 2" xfId="9530" xr:uid="{00000000-0005-0000-0000-0000048D0000}"/>
    <cellStyle name="Normal 3 4 2 2 6 2 2" xfId="16320" xr:uid="{00000000-0005-0000-0000-0000058D0000}"/>
    <cellStyle name="Normal 3 4 2 2 6 2 2 2" xfId="29888" xr:uid="{00000000-0005-0000-0000-0000068D0000}"/>
    <cellStyle name="Normal 3 4 2 2 6 2 2 2 2" xfId="57021" xr:uid="{00000000-0005-0000-0000-0000078D0000}"/>
    <cellStyle name="Normal 3 4 2 2 6 2 2 3" xfId="43459" xr:uid="{00000000-0005-0000-0000-0000088D0000}"/>
    <cellStyle name="Normal 3 4 2 2 6 2 3" xfId="23107" xr:uid="{00000000-0005-0000-0000-0000098D0000}"/>
    <cellStyle name="Normal 3 4 2 2 6 2 3 2" xfId="50240" xr:uid="{00000000-0005-0000-0000-00000A8D0000}"/>
    <cellStyle name="Normal 3 4 2 2 6 2 4" xfId="36678" xr:uid="{00000000-0005-0000-0000-00000B8D0000}"/>
    <cellStyle name="Normal 3 4 2 2 6 3" xfId="12931" xr:uid="{00000000-0005-0000-0000-00000C8D0000}"/>
    <cellStyle name="Normal 3 4 2 2 6 3 2" xfId="26499" xr:uid="{00000000-0005-0000-0000-00000D8D0000}"/>
    <cellStyle name="Normal 3 4 2 2 6 3 2 2" xfId="53632" xr:uid="{00000000-0005-0000-0000-00000E8D0000}"/>
    <cellStyle name="Normal 3 4 2 2 6 3 3" xfId="40070" xr:uid="{00000000-0005-0000-0000-00000F8D0000}"/>
    <cellStyle name="Normal 3 4 2 2 6 4" xfId="19718" xr:uid="{00000000-0005-0000-0000-0000108D0000}"/>
    <cellStyle name="Normal 3 4 2 2 6 4 2" xfId="46851" xr:uid="{00000000-0005-0000-0000-0000118D0000}"/>
    <cellStyle name="Normal 3 4 2 2 6 5" xfId="33289" xr:uid="{00000000-0005-0000-0000-0000128D0000}"/>
    <cellStyle name="Normal 3 4 2 2 7" xfId="7522" xr:uid="{00000000-0005-0000-0000-0000138D0000}"/>
    <cellStyle name="Normal 3 4 2 2 7 2" xfId="14312" xr:uid="{00000000-0005-0000-0000-0000148D0000}"/>
    <cellStyle name="Normal 3 4 2 2 7 2 2" xfId="27880" xr:uid="{00000000-0005-0000-0000-0000158D0000}"/>
    <cellStyle name="Normal 3 4 2 2 7 2 2 2" xfId="55013" xr:uid="{00000000-0005-0000-0000-0000168D0000}"/>
    <cellStyle name="Normal 3 4 2 2 7 2 3" xfId="41451" xr:uid="{00000000-0005-0000-0000-0000178D0000}"/>
    <cellStyle name="Normal 3 4 2 2 7 3" xfId="21099" xr:uid="{00000000-0005-0000-0000-0000188D0000}"/>
    <cellStyle name="Normal 3 4 2 2 7 3 2" xfId="48232" xr:uid="{00000000-0005-0000-0000-0000198D0000}"/>
    <cellStyle name="Normal 3 4 2 2 7 4" xfId="34670" xr:uid="{00000000-0005-0000-0000-00001A8D0000}"/>
    <cellStyle name="Normal 3 4 2 2 8" xfId="10923" xr:uid="{00000000-0005-0000-0000-00001B8D0000}"/>
    <cellStyle name="Normal 3 4 2 2 8 2" xfId="24491" xr:uid="{00000000-0005-0000-0000-00001C8D0000}"/>
    <cellStyle name="Normal 3 4 2 2 8 2 2" xfId="51624" xr:uid="{00000000-0005-0000-0000-00001D8D0000}"/>
    <cellStyle name="Normal 3 4 2 2 8 3" xfId="38062" xr:uid="{00000000-0005-0000-0000-00001E8D0000}"/>
    <cellStyle name="Normal 3 4 2 2 9" xfId="17710" xr:uid="{00000000-0005-0000-0000-00001F8D0000}"/>
    <cellStyle name="Normal 3 4 2 2 9 2" xfId="44843" xr:uid="{00000000-0005-0000-0000-0000208D0000}"/>
    <cellStyle name="Normal 3 4 2 3" xfId="5988" xr:uid="{00000000-0005-0000-0000-0000218D0000}"/>
    <cellStyle name="Normal 3 4 2 3 2" xfId="5989" xr:uid="{00000000-0005-0000-0000-0000228D0000}"/>
    <cellStyle name="Normal 3 4 2 3 2 2" xfId="5990" xr:uid="{00000000-0005-0000-0000-0000238D0000}"/>
    <cellStyle name="Normal 3 4 2 3 2 2 2" xfId="9533" xr:uid="{00000000-0005-0000-0000-0000248D0000}"/>
    <cellStyle name="Normal 3 4 2 3 2 2 2 2" xfId="16323" xr:uid="{00000000-0005-0000-0000-0000258D0000}"/>
    <cellStyle name="Normal 3 4 2 3 2 2 2 2 2" xfId="29891" xr:uid="{00000000-0005-0000-0000-0000268D0000}"/>
    <cellStyle name="Normal 3 4 2 3 2 2 2 2 2 2" xfId="57024" xr:uid="{00000000-0005-0000-0000-0000278D0000}"/>
    <cellStyle name="Normal 3 4 2 3 2 2 2 2 3" xfId="43462" xr:uid="{00000000-0005-0000-0000-0000288D0000}"/>
    <cellStyle name="Normal 3 4 2 3 2 2 2 3" xfId="23110" xr:uid="{00000000-0005-0000-0000-0000298D0000}"/>
    <cellStyle name="Normal 3 4 2 3 2 2 2 3 2" xfId="50243" xr:uid="{00000000-0005-0000-0000-00002A8D0000}"/>
    <cellStyle name="Normal 3 4 2 3 2 2 2 4" xfId="36681" xr:uid="{00000000-0005-0000-0000-00002B8D0000}"/>
    <cellStyle name="Normal 3 4 2 3 2 2 3" xfId="12934" xr:uid="{00000000-0005-0000-0000-00002C8D0000}"/>
    <cellStyle name="Normal 3 4 2 3 2 2 3 2" xfId="26502" xr:uid="{00000000-0005-0000-0000-00002D8D0000}"/>
    <cellStyle name="Normal 3 4 2 3 2 2 3 2 2" xfId="53635" xr:uid="{00000000-0005-0000-0000-00002E8D0000}"/>
    <cellStyle name="Normal 3 4 2 3 2 2 3 3" xfId="40073" xr:uid="{00000000-0005-0000-0000-00002F8D0000}"/>
    <cellStyle name="Normal 3 4 2 3 2 2 4" xfId="19721" xr:uid="{00000000-0005-0000-0000-0000308D0000}"/>
    <cellStyle name="Normal 3 4 2 3 2 2 4 2" xfId="46854" xr:uid="{00000000-0005-0000-0000-0000318D0000}"/>
    <cellStyle name="Normal 3 4 2 3 2 2 5" xfId="33292" xr:uid="{00000000-0005-0000-0000-0000328D0000}"/>
    <cellStyle name="Normal 3 4 2 3 2 3" xfId="5991" xr:uid="{00000000-0005-0000-0000-0000338D0000}"/>
    <cellStyle name="Normal 3 4 2 3 2 3 2" xfId="9534" xr:uid="{00000000-0005-0000-0000-0000348D0000}"/>
    <cellStyle name="Normal 3 4 2 3 2 3 2 2" xfId="16324" xr:uid="{00000000-0005-0000-0000-0000358D0000}"/>
    <cellStyle name="Normal 3 4 2 3 2 3 2 2 2" xfId="29892" xr:uid="{00000000-0005-0000-0000-0000368D0000}"/>
    <cellStyle name="Normal 3 4 2 3 2 3 2 2 2 2" xfId="57025" xr:uid="{00000000-0005-0000-0000-0000378D0000}"/>
    <cellStyle name="Normal 3 4 2 3 2 3 2 2 3" xfId="43463" xr:uid="{00000000-0005-0000-0000-0000388D0000}"/>
    <cellStyle name="Normal 3 4 2 3 2 3 2 3" xfId="23111" xr:uid="{00000000-0005-0000-0000-0000398D0000}"/>
    <cellStyle name="Normal 3 4 2 3 2 3 2 3 2" xfId="50244" xr:uid="{00000000-0005-0000-0000-00003A8D0000}"/>
    <cellStyle name="Normal 3 4 2 3 2 3 2 4" xfId="36682" xr:uid="{00000000-0005-0000-0000-00003B8D0000}"/>
    <cellStyle name="Normal 3 4 2 3 2 3 3" xfId="12935" xr:uid="{00000000-0005-0000-0000-00003C8D0000}"/>
    <cellStyle name="Normal 3 4 2 3 2 3 3 2" xfId="26503" xr:uid="{00000000-0005-0000-0000-00003D8D0000}"/>
    <cellStyle name="Normal 3 4 2 3 2 3 3 2 2" xfId="53636" xr:uid="{00000000-0005-0000-0000-00003E8D0000}"/>
    <cellStyle name="Normal 3 4 2 3 2 3 3 3" xfId="40074" xr:uid="{00000000-0005-0000-0000-00003F8D0000}"/>
    <cellStyle name="Normal 3 4 2 3 2 3 4" xfId="19722" xr:uid="{00000000-0005-0000-0000-0000408D0000}"/>
    <cellStyle name="Normal 3 4 2 3 2 3 4 2" xfId="46855" xr:uid="{00000000-0005-0000-0000-0000418D0000}"/>
    <cellStyle name="Normal 3 4 2 3 2 3 5" xfId="33293" xr:uid="{00000000-0005-0000-0000-0000428D0000}"/>
    <cellStyle name="Normal 3 4 2 3 2 4" xfId="9532" xr:uid="{00000000-0005-0000-0000-0000438D0000}"/>
    <cellStyle name="Normal 3 4 2 3 2 4 2" xfId="16322" xr:uid="{00000000-0005-0000-0000-0000448D0000}"/>
    <cellStyle name="Normal 3 4 2 3 2 4 2 2" xfId="29890" xr:uid="{00000000-0005-0000-0000-0000458D0000}"/>
    <cellStyle name="Normal 3 4 2 3 2 4 2 2 2" xfId="57023" xr:uid="{00000000-0005-0000-0000-0000468D0000}"/>
    <cellStyle name="Normal 3 4 2 3 2 4 2 3" xfId="43461" xr:uid="{00000000-0005-0000-0000-0000478D0000}"/>
    <cellStyle name="Normal 3 4 2 3 2 4 3" xfId="23109" xr:uid="{00000000-0005-0000-0000-0000488D0000}"/>
    <cellStyle name="Normal 3 4 2 3 2 4 3 2" xfId="50242" xr:uid="{00000000-0005-0000-0000-0000498D0000}"/>
    <cellStyle name="Normal 3 4 2 3 2 4 4" xfId="36680" xr:uid="{00000000-0005-0000-0000-00004A8D0000}"/>
    <cellStyle name="Normal 3 4 2 3 2 5" xfId="12933" xr:uid="{00000000-0005-0000-0000-00004B8D0000}"/>
    <cellStyle name="Normal 3 4 2 3 2 5 2" xfId="26501" xr:uid="{00000000-0005-0000-0000-00004C8D0000}"/>
    <cellStyle name="Normal 3 4 2 3 2 5 2 2" xfId="53634" xr:uid="{00000000-0005-0000-0000-00004D8D0000}"/>
    <cellStyle name="Normal 3 4 2 3 2 5 3" xfId="40072" xr:uid="{00000000-0005-0000-0000-00004E8D0000}"/>
    <cellStyle name="Normal 3 4 2 3 2 6" xfId="19720" xr:uid="{00000000-0005-0000-0000-00004F8D0000}"/>
    <cellStyle name="Normal 3 4 2 3 2 6 2" xfId="46853" xr:uid="{00000000-0005-0000-0000-0000508D0000}"/>
    <cellStyle name="Normal 3 4 2 3 2 7" xfId="33291" xr:uid="{00000000-0005-0000-0000-0000518D0000}"/>
    <cellStyle name="Normal 3 4 2 3 3" xfId="5992" xr:uid="{00000000-0005-0000-0000-0000528D0000}"/>
    <cellStyle name="Normal 3 4 2 3 3 2" xfId="5993" xr:uid="{00000000-0005-0000-0000-0000538D0000}"/>
    <cellStyle name="Normal 3 4 2 3 3 2 2" xfId="9536" xr:uid="{00000000-0005-0000-0000-0000548D0000}"/>
    <cellStyle name="Normal 3 4 2 3 3 2 2 2" xfId="16326" xr:uid="{00000000-0005-0000-0000-0000558D0000}"/>
    <cellStyle name="Normal 3 4 2 3 3 2 2 2 2" xfId="29894" xr:uid="{00000000-0005-0000-0000-0000568D0000}"/>
    <cellStyle name="Normal 3 4 2 3 3 2 2 2 2 2" xfId="57027" xr:uid="{00000000-0005-0000-0000-0000578D0000}"/>
    <cellStyle name="Normal 3 4 2 3 3 2 2 2 3" xfId="43465" xr:uid="{00000000-0005-0000-0000-0000588D0000}"/>
    <cellStyle name="Normal 3 4 2 3 3 2 2 3" xfId="23113" xr:uid="{00000000-0005-0000-0000-0000598D0000}"/>
    <cellStyle name="Normal 3 4 2 3 3 2 2 3 2" xfId="50246" xr:uid="{00000000-0005-0000-0000-00005A8D0000}"/>
    <cellStyle name="Normal 3 4 2 3 3 2 2 4" xfId="36684" xr:uid="{00000000-0005-0000-0000-00005B8D0000}"/>
    <cellStyle name="Normal 3 4 2 3 3 2 3" xfId="12937" xr:uid="{00000000-0005-0000-0000-00005C8D0000}"/>
    <cellStyle name="Normal 3 4 2 3 3 2 3 2" xfId="26505" xr:uid="{00000000-0005-0000-0000-00005D8D0000}"/>
    <cellStyle name="Normal 3 4 2 3 3 2 3 2 2" xfId="53638" xr:uid="{00000000-0005-0000-0000-00005E8D0000}"/>
    <cellStyle name="Normal 3 4 2 3 3 2 3 3" xfId="40076" xr:uid="{00000000-0005-0000-0000-00005F8D0000}"/>
    <cellStyle name="Normal 3 4 2 3 3 2 4" xfId="19724" xr:uid="{00000000-0005-0000-0000-0000608D0000}"/>
    <cellStyle name="Normal 3 4 2 3 3 2 4 2" xfId="46857" xr:uid="{00000000-0005-0000-0000-0000618D0000}"/>
    <cellStyle name="Normal 3 4 2 3 3 2 5" xfId="33295" xr:uid="{00000000-0005-0000-0000-0000628D0000}"/>
    <cellStyle name="Normal 3 4 2 3 3 3" xfId="9535" xr:uid="{00000000-0005-0000-0000-0000638D0000}"/>
    <cellStyle name="Normal 3 4 2 3 3 3 2" xfId="16325" xr:uid="{00000000-0005-0000-0000-0000648D0000}"/>
    <cellStyle name="Normal 3 4 2 3 3 3 2 2" xfId="29893" xr:uid="{00000000-0005-0000-0000-0000658D0000}"/>
    <cellStyle name="Normal 3 4 2 3 3 3 2 2 2" xfId="57026" xr:uid="{00000000-0005-0000-0000-0000668D0000}"/>
    <cellStyle name="Normal 3 4 2 3 3 3 2 3" xfId="43464" xr:uid="{00000000-0005-0000-0000-0000678D0000}"/>
    <cellStyle name="Normal 3 4 2 3 3 3 3" xfId="23112" xr:uid="{00000000-0005-0000-0000-0000688D0000}"/>
    <cellStyle name="Normal 3 4 2 3 3 3 3 2" xfId="50245" xr:uid="{00000000-0005-0000-0000-0000698D0000}"/>
    <cellStyle name="Normal 3 4 2 3 3 3 4" xfId="36683" xr:uid="{00000000-0005-0000-0000-00006A8D0000}"/>
    <cellStyle name="Normal 3 4 2 3 3 4" xfId="12936" xr:uid="{00000000-0005-0000-0000-00006B8D0000}"/>
    <cellStyle name="Normal 3 4 2 3 3 4 2" xfId="26504" xr:uid="{00000000-0005-0000-0000-00006C8D0000}"/>
    <cellStyle name="Normal 3 4 2 3 3 4 2 2" xfId="53637" xr:uid="{00000000-0005-0000-0000-00006D8D0000}"/>
    <cellStyle name="Normal 3 4 2 3 3 4 3" xfId="40075" xr:uid="{00000000-0005-0000-0000-00006E8D0000}"/>
    <cellStyle name="Normal 3 4 2 3 3 5" xfId="19723" xr:uid="{00000000-0005-0000-0000-00006F8D0000}"/>
    <cellStyle name="Normal 3 4 2 3 3 5 2" xfId="46856" xr:uid="{00000000-0005-0000-0000-0000708D0000}"/>
    <cellStyle name="Normal 3 4 2 3 3 6" xfId="33294" xr:uid="{00000000-0005-0000-0000-0000718D0000}"/>
    <cellStyle name="Normal 3 4 2 3 4" xfId="5994" xr:uid="{00000000-0005-0000-0000-0000728D0000}"/>
    <cellStyle name="Normal 3 4 2 3 4 2" xfId="9537" xr:uid="{00000000-0005-0000-0000-0000738D0000}"/>
    <cellStyle name="Normal 3 4 2 3 4 2 2" xfId="16327" xr:uid="{00000000-0005-0000-0000-0000748D0000}"/>
    <cellStyle name="Normal 3 4 2 3 4 2 2 2" xfId="29895" xr:uid="{00000000-0005-0000-0000-0000758D0000}"/>
    <cellStyle name="Normal 3 4 2 3 4 2 2 2 2" xfId="57028" xr:uid="{00000000-0005-0000-0000-0000768D0000}"/>
    <cellStyle name="Normal 3 4 2 3 4 2 2 3" xfId="43466" xr:uid="{00000000-0005-0000-0000-0000778D0000}"/>
    <cellStyle name="Normal 3 4 2 3 4 2 3" xfId="23114" xr:uid="{00000000-0005-0000-0000-0000788D0000}"/>
    <cellStyle name="Normal 3 4 2 3 4 2 3 2" xfId="50247" xr:uid="{00000000-0005-0000-0000-0000798D0000}"/>
    <cellStyle name="Normal 3 4 2 3 4 2 4" xfId="36685" xr:uid="{00000000-0005-0000-0000-00007A8D0000}"/>
    <cellStyle name="Normal 3 4 2 3 4 3" xfId="12938" xr:uid="{00000000-0005-0000-0000-00007B8D0000}"/>
    <cellStyle name="Normal 3 4 2 3 4 3 2" xfId="26506" xr:uid="{00000000-0005-0000-0000-00007C8D0000}"/>
    <cellStyle name="Normal 3 4 2 3 4 3 2 2" xfId="53639" xr:uid="{00000000-0005-0000-0000-00007D8D0000}"/>
    <cellStyle name="Normal 3 4 2 3 4 3 3" xfId="40077" xr:uid="{00000000-0005-0000-0000-00007E8D0000}"/>
    <cellStyle name="Normal 3 4 2 3 4 4" xfId="19725" xr:uid="{00000000-0005-0000-0000-00007F8D0000}"/>
    <cellStyle name="Normal 3 4 2 3 4 4 2" xfId="46858" xr:uid="{00000000-0005-0000-0000-0000808D0000}"/>
    <cellStyle name="Normal 3 4 2 3 4 5" xfId="33296" xr:uid="{00000000-0005-0000-0000-0000818D0000}"/>
    <cellStyle name="Normal 3 4 2 3 5" xfId="5995" xr:uid="{00000000-0005-0000-0000-0000828D0000}"/>
    <cellStyle name="Normal 3 4 2 3 5 2" xfId="9538" xr:uid="{00000000-0005-0000-0000-0000838D0000}"/>
    <cellStyle name="Normal 3 4 2 3 5 2 2" xfId="16328" xr:uid="{00000000-0005-0000-0000-0000848D0000}"/>
    <cellStyle name="Normal 3 4 2 3 5 2 2 2" xfId="29896" xr:uid="{00000000-0005-0000-0000-0000858D0000}"/>
    <cellStyle name="Normal 3 4 2 3 5 2 2 2 2" xfId="57029" xr:uid="{00000000-0005-0000-0000-0000868D0000}"/>
    <cellStyle name="Normal 3 4 2 3 5 2 2 3" xfId="43467" xr:uid="{00000000-0005-0000-0000-0000878D0000}"/>
    <cellStyle name="Normal 3 4 2 3 5 2 3" xfId="23115" xr:uid="{00000000-0005-0000-0000-0000888D0000}"/>
    <cellStyle name="Normal 3 4 2 3 5 2 3 2" xfId="50248" xr:uid="{00000000-0005-0000-0000-0000898D0000}"/>
    <cellStyle name="Normal 3 4 2 3 5 2 4" xfId="36686" xr:uid="{00000000-0005-0000-0000-00008A8D0000}"/>
    <cellStyle name="Normal 3 4 2 3 5 3" xfId="12939" xr:uid="{00000000-0005-0000-0000-00008B8D0000}"/>
    <cellStyle name="Normal 3 4 2 3 5 3 2" xfId="26507" xr:uid="{00000000-0005-0000-0000-00008C8D0000}"/>
    <cellStyle name="Normal 3 4 2 3 5 3 2 2" xfId="53640" xr:uid="{00000000-0005-0000-0000-00008D8D0000}"/>
    <cellStyle name="Normal 3 4 2 3 5 3 3" xfId="40078" xr:uid="{00000000-0005-0000-0000-00008E8D0000}"/>
    <cellStyle name="Normal 3 4 2 3 5 4" xfId="19726" xr:uid="{00000000-0005-0000-0000-00008F8D0000}"/>
    <cellStyle name="Normal 3 4 2 3 5 4 2" xfId="46859" xr:uid="{00000000-0005-0000-0000-0000908D0000}"/>
    <cellStyle name="Normal 3 4 2 3 5 5" xfId="33297" xr:uid="{00000000-0005-0000-0000-0000918D0000}"/>
    <cellStyle name="Normal 3 4 2 3 6" xfId="9531" xr:uid="{00000000-0005-0000-0000-0000928D0000}"/>
    <cellStyle name="Normal 3 4 2 3 6 2" xfId="16321" xr:uid="{00000000-0005-0000-0000-0000938D0000}"/>
    <cellStyle name="Normal 3 4 2 3 6 2 2" xfId="29889" xr:uid="{00000000-0005-0000-0000-0000948D0000}"/>
    <cellStyle name="Normal 3 4 2 3 6 2 2 2" xfId="57022" xr:uid="{00000000-0005-0000-0000-0000958D0000}"/>
    <cellStyle name="Normal 3 4 2 3 6 2 3" xfId="43460" xr:uid="{00000000-0005-0000-0000-0000968D0000}"/>
    <cellStyle name="Normal 3 4 2 3 6 3" xfId="23108" xr:uid="{00000000-0005-0000-0000-0000978D0000}"/>
    <cellStyle name="Normal 3 4 2 3 6 3 2" xfId="50241" xr:uid="{00000000-0005-0000-0000-0000988D0000}"/>
    <cellStyle name="Normal 3 4 2 3 6 4" xfId="36679" xr:uid="{00000000-0005-0000-0000-0000998D0000}"/>
    <cellStyle name="Normal 3 4 2 3 7" xfId="12932" xr:uid="{00000000-0005-0000-0000-00009A8D0000}"/>
    <cellStyle name="Normal 3 4 2 3 7 2" xfId="26500" xr:uid="{00000000-0005-0000-0000-00009B8D0000}"/>
    <cellStyle name="Normal 3 4 2 3 7 2 2" xfId="53633" xr:uid="{00000000-0005-0000-0000-00009C8D0000}"/>
    <cellStyle name="Normal 3 4 2 3 7 3" xfId="40071" xr:uid="{00000000-0005-0000-0000-00009D8D0000}"/>
    <cellStyle name="Normal 3 4 2 3 8" xfId="19719" xr:uid="{00000000-0005-0000-0000-00009E8D0000}"/>
    <cellStyle name="Normal 3 4 2 3 8 2" xfId="46852" xr:uid="{00000000-0005-0000-0000-00009F8D0000}"/>
    <cellStyle name="Normal 3 4 2 3 9" xfId="33290" xr:uid="{00000000-0005-0000-0000-0000A08D0000}"/>
    <cellStyle name="Normal 3 4 2 4" xfId="5996" xr:uid="{00000000-0005-0000-0000-0000A18D0000}"/>
    <cellStyle name="Normal 3 4 2 4 2" xfId="5997" xr:uid="{00000000-0005-0000-0000-0000A28D0000}"/>
    <cellStyle name="Normal 3 4 2 4 2 2" xfId="5998" xr:uid="{00000000-0005-0000-0000-0000A38D0000}"/>
    <cellStyle name="Normal 3 4 2 4 2 2 2" xfId="9541" xr:uid="{00000000-0005-0000-0000-0000A48D0000}"/>
    <cellStyle name="Normal 3 4 2 4 2 2 2 2" xfId="16331" xr:uid="{00000000-0005-0000-0000-0000A58D0000}"/>
    <cellStyle name="Normal 3 4 2 4 2 2 2 2 2" xfId="29899" xr:uid="{00000000-0005-0000-0000-0000A68D0000}"/>
    <cellStyle name="Normal 3 4 2 4 2 2 2 2 2 2" xfId="57032" xr:uid="{00000000-0005-0000-0000-0000A78D0000}"/>
    <cellStyle name="Normal 3 4 2 4 2 2 2 2 3" xfId="43470" xr:uid="{00000000-0005-0000-0000-0000A88D0000}"/>
    <cellStyle name="Normal 3 4 2 4 2 2 2 3" xfId="23118" xr:uid="{00000000-0005-0000-0000-0000A98D0000}"/>
    <cellStyle name="Normal 3 4 2 4 2 2 2 3 2" xfId="50251" xr:uid="{00000000-0005-0000-0000-0000AA8D0000}"/>
    <cellStyle name="Normal 3 4 2 4 2 2 2 4" xfId="36689" xr:uid="{00000000-0005-0000-0000-0000AB8D0000}"/>
    <cellStyle name="Normal 3 4 2 4 2 2 3" xfId="12942" xr:uid="{00000000-0005-0000-0000-0000AC8D0000}"/>
    <cellStyle name="Normal 3 4 2 4 2 2 3 2" xfId="26510" xr:uid="{00000000-0005-0000-0000-0000AD8D0000}"/>
    <cellStyle name="Normal 3 4 2 4 2 2 3 2 2" xfId="53643" xr:uid="{00000000-0005-0000-0000-0000AE8D0000}"/>
    <cellStyle name="Normal 3 4 2 4 2 2 3 3" xfId="40081" xr:uid="{00000000-0005-0000-0000-0000AF8D0000}"/>
    <cellStyle name="Normal 3 4 2 4 2 2 4" xfId="19729" xr:uid="{00000000-0005-0000-0000-0000B08D0000}"/>
    <cellStyle name="Normal 3 4 2 4 2 2 4 2" xfId="46862" xr:uid="{00000000-0005-0000-0000-0000B18D0000}"/>
    <cellStyle name="Normal 3 4 2 4 2 2 5" xfId="33300" xr:uid="{00000000-0005-0000-0000-0000B28D0000}"/>
    <cellStyle name="Normal 3 4 2 4 2 3" xfId="5999" xr:uid="{00000000-0005-0000-0000-0000B38D0000}"/>
    <cellStyle name="Normal 3 4 2 4 2 3 2" xfId="9542" xr:uid="{00000000-0005-0000-0000-0000B48D0000}"/>
    <cellStyle name="Normal 3 4 2 4 2 3 2 2" xfId="16332" xr:uid="{00000000-0005-0000-0000-0000B58D0000}"/>
    <cellStyle name="Normal 3 4 2 4 2 3 2 2 2" xfId="29900" xr:uid="{00000000-0005-0000-0000-0000B68D0000}"/>
    <cellStyle name="Normal 3 4 2 4 2 3 2 2 2 2" xfId="57033" xr:uid="{00000000-0005-0000-0000-0000B78D0000}"/>
    <cellStyle name="Normal 3 4 2 4 2 3 2 2 3" xfId="43471" xr:uid="{00000000-0005-0000-0000-0000B88D0000}"/>
    <cellStyle name="Normal 3 4 2 4 2 3 2 3" xfId="23119" xr:uid="{00000000-0005-0000-0000-0000B98D0000}"/>
    <cellStyle name="Normal 3 4 2 4 2 3 2 3 2" xfId="50252" xr:uid="{00000000-0005-0000-0000-0000BA8D0000}"/>
    <cellStyle name="Normal 3 4 2 4 2 3 2 4" xfId="36690" xr:uid="{00000000-0005-0000-0000-0000BB8D0000}"/>
    <cellStyle name="Normal 3 4 2 4 2 3 3" xfId="12943" xr:uid="{00000000-0005-0000-0000-0000BC8D0000}"/>
    <cellStyle name="Normal 3 4 2 4 2 3 3 2" xfId="26511" xr:uid="{00000000-0005-0000-0000-0000BD8D0000}"/>
    <cellStyle name="Normal 3 4 2 4 2 3 3 2 2" xfId="53644" xr:uid="{00000000-0005-0000-0000-0000BE8D0000}"/>
    <cellStyle name="Normal 3 4 2 4 2 3 3 3" xfId="40082" xr:uid="{00000000-0005-0000-0000-0000BF8D0000}"/>
    <cellStyle name="Normal 3 4 2 4 2 3 4" xfId="19730" xr:uid="{00000000-0005-0000-0000-0000C08D0000}"/>
    <cellStyle name="Normal 3 4 2 4 2 3 4 2" xfId="46863" xr:uid="{00000000-0005-0000-0000-0000C18D0000}"/>
    <cellStyle name="Normal 3 4 2 4 2 3 5" xfId="33301" xr:uid="{00000000-0005-0000-0000-0000C28D0000}"/>
    <cellStyle name="Normal 3 4 2 4 2 4" xfId="9540" xr:uid="{00000000-0005-0000-0000-0000C38D0000}"/>
    <cellStyle name="Normal 3 4 2 4 2 4 2" xfId="16330" xr:uid="{00000000-0005-0000-0000-0000C48D0000}"/>
    <cellStyle name="Normal 3 4 2 4 2 4 2 2" xfId="29898" xr:uid="{00000000-0005-0000-0000-0000C58D0000}"/>
    <cellStyle name="Normal 3 4 2 4 2 4 2 2 2" xfId="57031" xr:uid="{00000000-0005-0000-0000-0000C68D0000}"/>
    <cellStyle name="Normal 3 4 2 4 2 4 2 3" xfId="43469" xr:uid="{00000000-0005-0000-0000-0000C78D0000}"/>
    <cellStyle name="Normal 3 4 2 4 2 4 3" xfId="23117" xr:uid="{00000000-0005-0000-0000-0000C88D0000}"/>
    <cellStyle name="Normal 3 4 2 4 2 4 3 2" xfId="50250" xr:uid="{00000000-0005-0000-0000-0000C98D0000}"/>
    <cellStyle name="Normal 3 4 2 4 2 4 4" xfId="36688" xr:uid="{00000000-0005-0000-0000-0000CA8D0000}"/>
    <cellStyle name="Normal 3 4 2 4 2 5" xfId="12941" xr:uid="{00000000-0005-0000-0000-0000CB8D0000}"/>
    <cellStyle name="Normal 3 4 2 4 2 5 2" xfId="26509" xr:uid="{00000000-0005-0000-0000-0000CC8D0000}"/>
    <cellStyle name="Normal 3 4 2 4 2 5 2 2" xfId="53642" xr:uid="{00000000-0005-0000-0000-0000CD8D0000}"/>
    <cellStyle name="Normal 3 4 2 4 2 5 3" xfId="40080" xr:uid="{00000000-0005-0000-0000-0000CE8D0000}"/>
    <cellStyle name="Normal 3 4 2 4 2 6" xfId="19728" xr:uid="{00000000-0005-0000-0000-0000CF8D0000}"/>
    <cellStyle name="Normal 3 4 2 4 2 6 2" xfId="46861" xr:uid="{00000000-0005-0000-0000-0000D08D0000}"/>
    <cellStyle name="Normal 3 4 2 4 2 7" xfId="33299" xr:uid="{00000000-0005-0000-0000-0000D18D0000}"/>
    <cellStyle name="Normal 3 4 2 4 3" xfId="6000" xr:uid="{00000000-0005-0000-0000-0000D28D0000}"/>
    <cellStyle name="Normal 3 4 2 4 3 2" xfId="9543" xr:uid="{00000000-0005-0000-0000-0000D38D0000}"/>
    <cellStyle name="Normal 3 4 2 4 3 2 2" xfId="16333" xr:uid="{00000000-0005-0000-0000-0000D48D0000}"/>
    <cellStyle name="Normal 3 4 2 4 3 2 2 2" xfId="29901" xr:uid="{00000000-0005-0000-0000-0000D58D0000}"/>
    <cellStyle name="Normal 3 4 2 4 3 2 2 2 2" xfId="57034" xr:uid="{00000000-0005-0000-0000-0000D68D0000}"/>
    <cellStyle name="Normal 3 4 2 4 3 2 2 3" xfId="43472" xr:uid="{00000000-0005-0000-0000-0000D78D0000}"/>
    <cellStyle name="Normal 3 4 2 4 3 2 3" xfId="23120" xr:uid="{00000000-0005-0000-0000-0000D88D0000}"/>
    <cellStyle name="Normal 3 4 2 4 3 2 3 2" xfId="50253" xr:uid="{00000000-0005-0000-0000-0000D98D0000}"/>
    <cellStyle name="Normal 3 4 2 4 3 2 4" xfId="36691" xr:uid="{00000000-0005-0000-0000-0000DA8D0000}"/>
    <cellStyle name="Normal 3 4 2 4 3 3" xfId="12944" xr:uid="{00000000-0005-0000-0000-0000DB8D0000}"/>
    <cellStyle name="Normal 3 4 2 4 3 3 2" xfId="26512" xr:uid="{00000000-0005-0000-0000-0000DC8D0000}"/>
    <cellStyle name="Normal 3 4 2 4 3 3 2 2" xfId="53645" xr:uid="{00000000-0005-0000-0000-0000DD8D0000}"/>
    <cellStyle name="Normal 3 4 2 4 3 3 3" xfId="40083" xr:uid="{00000000-0005-0000-0000-0000DE8D0000}"/>
    <cellStyle name="Normal 3 4 2 4 3 4" xfId="19731" xr:uid="{00000000-0005-0000-0000-0000DF8D0000}"/>
    <cellStyle name="Normal 3 4 2 4 3 4 2" xfId="46864" xr:uid="{00000000-0005-0000-0000-0000E08D0000}"/>
    <cellStyle name="Normal 3 4 2 4 3 5" xfId="33302" xr:uid="{00000000-0005-0000-0000-0000E18D0000}"/>
    <cellStyle name="Normal 3 4 2 4 4" xfId="6001" xr:uid="{00000000-0005-0000-0000-0000E28D0000}"/>
    <cellStyle name="Normal 3 4 2 4 4 2" xfId="9544" xr:uid="{00000000-0005-0000-0000-0000E38D0000}"/>
    <cellStyle name="Normal 3 4 2 4 4 2 2" xfId="16334" xr:uid="{00000000-0005-0000-0000-0000E48D0000}"/>
    <cellStyle name="Normal 3 4 2 4 4 2 2 2" xfId="29902" xr:uid="{00000000-0005-0000-0000-0000E58D0000}"/>
    <cellStyle name="Normal 3 4 2 4 4 2 2 2 2" xfId="57035" xr:uid="{00000000-0005-0000-0000-0000E68D0000}"/>
    <cellStyle name="Normal 3 4 2 4 4 2 2 3" xfId="43473" xr:uid="{00000000-0005-0000-0000-0000E78D0000}"/>
    <cellStyle name="Normal 3 4 2 4 4 2 3" xfId="23121" xr:uid="{00000000-0005-0000-0000-0000E88D0000}"/>
    <cellStyle name="Normal 3 4 2 4 4 2 3 2" xfId="50254" xr:uid="{00000000-0005-0000-0000-0000E98D0000}"/>
    <cellStyle name="Normal 3 4 2 4 4 2 4" xfId="36692" xr:uid="{00000000-0005-0000-0000-0000EA8D0000}"/>
    <cellStyle name="Normal 3 4 2 4 4 3" xfId="12945" xr:uid="{00000000-0005-0000-0000-0000EB8D0000}"/>
    <cellStyle name="Normal 3 4 2 4 4 3 2" xfId="26513" xr:uid="{00000000-0005-0000-0000-0000EC8D0000}"/>
    <cellStyle name="Normal 3 4 2 4 4 3 2 2" xfId="53646" xr:uid="{00000000-0005-0000-0000-0000ED8D0000}"/>
    <cellStyle name="Normal 3 4 2 4 4 3 3" xfId="40084" xr:uid="{00000000-0005-0000-0000-0000EE8D0000}"/>
    <cellStyle name="Normal 3 4 2 4 4 4" xfId="19732" xr:uid="{00000000-0005-0000-0000-0000EF8D0000}"/>
    <cellStyle name="Normal 3 4 2 4 4 4 2" xfId="46865" xr:uid="{00000000-0005-0000-0000-0000F08D0000}"/>
    <cellStyle name="Normal 3 4 2 4 4 5" xfId="33303" xr:uid="{00000000-0005-0000-0000-0000F18D0000}"/>
    <cellStyle name="Normal 3 4 2 4 5" xfId="9539" xr:uid="{00000000-0005-0000-0000-0000F28D0000}"/>
    <cellStyle name="Normal 3 4 2 4 5 2" xfId="16329" xr:uid="{00000000-0005-0000-0000-0000F38D0000}"/>
    <cellStyle name="Normal 3 4 2 4 5 2 2" xfId="29897" xr:uid="{00000000-0005-0000-0000-0000F48D0000}"/>
    <cellStyle name="Normal 3 4 2 4 5 2 2 2" xfId="57030" xr:uid="{00000000-0005-0000-0000-0000F58D0000}"/>
    <cellStyle name="Normal 3 4 2 4 5 2 3" xfId="43468" xr:uid="{00000000-0005-0000-0000-0000F68D0000}"/>
    <cellStyle name="Normal 3 4 2 4 5 3" xfId="23116" xr:uid="{00000000-0005-0000-0000-0000F78D0000}"/>
    <cellStyle name="Normal 3 4 2 4 5 3 2" xfId="50249" xr:uid="{00000000-0005-0000-0000-0000F88D0000}"/>
    <cellStyle name="Normal 3 4 2 4 5 4" xfId="36687" xr:uid="{00000000-0005-0000-0000-0000F98D0000}"/>
    <cellStyle name="Normal 3 4 2 4 6" xfId="12940" xr:uid="{00000000-0005-0000-0000-0000FA8D0000}"/>
    <cellStyle name="Normal 3 4 2 4 6 2" xfId="26508" xr:uid="{00000000-0005-0000-0000-0000FB8D0000}"/>
    <cellStyle name="Normal 3 4 2 4 6 2 2" xfId="53641" xr:uid="{00000000-0005-0000-0000-0000FC8D0000}"/>
    <cellStyle name="Normal 3 4 2 4 6 3" xfId="40079" xr:uid="{00000000-0005-0000-0000-0000FD8D0000}"/>
    <cellStyle name="Normal 3 4 2 4 7" xfId="19727" xr:uid="{00000000-0005-0000-0000-0000FE8D0000}"/>
    <cellStyle name="Normal 3 4 2 4 7 2" xfId="46860" xr:uid="{00000000-0005-0000-0000-0000FF8D0000}"/>
    <cellStyle name="Normal 3 4 2 4 8" xfId="33298" xr:uid="{00000000-0005-0000-0000-0000008E0000}"/>
    <cellStyle name="Normal 3 4 2 5" xfId="6002" xr:uid="{00000000-0005-0000-0000-0000018E0000}"/>
    <cellStyle name="Normal 3 4 2 5 2" xfId="6003" xr:uid="{00000000-0005-0000-0000-0000028E0000}"/>
    <cellStyle name="Normal 3 4 2 5 2 2" xfId="6004" xr:uid="{00000000-0005-0000-0000-0000038E0000}"/>
    <cellStyle name="Normal 3 4 2 5 2 2 2" xfId="9547" xr:uid="{00000000-0005-0000-0000-0000048E0000}"/>
    <cellStyle name="Normal 3 4 2 5 2 2 2 2" xfId="16337" xr:uid="{00000000-0005-0000-0000-0000058E0000}"/>
    <cellStyle name="Normal 3 4 2 5 2 2 2 2 2" xfId="29905" xr:uid="{00000000-0005-0000-0000-0000068E0000}"/>
    <cellStyle name="Normal 3 4 2 5 2 2 2 2 2 2" xfId="57038" xr:uid="{00000000-0005-0000-0000-0000078E0000}"/>
    <cellStyle name="Normal 3 4 2 5 2 2 2 2 3" xfId="43476" xr:uid="{00000000-0005-0000-0000-0000088E0000}"/>
    <cellStyle name="Normal 3 4 2 5 2 2 2 3" xfId="23124" xr:uid="{00000000-0005-0000-0000-0000098E0000}"/>
    <cellStyle name="Normal 3 4 2 5 2 2 2 3 2" xfId="50257" xr:uid="{00000000-0005-0000-0000-00000A8E0000}"/>
    <cellStyle name="Normal 3 4 2 5 2 2 2 4" xfId="36695" xr:uid="{00000000-0005-0000-0000-00000B8E0000}"/>
    <cellStyle name="Normal 3 4 2 5 2 2 3" xfId="12948" xr:uid="{00000000-0005-0000-0000-00000C8E0000}"/>
    <cellStyle name="Normal 3 4 2 5 2 2 3 2" xfId="26516" xr:uid="{00000000-0005-0000-0000-00000D8E0000}"/>
    <cellStyle name="Normal 3 4 2 5 2 2 3 2 2" xfId="53649" xr:uid="{00000000-0005-0000-0000-00000E8E0000}"/>
    <cellStyle name="Normal 3 4 2 5 2 2 3 3" xfId="40087" xr:uid="{00000000-0005-0000-0000-00000F8E0000}"/>
    <cellStyle name="Normal 3 4 2 5 2 2 4" xfId="19735" xr:uid="{00000000-0005-0000-0000-0000108E0000}"/>
    <cellStyle name="Normal 3 4 2 5 2 2 4 2" xfId="46868" xr:uid="{00000000-0005-0000-0000-0000118E0000}"/>
    <cellStyle name="Normal 3 4 2 5 2 2 5" xfId="33306" xr:uid="{00000000-0005-0000-0000-0000128E0000}"/>
    <cellStyle name="Normal 3 4 2 5 2 3" xfId="6005" xr:uid="{00000000-0005-0000-0000-0000138E0000}"/>
    <cellStyle name="Normal 3 4 2 5 2 3 2" xfId="9548" xr:uid="{00000000-0005-0000-0000-0000148E0000}"/>
    <cellStyle name="Normal 3 4 2 5 2 3 2 2" xfId="16338" xr:uid="{00000000-0005-0000-0000-0000158E0000}"/>
    <cellStyle name="Normal 3 4 2 5 2 3 2 2 2" xfId="29906" xr:uid="{00000000-0005-0000-0000-0000168E0000}"/>
    <cellStyle name="Normal 3 4 2 5 2 3 2 2 2 2" xfId="57039" xr:uid="{00000000-0005-0000-0000-0000178E0000}"/>
    <cellStyle name="Normal 3 4 2 5 2 3 2 2 3" xfId="43477" xr:uid="{00000000-0005-0000-0000-0000188E0000}"/>
    <cellStyle name="Normal 3 4 2 5 2 3 2 3" xfId="23125" xr:uid="{00000000-0005-0000-0000-0000198E0000}"/>
    <cellStyle name="Normal 3 4 2 5 2 3 2 3 2" xfId="50258" xr:uid="{00000000-0005-0000-0000-00001A8E0000}"/>
    <cellStyle name="Normal 3 4 2 5 2 3 2 4" xfId="36696" xr:uid="{00000000-0005-0000-0000-00001B8E0000}"/>
    <cellStyle name="Normal 3 4 2 5 2 3 3" xfId="12949" xr:uid="{00000000-0005-0000-0000-00001C8E0000}"/>
    <cellStyle name="Normal 3 4 2 5 2 3 3 2" xfId="26517" xr:uid="{00000000-0005-0000-0000-00001D8E0000}"/>
    <cellStyle name="Normal 3 4 2 5 2 3 3 2 2" xfId="53650" xr:uid="{00000000-0005-0000-0000-00001E8E0000}"/>
    <cellStyle name="Normal 3 4 2 5 2 3 3 3" xfId="40088" xr:uid="{00000000-0005-0000-0000-00001F8E0000}"/>
    <cellStyle name="Normal 3 4 2 5 2 3 4" xfId="19736" xr:uid="{00000000-0005-0000-0000-0000208E0000}"/>
    <cellStyle name="Normal 3 4 2 5 2 3 4 2" xfId="46869" xr:uid="{00000000-0005-0000-0000-0000218E0000}"/>
    <cellStyle name="Normal 3 4 2 5 2 3 5" xfId="33307" xr:uid="{00000000-0005-0000-0000-0000228E0000}"/>
    <cellStyle name="Normal 3 4 2 5 2 4" xfId="9546" xr:uid="{00000000-0005-0000-0000-0000238E0000}"/>
    <cellStyle name="Normal 3 4 2 5 2 4 2" xfId="16336" xr:uid="{00000000-0005-0000-0000-0000248E0000}"/>
    <cellStyle name="Normal 3 4 2 5 2 4 2 2" xfId="29904" xr:uid="{00000000-0005-0000-0000-0000258E0000}"/>
    <cellStyle name="Normal 3 4 2 5 2 4 2 2 2" xfId="57037" xr:uid="{00000000-0005-0000-0000-0000268E0000}"/>
    <cellStyle name="Normal 3 4 2 5 2 4 2 3" xfId="43475" xr:uid="{00000000-0005-0000-0000-0000278E0000}"/>
    <cellStyle name="Normal 3 4 2 5 2 4 3" xfId="23123" xr:uid="{00000000-0005-0000-0000-0000288E0000}"/>
    <cellStyle name="Normal 3 4 2 5 2 4 3 2" xfId="50256" xr:uid="{00000000-0005-0000-0000-0000298E0000}"/>
    <cellStyle name="Normal 3 4 2 5 2 4 4" xfId="36694" xr:uid="{00000000-0005-0000-0000-00002A8E0000}"/>
    <cellStyle name="Normal 3 4 2 5 2 5" xfId="12947" xr:uid="{00000000-0005-0000-0000-00002B8E0000}"/>
    <cellStyle name="Normal 3 4 2 5 2 5 2" xfId="26515" xr:uid="{00000000-0005-0000-0000-00002C8E0000}"/>
    <cellStyle name="Normal 3 4 2 5 2 5 2 2" xfId="53648" xr:uid="{00000000-0005-0000-0000-00002D8E0000}"/>
    <cellStyle name="Normal 3 4 2 5 2 5 3" xfId="40086" xr:uid="{00000000-0005-0000-0000-00002E8E0000}"/>
    <cellStyle name="Normal 3 4 2 5 2 6" xfId="19734" xr:uid="{00000000-0005-0000-0000-00002F8E0000}"/>
    <cellStyle name="Normal 3 4 2 5 2 6 2" xfId="46867" xr:uid="{00000000-0005-0000-0000-0000308E0000}"/>
    <cellStyle name="Normal 3 4 2 5 2 7" xfId="33305" xr:uid="{00000000-0005-0000-0000-0000318E0000}"/>
    <cellStyle name="Normal 3 4 2 5 3" xfId="6006" xr:uid="{00000000-0005-0000-0000-0000328E0000}"/>
    <cellStyle name="Normal 3 4 2 5 3 2" xfId="9549" xr:uid="{00000000-0005-0000-0000-0000338E0000}"/>
    <cellStyle name="Normal 3 4 2 5 3 2 2" xfId="16339" xr:uid="{00000000-0005-0000-0000-0000348E0000}"/>
    <cellStyle name="Normal 3 4 2 5 3 2 2 2" xfId="29907" xr:uid="{00000000-0005-0000-0000-0000358E0000}"/>
    <cellStyle name="Normal 3 4 2 5 3 2 2 2 2" xfId="57040" xr:uid="{00000000-0005-0000-0000-0000368E0000}"/>
    <cellStyle name="Normal 3 4 2 5 3 2 2 3" xfId="43478" xr:uid="{00000000-0005-0000-0000-0000378E0000}"/>
    <cellStyle name="Normal 3 4 2 5 3 2 3" xfId="23126" xr:uid="{00000000-0005-0000-0000-0000388E0000}"/>
    <cellStyle name="Normal 3 4 2 5 3 2 3 2" xfId="50259" xr:uid="{00000000-0005-0000-0000-0000398E0000}"/>
    <cellStyle name="Normal 3 4 2 5 3 2 4" xfId="36697" xr:uid="{00000000-0005-0000-0000-00003A8E0000}"/>
    <cellStyle name="Normal 3 4 2 5 3 3" xfId="12950" xr:uid="{00000000-0005-0000-0000-00003B8E0000}"/>
    <cellStyle name="Normal 3 4 2 5 3 3 2" xfId="26518" xr:uid="{00000000-0005-0000-0000-00003C8E0000}"/>
    <cellStyle name="Normal 3 4 2 5 3 3 2 2" xfId="53651" xr:uid="{00000000-0005-0000-0000-00003D8E0000}"/>
    <cellStyle name="Normal 3 4 2 5 3 3 3" xfId="40089" xr:uid="{00000000-0005-0000-0000-00003E8E0000}"/>
    <cellStyle name="Normal 3 4 2 5 3 4" xfId="19737" xr:uid="{00000000-0005-0000-0000-00003F8E0000}"/>
    <cellStyle name="Normal 3 4 2 5 3 4 2" xfId="46870" xr:uid="{00000000-0005-0000-0000-0000408E0000}"/>
    <cellStyle name="Normal 3 4 2 5 3 5" xfId="33308" xr:uid="{00000000-0005-0000-0000-0000418E0000}"/>
    <cellStyle name="Normal 3 4 2 5 4" xfId="6007" xr:uid="{00000000-0005-0000-0000-0000428E0000}"/>
    <cellStyle name="Normal 3 4 2 5 4 2" xfId="9550" xr:uid="{00000000-0005-0000-0000-0000438E0000}"/>
    <cellStyle name="Normal 3 4 2 5 4 2 2" xfId="16340" xr:uid="{00000000-0005-0000-0000-0000448E0000}"/>
    <cellStyle name="Normal 3 4 2 5 4 2 2 2" xfId="29908" xr:uid="{00000000-0005-0000-0000-0000458E0000}"/>
    <cellStyle name="Normal 3 4 2 5 4 2 2 2 2" xfId="57041" xr:uid="{00000000-0005-0000-0000-0000468E0000}"/>
    <cellStyle name="Normal 3 4 2 5 4 2 2 3" xfId="43479" xr:uid="{00000000-0005-0000-0000-0000478E0000}"/>
    <cellStyle name="Normal 3 4 2 5 4 2 3" xfId="23127" xr:uid="{00000000-0005-0000-0000-0000488E0000}"/>
    <cellStyle name="Normal 3 4 2 5 4 2 3 2" xfId="50260" xr:uid="{00000000-0005-0000-0000-0000498E0000}"/>
    <cellStyle name="Normal 3 4 2 5 4 2 4" xfId="36698" xr:uid="{00000000-0005-0000-0000-00004A8E0000}"/>
    <cellStyle name="Normal 3 4 2 5 4 3" xfId="12951" xr:uid="{00000000-0005-0000-0000-00004B8E0000}"/>
    <cellStyle name="Normal 3 4 2 5 4 3 2" xfId="26519" xr:uid="{00000000-0005-0000-0000-00004C8E0000}"/>
    <cellStyle name="Normal 3 4 2 5 4 3 2 2" xfId="53652" xr:uid="{00000000-0005-0000-0000-00004D8E0000}"/>
    <cellStyle name="Normal 3 4 2 5 4 3 3" xfId="40090" xr:uid="{00000000-0005-0000-0000-00004E8E0000}"/>
    <cellStyle name="Normal 3 4 2 5 4 4" xfId="19738" xr:uid="{00000000-0005-0000-0000-00004F8E0000}"/>
    <cellStyle name="Normal 3 4 2 5 4 4 2" xfId="46871" xr:uid="{00000000-0005-0000-0000-0000508E0000}"/>
    <cellStyle name="Normal 3 4 2 5 4 5" xfId="33309" xr:uid="{00000000-0005-0000-0000-0000518E0000}"/>
    <cellStyle name="Normal 3 4 2 5 5" xfId="9545" xr:uid="{00000000-0005-0000-0000-0000528E0000}"/>
    <cellStyle name="Normal 3 4 2 5 5 2" xfId="16335" xr:uid="{00000000-0005-0000-0000-0000538E0000}"/>
    <cellStyle name="Normal 3 4 2 5 5 2 2" xfId="29903" xr:uid="{00000000-0005-0000-0000-0000548E0000}"/>
    <cellStyle name="Normal 3 4 2 5 5 2 2 2" xfId="57036" xr:uid="{00000000-0005-0000-0000-0000558E0000}"/>
    <cellStyle name="Normal 3 4 2 5 5 2 3" xfId="43474" xr:uid="{00000000-0005-0000-0000-0000568E0000}"/>
    <cellStyle name="Normal 3 4 2 5 5 3" xfId="23122" xr:uid="{00000000-0005-0000-0000-0000578E0000}"/>
    <cellStyle name="Normal 3 4 2 5 5 3 2" xfId="50255" xr:uid="{00000000-0005-0000-0000-0000588E0000}"/>
    <cellStyle name="Normal 3 4 2 5 5 4" xfId="36693" xr:uid="{00000000-0005-0000-0000-0000598E0000}"/>
    <cellStyle name="Normal 3 4 2 5 6" xfId="12946" xr:uid="{00000000-0005-0000-0000-00005A8E0000}"/>
    <cellStyle name="Normal 3 4 2 5 6 2" xfId="26514" xr:uid="{00000000-0005-0000-0000-00005B8E0000}"/>
    <cellStyle name="Normal 3 4 2 5 6 2 2" xfId="53647" xr:uid="{00000000-0005-0000-0000-00005C8E0000}"/>
    <cellStyle name="Normal 3 4 2 5 6 3" xfId="40085" xr:uid="{00000000-0005-0000-0000-00005D8E0000}"/>
    <cellStyle name="Normal 3 4 2 5 7" xfId="19733" xr:uid="{00000000-0005-0000-0000-00005E8E0000}"/>
    <cellStyle name="Normal 3 4 2 5 7 2" xfId="46866" xr:uid="{00000000-0005-0000-0000-00005F8E0000}"/>
    <cellStyle name="Normal 3 4 2 5 8" xfId="33304" xr:uid="{00000000-0005-0000-0000-0000608E0000}"/>
    <cellStyle name="Normal 3 4 2 6" xfId="6008" xr:uid="{00000000-0005-0000-0000-0000618E0000}"/>
    <cellStyle name="Normal 3 4 2 6 2" xfId="6009" xr:uid="{00000000-0005-0000-0000-0000628E0000}"/>
    <cellStyle name="Normal 3 4 2 6 2 2" xfId="9552" xr:uid="{00000000-0005-0000-0000-0000638E0000}"/>
    <cellStyle name="Normal 3 4 2 6 2 2 2" xfId="16342" xr:uid="{00000000-0005-0000-0000-0000648E0000}"/>
    <cellStyle name="Normal 3 4 2 6 2 2 2 2" xfId="29910" xr:uid="{00000000-0005-0000-0000-0000658E0000}"/>
    <cellStyle name="Normal 3 4 2 6 2 2 2 2 2" xfId="57043" xr:uid="{00000000-0005-0000-0000-0000668E0000}"/>
    <cellStyle name="Normal 3 4 2 6 2 2 2 3" xfId="43481" xr:uid="{00000000-0005-0000-0000-0000678E0000}"/>
    <cellStyle name="Normal 3 4 2 6 2 2 3" xfId="23129" xr:uid="{00000000-0005-0000-0000-0000688E0000}"/>
    <cellStyle name="Normal 3 4 2 6 2 2 3 2" xfId="50262" xr:uid="{00000000-0005-0000-0000-0000698E0000}"/>
    <cellStyle name="Normal 3 4 2 6 2 2 4" xfId="36700" xr:uid="{00000000-0005-0000-0000-00006A8E0000}"/>
    <cellStyle name="Normal 3 4 2 6 2 3" xfId="12953" xr:uid="{00000000-0005-0000-0000-00006B8E0000}"/>
    <cellStyle name="Normal 3 4 2 6 2 3 2" xfId="26521" xr:uid="{00000000-0005-0000-0000-00006C8E0000}"/>
    <cellStyle name="Normal 3 4 2 6 2 3 2 2" xfId="53654" xr:uid="{00000000-0005-0000-0000-00006D8E0000}"/>
    <cellStyle name="Normal 3 4 2 6 2 3 3" xfId="40092" xr:uid="{00000000-0005-0000-0000-00006E8E0000}"/>
    <cellStyle name="Normal 3 4 2 6 2 4" xfId="19740" xr:uid="{00000000-0005-0000-0000-00006F8E0000}"/>
    <cellStyle name="Normal 3 4 2 6 2 4 2" xfId="46873" xr:uid="{00000000-0005-0000-0000-0000708E0000}"/>
    <cellStyle name="Normal 3 4 2 6 2 5" xfId="33311" xr:uid="{00000000-0005-0000-0000-0000718E0000}"/>
    <cellStyle name="Normal 3 4 2 6 3" xfId="6010" xr:uid="{00000000-0005-0000-0000-0000728E0000}"/>
    <cellStyle name="Normal 3 4 2 6 3 2" xfId="9553" xr:uid="{00000000-0005-0000-0000-0000738E0000}"/>
    <cellStyle name="Normal 3 4 2 6 3 2 2" xfId="16343" xr:uid="{00000000-0005-0000-0000-0000748E0000}"/>
    <cellStyle name="Normal 3 4 2 6 3 2 2 2" xfId="29911" xr:uid="{00000000-0005-0000-0000-0000758E0000}"/>
    <cellStyle name="Normal 3 4 2 6 3 2 2 2 2" xfId="57044" xr:uid="{00000000-0005-0000-0000-0000768E0000}"/>
    <cellStyle name="Normal 3 4 2 6 3 2 2 3" xfId="43482" xr:uid="{00000000-0005-0000-0000-0000778E0000}"/>
    <cellStyle name="Normal 3 4 2 6 3 2 3" xfId="23130" xr:uid="{00000000-0005-0000-0000-0000788E0000}"/>
    <cellStyle name="Normal 3 4 2 6 3 2 3 2" xfId="50263" xr:uid="{00000000-0005-0000-0000-0000798E0000}"/>
    <cellStyle name="Normal 3 4 2 6 3 2 4" xfId="36701" xr:uid="{00000000-0005-0000-0000-00007A8E0000}"/>
    <cellStyle name="Normal 3 4 2 6 3 3" xfId="12954" xr:uid="{00000000-0005-0000-0000-00007B8E0000}"/>
    <cellStyle name="Normal 3 4 2 6 3 3 2" xfId="26522" xr:uid="{00000000-0005-0000-0000-00007C8E0000}"/>
    <cellStyle name="Normal 3 4 2 6 3 3 2 2" xfId="53655" xr:uid="{00000000-0005-0000-0000-00007D8E0000}"/>
    <cellStyle name="Normal 3 4 2 6 3 3 3" xfId="40093" xr:uid="{00000000-0005-0000-0000-00007E8E0000}"/>
    <cellStyle name="Normal 3 4 2 6 3 4" xfId="19741" xr:uid="{00000000-0005-0000-0000-00007F8E0000}"/>
    <cellStyle name="Normal 3 4 2 6 3 4 2" xfId="46874" xr:uid="{00000000-0005-0000-0000-0000808E0000}"/>
    <cellStyle name="Normal 3 4 2 6 3 5" xfId="33312" xr:uid="{00000000-0005-0000-0000-0000818E0000}"/>
    <cellStyle name="Normal 3 4 2 6 4" xfId="9551" xr:uid="{00000000-0005-0000-0000-0000828E0000}"/>
    <cellStyle name="Normal 3 4 2 6 4 2" xfId="16341" xr:uid="{00000000-0005-0000-0000-0000838E0000}"/>
    <cellStyle name="Normal 3 4 2 6 4 2 2" xfId="29909" xr:uid="{00000000-0005-0000-0000-0000848E0000}"/>
    <cellStyle name="Normal 3 4 2 6 4 2 2 2" xfId="57042" xr:uid="{00000000-0005-0000-0000-0000858E0000}"/>
    <cellStyle name="Normal 3 4 2 6 4 2 3" xfId="43480" xr:uid="{00000000-0005-0000-0000-0000868E0000}"/>
    <cellStyle name="Normal 3 4 2 6 4 3" xfId="23128" xr:uid="{00000000-0005-0000-0000-0000878E0000}"/>
    <cellStyle name="Normal 3 4 2 6 4 3 2" xfId="50261" xr:uid="{00000000-0005-0000-0000-0000888E0000}"/>
    <cellStyle name="Normal 3 4 2 6 4 4" xfId="36699" xr:uid="{00000000-0005-0000-0000-0000898E0000}"/>
    <cellStyle name="Normal 3 4 2 6 5" xfId="12952" xr:uid="{00000000-0005-0000-0000-00008A8E0000}"/>
    <cellStyle name="Normal 3 4 2 6 5 2" xfId="26520" xr:uid="{00000000-0005-0000-0000-00008B8E0000}"/>
    <cellStyle name="Normal 3 4 2 6 5 2 2" xfId="53653" xr:uid="{00000000-0005-0000-0000-00008C8E0000}"/>
    <cellStyle name="Normal 3 4 2 6 5 3" xfId="40091" xr:uid="{00000000-0005-0000-0000-00008D8E0000}"/>
    <cellStyle name="Normal 3 4 2 6 6" xfId="19739" xr:uid="{00000000-0005-0000-0000-00008E8E0000}"/>
    <cellStyle name="Normal 3 4 2 6 6 2" xfId="46872" xr:uid="{00000000-0005-0000-0000-00008F8E0000}"/>
    <cellStyle name="Normal 3 4 2 6 7" xfId="33310" xr:uid="{00000000-0005-0000-0000-0000908E0000}"/>
    <cellStyle name="Normal 3 4 2 7" xfId="6011" xr:uid="{00000000-0005-0000-0000-0000918E0000}"/>
    <cellStyle name="Normal 3 4 2 7 2" xfId="6012" xr:uid="{00000000-0005-0000-0000-0000928E0000}"/>
    <cellStyle name="Normal 3 4 2 7 2 2" xfId="9555" xr:uid="{00000000-0005-0000-0000-0000938E0000}"/>
    <cellStyle name="Normal 3 4 2 7 2 2 2" xfId="16345" xr:uid="{00000000-0005-0000-0000-0000948E0000}"/>
    <cellStyle name="Normal 3 4 2 7 2 2 2 2" xfId="29913" xr:uid="{00000000-0005-0000-0000-0000958E0000}"/>
    <cellStyle name="Normal 3 4 2 7 2 2 2 2 2" xfId="57046" xr:uid="{00000000-0005-0000-0000-0000968E0000}"/>
    <cellStyle name="Normal 3 4 2 7 2 2 2 3" xfId="43484" xr:uid="{00000000-0005-0000-0000-0000978E0000}"/>
    <cellStyle name="Normal 3 4 2 7 2 2 3" xfId="23132" xr:uid="{00000000-0005-0000-0000-0000988E0000}"/>
    <cellStyle name="Normal 3 4 2 7 2 2 3 2" xfId="50265" xr:uid="{00000000-0005-0000-0000-0000998E0000}"/>
    <cellStyle name="Normal 3 4 2 7 2 2 4" xfId="36703" xr:uid="{00000000-0005-0000-0000-00009A8E0000}"/>
    <cellStyle name="Normal 3 4 2 7 2 3" xfId="12956" xr:uid="{00000000-0005-0000-0000-00009B8E0000}"/>
    <cellStyle name="Normal 3 4 2 7 2 3 2" xfId="26524" xr:uid="{00000000-0005-0000-0000-00009C8E0000}"/>
    <cellStyle name="Normal 3 4 2 7 2 3 2 2" xfId="53657" xr:uid="{00000000-0005-0000-0000-00009D8E0000}"/>
    <cellStyle name="Normal 3 4 2 7 2 3 3" xfId="40095" xr:uid="{00000000-0005-0000-0000-00009E8E0000}"/>
    <cellStyle name="Normal 3 4 2 7 2 4" xfId="19743" xr:uid="{00000000-0005-0000-0000-00009F8E0000}"/>
    <cellStyle name="Normal 3 4 2 7 2 4 2" xfId="46876" xr:uid="{00000000-0005-0000-0000-0000A08E0000}"/>
    <cellStyle name="Normal 3 4 2 7 2 5" xfId="33314" xr:uid="{00000000-0005-0000-0000-0000A18E0000}"/>
    <cellStyle name="Normal 3 4 2 7 3" xfId="6013" xr:uid="{00000000-0005-0000-0000-0000A28E0000}"/>
    <cellStyle name="Normal 3 4 2 7 3 2" xfId="9556" xr:uid="{00000000-0005-0000-0000-0000A38E0000}"/>
    <cellStyle name="Normal 3 4 2 7 3 2 2" xfId="16346" xr:uid="{00000000-0005-0000-0000-0000A48E0000}"/>
    <cellStyle name="Normal 3 4 2 7 3 2 2 2" xfId="29914" xr:uid="{00000000-0005-0000-0000-0000A58E0000}"/>
    <cellStyle name="Normal 3 4 2 7 3 2 2 2 2" xfId="57047" xr:uid="{00000000-0005-0000-0000-0000A68E0000}"/>
    <cellStyle name="Normal 3 4 2 7 3 2 2 3" xfId="43485" xr:uid="{00000000-0005-0000-0000-0000A78E0000}"/>
    <cellStyle name="Normal 3 4 2 7 3 2 3" xfId="23133" xr:uid="{00000000-0005-0000-0000-0000A88E0000}"/>
    <cellStyle name="Normal 3 4 2 7 3 2 3 2" xfId="50266" xr:uid="{00000000-0005-0000-0000-0000A98E0000}"/>
    <cellStyle name="Normal 3 4 2 7 3 2 4" xfId="36704" xr:uid="{00000000-0005-0000-0000-0000AA8E0000}"/>
    <cellStyle name="Normal 3 4 2 7 3 3" xfId="12957" xr:uid="{00000000-0005-0000-0000-0000AB8E0000}"/>
    <cellStyle name="Normal 3 4 2 7 3 3 2" xfId="26525" xr:uid="{00000000-0005-0000-0000-0000AC8E0000}"/>
    <cellStyle name="Normal 3 4 2 7 3 3 2 2" xfId="53658" xr:uid="{00000000-0005-0000-0000-0000AD8E0000}"/>
    <cellStyle name="Normal 3 4 2 7 3 3 3" xfId="40096" xr:uid="{00000000-0005-0000-0000-0000AE8E0000}"/>
    <cellStyle name="Normal 3 4 2 7 3 4" xfId="19744" xr:uid="{00000000-0005-0000-0000-0000AF8E0000}"/>
    <cellStyle name="Normal 3 4 2 7 3 4 2" xfId="46877" xr:uid="{00000000-0005-0000-0000-0000B08E0000}"/>
    <cellStyle name="Normal 3 4 2 7 3 5" xfId="33315" xr:uid="{00000000-0005-0000-0000-0000B18E0000}"/>
    <cellStyle name="Normal 3 4 2 7 4" xfId="9554" xr:uid="{00000000-0005-0000-0000-0000B28E0000}"/>
    <cellStyle name="Normal 3 4 2 7 4 2" xfId="16344" xr:uid="{00000000-0005-0000-0000-0000B38E0000}"/>
    <cellStyle name="Normal 3 4 2 7 4 2 2" xfId="29912" xr:uid="{00000000-0005-0000-0000-0000B48E0000}"/>
    <cellStyle name="Normal 3 4 2 7 4 2 2 2" xfId="57045" xr:uid="{00000000-0005-0000-0000-0000B58E0000}"/>
    <cellStyle name="Normal 3 4 2 7 4 2 3" xfId="43483" xr:uid="{00000000-0005-0000-0000-0000B68E0000}"/>
    <cellStyle name="Normal 3 4 2 7 4 3" xfId="23131" xr:uid="{00000000-0005-0000-0000-0000B78E0000}"/>
    <cellStyle name="Normal 3 4 2 7 4 3 2" xfId="50264" xr:uid="{00000000-0005-0000-0000-0000B88E0000}"/>
    <cellStyle name="Normal 3 4 2 7 4 4" xfId="36702" xr:uid="{00000000-0005-0000-0000-0000B98E0000}"/>
    <cellStyle name="Normal 3 4 2 7 5" xfId="12955" xr:uid="{00000000-0005-0000-0000-0000BA8E0000}"/>
    <cellStyle name="Normal 3 4 2 7 5 2" xfId="26523" xr:uid="{00000000-0005-0000-0000-0000BB8E0000}"/>
    <cellStyle name="Normal 3 4 2 7 5 2 2" xfId="53656" xr:uid="{00000000-0005-0000-0000-0000BC8E0000}"/>
    <cellStyle name="Normal 3 4 2 7 5 3" xfId="40094" xr:uid="{00000000-0005-0000-0000-0000BD8E0000}"/>
    <cellStyle name="Normal 3 4 2 7 6" xfId="19742" xr:uid="{00000000-0005-0000-0000-0000BE8E0000}"/>
    <cellStyle name="Normal 3 4 2 7 6 2" xfId="46875" xr:uid="{00000000-0005-0000-0000-0000BF8E0000}"/>
    <cellStyle name="Normal 3 4 2 7 7" xfId="33313" xr:uid="{00000000-0005-0000-0000-0000C08E0000}"/>
    <cellStyle name="Normal 3 4 2 8" xfId="6014" xr:uid="{00000000-0005-0000-0000-0000C18E0000}"/>
    <cellStyle name="Normal 3 4 2 8 2" xfId="9557" xr:uid="{00000000-0005-0000-0000-0000C28E0000}"/>
    <cellStyle name="Normal 3 4 2 8 2 2" xfId="16347" xr:uid="{00000000-0005-0000-0000-0000C38E0000}"/>
    <cellStyle name="Normal 3 4 2 8 2 2 2" xfId="29915" xr:uid="{00000000-0005-0000-0000-0000C48E0000}"/>
    <cellStyle name="Normal 3 4 2 8 2 2 2 2" xfId="57048" xr:uid="{00000000-0005-0000-0000-0000C58E0000}"/>
    <cellStyle name="Normal 3 4 2 8 2 2 3" xfId="43486" xr:uid="{00000000-0005-0000-0000-0000C68E0000}"/>
    <cellStyle name="Normal 3 4 2 8 2 3" xfId="23134" xr:uid="{00000000-0005-0000-0000-0000C78E0000}"/>
    <cellStyle name="Normal 3 4 2 8 2 3 2" xfId="50267" xr:uid="{00000000-0005-0000-0000-0000C88E0000}"/>
    <cellStyle name="Normal 3 4 2 8 2 4" xfId="36705" xr:uid="{00000000-0005-0000-0000-0000C98E0000}"/>
    <cellStyle name="Normal 3 4 2 8 3" xfId="12958" xr:uid="{00000000-0005-0000-0000-0000CA8E0000}"/>
    <cellStyle name="Normal 3 4 2 8 3 2" xfId="26526" xr:uid="{00000000-0005-0000-0000-0000CB8E0000}"/>
    <cellStyle name="Normal 3 4 2 8 3 2 2" xfId="53659" xr:uid="{00000000-0005-0000-0000-0000CC8E0000}"/>
    <cellStyle name="Normal 3 4 2 8 3 3" xfId="40097" xr:uid="{00000000-0005-0000-0000-0000CD8E0000}"/>
    <cellStyle name="Normal 3 4 2 8 4" xfId="19745" xr:uid="{00000000-0005-0000-0000-0000CE8E0000}"/>
    <cellStyle name="Normal 3 4 2 8 4 2" xfId="46878" xr:uid="{00000000-0005-0000-0000-0000CF8E0000}"/>
    <cellStyle name="Normal 3 4 2 8 5" xfId="33316" xr:uid="{00000000-0005-0000-0000-0000D08E0000}"/>
    <cellStyle name="Normal 3 4 2 9" xfId="6015" xr:uid="{00000000-0005-0000-0000-0000D18E0000}"/>
    <cellStyle name="Normal 3 4 2 9 2" xfId="9558" xr:uid="{00000000-0005-0000-0000-0000D28E0000}"/>
    <cellStyle name="Normal 3 4 2 9 2 2" xfId="16348" xr:uid="{00000000-0005-0000-0000-0000D38E0000}"/>
    <cellStyle name="Normal 3 4 2 9 2 2 2" xfId="29916" xr:uid="{00000000-0005-0000-0000-0000D48E0000}"/>
    <cellStyle name="Normal 3 4 2 9 2 2 2 2" xfId="57049" xr:uid="{00000000-0005-0000-0000-0000D58E0000}"/>
    <cellStyle name="Normal 3 4 2 9 2 2 3" xfId="43487" xr:uid="{00000000-0005-0000-0000-0000D68E0000}"/>
    <cellStyle name="Normal 3 4 2 9 2 3" xfId="23135" xr:uid="{00000000-0005-0000-0000-0000D78E0000}"/>
    <cellStyle name="Normal 3 4 2 9 2 3 2" xfId="50268" xr:uid="{00000000-0005-0000-0000-0000D88E0000}"/>
    <cellStyle name="Normal 3 4 2 9 2 4" xfId="36706" xr:uid="{00000000-0005-0000-0000-0000D98E0000}"/>
    <cellStyle name="Normal 3 4 2 9 3" xfId="12959" xr:uid="{00000000-0005-0000-0000-0000DA8E0000}"/>
    <cellStyle name="Normal 3 4 2 9 3 2" xfId="26527" xr:uid="{00000000-0005-0000-0000-0000DB8E0000}"/>
    <cellStyle name="Normal 3 4 2 9 3 2 2" xfId="53660" xr:uid="{00000000-0005-0000-0000-0000DC8E0000}"/>
    <cellStyle name="Normal 3 4 2 9 3 3" xfId="40098" xr:uid="{00000000-0005-0000-0000-0000DD8E0000}"/>
    <cellStyle name="Normal 3 4 2 9 4" xfId="19746" xr:uid="{00000000-0005-0000-0000-0000DE8E0000}"/>
    <cellStyle name="Normal 3 4 2 9 4 2" xfId="46879" xr:uid="{00000000-0005-0000-0000-0000DF8E0000}"/>
    <cellStyle name="Normal 3 4 2 9 5" xfId="33317" xr:uid="{00000000-0005-0000-0000-0000E08E0000}"/>
    <cellStyle name="Normal 3 4 3" xfId="2710" xr:uid="{00000000-0005-0000-0000-0000E18E0000}"/>
    <cellStyle name="Normal 3 4 3 10" xfId="10924" xr:uid="{00000000-0005-0000-0000-0000E28E0000}"/>
    <cellStyle name="Normal 3 4 3 10 2" xfId="24492" xr:uid="{00000000-0005-0000-0000-0000E38E0000}"/>
    <cellStyle name="Normal 3 4 3 10 2 2" xfId="51625" xr:uid="{00000000-0005-0000-0000-0000E48E0000}"/>
    <cellStyle name="Normal 3 4 3 10 3" xfId="38063" xr:uid="{00000000-0005-0000-0000-0000E58E0000}"/>
    <cellStyle name="Normal 3 4 3 11" xfId="17711" xr:uid="{00000000-0005-0000-0000-0000E68E0000}"/>
    <cellStyle name="Normal 3 4 3 11 2" xfId="44844" xr:uid="{00000000-0005-0000-0000-0000E78E0000}"/>
    <cellStyle name="Normal 3 4 3 12" xfId="31282" xr:uid="{00000000-0005-0000-0000-0000E88E0000}"/>
    <cellStyle name="Normal 3 4 3 2" xfId="2711" xr:uid="{00000000-0005-0000-0000-0000E98E0000}"/>
    <cellStyle name="Normal 3 4 3 2 10" xfId="31283" xr:uid="{00000000-0005-0000-0000-0000EA8E0000}"/>
    <cellStyle name="Normal 3 4 3 2 2" xfId="6016" xr:uid="{00000000-0005-0000-0000-0000EB8E0000}"/>
    <cellStyle name="Normal 3 4 3 2 2 2" xfId="6017" xr:uid="{00000000-0005-0000-0000-0000EC8E0000}"/>
    <cellStyle name="Normal 3 4 3 2 2 2 2" xfId="6018" xr:uid="{00000000-0005-0000-0000-0000ED8E0000}"/>
    <cellStyle name="Normal 3 4 3 2 2 2 2 2" xfId="9561" xr:uid="{00000000-0005-0000-0000-0000EE8E0000}"/>
    <cellStyle name="Normal 3 4 3 2 2 2 2 2 2" xfId="16351" xr:uid="{00000000-0005-0000-0000-0000EF8E0000}"/>
    <cellStyle name="Normal 3 4 3 2 2 2 2 2 2 2" xfId="29919" xr:uid="{00000000-0005-0000-0000-0000F08E0000}"/>
    <cellStyle name="Normal 3 4 3 2 2 2 2 2 2 2 2" xfId="57052" xr:uid="{00000000-0005-0000-0000-0000F18E0000}"/>
    <cellStyle name="Normal 3 4 3 2 2 2 2 2 2 3" xfId="43490" xr:uid="{00000000-0005-0000-0000-0000F28E0000}"/>
    <cellStyle name="Normal 3 4 3 2 2 2 2 2 3" xfId="23138" xr:uid="{00000000-0005-0000-0000-0000F38E0000}"/>
    <cellStyle name="Normal 3 4 3 2 2 2 2 2 3 2" xfId="50271" xr:uid="{00000000-0005-0000-0000-0000F48E0000}"/>
    <cellStyle name="Normal 3 4 3 2 2 2 2 2 4" xfId="36709" xr:uid="{00000000-0005-0000-0000-0000F58E0000}"/>
    <cellStyle name="Normal 3 4 3 2 2 2 2 3" xfId="12962" xr:uid="{00000000-0005-0000-0000-0000F68E0000}"/>
    <cellStyle name="Normal 3 4 3 2 2 2 2 3 2" xfId="26530" xr:uid="{00000000-0005-0000-0000-0000F78E0000}"/>
    <cellStyle name="Normal 3 4 3 2 2 2 2 3 2 2" xfId="53663" xr:uid="{00000000-0005-0000-0000-0000F88E0000}"/>
    <cellStyle name="Normal 3 4 3 2 2 2 2 3 3" xfId="40101" xr:uid="{00000000-0005-0000-0000-0000F98E0000}"/>
    <cellStyle name="Normal 3 4 3 2 2 2 2 4" xfId="19749" xr:uid="{00000000-0005-0000-0000-0000FA8E0000}"/>
    <cellStyle name="Normal 3 4 3 2 2 2 2 4 2" xfId="46882" xr:uid="{00000000-0005-0000-0000-0000FB8E0000}"/>
    <cellStyle name="Normal 3 4 3 2 2 2 2 5" xfId="33320" xr:uid="{00000000-0005-0000-0000-0000FC8E0000}"/>
    <cellStyle name="Normal 3 4 3 2 2 2 3" xfId="6019" xr:uid="{00000000-0005-0000-0000-0000FD8E0000}"/>
    <cellStyle name="Normal 3 4 3 2 2 2 3 2" xfId="9562" xr:uid="{00000000-0005-0000-0000-0000FE8E0000}"/>
    <cellStyle name="Normal 3 4 3 2 2 2 3 2 2" xfId="16352" xr:uid="{00000000-0005-0000-0000-0000FF8E0000}"/>
    <cellStyle name="Normal 3 4 3 2 2 2 3 2 2 2" xfId="29920" xr:uid="{00000000-0005-0000-0000-0000008F0000}"/>
    <cellStyle name="Normal 3 4 3 2 2 2 3 2 2 2 2" xfId="57053" xr:uid="{00000000-0005-0000-0000-0000018F0000}"/>
    <cellStyle name="Normal 3 4 3 2 2 2 3 2 2 3" xfId="43491" xr:uid="{00000000-0005-0000-0000-0000028F0000}"/>
    <cellStyle name="Normal 3 4 3 2 2 2 3 2 3" xfId="23139" xr:uid="{00000000-0005-0000-0000-0000038F0000}"/>
    <cellStyle name="Normal 3 4 3 2 2 2 3 2 3 2" xfId="50272" xr:uid="{00000000-0005-0000-0000-0000048F0000}"/>
    <cellStyle name="Normal 3 4 3 2 2 2 3 2 4" xfId="36710" xr:uid="{00000000-0005-0000-0000-0000058F0000}"/>
    <cellStyle name="Normal 3 4 3 2 2 2 3 3" xfId="12963" xr:uid="{00000000-0005-0000-0000-0000068F0000}"/>
    <cellStyle name="Normal 3 4 3 2 2 2 3 3 2" xfId="26531" xr:uid="{00000000-0005-0000-0000-0000078F0000}"/>
    <cellStyle name="Normal 3 4 3 2 2 2 3 3 2 2" xfId="53664" xr:uid="{00000000-0005-0000-0000-0000088F0000}"/>
    <cellStyle name="Normal 3 4 3 2 2 2 3 3 3" xfId="40102" xr:uid="{00000000-0005-0000-0000-0000098F0000}"/>
    <cellStyle name="Normal 3 4 3 2 2 2 3 4" xfId="19750" xr:uid="{00000000-0005-0000-0000-00000A8F0000}"/>
    <cellStyle name="Normal 3 4 3 2 2 2 3 4 2" xfId="46883" xr:uid="{00000000-0005-0000-0000-00000B8F0000}"/>
    <cellStyle name="Normal 3 4 3 2 2 2 3 5" xfId="33321" xr:uid="{00000000-0005-0000-0000-00000C8F0000}"/>
    <cellStyle name="Normal 3 4 3 2 2 2 4" xfId="9560" xr:uid="{00000000-0005-0000-0000-00000D8F0000}"/>
    <cellStyle name="Normal 3 4 3 2 2 2 4 2" xfId="16350" xr:uid="{00000000-0005-0000-0000-00000E8F0000}"/>
    <cellStyle name="Normal 3 4 3 2 2 2 4 2 2" xfId="29918" xr:uid="{00000000-0005-0000-0000-00000F8F0000}"/>
    <cellStyle name="Normal 3 4 3 2 2 2 4 2 2 2" xfId="57051" xr:uid="{00000000-0005-0000-0000-0000108F0000}"/>
    <cellStyle name="Normal 3 4 3 2 2 2 4 2 3" xfId="43489" xr:uid="{00000000-0005-0000-0000-0000118F0000}"/>
    <cellStyle name="Normal 3 4 3 2 2 2 4 3" xfId="23137" xr:uid="{00000000-0005-0000-0000-0000128F0000}"/>
    <cellStyle name="Normal 3 4 3 2 2 2 4 3 2" xfId="50270" xr:uid="{00000000-0005-0000-0000-0000138F0000}"/>
    <cellStyle name="Normal 3 4 3 2 2 2 4 4" xfId="36708" xr:uid="{00000000-0005-0000-0000-0000148F0000}"/>
    <cellStyle name="Normal 3 4 3 2 2 2 5" xfId="12961" xr:uid="{00000000-0005-0000-0000-0000158F0000}"/>
    <cellStyle name="Normal 3 4 3 2 2 2 5 2" xfId="26529" xr:uid="{00000000-0005-0000-0000-0000168F0000}"/>
    <cellStyle name="Normal 3 4 3 2 2 2 5 2 2" xfId="53662" xr:uid="{00000000-0005-0000-0000-0000178F0000}"/>
    <cellStyle name="Normal 3 4 3 2 2 2 5 3" xfId="40100" xr:uid="{00000000-0005-0000-0000-0000188F0000}"/>
    <cellStyle name="Normal 3 4 3 2 2 2 6" xfId="19748" xr:uid="{00000000-0005-0000-0000-0000198F0000}"/>
    <cellStyle name="Normal 3 4 3 2 2 2 6 2" xfId="46881" xr:uid="{00000000-0005-0000-0000-00001A8F0000}"/>
    <cellStyle name="Normal 3 4 3 2 2 2 7" xfId="33319" xr:uid="{00000000-0005-0000-0000-00001B8F0000}"/>
    <cellStyle name="Normal 3 4 3 2 2 3" xfId="6020" xr:uid="{00000000-0005-0000-0000-00001C8F0000}"/>
    <cellStyle name="Normal 3 4 3 2 2 3 2" xfId="6021" xr:uid="{00000000-0005-0000-0000-00001D8F0000}"/>
    <cellStyle name="Normal 3 4 3 2 2 3 2 2" xfId="9564" xr:uid="{00000000-0005-0000-0000-00001E8F0000}"/>
    <cellStyle name="Normal 3 4 3 2 2 3 2 2 2" xfId="16354" xr:uid="{00000000-0005-0000-0000-00001F8F0000}"/>
    <cellStyle name="Normal 3 4 3 2 2 3 2 2 2 2" xfId="29922" xr:uid="{00000000-0005-0000-0000-0000208F0000}"/>
    <cellStyle name="Normal 3 4 3 2 2 3 2 2 2 2 2" xfId="57055" xr:uid="{00000000-0005-0000-0000-0000218F0000}"/>
    <cellStyle name="Normal 3 4 3 2 2 3 2 2 2 3" xfId="43493" xr:uid="{00000000-0005-0000-0000-0000228F0000}"/>
    <cellStyle name="Normal 3 4 3 2 2 3 2 2 3" xfId="23141" xr:uid="{00000000-0005-0000-0000-0000238F0000}"/>
    <cellStyle name="Normal 3 4 3 2 2 3 2 2 3 2" xfId="50274" xr:uid="{00000000-0005-0000-0000-0000248F0000}"/>
    <cellStyle name="Normal 3 4 3 2 2 3 2 2 4" xfId="36712" xr:uid="{00000000-0005-0000-0000-0000258F0000}"/>
    <cellStyle name="Normal 3 4 3 2 2 3 2 3" xfId="12965" xr:uid="{00000000-0005-0000-0000-0000268F0000}"/>
    <cellStyle name="Normal 3 4 3 2 2 3 2 3 2" xfId="26533" xr:uid="{00000000-0005-0000-0000-0000278F0000}"/>
    <cellStyle name="Normal 3 4 3 2 2 3 2 3 2 2" xfId="53666" xr:uid="{00000000-0005-0000-0000-0000288F0000}"/>
    <cellStyle name="Normal 3 4 3 2 2 3 2 3 3" xfId="40104" xr:uid="{00000000-0005-0000-0000-0000298F0000}"/>
    <cellStyle name="Normal 3 4 3 2 2 3 2 4" xfId="19752" xr:uid="{00000000-0005-0000-0000-00002A8F0000}"/>
    <cellStyle name="Normal 3 4 3 2 2 3 2 4 2" xfId="46885" xr:uid="{00000000-0005-0000-0000-00002B8F0000}"/>
    <cellStyle name="Normal 3 4 3 2 2 3 2 5" xfId="33323" xr:uid="{00000000-0005-0000-0000-00002C8F0000}"/>
    <cellStyle name="Normal 3 4 3 2 2 3 3" xfId="9563" xr:uid="{00000000-0005-0000-0000-00002D8F0000}"/>
    <cellStyle name="Normal 3 4 3 2 2 3 3 2" xfId="16353" xr:uid="{00000000-0005-0000-0000-00002E8F0000}"/>
    <cellStyle name="Normal 3 4 3 2 2 3 3 2 2" xfId="29921" xr:uid="{00000000-0005-0000-0000-00002F8F0000}"/>
    <cellStyle name="Normal 3 4 3 2 2 3 3 2 2 2" xfId="57054" xr:uid="{00000000-0005-0000-0000-0000308F0000}"/>
    <cellStyle name="Normal 3 4 3 2 2 3 3 2 3" xfId="43492" xr:uid="{00000000-0005-0000-0000-0000318F0000}"/>
    <cellStyle name="Normal 3 4 3 2 2 3 3 3" xfId="23140" xr:uid="{00000000-0005-0000-0000-0000328F0000}"/>
    <cellStyle name="Normal 3 4 3 2 2 3 3 3 2" xfId="50273" xr:uid="{00000000-0005-0000-0000-0000338F0000}"/>
    <cellStyle name="Normal 3 4 3 2 2 3 3 4" xfId="36711" xr:uid="{00000000-0005-0000-0000-0000348F0000}"/>
    <cellStyle name="Normal 3 4 3 2 2 3 4" xfId="12964" xr:uid="{00000000-0005-0000-0000-0000358F0000}"/>
    <cellStyle name="Normal 3 4 3 2 2 3 4 2" xfId="26532" xr:uid="{00000000-0005-0000-0000-0000368F0000}"/>
    <cellStyle name="Normal 3 4 3 2 2 3 4 2 2" xfId="53665" xr:uid="{00000000-0005-0000-0000-0000378F0000}"/>
    <cellStyle name="Normal 3 4 3 2 2 3 4 3" xfId="40103" xr:uid="{00000000-0005-0000-0000-0000388F0000}"/>
    <cellStyle name="Normal 3 4 3 2 2 3 5" xfId="19751" xr:uid="{00000000-0005-0000-0000-0000398F0000}"/>
    <cellStyle name="Normal 3 4 3 2 2 3 5 2" xfId="46884" xr:uid="{00000000-0005-0000-0000-00003A8F0000}"/>
    <cellStyle name="Normal 3 4 3 2 2 3 6" xfId="33322" xr:uid="{00000000-0005-0000-0000-00003B8F0000}"/>
    <cellStyle name="Normal 3 4 3 2 2 4" xfId="6022" xr:uid="{00000000-0005-0000-0000-00003C8F0000}"/>
    <cellStyle name="Normal 3 4 3 2 2 4 2" xfId="9565" xr:uid="{00000000-0005-0000-0000-00003D8F0000}"/>
    <cellStyle name="Normal 3 4 3 2 2 4 2 2" xfId="16355" xr:uid="{00000000-0005-0000-0000-00003E8F0000}"/>
    <cellStyle name="Normal 3 4 3 2 2 4 2 2 2" xfId="29923" xr:uid="{00000000-0005-0000-0000-00003F8F0000}"/>
    <cellStyle name="Normal 3 4 3 2 2 4 2 2 2 2" xfId="57056" xr:uid="{00000000-0005-0000-0000-0000408F0000}"/>
    <cellStyle name="Normal 3 4 3 2 2 4 2 2 3" xfId="43494" xr:uid="{00000000-0005-0000-0000-0000418F0000}"/>
    <cellStyle name="Normal 3 4 3 2 2 4 2 3" xfId="23142" xr:uid="{00000000-0005-0000-0000-0000428F0000}"/>
    <cellStyle name="Normal 3 4 3 2 2 4 2 3 2" xfId="50275" xr:uid="{00000000-0005-0000-0000-0000438F0000}"/>
    <cellStyle name="Normal 3 4 3 2 2 4 2 4" xfId="36713" xr:uid="{00000000-0005-0000-0000-0000448F0000}"/>
    <cellStyle name="Normal 3 4 3 2 2 4 3" xfId="12966" xr:uid="{00000000-0005-0000-0000-0000458F0000}"/>
    <cellStyle name="Normal 3 4 3 2 2 4 3 2" xfId="26534" xr:uid="{00000000-0005-0000-0000-0000468F0000}"/>
    <cellStyle name="Normal 3 4 3 2 2 4 3 2 2" xfId="53667" xr:uid="{00000000-0005-0000-0000-0000478F0000}"/>
    <cellStyle name="Normal 3 4 3 2 2 4 3 3" xfId="40105" xr:uid="{00000000-0005-0000-0000-0000488F0000}"/>
    <cellStyle name="Normal 3 4 3 2 2 4 4" xfId="19753" xr:uid="{00000000-0005-0000-0000-0000498F0000}"/>
    <cellStyle name="Normal 3 4 3 2 2 4 4 2" xfId="46886" xr:uid="{00000000-0005-0000-0000-00004A8F0000}"/>
    <cellStyle name="Normal 3 4 3 2 2 4 5" xfId="33324" xr:uid="{00000000-0005-0000-0000-00004B8F0000}"/>
    <cellStyle name="Normal 3 4 3 2 2 5" xfId="6023" xr:uid="{00000000-0005-0000-0000-00004C8F0000}"/>
    <cellStyle name="Normal 3 4 3 2 2 5 2" xfId="9566" xr:uid="{00000000-0005-0000-0000-00004D8F0000}"/>
    <cellStyle name="Normal 3 4 3 2 2 5 2 2" xfId="16356" xr:uid="{00000000-0005-0000-0000-00004E8F0000}"/>
    <cellStyle name="Normal 3 4 3 2 2 5 2 2 2" xfId="29924" xr:uid="{00000000-0005-0000-0000-00004F8F0000}"/>
    <cellStyle name="Normal 3 4 3 2 2 5 2 2 2 2" xfId="57057" xr:uid="{00000000-0005-0000-0000-0000508F0000}"/>
    <cellStyle name="Normal 3 4 3 2 2 5 2 2 3" xfId="43495" xr:uid="{00000000-0005-0000-0000-0000518F0000}"/>
    <cellStyle name="Normal 3 4 3 2 2 5 2 3" xfId="23143" xr:uid="{00000000-0005-0000-0000-0000528F0000}"/>
    <cellStyle name="Normal 3 4 3 2 2 5 2 3 2" xfId="50276" xr:uid="{00000000-0005-0000-0000-0000538F0000}"/>
    <cellStyle name="Normal 3 4 3 2 2 5 2 4" xfId="36714" xr:uid="{00000000-0005-0000-0000-0000548F0000}"/>
    <cellStyle name="Normal 3 4 3 2 2 5 3" xfId="12967" xr:uid="{00000000-0005-0000-0000-0000558F0000}"/>
    <cellStyle name="Normal 3 4 3 2 2 5 3 2" xfId="26535" xr:uid="{00000000-0005-0000-0000-0000568F0000}"/>
    <cellStyle name="Normal 3 4 3 2 2 5 3 2 2" xfId="53668" xr:uid="{00000000-0005-0000-0000-0000578F0000}"/>
    <cellStyle name="Normal 3 4 3 2 2 5 3 3" xfId="40106" xr:uid="{00000000-0005-0000-0000-0000588F0000}"/>
    <cellStyle name="Normal 3 4 3 2 2 5 4" xfId="19754" xr:uid="{00000000-0005-0000-0000-0000598F0000}"/>
    <cellStyle name="Normal 3 4 3 2 2 5 4 2" xfId="46887" xr:uid="{00000000-0005-0000-0000-00005A8F0000}"/>
    <cellStyle name="Normal 3 4 3 2 2 5 5" xfId="33325" xr:uid="{00000000-0005-0000-0000-00005B8F0000}"/>
    <cellStyle name="Normal 3 4 3 2 2 6" xfId="9559" xr:uid="{00000000-0005-0000-0000-00005C8F0000}"/>
    <cellStyle name="Normal 3 4 3 2 2 6 2" xfId="16349" xr:uid="{00000000-0005-0000-0000-00005D8F0000}"/>
    <cellStyle name="Normal 3 4 3 2 2 6 2 2" xfId="29917" xr:uid="{00000000-0005-0000-0000-00005E8F0000}"/>
    <cellStyle name="Normal 3 4 3 2 2 6 2 2 2" xfId="57050" xr:uid="{00000000-0005-0000-0000-00005F8F0000}"/>
    <cellStyle name="Normal 3 4 3 2 2 6 2 3" xfId="43488" xr:uid="{00000000-0005-0000-0000-0000608F0000}"/>
    <cellStyle name="Normal 3 4 3 2 2 6 3" xfId="23136" xr:uid="{00000000-0005-0000-0000-0000618F0000}"/>
    <cellStyle name="Normal 3 4 3 2 2 6 3 2" xfId="50269" xr:uid="{00000000-0005-0000-0000-0000628F0000}"/>
    <cellStyle name="Normal 3 4 3 2 2 6 4" xfId="36707" xr:uid="{00000000-0005-0000-0000-0000638F0000}"/>
    <cellStyle name="Normal 3 4 3 2 2 7" xfId="12960" xr:uid="{00000000-0005-0000-0000-0000648F0000}"/>
    <cellStyle name="Normal 3 4 3 2 2 7 2" xfId="26528" xr:uid="{00000000-0005-0000-0000-0000658F0000}"/>
    <cellStyle name="Normal 3 4 3 2 2 7 2 2" xfId="53661" xr:uid="{00000000-0005-0000-0000-0000668F0000}"/>
    <cellStyle name="Normal 3 4 3 2 2 7 3" xfId="40099" xr:uid="{00000000-0005-0000-0000-0000678F0000}"/>
    <cellStyle name="Normal 3 4 3 2 2 8" xfId="19747" xr:uid="{00000000-0005-0000-0000-0000688F0000}"/>
    <cellStyle name="Normal 3 4 3 2 2 8 2" xfId="46880" xr:uid="{00000000-0005-0000-0000-0000698F0000}"/>
    <cellStyle name="Normal 3 4 3 2 2 9" xfId="33318" xr:uid="{00000000-0005-0000-0000-00006A8F0000}"/>
    <cellStyle name="Normal 3 4 3 2 3" xfId="6024" xr:uid="{00000000-0005-0000-0000-00006B8F0000}"/>
    <cellStyle name="Normal 3 4 3 2 3 2" xfId="6025" xr:uid="{00000000-0005-0000-0000-00006C8F0000}"/>
    <cellStyle name="Normal 3 4 3 2 3 2 2" xfId="9568" xr:uid="{00000000-0005-0000-0000-00006D8F0000}"/>
    <cellStyle name="Normal 3 4 3 2 3 2 2 2" xfId="16358" xr:uid="{00000000-0005-0000-0000-00006E8F0000}"/>
    <cellStyle name="Normal 3 4 3 2 3 2 2 2 2" xfId="29926" xr:uid="{00000000-0005-0000-0000-00006F8F0000}"/>
    <cellStyle name="Normal 3 4 3 2 3 2 2 2 2 2" xfId="57059" xr:uid="{00000000-0005-0000-0000-0000708F0000}"/>
    <cellStyle name="Normal 3 4 3 2 3 2 2 2 3" xfId="43497" xr:uid="{00000000-0005-0000-0000-0000718F0000}"/>
    <cellStyle name="Normal 3 4 3 2 3 2 2 3" xfId="23145" xr:uid="{00000000-0005-0000-0000-0000728F0000}"/>
    <cellStyle name="Normal 3 4 3 2 3 2 2 3 2" xfId="50278" xr:uid="{00000000-0005-0000-0000-0000738F0000}"/>
    <cellStyle name="Normal 3 4 3 2 3 2 2 4" xfId="36716" xr:uid="{00000000-0005-0000-0000-0000748F0000}"/>
    <cellStyle name="Normal 3 4 3 2 3 2 3" xfId="12969" xr:uid="{00000000-0005-0000-0000-0000758F0000}"/>
    <cellStyle name="Normal 3 4 3 2 3 2 3 2" xfId="26537" xr:uid="{00000000-0005-0000-0000-0000768F0000}"/>
    <cellStyle name="Normal 3 4 3 2 3 2 3 2 2" xfId="53670" xr:uid="{00000000-0005-0000-0000-0000778F0000}"/>
    <cellStyle name="Normal 3 4 3 2 3 2 3 3" xfId="40108" xr:uid="{00000000-0005-0000-0000-0000788F0000}"/>
    <cellStyle name="Normal 3 4 3 2 3 2 4" xfId="19756" xr:uid="{00000000-0005-0000-0000-0000798F0000}"/>
    <cellStyle name="Normal 3 4 3 2 3 2 4 2" xfId="46889" xr:uid="{00000000-0005-0000-0000-00007A8F0000}"/>
    <cellStyle name="Normal 3 4 3 2 3 2 5" xfId="33327" xr:uid="{00000000-0005-0000-0000-00007B8F0000}"/>
    <cellStyle name="Normal 3 4 3 2 3 3" xfId="6026" xr:uid="{00000000-0005-0000-0000-00007C8F0000}"/>
    <cellStyle name="Normal 3 4 3 2 3 3 2" xfId="9569" xr:uid="{00000000-0005-0000-0000-00007D8F0000}"/>
    <cellStyle name="Normal 3 4 3 2 3 3 2 2" xfId="16359" xr:uid="{00000000-0005-0000-0000-00007E8F0000}"/>
    <cellStyle name="Normal 3 4 3 2 3 3 2 2 2" xfId="29927" xr:uid="{00000000-0005-0000-0000-00007F8F0000}"/>
    <cellStyle name="Normal 3 4 3 2 3 3 2 2 2 2" xfId="57060" xr:uid="{00000000-0005-0000-0000-0000808F0000}"/>
    <cellStyle name="Normal 3 4 3 2 3 3 2 2 3" xfId="43498" xr:uid="{00000000-0005-0000-0000-0000818F0000}"/>
    <cellStyle name="Normal 3 4 3 2 3 3 2 3" xfId="23146" xr:uid="{00000000-0005-0000-0000-0000828F0000}"/>
    <cellStyle name="Normal 3 4 3 2 3 3 2 3 2" xfId="50279" xr:uid="{00000000-0005-0000-0000-0000838F0000}"/>
    <cellStyle name="Normal 3 4 3 2 3 3 2 4" xfId="36717" xr:uid="{00000000-0005-0000-0000-0000848F0000}"/>
    <cellStyle name="Normal 3 4 3 2 3 3 3" xfId="12970" xr:uid="{00000000-0005-0000-0000-0000858F0000}"/>
    <cellStyle name="Normal 3 4 3 2 3 3 3 2" xfId="26538" xr:uid="{00000000-0005-0000-0000-0000868F0000}"/>
    <cellStyle name="Normal 3 4 3 2 3 3 3 2 2" xfId="53671" xr:uid="{00000000-0005-0000-0000-0000878F0000}"/>
    <cellStyle name="Normal 3 4 3 2 3 3 3 3" xfId="40109" xr:uid="{00000000-0005-0000-0000-0000888F0000}"/>
    <cellStyle name="Normal 3 4 3 2 3 3 4" xfId="19757" xr:uid="{00000000-0005-0000-0000-0000898F0000}"/>
    <cellStyle name="Normal 3 4 3 2 3 3 4 2" xfId="46890" xr:uid="{00000000-0005-0000-0000-00008A8F0000}"/>
    <cellStyle name="Normal 3 4 3 2 3 3 5" xfId="33328" xr:uid="{00000000-0005-0000-0000-00008B8F0000}"/>
    <cellStyle name="Normal 3 4 3 2 3 4" xfId="9567" xr:uid="{00000000-0005-0000-0000-00008C8F0000}"/>
    <cellStyle name="Normal 3 4 3 2 3 4 2" xfId="16357" xr:uid="{00000000-0005-0000-0000-00008D8F0000}"/>
    <cellStyle name="Normal 3 4 3 2 3 4 2 2" xfId="29925" xr:uid="{00000000-0005-0000-0000-00008E8F0000}"/>
    <cellStyle name="Normal 3 4 3 2 3 4 2 2 2" xfId="57058" xr:uid="{00000000-0005-0000-0000-00008F8F0000}"/>
    <cellStyle name="Normal 3 4 3 2 3 4 2 3" xfId="43496" xr:uid="{00000000-0005-0000-0000-0000908F0000}"/>
    <cellStyle name="Normal 3 4 3 2 3 4 3" xfId="23144" xr:uid="{00000000-0005-0000-0000-0000918F0000}"/>
    <cellStyle name="Normal 3 4 3 2 3 4 3 2" xfId="50277" xr:uid="{00000000-0005-0000-0000-0000928F0000}"/>
    <cellStyle name="Normal 3 4 3 2 3 4 4" xfId="36715" xr:uid="{00000000-0005-0000-0000-0000938F0000}"/>
    <cellStyle name="Normal 3 4 3 2 3 5" xfId="12968" xr:uid="{00000000-0005-0000-0000-0000948F0000}"/>
    <cellStyle name="Normal 3 4 3 2 3 5 2" xfId="26536" xr:uid="{00000000-0005-0000-0000-0000958F0000}"/>
    <cellStyle name="Normal 3 4 3 2 3 5 2 2" xfId="53669" xr:uid="{00000000-0005-0000-0000-0000968F0000}"/>
    <cellStyle name="Normal 3 4 3 2 3 5 3" xfId="40107" xr:uid="{00000000-0005-0000-0000-0000978F0000}"/>
    <cellStyle name="Normal 3 4 3 2 3 6" xfId="19755" xr:uid="{00000000-0005-0000-0000-0000988F0000}"/>
    <cellStyle name="Normal 3 4 3 2 3 6 2" xfId="46888" xr:uid="{00000000-0005-0000-0000-0000998F0000}"/>
    <cellStyle name="Normal 3 4 3 2 3 7" xfId="33326" xr:uid="{00000000-0005-0000-0000-00009A8F0000}"/>
    <cellStyle name="Normal 3 4 3 2 4" xfId="6027" xr:uid="{00000000-0005-0000-0000-00009B8F0000}"/>
    <cellStyle name="Normal 3 4 3 2 4 2" xfId="6028" xr:uid="{00000000-0005-0000-0000-00009C8F0000}"/>
    <cellStyle name="Normal 3 4 3 2 4 2 2" xfId="9571" xr:uid="{00000000-0005-0000-0000-00009D8F0000}"/>
    <cellStyle name="Normal 3 4 3 2 4 2 2 2" xfId="16361" xr:uid="{00000000-0005-0000-0000-00009E8F0000}"/>
    <cellStyle name="Normal 3 4 3 2 4 2 2 2 2" xfId="29929" xr:uid="{00000000-0005-0000-0000-00009F8F0000}"/>
    <cellStyle name="Normal 3 4 3 2 4 2 2 2 2 2" xfId="57062" xr:uid="{00000000-0005-0000-0000-0000A08F0000}"/>
    <cellStyle name="Normal 3 4 3 2 4 2 2 2 3" xfId="43500" xr:uid="{00000000-0005-0000-0000-0000A18F0000}"/>
    <cellStyle name="Normal 3 4 3 2 4 2 2 3" xfId="23148" xr:uid="{00000000-0005-0000-0000-0000A28F0000}"/>
    <cellStyle name="Normal 3 4 3 2 4 2 2 3 2" xfId="50281" xr:uid="{00000000-0005-0000-0000-0000A38F0000}"/>
    <cellStyle name="Normal 3 4 3 2 4 2 2 4" xfId="36719" xr:uid="{00000000-0005-0000-0000-0000A48F0000}"/>
    <cellStyle name="Normal 3 4 3 2 4 2 3" xfId="12972" xr:uid="{00000000-0005-0000-0000-0000A58F0000}"/>
    <cellStyle name="Normal 3 4 3 2 4 2 3 2" xfId="26540" xr:uid="{00000000-0005-0000-0000-0000A68F0000}"/>
    <cellStyle name="Normal 3 4 3 2 4 2 3 2 2" xfId="53673" xr:uid="{00000000-0005-0000-0000-0000A78F0000}"/>
    <cellStyle name="Normal 3 4 3 2 4 2 3 3" xfId="40111" xr:uid="{00000000-0005-0000-0000-0000A88F0000}"/>
    <cellStyle name="Normal 3 4 3 2 4 2 4" xfId="19759" xr:uid="{00000000-0005-0000-0000-0000A98F0000}"/>
    <cellStyle name="Normal 3 4 3 2 4 2 4 2" xfId="46892" xr:uid="{00000000-0005-0000-0000-0000AA8F0000}"/>
    <cellStyle name="Normal 3 4 3 2 4 2 5" xfId="33330" xr:uid="{00000000-0005-0000-0000-0000AB8F0000}"/>
    <cellStyle name="Normal 3 4 3 2 4 3" xfId="9570" xr:uid="{00000000-0005-0000-0000-0000AC8F0000}"/>
    <cellStyle name="Normal 3 4 3 2 4 3 2" xfId="16360" xr:uid="{00000000-0005-0000-0000-0000AD8F0000}"/>
    <cellStyle name="Normal 3 4 3 2 4 3 2 2" xfId="29928" xr:uid="{00000000-0005-0000-0000-0000AE8F0000}"/>
    <cellStyle name="Normal 3 4 3 2 4 3 2 2 2" xfId="57061" xr:uid="{00000000-0005-0000-0000-0000AF8F0000}"/>
    <cellStyle name="Normal 3 4 3 2 4 3 2 3" xfId="43499" xr:uid="{00000000-0005-0000-0000-0000B08F0000}"/>
    <cellStyle name="Normal 3 4 3 2 4 3 3" xfId="23147" xr:uid="{00000000-0005-0000-0000-0000B18F0000}"/>
    <cellStyle name="Normal 3 4 3 2 4 3 3 2" xfId="50280" xr:uid="{00000000-0005-0000-0000-0000B28F0000}"/>
    <cellStyle name="Normal 3 4 3 2 4 3 4" xfId="36718" xr:uid="{00000000-0005-0000-0000-0000B38F0000}"/>
    <cellStyle name="Normal 3 4 3 2 4 4" xfId="12971" xr:uid="{00000000-0005-0000-0000-0000B48F0000}"/>
    <cellStyle name="Normal 3 4 3 2 4 4 2" xfId="26539" xr:uid="{00000000-0005-0000-0000-0000B58F0000}"/>
    <cellStyle name="Normal 3 4 3 2 4 4 2 2" xfId="53672" xr:uid="{00000000-0005-0000-0000-0000B68F0000}"/>
    <cellStyle name="Normal 3 4 3 2 4 4 3" xfId="40110" xr:uid="{00000000-0005-0000-0000-0000B78F0000}"/>
    <cellStyle name="Normal 3 4 3 2 4 5" xfId="19758" xr:uid="{00000000-0005-0000-0000-0000B88F0000}"/>
    <cellStyle name="Normal 3 4 3 2 4 5 2" xfId="46891" xr:uid="{00000000-0005-0000-0000-0000B98F0000}"/>
    <cellStyle name="Normal 3 4 3 2 4 6" xfId="33329" xr:uid="{00000000-0005-0000-0000-0000BA8F0000}"/>
    <cellStyle name="Normal 3 4 3 2 5" xfId="6029" xr:uid="{00000000-0005-0000-0000-0000BB8F0000}"/>
    <cellStyle name="Normal 3 4 3 2 5 2" xfId="9572" xr:uid="{00000000-0005-0000-0000-0000BC8F0000}"/>
    <cellStyle name="Normal 3 4 3 2 5 2 2" xfId="16362" xr:uid="{00000000-0005-0000-0000-0000BD8F0000}"/>
    <cellStyle name="Normal 3 4 3 2 5 2 2 2" xfId="29930" xr:uid="{00000000-0005-0000-0000-0000BE8F0000}"/>
    <cellStyle name="Normal 3 4 3 2 5 2 2 2 2" xfId="57063" xr:uid="{00000000-0005-0000-0000-0000BF8F0000}"/>
    <cellStyle name="Normal 3 4 3 2 5 2 2 3" xfId="43501" xr:uid="{00000000-0005-0000-0000-0000C08F0000}"/>
    <cellStyle name="Normal 3 4 3 2 5 2 3" xfId="23149" xr:uid="{00000000-0005-0000-0000-0000C18F0000}"/>
    <cellStyle name="Normal 3 4 3 2 5 2 3 2" xfId="50282" xr:uid="{00000000-0005-0000-0000-0000C28F0000}"/>
    <cellStyle name="Normal 3 4 3 2 5 2 4" xfId="36720" xr:uid="{00000000-0005-0000-0000-0000C38F0000}"/>
    <cellStyle name="Normal 3 4 3 2 5 3" xfId="12973" xr:uid="{00000000-0005-0000-0000-0000C48F0000}"/>
    <cellStyle name="Normal 3 4 3 2 5 3 2" xfId="26541" xr:uid="{00000000-0005-0000-0000-0000C58F0000}"/>
    <cellStyle name="Normal 3 4 3 2 5 3 2 2" xfId="53674" xr:uid="{00000000-0005-0000-0000-0000C68F0000}"/>
    <cellStyle name="Normal 3 4 3 2 5 3 3" xfId="40112" xr:uid="{00000000-0005-0000-0000-0000C78F0000}"/>
    <cellStyle name="Normal 3 4 3 2 5 4" xfId="19760" xr:uid="{00000000-0005-0000-0000-0000C88F0000}"/>
    <cellStyle name="Normal 3 4 3 2 5 4 2" xfId="46893" xr:uid="{00000000-0005-0000-0000-0000C98F0000}"/>
    <cellStyle name="Normal 3 4 3 2 5 5" xfId="33331" xr:uid="{00000000-0005-0000-0000-0000CA8F0000}"/>
    <cellStyle name="Normal 3 4 3 2 6" xfId="6030" xr:uid="{00000000-0005-0000-0000-0000CB8F0000}"/>
    <cellStyle name="Normal 3 4 3 2 6 2" xfId="9573" xr:uid="{00000000-0005-0000-0000-0000CC8F0000}"/>
    <cellStyle name="Normal 3 4 3 2 6 2 2" xfId="16363" xr:uid="{00000000-0005-0000-0000-0000CD8F0000}"/>
    <cellStyle name="Normal 3 4 3 2 6 2 2 2" xfId="29931" xr:uid="{00000000-0005-0000-0000-0000CE8F0000}"/>
    <cellStyle name="Normal 3 4 3 2 6 2 2 2 2" xfId="57064" xr:uid="{00000000-0005-0000-0000-0000CF8F0000}"/>
    <cellStyle name="Normal 3 4 3 2 6 2 2 3" xfId="43502" xr:uid="{00000000-0005-0000-0000-0000D08F0000}"/>
    <cellStyle name="Normal 3 4 3 2 6 2 3" xfId="23150" xr:uid="{00000000-0005-0000-0000-0000D18F0000}"/>
    <cellStyle name="Normal 3 4 3 2 6 2 3 2" xfId="50283" xr:uid="{00000000-0005-0000-0000-0000D28F0000}"/>
    <cellStyle name="Normal 3 4 3 2 6 2 4" xfId="36721" xr:uid="{00000000-0005-0000-0000-0000D38F0000}"/>
    <cellStyle name="Normal 3 4 3 2 6 3" xfId="12974" xr:uid="{00000000-0005-0000-0000-0000D48F0000}"/>
    <cellStyle name="Normal 3 4 3 2 6 3 2" xfId="26542" xr:uid="{00000000-0005-0000-0000-0000D58F0000}"/>
    <cellStyle name="Normal 3 4 3 2 6 3 2 2" xfId="53675" xr:uid="{00000000-0005-0000-0000-0000D68F0000}"/>
    <cellStyle name="Normal 3 4 3 2 6 3 3" xfId="40113" xr:uid="{00000000-0005-0000-0000-0000D78F0000}"/>
    <cellStyle name="Normal 3 4 3 2 6 4" xfId="19761" xr:uid="{00000000-0005-0000-0000-0000D88F0000}"/>
    <cellStyle name="Normal 3 4 3 2 6 4 2" xfId="46894" xr:uid="{00000000-0005-0000-0000-0000D98F0000}"/>
    <cellStyle name="Normal 3 4 3 2 6 5" xfId="33332" xr:uid="{00000000-0005-0000-0000-0000DA8F0000}"/>
    <cellStyle name="Normal 3 4 3 2 7" xfId="7524" xr:uid="{00000000-0005-0000-0000-0000DB8F0000}"/>
    <cellStyle name="Normal 3 4 3 2 7 2" xfId="14314" xr:uid="{00000000-0005-0000-0000-0000DC8F0000}"/>
    <cellStyle name="Normal 3 4 3 2 7 2 2" xfId="27882" xr:uid="{00000000-0005-0000-0000-0000DD8F0000}"/>
    <cellStyle name="Normal 3 4 3 2 7 2 2 2" xfId="55015" xr:uid="{00000000-0005-0000-0000-0000DE8F0000}"/>
    <cellStyle name="Normal 3 4 3 2 7 2 3" xfId="41453" xr:uid="{00000000-0005-0000-0000-0000DF8F0000}"/>
    <cellStyle name="Normal 3 4 3 2 7 3" xfId="21101" xr:uid="{00000000-0005-0000-0000-0000E08F0000}"/>
    <cellStyle name="Normal 3 4 3 2 7 3 2" xfId="48234" xr:uid="{00000000-0005-0000-0000-0000E18F0000}"/>
    <cellStyle name="Normal 3 4 3 2 7 4" xfId="34672" xr:uid="{00000000-0005-0000-0000-0000E28F0000}"/>
    <cellStyle name="Normal 3 4 3 2 8" xfId="10925" xr:uid="{00000000-0005-0000-0000-0000E38F0000}"/>
    <cellStyle name="Normal 3 4 3 2 8 2" xfId="24493" xr:uid="{00000000-0005-0000-0000-0000E48F0000}"/>
    <cellStyle name="Normal 3 4 3 2 8 2 2" xfId="51626" xr:uid="{00000000-0005-0000-0000-0000E58F0000}"/>
    <cellStyle name="Normal 3 4 3 2 8 3" xfId="38064" xr:uid="{00000000-0005-0000-0000-0000E68F0000}"/>
    <cellStyle name="Normal 3 4 3 2 9" xfId="17712" xr:uid="{00000000-0005-0000-0000-0000E78F0000}"/>
    <cellStyle name="Normal 3 4 3 2 9 2" xfId="44845" xr:uid="{00000000-0005-0000-0000-0000E88F0000}"/>
    <cellStyle name="Normal 3 4 3 3" xfId="6031" xr:uid="{00000000-0005-0000-0000-0000E98F0000}"/>
    <cellStyle name="Normal 3 4 3 3 2" xfId="6032" xr:uid="{00000000-0005-0000-0000-0000EA8F0000}"/>
    <cellStyle name="Normal 3 4 3 3 2 2" xfId="6033" xr:uid="{00000000-0005-0000-0000-0000EB8F0000}"/>
    <cellStyle name="Normal 3 4 3 3 2 2 2" xfId="9576" xr:uid="{00000000-0005-0000-0000-0000EC8F0000}"/>
    <cellStyle name="Normal 3 4 3 3 2 2 2 2" xfId="16366" xr:uid="{00000000-0005-0000-0000-0000ED8F0000}"/>
    <cellStyle name="Normal 3 4 3 3 2 2 2 2 2" xfId="29934" xr:uid="{00000000-0005-0000-0000-0000EE8F0000}"/>
    <cellStyle name="Normal 3 4 3 3 2 2 2 2 2 2" xfId="57067" xr:uid="{00000000-0005-0000-0000-0000EF8F0000}"/>
    <cellStyle name="Normal 3 4 3 3 2 2 2 2 3" xfId="43505" xr:uid="{00000000-0005-0000-0000-0000F08F0000}"/>
    <cellStyle name="Normal 3 4 3 3 2 2 2 3" xfId="23153" xr:uid="{00000000-0005-0000-0000-0000F18F0000}"/>
    <cellStyle name="Normal 3 4 3 3 2 2 2 3 2" xfId="50286" xr:uid="{00000000-0005-0000-0000-0000F28F0000}"/>
    <cellStyle name="Normal 3 4 3 3 2 2 2 4" xfId="36724" xr:uid="{00000000-0005-0000-0000-0000F38F0000}"/>
    <cellStyle name="Normal 3 4 3 3 2 2 3" xfId="12977" xr:uid="{00000000-0005-0000-0000-0000F48F0000}"/>
    <cellStyle name="Normal 3 4 3 3 2 2 3 2" xfId="26545" xr:uid="{00000000-0005-0000-0000-0000F58F0000}"/>
    <cellStyle name="Normal 3 4 3 3 2 2 3 2 2" xfId="53678" xr:uid="{00000000-0005-0000-0000-0000F68F0000}"/>
    <cellStyle name="Normal 3 4 3 3 2 2 3 3" xfId="40116" xr:uid="{00000000-0005-0000-0000-0000F78F0000}"/>
    <cellStyle name="Normal 3 4 3 3 2 2 4" xfId="19764" xr:uid="{00000000-0005-0000-0000-0000F88F0000}"/>
    <cellStyle name="Normal 3 4 3 3 2 2 4 2" xfId="46897" xr:uid="{00000000-0005-0000-0000-0000F98F0000}"/>
    <cellStyle name="Normal 3 4 3 3 2 2 5" xfId="33335" xr:uid="{00000000-0005-0000-0000-0000FA8F0000}"/>
    <cellStyle name="Normal 3 4 3 3 2 3" xfId="6034" xr:uid="{00000000-0005-0000-0000-0000FB8F0000}"/>
    <cellStyle name="Normal 3 4 3 3 2 3 2" xfId="9577" xr:uid="{00000000-0005-0000-0000-0000FC8F0000}"/>
    <cellStyle name="Normal 3 4 3 3 2 3 2 2" xfId="16367" xr:uid="{00000000-0005-0000-0000-0000FD8F0000}"/>
    <cellStyle name="Normal 3 4 3 3 2 3 2 2 2" xfId="29935" xr:uid="{00000000-0005-0000-0000-0000FE8F0000}"/>
    <cellStyle name="Normal 3 4 3 3 2 3 2 2 2 2" xfId="57068" xr:uid="{00000000-0005-0000-0000-0000FF8F0000}"/>
    <cellStyle name="Normal 3 4 3 3 2 3 2 2 3" xfId="43506" xr:uid="{00000000-0005-0000-0000-000000900000}"/>
    <cellStyle name="Normal 3 4 3 3 2 3 2 3" xfId="23154" xr:uid="{00000000-0005-0000-0000-000001900000}"/>
    <cellStyle name="Normal 3 4 3 3 2 3 2 3 2" xfId="50287" xr:uid="{00000000-0005-0000-0000-000002900000}"/>
    <cellStyle name="Normal 3 4 3 3 2 3 2 4" xfId="36725" xr:uid="{00000000-0005-0000-0000-000003900000}"/>
    <cellStyle name="Normal 3 4 3 3 2 3 3" xfId="12978" xr:uid="{00000000-0005-0000-0000-000004900000}"/>
    <cellStyle name="Normal 3 4 3 3 2 3 3 2" xfId="26546" xr:uid="{00000000-0005-0000-0000-000005900000}"/>
    <cellStyle name="Normal 3 4 3 3 2 3 3 2 2" xfId="53679" xr:uid="{00000000-0005-0000-0000-000006900000}"/>
    <cellStyle name="Normal 3 4 3 3 2 3 3 3" xfId="40117" xr:uid="{00000000-0005-0000-0000-000007900000}"/>
    <cellStyle name="Normal 3 4 3 3 2 3 4" xfId="19765" xr:uid="{00000000-0005-0000-0000-000008900000}"/>
    <cellStyle name="Normal 3 4 3 3 2 3 4 2" xfId="46898" xr:uid="{00000000-0005-0000-0000-000009900000}"/>
    <cellStyle name="Normal 3 4 3 3 2 3 5" xfId="33336" xr:uid="{00000000-0005-0000-0000-00000A900000}"/>
    <cellStyle name="Normal 3 4 3 3 2 4" xfId="9575" xr:uid="{00000000-0005-0000-0000-00000B900000}"/>
    <cellStyle name="Normal 3 4 3 3 2 4 2" xfId="16365" xr:uid="{00000000-0005-0000-0000-00000C900000}"/>
    <cellStyle name="Normal 3 4 3 3 2 4 2 2" xfId="29933" xr:uid="{00000000-0005-0000-0000-00000D900000}"/>
    <cellStyle name="Normal 3 4 3 3 2 4 2 2 2" xfId="57066" xr:uid="{00000000-0005-0000-0000-00000E900000}"/>
    <cellStyle name="Normal 3 4 3 3 2 4 2 3" xfId="43504" xr:uid="{00000000-0005-0000-0000-00000F900000}"/>
    <cellStyle name="Normal 3 4 3 3 2 4 3" xfId="23152" xr:uid="{00000000-0005-0000-0000-000010900000}"/>
    <cellStyle name="Normal 3 4 3 3 2 4 3 2" xfId="50285" xr:uid="{00000000-0005-0000-0000-000011900000}"/>
    <cellStyle name="Normal 3 4 3 3 2 4 4" xfId="36723" xr:uid="{00000000-0005-0000-0000-000012900000}"/>
    <cellStyle name="Normal 3 4 3 3 2 5" xfId="12976" xr:uid="{00000000-0005-0000-0000-000013900000}"/>
    <cellStyle name="Normal 3 4 3 3 2 5 2" xfId="26544" xr:uid="{00000000-0005-0000-0000-000014900000}"/>
    <cellStyle name="Normal 3 4 3 3 2 5 2 2" xfId="53677" xr:uid="{00000000-0005-0000-0000-000015900000}"/>
    <cellStyle name="Normal 3 4 3 3 2 5 3" xfId="40115" xr:uid="{00000000-0005-0000-0000-000016900000}"/>
    <cellStyle name="Normal 3 4 3 3 2 6" xfId="19763" xr:uid="{00000000-0005-0000-0000-000017900000}"/>
    <cellStyle name="Normal 3 4 3 3 2 6 2" xfId="46896" xr:uid="{00000000-0005-0000-0000-000018900000}"/>
    <cellStyle name="Normal 3 4 3 3 2 7" xfId="33334" xr:uid="{00000000-0005-0000-0000-000019900000}"/>
    <cellStyle name="Normal 3 4 3 3 3" xfId="6035" xr:uid="{00000000-0005-0000-0000-00001A900000}"/>
    <cellStyle name="Normal 3 4 3 3 3 2" xfId="6036" xr:uid="{00000000-0005-0000-0000-00001B900000}"/>
    <cellStyle name="Normal 3 4 3 3 3 2 2" xfId="9579" xr:uid="{00000000-0005-0000-0000-00001C900000}"/>
    <cellStyle name="Normal 3 4 3 3 3 2 2 2" xfId="16369" xr:uid="{00000000-0005-0000-0000-00001D900000}"/>
    <cellStyle name="Normal 3 4 3 3 3 2 2 2 2" xfId="29937" xr:uid="{00000000-0005-0000-0000-00001E900000}"/>
    <cellStyle name="Normal 3 4 3 3 3 2 2 2 2 2" xfId="57070" xr:uid="{00000000-0005-0000-0000-00001F900000}"/>
    <cellStyle name="Normal 3 4 3 3 3 2 2 2 3" xfId="43508" xr:uid="{00000000-0005-0000-0000-000020900000}"/>
    <cellStyle name="Normal 3 4 3 3 3 2 2 3" xfId="23156" xr:uid="{00000000-0005-0000-0000-000021900000}"/>
    <cellStyle name="Normal 3 4 3 3 3 2 2 3 2" xfId="50289" xr:uid="{00000000-0005-0000-0000-000022900000}"/>
    <cellStyle name="Normal 3 4 3 3 3 2 2 4" xfId="36727" xr:uid="{00000000-0005-0000-0000-000023900000}"/>
    <cellStyle name="Normal 3 4 3 3 3 2 3" xfId="12980" xr:uid="{00000000-0005-0000-0000-000024900000}"/>
    <cellStyle name="Normal 3 4 3 3 3 2 3 2" xfId="26548" xr:uid="{00000000-0005-0000-0000-000025900000}"/>
    <cellStyle name="Normal 3 4 3 3 3 2 3 2 2" xfId="53681" xr:uid="{00000000-0005-0000-0000-000026900000}"/>
    <cellStyle name="Normal 3 4 3 3 3 2 3 3" xfId="40119" xr:uid="{00000000-0005-0000-0000-000027900000}"/>
    <cellStyle name="Normal 3 4 3 3 3 2 4" xfId="19767" xr:uid="{00000000-0005-0000-0000-000028900000}"/>
    <cellStyle name="Normal 3 4 3 3 3 2 4 2" xfId="46900" xr:uid="{00000000-0005-0000-0000-000029900000}"/>
    <cellStyle name="Normal 3 4 3 3 3 2 5" xfId="33338" xr:uid="{00000000-0005-0000-0000-00002A900000}"/>
    <cellStyle name="Normal 3 4 3 3 3 3" xfId="9578" xr:uid="{00000000-0005-0000-0000-00002B900000}"/>
    <cellStyle name="Normal 3 4 3 3 3 3 2" xfId="16368" xr:uid="{00000000-0005-0000-0000-00002C900000}"/>
    <cellStyle name="Normal 3 4 3 3 3 3 2 2" xfId="29936" xr:uid="{00000000-0005-0000-0000-00002D900000}"/>
    <cellStyle name="Normal 3 4 3 3 3 3 2 2 2" xfId="57069" xr:uid="{00000000-0005-0000-0000-00002E900000}"/>
    <cellStyle name="Normal 3 4 3 3 3 3 2 3" xfId="43507" xr:uid="{00000000-0005-0000-0000-00002F900000}"/>
    <cellStyle name="Normal 3 4 3 3 3 3 3" xfId="23155" xr:uid="{00000000-0005-0000-0000-000030900000}"/>
    <cellStyle name="Normal 3 4 3 3 3 3 3 2" xfId="50288" xr:uid="{00000000-0005-0000-0000-000031900000}"/>
    <cellStyle name="Normal 3 4 3 3 3 3 4" xfId="36726" xr:uid="{00000000-0005-0000-0000-000032900000}"/>
    <cellStyle name="Normal 3 4 3 3 3 4" xfId="12979" xr:uid="{00000000-0005-0000-0000-000033900000}"/>
    <cellStyle name="Normal 3 4 3 3 3 4 2" xfId="26547" xr:uid="{00000000-0005-0000-0000-000034900000}"/>
    <cellStyle name="Normal 3 4 3 3 3 4 2 2" xfId="53680" xr:uid="{00000000-0005-0000-0000-000035900000}"/>
    <cellStyle name="Normal 3 4 3 3 3 4 3" xfId="40118" xr:uid="{00000000-0005-0000-0000-000036900000}"/>
    <cellStyle name="Normal 3 4 3 3 3 5" xfId="19766" xr:uid="{00000000-0005-0000-0000-000037900000}"/>
    <cellStyle name="Normal 3 4 3 3 3 5 2" xfId="46899" xr:uid="{00000000-0005-0000-0000-000038900000}"/>
    <cellStyle name="Normal 3 4 3 3 3 6" xfId="33337" xr:uid="{00000000-0005-0000-0000-000039900000}"/>
    <cellStyle name="Normal 3 4 3 3 4" xfId="6037" xr:uid="{00000000-0005-0000-0000-00003A900000}"/>
    <cellStyle name="Normal 3 4 3 3 4 2" xfId="9580" xr:uid="{00000000-0005-0000-0000-00003B900000}"/>
    <cellStyle name="Normal 3 4 3 3 4 2 2" xfId="16370" xr:uid="{00000000-0005-0000-0000-00003C900000}"/>
    <cellStyle name="Normal 3 4 3 3 4 2 2 2" xfId="29938" xr:uid="{00000000-0005-0000-0000-00003D900000}"/>
    <cellStyle name="Normal 3 4 3 3 4 2 2 2 2" xfId="57071" xr:uid="{00000000-0005-0000-0000-00003E900000}"/>
    <cellStyle name="Normal 3 4 3 3 4 2 2 3" xfId="43509" xr:uid="{00000000-0005-0000-0000-00003F900000}"/>
    <cellStyle name="Normal 3 4 3 3 4 2 3" xfId="23157" xr:uid="{00000000-0005-0000-0000-000040900000}"/>
    <cellStyle name="Normal 3 4 3 3 4 2 3 2" xfId="50290" xr:uid="{00000000-0005-0000-0000-000041900000}"/>
    <cellStyle name="Normal 3 4 3 3 4 2 4" xfId="36728" xr:uid="{00000000-0005-0000-0000-000042900000}"/>
    <cellStyle name="Normal 3 4 3 3 4 3" xfId="12981" xr:uid="{00000000-0005-0000-0000-000043900000}"/>
    <cellStyle name="Normal 3 4 3 3 4 3 2" xfId="26549" xr:uid="{00000000-0005-0000-0000-000044900000}"/>
    <cellStyle name="Normal 3 4 3 3 4 3 2 2" xfId="53682" xr:uid="{00000000-0005-0000-0000-000045900000}"/>
    <cellStyle name="Normal 3 4 3 3 4 3 3" xfId="40120" xr:uid="{00000000-0005-0000-0000-000046900000}"/>
    <cellStyle name="Normal 3 4 3 3 4 4" xfId="19768" xr:uid="{00000000-0005-0000-0000-000047900000}"/>
    <cellStyle name="Normal 3 4 3 3 4 4 2" xfId="46901" xr:uid="{00000000-0005-0000-0000-000048900000}"/>
    <cellStyle name="Normal 3 4 3 3 4 5" xfId="33339" xr:uid="{00000000-0005-0000-0000-000049900000}"/>
    <cellStyle name="Normal 3 4 3 3 5" xfId="6038" xr:uid="{00000000-0005-0000-0000-00004A900000}"/>
    <cellStyle name="Normal 3 4 3 3 5 2" xfId="9581" xr:uid="{00000000-0005-0000-0000-00004B900000}"/>
    <cellStyle name="Normal 3 4 3 3 5 2 2" xfId="16371" xr:uid="{00000000-0005-0000-0000-00004C900000}"/>
    <cellStyle name="Normal 3 4 3 3 5 2 2 2" xfId="29939" xr:uid="{00000000-0005-0000-0000-00004D900000}"/>
    <cellStyle name="Normal 3 4 3 3 5 2 2 2 2" xfId="57072" xr:uid="{00000000-0005-0000-0000-00004E900000}"/>
    <cellStyle name="Normal 3 4 3 3 5 2 2 3" xfId="43510" xr:uid="{00000000-0005-0000-0000-00004F900000}"/>
    <cellStyle name="Normal 3 4 3 3 5 2 3" xfId="23158" xr:uid="{00000000-0005-0000-0000-000050900000}"/>
    <cellStyle name="Normal 3 4 3 3 5 2 3 2" xfId="50291" xr:uid="{00000000-0005-0000-0000-000051900000}"/>
    <cellStyle name="Normal 3 4 3 3 5 2 4" xfId="36729" xr:uid="{00000000-0005-0000-0000-000052900000}"/>
    <cellStyle name="Normal 3 4 3 3 5 3" xfId="12982" xr:uid="{00000000-0005-0000-0000-000053900000}"/>
    <cellStyle name="Normal 3 4 3 3 5 3 2" xfId="26550" xr:uid="{00000000-0005-0000-0000-000054900000}"/>
    <cellStyle name="Normal 3 4 3 3 5 3 2 2" xfId="53683" xr:uid="{00000000-0005-0000-0000-000055900000}"/>
    <cellStyle name="Normal 3 4 3 3 5 3 3" xfId="40121" xr:uid="{00000000-0005-0000-0000-000056900000}"/>
    <cellStyle name="Normal 3 4 3 3 5 4" xfId="19769" xr:uid="{00000000-0005-0000-0000-000057900000}"/>
    <cellStyle name="Normal 3 4 3 3 5 4 2" xfId="46902" xr:uid="{00000000-0005-0000-0000-000058900000}"/>
    <cellStyle name="Normal 3 4 3 3 5 5" xfId="33340" xr:uid="{00000000-0005-0000-0000-000059900000}"/>
    <cellStyle name="Normal 3 4 3 3 6" xfId="9574" xr:uid="{00000000-0005-0000-0000-00005A900000}"/>
    <cellStyle name="Normal 3 4 3 3 6 2" xfId="16364" xr:uid="{00000000-0005-0000-0000-00005B900000}"/>
    <cellStyle name="Normal 3 4 3 3 6 2 2" xfId="29932" xr:uid="{00000000-0005-0000-0000-00005C900000}"/>
    <cellStyle name="Normal 3 4 3 3 6 2 2 2" xfId="57065" xr:uid="{00000000-0005-0000-0000-00005D900000}"/>
    <cellStyle name="Normal 3 4 3 3 6 2 3" xfId="43503" xr:uid="{00000000-0005-0000-0000-00005E900000}"/>
    <cellStyle name="Normal 3 4 3 3 6 3" xfId="23151" xr:uid="{00000000-0005-0000-0000-00005F900000}"/>
    <cellStyle name="Normal 3 4 3 3 6 3 2" xfId="50284" xr:uid="{00000000-0005-0000-0000-000060900000}"/>
    <cellStyle name="Normal 3 4 3 3 6 4" xfId="36722" xr:uid="{00000000-0005-0000-0000-000061900000}"/>
    <cellStyle name="Normal 3 4 3 3 7" xfId="12975" xr:uid="{00000000-0005-0000-0000-000062900000}"/>
    <cellStyle name="Normal 3 4 3 3 7 2" xfId="26543" xr:uid="{00000000-0005-0000-0000-000063900000}"/>
    <cellStyle name="Normal 3 4 3 3 7 2 2" xfId="53676" xr:uid="{00000000-0005-0000-0000-000064900000}"/>
    <cellStyle name="Normal 3 4 3 3 7 3" xfId="40114" xr:uid="{00000000-0005-0000-0000-000065900000}"/>
    <cellStyle name="Normal 3 4 3 3 8" xfId="19762" xr:uid="{00000000-0005-0000-0000-000066900000}"/>
    <cellStyle name="Normal 3 4 3 3 8 2" xfId="46895" xr:uid="{00000000-0005-0000-0000-000067900000}"/>
    <cellStyle name="Normal 3 4 3 3 9" xfId="33333" xr:uid="{00000000-0005-0000-0000-000068900000}"/>
    <cellStyle name="Normal 3 4 3 4" xfId="6039" xr:uid="{00000000-0005-0000-0000-000069900000}"/>
    <cellStyle name="Normal 3 4 3 4 2" xfId="6040" xr:uid="{00000000-0005-0000-0000-00006A900000}"/>
    <cellStyle name="Normal 3 4 3 4 2 2" xfId="6041" xr:uid="{00000000-0005-0000-0000-00006B900000}"/>
    <cellStyle name="Normal 3 4 3 4 2 2 2" xfId="9584" xr:uid="{00000000-0005-0000-0000-00006C900000}"/>
    <cellStyle name="Normal 3 4 3 4 2 2 2 2" xfId="16374" xr:uid="{00000000-0005-0000-0000-00006D900000}"/>
    <cellStyle name="Normal 3 4 3 4 2 2 2 2 2" xfId="29942" xr:uid="{00000000-0005-0000-0000-00006E900000}"/>
    <cellStyle name="Normal 3 4 3 4 2 2 2 2 2 2" xfId="57075" xr:uid="{00000000-0005-0000-0000-00006F900000}"/>
    <cellStyle name="Normal 3 4 3 4 2 2 2 2 3" xfId="43513" xr:uid="{00000000-0005-0000-0000-000070900000}"/>
    <cellStyle name="Normal 3 4 3 4 2 2 2 3" xfId="23161" xr:uid="{00000000-0005-0000-0000-000071900000}"/>
    <cellStyle name="Normal 3 4 3 4 2 2 2 3 2" xfId="50294" xr:uid="{00000000-0005-0000-0000-000072900000}"/>
    <cellStyle name="Normal 3 4 3 4 2 2 2 4" xfId="36732" xr:uid="{00000000-0005-0000-0000-000073900000}"/>
    <cellStyle name="Normal 3 4 3 4 2 2 3" xfId="12985" xr:uid="{00000000-0005-0000-0000-000074900000}"/>
    <cellStyle name="Normal 3 4 3 4 2 2 3 2" xfId="26553" xr:uid="{00000000-0005-0000-0000-000075900000}"/>
    <cellStyle name="Normal 3 4 3 4 2 2 3 2 2" xfId="53686" xr:uid="{00000000-0005-0000-0000-000076900000}"/>
    <cellStyle name="Normal 3 4 3 4 2 2 3 3" xfId="40124" xr:uid="{00000000-0005-0000-0000-000077900000}"/>
    <cellStyle name="Normal 3 4 3 4 2 2 4" xfId="19772" xr:uid="{00000000-0005-0000-0000-000078900000}"/>
    <cellStyle name="Normal 3 4 3 4 2 2 4 2" xfId="46905" xr:uid="{00000000-0005-0000-0000-000079900000}"/>
    <cellStyle name="Normal 3 4 3 4 2 2 5" xfId="33343" xr:uid="{00000000-0005-0000-0000-00007A900000}"/>
    <cellStyle name="Normal 3 4 3 4 2 3" xfId="6042" xr:uid="{00000000-0005-0000-0000-00007B900000}"/>
    <cellStyle name="Normal 3 4 3 4 2 3 2" xfId="9585" xr:uid="{00000000-0005-0000-0000-00007C900000}"/>
    <cellStyle name="Normal 3 4 3 4 2 3 2 2" xfId="16375" xr:uid="{00000000-0005-0000-0000-00007D900000}"/>
    <cellStyle name="Normal 3 4 3 4 2 3 2 2 2" xfId="29943" xr:uid="{00000000-0005-0000-0000-00007E900000}"/>
    <cellStyle name="Normal 3 4 3 4 2 3 2 2 2 2" xfId="57076" xr:uid="{00000000-0005-0000-0000-00007F900000}"/>
    <cellStyle name="Normal 3 4 3 4 2 3 2 2 3" xfId="43514" xr:uid="{00000000-0005-0000-0000-000080900000}"/>
    <cellStyle name="Normal 3 4 3 4 2 3 2 3" xfId="23162" xr:uid="{00000000-0005-0000-0000-000081900000}"/>
    <cellStyle name="Normal 3 4 3 4 2 3 2 3 2" xfId="50295" xr:uid="{00000000-0005-0000-0000-000082900000}"/>
    <cellStyle name="Normal 3 4 3 4 2 3 2 4" xfId="36733" xr:uid="{00000000-0005-0000-0000-000083900000}"/>
    <cellStyle name="Normal 3 4 3 4 2 3 3" xfId="12986" xr:uid="{00000000-0005-0000-0000-000084900000}"/>
    <cellStyle name="Normal 3 4 3 4 2 3 3 2" xfId="26554" xr:uid="{00000000-0005-0000-0000-000085900000}"/>
    <cellStyle name="Normal 3 4 3 4 2 3 3 2 2" xfId="53687" xr:uid="{00000000-0005-0000-0000-000086900000}"/>
    <cellStyle name="Normal 3 4 3 4 2 3 3 3" xfId="40125" xr:uid="{00000000-0005-0000-0000-000087900000}"/>
    <cellStyle name="Normal 3 4 3 4 2 3 4" xfId="19773" xr:uid="{00000000-0005-0000-0000-000088900000}"/>
    <cellStyle name="Normal 3 4 3 4 2 3 4 2" xfId="46906" xr:uid="{00000000-0005-0000-0000-000089900000}"/>
    <cellStyle name="Normal 3 4 3 4 2 3 5" xfId="33344" xr:uid="{00000000-0005-0000-0000-00008A900000}"/>
    <cellStyle name="Normal 3 4 3 4 2 4" xfId="9583" xr:uid="{00000000-0005-0000-0000-00008B900000}"/>
    <cellStyle name="Normal 3 4 3 4 2 4 2" xfId="16373" xr:uid="{00000000-0005-0000-0000-00008C900000}"/>
    <cellStyle name="Normal 3 4 3 4 2 4 2 2" xfId="29941" xr:uid="{00000000-0005-0000-0000-00008D900000}"/>
    <cellStyle name="Normal 3 4 3 4 2 4 2 2 2" xfId="57074" xr:uid="{00000000-0005-0000-0000-00008E900000}"/>
    <cellStyle name="Normal 3 4 3 4 2 4 2 3" xfId="43512" xr:uid="{00000000-0005-0000-0000-00008F900000}"/>
    <cellStyle name="Normal 3 4 3 4 2 4 3" xfId="23160" xr:uid="{00000000-0005-0000-0000-000090900000}"/>
    <cellStyle name="Normal 3 4 3 4 2 4 3 2" xfId="50293" xr:uid="{00000000-0005-0000-0000-000091900000}"/>
    <cellStyle name="Normal 3 4 3 4 2 4 4" xfId="36731" xr:uid="{00000000-0005-0000-0000-000092900000}"/>
    <cellStyle name="Normal 3 4 3 4 2 5" xfId="12984" xr:uid="{00000000-0005-0000-0000-000093900000}"/>
    <cellStyle name="Normal 3 4 3 4 2 5 2" xfId="26552" xr:uid="{00000000-0005-0000-0000-000094900000}"/>
    <cellStyle name="Normal 3 4 3 4 2 5 2 2" xfId="53685" xr:uid="{00000000-0005-0000-0000-000095900000}"/>
    <cellStyle name="Normal 3 4 3 4 2 5 3" xfId="40123" xr:uid="{00000000-0005-0000-0000-000096900000}"/>
    <cellStyle name="Normal 3 4 3 4 2 6" xfId="19771" xr:uid="{00000000-0005-0000-0000-000097900000}"/>
    <cellStyle name="Normal 3 4 3 4 2 6 2" xfId="46904" xr:uid="{00000000-0005-0000-0000-000098900000}"/>
    <cellStyle name="Normal 3 4 3 4 2 7" xfId="33342" xr:uid="{00000000-0005-0000-0000-000099900000}"/>
    <cellStyle name="Normal 3 4 3 4 3" xfId="6043" xr:uid="{00000000-0005-0000-0000-00009A900000}"/>
    <cellStyle name="Normal 3 4 3 4 3 2" xfId="9586" xr:uid="{00000000-0005-0000-0000-00009B900000}"/>
    <cellStyle name="Normal 3 4 3 4 3 2 2" xfId="16376" xr:uid="{00000000-0005-0000-0000-00009C900000}"/>
    <cellStyle name="Normal 3 4 3 4 3 2 2 2" xfId="29944" xr:uid="{00000000-0005-0000-0000-00009D900000}"/>
    <cellStyle name="Normal 3 4 3 4 3 2 2 2 2" xfId="57077" xr:uid="{00000000-0005-0000-0000-00009E900000}"/>
    <cellStyle name="Normal 3 4 3 4 3 2 2 3" xfId="43515" xr:uid="{00000000-0005-0000-0000-00009F900000}"/>
    <cellStyle name="Normal 3 4 3 4 3 2 3" xfId="23163" xr:uid="{00000000-0005-0000-0000-0000A0900000}"/>
    <cellStyle name="Normal 3 4 3 4 3 2 3 2" xfId="50296" xr:uid="{00000000-0005-0000-0000-0000A1900000}"/>
    <cellStyle name="Normal 3 4 3 4 3 2 4" xfId="36734" xr:uid="{00000000-0005-0000-0000-0000A2900000}"/>
    <cellStyle name="Normal 3 4 3 4 3 3" xfId="12987" xr:uid="{00000000-0005-0000-0000-0000A3900000}"/>
    <cellStyle name="Normal 3 4 3 4 3 3 2" xfId="26555" xr:uid="{00000000-0005-0000-0000-0000A4900000}"/>
    <cellStyle name="Normal 3 4 3 4 3 3 2 2" xfId="53688" xr:uid="{00000000-0005-0000-0000-0000A5900000}"/>
    <cellStyle name="Normal 3 4 3 4 3 3 3" xfId="40126" xr:uid="{00000000-0005-0000-0000-0000A6900000}"/>
    <cellStyle name="Normal 3 4 3 4 3 4" xfId="19774" xr:uid="{00000000-0005-0000-0000-0000A7900000}"/>
    <cellStyle name="Normal 3 4 3 4 3 4 2" xfId="46907" xr:uid="{00000000-0005-0000-0000-0000A8900000}"/>
    <cellStyle name="Normal 3 4 3 4 3 5" xfId="33345" xr:uid="{00000000-0005-0000-0000-0000A9900000}"/>
    <cellStyle name="Normal 3 4 3 4 4" xfId="6044" xr:uid="{00000000-0005-0000-0000-0000AA900000}"/>
    <cellStyle name="Normal 3 4 3 4 4 2" xfId="9587" xr:uid="{00000000-0005-0000-0000-0000AB900000}"/>
    <cellStyle name="Normal 3 4 3 4 4 2 2" xfId="16377" xr:uid="{00000000-0005-0000-0000-0000AC900000}"/>
    <cellStyle name="Normal 3 4 3 4 4 2 2 2" xfId="29945" xr:uid="{00000000-0005-0000-0000-0000AD900000}"/>
    <cellStyle name="Normal 3 4 3 4 4 2 2 2 2" xfId="57078" xr:uid="{00000000-0005-0000-0000-0000AE900000}"/>
    <cellStyle name="Normal 3 4 3 4 4 2 2 3" xfId="43516" xr:uid="{00000000-0005-0000-0000-0000AF900000}"/>
    <cellStyle name="Normal 3 4 3 4 4 2 3" xfId="23164" xr:uid="{00000000-0005-0000-0000-0000B0900000}"/>
    <cellStyle name="Normal 3 4 3 4 4 2 3 2" xfId="50297" xr:uid="{00000000-0005-0000-0000-0000B1900000}"/>
    <cellStyle name="Normal 3 4 3 4 4 2 4" xfId="36735" xr:uid="{00000000-0005-0000-0000-0000B2900000}"/>
    <cellStyle name="Normal 3 4 3 4 4 3" xfId="12988" xr:uid="{00000000-0005-0000-0000-0000B3900000}"/>
    <cellStyle name="Normal 3 4 3 4 4 3 2" xfId="26556" xr:uid="{00000000-0005-0000-0000-0000B4900000}"/>
    <cellStyle name="Normal 3 4 3 4 4 3 2 2" xfId="53689" xr:uid="{00000000-0005-0000-0000-0000B5900000}"/>
    <cellStyle name="Normal 3 4 3 4 4 3 3" xfId="40127" xr:uid="{00000000-0005-0000-0000-0000B6900000}"/>
    <cellStyle name="Normal 3 4 3 4 4 4" xfId="19775" xr:uid="{00000000-0005-0000-0000-0000B7900000}"/>
    <cellStyle name="Normal 3 4 3 4 4 4 2" xfId="46908" xr:uid="{00000000-0005-0000-0000-0000B8900000}"/>
    <cellStyle name="Normal 3 4 3 4 4 5" xfId="33346" xr:uid="{00000000-0005-0000-0000-0000B9900000}"/>
    <cellStyle name="Normal 3 4 3 4 5" xfId="9582" xr:uid="{00000000-0005-0000-0000-0000BA900000}"/>
    <cellStyle name="Normal 3 4 3 4 5 2" xfId="16372" xr:uid="{00000000-0005-0000-0000-0000BB900000}"/>
    <cellStyle name="Normal 3 4 3 4 5 2 2" xfId="29940" xr:uid="{00000000-0005-0000-0000-0000BC900000}"/>
    <cellStyle name="Normal 3 4 3 4 5 2 2 2" xfId="57073" xr:uid="{00000000-0005-0000-0000-0000BD900000}"/>
    <cellStyle name="Normal 3 4 3 4 5 2 3" xfId="43511" xr:uid="{00000000-0005-0000-0000-0000BE900000}"/>
    <cellStyle name="Normal 3 4 3 4 5 3" xfId="23159" xr:uid="{00000000-0005-0000-0000-0000BF900000}"/>
    <cellStyle name="Normal 3 4 3 4 5 3 2" xfId="50292" xr:uid="{00000000-0005-0000-0000-0000C0900000}"/>
    <cellStyle name="Normal 3 4 3 4 5 4" xfId="36730" xr:uid="{00000000-0005-0000-0000-0000C1900000}"/>
    <cellStyle name="Normal 3 4 3 4 6" xfId="12983" xr:uid="{00000000-0005-0000-0000-0000C2900000}"/>
    <cellStyle name="Normal 3 4 3 4 6 2" xfId="26551" xr:uid="{00000000-0005-0000-0000-0000C3900000}"/>
    <cellStyle name="Normal 3 4 3 4 6 2 2" xfId="53684" xr:uid="{00000000-0005-0000-0000-0000C4900000}"/>
    <cellStyle name="Normal 3 4 3 4 6 3" xfId="40122" xr:uid="{00000000-0005-0000-0000-0000C5900000}"/>
    <cellStyle name="Normal 3 4 3 4 7" xfId="19770" xr:uid="{00000000-0005-0000-0000-0000C6900000}"/>
    <cellStyle name="Normal 3 4 3 4 7 2" xfId="46903" xr:uid="{00000000-0005-0000-0000-0000C7900000}"/>
    <cellStyle name="Normal 3 4 3 4 8" xfId="33341" xr:uid="{00000000-0005-0000-0000-0000C8900000}"/>
    <cellStyle name="Normal 3 4 3 5" xfId="6045" xr:uid="{00000000-0005-0000-0000-0000C9900000}"/>
    <cellStyle name="Normal 3 4 3 5 2" xfId="6046" xr:uid="{00000000-0005-0000-0000-0000CA900000}"/>
    <cellStyle name="Normal 3 4 3 5 2 2" xfId="9589" xr:uid="{00000000-0005-0000-0000-0000CB900000}"/>
    <cellStyle name="Normal 3 4 3 5 2 2 2" xfId="16379" xr:uid="{00000000-0005-0000-0000-0000CC900000}"/>
    <cellStyle name="Normal 3 4 3 5 2 2 2 2" xfId="29947" xr:uid="{00000000-0005-0000-0000-0000CD900000}"/>
    <cellStyle name="Normal 3 4 3 5 2 2 2 2 2" xfId="57080" xr:uid="{00000000-0005-0000-0000-0000CE900000}"/>
    <cellStyle name="Normal 3 4 3 5 2 2 2 3" xfId="43518" xr:uid="{00000000-0005-0000-0000-0000CF900000}"/>
    <cellStyle name="Normal 3 4 3 5 2 2 3" xfId="23166" xr:uid="{00000000-0005-0000-0000-0000D0900000}"/>
    <cellStyle name="Normal 3 4 3 5 2 2 3 2" xfId="50299" xr:uid="{00000000-0005-0000-0000-0000D1900000}"/>
    <cellStyle name="Normal 3 4 3 5 2 2 4" xfId="36737" xr:uid="{00000000-0005-0000-0000-0000D2900000}"/>
    <cellStyle name="Normal 3 4 3 5 2 3" xfId="12990" xr:uid="{00000000-0005-0000-0000-0000D3900000}"/>
    <cellStyle name="Normal 3 4 3 5 2 3 2" xfId="26558" xr:uid="{00000000-0005-0000-0000-0000D4900000}"/>
    <cellStyle name="Normal 3 4 3 5 2 3 2 2" xfId="53691" xr:uid="{00000000-0005-0000-0000-0000D5900000}"/>
    <cellStyle name="Normal 3 4 3 5 2 3 3" xfId="40129" xr:uid="{00000000-0005-0000-0000-0000D6900000}"/>
    <cellStyle name="Normal 3 4 3 5 2 4" xfId="19777" xr:uid="{00000000-0005-0000-0000-0000D7900000}"/>
    <cellStyle name="Normal 3 4 3 5 2 4 2" xfId="46910" xr:uid="{00000000-0005-0000-0000-0000D8900000}"/>
    <cellStyle name="Normal 3 4 3 5 2 5" xfId="33348" xr:uid="{00000000-0005-0000-0000-0000D9900000}"/>
    <cellStyle name="Normal 3 4 3 5 3" xfId="6047" xr:uid="{00000000-0005-0000-0000-0000DA900000}"/>
    <cellStyle name="Normal 3 4 3 5 3 2" xfId="9590" xr:uid="{00000000-0005-0000-0000-0000DB900000}"/>
    <cellStyle name="Normal 3 4 3 5 3 2 2" xfId="16380" xr:uid="{00000000-0005-0000-0000-0000DC900000}"/>
    <cellStyle name="Normal 3 4 3 5 3 2 2 2" xfId="29948" xr:uid="{00000000-0005-0000-0000-0000DD900000}"/>
    <cellStyle name="Normal 3 4 3 5 3 2 2 2 2" xfId="57081" xr:uid="{00000000-0005-0000-0000-0000DE900000}"/>
    <cellStyle name="Normal 3 4 3 5 3 2 2 3" xfId="43519" xr:uid="{00000000-0005-0000-0000-0000DF900000}"/>
    <cellStyle name="Normal 3 4 3 5 3 2 3" xfId="23167" xr:uid="{00000000-0005-0000-0000-0000E0900000}"/>
    <cellStyle name="Normal 3 4 3 5 3 2 3 2" xfId="50300" xr:uid="{00000000-0005-0000-0000-0000E1900000}"/>
    <cellStyle name="Normal 3 4 3 5 3 2 4" xfId="36738" xr:uid="{00000000-0005-0000-0000-0000E2900000}"/>
    <cellStyle name="Normal 3 4 3 5 3 3" xfId="12991" xr:uid="{00000000-0005-0000-0000-0000E3900000}"/>
    <cellStyle name="Normal 3 4 3 5 3 3 2" xfId="26559" xr:uid="{00000000-0005-0000-0000-0000E4900000}"/>
    <cellStyle name="Normal 3 4 3 5 3 3 2 2" xfId="53692" xr:uid="{00000000-0005-0000-0000-0000E5900000}"/>
    <cellStyle name="Normal 3 4 3 5 3 3 3" xfId="40130" xr:uid="{00000000-0005-0000-0000-0000E6900000}"/>
    <cellStyle name="Normal 3 4 3 5 3 4" xfId="19778" xr:uid="{00000000-0005-0000-0000-0000E7900000}"/>
    <cellStyle name="Normal 3 4 3 5 3 4 2" xfId="46911" xr:uid="{00000000-0005-0000-0000-0000E8900000}"/>
    <cellStyle name="Normal 3 4 3 5 3 5" xfId="33349" xr:uid="{00000000-0005-0000-0000-0000E9900000}"/>
    <cellStyle name="Normal 3 4 3 5 4" xfId="9588" xr:uid="{00000000-0005-0000-0000-0000EA900000}"/>
    <cellStyle name="Normal 3 4 3 5 4 2" xfId="16378" xr:uid="{00000000-0005-0000-0000-0000EB900000}"/>
    <cellStyle name="Normal 3 4 3 5 4 2 2" xfId="29946" xr:uid="{00000000-0005-0000-0000-0000EC900000}"/>
    <cellStyle name="Normal 3 4 3 5 4 2 2 2" xfId="57079" xr:uid="{00000000-0005-0000-0000-0000ED900000}"/>
    <cellStyle name="Normal 3 4 3 5 4 2 3" xfId="43517" xr:uid="{00000000-0005-0000-0000-0000EE900000}"/>
    <cellStyle name="Normal 3 4 3 5 4 3" xfId="23165" xr:uid="{00000000-0005-0000-0000-0000EF900000}"/>
    <cellStyle name="Normal 3 4 3 5 4 3 2" xfId="50298" xr:uid="{00000000-0005-0000-0000-0000F0900000}"/>
    <cellStyle name="Normal 3 4 3 5 4 4" xfId="36736" xr:uid="{00000000-0005-0000-0000-0000F1900000}"/>
    <cellStyle name="Normal 3 4 3 5 5" xfId="12989" xr:uid="{00000000-0005-0000-0000-0000F2900000}"/>
    <cellStyle name="Normal 3 4 3 5 5 2" xfId="26557" xr:uid="{00000000-0005-0000-0000-0000F3900000}"/>
    <cellStyle name="Normal 3 4 3 5 5 2 2" xfId="53690" xr:uid="{00000000-0005-0000-0000-0000F4900000}"/>
    <cellStyle name="Normal 3 4 3 5 5 3" xfId="40128" xr:uid="{00000000-0005-0000-0000-0000F5900000}"/>
    <cellStyle name="Normal 3 4 3 5 6" xfId="19776" xr:uid="{00000000-0005-0000-0000-0000F6900000}"/>
    <cellStyle name="Normal 3 4 3 5 6 2" xfId="46909" xr:uid="{00000000-0005-0000-0000-0000F7900000}"/>
    <cellStyle name="Normal 3 4 3 5 7" xfId="33347" xr:uid="{00000000-0005-0000-0000-0000F8900000}"/>
    <cellStyle name="Normal 3 4 3 6" xfId="6048" xr:uid="{00000000-0005-0000-0000-0000F9900000}"/>
    <cellStyle name="Normal 3 4 3 6 2" xfId="6049" xr:uid="{00000000-0005-0000-0000-0000FA900000}"/>
    <cellStyle name="Normal 3 4 3 6 2 2" xfId="9592" xr:uid="{00000000-0005-0000-0000-0000FB900000}"/>
    <cellStyle name="Normal 3 4 3 6 2 2 2" xfId="16382" xr:uid="{00000000-0005-0000-0000-0000FC900000}"/>
    <cellStyle name="Normal 3 4 3 6 2 2 2 2" xfId="29950" xr:uid="{00000000-0005-0000-0000-0000FD900000}"/>
    <cellStyle name="Normal 3 4 3 6 2 2 2 2 2" xfId="57083" xr:uid="{00000000-0005-0000-0000-0000FE900000}"/>
    <cellStyle name="Normal 3 4 3 6 2 2 2 3" xfId="43521" xr:uid="{00000000-0005-0000-0000-0000FF900000}"/>
    <cellStyle name="Normal 3 4 3 6 2 2 3" xfId="23169" xr:uid="{00000000-0005-0000-0000-000000910000}"/>
    <cellStyle name="Normal 3 4 3 6 2 2 3 2" xfId="50302" xr:uid="{00000000-0005-0000-0000-000001910000}"/>
    <cellStyle name="Normal 3 4 3 6 2 2 4" xfId="36740" xr:uid="{00000000-0005-0000-0000-000002910000}"/>
    <cellStyle name="Normal 3 4 3 6 2 3" xfId="12993" xr:uid="{00000000-0005-0000-0000-000003910000}"/>
    <cellStyle name="Normal 3 4 3 6 2 3 2" xfId="26561" xr:uid="{00000000-0005-0000-0000-000004910000}"/>
    <cellStyle name="Normal 3 4 3 6 2 3 2 2" xfId="53694" xr:uid="{00000000-0005-0000-0000-000005910000}"/>
    <cellStyle name="Normal 3 4 3 6 2 3 3" xfId="40132" xr:uid="{00000000-0005-0000-0000-000006910000}"/>
    <cellStyle name="Normal 3 4 3 6 2 4" xfId="19780" xr:uid="{00000000-0005-0000-0000-000007910000}"/>
    <cellStyle name="Normal 3 4 3 6 2 4 2" xfId="46913" xr:uid="{00000000-0005-0000-0000-000008910000}"/>
    <cellStyle name="Normal 3 4 3 6 2 5" xfId="33351" xr:uid="{00000000-0005-0000-0000-000009910000}"/>
    <cellStyle name="Normal 3 4 3 6 3" xfId="9591" xr:uid="{00000000-0005-0000-0000-00000A910000}"/>
    <cellStyle name="Normal 3 4 3 6 3 2" xfId="16381" xr:uid="{00000000-0005-0000-0000-00000B910000}"/>
    <cellStyle name="Normal 3 4 3 6 3 2 2" xfId="29949" xr:uid="{00000000-0005-0000-0000-00000C910000}"/>
    <cellStyle name="Normal 3 4 3 6 3 2 2 2" xfId="57082" xr:uid="{00000000-0005-0000-0000-00000D910000}"/>
    <cellStyle name="Normal 3 4 3 6 3 2 3" xfId="43520" xr:uid="{00000000-0005-0000-0000-00000E910000}"/>
    <cellStyle name="Normal 3 4 3 6 3 3" xfId="23168" xr:uid="{00000000-0005-0000-0000-00000F910000}"/>
    <cellStyle name="Normal 3 4 3 6 3 3 2" xfId="50301" xr:uid="{00000000-0005-0000-0000-000010910000}"/>
    <cellStyle name="Normal 3 4 3 6 3 4" xfId="36739" xr:uid="{00000000-0005-0000-0000-000011910000}"/>
    <cellStyle name="Normal 3 4 3 6 4" xfId="12992" xr:uid="{00000000-0005-0000-0000-000012910000}"/>
    <cellStyle name="Normal 3 4 3 6 4 2" xfId="26560" xr:uid="{00000000-0005-0000-0000-000013910000}"/>
    <cellStyle name="Normal 3 4 3 6 4 2 2" xfId="53693" xr:uid="{00000000-0005-0000-0000-000014910000}"/>
    <cellStyle name="Normal 3 4 3 6 4 3" xfId="40131" xr:uid="{00000000-0005-0000-0000-000015910000}"/>
    <cellStyle name="Normal 3 4 3 6 5" xfId="19779" xr:uid="{00000000-0005-0000-0000-000016910000}"/>
    <cellStyle name="Normal 3 4 3 6 5 2" xfId="46912" xr:uid="{00000000-0005-0000-0000-000017910000}"/>
    <cellStyle name="Normal 3 4 3 6 6" xfId="33350" xr:uid="{00000000-0005-0000-0000-000018910000}"/>
    <cellStyle name="Normal 3 4 3 7" xfId="6050" xr:uid="{00000000-0005-0000-0000-000019910000}"/>
    <cellStyle name="Normal 3 4 3 7 2" xfId="9593" xr:uid="{00000000-0005-0000-0000-00001A910000}"/>
    <cellStyle name="Normal 3 4 3 7 2 2" xfId="16383" xr:uid="{00000000-0005-0000-0000-00001B910000}"/>
    <cellStyle name="Normal 3 4 3 7 2 2 2" xfId="29951" xr:uid="{00000000-0005-0000-0000-00001C910000}"/>
    <cellStyle name="Normal 3 4 3 7 2 2 2 2" xfId="57084" xr:uid="{00000000-0005-0000-0000-00001D910000}"/>
    <cellStyle name="Normal 3 4 3 7 2 2 3" xfId="43522" xr:uid="{00000000-0005-0000-0000-00001E910000}"/>
    <cellStyle name="Normal 3 4 3 7 2 3" xfId="23170" xr:uid="{00000000-0005-0000-0000-00001F910000}"/>
    <cellStyle name="Normal 3 4 3 7 2 3 2" xfId="50303" xr:uid="{00000000-0005-0000-0000-000020910000}"/>
    <cellStyle name="Normal 3 4 3 7 2 4" xfId="36741" xr:uid="{00000000-0005-0000-0000-000021910000}"/>
    <cellStyle name="Normal 3 4 3 7 3" xfId="12994" xr:uid="{00000000-0005-0000-0000-000022910000}"/>
    <cellStyle name="Normal 3 4 3 7 3 2" xfId="26562" xr:uid="{00000000-0005-0000-0000-000023910000}"/>
    <cellStyle name="Normal 3 4 3 7 3 2 2" xfId="53695" xr:uid="{00000000-0005-0000-0000-000024910000}"/>
    <cellStyle name="Normal 3 4 3 7 3 3" xfId="40133" xr:uid="{00000000-0005-0000-0000-000025910000}"/>
    <cellStyle name="Normal 3 4 3 7 4" xfId="19781" xr:uid="{00000000-0005-0000-0000-000026910000}"/>
    <cellStyle name="Normal 3 4 3 7 4 2" xfId="46914" xr:uid="{00000000-0005-0000-0000-000027910000}"/>
    <cellStyle name="Normal 3 4 3 7 5" xfId="33352" xr:uid="{00000000-0005-0000-0000-000028910000}"/>
    <cellStyle name="Normal 3 4 3 8" xfId="6051" xr:uid="{00000000-0005-0000-0000-000029910000}"/>
    <cellStyle name="Normal 3 4 3 8 2" xfId="9594" xr:uid="{00000000-0005-0000-0000-00002A910000}"/>
    <cellStyle name="Normal 3 4 3 8 2 2" xfId="16384" xr:uid="{00000000-0005-0000-0000-00002B910000}"/>
    <cellStyle name="Normal 3 4 3 8 2 2 2" xfId="29952" xr:uid="{00000000-0005-0000-0000-00002C910000}"/>
    <cellStyle name="Normal 3 4 3 8 2 2 2 2" xfId="57085" xr:uid="{00000000-0005-0000-0000-00002D910000}"/>
    <cellStyle name="Normal 3 4 3 8 2 2 3" xfId="43523" xr:uid="{00000000-0005-0000-0000-00002E910000}"/>
    <cellStyle name="Normal 3 4 3 8 2 3" xfId="23171" xr:uid="{00000000-0005-0000-0000-00002F910000}"/>
    <cellStyle name="Normal 3 4 3 8 2 3 2" xfId="50304" xr:uid="{00000000-0005-0000-0000-000030910000}"/>
    <cellStyle name="Normal 3 4 3 8 2 4" xfId="36742" xr:uid="{00000000-0005-0000-0000-000031910000}"/>
    <cellStyle name="Normal 3 4 3 8 3" xfId="12995" xr:uid="{00000000-0005-0000-0000-000032910000}"/>
    <cellStyle name="Normal 3 4 3 8 3 2" xfId="26563" xr:uid="{00000000-0005-0000-0000-000033910000}"/>
    <cellStyle name="Normal 3 4 3 8 3 2 2" xfId="53696" xr:uid="{00000000-0005-0000-0000-000034910000}"/>
    <cellStyle name="Normal 3 4 3 8 3 3" xfId="40134" xr:uid="{00000000-0005-0000-0000-000035910000}"/>
    <cellStyle name="Normal 3 4 3 8 4" xfId="19782" xr:uid="{00000000-0005-0000-0000-000036910000}"/>
    <cellStyle name="Normal 3 4 3 8 4 2" xfId="46915" xr:uid="{00000000-0005-0000-0000-000037910000}"/>
    <cellStyle name="Normal 3 4 3 8 5" xfId="33353" xr:uid="{00000000-0005-0000-0000-000038910000}"/>
    <cellStyle name="Normal 3 4 3 9" xfId="7523" xr:uid="{00000000-0005-0000-0000-000039910000}"/>
    <cellStyle name="Normal 3 4 3 9 2" xfId="14313" xr:uid="{00000000-0005-0000-0000-00003A910000}"/>
    <cellStyle name="Normal 3 4 3 9 2 2" xfId="27881" xr:uid="{00000000-0005-0000-0000-00003B910000}"/>
    <cellStyle name="Normal 3 4 3 9 2 2 2" xfId="55014" xr:uid="{00000000-0005-0000-0000-00003C910000}"/>
    <cellStyle name="Normal 3 4 3 9 2 3" xfId="41452" xr:uid="{00000000-0005-0000-0000-00003D910000}"/>
    <cellStyle name="Normal 3 4 3 9 3" xfId="21100" xr:uid="{00000000-0005-0000-0000-00003E910000}"/>
    <cellStyle name="Normal 3 4 3 9 3 2" xfId="48233" xr:uid="{00000000-0005-0000-0000-00003F910000}"/>
    <cellStyle name="Normal 3 4 3 9 4" xfId="34671" xr:uid="{00000000-0005-0000-0000-000040910000}"/>
    <cellStyle name="Normal 3 4 4" xfId="2712" xr:uid="{00000000-0005-0000-0000-000041910000}"/>
    <cellStyle name="Normal 3 4 4 10" xfId="31284" xr:uid="{00000000-0005-0000-0000-000042910000}"/>
    <cellStyle name="Normal 3 4 4 2" xfId="2713" xr:uid="{00000000-0005-0000-0000-000043910000}"/>
    <cellStyle name="Normal 3 4 4 2 2" xfId="6052" xr:uid="{00000000-0005-0000-0000-000044910000}"/>
    <cellStyle name="Normal 3 4 4 2 2 2" xfId="6053" xr:uid="{00000000-0005-0000-0000-000045910000}"/>
    <cellStyle name="Normal 3 4 4 2 2 2 2" xfId="9596" xr:uid="{00000000-0005-0000-0000-000046910000}"/>
    <cellStyle name="Normal 3 4 4 2 2 2 2 2" xfId="16386" xr:uid="{00000000-0005-0000-0000-000047910000}"/>
    <cellStyle name="Normal 3 4 4 2 2 2 2 2 2" xfId="29954" xr:uid="{00000000-0005-0000-0000-000048910000}"/>
    <cellStyle name="Normal 3 4 4 2 2 2 2 2 2 2" xfId="57087" xr:uid="{00000000-0005-0000-0000-000049910000}"/>
    <cellStyle name="Normal 3 4 4 2 2 2 2 2 3" xfId="43525" xr:uid="{00000000-0005-0000-0000-00004A910000}"/>
    <cellStyle name="Normal 3 4 4 2 2 2 2 3" xfId="23173" xr:uid="{00000000-0005-0000-0000-00004B910000}"/>
    <cellStyle name="Normal 3 4 4 2 2 2 2 3 2" xfId="50306" xr:uid="{00000000-0005-0000-0000-00004C910000}"/>
    <cellStyle name="Normal 3 4 4 2 2 2 2 4" xfId="36744" xr:uid="{00000000-0005-0000-0000-00004D910000}"/>
    <cellStyle name="Normal 3 4 4 2 2 2 3" xfId="12997" xr:uid="{00000000-0005-0000-0000-00004E910000}"/>
    <cellStyle name="Normal 3 4 4 2 2 2 3 2" xfId="26565" xr:uid="{00000000-0005-0000-0000-00004F910000}"/>
    <cellStyle name="Normal 3 4 4 2 2 2 3 2 2" xfId="53698" xr:uid="{00000000-0005-0000-0000-000050910000}"/>
    <cellStyle name="Normal 3 4 4 2 2 2 3 3" xfId="40136" xr:uid="{00000000-0005-0000-0000-000051910000}"/>
    <cellStyle name="Normal 3 4 4 2 2 2 4" xfId="19784" xr:uid="{00000000-0005-0000-0000-000052910000}"/>
    <cellStyle name="Normal 3 4 4 2 2 2 4 2" xfId="46917" xr:uid="{00000000-0005-0000-0000-000053910000}"/>
    <cellStyle name="Normal 3 4 4 2 2 2 5" xfId="33355" xr:uid="{00000000-0005-0000-0000-000054910000}"/>
    <cellStyle name="Normal 3 4 4 2 2 3" xfId="6054" xr:uid="{00000000-0005-0000-0000-000055910000}"/>
    <cellStyle name="Normal 3 4 4 2 2 3 2" xfId="9597" xr:uid="{00000000-0005-0000-0000-000056910000}"/>
    <cellStyle name="Normal 3 4 4 2 2 3 2 2" xfId="16387" xr:uid="{00000000-0005-0000-0000-000057910000}"/>
    <cellStyle name="Normal 3 4 4 2 2 3 2 2 2" xfId="29955" xr:uid="{00000000-0005-0000-0000-000058910000}"/>
    <cellStyle name="Normal 3 4 4 2 2 3 2 2 2 2" xfId="57088" xr:uid="{00000000-0005-0000-0000-000059910000}"/>
    <cellStyle name="Normal 3 4 4 2 2 3 2 2 3" xfId="43526" xr:uid="{00000000-0005-0000-0000-00005A910000}"/>
    <cellStyle name="Normal 3 4 4 2 2 3 2 3" xfId="23174" xr:uid="{00000000-0005-0000-0000-00005B910000}"/>
    <cellStyle name="Normal 3 4 4 2 2 3 2 3 2" xfId="50307" xr:uid="{00000000-0005-0000-0000-00005C910000}"/>
    <cellStyle name="Normal 3 4 4 2 2 3 2 4" xfId="36745" xr:uid="{00000000-0005-0000-0000-00005D910000}"/>
    <cellStyle name="Normal 3 4 4 2 2 3 3" xfId="12998" xr:uid="{00000000-0005-0000-0000-00005E910000}"/>
    <cellStyle name="Normal 3 4 4 2 2 3 3 2" xfId="26566" xr:uid="{00000000-0005-0000-0000-00005F910000}"/>
    <cellStyle name="Normal 3 4 4 2 2 3 3 2 2" xfId="53699" xr:uid="{00000000-0005-0000-0000-000060910000}"/>
    <cellStyle name="Normal 3 4 4 2 2 3 3 3" xfId="40137" xr:uid="{00000000-0005-0000-0000-000061910000}"/>
    <cellStyle name="Normal 3 4 4 2 2 3 4" xfId="19785" xr:uid="{00000000-0005-0000-0000-000062910000}"/>
    <cellStyle name="Normal 3 4 4 2 2 3 4 2" xfId="46918" xr:uid="{00000000-0005-0000-0000-000063910000}"/>
    <cellStyle name="Normal 3 4 4 2 2 3 5" xfId="33356" xr:uid="{00000000-0005-0000-0000-000064910000}"/>
    <cellStyle name="Normal 3 4 4 2 2 4" xfId="9595" xr:uid="{00000000-0005-0000-0000-000065910000}"/>
    <cellStyle name="Normal 3 4 4 2 2 4 2" xfId="16385" xr:uid="{00000000-0005-0000-0000-000066910000}"/>
    <cellStyle name="Normal 3 4 4 2 2 4 2 2" xfId="29953" xr:uid="{00000000-0005-0000-0000-000067910000}"/>
    <cellStyle name="Normal 3 4 4 2 2 4 2 2 2" xfId="57086" xr:uid="{00000000-0005-0000-0000-000068910000}"/>
    <cellStyle name="Normal 3 4 4 2 2 4 2 3" xfId="43524" xr:uid="{00000000-0005-0000-0000-000069910000}"/>
    <cellStyle name="Normal 3 4 4 2 2 4 3" xfId="23172" xr:uid="{00000000-0005-0000-0000-00006A910000}"/>
    <cellStyle name="Normal 3 4 4 2 2 4 3 2" xfId="50305" xr:uid="{00000000-0005-0000-0000-00006B910000}"/>
    <cellStyle name="Normal 3 4 4 2 2 4 4" xfId="36743" xr:uid="{00000000-0005-0000-0000-00006C910000}"/>
    <cellStyle name="Normal 3 4 4 2 2 5" xfId="12996" xr:uid="{00000000-0005-0000-0000-00006D910000}"/>
    <cellStyle name="Normal 3 4 4 2 2 5 2" xfId="26564" xr:uid="{00000000-0005-0000-0000-00006E910000}"/>
    <cellStyle name="Normal 3 4 4 2 2 5 2 2" xfId="53697" xr:uid="{00000000-0005-0000-0000-00006F910000}"/>
    <cellStyle name="Normal 3 4 4 2 2 5 3" xfId="40135" xr:uid="{00000000-0005-0000-0000-000070910000}"/>
    <cellStyle name="Normal 3 4 4 2 2 6" xfId="19783" xr:uid="{00000000-0005-0000-0000-000071910000}"/>
    <cellStyle name="Normal 3 4 4 2 2 6 2" xfId="46916" xr:uid="{00000000-0005-0000-0000-000072910000}"/>
    <cellStyle name="Normal 3 4 4 2 2 7" xfId="33354" xr:uid="{00000000-0005-0000-0000-000073910000}"/>
    <cellStyle name="Normal 3 4 4 2 3" xfId="6055" xr:uid="{00000000-0005-0000-0000-000074910000}"/>
    <cellStyle name="Normal 3 4 4 2 3 2" xfId="6056" xr:uid="{00000000-0005-0000-0000-000075910000}"/>
    <cellStyle name="Normal 3 4 4 2 3 2 2" xfId="9599" xr:uid="{00000000-0005-0000-0000-000076910000}"/>
    <cellStyle name="Normal 3 4 4 2 3 2 2 2" xfId="16389" xr:uid="{00000000-0005-0000-0000-000077910000}"/>
    <cellStyle name="Normal 3 4 4 2 3 2 2 2 2" xfId="29957" xr:uid="{00000000-0005-0000-0000-000078910000}"/>
    <cellStyle name="Normal 3 4 4 2 3 2 2 2 2 2" xfId="57090" xr:uid="{00000000-0005-0000-0000-000079910000}"/>
    <cellStyle name="Normal 3 4 4 2 3 2 2 2 3" xfId="43528" xr:uid="{00000000-0005-0000-0000-00007A910000}"/>
    <cellStyle name="Normal 3 4 4 2 3 2 2 3" xfId="23176" xr:uid="{00000000-0005-0000-0000-00007B910000}"/>
    <cellStyle name="Normal 3 4 4 2 3 2 2 3 2" xfId="50309" xr:uid="{00000000-0005-0000-0000-00007C910000}"/>
    <cellStyle name="Normal 3 4 4 2 3 2 2 4" xfId="36747" xr:uid="{00000000-0005-0000-0000-00007D910000}"/>
    <cellStyle name="Normal 3 4 4 2 3 2 3" xfId="13000" xr:uid="{00000000-0005-0000-0000-00007E910000}"/>
    <cellStyle name="Normal 3 4 4 2 3 2 3 2" xfId="26568" xr:uid="{00000000-0005-0000-0000-00007F910000}"/>
    <cellStyle name="Normal 3 4 4 2 3 2 3 2 2" xfId="53701" xr:uid="{00000000-0005-0000-0000-000080910000}"/>
    <cellStyle name="Normal 3 4 4 2 3 2 3 3" xfId="40139" xr:uid="{00000000-0005-0000-0000-000081910000}"/>
    <cellStyle name="Normal 3 4 4 2 3 2 4" xfId="19787" xr:uid="{00000000-0005-0000-0000-000082910000}"/>
    <cellStyle name="Normal 3 4 4 2 3 2 4 2" xfId="46920" xr:uid="{00000000-0005-0000-0000-000083910000}"/>
    <cellStyle name="Normal 3 4 4 2 3 2 5" xfId="33358" xr:uid="{00000000-0005-0000-0000-000084910000}"/>
    <cellStyle name="Normal 3 4 4 2 3 3" xfId="9598" xr:uid="{00000000-0005-0000-0000-000085910000}"/>
    <cellStyle name="Normal 3 4 4 2 3 3 2" xfId="16388" xr:uid="{00000000-0005-0000-0000-000086910000}"/>
    <cellStyle name="Normal 3 4 4 2 3 3 2 2" xfId="29956" xr:uid="{00000000-0005-0000-0000-000087910000}"/>
    <cellStyle name="Normal 3 4 4 2 3 3 2 2 2" xfId="57089" xr:uid="{00000000-0005-0000-0000-000088910000}"/>
    <cellStyle name="Normal 3 4 4 2 3 3 2 3" xfId="43527" xr:uid="{00000000-0005-0000-0000-000089910000}"/>
    <cellStyle name="Normal 3 4 4 2 3 3 3" xfId="23175" xr:uid="{00000000-0005-0000-0000-00008A910000}"/>
    <cellStyle name="Normal 3 4 4 2 3 3 3 2" xfId="50308" xr:uid="{00000000-0005-0000-0000-00008B910000}"/>
    <cellStyle name="Normal 3 4 4 2 3 3 4" xfId="36746" xr:uid="{00000000-0005-0000-0000-00008C910000}"/>
    <cellStyle name="Normal 3 4 4 2 3 4" xfId="12999" xr:uid="{00000000-0005-0000-0000-00008D910000}"/>
    <cellStyle name="Normal 3 4 4 2 3 4 2" xfId="26567" xr:uid="{00000000-0005-0000-0000-00008E910000}"/>
    <cellStyle name="Normal 3 4 4 2 3 4 2 2" xfId="53700" xr:uid="{00000000-0005-0000-0000-00008F910000}"/>
    <cellStyle name="Normal 3 4 4 2 3 4 3" xfId="40138" xr:uid="{00000000-0005-0000-0000-000090910000}"/>
    <cellStyle name="Normal 3 4 4 2 3 5" xfId="19786" xr:uid="{00000000-0005-0000-0000-000091910000}"/>
    <cellStyle name="Normal 3 4 4 2 3 5 2" xfId="46919" xr:uid="{00000000-0005-0000-0000-000092910000}"/>
    <cellStyle name="Normal 3 4 4 2 3 6" xfId="33357" xr:uid="{00000000-0005-0000-0000-000093910000}"/>
    <cellStyle name="Normal 3 4 4 2 4" xfId="6057" xr:uid="{00000000-0005-0000-0000-000094910000}"/>
    <cellStyle name="Normal 3 4 4 2 4 2" xfId="9600" xr:uid="{00000000-0005-0000-0000-000095910000}"/>
    <cellStyle name="Normal 3 4 4 2 4 2 2" xfId="16390" xr:uid="{00000000-0005-0000-0000-000096910000}"/>
    <cellStyle name="Normal 3 4 4 2 4 2 2 2" xfId="29958" xr:uid="{00000000-0005-0000-0000-000097910000}"/>
    <cellStyle name="Normal 3 4 4 2 4 2 2 2 2" xfId="57091" xr:uid="{00000000-0005-0000-0000-000098910000}"/>
    <cellStyle name="Normal 3 4 4 2 4 2 2 3" xfId="43529" xr:uid="{00000000-0005-0000-0000-000099910000}"/>
    <cellStyle name="Normal 3 4 4 2 4 2 3" xfId="23177" xr:uid="{00000000-0005-0000-0000-00009A910000}"/>
    <cellStyle name="Normal 3 4 4 2 4 2 3 2" xfId="50310" xr:uid="{00000000-0005-0000-0000-00009B910000}"/>
    <cellStyle name="Normal 3 4 4 2 4 2 4" xfId="36748" xr:uid="{00000000-0005-0000-0000-00009C910000}"/>
    <cellStyle name="Normal 3 4 4 2 4 3" xfId="13001" xr:uid="{00000000-0005-0000-0000-00009D910000}"/>
    <cellStyle name="Normal 3 4 4 2 4 3 2" xfId="26569" xr:uid="{00000000-0005-0000-0000-00009E910000}"/>
    <cellStyle name="Normal 3 4 4 2 4 3 2 2" xfId="53702" xr:uid="{00000000-0005-0000-0000-00009F910000}"/>
    <cellStyle name="Normal 3 4 4 2 4 3 3" xfId="40140" xr:uid="{00000000-0005-0000-0000-0000A0910000}"/>
    <cellStyle name="Normal 3 4 4 2 4 4" xfId="19788" xr:uid="{00000000-0005-0000-0000-0000A1910000}"/>
    <cellStyle name="Normal 3 4 4 2 4 4 2" xfId="46921" xr:uid="{00000000-0005-0000-0000-0000A2910000}"/>
    <cellStyle name="Normal 3 4 4 2 4 5" xfId="33359" xr:uid="{00000000-0005-0000-0000-0000A3910000}"/>
    <cellStyle name="Normal 3 4 4 2 5" xfId="6058" xr:uid="{00000000-0005-0000-0000-0000A4910000}"/>
    <cellStyle name="Normal 3 4 4 2 5 2" xfId="9601" xr:uid="{00000000-0005-0000-0000-0000A5910000}"/>
    <cellStyle name="Normal 3 4 4 2 5 2 2" xfId="16391" xr:uid="{00000000-0005-0000-0000-0000A6910000}"/>
    <cellStyle name="Normal 3 4 4 2 5 2 2 2" xfId="29959" xr:uid="{00000000-0005-0000-0000-0000A7910000}"/>
    <cellStyle name="Normal 3 4 4 2 5 2 2 2 2" xfId="57092" xr:uid="{00000000-0005-0000-0000-0000A8910000}"/>
    <cellStyle name="Normal 3 4 4 2 5 2 2 3" xfId="43530" xr:uid="{00000000-0005-0000-0000-0000A9910000}"/>
    <cellStyle name="Normal 3 4 4 2 5 2 3" xfId="23178" xr:uid="{00000000-0005-0000-0000-0000AA910000}"/>
    <cellStyle name="Normal 3 4 4 2 5 2 3 2" xfId="50311" xr:uid="{00000000-0005-0000-0000-0000AB910000}"/>
    <cellStyle name="Normal 3 4 4 2 5 2 4" xfId="36749" xr:uid="{00000000-0005-0000-0000-0000AC910000}"/>
    <cellStyle name="Normal 3 4 4 2 5 3" xfId="13002" xr:uid="{00000000-0005-0000-0000-0000AD910000}"/>
    <cellStyle name="Normal 3 4 4 2 5 3 2" xfId="26570" xr:uid="{00000000-0005-0000-0000-0000AE910000}"/>
    <cellStyle name="Normal 3 4 4 2 5 3 2 2" xfId="53703" xr:uid="{00000000-0005-0000-0000-0000AF910000}"/>
    <cellStyle name="Normal 3 4 4 2 5 3 3" xfId="40141" xr:uid="{00000000-0005-0000-0000-0000B0910000}"/>
    <cellStyle name="Normal 3 4 4 2 5 4" xfId="19789" xr:uid="{00000000-0005-0000-0000-0000B1910000}"/>
    <cellStyle name="Normal 3 4 4 2 5 4 2" xfId="46922" xr:uid="{00000000-0005-0000-0000-0000B2910000}"/>
    <cellStyle name="Normal 3 4 4 2 5 5" xfId="33360" xr:uid="{00000000-0005-0000-0000-0000B3910000}"/>
    <cellStyle name="Normal 3 4 4 2 6" xfId="7526" xr:uid="{00000000-0005-0000-0000-0000B4910000}"/>
    <cellStyle name="Normal 3 4 4 2 6 2" xfId="14316" xr:uid="{00000000-0005-0000-0000-0000B5910000}"/>
    <cellStyle name="Normal 3 4 4 2 6 2 2" xfId="27884" xr:uid="{00000000-0005-0000-0000-0000B6910000}"/>
    <cellStyle name="Normal 3 4 4 2 6 2 2 2" xfId="55017" xr:uid="{00000000-0005-0000-0000-0000B7910000}"/>
    <cellStyle name="Normal 3 4 4 2 6 2 3" xfId="41455" xr:uid="{00000000-0005-0000-0000-0000B8910000}"/>
    <cellStyle name="Normal 3 4 4 2 6 3" xfId="21103" xr:uid="{00000000-0005-0000-0000-0000B9910000}"/>
    <cellStyle name="Normal 3 4 4 2 6 3 2" xfId="48236" xr:uid="{00000000-0005-0000-0000-0000BA910000}"/>
    <cellStyle name="Normal 3 4 4 2 6 4" xfId="34674" xr:uid="{00000000-0005-0000-0000-0000BB910000}"/>
    <cellStyle name="Normal 3 4 4 2 7" xfId="10927" xr:uid="{00000000-0005-0000-0000-0000BC910000}"/>
    <cellStyle name="Normal 3 4 4 2 7 2" xfId="24495" xr:uid="{00000000-0005-0000-0000-0000BD910000}"/>
    <cellStyle name="Normal 3 4 4 2 7 2 2" xfId="51628" xr:uid="{00000000-0005-0000-0000-0000BE910000}"/>
    <cellStyle name="Normal 3 4 4 2 7 3" xfId="38066" xr:uid="{00000000-0005-0000-0000-0000BF910000}"/>
    <cellStyle name="Normal 3 4 4 2 8" xfId="17714" xr:uid="{00000000-0005-0000-0000-0000C0910000}"/>
    <cellStyle name="Normal 3 4 4 2 8 2" xfId="44847" xr:uid="{00000000-0005-0000-0000-0000C1910000}"/>
    <cellStyle name="Normal 3 4 4 2 9" xfId="31285" xr:uid="{00000000-0005-0000-0000-0000C2910000}"/>
    <cellStyle name="Normal 3 4 4 3" xfId="6059" xr:uid="{00000000-0005-0000-0000-0000C3910000}"/>
    <cellStyle name="Normal 3 4 4 3 2" xfId="6060" xr:uid="{00000000-0005-0000-0000-0000C4910000}"/>
    <cellStyle name="Normal 3 4 4 3 2 2" xfId="9603" xr:uid="{00000000-0005-0000-0000-0000C5910000}"/>
    <cellStyle name="Normal 3 4 4 3 2 2 2" xfId="16393" xr:uid="{00000000-0005-0000-0000-0000C6910000}"/>
    <cellStyle name="Normal 3 4 4 3 2 2 2 2" xfId="29961" xr:uid="{00000000-0005-0000-0000-0000C7910000}"/>
    <cellStyle name="Normal 3 4 4 3 2 2 2 2 2" xfId="57094" xr:uid="{00000000-0005-0000-0000-0000C8910000}"/>
    <cellStyle name="Normal 3 4 4 3 2 2 2 3" xfId="43532" xr:uid="{00000000-0005-0000-0000-0000C9910000}"/>
    <cellStyle name="Normal 3 4 4 3 2 2 3" xfId="23180" xr:uid="{00000000-0005-0000-0000-0000CA910000}"/>
    <cellStyle name="Normal 3 4 4 3 2 2 3 2" xfId="50313" xr:uid="{00000000-0005-0000-0000-0000CB910000}"/>
    <cellStyle name="Normal 3 4 4 3 2 2 4" xfId="36751" xr:uid="{00000000-0005-0000-0000-0000CC910000}"/>
    <cellStyle name="Normal 3 4 4 3 2 3" xfId="13004" xr:uid="{00000000-0005-0000-0000-0000CD910000}"/>
    <cellStyle name="Normal 3 4 4 3 2 3 2" xfId="26572" xr:uid="{00000000-0005-0000-0000-0000CE910000}"/>
    <cellStyle name="Normal 3 4 4 3 2 3 2 2" xfId="53705" xr:uid="{00000000-0005-0000-0000-0000CF910000}"/>
    <cellStyle name="Normal 3 4 4 3 2 3 3" xfId="40143" xr:uid="{00000000-0005-0000-0000-0000D0910000}"/>
    <cellStyle name="Normal 3 4 4 3 2 4" xfId="19791" xr:uid="{00000000-0005-0000-0000-0000D1910000}"/>
    <cellStyle name="Normal 3 4 4 3 2 4 2" xfId="46924" xr:uid="{00000000-0005-0000-0000-0000D2910000}"/>
    <cellStyle name="Normal 3 4 4 3 2 5" xfId="33362" xr:uid="{00000000-0005-0000-0000-0000D3910000}"/>
    <cellStyle name="Normal 3 4 4 3 3" xfId="6061" xr:uid="{00000000-0005-0000-0000-0000D4910000}"/>
    <cellStyle name="Normal 3 4 4 3 3 2" xfId="9604" xr:uid="{00000000-0005-0000-0000-0000D5910000}"/>
    <cellStyle name="Normal 3 4 4 3 3 2 2" xfId="16394" xr:uid="{00000000-0005-0000-0000-0000D6910000}"/>
    <cellStyle name="Normal 3 4 4 3 3 2 2 2" xfId="29962" xr:uid="{00000000-0005-0000-0000-0000D7910000}"/>
    <cellStyle name="Normal 3 4 4 3 3 2 2 2 2" xfId="57095" xr:uid="{00000000-0005-0000-0000-0000D8910000}"/>
    <cellStyle name="Normal 3 4 4 3 3 2 2 3" xfId="43533" xr:uid="{00000000-0005-0000-0000-0000D9910000}"/>
    <cellStyle name="Normal 3 4 4 3 3 2 3" xfId="23181" xr:uid="{00000000-0005-0000-0000-0000DA910000}"/>
    <cellStyle name="Normal 3 4 4 3 3 2 3 2" xfId="50314" xr:uid="{00000000-0005-0000-0000-0000DB910000}"/>
    <cellStyle name="Normal 3 4 4 3 3 2 4" xfId="36752" xr:uid="{00000000-0005-0000-0000-0000DC910000}"/>
    <cellStyle name="Normal 3 4 4 3 3 3" xfId="13005" xr:uid="{00000000-0005-0000-0000-0000DD910000}"/>
    <cellStyle name="Normal 3 4 4 3 3 3 2" xfId="26573" xr:uid="{00000000-0005-0000-0000-0000DE910000}"/>
    <cellStyle name="Normal 3 4 4 3 3 3 2 2" xfId="53706" xr:uid="{00000000-0005-0000-0000-0000DF910000}"/>
    <cellStyle name="Normal 3 4 4 3 3 3 3" xfId="40144" xr:uid="{00000000-0005-0000-0000-0000E0910000}"/>
    <cellStyle name="Normal 3 4 4 3 3 4" xfId="19792" xr:uid="{00000000-0005-0000-0000-0000E1910000}"/>
    <cellStyle name="Normal 3 4 4 3 3 4 2" xfId="46925" xr:uid="{00000000-0005-0000-0000-0000E2910000}"/>
    <cellStyle name="Normal 3 4 4 3 3 5" xfId="33363" xr:uid="{00000000-0005-0000-0000-0000E3910000}"/>
    <cellStyle name="Normal 3 4 4 3 4" xfId="9602" xr:uid="{00000000-0005-0000-0000-0000E4910000}"/>
    <cellStyle name="Normal 3 4 4 3 4 2" xfId="16392" xr:uid="{00000000-0005-0000-0000-0000E5910000}"/>
    <cellStyle name="Normal 3 4 4 3 4 2 2" xfId="29960" xr:uid="{00000000-0005-0000-0000-0000E6910000}"/>
    <cellStyle name="Normal 3 4 4 3 4 2 2 2" xfId="57093" xr:uid="{00000000-0005-0000-0000-0000E7910000}"/>
    <cellStyle name="Normal 3 4 4 3 4 2 3" xfId="43531" xr:uid="{00000000-0005-0000-0000-0000E8910000}"/>
    <cellStyle name="Normal 3 4 4 3 4 3" xfId="23179" xr:uid="{00000000-0005-0000-0000-0000E9910000}"/>
    <cellStyle name="Normal 3 4 4 3 4 3 2" xfId="50312" xr:uid="{00000000-0005-0000-0000-0000EA910000}"/>
    <cellStyle name="Normal 3 4 4 3 4 4" xfId="36750" xr:uid="{00000000-0005-0000-0000-0000EB910000}"/>
    <cellStyle name="Normal 3 4 4 3 5" xfId="13003" xr:uid="{00000000-0005-0000-0000-0000EC910000}"/>
    <cellStyle name="Normal 3 4 4 3 5 2" xfId="26571" xr:uid="{00000000-0005-0000-0000-0000ED910000}"/>
    <cellStyle name="Normal 3 4 4 3 5 2 2" xfId="53704" xr:uid="{00000000-0005-0000-0000-0000EE910000}"/>
    <cellStyle name="Normal 3 4 4 3 5 3" xfId="40142" xr:uid="{00000000-0005-0000-0000-0000EF910000}"/>
    <cellStyle name="Normal 3 4 4 3 6" xfId="19790" xr:uid="{00000000-0005-0000-0000-0000F0910000}"/>
    <cellStyle name="Normal 3 4 4 3 6 2" xfId="46923" xr:uid="{00000000-0005-0000-0000-0000F1910000}"/>
    <cellStyle name="Normal 3 4 4 3 7" xfId="33361" xr:uid="{00000000-0005-0000-0000-0000F2910000}"/>
    <cellStyle name="Normal 3 4 4 4" xfId="6062" xr:uid="{00000000-0005-0000-0000-0000F3910000}"/>
    <cellStyle name="Normal 3 4 4 4 2" xfId="6063" xr:uid="{00000000-0005-0000-0000-0000F4910000}"/>
    <cellStyle name="Normal 3 4 4 4 2 2" xfId="9606" xr:uid="{00000000-0005-0000-0000-0000F5910000}"/>
    <cellStyle name="Normal 3 4 4 4 2 2 2" xfId="16396" xr:uid="{00000000-0005-0000-0000-0000F6910000}"/>
    <cellStyle name="Normal 3 4 4 4 2 2 2 2" xfId="29964" xr:uid="{00000000-0005-0000-0000-0000F7910000}"/>
    <cellStyle name="Normal 3 4 4 4 2 2 2 2 2" xfId="57097" xr:uid="{00000000-0005-0000-0000-0000F8910000}"/>
    <cellStyle name="Normal 3 4 4 4 2 2 2 3" xfId="43535" xr:uid="{00000000-0005-0000-0000-0000F9910000}"/>
    <cellStyle name="Normal 3 4 4 4 2 2 3" xfId="23183" xr:uid="{00000000-0005-0000-0000-0000FA910000}"/>
    <cellStyle name="Normal 3 4 4 4 2 2 3 2" xfId="50316" xr:uid="{00000000-0005-0000-0000-0000FB910000}"/>
    <cellStyle name="Normal 3 4 4 4 2 2 4" xfId="36754" xr:uid="{00000000-0005-0000-0000-0000FC910000}"/>
    <cellStyle name="Normal 3 4 4 4 2 3" xfId="13007" xr:uid="{00000000-0005-0000-0000-0000FD910000}"/>
    <cellStyle name="Normal 3 4 4 4 2 3 2" xfId="26575" xr:uid="{00000000-0005-0000-0000-0000FE910000}"/>
    <cellStyle name="Normal 3 4 4 4 2 3 2 2" xfId="53708" xr:uid="{00000000-0005-0000-0000-0000FF910000}"/>
    <cellStyle name="Normal 3 4 4 4 2 3 3" xfId="40146" xr:uid="{00000000-0005-0000-0000-000000920000}"/>
    <cellStyle name="Normal 3 4 4 4 2 4" xfId="19794" xr:uid="{00000000-0005-0000-0000-000001920000}"/>
    <cellStyle name="Normal 3 4 4 4 2 4 2" xfId="46927" xr:uid="{00000000-0005-0000-0000-000002920000}"/>
    <cellStyle name="Normal 3 4 4 4 2 5" xfId="33365" xr:uid="{00000000-0005-0000-0000-000003920000}"/>
    <cellStyle name="Normal 3 4 4 4 3" xfId="9605" xr:uid="{00000000-0005-0000-0000-000004920000}"/>
    <cellStyle name="Normal 3 4 4 4 3 2" xfId="16395" xr:uid="{00000000-0005-0000-0000-000005920000}"/>
    <cellStyle name="Normal 3 4 4 4 3 2 2" xfId="29963" xr:uid="{00000000-0005-0000-0000-000006920000}"/>
    <cellStyle name="Normal 3 4 4 4 3 2 2 2" xfId="57096" xr:uid="{00000000-0005-0000-0000-000007920000}"/>
    <cellStyle name="Normal 3 4 4 4 3 2 3" xfId="43534" xr:uid="{00000000-0005-0000-0000-000008920000}"/>
    <cellStyle name="Normal 3 4 4 4 3 3" xfId="23182" xr:uid="{00000000-0005-0000-0000-000009920000}"/>
    <cellStyle name="Normal 3 4 4 4 3 3 2" xfId="50315" xr:uid="{00000000-0005-0000-0000-00000A920000}"/>
    <cellStyle name="Normal 3 4 4 4 3 4" xfId="36753" xr:uid="{00000000-0005-0000-0000-00000B920000}"/>
    <cellStyle name="Normal 3 4 4 4 4" xfId="13006" xr:uid="{00000000-0005-0000-0000-00000C920000}"/>
    <cellStyle name="Normal 3 4 4 4 4 2" xfId="26574" xr:uid="{00000000-0005-0000-0000-00000D920000}"/>
    <cellStyle name="Normal 3 4 4 4 4 2 2" xfId="53707" xr:uid="{00000000-0005-0000-0000-00000E920000}"/>
    <cellStyle name="Normal 3 4 4 4 4 3" xfId="40145" xr:uid="{00000000-0005-0000-0000-00000F920000}"/>
    <cellStyle name="Normal 3 4 4 4 5" xfId="19793" xr:uid="{00000000-0005-0000-0000-000010920000}"/>
    <cellStyle name="Normal 3 4 4 4 5 2" xfId="46926" xr:uid="{00000000-0005-0000-0000-000011920000}"/>
    <cellStyle name="Normal 3 4 4 4 6" xfId="33364" xr:uid="{00000000-0005-0000-0000-000012920000}"/>
    <cellStyle name="Normal 3 4 4 5" xfId="6064" xr:uid="{00000000-0005-0000-0000-000013920000}"/>
    <cellStyle name="Normal 3 4 4 5 2" xfId="9607" xr:uid="{00000000-0005-0000-0000-000014920000}"/>
    <cellStyle name="Normal 3 4 4 5 2 2" xfId="16397" xr:uid="{00000000-0005-0000-0000-000015920000}"/>
    <cellStyle name="Normal 3 4 4 5 2 2 2" xfId="29965" xr:uid="{00000000-0005-0000-0000-000016920000}"/>
    <cellStyle name="Normal 3 4 4 5 2 2 2 2" xfId="57098" xr:uid="{00000000-0005-0000-0000-000017920000}"/>
    <cellStyle name="Normal 3 4 4 5 2 2 3" xfId="43536" xr:uid="{00000000-0005-0000-0000-000018920000}"/>
    <cellStyle name="Normal 3 4 4 5 2 3" xfId="23184" xr:uid="{00000000-0005-0000-0000-000019920000}"/>
    <cellStyle name="Normal 3 4 4 5 2 3 2" xfId="50317" xr:uid="{00000000-0005-0000-0000-00001A920000}"/>
    <cellStyle name="Normal 3 4 4 5 2 4" xfId="36755" xr:uid="{00000000-0005-0000-0000-00001B920000}"/>
    <cellStyle name="Normal 3 4 4 5 3" xfId="13008" xr:uid="{00000000-0005-0000-0000-00001C920000}"/>
    <cellStyle name="Normal 3 4 4 5 3 2" xfId="26576" xr:uid="{00000000-0005-0000-0000-00001D920000}"/>
    <cellStyle name="Normal 3 4 4 5 3 2 2" xfId="53709" xr:uid="{00000000-0005-0000-0000-00001E920000}"/>
    <cellStyle name="Normal 3 4 4 5 3 3" xfId="40147" xr:uid="{00000000-0005-0000-0000-00001F920000}"/>
    <cellStyle name="Normal 3 4 4 5 4" xfId="19795" xr:uid="{00000000-0005-0000-0000-000020920000}"/>
    <cellStyle name="Normal 3 4 4 5 4 2" xfId="46928" xr:uid="{00000000-0005-0000-0000-000021920000}"/>
    <cellStyle name="Normal 3 4 4 5 5" xfId="33366" xr:uid="{00000000-0005-0000-0000-000022920000}"/>
    <cellStyle name="Normal 3 4 4 6" xfId="6065" xr:uid="{00000000-0005-0000-0000-000023920000}"/>
    <cellStyle name="Normal 3 4 4 6 2" xfId="9608" xr:uid="{00000000-0005-0000-0000-000024920000}"/>
    <cellStyle name="Normal 3 4 4 6 2 2" xfId="16398" xr:uid="{00000000-0005-0000-0000-000025920000}"/>
    <cellStyle name="Normal 3 4 4 6 2 2 2" xfId="29966" xr:uid="{00000000-0005-0000-0000-000026920000}"/>
    <cellStyle name="Normal 3 4 4 6 2 2 2 2" xfId="57099" xr:uid="{00000000-0005-0000-0000-000027920000}"/>
    <cellStyle name="Normal 3 4 4 6 2 2 3" xfId="43537" xr:uid="{00000000-0005-0000-0000-000028920000}"/>
    <cellStyle name="Normal 3 4 4 6 2 3" xfId="23185" xr:uid="{00000000-0005-0000-0000-000029920000}"/>
    <cellStyle name="Normal 3 4 4 6 2 3 2" xfId="50318" xr:uid="{00000000-0005-0000-0000-00002A920000}"/>
    <cellStyle name="Normal 3 4 4 6 2 4" xfId="36756" xr:uid="{00000000-0005-0000-0000-00002B920000}"/>
    <cellStyle name="Normal 3 4 4 6 3" xfId="13009" xr:uid="{00000000-0005-0000-0000-00002C920000}"/>
    <cellStyle name="Normal 3 4 4 6 3 2" xfId="26577" xr:uid="{00000000-0005-0000-0000-00002D920000}"/>
    <cellStyle name="Normal 3 4 4 6 3 2 2" xfId="53710" xr:uid="{00000000-0005-0000-0000-00002E920000}"/>
    <cellStyle name="Normal 3 4 4 6 3 3" xfId="40148" xr:uid="{00000000-0005-0000-0000-00002F920000}"/>
    <cellStyle name="Normal 3 4 4 6 4" xfId="19796" xr:uid="{00000000-0005-0000-0000-000030920000}"/>
    <cellStyle name="Normal 3 4 4 6 4 2" xfId="46929" xr:uid="{00000000-0005-0000-0000-000031920000}"/>
    <cellStyle name="Normal 3 4 4 6 5" xfId="33367" xr:uid="{00000000-0005-0000-0000-000032920000}"/>
    <cellStyle name="Normal 3 4 4 7" xfId="7525" xr:uid="{00000000-0005-0000-0000-000033920000}"/>
    <cellStyle name="Normal 3 4 4 7 2" xfId="14315" xr:uid="{00000000-0005-0000-0000-000034920000}"/>
    <cellStyle name="Normal 3 4 4 7 2 2" xfId="27883" xr:uid="{00000000-0005-0000-0000-000035920000}"/>
    <cellStyle name="Normal 3 4 4 7 2 2 2" xfId="55016" xr:uid="{00000000-0005-0000-0000-000036920000}"/>
    <cellStyle name="Normal 3 4 4 7 2 3" xfId="41454" xr:uid="{00000000-0005-0000-0000-000037920000}"/>
    <cellStyle name="Normal 3 4 4 7 3" xfId="21102" xr:uid="{00000000-0005-0000-0000-000038920000}"/>
    <cellStyle name="Normal 3 4 4 7 3 2" xfId="48235" xr:uid="{00000000-0005-0000-0000-000039920000}"/>
    <cellStyle name="Normal 3 4 4 7 4" xfId="34673" xr:uid="{00000000-0005-0000-0000-00003A920000}"/>
    <cellStyle name="Normal 3 4 4 8" xfId="10926" xr:uid="{00000000-0005-0000-0000-00003B920000}"/>
    <cellStyle name="Normal 3 4 4 8 2" xfId="24494" xr:uid="{00000000-0005-0000-0000-00003C920000}"/>
    <cellStyle name="Normal 3 4 4 8 2 2" xfId="51627" xr:uid="{00000000-0005-0000-0000-00003D920000}"/>
    <cellStyle name="Normal 3 4 4 8 3" xfId="38065" xr:uid="{00000000-0005-0000-0000-00003E920000}"/>
    <cellStyle name="Normal 3 4 4 9" xfId="17713" xr:uid="{00000000-0005-0000-0000-00003F920000}"/>
    <cellStyle name="Normal 3 4 4 9 2" xfId="44846" xr:uid="{00000000-0005-0000-0000-000040920000}"/>
    <cellStyle name="Normal 3 4 5" xfId="2714" xr:uid="{00000000-0005-0000-0000-000041920000}"/>
    <cellStyle name="Normal 3 4 5 2" xfId="2715" xr:uid="{00000000-0005-0000-0000-000042920000}"/>
    <cellStyle name="Normal 3 4 5 2 2" xfId="6066" xr:uid="{00000000-0005-0000-0000-000043920000}"/>
    <cellStyle name="Normal 3 4 5 2 2 2" xfId="9609" xr:uid="{00000000-0005-0000-0000-000044920000}"/>
    <cellStyle name="Normal 3 4 5 2 2 2 2" xfId="16399" xr:uid="{00000000-0005-0000-0000-000045920000}"/>
    <cellStyle name="Normal 3 4 5 2 2 2 2 2" xfId="29967" xr:uid="{00000000-0005-0000-0000-000046920000}"/>
    <cellStyle name="Normal 3 4 5 2 2 2 2 2 2" xfId="57100" xr:uid="{00000000-0005-0000-0000-000047920000}"/>
    <cellStyle name="Normal 3 4 5 2 2 2 2 3" xfId="43538" xr:uid="{00000000-0005-0000-0000-000048920000}"/>
    <cellStyle name="Normal 3 4 5 2 2 2 3" xfId="23186" xr:uid="{00000000-0005-0000-0000-000049920000}"/>
    <cellStyle name="Normal 3 4 5 2 2 2 3 2" xfId="50319" xr:uid="{00000000-0005-0000-0000-00004A920000}"/>
    <cellStyle name="Normal 3 4 5 2 2 2 4" xfId="36757" xr:uid="{00000000-0005-0000-0000-00004B920000}"/>
    <cellStyle name="Normal 3 4 5 2 2 3" xfId="13010" xr:uid="{00000000-0005-0000-0000-00004C920000}"/>
    <cellStyle name="Normal 3 4 5 2 2 3 2" xfId="26578" xr:uid="{00000000-0005-0000-0000-00004D920000}"/>
    <cellStyle name="Normal 3 4 5 2 2 3 2 2" xfId="53711" xr:uid="{00000000-0005-0000-0000-00004E920000}"/>
    <cellStyle name="Normal 3 4 5 2 2 3 3" xfId="40149" xr:uid="{00000000-0005-0000-0000-00004F920000}"/>
    <cellStyle name="Normal 3 4 5 2 2 4" xfId="19797" xr:uid="{00000000-0005-0000-0000-000050920000}"/>
    <cellStyle name="Normal 3 4 5 2 2 4 2" xfId="46930" xr:uid="{00000000-0005-0000-0000-000051920000}"/>
    <cellStyle name="Normal 3 4 5 2 2 5" xfId="33368" xr:uid="{00000000-0005-0000-0000-000052920000}"/>
    <cellStyle name="Normal 3 4 5 2 3" xfId="6067" xr:uid="{00000000-0005-0000-0000-000053920000}"/>
    <cellStyle name="Normal 3 4 5 2 3 2" xfId="9610" xr:uid="{00000000-0005-0000-0000-000054920000}"/>
    <cellStyle name="Normal 3 4 5 2 3 2 2" xfId="16400" xr:uid="{00000000-0005-0000-0000-000055920000}"/>
    <cellStyle name="Normal 3 4 5 2 3 2 2 2" xfId="29968" xr:uid="{00000000-0005-0000-0000-000056920000}"/>
    <cellStyle name="Normal 3 4 5 2 3 2 2 2 2" xfId="57101" xr:uid="{00000000-0005-0000-0000-000057920000}"/>
    <cellStyle name="Normal 3 4 5 2 3 2 2 3" xfId="43539" xr:uid="{00000000-0005-0000-0000-000058920000}"/>
    <cellStyle name="Normal 3 4 5 2 3 2 3" xfId="23187" xr:uid="{00000000-0005-0000-0000-000059920000}"/>
    <cellStyle name="Normal 3 4 5 2 3 2 3 2" xfId="50320" xr:uid="{00000000-0005-0000-0000-00005A920000}"/>
    <cellStyle name="Normal 3 4 5 2 3 2 4" xfId="36758" xr:uid="{00000000-0005-0000-0000-00005B920000}"/>
    <cellStyle name="Normal 3 4 5 2 3 3" xfId="13011" xr:uid="{00000000-0005-0000-0000-00005C920000}"/>
    <cellStyle name="Normal 3 4 5 2 3 3 2" xfId="26579" xr:uid="{00000000-0005-0000-0000-00005D920000}"/>
    <cellStyle name="Normal 3 4 5 2 3 3 2 2" xfId="53712" xr:uid="{00000000-0005-0000-0000-00005E920000}"/>
    <cellStyle name="Normal 3 4 5 2 3 3 3" xfId="40150" xr:uid="{00000000-0005-0000-0000-00005F920000}"/>
    <cellStyle name="Normal 3 4 5 2 3 4" xfId="19798" xr:uid="{00000000-0005-0000-0000-000060920000}"/>
    <cellStyle name="Normal 3 4 5 2 3 4 2" xfId="46931" xr:uid="{00000000-0005-0000-0000-000061920000}"/>
    <cellStyle name="Normal 3 4 5 2 3 5" xfId="33369" xr:uid="{00000000-0005-0000-0000-000062920000}"/>
    <cellStyle name="Normal 3 4 5 2 4" xfId="7528" xr:uid="{00000000-0005-0000-0000-000063920000}"/>
    <cellStyle name="Normal 3 4 5 2 4 2" xfId="14318" xr:uid="{00000000-0005-0000-0000-000064920000}"/>
    <cellStyle name="Normal 3 4 5 2 4 2 2" xfId="27886" xr:uid="{00000000-0005-0000-0000-000065920000}"/>
    <cellStyle name="Normal 3 4 5 2 4 2 2 2" xfId="55019" xr:uid="{00000000-0005-0000-0000-000066920000}"/>
    <cellStyle name="Normal 3 4 5 2 4 2 3" xfId="41457" xr:uid="{00000000-0005-0000-0000-000067920000}"/>
    <cellStyle name="Normal 3 4 5 2 4 3" xfId="21105" xr:uid="{00000000-0005-0000-0000-000068920000}"/>
    <cellStyle name="Normal 3 4 5 2 4 3 2" xfId="48238" xr:uid="{00000000-0005-0000-0000-000069920000}"/>
    <cellStyle name="Normal 3 4 5 2 4 4" xfId="34676" xr:uid="{00000000-0005-0000-0000-00006A920000}"/>
    <cellStyle name="Normal 3 4 5 2 5" xfId="10929" xr:uid="{00000000-0005-0000-0000-00006B920000}"/>
    <cellStyle name="Normal 3 4 5 2 5 2" xfId="24497" xr:uid="{00000000-0005-0000-0000-00006C920000}"/>
    <cellStyle name="Normal 3 4 5 2 5 2 2" xfId="51630" xr:uid="{00000000-0005-0000-0000-00006D920000}"/>
    <cellStyle name="Normal 3 4 5 2 5 3" xfId="38068" xr:uid="{00000000-0005-0000-0000-00006E920000}"/>
    <cellStyle name="Normal 3 4 5 2 6" xfId="17716" xr:uid="{00000000-0005-0000-0000-00006F920000}"/>
    <cellStyle name="Normal 3 4 5 2 6 2" xfId="44849" xr:uid="{00000000-0005-0000-0000-000070920000}"/>
    <cellStyle name="Normal 3 4 5 2 7" xfId="31287" xr:uid="{00000000-0005-0000-0000-000071920000}"/>
    <cellStyle name="Normal 3 4 5 3" xfId="6068" xr:uid="{00000000-0005-0000-0000-000072920000}"/>
    <cellStyle name="Normal 3 4 5 3 2" xfId="6069" xr:uid="{00000000-0005-0000-0000-000073920000}"/>
    <cellStyle name="Normal 3 4 5 3 2 2" xfId="9612" xr:uid="{00000000-0005-0000-0000-000074920000}"/>
    <cellStyle name="Normal 3 4 5 3 2 2 2" xfId="16402" xr:uid="{00000000-0005-0000-0000-000075920000}"/>
    <cellStyle name="Normal 3 4 5 3 2 2 2 2" xfId="29970" xr:uid="{00000000-0005-0000-0000-000076920000}"/>
    <cellStyle name="Normal 3 4 5 3 2 2 2 2 2" xfId="57103" xr:uid="{00000000-0005-0000-0000-000077920000}"/>
    <cellStyle name="Normal 3 4 5 3 2 2 2 3" xfId="43541" xr:uid="{00000000-0005-0000-0000-000078920000}"/>
    <cellStyle name="Normal 3 4 5 3 2 2 3" xfId="23189" xr:uid="{00000000-0005-0000-0000-000079920000}"/>
    <cellStyle name="Normal 3 4 5 3 2 2 3 2" xfId="50322" xr:uid="{00000000-0005-0000-0000-00007A920000}"/>
    <cellStyle name="Normal 3 4 5 3 2 2 4" xfId="36760" xr:uid="{00000000-0005-0000-0000-00007B920000}"/>
    <cellStyle name="Normal 3 4 5 3 2 3" xfId="13013" xr:uid="{00000000-0005-0000-0000-00007C920000}"/>
    <cellStyle name="Normal 3 4 5 3 2 3 2" xfId="26581" xr:uid="{00000000-0005-0000-0000-00007D920000}"/>
    <cellStyle name="Normal 3 4 5 3 2 3 2 2" xfId="53714" xr:uid="{00000000-0005-0000-0000-00007E920000}"/>
    <cellStyle name="Normal 3 4 5 3 2 3 3" xfId="40152" xr:uid="{00000000-0005-0000-0000-00007F920000}"/>
    <cellStyle name="Normal 3 4 5 3 2 4" xfId="19800" xr:uid="{00000000-0005-0000-0000-000080920000}"/>
    <cellStyle name="Normal 3 4 5 3 2 4 2" xfId="46933" xr:uid="{00000000-0005-0000-0000-000081920000}"/>
    <cellStyle name="Normal 3 4 5 3 2 5" xfId="33371" xr:uid="{00000000-0005-0000-0000-000082920000}"/>
    <cellStyle name="Normal 3 4 5 3 3" xfId="9611" xr:uid="{00000000-0005-0000-0000-000083920000}"/>
    <cellStyle name="Normal 3 4 5 3 3 2" xfId="16401" xr:uid="{00000000-0005-0000-0000-000084920000}"/>
    <cellStyle name="Normal 3 4 5 3 3 2 2" xfId="29969" xr:uid="{00000000-0005-0000-0000-000085920000}"/>
    <cellStyle name="Normal 3 4 5 3 3 2 2 2" xfId="57102" xr:uid="{00000000-0005-0000-0000-000086920000}"/>
    <cellStyle name="Normal 3 4 5 3 3 2 3" xfId="43540" xr:uid="{00000000-0005-0000-0000-000087920000}"/>
    <cellStyle name="Normal 3 4 5 3 3 3" xfId="23188" xr:uid="{00000000-0005-0000-0000-000088920000}"/>
    <cellStyle name="Normal 3 4 5 3 3 3 2" xfId="50321" xr:uid="{00000000-0005-0000-0000-000089920000}"/>
    <cellStyle name="Normal 3 4 5 3 3 4" xfId="36759" xr:uid="{00000000-0005-0000-0000-00008A920000}"/>
    <cellStyle name="Normal 3 4 5 3 4" xfId="13012" xr:uid="{00000000-0005-0000-0000-00008B920000}"/>
    <cellStyle name="Normal 3 4 5 3 4 2" xfId="26580" xr:uid="{00000000-0005-0000-0000-00008C920000}"/>
    <cellStyle name="Normal 3 4 5 3 4 2 2" xfId="53713" xr:uid="{00000000-0005-0000-0000-00008D920000}"/>
    <cellStyle name="Normal 3 4 5 3 4 3" xfId="40151" xr:uid="{00000000-0005-0000-0000-00008E920000}"/>
    <cellStyle name="Normal 3 4 5 3 5" xfId="19799" xr:uid="{00000000-0005-0000-0000-00008F920000}"/>
    <cellStyle name="Normal 3 4 5 3 5 2" xfId="46932" xr:uid="{00000000-0005-0000-0000-000090920000}"/>
    <cellStyle name="Normal 3 4 5 3 6" xfId="33370" xr:uid="{00000000-0005-0000-0000-000091920000}"/>
    <cellStyle name="Normal 3 4 5 4" xfId="6070" xr:uid="{00000000-0005-0000-0000-000092920000}"/>
    <cellStyle name="Normal 3 4 5 4 2" xfId="9613" xr:uid="{00000000-0005-0000-0000-000093920000}"/>
    <cellStyle name="Normal 3 4 5 4 2 2" xfId="16403" xr:uid="{00000000-0005-0000-0000-000094920000}"/>
    <cellStyle name="Normal 3 4 5 4 2 2 2" xfId="29971" xr:uid="{00000000-0005-0000-0000-000095920000}"/>
    <cellStyle name="Normal 3 4 5 4 2 2 2 2" xfId="57104" xr:uid="{00000000-0005-0000-0000-000096920000}"/>
    <cellStyle name="Normal 3 4 5 4 2 2 3" xfId="43542" xr:uid="{00000000-0005-0000-0000-000097920000}"/>
    <cellStyle name="Normal 3 4 5 4 2 3" xfId="23190" xr:uid="{00000000-0005-0000-0000-000098920000}"/>
    <cellStyle name="Normal 3 4 5 4 2 3 2" xfId="50323" xr:uid="{00000000-0005-0000-0000-000099920000}"/>
    <cellStyle name="Normal 3 4 5 4 2 4" xfId="36761" xr:uid="{00000000-0005-0000-0000-00009A920000}"/>
    <cellStyle name="Normal 3 4 5 4 3" xfId="13014" xr:uid="{00000000-0005-0000-0000-00009B920000}"/>
    <cellStyle name="Normal 3 4 5 4 3 2" xfId="26582" xr:uid="{00000000-0005-0000-0000-00009C920000}"/>
    <cellStyle name="Normal 3 4 5 4 3 2 2" xfId="53715" xr:uid="{00000000-0005-0000-0000-00009D920000}"/>
    <cellStyle name="Normal 3 4 5 4 3 3" xfId="40153" xr:uid="{00000000-0005-0000-0000-00009E920000}"/>
    <cellStyle name="Normal 3 4 5 4 4" xfId="19801" xr:uid="{00000000-0005-0000-0000-00009F920000}"/>
    <cellStyle name="Normal 3 4 5 4 4 2" xfId="46934" xr:uid="{00000000-0005-0000-0000-0000A0920000}"/>
    <cellStyle name="Normal 3 4 5 4 5" xfId="33372" xr:uid="{00000000-0005-0000-0000-0000A1920000}"/>
    <cellStyle name="Normal 3 4 5 5" xfId="6071" xr:uid="{00000000-0005-0000-0000-0000A2920000}"/>
    <cellStyle name="Normal 3 4 5 5 2" xfId="9614" xr:uid="{00000000-0005-0000-0000-0000A3920000}"/>
    <cellStyle name="Normal 3 4 5 5 2 2" xfId="16404" xr:uid="{00000000-0005-0000-0000-0000A4920000}"/>
    <cellStyle name="Normal 3 4 5 5 2 2 2" xfId="29972" xr:uid="{00000000-0005-0000-0000-0000A5920000}"/>
    <cellStyle name="Normal 3 4 5 5 2 2 2 2" xfId="57105" xr:uid="{00000000-0005-0000-0000-0000A6920000}"/>
    <cellStyle name="Normal 3 4 5 5 2 2 3" xfId="43543" xr:uid="{00000000-0005-0000-0000-0000A7920000}"/>
    <cellStyle name="Normal 3 4 5 5 2 3" xfId="23191" xr:uid="{00000000-0005-0000-0000-0000A8920000}"/>
    <cellStyle name="Normal 3 4 5 5 2 3 2" xfId="50324" xr:uid="{00000000-0005-0000-0000-0000A9920000}"/>
    <cellStyle name="Normal 3 4 5 5 2 4" xfId="36762" xr:uid="{00000000-0005-0000-0000-0000AA920000}"/>
    <cellStyle name="Normal 3 4 5 5 3" xfId="13015" xr:uid="{00000000-0005-0000-0000-0000AB920000}"/>
    <cellStyle name="Normal 3 4 5 5 3 2" xfId="26583" xr:uid="{00000000-0005-0000-0000-0000AC920000}"/>
    <cellStyle name="Normal 3 4 5 5 3 2 2" xfId="53716" xr:uid="{00000000-0005-0000-0000-0000AD920000}"/>
    <cellStyle name="Normal 3 4 5 5 3 3" xfId="40154" xr:uid="{00000000-0005-0000-0000-0000AE920000}"/>
    <cellStyle name="Normal 3 4 5 5 4" xfId="19802" xr:uid="{00000000-0005-0000-0000-0000AF920000}"/>
    <cellStyle name="Normal 3 4 5 5 4 2" xfId="46935" xr:uid="{00000000-0005-0000-0000-0000B0920000}"/>
    <cellStyle name="Normal 3 4 5 5 5" xfId="33373" xr:uid="{00000000-0005-0000-0000-0000B1920000}"/>
    <cellStyle name="Normal 3 4 5 6" xfId="7527" xr:uid="{00000000-0005-0000-0000-0000B2920000}"/>
    <cellStyle name="Normal 3 4 5 6 2" xfId="14317" xr:uid="{00000000-0005-0000-0000-0000B3920000}"/>
    <cellStyle name="Normal 3 4 5 6 2 2" xfId="27885" xr:uid="{00000000-0005-0000-0000-0000B4920000}"/>
    <cellStyle name="Normal 3 4 5 6 2 2 2" xfId="55018" xr:uid="{00000000-0005-0000-0000-0000B5920000}"/>
    <cellStyle name="Normal 3 4 5 6 2 3" xfId="41456" xr:uid="{00000000-0005-0000-0000-0000B6920000}"/>
    <cellStyle name="Normal 3 4 5 6 3" xfId="21104" xr:uid="{00000000-0005-0000-0000-0000B7920000}"/>
    <cellStyle name="Normal 3 4 5 6 3 2" xfId="48237" xr:uid="{00000000-0005-0000-0000-0000B8920000}"/>
    <cellStyle name="Normal 3 4 5 6 4" xfId="34675" xr:uid="{00000000-0005-0000-0000-0000B9920000}"/>
    <cellStyle name="Normal 3 4 5 7" xfId="10928" xr:uid="{00000000-0005-0000-0000-0000BA920000}"/>
    <cellStyle name="Normal 3 4 5 7 2" xfId="24496" xr:uid="{00000000-0005-0000-0000-0000BB920000}"/>
    <cellStyle name="Normal 3 4 5 7 2 2" xfId="51629" xr:uid="{00000000-0005-0000-0000-0000BC920000}"/>
    <cellStyle name="Normal 3 4 5 7 3" xfId="38067" xr:uid="{00000000-0005-0000-0000-0000BD920000}"/>
    <cellStyle name="Normal 3 4 5 8" xfId="17715" xr:uid="{00000000-0005-0000-0000-0000BE920000}"/>
    <cellStyle name="Normal 3 4 5 8 2" xfId="44848" xr:uid="{00000000-0005-0000-0000-0000BF920000}"/>
    <cellStyle name="Normal 3 4 5 9" xfId="31286" xr:uid="{00000000-0005-0000-0000-0000C0920000}"/>
    <cellStyle name="Normal 3 4 6" xfId="2716" xr:uid="{00000000-0005-0000-0000-0000C1920000}"/>
    <cellStyle name="Normal 3 4 6 2" xfId="2717" xr:uid="{00000000-0005-0000-0000-0000C2920000}"/>
    <cellStyle name="Normal 3 4 6 2 2" xfId="6072" xr:uid="{00000000-0005-0000-0000-0000C3920000}"/>
    <cellStyle name="Normal 3 4 6 2 2 2" xfId="9615" xr:uid="{00000000-0005-0000-0000-0000C4920000}"/>
    <cellStyle name="Normal 3 4 6 2 2 2 2" xfId="16405" xr:uid="{00000000-0005-0000-0000-0000C5920000}"/>
    <cellStyle name="Normal 3 4 6 2 2 2 2 2" xfId="29973" xr:uid="{00000000-0005-0000-0000-0000C6920000}"/>
    <cellStyle name="Normal 3 4 6 2 2 2 2 2 2" xfId="57106" xr:uid="{00000000-0005-0000-0000-0000C7920000}"/>
    <cellStyle name="Normal 3 4 6 2 2 2 2 3" xfId="43544" xr:uid="{00000000-0005-0000-0000-0000C8920000}"/>
    <cellStyle name="Normal 3 4 6 2 2 2 3" xfId="23192" xr:uid="{00000000-0005-0000-0000-0000C9920000}"/>
    <cellStyle name="Normal 3 4 6 2 2 2 3 2" xfId="50325" xr:uid="{00000000-0005-0000-0000-0000CA920000}"/>
    <cellStyle name="Normal 3 4 6 2 2 2 4" xfId="36763" xr:uid="{00000000-0005-0000-0000-0000CB920000}"/>
    <cellStyle name="Normal 3 4 6 2 2 3" xfId="13016" xr:uid="{00000000-0005-0000-0000-0000CC920000}"/>
    <cellStyle name="Normal 3 4 6 2 2 3 2" xfId="26584" xr:uid="{00000000-0005-0000-0000-0000CD920000}"/>
    <cellStyle name="Normal 3 4 6 2 2 3 2 2" xfId="53717" xr:uid="{00000000-0005-0000-0000-0000CE920000}"/>
    <cellStyle name="Normal 3 4 6 2 2 3 3" xfId="40155" xr:uid="{00000000-0005-0000-0000-0000CF920000}"/>
    <cellStyle name="Normal 3 4 6 2 2 4" xfId="19803" xr:uid="{00000000-0005-0000-0000-0000D0920000}"/>
    <cellStyle name="Normal 3 4 6 2 2 4 2" xfId="46936" xr:uid="{00000000-0005-0000-0000-0000D1920000}"/>
    <cellStyle name="Normal 3 4 6 2 2 5" xfId="33374" xr:uid="{00000000-0005-0000-0000-0000D2920000}"/>
    <cellStyle name="Normal 3 4 6 2 3" xfId="6073" xr:uid="{00000000-0005-0000-0000-0000D3920000}"/>
    <cellStyle name="Normal 3 4 6 2 3 2" xfId="9616" xr:uid="{00000000-0005-0000-0000-0000D4920000}"/>
    <cellStyle name="Normal 3 4 6 2 3 2 2" xfId="16406" xr:uid="{00000000-0005-0000-0000-0000D5920000}"/>
    <cellStyle name="Normal 3 4 6 2 3 2 2 2" xfId="29974" xr:uid="{00000000-0005-0000-0000-0000D6920000}"/>
    <cellStyle name="Normal 3 4 6 2 3 2 2 2 2" xfId="57107" xr:uid="{00000000-0005-0000-0000-0000D7920000}"/>
    <cellStyle name="Normal 3 4 6 2 3 2 2 3" xfId="43545" xr:uid="{00000000-0005-0000-0000-0000D8920000}"/>
    <cellStyle name="Normal 3 4 6 2 3 2 3" xfId="23193" xr:uid="{00000000-0005-0000-0000-0000D9920000}"/>
    <cellStyle name="Normal 3 4 6 2 3 2 3 2" xfId="50326" xr:uid="{00000000-0005-0000-0000-0000DA920000}"/>
    <cellStyle name="Normal 3 4 6 2 3 2 4" xfId="36764" xr:uid="{00000000-0005-0000-0000-0000DB920000}"/>
    <cellStyle name="Normal 3 4 6 2 3 3" xfId="13017" xr:uid="{00000000-0005-0000-0000-0000DC920000}"/>
    <cellStyle name="Normal 3 4 6 2 3 3 2" xfId="26585" xr:uid="{00000000-0005-0000-0000-0000DD920000}"/>
    <cellStyle name="Normal 3 4 6 2 3 3 2 2" xfId="53718" xr:uid="{00000000-0005-0000-0000-0000DE920000}"/>
    <cellStyle name="Normal 3 4 6 2 3 3 3" xfId="40156" xr:uid="{00000000-0005-0000-0000-0000DF920000}"/>
    <cellStyle name="Normal 3 4 6 2 3 4" xfId="19804" xr:uid="{00000000-0005-0000-0000-0000E0920000}"/>
    <cellStyle name="Normal 3 4 6 2 3 4 2" xfId="46937" xr:uid="{00000000-0005-0000-0000-0000E1920000}"/>
    <cellStyle name="Normal 3 4 6 2 3 5" xfId="33375" xr:uid="{00000000-0005-0000-0000-0000E2920000}"/>
    <cellStyle name="Normal 3 4 6 2 4" xfId="7530" xr:uid="{00000000-0005-0000-0000-0000E3920000}"/>
    <cellStyle name="Normal 3 4 6 2 4 2" xfId="14320" xr:uid="{00000000-0005-0000-0000-0000E4920000}"/>
    <cellStyle name="Normal 3 4 6 2 4 2 2" xfId="27888" xr:uid="{00000000-0005-0000-0000-0000E5920000}"/>
    <cellStyle name="Normal 3 4 6 2 4 2 2 2" xfId="55021" xr:uid="{00000000-0005-0000-0000-0000E6920000}"/>
    <cellStyle name="Normal 3 4 6 2 4 2 3" xfId="41459" xr:uid="{00000000-0005-0000-0000-0000E7920000}"/>
    <cellStyle name="Normal 3 4 6 2 4 3" xfId="21107" xr:uid="{00000000-0005-0000-0000-0000E8920000}"/>
    <cellStyle name="Normal 3 4 6 2 4 3 2" xfId="48240" xr:uid="{00000000-0005-0000-0000-0000E9920000}"/>
    <cellStyle name="Normal 3 4 6 2 4 4" xfId="34678" xr:uid="{00000000-0005-0000-0000-0000EA920000}"/>
    <cellStyle name="Normal 3 4 6 2 5" xfId="10931" xr:uid="{00000000-0005-0000-0000-0000EB920000}"/>
    <cellStyle name="Normal 3 4 6 2 5 2" xfId="24499" xr:uid="{00000000-0005-0000-0000-0000EC920000}"/>
    <cellStyle name="Normal 3 4 6 2 5 2 2" xfId="51632" xr:uid="{00000000-0005-0000-0000-0000ED920000}"/>
    <cellStyle name="Normal 3 4 6 2 5 3" xfId="38070" xr:uid="{00000000-0005-0000-0000-0000EE920000}"/>
    <cellStyle name="Normal 3 4 6 2 6" xfId="17718" xr:uid="{00000000-0005-0000-0000-0000EF920000}"/>
    <cellStyle name="Normal 3 4 6 2 6 2" xfId="44851" xr:uid="{00000000-0005-0000-0000-0000F0920000}"/>
    <cellStyle name="Normal 3 4 6 2 7" xfId="31289" xr:uid="{00000000-0005-0000-0000-0000F1920000}"/>
    <cellStyle name="Normal 3 4 6 3" xfId="6074" xr:uid="{00000000-0005-0000-0000-0000F2920000}"/>
    <cellStyle name="Normal 3 4 6 3 2" xfId="9617" xr:uid="{00000000-0005-0000-0000-0000F3920000}"/>
    <cellStyle name="Normal 3 4 6 3 2 2" xfId="16407" xr:uid="{00000000-0005-0000-0000-0000F4920000}"/>
    <cellStyle name="Normal 3 4 6 3 2 2 2" xfId="29975" xr:uid="{00000000-0005-0000-0000-0000F5920000}"/>
    <cellStyle name="Normal 3 4 6 3 2 2 2 2" xfId="57108" xr:uid="{00000000-0005-0000-0000-0000F6920000}"/>
    <cellStyle name="Normal 3 4 6 3 2 2 3" xfId="43546" xr:uid="{00000000-0005-0000-0000-0000F7920000}"/>
    <cellStyle name="Normal 3 4 6 3 2 3" xfId="23194" xr:uid="{00000000-0005-0000-0000-0000F8920000}"/>
    <cellStyle name="Normal 3 4 6 3 2 3 2" xfId="50327" xr:uid="{00000000-0005-0000-0000-0000F9920000}"/>
    <cellStyle name="Normal 3 4 6 3 2 4" xfId="36765" xr:uid="{00000000-0005-0000-0000-0000FA920000}"/>
    <cellStyle name="Normal 3 4 6 3 3" xfId="13018" xr:uid="{00000000-0005-0000-0000-0000FB920000}"/>
    <cellStyle name="Normal 3 4 6 3 3 2" xfId="26586" xr:uid="{00000000-0005-0000-0000-0000FC920000}"/>
    <cellStyle name="Normal 3 4 6 3 3 2 2" xfId="53719" xr:uid="{00000000-0005-0000-0000-0000FD920000}"/>
    <cellStyle name="Normal 3 4 6 3 3 3" xfId="40157" xr:uid="{00000000-0005-0000-0000-0000FE920000}"/>
    <cellStyle name="Normal 3 4 6 3 4" xfId="19805" xr:uid="{00000000-0005-0000-0000-0000FF920000}"/>
    <cellStyle name="Normal 3 4 6 3 4 2" xfId="46938" xr:uid="{00000000-0005-0000-0000-000000930000}"/>
    <cellStyle name="Normal 3 4 6 3 5" xfId="33376" xr:uid="{00000000-0005-0000-0000-000001930000}"/>
    <cellStyle name="Normal 3 4 6 4" xfId="6075" xr:uid="{00000000-0005-0000-0000-000002930000}"/>
    <cellStyle name="Normal 3 4 6 4 2" xfId="9618" xr:uid="{00000000-0005-0000-0000-000003930000}"/>
    <cellStyle name="Normal 3 4 6 4 2 2" xfId="16408" xr:uid="{00000000-0005-0000-0000-000004930000}"/>
    <cellStyle name="Normal 3 4 6 4 2 2 2" xfId="29976" xr:uid="{00000000-0005-0000-0000-000005930000}"/>
    <cellStyle name="Normal 3 4 6 4 2 2 2 2" xfId="57109" xr:uid="{00000000-0005-0000-0000-000006930000}"/>
    <cellStyle name="Normal 3 4 6 4 2 2 3" xfId="43547" xr:uid="{00000000-0005-0000-0000-000007930000}"/>
    <cellStyle name="Normal 3 4 6 4 2 3" xfId="23195" xr:uid="{00000000-0005-0000-0000-000008930000}"/>
    <cellStyle name="Normal 3 4 6 4 2 3 2" xfId="50328" xr:uid="{00000000-0005-0000-0000-000009930000}"/>
    <cellStyle name="Normal 3 4 6 4 2 4" xfId="36766" xr:uid="{00000000-0005-0000-0000-00000A930000}"/>
    <cellStyle name="Normal 3 4 6 4 3" xfId="13019" xr:uid="{00000000-0005-0000-0000-00000B930000}"/>
    <cellStyle name="Normal 3 4 6 4 3 2" xfId="26587" xr:uid="{00000000-0005-0000-0000-00000C930000}"/>
    <cellStyle name="Normal 3 4 6 4 3 2 2" xfId="53720" xr:uid="{00000000-0005-0000-0000-00000D930000}"/>
    <cellStyle name="Normal 3 4 6 4 3 3" xfId="40158" xr:uid="{00000000-0005-0000-0000-00000E930000}"/>
    <cellStyle name="Normal 3 4 6 4 4" xfId="19806" xr:uid="{00000000-0005-0000-0000-00000F930000}"/>
    <cellStyle name="Normal 3 4 6 4 4 2" xfId="46939" xr:uid="{00000000-0005-0000-0000-000010930000}"/>
    <cellStyle name="Normal 3 4 6 4 5" xfId="33377" xr:uid="{00000000-0005-0000-0000-000011930000}"/>
    <cellStyle name="Normal 3 4 6 5" xfId="7529" xr:uid="{00000000-0005-0000-0000-000012930000}"/>
    <cellStyle name="Normal 3 4 6 5 2" xfId="14319" xr:uid="{00000000-0005-0000-0000-000013930000}"/>
    <cellStyle name="Normal 3 4 6 5 2 2" xfId="27887" xr:uid="{00000000-0005-0000-0000-000014930000}"/>
    <cellStyle name="Normal 3 4 6 5 2 2 2" xfId="55020" xr:uid="{00000000-0005-0000-0000-000015930000}"/>
    <cellStyle name="Normal 3 4 6 5 2 3" xfId="41458" xr:uid="{00000000-0005-0000-0000-000016930000}"/>
    <cellStyle name="Normal 3 4 6 5 3" xfId="21106" xr:uid="{00000000-0005-0000-0000-000017930000}"/>
    <cellStyle name="Normal 3 4 6 5 3 2" xfId="48239" xr:uid="{00000000-0005-0000-0000-000018930000}"/>
    <cellStyle name="Normal 3 4 6 5 4" xfId="34677" xr:uid="{00000000-0005-0000-0000-000019930000}"/>
    <cellStyle name="Normal 3 4 6 6" xfId="10930" xr:uid="{00000000-0005-0000-0000-00001A930000}"/>
    <cellStyle name="Normal 3 4 6 6 2" xfId="24498" xr:uid="{00000000-0005-0000-0000-00001B930000}"/>
    <cellStyle name="Normal 3 4 6 6 2 2" xfId="51631" xr:uid="{00000000-0005-0000-0000-00001C930000}"/>
    <cellStyle name="Normal 3 4 6 6 3" xfId="38069" xr:uid="{00000000-0005-0000-0000-00001D930000}"/>
    <cellStyle name="Normal 3 4 6 7" xfId="17717" xr:uid="{00000000-0005-0000-0000-00001E930000}"/>
    <cellStyle name="Normal 3 4 6 7 2" xfId="44850" xr:uid="{00000000-0005-0000-0000-00001F930000}"/>
    <cellStyle name="Normal 3 4 6 8" xfId="31288" xr:uid="{00000000-0005-0000-0000-000020930000}"/>
    <cellStyle name="Normal 3 4 7" xfId="2718" xr:uid="{00000000-0005-0000-0000-000021930000}"/>
    <cellStyle name="Normal 3 4 7 2" xfId="2719" xr:uid="{00000000-0005-0000-0000-000022930000}"/>
    <cellStyle name="Normal 3 4 7 2 2" xfId="6076" xr:uid="{00000000-0005-0000-0000-000023930000}"/>
    <cellStyle name="Normal 3 4 7 2 2 2" xfId="9619" xr:uid="{00000000-0005-0000-0000-000024930000}"/>
    <cellStyle name="Normal 3 4 7 2 2 2 2" xfId="16409" xr:uid="{00000000-0005-0000-0000-000025930000}"/>
    <cellStyle name="Normal 3 4 7 2 2 2 2 2" xfId="29977" xr:uid="{00000000-0005-0000-0000-000026930000}"/>
    <cellStyle name="Normal 3 4 7 2 2 2 2 2 2" xfId="57110" xr:uid="{00000000-0005-0000-0000-000027930000}"/>
    <cellStyle name="Normal 3 4 7 2 2 2 2 3" xfId="43548" xr:uid="{00000000-0005-0000-0000-000028930000}"/>
    <cellStyle name="Normal 3 4 7 2 2 2 3" xfId="23196" xr:uid="{00000000-0005-0000-0000-000029930000}"/>
    <cellStyle name="Normal 3 4 7 2 2 2 3 2" xfId="50329" xr:uid="{00000000-0005-0000-0000-00002A930000}"/>
    <cellStyle name="Normal 3 4 7 2 2 2 4" xfId="36767" xr:uid="{00000000-0005-0000-0000-00002B930000}"/>
    <cellStyle name="Normal 3 4 7 2 2 3" xfId="13020" xr:uid="{00000000-0005-0000-0000-00002C930000}"/>
    <cellStyle name="Normal 3 4 7 2 2 3 2" xfId="26588" xr:uid="{00000000-0005-0000-0000-00002D930000}"/>
    <cellStyle name="Normal 3 4 7 2 2 3 2 2" xfId="53721" xr:uid="{00000000-0005-0000-0000-00002E930000}"/>
    <cellStyle name="Normal 3 4 7 2 2 3 3" xfId="40159" xr:uid="{00000000-0005-0000-0000-00002F930000}"/>
    <cellStyle name="Normal 3 4 7 2 2 4" xfId="19807" xr:uid="{00000000-0005-0000-0000-000030930000}"/>
    <cellStyle name="Normal 3 4 7 2 2 4 2" xfId="46940" xr:uid="{00000000-0005-0000-0000-000031930000}"/>
    <cellStyle name="Normal 3 4 7 2 2 5" xfId="33378" xr:uid="{00000000-0005-0000-0000-000032930000}"/>
    <cellStyle name="Normal 3 4 7 2 3" xfId="6077" xr:uid="{00000000-0005-0000-0000-000033930000}"/>
    <cellStyle name="Normal 3 4 7 2 3 2" xfId="9620" xr:uid="{00000000-0005-0000-0000-000034930000}"/>
    <cellStyle name="Normal 3 4 7 2 3 2 2" xfId="16410" xr:uid="{00000000-0005-0000-0000-000035930000}"/>
    <cellStyle name="Normal 3 4 7 2 3 2 2 2" xfId="29978" xr:uid="{00000000-0005-0000-0000-000036930000}"/>
    <cellStyle name="Normal 3 4 7 2 3 2 2 2 2" xfId="57111" xr:uid="{00000000-0005-0000-0000-000037930000}"/>
    <cellStyle name="Normal 3 4 7 2 3 2 2 3" xfId="43549" xr:uid="{00000000-0005-0000-0000-000038930000}"/>
    <cellStyle name="Normal 3 4 7 2 3 2 3" xfId="23197" xr:uid="{00000000-0005-0000-0000-000039930000}"/>
    <cellStyle name="Normal 3 4 7 2 3 2 3 2" xfId="50330" xr:uid="{00000000-0005-0000-0000-00003A930000}"/>
    <cellStyle name="Normal 3 4 7 2 3 2 4" xfId="36768" xr:uid="{00000000-0005-0000-0000-00003B930000}"/>
    <cellStyle name="Normal 3 4 7 2 3 3" xfId="13021" xr:uid="{00000000-0005-0000-0000-00003C930000}"/>
    <cellStyle name="Normal 3 4 7 2 3 3 2" xfId="26589" xr:uid="{00000000-0005-0000-0000-00003D930000}"/>
    <cellStyle name="Normal 3 4 7 2 3 3 2 2" xfId="53722" xr:uid="{00000000-0005-0000-0000-00003E930000}"/>
    <cellStyle name="Normal 3 4 7 2 3 3 3" xfId="40160" xr:uid="{00000000-0005-0000-0000-00003F930000}"/>
    <cellStyle name="Normal 3 4 7 2 3 4" xfId="19808" xr:uid="{00000000-0005-0000-0000-000040930000}"/>
    <cellStyle name="Normal 3 4 7 2 3 4 2" xfId="46941" xr:uid="{00000000-0005-0000-0000-000041930000}"/>
    <cellStyle name="Normal 3 4 7 2 3 5" xfId="33379" xr:uid="{00000000-0005-0000-0000-000042930000}"/>
    <cellStyle name="Normal 3 4 7 2 4" xfId="7532" xr:uid="{00000000-0005-0000-0000-000043930000}"/>
    <cellStyle name="Normal 3 4 7 2 4 2" xfId="14322" xr:uid="{00000000-0005-0000-0000-000044930000}"/>
    <cellStyle name="Normal 3 4 7 2 4 2 2" xfId="27890" xr:uid="{00000000-0005-0000-0000-000045930000}"/>
    <cellStyle name="Normal 3 4 7 2 4 2 2 2" xfId="55023" xr:uid="{00000000-0005-0000-0000-000046930000}"/>
    <cellStyle name="Normal 3 4 7 2 4 2 3" xfId="41461" xr:uid="{00000000-0005-0000-0000-000047930000}"/>
    <cellStyle name="Normal 3 4 7 2 4 3" xfId="21109" xr:uid="{00000000-0005-0000-0000-000048930000}"/>
    <cellStyle name="Normal 3 4 7 2 4 3 2" xfId="48242" xr:uid="{00000000-0005-0000-0000-000049930000}"/>
    <cellStyle name="Normal 3 4 7 2 4 4" xfId="34680" xr:uid="{00000000-0005-0000-0000-00004A930000}"/>
    <cellStyle name="Normal 3 4 7 2 5" xfId="10933" xr:uid="{00000000-0005-0000-0000-00004B930000}"/>
    <cellStyle name="Normal 3 4 7 2 5 2" xfId="24501" xr:uid="{00000000-0005-0000-0000-00004C930000}"/>
    <cellStyle name="Normal 3 4 7 2 5 2 2" xfId="51634" xr:uid="{00000000-0005-0000-0000-00004D930000}"/>
    <cellStyle name="Normal 3 4 7 2 5 3" xfId="38072" xr:uid="{00000000-0005-0000-0000-00004E930000}"/>
    <cellStyle name="Normal 3 4 7 2 6" xfId="17720" xr:uid="{00000000-0005-0000-0000-00004F930000}"/>
    <cellStyle name="Normal 3 4 7 2 6 2" xfId="44853" xr:uid="{00000000-0005-0000-0000-000050930000}"/>
    <cellStyle name="Normal 3 4 7 2 7" xfId="31291" xr:uid="{00000000-0005-0000-0000-000051930000}"/>
    <cellStyle name="Normal 3 4 7 3" xfId="6078" xr:uid="{00000000-0005-0000-0000-000052930000}"/>
    <cellStyle name="Normal 3 4 7 3 2" xfId="9621" xr:uid="{00000000-0005-0000-0000-000053930000}"/>
    <cellStyle name="Normal 3 4 7 3 2 2" xfId="16411" xr:uid="{00000000-0005-0000-0000-000054930000}"/>
    <cellStyle name="Normal 3 4 7 3 2 2 2" xfId="29979" xr:uid="{00000000-0005-0000-0000-000055930000}"/>
    <cellStyle name="Normal 3 4 7 3 2 2 2 2" xfId="57112" xr:uid="{00000000-0005-0000-0000-000056930000}"/>
    <cellStyle name="Normal 3 4 7 3 2 2 3" xfId="43550" xr:uid="{00000000-0005-0000-0000-000057930000}"/>
    <cellStyle name="Normal 3 4 7 3 2 3" xfId="23198" xr:uid="{00000000-0005-0000-0000-000058930000}"/>
    <cellStyle name="Normal 3 4 7 3 2 3 2" xfId="50331" xr:uid="{00000000-0005-0000-0000-000059930000}"/>
    <cellStyle name="Normal 3 4 7 3 2 4" xfId="36769" xr:uid="{00000000-0005-0000-0000-00005A930000}"/>
    <cellStyle name="Normal 3 4 7 3 3" xfId="13022" xr:uid="{00000000-0005-0000-0000-00005B930000}"/>
    <cellStyle name="Normal 3 4 7 3 3 2" xfId="26590" xr:uid="{00000000-0005-0000-0000-00005C930000}"/>
    <cellStyle name="Normal 3 4 7 3 3 2 2" xfId="53723" xr:uid="{00000000-0005-0000-0000-00005D930000}"/>
    <cellStyle name="Normal 3 4 7 3 3 3" xfId="40161" xr:uid="{00000000-0005-0000-0000-00005E930000}"/>
    <cellStyle name="Normal 3 4 7 3 4" xfId="19809" xr:uid="{00000000-0005-0000-0000-00005F930000}"/>
    <cellStyle name="Normal 3 4 7 3 4 2" xfId="46942" xr:uid="{00000000-0005-0000-0000-000060930000}"/>
    <cellStyle name="Normal 3 4 7 3 5" xfId="33380" xr:uid="{00000000-0005-0000-0000-000061930000}"/>
    <cellStyle name="Normal 3 4 7 4" xfId="6079" xr:uid="{00000000-0005-0000-0000-000062930000}"/>
    <cellStyle name="Normal 3 4 7 4 2" xfId="9622" xr:uid="{00000000-0005-0000-0000-000063930000}"/>
    <cellStyle name="Normal 3 4 7 4 2 2" xfId="16412" xr:uid="{00000000-0005-0000-0000-000064930000}"/>
    <cellStyle name="Normal 3 4 7 4 2 2 2" xfId="29980" xr:uid="{00000000-0005-0000-0000-000065930000}"/>
    <cellStyle name="Normal 3 4 7 4 2 2 2 2" xfId="57113" xr:uid="{00000000-0005-0000-0000-000066930000}"/>
    <cellStyle name="Normal 3 4 7 4 2 2 3" xfId="43551" xr:uid="{00000000-0005-0000-0000-000067930000}"/>
    <cellStyle name="Normal 3 4 7 4 2 3" xfId="23199" xr:uid="{00000000-0005-0000-0000-000068930000}"/>
    <cellStyle name="Normal 3 4 7 4 2 3 2" xfId="50332" xr:uid="{00000000-0005-0000-0000-000069930000}"/>
    <cellStyle name="Normal 3 4 7 4 2 4" xfId="36770" xr:uid="{00000000-0005-0000-0000-00006A930000}"/>
    <cellStyle name="Normal 3 4 7 4 3" xfId="13023" xr:uid="{00000000-0005-0000-0000-00006B930000}"/>
    <cellStyle name="Normal 3 4 7 4 3 2" xfId="26591" xr:uid="{00000000-0005-0000-0000-00006C930000}"/>
    <cellStyle name="Normal 3 4 7 4 3 2 2" xfId="53724" xr:uid="{00000000-0005-0000-0000-00006D930000}"/>
    <cellStyle name="Normal 3 4 7 4 3 3" xfId="40162" xr:uid="{00000000-0005-0000-0000-00006E930000}"/>
    <cellStyle name="Normal 3 4 7 4 4" xfId="19810" xr:uid="{00000000-0005-0000-0000-00006F930000}"/>
    <cellStyle name="Normal 3 4 7 4 4 2" xfId="46943" xr:uid="{00000000-0005-0000-0000-000070930000}"/>
    <cellStyle name="Normal 3 4 7 4 5" xfId="33381" xr:uid="{00000000-0005-0000-0000-000071930000}"/>
    <cellStyle name="Normal 3 4 7 5" xfId="7531" xr:uid="{00000000-0005-0000-0000-000072930000}"/>
    <cellStyle name="Normal 3 4 7 5 2" xfId="14321" xr:uid="{00000000-0005-0000-0000-000073930000}"/>
    <cellStyle name="Normal 3 4 7 5 2 2" xfId="27889" xr:uid="{00000000-0005-0000-0000-000074930000}"/>
    <cellStyle name="Normal 3 4 7 5 2 2 2" xfId="55022" xr:uid="{00000000-0005-0000-0000-000075930000}"/>
    <cellStyle name="Normal 3 4 7 5 2 3" xfId="41460" xr:uid="{00000000-0005-0000-0000-000076930000}"/>
    <cellStyle name="Normal 3 4 7 5 3" xfId="21108" xr:uid="{00000000-0005-0000-0000-000077930000}"/>
    <cellStyle name="Normal 3 4 7 5 3 2" xfId="48241" xr:uid="{00000000-0005-0000-0000-000078930000}"/>
    <cellStyle name="Normal 3 4 7 5 4" xfId="34679" xr:uid="{00000000-0005-0000-0000-000079930000}"/>
    <cellStyle name="Normal 3 4 7 6" xfId="10932" xr:uid="{00000000-0005-0000-0000-00007A930000}"/>
    <cellStyle name="Normal 3 4 7 6 2" xfId="24500" xr:uid="{00000000-0005-0000-0000-00007B930000}"/>
    <cellStyle name="Normal 3 4 7 6 2 2" xfId="51633" xr:uid="{00000000-0005-0000-0000-00007C930000}"/>
    <cellStyle name="Normal 3 4 7 6 3" xfId="38071" xr:uid="{00000000-0005-0000-0000-00007D930000}"/>
    <cellStyle name="Normal 3 4 7 7" xfId="17719" xr:uid="{00000000-0005-0000-0000-00007E930000}"/>
    <cellStyle name="Normal 3 4 7 7 2" xfId="44852" xr:uid="{00000000-0005-0000-0000-00007F930000}"/>
    <cellStyle name="Normal 3 4 7 8" xfId="31290" xr:uid="{00000000-0005-0000-0000-000080930000}"/>
    <cellStyle name="Normal 3 4 8" xfId="2720" xr:uid="{00000000-0005-0000-0000-000081930000}"/>
    <cellStyle name="Normal 3 4 8 2" xfId="2721" xr:uid="{00000000-0005-0000-0000-000082930000}"/>
    <cellStyle name="Normal 3 4 8 2 2" xfId="7534" xr:uid="{00000000-0005-0000-0000-000083930000}"/>
    <cellStyle name="Normal 3 4 8 2 2 2" xfId="14324" xr:uid="{00000000-0005-0000-0000-000084930000}"/>
    <cellStyle name="Normal 3 4 8 2 2 2 2" xfId="27892" xr:uid="{00000000-0005-0000-0000-000085930000}"/>
    <cellStyle name="Normal 3 4 8 2 2 2 2 2" xfId="55025" xr:uid="{00000000-0005-0000-0000-000086930000}"/>
    <cellStyle name="Normal 3 4 8 2 2 2 3" xfId="41463" xr:uid="{00000000-0005-0000-0000-000087930000}"/>
    <cellStyle name="Normal 3 4 8 2 2 3" xfId="21111" xr:uid="{00000000-0005-0000-0000-000088930000}"/>
    <cellStyle name="Normal 3 4 8 2 2 3 2" xfId="48244" xr:uid="{00000000-0005-0000-0000-000089930000}"/>
    <cellStyle name="Normal 3 4 8 2 2 4" xfId="34682" xr:uid="{00000000-0005-0000-0000-00008A930000}"/>
    <cellStyle name="Normal 3 4 8 2 3" xfId="10935" xr:uid="{00000000-0005-0000-0000-00008B930000}"/>
    <cellStyle name="Normal 3 4 8 2 3 2" xfId="24503" xr:uid="{00000000-0005-0000-0000-00008C930000}"/>
    <cellStyle name="Normal 3 4 8 2 3 2 2" xfId="51636" xr:uid="{00000000-0005-0000-0000-00008D930000}"/>
    <cellStyle name="Normal 3 4 8 2 3 3" xfId="38074" xr:uid="{00000000-0005-0000-0000-00008E930000}"/>
    <cellStyle name="Normal 3 4 8 2 4" xfId="17722" xr:uid="{00000000-0005-0000-0000-00008F930000}"/>
    <cellStyle name="Normal 3 4 8 2 4 2" xfId="44855" xr:uid="{00000000-0005-0000-0000-000090930000}"/>
    <cellStyle name="Normal 3 4 8 2 5" xfId="31293" xr:uid="{00000000-0005-0000-0000-000091930000}"/>
    <cellStyle name="Normal 3 4 8 3" xfId="6080" xr:uid="{00000000-0005-0000-0000-000092930000}"/>
    <cellStyle name="Normal 3 4 8 3 2" xfId="9623" xr:uid="{00000000-0005-0000-0000-000093930000}"/>
    <cellStyle name="Normal 3 4 8 3 2 2" xfId="16413" xr:uid="{00000000-0005-0000-0000-000094930000}"/>
    <cellStyle name="Normal 3 4 8 3 2 2 2" xfId="29981" xr:uid="{00000000-0005-0000-0000-000095930000}"/>
    <cellStyle name="Normal 3 4 8 3 2 2 2 2" xfId="57114" xr:uid="{00000000-0005-0000-0000-000096930000}"/>
    <cellStyle name="Normal 3 4 8 3 2 2 3" xfId="43552" xr:uid="{00000000-0005-0000-0000-000097930000}"/>
    <cellStyle name="Normal 3 4 8 3 2 3" xfId="23200" xr:uid="{00000000-0005-0000-0000-000098930000}"/>
    <cellStyle name="Normal 3 4 8 3 2 3 2" xfId="50333" xr:uid="{00000000-0005-0000-0000-000099930000}"/>
    <cellStyle name="Normal 3 4 8 3 2 4" xfId="36771" xr:uid="{00000000-0005-0000-0000-00009A930000}"/>
    <cellStyle name="Normal 3 4 8 3 3" xfId="13024" xr:uid="{00000000-0005-0000-0000-00009B930000}"/>
    <cellStyle name="Normal 3 4 8 3 3 2" xfId="26592" xr:uid="{00000000-0005-0000-0000-00009C930000}"/>
    <cellStyle name="Normal 3 4 8 3 3 2 2" xfId="53725" xr:uid="{00000000-0005-0000-0000-00009D930000}"/>
    <cellStyle name="Normal 3 4 8 3 3 3" xfId="40163" xr:uid="{00000000-0005-0000-0000-00009E930000}"/>
    <cellStyle name="Normal 3 4 8 3 4" xfId="19811" xr:uid="{00000000-0005-0000-0000-00009F930000}"/>
    <cellStyle name="Normal 3 4 8 3 4 2" xfId="46944" xr:uid="{00000000-0005-0000-0000-0000A0930000}"/>
    <cellStyle name="Normal 3 4 8 3 5" xfId="33382" xr:uid="{00000000-0005-0000-0000-0000A1930000}"/>
    <cellStyle name="Normal 3 4 8 4" xfId="7533" xr:uid="{00000000-0005-0000-0000-0000A2930000}"/>
    <cellStyle name="Normal 3 4 8 4 2" xfId="14323" xr:uid="{00000000-0005-0000-0000-0000A3930000}"/>
    <cellStyle name="Normal 3 4 8 4 2 2" xfId="27891" xr:uid="{00000000-0005-0000-0000-0000A4930000}"/>
    <cellStyle name="Normal 3 4 8 4 2 2 2" xfId="55024" xr:uid="{00000000-0005-0000-0000-0000A5930000}"/>
    <cellStyle name="Normal 3 4 8 4 2 3" xfId="41462" xr:uid="{00000000-0005-0000-0000-0000A6930000}"/>
    <cellStyle name="Normal 3 4 8 4 3" xfId="21110" xr:uid="{00000000-0005-0000-0000-0000A7930000}"/>
    <cellStyle name="Normal 3 4 8 4 3 2" xfId="48243" xr:uid="{00000000-0005-0000-0000-0000A8930000}"/>
    <cellStyle name="Normal 3 4 8 4 4" xfId="34681" xr:uid="{00000000-0005-0000-0000-0000A9930000}"/>
    <cellStyle name="Normal 3 4 8 5" xfId="10934" xr:uid="{00000000-0005-0000-0000-0000AA930000}"/>
    <cellStyle name="Normal 3 4 8 5 2" xfId="24502" xr:uid="{00000000-0005-0000-0000-0000AB930000}"/>
    <cellStyle name="Normal 3 4 8 5 2 2" xfId="51635" xr:uid="{00000000-0005-0000-0000-0000AC930000}"/>
    <cellStyle name="Normal 3 4 8 5 3" xfId="38073" xr:uid="{00000000-0005-0000-0000-0000AD930000}"/>
    <cellStyle name="Normal 3 4 8 6" xfId="17721" xr:uid="{00000000-0005-0000-0000-0000AE930000}"/>
    <cellStyle name="Normal 3 4 8 6 2" xfId="44854" xr:uid="{00000000-0005-0000-0000-0000AF930000}"/>
    <cellStyle name="Normal 3 4 8 7" xfId="31292" xr:uid="{00000000-0005-0000-0000-0000B0930000}"/>
    <cellStyle name="Normal 3 4 9" xfId="2722" xr:uid="{00000000-0005-0000-0000-0000B1930000}"/>
    <cellStyle name="Normal 3 4 9 2" xfId="6081" xr:uid="{00000000-0005-0000-0000-0000B2930000}"/>
    <cellStyle name="Normal 3 4 9 2 2" xfId="9624" xr:uid="{00000000-0005-0000-0000-0000B3930000}"/>
    <cellStyle name="Normal 3 4 9 2 2 2" xfId="16414" xr:uid="{00000000-0005-0000-0000-0000B4930000}"/>
    <cellStyle name="Normal 3 4 9 2 2 2 2" xfId="29982" xr:uid="{00000000-0005-0000-0000-0000B5930000}"/>
    <cellStyle name="Normal 3 4 9 2 2 2 2 2" xfId="57115" xr:uid="{00000000-0005-0000-0000-0000B6930000}"/>
    <cellStyle name="Normal 3 4 9 2 2 2 3" xfId="43553" xr:uid="{00000000-0005-0000-0000-0000B7930000}"/>
    <cellStyle name="Normal 3 4 9 2 2 3" xfId="23201" xr:uid="{00000000-0005-0000-0000-0000B8930000}"/>
    <cellStyle name="Normal 3 4 9 2 2 3 2" xfId="50334" xr:uid="{00000000-0005-0000-0000-0000B9930000}"/>
    <cellStyle name="Normal 3 4 9 2 2 4" xfId="36772" xr:uid="{00000000-0005-0000-0000-0000BA930000}"/>
    <cellStyle name="Normal 3 4 9 2 3" xfId="13025" xr:uid="{00000000-0005-0000-0000-0000BB930000}"/>
    <cellStyle name="Normal 3 4 9 2 3 2" xfId="26593" xr:uid="{00000000-0005-0000-0000-0000BC930000}"/>
    <cellStyle name="Normal 3 4 9 2 3 2 2" xfId="53726" xr:uid="{00000000-0005-0000-0000-0000BD930000}"/>
    <cellStyle name="Normal 3 4 9 2 3 3" xfId="40164" xr:uid="{00000000-0005-0000-0000-0000BE930000}"/>
    <cellStyle name="Normal 3 4 9 2 4" xfId="19812" xr:uid="{00000000-0005-0000-0000-0000BF930000}"/>
    <cellStyle name="Normal 3 4 9 2 4 2" xfId="46945" xr:uid="{00000000-0005-0000-0000-0000C0930000}"/>
    <cellStyle name="Normal 3 4 9 2 5" xfId="33383" xr:uid="{00000000-0005-0000-0000-0000C1930000}"/>
    <cellStyle name="Normal 3 4 9 3" xfId="6082" xr:uid="{00000000-0005-0000-0000-0000C2930000}"/>
    <cellStyle name="Normal 3 4 9 3 2" xfId="9625" xr:uid="{00000000-0005-0000-0000-0000C3930000}"/>
    <cellStyle name="Normal 3 4 9 3 2 2" xfId="16415" xr:uid="{00000000-0005-0000-0000-0000C4930000}"/>
    <cellStyle name="Normal 3 4 9 3 2 2 2" xfId="29983" xr:uid="{00000000-0005-0000-0000-0000C5930000}"/>
    <cellStyle name="Normal 3 4 9 3 2 2 2 2" xfId="57116" xr:uid="{00000000-0005-0000-0000-0000C6930000}"/>
    <cellStyle name="Normal 3 4 9 3 2 2 3" xfId="43554" xr:uid="{00000000-0005-0000-0000-0000C7930000}"/>
    <cellStyle name="Normal 3 4 9 3 2 3" xfId="23202" xr:uid="{00000000-0005-0000-0000-0000C8930000}"/>
    <cellStyle name="Normal 3 4 9 3 2 3 2" xfId="50335" xr:uid="{00000000-0005-0000-0000-0000C9930000}"/>
    <cellStyle name="Normal 3 4 9 3 2 4" xfId="36773" xr:uid="{00000000-0005-0000-0000-0000CA930000}"/>
    <cellStyle name="Normal 3 4 9 3 3" xfId="13026" xr:uid="{00000000-0005-0000-0000-0000CB930000}"/>
    <cellStyle name="Normal 3 4 9 3 3 2" xfId="26594" xr:uid="{00000000-0005-0000-0000-0000CC930000}"/>
    <cellStyle name="Normal 3 4 9 3 3 2 2" xfId="53727" xr:uid="{00000000-0005-0000-0000-0000CD930000}"/>
    <cellStyle name="Normal 3 4 9 3 3 3" xfId="40165" xr:uid="{00000000-0005-0000-0000-0000CE930000}"/>
    <cellStyle name="Normal 3 4 9 3 4" xfId="19813" xr:uid="{00000000-0005-0000-0000-0000CF930000}"/>
    <cellStyle name="Normal 3 4 9 3 4 2" xfId="46946" xr:uid="{00000000-0005-0000-0000-0000D0930000}"/>
    <cellStyle name="Normal 3 4 9 3 5" xfId="33384" xr:uid="{00000000-0005-0000-0000-0000D1930000}"/>
    <cellStyle name="Normal 3 4 9 4" xfId="7535" xr:uid="{00000000-0005-0000-0000-0000D2930000}"/>
    <cellStyle name="Normal 3 4 9 4 2" xfId="14325" xr:uid="{00000000-0005-0000-0000-0000D3930000}"/>
    <cellStyle name="Normal 3 4 9 4 2 2" xfId="27893" xr:uid="{00000000-0005-0000-0000-0000D4930000}"/>
    <cellStyle name="Normal 3 4 9 4 2 2 2" xfId="55026" xr:uid="{00000000-0005-0000-0000-0000D5930000}"/>
    <cellStyle name="Normal 3 4 9 4 2 3" xfId="41464" xr:uid="{00000000-0005-0000-0000-0000D6930000}"/>
    <cellStyle name="Normal 3 4 9 4 3" xfId="21112" xr:uid="{00000000-0005-0000-0000-0000D7930000}"/>
    <cellStyle name="Normal 3 4 9 4 3 2" xfId="48245" xr:uid="{00000000-0005-0000-0000-0000D8930000}"/>
    <cellStyle name="Normal 3 4 9 4 4" xfId="34683" xr:uid="{00000000-0005-0000-0000-0000D9930000}"/>
    <cellStyle name="Normal 3 4 9 5" xfId="10936" xr:uid="{00000000-0005-0000-0000-0000DA930000}"/>
    <cellStyle name="Normal 3 4 9 5 2" xfId="24504" xr:uid="{00000000-0005-0000-0000-0000DB930000}"/>
    <cellStyle name="Normal 3 4 9 5 2 2" xfId="51637" xr:uid="{00000000-0005-0000-0000-0000DC930000}"/>
    <cellStyle name="Normal 3 4 9 5 3" xfId="38075" xr:uid="{00000000-0005-0000-0000-0000DD930000}"/>
    <cellStyle name="Normal 3 4 9 6" xfId="17723" xr:uid="{00000000-0005-0000-0000-0000DE930000}"/>
    <cellStyle name="Normal 3 4 9 6 2" xfId="44856" xr:uid="{00000000-0005-0000-0000-0000DF930000}"/>
    <cellStyle name="Normal 3 4 9 7" xfId="31294" xr:uid="{00000000-0005-0000-0000-0000E0930000}"/>
    <cellStyle name="Normal 3 5" xfId="2723" xr:uid="{00000000-0005-0000-0000-0000E1930000}"/>
    <cellStyle name="Normal 3 5 10" xfId="6083" xr:uid="{00000000-0005-0000-0000-0000E2930000}"/>
    <cellStyle name="Normal 3 5 10 2" xfId="9626" xr:uid="{00000000-0005-0000-0000-0000E3930000}"/>
    <cellStyle name="Normal 3 5 10 2 2" xfId="16416" xr:uid="{00000000-0005-0000-0000-0000E4930000}"/>
    <cellStyle name="Normal 3 5 10 2 2 2" xfId="29984" xr:uid="{00000000-0005-0000-0000-0000E5930000}"/>
    <cellStyle name="Normal 3 5 10 2 2 2 2" xfId="57117" xr:uid="{00000000-0005-0000-0000-0000E6930000}"/>
    <cellStyle name="Normal 3 5 10 2 2 3" xfId="43555" xr:uid="{00000000-0005-0000-0000-0000E7930000}"/>
    <cellStyle name="Normal 3 5 10 2 3" xfId="23203" xr:uid="{00000000-0005-0000-0000-0000E8930000}"/>
    <cellStyle name="Normal 3 5 10 2 3 2" xfId="50336" xr:uid="{00000000-0005-0000-0000-0000E9930000}"/>
    <cellStyle name="Normal 3 5 10 2 4" xfId="36774" xr:uid="{00000000-0005-0000-0000-0000EA930000}"/>
    <cellStyle name="Normal 3 5 10 3" xfId="13027" xr:uid="{00000000-0005-0000-0000-0000EB930000}"/>
    <cellStyle name="Normal 3 5 10 3 2" xfId="26595" xr:uid="{00000000-0005-0000-0000-0000EC930000}"/>
    <cellStyle name="Normal 3 5 10 3 2 2" xfId="53728" xr:uid="{00000000-0005-0000-0000-0000ED930000}"/>
    <cellStyle name="Normal 3 5 10 3 3" xfId="40166" xr:uid="{00000000-0005-0000-0000-0000EE930000}"/>
    <cellStyle name="Normal 3 5 10 4" xfId="19814" xr:uid="{00000000-0005-0000-0000-0000EF930000}"/>
    <cellStyle name="Normal 3 5 10 4 2" xfId="46947" xr:uid="{00000000-0005-0000-0000-0000F0930000}"/>
    <cellStyle name="Normal 3 5 10 5" xfId="33385" xr:uid="{00000000-0005-0000-0000-0000F1930000}"/>
    <cellStyle name="Normal 3 5 11" xfId="7536" xr:uid="{00000000-0005-0000-0000-0000F2930000}"/>
    <cellStyle name="Normal 3 5 11 2" xfId="14326" xr:uid="{00000000-0005-0000-0000-0000F3930000}"/>
    <cellStyle name="Normal 3 5 11 2 2" xfId="27894" xr:uid="{00000000-0005-0000-0000-0000F4930000}"/>
    <cellStyle name="Normal 3 5 11 2 2 2" xfId="55027" xr:uid="{00000000-0005-0000-0000-0000F5930000}"/>
    <cellStyle name="Normal 3 5 11 2 3" xfId="41465" xr:uid="{00000000-0005-0000-0000-0000F6930000}"/>
    <cellStyle name="Normal 3 5 11 3" xfId="21113" xr:uid="{00000000-0005-0000-0000-0000F7930000}"/>
    <cellStyle name="Normal 3 5 11 3 2" xfId="48246" xr:uid="{00000000-0005-0000-0000-0000F8930000}"/>
    <cellStyle name="Normal 3 5 11 4" xfId="34684" xr:uid="{00000000-0005-0000-0000-0000F9930000}"/>
    <cellStyle name="Normal 3 5 12" xfId="10937" xr:uid="{00000000-0005-0000-0000-0000FA930000}"/>
    <cellStyle name="Normal 3 5 12 2" xfId="24505" xr:uid="{00000000-0005-0000-0000-0000FB930000}"/>
    <cellStyle name="Normal 3 5 12 2 2" xfId="51638" xr:uid="{00000000-0005-0000-0000-0000FC930000}"/>
    <cellStyle name="Normal 3 5 12 3" xfId="38076" xr:uid="{00000000-0005-0000-0000-0000FD930000}"/>
    <cellStyle name="Normal 3 5 13" xfId="17724" xr:uid="{00000000-0005-0000-0000-0000FE930000}"/>
    <cellStyle name="Normal 3 5 13 2" xfId="44857" xr:uid="{00000000-0005-0000-0000-0000FF930000}"/>
    <cellStyle name="Normal 3 5 14" xfId="31295" xr:uid="{00000000-0005-0000-0000-000000940000}"/>
    <cellStyle name="Normal 3 5 2" xfId="2724" xr:uid="{00000000-0005-0000-0000-000001940000}"/>
    <cellStyle name="Normal 3 5 2 10" xfId="10938" xr:uid="{00000000-0005-0000-0000-000002940000}"/>
    <cellStyle name="Normal 3 5 2 10 2" xfId="24506" xr:uid="{00000000-0005-0000-0000-000003940000}"/>
    <cellStyle name="Normal 3 5 2 10 2 2" xfId="51639" xr:uid="{00000000-0005-0000-0000-000004940000}"/>
    <cellStyle name="Normal 3 5 2 10 3" xfId="38077" xr:uid="{00000000-0005-0000-0000-000005940000}"/>
    <cellStyle name="Normal 3 5 2 11" xfId="17725" xr:uid="{00000000-0005-0000-0000-000006940000}"/>
    <cellStyle name="Normal 3 5 2 11 2" xfId="44858" xr:uid="{00000000-0005-0000-0000-000007940000}"/>
    <cellStyle name="Normal 3 5 2 12" xfId="31296" xr:uid="{00000000-0005-0000-0000-000008940000}"/>
    <cellStyle name="Normal 3 5 2 2" xfId="2725" xr:uid="{00000000-0005-0000-0000-000009940000}"/>
    <cellStyle name="Normal 3 5 2 2 10" xfId="31297" xr:uid="{00000000-0005-0000-0000-00000A940000}"/>
    <cellStyle name="Normal 3 5 2 2 2" xfId="6084" xr:uid="{00000000-0005-0000-0000-00000B940000}"/>
    <cellStyle name="Normal 3 5 2 2 2 2" xfId="6085" xr:uid="{00000000-0005-0000-0000-00000C940000}"/>
    <cellStyle name="Normal 3 5 2 2 2 2 2" xfId="6086" xr:uid="{00000000-0005-0000-0000-00000D940000}"/>
    <cellStyle name="Normal 3 5 2 2 2 2 2 2" xfId="9629" xr:uid="{00000000-0005-0000-0000-00000E940000}"/>
    <cellStyle name="Normal 3 5 2 2 2 2 2 2 2" xfId="16419" xr:uid="{00000000-0005-0000-0000-00000F940000}"/>
    <cellStyle name="Normal 3 5 2 2 2 2 2 2 2 2" xfId="29987" xr:uid="{00000000-0005-0000-0000-000010940000}"/>
    <cellStyle name="Normal 3 5 2 2 2 2 2 2 2 2 2" xfId="57120" xr:uid="{00000000-0005-0000-0000-000011940000}"/>
    <cellStyle name="Normal 3 5 2 2 2 2 2 2 2 3" xfId="43558" xr:uid="{00000000-0005-0000-0000-000012940000}"/>
    <cellStyle name="Normal 3 5 2 2 2 2 2 2 3" xfId="23206" xr:uid="{00000000-0005-0000-0000-000013940000}"/>
    <cellStyle name="Normal 3 5 2 2 2 2 2 2 3 2" xfId="50339" xr:uid="{00000000-0005-0000-0000-000014940000}"/>
    <cellStyle name="Normal 3 5 2 2 2 2 2 2 4" xfId="36777" xr:uid="{00000000-0005-0000-0000-000015940000}"/>
    <cellStyle name="Normal 3 5 2 2 2 2 2 3" xfId="13030" xr:uid="{00000000-0005-0000-0000-000016940000}"/>
    <cellStyle name="Normal 3 5 2 2 2 2 2 3 2" xfId="26598" xr:uid="{00000000-0005-0000-0000-000017940000}"/>
    <cellStyle name="Normal 3 5 2 2 2 2 2 3 2 2" xfId="53731" xr:uid="{00000000-0005-0000-0000-000018940000}"/>
    <cellStyle name="Normal 3 5 2 2 2 2 2 3 3" xfId="40169" xr:uid="{00000000-0005-0000-0000-000019940000}"/>
    <cellStyle name="Normal 3 5 2 2 2 2 2 4" xfId="19817" xr:uid="{00000000-0005-0000-0000-00001A940000}"/>
    <cellStyle name="Normal 3 5 2 2 2 2 2 4 2" xfId="46950" xr:uid="{00000000-0005-0000-0000-00001B940000}"/>
    <cellStyle name="Normal 3 5 2 2 2 2 2 5" xfId="33388" xr:uid="{00000000-0005-0000-0000-00001C940000}"/>
    <cellStyle name="Normal 3 5 2 2 2 2 3" xfId="6087" xr:uid="{00000000-0005-0000-0000-00001D940000}"/>
    <cellStyle name="Normal 3 5 2 2 2 2 3 2" xfId="9630" xr:uid="{00000000-0005-0000-0000-00001E940000}"/>
    <cellStyle name="Normal 3 5 2 2 2 2 3 2 2" xfId="16420" xr:uid="{00000000-0005-0000-0000-00001F940000}"/>
    <cellStyle name="Normal 3 5 2 2 2 2 3 2 2 2" xfId="29988" xr:uid="{00000000-0005-0000-0000-000020940000}"/>
    <cellStyle name="Normal 3 5 2 2 2 2 3 2 2 2 2" xfId="57121" xr:uid="{00000000-0005-0000-0000-000021940000}"/>
    <cellStyle name="Normal 3 5 2 2 2 2 3 2 2 3" xfId="43559" xr:uid="{00000000-0005-0000-0000-000022940000}"/>
    <cellStyle name="Normal 3 5 2 2 2 2 3 2 3" xfId="23207" xr:uid="{00000000-0005-0000-0000-000023940000}"/>
    <cellStyle name="Normal 3 5 2 2 2 2 3 2 3 2" xfId="50340" xr:uid="{00000000-0005-0000-0000-000024940000}"/>
    <cellStyle name="Normal 3 5 2 2 2 2 3 2 4" xfId="36778" xr:uid="{00000000-0005-0000-0000-000025940000}"/>
    <cellStyle name="Normal 3 5 2 2 2 2 3 3" xfId="13031" xr:uid="{00000000-0005-0000-0000-000026940000}"/>
    <cellStyle name="Normal 3 5 2 2 2 2 3 3 2" xfId="26599" xr:uid="{00000000-0005-0000-0000-000027940000}"/>
    <cellStyle name="Normal 3 5 2 2 2 2 3 3 2 2" xfId="53732" xr:uid="{00000000-0005-0000-0000-000028940000}"/>
    <cellStyle name="Normal 3 5 2 2 2 2 3 3 3" xfId="40170" xr:uid="{00000000-0005-0000-0000-000029940000}"/>
    <cellStyle name="Normal 3 5 2 2 2 2 3 4" xfId="19818" xr:uid="{00000000-0005-0000-0000-00002A940000}"/>
    <cellStyle name="Normal 3 5 2 2 2 2 3 4 2" xfId="46951" xr:uid="{00000000-0005-0000-0000-00002B940000}"/>
    <cellStyle name="Normal 3 5 2 2 2 2 3 5" xfId="33389" xr:uid="{00000000-0005-0000-0000-00002C940000}"/>
    <cellStyle name="Normal 3 5 2 2 2 2 4" xfId="9628" xr:uid="{00000000-0005-0000-0000-00002D940000}"/>
    <cellStyle name="Normal 3 5 2 2 2 2 4 2" xfId="16418" xr:uid="{00000000-0005-0000-0000-00002E940000}"/>
    <cellStyle name="Normal 3 5 2 2 2 2 4 2 2" xfId="29986" xr:uid="{00000000-0005-0000-0000-00002F940000}"/>
    <cellStyle name="Normal 3 5 2 2 2 2 4 2 2 2" xfId="57119" xr:uid="{00000000-0005-0000-0000-000030940000}"/>
    <cellStyle name="Normal 3 5 2 2 2 2 4 2 3" xfId="43557" xr:uid="{00000000-0005-0000-0000-000031940000}"/>
    <cellStyle name="Normal 3 5 2 2 2 2 4 3" xfId="23205" xr:uid="{00000000-0005-0000-0000-000032940000}"/>
    <cellStyle name="Normal 3 5 2 2 2 2 4 3 2" xfId="50338" xr:uid="{00000000-0005-0000-0000-000033940000}"/>
    <cellStyle name="Normal 3 5 2 2 2 2 4 4" xfId="36776" xr:uid="{00000000-0005-0000-0000-000034940000}"/>
    <cellStyle name="Normal 3 5 2 2 2 2 5" xfId="13029" xr:uid="{00000000-0005-0000-0000-000035940000}"/>
    <cellStyle name="Normal 3 5 2 2 2 2 5 2" xfId="26597" xr:uid="{00000000-0005-0000-0000-000036940000}"/>
    <cellStyle name="Normal 3 5 2 2 2 2 5 2 2" xfId="53730" xr:uid="{00000000-0005-0000-0000-000037940000}"/>
    <cellStyle name="Normal 3 5 2 2 2 2 5 3" xfId="40168" xr:uid="{00000000-0005-0000-0000-000038940000}"/>
    <cellStyle name="Normal 3 5 2 2 2 2 6" xfId="19816" xr:uid="{00000000-0005-0000-0000-000039940000}"/>
    <cellStyle name="Normal 3 5 2 2 2 2 6 2" xfId="46949" xr:uid="{00000000-0005-0000-0000-00003A940000}"/>
    <cellStyle name="Normal 3 5 2 2 2 2 7" xfId="33387" xr:uid="{00000000-0005-0000-0000-00003B940000}"/>
    <cellStyle name="Normal 3 5 2 2 2 3" xfId="6088" xr:uid="{00000000-0005-0000-0000-00003C940000}"/>
    <cellStyle name="Normal 3 5 2 2 2 3 2" xfId="6089" xr:uid="{00000000-0005-0000-0000-00003D940000}"/>
    <cellStyle name="Normal 3 5 2 2 2 3 2 2" xfId="9632" xr:uid="{00000000-0005-0000-0000-00003E940000}"/>
    <cellStyle name="Normal 3 5 2 2 2 3 2 2 2" xfId="16422" xr:uid="{00000000-0005-0000-0000-00003F940000}"/>
    <cellStyle name="Normal 3 5 2 2 2 3 2 2 2 2" xfId="29990" xr:uid="{00000000-0005-0000-0000-000040940000}"/>
    <cellStyle name="Normal 3 5 2 2 2 3 2 2 2 2 2" xfId="57123" xr:uid="{00000000-0005-0000-0000-000041940000}"/>
    <cellStyle name="Normal 3 5 2 2 2 3 2 2 2 3" xfId="43561" xr:uid="{00000000-0005-0000-0000-000042940000}"/>
    <cellStyle name="Normal 3 5 2 2 2 3 2 2 3" xfId="23209" xr:uid="{00000000-0005-0000-0000-000043940000}"/>
    <cellStyle name="Normal 3 5 2 2 2 3 2 2 3 2" xfId="50342" xr:uid="{00000000-0005-0000-0000-000044940000}"/>
    <cellStyle name="Normal 3 5 2 2 2 3 2 2 4" xfId="36780" xr:uid="{00000000-0005-0000-0000-000045940000}"/>
    <cellStyle name="Normal 3 5 2 2 2 3 2 3" xfId="13033" xr:uid="{00000000-0005-0000-0000-000046940000}"/>
    <cellStyle name="Normal 3 5 2 2 2 3 2 3 2" xfId="26601" xr:uid="{00000000-0005-0000-0000-000047940000}"/>
    <cellStyle name="Normal 3 5 2 2 2 3 2 3 2 2" xfId="53734" xr:uid="{00000000-0005-0000-0000-000048940000}"/>
    <cellStyle name="Normal 3 5 2 2 2 3 2 3 3" xfId="40172" xr:uid="{00000000-0005-0000-0000-000049940000}"/>
    <cellStyle name="Normal 3 5 2 2 2 3 2 4" xfId="19820" xr:uid="{00000000-0005-0000-0000-00004A940000}"/>
    <cellStyle name="Normal 3 5 2 2 2 3 2 4 2" xfId="46953" xr:uid="{00000000-0005-0000-0000-00004B940000}"/>
    <cellStyle name="Normal 3 5 2 2 2 3 2 5" xfId="33391" xr:uid="{00000000-0005-0000-0000-00004C940000}"/>
    <cellStyle name="Normal 3 5 2 2 2 3 3" xfId="9631" xr:uid="{00000000-0005-0000-0000-00004D940000}"/>
    <cellStyle name="Normal 3 5 2 2 2 3 3 2" xfId="16421" xr:uid="{00000000-0005-0000-0000-00004E940000}"/>
    <cellStyle name="Normal 3 5 2 2 2 3 3 2 2" xfId="29989" xr:uid="{00000000-0005-0000-0000-00004F940000}"/>
    <cellStyle name="Normal 3 5 2 2 2 3 3 2 2 2" xfId="57122" xr:uid="{00000000-0005-0000-0000-000050940000}"/>
    <cellStyle name="Normal 3 5 2 2 2 3 3 2 3" xfId="43560" xr:uid="{00000000-0005-0000-0000-000051940000}"/>
    <cellStyle name="Normal 3 5 2 2 2 3 3 3" xfId="23208" xr:uid="{00000000-0005-0000-0000-000052940000}"/>
    <cellStyle name="Normal 3 5 2 2 2 3 3 3 2" xfId="50341" xr:uid="{00000000-0005-0000-0000-000053940000}"/>
    <cellStyle name="Normal 3 5 2 2 2 3 3 4" xfId="36779" xr:uid="{00000000-0005-0000-0000-000054940000}"/>
    <cellStyle name="Normal 3 5 2 2 2 3 4" xfId="13032" xr:uid="{00000000-0005-0000-0000-000055940000}"/>
    <cellStyle name="Normal 3 5 2 2 2 3 4 2" xfId="26600" xr:uid="{00000000-0005-0000-0000-000056940000}"/>
    <cellStyle name="Normal 3 5 2 2 2 3 4 2 2" xfId="53733" xr:uid="{00000000-0005-0000-0000-000057940000}"/>
    <cellStyle name="Normal 3 5 2 2 2 3 4 3" xfId="40171" xr:uid="{00000000-0005-0000-0000-000058940000}"/>
    <cellStyle name="Normal 3 5 2 2 2 3 5" xfId="19819" xr:uid="{00000000-0005-0000-0000-000059940000}"/>
    <cellStyle name="Normal 3 5 2 2 2 3 5 2" xfId="46952" xr:uid="{00000000-0005-0000-0000-00005A940000}"/>
    <cellStyle name="Normal 3 5 2 2 2 3 6" xfId="33390" xr:uid="{00000000-0005-0000-0000-00005B940000}"/>
    <cellStyle name="Normal 3 5 2 2 2 4" xfId="6090" xr:uid="{00000000-0005-0000-0000-00005C940000}"/>
    <cellStyle name="Normal 3 5 2 2 2 4 2" xfId="9633" xr:uid="{00000000-0005-0000-0000-00005D940000}"/>
    <cellStyle name="Normal 3 5 2 2 2 4 2 2" xfId="16423" xr:uid="{00000000-0005-0000-0000-00005E940000}"/>
    <cellStyle name="Normal 3 5 2 2 2 4 2 2 2" xfId="29991" xr:uid="{00000000-0005-0000-0000-00005F940000}"/>
    <cellStyle name="Normal 3 5 2 2 2 4 2 2 2 2" xfId="57124" xr:uid="{00000000-0005-0000-0000-000060940000}"/>
    <cellStyle name="Normal 3 5 2 2 2 4 2 2 3" xfId="43562" xr:uid="{00000000-0005-0000-0000-000061940000}"/>
    <cellStyle name="Normal 3 5 2 2 2 4 2 3" xfId="23210" xr:uid="{00000000-0005-0000-0000-000062940000}"/>
    <cellStyle name="Normal 3 5 2 2 2 4 2 3 2" xfId="50343" xr:uid="{00000000-0005-0000-0000-000063940000}"/>
    <cellStyle name="Normal 3 5 2 2 2 4 2 4" xfId="36781" xr:uid="{00000000-0005-0000-0000-000064940000}"/>
    <cellStyle name="Normal 3 5 2 2 2 4 3" xfId="13034" xr:uid="{00000000-0005-0000-0000-000065940000}"/>
    <cellStyle name="Normal 3 5 2 2 2 4 3 2" xfId="26602" xr:uid="{00000000-0005-0000-0000-000066940000}"/>
    <cellStyle name="Normal 3 5 2 2 2 4 3 2 2" xfId="53735" xr:uid="{00000000-0005-0000-0000-000067940000}"/>
    <cellStyle name="Normal 3 5 2 2 2 4 3 3" xfId="40173" xr:uid="{00000000-0005-0000-0000-000068940000}"/>
    <cellStyle name="Normal 3 5 2 2 2 4 4" xfId="19821" xr:uid="{00000000-0005-0000-0000-000069940000}"/>
    <cellStyle name="Normal 3 5 2 2 2 4 4 2" xfId="46954" xr:uid="{00000000-0005-0000-0000-00006A940000}"/>
    <cellStyle name="Normal 3 5 2 2 2 4 5" xfId="33392" xr:uid="{00000000-0005-0000-0000-00006B940000}"/>
    <cellStyle name="Normal 3 5 2 2 2 5" xfId="6091" xr:uid="{00000000-0005-0000-0000-00006C940000}"/>
    <cellStyle name="Normal 3 5 2 2 2 5 2" xfId="9634" xr:uid="{00000000-0005-0000-0000-00006D940000}"/>
    <cellStyle name="Normal 3 5 2 2 2 5 2 2" xfId="16424" xr:uid="{00000000-0005-0000-0000-00006E940000}"/>
    <cellStyle name="Normal 3 5 2 2 2 5 2 2 2" xfId="29992" xr:uid="{00000000-0005-0000-0000-00006F940000}"/>
    <cellStyle name="Normal 3 5 2 2 2 5 2 2 2 2" xfId="57125" xr:uid="{00000000-0005-0000-0000-000070940000}"/>
    <cellStyle name="Normal 3 5 2 2 2 5 2 2 3" xfId="43563" xr:uid="{00000000-0005-0000-0000-000071940000}"/>
    <cellStyle name="Normal 3 5 2 2 2 5 2 3" xfId="23211" xr:uid="{00000000-0005-0000-0000-000072940000}"/>
    <cellStyle name="Normal 3 5 2 2 2 5 2 3 2" xfId="50344" xr:uid="{00000000-0005-0000-0000-000073940000}"/>
    <cellStyle name="Normal 3 5 2 2 2 5 2 4" xfId="36782" xr:uid="{00000000-0005-0000-0000-000074940000}"/>
    <cellStyle name="Normal 3 5 2 2 2 5 3" xfId="13035" xr:uid="{00000000-0005-0000-0000-000075940000}"/>
    <cellStyle name="Normal 3 5 2 2 2 5 3 2" xfId="26603" xr:uid="{00000000-0005-0000-0000-000076940000}"/>
    <cellStyle name="Normal 3 5 2 2 2 5 3 2 2" xfId="53736" xr:uid="{00000000-0005-0000-0000-000077940000}"/>
    <cellStyle name="Normal 3 5 2 2 2 5 3 3" xfId="40174" xr:uid="{00000000-0005-0000-0000-000078940000}"/>
    <cellStyle name="Normal 3 5 2 2 2 5 4" xfId="19822" xr:uid="{00000000-0005-0000-0000-000079940000}"/>
    <cellStyle name="Normal 3 5 2 2 2 5 4 2" xfId="46955" xr:uid="{00000000-0005-0000-0000-00007A940000}"/>
    <cellStyle name="Normal 3 5 2 2 2 5 5" xfId="33393" xr:uid="{00000000-0005-0000-0000-00007B940000}"/>
    <cellStyle name="Normal 3 5 2 2 2 6" xfId="9627" xr:uid="{00000000-0005-0000-0000-00007C940000}"/>
    <cellStyle name="Normal 3 5 2 2 2 6 2" xfId="16417" xr:uid="{00000000-0005-0000-0000-00007D940000}"/>
    <cellStyle name="Normal 3 5 2 2 2 6 2 2" xfId="29985" xr:uid="{00000000-0005-0000-0000-00007E940000}"/>
    <cellStyle name="Normal 3 5 2 2 2 6 2 2 2" xfId="57118" xr:uid="{00000000-0005-0000-0000-00007F940000}"/>
    <cellStyle name="Normal 3 5 2 2 2 6 2 3" xfId="43556" xr:uid="{00000000-0005-0000-0000-000080940000}"/>
    <cellStyle name="Normal 3 5 2 2 2 6 3" xfId="23204" xr:uid="{00000000-0005-0000-0000-000081940000}"/>
    <cellStyle name="Normal 3 5 2 2 2 6 3 2" xfId="50337" xr:uid="{00000000-0005-0000-0000-000082940000}"/>
    <cellStyle name="Normal 3 5 2 2 2 6 4" xfId="36775" xr:uid="{00000000-0005-0000-0000-000083940000}"/>
    <cellStyle name="Normal 3 5 2 2 2 7" xfId="13028" xr:uid="{00000000-0005-0000-0000-000084940000}"/>
    <cellStyle name="Normal 3 5 2 2 2 7 2" xfId="26596" xr:uid="{00000000-0005-0000-0000-000085940000}"/>
    <cellStyle name="Normal 3 5 2 2 2 7 2 2" xfId="53729" xr:uid="{00000000-0005-0000-0000-000086940000}"/>
    <cellStyle name="Normal 3 5 2 2 2 7 3" xfId="40167" xr:uid="{00000000-0005-0000-0000-000087940000}"/>
    <cellStyle name="Normal 3 5 2 2 2 8" xfId="19815" xr:uid="{00000000-0005-0000-0000-000088940000}"/>
    <cellStyle name="Normal 3 5 2 2 2 8 2" xfId="46948" xr:uid="{00000000-0005-0000-0000-000089940000}"/>
    <cellStyle name="Normal 3 5 2 2 2 9" xfId="33386" xr:uid="{00000000-0005-0000-0000-00008A940000}"/>
    <cellStyle name="Normal 3 5 2 2 3" xfId="6092" xr:uid="{00000000-0005-0000-0000-00008B940000}"/>
    <cellStyle name="Normal 3 5 2 2 3 2" xfId="6093" xr:uid="{00000000-0005-0000-0000-00008C940000}"/>
    <cellStyle name="Normal 3 5 2 2 3 2 2" xfId="9636" xr:uid="{00000000-0005-0000-0000-00008D940000}"/>
    <cellStyle name="Normal 3 5 2 2 3 2 2 2" xfId="16426" xr:uid="{00000000-0005-0000-0000-00008E940000}"/>
    <cellStyle name="Normal 3 5 2 2 3 2 2 2 2" xfId="29994" xr:uid="{00000000-0005-0000-0000-00008F940000}"/>
    <cellStyle name="Normal 3 5 2 2 3 2 2 2 2 2" xfId="57127" xr:uid="{00000000-0005-0000-0000-000090940000}"/>
    <cellStyle name="Normal 3 5 2 2 3 2 2 2 3" xfId="43565" xr:uid="{00000000-0005-0000-0000-000091940000}"/>
    <cellStyle name="Normal 3 5 2 2 3 2 2 3" xfId="23213" xr:uid="{00000000-0005-0000-0000-000092940000}"/>
    <cellStyle name="Normal 3 5 2 2 3 2 2 3 2" xfId="50346" xr:uid="{00000000-0005-0000-0000-000093940000}"/>
    <cellStyle name="Normal 3 5 2 2 3 2 2 4" xfId="36784" xr:uid="{00000000-0005-0000-0000-000094940000}"/>
    <cellStyle name="Normal 3 5 2 2 3 2 3" xfId="13037" xr:uid="{00000000-0005-0000-0000-000095940000}"/>
    <cellStyle name="Normal 3 5 2 2 3 2 3 2" xfId="26605" xr:uid="{00000000-0005-0000-0000-000096940000}"/>
    <cellStyle name="Normal 3 5 2 2 3 2 3 2 2" xfId="53738" xr:uid="{00000000-0005-0000-0000-000097940000}"/>
    <cellStyle name="Normal 3 5 2 2 3 2 3 3" xfId="40176" xr:uid="{00000000-0005-0000-0000-000098940000}"/>
    <cellStyle name="Normal 3 5 2 2 3 2 4" xfId="19824" xr:uid="{00000000-0005-0000-0000-000099940000}"/>
    <cellStyle name="Normal 3 5 2 2 3 2 4 2" xfId="46957" xr:uid="{00000000-0005-0000-0000-00009A940000}"/>
    <cellStyle name="Normal 3 5 2 2 3 2 5" xfId="33395" xr:uid="{00000000-0005-0000-0000-00009B940000}"/>
    <cellStyle name="Normal 3 5 2 2 3 3" xfId="6094" xr:uid="{00000000-0005-0000-0000-00009C940000}"/>
    <cellStyle name="Normal 3 5 2 2 3 3 2" xfId="9637" xr:uid="{00000000-0005-0000-0000-00009D940000}"/>
    <cellStyle name="Normal 3 5 2 2 3 3 2 2" xfId="16427" xr:uid="{00000000-0005-0000-0000-00009E940000}"/>
    <cellStyle name="Normal 3 5 2 2 3 3 2 2 2" xfId="29995" xr:uid="{00000000-0005-0000-0000-00009F940000}"/>
    <cellStyle name="Normal 3 5 2 2 3 3 2 2 2 2" xfId="57128" xr:uid="{00000000-0005-0000-0000-0000A0940000}"/>
    <cellStyle name="Normal 3 5 2 2 3 3 2 2 3" xfId="43566" xr:uid="{00000000-0005-0000-0000-0000A1940000}"/>
    <cellStyle name="Normal 3 5 2 2 3 3 2 3" xfId="23214" xr:uid="{00000000-0005-0000-0000-0000A2940000}"/>
    <cellStyle name="Normal 3 5 2 2 3 3 2 3 2" xfId="50347" xr:uid="{00000000-0005-0000-0000-0000A3940000}"/>
    <cellStyle name="Normal 3 5 2 2 3 3 2 4" xfId="36785" xr:uid="{00000000-0005-0000-0000-0000A4940000}"/>
    <cellStyle name="Normal 3 5 2 2 3 3 3" xfId="13038" xr:uid="{00000000-0005-0000-0000-0000A5940000}"/>
    <cellStyle name="Normal 3 5 2 2 3 3 3 2" xfId="26606" xr:uid="{00000000-0005-0000-0000-0000A6940000}"/>
    <cellStyle name="Normal 3 5 2 2 3 3 3 2 2" xfId="53739" xr:uid="{00000000-0005-0000-0000-0000A7940000}"/>
    <cellStyle name="Normal 3 5 2 2 3 3 3 3" xfId="40177" xr:uid="{00000000-0005-0000-0000-0000A8940000}"/>
    <cellStyle name="Normal 3 5 2 2 3 3 4" xfId="19825" xr:uid="{00000000-0005-0000-0000-0000A9940000}"/>
    <cellStyle name="Normal 3 5 2 2 3 3 4 2" xfId="46958" xr:uid="{00000000-0005-0000-0000-0000AA940000}"/>
    <cellStyle name="Normal 3 5 2 2 3 3 5" xfId="33396" xr:uid="{00000000-0005-0000-0000-0000AB940000}"/>
    <cellStyle name="Normal 3 5 2 2 3 4" xfId="9635" xr:uid="{00000000-0005-0000-0000-0000AC940000}"/>
    <cellStyle name="Normal 3 5 2 2 3 4 2" xfId="16425" xr:uid="{00000000-0005-0000-0000-0000AD940000}"/>
    <cellStyle name="Normal 3 5 2 2 3 4 2 2" xfId="29993" xr:uid="{00000000-0005-0000-0000-0000AE940000}"/>
    <cellStyle name="Normal 3 5 2 2 3 4 2 2 2" xfId="57126" xr:uid="{00000000-0005-0000-0000-0000AF940000}"/>
    <cellStyle name="Normal 3 5 2 2 3 4 2 3" xfId="43564" xr:uid="{00000000-0005-0000-0000-0000B0940000}"/>
    <cellStyle name="Normal 3 5 2 2 3 4 3" xfId="23212" xr:uid="{00000000-0005-0000-0000-0000B1940000}"/>
    <cellStyle name="Normal 3 5 2 2 3 4 3 2" xfId="50345" xr:uid="{00000000-0005-0000-0000-0000B2940000}"/>
    <cellStyle name="Normal 3 5 2 2 3 4 4" xfId="36783" xr:uid="{00000000-0005-0000-0000-0000B3940000}"/>
    <cellStyle name="Normal 3 5 2 2 3 5" xfId="13036" xr:uid="{00000000-0005-0000-0000-0000B4940000}"/>
    <cellStyle name="Normal 3 5 2 2 3 5 2" xfId="26604" xr:uid="{00000000-0005-0000-0000-0000B5940000}"/>
    <cellStyle name="Normal 3 5 2 2 3 5 2 2" xfId="53737" xr:uid="{00000000-0005-0000-0000-0000B6940000}"/>
    <cellStyle name="Normal 3 5 2 2 3 5 3" xfId="40175" xr:uid="{00000000-0005-0000-0000-0000B7940000}"/>
    <cellStyle name="Normal 3 5 2 2 3 6" xfId="19823" xr:uid="{00000000-0005-0000-0000-0000B8940000}"/>
    <cellStyle name="Normal 3 5 2 2 3 6 2" xfId="46956" xr:uid="{00000000-0005-0000-0000-0000B9940000}"/>
    <cellStyle name="Normal 3 5 2 2 3 7" xfId="33394" xr:uid="{00000000-0005-0000-0000-0000BA940000}"/>
    <cellStyle name="Normal 3 5 2 2 4" xfId="6095" xr:uid="{00000000-0005-0000-0000-0000BB940000}"/>
    <cellStyle name="Normal 3 5 2 2 4 2" xfId="6096" xr:uid="{00000000-0005-0000-0000-0000BC940000}"/>
    <cellStyle name="Normal 3 5 2 2 4 2 2" xfId="9639" xr:uid="{00000000-0005-0000-0000-0000BD940000}"/>
    <cellStyle name="Normal 3 5 2 2 4 2 2 2" xfId="16429" xr:uid="{00000000-0005-0000-0000-0000BE940000}"/>
    <cellStyle name="Normal 3 5 2 2 4 2 2 2 2" xfId="29997" xr:uid="{00000000-0005-0000-0000-0000BF940000}"/>
    <cellStyle name="Normal 3 5 2 2 4 2 2 2 2 2" xfId="57130" xr:uid="{00000000-0005-0000-0000-0000C0940000}"/>
    <cellStyle name="Normal 3 5 2 2 4 2 2 2 3" xfId="43568" xr:uid="{00000000-0005-0000-0000-0000C1940000}"/>
    <cellStyle name="Normal 3 5 2 2 4 2 2 3" xfId="23216" xr:uid="{00000000-0005-0000-0000-0000C2940000}"/>
    <cellStyle name="Normal 3 5 2 2 4 2 2 3 2" xfId="50349" xr:uid="{00000000-0005-0000-0000-0000C3940000}"/>
    <cellStyle name="Normal 3 5 2 2 4 2 2 4" xfId="36787" xr:uid="{00000000-0005-0000-0000-0000C4940000}"/>
    <cellStyle name="Normal 3 5 2 2 4 2 3" xfId="13040" xr:uid="{00000000-0005-0000-0000-0000C5940000}"/>
    <cellStyle name="Normal 3 5 2 2 4 2 3 2" xfId="26608" xr:uid="{00000000-0005-0000-0000-0000C6940000}"/>
    <cellStyle name="Normal 3 5 2 2 4 2 3 2 2" xfId="53741" xr:uid="{00000000-0005-0000-0000-0000C7940000}"/>
    <cellStyle name="Normal 3 5 2 2 4 2 3 3" xfId="40179" xr:uid="{00000000-0005-0000-0000-0000C8940000}"/>
    <cellStyle name="Normal 3 5 2 2 4 2 4" xfId="19827" xr:uid="{00000000-0005-0000-0000-0000C9940000}"/>
    <cellStyle name="Normal 3 5 2 2 4 2 4 2" xfId="46960" xr:uid="{00000000-0005-0000-0000-0000CA940000}"/>
    <cellStyle name="Normal 3 5 2 2 4 2 5" xfId="33398" xr:uid="{00000000-0005-0000-0000-0000CB940000}"/>
    <cellStyle name="Normal 3 5 2 2 4 3" xfId="9638" xr:uid="{00000000-0005-0000-0000-0000CC940000}"/>
    <cellStyle name="Normal 3 5 2 2 4 3 2" xfId="16428" xr:uid="{00000000-0005-0000-0000-0000CD940000}"/>
    <cellStyle name="Normal 3 5 2 2 4 3 2 2" xfId="29996" xr:uid="{00000000-0005-0000-0000-0000CE940000}"/>
    <cellStyle name="Normal 3 5 2 2 4 3 2 2 2" xfId="57129" xr:uid="{00000000-0005-0000-0000-0000CF940000}"/>
    <cellStyle name="Normal 3 5 2 2 4 3 2 3" xfId="43567" xr:uid="{00000000-0005-0000-0000-0000D0940000}"/>
    <cellStyle name="Normal 3 5 2 2 4 3 3" xfId="23215" xr:uid="{00000000-0005-0000-0000-0000D1940000}"/>
    <cellStyle name="Normal 3 5 2 2 4 3 3 2" xfId="50348" xr:uid="{00000000-0005-0000-0000-0000D2940000}"/>
    <cellStyle name="Normal 3 5 2 2 4 3 4" xfId="36786" xr:uid="{00000000-0005-0000-0000-0000D3940000}"/>
    <cellStyle name="Normal 3 5 2 2 4 4" xfId="13039" xr:uid="{00000000-0005-0000-0000-0000D4940000}"/>
    <cellStyle name="Normal 3 5 2 2 4 4 2" xfId="26607" xr:uid="{00000000-0005-0000-0000-0000D5940000}"/>
    <cellStyle name="Normal 3 5 2 2 4 4 2 2" xfId="53740" xr:uid="{00000000-0005-0000-0000-0000D6940000}"/>
    <cellStyle name="Normal 3 5 2 2 4 4 3" xfId="40178" xr:uid="{00000000-0005-0000-0000-0000D7940000}"/>
    <cellStyle name="Normal 3 5 2 2 4 5" xfId="19826" xr:uid="{00000000-0005-0000-0000-0000D8940000}"/>
    <cellStyle name="Normal 3 5 2 2 4 5 2" xfId="46959" xr:uid="{00000000-0005-0000-0000-0000D9940000}"/>
    <cellStyle name="Normal 3 5 2 2 4 6" xfId="33397" xr:uid="{00000000-0005-0000-0000-0000DA940000}"/>
    <cellStyle name="Normal 3 5 2 2 5" xfId="6097" xr:uid="{00000000-0005-0000-0000-0000DB940000}"/>
    <cellStyle name="Normal 3 5 2 2 5 2" xfId="9640" xr:uid="{00000000-0005-0000-0000-0000DC940000}"/>
    <cellStyle name="Normal 3 5 2 2 5 2 2" xfId="16430" xr:uid="{00000000-0005-0000-0000-0000DD940000}"/>
    <cellStyle name="Normal 3 5 2 2 5 2 2 2" xfId="29998" xr:uid="{00000000-0005-0000-0000-0000DE940000}"/>
    <cellStyle name="Normal 3 5 2 2 5 2 2 2 2" xfId="57131" xr:uid="{00000000-0005-0000-0000-0000DF940000}"/>
    <cellStyle name="Normal 3 5 2 2 5 2 2 3" xfId="43569" xr:uid="{00000000-0005-0000-0000-0000E0940000}"/>
    <cellStyle name="Normal 3 5 2 2 5 2 3" xfId="23217" xr:uid="{00000000-0005-0000-0000-0000E1940000}"/>
    <cellStyle name="Normal 3 5 2 2 5 2 3 2" xfId="50350" xr:uid="{00000000-0005-0000-0000-0000E2940000}"/>
    <cellStyle name="Normal 3 5 2 2 5 2 4" xfId="36788" xr:uid="{00000000-0005-0000-0000-0000E3940000}"/>
    <cellStyle name="Normal 3 5 2 2 5 3" xfId="13041" xr:uid="{00000000-0005-0000-0000-0000E4940000}"/>
    <cellStyle name="Normal 3 5 2 2 5 3 2" xfId="26609" xr:uid="{00000000-0005-0000-0000-0000E5940000}"/>
    <cellStyle name="Normal 3 5 2 2 5 3 2 2" xfId="53742" xr:uid="{00000000-0005-0000-0000-0000E6940000}"/>
    <cellStyle name="Normal 3 5 2 2 5 3 3" xfId="40180" xr:uid="{00000000-0005-0000-0000-0000E7940000}"/>
    <cellStyle name="Normal 3 5 2 2 5 4" xfId="19828" xr:uid="{00000000-0005-0000-0000-0000E8940000}"/>
    <cellStyle name="Normal 3 5 2 2 5 4 2" xfId="46961" xr:uid="{00000000-0005-0000-0000-0000E9940000}"/>
    <cellStyle name="Normal 3 5 2 2 5 5" xfId="33399" xr:uid="{00000000-0005-0000-0000-0000EA940000}"/>
    <cellStyle name="Normal 3 5 2 2 6" xfId="6098" xr:uid="{00000000-0005-0000-0000-0000EB940000}"/>
    <cellStyle name="Normal 3 5 2 2 6 2" xfId="9641" xr:uid="{00000000-0005-0000-0000-0000EC940000}"/>
    <cellStyle name="Normal 3 5 2 2 6 2 2" xfId="16431" xr:uid="{00000000-0005-0000-0000-0000ED940000}"/>
    <cellStyle name="Normal 3 5 2 2 6 2 2 2" xfId="29999" xr:uid="{00000000-0005-0000-0000-0000EE940000}"/>
    <cellStyle name="Normal 3 5 2 2 6 2 2 2 2" xfId="57132" xr:uid="{00000000-0005-0000-0000-0000EF940000}"/>
    <cellStyle name="Normal 3 5 2 2 6 2 2 3" xfId="43570" xr:uid="{00000000-0005-0000-0000-0000F0940000}"/>
    <cellStyle name="Normal 3 5 2 2 6 2 3" xfId="23218" xr:uid="{00000000-0005-0000-0000-0000F1940000}"/>
    <cellStyle name="Normal 3 5 2 2 6 2 3 2" xfId="50351" xr:uid="{00000000-0005-0000-0000-0000F2940000}"/>
    <cellStyle name="Normal 3 5 2 2 6 2 4" xfId="36789" xr:uid="{00000000-0005-0000-0000-0000F3940000}"/>
    <cellStyle name="Normal 3 5 2 2 6 3" xfId="13042" xr:uid="{00000000-0005-0000-0000-0000F4940000}"/>
    <cellStyle name="Normal 3 5 2 2 6 3 2" xfId="26610" xr:uid="{00000000-0005-0000-0000-0000F5940000}"/>
    <cellStyle name="Normal 3 5 2 2 6 3 2 2" xfId="53743" xr:uid="{00000000-0005-0000-0000-0000F6940000}"/>
    <cellStyle name="Normal 3 5 2 2 6 3 3" xfId="40181" xr:uid="{00000000-0005-0000-0000-0000F7940000}"/>
    <cellStyle name="Normal 3 5 2 2 6 4" xfId="19829" xr:uid="{00000000-0005-0000-0000-0000F8940000}"/>
    <cellStyle name="Normal 3 5 2 2 6 4 2" xfId="46962" xr:uid="{00000000-0005-0000-0000-0000F9940000}"/>
    <cellStyle name="Normal 3 5 2 2 6 5" xfId="33400" xr:uid="{00000000-0005-0000-0000-0000FA940000}"/>
    <cellStyle name="Normal 3 5 2 2 7" xfId="7538" xr:uid="{00000000-0005-0000-0000-0000FB940000}"/>
    <cellStyle name="Normal 3 5 2 2 7 2" xfId="14328" xr:uid="{00000000-0005-0000-0000-0000FC940000}"/>
    <cellStyle name="Normal 3 5 2 2 7 2 2" xfId="27896" xr:uid="{00000000-0005-0000-0000-0000FD940000}"/>
    <cellStyle name="Normal 3 5 2 2 7 2 2 2" xfId="55029" xr:uid="{00000000-0005-0000-0000-0000FE940000}"/>
    <cellStyle name="Normal 3 5 2 2 7 2 3" xfId="41467" xr:uid="{00000000-0005-0000-0000-0000FF940000}"/>
    <cellStyle name="Normal 3 5 2 2 7 3" xfId="21115" xr:uid="{00000000-0005-0000-0000-000000950000}"/>
    <cellStyle name="Normal 3 5 2 2 7 3 2" xfId="48248" xr:uid="{00000000-0005-0000-0000-000001950000}"/>
    <cellStyle name="Normal 3 5 2 2 7 4" xfId="34686" xr:uid="{00000000-0005-0000-0000-000002950000}"/>
    <cellStyle name="Normal 3 5 2 2 8" xfId="10939" xr:uid="{00000000-0005-0000-0000-000003950000}"/>
    <cellStyle name="Normal 3 5 2 2 8 2" xfId="24507" xr:uid="{00000000-0005-0000-0000-000004950000}"/>
    <cellStyle name="Normal 3 5 2 2 8 2 2" xfId="51640" xr:uid="{00000000-0005-0000-0000-000005950000}"/>
    <cellStyle name="Normal 3 5 2 2 8 3" xfId="38078" xr:uid="{00000000-0005-0000-0000-000006950000}"/>
    <cellStyle name="Normal 3 5 2 2 9" xfId="17726" xr:uid="{00000000-0005-0000-0000-000007950000}"/>
    <cellStyle name="Normal 3 5 2 2 9 2" xfId="44859" xr:uid="{00000000-0005-0000-0000-000008950000}"/>
    <cellStyle name="Normal 3 5 2 3" xfId="6099" xr:uid="{00000000-0005-0000-0000-000009950000}"/>
    <cellStyle name="Normal 3 5 2 3 2" xfId="6100" xr:uid="{00000000-0005-0000-0000-00000A950000}"/>
    <cellStyle name="Normal 3 5 2 3 2 2" xfId="6101" xr:uid="{00000000-0005-0000-0000-00000B950000}"/>
    <cellStyle name="Normal 3 5 2 3 2 2 2" xfId="9644" xr:uid="{00000000-0005-0000-0000-00000C950000}"/>
    <cellStyle name="Normal 3 5 2 3 2 2 2 2" xfId="16434" xr:uid="{00000000-0005-0000-0000-00000D950000}"/>
    <cellStyle name="Normal 3 5 2 3 2 2 2 2 2" xfId="30002" xr:uid="{00000000-0005-0000-0000-00000E950000}"/>
    <cellStyle name="Normal 3 5 2 3 2 2 2 2 2 2" xfId="57135" xr:uid="{00000000-0005-0000-0000-00000F950000}"/>
    <cellStyle name="Normal 3 5 2 3 2 2 2 2 3" xfId="43573" xr:uid="{00000000-0005-0000-0000-000010950000}"/>
    <cellStyle name="Normal 3 5 2 3 2 2 2 3" xfId="23221" xr:uid="{00000000-0005-0000-0000-000011950000}"/>
    <cellStyle name="Normal 3 5 2 3 2 2 2 3 2" xfId="50354" xr:uid="{00000000-0005-0000-0000-000012950000}"/>
    <cellStyle name="Normal 3 5 2 3 2 2 2 4" xfId="36792" xr:uid="{00000000-0005-0000-0000-000013950000}"/>
    <cellStyle name="Normal 3 5 2 3 2 2 3" xfId="13045" xr:uid="{00000000-0005-0000-0000-000014950000}"/>
    <cellStyle name="Normal 3 5 2 3 2 2 3 2" xfId="26613" xr:uid="{00000000-0005-0000-0000-000015950000}"/>
    <cellStyle name="Normal 3 5 2 3 2 2 3 2 2" xfId="53746" xr:uid="{00000000-0005-0000-0000-000016950000}"/>
    <cellStyle name="Normal 3 5 2 3 2 2 3 3" xfId="40184" xr:uid="{00000000-0005-0000-0000-000017950000}"/>
    <cellStyle name="Normal 3 5 2 3 2 2 4" xfId="19832" xr:uid="{00000000-0005-0000-0000-000018950000}"/>
    <cellStyle name="Normal 3 5 2 3 2 2 4 2" xfId="46965" xr:uid="{00000000-0005-0000-0000-000019950000}"/>
    <cellStyle name="Normal 3 5 2 3 2 2 5" xfId="33403" xr:uid="{00000000-0005-0000-0000-00001A950000}"/>
    <cellStyle name="Normal 3 5 2 3 2 3" xfId="6102" xr:uid="{00000000-0005-0000-0000-00001B950000}"/>
    <cellStyle name="Normal 3 5 2 3 2 3 2" xfId="9645" xr:uid="{00000000-0005-0000-0000-00001C950000}"/>
    <cellStyle name="Normal 3 5 2 3 2 3 2 2" xfId="16435" xr:uid="{00000000-0005-0000-0000-00001D950000}"/>
    <cellStyle name="Normal 3 5 2 3 2 3 2 2 2" xfId="30003" xr:uid="{00000000-0005-0000-0000-00001E950000}"/>
    <cellStyle name="Normal 3 5 2 3 2 3 2 2 2 2" xfId="57136" xr:uid="{00000000-0005-0000-0000-00001F950000}"/>
    <cellStyle name="Normal 3 5 2 3 2 3 2 2 3" xfId="43574" xr:uid="{00000000-0005-0000-0000-000020950000}"/>
    <cellStyle name="Normal 3 5 2 3 2 3 2 3" xfId="23222" xr:uid="{00000000-0005-0000-0000-000021950000}"/>
    <cellStyle name="Normal 3 5 2 3 2 3 2 3 2" xfId="50355" xr:uid="{00000000-0005-0000-0000-000022950000}"/>
    <cellStyle name="Normal 3 5 2 3 2 3 2 4" xfId="36793" xr:uid="{00000000-0005-0000-0000-000023950000}"/>
    <cellStyle name="Normal 3 5 2 3 2 3 3" xfId="13046" xr:uid="{00000000-0005-0000-0000-000024950000}"/>
    <cellStyle name="Normal 3 5 2 3 2 3 3 2" xfId="26614" xr:uid="{00000000-0005-0000-0000-000025950000}"/>
    <cellStyle name="Normal 3 5 2 3 2 3 3 2 2" xfId="53747" xr:uid="{00000000-0005-0000-0000-000026950000}"/>
    <cellStyle name="Normal 3 5 2 3 2 3 3 3" xfId="40185" xr:uid="{00000000-0005-0000-0000-000027950000}"/>
    <cellStyle name="Normal 3 5 2 3 2 3 4" xfId="19833" xr:uid="{00000000-0005-0000-0000-000028950000}"/>
    <cellStyle name="Normal 3 5 2 3 2 3 4 2" xfId="46966" xr:uid="{00000000-0005-0000-0000-000029950000}"/>
    <cellStyle name="Normal 3 5 2 3 2 3 5" xfId="33404" xr:uid="{00000000-0005-0000-0000-00002A950000}"/>
    <cellStyle name="Normal 3 5 2 3 2 4" xfId="9643" xr:uid="{00000000-0005-0000-0000-00002B950000}"/>
    <cellStyle name="Normal 3 5 2 3 2 4 2" xfId="16433" xr:uid="{00000000-0005-0000-0000-00002C950000}"/>
    <cellStyle name="Normal 3 5 2 3 2 4 2 2" xfId="30001" xr:uid="{00000000-0005-0000-0000-00002D950000}"/>
    <cellStyle name="Normal 3 5 2 3 2 4 2 2 2" xfId="57134" xr:uid="{00000000-0005-0000-0000-00002E950000}"/>
    <cellStyle name="Normal 3 5 2 3 2 4 2 3" xfId="43572" xr:uid="{00000000-0005-0000-0000-00002F950000}"/>
    <cellStyle name="Normal 3 5 2 3 2 4 3" xfId="23220" xr:uid="{00000000-0005-0000-0000-000030950000}"/>
    <cellStyle name="Normal 3 5 2 3 2 4 3 2" xfId="50353" xr:uid="{00000000-0005-0000-0000-000031950000}"/>
    <cellStyle name="Normal 3 5 2 3 2 4 4" xfId="36791" xr:uid="{00000000-0005-0000-0000-000032950000}"/>
    <cellStyle name="Normal 3 5 2 3 2 5" xfId="13044" xr:uid="{00000000-0005-0000-0000-000033950000}"/>
    <cellStyle name="Normal 3 5 2 3 2 5 2" xfId="26612" xr:uid="{00000000-0005-0000-0000-000034950000}"/>
    <cellStyle name="Normal 3 5 2 3 2 5 2 2" xfId="53745" xr:uid="{00000000-0005-0000-0000-000035950000}"/>
    <cellStyle name="Normal 3 5 2 3 2 5 3" xfId="40183" xr:uid="{00000000-0005-0000-0000-000036950000}"/>
    <cellStyle name="Normal 3 5 2 3 2 6" xfId="19831" xr:uid="{00000000-0005-0000-0000-000037950000}"/>
    <cellStyle name="Normal 3 5 2 3 2 6 2" xfId="46964" xr:uid="{00000000-0005-0000-0000-000038950000}"/>
    <cellStyle name="Normal 3 5 2 3 2 7" xfId="33402" xr:uid="{00000000-0005-0000-0000-000039950000}"/>
    <cellStyle name="Normal 3 5 2 3 3" xfId="6103" xr:uid="{00000000-0005-0000-0000-00003A950000}"/>
    <cellStyle name="Normal 3 5 2 3 3 2" xfId="6104" xr:uid="{00000000-0005-0000-0000-00003B950000}"/>
    <cellStyle name="Normal 3 5 2 3 3 2 2" xfId="9647" xr:uid="{00000000-0005-0000-0000-00003C950000}"/>
    <cellStyle name="Normal 3 5 2 3 3 2 2 2" xfId="16437" xr:uid="{00000000-0005-0000-0000-00003D950000}"/>
    <cellStyle name="Normal 3 5 2 3 3 2 2 2 2" xfId="30005" xr:uid="{00000000-0005-0000-0000-00003E950000}"/>
    <cellStyle name="Normal 3 5 2 3 3 2 2 2 2 2" xfId="57138" xr:uid="{00000000-0005-0000-0000-00003F950000}"/>
    <cellStyle name="Normal 3 5 2 3 3 2 2 2 3" xfId="43576" xr:uid="{00000000-0005-0000-0000-000040950000}"/>
    <cellStyle name="Normal 3 5 2 3 3 2 2 3" xfId="23224" xr:uid="{00000000-0005-0000-0000-000041950000}"/>
    <cellStyle name="Normal 3 5 2 3 3 2 2 3 2" xfId="50357" xr:uid="{00000000-0005-0000-0000-000042950000}"/>
    <cellStyle name="Normal 3 5 2 3 3 2 2 4" xfId="36795" xr:uid="{00000000-0005-0000-0000-000043950000}"/>
    <cellStyle name="Normal 3 5 2 3 3 2 3" xfId="13048" xr:uid="{00000000-0005-0000-0000-000044950000}"/>
    <cellStyle name="Normal 3 5 2 3 3 2 3 2" xfId="26616" xr:uid="{00000000-0005-0000-0000-000045950000}"/>
    <cellStyle name="Normal 3 5 2 3 3 2 3 2 2" xfId="53749" xr:uid="{00000000-0005-0000-0000-000046950000}"/>
    <cellStyle name="Normal 3 5 2 3 3 2 3 3" xfId="40187" xr:uid="{00000000-0005-0000-0000-000047950000}"/>
    <cellStyle name="Normal 3 5 2 3 3 2 4" xfId="19835" xr:uid="{00000000-0005-0000-0000-000048950000}"/>
    <cellStyle name="Normal 3 5 2 3 3 2 4 2" xfId="46968" xr:uid="{00000000-0005-0000-0000-000049950000}"/>
    <cellStyle name="Normal 3 5 2 3 3 2 5" xfId="33406" xr:uid="{00000000-0005-0000-0000-00004A950000}"/>
    <cellStyle name="Normal 3 5 2 3 3 3" xfId="9646" xr:uid="{00000000-0005-0000-0000-00004B950000}"/>
    <cellStyle name="Normal 3 5 2 3 3 3 2" xfId="16436" xr:uid="{00000000-0005-0000-0000-00004C950000}"/>
    <cellStyle name="Normal 3 5 2 3 3 3 2 2" xfId="30004" xr:uid="{00000000-0005-0000-0000-00004D950000}"/>
    <cellStyle name="Normal 3 5 2 3 3 3 2 2 2" xfId="57137" xr:uid="{00000000-0005-0000-0000-00004E950000}"/>
    <cellStyle name="Normal 3 5 2 3 3 3 2 3" xfId="43575" xr:uid="{00000000-0005-0000-0000-00004F950000}"/>
    <cellStyle name="Normal 3 5 2 3 3 3 3" xfId="23223" xr:uid="{00000000-0005-0000-0000-000050950000}"/>
    <cellStyle name="Normal 3 5 2 3 3 3 3 2" xfId="50356" xr:uid="{00000000-0005-0000-0000-000051950000}"/>
    <cellStyle name="Normal 3 5 2 3 3 3 4" xfId="36794" xr:uid="{00000000-0005-0000-0000-000052950000}"/>
    <cellStyle name="Normal 3 5 2 3 3 4" xfId="13047" xr:uid="{00000000-0005-0000-0000-000053950000}"/>
    <cellStyle name="Normal 3 5 2 3 3 4 2" xfId="26615" xr:uid="{00000000-0005-0000-0000-000054950000}"/>
    <cellStyle name="Normal 3 5 2 3 3 4 2 2" xfId="53748" xr:uid="{00000000-0005-0000-0000-000055950000}"/>
    <cellStyle name="Normal 3 5 2 3 3 4 3" xfId="40186" xr:uid="{00000000-0005-0000-0000-000056950000}"/>
    <cellStyle name="Normal 3 5 2 3 3 5" xfId="19834" xr:uid="{00000000-0005-0000-0000-000057950000}"/>
    <cellStyle name="Normal 3 5 2 3 3 5 2" xfId="46967" xr:uid="{00000000-0005-0000-0000-000058950000}"/>
    <cellStyle name="Normal 3 5 2 3 3 6" xfId="33405" xr:uid="{00000000-0005-0000-0000-000059950000}"/>
    <cellStyle name="Normal 3 5 2 3 4" xfId="6105" xr:uid="{00000000-0005-0000-0000-00005A950000}"/>
    <cellStyle name="Normal 3 5 2 3 4 2" xfId="9648" xr:uid="{00000000-0005-0000-0000-00005B950000}"/>
    <cellStyle name="Normal 3 5 2 3 4 2 2" xfId="16438" xr:uid="{00000000-0005-0000-0000-00005C950000}"/>
    <cellStyle name="Normal 3 5 2 3 4 2 2 2" xfId="30006" xr:uid="{00000000-0005-0000-0000-00005D950000}"/>
    <cellStyle name="Normal 3 5 2 3 4 2 2 2 2" xfId="57139" xr:uid="{00000000-0005-0000-0000-00005E950000}"/>
    <cellStyle name="Normal 3 5 2 3 4 2 2 3" xfId="43577" xr:uid="{00000000-0005-0000-0000-00005F950000}"/>
    <cellStyle name="Normal 3 5 2 3 4 2 3" xfId="23225" xr:uid="{00000000-0005-0000-0000-000060950000}"/>
    <cellStyle name="Normal 3 5 2 3 4 2 3 2" xfId="50358" xr:uid="{00000000-0005-0000-0000-000061950000}"/>
    <cellStyle name="Normal 3 5 2 3 4 2 4" xfId="36796" xr:uid="{00000000-0005-0000-0000-000062950000}"/>
    <cellStyle name="Normal 3 5 2 3 4 3" xfId="13049" xr:uid="{00000000-0005-0000-0000-000063950000}"/>
    <cellStyle name="Normal 3 5 2 3 4 3 2" xfId="26617" xr:uid="{00000000-0005-0000-0000-000064950000}"/>
    <cellStyle name="Normal 3 5 2 3 4 3 2 2" xfId="53750" xr:uid="{00000000-0005-0000-0000-000065950000}"/>
    <cellStyle name="Normal 3 5 2 3 4 3 3" xfId="40188" xr:uid="{00000000-0005-0000-0000-000066950000}"/>
    <cellStyle name="Normal 3 5 2 3 4 4" xfId="19836" xr:uid="{00000000-0005-0000-0000-000067950000}"/>
    <cellStyle name="Normal 3 5 2 3 4 4 2" xfId="46969" xr:uid="{00000000-0005-0000-0000-000068950000}"/>
    <cellStyle name="Normal 3 5 2 3 4 5" xfId="33407" xr:uid="{00000000-0005-0000-0000-000069950000}"/>
    <cellStyle name="Normal 3 5 2 3 5" xfId="6106" xr:uid="{00000000-0005-0000-0000-00006A950000}"/>
    <cellStyle name="Normal 3 5 2 3 5 2" xfId="9649" xr:uid="{00000000-0005-0000-0000-00006B950000}"/>
    <cellStyle name="Normal 3 5 2 3 5 2 2" xfId="16439" xr:uid="{00000000-0005-0000-0000-00006C950000}"/>
    <cellStyle name="Normal 3 5 2 3 5 2 2 2" xfId="30007" xr:uid="{00000000-0005-0000-0000-00006D950000}"/>
    <cellStyle name="Normal 3 5 2 3 5 2 2 2 2" xfId="57140" xr:uid="{00000000-0005-0000-0000-00006E950000}"/>
    <cellStyle name="Normal 3 5 2 3 5 2 2 3" xfId="43578" xr:uid="{00000000-0005-0000-0000-00006F950000}"/>
    <cellStyle name="Normal 3 5 2 3 5 2 3" xfId="23226" xr:uid="{00000000-0005-0000-0000-000070950000}"/>
    <cellStyle name="Normal 3 5 2 3 5 2 3 2" xfId="50359" xr:uid="{00000000-0005-0000-0000-000071950000}"/>
    <cellStyle name="Normal 3 5 2 3 5 2 4" xfId="36797" xr:uid="{00000000-0005-0000-0000-000072950000}"/>
    <cellStyle name="Normal 3 5 2 3 5 3" xfId="13050" xr:uid="{00000000-0005-0000-0000-000073950000}"/>
    <cellStyle name="Normal 3 5 2 3 5 3 2" xfId="26618" xr:uid="{00000000-0005-0000-0000-000074950000}"/>
    <cellStyle name="Normal 3 5 2 3 5 3 2 2" xfId="53751" xr:uid="{00000000-0005-0000-0000-000075950000}"/>
    <cellStyle name="Normal 3 5 2 3 5 3 3" xfId="40189" xr:uid="{00000000-0005-0000-0000-000076950000}"/>
    <cellStyle name="Normal 3 5 2 3 5 4" xfId="19837" xr:uid="{00000000-0005-0000-0000-000077950000}"/>
    <cellStyle name="Normal 3 5 2 3 5 4 2" xfId="46970" xr:uid="{00000000-0005-0000-0000-000078950000}"/>
    <cellStyle name="Normal 3 5 2 3 5 5" xfId="33408" xr:uid="{00000000-0005-0000-0000-000079950000}"/>
    <cellStyle name="Normal 3 5 2 3 6" xfId="9642" xr:uid="{00000000-0005-0000-0000-00007A950000}"/>
    <cellStyle name="Normal 3 5 2 3 6 2" xfId="16432" xr:uid="{00000000-0005-0000-0000-00007B950000}"/>
    <cellStyle name="Normal 3 5 2 3 6 2 2" xfId="30000" xr:uid="{00000000-0005-0000-0000-00007C950000}"/>
    <cellStyle name="Normal 3 5 2 3 6 2 2 2" xfId="57133" xr:uid="{00000000-0005-0000-0000-00007D950000}"/>
    <cellStyle name="Normal 3 5 2 3 6 2 3" xfId="43571" xr:uid="{00000000-0005-0000-0000-00007E950000}"/>
    <cellStyle name="Normal 3 5 2 3 6 3" xfId="23219" xr:uid="{00000000-0005-0000-0000-00007F950000}"/>
    <cellStyle name="Normal 3 5 2 3 6 3 2" xfId="50352" xr:uid="{00000000-0005-0000-0000-000080950000}"/>
    <cellStyle name="Normal 3 5 2 3 6 4" xfId="36790" xr:uid="{00000000-0005-0000-0000-000081950000}"/>
    <cellStyle name="Normal 3 5 2 3 7" xfId="13043" xr:uid="{00000000-0005-0000-0000-000082950000}"/>
    <cellStyle name="Normal 3 5 2 3 7 2" xfId="26611" xr:uid="{00000000-0005-0000-0000-000083950000}"/>
    <cellStyle name="Normal 3 5 2 3 7 2 2" xfId="53744" xr:uid="{00000000-0005-0000-0000-000084950000}"/>
    <cellStyle name="Normal 3 5 2 3 7 3" xfId="40182" xr:uid="{00000000-0005-0000-0000-000085950000}"/>
    <cellStyle name="Normal 3 5 2 3 8" xfId="19830" xr:uid="{00000000-0005-0000-0000-000086950000}"/>
    <cellStyle name="Normal 3 5 2 3 8 2" xfId="46963" xr:uid="{00000000-0005-0000-0000-000087950000}"/>
    <cellStyle name="Normal 3 5 2 3 9" xfId="33401" xr:uid="{00000000-0005-0000-0000-000088950000}"/>
    <cellStyle name="Normal 3 5 2 4" xfId="6107" xr:uid="{00000000-0005-0000-0000-000089950000}"/>
    <cellStyle name="Normal 3 5 2 4 2" xfId="6108" xr:uid="{00000000-0005-0000-0000-00008A950000}"/>
    <cellStyle name="Normal 3 5 2 4 2 2" xfId="6109" xr:uid="{00000000-0005-0000-0000-00008B950000}"/>
    <cellStyle name="Normal 3 5 2 4 2 2 2" xfId="9652" xr:uid="{00000000-0005-0000-0000-00008C950000}"/>
    <cellStyle name="Normal 3 5 2 4 2 2 2 2" xfId="16442" xr:uid="{00000000-0005-0000-0000-00008D950000}"/>
    <cellStyle name="Normal 3 5 2 4 2 2 2 2 2" xfId="30010" xr:uid="{00000000-0005-0000-0000-00008E950000}"/>
    <cellStyle name="Normal 3 5 2 4 2 2 2 2 2 2" xfId="57143" xr:uid="{00000000-0005-0000-0000-00008F950000}"/>
    <cellStyle name="Normal 3 5 2 4 2 2 2 2 3" xfId="43581" xr:uid="{00000000-0005-0000-0000-000090950000}"/>
    <cellStyle name="Normal 3 5 2 4 2 2 2 3" xfId="23229" xr:uid="{00000000-0005-0000-0000-000091950000}"/>
    <cellStyle name="Normal 3 5 2 4 2 2 2 3 2" xfId="50362" xr:uid="{00000000-0005-0000-0000-000092950000}"/>
    <cellStyle name="Normal 3 5 2 4 2 2 2 4" xfId="36800" xr:uid="{00000000-0005-0000-0000-000093950000}"/>
    <cellStyle name="Normal 3 5 2 4 2 2 3" xfId="13053" xr:uid="{00000000-0005-0000-0000-000094950000}"/>
    <cellStyle name="Normal 3 5 2 4 2 2 3 2" xfId="26621" xr:uid="{00000000-0005-0000-0000-000095950000}"/>
    <cellStyle name="Normal 3 5 2 4 2 2 3 2 2" xfId="53754" xr:uid="{00000000-0005-0000-0000-000096950000}"/>
    <cellStyle name="Normal 3 5 2 4 2 2 3 3" xfId="40192" xr:uid="{00000000-0005-0000-0000-000097950000}"/>
    <cellStyle name="Normal 3 5 2 4 2 2 4" xfId="19840" xr:uid="{00000000-0005-0000-0000-000098950000}"/>
    <cellStyle name="Normal 3 5 2 4 2 2 4 2" xfId="46973" xr:uid="{00000000-0005-0000-0000-000099950000}"/>
    <cellStyle name="Normal 3 5 2 4 2 2 5" xfId="33411" xr:uid="{00000000-0005-0000-0000-00009A950000}"/>
    <cellStyle name="Normal 3 5 2 4 2 3" xfId="6110" xr:uid="{00000000-0005-0000-0000-00009B950000}"/>
    <cellStyle name="Normal 3 5 2 4 2 3 2" xfId="9653" xr:uid="{00000000-0005-0000-0000-00009C950000}"/>
    <cellStyle name="Normal 3 5 2 4 2 3 2 2" xfId="16443" xr:uid="{00000000-0005-0000-0000-00009D950000}"/>
    <cellStyle name="Normal 3 5 2 4 2 3 2 2 2" xfId="30011" xr:uid="{00000000-0005-0000-0000-00009E950000}"/>
    <cellStyle name="Normal 3 5 2 4 2 3 2 2 2 2" xfId="57144" xr:uid="{00000000-0005-0000-0000-00009F950000}"/>
    <cellStyle name="Normal 3 5 2 4 2 3 2 2 3" xfId="43582" xr:uid="{00000000-0005-0000-0000-0000A0950000}"/>
    <cellStyle name="Normal 3 5 2 4 2 3 2 3" xfId="23230" xr:uid="{00000000-0005-0000-0000-0000A1950000}"/>
    <cellStyle name="Normal 3 5 2 4 2 3 2 3 2" xfId="50363" xr:uid="{00000000-0005-0000-0000-0000A2950000}"/>
    <cellStyle name="Normal 3 5 2 4 2 3 2 4" xfId="36801" xr:uid="{00000000-0005-0000-0000-0000A3950000}"/>
    <cellStyle name="Normal 3 5 2 4 2 3 3" xfId="13054" xr:uid="{00000000-0005-0000-0000-0000A4950000}"/>
    <cellStyle name="Normal 3 5 2 4 2 3 3 2" xfId="26622" xr:uid="{00000000-0005-0000-0000-0000A5950000}"/>
    <cellStyle name="Normal 3 5 2 4 2 3 3 2 2" xfId="53755" xr:uid="{00000000-0005-0000-0000-0000A6950000}"/>
    <cellStyle name="Normal 3 5 2 4 2 3 3 3" xfId="40193" xr:uid="{00000000-0005-0000-0000-0000A7950000}"/>
    <cellStyle name="Normal 3 5 2 4 2 3 4" xfId="19841" xr:uid="{00000000-0005-0000-0000-0000A8950000}"/>
    <cellStyle name="Normal 3 5 2 4 2 3 4 2" xfId="46974" xr:uid="{00000000-0005-0000-0000-0000A9950000}"/>
    <cellStyle name="Normal 3 5 2 4 2 3 5" xfId="33412" xr:uid="{00000000-0005-0000-0000-0000AA950000}"/>
    <cellStyle name="Normal 3 5 2 4 2 4" xfId="9651" xr:uid="{00000000-0005-0000-0000-0000AB950000}"/>
    <cellStyle name="Normal 3 5 2 4 2 4 2" xfId="16441" xr:uid="{00000000-0005-0000-0000-0000AC950000}"/>
    <cellStyle name="Normal 3 5 2 4 2 4 2 2" xfId="30009" xr:uid="{00000000-0005-0000-0000-0000AD950000}"/>
    <cellStyle name="Normal 3 5 2 4 2 4 2 2 2" xfId="57142" xr:uid="{00000000-0005-0000-0000-0000AE950000}"/>
    <cellStyle name="Normal 3 5 2 4 2 4 2 3" xfId="43580" xr:uid="{00000000-0005-0000-0000-0000AF950000}"/>
    <cellStyle name="Normal 3 5 2 4 2 4 3" xfId="23228" xr:uid="{00000000-0005-0000-0000-0000B0950000}"/>
    <cellStyle name="Normal 3 5 2 4 2 4 3 2" xfId="50361" xr:uid="{00000000-0005-0000-0000-0000B1950000}"/>
    <cellStyle name="Normal 3 5 2 4 2 4 4" xfId="36799" xr:uid="{00000000-0005-0000-0000-0000B2950000}"/>
    <cellStyle name="Normal 3 5 2 4 2 5" xfId="13052" xr:uid="{00000000-0005-0000-0000-0000B3950000}"/>
    <cellStyle name="Normal 3 5 2 4 2 5 2" xfId="26620" xr:uid="{00000000-0005-0000-0000-0000B4950000}"/>
    <cellStyle name="Normal 3 5 2 4 2 5 2 2" xfId="53753" xr:uid="{00000000-0005-0000-0000-0000B5950000}"/>
    <cellStyle name="Normal 3 5 2 4 2 5 3" xfId="40191" xr:uid="{00000000-0005-0000-0000-0000B6950000}"/>
    <cellStyle name="Normal 3 5 2 4 2 6" xfId="19839" xr:uid="{00000000-0005-0000-0000-0000B7950000}"/>
    <cellStyle name="Normal 3 5 2 4 2 6 2" xfId="46972" xr:uid="{00000000-0005-0000-0000-0000B8950000}"/>
    <cellStyle name="Normal 3 5 2 4 2 7" xfId="33410" xr:uid="{00000000-0005-0000-0000-0000B9950000}"/>
    <cellStyle name="Normal 3 5 2 4 3" xfId="6111" xr:uid="{00000000-0005-0000-0000-0000BA950000}"/>
    <cellStyle name="Normal 3 5 2 4 3 2" xfId="9654" xr:uid="{00000000-0005-0000-0000-0000BB950000}"/>
    <cellStyle name="Normal 3 5 2 4 3 2 2" xfId="16444" xr:uid="{00000000-0005-0000-0000-0000BC950000}"/>
    <cellStyle name="Normal 3 5 2 4 3 2 2 2" xfId="30012" xr:uid="{00000000-0005-0000-0000-0000BD950000}"/>
    <cellStyle name="Normal 3 5 2 4 3 2 2 2 2" xfId="57145" xr:uid="{00000000-0005-0000-0000-0000BE950000}"/>
    <cellStyle name="Normal 3 5 2 4 3 2 2 3" xfId="43583" xr:uid="{00000000-0005-0000-0000-0000BF950000}"/>
    <cellStyle name="Normal 3 5 2 4 3 2 3" xfId="23231" xr:uid="{00000000-0005-0000-0000-0000C0950000}"/>
    <cellStyle name="Normal 3 5 2 4 3 2 3 2" xfId="50364" xr:uid="{00000000-0005-0000-0000-0000C1950000}"/>
    <cellStyle name="Normal 3 5 2 4 3 2 4" xfId="36802" xr:uid="{00000000-0005-0000-0000-0000C2950000}"/>
    <cellStyle name="Normal 3 5 2 4 3 3" xfId="13055" xr:uid="{00000000-0005-0000-0000-0000C3950000}"/>
    <cellStyle name="Normal 3 5 2 4 3 3 2" xfId="26623" xr:uid="{00000000-0005-0000-0000-0000C4950000}"/>
    <cellStyle name="Normal 3 5 2 4 3 3 2 2" xfId="53756" xr:uid="{00000000-0005-0000-0000-0000C5950000}"/>
    <cellStyle name="Normal 3 5 2 4 3 3 3" xfId="40194" xr:uid="{00000000-0005-0000-0000-0000C6950000}"/>
    <cellStyle name="Normal 3 5 2 4 3 4" xfId="19842" xr:uid="{00000000-0005-0000-0000-0000C7950000}"/>
    <cellStyle name="Normal 3 5 2 4 3 4 2" xfId="46975" xr:uid="{00000000-0005-0000-0000-0000C8950000}"/>
    <cellStyle name="Normal 3 5 2 4 3 5" xfId="33413" xr:uid="{00000000-0005-0000-0000-0000C9950000}"/>
    <cellStyle name="Normal 3 5 2 4 4" xfId="6112" xr:uid="{00000000-0005-0000-0000-0000CA950000}"/>
    <cellStyle name="Normal 3 5 2 4 4 2" xfId="9655" xr:uid="{00000000-0005-0000-0000-0000CB950000}"/>
    <cellStyle name="Normal 3 5 2 4 4 2 2" xfId="16445" xr:uid="{00000000-0005-0000-0000-0000CC950000}"/>
    <cellStyle name="Normal 3 5 2 4 4 2 2 2" xfId="30013" xr:uid="{00000000-0005-0000-0000-0000CD950000}"/>
    <cellStyle name="Normal 3 5 2 4 4 2 2 2 2" xfId="57146" xr:uid="{00000000-0005-0000-0000-0000CE950000}"/>
    <cellStyle name="Normal 3 5 2 4 4 2 2 3" xfId="43584" xr:uid="{00000000-0005-0000-0000-0000CF950000}"/>
    <cellStyle name="Normal 3 5 2 4 4 2 3" xfId="23232" xr:uid="{00000000-0005-0000-0000-0000D0950000}"/>
    <cellStyle name="Normal 3 5 2 4 4 2 3 2" xfId="50365" xr:uid="{00000000-0005-0000-0000-0000D1950000}"/>
    <cellStyle name="Normal 3 5 2 4 4 2 4" xfId="36803" xr:uid="{00000000-0005-0000-0000-0000D2950000}"/>
    <cellStyle name="Normal 3 5 2 4 4 3" xfId="13056" xr:uid="{00000000-0005-0000-0000-0000D3950000}"/>
    <cellStyle name="Normal 3 5 2 4 4 3 2" xfId="26624" xr:uid="{00000000-0005-0000-0000-0000D4950000}"/>
    <cellStyle name="Normal 3 5 2 4 4 3 2 2" xfId="53757" xr:uid="{00000000-0005-0000-0000-0000D5950000}"/>
    <cellStyle name="Normal 3 5 2 4 4 3 3" xfId="40195" xr:uid="{00000000-0005-0000-0000-0000D6950000}"/>
    <cellStyle name="Normal 3 5 2 4 4 4" xfId="19843" xr:uid="{00000000-0005-0000-0000-0000D7950000}"/>
    <cellStyle name="Normal 3 5 2 4 4 4 2" xfId="46976" xr:uid="{00000000-0005-0000-0000-0000D8950000}"/>
    <cellStyle name="Normal 3 5 2 4 4 5" xfId="33414" xr:uid="{00000000-0005-0000-0000-0000D9950000}"/>
    <cellStyle name="Normal 3 5 2 4 5" xfId="9650" xr:uid="{00000000-0005-0000-0000-0000DA950000}"/>
    <cellStyle name="Normal 3 5 2 4 5 2" xfId="16440" xr:uid="{00000000-0005-0000-0000-0000DB950000}"/>
    <cellStyle name="Normal 3 5 2 4 5 2 2" xfId="30008" xr:uid="{00000000-0005-0000-0000-0000DC950000}"/>
    <cellStyle name="Normal 3 5 2 4 5 2 2 2" xfId="57141" xr:uid="{00000000-0005-0000-0000-0000DD950000}"/>
    <cellStyle name="Normal 3 5 2 4 5 2 3" xfId="43579" xr:uid="{00000000-0005-0000-0000-0000DE950000}"/>
    <cellStyle name="Normal 3 5 2 4 5 3" xfId="23227" xr:uid="{00000000-0005-0000-0000-0000DF950000}"/>
    <cellStyle name="Normal 3 5 2 4 5 3 2" xfId="50360" xr:uid="{00000000-0005-0000-0000-0000E0950000}"/>
    <cellStyle name="Normal 3 5 2 4 5 4" xfId="36798" xr:uid="{00000000-0005-0000-0000-0000E1950000}"/>
    <cellStyle name="Normal 3 5 2 4 6" xfId="13051" xr:uid="{00000000-0005-0000-0000-0000E2950000}"/>
    <cellStyle name="Normal 3 5 2 4 6 2" xfId="26619" xr:uid="{00000000-0005-0000-0000-0000E3950000}"/>
    <cellStyle name="Normal 3 5 2 4 6 2 2" xfId="53752" xr:uid="{00000000-0005-0000-0000-0000E4950000}"/>
    <cellStyle name="Normal 3 5 2 4 6 3" xfId="40190" xr:uid="{00000000-0005-0000-0000-0000E5950000}"/>
    <cellStyle name="Normal 3 5 2 4 7" xfId="19838" xr:uid="{00000000-0005-0000-0000-0000E6950000}"/>
    <cellStyle name="Normal 3 5 2 4 7 2" xfId="46971" xr:uid="{00000000-0005-0000-0000-0000E7950000}"/>
    <cellStyle name="Normal 3 5 2 4 8" xfId="33409" xr:uid="{00000000-0005-0000-0000-0000E8950000}"/>
    <cellStyle name="Normal 3 5 2 5" xfId="6113" xr:uid="{00000000-0005-0000-0000-0000E9950000}"/>
    <cellStyle name="Normal 3 5 2 5 2" xfId="6114" xr:uid="{00000000-0005-0000-0000-0000EA950000}"/>
    <cellStyle name="Normal 3 5 2 5 2 2" xfId="9657" xr:uid="{00000000-0005-0000-0000-0000EB950000}"/>
    <cellStyle name="Normal 3 5 2 5 2 2 2" xfId="16447" xr:uid="{00000000-0005-0000-0000-0000EC950000}"/>
    <cellStyle name="Normal 3 5 2 5 2 2 2 2" xfId="30015" xr:uid="{00000000-0005-0000-0000-0000ED950000}"/>
    <cellStyle name="Normal 3 5 2 5 2 2 2 2 2" xfId="57148" xr:uid="{00000000-0005-0000-0000-0000EE950000}"/>
    <cellStyle name="Normal 3 5 2 5 2 2 2 3" xfId="43586" xr:uid="{00000000-0005-0000-0000-0000EF950000}"/>
    <cellStyle name="Normal 3 5 2 5 2 2 3" xfId="23234" xr:uid="{00000000-0005-0000-0000-0000F0950000}"/>
    <cellStyle name="Normal 3 5 2 5 2 2 3 2" xfId="50367" xr:uid="{00000000-0005-0000-0000-0000F1950000}"/>
    <cellStyle name="Normal 3 5 2 5 2 2 4" xfId="36805" xr:uid="{00000000-0005-0000-0000-0000F2950000}"/>
    <cellStyle name="Normal 3 5 2 5 2 3" xfId="13058" xr:uid="{00000000-0005-0000-0000-0000F3950000}"/>
    <cellStyle name="Normal 3 5 2 5 2 3 2" xfId="26626" xr:uid="{00000000-0005-0000-0000-0000F4950000}"/>
    <cellStyle name="Normal 3 5 2 5 2 3 2 2" xfId="53759" xr:uid="{00000000-0005-0000-0000-0000F5950000}"/>
    <cellStyle name="Normal 3 5 2 5 2 3 3" xfId="40197" xr:uid="{00000000-0005-0000-0000-0000F6950000}"/>
    <cellStyle name="Normal 3 5 2 5 2 4" xfId="19845" xr:uid="{00000000-0005-0000-0000-0000F7950000}"/>
    <cellStyle name="Normal 3 5 2 5 2 4 2" xfId="46978" xr:uid="{00000000-0005-0000-0000-0000F8950000}"/>
    <cellStyle name="Normal 3 5 2 5 2 5" xfId="33416" xr:uid="{00000000-0005-0000-0000-0000F9950000}"/>
    <cellStyle name="Normal 3 5 2 5 3" xfId="6115" xr:uid="{00000000-0005-0000-0000-0000FA950000}"/>
    <cellStyle name="Normal 3 5 2 5 3 2" xfId="9658" xr:uid="{00000000-0005-0000-0000-0000FB950000}"/>
    <cellStyle name="Normal 3 5 2 5 3 2 2" xfId="16448" xr:uid="{00000000-0005-0000-0000-0000FC950000}"/>
    <cellStyle name="Normal 3 5 2 5 3 2 2 2" xfId="30016" xr:uid="{00000000-0005-0000-0000-0000FD950000}"/>
    <cellStyle name="Normal 3 5 2 5 3 2 2 2 2" xfId="57149" xr:uid="{00000000-0005-0000-0000-0000FE950000}"/>
    <cellStyle name="Normal 3 5 2 5 3 2 2 3" xfId="43587" xr:uid="{00000000-0005-0000-0000-0000FF950000}"/>
    <cellStyle name="Normal 3 5 2 5 3 2 3" xfId="23235" xr:uid="{00000000-0005-0000-0000-000000960000}"/>
    <cellStyle name="Normal 3 5 2 5 3 2 3 2" xfId="50368" xr:uid="{00000000-0005-0000-0000-000001960000}"/>
    <cellStyle name="Normal 3 5 2 5 3 2 4" xfId="36806" xr:uid="{00000000-0005-0000-0000-000002960000}"/>
    <cellStyle name="Normal 3 5 2 5 3 3" xfId="13059" xr:uid="{00000000-0005-0000-0000-000003960000}"/>
    <cellStyle name="Normal 3 5 2 5 3 3 2" xfId="26627" xr:uid="{00000000-0005-0000-0000-000004960000}"/>
    <cellStyle name="Normal 3 5 2 5 3 3 2 2" xfId="53760" xr:uid="{00000000-0005-0000-0000-000005960000}"/>
    <cellStyle name="Normal 3 5 2 5 3 3 3" xfId="40198" xr:uid="{00000000-0005-0000-0000-000006960000}"/>
    <cellStyle name="Normal 3 5 2 5 3 4" xfId="19846" xr:uid="{00000000-0005-0000-0000-000007960000}"/>
    <cellStyle name="Normal 3 5 2 5 3 4 2" xfId="46979" xr:uid="{00000000-0005-0000-0000-000008960000}"/>
    <cellStyle name="Normal 3 5 2 5 3 5" xfId="33417" xr:uid="{00000000-0005-0000-0000-000009960000}"/>
    <cellStyle name="Normal 3 5 2 5 4" xfId="9656" xr:uid="{00000000-0005-0000-0000-00000A960000}"/>
    <cellStyle name="Normal 3 5 2 5 4 2" xfId="16446" xr:uid="{00000000-0005-0000-0000-00000B960000}"/>
    <cellStyle name="Normal 3 5 2 5 4 2 2" xfId="30014" xr:uid="{00000000-0005-0000-0000-00000C960000}"/>
    <cellStyle name="Normal 3 5 2 5 4 2 2 2" xfId="57147" xr:uid="{00000000-0005-0000-0000-00000D960000}"/>
    <cellStyle name="Normal 3 5 2 5 4 2 3" xfId="43585" xr:uid="{00000000-0005-0000-0000-00000E960000}"/>
    <cellStyle name="Normal 3 5 2 5 4 3" xfId="23233" xr:uid="{00000000-0005-0000-0000-00000F960000}"/>
    <cellStyle name="Normal 3 5 2 5 4 3 2" xfId="50366" xr:uid="{00000000-0005-0000-0000-000010960000}"/>
    <cellStyle name="Normal 3 5 2 5 4 4" xfId="36804" xr:uid="{00000000-0005-0000-0000-000011960000}"/>
    <cellStyle name="Normal 3 5 2 5 5" xfId="13057" xr:uid="{00000000-0005-0000-0000-000012960000}"/>
    <cellStyle name="Normal 3 5 2 5 5 2" xfId="26625" xr:uid="{00000000-0005-0000-0000-000013960000}"/>
    <cellStyle name="Normal 3 5 2 5 5 2 2" xfId="53758" xr:uid="{00000000-0005-0000-0000-000014960000}"/>
    <cellStyle name="Normal 3 5 2 5 5 3" xfId="40196" xr:uid="{00000000-0005-0000-0000-000015960000}"/>
    <cellStyle name="Normal 3 5 2 5 6" xfId="19844" xr:uid="{00000000-0005-0000-0000-000016960000}"/>
    <cellStyle name="Normal 3 5 2 5 6 2" xfId="46977" xr:uid="{00000000-0005-0000-0000-000017960000}"/>
    <cellStyle name="Normal 3 5 2 5 7" xfId="33415" xr:uid="{00000000-0005-0000-0000-000018960000}"/>
    <cellStyle name="Normal 3 5 2 6" xfId="6116" xr:uid="{00000000-0005-0000-0000-000019960000}"/>
    <cellStyle name="Normal 3 5 2 6 2" xfId="6117" xr:uid="{00000000-0005-0000-0000-00001A960000}"/>
    <cellStyle name="Normal 3 5 2 6 2 2" xfId="9660" xr:uid="{00000000-0005-0000-0000-00001B960000}"/>
    <cellStyle name="Normal 3 5 2 6 2 2 2" xfId="16450" xr:uid="{00000000-0005-0000-0000-00001C960000}"/>
    <cellStyle name="Normal 3 5 2 6 2 2 2 2" xfId="30018" xr:uid="{00000000-0005-0000-0000-00001D960000}"/>
    <cellStyle name="Normal 3 5 2 6 2 2 2 2 2" xfId="57151" xr:uid="{00000000-0005-0000-0000-00001E960000}"/>
    <cellStyle name="Normal 3 5 2 6 2 2 2 3" xfId="43589" xr:uid="{00000000-0005-0000-0000-00001F960000}"/>
    <cellStyle name="Normal 3 5 2 6 2 2 3" xfId="23237" xr:uid="{00000000-0005-0000-0000-000020960000}"/>
    <cellStyle name="Normal 3 5 2 6 2 2 3 2" xfId="50370" xr:uid="{00000000-0005-0000-0000-000021960000}"/>
    <cellStyle name="Normal 3 5 2 6 2 2 4" xfId="36808" xr:uid="{00000000-0005-0000-0000-000022960000}"/>
    <cellStyle name="Normal 3 5 2 6 2 3" xfId="13061" xr:uid="{00000000-0005-0000-0000-000023960000}"/>
    <cellStyle name="Normal 3 5 2 6 2 3 2" xfId="26629" xr:uid="{00000000-0005-0000-0000-000024960000}"/>
    <cellStyle name="Normal 3 5 2 6 2 3 2 2" xfId="53762" xr:uid="{00000000-0005-0000-0000-000025960000}"/>
    <cellStyle name="Normal 3 5 2 6 2 3 3" xfId="40200" xr:uid="{00000000-0005-0000-0000-000026960000}"/>
    <cellStyle name="Normal 3 5 2 6 2 4" xfId="19848" xr:uid="{00000000-0005-0000-0000-000027960000}"/>
    <cellStyle name="Normal 3 5 2 6 2 4 2" xfId="46981" xr:uid="{00000000-0005-0000-0000-000028960000}"/>
    <cellStyle name="Normal 3 5 2 6 2 5" xfId="33419" xr:uid="{00000000-0005-0000-0000-000029960000}"/>
    <cellStyle name="Normal 3 5 2 6 3" xfId="6118" xr:uid="{00000000-0005-0000-0000-00002A960000}"/>
    <cellStyle name="Normal 3 5 2 6 3 2" xfId="9661" xr:uid="{00000000-0005-0000-0000-00002B960000}"/>
    <cellStyle name="Normal 3 5 2 6 3 2 2" xfId="16451" xr:uid="{00000000-0005-0000-0000-00002C960000}"/>
    <cellStyle name="Normal 3 5 2 6 3 2 2 2" xfId="30019" xr:uid="{00000000-0005-0000-0000-00002D960000}"/>
    <cellStyle name="Normal 3 5 2 6 3 2 2 2 2" xfId="57152" xr:uid="{00000000-0005-0000-0000-00002E960000}"/>
    <cellStyle name="Normal 3 5 2 6 3 2 2 3" xfId="43590" xr:uid="{00000000-0005-0000-0000-00002F960000}"/>
    <cellStyle name="Normal 3 5 2 6 3 2 3" xfId="23238" xr:uid="{00000000-0005-0000-0000-000030960000}"/>
    <cellStyle name="Normal 3 5 2 6 3 2 3 2" xfId="50371" xr:uid="{00000000-0005-0000-0000-000031960000}"/>
    <cellStyle name="Normal 3 5 2 6 3 2 4" xfId="36809" xr:uid="{00000000-0005-0000-0000-000032960000}"/>
    <cellStyle name="Normal 3 5 2 6 3 3" xfId="13062" xr:uid="{00000000-0005-0000-0000-000033960000}"/>
    <cellStyle name="Normal 3 5 2 6 3 3 2" xfId="26630" xr:uid="{00000000-0005-0000-0000-000034960000}"/>
    <cellStyle name="Normal 3 5 2 6 3 3 2 2" xfId="53763" xr:uid="{00000000-0005-0000-0000-000035960000}"/>
    <cellStyle name="Normal 3 5 2 6 3 3 3" xfId="40201" xr:uid="{00000000-0005-0000-0000-000036960000}"/>
    <cellStyle name="Normal 3 5 2 6 3 4" xfId="19849" xr:uid="{00000000-0005-0000-0000-000037960000}"/>
    <cellStyle name="Normal 3 5 2 6 3 4 2" xfId="46982" xr:uid="{00000000-0005-0000-0000-000038960000}"/>
    <cellStyle name="Normal 3 5 2 6 3 5" xfId="33420" xr:uid="{00000000-0005-0000-0000-000039960000}"/>
    <cellStyle name="Normal 3 5 2 6 4" xfId="9659" xr:uid="{00000000-0005-0000-0000-00003A960000}"/>
    <cellStyle name="Normal 3 5 2 6 4 2" xfId="16449" xr:uid="{00000000-0005-0000-0000-00003B960000}"/>
    <cellStyle name="Normal 3 5 2 6 4 2 2" xfId="30017" xr:uid="{00000000-0005-0000-0000-00003C960000}"/>
    <cellStyle name="Normal 3 5 2 6 4 2 2 2" xfId="57150" xr:uid="{00000000-0005-0000-0000-00003D960000}"/>
    <cellStyle name="Normal 3 5 2 6 4 2 3" xfId="43588" xr:uid="{00000000-0005-0000-0000-00003E960000}"/>
    <cellStyle name="Normal 3 5 2 6 4 3" xfId="23236" xr:uid="{00000000-0005-0000-0000-00003F960000}"/>
    <cellStyle name="Normal 3 5 2 6 4 3 2" xfId="50369" xr:uid="{00000000-0005-0000-0000-000040960000}"/>
    <cellStyle name="Normal 3 5 2 6 4 4" xfId="36807" xr:uid="{00000000-0005-0000-0000-000041960000}"/>
    <cellStyle name="Normal 3 5 2 6 5" xfId="13060" xr:uid="{00000000-0005-0000-0000-000042960000}"/>
    <cellStyle name="Normal 3 5 2 6 5 2" xfId="26628" xr:uid="{00000000-0005-0000-0000-000043960000}"/>
    <cellStyle name="Normal 3 5 2 6 5 2 2" xfId="53761" xr:uid="{00000000-0005-0000-0000-000044960000}"/>
    <cellStyle name="Normal 3 5 2 6 5 3" xfId="40199" xr:uid="{00000000-0005-0000-0000-000045960000}"/>
    <cellStyle name="Normal 3 5 2 6 6" xfId="19847" xr:uid="{00000000-0005-0000-0000-000046960000}"/>
    <cellStyle name="Normal 3 5 2 6 6 2" xfId="46980" xr:uid="{00000000-0005-0000-0000-000047960000}"/>
    <cellStyle name="Normal 3 5 2 6 7" xfId="33418" xr:uid="{00000000-0005-0000-0000-000048960000}"/>
    <cellStyle name="Normal 3 5 2 7" xfId="6119" xr:uid="{00000000-0005-0000-0000-000049960000}"/>
    <cellStyle name="Normal 3 5 2 7 2" xfId="9662" xr:uid="{00000000-0005-0000-0000-00004A960000}"/>
    <cellStyle name="Normal 3 5 2 7 2 2" xfId="16452" xr:uid="{00000000-0005-0000-0000-00004B960000}"/>
    <cellStyle name="Normal 3 5 2 7 2 2 2" xfId="30020" xr:uid="{00000000-0005-0000-0000-00004C960000}"/>
    <cellStyle name="Normal 3 5 2 7 2 2 2 2" xfId="57153" xr:uid="{00000000-0005-0000-0000-00004D960000}"/>
    <cellStyle name="Normal 3 5 2 7 2 2 3" xfId="43591" xr:uid="{00000000-0005-0000-0000-00004E960000}"/>
    <cellStyle name="Normal 3 5 2 7 2 3" xfId="23239" xr:uid="{00000000-0005-0000-0000-00004F960000}"/>
    <cellStyle name="Normal 3 5 2 7 2 3 2" xfId="50372" xr:uid="{00000000-0005-0000-0000-000050960000}"/>
    <cellStyle name="Normal 3 5 2 7 2 4" xfId="36810" xr:uid="{00000000-0005-0000-0000-000051960000}"/>
    <cellStyle name="Normal 3 5 2 7 3" xfId="13063" xr:uid="{00000000-0005-0000-0000-000052960000}"/>
    <cellStyle name="Normal 3 5 2 7 3 2" xfId="26631" xr:uid="{00000000-0005-0000-0000-000053960000}"/>
    <cellStyle name="Normal 3 5 2 7 3 2 2" xfId="53764" xr:uid="{00000000-0005-0000-0000-000054960000}"/>
    <cellStyle name="Normal 3 5 2 7 3 3" xfId="40202" xr:uid="{00000000-0005-0000-0000-000055960000}"/>
    <cellStyle name="Normal 3 5 2 7 4" xfId="19850" xr:uid="{00000000-0005-0000-0000-000056960000}"/>
    <cellStyle name="Normal 3 5 2 7 4 2" xfId="46983" xr:uid="{00000000-0005-0000-0000-000057960000}"/>
    <cellStyle name="Normal 3 5 2 7 5" xfId="33421" xr:uid="{00000000-0005-0000-0000-000058960000}"/>
    <cellStyle name="Normal 3 5 2 8" xfId="6120" xr:uid="{00000000-0005-0000-0000-000059960000}"/>
    <cellStyle name="Normal 3 5 2 8 2" xfId="9663" xr:uid="{00000000-0005-0000-0000-00005A960000}"/>
    <cellStyle name="Normal 3 5 2 8 2 2" xfId="16453" xr:uid="{00000000-0005-0000-0000-00005B960000}"/>
    <cellStyle name="Normal 3 5 2 8 2 2 2" xfId="30021" xr:uid="{00000000-0005-0000-0000-00005C960000}"/>
    <cellStyle name="Normal 3 5 2 8 2 2 2 2" xfId="57154" xr:uid="{00000000-0005-0000-0000-00005D960000}"/>
    <cellStyle name="Normal 3 5 2 8 2 2 3" xfId="43592" xr:uid="{00000000-0005-0000-0000-00005E960000}"/>
    <cellStyle name="Normal 3 5 2 8 2 3" xfId="23240" xr:uid="{00000000-0005-0000-0000-00005F960000}"/>
    <cellStyle name="Normal 3 5 2 8 2 3 2" xfId="50373" xr:uid="{00000000-0005-0000-0000-000060960000}"/>
    <cellStyle name="Normal 3 5 2 8 2 4" xfId="36811" xr:uid="{00000000-0005-0000-0000-000061960000}"/>
    <cellStyle name="Normal 3 5 2 8 3" xfId="13064" xr:uid="{00000000-0005-0000-0000-000062960000}"/>
    <cellStyle name="Normal 3 5 2 8 3 2" xfId="26632" xr:uid="{00000000-0005-0000-0000-000063960000}"/>
    <cellStyle name="Normal 3 5 2 8 3 2 2" xfId="53765" xr:uid="{00000000-0005-0000-0000-000064960000}"/>
    <cellStyle name="Normal 3 5 2 8 3 3" xfId="40203" xr:uid="{00000000-0005-0000-0000-000065960000}"/>
    <cellStyle name="Normal 3 5 2 8 4" xfId="19851" xr:uid="{00000000-0005-0000-0000-000066960000}"/>
    <cellStyle name="Normal 3 5 2 8 4 2" xfId="46984" xr:uid="{00000000-0005-0000-0000-000067960000}"/>
    <cellStyle name="Normal 3 5 2 8 5" xfId="33422" xr:uid="{00000000-0005-0000-0000-000068960000}"/>
    <cellStyle name="Normal 3 5 2 9" xfId="7537" xr:uid="{00000000-0005-0000-0000-000069960000}"/>
    <cellStyle name="Normal 3 5 2 9 2" xfId="14327" xr:uid="{00000000-0005-0000-0000-00006A960000}"/>
    <cellStyle name="Normal 3 5 2 9 2 2" xfId="27895" xr:uid="{00000000-0005-0000-0000-00006B960000}"/>
    <cellStyle name="Normal 3 5 2 9 2 2 2" xfId="55028" xr:uid="{00000000-0005-0000-0000-00006C960000}"/>
    <cellStyle name="Normal 3 5 2 9 2 3" xfId="41466" xr:uid="{00000000-0005-0000-0000-00006D960000}"/>
    <cellStyle name="Normal 3 5 2 9 3" xfId="21114" xr:uid="{00000000-0005-0000-0000-00006E960000}"/>
    <cellStyle name="Normal 3 5 2 9 3 2" xfId="48247" xr:uid="{00000000-0005-0000-0000-00006F960000}"/>
    <cellStyle name="Normal 3 5 2 9 4" xfId="34685" xr:uid="{00000000-0005-0000-0000-000070960000}"/>
    <cellStyle name="Normal 3 5 3" xfId="2726" xr:uid="{00000000-0005-0000-0000-000071960000}"/>
    <cellStyle name="Normal 3 5 3 10" xfId="31298" xr:uid="{00000000-0005-0000-0000-000072960000}"/>
    <cellStyle name="Normal 3 5 3 2" xfId="2727" xr:uid="{00000000-0005-0000-0000-000073960000}"/>
    <cellStyle name="Normal 3 5 3 2 2" xfId="6121" xr:uid="{00000000-0005-0000-0000-000074960000}"/>
    <cellStyle name="Normal 3 5 3 2 2 2" xfId="6122" xr:uid="{00000000-0005-0000-0000-000075960000}"/>
    <cellStyle name="Normal 3 5 3 2 2 2 2" xfId="9665" xr:uid="{00000000-0005-0000-0000-000076960000}"/>
    <cellStyle name="Normal 3 5 3 2 2 2 2 2" xfId="16455" xr:uid="{00000000-0005-0000-0000-000077960000}"/>
    <cellStyle name="Normal 3 5 3 2 2 2 2 2 2" xfId="30023" xr:uid="{00000000-0005-0000-0000-000078960000}"/>
    <cellStyle name="Normal 3 5 3 2 2 2 2 2 2 2" xfId="57156" xr:uid="{00000000-0005-0000-0000-000079960000}"/>
    <cellStyle name="Normal 3 5 3 2 2 2 2 2 3" xfId="43594" xr:uid="{00000000-0005-0000-0000-00007A960000}"/>
    <cellStyle name="Normal 3 5 3 2 2 2 2 3" xfId="23242" xr:uid="{00000000-0005-0000-0000-00007B960000}"/>
    <cellStyle name="Normal 3 5 3 2 2 2 2 3 2" xfId="50375" xr:uid="{00000000-0005-0000-0000-00007C960000}"/>
    <cellStyle name="Normal 3 5 3 2 2 2 2 4" xfId="36813" xr:uid="{00000000-0005-0000-0000-00007D960000}"/>
    <cellStyle name="Normal 3 5 3 2 2 2 3" xfId="13066" xr:uid="{00000000-0005-0000-0000-00007E960000}"/>
    <cellStyle name="Normal 3 5 3 2 2 2 3 2" xfId="26634" xr:uid="{00000000-0005-0000-0000-00007F960000}"/>
    <cellStyle name="Normal 3 5 3 2 2 2 3 2 2" xfId="53767" xr:uid="{00000000-0005-0000-0000-000080960000}"/>
    <cellStyle name="Normal 3 5 3 2 2 2 3 3" xfId="40205" xr:uid="{00000000-0005-0000-0000-000081960000}"/>
    <cellStyle name="Normal 3 5 3 2 2 2 4" xfId="19853" xr:uid="{00000000-0005-0000-0000-000082960000}"/>
    <cellStyle name="Normal 3 5 3 2 2 2 4 2" xfId="46986" xr:uid="{00000000-0005-0000-0000-000083960000}"/>
    <cellStyle name="Normal 3 5 3 2 2 2 5" xfId="33424" xr:uid="{00000000-0005-0000-0000-000084960000}"/>
    <cellStyle name="Normal 3 5 3 2 2 3" xfId="6123" xr:uid="{00000000-0005-0000-0000-000085960000}"/>
    <cellStyle name="Normal 3 5 3 2 2 3 2" xfId="9666" xr:uid="{00000000-0005-0000-0000-000086960000}"/>
    <cellStyle name="Normal 3 5 3 2 2 3 2 2" xfId="16456" xr:uid="{00000000-0005-0000-0000-000087960000}"/>
    <cellStyle name="Normal 3 5 3 2 2 3 2 2 2" xfId="30024" xr:uid="{00000000-0005-0000-0000-000088960000}"/>
    <cellStyle name="Normal 3 5 3 2 2 3 2 2 2 2" xfId="57157" xr:uid="{00000000-0005-0000-0000-000089960000}"/>
    <cellStyle name="Normal 3 5 3 2 2 3 2 2 3" xfId="43595" xr:uid="{00000000-0005-0000-0000-00008A960000}"/>
    <cellStyle name="Normal 3 5 3 2 2 3 2 3" xfId="23243" xr:uid="{00000000-0005-0000-0000-00008B960000}"/>
    <cellStyle name="Normal 3 5 3 2 2 3 2 3 2" xfId="50376" xr:uid="{00000000-0005-0000-0000-00008C960000}"/>
    <cellStyle name="Normal 3 5 3 2 2 3 2 4" xfId="36814" xr:uid="{00000000-0005-0000-0000-00008D960000}"/>
    <cellStyle name="Normal 3 5 3 2 2 3 3" xfId="13067" xr:uid="{00000000-0005-0000-0000-00008E960000}"/>
    <cellStyle name="Normal 3 5 3 2 2 3 3 2" xfId="26635" xr:uid="{00000000-0005-0000-0000-00008F960000}"/>
    <cellStyle name="Normal 3 5 3 2 2 3 3 2 2" xfId="53768" xr:uid="{00000000-0005-0000-0000-000090960000}"/>
    <cellStyle name="Normal 3 5 3 2 2 3 3 3" xfId="40206" xr:uid="{00000000-0005-0000-0000-000091960000}"/>
    <cellStyle name="Normal 3 5 3 2 2 3 4" xfId="19854" xr:uid="{00000000-0005-0000-0000-000092960000}"/>
    <cellStyle name="Normal 3 5 3 2 2 3 4 2" xfId="46987" xr:uid="{00000000-0005-0000-0000-000093960000}"/>
    <cellStyle name="Normal 3 5 3 2 2 3 5" xfId="33425" xr:uid="{00000000-0005-0000-0000-000094960000}"/>
    <cellStyle name="Normal 3 5 3 2 2 4" xfId="9664" xr:uid="{00000000-0005-0000-0000-000095960000}"/>
    <cellStyle name="Normal 3 5 3 2 2 4 2" xfId="16454" xr:uid="{00000000-0005-0000-0000-000096960000}"/>
    <cellStyle name="Normal 3 5 3 2 2 4 2 2" xfId="30022" xr:uid="{00000000-0005-0000-0000-000097960000}"/>
    <cellStyle name="Normal 3 5 3 2 2 4 2 2 2" xfId="57155" xr:uid="{00000000-0005-0000-0000-000098960000}"/>
    <cellStyle name="Normal 3 5 3 2 2 4 2 3" xfId="43593" xr:uid="{00000000-0005-0000-0000-000099960000}"/>
    <cellStyle name="Normal 3 5 3 2 2 4 3" xfId="23241" xr:uid="{00000000-0005-0000-0000-00009A960000}"/>
    <cellStyle name="Normal 3 5 3 2 2 4 3 2" xfId="50374" xr:uid="{00000000-0005-0000-0000-00009B960000}"/>
    <cellStyle name="Normal 3 5 3 2 2 4 4" xfId="36812" xr:uid="{00000000-0005-0000-0000-00009C960000}"/>
    <cellStyle name="Normal 3 5 3 2 2 5" xfId="13065" xr:uid="{00000000-0005-0000-0000-00009D960000}"/>
    <cellStyle name="Normal 3 5 3 2 2 5 2" xfId="26633" xr:uid="{00000000-0005-0000-0000-00009E960000}"/>
    <cellStyle name="Normal 3 5 3 2 2 5 2 2" xfId="53766" xr:uid="{00000000-0005-0000-0000-00009F960000}"/>
    <cellStyle name="Normal 3 5 3 2 2 5 3" xfId="40204" xr:uid="{00000000-0005-0000-0000-0000A0960000}"/>
    <cellStyle name="Normal 3 5 3 2 2 6" xfId="19852" xr:uid="{00000000-0005-0000-0000-0000A1960000}"/>
    <cellStyle name="Normal 3 5 3 2 2 6 2" xfId="46985" xr:uid="{00000000-0005-0000-0000-0000A2960000}"/>
    <cellStyle name="Normal 3 5 3 2 2 7" xfId="33423" xr:uid="{00000000-0005-0000-0000-0000A3960000}"/>
    <cellStyle name="Normal 3 5 3 2 3" xfId="6124" xr:uid="{00000000-0005-0000-0000-0000A4960000}"/>
    <cellStyle name="Normal 3 5 3 2 3 2" xfId="6125" xr:uid="{00000000-0005-0000-0000-0000A5960000}"/>
    <cellStyle name="Normal 3 5 3 2 3 2 2" xfId="9668" xr:uid="{00000000-0005-0000-0000-0000A6960000}"/>
    <cellStyle name="Normal 3 5 3 2 3 2 2 2" xfId="16458" xr:uid="{00000000-0005-0000-0000-0000A7960000}"/>
    <cellStyle name="Normal 3 5 3 2 3 2 2 2 2" xfId="30026" xr:uid="{00000000-0005-0000-0000-0000A8960000}"/>
    <cellStyle name="Normal 3 5 3 2 3 2 2 2 2 2" xfId="57159" xr:uid="{00000000-0005-0000-0000-0000A9960000}"/>
    <cellStyle name="Normal 3 5 3 2 3 2 2 2 3" xfId="43597" xr:uid="{00000000-0005-0000-0000-0000AA960000}"/>
    <cellStyle name="Normal 3 5 3 2 3 2 2 3" xfId="23245" xr:uid="{00000000-0005-0000-0000-0000AB960000}"/>
    <cellStyle name="Normal 3 5 3 2 3 2 2 3 2" xfId="50378" xr:uid="{00000000-0005-0000-0000-0000AC960000}"/>
    <cellStyle name="Normal 3 5 3 2 3 2 2 4" xfId="36816" xr:uid="{00000000-0005-0000-0000-0000AD960000}"/>
    <cellStyle name="Normal 3 5 3 2 3 2 3" xfId="13069" xr:uid="{00000000-0005-0000-0000-0000AE960000}"/>
    <cellStyle name="Normal 3 5 3 2 3 2 3 2" xfId="26637" xr:uid="{00000000-0005-0000-0000-0000AF960000}"/>
    <cellStyle name="Normal 3 5 3 2 3 2 3 2 2" xfId="53770" xr:uid="{00000000-0005-0000-0000-0000B0960000}"/>
    <cellStyle name="Normal 3 5 3 2 3 2 3 3" xfId="40208" xr:uid="{00000000-0005-0000-0000-0000B1960000}"/>
    <cellStyle name="Normal 3 5 3 2 3 2 4" xfId="19856" xr:uid="{00000000-0005-0000-0000-0000B2960000}"/>
    <cellStyle name="Normal 3 5 3 2 3 2 4 2" xfId="46989" xr:uid="{00000000-0005-0000-0000-0000B3960000}"/>
    <cellStyle name="Normal 3 5 3 2 3 2 5" xfId="33427" xr:uid="{00000000-0005-0000-0000-0000B4960000}"/>
    <cellStyle name="Normal 3 5 3 2 3 3" xfId="9667" xr:uid="{00000000-0005-0000-0000-0000B5960000}"/>
    <cellStyle name="Normal 3 5 3 2 3 3 2" xfId="16457" xr:uid="{00000000-0005-0000-0000-0000B6960000}"/>
    <cellStyle name="Normal 3 5 3 2 3 3 2 2" xfId="30025" xr:uid="{00000000-0005-0000-0000-0000B7960000}"/>
    <cellStyle name="Normal 3 5 3 2 3 3 2 2 2" xfId="57158" xr:uid="{00000000-0005-0000-0000-0000B8960000}"/>
    <cellStyle name="Normal 3 5 3 2 3 3 2 3" xfId="43596" xr:uid="{00000000-0005-0000-0000-0000B9960000}"/>
    <cellStyle name="Normal 3 5 3 2 3 3 3" xfId="23244" xr:uid="{00000000-0005-0000-0000-0000BA960000}"/>
    <cellStyle name="Normal 3 5 3 2 3 3 3 2" xfId="50377" xr:uid="{00000000-0005-0000-0000-0000BB960000}"/>
    <cellStyle name="Normal 3 5 3 2 3 3 4" xfId="36815" xr:uid="{00000000-0005-0000-0000-0000BC960000}"/>
    <cellStyle name="Normal 3 5 3 2 3 4" xfId="13068" xr:uid="{00000000-0005-0000-0000-0000BD960000}"/>
    <cellStyle name="Normal 3 5 3 2 3 4 2" xfId="26636" xr:uid="{00000000-0005-0000-0000-0000BE960000}"/>
    <cellStyle name="Normal 3 5 3 2 3 4 2 2" xfId="53769" xr:uid="{00000000-0005-0000-0000-0000BF960000}"/>
    <cellStyle name="Normal 3 5 3 2 3 4 3" xfId="40207" xr:uid="{00000000-0005-0000-0000-0000C0960000}"/>
    <cellStyle name="Normal 3 5 3 2 3 5" xfId="19855" xr:uid="{00000000-0005-0000-0000-0000C1960000}"/>
    <cellStyle name="Normal 3 5 3 2 3 5 2" xfId="46988" xr:uid="{00000000-0005-0000-0000-0000C2960000}"/>
    <cellStyle name="Normal 3 5 3 2 3 6" xfId="33426" xr:uid="{00000000-0005-0000-0000-0000C3960000}"/>
    <cellStyle name="Normal 3 5 3 2 4" xfId="6126" xr:uid="{00000000-0005-0000-0000-0000C4960000}"/>
    <cellStyle name="Normal 3 5 3 2 4 2" xfId="9669" xr:uid="{00000000-0005-0000-0000-0000C5960000}"/>
    <cellStyle name="Normal 3 5 3 2 4 2 2" xfId="16459" xr:uid="{00000000-0005-0000-0000-0000C6960000}"/>
    <cellStyle name="Normal 3 5 3 2 4 2 2 2" xfId="30027" xr:uid="{00000000-0005-0000-0000-0000C7960000}"/>
    <cellStyle name="Normal 3 5 3 2 4 2 2 2 2" xfId="57160" xr:uid="{00000000-0005-0000-0000-0000C8960000}"/>
    <cellStyle name="Normal 3 5 3 2 4 2 2 3" xfId="43598" xr:uid="{00000000-0005-0000-0000-0000C9960000}"/>
    <cellStyle name="Normal 3 5 3 2 4 2 3" xfId="23246" xr:uid="{00000000-0005-0000-0000-0000CA960000}"/>
    <cellStyle name="Normal 3 5 3 2 4 2 3 2" xfId="50379" xr:uid="{00000000-0005-0000-0000-0000CB960000}"/>
    <cellStyle name="Normal 3 5 3 2 4 2 4" xfId="36817" xr:uid="{00000000-0005-0000-0000-0000CC960000}"/>
    <cellStyle name="Normal 3 5 3 2 4 3" xfId="13070" xr:uid="{00000000-0005-0000-0000-0000CD960000}"/>
    <cellStyle name="Normal 3 5 3 2 4 3 2" xfId="26638" xr:uid="{00000000-0005-0000-0000-0000CE960000}"/>
    <cellStyle name="Normal 3 5 3 2 4 3 2 2" xfId="53771" xr:uid="{00000000-0005-0000-0000-0000CF960000}"/>
    <cellStyle name="Normal 3 5 3 2 4 3 3" xfId="40209" xr:uid="{00000000-0005-0000-0000-0000D0960000}"/>
    <cellStyle name="Normal 3 5 3 2 4 4" xfId="19857" xr:uid="{00000000-0005-0000-0000-0000D1960000}"/>
    <cellStyle name="Normal 3 5 3 2 4 4 2" xfId="46990" xr:uid="{00000000-0005-0000-0000-0000D2960000}"/>
    <cellStyle name="Normal 3 5 3 2 4 5" xfId="33428" xr:uid="{00000000-0005-0000-0000-0000D3960000}"/>
    <cellStyle name="Normal 3 5 3 2 5" xfId="6127" xr:uid="{00000000-0005-0000-0000-0000D4960000}"/>
    <cellStyle name="Normal 3 5 3 2 5 2" xfId="9670" xr:uid="{00000000-0005-0000-0000-0000D5960000}"/>
    <cellStyle name="Normal 3 5 3 2 5 2 2" xfId="16460" xr:uid="{00000000-0005-0000-0000-0000D6960000}"/>
    <cellStyle name="Normal 3 5 3 2 5 2 2 2" xfId="30028" xr:uid="{00000000-0005-0000-0000-0000D7960000}"/>
    <cellStyle name="Normal 3 5 3 2 5 2 2 2 2" xfId="57161" xr:uid="{00000000-0005-0000-0000-0000D8960000}"/>
    <cellStyle name="Normal 3 5 3 2 5 2 2 3" xfId="43599" xr:uid="{00000000-0005-0000-0000-0000D9960000}"/>
    <cellStyle name="Normal 3 5 3 2 5 2 3" xfId="23247" xr:uid="{00000000-0005-0000-0000-0000DA960000}"/>
    <cellStyle name="Normal 3 5 3 2 5 2 3 2" xfId="50380" xr:uid="{00000000-0005-0000-0000-0000DB960000}"/>
    <cellStyle name="Normal 3 5 3 2 5 2 4" xfId="36818" xr:uid="{00000000-0005-0000-0000-0000DC960000}"/>
    <cellStyle name="Normal 3 5 3 2 5 3" xfId="13071" xr:uid="{00000000-0005-0000-0000-0000DD960000}"/>
    <cellStyle name="Normal 3 5 3 2 5 3 2" xfId="26639" xr:uid="{00000000-0005-0000-0000-0000DE960000}"/>
    <cellStyle name="Normal 3 5 3 2 5 3 2 2" xfId="53772" xr:uid="{00000000-0005-0000-0000-0000DF960000}"/>
    <cellStyle name="Normal 3 5 3 2 5 3 3" xfId="40210" xr:uid="{00000000-0005-0000-0000-0000E0960000}"/>
    <cellStyle name="Normal 3 5 3 2 5 4" xfId="19858" xr:uid="{00000000-0005-0000-0000-0000E1960000}"/>
    <cellStyle name="Normal 3 5 3 2 5 4 2" xfId="46991" xr:uid="{00000000-0005-0000-0000-0000E2960000}"/>
    <cellStyle name="Normal 3 5 3 2 5 5" xfId="33429" xr:uid="{00000000-0005-0000-0000-0000E3960000}"/>
    <cellStyle name="Normal 3 5 3 2 6" xfId="7540" xr:uid="{00000000-0005-0000-0000-0000E4960000}"/>
    <cellStyle name="Normal 3 5 3 2 6 2" xfId="14330" xr:uid="{00000000-0005-0000-0000-0000E5960000}"/>
    <cellStyle name="Normal 3 5 3 2 6 2 2" xfId="27898" xr:uid="{00000000-0005-0000-0000-0000E6960000}"/>
    <cellStyle name="Normal 3 5 3 2 6 2 2 2" xfId="55031" xr:uid="{00000000-0005-0000-0000-0000E7960000}"/>
    <cellStyle name="Normal 3 5 3 2 6 2 3" xfId="41469" xr:uid="{00000000-0005-0000-0000-0000E8960000}"/>
    <cellStyle name="Normal 3 5 3 2 6 3" xfId="21117" xr:uid="{00000000-0005-0000-0000-0000E9960000}"/>
    <cellStyle name="Normal 3 5 3 2 6 3 2" xfId="48250" xr:uid="{00000000-0005-0000-0000-0000EA960000}"/>
    <cellStyle name="Normal 3 5 3 2 6 4" xfId="34688" xr:uid="{00000000-0005-0000-0000-0000EB960000}"/>
    <cellStyle name="Normal 3 5 3 2 7" xfId="10941" xr:uid="{00000000-0005-0000-0000-0000EC960000}"/>
    <cellStyle name="Normal 3 5 3 2 7 2" xfId="24509" xr:uid="{00000000-0005-0000-0000-0000ED960000}"/>
    <cellStyle name="Normal 3 5 3 2 7 2 2" xfId="51642" xr:uid="{00000000-0005-0000-0000-0000EE960000}"/>
    <cellStyle name="Normal 3 5 3 2 7 3" xfId="38080" xr:uid="{00000000-0005-0000-0000-0000EF960000}"/>
    <cellStyle name="Normal 3 5 3 2 8" xfId="17728" xr:uid="{00000000-0005-0000-0000-0000F0960000}"/>
    <cellStyle name="Normal 3 5 3 2 8 2" xfId="44861" xr:uid="{00000000-0005-0000-0000-0000F1960000}"/>
    <cellStyle name="Normal 3 5 3 2 9" xfId="31299" xr:uid="{00000000-0005-0000-0000-0000F2960000}"/>
    <cellStyle name="Normal 3 5 3 3" xfId="6128" xr:uid="{00000000-0005-0000-0000-0000F3960000}"/>
    <cellStyle name="Normal 3 5 3 3 2" xfId="6129" xr:uid="{00000000-0005-0000-0000-0000F4960000}"/>
    <cellStyle name="Normal 3 5 3 3 2 2" xfId="9672" xr:uid="{00000000-0005-0000-0000-0000F5960000}"/>
    <cellStyle name="Normal 3 5 3 3 2 2 2" xfId="16462" xr:uid="{00000000-0005-0000-0000-0000F6960000}"/>
    <cellStyle name="Normal 3 5 3 3 2 2 2 2" xfId="30030" xr:uid="{00000000-0005-0000-0000-0000F7960000}"/>
    <cellStyle name="Normal 3 5 3 3 2 2 2 2 2" xfId="57163" xr:uid="{00000000-0005-0000-0000-0000F8960000}"/>
    <cellStyle name="Normal 3 5 3 3 2 2 2 3" xfId="43601" xr:uid="{00000000-0005-0000-0000-0000F9960000}"/>
    <cellStyle name="Normal 3 5 3 3 2 2 3" xfId="23249" xr:uid="{00000000-0005-0000-0000-0000FA960000}"/>
    <cellStyle name="Normal 3 5 3 3 2 2 3 2" xfId="50382" xr:uid="{00000000-0005-0000-0000-0000FB960000}"/>
    <cellStyle name="Normal 3 5 3 3 2 2 4" xfId="36820" xr:uid="{00000000-0005-0000-0000-0000FC960000}"/>
    <cellStyle name="Normal 3 5 3 3 2 3" xfId="13073" xr:uid="{00000000-0005-0000-0000-0000FD960000}"/>
    <cellStyle name="Normal 3 5 3 3 2 3 2" xfId="26641" xr:uid="{00000000-0005-0000-0000-0000FE960000}"/>
    <cellStyle name="Normal 3 5 3 3 2 3 2 2" xfId="53774" xr:uid="{00000000-0005-0000-0000-0000FF960000}"/>
    <cellStyle name="Normal 3 5 3 3 2 3 3" xfId="40212" xr:uid="{00000000-0005-0000-0000-000000970000}"/>
    <cellStyle name="Normal 3 5 3 3 2 4" xfId="19860" xr:uid="{00000000-0005-0000-0000-000001970000}"/>
    <cellStyle name="Normal 3 5 3 3 2 4 2" xfId="46993" xr:uid="{00000000-0005-0000-0000-000002970000}"/>
    <cellStyle name="Normal 3 5 3 3 2 5" xfId="33431" xr:uid="{00000000-0005-0000-0000-000003970000}"/>
    <cellStyle name="Normal 3 5 3 3 3" xfId="6130" xr:uid="{00000000-0005-0000-0000-000004970000}"/>
    <cellStyle name="Normal 3 5 3 3 3 2" xfId="9673" xr:uid="{00000000-0005-0000-0000-000005970000}"/>
    <cellStyle name="Normal 3 5 3 3 3 2 2" xfId="16463" xr:uid="{00000000-0005-0000-0000-000006970000}"/>
    <cellStyle name="Normal 3 5 3 3 3 2 2 2" xfId="30031" xr:uid="{00000000-0005-0000-0000-000007970000}"/>
    <cellStyle name="Normal 3 5 3 3 3 2 2 2 2" xfId="57164" xr:uid="{00000000-0005-0000-0000-000008970000}"/>
    <cellStyle name="Normal 3 5 3 3 3 2 2 3" xfId="43602" xr:uid="{00000000-0005-0000-0000-000009970000}"/>
    <cellStyle name="Normal 3 5 3 3 3 2 3" xfId="23250" xr:uid="{00000000-0005-0000-0000-00000A970000}"/>
    <cellStyle name="Normal 3 5 3 3 3 2 3 2" xfId="50383" xr:uid="{00000000-0005-0000-0000-00000B970000}"/>
    <cellStyle name="Normal 3 5 3 3 3 2 4" xfId="36821" xr:uid="{00000000-0005-0000-0000-00000C970000}"/>
    <cellStyle name="Normal 3 5 3 3 3 3" xfId="13074" xr:uid="{00000000-0005-0000-0000-00000D970000}"/>
    <cellStyle name="Normal 3 5 3 3 3 3 2" xfId="26642" xr:uid="{00000000-0005-0000-0000-00000E970000}"/>
    <cellStyle name="Normal 3 5 3 3 3 3 2 2" xfId="53775" xr:uid="{00000000-0005-0000-0000-00000F970000}"/>
    <cellStyle name="Normal 3 5 3 3 3 3 3" xfId="40213" xr:uid="{00000000-0005-0000-0000-000010970000}"/>
    <cellStyle name="Normal 3 5 3 3 3 4" xfId="19861" xr:uid="{00000000-0005-0000-0000-000011970000}"/>
    <cellStyle name="Normal 3 5 3 3 3 4 2" xfId="46994" xr:uid="{00000000-0005-0000-0000-000012970000}"/>
    <cellStyle name="Normal 3 5 3 3 3 5" xfId="33432" xr:uid="{00000000-0005-0000-0000-000013970000}"/>
    <cellStyle name="Normal 3 5 3 3 4" xfId="9671" xr:uid="{00000000-0005-0000-0000-000014970000}"/>
    <cellStyle name="Normal 3 5 3 3 4 2" xfId="16461" xr:uid="{00000000-0005-0000-0000-000015970000}"/>
    <cellStyle name="Normal 3 5 3 3 4 2 2" xfId="30029" xr:uid="{00000000-0005-0000-0000-000016970000}"/>
    <cellStyle name="Normal 3 5 3 3 4 2 2 2" xfId="57162" xr:uid="{00000000-0005-0000-0000-000017970000}"/>
    <cellStyle name="Normal 3 5 3 3 4 2 3" xfId="43600" xr:uid="{00000000-0005-0000-0000-000018970000}"/>
    <cellStyle name="Normal 3 5 3 3 4 3" xfId="23248" xr:uid="{00000000-0005-0000-0000-000019970000}"/>
    <cellStyle name="Normal 3 5 3 3 4 3 2" xfId="50381" xr:uid="{00000000-0005-0000-0000-00001A970000}"/>
    <cellStyle name="Normal 3 5 3 3 4 4" xfId="36819" xr:uid="{00000000-0005-0000-0000-00001B970000}"/>
    <cellStyle name="Normal 3 5 3 3 5" xfId="13072" xr:uid="{00000000-0005-0000-0000-00001C970000}"/>
    <cellStyle name="Normal 3 5 3 3 5 2" xfId="26640" xr:uid="{00000000-0005-0000-0000-00001D970000}"/>
    <cellStyle name="Normal 3 5 3 3 5 2 2" xfId="53773" xr:uid="{00000000-0005-0000-0000-00001E970000}"/>
    <cellStyle name="Normal 3 5 3 3 5 3" xfId="40211" xr:uid="{00000000-0005-0000-0000-00001F970000}"/>
    <cellStyle name="Normal 3 5 3 3 6" xfId="19859" xr:uid="{00000000-0005-0000-0000-000020970000}"/>
    <cellStyle name="Normal 3 5 3 3 6 2" xfId="46992" xr:uid="{00000000-0005-0000-0000-000021970000}"/>
    <cellStyle name="Normal 3 5 3 3 7" xfId="33430" xr:uid="{00000000-0005-0000-0000-000022970000}"/>
    <cellStyle name="Normal 3 5 3 4" xfId="6131" xr:uid="{00000000-0005-0000-0000-000023970000}"/>
    <cellStyle name="Normal 3 5 3 4 2" xfId="6132" xr:uid="{00000000-0005-0000-0000-000024970000}"/>
    <cellStyle name="Normal 3 5 3 4 2 2" xfId="9675" xr:uid="{00000000-0005-0000-0000-000025970000}"/>
    <cellStyle name="Normal 3 5 3 4 2 2 2" xfId="16465" xr:uid="{00000000-0005-0000-0000-000026970000}"/>
    <cellStyle name="Normal 3 5 3 4 2 2 2 2" xfId="30033" xr:uid="{00000000-0005-0000-0000-000027970000}"/>
    <cellStyle name="Normal 3 5 3 4 2 2 2 2 2" xfId="57166" xr:uid="{00000000-0005-0000-0000-000028970000}"/>
    <cellStyle name="Normal 3 5 3 4 2 2 2 3" xfId="43604" xr:uid="{00000000-0005-0000-0000-000029970000}"/>
    <cellStyle name="Normal 3 5 3 4 2 2 3" xfId="23252" xr:uid="{00000000-0005-0000-0000-00002A970000}"/>
    <cellStyle name="Normal 3 5 3 4 2 2 3 2" xfId="50385" xr:uid="{00000000-0005-0000-0000-00002B970000}"/>
    <cellStyle name="Normal 3 5 3 4 2 2 4" xfId="36823" xr:uid="{00000000-0005-0000-0000-00002C970000}"/>
    <cellStyle name="Normal 3 5 3 4 2 3" xfId="13076" xr:uid="{00000000-0005-0000-0000-00002D970000}"/>
    <cellStyle name="Normal 3 5 3 4 2 3 2" xfId="26644" xr:uid="{00000000-0005-0000-0000-00002E970000}"/>
    <cellStyle name="Normal 3 5 3 4 2 3 2 2" xfId="53777" xr:uid="{00000000-0005-0000-0000-00002F970000}"/>
    <cellStyle name="Normal 3 5 3 4 2 3 3" xfId="40215" xr:uid="{00000000-0005-0000-0000-000030970000}"/>
    <cellStyle name="Normal 3 5 3 4 2 4" xfId="19863" xr:uid="{00000000-0005-0000-0000-000031970000}"/>
    <cellStyle name="Normal 3 5 3 4 2 4 2" xfId="46996" xr:uid="{00000000-0005-0000-0000-000032970000}"/>
    <cellStyle name="Normal 3 5 3 4 2 5" xfId="33434" xr:uid="{00000000-0005-0000-0000-000033970000}"/>
    <cellStyle name="Normal 3 5 3 4 3" xfId="9674" xr:uid="{00000000-0005-0000-0000-000034970000}"/>
    <cellStyle name="Normal 3 5 3 4 3 2" xfId="16464" xr:uid="{00000000-0005-0000-0000-000035970000}"/>
    <cellStyle name="Normal 3 5 3 4 3 2 2" xfId="30032" xr:uid="{00000000-0005-0000-0000-000036970000}"/>
    <cellStyle name="Normal 3 5 3 4 3 2 2 2" xfId="57165" xr:uid="{00000000-0005-0000-0000-000037970000}"/>
    <cellStyle name="Normal 3 5 3 4 3 2 3" xfId="43603" xr:uid="{00000000-0005-0000-0000-000038970000}"/>
    <cellStyle name="Normal 3 5 3 4 3 3" xfId="23251" xr:uid="{00000000-0005-0000-0000-000039970000}"/>
    <cellStyle name="Normal 3 5 3 4 3 3 2" xfId="50384" xr:uid="{00000000-0005-0000-0000-00003A970000}"/>
    <cellStyle name="Normal 3 5 3 4 3 4" xfId="36822" xr:uid="{00000000-0005-0000-0000-00003B970000}"/>
    <cellStyle name="Normal 3 5 3 4 4" xfId="13075" xr:uid="{00000000-0005-0000-0000-00003C970000}"/>
    <cellStyle name="Normal 3 5 3 4 4 2" xfId="26643" xr:uid="{00000000-0005-0000-0000-00003D970000}"/>
    <cellStyle name="Normal 3 5 3 4 4 2 2" xfId="53776" xr:uid="{00000000-0005-0000-0000-00003E970000}"/>
    <cellStyle name="Normal 3 5 3 4 4 3" xfId="40214" xr:uid="{00000000-0005-0000-0000-00003F970000}"/>
    <cellStyle name="Normal 3 5 3 4 5" xfId="19862" xr:uid="{00000000-0005-0000-0000-000040970000}"/>
    <cellStyle name="Normal 3 5 3 4 5 2" xfId="46995" xr:uid="{00000000-0005-0000-0000-000041970000}"/>
    <cellStyle name="Normal 3 5 3 4 6" xfId="33433" xr:uid="{00000000-0005-0000-0000-000042970000}"/>
    <cellStyle name="Normal 3 5 3 5" xfId="6133" xr:uid="{00000000-0005-0000-0000-000043970000}"/>
    <cellStyle name="Normal 3 5 3 5 2" xfId="9676" xr:uid="{00000000-0005-0000-0000-000044970000}"/>
    <cellStyle name="Normal 3 5 3 5 2 2" xfId="16466" xr:uid="{00000000-0005-0000-0000-000045970000}"/>
    <cellStyle name="Normal 3 5 3 5 2 2 2" xfId="30034" xr:uid="{00000000-0005-0000-0000-000046970000}"/>
    <cellStyle name="Normal 3 5 3 5 2 2 2 2" xfId="57167" xr:uid="{00000000-0005-0000-0000-000047970000}"/>
    <cellStyle name="Normal 3 5 3 5 2 2 3" xfId="43605" xr:uid="{00000000-0005-0000-0000-000048970000}"/>
    <cellStyle name="Normal 3 5 3 5 2 3" xfId="23253" xr:uid="{00000000-0005-0000-0000-000049970000}"/>
    <cellStyle name="Normal 3 5 3 5 2 3 2" xfId="50386" xr:uid="{00000000-0005-0000-0000-00004A970000}"/>
    <cellStyle name="Normal 3 5 3 5 2 4" xfId="36824" xr:uid="{00000000-0005-0000-0000-00004B970000}"/>
    <cellStyle name="Normal 3 5 3 5 3" xfId="13077" xr:uid="{00000000-0005-0000-0000-00004C970000}"/>
    <cellStyle name="Normal 3 5 3 5 3 2" xfId="26645" xr:uid="{00000000-0005-0000-0000-00004D970000}"/>
    <cellStyle name="Normal 3 5 3 5 3 2 2" xfId="53778" xr:uid="{00000000-0005-0000-0000-00004E970000}"/>
    <cellStyle name="Normal 3 5 3 5 3 3" xfId="40216" xr:uid="{00000000-0005-0000-0000-00004F970000}"/>
    <cellStyle name="Normal 3 5 3 5 4" xfId="19864" xr:uid="{00000000-0005-0000-0000-000050970000}"/>
    <cellStyle name="Normal 3 5 3 5 4 2" xfId="46997" xr:uid="{00000000-0005-0000-0000-000051970000}"/>
    <cellStyle name="Normal 3 5 3 5 5" xfId="33435" xr:uid="{00000000-0005-0000-0000-000052970000}"/>
    <cellStyle name="Normal 3 5 3 6" xfId="6134" xr:uid="{00000000-0005-0000-0000-000053970000}"/>
    <cellStyle name="Normal 3 5 3 6 2" xfId="9677" xr:uid="{00000000-0005-0000-0000-000054970000}"/>
    <cellStyle name="Normal 3 5 3 6 2 2" xfId="16467" xr:uid="{00000000-0005-0000-0000-000055970000}"/>
    <cellStyle name="Normal 3 5 3 6 2 2 2" xfId="30035" xr:uid="{00000000-0005-0000-0000-000056970000}"/>
    <cellStyle name="Normal 3 5 3 6 2 2 2 2" xfId="57168" xr:uid="{00000000-0005-0000-0000-000057970000}"/>
    <cellStyle name="Normal 3 5 3 6 2 2 3" xfId="43606" xr:uid="{00000000-0005-0000-0000-000058970000}"/>
    <cellStyle name="Normal 3 5 3 6 2 3" xfId="23254" xr:uid="{00000000-0005-0000-0000-000059970000}"/>
    <cellStyle name="Normal 3 5 3 6 2 3 2" xfId="50387" xr:uid="{00000000-0005-0000-0000-00005A970000}"/>
    <cellStyle name="Normal 3 5 3 6 2 4" xfId="36825" xr:uid="{00000000-0005-0000-0000-00005B970000}"/>
    <cellStyle name="Normal 3 5 3 6 3" xfId="13078" xr:uid="{00000000-0005-0000-0000-00005C970000}"/>
    <cellStyle name="Normal 3 5 3 6 3 2" xfId="26646" xr:uid="{00000000-0005-0000-0000-00005D970000}"/>
    <cellStyle name="Normal 3 5 3 6 3 2 2" xfId="53779" xr:uid="{00000000-0005-0000-0000-00005E970000}"/>
    <cellStyle name="Normal 3 5 3 6 3 3" xfId="40217" xr:uid="{00000000-0005-0000-0000-00005F970000}"/>
    <cellStyle name="Normal 3 5 3 6 4" xfId="19865" xr:uid="{00000000-0005-0000-0000-000060970000}"/>
    <cellStyle name="Normal 3 5 3 6 4 2" xfId="46998" xr:uid="{00000000-0005-0000-0000-000061970000}"/>
    <cellStyle name="Normal 3 5 3 6 5" xfId="33436" xr:uid="{00000000-0005-0000-0000-000062970000}"/>
    <cellStyle name="Normal 3 5 3 7" xfId="7539" xr:uid="{00000000-0005-0000-0000-000063970000}"/>
    <cellStyle name="Normal 3 5 3 7 2" xfId="14329" xr:uid="{00000000-0005-0000-0000-000064970000}"/>
    <cellStyle name="Normal 3 5 3 7 2 2" xfId="27897" xr:uid="{00000000-0005-0000-0000-000065970000}"/>
    <cellStyle name="Normal 3 5 3 7 2 2 2" xfId="55030" xr:uid="{00000000-0005-0000-0000-000066970000}"/>
    <cellStyle name="Normal 3 5 3 7 2 3" xfId="41468" xr:uid="{00000000-0005-0000-0000-000067970000}"/>
    <cellStyle name="Normal 3 5 3 7 3" xfId="21116" xr:uid="{00000000-0005-0000-0000-000068970000}"/>
    <cellStyle name="Normal 3 5 3 7 3 2" xfId="48249" xr:uid="{00000000-0005-0000-0000-000069970000}"/>
    <cellStyle name="Normal 3 5 3 7 4" xfId="34687" xr:uid="{00000000-0005-0000-0000-00006A970000}"/>
    <cellStyle name="Normal 3 5 3 8" xfId="10940" xr:uid="{00000000-0005-0000-0000-00006B970000}"/>
    <cellStyle name="Normal 3 5 3 8 2" xfId="24508" xr:uid="{00000000-0005-0000-0000-00006C970000}"/>
    <cellStyle name="Normal 3 5 3 8 2 2" xfId="51641" xr:uid="{00000000-0005-0000-0000-00006D970000}"/>
    <cellStyle name="Normal 3 5 3 8 3" xfId="38079" xr:uid="{00000000-0005-0000-0000-00006E970000}"/>
    <cellStyle name="Normal 3 5 3 9" xfId="17727" xr:uid="{00000000-0005-0000-0000-00006F970000}"/>
    <cellStyle name="Normal 3 5 3 9 2" xfId="44860" xr:uid="{00000000-0005-0000-0000-000070970000}"/>
    <cellStyle name="Normal 3 5 4" xfId="2728" xr:uid="{00000000-0005-0000-0000-000071970000}"/>
    <cellStyle name="Normal 3 5 4 2" xfId="2729" xr:uid="{00000000-0005-0000-0000-000072970000}"/>
    <cellStyle name="Normal 3 5 4 2 2" xfId="6135" xr:uid="{00000000-0005-0000-0000-000073970000}"/>
    <cellStyle name="Normal 3 5 4 2 2 2" xfId="9678" xr:uid="{00000000-0005-0000-0000-000074970000}"/>
    <cellStyle name="Normal 3 5 4 2 2 2 2" xfId="16468" xr:uid="{00000000-0005-0000-0000-000075970000}"/>
    <cellStyle name="Normal 3 5 4 2 2 2 2 2" xfId="30036" xr:uid="{00000000-0005-0000-0000-000076970000}"/>
    <cellStyle name="Normal 3 5 4 2 2 2 2 2 2" xfId="57169" xr:uid="{00000000-0005-0000-0000-000077970000}"/>
    <cellStyle name="Normal 3 5 4 2 2 2 2 3" xfId="43607" xr:uid="{00000000-0005-0000-0000-000078970000}"/>
    <cellStyle name="Normal 3 5 4 2 2 2 3" xfId="23255" xr:uid="{00000000-0005-0000-0000-000079970000}"/>
    <cellStyle name="Normal 3 5 4 2 2 2 3 2" xfId="50388" xr:uid="{00000000-0005-0000-0000-00007A970000}"/>
    <cellStyle name="Normal 3 5 4 2 2 2 4" xfId="36826" xr:uid="{00000000-0005-0000-0000-00007B970000}"/>
    <cellStyle name="Normal 3 5 4 2 2 3" xfId="13079" xr:uid="{00000000-0005-0000-0000-00007C970000}"/>
    <cellStyle name="Normal 3 5 4 2 2 3 2" xfId="26647" xr:uid="{00000000-0005-0000-0000-00007D970000}"/>
    <cellStyle name="Normal 3 5 4 2 2 3 2 2" xfId="53780" xr:uid="{00000000-0005-0000-0000-00007E970000}"/>
    <cellStyle name="Normal 3 5 4 2 2 3 3" xfId="40218" xr:uid="{00000000-0005-0000-0000-00007F970000}"/>
    <cellStyle name="Normal 3 5 4 2 2 4" xfId="19866" xr:uid="{00000000-0005-0000-0000-000080970000}"/>
    <cellStyle name="Normal 3 5 4 2 2 4 2" xfId="46999" xr:uid="{00000000-0005-0000-0000-000081970000}"/>
    <cellStyle name="Normal 3 5 4 2 2 5" xfId="33437" xr:uid="{00000000-0005-0000-0000-000082970000}"/>
    <cellStyle name="Normal 3 5 4 2 3" xfId="6136" xr:uid="{00000000-0005-0000-0000-000083970000}"/>
    <cellStyle name="Normal 3 5 4 2 3 2" xfId="9679" xr:uid="{00000000-0005-0000-0000-000084970000}"/>
    <cellStyle name="Normal 3 5 4 2 3 2 2" xfId="16469" xr:uid="{00000000-0005-0000-0000-000085970000}"/>
    <cellStyle name="Normal 3 5 4 2 3 2 2 2" xfId="30037" xr:uid="{00000000-0005-0000-0000-000086970000}"/>
    <cellStyle name="Normal 3 5 4 2 3 2 2 2 2" xfId="57170" xr:uid="{00000000-0005-0000-0000-000087970000}"/>
    <cellStyle name="Normal 3 5 4 2 3 2 2 3" xfId="43608" xr:uid="{00000000-0005-0000-0000-000088970000}"/>
    <cellStyle name="Normal 3 5 4 2 3 2 3" xfId="23256" xr:uid="{00000000-0005-0000-0000-000089970000}"/>
    <cellStyle name="Normal 3 5 4 2 3 2 3 2" xfId="50389" xr:uid="{00000000-0005-0000-0000-00008A970000}"/>
    <cellStyle name="Normal 3 5 4 2 3 2 4" xfId="36827" xr:uid="{00000000-0005-0000-0000-00008B970000}"/>
    <cellStyle name="Normal 3 5 4 2 3 3" xfId="13080" xr:uid="{00000000-0005-0000-0000-00008C970000}"/>
    <cellStyle name="Normal 3 5 4 2 3 3 2" xfId="26648" xr:uid="{00000000-0005-0000-0000-00008D970000}"/>
    <cellStyle name="Normal 3 5 4 2 3 3 2 2" xfId="53781" xr:uid="{00000000-0005-0000-0000-00008E970000}"/>
    <cellStyle name="Normal 3 5 4 2 3 3 3" xfId="40219" xr:uid="{00000000-0005-0000-0000-00008F970000}"/>
    <cellStyle name="Normal 3 5 4 2 3 4" xfId="19867" xr:uid="{00000000-0005-0000-0000-000090970000}"/>
    <cellStyle name="Normal 3 5 4 2 3 4 2" xfId="47000" xr:uid="{00000000-0005-0000-0000-000091970000}"/>
    <cellStyle name="Normal 3 5 4 2 3 5" xfId="33438" xr:uid="{00000000-0005-0000-0000-000092970000}"/>
    <cellStyle name="Normal 3 5 4 2 4" xfId="7542" xr:uid="{00000000-0005-0000-0000-000093970000}"/>
    <cellStyle name="Normal 3 5 4 2 4 2" xfId="14332" xr:uid="{00000000-0005-0000-0000-000094970000}"/>
    <cellStyle name="Normal 3 5 4 2 4 2 2" xfId="27900" xr:uid="{00000000-0005-0000-0000-000095970000}"/>
    <cellStyle name="Normal 3 5 4 2 4 2 2 2" xfId="55033" xr:uid="{00000000-0005-0000-0000-000096970000}"/>
    <cellStyle name="Normal 3 5 4 2 4 2 3" xfId="41471" xr:uid="{00000000-0005-0000-0000-000097970000}"/>
    <cellStyle name="Normal 3 5 4 2 4 3" xfId="21119" xr:uid="{00000000-0005-0000-0000-000098970000}"/>
    <cellStyle name="Normal 3 5 4 2 4 3 2" xfId="48252" xr:uid="{00000000-0005-0000-0000-000099970000}"/>
    <cellStyle name="Normal 3 5 4 2 4 4" xfId="34690" xr:uid="{00000000-0005-0000-0000-00009A970000}"/>
    <cellStyle name="Normal 3 5 4 2 5" xfId="10943" xr:uid="{00000000-0005-0000-0000-00009B970000}"/>
    <cellStyle name="Normal 3 5 4 2 5 2" xfId="24511" xr:uid="{00000000-0005-0000-0000-00009C970000}"/>
    <cellStyle name="Normal 3 5 4 2 5 2 2" xfId="51644" xr:uid="{00000000-0005-0000-0000-00009D970000}"/>
    <cellStyle name="Normal 3 5 4 2 5 3" xfId="38082" xr:uid="{00000000-0005-0000-0000-00009E970000}"/>
    <cellStyle name="Normal 3 5 4 2 6" xfId="17730" xr:uid="{00000000-0005-0000-0000-00009F970000}"/>
    <cellStyle name="Normal 3 5 4 2 6 2" xfId="44863" xr:uid="{00000000-0005-0000-0000-0000A0970000}"/>
    <cellStyle name="Normal 3 5 4 2 7" xfId="31301" xr:uid="{00000000-0005-0000-0000-0000A1970000}"/>
    <cellStyle name="Normal 3 5 4 3" xfId="6137" xr:uid="{00000000-0005-0000-0000-0000A2970000}"/>
    <cellStyle name="Normal 3 5 4 3 2" xfId="6138" xr:uid="{00000000-0005-0000-0000-0000A3970000}"/>
    <cellStyle name="Normal 3 5 4 3 2 2" xfId="9681" xr:uid="{00000000-0005-0000-0000-0000A4970000}"/>
    <cellStyle name="Normal 3 5 4 3 2 2 2" xfId="16471" xr:uid="{00000000-0005-0000-0000-0000A5970000}"/>
    <cellStyle name="Normal 3 5 4 3 2 2 2 2" xfId="30039" xr:uid="{00000000-0005-0000-0000-0000A6970000}"/>
    <cellStyle name="Normal 3 5 4 3 2 2 2 2 2" xfId="57172" xr:uid="{00000000-0005-0000-0000-0000A7970000}"/>
    <cellStyle name="Normal 3 5 4 3 2 2 2 3" xfId="43610" xr:uid="{00000000-0005-0000-0000-0000A8970000}"/>
    <cellStyle name="Normal 3 5 4 3 2 2 3" xfId="23258" xr:uid="{00000000-0005-0000-0000-0000A9970000}"/>
    <cellStyle name="Normal 3 5 4 3 2 2 3 2" xfId="50391" xr:uid="{00000000-0005-0000-0000-0000AA970000}"/>
    <cellStyle name="Normal 3 5 4 3 2 2 4" xfId="36829" xr:uid="{00000000-0005-0000-0000-0000AB970000}"/>
    <cellStyle name="Normal 3 5 4 3 2 3" xfId="13082" xr:uid="{00000000-0005-0000-0000-0000AC970000}"/>
    <cellStyle name="Normal 3 5 4 3 2 3 2" xfId="26650" xr:uid="{00000000-0005-0000-0000-0000AD970000}"/>
    <cellStyle name="Normal 3 5 4 3 2 3 2 2" xfId="53783" xr:uid="{00000000-0005-0000-0000-0000AE970000}"/>
    <cellStyle name="Normal 3 5 4 3 2 3 3" xfId="40221" xr:uid="{00000000-0005-0000-0000-0000AF970000}"/>
    <cellStyle name="Normal 3 5 4 3 2 4" xfId="19869" xr:uid="{00000000-0005-0000-0000-0000B0970000}"/>
    <cellStyle name="Normal 3 5 4 3 2 4 2" xfId="47002" xr:uid="{00000000-0005-0000-0000-0000B1970000}"/>
    <cellStyle name="Normal 3 5 4 3 2 5" xfId="33440" xr:uid="{00000000-0005-0000-0000-0000B2970000}"/>
    <cellStyle name="Normal 3 5 4 3 3" xfId="9680" xr:uid="{00000000-0005-0000-0000-0000B3970000}"/>
    <cellStyle name="Normal 3 5 4 3 3 2" xfId="16470" xr:uid="{00000000-0005-0000-0000-0000B4970000}"/>
    <cellStyle name="Normal 3 5 4 3 3 2 2" xfId="30038" xr:uid="{00000000-0005-0000-0000-0000B5970000}"/>
    <cellStyle name="Normal 3 5 4 3 3 2 2 2" xfId="57171" xr:uid="{00000000-0005-0000-0000-0000B6970000}"/>
    <cellStyle name="Normal 3 5 4 3 3 2 3" xfId="43609" xr:uid="{00000000-0005-0000-0000-0000B7970000}"/>
    <cellStyle name="Normal 3 5 4 3 3 3" xfId="23257" xr:uid="{00000000-0005-0000-0000-0000B8970000}"/>
    <cellStyle name="Normal 3 5 4 3 3 3 2" xfId="50390" xr:uid="{00000000-0005-0000-0000-0000B9970000}"/>
    <cellStyle name="Normal 3 5 4 3 3 4" xfId="36828" xr:uid="{00000000-0005-0000-0000-0000BA970000}"/>
    <cellStyle name="Normal 3 5 4 3 4" xfId="13081" xr:uid="{00000000-0005-0000-0000-0000BB970000}"/>
    <cellStyle name="Normal 3 5 4 3 4 2" xfId="26649" xr:uid="{00000000-0005-0000-0000-0000BC970000}"/>
    <cellStyle name="Normal 3 5 4 3 4 2 2" xfId="53782" xr:uid="{00000000-0005-0000-0000-0000BD970000}"/>
    <cellStyle name="Normal 3 5 4 3 4 3" xfId="40220" xr:uid="{00000000-0005-0000-0000-0000BE970000}"/>
    <cellStyle name="Normal 3 5 4 3 5" xfId="19868" xr:uid="{00000000-0005-0000-0000-0000BF970000}"/>
    <cellStyle name="Normal 3 5 4 3 5 2" xfId="47001" xr:uid="{00000000-0005-0000-0000-0000C0970000}"/>
    <cellStyle name="Normal 3 5 4 3 6" xfId="33439" xr:uid="{00000000-0005-0000-0000-0000C1970000}"/>
    <cellStyle name="Normal 3 5 4 4" xfId="6139" xr:uid="{00000000-0005-0000-0000-0000C2970000}"/>
    <cellStyle name="Normal 3 5 4 4 2" xfId="9682" xr:uid="{00000000-0005-0000-0000-0000C3970000}"/>
    <cellStyle name="Normal 3 5 4 4 2 2" xfId="16472" xr:uid="{00000000-0005-0000-0000-0000C4970000}"/>
    <cellStyle name="Normal 3 5 4 4 2 2 2" xfId="30040" xr:uid="{00000000-0005-0000-0000-0000C5970000}"/>
    <cellStyle name="Normal 3 5 4 4 2 2 2 2" xfId="57173" xr:uid="{00000000-0005-0000-0000-0000C6970000}"/>
    <cellStyle name="Normal 3 5 4 4 2 2 3" xfId="43611" xr:uid="{00000000-0005-0000-0000-0000C7970000}"/>
    <cellStyle name="Normal 3 5 4 4 2 3" xfId="23259" xr:uid="{00000000-0005-0000-0000-0000C8970000}"/>
    <cellStyle name="Normal 3 5 4 4 2 3 2" xfId="50392" xr:uid="{00000000-0005-0000-0000-0000C9970000}"/>
    <cellStyle name="Normal 3 5 4 4 2 4" xfId="36830" xr:uid="{00000000-0005-0000-0000-0000CA970000}"/>
    <cellStyle name="Normal 3 5 4 4 3" xfId="13083" xr:uid="{00000000-0005-0000-0000-0000CB970000}"/>
    <cellStyle name="Normal 3 5 4 4 3 2" xfId="26651" xr:uid="{00000000-0005-0000-0000-0000CC970000}"/>
    <cellStyle name="Normal 3 5 4 4 3 2 2" xfId="53784" xr:uid="{00000000-0005-0000-0000-0000CD970000}"/>
    <cellStyle name="Normal 3 5 4 4 3 3" xfId="40222" xr:uid="{00000000-0005-0000-0000-0000CE970000}"/>
    <cellStyle name="Normal 3 5 4 4 4" xfId="19870" xr:uid="{00000000-0005-0000-0000-0000CF970000}"/>
    <cellStyle name="Normal 3 5 4 4 4 2" xfId="47003" xr:uid="{00000000-0005-0000-0000-0000D0970000}"/>
    <cellStyle name="Normal 3 5 4 4 5" xfId="33441" xr:uid="{00000000-0005-0000-0000-0000D1970000}"/>
    <cellStyle name="Normal 3 5 4 5" xfId="6140" xr:uid="{00000000-0005-0000-0000-0000D2970000}"/>
    <cellStyle name="Normal 3 5 4 5 2" xfId="9683" xr:uid="{00000000-0005-0000-0000-0000D3970000}"/>
    <cellStyle name="Normal 3 5 4 5 2 2" xfId="16473" xr:uid="{00000000-0005-0000-0000-0000D4970000}"/>
    <cellStyle name="Normal 3 5 4 5 2 2 2" xfId="30041" xr:uid="{00000000-0005-0000-0000-0000D5970000}"/>
    <cellStyle name="Normal 3 5 4 5 2 2 2 2" xfId="57174" xr:uid="{00000000-0005-0000-0000-0000D6970000}"/>
    <cellStyle name="Normal 3 5 4 5 2 2 3" xfId="43612" xr:uid="{00000000-0005-0000-0000-0000D7970000}"/>
    <cellStyle name="Normal 3 5 4 5 2 3" xfId="23260" xr:uid="{00000000-0005-0000-0000-0000D8970000}"/>
    <cellStyle name="Normal 3 5 4 5 2 3 2" xfId="50393" xr:uid="{00000000-0005-0000-0000-0000D9970000}"/>
    <cellStyle name="Normal 3 5 4 5 2 4" xfId="36831" xr:uid="{00000000-0005-0000-0000-0000DA970000}"/>
    <cellStyle name="Normal 3 5 4 5 3" xfId="13084" xr:uid="{00000000-0005-0000-0000-0000DB970000}"/>
    <cellStyle name="Normal 3 5 4 5 3 2" xfId="26652" xr:uid="{00000000-0005-0000-0000-0000DC970000}"/>
    <cellStyle name="Normal 3 5 4 5 3 2 2" xfId="53785" xr:uid="{00000000-0005-0000-0000-0000DD970000}"/>
    <cellStyle name="Normal 3 5 4 5 3 3" xfId="40223" xr:uid="{00000000-0005-0000-0000-0000DE970000}"/>
    <cellStyle name="Normal 3 5 4 5 4" xfId="19871" xr:uid="{00000000-0005-0000-0000-0000DF970000}"/>
    <cellStyle name="Normal 3 5 4 5 4 2" xfId="47004" xr:uid="{00000000-0005-0000-0000-0000E0970000}"/>
    <cellStyle name="Normal 3 5 4 5 5" xfId="33442" xr:uid="{00000000-0005-0000-0000-0000E1970000}"/>
    <cellStyle name="Normal 3 5 4 6" xfId="7541" xr:uid="{00000000-0005-0000-0000-0000E2970000}"/>
    <cellStyle name="Normal 3 5 4 6 2" xfId="14331" xr:uid="{00000000-0005-0000-0000-0000E3970000}"/>
    <cellStyle name="Normal 3 5 4 6 2 2" xfId="27899" xr:uid="{00000000-0005-0000-0000-0000E4970000}"/>
    <cellStyle name="Normal 3 5 4 6 2 2 2" xfId="55032" xr:uid="{00000000-0005-0000-0000-0000E5970000}"/>
    <cellStyle name="Normal 3 5 4 6 2 3" xfId="41470" xr:uid="{00000000-0005-0000-0000-0000E6970000}"/>
    <cellStyle name="Normal 3 5 4 6 3" xfId="21118" xr:uid="{00000000-0005-0000-0000-0000E7970000}"/>
    <cellStyle name="Normal 3 5 4 6 3 2" xfId="48251" xr:uid="{00000000-0005-0000-0000-0000E8970000}"/>
    <cellStyle name="Normal 3 5 4 6 4" xfId="34689" xr:uid="{00000000-0005-0000-0000-0000E9970000}"/>
    <cellStyle name="Normal 3 5 4 7" xfId="10942" xr:uid="{00000000-0005-0000-0000-0000EA970000}"/>
    <cellStyle name="Normal 3 5 4 7 2" xfId="24510" xr:uid="{00000000-0005-0000-0000-0000EB970000}"/>
    <cellStyle name="Normal 3 5 4 7 2 2" xfId="51643" xr:uid="{00000000-0005-0000-0000-0000EC970000}"/>
    <cellStyle name="Normal 3 5 4 7 3" xfId="38081" xr:uid="{00000000-0005-0000-0000-0000ED970000}"/>
    <cellStyle name="Normal 3 5 4 8" xfId="17729" xr:uid="{00000000-0005-0000-0000-0000EE970000}"/>
    <cellStyle name="Normal 3 5 4 8 2" xfId="44862" xr:uid="{00000000-0005-0000-0000-0000EF970000}"/>
    <cellStyle name="Normal 3 5 4 9" xfId="31300" xr:uid="{00000000-0005-0000-0000-0000F0970000}"/>
    <cellStyle name="Normal 3 5 5" xfId="2730" xr:uid="{00000000-0005-0000-0000-0000F1970000}"/>
    <cellStyle name="Normal 3 5 5 2" xfId="2731" xr:uid="{00000000-0005-0000-0000-0000F2970000}"/>
    <cellStyle name="Normal 3 5 5 2 2" xfId="6141" xr:uid="{00000000-0005-0000-0000-0000F3970000}"/>
    <cellStyle name="Normal 3 5 5 2 2 2" xfId="9684" xr:uid="{00000000-0005-0000-0000-0000F4970000}"/>
    <cellStyle name="Normal 3 5 5 2 2 2 2" xfId="16474" xr:uid="{00000000-0005-0000-0000-0000F5970000}"/>
    <cellStyle name="Normal 3 5 5 2 2 2 2 2" xfId="30042" xr:uid="{00000000-0005-0000-0000-0000F6970000}"/>
    <cellStyle name="Normal 3 5 5 2 2 2 2 2 2" xfId="57175" xr:uid="{00000000-0005-0000-0000-0000F7970000}"/>
    <cellStyle name="Normal 3 5 5 2 2 2 2 3" xfId="43613" xr:uid="{00000000-0005-0000-0000-0000F8970000}"/>
    <cellStyle name="Normal 3 5 5 2 2 2 3" xfId="23261" xr:uid="{00000000-0005-0000-0000-0000F9970000}"/>
    <cellStyle name="Normal 3 5 5 2 2 2 3 2" xfId="50394" xr:uid="{00000000-0005-0000-0000-0000FA970000}"/>
    <cellStyle name="Normal 3 5 5 2 2 2 4" xfId="36832" xr:uid="{00000000-0005-0000-0000-0000FB970000}"/>
    <cellStyle name="Normal 3 5 5 2 2 3" xfId="13085" xr:uid="{00000000-0005-0000-0000-0000FC970000}"/>
    <cellStyle name="Normal 3 5 5 2 2 3 2" xfId="26653" xr:uid="{00000000-0005-0000-0000-0000FD970000}"/>
    <cellStyle name="Normal 3 5 5 2 2 3 2 2" xfId="53786" xr:uid="{00000000-0005-0000-0000-0000FE970000}"/>
    <cellStyle name="Normal 3 5 5 2 2 3 3" xfId="40224" xr:uid="{00000000-0005-0000-0000-0000FF970000}"/>
    <cellStyle name="Normal 3 5 5 2 2 4" xfId="19872" xr:uid="{00000000-0005-0000-0000-000000980000}"/>
    <cellStyle name="Normal 3 5 5 2 2 4 2" xfId="47005" xr:uid="{00000000-0005-0000-0000-000001980000}"/>
    <cellStyle name="Normal 3 5 5 2 2 5" xfId="33443" xr:uid="{00000000-0005-0000-0000-000002980000}"/>
    <cellStyle name="Normal 3 5 5 2 3" xfId="6142" xr:uid="{00000000-0005-0000-0000-000003980000}"/>
    <cellStyle name="Normal 3 5 5 2 3 2" xfId="9685" xr:uid="{00000000-0005-0000-0000-000004980000}"/>
    <cellStyle name="Normal 3 5 5 2 3 2 2" xfId="16475" xr:uid="{00000000-0005-0000-0000-000005980000}"/>
    <cellStyle name="Normal 3 5 5 2 3 2 2 2" xfId="30043" xr:uid="{00000000-0005-0000-0000-000006980000}"/>
    <cellStyle name="Normal 3 5 5 2 3 2 2 2 2" xfId="57176" xr:uid="{00000000-0005-0000-0000-000007980000}"/>
    <cellStyle name="Normal 3 5 5 2 3 2 2 3" xfId="43614" xr:uid="{00000000-0005-0000-0000-000008980000}"/>
    <cellStyle name="Normal 3 5 5 2 3 2 3" xfId="23262" xr:uid="{00000000-0005-0000-0000-000009980000}"/>
    <cellStyle name="Normal 3 5 5 2 3 2 3 2" xfId="50395" xr:uid="{00000000-0005-0000-0000-00000A980000}"/>
    <cellStyle name="Normal 3 5 5 2 3 2 4" xfId="36833" xr:uid="{00000000-0005-0000-0000-00000B980000}"/>
    <cellStyle name="Normal 3 5 5 2 3 3" xfId="13086" xr:uid="{00000000-0005-0000-0000-00000C980000}"/>
    <cellStyle name="Normal 3 5 5 2 3 3 2" xfId="26654" xr:uid="{00000000-0005-0000-0000-00000D980000}"/>
    <cellStyle name="Normal 3 5 5 2 3 3 2 2" xfId="53787" xr:uid="{00000000-0005-0000-0000-00000E980000}"/>
    <cellStyle name="Normal 3 5 5 2 3 3 3" xfId="40225" xr:uid="{00000000-0005-0000-0000-00000F980000}"/>
    <cellStyle name="Normal 3 5 5 2 3 4" xfId="19873" xr:uid="{00000000-0005-0000-0000-000010980000}"/>
    <cellStyle name="Normal 3 5 5 2 3 4 2" xfId="47006" xr:uid="{00000000-0005-0000-0000-000011980000}"/>
    <cellStyle name="Normal 3 5 5 2 3 5" xfId="33444" xr:uid="{00000000-0005-0000-0000-000012980000}"/>
    <cellStyle name="Normal 3 5 5 2 4" xfId="7544" xr:uid="{00000000-0005-0000-0000-000013980000}"/>
    <cellStyle name="Normal 3 5 5 2 4 2" xfId="14334" xr:uid="{00000000-0005-0000-0000-000014980000}"/>
    <cellStyle name="Normal 3 5 5 2 4 2 2" xfId="27902" xr:uid="{00000000-0005-0000-0000-000015980000}"/>
    <cellStyle name="Normal 3 5 5 2 4 2 2 2" xfId="55035" xr:uid="{00000000-0005-0000-0000-000016980000}"/>
    <cellStyle name="Normal 3 5 5 2 4 2 3" xfId="41473" xr:uid="{00000000-0005-0000-0000-000017980000}"/>
    <cellStyle name="Normal 3 5 5 2 4 3" xfId="21121" xr:uid="{00000000-0005-0000-0000-000018980000}"/>
    <cellStyle name="Normal 3 5 5 2 4 3 2" xfId="48254" xr:uid="{00000000-0005-0000-0000-000019980000}"/>
    <cellStyle name="Normal 3 5 5 2 4 4" xfId="34692" xr:uid="{00000000-0005-0000-0000-00001A980000}"/>
    <cellStyle name="Normal 3 5 5 2 5" xfId="10945" xr:uid="{00000000-0005-0000-0000-00001B980000}"/>
    <cellStyle name="Normal 3 5 5 2 5 2" xfId="24513" xr:uid="{00000000-0005-0000-0000-00001C980000}"/>
    <cellStyle name="Normal 3 5 5 2 5 2 2" xfId="51646" xr:uid="{00000000-0005-0000-0000-00001D980000}"/>
    <cellStyle name="Normal 3 5 5 2 5 3" xfId="38084" xr:uid="{00000000-0005-0000-0000-00001E980000}"/>
    <cellStyle name="Normal 3 5 5 2 6" xfId="17732" xr:uid="{00000000-0005-0000-0000-00001F980000}"/>
    <cellStyle name="Normal 3 5 5 2 6 2" xfId="44865" xr:uid="{00000000-0005-0000-0000-000020980000}"/>
    <cellStyle name="Normal 3 5 5 2 7" xfId="31303" xr:uid="{00000000-0005-0000-0000-000021980000}"/>
    <cellStyle name="Normal 3 5 5 3" xfId="6143" xr:uid="{00000000-0005-0000-0000-000022980000}"/>
    <cellStyle name="Normal 3 5 5 3 2" xfId="9686" xr:uid="{00000000-0005-0000-0000-000023980000}"/>
    <cellStyle name="Normal 3 5 5 3 2 2" xfId="16476" xr:uid="{00000000-0005-0000-0000-000024980000}"/>
    <cellStyle name="Normal 3 5 5 3 2 2 2" xfId="30044" xr:uid="{00000000-0005-0000-0000-000025980000}"/>
    <cellStyle name="Normal 3 5 5 3 2 2 2 2" xfId="57177" xr:uid="{00000000-0005-0000-0000-000026980000}"/>
    <cellStyle name="Normal 3 5 5 3 2 2 3" xfId="43615" xr:uid="{00000000-0005-0000-0000-000027980000}"/>
    <cellStyle name="Normal 3 5 5 3 2 3" xfId="23263" xr:uid="{00000000-0005-0000-0000-000028980000}"/>
    <cellStyle name="Normal 3 5 5 3 2 3 2" xfId="50396" xr:uid="{00000000-0005-0000-0000-000029980000}"/>
    <cellStyle name="Normal 3 5 5 3 2 4" xfId="36834" xr:uid="{00000000-0005-0000-0000-00002A980000}"/>
    <cellStyle name="Normal 3 5 5 3 3" xfId="13087" xr:uid="{00000000-0005-0000-0000-00002B980000}"/>
    <cellStyle name="Normal 3 5 5 3 3 2" xfId="26655" xr:uid="{00000000-0005-0000-0000-00002C980000}"/>
    <cellStyle name="Normal 3 5 5 3 3 2 2" xfId="53788" xr:uid="{00000000-0005-0000-0000-00002D980000}"/>
    <cellStyle name="Normal 3 5 5 3 3 3" xfId="40226" xr:uid="{00000000-0005-0000-0000-00002E980000}"/>
    <cellStyle name="Normal 3 5 5 3 4" xfId="19874" xr:uid="{00000000-0005-0000-0000-00002F980000}"/>
    <cellStyle name="Normal 3 5 5 3 4 2" xfId="47007" xr:uid="{00000000-0005-0000-0000-000030980000}"/>
    <cellStyle name="Normal 3 5 5 3 5" xfId="33445" xr:uid="{00000000-0005-0000-0000-000031980000}"/>
    <cellStyle name="Normal 3 5 5 4" xfId="6144" xr:uid="{00000000-0005-0000-0000-000032980000}"/>
    <cellStyle name="Normal 3 5 5 4 2" xfId="9687" xr:uid="{00000000-0005-0000-0000-000033980000}"/>
    <cellStyle name="Normal 3 5 5 4 2 2" xfId="16477" xr:uid="{00000000-0005-0000-0000-000034980000}"/>
    <cellStyle name="Normal 3 5 5 4 2 2 2" xfId="30045" xr:uid="{00000000-0005-0000-0000-000035980000}"/>
    <cellStyle name="Normal 3 5 5 4 2 2 2 2" xfId="57178" xr:uid="{00000000-0005-0000-0000-000036980000}"/>
    <cellStyle name="Normal 3 5 5 4 2 2 3" xfId="43616" xr:uid="{00000000-0005-0000-0000-000037980000}"/>
    <cellStyle name="Normal 3 5 5 4 2 3" xfId="23264" xr:uid="{00000000-0005-0000-0000-000038980000}"/>
    <cellStyle name="Normal 3 5 5 4 2 3 2" xfId="50397" xr:uid="{00000000-0005-0000-0000-000039980000}"/>
    <cellStyle name="Normal 3 5 5 4 2 4" xfId="36835" xr:uid="{00000000-0005-0000-0000-00003A980000}"/>
    <cellStyle name="Normal 3 5 5 4 3" xfId="13088" xr:uid="{00000000-0005-0000-0000-00003B980000}"/>
    <cellStyle name="Normal 3 5 5 4 3 2" xfId="26656" xr:uid="{00000000-0005-0000-0000-00003C980000}"/>
    <cellStyle name="Normal 3 5 5 4 3 2 2" xfId="53789" xr:uid="{00000000-0005-0000-0000-00003D980000}"/>
    <cellStyle name="Normal 3 5 5 4 3 3" xfId="40227" xr:uid="{00000000-0005-0000-0000-00003E980000}"/>
    <cellStyle name="Normal 3 5 5 4 4" xfId="19875" xr:uid="{00000000-0005-0000-0000-00003F980000}"/>
    <cellStyle name="Normal 3 5 5 4 4 2" xfId="47008" xr:uid="{00000000-0005-0000-0000-000040980000}"/>
    <cellStyle name="Normal 3 5 5 4 5" xfId="33446" xr:uid="{00000000-0005-0000-0000-000041980000}"/>
    <cellStyle name="Normal 3 5 5 5" xfId="7543" xr:uid="{00000000-0005-0000-0000-000042980000}"/>
    <cellStyle name="Normal 3 5 5 5 2" xfId="14333" xr:uid="{00000000-0005-0000-0000-000043980000}"/>
    <cellStyle name="Normal 3 5 5 5 2 2" xfId="27901" xr:uid="{00000000-0005-0000-0000-000044980000}"/>
    <cellStyle name="Normal 3 5 5 5 2 2 2" xfId="55034" xr:uid="{00000000-0005-0000-0000-000045980000}"/>
    <cellStyle name="Normal 3 5 5 5 2 3" xfId="41472" xr:uid="{00000000-0005-0000-0000-000046980000}"/>
    <cellStyle name="Normal 3 5 5 5 3" xfId="21120" xr:uid="{00000000-0005-0000-0000-000047980000}"/>
    <cellStyle name="Normal 3 5 5 5 3 2" xfId="48253" xr:uid="{00000000-0005-0000-0000-000048980000}"/>
    <cellStyle name="Normal 3 5 5 5 4" xfId="34691" xr:uid="{00000000-0005-0000-0000-000049980000}"/>
    <cellStyle name="Normal 3 5 5 6" xfId="10944" xr:uid="{00000000-0005-0000-0000-00004A980000}"/>
    <cellStyle name="Normal 3 5 5 6 2" xfId="24512" xr:uid="{00000000-0005-0000-0000-00004B980000}"/>
    <cellStyle name="Normal 3 5 5 6 2 2" xfId="51645" xr:uid="{00000000-0005-0000-0000-00004C980000}"/>
    <cellStyle name="Normal 3 5 5 6 3" xfId="38083" xr:uid="{00000000-0005-0000-0000-00004D980000}"/>
    <cellStyle name="Normal 3 5 5 7" xfId="17731" xr:uid="{00000000-0005-0000-0000-00004E980000}"/>
    <cellStyle name="Normal 3 5 5 7 2" xfId="44864" xr:uid="{00000000-0005-0000-0000-00004F980000}"/>
    <cellStyle name="Normal 3 5 5 8" xfId="31302" xr:uid="{00000000-0005-0000-0000-000050980000}"/>
    <cellStyle name="Normal 3 5 6" xfId="2732" xr:uid="{00000000-0005-0000-0000-000051980000}"/>
    <cellStyle name="Normal 3 5 6 2" xfId="2733" xr:uid="{00000000-0005-0000-0000-000052980000}"/>
    <cellStyle name="Normal 3 5 6 2 2" xfId="6145" xr:uid="{00000000-0005-0000-0000-000053980000}"/>
    <cellStyle name="Normal 3 5 6 2 2 2" xfId="9688" xr:uid="{00000000-0005-0000-0000-000054980000}"/>
    <cellStyle name="Normal 3 5 6 2 2 2 2" xfId="16478" xr:uid="{00000000-0005-0000-0000-000055980000}"/>
    <cellStyle name="Normal 3 5 6 2 2 2 2 2" xfId="30046" xr:uid="{00000000-0005-0000-0000-000056980000}"/>
    <cellStyle name="Normal 3 5 6 2 2 2 2 2 2" xfId="57179" xr:uid="{00000000-0005-0000-0000-000057980000}"/>
    <cellStyle name="Normal 3 5 6 2 2 2 2 3" xfId="43617" xr:uid="{00000000-0005-0000-0000-000058980000}"/>
    <cellStyle name="Normal 3 5 6 2 2 2 3" xfId="23265" xr:uid="{00000000-0005-0000-0000-000059980000}"/>
    <cellStyle name="Normal 3 5 6 2 2 2 3 2" xfId="50398" xr:uid="{00000000-0005-0000-0000-00005A980000}"/>
    <cellStyle name="Normal 3 5 6 2 2 2 4" xfId="36836" xr:uid="{00000000-0005-0000-0000-00005B980000}"/>
    <cellStyle name="Normal 3 5 6 2 2 3" xfId="13089" xr:uid="{00000000-0005-0000-0000-00005C980000}"/>
    <cellStyle name="Normal 3 5 6 2 2 3 2" xfId="26657" xr:uid="{00000000-0005-0000-0000-00005D980000}"/>
    <cellStyle name="Normal 3 5 6 2 2 3 2 2" xfId="53790" xr:uid="{00000000-0005-0000-0000-00005E980000}"/>
    <cellStyle name="Normal 3 5 6 2 2 3 3" xfId="40228" xr:uid="{00000000-0005-0000-0000-00005F980000}"/>
    <cellStyle name="Normal 3 5 6 2 2 4" xfId="19876" xr:uid="{00000000-0005-0000-0000-000060980000}"/>
    <cellStyle name="Normal 3 5 6 2 2 4 2" xfId="47009" xr:uid="{00000000-0005-0000-0000-000061980000}"/>
    <cellStyle name="Normal 3 5 6 2 2 5" xfId="33447" xr:uid="{00000000-0005-0000-0000-000062980000}"/>
    <cellStyle name="Normal 3 5 6 2 3" xfId="6146" xr:uid="{00000000-0005-0000-0000-000063980000}"/>
    <cellStyle name="Normal 3 5 6 2 3 2" xfId="9689" xr:uid="{00000000-0005-0000-0000-000064980000}"/>
    <cellStyle name="Normal 3 5 6 2 3 2 2" xfId="16479" xr:uid="{00000000-0005-0000-0000-000065980000}"/>
    <cellStyle name="Normal 3 5 6 2 3 2 2 2" xfId="30047" xr:uid="{00000000-0005-0000-0000-000066980000}"/>
    <cellStyle name="Normal 3 5 6 2 3 2 2 2 2" xfId="57180" xr:uid="{00000000-0005-0000-0000-000067980000}"/>
    <cellStyle name="Normal 3 5 6 2 3 2 2 3" xfId="43618" xr:uid="{00000000-0005-0000-0000-000068980000}"/>
    <cellStyle name="Normal 3 5 6 2 3 2 3" xfId="23266" xr:uid="{00000000-0005-0000-0000-000069980000}"/>
    <cellStyle name="Normal 3 5 6 2 3 2 3 2" xfId="50399" xr:uid="{00000000-0005-0000-0000-00006A980000}"/>
    <cellStyle name="Normal 3 5 6 2 3 2 4" xfId="36837" xr:uid="{00000000-0005-0000-0000-00006B980000}"/>
    <cellStyle name="Normal 3 5 6 2 3 3" xfId="13090" xr:uid="{00000000-0005-0000-0000-00006C980000}"/>
    <cellStyle name="Normal 3 5 6 2 3 3 2" xfId="26658" xr:uid="{00000000-0005-0000-0000-00006D980000}"/>
    <cellStyle name="Normal 3 5 6 2 3 3 2 2" xfId="53791" xr:uid="{00000000-0005-0000-0000-00006E980000}"/>
    <cellStyle name="Normal 3 5 6 2 3 3 3" xfId="40229" xr:uid="{00000000-0005-0000-0000-00006F980000}"/>
    <cellStyle name="Normal 3 5 6 2 3 4" xfId="19877" xr:uid="{00000000-0005-0000-0000-000070980000}"/>
    <cellStyle name="Normal 3 5 6 2 3 4 2" xfId="47010" xr:uid="{00000000-0005-0000-0000-000071980000}"/>
    <cellStyle name="Normal 3 5 6 2 3 5" xfId="33448" xr:uid="{00000000-0005-0000-0000-000072980000}"/>
    <cellStyle name="Normal 3 5 6 2 4" xfId="7546" xr:uid="{00000000-0005-0000-0000-000073980000}"/>
    <cellStyle name="Normal 3 5 6 2 4 2" xfId="14336" xr:uid="{00000000-0005-0000-0000-000074980000}"/>
    <cellStyle name="Normal 3 5 6 2 4 2 2" xfId="27904" xr:uid="{00000000-0005-0000-0000-000075980000}"/>
    <cellStyle name="Normal 3 5 6 2 4 2 2 2" xfId="55037" xr:uid="{00000000-0005-0000-0000-000076980000}"/>
    <cellStyle name="Normal 3 5 6 2 4 2 3" xfId="41475" xr:uid="{00000000-0005-0000-0000-000077980000}"/>
    <cellStyle name="Normal 3 5 6 2 4 3" xfId="21123" xr:uid="{00000000-0005-0000-0000-000078980000}"/>
    <cellStyle name="Normal 3 5 6 2 4 3 2" xfId="48256" xr:uid="{00000000-0005-0000-0000-000079980000}"/>
    <cellStyle name="Normal 3 5 6 2 4 4" xfId="34694" xr:uid="{00000000-0005-0000-0000-00007A980000}"/>
    <cellStyle name="Normal 3 5 6 2 5" xfId="10947" xr:uid="{00000000-0005-0000-0000-00007B980000}"/>
    <cellStyle name="Normal 3 5 6 2 5 2" xfId="24515" xr:uid="{00000000-0005-0000-0000-00007C980000}"/>
    <cellStyle name="Normal 3 5 6 2 5 2 2" xfId="51648" xr:uid="{00000000-0005-0000-0000-00007D980000}"/>
    <cellStyle name="Normal 3 5 6 2 5 3" xfId="38086" xr:uid="{00000000-0005-0000-0000-00007E980000}"/>
    <cellStyle name="Normal 3 5 6 2 6" xfId="17734" xr:uid="{00000000-0005-0000-0000-00007F980000}"/>
    <cellStyle name="Normal 3 5 6 2 6 2" xfId="44867" xr:uid="{00000000-0005-0000-0000-000080980000}"/>
    <cellStyle name="Normal 3 5 6 2 7" xfId="31305" xr:uid="{00000000-0005-0000-0000-000081980000}"/>
    <cellStyle name="Normal 3 5 6 3" xfId="6147" xr:uid="{00000000-0005-0000-0000-000082980000}"/>
    <cellStyle name="Normal 3 5 6 3 2" xfId="9690" xr:uid="{00000000-0005-0000-0000-000083980000}"/>
    <cellStyle name="Normal 3 5 6 3 2 2" xfId="16480" xr:uid="{00000000-0005-0000-0000-000084980000}"/>
    <cellStyle name="Normal 3 5 6 3 2 2 2" xfId="30048" xr:uid="{00000000-0005-0000-0000-000085980000}"/>
    <cellStyle name="Normal 3 5 6 3 2 2 2 2" xfId="57181" xr:uid="{00000000-0005-0000-0000-000086980000}"/>
    <cellStyle name="Normal 3 5 6 3 2 2 3" xfId="43619" xr:uid="{00000000-0005-0000-0000-000087980000}"/>
    <cellStyle name="Normal 3 5 6 3 2 3" xfId="23267" xr:uid="{00000000-0005-0000-0000-000088980000}"/>
    <cellStyle name="Normal 3 5 6 3 2 3 2" xfId="50400" xr:uid="{00000000-0005-0000-0000-000089980000}"/>
    <cellStyle name="Normal 3 5 6 3 2 4" xfId="36838" xr:uid="{00000000-0005-0000-0000-00008A980000}"/>
    <cellStyle name="Normal 3 5 6 3 3" xfId="13091" xr:uid="{00000000-0005-0000-0000-00008B980000}"/>
    <cellStyle name="Normal 3 5 6 3 3 2" xfId="26659" xr:uid="{00000000-0005-0000-0000-00008C980000}"/>
    <cellStyle name="Normal 3 5 6 3 3 2 2" xfId="53792" xr:uid="{00000000-0005-0000-0000-00008D980000}"/>
    <cellStyle name="Normal 3 5 6 3 3 3" xfId="40230" xr:uid="{00000000-0005-0000-0000-00008E980000}"/>
    <cellStyle name="Normal 3 5 6 3 4" xfId="19878" xr:uid="{00000000-0005-0000-0000-00008F980000}"/>
    <cellStyle name="Normal 3 5 6 3 4 2" xfId="47011" xr:uid="{00000000-0005-0000-0000-000090980000}"/>
    <cellStyle name="Normal 3 5 6 3 5" xfId="33449" xr:uid="{00000000-0005-0000-0000-000091980000}"/>
    <cellStyle name="Normal 3 5 6 4" xfId="6148" xr:uid="{00000000-0005-0000-0000-000092980000}"/>
    <cellStyle name="Normal 3 5 6 4 2" xfId="9691" xr:uid="{00000000-0005-0000-0000-000093980000}"/>
    <cellStyle name="Normal 3 5 6 4 2 2" xfId="16481" xr:uid="{00000000-0005-0000-0000-000094980000}"/>
    <cellStyle name="Normal 3 5 6 4 2 2 2" xfId="30049" xr:uid="{00000000-0005-0000-0000-000095980000}"/>
    <cellStyle name="Normal 3 5 6 4 2 2 2 2" xfId="57182" xr:uid="{00000000-0005-0000-0000-000096980000}"/>
    <cellStyle name="Normal 3 5 6 4 2 2 3" xfId="43620" xr:uid="{00000000-0005-0000-0000-000097980000}"/>
    <cellStyle name="Normal 3 5 6 4 2 3" xfId="23268" xr:uid="{00000000-0005-0000-0000-000098980000}"/>
    <cellStyle name="Normal 3 5 6 4 2 3 2" xfId="50401" xr:uid="{00000000-0005-0000-0000-000099980000}"/>
    <cellStyle name="Normal 3 5 6 4 2 4" xfId="36839" xr:uid="{00000000-0005-0000-0000-00009A980000}"/>
    <cellStyle name="Normal 3 5 6 4 3" xfId="13092" xr:uid="{00000000-0005-0000-0000-00009B980000}"/>
    <cellStyle name="Normal 3 5 6 4 3 2" xfId="26660" xr:uid="{00000000-0005-0000-0000-00009C980000}"/>
    <cellStyle name="Normal 3 5 6 4 3 2 2" xfId="53793" xr:uid="{00000000-0005-0000-0000-00009D980000}"/>
    <cellStyle name="Normal 3 5 6 4 3 3" xfId="40231" xr:uid="{00000000-0005-0000-0000-00009E980000}"/>
    <cellStyle name="Normal 3 5 6 4 4" xfId="19879" xr:uid="{00000000-0005-0000-0000-00009F980000}"/>
    <cellStyle name="Normal 3 5 6 4 4 2" xfId="47012" xr:uid="{00000000-0005-0000-0000-0000A0980000}"/>
    <cellStyle name="Normal 3 5 6 4 5" xfId="33450" xr:uid="{00000000-0005-0000-0000-0000A1980000}"/>
    <cellStyle name="Normal 3 5 6 5" xfId="7545" xr:uid="{00000000-0005-0000-0000-0000A2980000}"/>
    <cellStyle name="Normal 3 5 6 5 2" xfId="14335" xr:uid="{00000000-0005-0000-0000-0000A3980000}"/>
    <cellStyle name="Normal 3 5 6 5 2 2" xfId="27903" xr:uid="{00000000-0005-0000-0000-0000A4980000}"/>
    <cellStyle name="Normal 3 5 6 5 2 2 2" xfId="55036" xr:uid="{00000000-0005-0000-0000-0000A5980000}"/>
    <cellStyle name="Normal 3 5 6 5 2 3" xfId="41474" xr:uid="{00000000-0005-0000-0000-0000A6980000}"/>
    <cellStyle name="Normal 3 5 6 5 3" xfId="21122" xr:uid="{00000000-0005-0000-0000-0000A7980000}"/>
    <cellStyle name="Normal 3 5 6 5 3 2" xfId="48255" xr:uid="{00000000-0005-0000-0000-0000A8980000}"/>
    <cellStyle name="Normal 3 5 6 5 4" xfId="34693" xr:uid="{00000000-0005-0000-0000-0000A9980000}"/>
    <cellStyle name="Normal 3 5 6 6" xfId="10946" xr:uid="{00000000-0005-0000-0000-0000AA980000}"/>
    <cellStyle name="Normal 3 5 6 6 2" xfId="24514" xr:uid="{00000000-0005-0000-0000-0000AB980000}"/>
    <cellStyle name="Normal 3 5 6 6 2 2" xfId="51647" xr:uid="{00000000-0005-0000-0000-0000AC980000}"/>
    <cellStyle name="Normal 3 5 6 6 3" xfId="38085" xr:uid="{00000000-0005-0000-0000-0000AD980000}"/>
    <cellStyle name="Normal 3 5 6 7" xfId="17733" xr:uid="{00000000-0005-0000-0000-0000AE980000}"/>
    <cellStyle name="Normal 3 5 6 7 2" xfId="44866" xr:uid="{00000000-0005-0000-0000-0000AF980000}"/>
    <cellStyle name="Normal 3 5 6 8" xfId="31304" xr:uid="{00000000-0005-0000-0000-0000B0980000}"/>
    <cellStyle name="Normal 3 5 7" xfId="2734" xr:uid="{00000000-0005-0000-0000-0000B1980000}"/>
    <cellStyle name="Normal 3 5 7 2" xfId="2735" xr:uid="{00000000-0005-0000-0000-0000B2980000}"/>
    <cellStyle name="Normal 3 5 7 2 2" xfId="7548" xr:uid="{00000000-0005-0000-0000-0000B3980000}"/>
    <cellStyle name="Normal 3 5 7 2 2 2" xfId="14338" xr:uid="{00000000-0005-0000-0000-0000B4980000}"/>
    <cellStyle name="Normal 3 5 7 2 2 2 2" xfId="27906" xr:uid="{00000000-0005-0000-0000-0000B5980000}"/>
    <cellStyle name="Normal 3 5 7 2 2 2 2 2" xfId="55039" xr:uid="{00000000-0005-0000-0000-0000B6980000}"/>
    <cellStyle name="Normal 3 5 7 2 2 2 3" xfId="41477" xr:uid="{00000000-0005-0000-0000-0000B7980000}"/>
    <cellStyle name="Normal 3 5 7 2 2 3" xfId="21125" xr:uid="{00000000-0005-0000-0000-0000B8980000}"/>
    <cellStyle name="Normal 3 5 7 2 2 3 2" xfId="48258" xr:uid="{00000000-0005-0000-0000-0000B9980000}"/>
    <cellStyle name="Normal 3 5 7 2 2 4" xfId="34696" xr:uid="{00000000-0005-0000-0000-0000BA980000}"/>
    <cellStyle name="Normal 3 5 7 2 3" xfId="10949" xr:uid="{00000000-0005-0000-0000-0000BB980000}"/>
    <cellStyle name="Normal 3 5 7 2 3 2" xfId="24517" xr:uid="{00000000-0005-0000-0000-0000BC980000}"/>
    <cellStyle name="Normal 3 5 7 2 3 2 2" xfId="51650" xr:uid="{00000000-0005-0000-0000-0000BD980000}"/>
    <cellStyle name="Normal 3 5 7 2 3 3" xfId="38088" xr:uid="{00000000-0005-0000-0000-0000BE980000}"/>
    <cellStyle name="Normal 3 5 7 2 4" xfId="17736" xr:uid="{00000000-0005-0000-0000-0000BF980000}"/>
    <cellStyle name="Normal 3 5 7 2 4 2" xfId="44869" xr:uid="{00000000-0005-0000-0000-0000C0980000}"/>
    <cellStyle name="Normal 3 5 7 2 5" xfId="31307" xr:uid="{00000000-0005-0000-0000-0000C1980000}"/>
    <cellStyle name="Normal 3 5 7 3" xfId="6149" xr:uid="{00000000-0005-0000-0000-0000C2980000}"/>
    <cellStyle name="Normal 3 5 7 3 2" xfId="9692" xr:uid="{00000000-0005-0000-0000-0000C3980000}"/>
    <cellStyle name="Normal 3 5 7 3 2 2" xfId="16482" xr:uid="{00000000-0005-0000-0000-0000C4980000}"/>
    <cellStyle name="Normal 3 5 7 3 2 2 2" xfId="30050" xr:uid="{00000000-0005-0000-0000-0000C5980000}"/>
    <cellStyle name="Normal 3 5 7 3 2 2 2 2" xfId="57183" xr:uid="{00000000-0005-0000-0000-0000C6980000}"/>
    <cellStyle name="Normal 3 5 7 3 2 2 3" xfId="43621" xr:uid="{00000000-0005-0000-0000-0000C7980000}"/>
    <cellStyle name="Normal 3 5 7 3 2 3" xfId="23269" xr:uid="{00000000-0005-0000-0000-0000C8980000}"/>
    <cellStyle name="Normal 3 5 7 3 2 3 2" xfId="50402" xr:uid="{00000000-0005-0000-0000-0000C9980000}"/>
    <cellStyle name="Normal 3 5 7 3 2 4" xfId="36840" xr:uid="{00000000-0005-0000-0000-0000CA980000}"/>
    <cellStyle name="Normal 3 5 7 3 3" xfId="13093" xr:uid="{00000000-0005-0000-0000-0000CB980000}"/>
    <cellStyle name="Normal 3 5 7 3 3 2" xfId="26661" xr:uid="{00000000-0005-0000-0000-0000CC980000}"/>
    <cellStyle name="Normal 3 5 7 3 3 2 2" xfId="53794" xr:uid="{00000000-0005-0000-0000-0000CD980000}"/>
    <cellStyle name="Normal 3 5 7 3 3 3" xfId="40232" xr:uid="{00000000-0005-0000-0000-0000CE980000}"/>
    <cellStyle name="Normal 3 5 7 3 4" xfId="19880" xr:uid="{00000000-0005-0000-0000-0000CF980000}"/>
    <cellStyle name="Normal 3 5 7 3 4 2" xfId="47013" xr:uid="{00000000-0005-0000-0000-0000D0980000}"/>
    <cellStyle name="Normal 3 5 7 3 5" xfId="33451" xr:uid="{00000000-0005-0000-0000-0000D1980000}"/>
    <cellStyle name="Normal 3 5 7 4" xfId="7547" xr:uid="{00000000-0005-0000-0000-0000D2980000}"/>
    <cellStyle name="Normal 3 5 7 4 2" xfId="14337" xr:uid="{00000000-0005-0000-0000-0000D3980000}"/>
    <cellStyle name="Normal 3 5 7 4 2 2" xfId="27905" xr:uid="{00000000-0005-0000-0000-0000D4980000}"/>
    <cellStyle name="Normal 3 5 7 4 2 2 2" xfId="55038" xr:uid="{00000000-0005-0000-0000-0000D5980000}"/>
    <cellStyle name="Normal 3 5 7 4 2 3" xfId="41476" xr:uid="{00000000-0005-0000-0000-0000D6980000}"/>
    <cellStyle name="Normal 3 5 7 4 3" xfId="21124" xr:uid="{00000000-0005-0000-0000-0000D7980000}"/>
    <cellStyle name="Normal 3 5 7 4 3 2" xfId="48257" xr:uid="{00000000-0005-0000-0000-0000D8980000}"/>
    <cellStyle name="Normal 3 5 7 4 4" xfId="34695" xr:uid="{00000000-0005-0000-0000-0000D9980000}"/>
    <cellStyle name="Normal 3 5 7 5" xfId="10948" xr:uid="{00000000-0005-0000-0000-0000DA980000}"/>
    <cellStyle name="Normal 3 5 7 5 2" xfId="24516" xr:uid="{00000000-0005-0000-0000-0000DB980000}"/>
    <cellStyle name="Normal 3 5 7 5 2 2" xfId="51649" xr:uid="{00000000-0005-0000-0000-0000DC980000}"/>
    <cellStyle name="Normal 3 5 7 5 3" xfId="38087" xr:uid="{00000000-0005-0000-0000-0000DD980000}"/>
    <cellStyle name="Normal 3 5 7 6" xfId="17735" xr:uid="{00000000-0005-0000-0000-0000DE980000}"/>
    <cellStyle name="Normal 3 5 7 6 2" xfId="44868" xr:uid="{00000000-0005-0000-0000-0000DF980000}"/>
    <cellStyle name="Normal 3 5 7 7" xfId="31306" xr:uid="{00000000-0005-0000-0000-0000E0980000}"/>
    <cellStyle name="Normal 3 5 8" xfId="2736" xr:uid="{00000000-0005-0000-0000-0000E1980000}"/>
    <cellStyle name="Normal 3 5 8 2" xfId="2737" xr:uid="{00000000-0005-0000-0000-0000E2980000}"/>
    <cellStyle name="Normal 3 5 8 2 2" xfId="7550" xr:uid="{00000000-0005-0000-0000-0000E3980000}"/>
    <cellStyle name="Normal 3 5 8 2 2 2" xfId="14340" xr:uid="{00000000-0005-0000-0000-0000E4980000}"/>
    <cellStyle name="Normal 3 5 8 2 2 2 2" xfId="27908" xr:uid="{00000000-0005-0000-0000-0000E5980000}"/>
    <cellStyle name="Normal 3 5 8 2 2 2 2 2" xfId="55041" xr:uid="{00000000-0005-0000-0000-0000E6980000}"/>
    <cellStyle name="Normal 3 5 8 2 2 2 3" xfId="41479" xr:uid="{00000000-0005-0000-0000-0000E7980000}"/>
    <cellStyle name="Normal 3 5 8 2 2 3" xfId="21127" xr:uid="{00000000-0005-0000-0000-0000E8980000}"/>
    <cellStyle name="Normal 3 5 8 2 2 3 2" xfId="48260" xr:uid="{00000000-0005-0000-0000-0000E9980000}"/>
    <cellStyle name="Normal 3 5 8 2 2 4" xfId="34698" xr:uid="{00000000-0005-0000-0000-0000EA980000}"/>
    <cellStyle name="Normal 3 5 8 2 3" xfId="10951" xr:uid="{00000000-0005-0000-0000-0000EB980000}"/>
    <cellStyle name="Normal 3 5 8 2 3 2" xfId="24519" xr:uid="{00000000-0005-0000-0000-0000EC980000}"/>
    <cellStyle name="Normal 3 5 8 2 3 2 2" xfId="51652" xr:uid="{00000000-0005-0000-0000-0000ED980000}"/>
    <cellStyle name="Normal 3 5 8 2 3 3" xfId="38090" xr:uid="{00000000-0005-0000-0000-0000EE980000}"/>
    <cellStyle name="Normal 3 5 8 2 4" xfId="17738" xr:uid="{00000000-0005-0000-0000-0000EF980000}"/>
    <cellStyle name="Normal 3 5 8 2 4 2" xfId="44871" xr:uid="{00000000-0005-0000-0000-0000F0980000}"/>
    <cellStyle name="Normal 3 5 8 2 5" xfId="31309" xr:uid="{00000000-0005-0000-0000-0000F1980000}"/>
    <cellStyle name="Normal 3 5 8 3" xfId="6150" xr:uid="{00000000-0005-0000-0000-0000F2980000}"/>
    <cellStyle name="Normal 3 5 8 3 2" xfId="9693" xr:uid="{00000000-0005-0000-0000-0000F3980000}"/>
    <cellStyle name="Normal 3 5 8 3 2 2" xfId="16483" xr:uid="{00000000-0005-0000-0000-0000F4980000}"/>
    <cellStyle name="Normal 3 5 8 3 2 2 2" xfId="30051" xr:uid="{00000000-0005-0000-0000-0000F5980000}"/>
    <cellStyle name="Normal 3 5 8 3 2 2 2 2" xfId="57184" xr:uid="{00000000-0005-0000-0000-0000F6980000}"/>
    <cellStyle name="Normal 3 5 8 3 2 2 3" xfId="43622" xr:uid="{00000000-0005-0000-0000-0000F7980000}"/>
    <cellStyle name="Normal 3 5 8 3 2 3" xfId="23270" xr:uid="{00000000-0005-0000-0000-0000F8980000}"/>
    <cellStyle name="Normal 3 5 8 3 2 3 2" xfId="50403" xr:uid="{00000000-0005-0000-0000-0000F9980000}"/>
    <cellStyle name="Normal 3 5 8 3 2 4" xfId="36841" xr:uid="{00000000-0005-0000-0000-0000FA980000}"/>
    <cellStyle name="Normal 3 5 8 3 3" xfId="13094" xr:uid="{00000000-0005-0000-0000-0000FB980000}"/>
    <cellStyle name="Normal 3 5 8 3 3 2" xfId="26662" xr:uid="{00000000-0005-0000-0000-0000FC980000}"/>
    <cellStyle name="Normal 3 5 8 3 3 2 2" xfId="53795" xr:uid="{00000000-0005-0000-0000-0000FD980000}"/>
    <cellStyle name="Normal 3 5 8 3 3 3" xfId="40233" xr:uid="{00000000-0005-0000-0000-0000FE980000}"/>
    <cellStyle name="Normal 3 5 8 3 4" xfId="19881" xr:uid="{00000000-0005-0000-0000-0000FF980000}"/>
    <cellStyle name="Normal 3 5 8 3 4 2" xfId="47014" xr:uid="{00000000-0005-0000-0000-000000990000}"/>
    <cellStyle name="Normal 3 5 8 3 5" xfId="33452" xr:uid="{00000000-0005-0000-0000-000001990000}"/>
    <cellStyle name="Normal 3 5 8 4" xfId="7549" xr:uid="{00000000-0005-0000-0000-000002990000}"/>
    <cellStyle name="Normal 3 5 8 4 2" xfId="14339" xr:uid="{00000000-0005-0000-0000-000003990000}"/>
    <cellStyle name="Normal 3 5 8 4 2 2" xfId="27907" xr:uid="{00000000-0005-0000-0000-000004990000}"/>
    <cellStyle name="Normal 3 5 8 4 2 2 2" xfId="55040" xr:uid="{00000000-0005-0000-0000-000005990000}"/>
    <cellStyle name="Normal 3 5 8 4 2 3" xfId="41478" xr:uid="{00000000-0005-0000-0000-000006990000}"/>
    <cellStyle name="Normal 3 5 8 4 3" xfId="21126" xr:uid="{00000000-0005-0000-0000-000007990000}"/>
    <cellStyle name="Normal 3 5 8 4 3 2" xfId="48259" xr:uid="{00000000-0005-0000-0000-000008990000}"/>
    <cellStyle name="Normal 3 5 8 4 4" xfId="34697" xr:uid="{00000000-0005-0000-0000-000009990000}"/>
    <cellStyle name="Normal 3 5 8 5" xfId="10950" xr:uid="{00000000-0005-0000-0000-00000A990000}"/>
    <cellStyle name="Normal 3 5 8 5 2" xfId="24518" xr:uid="{00000000-0005-0000-0000-00000B990000}"/>
    <cellStyle name="Normal 3 5 8 5 2 2" xfId="51651" xr:uid="{00000000-0005-0000-0000-00000C990000}"/>
    <cellStyle name="Normal 3 5 8 5 3" xfId="38089" xr:uid="{00000000-0005-0000-0000-00000D990000}"/>
    <cellStyle name="Normal 3 5 8 6" xfId="17737" xr:uid="{00000000-0005-0000-0000-00000E990000}"/>
    <cellStyle name="Normal 3 5 8 6 2" xfId="44870" xr:uid="{00000000-0005-0000-0000-00000F990000}"/>
    <cellStyle name="Normal 3 5 8 7" xfId="31308" xr:uid="{00000000-0005-0000-0000-000010990000}"/>
    <cellStyle name="Normal 3 5 9" xfId="2738" xr:uid="{00000000-0005-0000-0000-000011990000}"/>
    <cellStyle name="Normal 3 5 9 2" xfId="7551" xr:uid="{00000000-0005-0000-0000-000012990000}"/>
    <cellStyle name="Normal 3 5 9 2 2" xfId="14341" xr:uid="{00000000-0005-0000-0000-000013990000}"/>
    <cellStyle name="Normal 3 5 9 2 2 2" xfId="27909" xr:uid="{00000000-0005-0000-0000-000014990000}"/>
    <cellStyle name="Normal 3 5 9 2 2 2 2" xfId="55042" xr:uid="{00000000-0005-0000-0000-000015990000}"/>
    <cellStyle name="Normal 3 5 9 2 2 3" xfId="41480" xr:uid="{00000000-0005-0000-0000-000016990000}"/>
    <cellStyle name="Normal 3 5 9 2 3" xfId="21128" xr:uid="{00000000-0005-0000-0000-000017990000}"/>
    <cellStyle name="Normal 3 5 9 2 3 2" xfId="48261" xr:uid="{00000000-0005-0000-0000-000018990000}"/>
    <cellStyle name="Normal 3 5 9 2 4" xfId="34699" xr:uid="{00000000-0005-0000-0000-000019990000}"/>
    <cellStyle name="Normal 3 5 9 3" xfId="10952" xr:uid="{00000000-0005-0000-0000-00001A990000}"/>
    <cellStyle name="Normal 3 5 9 3 2" xfId="24520" xr:uid="{00000000-0005-0000-0000-00001B990000}"/>
    <cellStyle name="Normal 3 5 9 3 2 2" xfId="51653" xr:uid="{00000000-0005-0000-0000-00001C990000}"/>
    <cellStyle name="Normal 3 5 9 3 3" xfId="38091" xr:uid="{00000000-0005-0000-0000-00001D990000}"/>
    <cellStyle name="Normal 3 5 9 4" xfId="17739" xr:uid="{00000000-0005-0000-0000-00001E990000}"/>
    <cellStyle name="Normal 3 5 9 4 2" xfId="44872" xr:uid="{00000000-0005-0000-0000-00001F990000}"/>
    <cellStyle name="Normal 3 5 9 5" xfId="31310" xr:uid="{00000000-0005-0000-0000-000020990000}"/>
    <cellStyle name="Normal 3 56" xfId="9" xr:uid="{00000000-0005-0000-0000-000021990000}"/>
    <cellStyle name="Normal 3 56 4" xfId="58380" xr:uid="{2BAA5403-242F-4E9B-AC00-9E5C1034432C}"/>
    <cellStyle name="Normal 3 6" xfId="2739" xr:uid="{00000000-0005-0000-0000-000022990000}"/>
    <cellStyle name="Normal 3 6 10" xfId="7552" xr:uid="{00000000-0005-0000-0000-000023990000}"/>
    <cellStyle name="Normal 3 6 10 2" xfId="14342" xr:uid="{00000000-0005-0000-0000-000024990000}"/>
    <cellStyle name="Normal 3 6 10 2 2" xfId="27910" xr:uid="{00000000-0005-0000-0000-000025990000}"/>
    <cellStyle name="Normal 3 6 10 2 2 2" xfId="55043" xr:uid="{00000000-0005-0000-0000-000026990000}"/>
    <cellStyle name="Normal 3 6 10 2 3" xfId="41481" xr:uid="{00000000-0005-0000-0000-000027990000}"/>
    <cellStyle name="Normal 3 6 10 3" xfId="21129" xr:uid="{00000000-0005-0000-0000-000028990000}"/>
    <cellStyle name="Normal 3 6 10 3 2" xfId="48262" xr:uid="{00000000-0005-0000-0000-000029990000}"/>
    <cellStyle name="Normal 3 6 10 4" xfId="34700" xr:uid="{00000000-0005-0000-0000-00002A990000}"/>
    <cellStyle name="Normal 3 6 11" xfId="10953" xr:uid="{00000000-0005-0000-0000-00002B990000}"/>
    <cellStyle name="Normal 3 6 11 2" xfId="24521" xr:uid="{00000000-0005-0000-0000-00002C990000}"/>
    <cellStyle name="Normal 3 6 11 2 2" xfId="51654" xr:uid="{00000000-0005-0000-0000-00002D990000}"/>
    <cellStyle name="Normal 3 6 11 3" xfId="38092" xr:uid="{00000000-0005-0000-0000-00002E990000}"/>
    <cellStyle name="Normal 3 6 12" xfId="17740" xr:uid="{00000000-0005-0000-0000-00002F990000}"/>
    <cellStyle name="Normal 3 6 12 2" xfId="44873" xr:uid="{00000000-0005-0000-0000-000030990000}"/>
    <cellStyle name="Normal 3 6 13" xfId="31311" xr:uid="{00000000-0005-0000-0000-000031990000}"/>
    <cellStyle name="Normal 3 6 2" xfId="2740" xr:uid="{00000000-0005-0000-0000-000032990000}"/>
    <cellStyle name="Normal 3 6 2 2" xfId="2741" xr:uid="{00000000-0005-0000-0000-000033990000}"/>
    <cellStyle name="Normal 3 6 2 2 2" xfId="7554" xr:uid="{00000000-0005-0000-0000-000034990000}"/>
    <cellStyle name="Normal 3 6 2 2 2 2" xfId="14344" xr:uid="{00000000-0005-0000-0000-000035990000}"/>
    <cellStyle name="Normal 3 6 2 2 2 2 2" xfId="27912" xr:uid="{00000000-0005-0000-0000-000036990000}"/>
    <cellStyle name="Normal 3 6 2 2 2 2 2 2" xfId="55045" xr:uid="{00000000-0005-0000-0000-000037990000}"/>
    <cellStyle name="Normal 3 6 2 2 2 2 3" xfId="41483" xr:uid="{00000000-0005-0000-0000-000038990000}"/>
    <cellStyle name="Normal 3 6 2 2 2 3" xfId="21131" xr:uid="{00000000-0005-0000-0000-000039990000}"/>
    <cellStyle name="Normal 3 6 2 2 2 3 2" xfId="48264" xr:uid="{00000000-0005-0000-0000-00003A990000}"/>
    <cellStyle name="Normal 3 6 2 2 2 4" xfId="34702" xr:uid="{00000000-0005-0000-0000-00003B990000}"/>
    <cellStyle name="Normal 3 6 2 2 3" xfId="10955" xr:uid="{00000000-0005-0000-0000-00003C990000}"/>
    <cellStyle name="Normal 3 6 2 2 3 2" xfId="24523" xr:uid="{00000000-0005-0000-0000-00003D990000}"/>
    <cellStyle name="Normal 3 6 2 2 3 2 2" xfId="51656" xr:uid="{00000000-0005-0000-0000-00003E990000}"/>
    <cellStyle name="Normal 3 6 2 2 3 3" xfId="38094" xr:uid="{00000000-0005-0000-0000-00003F990000}"/>
    <cellStyle name="Normal 3 6 2 2 4" xfId="17742" xr:uid="{00000000-0005-0000-0000-000040990000}"/>
    <cellStyle name="Normal 3 6 2 2 4 2" xfId="44875" xr:uid="{00000000-0005-0000-0000-000041990000}"/>
    <cellStyle name="Normal 3 6 2 2 5" xfId="31313" xr:uid="{00000000-0005-0000-0000-000042990000}"/>
    <cellStyle name="Normal 3 6 2 3" xfId="7553" xr:uid="{00000000-0005-0000-0000-000043990000}"/>
    <cellStyle name="Normal 3 6 2 3 2" xfId="14343" xr:uid="{00000000-0005-0000-0000-000044990000}"/>
    <cellStyle name="Normal 3 6 2 3 2 2" xfId="27911" xr:uid="{00000000-0005-0000-0000-000045990000}"/>
    <cellStyle name="Normal 3 6 2 3 2 2 2" xfId="55044" xr:uid="{00000000-0005-0000-0000-000046990000}"/>
    <cellStyle name="Normal 3 6 2 3 2 3" xfId="41482" xr:uid="{00000000-0005-0000-0000-000047990000}"/>
    <cellStyle name="Normal 3 6 2 3 3" xfId="21130" xr:uid="{00000000-0005-0000-0000-000048990000}"/>
    <cellStyle name="Normal 3 6 2 3 3 2" xfId="48263" xr:uid="{00000000-0005-0000-0000-000049990000}"/>
    <cellStyle name="Normal 3 6 2 3 4" xfId="34701" xr:uid="{00000000-0005-0000-0000-00004A990000}"/>
    <cellStyle name="Normal 3 6 2 4" xfId="10954" xr:uid="{00000000-0005-0000-0000-00004B990000}"/>
    <cellStyle name="Normal 3 6 2 4 2" xfId="24522" xr:uid="{00000000-0005-0000-0000-00004C990000}"/>
    <cellStyle name="Normal 3 6 2 4 2 2" xfId="51655" xr:uid="{00000000-0005-0000-0000-00004D990000}"/>
    <cellStyle name="Normal 3 6 2 4 3" xfId="38093" xr:uid="{00000000-0005-0000-0000-00004E990000}"/>
    <cellStyle name="Normal 3 6 2 5" xfId="17741" xr:uid="{00000000-0005-0000-0000-00004F990000}"/>
    <cellStyle name="Normal 3 6 2 5 2" xfId="44874" xr:uid="{00000000-0005-0000-0000-000050990000}"/>
    <cellStyle name="Normal 3 6 2 6" xfId="31312" xr:uid="{00000000-0005-0000-0000-000051990000}"/>
    <cellStyle name="Normal 3 6 3" xfId="2742" xr:uid="{00000000-0005-0000-0000-000052990000}"/>
    <cellStyle name="Normal 3 6 3 2" xfId="2743" xr:uid="{00000000-0005-0000-0000-000053990000}"/>
    <cellStyle name="Normal 3 6 3 2 2" xfId="7556" xr:uid="{00000000-0005-0000-0000-000054990000}"/>
    <cellStyle name="Normal 3 6 3 2 2 2" xfId="14346" xr:uid="{00000000-0005-0000-0000-000055990000}"/>
    <cellStyle name="Normal 3 6 3 2 2 2 2" xfId="27914" xr:uid="{00000000-0005-0000-0000-000056990000}"/>
    <cellStyle name="Normal 3 6 3 2 2 2 2 2" xfId="55047" xr:uid="{00000000-0005-0000-0000-000057990000}"/>
    <cellStyle name="Normal 3 6 3 2 2 2 3" xfId="41485" xr:uid="{00000000-0005-0000-0000-000058990000}"/>
    <cellStyle name="Normal 3 6 3 2 2 3" xfId="21133" xr:uid="{00000000-0005-0000-0000-000059990000}"/>
    <cellStyle name="Normal 3 6 3 2 2 3 2" xfId="48266" xr:uid="{00000000-0005-0000-0000-00005A990000}"/>
    <cellStyle name="Normal 3 6 3 2 2 4" xfId="34704" xr:uid="{00000000-0005-0000-0000-00005B990000}"/>
    <cellStyle name="Normal 3 6 3 2 3" xfId="10957" xr:uid="{00000000-0005-0000-0000-00005C990000}"/>
    <cellStyle name="Normal 3 6 3 2 3 2" xfId="24525" xr:uid="{00000000-0005-0000-0000-00005D990000}"/>
    <cellStyle name="Normal 3 6 3 2 3 2 2" xfId="51658" xr:uid="{00000000-0005-0000-0000-00005E990000}"/>
    <cellStyle name="Normal 3 6 3 2 3 3" xfId="38096" xr:uid="{00000000-0005-0000-0000-00005F990000}"/>
    <cellStyle name="Normal 3 6 3 2 4" xfId="17744" xr:uid="{00000000-0005-0000-0000-000060990000}"/>
    <cellStyle name="Normal 3 6 3 2 4 2" xfId="44877" xr:uid="{00000000-0005-0000-0000-000061990000}"/>
    <cellStyle name="Normal 3 6 3 2 5" xfId="31315" xr:uid="{00000000-0005-0000-0000-000062990000}"/>
    <cellStyle name="Normal 3 6 3 3" xfId="7555" xr:uid="{00000000-0005-0000-0000-000063990000}"/>
    <cellStyle name="Normal 3 6 3 3 2" xfId="14345" xr:uid="{00000000-0005-0000-0000-000064990000}"/>
    <cellStyle name="Normal 3 6 3 3 2 2" xfId="27913" xr:uid="{00000000-0005-0000-0000-000065990000}"/>
    <cellStyle name="Normal 3 6 3 3 2 2 2" xfId="55046" xr:uid="{00000000-0005-0000-0000-000066990000}"/>
    <cellStyle name="Normal 3 6 3 3 2 3" xfId="41484" xr:uid="{00000000-0005-0000-0000-000067990000}"/>
    <cellStyle name="Normal 3 6 3 3 3" xfId="21132" xr:uid="{00000000-0005-0000-0000-000068990000}"/>
    <cellStyle name="Normal 3 6 3 3 3 2" xfId="48265" xr:uid="{00000000-0005-0000-0000-000069990000}"/>
    <cellStyle name="Normal 3 6 3 3 4" xfId="34703" xr:uid="{00000000-0005-0000-0000-00006A990000}"/>
    <cellStyle name="Normal 3 6 3 4" xfId="10956" xr:uid="{00000000-0005-0000-0000-00006B990000}"/>
    <cellStyle name="Normal 3 6 3 4 2" xfId="24524" xr:uid="{00000000-0005-0000-0000-00006C990000}"/>
    <cellStyle name="Normal 3 6 3 4 2 2" xfId="51657" xr:uid="{00000000-0005-0000-0000-00006D990000}"/>
    <cellStyle name="Normal 3 6 3 4 3" xfId="38095" xr:uid="{00000000-0005-0000-0000-00006E990000}"/>
    <cellStyle name="Normal 3 6 3 5" xfId="17743" xr:uid="{00000000-0005-0000-0000-00006F990000}"/>
    <cellStyle name="Normal 3 6 3 5 2" xfId="44876" xr:uid="{00000000-0005-0000-0000-000070990000}"/>
    <cellStyle name="Normal 3 6 3 6" xfId="31314" xr:uid="{00000000-0005-0000-0000-000071990000}"/>
    <cellStyle name="Normal 3 6 4" xfId="2744" xr:uid="{00000000-0005-0000-0000-000072990000}"/>
    <cellStyle name="Normal 3 6 4 2" xfId="2745" xr:uid="{00000000-0005-0000-0000-000073990000}"/>
    <cellStyle name="Normal 3 6 4 2 2" xfId="7558" xr:uid="{00000000-0005-0000-0000-000074990000}"/>
    <cellStyle name="Normal 3 6 4 2 2 2" xfId="14348" xr:uid="{00000000-0005-0000-0000-000075990000}"/>
    <cellStyle name="Normal 3 6 4 2 2 2 2" xfId="27916" xr:uid="{00000000-0005-0000-0000-000076990000}"/>
    <cellStyle name="Normal 3 6 4 2 2 2 2 2" xfId="55049" xr:uid="{00000000-0005-0000-0000-000077990000}"/>
    <cellStyle name="Normal 3 6 4 2 2 2 3" xfId="41487" xr:uid="{00000000-0005-0000-0000-000078990000}"/>
    <cellStyle name="Normal 3 6 4 2 2 3" xfId="21135" xr:uid="{00000000-0005-0000-0000-000079990000}"/>
    <cellStyle name="Normal 3 6 4 2 2 3 2" xfId="48268" xr:uid="{00000000-0005-0000-0000-00007A990000}"/>
    <cellStyle name="Normal 3 6 4 2 2 4" xfId="34706" xr:uid="{00000000-0005-0000-0000-00007B990000}"/>
    <cellStyle name="Normal 3 6 4 2 3" xfId="10959" xr:uid="{00000000-0005-0000-0000-00007C990000}"/>
    <cellStyle name="Normal 3 6 4 2 3 2" xfId="24527" xr:uid="{00000000-0005-0000-0000-00007D990000}"/>
    <cellStyle name="Normal 3 6 4 2 3 2 2" xfId="51660" xr:uid="{00000000-0005-0000-0000-00007E990000}"/>
    <cellStyle name="Normal 3 6 4 2 3 3" xfId="38098" xr:uid="{00000000-0005-0000-0000-00007F990000}"/>
    <cellStyle name="Normal 3 6 4 2 4" xfId="17746" xr:uid="{00000000-0005-0000-0000-000080990000}"/>
    <cellStyle name="Normal 3 6 4 2 4 2" xfId="44879" xr:uid="{00000000-0005-0000-0000-000081990000}"/>
    <cellStyle name="Normal 3 6 4 2 5" xfId="31317" xr:uid="{00000000-0005-0000-0000-000082990000}"/>
    <cellStyle name="Normal 3 6 4 3" xfId="7557" xr:uid="{00000000-0005-0000-0000-000083990000}"/>
    <cellStyle name="Normal 3 6 4 3 2" xfId="14347" xr:uid="{00000000-0005-0000-0000-000084990000}"/>
    <cellStyle name="Normal 3 6 4 3 2 2" xfId="27915" xr:uid="{00000000-0005-0000-0000-000085990000}"/>
    <cellStyle name="Normal 3 6 4 3 2 2 2" xfId="55048" xr:uid="{00000000-0005-0000-0000-000086990000}"/>
    <cellStyle name="Normal 3 6 4 3 2 3" xfId="41486" xr:uid="{00000000-0005-0000-0000-000087990000}"/>
    <cellStyle name="Normal 3 6 4 3 3" xfId="21134" xr:uid="{00000000-0005-0000-0000-000088990000}"/>
    <cellStyle name="Normal 3 6 4 3 3 2" xfId="48267" xr:uid="{00000000-0005-0000-0000-000089990000}"/>
    <cellStyle name="Normal 3 6 4 3 4" xfId="34705" xr:uid="{00000000-0005-0000-0000-00008A990000}"/>
    <cellStyle name="Normal 3 6 4 4" xfId="10958" xr:uid="{00000000-0005-0000-0000-00008B990000}"/>
    <cellStyle name="Normal 3 6 4 4 2" xfId="24526" xr:uid="{00000000-0005-0000-0000-00008C990000}"/>
    <cellStyle name="Normal 3 6 4 4 2 2" xfId="51659" xr:uid="{00000000-0005-0000-0000-00008D990000}"/>
    <cellStyle name="Normal 3 6 4 4 3" xfId="38097" xr:uid="{00000000-0005-0000-0000-00008E990000}"/>
    <cellStyle name="Normal 3 6 4 5" xfId="17745" xr:uid="{00000000-0005-0000-0000-00008F990000}"/>
    <cellStyle name="Normal 3 6 4 5 2" xfId="44878" xr:uid="{00000000-0005-0000-0000-000090990000}"/>
    <cellStyle name="Normal 3 6 4 6" xfId="31316" xr:uid="{00000000-0005-0000-0000-000091990000}"/>
    <cellStyle name="Normal 3 6 5" xfId="2746" xr:uid="{00000000-0005-0000-0000-000092990000}"/>
    <cellStyle name="Normal 3 6 5 2" xfId="2747" xr:uid="{00000000-0005-0000-0000-000093990000}"/>
    <cellStyle name="Normal 3 6 5 2 2" xfId="7560" xr:uid="{00000000-0005-0000-0000-000094990000}"/>
    <cellStyle name="Normal 3 6 5 2 2 2" xfId="14350" xr:uid="{00000000-0005-0000-0000-000095990000}"/>
    <cellStyle name="Normal 3 6 5 2 2 2 2" xfId="27918" xr:uid="{00000000-0005-0000-0000-000096990000}"/>
    <cellStyle name="Normal 3 6 5 2 2 2 2 2" xfId="55051" xr:uid="{00000000-0005-0000-0000-000097990000}"/>
    <cellStyle name="Normal 3 6 5 2 2 2 3" xfId="41489" xr:uid="{00000000-0005-0000-0000-000098990000}"/>
    <cellStyle name="Normal 3 6 5 2 2 3" xfId="21137" xr:uid="{00000000-0005-0000-0000-000099990000}"/>
    <cellStyle name="Normal 3 6 5 2 2 3 2" xfId="48270" xr:uid="{00000000-0005-0000-0000-00009A990000}"/>
    <cellStyle name="Normal 3 6 5 2 2 4" xfId="34708" xr:uid="{00000000-0005-0000-0000-00009B990000}"/>
    <cellStyle name="Normal 3 6 5 2 3" xfId="10961" xr:uid="{00000000-0005-0000-0000-00009C990000}"/>
    <cellStyle name="Normal 3 6 5 2 3 2" xfId="24529" xr:uid="{00000000-0005-0000-0000-00009D990000}"/>
    <cellStyle name="Normal 3 6 5 2 3 2 2" xfId="51662" xr:uid="{00000000-0005-0000-0000-00009E990000}"/>
    <cellStyle name="Normal 3 6 5 2 3 3" xfId="38100" xr:uid="{00000000-0005-0000-0000-00009F990000}"/>
    <cellStyle name="Normal 3 6 5 2 4" xfId="17748" xr:uid="{00000000-0005-0000-0000-0000A0990000}"/>
    <cellStyle name="Normal 3 6 5 2 4 2" xfId="44881" xr:uid="{00000000-0005-0000-0000-0000A1990000}"/>
    <cellStyle name="Normal 3 6 5 2 5" xfId="31319" xr:uid="{00000000-0005-0000-0000-0000A2990000}"/>
    <cellStyle name="Normal 3 6 5 3" xfId="7559" xr:uid="{00000000-0005-0000-0000-0000A3990000}"/>
    <cellStyle name="Normal 3 6 5 3 2" xfId="14349" xr:uid="{00000000-0005-0000-0000-0000A4990000}"/>
    <cellStyle name="Normal 3 6 5 3 2 2" xfId="27917" xr:uid="{00000000-0005-0000-0000-0000A5990000}"/>
    <cellStyle name="Normal 3 6 5 3 2 2 2" xfId="55050" xr:uid="{00000000-0005-0000-0000-0000A6990000}"/>
    <cellStyle name="Normal 3 6 5 3 2 3" xfId="41488" xr:uid="{00000000-0005-0000-0000-0000A7990000}"/>
    <cellStyle name="Normal 3 6 5 3 3" xfId="21136" xr:uid="{00000000-0005-0000-0000-0000A8990000}"/>
    <cellStyle name="Normal 3 6 5 3 3 2" xfId="48269" xr:uid="{00000000-0005-0000-0000-0000A9990000}"/>
    <cellStyle name="Normal 3 6 5 3 4" xfId="34707" xr:uid="{00000000-0005-0000-0000-0000AA990000}"/>
    <cellStyle name="Normal 3 6 5 4" xfId="10960" xr:uid="{00000000-0005-0000-0000-0000AB990000}"/>
    <cellStyle name="Normal 3 6 5 4 2" xfId="24528" xr:uid="{00000000-0005-0000-0000-0000AC990000}"/>
    <cellStyle name="Normal 3 6 5 4 2 2" xfId="51661" xr:uid="{00000000-0005-0000-0000-0000AD990000}"/>
    <cellStyle name="Normal 3 6 5 4 3" xfId="38099" xr:uid="{00000000-0005-0000-0000-0000AE990000}"/>
    <cellStyle name="Normal 3 6 5 5" xfId="17747" xr:uid="{00000000-0005-0000-0000-0000AF990000}"/>
    <cellStyle name="Normal 3 6 5 5 2" xfId="44880" xr:uid="{00000000-0005-0000-0000-0000B0990000}"/>
    <cellStyle name="Normal 3 6 5 6" xfId="31318" xr:uid="{00000000-0005-0000-0000-0000B1990000}"/>
    <cellStyle name="Normal 3 6 6" xfId="2748" xr:uid="{00000000-0005-0000-0000-0000B2990000}"/>
    <cellStyle name="Normal 3 6 6 2" xfId="2749" xr:uid="{00000000-0005-0000-0000-0000B3990000}"/>
    <cellStyle name="Normal 3 6 6 2 2" xfId="7562" xr:uid="{00000000-0005-0000-0000-0000B4990000}"/>
    <cellStyle name="Normal 3 6 6 2 2 2" xfId="14352" xr:uid="{00000000-0005-0000-0000-0000B5990000}"/>
    <cellStyle name="Normal 3 6 6 2 2 2 2" xfId="27920" xr:uid="{00000000-0005-0000-0000-0000B6990000}"/>
    <cellStyle name="Normal 3 6 6 2 2 2 2 2" xfId="55053" xr:uid="{00000000-0005-0000-0000-0000B7990000}"/>
    <cellStyle name="Normal 3 6 6 2 2 2 3" xfId="41491" xr:uid="{00000000-0005-0000-0000-0000B8990000}"/>
    <cellStyle name="Normal 3 6 6 2 2 3" xfId="21139" xr:uid="{00000000-0005-0000-0000-0000B9990000}"/>
    <cellStyle name="Normal 3 6 6 2 2 3 2" xfId="48272" xr:uid="{00000000-0005-0000-0000-0000BA990000}"/>
    <cellStyle name="Normal 3 6 6 2 2 4" xfId="34710" xr:uid="{00000000-0005-0000-0000-0000BB990000}"/>
    <cellStyle name="Normal 3 6 6 2 3" xfId="10963" xr:uid="{00000000-0005-0000-0000-0000BC990000}"/>
    <cellStyle name="Normal 3 6 6 2 3 2" xfId="24531" xr:uid="{00000000-0005-0000-0000-0000BD990000}"/>
    <cellStyle name="Normal 3 6 6 2 3 2 2" xfId="51664" xr:uid="{00000000-0005-0000-0000-0000BE990000}"/>
    <cellStyle name="Normal 3 6 6 2 3 3" xfId="38102" xr:uid="{00000000-0005-0000-0000-0000BF990000}"/>
    <cellStyle name="Normal 3 6 6 2 4" xfId="17750" xr:uid="{00000000-0005-0000-0000-0000C0990000}"/>
    <cellStyle name="Normal 3 6 6 2 4 2" xfId="44883" xr:uid="{00000000-0005-0000-0000-0000C1990000}"/>
    <cellStyle name="Normal 3 6 6 2 5" xfId="31321" xr:uid="{00000000-0005-0000-0000-0000C2990000}"/>
    <cellStyle name="Normal 3 6 6 3" xfId="7561" xr:uid="{00000000-0005-0000-0000-0000C3990000}"/>
    <cellStyle name="Normal 3 6 6 3 2" xfId="14351" xr:uid="{00000000-0005-0000-0000-0000C4990000}"/>
    <cellStyle name="Normal 3 6 6 3 2 2" xfId="27919" xr:uid="{00000000-0005-0000-0000-0000C5990000}"/>
    <cellStyle name="Normal 3 6 6 3 2 2 2" xfId="55052" xr:uid="{00000000-0005-0000-0000-0000C6990000}"/>
    <cellStyle name="Normal 3 6 6 3 2 3" xfId="41490" xr:uid="{00000000-0005-0000-0000-0000C7990000}"/>
    <cellStyle name="Normal 3 6 6 3 3" xfId="21138" xr:uid="{00000000-0005-0000-0000-0000C8990000}"/>
    <cellStyle name="Normal 3 6 6 3 3 2" xfId="48271" xr:uid="{00000000-0005-0000-0000-0000C9990000}"/>
    <cellStyle name="Normal 3 6 6 3 4" xfId="34709" xr:uid="{00000000-0005-0000-0000-0000CA990000}"/>
    <cellStyle name="Normal 3 6 6 4" xfId="10962" xr:uid="{00000000-0005-0000-0000-0000CB990000}"/>
    <cellStyle name="Normal 3 6 6 4 2" xfId="24530" xr:uid="{00000000-0005-0000-0000-0000CC990000}"/>
    <cellStyle name="Normal 3 6 6 4 2 2" xfId="51663" xr:uid="{00000000-0005-0000-0000-0000CD990000}"/>
    <cellStyle name="Normal 3 6 6 4 3" xfId="38101" xr:uid="{00000000-0005-0000-0000-0000CE990000}"/>
    <cellStyle name="Normal 3 6 6 5" xfId="17749" xr:uid="{00000000-0005-0000-0000-0000CF990000}"/>
    <cellStyle name="Normal 3 6 6 5 2" xfId="44882" xr:uid="{00000000-0005-0000-0000-0000D0990000}"/>
    <cellStyle name="Normal 3 6 6 6" xfId="31320" xr:uid="{00000000-0005-0000-0000-0000D1990000}"/>
    <cellStyle name="Normal 3 6 7" xfId="2750" xr:uid="{00000000-0005-0000-0000-0000D2990000}"/>
    <cellStyle name="Normal 3 6 7 2" xfId="2751" xr:uid="{00000000-0005-0000-0000-0000D3990000}"/>
    <cellStyle name="Normal 3 6 7 2 2" xfId="7564" xr:uid="{00000000-0005-0000-0000-0000D4990000}"/>
    <cellStyle name="Normal 3 6 7 2 2 2" xfId="14354" xr:uid="{00000000-0005-0000-0000-0000D5990000}"/>
    <cellStyle name="Normal 3 6 7 2 2 2 2" xfId="27922" xr:uid="{00000000-0005-0000-0000-0000D6990000}"/>
    <cellStyle name="Normal 3 6 7 2 2 2 2 2" xfId="55055" xr:uid="{00000000-0005-0000-0000-0000D7990000}"/>
    <cellStyle name="Normal 3 6 7 2 2 2 3" xfId="41493" xr:uid="{00000000-0005-0000-0000-0000D8990000}"/>
    <cellStyle name="Normal 3 6 7 2 2 3" xfId="21141" xr:uid="{00000000-0005-0000-0000-0000D9990000}"/>
    <cellStyle name="Normal 3 6 7 2 2 3 2" xfId="48274" xr:uid="{00000000-0005-0000-0000-0000DA990000}"/>
    <cellStyle name="Normal 3 6 7 2 2 4" xfId="34712" xr:uid="{00000000-0005-0000-0000-0000DB990000}"/>
    <cellStyle name="Normal 3 6 7 2 3" xfId="10965" xr:uid="{00000000-0005-0000-0000-0000DC990000}"/>
    <cellStyle name="Normal 3 6 7 2 3 2" xfId="24533" xr:uid="{00000000-0005-0000-0000-0000DD990000}"/>
    <cellStyle name="Normal 3 6 7 2 3 2 2" xfId="51666" xr:uid="{00000000-0005-0000-0000-0000DE990000}"/>
    <cellStyle name="Normal 3 6 7 2 3 3" xfId="38104" xr:uid="{00000000-0005-0000-0000-0000DF990000}"/>
    <cellStyle name="Normal 3 6 7 2 4" xfId="17752" xr:uid="{00000000-0005-0000-0000-0000E0990000}"/>
    <cellStyle name="Normal 3 6 7 2 4 2" xfId="44885" xr:uid="{00000000-0005-0000-0000-0000E1990000}"/>
    <cellStyle name="Normal 3 6 7 2 5" xfId="31323" xr:uid="{00000000-0005-0000-0000-0000E2990000}"/>
    <cellStyle name="Normal 3 6 7 3" xfId="7563" xr:uid="{00000000-0005-0000-0000-0000E3990000}"/>
    <cellStyle name="Normal 3 6 7 3 2" xfId="14353" xr:uid="{00000000-0005-0000-0000-0000E4990000}"/>
    <cellStyle name="Normal 3 6 7 3 2 2" xfId="27921" xr:uid="{00000000-0005-0000-0000-0000E5990000}"/>
    <cellStyle name="Normal 3 6 7 3 2 2 2" xfId="55054" xr:uid="{00000000-0005-0000-0000-0000E6990000}"/>
    <cellStyle name="Normal 3 6 7 3 2 3" xfId="41492" xr:uid="{00000000-0005-0000-0000-0000E7990000}"/>
    <cellStyle name="Normal 3 6 7 3 3" xfId="21140" xr:uid="{00000000-0005-0000-0000-0000E8990000}"/>
    <cellStyle name="Normal 3 6 7 3 3 2" xfId="48273" xr:uid="{00000000-0005-0000-0000-0000E9990000}"/>
    <cellStyle name="Normal 3 6 7 3 4" xfId="34711" xr:uid="{00000000-0005-0000-0000-0000EA990000}"/>
    <cellStyle name="Normal 3 6 7 4" xfId="10964" xr:uid="{00000000-0005-0000-0000-0000EB990000}"/>
    <cellStyle name="Normal 3 6 7 4 2" xfId="24532" xr:uid="{00000000-0005-0000-0000-0000EC990000}"/>
    <cellStyle name="Normal 3 6 7 4 2 2" xfId="51665" xr:uid="{00000000-0005-0000-0000-0000ED990000}"/>
    <cellStyle name="Normal 3 6 7 4 3" xfId="38103" xr:uid="{00000000-0005-0000-0000-0000EE990000}"/>
    <cellStyle name="Normal 3 6 7 5" xfId="17751" xr:uid="{00000000-0005-0000-0000-0000EF990000}"/>
    <cellStyle name="Normal 3 6 7 5 2" xfId="44884" xr:uid="{00000000-0005-0000-0000-0000F0990000}"/>
    <cellStyle name="Normal 3 6 7 6" xfId="31322" xr:uid="{00000000-0005-0000-0000-0000F1990000}"/>
    <cellStyle name="Normal 3 6 8" xfId="2752" xr:uid="{00000000-0005-0000-0000-0000F2990000}"/>
    <cellStyle name="Normal 3 6 8 2" xfId="2753" xr:uid="{00000000-0005-0000-0000-0000F3990000}"/>
    <cellStyle name="Normal 3 6 8 2 2" xfId="7566" xr:uid="{00000000-0005-0000-0000-0000F4990000}"/>
    <cellStyle name="Normal 3 6 8 2 2 2" xfId="14356" xr:uid="{00000000-0005-0000-0000-0000F5990000}"/>
    <cellStyle name="Normal 3 6 8 2 2 2 2" xfId="27924" xr:uid="{00000000-0005-0000-0000-0000F6990000}"/>
    <cellStyle name="Normal 3 6 8 2 2 2 2 2" xfId="55057" xr:uid="{00000000-0005-0000-0000-0000F7990000}"/>
    <cellStyle name="Normal 3 6 8 2 2 2 3" xfId="41495" xr:uid="{00000000-0005-0000-0000-0000F8990000}"/>
    <cellStyle name="Normal 3 6 8 2 2 3" xfId="21143" xr:uid="{00000000-0005-0000-0000-0000F9990000}"/>
    <cellStyle name="Normal 3 6 8 2 2 3 2" xfId="48276" xr:uid="{00000000-0005-0000-0000-0000FA990000}"/>
    <cellStyle name="Normal 3 6 8 2 2 4" xfId="34714" xr:uid="{00000000-0005-0000-0000-0000FB990000}"/>
    <cellStyle name="Normal 3 6 8 2 3" xfId="10967" xr:uid="{00000000-0005-0000-0000-0000FC990000}"/>
    <cellStyle name="Normal 3 6 8 2 3 2" xfId="24535" xr:uid="{00000000-0005-0000-0000-0000FD990000}"/>
    <cellStyle name="Normal 3 6 8 2 3 2 2" xfId="51668" xr:uid="{00000000-0005-0000-0000-0000FE990000}"/>
    <cellStyle name="Normal 3 6 8 2 3 3" xfId="38106" xr:uid="{00000000-0005-0000-0000-0000FF990000}"/>
    <cellStyle name="Normal 3 6 8 2 4" xfId="17754" xr:uid="{00000000-0005-0000-0000-0000009A0000}"/>
    <cellStyle name="Normal 3 6 8 2 4 2" xfId="44887" xr:uid="{00000000-0005-0000-0000-0000019A0000}"/>
    <cellStyle name="Normal 3 6 8 2 5" xfId="31325" xr:uid="{00000000-0005-0000-0000-0000029A0000}"/>
    <cellStyle name="Normal 3 6 8 3" xfId="7565" xr:uid="{00000000-0005-0000-0000-0000039A0000}"/>
    <cellStyle name="Normal 3 6 8 3 2" xfId="14355" xr:uid="{00000000-0005-0000-0000-0000049A0000}"/>
    <cellStyle name="Normal 3 6 8 3 2 2" xfId="27923" xr:uid="{00000000-0005-0000-0000-0000059A0000}"/>
    <cellStyle name="Normal 3 6 8 3 2 2 2" xfId="55056" xr:uid="{00000000-0005-0000-0000-0000069A0000}"/>
    <cellStyle name="Normal 3 6 8 3 2 3" xfId="41494" xr:uid="{00000000-0005-0000-0000-0000079A0000}"/>
    <cellStyle name="Normal 3 6 8 3 3" xfId="21142" xr:uid="{00000000-0005-0000-0000-0000089A0000}"/>
    <cellStyle name="Normal 3 6 8 3 3 2" xfId="48275" xr:uid="{00000000-0005-0000-0000-0000099A0000}"/>
    <cellStyle name="Normal 3 6 8 3 4" xfId="34713" xr:uid="{00000000-0005-0000-0000-00000A9A0000}"/>
    <cellStyle name="Normal 3 6 8 4" xfId="10966" xr:uid="{00000000-0005-0000-0000-00000B9A0000}"/>
    <cellStyle name="Normal 3 6 8 4 2" xfId="24534" xr:uid="{00000000-0005-0000-0000-00000C9A0000}"/>
    <cellStyle name="Normal 3 6 8 4 2 2" xfId="51667" xr:uid="{00000000-0005-0000-0000-00000D9A0000}"/>
    <cellStyle name="Normal 3 6 8 4 3" xfId="38105" xr:uid="{00000000-0005-0000-0000-00000E9A0000}"/>
    <cellStyle name="Normal 3 6 8 5" xfId="17753" xr:uid="{00000000-0005-0000-0000-00000F9A0000}"/>
    <cellStyle name="Normal 3 6 8 5 2" xfId="44886" xr:uid="{00000000-0005-0000-0000-0000109A0000}"/>
    <cellStyle name="Normal 3 6 8 6" xfId="31324" xr:uid="{00000000-0005-0000-0000-0000119A0000}"/>
    <cellStyle name="Normal 3 6 9" xfId="2754" xr:uid="{00000000-0005-0000-0000-0000129A0000}"/>
    <cellStyle name="Normal 3 6 9 2" xfId="7567" xr:uid="{00000000-0005-0000-0000-0000139A0000}"/>
    <cellStyle name="Normal 3 6 9 2 2" xfId="14357" xr:uid="{00000000-0005-0000-0000-0000149A0000}"/>
    <cellStyle name="Normal 3 6 9 2 2 2" xfId="27925" xr:uid="{00000000-0005-0000-0000-0000159A0000}"/>
    <cellStyle name="Normal 3 6 9 2 2 2 2" xfId="55058" xr:uid="{00000000-0005-0000-0000-0000169A0000}"/>
    <cellStyle name="Normal 3 6 9 2 2 3" xfId="41496" xr:uid="{00000000-0005-0000-0000-0000179A0000}"/>
    <cellStyle name="Normal 3 6 9 2 3" xfId="21144" xr:uid="{00000000-0005-0000-0000-0000189A0000}"/>
    <cellStyle name="Normal 3 6 9 2 3 2" xfId="48277" xr:uid="{00000000-0005-0000-0000-0000199A0000}"/>
    <cellStyle name="Normal 3 6 9 2 4" xfId="34715" xr:uid="{00000000-0005-0000-0000-00001A9A0000}"/>
    <cellStyle name="Normal 3 6 9 3" xfId="10968" xr:uid="{00000000-0005-0000-0000-00001B9A0000}"/>
    <cellStyle name="Normal 3 6 9 3 2" xfId="24536" xr:uid="{00000000-0005-0000-0000-00001C9A0000}"/>
    <cellStyle name="Normal 3 6 9 3 2 2" xfId="51669" xr:uid="{00000000-0005-0000-0000-00001D9A0000}"/>
    <cellStyle name="Normal 3 6 9 3 3" xfId="38107" xr:uid="{00000000-0005-0000-0000-00001E9A0000}"/>
    <cellStyle name="Normal 3 6 9 4" xfId="17755" xr:uid="{00000000-0005-0000-0000-00001F9A0000}"/>
    <cellStyle name="Normal 3 6 9 4 2" xfId="44888" xr:uid="{00000000-0005-0000-0000-0000209A0000}"/>
    <cellStyle name="Normal 3 6 9 5" xfId="31326" xr:uid="{00000000-0005-0000-0000-0000219A0000}"/>
    <cellStyle name="Normal 3 7" xfId="2755" xr:uid="{00000000-0005-0000-0000-0000229A0000}"/>
    <cellStyle name="Normal 3 7 10" xfId="7568" xr:uid="{00000000-0005-0000-0000-0000239A0000}"/>
    <cellStyle name="Normal 3 7 10 2" xfId="14358" xr:uid="{00000000-0005-0000-0000-0000249A0000}"/>
    <cellStyle name="Normal 3 7 10 2 2" xfId="27926" xr:uid="{00000000-0005-0000-0000-0000259A0000}"/>
    <cellStyle name="Normal 3 7 10 2 2 2" xfId="55059" xr:uid="{00000000-0005-0000-0000-0000269A0000}"/>
    <cellStyle name="Normal 3 7 10 2 3" xfId="41497" xr:uid="{00000000-0005-0000-0000-0000279A0000}"/>
    <cellStyle name="Normal 3 7 10 3" xfId="21145" xr:uid="{00000000-0005-0000-0000-0000289A0000}"/>
    <cellStyle name="Normal 3 7 10 3 2" xfId="48278" xr:uid="{00000000-0005-0000-0000-0000299A0000}"/>
    <cellStyle name="Normal 3 7 10 4" xfId="34716" xr:uid="{00000000-0005-0000-0000-00002A9A0000}"/>
    <cellStyle name="Normal 3 7 11" xfId="10969" xr:uid="{00000000-0005-0000-0000-00002B9A0000}"/>
    <cellStyle name="Normal 3 7 11 2" xfId="24537" xr:uid="{00000000-0005-0000-0000-00002C9A0000}"/>
    <cellStyle name="Normal 3 7 11 2 2" xfId="51670" xr:uid="{00000000-0005-0000-0000-00002D9A0000}"/>
    <cellStyle name="Normal 3 7 11 3" xfId="38108" xr:uid="{00000000-0005-0000-0000-00002E9A0000}"/>
    <cellStyle name="Normal 3 7 12" xfId="17756" xr:uid="{00000000-0005-0000-0000-00002F9A0000}"/>
    <cellStyle name="Normal 3 7 12 2" xfId="44889" xr:uid="{00000000-0005-0000-0000-0000309A0000}"/>
    <cellStyle name="Normal 3 7 13" xfId="31327" xr:uid="{00000000-0005-0000-0000-0000319A0000}"/>
    <cellStyle name="Normal 3 7 2" xfId="2756" xr:uid="{00000000-0005-0000-0000-0000329A0000}"/>
    <cellStyle name="Normal 3 7 2 10" xfId="31328" xr:uid="{00000000-0005-0000-0000-0000339A0000}"/>
    <cellStyle name="Normal 3 7 2 2" xfId="6151" xr:uid="{00000000-0005-0000-0000-0000349A0000}"/>
    <cellStyle name="Normal 3 7 2 2 2" xfId="6152" xr:uid="{00000000-0005-0000-0000-0000359A0000}"/>
    <cellStyle name="Normal 3 7 2 2 2 2" xfId="6153" xr:uid="{00000000-0005-0000-0000-0000369A0000}"/>
    <cellStyle name="Normal 3 7 2 2 2 2 2" xfId="9696" xr:uid="{00000000-0005-0000-0000-0000379A0000}"/>
    <cellStyle name="Normal 3 7 2 2 2 2 2 2" xfId="16486" xr:uid="{00000000-0005-0000-0000-0000389A0000}"/>
    <cellStyle name="Normal 3 7 2 2 2 2 2 2 2" xfId="30054" xr:uid="{00000000-0005-0000-0000-0000399A0000}"/>
    <cellStyle name="Normal 3 7 2 2 2 2 2 2 2 2" xfId="57187" xr:uid="{00000000-0005-0000-0000-00003A9A0000}"/>
    <cellStyle name="Normal 3 7 2 2 2 2 2 2 3" xfId="43625" xr:uid="{00000000-0005-0000-0000-00003B9A0000}"/>
    <cellStyle name="Normal 3 7 2 2 2 2 2 3" xfId="23273" xr:uid="{00000000-0005-0000-0000-00003C9A0000}"/>
    <cellStyle name="Normal 3 7 2 2 2 2 2 3 2" xfId="50406" xr:uid="{00000000-0005-0000-0000-00003D9A0000}"/>
    <cellStyle name="Normal 3 7 2 2 2 2 2 4" xfId="36844" xr:uid="{00000000-0005-0000-0000-00003E9A0000}"/>
    <cellStyle name="Normal 3 7 2 2 2 2 3" xfId="13097" xr:uid="{00000000-0005-0000-0000-00003F9A0000}"/>
    <cellStyle name="Normal 3 7 2 2 2 2 3 2" xfId="26665" xr:uid="{00000000-0005-0000-0000-0000409A0000}"/>
    <cellStyle name="Normal 3 7 2 2 2 2 3 2 2" xfId="53798" xr:uid="{00000000-0005-0000-0000-0000419A0000}"/>
    <cellStyle name="Normal 3 7 2 2 2 2 3 3" xfId="40236" xr:uid="{00000000-0005-0000-0000-0000429A0000}"/>
    <cellStyle name="Normal 3 7 2 2 2 2 4" xfId="19884" xr:uid="{00000000-0005-0000-0000-0000439A0000}"/>
    <cellStyle name="Normal 3 7 2 2 2 2 4 2" xfId="47017" xr:uid="{00000000-0005-0000-0000-0000449A0000}"/>
    <cellStyle name="Normal 3 7 2 2 2 2 5" xfId="33455" xr:uid="{00000000-0005-0000-0000-0000459A0000}"/>
    <cellStyle name="Normal 3 7 2 2 2 3" xfId="6154" xr:uid="{00000000-0005-0000-0000-0000469A0000}"/>
    <cellStyle name="Normal 3 7 2 2 2 3 2" xfId="9697" xr:uid="{00000000-0005-0000-0000-0000479A0000}"/>
    <cellStyle name="Normal 3 7 2 2 2 3 2 2" xfId="16487" xr:uid="{00000000-0005-0000-0000-0000489A0000}"/>
    <cellStyle name="Normal 3 7 2 2 2 3 2 2 2" xfId="30055" xr:uid="{00000000-0005-0000-0000-0000499A0000}"/>
    <cellStyle name="Normal 3 7 2 2 2 3 2 2 2 2" xfId="57188" xr:uid="{00000000-0005-0000-0000-00004A9A0000}"/>
    <cellStyle name="Normal 3 7 2 2 2 3 2 2 3" xfId="43626" xr:uid="{00000000-0005-0000-0000-00004B9A0000}"/>
    <cellStyle name="Normal 3 7 2 2 2 3 2 3" xfId="23274" xr:uid="{00000000-0005-0000-0000-00004C9A0000}"/>
    <cellStyle name="Normal 3 7 2 2 2 3 2 3 2" xfId="50407" xr:uid="{00000000-0005-0000-0000-00004D9A0000}"/>
    <cellStyle name="Normal 3 7 2 2 2 3 2 4" xfId="36845" xr:uid="{00000000-0005-0000-0000-00004E9A0000}"/>
    <cellStyle name="Normal 3 7 2 2 2 3 3" xfId="13098" xr:uid="{00000000-0005-0000-0000-00004F9A0000}"/>
    <cellStyle name="Normal 3 7 2 2 2 3 3 2" xfId="26666" xr:uid="{00000000-0005-0000-0000-0000509A0000}"/>
    <cellStyle name="Normal 3 7 2 2 2 3 3 2 2" xfId="53799" xr:uid="{00000000-0005-0000-0000-0000519A0000}"/>
    <cellStyle name="Normal 3 7 2 2 2 3 3 3" xfId="40237" xr:uid="{00000000-0005-0000-0000-0000529A0000}"/>
    <cellStyle name="Normal 3 7 2 2 2 3 4" xfId="19885" xr:uid="{00000000-0005-0000-0000-0000539A0000}"/>
    <cellStyle name="Normal 3 7 2 2 2 3 4 2" xfId="47018" xr:uid="{00000000-0005-0000-0000-0000549A0000}"/>
    <cellStyle name="Normal 3 7 2 2 2 3 5" xfId="33456" xr:uid="{00000000-0005-0000-0000-0000559A0000}"/>
    <cellStyle name="Normal 3 7 2 2 2 4" xfId="9695" xr:uid="{00000000-0005-0000-0000-0000569A0000}"/>
    <cellStyle name="Normal 3 7 2 2 2 4 2" xfId="16485" xr:uid="{00000000-0005-0000-0000-0000579A0000}"/>
    <cellStyle name="Normal 3 7 2 2 2 4 2 2" xfId="30053" xr:uid="{00000000-0005-0000-0000-0000589A0000}"/>
    <cellStyle name="Normal 3 7 2 2 2 4 2 2 2" xfId="57186" xr:uid="{00000000-0005-0000-0000-0000599A0000}"/>
    <cellStyle name="Normal 3 7 2 2 2 4 2 3" xfId="43624" xr:uid="{00000000-0005-0000-0000-00005A9A0000}"/>
    <cellStyle name="Normal 3 7 2 2 2 4 3" xfId="23272" xr:uid="{00000000-0005-0000-0000-00005B9A0000}"/>
    <cellStyle name="Normal 3 7 2 2 2 4 3 2" xfId="50405" xr:uid="{00000000-0005-0000-0000-00005C9A0000}"/>
    <cellStyle name="Normal 3 7 2 2 2 4 4" xfId="36843" xr:uid="{00000000-0005-0000-0000-00005D9A0000}"/>
    <cellStyle name="Normal 3 7 2 2 2 5" xfId="13096" xr:uid="{00000000-0005-0000-0000-00005E9A0000}"/>
    <cellStyle name="Normal 3 7 2 2 2 5 2" xfId="26664" xr:uid="{00000000-0005-0000-0000-00005F9A0000}"/>
    <cellStyle name="Normal 3 7 2 2 2 5 2 2" xfId="53797" xr:uid="{00000000-0005-0000-0000-0000609A0000}"/>
    <cellStyle name="Normal 3 7 2 2 2 5 3" xfId="40235" xr:uid="{00000000-0005-0000-0000-0000619A0000}"/>
    <cellStyle name="Normal 3 7 2 2 2 6" xfId="19883" xr:uid="{00000000-0005-0000-0000-0000629A0000}"/>
    <cellStyle name="Normal 3 7 2 2 2 6 2" xfId="47016" xr:uid="{00000000-0005-0000-0000-0000639A0000}"/>
    <cellStyle name="Normal 3 7 2 2 2 7" xfId="33454" xr:uid="{00000000-0005-0000-0000-0000649A0000}"/>
    <cellStyle name="Normal 3 7 2 2 3" xfId="6155" xr:uid="{00000000-0005-0000-0000-0000659A0000}"/>
    <cellStyle name="Normal 3 7 2 2 3 2" xfId="6156" xr:uid="{00000000-0005-0000-0000-0000669A0000}"/>
    <cellStyle name="Normal 3 7 2 2 3 2 2" xfId="9699" xr:uid="{00000000-0005-0000-0000-0000679A0000}"/>
    <cellStyle name="Normal 3 7 2 2 3 2 2 2" xfId="16489" xr:uid="{00000000-0005-0000-0000-0000689A0000}"/>
    <cellStyle name="Normal 3 7 2 2 3 2 2 2 2" xfId="30057" xr:uid="{00000000-0005-0000-0000-0000699A0000}"/>
    <cellStyle name="Normal 3 7 2 2 3 2 2 2 2 2" xfId="57190" xr:uid="{00000000-0005-0000-0000-00006A9A0000}"/>
    <cellStyle name="Normal 3 7 2 2 3 2 2 2 3" xfId="43628" xr:uid="{00000000-0005-0000-0000-00006B9A0000}"/>
    <cellStyle name="Normal 3 7 2 2 3 2 2 3" xfId="23276" xr:uid="{00000000-0005-0000-0000-00006C9A0000}"/>
    <cellStyle name="Normal 3 7 2 2 3 2 2 3 2" xfId="50409" xr:uid="{00000000-0005-0000-0000-00006D9A0000}"/>
    <cellStyle name="Normal 3 7 2 2 3 2 2 4" xfId="36847" xr:uid="{00000000-0005-0000-0000-00006E9A0000}"/>
    <cellStyle name="Normal 3 7 2 2 3 2 3" xfId="13100" xr:uid="{00000000-0005-0000-0000-00006F9A0000}"/>
    <cellStyle name="Normal 3 7 2 2 3 2 3 2" xfId="26668" xr:uid="{00000000-0005-0000-0000-0000709A0000}"/>
    <cellStyle name="Normal 3 7 2 2 3 2 3 2 2" xfId="53801" xr:uid="{00000000-0005-0000-0000-0000719A0000}"/>
    <cellStyle name="Normal 3 7 2 2 3 2 3 3" xfId="40239" xr:uid="{00000000-0005-0000-0000-0000729A0000}"/>
    <cellStyle name="Normal 3 7 2 2 3 2 4" xfId="19887" xr:uid="{00000000-0005-0000-0000-0000739A0000}"/>
    <cellStyle name="Normal 3 7 2 2 3 2 4 2" xfId="47020" xr:uid="{00000000-0005-0000-0000-0000749A0000}"/>
    <cellStyle name="Normal 3 7 2 2 3 2 5" xfId="33458" xr:uid="{00000000-0005-0000-0000-0000759A0000}"/>
    <cellStyle name="Normal 3 7 2 2 3 3" xfId="9698" xr:uid="{00000000-0005-0000-0000-0000769A0000}"/>
    <cellStyle name="Normal 3 7 2 2 3 3 2" xfId="16488" xr:uid="{00000000-0005-0000-0000-0000779A0000}"/>
    <cellStyle name="Normal 3 7 2 2 3 3 2 2" xfId="30056" xr:uid="{00000000-0005-0000-0000-0000789A0000}"/>
    <cellStyle name="Normal 3 7 2 2 3 3 2 2 2" xfId="57189" xr:uid="{00000000-0005-0000-0000-0000799A0000}"/>
    <cellStyle name="Normal 3 7 2 2 3 3 2 3" xfId="43627" xr:uid="{00000000-0005-0000-0000-00007A9A0000}"/>
    <cellStyle name="Normal 3 7 2 2 3 3 3" xfId="23275" xr:uid="{00000000-0005-0000-0000-00007B9A0000}"/>
    <cellStyle name="Normal 3 7 2 2 3 3 3 2" xfId="50408" xr:uid="{00000000-0005-0000-0000-00007C9A0000}"/>
    <cellStyle name="Normal 3 7 2 2 3 3 4" xfId="36846" xr:uid="{00000000-0005-0000-0000-00007D9A0000}"/>
    <cellStyle name="Normal 3 7 2 2 3 4" xfId="13099" xr:uid="{00000000-0005-0000-0000-00007E9A0000}"/>
    <cellStyle name="Normal 3 7 2 2 3 4 2" xfId="26667" xr:uid="{00000000-0005-0000-0000-00007F9A0000}"/>
    <cellStyle name="Normal 3 7 2 2 3 4 2 2" xfId="53800" xr:uid="{00000000-0005-0000-0000-0000809A0000}"/>
    <cellStyle name="Normal 3 7 2 2 3 4 3" xfId="40238" xr:uid="{00000000-0005-0000-0000-0000819A0000}"/>
    <cellStyle name="Normal 3 7 2 2 3 5" xfId="19886" xr:uid="{00000000-0005-0000-0000-0000829A0000}"/>
    <cellStyle name="Normal 3 7 2 2 3 5 2" xfId="47019" xr:uid="{00000000-0005-0000-0000-0000839A0000}"/>
    <cellStyle name="Normal 3 7 2 2 3 6" xfId="33457" xr:uid="{00000000-0005-0000-0000-0000849A0000}"/>
    <cellStyle name="Normal 3 7 2 2 4" xfId="6157" xr:uid="{00000000-0005-0000-0000-0000859A0000}"/>
    <cellStyle name="Normal 3 7 2 2 4 2" xfId="9700" xr:uid="{00000000-0005-0000-0000-0000869A0000}"/>
    <cellStyle name="Normal 3 7 2 2 4 2 2" xfId="16490" xr:uid="{00000000-0005-0000-0000-0000879A0000}"/>
    <cellStyle name="Normal 3 7 2 2 4 2 2 2" xfId="30058" xr:uid="{00000000-0005-0000-0000-0000889A0000}"/>
    <cellStyle name="Normal 3 7 2 2 4 2 2 2 2" xfId="57191" xr:uid="{00000000-0005-0000-0000-0000899A0000}"/>
    <cellStyle name="Normal 3 7 2 2 4 2 2 3" xfId="43629" xr:uid="{00000000-0005-0000-0000-00008A9A0000}"/>
    <cellStyle name="Normal 3 7 2 2 4 2 3" xfId="23277" xr:uid="{00000000-0005-0000-0000-00008B9A0000}"/>
    <cellStyle name="Normal 3 7 2 2 4 2 3 2" xfId="50410" xr:uid="{00000000-0005-0000-0000-00008C9A0000}"/>
    <cellStyle name="Normal 3 7 2 2 4 2 4" xfId="36848" xr:uid="{00000000-0005-0000-0000-00008D9A0000}"/>
    <cellStyle name="Normal 3 7 2 2 4 3" xfId="13101" xr:uid="{00000000-0005-0000-0000-00008E9A0000}"/>
    <cellStyle name="Normal 3 7 2 2 4 3 2" xfId="26669" xr:uid="{00000000-0005-0000-0000-00008F9A0000}"/>
    <cellStyle name="Normal 3 7 2 2 4 3 2 2" xfId="53802" xr:uid="{00000000-0005-0000-0000-0000909A0000}"/>
    <cellStyle name="Normal 3 7 2 2 4 3 3" xfId="40240" xr:uid="{00000000-0005-0000-0000-0000919A0000}"/>
    <cellStyle name="Normal 3 7 2 2 4 4" xfId="19888" xr:uid="{00000000-0005-0000-0000-0000929A0000}"/>
    <cellStyle name="Normal 3 7 2 2 4 4 2" xfId="47021" xr:uid="{00000000-0005-0000-0000-0000939A0000}"/>
    <cellStyle name="Normal 3 7 2 2 4 5" xfId="33459" xr:uid="{00000000-0005-0000-0000-0000949A0000}"/>
    <cellStyle name="Normal 3 7 2 2 5" xfId="6158" xr:uid="{00000000-0005-0000-0000-0000959A0000}"/>
    <cellStyle name="Normal 3 7 2 2 5 2" xfId="9701" xr:uid="{00000000-0005-0000-0000-0000969A0000}"/>
    <cellStyle name="Normal 3 7 2 2 5 2 2" xfId="16491" xr:uid="{00000000-0005-0000-0000-0000979A0000}"/>
    <cellStyle name="Normal 3 7 2 2 5 2 2 2" xfId="30059" xr:uid="{00000000-0005-0000-0000-0000989A0000}"/>
    <cellStyle name="Normal 3 7 2 2 5 2 2 2 2" xfId="57192" xr:uid="{00000000-0005-0000-0000-0000999A0000}"/>
    <cellStyle name="Normal 3 7 2 2 5 2 2 3" xfId="43630" xr:uid="{00000000-0005-0000-0000-00009A9A0000}"/>
    <cellStyle name="Normal 3 7 2 2 5 2 3" xfId="23278" xr:uid="{00000000-0005-0000-0000-00009B9A0000}"/>
    <cellStyle name="Normal 3 7 2 2 5 2 3 2" xfId="50411" xr:uid="{00000000-0005-0000-0000-00009C9A0000}"/>
    <cellStyle name="Normal 3 7 2 2 5 2 4" xfId="36849" xr:uid="{00000000-0005-0000-0000-00009D9A0000}"/>
    <cellStyle name="Normal 3 7 2 2 5 3" xfId="13102" xr:uid="{00000000-0005-0000-0000-00009E9A0000}"/>
    <cellStyle name="Normal 3 7 2 2 5 3 2" xfId="26670" xr:uid="{00000000-0005-0000-0000-00009F9A0000}"/>
    <cellStyle name="Normal 3 7 2 2 5 3 2 2" xfId="53803" xr:uid="{00000000-0005-0000-0000-0000A09A0000}"/>
    <cellStyle name="Normal 3 7 2 2 5 3 3" xfId="40241" xr:uid="{00000000-0005-0000-0000-0000A19A0000}"/>
    <cellStyle name="Normal 3 7 2 2 5 4" xfId="19889" xr:uid="{00000000-0005-0000-0000-0000A29A0000}"/>
    <cellStyle name="Normal 3 7 2 2 5 4 2" xfId="47022" xr:uid="{00000000-0005-0000-0000-0000A39A0000}"/>
    <cellStyle name="Normal 3 7 2 2 5 5" xfId="33460" xr:uid="{00000000-0005-0000-0000-0000A49A0000}"/>
    <cellStyle name="Normal 3 7 2 2 6" xfId="9694" xr:uid="{00000000-0005-0000-0000-0000A59A0000}"/>
    <cellStyle name="Normal 3 7 2 2 6 2" xfId="16484" xr:uid="{00000000-0005-0000-0000-0000A69A0000}"/>
    <cellStyle name="Normal 3 7 2 2 6 2 2" xfId="30052" xr:uid="{00000000-0005-0000-0000-0000A79A0000}"/>
    <cellStyle name="Normal 3 7 2 2 6 2 2 2" xfId="57185" xr:uid="{00000000-0005-0000-0000-0000A89A0000}"/>
    <cellStyle name="Normal 3 7 2 2 6 2 3" xfId="43623" xr:uid="{00000000-0005-0000-0000-0000A99A0000}"/>
    <cellStyle name="Normal 3 7 2 2 6 3" xfId="23271" xr:uid="{00000000-0005-0000-0000-0000AA9A0000}"/>
    <cellStyle name="Normal 3 7 2 2 6 3 2" xfId="50404" xr:uid="{00000000-0005-0000-0000-0000AB9A0000}"/>
    <cellStyle name="Normal 3 7 2 2 6 4" xfId="36842" xr:uid="{00000000-0005-0000-0000-0000AC9A0000}"/>
    <cellStyle name="Normal 3 7 2 2 7" xfId="13095" xr:uid="{00000000-0005-0000-0000-0000AD9A0000}"/>
    <cellStyle name="Normal 3 7 2 2 7 2" xfId="26663" xr:uid="{00000000-0005-0000-0000-0000AE9A0000}"/>
    <cellStyle name="Normal 3 7 2 2 7 2 2" xfId="53796" xr:uid="{00000000-0005-0000-0000-0000AF9A0000}"/>
    <cellStyle name="Normal 3 7 2 2 7 3" xfId="40234" xr:uid="{00000000-0005-0000-0000-0000B09A0000}"/>
    <cellStyle name="Normal 3 7 2 2 8" xfId="19882" xr:uid="{00000000-0005-0000-0000-0000B19A0000}"/>
    <cellStyle name="Normal 3 7 2 2 8 2" xfId="47015" xr:uid="{00000000-0005-0000-0000-0000B29A0000}"/>
    <cellStyle name="Normal 3 7 2 2 9" xfId="33453" xr:uid="{00000000-0005-0000-0000-0000B39A0000}"/>
    <cellStyle name="Normal 3 7 2 3" xfId="6159" xr:uid="{00000000-0005-0000-0000-0000B49A0000}"/>
    <cellStyle name="Normal 3 7 2 3 2" xfId="6160" xr:uid="{00000000-0005-0000-0000-0000B59A0000}"/>
    <cellStyle name="Normal 3 7 2 3 2 2" xfId="9703" xr:uid="{00000000-0005-0000-0000-0000B69A0000}"/>
    <cellStyle name="Normal 3 7 2 3 2 2 2" xfId="16493" xr:uid="{00000000-0005-0000-0000-0000B79A0000}"/>
    <cellStyle name="Normal 3 7 2 3 2 2 2 2" xfId="30061" xr:uid="{00000000-0005-0000-0000-0000B89A0000}"/>
    <cellStyle name="Normal 3 7 2 3 2 2 2 2 2" xfId="57194" xr:uid="{00000000-0005-0000-0000-0000B99A0000}"/>
    <cellStyle name="Normal 3 7 2 3 2 2 2 3" xfId="43632" xr:uid="{00000000-0005-0000-0000-0000BA9A0000}"/>
    <cellStyle name="Normal 3 7 2 3 2 2 3" xfId="23280" xr:uid="{00000000-0005-0000-0000-0000BB9A0000}"/>
    <cellStyle name="Normal 3 7 2 3 2 2 3 2" xfId="50413" xr:uid="{00000000-0005-0000-0000-0000BC9A0000}"/>
    <cellStyle name="Normal 3 7 2 3 2 2 4" xfId="36851" xr:uid="{00000000-0005-0000-0000-0000BD9A0000}"/>
    <cellStyle name="Normal 3 7 2 3 2 3" xfId="13104" xr:uid="{00000000-0005-0000-0000-0000BE9A0000}"/>
    <cellStyle name="Normal 3 7 2 3 2 3 2" xfId="26672" xr:uid="{00000000-0005-0000-0000-0000BF9A0000}"/>
    <cellStyle name="Normal 3 7 2 3 2 3 2 2" xfId="53805" xr:uid="{00000000-0005-0000-0000-0000C09A0000}"/>
    <cellStyle name="Normal 3 7 2 3 2 3 3" xfId="40243" xr:uid="{00000000-0005-0000-0000-0000C19A0000}"/>
    <cellStyle name="Normal 3 7 2 3 2 4" xfId="19891" xr:uid="{00000000-0005-0000-0000-0000C29A0000}"/>
    <cellStyle name="Normal 3 7 2 3 2 4 2" xfId="47024" xr:uid="{00000000-0005-0000-0000-0000C39A0000}"/>
    <cellStyle name="Normal 3 7 2 3 2 5" xfId="33462" xr:uid="{00000000-0005-0000-0000-0000C49A0000}"/>
    <cellStyle name="Normal 3 7 2 3 3" xfId="6161" xr:uid="{00000000-0005-0000-0000-0000C59A0000}"/>
    <cellStyle name="Normal 3 7 2 3 3 2" xfId="9704" xr:uid="{00000000-0005-0000-0000-0000C69A0000}"/>
    <cellStyle name="Normal 3 7 2 3 3 2 2" xfId="16494" xr:uid="{00000000-0005-0000-0000-0000C79A0000}"/>
    <cellStyle name="Normal 3 7 2 3 3 2 2 2" xfId="30062" xr:uid="{00000000-0005-0000-0000-0000C89A0000}"/>
    <cellStyle name="Normal 3 7 2 3 3 2 2 2 2" xfId="57195" xr:uid="{00000000-0005-0000-0000-0000C99A0000}"/>
    <cellStyle name="Normal 3 7 2 3 3 2 2 3" xfId="43633" xr:uid="{00000000-0005-0000-0000-0000CA9A0000}"/>
    <cellStyle name="Normal 3 7 2 3 3 2 3" xfId="23281" xr:uid="{00000000-0005-0000-0000-0000CB9A0000}"/>
    <cellStyle name="Normal 3 7 2 3 3 2 3 2" xfId="50414" xr:uid="{00000000-0005-0000-0000-0000CC9A0000}"/>
    <cellStyle name="Normal 3 7 2 3 3 2 4" xfId="36852" xr:uid="{00000000-0005-0000-0000-0000CD9A0000}"/>
    <cellStyle name="Normal 3 7 2 3 3 3" xfId="13105" xr:uid="{00000000-0005-0000-0000-0000CE9A0000}"/>
    <cellStyle name="Normal 3 7 2 3 3 3 2" xfId="26673" xr:uid="{00000000-0005-0000-0000-0000CF9A0000}"/>
    <cellStyle name="Normal 3 7 2 3 3 3 2 2" xfId="53806" xr:uid="{00000000-0005-0000-0000-0000D09A0000}"/>
    <cellStyle name="Normal 3 7 2 3 3 3 3" xfId="40244" xr:uid="{00000000-0005-0000-0000-0000D19A0000}"/>
    <cellStyle name="Normal 3 7 2 3 3 4" xfId="19892" xr:uid="{00000000-0005-0000-0000-0000D29A0000}"/>
    <cellStyle name="Normal 3 7 2 3 3 4 2" xfId="47025" xr:uid="{00000000-0005-0000-0000-0000D39A0000}"/>
    <cellStyle name="Normal 3 7 2 3 3 5" xfId="33463" xr:uid="{00000000-0005-0000-0000-0000D49A0000}"/>
    <cellStyle name="Normal 3 7 2 3 4" xfId="9702" xr:uid="{00000000-0005-0000-0000-0000D59A0000}"/>
    <cellStyle name="Normal 3 7 2 3 4 2" xfId="16492" xr:uid="{00000000-0005-0000-0000-0000D69A0000}"/>
    <cellStyle name="Normal 3 7 2 3 4 2 2" xfId="30060" xr:uid="{00000000-0005-0000-0000-0000D79A0000}"/>
    <cellStyle name="Normal 3 7 2 3 4 2 2 2" xfId="57193" xr:uid="{00000000-0005-0000-0000-0000D89A0000}"/>
    <cellStyle name="Normal 3 7 2 3 4 2 3" xfId="43631" xr:uid="{00000000-0005-0000-0000-0000D99A0000}"/>
    <cellStyle name="Normal 3 7 2 3 4 3" xfId="23279" xr:uid="{00000000-0005-0000-0000-0000DA9A0000}"/>
    <cellStyle name="Normal 3 7 2 3 4 3 2" xfId="50412" xr:uid="{00000000-0005-0000-0000-0000DB9A0000}"/>
    <cellStyle name="Normal 3 7 2 3 4 4" xfId="36850" xr:uid="{00000000-0005-0000-0000-0000DC9A0000}"/>
    <cellStyle name="Normal 3 7 2 3 5" xfId="13103" xr:uid="{00000000-0005-0000-0000-0000DD9A0000}"/>
    <cellStyle name="Normal 3 7 2 3 5 2" xfId="26671" xr:uid="{00000000-0005-0000-0000-0000DE9A0000}"/>
    <cellStyle name="Normal 3 7 2 3 5 2 2" xfId="53804" xr:uid="{00000000-0005-0000-0000-0000DF9A0000}"/>
    <cellStyle name="Normal 3 7 2 3 5 3" xfId="40242" xr:uid="{00000000-0005-0000-0000-0000E09A0000}"/>
    <cellStyle name="Normal 3 7 2 3 6" xfId="19890" xr:uid="{00000000-0005-0000-0000-0000E19A0000}"/>
    <cellStyle name="Normal 3 7 2 3 6 2" xfId="47023" xr:uid="{00000000-0005-0000-0000-0000E29A0000}"/>
    <cellStyle name="Normal 3 7 2 3 7" xfId="33461" xr:uid="{00000000-0005-0000-0000-0000E39A0000}"/>
    <cellStyle name="Normal 3 7 2 4" xfId="6162" xr:uid="{00000000-0005-0000-0000-0000E49A0000}"/>
    <cellStyle name="Normal 3 7 2 4 2" xfId="6163" xr:uid="{00000000-0005-0000-0000-0000E59A0000}"/>
    <cellStyle name="Normal 3 7 2 4 2 2" xfId="9706" xr:uid="{00000000-0005-0000-0000-0000E69A0000}"/>
    <cellStyle name="Normal 3 7 2 4 2 2 2" xfId="16496" xr:uid="{00000000-0005-0000-0000-0000E79A0000}"/>
    <cellStyle name="Normal 3 7 2 4 2 2 2 2" xfId="30064" xr:uid="{00000000-0005-0000-0000-0000E89A0000}"/>
    <cellStyle name="Normal 3 7 2 4 2 2 2 2 2" xfId="57197" xr:uid="{00000000-0005-0000-0000-0000E99A0000}"/>
    <cellStyle name="Normal 3 7 2 4 2 2 2 3" xfId="43635" xr:uid="{00000000-0005-0000-0000-0000EA9A0000}"/>
    <cellStyle name="Normal 3 7 2 4 2 2 3" xfId="23283" xr:uid="{00000000-0005-0000-0000-0000EB9A0000}"/>
    <cellStyle name="Normal 3 7 2 4 2 2 3 2" xfId="50416" xr:uid="{00000000-0005-0000-0000-0000EC9A0000}"/>
    <cellStyle name="Normal 3 7 2 4 2 2 4" xfId="36854" xr:uid="{00000000-0005-0000-0000-0000ED9A0000}"/>
    <cellStyle name="Normal 3 7 2 4 2 3" xfId="13107" xr:uid="{00000000-0005-0000-0000-0000EE9A0000}"/>
    <cellStyle name="Normal 3 7 2 4 2 3 2" xfId="26675" xr:uid="{00000000-0005-0000-0000-0000EF9A0000}"/>
    <cellStyle name="Normal 3 7 2 4 2 3 2 2" xfId="53808" xr:uid="{00000000-0005-0000-0000-0000F09A0000}"/>
    <cellStyle name="Normal 3 7 2 4 2 3 3" xfId="40246" xr:uid="{00000000-0005-0000-0000-0000F19A0000}"/>
    <cellStyle name="Normal 3 7 2 4 2 4" xfId="19894" xr:uid="{00000000-0005-0000-0000-0000F29A0000}"/>
    <cellStyle name="Normal 3 7 2 4 2 4 2" xfId="47027" xr:uid="{00000000-0005-0000-0000-0000F39A0000}"/>
    <cellStyle name="Normal 3 7 2 4 2 5" xfId="33465" xr:uid="{00000000-0005-0000-0000-0000F49A0000}"/>
    <cellStyle name="Normal 3 7 2 4 3" xfId="9705" xr:uid="{00000000-0005-0000-0000-0000F59A0000}"/>
    <cellStyle name="Normal 3 7 2 4 3 2" xfId="16495" xr:uid="{00000000-0005-0000-0000-0000F69A0000}"/>
    <cellStyle name="Normal 3 7 2 4 3 2 2" xfId="30063" xr:uid="{00000000-0005-0000-0000-0000F79A0000}"/>
    <cellStyle name="Normal 3 7 2 4 3 2 2 2" xfId="57196" xr:uid="{00000000-0005-0000-0000-0000F89A0000}"/>
    <cellStyle name="Normal 3 7 2 4 3 2 3" xfId="43634" xr:uid="{00000000-0005-0000-0000-0000F99A0000}"/>
    <cellStyle name="Normal 3 7 2 4 3 3" xfId="23282" xr:uid="{00000000-0005-0000-0000-0000FA9A0000}"/>
    <cellStyle name="Normal 3 7 2 4 3 3 2" xfId="50415" xr:uid="{00000000-0005-0000-0000-0000FB9A0000}"/>
    <cellStyle name="Normal 3 7 2 4 3 4" xfId="36853" xr:uid="{00000000-0005-0000-0000-0000FC9A0000}"/>
    <cellStyle name="Normal 3 7 2 4 4" xfId="13106" xr:uid="{00000000-0005-0000-0000-0000FD9A0000}"/>
    <cellStyle name="Normal 3 7 2 4 4 2" xfId="26674" xr:uid="{00000000-0005-0000-0000-0000FE9A0000}"/>
    <cellStyle name="Normal 3 7 2 4 4 2 2" xfId="53807" xr:uid="{00000000-0005-0000-0000-0000FF9A0000}"/>
    <cellStyle name="Normal 3 7 2 4 4 3" xfId="40245" xr:uid="{00000000-0005-0000-0000-0000009B0000}"/>
    <cellStyle name="Normal 3 7 2 4 5" xfId="19893" xr:uid="{00000000-0005-0000-0000-0000019B0000}"/>
    <cellStyle name="Normal 3 7 2 4 5 2" xfId="47026" xr:uid="{00000000-0005-0000-0000-0000029B0000}"/>
    <cellStyle name="Normal 3 7 2 4 6" xfId="33464" xr:uid="{00000000-0005-0000-0000-0000039B0000}"/>
    <cellStyle name="Normal 3 7 2 5" xfId="6164" xr:uid="{00000000-0005-0000-0000-0000049B0000}"/>
    <cellStyle name="Normal 3 7 2 5 2" xfId="9707" xr:uid="{00000000-0005-0000-0000-0000059B0000}"/>
    <cellStyle name="Normal 3 7 2 5 2 2" xfId="16497" xr:uid="{00000000-0005-0000-0000-0000069B0000}"/>
    <cellStyle name="Normal 3 7 2 5 2 2 2" xfId="30065" xr:uid="{00000000-0005-0000-0000-0000079B0000}"/>
    <cellStyle name="Normal 3 7 2 5 2 2 2 2" xfId="57198" xr:uid="{00000000-0005-0000-0000-0000089B0000}"/>
    <cellStyle name="Normal 3 7 2 5 2 2 3" xfId="43636" xr:uid="{00000000-0005-0000-0000-0000099B0000}"/>
    <cellStyle name="Normal 3 7 2 5 2 3" xfId="23284" xr:uid="{00000000-0005-0000-0000-00000A9B0000}"/>
    <cellStyle name="Normal 3 7 2 5 2 3 2" xfId="50417" xr:uid="{00000000-0005-0000-0000-00000B9B0000}"/>
    <cellStyle name="Normal 3 7 2 5 2 4" xfId="36855" xr:uid="{00000000-0005-0000-0000-00000C9B0000}"/>
    <cellStyle name="Normal 3 7 2 5 3" xfId="13108" xr:uid="{00000000-0005-0000-0000-00000D9B0000}"/>
    <cellStyle name="Normal 3 7 2 5 3 2" xfId="26676" xr:uid="{00000000-0005-0000-0000-00000E9B0000}"/>
    <cellStyle name="Normal 3 7 2 5 3 2 2" xfId="53809" xr:uid="{00000000-0005-0000-0000-00000F9B0000}"/>
    <cellStyle name="Normal 3 7 2 5 3 3" xfId="40247" xr:uid="{00000000-0005-0000-0000-0000109B0000}"/>
    <cellStyle name="Normal 3 7 2 5 4" xfId="19895" xr:uid="{00000000-0005-0000-0000-0000119B0000}"/>
    <cellStyle name="Normal 3 7 2 5 4 2" xfId="47028" xr:uid="{00000000-0005-0000-0000-0000129B0000}"/>
    <cellStyle name="Normal 3 7 2 5 5" xfId="33466" xr:uid="{00000000-0005-0000-0000-0000139B0000}"/>
    <cellStyle name="Normal 3 7 2 6" xfId="6165" xr:uid="{00000000-0005-0000-0000-0000149B0000}"/>
    <cellStyle name="Normal 3 7 2 6 2" xfId="9708" xr:uid="{00000000-0005-0000-0000-0000159B0000}"/>
    <cellStyle name="Normal 3 7 2 6 2 2" xfId="16498" xr:uid="{00000000-0005-0000-0000-0000169B0000}"/>
    <cellStyle name="Normal 3 7 2 6 2 2 2" xfId="30066" xr:uid="{00000000-0005-0000-0000-0000179B0000}"/>
    <cellStyle name="Normal 3 7 2 6 2 2 2 2" xfId="57199" xr:uid="{00000000-0005-0000-0000-0000189B0000}"/>
    <cellStyle name="Normal 3 7 2 6 2 2 3" xfId="43637" xr:uid="{00000000-0005-0000-0000-0000199B0000}"/>
    <cellStyle name="Normal 3 7 2 6 2 3" xfId="23285" xr:uid="{00000000-0005-0000-0000-00001A9B0000}"/>
    <cellStyle name="Normal 3 7 2 6 2 3 2" xfId="50418" xr:uid="{00000000-0005-0000-0000-00001B9B0000}"/>
    <cellStyle name="Normal 3 7 2 6 2 4" xfId="36856" xr:uid="{00000000-0005-0000-0000-00001C9B0000}"/>
    <cellStyle name="Normal 3 7 2 6 3" xfId="13109" xr:uid="{00000000-0005-0000-0000-00001D9B0000}"/>
    <cellStyle name="Normal 3 7 2 6 3 2" xfId="26677" xr:uid="{00000000-0005-0000-0000-00001E9B0000}"/>
    <cellStyle name="Normal 3 7 2 6 3 2 2" xfId="53810" xr:uid="{00000000-0005-0000-0000-00001F9B0000}"/>
    <cellStyle name="Normal 3 7 2 6 3 3" xfId="40248" xr:uid="{00000000-0005-0000-0000-0000209B0000}"/>
    <cellStyle name="Normal 3 7 2 6 4" xfId="19896" xr:uid="{00000000-0005-0000-0000-0000219B0000}"/>
    <cellStyle name="Normal 3 7 2 6 4 2" xfId="47029" xr:uid="{00000000-0005-0000-0000-0000229B0000}"/>
    <cellStyle name="Normal 3 7 2 6 5" xfId="33467" xr:uid="{00000000-0005-0000-0000-0000239B0000}"/>
    <cellStyle name="Normal 3 7 2 7" xfId="7569" xr:uid="{00000000-0005-0000-0000-0000249B0000}"/>
    <cellStyle name="Normal 3 7 2 7 2" xfId="14359" xr:uid="{00000000-0005-0000-0000-0000259B0000}"/>
    <cellStyle name="Normal 3 7 2 7 2 2" xfId="27927" xr:uid="{00000000-0005-0000-0000-0000269B0000}"/>
    <cellStyle name="Normal 3 7 2 7 2 2 2" xfId="55060" xr:uid="{00000000-0005-0000-0000-0000279B0000}"/>
    <cellStyle name="Normal 3 7 2 7 2 3" xfId="41498" xr:uid="{00000000-0005-0000-0000-0000289B0000}"/>
    <cellStyle name="Normal 3 7 2 7 3" xfId="21146" xr:uid="{00000000-0005-0000-0000-0000299B0000}"/>
    <cellStyle name="Normal 3 7 2 7 3 2" xfId="48279" xr:uid="{00000000-0005-0000-0000-00002A9B0000}"/>
    <cellStyle name="Normal 3 7 2 7 4" xfId="34717" xr:uid="{00000000-0005-0000-0000-00002B9B0000}"/>
    <cellStyle name="Normal 3 7 2 8" xfId="10970" xr:uid="{00000000-0005-0000-0000-00002C9B0000}"/>
    <cellStyle name="Normal 3 7 2 8 2" xfId="24538" xr:uid="{00000000-0005-0000-0000-00002D9B0000}"/>
    <cellStyle name="Normal 3 7 2 8 2 2" xfId="51671" xr:uid="{00000000-0005-0000-0000-00002E9B0000}"/>
    <cellStyle name="Normal 3 7 2 8 3" xfId="38109" xr:uid="{00000000-0005-0000-0000-00002F9B0000}"/>
    <cellStyle name="Normal 3 7 2 9" xfId="17757" xr:uid="{00000000-0005-0000-0000-0000309B0000}"/>
    <cellStyle name="Normal 3 7 2 9 2" xfId="44890" xr:uid="{00000000-0005-0000-0000-0000319B0000}"/>
    <cellStyle name="Normal 3 7 3" xfId="6166" xr:uid="{00000000-0005-0000-0000-0000329B0000}"/>
    <cellStyle name="Normal 3 7 3 2" xfId="6167" xr:uid="{00000000-0005-0000-0000-0000339B0000}"/>
    <cellStyle name="Normal 3 7 3 2 2" xfId="6168" xr:uid="{00000000-0005-0000-0000-0000349B0000}"/>
    <cellStyle name="Normal 3 7 3 2 2 2" xfId="9711" xr:uid="{00000000-0005-0000-0000-0000359B0000}"/>
    <cellStyle name="Normal 3 7 3 2 2 2 2" xfId="16501" xr:uid="{00000000-0005-0000-0000-0000369B0000}"/>
    <cellStyle name="Normal 3 7 3 2 2 2 2 2" xfId="30069" xr:uid="{00000000-0005-0000-0000-0000379B0000}"/>
    <cellStyle name="Normal 3 7 3 2 2 2 2 2 2" xfId="57202" xr:uid="{00000000-0005-0000-0000-0000389B0000}"/>
    <cellStyle name="Normal 3 7 3 2 2 2 2 3" xfId="43640" xr:uid="{00000000-0005-0000-0000-0000399B0000}"/>
    <cellStyle name="Normal 3 7 3 2 2 2 3" xfId="23288" xr:uid="{00000000-0005-0000-0000-00003A9B0000}"/>
    <cellStyle name="Normal 3 7 3 2 2 2 3 2" xfId="50421" xr:uid="{00000000-0005-0000-0000-00003B9B0000}"/>
    <cellStyle name="Normal 3 7 3 2 2 2 4" xfId="36859" xr:uid="{00000000-0005-0000-0000-00003C9B0000}"/>
    <cellStyle name="Normal 3 7 3 2 2 3" xfId="13112" xr:uid="{00000000-0005-0000-0000-00003D9B0000}"/>
    <cellStyle name="Normal 3 7 3 2 2 3 2" xfId="26680" xr:uid="{00000000-0005-0000-0000-00003E9B0000}"/>
    <cellStyle name="Normal 3 7 3 2 2 3 2 2" xfId="53813" xr:uid="{00000000-0005-0000-0000-00003F9B0000}"/>
    <cellStyle name="Normal 3 7 3 2 2 3 3" xfId="40251" xr:uid="{00000000-0005-0000-0000-0000409B0000}"/>
    <cellStyle name="Normal 3 7 3 2 2 4" xfId="19899" xr:uid="{00000000-0005-0000-0000-0000419B0000}"/>
    <cellStyle name="Normal 3 7 3 2 2 4 2" xfId="47032" xr:uid="{00000000-0005-0000-0000-0000429B0000}"/>
    <cellStyle name="Normal 3 7 3 2 2 5" xfId="33470" xr:uid="{00000000-0005-0000-0000-0000439B0000}"/>
    <cellStyle name="Normal 3 7 3 2 3" xfId="6169" xr:uid="{00000000-0005-0000-0000-0000449B0000}"/>
    <cellStyle name="Normal 3 7 3 2 3 2" xfId="9712" xr:uid="{00000000-0005-0000-0000-0000459B0000}"/>
    <cellStyle name="Normal 3 7 3 2 3 2 2" xfId="16502" xr:uid="{00000000-0005-0000-0000-0000469B0000}"/>
    <cellStyle name="Normal 3 7 3 2 3 2 2 2" xfId="30070" xr:uid="{00000000-0005-0000-0000-0000479B0000}"/>
    <cellStyle name="Normal 3 7 3 2 3 2 2 2 2" xfId="57203" xr:uid="{00000000-0005-0000-0000-0000489B0000}"/>
    <cellStyle name="Normal 3 7 3 2 3 2 2 3" xfId="43641" xr:uid="{00000000-0005-0000-0000-0000499B0000}"/>
    <cellStyle name="Normal 3 7 3 2 3 2 3" xfId="23289" xr:uid="{00000000-0005-0000-0000-00004A9B0000}"/>
    <cellStyle name="Normal 3 7 3 2 3 2 3 2" xfId="50422" xr:uid="{00000000-0005-0000-0000-00004B9B0000}"/>
    <cellStyle name="Normal 3 7 3 2 3 2 4" xfId="36860" xr:uid="{00000000-0005-0000-0000-00004C9B0000}"/>
    <cellStyle name="Normal 3 7 3 2 3 3" xfId="13113" xr:uid="{00000000-0005-0000-0000-00004D9B0000}"/>
    <cellStyle name="Normal 3 7 3 2 3 3 2" xfId="26681" xr:uid="{00000000-0005-0000-0000-00004E9B0000}"/>
    <cellStyle name="Normal 3 7 3 2 3 3 2 2" xfId="53814" xr:uid="{00000000-0005-0000-0000-00004F9B0000}"/>
    <cellStyle name="Normal 3 7 3 2 3 3 3" xfId="40252" xr:uid="{00000000-0005-0000-0000-0000509B0000}"/>
    <cellStyle name="Normal 3 7 3 2 3 4" xfId="19900" xr:uid="{00000000-0005-0000-0000-0000519B0000}"/>
    <cellStyle name="Normal 3 7 3 2 3 4 2" xfId="47033" xr:uid="{00000000-0005-0000-0000-0000529B0000}"/>
    <cellStyle name="Normal 3 7 3 2 3 5" xfId="33471" xr:uid="{00000000-0005-0000-0000-0000539B0000}"/>
    <cellStyle name="Normal 3 7 3 2 4" xfId="9710" xr:uid="{00000000-0005-0000-0000-0000549B0000}"/>
    <cellStyle name="Normal 3 7 3 2 4 2" xfId="16500" xr:uid="{00000000-0005-0000-0000-0000559B0000}"/>
    <cellStyle name="Normal 3 7 3 2 4 2 2" xfId="30068" xr:uid="{00000000-0005-0000-0000-0000569B0000}"/>
    <cellStyle name="Normal 3 7 3 2 4 2 2 2" xfId="57201" xr:uid="{00000000-0005-0000-0000-0000579B0000}"/>
    <cellStyle name="Normal 3 7 3 2 4 2 3" xfId="43639" xr:uid="{00000000-0005-0000-0000-0000589B0000}"/>
    <cellStyle name="Normal 3 7 3 2 4 3" xfId="23287" xr:uid="{00000000-0005-0000-0000-0000599B0000}"/>
    <cellStyle name="Normal 3 7 3 2 4 3 2" xfId="50420" xr:uid="{00000000-0005-0000-0000-00005A9B0000}"/>
    <cellStyle name="Normal 3 7 3 2 4 4" xfId="36858" xr:uid="{00000000-0005-0000-0000-00005B9B0000}"/>
    <cellStyle name="Normal 3 7 3 2 5" xfId="13111" xr:uid="{00000000-0005-0000-0000-00005C9B0000}"/>
    <cellStyle name="Normal 3 7 3 2 5 2" xfId="26679" xr:uid="{00000000-0005-0000-0000-00005D9B0000}"/>
    <cellStyle name="Normal 3 7 3 2 5 2 2" xfId="53812" xr:uid="{00000000-0005-0000-0000-00005E9B0000}"/>
    <cellStyle name="Normal 3 7 3 2 5 3" xfId="40250" xr:uid="{00000000-0005-0000-0000-00005F9B0000}"/>
    <cellStyle name="Normal 3 7 3 2 6" xfId="19898" xr:uid="{00000000-0005-0000-0000-0000609B0000}"/>
    <cellStyle name="Normal 3 7 3 2 6 2" xfId="47031" xr:uid="{00000000-0005-0000-0000-0000619B0000}"/>
    <cellStyle name="Normal 3 7 3 2 7" xfId="33469" xr:uid="{00000000-0005-0000-0000-0000629B0000}"/>
    <cellStyle name="Normal 3 7 3 3" xfId="6170" xr:uid="{00000000-0005-0000-0000-0000639B0000}"/>
    <cellStyle name="Normal 3 7 3 3 2" xfId="6171" xr:uid="{00000000-0005-0000-0000-0000649B0000}"/>
    <cellStyle name="Normal 3 7 3 3 2 2" xfId="9714" xr:uid="{00000000-0005-0000-0000-0000659B0000}"/>
    <cellStyle name="Normal 3 7 3 3 2 2 2" xfId="16504" xr:uid="{00000000-0005-0000-0000-0000669B0000}"/>
    <cellStyle name="Normal 3 7 3 3 2 2 2 2" xfId="30072" xr:uid="{00000000-0005-0000-0000-0000679B0000}"/>
    <cellStyle name="Normal 3 7 3 3 2 2 2 2 2" xfId="57205" xr:uid="{00000000-0005-0000-0000-0000689B0000}"/>
    <cellStyle name="Normal 3 7 3 3 2 2 2 3" xfId="43643" xr:uid="{00000000-0005-0000-0000-0000699B0000}"/>
    <cellStyle name="Normal 3 7 3 3 2 2 3" xfId="23291" xr:uid="{00000000-0005-0000-0000-00006A9B0000}"/>
    <cellStyle name="Normal 3 7 3 3 2 2 3 2" xfId="50424" xr:uid="{00000000-0005-0000-0000-00006B9B0000}"/>
    <cellStyle name="Normal 3 7 3 3 2 2 4" xfId="36862" xr:uid="{00000000-0005-0000-0000-00006C9B0000}"/>
    <cellStyle name="Normal 3 7 3 3 2 3" xfId="13115" xr:uid="{00000000-0005-0000-0000-00006D9B0000}"/>
    <cellStyle name="Normal 3 7 3 3 2 3 2" xfId="26683" xr:uid="{00000000-0005-0000-0000-00006E9B0000}"/>
    <cellStyle name="Normal 3 7 3 3 2 3 2 2" xfId="53816" xr:uid="{00000000-0005-0000-0000-00006F9B0000}"/>
    <cellStyle name="Normal 3 7 3 3 2 3 3" xfId="40254" xr:uid="{00000000-0005-0000-0000-0000709B0000}"/>
    <cellStyle name="Normal 3 7 3 3 2 4" xfId="19902" xr:uid="{00000000-0005-0000-0000-0000719B0000}"/>
    <cellStyle name="Normal 3 7 3 3 2 4 2" xfId="47035" xr:uid="{00000000-0005-0000-0000-0000729B0000}"/>
    <cellStyle name="Normal 3 7 3 3 2 5" xfId="33473" xr:uid="{00000000-0005-0000-0000-0000739B0000}"/>
    <cellStyle name="Normal 3 7 3 3 3" xfId="9713" xr:uid="{00000000-0005-0000-0000-0000749B0000}"/>
    <cellStyle name="Normal 3 7 3 3 3 2" xfId="16503" xr:uid="{00000000-0005-0000-0000-0000759B0000}"/>
    <cellStyle name="Normal 3 7 3 3 3 2 2" xfId="30071" xr:uid="{00000000-0005-0000-0000-0000769B0000}"/>
    <cellStyle name="Normal 3 7 3 3 3 2 2 2" xfId="57204" xr:uid="{00000000-0005-0000-0000-0000779B0000}"/>
    <cellStyle name="Normal 3 7 3 3 3 2 3" xfId="43642" xr:uid="{00000000-0005-0000-0000-0000789B0000}"/>
    <cellStyle name="Normal 3 7 3 3 3 3" xfId="23290" xr:uid="{00000000-0005-0000-0000-0000799B0000}"/>
    <cellStyle name="Normal 3 7 3 3 3 3 2" xfId="50423" xr:uid="{00000000-0005-0000-0000-00007A9B0000}"/>
    <cellStyle name="Normal 3 7 3 3 3 4" xfId="36861" xr:uid="{00000000-0005-0000-0000-00007B9B0000}"/>
    <cellStyle name="Normal 3 7 3 3 4" xfId="13114" xr:uid="{00000000-0005-0000-0000-00007C9B0000}"/>
    <cellStyle name="Normal 3 7 3 3 4 2" xfId="26682" xr:uid="{00000000-0005-0000-0000-00007D9B0000}"/>
    <cellStyle name="Normal 3 7 3 3 4 2 2" xfId="53815" xr:uid="{00000000-0005-0000-0000-00007E9B0000}"/>
    <cellStyle name="Normal 3 7 3 3 4 3" xfId="40253" xr:uid="{00000000-0005-0000-0000-00007F9B0000}"/>
    <cellStyle name="Normal 3 7 3 3 5" xfId="19901" xr:uid="{00000000-0005-0000-0000-0000809B0000}"/>
    <cellStyle name="Normal 3 7 3 3 5 2" xfId="47034" xr:uid="{00000000-0005-0000-0000-0000819B0000}"/>
    <cellStyle name="Normal 3 7 3 3 6" xfId="33472" xr:uid="{00000000-0005-0000-0000-0000829B0000}"/>
    <cellStyle name="Normal 3 7 3 4" xfId="6172" xr:uid="{00000000-0005-0000-0000-0000839B0000}"/>
    <cellStyle name="Normal 3 7 3 4 2" xfId="9715" xr:uid="{00000000-0005-0000-0000-0000849B0000}"/>
    <cellStyle name="Normal 3 7 3 4 2 2" xfId="16505" xr:uid="{00000000-0005-0000-0000-0000859B0000}"/>
    <cellStyle name="Normal 3 7 3 4 2 2 2" xfId="30073" xr:uid="{00000000-0005-0000-0000-0000869B0000}"/>
    <cellStyle name="Normal 3 7 3 4 2 2 2 2" xfId="57206" xr:uid="{00000000-0005-0000-0000-0000879B0000}"/>
    <cellStyle name="Normal 3 7 3 4 2 2 3" xfId="43644" xr:uid="{00000000-0005-0000-0000-0000889B0000}"/>
    <cellStyle name="Normal 3 7 3 4 2 3" xfId="23292" xr:uid="{00000000-0005-0000-0000-0000899B0000}"/>
    <cellStyle name="Normal 3 7 3 4 2 3 2" xfId="50425" xr:uid="{00000000-0005-0000-0000-00008A9B0000}"/>
    <cellStyle name="Normal 3 7 3 4 2 4" xfId="36863" xr:uid="{00000000-0005-0000-0000-00008B9B0000}"/>
    <cellStyle name="Normal 3 7 3 4 3" xfId="13116" xr:uid="{00000000-0005-0000-0000-00008C9B0000}"/>
    <cellStyle name="Normal 3 7 3 4 3 2" xfId="26684" xr:uid="{00000000-0005-0000-0000-00008D9B0000}"/>
    <cellStyle name="Normal 3 7 3 4 3 2 2" xfId="53817" xr:uid="{00000000-0005-0000-0000-00008E9B0000}"/>
    <cellStyle name="Normal 3 7 3 4 3 3" xfId="40255" xr:uid="{00000000-0005-0000-0000-00008F9B0000}"/>
    <cellStyle name="Normal 3 7 3 4 4" xfId="19903" xr:uid="{00000000-0005-0000-0000-0000909B0000}"/>
    <cellStyle name="Normal 3 7 3 4 4 2" xfId="47036" xr:uid="{00000000-0005-0000-0000-0000919B0000}"/>
    <cellStyle name="Normal 3 7 3 4 5" xfId="33474" xr:uid="{00000000-0005-0000-0000-0000929B0000}"/>
    <cellStyle name="Normal 3 7 3 5" xfId="6173" xr:uid="{00000000-0005-0000-0000-0000939B0000}"/>
    <cellStyle name="Normal 3 7 3 5 2" xfId="9716" xr:uid="{00000000-0005-0000-0000-0000949B0000}"/>
    <cellStyle name="Normal 3 7 3 5 2 2" xfId="16506" xr:uid="{00000000-0005-0000-0000-0000959B0000}"/>
    <cellStyle name="Normal 3 7 3 5 2 2 2" xfId="30074" xr:uid="{00000000-0005-0000-0000-0000969B0000}"/>
    <cellStyle name="Normal 3 7 3 5 2 2 2 2" xfId="57207" xr:uid="{00000000-0005-0000-0000-0000979B0000}"/>
    <cellStyle name="Normal 3 7 3 5 2 2 3" xfId="43645" xr:uid="{00000000-0005-0000-0000-0000989B0000}"/>
    <cellStyle name="Normal 3 7 3 5 2 3" xfId="23293" xr:uid="{00000000-0005-0000-0000-0000999B0000}"/>
    <cellStyle name="Normal 3 7 3 5 2 3 2" xfId="50426" xr:uid="{00000000-0005-0000-0000-00009A9B0000}"/>
    <cellStyle name="Normal 3 7 3 5 2 4" xfId="36864" xr:uid="{00000000-0005-0000-0000-00009B9B0000}"/>
    <cellStyle name="Normal 3 7 3 5 3" xfId="13117" xr:uid="{00000000-0005-0000-0000-00009C9B0000}"/>
    <cellStyle name="Normal 3 7 3 5 3 2" xfId="26685" xr:uid="{00000000-0005-0000-0000-00009D9B0000}"/>
    <cellStyle name="Normal 3 7 3 5 3 2 2" xfId="53818" xr:uid="{00000000-0005-0000-0000-00009E9B0000}"/>
    <cellStyle name="Normal 3 7 3 5 3 3" xfId="40256" xr:uid="{00000000-0005-0000-0000-00009F9B0000}"/>
    <cellStyle name="Normal 3 7 3 5 4" xfId="19904" xr:uid="{00000000-0005-0000-0000-0000A09B0000}"/>
    <cellStyle name="Normal 3 7 3 5 4 2" xfId="47037" xr:uid="{00000000-0005-0000-0000-0000A19B0000}"/>
    <cellStyle name="Normal 3 7 3 5 5" xfId="33475" xr:uid="{00000000-0005-0000-0000-0000A29B0000}"/>
    <cellStyle name="Normal 3 7 3 6" xfId="9709" xr:uid="{00000000-0005-0000-0000-0000A39B0000}"/>
    <cellStyle name="Normal 3 7 3 6 2" xfId="16499" xr:uid="{00000000-0005-0000-0000-0000A49B0000}"/>
    <cellStyle name="Normal 3 7 3 6 2 2" xfId="30067" xr:uid="{00000000-0005-0000-0000-0000A59B0000}"/>
    <cellStyle name="Normal 3 7 3 6 2 2 2" xfId="57200" xr:uid="{00000000-0005-0000-0000-0000A69B0000}"/>
    <cellStyle name="Normal 3 7 3 6 2 3" xfId="43638" xr:uid="{00000000-0005-0000-0000-0000A79B0000}"/>
    <cellStyle name="Normal 3 7 3 6 3" xfId="23286" xr:uid="{00000000-0005-0000-0000-0000A89B0000}"/>
    <cellStyle name="Normal 3 7 3 6 3 2" xfId="50419" xr:uid="{00000000-0005-0000-0000-0000A99B0000}"/>
    <cellStyle name="Normal 3 7 3 6 4" xfId="36857" xr:uid="{00000000-0005-0000-0000-0000AA9B0000}"/>
    <cellStyle name="Normal 3 7 3 7" xfId="13110" xr:uid="{00000000-0005-0000-0000-0000AB9B0000}"/>
    <cellStyle name="Normal 3 7 3 7 2" xfId="26678" xr:uid="{00000000-0005-0000-0000-0000AC9B0000}"/>
    <cellStyle name="Normal 3 7 3 7 2 2" xfId="53811" xr:uid="{00000000-0005-0000-0000-0000AD9B0000}"/>
    <cellStyle name="Normal 3 7 3 7 3" xfId="40249" xr:uid="{00000000-0005-0000-0000-0000AE9B0000}"/>
    <cellStyle name="Normal 3 7 3 8" xfId="19897" xr:uid="{00000000-0005-0000-0000-0000AF9B0000}"/>
    <cellStyle name="Normal 3 7 3 8 2" xfId="47030" xr:uid="{00000000-0005-0000-0000-0000B09B0000}"/>
    <cellStyle name="Normal 3 7 3 9" xfId="33468" xr:uid="{00000000-0005-0000-0000-0000B19B0000}"/>
    <cellStyle name="Normal 3 7 4" xfId="6174" xr:uid="{00000000-0005-0000-0000-0000B29B0000}"/>
    <cellStyle name="Normal 3 7 4 2" xfId="6175" xr:uid="{00000000-0005-0000-0000-0000B39B0000}"/>
    <cellStyle name="Normal 3 7 4 2 2" xfId="6176" xr:uid="{00000000-0005-0000-0000-0000B49B0000}"/>
    <cellStyle name="Normal 3 7 4 2 2 2" xfId="9719" xr:uid="{00000000-0005-0000-0000-0000B59B0000}"/>
    <cellStyle name="Normal 3 7 4 2 2 2 2" xfId="16509" xr:uid="{00000000-0005-0000-0000-0000B69B0000}"/>
    <cellStyle name="Normal 3 7 4 2 2 2 2 2" xfId="30077" xr:uid="{00000000-0005-0000-0000-0000B79B0000}"/>
    <cellStyle name="Normal 3 7 4 2 2 2 2 2 2" xfId="57210" xr:uid="{00000000-0005-0000-0000-0000B89B0000}"/>
    <cellStyle name="Normal 3 7 4 2 2 2 2 3" xfId="43648" xr:uid="{00000000-0005-0000-0000-0000B99B0000}"/>
    <cellStyle name="Normal 3 7 4 2 2 2 3" xfId="23296" xr:uid="{00000000-0005-0000-0000-0000BA9B0000}"/>
    <cellStyle name="Normal 3 7 4 2 2 2 3 2" xfId="50429" xr:uid="{00000000-0005-0000-0000-0000BB9B0000}"/>
    <cellStyle name="Normal 3 7 4 2 2 2 4" xfId="36867" xr:uid="{00000000-0005-0000-0000-0000BC9B0000}"/>
    <cellStyle name="Normal 3 7 4 2 2 3" xfId="13120" xr:uid="{00000000-0005-0000-0000-0000BD9B0000}"/>
    <cellStyle name="Normal 3 7 4 2 2 3 2" xfId="26688" xr:uid="{00000000-0005-0000-0000-0000BE9B0000}"/>
    <cellStyle name="Normal 3 7 4 2 2 3 2 2" xfId="53821" xr:uid="{00000000-0005-0000-0000-0000BF9B0000}"/>
    <cellStyle name="Normal 3 7 4 2 2 3 3" xfId="40259" xr:uid="{00000000-0005-0000-0000-0000C09B0000}"/>
    <cellStyle name="Normal 3 7 4 2 2 4" xfId="19907" xr:uid="{00000000-0005-0000-0000-0000C19B0000}"/>
    <cellStyle name="Normal 3 7 4 2 2 4 2" xfId="47040" xr:uid="{00000000-0005-0000-0000-0000C29B0000}"/>
    <cellStyle name="Normal 3 7 4 2 2 5" xfId="33478" xr:uid="{00000000-0005-0000-0000-0000C39B0000}"/>
    <cellStyle name="Normal 3 7 4 2 3" xfId="6177" xr:uid="{00000000-0005-0000-0000-0000C49B0000}"/>
    <cellStyle name="Normal 3 7 4 2 3 2" xfId="9720" xr:uid="{00000000-0005-0000-0000-0000C59B0000}"/>
    <cellStyle name="Normal 3 7 4 2 3 2 2" xfId="16510" xr:uid="{00000000-0005-0000-0000-0000C69B0000}"/>
    <cellStyle name="Normal 3 7 4 2 3 2 2 2" xfId="30078" xr:uid="{00000000-0005-0000-0000-0000C79B0000}"/>
    <cellStyle name="Normal 3 7 4 2 3 2 2 2 2" xfId="57211" xr:uid="{00000000-0005-0000-0000-0000C89B0000}"/>
    <cellStyle name="Normal 3 7 4 2 3 2 2 3" xfId="43649" xr:uid="{00000000-0005-0000-0000-0000C99B0000}"/>
    <cellStyle name="Normal 3 7 4 2 3 2 3" xfId="23297" xr:uid="{00000000-0005-0000-0000-0000CA9B0000}"/>
    <cellStyle name="Normal 3 7 4 2 3 2 3 2" xfId="50430" xr:uid="{00000000-0005-0000-0000-0000CB9B0000}"/>
    <cellStyle name="Normal 3 7 4 2 3 2 4" xfId="36868" xr:uid="{00000000-0005-0000-0000-0000CC9B0000}"/>
    <cellStyle name="Normal 3 7 4 2 3 3" xfId="13121" xr:uid="{00000000-0005-0000-0000-0000CD9B0000}"/>
    <cellStyle name="Normal 3 7 4 2 3 3 2" xfId="26689" xr:uid="{00000000-0005-0000-0000-0000CE9B0000}"/>
    <cellStyle name="Normal 3 7 4 2 3 3 2 2" xfId="53822" xr:uid="{00000000-0005-0000-0000-0000CF9B0000}"/>
    <cellStyle name="Normal 3 7 4 2 3 3 3" xfId="40260" xr:uid="{00000000-0005-0000-0000-0000D09B0000}"/>
    <cellStyle name="Normal 3 7 4 2 3 4" xfId="19908" xr:uid="{00000000-0005-0000-0000-0000D19B0000}"/>
    <cellStyle name="Normal 3 7 4 2 3 4 2" xfId="47041" xr:uid="{00000000-0005-0000-0000-0000D29B0000}"/>
    <cellStyle name="Normal 3 7 4 2 3 5" xfId="33479" xr:uid="{00000000-0005-0000-0000-0000D39B0000}"/>
    <cellStyle name="Normal 3 7 4 2 4" xfId="9718" xr:uid="{00000000-0005-0000-0000-0000D49B0000}"/>
    <cellStyle name="Normal 3 7 4 2 4 2" xfId="16508" xr:uid="{00000000-0005-0000-0000-0000D59B0000}"/>
    <cellStyle name="Normal 3 7 4 2 4 2 2" xfId="30076" xr:uid="{00000000-0005-0000-0000-0000D69B0000}"/>
    <cellStyle name="Normal 3 7 4 2 4 2 2 2" xfId="57209" xr:uid="{00000000-0005-0000-0000-0000D79B0000}"/>
    <cellStyle name="Normal 3 7 4 2 4 2 3" xfId="43647" xr:uid="{00000000-0005-0000-0000-0000D89B0000}"/>
    <cellStyle name="Normal 3 7 4 2 4 3" xfId="23295" xr:uid="{00000000-0005-0000-0000-0000D99B0000}"/>
    <cellStyle name="Normal 3 7 4 2 4 3 2" xfId="50428" xr:uid="{00000000-0005-0000-0000-0000DA9B0000}"/>
    <cellStyle name="Normal 3 7 4 2 4 4" xfId="36866" xr:uid="{00000000-0005-0000-0000-0000DB9B0000}"/>
    <cellStyle name="Normal 3 7 4 2 5" xfId="13119" xr:uid="{00000000-0005-0000-0000-0000DC9B0000}"/>
    <cellStyle name="Normal 3 7 4 2 5 2" xfId="26687" xr:uid="{00000000-0005-0000-0000-0000DD9B0000}"/>
    <cellStyle name="Normal 3 7 4 2 5 2 2" xfId="53820" xr:uid="{00000000-0005-0000-0000-0000DE9B0000}"/>
    <cellStyle name="Normal 3 7 4 2 5 3" xfId="40258" xr:uid="{00000000-0005-0000-0000-0000DF9B0000}"/>
    <cellStyle name="Normal 3 7 4 2 6" xfId="19906" xr:uid="{00000000-0005-0000-0000-0000E09B0000}"/>
    <cellStyle name="Normal 3 7 4 2 6 2" xfId="47039" xr:uid="{00000000-0005-0000-0000-0000E19B0000}"/>
    <cellStyle name="Normal 3 7 4 2 7" xfId="33477" xr:uid="{00000000-0005-0000-0000-0000E29B0000}"/>
    <cellStyle name="Normal 3 7 4 3" xfId="6178" xr:uid="{00000000-0005-0000-0000-0000E39B0000}"/>
    <cellStyle name="Normal 3 7 4 3 2" xfId="9721" xr:uid="{00000000-0005-0000-0000-0000E49B0000}"/>
    <cellStyle name="Normal 3 7 4 3 2 2" xfId="16511" xr:uid="{00000000-0005-0000-0000-0000E59B0000}"/>
    <cellStyle name="Normal 3 7 4 3 2 2 2" xfId="30079" xr:uid="{00000000-0005-0000-0000-0000E69B0000}"/>
    <cellStyle name="Normal 3 7 4 3 2 2 2 2" xfId="57212" xr:uid="{00000000-0005-0000-0000-0000E79B0000}"/>
    <cellStyle name="Normal 3 7 4 3 2 2 3" xfId="43650" xr:uid="{00000000-0005-0000-0000-0000E89B0000}"/>
    <cellStyle name="Normal 3 7 4 3 2 3" xfId="23298" xr:uid="{00000000-0005-0000-0000-0000E99B0000}"/>
    <cellStyle name="Normal 3 7 4 3 2 3 2" xfId="50431" xr:uid="{00000000-0005-0000-0000-0000EA9B0000}"/>
    <cellStyle name="Normal 3 7 4 3 2 4" xfId="36869" xr:uid="{00000000-0005-0000-0000-0000EB9B0000}"/>
    <cellStyle name="Normal 3 7 4 3 3" xfId="13122" xr:uid="{00000000-0005-0000-0000-0000EC9B0000}"/>
    <cellStyle name="Normal 3 7 4 3 3 2" xfId="26690" xr:uid="{00000000-0005-0000-0000-0000ED9B0000}"/>
    <cellStyle name="Normal 3 7 4 3 3 2 2" xfId="53823" xr:uid="{00000000-0005-0000-0000-0000EE9B0000}"/>
    <cellStyle name="Normal 3 7 4 3 3 3" xfId="40261" xr:uid="{00000000-0005-0000-0000-0000EF9B0000}"/>
    <cellStyle name="Normal 3 7 4 3 4" xfId="19909" xr:uid="{00000000-0005-0000-0000-0000F09B0000}"/>
    <cellStyle name="Normal 3 7 4 3 4 2" xfId="47042" xr:uid="{00000000-0005-0000-0000-0000F19B0000}"/>
    <cellStyle name="Normal 3 7 4 3 5" xfId="33480" xr:uid="{00000000-0005-0000-0000-0000F29B0000}"/>
    <cellStyle name="Normal 3 7 4 4" xfId="6179" xr:uid="{00000000-0005-0000-0000-0000F39B0000}"/>
    <cellStyle name="Normal 3 7 4 4 2" xfId="9722" xr:uid="{00000000-0005-0000-0000-0000F49B0000}"/>
    <cellStyle name="Normal 3 7 4 4 2 2" xfId="16512" xr:uid="{00000000-0005-0000-0000-0000F59B0000}"/>
    <cellStyle name="Normal 3 7 4 4 2 2 2" xfId="30080" xr:uid="{00000000-0005-0000-0000-0000F69B0000}"/>
    <cellStyle name="Normal 3 7 4 4 2 2 2 2" xfId="57213" xr:uid="{00000000-0005-0000-0000-0000F79B0000}"/>
    <cellStyle name="Normal 3 7 4 4 2 2 3" xfId="43651" xr:uid="{00000000-0005-0000-0000-0000F89B0000}"/>
    <cellStyle name="Normal 3 7 4 4 2 3" xfId="23299" xr:uid="{00000000-0005-0000-0000-0000F99B0000}"/>
    <cellStyle name="Normal 3 7 4 4 2 3 2" xfId="50432" xr:uid="{00000000-0005-0000-0000-0000FA9B0000}"/>
    <cellStyle name="Normal 3 7 4 4 2 4" xfId="36870" xr:uid="{00000000-0005-0000-0000-0000FB9B0000}"/>
    <cellStyle name="Normal 3 7 4 4 3" xfId="13123" xr:uid="{00000000-0005-0000-0000-0000FC9B0000}"/>
    <cellStyle name="Normal 3 7 4 4 3 2" xfId="26691" xr:uid="{00000000-0005-0000-0000-0000FD9B0000}"/>
    <cellStyle name="Normal 3 7 4 4 3 2 2" xfId="53824" xr:uid="{00000000-0005-0000-0000-0000FE9B0000}"/>
    <cellStyle name="Normal 3 7 4 4 3 3" xfId="40262" xr:uid="{00000000-0005-0000-0000-0000FF9B0000}"/>
    <cellStyle name="Normal 3 7 4 4 4" xfId="19910" xr:uid="{00000000-0005-0000-0000-0000009C0000}"/>
    <cellStyle name="Normal 3 7 4 4 4 2" xfId="47043" xr:uid="{00000000-0005-0000-0000-0000019C0000}"/>
    <cellStyle name="Normal 3 7 4 4 5" xfId="33481" xr:uid="{00000000-0005-0000-0000-0000029C0000}"/>
    <cellStyle name="Normal 3 7 4 5" xfId="9717" xr:uid="{00000000-0005-0000-0000-0000039C0000}"/>
    <cellStyle name="Normal 3 7 4 5 2" xfId="16507" xr:uid="{00000000-0005-0000-0000-0000049C0000}"/>
    <cellStyle name="Normal 3 7 4 5 2 2" xfId="30075" xr:uid="{00000000-0005-0000-0000-0000059C0000}"/>
    <cellStyle name="Normal 3 7 4 5 2 2 2" xfId="57208" xr:uid="{00000000-0005-0000-0000-0000069C0000}"/>
    <cellStyle name="Normal 3 7 4 5 2 3" xfId="43646" xr:uid="{00000000-0005-0000-0000-0000079C0000}"/>
    <cellStyle name="Normal 3 7 4 5 3" xfId="23294" xr:uid="{00000000-0005-0000-0000-0000089C0000}"/>
    <cellStyle name="Normal 3 7 4 5 3 2" xfId="50427" xr:uid="{00000000-0005-0000-0000-0000099C0000}"/>
    <cellStyle name="Normal 3 7 4 5 4" xfId="36865" xr:uid="{00000000-0005-0000-0000-00000A9C0000}"/>
    <cellStyle name="Normal 3 7 4 6" xfId="13118" xr:uid="{00000000-0005-0000-0000-00000B9C0000}"/>
    <cellStyle name="Normal 3 7 4 6 2" xfId="26686" xr:uid="{00000000-0005-0000-0000-00000C9C0000}"/>
    <cellStyle name="Normal 3 7 4 6 2 2" xfId="53819" xr:uid="{00000000-0005-0000-0000-00000D9C0000}"/>
    <cellStyle name="Normal 3 7 4 6 3" xfId="40257" xr:uid="{00000000-0005-0000-0000-00000E9C0000}"/>
    <cellStyle name="Normal 3 7 4 7" xfId="19905" xr:uid="{00000000-0005-0000-0000-00000F9C0000}"/>
    <cellStyle name="Normal 3 7 4 7 2" xfId="47038" xr:uid="{00000000-0005-0000-0000-0000109C0000}"/>
    <cellStyle name="Normal 3 7 4 8" xfId="33476" xr:uid="{00000000-0005-0000-0000-0000119C0000}"/>
    <cellStyle name="Normal 3 7 5" xfId="6180" xr:uid="{00000000-0005-0000-0000-0000129C0000}"/>
    <cellStyle name="Normal 3 7 5 2" xfId="6181" xr:uid="{00000000-0005-0000-0000-0000139C0000}"/>
    <cellStyle name="Normal 3 7 5 2 2" xfId="6182" xr:uid="{00000000-0005-0000-0000-0000149C0000}"/>
    <cellStyle name="Normal 3 7 5 2 2 2" xfId="9725" xr:uid="{00000000-0005-0000-0000-0000159C0000}"/>
    <cellStyle name="Normal 3 7 5 2 2 2 2" xfId="16515" xr:uid="{00000000-0005-0000-0000-0000169C0000}"/>
    <cellStyle name="Normal 3 7 5 2 2 2 2 2" xfId="30083" xr:uid="{00000000-0005-0000-0000-0000179C0000}"/>
    <cellStyle name="Normal 3 7 5 2 2 2 2 2 2" xfId="57216" xr:uid="{00000000-0005-0000-0000-0000189C0000}"/>
    <cellStyle name="Normal 3 7 5 2 2 2 2 3" xfId="43654" xr:uid="{00000000-0005-0000-0000-0000199C0000}"/>
    <cellStyle name="Normal 3 7 5 2 2 2 3" xfId="23302" xr:uid="{00000000-0005-0000-0000-00001A9C0000}"/>
    <cellStyle name="Normal 3 7 5 2 2 2 3 2" xfId="50435" xr:uid="{00000000-0005-0000-0000-00001B9C0000}"/>
    <cellStyle name="Normal 3 7 5 2 2 2 4" xfId="36873" xr:uid="{00000000-0005-0000-0000-00001C9C0000}"/>
    <cellStyle name="Normal 3 7 5 2 2 3" xfId="13126" xr:uid="{00000000-0005-0000-0000-00001D9C0000}"/>
    <cellStyle name="Normal 3 7 5 2 2 3 2" xfId="26694" xr:uid="{00000000-0005-0000-0000-00001E9C0000}"/>
    <cellStyle name="Normal 3 7 5 2 2 3 2 2" xfId="53827" xr:uid="{00000000-0005-0000-0000-00001F9C0000}"/>
    <cellStyle name="Normal 3 7 5 2 2 3 3" xfId="40265" xr:uid="{00000000-0005-0000-0000-0000209C0000}"/>
    <cellStyle name="Normal 3 7 5 2 2 4" xfId="19913" xr:uid="{00000000-0005-0000-0000-0000219C0000}"/>
    <cellStyle name="Normal 3 7 5 2 2 4 2" xfId="47046" xr:uid="{00000000-0005-0000-0000-0000229C0000}"/>
    <cellStyle name="Normal 3 7 5 2 2 5" xfId="33484" xr:uid="{00000000-0005-0000-0000-0000239C0000}"/>
    <cellStyle name="Normal 3 7 5 2 3" xfId="6183" xr:uid="{00000000-0005-0000-0000-0000249C0000}"/>
    <cellStyle name="Normal 3 7 5 2 3 2" xfId="9726" xr:uid="{00000000-0005-0000-0000-0000259C0000}"/>
    <cellStyle name="Normal 3 7 5 2 3 2 2" xfId="16516" xr:uid="{00000000-0005-0000-0000-0000269C0000}"/>
    <cellStyle name="Normal 3 7 5 2 3 2 2 2" xfId="30084" xr:uid="{00000000-0005-0000-0000-0000279C0000}"/>
    <cellStyle name="Normal 3 7 5 2 3 2 2 2 2" xfId="57217" xr:uid="{00000000-0005-0000-0000-0000289C0000}"/>
    <cellStyle name="Normal 3 7 5 2 3 2 2 3" xfId="43655" xr:uid="{00000000-0005-0000-0000-0000299C0000}"/>
    <cellStyle name="Normal 3 7 5 2 3 2 3" xfId="23303" xr:uid="{00000000-0005-0000-0000-00002A9C0000}"/>
    <cellStyle name="Normal 3 7 5 2 3 2 3 2" xfId="50436" xr:uid="{00000000-0005-0000-0000-00002B9C0000}"/>
    <cellStyle name="Normal 3 7 5 2 3 2 4" xfId="36874" xr:uid="{00000000-0005-0000-0000-00002C9C0000}"/>
    <cellStyle name="Normal 3 7 5 2 3 3" xfId="13127" xr:uid="{00000000-0005-0000-0000-00002D9C0000}"/>
    <cellStyle name="Normal 3 7 5 2 3 3 2" xfId="26695" xr:uid="{00000000-0005-0000-0000-00002E9C0000}"/>
    <cellStyle name="Normal 3 7 5 2 3 3 2 2" xfId="53828" xr:uid="{00000000-0005-0000-0000-00002F9C0000}"/>
    <cellStyle name="Normal 3 7 5 2 3 3 3" xfId="40266" xr:uid="{00000000-0005-0000-0000-0000309C0000}"/>
    <cellStyle name="Normal 3 7 5 2 3 4" xfId="19914" xr:uid="{00000000-0005-0000-0000-0000319C0000}"/>
    <cellStyle name="Normal 3 7 5 2 3 4 2" xfId="47047" xr:uid="{00000000-0005-0000-0000-0000329C0000}"/>
    <cellStyle name="Normal 3 7 5 2 3 5" xfId="33485" xr:uid="{00000000-0005-0000-0000-0000339C0000}"/>
    <cellStyle name="Normal 3 7 5 2 4" xfId="9724" xr:uid="{00000000-0005-0000-0000-0000349C0000}"/>
    <cellStyle name="Normal 3 7 5 2 4 2" xfId="16514" xr:uid="{00000000-0005-0000-0000-0000359C0000}"/>
    <cellStyle name="Normal 3 7 5 2 4 2 2" xfId="30082" xr:uid="{00000000-0005-0000-0000-0000369C0000}"/>
    <cellStyle name="Normal 3 7 5 2 4 2 2 2" xfId="57215" xr:uid="{00000000-0005-0000-0000-0000379C0000}"/>
    <cellStyle name="Normal 3 7 5 2 4 2 3" xfId="43653" xr:uid="{00000000-0005-0000-0000-0000389C0000}"/>
    <cellStyle name="Normal 3 7 5 2 4 3" xfId="23301" xr:uid="{00000000-0005-0000-0000-0000399C0000}"/>
    <cellStyle name="Normal 3 7 5 2 4 3 2" xfId="50434" xr:uid="{00000000-0005-0000-0000-00003A9C0000}"/>
    <cellStyle name="Normal 3 7 5 2 4 4" xfId="36872" xr:uid="{00000000-0005-0000-0000-00003B9C0000}"/>
    <cellStyle name="Normal 3 7 5 2 5" xfId="13125" xr:uid="{00000000-0005-0000-0000-00003C9C0000}"/>
    <cellStyle name="Normal 3 7 5 2 5 2" xfId="26693" xr:uid="{00000000-0005-0000-0000-00003D9C0000}"/>
    <cellStyle name="Normal 3 7 5 2 5 2 2" xfId="53826" xr:uid="{00000000-0005-0000-0000-00003E9C0000}"/>
    <cellStyle name="Normal 3 7 5 2 5 3" xfId="40264" xr:uid="{00000000-0005-0000-0000-00003F9C0000}"/>
    <cellStyle name="Normal 3 7 5 2 6" xfId="19912" xr:uid="{00000000-0005-0000-0000-0000409C0000}"/>
    <cellStyle name="Normal 3 7 5 2 6 2" xfId="47045" xr:uid="{00000000-0005-0000-0000-0000419C0000}"/>
    <cellStyle name="Normal 3 7 5 2 7" xfId="33483" xr:uid="{00000000-0005-0000-0000-0000429C0000}"/>
    <cellStyle name="Normal 3 7 5 3" xfId="6184" xr:uid="{00000000-0005-0000-0000-0000439C0000}"/>
    <cellStyle name="Normal 3 7 5 3 2" xfId="9727" xr:uid="{00000000-0005-0000-0000-0000449C0000}"/>
    <cellStyle name="Normal 3 7 5 3 2 2" xfId="16517" xr:uid="{00000000-0005-0000-0000-0000459C0000}"/>
    <cellStyle name="Normal 3 7 5 3 2 2 2" xfId="30085" xr:uid="{00000000-0005-0000-0000-0000469C0000}"/>
    <cellStyle name="Normal 3 7 5 3 2 2 2 2" xfId="57218" xr:uid="{00000000-0005-0000-0000-0000479C0000}"/>
    <cellStyle name="Normal 3 7 5 3 2 2 3" xfId="43656" xr:uid="{00000000-0005-0000-0000-0000489C0000}"/>
    <cellStyle name="Normal 3 7 5 3 2 3" xfId="23304" xr:uid="{00000000-0005-0000-0000-0000499C0000}"/>
    <cellStyle name="Normal 3 7 5 3 2 3 2" xfId="50437" xr:uid="{00000000-0005-0000-0000-00004A9C0000}"/>
    <cellStyle name="Normal 3 7 5 3 2 4" xfId="36875" xr:uid="{00000000-0005-0000-0000-00004B9C0000}"/>
    <cellStyle name="Normal 3 7 5 3 3" xfId="13128" xr:uid="{00000000-0005-0000-0000-00004C9C0000}"/>
    <cellStyle name="Normal 3 7 5 3 3 2" xfId="26696" xr:uid="{00000000-0005-0000-0000-00004D9C0000}"/>
    <cellStyle name="Normal 3 7 5 3 3 2 2" xfId="53829" xr:uid="{00000000-0005-0000-0000-00004E9C0000}"/>
    <cellStyle name="Normal 3 7 5 3 3 3" xfId="40267" xr:uid="{00000000-0005-0000-0000-00004F9C0000}"/>
    <cellStyle name="Normal 3 7 5 3 4" xfId="19915" xr:uid="{00000000-0005-0000-0000-0000509C0000}"/>
    <cellStyle name="Normal 3 7 5 3 4 2" xfId="47048" xr:uid="{00000000-0005-0000-0000-0000519C0000}"/>
    <cellStyle name="Normal 3 7 5 3 5" xfId="33486" xr:uid="{00000000-0005-0000-0000-0000529C0000}"/>
    <cellStyle name="Normal 3 7 5 4" xfId="6185" xr:uid="{00000000-0005-0000-0000-0000539C0000}"/>
    <cellStyle name="Normal 3 7 5 4 2" xfId="9728" xr:uid="{00000000-0005-0000-0000-0000549C0000}"/>
    <cellStyle name="Normal 3 7 5 4 2 2" xfId="16518" xr:uid="{00000000-0005-0000-0000-0000559C0000}"/>
    <cellStyle name="Normal 3 7 5 4 2 2 2" xfId="30086" xr:uid="{00000000-0005-0000-0000-0000569C0000}"/>
    <cellStyle name="Normal 3 7 5 4 2 2 2 2" xfId="57219" xr:uid="{00000000-0005-0000-0000-0000579C0000}"/>
    <cellStyle name="Normal 3 7 5 4 2 2 3" xfId="43657" xr:uid="{00000000-0005-0000-0000-0000589C0000}"/>
    <cellStyle name="Normal 3 7 5 4 2 3" xfId="23305" xr:uid="{00000000-0005-0000-0000-0000599C0000}"/>
    <cellStyle name="Normal 3 7 5 4 2 3 2" xfId="50438" xr:uid="{00000000-0005-0000-0000-00005A9C0000}"/>
    <cellStyle name="Normal 3 7 5 4 2 4" xfId="36876" xr:uid="{00000000-0005-0000-0000-00005B9C0000}"/>
    <cellStyle name="Normal 3 7 5 4 3" xfId="13129" xr:uid="{00000000-0005-0000-0000-00005C9C0000}"/>
    <cellStyle name="Normal 3 7 5 4 3 2" xfId="26697" xr:uid="{00000000-0005-0000-0000-00005D9C0000}"/>
    <cellStyle name="Normal 3 7 5 4 3 2 2" xfId="53830" xr:uid="{00000000-0005-0000-0000-00005E9C0000}"/>
    <cellStyle name="Normal 3 7 5 4 3 3" xfId="40268" xr:uid="{00000000-0005-0000-0000-00005F9C0000}"/>
    <cellStyle name="Normal 3 7 5 4 4" xfId="19916" xr:uid="{00000000-0005-0000-0000-0000609C0000}"/>
    <cellStyle name="Normal 3 7 5 4 4 2" xfId="47049" xr:uid="{00000000-0005-0000-0000-0000619C0000}"/>
    <cellStyle name="Normal 3 7 5 4 5" xfId="33487" xr:uid="{00000000-0005-0000-0000-0000629C0000}"/>
    <cellStyle name="Normal 3 7 5 5" xfId="9723" xr:uid="{00000000-0005-0000-0000-0000639C0000}"/>
    <cellStyle name="Normal 3 7 5 5 2" xfId="16513" xr:uid="{00000000-0005-0000-0000-0000649C0000}"/>
    <cellStyle name="Normal 3 7 5 5 2 2" xfId="30081" xr:uid="{00000000-0005-0000-0000-0000659C0000}"/>
    <cellStyle name="Normal 3 7 5 5 2 2 2" xfId="57214" xr:uid="{00000000-0005-0000-0000-0000669C0000}"/>
    <cellStyle name="Normal 3 7 5 5 2 3" xfId="43652" xr:uid="{00000000-0005-0000-0000-0000679C0000}"/>
    <cellStyle name="Normal 3 7 5 5 3" xfId="23300" xr:uid="{00000000-0005-0000-0000-0000689C0000}"/>
    <cellStyle name="Normal 3 7 5 5 3 2" xfId="50433" xr:uid="{00000000-0005-0000-0000-0000699C0000}"/>
    <cellStyle name="Normal 3 7 5 5 4" xfId="36871" xr:uid="{00000000-0005-0000-0000-00006A9C0000}"/>
    <cellStyle name="Normal 3 7 5 6" xfId="13124" xr:uid="{00000000-0005-0000-0000-00006B9C0000}"/>
    <cellStyle name="Normal 3 7 5 6 2" xfId="26692" xr:uid="{00000000-0005-0000-0000-00006C9C0000}"/>
    <cellStyle name="Normal 3 7 5 6 2 2" xfId="53825" xr:uid="{00000000-0005-0000-0000-00006D9C0000}"/>
    <cellStyle name="Normal 3 7 5 6 3" xfId="40263" xr:uid="{00000000-0005-0000-0000-00006E9C0000}"/>
    <cellStyle name="Normal 3 7 5 7" xfId="19911" xr:uid="{00000000-0005-0000-0000-00006F9C0000}"/>
    <cellStyle name="Normal 3 7 5 7 2" xfId="47044" xr:uid="{00000000-0005-0000-0000-0000709C0000}"/>
    <cellStyle name="Normal 3 7 5 8" xfId="33482" xr:uid="{00000000-0005-0000-0000-0000719C0000}"/>
    <cellStyle name="Normal 3 7 6" xfId="6186" xr:uid="{00000000-0005-0000-0000-0000729C0000}"/>
    <cellStyle name="Normal 3 7 6 2" xfId="6187" xr:uid="{00000000-0005-0000-0000-0000739C0000}"/>
    <cellStyle name="Normal 3 7 6 2 2" xfId="9730" xr:uid="{00000000-0005-0000-0000-0000749C0000}"/>
    <cellStyle name="Normal 3 7 6 2 2 2" xfId="16520" xr:uid="{00000000-0005-0000-0000-0000759C0000}"/>
    <cellStyle name="Normal 3 7 6 2 2 2 2" xfId="30088" xr:uid="{00000000-0005-0000-0000-0000769C0000}"/>
    <cellStyle name="Normal 3 7 6 2 2 2 2 2" xfId="57221" xr:uid="{00000000-0005-0000-0000-0000779C0000}"/>
    <cellStyle name="Normal 3 7 6 2 2 2 3" xfId="43659" xr:uid="{00000000-0005-0000-0000-0000789C0000}"/>
    <cellStyle name="Normal 3 7 6 2 2 3" xfId="23307" xr:uid="{00000000-0005-0000-0000-0000799C0000}"/>
    <cellStyle name="Normal 3 7 6 2 2 3 2" xfId="50440" xr:uid="{00000000-0005-0000-0000-00007A9C0000}"/>
    <cellStyle name="Normal 3 7 6 2 2 4" xfId="36878" xr:uid="{00000000-0005-0000-0000-00007B9C0000}"/>
    <cellStyle name="Normal 3 7 6 2 3" xfId="13131" xr:uid="{00000000-0005-0000-0000-00007C9C0000}"/>
    <cellStyle name="Normal 3 7 6 2 3 2" xfId="26699" xr:uid="{00000000-0005-0000-0000-00007D9C0000}"/>
    <cellStyle name="Normal 3 7 6 2 3 2 2" xfId="53832" xr:uid="{00000000-0005-0000-0000-00007E9C0000}"/>
    <cellStyle name="Normal 3 7 6 2 3 3" xfId="40270" xr:uid="{00000000-0005-0000-0000-00007F9C0000}"/>
    <cellStyle name="Normal 3 7 6 2 4" xfId="19918" xr:uid="{00000000-0005-0000-0000-0000809C0000}"/>
    <cellStyle name="Normal 3 7 6 2 4 2" xfId="47051" xr:uid="{00000000-0005-0000-0000-0000819C0000}"/>
    <cellStyle name="Normal 3 7 6 2 5" xfId="33489" xr:uid="{00000000-0005-0000-0000-0000829C0000}"/>
    <cellStyle name="Normal 3 7 6 3" xfId="6188" xr:uid="{00000000-0005-0000-0000-0000839C0000}"/>
    <cellStyle name="Normal 3 7 6 3 2" xfId="9731" xr:uid="{00000000-0005-0000-0000-0000849C0000}"/>
    <cellStyle name="Normal 3 7 6 3 2 2" xfId="16521" xr:uid="{00000000-0005-0000-0000-0000859C0000}"/>
    <cellStyle name="Normal 3 7 6 3 2 2 2" xfId="30089" xr:uid="{00000000-0005-0000-0000-0000869C0000}"/>
    <cellStyle name="Normal 3 7 6 3 2 2 2 2" xfId="57222" xr:uid="{00000000-0005-0000-0000-0000879C0000}"/>
    <cellStyle name="Normal 3 7 6 3 2 2 3" xfId="43660" xr:uid="{00000000-0005-0000-0000-0000889C0000}"/>
    <cellStyle name="Normal 3 7 6 3 2 3" xfId="23308" xr:uid="{00000000-0005-0000-0000-0000899C0000}"/>
    <cellStyle name="Normal 3 7 6 3 2 3 2" xfId="50441" xr:uid="{00000000-0005-0000-0000-00008A9C0000}"/>
    <cellStyle name="Normal 3 7 6 3 2 4" xfId="36879" xr:uid="{00000000-0005-0000-0000-00008B9C0000}"/>
    <cellStyle name="Normal 3 7 6 3 3" xfId="13132" xr:uid="{00000000-0005-0000-0000-00008C9C0000}"/>
    <cellStyle name="Normal 3 7 6 3 3 2" xfId="26700" xr:uid="{00000000-0005-0000-0000-00008D9C0000}"/>
    <cellStyle name="Normal 3 7 6 3 3 2 2" xfId="53833" xr:uid="{00000000-0005-0000-0000-00008E9C0000}"/>
    <cellStyle name="Normal 3 7 6 3 3 3" xfId="40271" xr:uid="{00000000-0005-0000-0000-00008F9C0000}"/>
    <cellStyle name="Normal 3 7 6 3 4" xfId="19919" xr:uid="{00000000-0005-0000-0000-0000909C0000}"/>
    <cellStyle name="Normal 3 7 6 3 4 2" xfId="47052" xr:uid="{00000000-0005-0000-0000-0000919C0000}"/>
    <cellStyle name="Normal 3 7 6 3 5" xfId="33490" xr:uid="{00000000-0005-0000-0000-0000929C0000}"/>
    <cellStyle name="Normal 3 7 6 4" xfId="9729" xr:uid="{00000000-0005-0000-0000-0000939C0000}"/>
    <cellStyle name="Normal 3 7 6 4 2" xfId="16519" xr:uid="{00000000-0005-0000-0000-0000949C0000}"/>
    <cellStyle name="Normal 3 7 6 4 2 2" xfId="30087" xr:uid="{00000000-0005-0000-0000-0000959C0000}"/>
    <cellStyle name="Normal 3 7 6 4 2 2 2" xfId="57220" xr:uid="{00000000-0005-0000-0000-0000969C0000}"/>
    <cellStyle name="Normal 3 7 6 4 2 3" xfId="43658" xr:uid="{00000000-0005-0000-0000-0000979C0000}"/>
    <cellStyle name="Normal 3 7 6 4 3" xfId="23306" xr:uid="{00000000-0005-0000-0000-0000989C0000}"/>
    <cellStyle name="Normal 3 7 6 4 3 2" xfId="50439" xr:uid="{00000000-0005-0000-0000-0000999C0000}"/>
    <cellStyle name="Normal 3 7 6 4 4" xfId="36877" xr:uid="{00000000-0005-0000-0000-00009A9C0000}"/>
    <cellStyle name="Normal 3 7 6 5" xfId="13130" xr:uid="{00000000-0005-0000-0000-00009B9C0000}"/>
    <cellStyle name="Normal 3 7 6 5 2" xfId="26698" xr:uid="{00000000-0005-0000-0000-00009C9C0000}"/>
    <cellStyle name="Normal 3 7 6 5 2 2" xfId="53831" xr:uid="{00000000-0005-0000-0000-00009D9C0000}"/>
    <cellStyle name="Normal 3 7 6 5 3" xfId="40269" xr:uid="{00000000-0005-0000-0000-00009E9C0000}"/>
    <cellStyle name="Normal 3 7 6 6" xfId="19917" xr:uid="{00000000-0005-0000-0000-00009F9C0000}"/>
    <cellStyle name="Normal 3 7 6 6 2" xfId="47050" xr:uid="{00000000-0005-0000-0000-0000A09C0000}"/>
    <cellStyle name="Normal 3 7 6 7" xfId="33488" xr:uid="{00000000-0005-0000-0000-0000A19C0000}"/>
    <cellStyle name="Normal 3 7 7" xfId="6189" xr:uid="{00000000-0005-0000-0000-0000A29C0000}"/>
    <cellStyle name="Normal 3 7 7 2" xfId="6190" xr:uid="{00000000-0005-0000-0000-0000A39C0000}"/>
    <cellStyle name="Normal 3 7 7 2 2" xfId="9733" xr:uid="{00000000-0005-0000-0000-0000A49C0000}"/>
    <cellStyle name="Normal 3 7 7 2 2 2" xfId="16523" xr:uid="{00000000-0005-0000-0000-0000A59C0000}"/>
    <cellStyle name="Normal 3 7 7 2 2 2 2" xfId="30091" xr:uid="{00000000-0005-0000-0000-0000A69C0000}"/>
    <cellStyle name="Normal 3 7 7 2 2 2 2 2" xfId="57224" xr:uid="{00000000-0005-0000-0000-0000A79C0000}"/>
    <cellStyle name="Normal 3 7 7 2 2 2 3" xfId="43662" xr:uid="{00000000-0005-0000-0000-0000A89C0000}"/>
    <cellStyle name="Normal 3 7 7 2 2 3" xfId="23310" xr:uid="{00000000-0005-0000-0000-0000A99C0000}"/>
    <cellStyle name="Normal 3 7 7 2 2 3 2" xfId="50443" xr:uid="{00000000-0005-0000-0000-0000AA9C0000}"/>
    <cellStyle name="Normal 3 7 7 2 2 4" xfId="36881" xr:uid="{00000000-0005-0000-0000-0000AB9C0000}"/>
    <cellStyle name="Normal 3 7 7 2 3" xfId="13134" xr:uid="{00000000-0005-0000-0000-0000AC9C0000}"/>
    <cellStyle name="Normal 3 7 7 2 3 2" xfId="26702" xr:uid="{00000000-0005-0000-0000-0000AD9C0000}"/>
    <cellStyle name="Normal 3 7 7 2 3 2 2" xfId="53835" xr:uid="{00000000-0005-0000-0000-0000AE9C0000}"/>
    <cellStyle name="Normal 3 7 7 2 3 3" xfId="40273" xr:uid="{00000000-0005-0000-0000-0000AF9C0000}"/>
    <cellStyle name="Normal 3 7 7 2 4" xfId="19921" xr:uid="{00000000-0005-0000-0000-0000B09C0000}"/>
    <cellStyle name="Normal 3 7 7 2 4 2" xfId="47054" xr:uid="{00000000-0005-0000-0000-0000B19C0000}"/>
    <cellStyle name="Normal 3 7 7 2 5" xfId="33492" xr:uid="{00000000-0005-0000-0000-0000B29C0000}"/>
    <cellStyle name="Normal 3 7 7 3" xfId="6191" xr:uid="{00000000-0005-0000-0000-0000B39C0000}"/>
    <cellStyle name="Normal 3 7 7 3 2" xfId="9734" xr:uid="{00000000-0005-0000-0000-0000B49C0000}"/>
    <cellStyle name="Normal 3 7 7 3 2 2" xfId="16524" xr:uid="{00000000-0005-0000-0000-0000B59C0000}"/>
    <cellStyle name="Normal 3 7 7 3 2 2 2" xfId="30092" xr:uid="{00000000-0005-0000-0000-0000B69C0000}"/>
    <cellStyle name="Normal 3 7 7 3 2 2 2 2" xfId="57225" xr:uid="{00000000-0005-0000-0000-0000B79C0000}"/>
    <cellStyle name="Normal 3 7 7 3 2 2 3" xfId="43663" xr:uid="{00000000-0005-0000-0000-0000B89C0000}"/>
    <cellStyle name="Normal 3 7 7 3 2 3" xfId="23311" xr:uid="{00000000-0005-0000-0000-0000B99C0000}"/>
    <cellStyle name="Normal 3 7 7 3 2 3 2" xfId="50444" xr:uid="{00000000-0005-0000-0000-0000BA9C0000}"/>
    <cellStyle name="Normal 3 7 7 3 2 4" xfId="36882" xr:uid="{00000000-0005-0000-0000-0000BB9C0000}"/>
    <cellStyle name="Normal 3 7 7 3 3" xfId="13135" xr:uid="{00000000-0005-0000-0000-0000BC9C0000}"/>
    <cellStyle name="Normal 3 7 7 3 3 2" xfId="26703" xr:uid="{00000000-0005-0000-0000-0000BD9C0000}"/>
    <cellStyle name="Normal 3 7 7 3 3 2 2" xfId="53836" xr:uid="{00000000-0005-0000-0000-0000BE9C0000}"/>
    <cellStyle name="Normal 3 7 7 3 3 3" xfId="40274" xr:uid="{00000000-0005-0000-0000-0000BF9C0000}"/>
    <cellStyle name="Normal 3 7 7 3 4" xfId="19922" xr:uid="{00000000-0005-0000-0000-0000C09C0000}"/>
    <cellStyle name="Normal 3 7 7 3 4 2" xfId="47055" xr:uid="{00000000-0005-0000-0000-0000C19C0000}"/>
    <cellStyle name="Normal 3 7 7 3 5" xfId="33493" xr:uid="{00000000-0005-0000-0000-0000C29C0000}"/>
    <cellStyle name="Normal 3 7 7 4" xfId="9732" xr:uid="{00000000-0005-0000-0000-0000C39C0000}"/>
    <cellStyle name="Normal 3 7 7 4 2" xfId="16522" xr:uid="{00000000-0005-0000-0000-0000C49C0000}"/>
    <cellStyle name="Normal 3 7 7 4 2 2" xfId="30090" xr:uid="{00000000-0005-0000-0000-0000C59C0000}"/>
    <cellStyle name="Normal 3 7 7 4 2 2 2" xfId="57223" xr:uid="{00000000-0005-0000-0000-0000C69C0000}"/>
    <cellStyle name="Normal 3 7 7 4 2 3" xfId="43661" xr:uid="{00000000-0005-0000-0000-0000C79C0000}"/>
    <cellStyle name="Normal 3 7 7 4 3" xfId="23309" xr:uid="{00000000-0005-0000-0000-0000C89C0000}"/>
    <cellStyle name="Normal 3 7 7 4 3 2" xfId="50442" xr:uid="{00000000-0005-0000-0000-0000C99C0000}"/>
    <cellStyle name="Normal 3 7 7 4 4" xfId="36880" xr:uid="{00000000-0005-0000-0000-0000CA9C0000}"/>
    <cellStyle name="Normal 3 7 7 5" xfId="13133" xr:uid="{00000000-0005-0000-0000-0000CB9C0000}"/>
    <cellStyle name="Normal 3 7 7 5 2" xfId="26701" xr:uid="{00000000-0005-0000-0000-0000CC9C0000}"/>
    <cellStyle name="Normal 3 7 7 5 2 2" xfId="53834" xr:uid="{00000000-0005-0000-0000-0000CD9C0000}"/>
    <cellStyle name="Normal 3 7 7 5 3" xfId="40272" xr:uid="{00000000-0005-0000-0000-0000CE9C0000}"/>
    <cellStyle name="Normal 3 7 7 6" xfId="19920" xr:uid="{00000000-0005-0000-0000-0000CF9C0000}"/>
    <cellStyle name="Normal 3 7 7 6 2" xfId="47053" xr:uid="{00000000-0005-0000-0000-0000D09C0000}"/>
    <cellStyle name="Normal 3 7 7 7" xfId="33491" xr:uid="{00000000-0005-0000-0000-0000D19C0000}"/>
    <cellStyle name="Normal 3 7 8" xfId="6192" xr:uid="{00000000-0005-0000-0000-0000D29C0000}"/>
    <cellStyle name="Normal 3 7 8 2" xfId="9735" xr:uid="{00000000-0005-0000-0000-0000D39C0000}"/>
    <cellStyle name="Normal 3 7 8 2 2" xfId="16525" xr:uid="{00000000-0005-0000-0000-0000D49C0000}"/>
    <cellStyle name="Normal 3 7 8 2 2 2" xfId="30093" xr:uid="{00000000-0005-0000-0000-0000D59C0000}"/>
    <cellStyle name="Normal 3 7 8 2 2 2 2" xfId="57226" xr:uid="{00000000-0005-0000-0000-0000D69C0000}"/>
    <cellStyle name="Normal 3 7 8 2 2 3" xfId="43664" xr:uid="{00000000-0005-0000-0000-0000D79C0000}"/>
    <cellStyle name="Normal 3 7 8 2 3" xfId="23312" xr:uid="{00000000-0005-0000-0000-0000D89C0000}"/>
    <cellStyle name="Normal 3 7 8 2 3 2" xfId="50445" xr:uid="{00000000-0005-0000-0000-0000D99C0000}"/>
    <cellStyle name="Normal 3 7 8 2 4" xfId="36883" xr:uid="{00000000-0005-0000-0000-0000DA9C0000}"/>
    <cellStyle name="Normal 3 7 8 3" xfId="13136" xr:uid="{00000000-0005-0000-0000-0000DB9C0000}"/>
    <cellStyle name="Normal 3 7 8 3 2" xfId="26704" xr:uid="{00000000-0005-0000-0000-0000DC9C0000}"/>
    <cellStyle name="Normal 3 7 8 3 2 2" xfId="53837" xr:uid="{00000000-0005-0000-0000-0000DD9C0000}"/>
    <cellStyle name="Normal 3 7 8 3 3" xfId="40275" xr:uid="{00000000-0005-0000-0000-0000DE9C0000}"/>
    <cellStyle name="Normal 3 7 8 4" xfId="19923" xr:uid="{00000000-0005-0000-0000-0000DF9C0000}"/>
    <cellStyle name="Normal 3 7 8 4 2" xfId="47056" xr:uid="{00000000-0005-0000-0000-0000E09C0000}"/>
    <cellStyle name="Normal 3 7 8 5" xfId="33494" xr:uid="{00000000-0005-0000-0000-0000E19C0000}"/>
    <cellStyle name="Normal 3 7 9" xfId="6193" xr:uid="{00000000-0005-0000-0000-0000E29C0000}"/>
    <cellStyle name="Normal 3 7 9 2" xfId="9736" xr:uid="{00000000-0005-0000-0000-0000E39C0000}"/>
    <cellStyle name="Normal 3 7 9 2 2" xfId="16526" xr:uid="{00000000-0005-0000-0000-0000E49C0000}"/>
    <cellStyle name="Normal 3 7 9 2 2 2" xfId="30094" xr:uid="{00000000-0005-0000-0000-0000E59C0000}"/>
    <cellStyle name="Normal 3 7 9 2 2 2 2" xfId="57227" xr:uid="{00000000-0005-0000-0000-0000E69C0000}"/>
    <cellStyle name="Normal 3 7 9 2 2 3" xfId="43665" xr:uid="{00000000-0005-0000-0000-0000E79C0000}"/>
    <cellStyle name="Normal 3 7 9 2 3" xfId="23313" xr:uid="{00000000-0005-0000-0000-0000E89C0000}"/>
    <cellStyle name="Normal 3 7 9 2 3 2" xfId="50446" xr:uid="{00000000-0005-0000-0000-0000E99C0000}"/>
    <cellStyle name="Normal 3 7 9 2 4" xfId="36884" xr:uid="{00000000-0005-0000-0000-0000EA9C0000}"/>
    <cellStyle name="Normal 3 7 9 3" xfId="13137" xr:uid="{00000000-0005-0000-0000-0000EB9C0000}"/>
    <cellStyle name="Normal 3 7 9 3 2" xfId="26705" xr:uid="{00000000-0005-0000-0000-0000EC9C0000}"/>
    <cellStyle name="Normal 3 7 9 3 2 2" xfId="53838" xr:uid="{00000000-0005-0000-0000-0000ED9C0000}"/>
    <cellStyle name="Normal 3 7 9 3 3" xfId="40276" xr:uid="{00000000-0005-0000-0000-0000EE9C0000}"/>
    <cellStyle name="Normal 3 7 9 4" xfId="19924" xr:uid="{00000000-0005-0000-0000-0000EF9C0000}"/>
    <cellStyle name="Normal 3 7 9 4 2" xfId="47057" xr:uid="{00000000-0005-0000-0000-0000F09C0000}"/>
    <cellStyle name="Normal 3 7 9 5" xfId="33495" xr:uid="{00000000-0005-0000-0000-0000F19C0000}"/>
    <cellStyle name="Normal 3 8" xfId="2757" xr:uid="{00000000-0005-0000-0000-0000F29C0000}"/>
    <cellStyle name="Normal 3 8 10" xfId="17758" xr:uid="{00000000-0005-0000-0000-0000F39C0000}"/>
    <cellStyle name="Normal 3 8 10 2" xfId="44891" xr:uid="{00000000-0005-0000-0000-0000F49C0000}"/>
    <cellStyle name="Normal 3 8 11" xfId="31329" xr:uid="{00000000-0005-0000-0000-0000F59C0000}"/>
    <cellStyle name="Normal 3 8 2" xfId="2758" xr:uid="{00000000-0005-0000-0000-0000F69C0000}"/>
    <cellStyle name="Normal 3 8 2 2" xfId="6194" xr:uid="{00000000-0005-0000-0000-0000F79C0000}"/>
    <cellStyle name="Normal 3 8 2 2 2" xfId="6195" xr:uid="{00000000-0005-0000-0000-0000F89C0000}"/>
    <cellStyle name="Normal 3 8 2 2 2 2" xfId="9738" xr:uid="{00000000-0005-0000-0000-0000F99C0000}"/>
    <cellStyle name="Normal 3 8 2 2 2 2 2" xfId="16528" xr:uid="{00000000-0005-0000-0000-0000FA9C0000}"/>
    <cellStyle name="Normal 3 8 2 2 2 2 2 2" xfId="30096" xr:uid="{00000000-0005-0000-0000-0000FB9C0000}"/>
    <cellStyle name="Normal 3 8 2 2 2 2 2 2 2" xfId="57229" xr:uid="{00000000-0005-0000-0000-0000FC9C0000}"/>
    <cellStyle name="Normal 3 8 2 2 2 2 2 3" xfId="43667" xr:uid="{00000000-0005-0000-0000-0000FD9C0000}"/>
    <cellStyle name="Normal 3 8 2 2 2 2 3" xfId="23315" xr:uid="{00000000-0005-0000-0000-0000FE9C0000}"/>
    <cellStyle name="Normal 3 8 2 2 2 2 3 2" xfId="50448" xr:uid="{00000000-0005-0000-0000-0000FF9C0000}"/>
    <cellStyle name="Normal 3 8 2 2 2 2 4" xfId="36886" xr:uid="{00000000-0005-0000-0000-0000009D0000}"/>
    <cellStyle name="Normal 3 8 2 2 2 3" xfId="13139" xr:uid="{00000000-0005-0000-0000-0000019D0000}"/>
    <cellStyle name="Normal 3 8 2 2 2 3 2" xfId="26707" xr:uid="{00000000-0005-0000-0000-0000029D0000}"/>
    <cellStyle name="Normal 3 8 2 2 2 3 2 2" xfId="53840" xr:uid="{00000000-0005-0000-0000-0000039D0000}"/>
    <cellStyle name="Normal 3 8 2 2 2 3 3" xfId="40278" xr:uid="{00000000-0005-0000-0000-0000049D0000}"/>
    <cellStyle name="Normal 3 8 2 2 2 4" xfId="19926" xr:uid="{00000000-0005-0000-0000-0000059D0000}"/>
    <cellStyle name="Normal 3 8 2 2 2 4 2" xfId="47059" xr:uid="{00000000-0005-0000-0000-0000069D0000}"/>
    <cellStyle name="Normal 3 8 2 2 2 5" xfId="33497" xr:uid="{00000000-0005-0000-0000-0000079D0000}"/>
    <cellStyle name="Normal 3 8 2 2 3" xfId="6196" xr:uid="{00000000-0005-0000-0000-0000089D0000}"/>
    <cellStyle name="Normal 3 8 2 2 3 2" xfId="9739" xr:uid="{00000000-0005-0000-0000-0000099D0000}"/>
    <cellStyle name="Normal 3 8 2 2 3 2 2" xfId="16529" xr:uid="{00000000-0005-0000-0000-00000A9D0000}"/>
    <cellStyle name="Normal 3 8 2 2 3 2 2 2" xfId="30097" xr:uid="{00000000-0005-0000-0000-00000B9D0000}"/>
    <cellStyle name="Normal 3 8 2 2 3 2 2 2 2" xfId="57230" xr:uid="{00000000-0005-0000-0000-00000C9D0000}"/>
    <cellStyle name="Normal 3 8 2 2 3 2 2 3" xfId="43668" xr:uid="{00000000-0005-0000-0000-00000D9D0000}"/>
    <cellStyle name="Normal 3 8 2 2 3 2 3" xfId="23316" xr:uid="{00000000-0005-0000-0000-00000E9D0000}"/>
    <cellStyle name="Normal 3 8 2 2 3 2 3 2" xfId="50449" xr:uid="{00000000-0005-0000-0000-00000F9D0000}"/>
    <cellStyle name="Normal 3 8 2 2 3 2 4" xfId="36887" xr:uid="{00000000-0005-0000-0000-0000109D0000}"/>
    <cellStyle name="Normal 3 8 2 2 3 3" xfId="13140" xr:uid="{00000000-0005-0000-0000-0000119D0000}"/>
    <cellStyle name="Normal 3 8 2 2 3 3 2" xfId="26708" xr:uid="{00000000-0005-0000-0000-0000129D0000}"/>
    <cellStyle name="Normal 3 8 2 2 3 3 2 2" xfId="53841" xr:uid="{00000000-0005-0000-0000-0000139D0000}"/>
    <cellStyle name="Normal 3 8 2 2 3 3 3" xfId="40279" xr:uid="{00000000-0005-0000-0000-0000149D0000}"/>
    <cellStyle name="Normal 3 8 2 2 3 4" xfId="19927" xr:uid="{00000000-0005-0000-0000-0000159D0000}"/>
    <cellStyle name="Normal 3 8 2 2 3 4 2" xfId="47060" xr:uid="{00000000-0005-0000-0000-0000169D0000}"/>
    <cellStyle name="Normal 3 8 2 2 3 5" xfId="33498" xr:uid="{00000000-0005-0000-0000-0000179D0000}"/>
    <cellStyle name="Normal 3 8 2 2 4" xfId="9737" xr:uid="{00000000-0005-0000-0000-0000189D0000}"/>
    <cellStyle name="Normal 3 8 2 2 4 2" xfId="16527" xr:uid="{00000000-0005-0000-0000-0000199D0000}"/>
    <cellStyle name="Normal 3 8 2 2 4 2 2" xfId="30095" xr:uid="{00000000-0005-0000-0000-00001A9D0000}"/>
    <cellStyle name="Normal 3 8 2 2 4 2 2 2" xfId="57228" xr:uid="{00000000-0005-0000-0000-00001B9D0000}"/>
    <cellStyle name="Normal 3 8 2 2 4 2 3" xfId="43666" xr:uid="{00000000-0005-0000-0000-00001C9D0000}"/>
    <cellStyle name="Normal 3 8 2 2 4 3" xfId="23314" xr:uid="{00000000-0005-0000-0000-00001D9D0000}"/>
    <cellStyle name="Normal 3 8 2 2 4 3 2" xfId="50447" xr:uid="{00000000-0005-0000-0000-00001E9D0000}"/>
    <cellStyle name="Normal 3 8 2 2 4 4" xfId="36885" xr:uid="{00000000-0005-0000-0000-00001F9D0000}"/>
    <cellStyle name="Normal 3 8 2 2 5" xfId="13138" xr:uid="{00000000-0005-0000-0000-0000209D0000}"/>
    <cellStyle name="Normal 3 8 2 2 5 2" xfId="26706" xr:uid="{00000000-0005-0000-0000-0000219D0000}"/>
    <cellStyle name="Normal 3 8 2 2 5 2 2" xfId="53839" xr:uid="{00000000-0005-0000-0000-0000229D0000}"/>
    <cellStyle name="Normal 3 8 2 2 5 3" xfId="40277" xr:uid="{00000000-0005-0000-0000-0000239D0000}"/>
    <cellStyle name="Normal 3 8 2 2 6" xfId="19925" xr:uid="{00000000-0005-0000-0000-0000249D0000}"/>
    <cellStyle name="Normal 3 8 2 2 6 2" xfId="47058" xr:uid="{00000000-0005-0000-0000-0000259D0000}"/>
    <cellStyle name="Normal 3 8 2 2 7" xfId="33496" xr:uid="{00000000-0005-0000-0000-0000269D0000}"/>
    <cellStyle name="Normal 3 8 2 3" xfId="6197" xr:uid="{00000000-0005-0000-0000-0000279D0000}"/>
    <cellStyle name="Normal 3 8 2 3 2" xfId="6198" xr:uid="{00000000-0005-0000-0000-0000289D0000}"/>
    <cellStyle name="Normal 3 8 2 3 2 2" xfId="9741" xr:uid="{00000000-0005-0000-0000-0000299D0000}"/>
    <cellStyle name="Normal 3 8 2 3 2 2 2" xfId="16531" xr:uid="{00000000-0005-0000-0000-00002A9D0000}"/>
    <cellStyle name="Normal 3 8 2 3 2 2 2 2" xfId="30099" xr:uid="{00000000-0005-0000-0000-00002B9D0000}"/>
    <cellStyle name="Normal 3 8 2 3 2 2 2 2 2" xfId="57232" xr:uid="{00000000-0005-0000-0000-00002C9D0000}"/>
    <cellStyle name="Normal 3 8 2 3 2 2 2 3" xfId="43670" xr:uid="{00000000-0005-0000-0000-00002D9D0000}"/>
    <cellStyle name="Normal 3 8 2 3 2 2 3" xfId="23318" xr:uid="{00000000-0005-0000-0000-00002E9D0000}"/>
    <cellStyle name="Normal 3 8 2 3 2 2 3 2" xfId="50451" xr:uid="{00000000-0005-0000-0000-00002F9D0000}"/>
    <cellStyle name="Normal 3 8 2 3 2 2 4" xfId="36889" xr:uid="{00000000-0005-0000-0000-0000309D0000}"/>
    <cellStyle name="Normal 3 8 2 3 2 3" xfId="13142" xr:uid="{00000000-0005-0000-0000-0000319D0000}"/>
    <cellStyle name="Normal 3 8 2 3 2 3 2" xfId="26710" xr:uid="{00000000-0005-0000-0000-0000329D0000}"/>
    <cellStyle name="Normal 3 8 2 3 2 3 2 2" xfId="53843" xr:uid="{00000000-0005-0000-0000-0000339D0000}"/>
    <cellStyle name="Normal 3 8 2 3 2 3 3" xfId="40281" xr:uid="{00000000-0005-0000-0000-0000349D0000}"/>
    <cellStyle name="Normal 3 8 2 3 2 4" xfId="19929" xr:uid="{00000000-0005-0000-0000-0000359D0000}"/>
    <cellStyle name="Normal 3 8 2 3 2 4 2" xfId="47062" xr:uid="{00000000-0005-0000-0000-0000369D0000}"/>
    <cellStyle name="Normal 3 8 2 3 2 5" xfId="33500" xr:uid="{00000000-0005-0000-0000-0000379D0000}"/>
    <cellStyle name="Normal 3 8 2 3 3" xfId="9740" xr:uid="{00000000-0005-0000-0000-0000389D0000}"/>
    <cellStyle name="Normal 3 8 2 3 3 2" xfId="16530" xr:uid="{00000000-0005-0000-0000-0000399D0000}"/>
    <cellStyle name="Normal 3 8 2 3 3 2 2" xfId="30098" xr:uid="{00000000-0005-0000-0000-00003A9D0000}"/>
    <cellStyle name="Normal 3 8 2 3 3 2 2 2" xfId="57231" xr:uid="{00000000-0005-0000-0000-00003B9D0000}"/>
    <cellStyle name="Normal 3 8 2 3 3 2 3" xfId="43669" xr:uid="{00000000-0005-0000-0000-00003C9D0000}"/>
    <cellStyle name="Normal 3 8 2 3 3 3" xfId="23317" xr:uid="{00000000-0005-0000-0000-00003D9D0000}"/>
    <cellStyle name="Normal 3 8 2 3 3 3 2" xfId="50450" xr:uid="{00000000-0005-0000-0000-00003E9D0000}"/>
    <cellStyle name="Normal 3 8 2 3 3 4" xfId="36888" xr:uid="{00000000-0005-0000-0000-00003F9D0000}"/>
    <cellStyle name="Normal 3 8 2 3 4" xfId="13141" xr:uid="{00000000-0005-0000-0000-0000409D0000}"/>
    <cellStyle name="Normal 3 8 2 3 4 2" xfId="26709" xr:uid="{00000000-0005-0000-0000-0000419D0000}"/>
    <cellStyle name="Normal 3 8 2 3 4 2 2" xfId="53842" xr:uid="{00000000-0005-0000-0000-0000429D0000}"/>
    <cellStyle name="Normal 3 8 2 3 4 3" xfId="40280" xr:uid="{00000000-0005-0000-0000-0000439D0000}"/>
    <cellStyle name="Normal 3 8 2 3 5" xfId="19928" xr:uid="{00000000-0005-0000-0000-0000449D0000}"/>
    <cellStyle name="Normal 3 8 2 3 5 2" xfId="47061" xr:uid="{00000000-0005-0000-0000-0000459D0000}"/>
    <cellStyle name="Normal 3 8 2 3 6" xfId="33499" xr:uid="{00000000-0005-0000-0000-0000469D0000}"/>
    <cellStyle name="Normal 3 8 2 4" xfId="6199" xr:uid="{00000000-0005-0000-0000-0000479D0000}"/>
    <cellStyle name="Normal 3 8 2 4 2" xfId="9742" xr:uid="{00000000-0005-0000-0000-0000489D0000}"/>
    <cellStyle name="Normal 3 8 2 4 2 2" xfId="16532" xr:uid="{00000000-0005-0000-0000-0000499D0000}"/>
    <cellStyle name="Normal 3 8 2 4 2 2 2" xfId="30100" xr:uid="{00000000-0005-0000-0000-00004A9D0000}"/>
    <cellStyle name="Normal 3 8 2 4 2 2 2 2" xfId="57233" xr:uid="{00000000-0005-0000-0000-00004B9D0000}"/>
    <cellStyle name="Normal 3 8 2 4 2 2 3" xfId="43671" xr:uid="{00000000-0005-0000-0000-00004C9D0000}"/>
    <cellStyle name="Normal 3 8 2 4 2 3" xfId="23319" xr:uid="{00000000-0005-0000-0000-00004D9D0000}"/>
    <cellStyle name="Normal 3 8 2 4 2 3 2" xfId="50452" xr:uid="{00000000-0005-0000-0000-00004E9D0000}"/>
    <cellStyle name="Normal 3 8 2 4 2 4" xfId="36890" xr:uid="{00000000-0005-0000-0000-00004F9D0000}"/>
    <cellStyle name="Normal 3 8 2 4 3" xfId="13143" xr:uid="{00000000-0005-0000-0000-0000509D0000}"/>
    <cellStyle name="Normal 3 8 2 4 3 2" xfId="26711" xr:uid="{00000000-0005-0000-0000-0000519D0000}"/>
    <cellStyle name="Normal 3 8 2 4 3 2 2" xfId="53844" xr:uid="{00000000-0005-0000-0000-0000529D0000}"/>
    <cellStyle name="Normal 3 8 2 4 3 3" xfId="40282" xr:uid="{00000000-0005-0000-0000-0000539D0000}"/>
    <cellStyle name="Normal 3 8 2 4 4" xfId="19930" xr:uid="{00000000-0005-0000-0000-0000549D0000}"/>
    <cellStyle name="Normal 3 8 2 4 4 2" xfId="47063" xr:uid="{00000000-0005-0000-0000-0000559D0000}"/>
    <cellStyle name="Normal 3 8 2 4 5" xfId="33501" xr:uid="{00000000-0005-0000-0000-0000569D0000}"/>
    <cellStyle name="Normal 3 8 2 5" xfId="6200" xr:uid="{00000000-0005-0000-0000-0000579D0000}"/>
    <cellStyle name="Normal 3 8 2 5 2" xfId="9743" xr:uid="{00000000-0005-0000-0000-0000589D0000}"/>
    <cellStyle name="Normal 3 8 2 5 2 2" xfId="16533" xr:uid="{00000000-0005-0000-0000-0000599D0000}"/>
    <cellStyle name="Normal 3 8 2 5 2 2 2" xfId="30101" xr:uid="{00000000-0005-0000-0000-00005A9D0000}"/>
    <cellStyle name="Normal 3 8 2 5 2 2 2 2" xfId="57234" xr:uid="{00000000-0005-0000-0000-00005B9D0000}"/>
    <cellStyle name="Normal 3 8 2 5 2 2 3" xfId="43672" xr:uid="{00000000-0005-0000-0000-00005C9D0000}"/>
    <cellStyle name="Normal 3 8 2 5 2 3" xfId="23320" xr:uid="{00000000-0005-0000-0000-00005D9D0000}"/>
    <cellStyle name="Normal 3 8 2 5 2 3 2" xfId="50453" xr:uid="{00000000-0005-0000-0000-00005E9D0000}"/>
    <cellStyle name="Normal 3 8 2 5 2 4" xfId="36891" xr:uid="{00000000-0005-0000-0000-00005F9D0000}"/>
    <cellStyle name="Normal 3 8 2 5 3" xfId="13144" xr:uid="{00000000-0005-0000-0000-0000609D0000}"/>
    <cellStyle name="Normal 3 8 2 5 3 2" xfId="26712" xr:uid="{00000000-0005-0000-0000-0000619D0000}"/>
    <cellStyle name="Normal 3 8 2 5 3 2 2" xfId="53845" xr:uid="{00000000-0005-0000-0000-0000629D0000}"/>
    <cellStyle name="Normal 3 8 2 5 3 3" xfId="40283" xr:uid="{00000000-0005-0000-0000-0000639D0000}"/>
    <cellStyle name="Normal 3 8 2 5 4" xfId="19931" xr:uid="{00000000-0005-0000-0000-0000649D0000}"/>
    <cellStyle name="Normal 3 8 2 5 4 2" xfId="47064" xr:uid="{00000000-0005-0000-0000-0000659D0000}"/>
    <cellStyle name="Normal 3 8 2 5 5" xfId="33502" xr:uid="{00000000-0005-0000-0000-0000669D0000}"/>
    <cellStyle name="Normal 3 8 2 6" xfId="7571" xr:uid="{00000000-0005-0000-0000-0000679D0000}"/>
    <cellStyle name="Normal 3 8 2 6 2" xfId="14361" xr:uid="{00000000-0005-0000-0000-0000689D0000}"/>
    <cellStyle name="Normal 3 8 2 6 2 2" xfId="27929" xr:uid="{00000000-0005-0000-0000-0000699D0000}"/>
    <cellStyle name="Normal 3 8 2 6 2 2 2" xfId="55062" xr:uid="{00000000-0005-0000-0000-00006A9D0000}"/>
    <cellStyle name="Normal 3 8 2 6 2 3" xfId="41500" xr:uid="{00000000-0005-0000-0000-00006B9D0000}"/>
    <cellStyle name="Normal 3 8 2 6 3" xfId="21148" xr:uid="{00000000-0005-0000-0000-00006C9D0000}"/>
    <cellStyle name="Normal 3 8 2 6 3 2" xfId="48281" xr:uid="{00000000-0005-0000-0000-00006D9D0000}"/>
    <cellStyle name="Normal 3 8 2 6 4" xfId="34719" xr:uid="{00000000-0005-0000-0000-00006E9D0000}"/>
    <cellStyle name="Normal 3 8 2 7" xfId="10972" xr:uid="{00000000-0005-0000-0000-00006F9D0000}"/>
    <cellStyle name="Normal 3 8 2 7 2" xfId="24540" xr:uid="{00000000-0005-0000-0000-0000709D0000}"/>
    <cellStyle name="Normal 3 8 2 7 2 2" xfId="51673" xr:uid="{00000000-0005-0000-0000-0000719D0000}"/>
    <cellStyle name="Normal 3 8 2 7 3" xfId="38111" xr:uid="{00000000-0005-0000-0000-0000729D0000}"/>
    <cellStyle name="Normal 3 8 2 8" xfId="17759" xr:uid="{00000000-0005-0000-0000-0000739D0000}"/>
    <cellStyle name="Normal 3 8 2 8 2" xfId="44892" xr:uid="{00000000-0005-0000-0000-0000749D0000}"/>
    <cellStyle name="Normal 3 8 2 9" xfId="31330" xr:uid="{00000000-0005-0000-0000-0000759D0000}"/>
    <cellStyle name="Normal 3 8 3" xfId="6201" xr:uid="{00000000-0005-0000-0000-0000769D0000}"/>
    <cellStyle name="Normal 3 8 3 2" xfId="6202" xr:uid="{00000000-0005-0000-0000-0000779D0000}"/>
    <cellStyle name="Normal 3 8 3 2 2" xfId="6203" xr:uid="{00000000-0005-0000-0000-0000789D0000}"/>
    <cellStyle name="Normal 3 8 3 2 2 2" xfId="9746" xr:uid="{00000000-0005-0000-0000-0000799D0000}"/>
    <cellStyle name="Normal 3 8 3 2 2 2 2" xfId="16536" xr:uid="{00000000-0005-0000-0000-00007A9D0000}"/>
    <cellStyle name="Normal 3 8 3 2 2 2 2 2" xfId="30104" xr:uid="{00000000-0005-0000-0000-00007B9D0000}"/>
    <cellStyle name="Normal 3 8 3 2 2 2 2 2 2" xfId="57237" xr:uid="{00000000-0005-0000-0000-00007C9D0000}"/>
    <cellStyle name="Normal 3 8 3 2 2 2 2 3" xfId="43675" xr:uid="{00000000-0005-0000-0000-00007D9D0000}"/>
    <cellStyle name="Normal 3 8 3 2 2 2 3" xfId="23323" xr:uid="{00000000-0005-0000-0000-00007E9D0000}"/>
    <cellStyle name="Normal 3 8 3 2 2 2 3 2" xfId="50456" xr:uid="{00000000-0005-0000-0000-00007F9D0000}"/>
    <cellStyle name="Normal 3 8 3 2 2 2 4" xfId="36894" xr:uid="{00000000-0005-0000-0000-0000809D0000}"/>
    <cellStyle name="Normal 3 8 3 2 2 3" xfId="13147" xr:uid="{00000000-0005-0000-0000-0000819D0000}"/>
    <cellStyle name="Normal 3 8 3 2 2 3 2" xfId="26715" xr:uid="{00000000-0005-0000-0000-0000829D0000}"/>
    <cellStyle name="Normal 3 8 3 2 2 3 2 2" xfId="53848" xr:uid="{00000000-0005-0000-0000-0000839D0000}"/>
    <cellStyle name="Normal 3 8 3 2 2 3 3" xfId="40286" xr:uid="{00000000-0005-0000-0000-0000849D0000}"/>
    <cellStyle name="Normal 3 8 3 2 2 4" xfId="19934" xr:uid="{00000000-0005-0000-0000-0000859D0000}"/>
    <cellStyle name="Normal 3 8 3 2 2 4 2" xfId="47067" xr:uid="{00000000-0005-0000-0000-0000869D0000}"/>
    <cellStyle name="Normal 3 8 3 2 2 5" xfId="33505" xr:uid="{00000000-0005-0000-0000-0000879D0000}"/>
    <cellStyle name="Normal 3 8 3 2 3" xfId="6204" xr:uid="{00000000-0005-0000-0000-0000889D0000}"/>
    <cellStyle name="Normal 3 8 3 2 3 2" xfId="9747" xr:uid="{00000000-0005-0000-0000-0000899D0000}"/>
    <cellStyle name="Normal 3 8 3 2 3 2 2" xfId="16537" xr:uid="{00000000-0005-0000-0000-00008A9D0000}"/>
    <cellStyle name="Normal 3 8 3 2 3 2 2 2" xfId="30105" xr:uid="{00000000-0005-0000-0000-00008B9D0000}"/>
    <cellStyle name="Normal 3 8 3 2 3 2 2 2 2" xfId="57238" xr:uid="{00000000-0005-0000-0000-00008C9D0000}"/>
    <cellStyle name="Normal 3 8 3 2 3 2 2 3" xfId="43676" xr:uid="{00000000-0005-0000-0000-00008D9D0000}"/>
    <cellStyle name="Normal 3 8 3 2 3 2 3" xfId="23324" xr:uid="{00000000-0005-0000-0000-00008E9D0000}"/>
    <cellStyle name="Normal 3 8 3 2 3 2 3 2" xfId="50457" xr:uid="{00000000-0005-0000-0000-00008F9D0000}"/>
    <cellStyle name="Normal 3 8 3 2 3 2 4" xfId="36895" xr:uid="{00000000-0005-0000-0000-0000909D0000}"/>
    <cellStyle name="Normal 3 8 3 2 3 3" xfId="13148" xr:uid="{00000000-0005-0000-0000-0000919D0000}"/>
    <cellStyle name="Normal 3 8 3 2 3 3 2" xfId="26716" xr:uid="{00000000-0005-0000-0000-0000929D0000}"/>
    <cellStyle name="Normal 3 8 3 2 3 3 2 2" xfId="53849" xr:uid="{00000000-0005-0000-0000-0000939D0000}"/>
    <cellStyle name="Normal 3 8 3 2 3 3 3" xfId="40287" xr:uid="{00000000-0005-0000-0000-0000949D0000}"/>
    <cellStyle name="Normal 3 8 3 2 3 4" xfId="19935" xr:uid="{00000000-0005-0000-0000-0000959D0000}"/>
    <cellStyle name="Normal 3 8 3 2 3 4 2" xfId="47068" xr:uid="{00000000-0005-0000-0000-0000969D0000}"/>
    <cellStyle name="Normal 3 8 3 2 3 5" xfId="33506" xr:uid="{00000000-0005-0000-0000-0000979D0000}"/>
    <cellStyle name="Normal 3 8 3 2 4" xfId="9745" xr:uid="{00000000-0005-0000-0000-0000989D0000}"/>
    <cellStyle name="Normal 3 8 3 2 4 2" xfId="16535" xr:uid="{00000000-0005-0000-0000-0000999D0000}"/>
    <cellStyle name="Normal 3 8 3 2 4 2 2" xfId="30103" xr:uid="{00000000-0005-0000-0000-00009A9D0000}"/>
    <cellStyle name="Normal 3 8 3 2 4 2 2 2" xfId="57236" xr:uid="{00000000-0005-0000-0000-00009B9D0000}"/>
    <cellStyle name="Normal 3 8 3 2 4 2 3" xfId="43674" xr:uid="{00000000-0005-0000-0000-00009C9D0000}"/>
    <cellStyle name="Normal 3 8 3 2 4 3" xfId="23322" xr:uid="{00000000-0005-0000-0000-00009D9D0000}"/>
    <cellStyle name="Normal 3 8 3 2 4 3 2" xfId="50455" xr:uid="{00000000-0005-0000-0000-00009E9D0000}"/>
    <cellStyle name="Normal 3 8 3 2 4 4" xfId="36893" xr:uid="{00000000-0005-0000-0000-00009F9D0000}"/>
    <cellStyle name="Normal 3 8 3 2 5" xfId="13146" xr:uid="{00000000-0005-0000-0000-0000A09D0000}"/>
    <cellStyle name="Normal 3 8 3 2 5 2" xfId="26714" xr:uid="{00000000-0005-0000-0000-0000A19D0000}"/>
    <cellStyle name="Normal 3 8 3 2 5 2 2" xfId="53847" xr:uid="{00000000-0005-0000-0000-0000A29D0000}"/>
    <cellStyle name="Normal 3 8 3 2 5 3" xfId="40285" xr:uid="{00000000-0005-0000-0000-0000A39D0000}"/>
    <cellStyle name="Normal 3 8 3 2 6" xfId="19933" xr:uid="{00000000-0005-0000-0000-0000A49D0000}"/>
    <cellStyle name="Normal 3 8 3 2 6 2" xfId="47066" xr:uid="{00000000-0005-0000-0000-0000A59D0000}"/>
    <cellStyle name="Normal 3 8 3 2 7" xfId="33504" xr:uid="{00000000-0005-0000-0000-0000A69D0000}"/>
    <cellStyle name="Normal 3 8 3 3" xfId="6205" xr:uid="{00000000-0005-0000-0000-0000A79D0000}"/>
    <cellStyle name="Normal 3 8 3 3 2" xfId="9748" xr:uid="{00000000-0005-0000-0000-0000A89D0000}"/>
    <cellStyle name="Normal 3 8 3 3 2 2" xfId="16538" xr:uid="{00000000-0005-0000-0000-0000A99D0000}"/>
    <cellStyle name="Normal 3 8 3 3 2 2 2" xfId="30106" xr:uid="{00000000-0005-0000-0000-0000AA9D0000}"/>
    <cellStyle name="Normal 3 8 3 3 2 2 2 2" xfId="57239" xr:uid="{00000000-0005-0000-0000-0000AB9D0000}"/>
    <cellStyle name="Normal 3 8 3 3 2 2 3" xfId="43677" xr:uid="{00000000-0005-0000-0000-0000AC9D0000}"/>
    <cellStyle name="Normal 3 8 3 3 2 3" xfId="23325" xr:uid="{00000000-0005-0000-0000-0000AD9D0000}"/>
    <cellStyle name="Normal 3 8 3 3 2 3 2" xfId="50458" xr:uid="{00000000-0005-0000-0000-0000AE9D0000}"/>
    <cellStyle name="Normal 3 8 3 3 2 4" xfId="36896" xr:uid="{00000000-0005-0000-0000-0000AF9D0000}"/>
    <cellStyle name="Normal 3 8 3 3 3" xfId="13149" xr:uid="{00000000-0005-0000-0000-0000B09D0000}"/>
    <cellStyle name="Normal 3 8 3 3 3 2" xfId="26717" xr:uid="{00000000-0005-0000-0000-0000B19D0000}"/>
    <cellStyle name="Normal 3 8 3 3 3 2 2" xfId="53850" xr:uid="{00000000-0005-0000-0000-0000B29D0000}"/>
    <cellStyle name="Normal 3 8 3 3 3 3" xfId="40288" xr:uid="{00000000-0005-0000-0000-0000B39D0000}"/>
    <cellStyle name="Normal 3 8 3 3 4" xfId="19936" xr:uid="{00000000-0005-0000-0000-0000B49D0000}"/>
    <cellStyle name="Normal 3 8 3 3 4 2" xfId="47069" xr:uid="{00000000-0005-0000-0000-0000B59D0000}"/>
    <cellStyle name="Normal 3 8 3 3 5" xfId="33507" xr:uid="{00000000-0005-0000-0000-0000B69D0000}"/>
    <cellStyle name="Normal 3 8 3 4" xfId="6206" xr:uid="{00000000-0005-0000-0000-0000B79D0000}"/>
    <cellStyle name="Normal 3 8 3 4 2" xfId="9749" xr:uid="{00000000-0005-0000-0000-0000B89D0000}"/>
    <cellStyle name="Normal 3 8 3 4 2 2" xfId="16539" xr:uid="{00000000-0005-0000-0000-0000B99D0000}"/>
    <cellStyle name="Normal 3 8 3 4 2 2 2" xfId="30107" xr:uid="{00000000-0005-0000-0000-0000BA9D0000}"/>
    <cellStyle name="Normal 3 8 3 4 2 2 2 2" xfId="57240" xr:uid="{00000000-0005-0000-0000-0000BB9D0000}"/>
    <cellStyle name="Normal 3 8 3 4 2 2 3" xfId="43678" xr:uid="{00000000-0005-0000-0000-0000BC9D0000}"/>
    <cellStyle name="Normal 3 8 3 4 2 3" xfId="23326" xr:uid="{00000000-0005-0000-0000-0000BD9D0000}"/>
    <cellStyle name="Normal 3 8 3 4 2 3 2" xfId="50459" xr:uid="{00000000-0005-0000-0000-0000BE9D0000}"/>
    <cellStyle name="Normal 3 8 3 4 2 4" xfId="36897" xr:uid="{00000000-0005-0000-0000-0000BF9D0000}"/>
    <cellStyle name="Normal 3 8 3 4 3" xfId="13150" xr:uid="{00000000-0005-0000-0000-0000C09D0000}"/>
    <cellStyle name="Normal 3 8 3 4 3 2" xfId="26718" xr:uid="{00000000-0005-0000-0000-0000C19D0000}"/>
    <cellStyle name="Normal 3 8 3 4 3 2 2" xfId="53851" xr:uid="{00000000-0005-0000-0000-0000C29D0000}"/>
    <cellStyle name="Normal 3 8 3 4 3 3" xfId="40289" xr:uid="{00000000-0005-0000-0000-0000C39D0000}"/>
    <cellStyle name="Normal 3 8 3 4 4" xfId="19937" xr:uid="{00000000-0005-0000-0000-0000C49D0000}"/>
    <cellStyle name="Normal 3 8 3 4 4 2" xfId="47070" xr:uid="{00000000-0005-0000-0000-0000C59D0000}"/>
    <cellStyle name="Normal 3 8 3 4 5" xfId="33508" xr:uid="{00000000-0005-0000-0000-0000C69D0000}"/>
    <cellStyle name="Normal 3 8 3 5" xfId="9744" xr:uid="{00000000-0005-0000-0000-0000C79D0000}"/>
    <cellStyle name="Normal 3 8 3 5 2" xfId="16534" xr:uid="{00000000-0005-0000-0000-0000C89D0000}"/>
    <cellStyle name="Normal 3 8 3 5 2 2" xfId="30102" xr:uid="{00000000-0005-0000-0000-0000C99D0000}"/>
    <cellStyle name="Normal 3 8 3 5 2 2 2" xfId="57235" xr:uid="{00000000-0005-0000-0000-0000CA9D0000}"/>
    <cellStyle name="Normal 3 8 3 5 2 3" xfId="43673" xr:uid="{00000000-0005-0000-0000-0000CB9D0000}"/>
    <cellStyle name="Normal 3 8 3 5 3" xfId="23321" xr:uid="{00000000-0005-0000-0000-0000CC9D0000}"/>
    <cellStyle name="Normal 3 8 3 5 3 2" xfId="50454" xr:uid="{00000000-0005-0000-0000-0000CD9D0000}"/>
    <cellStyle name="Normal 3 8 3 5 4" xfId="36892" xr:uid="{00000000-0005-0000-0000-0000CE9D0000}"/>
    <cellStyle name="Normal 3 8 3 6" xfId="13145" xr:uid="{00000000-0005-0000-0000-0000CF9D0000}"/>
    <cellStyle name="Normal 3 8 3 6 2" xfId="26713" xr:uid="{00000000-0005-0000-0000-0000D09D0000}"/>
    <cellStyle name="Normal 3 8 3 6 2 2" xfId="53846" xr:uid="{00000000-0005-0000-0000-0000D19D0000}"/>
    <cellStyle name="Normal 3 8 3 6 3" xfId="40284" xr:uid="{00000000-0005-0000-0000-0000D29D0000}"/>
    <cellStyle name="Normal 3 8 3 7" xfId="19932" xr:uid="{00000000-0005-0000-0000-0000D39D0000}"/>
    <cellStyle name="Normal 3 8 3 7 2" xfId="47065" xr:uid="{00000000-0005-0000-0000-0000D49D0000}"/>
    <cellStyle name="Normal 3 8 3 8" xfId="33503" xr:uid="{00000000-0005-0000-0000-0000D59D0000}"/>
    <cellStyle name="Normal 3 8 4" xfId="6207" xr:uid="{00000000-0005-0000-0000-0000D69D0000}"/>
    <cellStyle name="Normal 3 8 4 2" xfId="6208" xr:uid="{00000000-0005-0000-0000-0000D79D0000}"/>
    <cellStyle name="Normal 3 8 4 2 2" xfId="9751" xr:uid="{00000000-0005-0000-0000-0000D89D0000}"/>
    <cellStyle name="Normal 3 8 4 2 2 2" xfId="16541" xr:uid="{00000000-0005-0000-0000-0000D99D0000}"/>
    <cellStyle name="Normal 3 8 4 2 2 2 2" xfId="30109" xr:uid="{00000000-0005-0000-0000-0000DA9D0000}"/>
    <cellStyle name="Normal 3 8 4 2 2 2 2 2" xfId="57242" xr:uid="{00000000-0005-0000-0000-0000DB9D0000}"/>
    <cellStyle name="Normal 3 8 4 2 2 2 3" xfId="43680" xr:uid="{00000000-0005-0000-0000-0000DC9D0000}"/>
    <cellStyle name="Normal 3 8 4 2 2 3" xfId="23328" xr:uid="{00000000-0005-0000-0000-0000DD9D0000}"/>
    <cellStyle name="Normal 3 8 4 2 2 3 2" xfId="50461" xr:uid="{00000000-0005-0000-0000-0000DE9D0000}"/>
    <cellStyle name="Normal 3 8 4 2 2 4" xfId="36899" xr:uid="{00000000-0005-0000-0000-0000DF9D0000}"/>
    <cellStyle name="Normal 3 8 4 2 3" xfId="13152" xr:uid="{00000000-0005-0000-0000-0000E09D0000}"/>
    <cellStyle name="Normal 3 8 4 2 3 2" xfId="26720" xr:uid="{00000000-0005-0000-0000-0000E19D0000}"/>
    <cellStyle name="Normal 3 8 4 2 3 2 2" xfId="53853" xr:uid="{00000000-0005-0000-0000-0000E29D0000}"/>
    <cellStyle name="Normal 3 8 4 2 3 3" xfId="40291" xr:uid="{00000000-0005-0000-0000-0000E39D0000}"/>
    <cellStyle name="Normal 3 8 4 2 4" xfId="19939" xr:uid="{00000000-0005-0000-0000-0000E49D0000}"/>
    <cellStyle name="Normal 3 8 4 2 4 2" xfId="47072" xr:uid="{00000000-0005-0000-0000-0000E59D0000}"/>
    <cellStyle name="Normal 3 8 4 2 5" xfId="33510" xr:uid="{00000000-0005-0000-0000-0000E69D0000}"/>
    <cellStyle name="Normal 3 8 4 3" xfId="6209" xr:uid="{00000000-0005-0000-0000-0000E79D0000}"/>
    <cellStyle name="Normal 3 8 4 3 2" xfId="9752" xr:uid="{00000000-0005-0000-0000-0000E89D0000}"/>
    <cellStyle name="Normal 3 8 4 3 2 2" xfId="16542" xr:uid="{00000000-0005-0000-0000-0000E99D0000}"/>
    <cellStyle name="Normal 3 8 4 3 2 2 2" xfId="30110" xr:uid="{00000000-0005-0000-0000-0000EA9D0000}"/>
    <cellStyle name="Normal 3 8 4 3 2 2 2 2" xfId="57243" xr:uid="{00000000-0005-0000-0000-0000EB9D0000}"/>
    <cellStyle name="Normal 3 8 4 3 2 2 3" xfId="43681" xr:uid="{00000000-0005-0000-0000-0000EC9D0000}"/>
    <cellStyle name="Normal 3 8 4 3 2 3" xfId="23329" xr:uid="{00000000-0005-0000-0000-0000ED9D0000}"/>
    <cellStyle name="Normal 3 8 4 3 2 3 2" xfId="50462" xr:uid="{00000000-0005-0000-0000-0000EE9D0000}"/>
    <cellStyle name="Normal 3 8 4 3 2 4" xfId="36900" xr:uid="{00000000-0005-0000-0000-0000EF9D0000}"/>
    <cellStyle name="Normal 3 8 4 3 3" xfId="13153" xr:uid="{00000000-0005-0000-0000-0000F09D0000}"/>
    <cellStyle name="Normal 3 8 4 3 3 2" xfId="26721" xr:uid="{00000000-0005-0000-0000-0000F19D0000}"/>
    <cellStyle name="Normal 3 8 4 3 3 2 2" xfId="53854" xr:uid="{00000000-0005-0000-0000-0000F29D0000}"/>
    <cellStyle name="Normal 3 8 4 3 3 3" xfId="40292" xr:uid="{00000000-0005-0000-0000-0000F39D0000}"/>
    <cellStyle name="Normal 3 8 4 3 4" xfId="19940" xr:uid="{00000000-0005-0000-0000-0000F49D0000}"/>
    <cellStyle name="Normal 3 8 4 3 4 2" xfId="47073" xr:uid="{00000000-0005-0000-0000-0000F59D0000}"/>
    <cellStyle name="Normal 3 8 4 3 5" xfId="33511" xr:uid="{00000000-0005-0000-0000-0000F69D0000}"/>
    <cellStyle name="Normal 3 8 4 4" xfId="9750" xr:uid="{00000000-0005-0000-0000-0000F79D0000}"/>
    <cellStyle name="Normal 3 8 4 4 2" xfId="16540" xr:uid="{00000000-0005-0000-0000-0000F89D0000}"/>
    <cellStyle name="Normal 3 8 4 4 2 2" xfId="30108" xr:uid="{00000000-0005-0000-0000-0000F99D0000}"/>
    <cellStyle name="Normal 3 8 4 4 2 2 2" xfId="57241" xr:uid="{00000000-0005-0000-0000-0000FA9D0000}"/>
    <cellStyle name="Normal 3 8 4 4 2 3" xfId="43679" xr:uid="{00000000-0005-0000-0000-0000FB9D0000}"/>
    <cellStyle name="Normal 3 8 4 4 3" xfId="23327" xr:uid="{00000000-0005-0000-0000-0000FC9D0000}"/>
    <cellStyle name="Normal 3 8 4 4 3 2" xfId="50460" xr:uid="{00000000-0005-0000-0000-0000FD9D0000}"/>
    <cellStyle name="Normal 3 8 4 4 4" xfId="36898" xr:uid="{00000000-0005-0000-0000-0000FE9D0000}"/>
    <cellStyle name="Normal 3 8 4 5" xfId="13151" xr:uid="{00000000-0005-0000-0000-0000FF9D0000}"/>
    <cellStyle name="Normal 3 8 4 5 2" xfId="26719" xr:uid="{00000000-0005-0000-0000-0000009E0000}"/>
    <cellStyle name="Normal 3 8 4 5 2 2" xfId="53852" xr:uid="{00000000-0005-0000-0000-0000019E0000}"/>
    <cellStyle name="Normal 3 8 4 5 3" xfId="40290" xr:uid="{00000000-0005-0000-0000-0000029E0000}"/>
    <cellStyle name="Normal 3 8 4 6" xfId="19938" xr:uid="{00000000-0005-0000-0000-0000039E0000}"/>
    <cellStyle name="Normal 3 8 4 6 2" xfId="47071" xr:uid="{00000000-0005-0000-0000-0000049E0000}"/>
    <cellStyle name="Normal 3 8 4 7" xfId="33509" xr:uid="{00000000-0005-0000-0000-0000059E0000}"/>
    <cellStyle name="Normal 3 8 5" xfId="6210" xr:uid="{00000000-0005-0000-0000-0000069E0000}"/>
    <cellStyle name="Normal 3 8 5 2" xfId="6211" xr:uid="{00000000-0005-0000-0000-0000079E0000}"/>
    <cellStyle name="Normal 3 8 5 2 2" xfId="9754" xr:uid="{00000000-0005-0000-0000-0000089E0000}"/>
    <cellStyle name="Normal 3 8 5 2 2 2" xfId="16544" xr:uid="{00000000-0005-0000-0000-0000099E0000}"/>
    <cellStyle name="Normal 3 8 5 2 2 2 2" xfId="30112" xr:uid="{00000000-0005-0000-0000-00000A9E0000}"/>
    <cellStyle name="Normal 3 8 5 2 2 2 2 2" xfId="57245" xr:uid="{00000000-0005-0000-0000-00000B9E0000}"/>
    <cellStyle name="Normal 3 8 5 2 2 2 3" xfId="43683" xr:uid="{00000000-0005-0000-0000-00000C9E0000}"/>
    <cellStyle name="Normal 3 8 5 2 2 3" xfId="23331" xr:uid="{00000000-0005-0000-0000-00000D9E0000}"/>
    <cellStyle name="Normal 3 8 5 2 2 3 2" xfId="50464" xr:uid="{00000000-0005-0000-0000-00000E9E0000}"/>
    <cellStyle name="Normal 3 8 5 2 2 4" xfId="36902" xr:uid="{00000000-0005-0000-0000-00000F9E0000}"/>
    <cellStyle name="Normal 3 8 5 2 3" xfId="13155" xr:uid="{00000000-0005-0000-0000-0000109E0000}"/>
    <cellStyle name="Normal 3 8 5 2 3 2" xfId="26723" xr:uid="{00000000-0005-0000-0000-0000119E0000}"/>
    <cellStyle name="Normal 3 8 5 2 3 2 2" xfId="53856" xr:uid="{00000000-0005-0000-0000-0000129E0000}"/>
    <cellStyle name="Normal 3 8 5 2 3 3" xfId="40294" xr:uid="{00000000-0005-0000-0000-0000139E0000}"/>
    <cellStyle name="Normal 3 8 5 2 4" xfId="19942" xr:uid="{00000000-0005-0000-0000-0000149E0000}"/>
    <cellStyle name="Normal 3 8 5 2 4 2" xfId="47075" xr:uid="{00000000-0005-0000-0000-0000159E0000}"/>
    <cellStyle name="Normal 3 8 5 2 5" xfId="33513" xr:uid="{00000000-0005-0000-0000-0000169E0000}"/>
    <cellStyle name="Normal 3 8 5 3" xfId="9753" xr:uid="{00000000-0005-0000-0000-0000179E0000}"/>
    <cellStyle name="Normal 3 8 5 3 2" xfId="16543" xr:uid="{00000000-0005-0000-0000-0000189E0000}"/>
    <cellStyle name="Normal 3 8 5 3 2 2" xfId="30111" xr:uid="{00000000-0005-0000-0000-0000199E0000}"/>
    <cellStyle name="Normal 3 8 5 3 2 2 2" xfId="57244" xr:uid="{00000000-0005-0000-0000-00001A9E0000}"/>
    <cellStyle name="Normal 3 8 5 3 2 3" xfId="43682" xr:uid="{00000000-0005-0000-0000-00001B9E0000}"/>
    <cellStyle name="Normal 3 8 5 3 3" xfId="23330" xr:uid="{00000000-0005-0000-0000-00001C9E0000}"/>
    <cellStyle name="Normal 3 8 5 3 3 2" xfId="50463" xr:uid="{00000000-0005-0000-0000-00001D9E0000}"/>
    <cellStyle name="Normal 3 8 5 3 4" xfId="36901" xr:uid="{00000000-0005-0000-0000-00001E9E0000}"/>
    <cellStyle name="Normal 3 8 5 4" xfId="13154" xr:uid="{00000000-0005-0000-0000-00001F9E0000}"/>
    <cellStyle name="Normal 3 8 5 4 2" xfId="26722" xr:uid="{00000000-0005-0000-0000-0000209E0000}"/>
    <cellStyle name="Normal 3 8 5 4 2 2" xfId="53855" xr:uid="{00000000-0005-0000-0000-0000219E0000}"/>
    <cellStyle name="Normal 3 8 5 4 3" xfId="40293" xr:uid="{00000000-0005-0000-0000-0000229E0000}"/>
    <cellStyle name="Normal 3 8 5 5" xfId="19941" xr:uid="{00000000-0005-0000-0000-0000239E0000}"/>
    <cellStyle name="Normal 3 8 5 5 2" xfId="47074" xr:uid="{00000000-0005-0000-0000-0000249E0000}"/>
    <cellStyle name="Normal 3 8 5 6" xfId="33512" xr:uid="{00000000-0005-0000-0000-0000259E0000}"/>
    <cellStyle name="Normal 3 8 6" xfId="6212" xr:uid="{00000000-0005-0000-0000-0000269E0000}"/>
    <cellStyle name="Normal 3 8 6 2" xfId="9755" xr:uid="{00000000-0005-0000-0000-0000279E0000}"/>
    <cellStyle name="Normal 3 8 6 2 2" xfId="16545" xr:uid="{00000000-0005-0000-0000-0000289E0000}"/>
    <cellStyle name="Normal 3 8 6 2 2 2" xfId="30113" xr:uid="{00000000-0005-0000-0000-0000299E0000}"/>
    <cellStyle name="Normal 3 8 6 2 2 2 2" xfId="57246" xr:uid="{00000000-0005-0000-0000-00002A9E0000}"/>
    <cellStyle name="Normal 3 8 6 2 2 3" xfId="43684" xr:uid="{00000000-0005-0000-0000-00002B9E0000}"/>
    <cellStyle name="Normal 3 8 6 2 3" xfId="23332" xr:uid="{00000000-0005-0000-0000-00002C9E0000}"/>
    <cellStyle name="Normal 3 8 6 2 3 2" xfId="50465" xr:uid="{00000000-0005-0000-0000-00002D9E0000}"/>
    <cellStyle name="Normal 3 8 6 2 4" xfId="36903" xr:uid="{00000000-0005-0000-0000-00002E9E0000}"/>
    <cellStyle name="Normal 3 8 6 3" xfId="13156" xr:uid="{00000000-0005-0000-0000-00002F9E0000}"/>
    <cellStyle name="Normal 3 8 6 3 2" xfId="26724" xr:uid="{00000000-0005-0000-0000-0000309E0000}"/>
    <cellStyle name="Normal 3 8 6 3 2 2" xfId="53857" xr:uid="{00000000-0005-0000-0000-0000319E0000}"/>
    <cellStyle name="Normal 3 8 6 3 3" xfId="40295" xr:uid="{00000000-0005-0000-0000-0000329E0000}"/>
    <cellStyle name="Normal 3 8 6 4" xfId="19943" xr:uid="{00000000-0005-0000-0000-0000339E0000}"/>
    <cellStyle name="Normal 3 8 6 4 2" xfId="47076" xr:uid="{00000000-0005-0000-0000-0000349E0000}"/>
    <cellStyle name="Normal 3 8 6 5" xfId="33514" xr:uid="{00000000-0005-0000-0000-0000359E0000}"/>
    <cellStyle name="Normal 3 8 7" xfId="6213" xr:uid="{00000000-0005-0000-0000-0000369E0000}"/>
    <cellStyle name="Normal 3 8 7 2" xfId="9756" xr:uid="{00000000-0005-0000-0000-0000379E0000}"/>
    <cellStyle name="Normal 3 8 7 2 2" xfId="16546" xr:uid="{00000000-0005-0000-0000-0000389E0000}"/>
    <cellStyle name="Normal 3 8 7 2 2 2" xfId="30114" xr:uid="{00000000-0005-0000-0000-0000399E0000}"/>
    <cellStyle name="Normal 3 8 7 2 2 2 2" xfId="57247" xr:uid="{00000000-0005-0000-0000-00003A9E0000}"/>
    <cellStyle name="Normal 3 8 7 2 2 3" xfId="43685" xr:uid="{00000000-0005-0000-0000-00003B9E0000}"/>
    <cellStyle name="Normal 3 8 7 2 3" xfId="23333" xr:uid="{00000000-0005-0000-0000-00003C9E0000}"/>
    <cellStyle name="Normal 3 8 7 2 3 2" xfId="50466" xr:uid="{00000000-0005-0000-0000-00003D9E0000}"/>
    <cellStyle name="Normal 3 8 7 2 4" xfId="36904" xr:uid="{00000000-0005-0000-0000-00003E9E0000}"/>
    <cellStyle name="Normal 3 8 7 3" xfId="13157" xr:uid="{00000000-0005-0000-0000-00003F9E0000}"/>
    <cellStyle name="Normal 3 8 7 3 2" xfId="26725" xr:uid="{00000000-0005-0000-0000-0000409E0000}"/>
    <cellStyle name="Normal 3 8 7 3 2 2" xfId="53858" xr:uid="{00000000-0005-0000-0000-0000419E0000}"/>
    <cellStyle name="Normal 3 8 7 3 3" xfId="40296" xr:uid="{00000000-0005-0000-0000-0000429E0000}"/>
    <cellStyle name="Normal 3 8 7 4" xfId="19944" xr:uid="{00000000-0005-0000-0000-0000439E0000}"/>
    <cellStyle name="Normal 3 8 7 4 2" xfId="47077" xr:uid="{00000000-0005-0000-0000-0000449E0000}"/>
    <cellStyle name="Normal 3 8 7 5" xfId="33515" xr:uid="{00000000-0005-0000-0000-0000459E0000}"/>
    <cellStyle name="Normal 3 8 8" xfId="7570" xr:uid="{00000000-0005-0000-0000-0000469E0000}"/>
    <cellStyle name="Normal 3 8 8 2" xfId="14360" xr:uid="{00000000-0005-0000-0000-0000479E0000}"/>
    <cellStyle name="Normal 3 8 8 2 2" xfId="27928" xr:uid="{00000000-0005-0000-0000-0000489E0000}"/>
    <cellStyle name="Normal 3 8 8 2 2 2" xfId="55061" xr:uid="{00000000-0005-0000-0000-0000499E0000}"/>
    <cellStyle name="Normal 3 8 8 2 3" xfId="41499" xr:uid="{00000000-0005-0000-0000-00004A9E0000}"/>
    <cellStyle name="Normal 3 8 8 3" xfId="21147" xr:uid="{00000000-0005-0000-0000-00004B9E0000}"/>
    <cellStyle name="Normal 3 8 8 3 2" xfId="48280" xr:uid="{00000000-0005-0000-0000-00004C9E0000}"/>
    <cellStyle name="Normal 3 8 8 4" xfId="34718" xr:uid="{00000000-0005-0000-0000-00004D9E0000}"/>
    <cellStyle name="Normal 3 8 9" xfId="10971" xr:uid="{00000000-0005-0000-0000-00004E9E0000}"/>
    <cellStyle name="Normal 3 8 9 2" xfId="24539" xr:uid="{00000000-0005-0000-0000-00004F9E0000}"/>
    <cellStyle name="Normal 3 8 9 2 2" xfId="51672" xr:uid="{00000000-0005-0000-0000-0000509E0000}"/>
    <cellStyle name="Normal 3 8 9 3" xfId="38110" xr:uid="{00000000-0005-0000-0000-0000519E0000}"/>
    <cellStyle name="Normal 3 9" xfId="2759" xr:uid="{00000000-0005-0000-0000-0000529E0000}"/>
    <cellStyle name="Normal 3 9 2" xfId="2760" xr:uid="{00000000-0005-0000-0000-0000539E0000}"/>
    <cellStyle name="Normal 3 9 2 2" xfId="6214" xr:uid="{00000000-0005-0000-0000-0000549E0000}"/>
    <cellStyle name="Normal 3 9 2 2 2" xfId="9757" xr:uid="{00000000-0005-0000-0000-0000559E0000}"/>
    <cellStyle name="Normal 3 9 2 2 2 2" xfId="16547" xr:uid="{00000000-0005-0000-0000-0000569E0000}"/>
    <cellStyle name="Normal 3 9 2 2 2 2 2" xfId="30115" xr:uid="{00000000-0005-0000-0000-0000579E0000}"/>
    <cellStyle name="Normal 3 9 2 2 2 2 2 2" xfId="57248" xr:uid="{00000000-0005-0000-0000-0000589E0000}"/>
    <cellStyle name="Normal 3 9 2 2 2 2 3" xfId="43686" xr:uid="{00000000-0005-0000-0000-0000599E0000}"/>
    <cellStyle name="Normal 3 9 2 2 2 3" xfId="23334" xr:uid="{00000000-0005-0000-0000-00005A9E0000}"/>
    <cellStyle name="Normal 3 9 2 2 2 3 2" xfId="50467" xr:uid="{00000000-0005-0000-0000-00005B9E0000}"/>
    <cellStyle name="Normal 3 9 2 2 2 4" xfId="36905" xr:uid="{00000000-0005-0000-0000-00005C9E0000}"/>
    <cellStyle name="Normal 3 9 2 2 3" xfId="13158" xr:uid="{00000000-0005-0000-0000-00005D9E0000}"/>
    <cellStyle name="Normal 3 9 2 2 3 2" xfId="26726" xr:uid="{00000000-0005-0000-0000-00005E9E0000}"/>
    <cellStyle name="Normal 3 9 2 2 3 2 2" xfId="53859" xr:uid="{00000000-0005-0000-0000-00005F9E0000}"/>
    <cellStyle name="Normal 3 9 2 2 3 3" xfId="40297" xr:uid="{00000000-0005-0000-0000-0000609E0000}"/>
    <cellStyle name="Normal 3 9 2 2 4" xfId="19945" xr:uid="{00000000-0005-0000-0000-0000619E0000}"/>
    <cellStyle name="Normal 3 9 2 2 4 2" xfId="47078" xr:uid="{00000000-0005-0000-0000-0000629E0000}"/>
    <cellStyle name="Normal 3 9 2 2 5" xfId="33516" xr:uid="{00000000-0005-0000-0000-0000639E0000}"/>
    <cellStyle name="Normal 3 9 2 3" xfId="6215" xr:uid="{00000000-0005-0000-0000-0000649E0000}"/>
    <cellStyle name="Normal 3 9 2 3 2" xfId="9758" xr:uid="{00000000-0005-0000-0000-0000659E0000}"/>
    <cellStyle name="Normal 3 9 2 3 2 2" xfId="16548" xr:uid="{00000000-0005-0000-0000-0000669E0000}"/>
    <cellStyle name="Normal 3 9 2 3 2 2 2" xfId="30116" xr:uid="{00000000-0005-0000-0000-0000679E0000}"/>
    <cellStyle name="Normal 3 9 2 3 2 2 2 2" xfId="57249" xr:uid="{00000000-0005-0000-0000-0000689E0000}"/>
    <cellStyle name="Normal 3 9 2 3 2 2 3" xfId="43687" xr:uid="{00000000-0005-0000-0000-0000699E0000}"/>
    <cellStyle name="Normal 3 9 2 3 2 3" xfId="23335" xr:uid="{00000000-0005-0000-0000-00006A9E0000}"/>
    <cellStyle name="Normal 3 9 2 3 2 3 2" xfId="50468" xr:uid="{00000000-0005-0000-0000-00006B9E0000}"/>
    <cellStyle name="Normal 3 9 2 3 2 4" xfId="36906" xr:uid="{00000000-0005-0000-0000-00006C9E0000}"/>
    <cellStyle name="Normal 3 9 2 3 3" xfId="13159" xr:uid="{00000000-0005-0000-0000-00006D9E0000}"/>
    <cellStyle name="Normal 3 9 2 3 3 2" xfId="26727" xr:uid="{00000000-0005-0000-0000-00006E9E0000}"/>
    <cellStyle name="Normal 3 9 2 3 3 2 2" xfId="53860" xr:uid="{00000000-0005-0000-0000-00006F9E0000}"/>
    <cellStyle name="Normal 3 9 2 3 3 3" xfId="40298" xr:uid="{00000000-0005-0000-0000-0000709E0000}"/>
    <cellStyle name="Normal 3 9 2 3 4" xfId="19946" xr:uid="{00000000-0005-0000-0000-0000719E0000}"/>
    <cellStyle name="Normal 3 9 2 3 4 2" xfId="47079" xr:uid="{00000000-0005-0000-0000-0000729E0000}"/>
    <cellStyle name="Normal 3 9 2 3 5" xfId="33517" xr:uid="{00000000-0005-0000-0000-0000739E0000}"/>
    <cellStyle name="Normal 3 9 2 4" xfId="7573" xr:uid="{00000000-0005-0000-0000-0000749E0000}"/>
    <cellStyle name="Normal 3 9 2 4 2" xfId="14363" xr:uid="{00000000-0005-0000-0000-0000759E0000}"/>
    <cellStyle name="Normal 3 9 2 4 2 2" xfId="27931" xr:uid="{00000000-0005-0000-0000-0000769E0000}"/>
    <cellStyle name="Normal 3 9 2 4 2 2 2" xfId="55064" xr:uid="{00000000-0005-0000-0000-0000779E0000}"/>
    <cellStyle name="Normal 3 9 2 4 2 3" xfId="41502" xr:uid="{00000000-0005-0000-0000-0000789E0000}"/>
    <cellStyle name="Normal 3 9 2 4 3" xfId="21150" xr:uid="{00000000-0005-0000-0000-0000799E0000}"/>
    <cellStyle name="Normal 3 9 2 4 3 2" xfId="48283" xr:uid="{00000000-0005-0000-0000-00007A9E0000}"/>
    <cellStyle name="Normal 3 9 2 4 4" xfId="34721" xr:uid="{00000000-0005-0000-0000-00007B9E0000}"/>
    <cellStyle name="Normal 3 9 2 5" xfId="10974" xr:uid="{00000000-0005-0000-0000-00007C9E0000}"/>
    <cellStyle name="Normal 3 9 2 5 2" xfId="24542" xr:uid="{00000000-0005-0000-0000-00007D9E0000}"/>
    <cellStyle name="Normal 3 9 2 5 2 2" xfId="51675" xr:uid="{00000000-0005-0000-0000-00007E9E0000}"/>
    <cellStyle name="Normal 3 9 2 5 3" xfId="38113" xr:uid="{00000000-0005-0000-0000-00007F9E0000}"/>
    <cellStyle name="Normal 3 9 2 6" xfId="17761" xr:uid="{00000000-0005-0000-0000-0000809E0000}"/>
    <cellStyle name="Normal 3 9 2 6 2" xfId="44894" xr:uid="{00000000-0005-0000-0000-0000819E0000}"/>
    <cellStyle name="Normal 3 9 2 7" xfId="31332" xr:uid="{00000000-0005-0000-0000-0000829E0000}"/>
    <cellStyle name="Normal 3 9 3" xfId="6216" xr:uid="{00000000-0005-0000-0000-0000839E0000}"/>
    <cellStyle name="Normal 3 9 3 2" xfId="6217" xr:uid="{00000000-0005-0000-0000-0000849E0000}"/>
    <cellStyle name="Normal 3 9 3 2 2" xfId="9760" xr:uid="{00000000-0005-0000-0000-0000859E0000}"/>
    <cellStyle name="Normal 3 9 3 2 2 2" xfId="16550" xr:uid="{00000000-0005-0000-0000-0000869E0000}"/>
    <cellStyle name="Normal 3 9 3 2 2 2 2" xfId="30118" xr:uid="{00000000-0005-0000-0000-0000879E0000}"/>
    <cellStyle name="Normal 3 9 3 2 2 2 2 2" xfId="57251" xr:uid="{00000000-0005-0000-0000-0000889E0000}"/>
    <cellStyle name="Normal 3 9 3 2 2 2 3" xfId="43689" xr:uid="{00000000-0005-0000-0000-0000899E0000}"/>
    <cellStyle name="Normal 3 9 3 2 2 3" xfId="23337" xr:uid="{00000000-0005-0000-0000-00008A9E0000}"/>
    <cellStyle name="Normal 3 9 3 2 2 3 2" xfId="50470" xr:uid="{00000000-0005-0000-0000-00008B9E0000}"/>
    <cellStyle name="Normal 3 9 3 2 2 4" xfId="36908" xr:uid="{00000000-0005-0000-0000-00008C9E0000}"/>
    <cellStyle name="Normal 3 9 3 2 3" xfId="13161" xr:uid="{00000000-0005-0000-0000-00008D9E0000}"/>
    <cellStyle name="Normal 3 9 3 2 3 2" xfId="26729" xr:uid="{00000000-0005-0000-0000-00008E9E0000}"/>
    <cellStyle name="Normal 3 9 3 2 3 2 2" xfId="53862" xr:uid="{00000000-0005-0000-0000-00008F9E0000}"/>
    <cellStyle name="Normal 3 9 3 2 3 3" xfId="40300" xr:uid="{00000000-0005-0000-0000-0000909E0000}"/>
    <cellStyle name="Normal 3 9 3 2 4" xfId="19948" xr:uid="{00000000-0005-0000-0000-0000919E0000}"/>
    <cellStyle name="Normal 3 9 3 2 4 2" xfId="47081" xr:uid="{00000000-0005-0000-0000-0000929E0000}"/>
    <cellStyle name="Normal 3 9 3 2 5" xfId="33519" xr:uid="{00000000-0005-0000-0000-0000939E0000}"/>
    <cellStyle name="Normal 3 9 3 3" xfId="9759" xr:uid="{00000000-0005-0000-0000-0000949E0000}"/>
    <cellStyle name="Normal 3 9 3 3 2" xfId="16549" xr:uid="{00000000-0005-0000-0000-0000959E0000}"/>
    <cellStyle name="Normal 3 9 3 3 2 2" xfId="30117" xr:uid="{00000000-0005-0000-0000-0000969E0000}"/>
    <cellStyle name="Normal 3 9 3 3 2 2 2" xfId="57250" xr:uid="{00000000-0005-0000-0000-0000979E0000}"/>
    <cellStyle name="Normal 3 9 3 3 2 3" xfId="43688" xr:uid="{00000000-0005-0000-0000-0000989E0000}"/>
    <cellStyle name="Normal 3 9 3 3 3" xfId="23336" xr:uid="{00000000-0005-0000-0000-0000999E0000}"/>
    <cellStyle name="Normal 3 9 3 3 3 2" xfId="50469" xr:uid="{00000000-0005-0000-0000-00009A9E0000}"/>
    <cellStyle name="Normal 3 9 3 3 4" xfId="36907" xr:uid="{00000000-0005-0000-0000-00009B9E0000}"/>
    <cellStyle name="Normal 3 9 3 4" xfId="13160" xr:uid="{00000000-0005-0000-0000-00009C9E0000}"/>
    <cellStyle name="Normal 3 9 3 4 2" xfId="26728" xr:uid="{00000000-0005-0000-0000-00009D9E0000}"/>
    <cellStyle name="Normal 3 9 3 4 2 2" xfId="53861" xr:uid="{00000000-0005-0000-0000-00009E9E0000}"/>
    <cellStyle name="Normal 3 9 3 4 3" xfId="40299" xr:uid="{00000000-0005-0000-0000-00009F9E0000}"/>
    <cellStyle name="Normal 3 9 3 5" xfId="19947" xr:uid="{00000000-0005-0000-0000-0000A09E0000}"/>
    <cellStyle name="Normal 3 9 3 5 2" xfId="47080" xr:uid="{00000000-0005-0000-0000-0000A19E0000}"/>
    <cellStyle name="Normal 3 9 3 6" xfId="33518" xr:uid="{00000000-0005-0000-0000-0000A29E0000}"/>
    <cellStyle name="Normal 3 9 4" xfId="6218" xr:uid="{00000000-0005-0000-0000-0000A39E0000}"/>
    <cellStyle name="Normal 3 9 4 2" xfId="9761" xr:uid="{00000000-0005-0000-0000-0000A49E0000}"/>
    <cellStyle name="Normal 3 9 4 2 2" xfId="16551" xr:uid="{00000000-0005-0000-0000-0000A59E0000}"/>
    <cellStyle name="Normal 3 9 4 2 2 2" xfId="30119" xr:uid="{00000000-0005-0000-0000-0000A69E0000}"/>
    <cellStyle name="Normal 3 9 4 2 2 2 2" xfId="57252" xr:uid="{00000000-0005-0000-0000-0000A79E0000}"/>
    <cellStyle name="Normal 3 9 4 2 2 3" xfId="43690" xr:uid="{00000000-0005-0000-0000-0000A89E0000}"/>
    <cellStyle name="Normal 3 9 4 2 3" xfId="23338" xr:uid="{00000000-0005-0000-0000-0000A99E0000}"/>
    <cellStyle name="Normal 3 9 4 2 3 2" xfId="50471" xr:uid="{00000000-0005-0000-0000-0000AA9E0000}"/>
    <cellStyle name="Normal 3 9 4 2 4" xfId="36909" xr:uid="{00000000-0005-0000-0000-0000AB9E0000}"/>
    <cellStyle name="Normal 3 9 4 3" xfId="13162" xr:uid="{00000000-0005-0000-0000-0000AC9E0000}"/>
    <cellStyle name="Normal 3 9 4 3 2" xfId="26730" xr:uid="{00000000-0005-0000-0000-0000AD9E0000}"/>
    <cellStyle name="Normal 3 9 4 3 2 2" xfId="53863" xr:uid="{00000000-0005-0000-0000-0000AE9E0000}"/>
    <cellStyle name="Normal 3 9 4 3 3" xfId="40301" xr:uid="{00000000-0005-0000-0000-0000AF9E0000}"/>
    <cellStyle name="Normal 3 9 4 4" xfId="19949" xr:uid="{00000000-0005-0000-0000-0000B09E0000}"/>
    <cellStyle name="Normal 3 9 4 4 2" xfId="47082" xr:uid="{00000000-0005-0000-0000-0000B19E0000}"/>
    <cellStyle name="Normal 3 9 4 5" xfId="33520" xr:uid="{00000000-0005-0000-0000-0000B29E0000}"/>
    <cellStyle name="Normal 3 9 5" xfId="6219" xr:uid="{00000000-0005-0000-0000-0000B39E0000}"/>
    <cellStyle name="Normal 3 9 5 2" xfId="9762" xr:uid="{00000000-0005-0000-0000-0000B49E0000}"/>
    <cellStyle name="Normal 3 9 5 2 2" xfId="16552" xr:uid="{00000000-0005-0000-0000-0000B59E0000}"/>
    <cellStyle name="Normal 3 9 5 2 2 2" xfId="30120" xr:uid="{00000000-0005-0000-0000-0000B69E0000}"/>
    <cellStyle name="Normal 3 9 5 2 2 2 2" xfId="57253" xr:uid="{00000000-0005-0000-0000-0000B79E0000}"/>
    <cellStyle name="Normal 3 9 5 2 2 3" xfId="43691" xr:uid="{00000000-0005-0000-0000-0000B89E0000}"/>
    <cellStyle name="Normal 3 9 5 2 3" xfId="23339" xr:uid="{00000000-0005-0000-0000-0000B99E0000}"/>
    <cellStyle name="Normal 3 9 5 2 3 2" xfId="50472" xr:uid="{00000000-0005-0000-0000-0000BA9E0000}"/>
    <cellStyle name="Normal 3 9 5 2 4" xfId="36910" xr:uid="{00000000-0005-0000-0000-0000BB9E0000}"/>
    <cellStyle name="Normal 3 9 5 3" xfId="13163" xr:uid="{00000000-0005-0000-0000-0000BC9E0000}"/>
    <cellStyle name="Normal 3 9 5 3 2" xfId="26731" xr:uid="{00000000-0005-0000-0000-0000BD9E0000}"/>
    <cellStyle name="Normal 3 9 5 3 2 2" xfId="53864" xr:uid="{00000000-0005-0000-0000-0000BE9E0000}"/>
    <cellStyle name="Normal 3 9 5 3 3" xfId="40302" xr:uid="{00000000-0005-0000-0000-0000BF9E0000}"/>
    <cellStyle name="Normal 3 9 5 4" xfId="19950" xr:uid="{00000000-0005-0000-0000-0000C09E0000}"/>
    <cellStyle name="Normal 3 9 5 4 2" xfId="47083" xr:uid="{00000000-0005-0000-0000-0000C19E0000}"/>
    <cellStyle name="Normal 3 9 5 5" xfId="33521" xr:uid="{00000000-0005-0000-0000-0000C29E0000}"/>
    <cellStyle name="Normal 3 9 6" xfId="7572" xr:uid="{00000000-0005-0000-0000-0000C39E0000}"/>
    <cellStyle name="Normal 3 9 6 2" xfId="14362" xr:uid="{00000000-0005-0000-0000-0000C49E0000}"/>
    <cellStyle name="Normal 3 9 6 2 2" xfId="27930" xr:uid="{00000000-0005-0000-0000-0000C59E0000}"/>
    <cellStyle name="Normal 3 9 6 2 2 2" xfId="55063" xr:uid="{00000000-0005-0000-0000-0000C69E0000}"/>
    <cellStyle name="Normal 3 9 6 2 3" xfId="41501" xr:uid="{00000000-0005-0000-0000-0000C79E0000}"/>
    <cellStyle name="Normal 3 9 6 3" xfId="21149" xr:uid="{00000000-0005-0000-0000-0000C89E0000}"/>
    <cellStyle name="Normal 3 9 6 3 2" xfId="48282" xr:uid="{00000000-0005-0000-0000-0000C99E0000}"/>
    <cellStyle name="Normal 3 9 6 4" xfId="34720" xr:uid="{00000000-0005-0000-0000-0000CA9E0000}"/>
    <cellStyle name="Normal 3 9 7" xfId="10973" xr:uid="{00000000-0005-0000-0000-0000CB9E0000}"/>
    <cellStyle name="Normal 3 9 7 2" xfId="24541" xr:uid="{00000000-0005-0000-0000-0000CC9E0000}"/>
    <cellStyle name="Normal 3 9 7 2 2" xfId="51674" xr:uid="{00000000-0005-0000-0000-0000CD9E0000}"/>
    <cellStyle name="Normal 3 9 7 3" xfId="38112" xr:uid="{00000000-0005-0000-0000-0000CE9E0000}"/>
    <cellStyle name="Normal 3 9 8" xfId="17760" xr:uid="{00000000-0005-0000-0000-0000CF9E0000}"/>
    <cellStyle name="Normal 3 9 8 2" xfId="44893" xr:uid="{00000000-0005-0000-0000-0000D09E0000}"/>
    <cellStyle name="Normal 3 9 9" xfId="31331" xr:uid="{00000000-0005-0000-0000-0000D19E0000}"/>
    <cellStyle name="Normal 3_CORREGIDO EVALUACION ARQUITECTURA MANTTO JK" xfId="6220" xr:uid="{00000000-0005-0000-0000-0000D29E0000}"/>
    <cellStyle name="Normal 30" xfId="2761" xr:uid="{00000000-0005-0000-0000-0000D39E0000}"/>
    <cellStyle name="Normal 30 2" xfId="6221" xr:uid="{00000000-0005-0000-0000-0000D49E0000}"/>
    <cellStyle name="Normal 30 3" xfId="7574" xr:uid="{00000000-0005-0000-0000-0000D59E0000}"/>
    <cellStyle name="Normal 30 3 2" xfId="14364" xr:uid="{00000000-0005-0000-0000-0000D69E0000}"/>
    <cellStyle name="Normal 30 3 2 2" xfId="27932" xr:uid="{00000000-0005-0000-0000-0000D79E0000}"/>
    <cellStyle name="Normal 30 3 2 2 2" xfId="55065" xr:uid="{00000000-0005-0000-0000-0000D89E0000}"/>
    <cellStyle name="Normal 30 3 2 3" xfId="41503" xr:uid="{00000000-0005-0000-0000-0000D99E0000}"/>
    <cellStyle name="Normal 30 3 3" xfId="21151" xr:uid="{00000000-0005-0000-0000-0000DA9E0000}"/>
    <cellStyle name="Normal 30 3 3 2" xfId="48284" xr:uid="{00000000-0005-0000-0000-0000DB9E0000}"/>
    <cellStyle name="Normal 30 3 4" xfId="34722" xr:uid="{00000000-0005-0000-0000-0000DC9E0000}"/>
    <cellStyle name="Normal 30 4" xfId="10975" xr:uid="{00000000-0005-0000-0000-0000DD9E0000}"/>
    <cellStyle name="Normal 30 4 2" xfId="24543" xr:uid="{00000000-0005-0000-0000-0000DE9E0000}"/>
    <cellStyle name="Normal 30 4 2 2" xfId="51676" xr:uid="{00000000-0005-0000-0000-0000DF9E0000}"/>
    <cellStyle name="Normal 30 4 3" xfId="38114" xr:uid="{00000000-0005-0000-0000-0000E09E0000}"/>
    <cellStyle name="Normal 30 5" xfId="17762" xr:uid="{00000000-0005-0000-0000-0000E19E0000}"/>
    <cellStyle name="Normal 30 5 2" xfId="44895" xr:uid="{00000000-0005-0000-0000-0000E29E0000}"/>
    <cellStyle name="Normal 30 6" xfId="31333" xr:uid="{00000000-0005-0000-0000-0000E39E0000}"/>
    <cellStyle name="Normal 31" xfId="2762" xr:uid="{00000000-0005-0000-0000-0000E49E0000}"/>
    <cellStyle name="Normal 31 2" xfId="2763" xr:uid="{00000000-0005-0000-0000-0000E59E0000}"/>
    <cellStyle name="Normal 31 3" xfId="6222" xr:uid="{00000000-0005-0000-0000-0000E69E0000}"/>
    <cellStyle name="Normal 31 3 2" xfId="9763" xr:uid="{00000000-0005-0000-0000-0000E79E0000}"/>
    <cellStyle name="Normal 31 3 2 2" xfId="16553" xr:uid="{00000000-0005-0000-0000-0000E89E0000}"/>
    <cellStyle name="Normal 31 3 2 2 2" xfId="30121" xr:uid="{00000000-0005-0000-0000-0000E99E0000}"/>
    <cellStyle name="Normal 31 3 2 2 2 2" xfId="57254" xr:uid="{00000000-0005-0000-0000-0000EA9E0000}"/>
    <cellStyle name="Normal 31 3 2 2 3" xfId="43692" xr:uid="{00000000-0005-0000-0000-0000EB9E0000}"/>
    <cellStyle name="Normal 31 3 2 3" xfId="23340" xr:uid="{00000000-0005-0000-0000-0000EC9E0000}"/>
    <cellStyle name="Normal 31 3 2 3 2" xfId="50473" xr:uid="{00000000-0005-0000-0000-0000ED9E0000}"/>
    <cellStyle name="Normal 31 3 2 4" xfId="36911" xr:uid="{00000000-0005-0000-0000-0000EE9E0000}"/>
    <cellStyle name="Normal 31 3 3" xfId="13164" xr:uid="{00000000-0005-0000-0000-0000EF9E0000}"/>
    <cellStyle name="Normal 31 3 3 2" xfId="26732" xr:uid="{00000000-0005-0000-0000-0000F09E0000}"/>
    <cellStyle name="Normal 31 3 3 2 2" xfId="53865" xr:uid="{00000000-0005-0000-0000-0000F19E0000}"/>
    <cellStyle name="Normal 31 3 3 3" xfId="40303" xr:uid="{00000000-0005-0000-0000-0000F29E0000}"/>
    <cellStyle name="Normal 31 3 4" xfId="19951" xr:uid="{00000000-0005-0000-0000-0000F39E0000}"/>
    <cellStyle name="Normal 31 3 4 2" xfId="47084" xr:uid="{00000000-0005-0000-0000-0000F49E0000}"/>
    <cellStyle name="Normal 31 3 5" xfId="33522" xr:uid="{00000000-0005-0000-0000-0000F59E0000}"/>
    <cellStyle name="Normal 32" xfId="2764" xr:uid="{00000000-0005-0000-0000-0000F69E0000}"/>
    <cellStyle name="Normal 32 2" xfId="2765" xr:uid="{00000000-0005-0000-0000-0000F79E0000}"/>
    <cellStyle name="Normal 33" xfId="2766" xr:uid="{00000000-0005-0000-0000-0000F89E0000}"/>
    <cellStyle name="Normal 33 2" xfId="6223" xr:uid="{00000000-0005-0000-0000-0000F99E0000}"/>
    <cellStyle name="Normal 33 2 2" xfId="9764" xr:uid="{00000000-0005-0000-0000-0000FA9E0000}"/>
    <cellStyle name="Normal 33 2 2 2" xfId="16554" xr:uid="{00000000-0005-0000-0000-0000FB9E0000}"/>
    <cellStyle name="Normal 33 2 2 2 2" xfId="30122" xr:uid="{00000000-0005-0000-0000-0000FC9E0000}"/>
    <cellStyle name="Normal 33 2 2 2 2 2" xfId="57255" xr:uid="{00000000-0005-0000-0000-0000FD9E0000}"/>
    <cellStyle name="Normal 33 2 2 2 3" xfId="43693" xr:uid="{00000000-0005-0000-0000-0000FE9E0000}"/>
    <cellStyle name="Normal 33 2 2 3" xfId="23341" xr:uid="{00000000-0005-0000-0000-0000FF9E0000}"/>
    <cellStyle name="Normal 33 2 2 3 2" xfId="50474" xr:uid="{00000000-0005-0000-0000-0000009F0000}"/>
    <cellStyle name="Normal 33 2 2 4" xfId="36912" xr:uid="{00000000-0005-0000-0000-0000019F0000}"/>
    <cellStyle name="Normal 33 2 3" xfId="13165" xr:uid="{00000000-0005-0000-0000-0000029F0000}"/>
    <cellStyle name="Normal 33 2 3 2" xfId="26733" xr:uid="{00000000-0005-0000-0000-0000039F0000}"/>
    <cellStyle name="Normal 33 2 3 2 2" xfId="53866" xr:uid="{00000000-0005-0000-0000-0000049F0000}"/>
    <cellStyle name="Normal 33 2 3 3" xfId="40304" xr:uid="{00000000-0005-0000-0000-0000059F0000}"/>
    <cellStyle name="Normal 33 2 4" xfId="19952" xr:uid="{00000000-0005-0000-0000-0000069F0000}"/>
    <cellStyle name="Normal 33 2 4 2" xfId="47085" xr:uid="{00000000-0005-0000-0000-0000079F0000}"/>
    <cellStyle name="Normal 33 2 5" xfId="33523" xr:uid="{00000000-0005-0000-0000-0000089F0000}"/>
    <cellStyle name="Normal 33 3" xfId="2767" xr:uid="{00000000-0005-0000-0000-0000099F0000}"/>
    <cellStyle name="Normal 33 3 2" xfId="7575" xr:uid="{00000000-0005-0000-0000-00000A9F0000}"/>
    <cellStyle name="Normal 33 3 2 2" xfId="14365" xr:uid="{00000000-0005-0000-0000-00000B9F0000}"/>
    <cellStyle name="Normal 33 3 2 2 2" xfId="27933" xr:uid="{00000000-0005-0000-0000-00000C9F0000}"/>
    <cellStyle name="Normal 33 3 2 2 2 2" xfId="55066" xr:uid="{00000000-0005-0000-0000-00000D9F0000}"/>
    <cellStyle name="Normal 33 3 2 2 3" xfId="41504" xr:uid="{00000000-0005-0000-0000-00000E9F0000}"/>
    <cellStyle name="Normal 33 3 2 3" xfId="21152" xr:uid="{00000000-0005-0000-0000-00000F9F0000}"/>
    <cellStyle name="Normal 33 3 2 3 2" xfId="48285" xr:uid="{00000000-0005-0000-0000-0000109F0000}"/>
    <cellStyle name="Normal 33 3 2 4" xfId="34723" xr:uid="{00000000-0005-0000-0000-0000119F0000}"/>
    <cellStyle name="Normal 33 3 3" xfId="10976" xr:uid="{00000000-0005-0000-0000-0000129F0000}"/>
    <cellStyle name="Normal 33 3 3 2" xfId="24544" xr:uid="{00000000-0005-0000-0000-0000139F0000}"/>
    <cellStyle name="Normal 33 3 3 2 2" xfId="51677" xr:uid="{00000000-0005-0000-0000-0000149F0000}"/>
    <cellStyle name="Normal 33 3 3 3" xfId="38115" xr:uid="{00000000-0005-0000-0000-0000159F0000}"/>
    <cellStyle name="Normal 33 3 4" xfId="17763" xr:uid="{00000000-0005-0000-0000-0000169F0000}"/>
    <cellStyle name="Normal 33 3 4 2" xfId="44896" xr:uid="{00000000-0005-0000-0000-0000179F0000}"/>
    <cellStyle name="Normal 33 3 5" xfId="31334" xr:uid="{00000000-0005-0000-0000-0000189F0000}"/>
    <cellStyle name="Normal 34" xfId="3420" xr:uid="{00000000-0005-0000-0000-0000199F0000}"/>
    <cellStyle name="Normal 34 2" xfId="7583" xr:uid="{00000000-0005-0000-0000-00001A9F0000}"/>
    <cellStyle name="Normal 34 2 2" xfId="14373" xr:uid="{00000000-0005-0000-0000-00001B9F0000}"/>
    <cellStyle name="Normal 34 2 2 2" xfId="27941" xr:uid="{00000000-0005-0000-0000-00001C9F0000}"/>
    <cellStyle name="Normal 34 2 2 2 2" xfId="55074" xr:uid="{00000000-0005-0000-0000-00001D9F0000}"/>
    <cellStyle name="Normal 34 2 2 3" xfId="41512" xr:uid="{00000000-0005-0000-0000-00001E9F0000}"/>
    <cellStyle name="Normal 34 2 3" xfId="21160" xr:uid="{00000000-0005-0000-0000-00001F9F0000}"/>
    <cellStyle name="Normal 34 2 3 2" xfId="48293" xr:uid="{00000000-0005-0000-0000-0000209F0000}"/>
    <cellStyle name="Normal 34 2 4" xfId="34731" xr:uid="{00000000-0005-0000-0000-0000219F0000}"/>
    <cellStyle name="Normal 34 3" xfId="10984" xr:uid="{00000000-0005-0000-0000-0000229F0000}"/>
    <cellStyle name="Normal 34 3 2" xfId="24552" xr:uid="{00000000-0005-0000-0000-0000239F0000}"/>
    <cellStyle name="Normal 34 3 2 2" xfId="51685" xr:uid="{00000000-0005-0000-0000-0000249F0000}"/>
    <cellStyle name="Normal 34 3 3" xfId="38123" xr:uid="{00000000-0005-0000-0000-0000259F0000}"/>
    <cellStyle name="Normal 34 4" xfId="17771" xr:uid="{00000000-0005-0000-0000-0000269F0000}"/>
    <cellStyle name="Normal 34 4 2" xfId="44904" xr:uid="{00000000-0005-0000-0000-0000279F0000}"/>
    <cellStyle name="Normal 34 5" xfId="31342" xr:uid="{00000000-0005-0000-0000-0000289F0000}"/>
    <cellStyle name="Normal 35" xfId="3422" xr:uid="{00000000-0005-0000-0000-0000299F0000}"/>
    <cellStyle name="Normal 35 2" xfId="7585" xr:uid="{00000000-0005-0000-0000-00002A9F0000}"/>
    <cellStyle name="Normal 35 2 2" xfId="14375" xr:uid="{00000000-0005-0000-0000-00002B9F0000}"/>
    <cellStyle name="Normal 35 2 2 2" xfId="27943" xr:uid="{00000000-0005-0000-0000-00002C9F0000}"/>
    <cellStyle name="Normal 35 2 2 2 2" xfId="55076" xr:uid="{00000000-0005-0000-0000-00002D9F0000}"/>
    <cellStyle name="Normal 35 2 2 3" xfId="41514" xr:uid="{00000000-0005-0000-0000-00002E9F0000}"/>
    <cellStyle name="Normal 35 2 3" xfId="21162" xr:uid="{00000000-0005-0000-0000-00002F9F0000}"/>
    <cellStyle name="Normal 35 2 3 2" xfId="48295" xr:uid="{00000000-0005-0000-0000-0000309F0000}"/>
    <cellStyle name="Normal 35 2 4" xfId="34733" xr:uid="{00000000-0005-0000-0000-0000319F0000}"/>
    <cellStyle name="Normal 35 3" xfId="10986" xr:uid="{00000000-0005-0000-0000-0000329F0000}"/>
    <cellStyle name="Normal 35 3 2" xfId="24554" xr:uid="{00000000-0005-0000-0000-0000339F0000}"/>
    <cellStyle name="Normal 35 3 2 2" xfId="51687" xr:uid="{00000000-0005-0000-0000-0000349F0000}"/>
    <cellStyle name="Normal 35 3 3" xfId="38125" xr:uid="{00000000-0005-0000-0000-0000359F0000}"/>
    <cellStyle name="Normal 35 4" xfId="17773" xr:uid="{00000000-0005-0000-0000-0000369F0000}"/>
    <cellStyle name="Normal 35 4 2" xfId="44906" xr:uid="{00000000-0005-0000-0000-0000379F0000}"/>
    <cellStyle name="Normal 35 5" xfId="31344" xr:uid="{00000000-0005-0000-0000-0000389F0000}"/>
    <cellStyle name="Normal 36" xfId="3426" xr:uid="{00000000-0005-0000-0000-0000399F0000}"/>
    <cellStyle name="Normal 37" xfId="7297" xr:uid="{00000000-0005-0000-0000-00003A9F0000}"/>
    <cellStyle name="Normal 37 2" xfId="10798" xr:uid="{00000000-0005-0000-0000-00003B9F0000}"/>
    <cellStyle name="Normal 37 2 2" xfId="17588" xr:uid="{00000000-0005-0000-0000-00003C9F0000}"/>
    <cellStyle name="Normal 37 2 2 2" xfId="31156" xr:uid="{00000000-0005-0000-0000-00003D9F0000}"/>
    <cellStyle name="Normal 37 2 2 2 2" xfId="58289" xr:uid="{00000000-0005-0000-0000-00003E9F0000}"/>
    <cellStyle name="Normal 37 2 2 3" xfId="44727" xr:uid="{00000000-0005-0000-0000-00003F9F0000}"/>
    <cellStyle name="Normal 37 2 3" xfId="24375" xr:uid="{00000000-0005-0000-0000-0000409F0000}"/>
    <cellStyle name="Normal 37 2 3 2" xfId="51508" xr:uid="{00000000-0005-0000-0000-0000419F0000}"/>
    <cellStyle name="Normal 37 2 4" xfId="37946" xr:uid="{00000000-0005-0000-0000-0000429F0000}"/>
    <cellStyle name="Normal 37 3" xfId="14199" xr:uid="{00000000-0005-0000-0000-0000439F0000}"/>
    <cellStyle name="Normal 37 3 2" xfId="27767" xr:uid="{00000000-0005-0000-0000-0000449F0000}"/>
    <cellStyle name="Normal 37 3 2 2" xfId="54900" xr:uid="{00000000-0005-0000-0000-0000459F0000}"/>
    <cellStyle name="Normal 37 3 3" xfId="41338" xr:uid="{00000000-0005-0000-0000-0000469F0000}"/>
    <cellStyle name="Normal 37 4" xfId="20986" xr:uid="{00000000-0005-0000-0000-0000479F0000}"/>
    <cellStyle name="Normal 37 4 2" xfId="48119" xr:uid="{00000000-0005-0000-0000-0000489F0000}"/>
    <cellStyle name="Normal 37 5" xfId="34557" xr:uid="{00000000-0005-0000-0000-0000499F0000}"/>
    <cellStyle name="Normal 38" xfId="7301" xr:uid="{00000000-0005-0000-0000-00004A9F0000}"/>
    <cellStyle name="Normal 38 2" xfId="10801" xr:uid="{00000000-0005-0000-0000-00004B9F0000}"/>
    <cellStyle name="Normal 38 2 2" xfId="17591" xr:uid="{00000000-0005-0000-0000-00004C9F0000}"/>
    <cellStyle name="Normal 38 2 2 2" xfId="31159" xr:uid="{00000000-0005-0000-0000-00004D9F0000}"/>
    <cellStyle name="Normal 38 2 2 2 2" xfId="58292" xr:uid="{00000000-0005-0000-0000-00004E9F0000}"/>
    <cellStyle name="Normal 38 2 2 3" xfId="44730" xr:uid="{00000000-0005-0000-0000-00004F9F0000}"/>
    <cellStyle name="Normal 38 2 3" xfId="24378" xr:uid="{00000000-0005-0000-0000-0000509F0000}"/>
    <cellStyle name="Normal 38 2 3 2" xfId="51511" xr:uid="{00000000-0005-0000-0000-0000519F0000}"/>
    <cellStyle name="Normal 38 2 4" xfId="37949" xr:uid="{00000000-0005-0000-0000-0000529F0000}"/>
    <cellStyle name="Normal 38 3" xfId="14202" xr:uid="{00000000-0005-0000-0000-0000539F0000}"/>
    <cellStyle name="Normal 38 3 2" xfId="27770" xr:uid="{00000000-0005-0000-0000-0000549F0000}"/>
    <cellStyle name="Normal 38 3 2 2" xfId="54903" xr:uid="{00000000-0005-0000-0000-0000559F0000}"/>
    <cellStyle name="Normal 38 3 3" xfId="41341" xr:uid="{00000000-0005-0000-0000-0000569F0000}"/>
    <cellStyle name="Normal 38 4" xfId="20989" xr:uid="{00000000-0005-0000-0000-0000579F0000}"/>
    <cellStyle name="Normal 38 4 2" xfId="48122" xr:uid="{00000000-0005-0000-0000-0000589F0000}"/>
    <cellStyle name="Normal 38 5" xfId="34560" xr:uid="{00000000-0005-0000-0000-0000599F0000}"/>
    <cellStyle name="Normal 39" xfId="7304" xr:uid="{00000000-0005-0000-0000-00005A9F0000}"/>
    <cellStyle name="Normal 39 2" xfId="10803" xr:uid="{00000000-0005-0000-0000-00005B9F0000}"/>
    <cellStyle name="Normal 39 2 2" xfId="17593" xr:uid="{00000000-0005-0000-0000-00005C9F0000}"/>
    <cellStyle name="Normal 39 2 2 2" xfId="31161" xr:uid="{00000000-0005-0000-0000-00005D9F0000}"/>
    <cellStyle name="Normal 39 2 2 2 2" xfId="58294" xr:uid="{00000000-0005-0000-0000-00005E9F0000}"/>
    <cellStyle name="Normal 39 2 2 3" xfId="44732" xr:uid="{00000000-0005-0000-0000-00005F9F0000}"/>
    <cellStyle name="Normal 39 2 3" xfId="24380" xr:uid="{00000000-0005-0000-0000-0000609F0000}"/>
    <cellStyle name="Normal 39 2 3 2" xfId="51513" xr:uid="{00000000-0005-0000-0000-0000619F0000}"/>
    <cellStyle name="Normal 39 2 4" xfId="37951" xr:uid="{00000000-0005-0000-0000-0000629F0000}"/>
    <cellStyle name="Normal 39 3" xfId="14204" xr:uid="{00000000-0005-0000-0000-0000639F0000}"/>
    <cellStyle name="Normal 39 3 2" xfId="27772" xr:uid="{00000000-0005-0000-0000-0000649F0000}"/>
    <cellStyle name="Normal 39 3 2 2" xfId="54905" xr:uid="{00000000-0005-0000-0000-0000659F0000}"/>
    <cellStyle name="Normal 39 3 3" xfId="41343" xr:uid="{00000000-0005-0000-0000-0000669F0000}"/>
    <cellStyle name="Normal 39 4" xfId="20991" xr:uid="{00000000-0005-0000-0000-0000679F0000}"/>
    <cellStyle name="Normal 39 4 2" xfId="48124" xr:uid="{00000000-0005-0000-0000-0000689F0000}"/>
    <cellStyle name="Normal 39 5" xfId="34562" xr:uid="{00000000-0005-0000-0000-0000699F0000}"/>
    <cellStyle name="Normal 4" xfId="78" xr:uid="{00000000-0005-0000-0000-00006A9F0000}"/>
    <cellStyle name="Normal 4 10" xfId="2768" xr:uid="{00000000-0005-0000-0000-00006B9F0000}"/>
    <cellStyle name="Normal 4 10 2" xfId="6224" xr:uid="{00000000-0005-0000-0000-00006C9F0000}"/>
    <cellStyle name="Normal 4 10 2 2" xfId="6225" xr:uid="{00000000-0005-0000-0000-00006D9F0000}"/>
    <cellStyle name="Normal 4 10 2 2 2" xfId="9766" xr:uid="{00000000-0005-0000-0000-00006E9F0000}"/>
    <cellStyle name="Normal 4 10 2 2 2 2" xfId="16556" xr:uid="{00000000-0005-0000-0000-00006F9F0000}"/>
    <cellStyle name="Normal 4 10 2 2 2 2 2" xfId="30124" xr:uid="{00000000-0005-0000-0000-0000709F0000}"/>
    <cellStyle name="Normal 4 10 2 2 2 2 2 2" xfId="57257" xr:uid="{00000000-0005-0000-0000-0000719F0000}"/>
    <cellStyle name="Normal 4 10 2 2 2 2 3" xfId="43695" xr:uid="{00000000-0005-0000-0000-0000729F0000}"/>
    <cellStyle name="Normal 4 10 2 2 2 3" xfId="23343" xr:uid="{00000000-0005-0000-0000-0000739F0000}"/>
    <cellStyle name="Normal 4 10 2 2 2 3 2" xfId="50476" xr:uid="{00000000-0005-0000-0000-0000749F0000}"/>
    <cellStyle name="Normal 4 10 2 2 2 4" xfId="36914" xr:uid="{00000000-0005-0000-0000-0000759F0000}"/>
    <cellStyle name="Normal 4 10 2 2 3" xfId="13167" xr:uid="{00000000-0005-0000-0000-0000769F0000}"/>
    <cellStyle name="Normal 4 10 2 2 3 2" xfId="26735" xr:uid="{00000000-0005-0000-0000-0000779F0000}"/>
    <cellStyle name="Normal 4 10 2 2 3 2 2" xfId="53868" xr:uid="{00000000-0005-0000-0000-0000789F0000}"/>
    <cellStyle name="Normal 4 10 2 2 3 3" xfId="40306" xr:uid="{00000000-0005-0000-0000-0000799F0000}"/>
    <cellStyle name="Normal 4 10 2 2 4" xfId="19954" xr:uid="{00000000-0005-0000-0000-00007A9F0000}"/>
    <cellStyle name="Normal 4 10 2 2 4 2" xfId="47087" xr:uid="{00000000-0005-0000-0000-00007B9F0000}"/>
    <cellStyle name="Normal 4 10 2 2 5" xfId="33525" xr:uid="{00000000-0005-0000-0000-00007C9F0000}"/>
    <cellStyle name="Normal 4 10 2 3" xfId="6226" xr:uid="{00000000-0005-0000-0000-00007D9F0000}"/>
    <cellStyle name="Normal 4 10 2 3 2" xfId="9767" xr:uid="{00000000-0005-0000-0000-00007E9F0000}"/>
    <cellStyle name="Normal 4 10 2 3 2 2" xfId="16557" xr:uid="{00000000-0005-0000-0000-00007F9F0000}"/>
    <cellStyle name="Normal 4 10 2 3 2 2 2" xfId="30125" xr:uid="{00000000-0005-0000-0000-0000809F0000}"/>
    <cellStyle name="Normal 4 10 2 3 2 2 2 2" xfId="57258" xr:uid="{00000000-0005-0000-0000-0000819F0000}"/>
    <cellStyle name="Normal 4 10 2 3 2 2 3" xfId="43696" xr:uid="{00000000-0005-0000-0000-0000829F0000}"/>
    <cellStyle name="Normal 4 10 2 3 2 3" xfId="23344" xr:uid="{00000000-0005-0000-0000-0000839F0000}"/>
    <cellStyle name="Normal 4 10 2 3 2 3 2" xfId="50477" xr:uid="{00000000-0005-0000-0000-0000849F0000}"/>
    <cellStyle name="Normal 4 10 2 3 2 4" xfId="36915" xr:uid="{00000000-0005-0000-0000-0000859F0000}"/>
    <cellStyle name="Normal 4 10 2 3 3" xfId="13168" xr:uid="{00000000-0005-0000-0000-0000869F0000}"/>
    <cellStyle name="Normal 4 10 2 3 3 2" xfId="26736" xr:uid="{00000000-0005-0000-0000-0000879F0000}"/>
    <cellStyle name="Normal 4 10 2 3 3 2 2" xfId="53869" xr:uid="{00000000-0005-0000-0000-0000889F0000}"/>
    <cellStyle name="Normal 4 10 2 3 3 3" xfId="40307" xr:uid="{00000000-0005-0000-0000-0000899F0000}"/>
    <cellStyle name="Normal 4 10 2 3 4" xfId="19955" xr:uid="{00000000-0005-0000-0000-00008A9F0000}"/>
    <cellStyle name="Normal 4 10 2 3 4 2" xfId="47088" xr:uid="{00000000-0005-0000-0000-00008B9F0000}"/>
    <cellStyle name="Normal 4 10 2 3 5" xfId="33526" xr:uid="{00000000-0005-0000-0000-00008C9F0000}"/>
    <cellStyle name="Normal 4 10 2 4" xfId="9765" xr:uid="{00000000-0005-0000-0000-00008D9F0000}"/>
    <cellStyle name="Normal 4 10 2 4 2" xfId="16555" xr:uid="{00000000-0005-0000-0000-00008E9F0000}"/>
    <cellStyle name="Normal 4 10 2 4 2 2" xfId="30123" xr:uid="{00000000-0005-0000-0000-00008F9F0000}"/>
    <cellStyle name="Normal 4 10 2 4 2 2 2" xfId="57256" xr:uid="{00000000-0005-0000-0000-0000909F0000}"/>
    <cellStyle name="Normal 4 10 2 4 2 3" xfId="43694" xr:uid="{00000000-0005-0000-0000-0000919F0000}"/>
    <cellStyle name="Normal 4 10 2 4 3" xfId="23342" xr:uid="{00000000-0005-0000-0000-0000929F0000}"/>
    <cellStyle name="Normal 4 10 2 4 3 2" xfId="50475" xr:uid="{00000000-0005-0000-0000-0000939F0000}"/>
    <cellStyle name="Normal 4 10 2 4 4" xfId="36913" xr:uid="{00000000-0005-0000-0000-0000949F0000}"/>
    <cellStyle name="Normal 4 10 2 5" xfId="13166" xr:uid="{00000000-0005-0000-0000-0000959F0000}"/>
    <cellStyle name="Normal 4 10 2 5 2" xfId="26734" xr:uid="{00000000-0005-0000-0000-0000969F0000}"/>
    <cellStyle name="Normal 4 10 2 5 2 2" xfId="53867" xr:uid="{00000000-0005-0000-0000-0000979F0000}"/>
    <cellStyle name="Normal 4 10 2 5 3" xfId="40305" xr:uid="{00000000-0005-0000-0000-0000989F0000}"/>
    <cellStyle name="Normal 4 10 2 6" xfId="19953" xr:uid="{00000000-0005-0000-0000-0000999F0000}"/>
    <cellStyle name="Normal 4 10 2 6 2" xfId="47086" xr:uid="{00000000-0005-0000-0000-00009A9F0000}"/>
    <cellStyle name="Normal 4 10 2 7" xfId="33524" xr:uid="{00000000-0005-0000-0000-00009B9F0000}"/>
    <cellStyle name="Normal 4 10 3" xfId="6227" xr:uid="{00000000-0005-0000-0000-00009C9F0000}"/>
    <cellStyle name="Normal 4 10 3 2" xfId="9768" xr:uid="{00000000-0005-0000-0000-00009D9F0000}"/>
    <cellStyle name="Normal 4 10 3 2 2" xfId="16558" xr:uid="{00000000-0005-0000-0000-00009E9F0000}"/>
    <cellStyle name="Normal 4 10 3 2 2 2" xfId="30126" xr:uid="{00000000-0005-0000-0000-00009F9F0000}"/>
    <cellStyle name="Normal 4 10 3 2 2 2 2" xfId="57259" xr:uid="{00000000-0005-0000-0000-0000A09F0000}"/>
    <cellStyle name="Normal 4 10 3 2 2 3" xfId="43697" xr:uid="{00000000-0005-0000-0000-0000A19F0000}"/>
    <cellStyle name="Normal 4 10 3 2 3" xfId="23345" xr:uid="{00000000-0005-0000-0000-0000A29F0000}"/>
    <cellStyle name="Normal 4 10 3 2 3 2" xfId="50478" xr:uid="{00000000-0005-0000-0000-0000A39F0000}"/>
    <cellStyle name="Normal 4 10 3 2 4" xfId="36916" xr:uid="{00000000-0005-0000-0000-0000A49F0000}"/>
    <cellStyle name="Normal 4 10 3 3" xfId="13169" xr:uid="{00000000-0005-0000-0000-0000A59F0000}"/>
    <cellStyle name="Normal 4 10 3 3 2" xfId="26737" xr:uid="{00000000-0005-0000-0000-0000A69F0000}"/>
    <cellStyle name="Normal 4 10 3 3 2 2" xfId="53870" xr:uid="{00000000-0005-0000-0000-0000A79F0000}"/>
    <cellStyle name="Normal 4 10 3 3 3" xfId="40308" xr:uid="{00000000-0005-0000-0000-0000A89F0000}"/>
    <cellStyle name="Normal 4 10 3 4" xfId="19956" xr:uid="{00000000-0005-0000-0000-0000A99F0000}"/>
    <cellStyle name="Normal 4 10 3 4 2" xfId="47089" xr:uid="{00000000-0005-0000-0000-0000AA9F0000}"/>
    <cellStyle name="Normal 4 10 3 5" xfId="33527" xr:uid="{00000000-0005-0000-0000-0000AB9F0000}"/>
    <cellStyle name="Normal 4 10 4" xfId="6228" xr:uid="{00000000-0005-0000-0000-0000AC9F0000}"/>
    <cellStyle name="Normal 4 10 4 2" xfId="9769" xr:uid="{00000000-0005-0000-0000-0000AD9F0000}"/>
    <cellStyle name="Normal 4 10 4 2 2" xfId="16559" xr:uid="{00000000-0005-0000-0000-0000AE9F0000}"/>
    <cellStyle name="Normal 4 10 4 2 2 2" xfId="30127" xr:uid="{00000000-0005-0000-0000-0000AF9F0000}"/>
    <cellStyle name="Normal 4 10 4 2 2 2 2" xfId="57260" xr:uid="{00000000-0005-0000-0000-0000B09F0000}"/>
    <cellStyle name="Normal 4 10 4 2 2 3" xfId="43698" xr:uid="{00000000-0005-0000-0000-0000B19F0000}"/>
    <cellStyle name="Normal 4 10 4 2 3" xfId="23346" xr:uid="{00000000-0005-0000-0000-0000B29F0000}"/>
    <cellStyle name="Normal 4 10 4 2 3 2" xfId="50479" xr:uid="{00000000-0005-0000-0000-0000B39F0000}"/>
    <cellStyle name="Normal 4 10 4 2 4" xfId="36917" xr:uid="{00000000-0005-0000-0000-0000B49F0000}"/>
    <cellStyle name="Normal 4 10 4 3" xfId="13170" xr:uid="{00000000-0005-0000-0000-0000B59F0000}"/>
    <cellStyle name="Normal 4 10 4 3 2" xfId="26738" xr:uid="{00000000-0005-0000-0000-0000B69F0000}"/>
    <cellStyle name="Normal 4 10 4 3 2 2" xfId="53871" xr:uid="{00000000-0005-0000-0000-0000B79F0000}"/>
    <cellStyle name="Normal 4 10 4 3 3" xfId="40309" xr:uid="{00000000-0005-0000-0000-0000B89F0000}"/>
    <cellStyle name="Normal 4 10 4 4" xfId="19957" xr:uid="{00000000-0005-0000-0000-0000B99F0000}"/>
    <cellStyle name="Normal 4 10 4 4 2" xfId="47090" xr:uid="{00000000-0005-0000-0000-0000BA9F0000}"/>
    <cellStyle name="Normal 4 10 4 5" xfId="33528" xr:uid="{00000000-0005-0000-0000-0000BB9F0000}"/>
    <cellStyle name="Normal 4 11" xfId="2769" xr:uid="{00000000-0005-0000-0000-0000BC9F0000}"/>
    <cellStyle name="Normal 4 11 2" xfId="6229" xr:uid="{00000000-0005-0000-0000-0000BD9F0000}"/>
    <cellStyle name="Normal 4 11 2 2" xfId="9770" xr:uid="{00000000-0005-0000-0000-0000BE9F0000}"/>
    <cellStyle name="Normal 4 11 2 2 2" xfId="16560" xr:uid="{00000000-0005-0000-0000-0000BF9F0000}"/>
    <cellStyle name="Normal 4 11 2 2 2 2" xfId="30128" xr:uid="{00000000-0005-0000-0000-0000C09F0000}"/>
    <cellStyle name="Normal 4 11 2 2 2 2 2" xfId="57261" xr:uid="{00000000-0005-0000-0000-0000C19F0000}"/>
    <cellStyle name="Normal 4 11 2 2 2 3" xfId="43699" xr:uid="{00000000-0005-0000-0000-0000C29F0000}"/>
    <cellStyle name="Normal 4 11 2 2 3" xfId="23347" xr:uid="{00000000-0005-0000-0000-0000C39F0000}"/>
    <cellStyle name="Normal 4 11 2 2 3 2" xfId="50480" xr:uid="{00000000-0005-0000-0000-0000C49F0000}"/>
    <cellStyle name="Normal 4 11 2 2 4" xfId="36918" xr:uid="{00000000-0005-0000-0000-0000C59F0000}"/>
    <cellStyle name="Normal 4 11 2 3" xfId="13171" xr:uid="{00000000-0005-0000-0000-0000C69F0000}"/>
    <cellStyle name="Normal 4 11 2 3 2" xfId="26739" xr:uid="{00000000-0005-0000-0000-0000C79F0000}"/>
    <cellStyle name="Normal 4 11 2 3 2 2" xfId="53872" xr:uid="{00000000-0005-0000-0000-0000C89F0000}"/>
    <cellStyle name="Normal 4 11 2 3 3" xfId="40310" xr:uid="{00000000-0005-0000-0000-0000C99F0000}"/>
    <cellStyle name="Normal 4 11 2 4" xfId="19958" xr:uid="{00000000-0005-0000-0000-0000CA9F0000}"/>
    <cellStyle name="Normal 4 11 2 4 2" xfId="47091" xr:uid="{00000000-0005-0000-0000-0000CB9F0000}"/>
    <cellStyle name="Normal 4 11 2 5" xfId="33529" xr:uid="{00000000-0005-0000-0000-0000CC9F0000}"/>
    <cellStyle name="Normal 4 12" xfId="2770" xr:uid="{00000000-0005-0000-0000-0000CD9F0000}"/>
    <cellStyle name="Normal 4 13" xfId="2771" xr:uid="{00000000-0005-0000-0000-0000CE9F0000}"/>
    <cellStyle name="Normal 4 13 2" xfId="7576" xr:uid="{00000000-0005-0000-0000-0000CF9F0000}"/>
    <cellStyle name="Normal 4 13 2 2" xfId="14366" xr:uid="{00000000-0005-0000-0000-0000D09F0000}"/>
    <cellStyle name="Normal 4 13 2 2 2" xfId="27934" xr:uid="{00000000-0005-0000-0000-0000D19F0000}"/>
    <cellStyle name="Normal 4 13 2 2 2 2" xfId="55067" xr:uid="{00000000-0005-0000-0000-0000D29F0000}"/>
    <cellStyle name="Normal 4 13 2 2 3" xfId="41505" xr:uid="{00000000-0005-0000-0000-0000D39F0000}"/>
    <cellStyle name="Normal 4 13 2 3" xfId="21153" xr:uid="{00000000-0005-0000-0000-0000D49F0000}"/>
    <cellStyle name="Normal 4 13 2 3 2" xfId="48286" xr:uid="{00000000-0005-0000-0000-0000D59F0000}"/>
    <cellStyle name="Normal 4 13 2 4" xfId="34724" xr:uid="{00000000-0005-0000-0000-0000D69F0000}"/>
    <cellStyle name="Normal 4 13 3" xfId="10977" xr:uid="{00000000-0005-0000-0000-0000D79F0000}"/>
    <cellStyle name="Normal 4 13 3 2" xfId="24545" xr:uid="{00000000-0005-0000-0000-0000D89F0000}"/>
    <cellStyle name="Normal 4 13 3 2 2" xfId="51678" xr:uid="{00000000-0005-0000-0000-0000D99F0000}"/>
    <cellStyle name="Normal 4 13 3 3" xfId="38116" xr:uid="{00000000-0005-0000-0000-0000DA9F0000}"/>
    <cellStyle name="Normal 4 13 4" xfId="17764" xr:uid="{00000000-0005-0000-0000-0000DB9F0000}"/>
    <cellStyle name="Normal 4 13 4 2" xfId="44897" xr:uid="{00000000-0005-0000-0000-0000DC9F0000}"/>
    <cellStyle name="Normal 4 13 5" xfId="31335" xr:uid="{00000000-0005-0000-0000-0000DD9F0000}"/>
    <cellStyle name="Normal 4 14" xfId="7424" xr:uid="{00000000-0005-0000-0000-0000DE9F0000}"/>
    <cellStyle name="Normal 4 15" xfId="7425" xr:uid="{00000000-0005-0000-0000-0000DF9F0000}"/>
    <cellStyle name="Normal 4 16" xfId="7426" xr:uid="{00000000-0005-0000-0000-0000E09F0000}"/>
    <cellStyle name="Normal 4 17" xfId="7427" xr:uid="{00000000-0005-0000-0000-0000E19F0000}"/>
    <cellStyle name="Normal 4 18" xfId="7428" xr:uid="{00000000-0005-0000-0000-0000E29F0000}"/>
    <cellStyle name="Normal 4 19" xfId="7429" xr:uid="{00000000-0005-0000-0000-0000E39F0000}"/>
    <cellStyle name="Normal 4 2" xfId="83" xr:uid="{00000000-0005-0000-0000-0000E49F0000}"/>
    <cellStyle name="Normal 4 2 2" xfId="2772" xr:uid="{00000000-0005-0000-0000-0000E59F0000}"/>
    <cellStyle name="Normal 4 2 2 2" xfId="6230" xr:uid="{00000000-0005-0000-0000-0000E69F0000}"/>
    <cellStyle name="Normal 4 2 2 2 2" xfId="6231" xr:uid="{00000000-0005-0000-0000-0000E79F0000}"/>
    <cellStyle name="Normal 4 2 2 3" xfId="7577" xr:uid="{00000000-0005-0000-0000-0000E89F0000}"/>
    <cellStyle name="Normal 4 2 2 3 2" xfId="14367" xr:uid="{00000000-0005-0000-0000-0000E99F0000}"/>
    <cellStyle name="Normal 4 2 2 3 2 2" xfId="27935" xr:uid="{00000000-0005-0000-0000-0000EA9F0000}"/>
    <cellStyle name="Normal 4 2 2 3 2 2 2" xfId="55068" xr:uid="{00000000-0005-0000-0000-0000EB9F0000}"/>
    <cellStyle name="Normal 4 2 2 3 2 3" xfId="41506" xr:uid="{00000000-0005-0000-0000-0000EC9F0000}"/>
    <cellStyle name="Normal 4 2 2 3 3" xfId="21154" xr:uid="{00000000-0005-0000-0000-0000ED9F0000}"/>
    <cellStyle name="Normal 4 2 2 3 3 2" xfId="48287" xr:uid="{00000000-0005-0000-0000-0000EE9F0000}"/>
    <cellStyle name="Normal 4 2 2 3 4" xfId="34725" xr:uid="{00000000-0005-0000-0000-0000EF9F0000}"/>
    <cellStyle name="Normal 4 2 2 4" xfId="10978" xr:uid="{00000000-0005-0000-0000-0000F09F0000}"/>
    <cellStyle name="Normal 4 2 2 4 2" xfId="24546" xr:uid="{00000000-0005-0000-0000-0000F19F0000}"/>
    <cellStyle name="Normal 4 2 2 4 2 2" xfId="51679" xr:uid="{00000000-0005-0000-0000-0000F29F0000}"/>
    <cellStyle name="Normal 4 2 2 4 3" xfId="38117" xr:uid="{00000000-0005-0000-0000-0000F39F0000}"/>
    <cellStyle name="Normal 4 2 2 5" xfId="17765" xr:uid="{00000000-0005-0000-0000-0000F49F0000}"/>
    <cellStyle name="Normal 4 2 2 5 2" xfId="44898" xr:uid="{00000000-0005-0000-0000-0000F59F0000}"/>
    <cellStyle name="Normal 4 2 2 6" xfId="31336" xr:uid="{00000000-0005-0000-0000-0000F69F0000}"/>
    <cellStyle name="Normal 4 2 3" xfId="6232" xr:uid="{00000000-0005-0000-0000-0000F79F0000}"/>
    <cellStyle name="Normal 4 2 4" xfId="6233" xr:uid="{00000000-0005-0000-0000-0000F89F0000}"/>
    <cellStyle name="Normal 4 20" xfId="7430" xr:uid="{00000000-0005-0000-0000-0000F99F0000}"/>
    <cellStyle name="Normal 4 21" xfId="7431" xr:uid="{00000000-0005-0000-0000-0000FA9F0000}"/>
    <cellStyle name="Normal 4 22" xfId="7432" xr:uid="{00000000-0005-0000-0000-0000FB9F0000}"/>
    <cellStyle name="Normal 4 23" xfId="7433" xr:uid="{00000000-0005-0000-0000-0000FC9F0000}"/>
    <cellStyle name="Normal 4 24" xfId="7434" xr:uid="{00000000-0005-0000-0000-0000FD9F0000}"/>
    <cellStyle name="Normal 4 25" xfId="7435" xr:uid="{00000000-0005-0000-0000-0000FE9F0000}"/>
    <cellStyle name="Normal 4 26" xfId="7436" xr:uid="{00000000-0005-0000-0000-0000FF9F0000}"/>
    <cellStyle name="Normal 4 27" xfId="7437" xr:uid="{00000000-0005-0000-0000-000000A00000}"/>
    <cellStyle name="Normal 4 28" xfId="7438" xr:uid="{00000000-0005-0000-0000-000001A00000}"/>
    <cellStyle name="Normal 4 29" xfId="7439" xr:uid="{00000000-0005-0000-0000-000002A00000}"/>
    <cellStyle name="Normal 4 3" xfId="200" xr:uid="{00000000-0005-0000-0000-000003A00000}"/>
    <cellStyle name="Normal 4 3 10" xfId="6234" xr:uid="{00000000-0005-0000-0000-000004A00000}"/>
    <cellStyle name="Normal 4 3 10 2" xfId="6235" xr:uid="{00000000-0005-0000-0000-000005A00000}"/>
    <cellStyle name="Normal 4 3 10 2 2" xfId="6236" xr:uid="{00000000-0005-0000-0000-000006A00000}"/>
    <cellStyle name="Normal 4 3 10 2 2 2" xfId="9773" xr:uid="{00000000-0005-0000-0000-000007A00000}"/>
    <cellStyle name="Normal 4 3 10 2 2 2 2" xfId="16563" xr:uid="{00000000-0005-0000-0000-000008A00000}"/>
    <cellStyle name="Normal 4 3 10 2 2 2 2 2" xfId="30131" xr:uid="{00000000-0005-0000-0000-000009A00000}"/>
    <cellStyle name="Normal 4 3 10 2 2 2 2 2 2" xfId="57264" xr:uid="{00000000-0005-0000-0000-00000AA00000}"/>
    <cellStyle name="Normal 4 3 10 2 2 2 2 3" xfId="43702" xr:uid="{00000000-0005-0000-0000-00000BA00000}"/>
    <cellStyle name="Normal 4 3 10 2 2 2 3" xfId="23350" xr:uid="{00000000-0005-0000-0000-00000CA00000}"/>
    <cellStyle name="Normal 4 3 10 2 2 2 3 2" xfId="50483" xr:uid="{00000000-0005-0000-0000-00000DA00000}"/>
    <cellStyle name="Normal 4 3 10 2 2 2 4" xfId="36921" xr:uid="{00000000-0005-0000-0000-00000EA00000}"/>
    <cellStyle name="Normal 4 3 10 2 2 3" xfId="13174" xr:uid="{00000000-0005-0000-0000-00000FA00000}"/>
    <cellStyle name="Normal 4 3 10 2 2 3 2" xfId="26742" xr:uid="{00000000-0005-0000-0000-000010A00000}"/>
    <cellStyle name="Normal 4 3 10 2 2 3 2 2" xfId="53875" xr:uid="{00000000-0005-0000-0000-000011A00000}"/>
    <cellStyle name="Normal 4 3 10 2 2 3 3" xfId="40313" xr:uid="{00000000-0005-0000-0000-000012A00000}"/>
    <cellStyle name="Normal 4 3 10 2 2 4" xfId="19961" xr:uid="{00000000-0005-0000-0000-000013A00000}"/>
    <cellStyle name="Normal 4 3 10 2 2 4 2" xfId="47094" xr:uid="{00000000-0005-0000-0000-000014A00000}"/>
    <cellStyle name="Normal 4 3 10 2 2 5" xfId="33532" xr:uid="{00000000-0005-0000-0000-000015A00000}"/>
    <cellStyle name="Normal 4 3 10 2 3" xfId="6237" xr:uid="{00000000-0005-0000-0000-000016A00000}"/>
    <cellStyle name="Normal 4 3 10 2 3 2" xfId="9774" xr:uid="{00000000-0005-0000-0000-000017A00000}"/>
    <cellStyle name="Normal 4 3 10 2 3 2 2" xfId="16564" xr:uid="{00000000-0005-0000-0000-000018A00000}"/>
    <cellStyle name="Normal 4 3 10 2 3 2 2 2" xfId="30132" xr:uid="{00000000-0005-0000-0000-000019A00000}"/>
    <cellStyle name="Normal 4 3 10 2 3 2 2 2 2" xfId="57265" xr:uid="{00000000-0005-0000-0000-00001AA00000}"/>
    <cellStyle name="Normal 4 3 10 2 3 2 2 3" xfId="43703" xr:uid="{00000000-0005-0000-0000-00001BA00000}"/>
    <cellStyle name="Normal 4 3 10 2 3 2 3" xfId="23351" xr:uid="{00000000-0005-0000-0000-00001CA00000}"/>
    <cellStyle name="Normal 4 3 10 2 3 2 3 2" xfId="50484" xr:uid="{00000000-0005-0000-0000-00001DA00000}"/>
    <cellStyle name="Normal 4 3 10 2 3 2 4" xfId="36922" xr:uid="{00000000-0005-0000-0000-00001EA00000}"/>
    <cellStyle name="Normal 4 3 10 2 3 3" xfId="13175" xr:uid="{00000000-0005-0000-0000-00001FA00000}"/>
    <cellStyle name="Normal 4 3 10 2 3 3 2" xfId="26743" xr:uid="{00000000-0005-0000-0000-000020A00000}"/>
    <cellStyle name="Normal 4 3 10 2 3 3 2 2" xfId="53876" xr:uid="{00000000-0005-0000-0000-000021A00000}"/>
    <cellStyle name="Normal 4 3 10 2 3 3 3" xfId="40314" xr:uid="{00000000-0005-0000-0000-000022A00000}"/>
    <cellStyle name="Normal 4 3 10 2 3 4" xfId="19962" xr:uid="{00000000-0005-0000-0000-000023A00000}"/>
    <cellStyle name="Normal 4 3 10 2 3 4 2" xfId="47095" xr:uid="{00000000-0005-0000-0000-000024A00000}"/>
    <cellStyle name="Normal 4 3 10 2 3 5" xfId="33533" xr:uid="{00000000-0005-0000-0000-000025A00000}"/>
    <cellStyle name="Normal 4 3 10 2 4" xfId="9772" xr:uid="{00000000-0005-0000-0000-000026A00000}"/>
    <cellStyle name="Normal 4 3 10 2 4 2" xfId="16562" xr:uid="{00000000-0005-0000-0000-000027A00000}"/>
    <cellStyle name="Normal 4 3 10 2 4 2 2" xfId="30130" xr:uid="{00000000-0005-0000-0000-000028A00000}"/>
    <cellStyle name="Normal 4 3 10 2 4 2 2 2" xfId="57263" xr:uid="{00000000-0005-0000-0000-000029A00000}"/>
    <cellStyle name="Normal 4 3 10 2 4 2 3" xfId="43701" xr:uid="{00000000-0005-0000-0000-00002AA00000}"/>
    <cellStyle name="Normal 4 3 10 2 4 3" xfId="23349" xr:uid="{00000000-0005-0000-0000-00002BA00000}"/>
    <cellStyle name="Normal 4 3 10 2 4 3 2" xfId="50482" xr:uid="{00000000-0005-0000-0000-00002CA00000}"/>
    <cellStyle name="Normal 4 3 10 2 4 4" xfId="36920" xr:uid="{00000000-0005-0000-0000-00002DA00000}"/>
    <cellStyle name="Normal 4 3 10 2 5" xfId="13173" xr:uid="{00000000-0005-0000-0000-00002EA00000}"/>
    <cellStyle name="Normal 4 3 10 2 5 2" xfId="26741" xr:uid="{00000000-0005-0000-0000-00002FA00000}"/>
    <cellStyle name="Normal 4 3 10 2 5 2 2" xfId="53874" xr:uid="{00000000-0005-0000-0000-000030A00000}"/>
    <cellStyle name="Normal 4 3 10 2 5 3" xfId="40312" xr:uid="{00000000-0005-0000-0000-000031A00000}"/>
    <cellStyle name="Normal 4 3 10 2 6" xfId="19960" xr:uid="{00000000-0005-0000-0000-000032A00000}"/>
    <cellStyle name="Normal 4 3 10 2 6 2" xfId="47093" xr:uid="{00000000-0005-0000-0000-000033A00000}"/>
    <cellStyle name="Normal 4 3 10 2 7" xfId="33531" xr:uid="{00000000-0005-0000-0000-000034A00000}"/>
    <cellStyle name="Normal 4 3 10 3" xfId="6238" xr:uid="{00000000-0005-0000-0000-000035A00000}"/>
    <cellStyle name="Normal 4 3 10 3 2" xfId="9775" xr:uid="{00000000-0005-0000-0000-000036A00000}"/>
    <cellStyle name="Normal 4 3 10 3 2 2" xfId="16565" xr:uid="{00000000-0005-0000-0000-000037A00000}"/>
    <cellStyle name="Normal 4 3 10 3 2 2 2" xfId="30133" xr:uid="{00000000-0005-0000-0000-000038A00000}"/>
    <cellStyle name="Normal 4 3 10 3 2 2 2 2" xfId="57266" xr:uid="{00000000-0005-0000-0000-000039A00000}"/>
    <cellStyle name="Normal 4 3 10 3 2 2 3" xfId="43704" xr:uid="{00000000-0005-0000-0000-00003AA00000}"/>
    <cellStyle name="Normal 4 3 10 3 2 3" xfId="23352" xr:uid="{00000000-0005-0000-0000-00003BA00000}"/>
    <cellStyle name="Normal 4 3 10 3 2 3 2" xfId="50485" xr:uid="{00000000-0005-0000-0000-00003CA00000}"/>
    <cellStyle name="Normal 4 3 10 3 2 4" xfId="36923" xr:uid="{00000000-0005-0000-0000-00003DA00000}"/>
    <cellStyle name="Normal 4 3 10 3 3" xfId="13176" xr:uid="{00000000-0005-0000-0000-00003EA00000}"/>
    <cellStyle name="Normal 4 3 10 3 3 2" xfId="26744" xr:uid="{00000000-0005-0000-0000-00003FA00000}"/>
    <cellStyle name="Normal 4 3 10 3 3 2 2" xfId="53877" xr:uid="{00000000-0005-0000-0000-000040A00000}"/>
    <cellStyle name="Normal 4 3 10 3 3 3" xfId="40315" xr:uid="{00000000-0005-0000-0000-000041A00000}"/>
    <cellStyle name="Normal 4 3 10 3 4" xfId="19963" xr:uid="{00000000-0005-0000-0000-000042A00000}"/>
    <cellStyle name="Normal 4 3 10 3 4 2" xfId="47096" xr:uid="{00000000-0005-0000-0000-000043A00000}"/>
    <cellStyle name="Normal 4 3 10 3 5" xfId="33534" xr:uid="{00000000-0005-0000-0000-000044A00000}"/>
    <cellStyle name="Normal 4 3 10 4" xfId="6239" xr:uid="{00000000-0005-0000-0000-000045A00000}"/>
    <cellStyle name="Normal 4 3 10 4 2" xfId="9776" xr:uid="{00000000-0005-0000-0000-000046A00000}"/>
    <cellStyle name="Normal 4 3 10 4 2 2" xfId="16566" xr:uid="{00000000-0005-0000-0000-000047A00000}"/>
    <cellStyle name="Normal 4 3 10 4 2 2 2" xfId="30134" xr:uid="{00000000-0005-0000-0000-000048A00000}"/>
    <cellStyle name="Normal 4 3 10 4 2 2 2 2" xfId="57267" xr:uid="{00000000-0005-0000-0000-000049A00000}"/>
    <cellStyle name="Normal 4 3 10 4 2 2 3" xfId="43705" xr:uid="{00000000-0005-0000-0000-00004AA00000}"/>
    <cellStyle name="Normal 4 3 10 4 2 3" xfId="23353" xr:uid="{00000000-0005-0000-0000-00004BA00000}"/>
    <cellStyle name="Normal 4 3 10 4 2 3 2" xfId="50486" xr:uid="{00000000-0005-0000-0000-00004CA00000}"/>
    <cellStyle name="Normal 4 3 10 4 2 4" xfId="36924" xr:uid="{00000000-0005-0000-0000-00004DA00000}"/>
    <cellStyle name="Normal 4 3 10 4 3" xfId="13177" xr:uid="{00000000-0005-0000-0000-00004EA00000}"/>
    <cellStyle name="Normal 4 3 10 4 3 2" xfId="26745" xr:uid="{00000000-0005-0000-0000-00004FA00000}"/>
    <cellStyle name="Normal 4 3 10 4 3 2 2" xfId="53878" xr:uid="{00000000-0005-0000-0000-000050A00000}"/>
    <cellStyle name="Normal 4 3 10 4 3 3" xfId="40316" xr:uid="{00000000-0005-0000-0000-000051A00000}"/>
    <cellStyle name="Normal 4 3 10 4 4" xfId="19964" xr:uid="{00000000-0005-0000-0000-000052A00000}"/>
    <cellStyle name="Normal 4 3 10 4 4 2" xfId="47097" xr:uid="{00000000-0005-0000-0000-000053A00000}"/>
    <cellStyle name="Normal 4 3 10 4 5" xfId="33535" xr:uid="{00000000-0005-0000-0000-000054A00000}"/>
    <cellStyle name="Normal 4 3 10 5" xfId="9771" xr:uid="{00000000-0005-0000-0000-000055A00000}"/>
    <cellStyle name="Normal 4 3 10 5 2" xfId="16561" xr:uid="{00000000-0005-0000-0000-000056A00000}"/>
    <cellStyle name="Normal 4 3 10 5 2 2" xfId="30129" xr:uid="{00000000-0005-0000-0000-000057A00000}"/>
    <cellStyle name="Normal 4 3 10 5 2 2 2" xfId="57262" xr:uid="{00000000-0005-0000-0000-000058A00000}"/>
    <cellStyle name="Normal 4 3 10 5 2 3" xfId="43700" xr:uid="{00000000-0005-0000-0000-000059A00000}"/>
    <cellStyle name="Normal 4 3 10 5 3" xfId="23348" xr:uid="{00000000-0005-0000-0000-00005AA00000}"/>
    <cellStyle name="Normal 4 3 10 5 3 2" xfId="50481" xr:uid="{00000000-0005-0000-0000-00005BA00000}"/>
    <cellStyle name="Normal 4 3 10 5 4" xfId="36919" xr:uid="{00000000-0005-0000-0000-00005CA00000}"/>
    <cellStyle name="Normal 4 3 10 6" xfId="13172" xr:uid="{00000000-0005-0000-0000-00005DA00000}"/>
    <cellStyle name="Normal 4 3 10 6 2" xfId="26740" xr:uid="{00000000-0005-0000-0000-00005EA00000}"/>
    <cellStyle name="Normal 4 3 10 6 2 2" xfId="53873" xr:uid="{00000000-0005-0000-0000-00005FA00000}"/>
    <cellStyle name="Normal 4 3 10 6 3" xfId="40311" xr:uid="{00000000-0005-0000-0000-000060A00000}"/>
    <cellStyle name="Normal 4 3 10 7" xfId="19959" xr:uid="{00000000-0005-0000-0000-000061A00000}"/>
    <cellStyle name="Normal 4 3 10 7 2" xfId="47092" xr:uid="{00000000-0005-0000-0000-000062A00000}"/>
    <cellStyle name="Normal 4 3 10 8" xfId="33530" xr:uid="{00000000-0005-0000-0000-000063A00000}"/>
    <cellStyle name="Normal 4 3 11" xfId="6240" xr:uid="{00000000-0005-0000-0000-000064A00000}"/>
    <cellStyle name="Normal 4 3 11 2" xfId="6241" xr:uid="{00000000-0005-0000-0000-000065A00000}"/>
    <cellStyle name="Normal 4 3 11 2 2" xfId="6242" xr:uid="{00000000-0005-0000-0000-000066A00000}"/>
    <cellStyle name="Normal 4 3 11 2 2 2" xfId="9779" xr:uid="{00000000-0005-0000-0000-000067A00000}"/>
    <cellStyle name="Normal 4 3 11 2 2 2 2" xfId="16569" xr:uid="{00000000-0005-0000-0000-000068A00000}"/>
    <cellStyle name="Normal 4 3 11 2 2 2 2 2" xfId="30137" xr:uid="{00000000-0005-0000-0000-000069A00000}"/>
    <cellStyle name="Normal 4 3 11 2 2 2 2 2 2" xfId="57270" xr:uid="{00000000-0005-0000-0000-00006AA00000}"/>
    <cellStyle name="Normal 4 3 11 2 2 2 2 3" xfId="43708" xr:uid="{00000000-0005-0000-0000-00006BA00000}"/>
    <cellStyle name="Normal 4 3 11 2 2 2 3" xfId="23356" xr:uid="{00000000-0005-0000-0000-00006CA00000}"/>
    <cellStyle name="Normal 4 3 11 2 2 2 3 2" xfId="50489" xr:uid="{00000000-0005-0000-0000-00006DA00000}"/>
    <cellStyle name="Normal 4 3 11 2 2 2 4" xfId="36927" xr:uid="{00000000-0005-0000-0000-00006EA00000}"/>
    <cellStyle name="Normal 4 3 11 2 2 3" xfId="13180" xr:uid="{00000000-0005-0000-0000-00006FA00000}"/>
    <cellStyle name="Normal 4 3 11 2 2 3 2" xfId="26748" xr:uid="{00000000-0005-0000-0000-000070A00000}"/>
    <cellStyle name="Normal 4 3 11 2 2 3 2 2" xfId="53881" xr:uid="{00000000-0005-0000-0000-000071A00000}"/>
    <cellStyle name="Normal 4 3 11 2 2 3 3" xfId="40319" xr:uid="{00000000-0005-0000-0000-000072A00000}"/>
    <cellStyle name="Normal 4 3 11 2 2 4" xfId="19967" xr:uid="{00000000-0005-0000-0000-000073A00000}"/>
    <cellStyle name="Normal 4 3 11 2 2 4 2" xfId="47100" xr:uid="{00000000-0005-0000-0000-000074A00000}"/>
    <cellStyle name="Normal 4 3 11 2 2 5" xfId="33538" xr:uid="{00000000-0005-0000-0000-000075A00000}"/>
    <cellStyle name="Normal 4 3 11 2 3" xfId="6243" xr:uid="{00000000-0005-0000-0000-000076A00000}"/>
    <cellStyle name="Normal 4 3 11 2 3 2" xfId="9780" xr:uid="{00000000-0005-0000-0000-000077A00000}"/>
    <cellStyle name="Normal 4 3 11 2 3 2 2" xfId="16570" xr:uid="{00000000-0005-0000-0000-000078A00000}"/>
    <cellStyle name="Normal 4 3 11 2 3 2 2 2" xfId="30138" xr:uid="{00000000-0005-0000-0000-000079A00000}"/>
    <cellStyle name="Normal 4 3 11 2 3 2 2 2 2" xfId="57271" xr:uid="{00000000-0005-0000-0000-00007AA00000}"/>
    <cellStyle name="Normal 4 3 11 2 3 2 2 3" xfId="43709" xr:uid="{00000000-0005-0000-0000-00007BA00000}"/>
    <cellStyle name="Normal 4 3 11 2 3 2 3" xfId="23357" xr:uid="{00000000-0005-0000-0000-00007CA00000}"/>
    <cellStyle name="Normal 4 3 11 2 3 2 3 2" xfId="50490" xr:uid="{00000000-0005-0000-0000-00007DA00000}"/>
    <cellStyle name="Normal 4 3 11 2 3 2 4" xfId="36928" xr:uid="{00000000-0005-0000-0000-00007EA00000}"/>
    <cellStyle name="Normal 4 3 11 2 3 3" xfId="13181" xr:uid="{00000000-0005-0000-0000-00007FA00000}"/>
    <cellStyle name="Normal 4 3 11 2 3 3 2" xfId="26749" xr:uid="{00000000-0005-0000-0000-000080A00000}"/>
    <cellStyle name="Normal 4 3 11 2 3 3 2 2" xfId="53882" xr:uid="{00000000-0005-0000-0000-000081A00000}"/>
    <cellStyle name="Normal 4 3 11 2 3 3 3" xfId="40320" xr:uid="{00000000-0005-0000-0000-000082A00000}"/>
    <cellStyle name="Normal 4 3 11 2 3 4" xfId="19968" xr:uid="{00000000-0005-0000-0000-000083A00000}"/>
    <cellStyle name="Normal 4 3 11 2 3 4 2" xfId="47101" xr:uid="{00000000-0005-0000-0000-000084A00000}"/>
    <cellStyle name="Normal 4 3 11 2 3 5" xfId="33539" xr:uid="{00000000-0005-0000-0000-000085A00000}"/>
    <cellStyle name="Normal 4 3 11 2 4" xfId="9778" xr:uid="{00000000-0005-0000-0000-000086A00000}"/>
    <cellStyle name="Normal 4 3 11 2 4 2" xfId="16568" xr:uid="{00000000-0005-0000-0000-000087A00000}"/>
    <cellStyle name="Normal 4 3 11 2 4 2 2" xfId="30136" xr:uid="{00000000-0005-0000-0000-000088A00000}"/>
    <cellStyle name="Normal 4 3 11 2 4 2 2 2" xfId="57269" xr:uid="{00000000-0005-0000-0000-000089A00000}"/>
    <cellStyle name="Normal 4 3 11 2 4 2 3" xfId="43707" xr:uid="{00000000-0005-0000-0000-00008AA00000}"/>
    <cellStyle name="Normal 4 3 11 2 4 3" xfId="23355" xr:uid="{00000000-0005-0000-0000-00008BA00000}"/>
    <cellStyle name="Normal 4 3 11 2 4 3 2" xfId="50488" xr:uid="{00000000-0005-0000-0000-00008CA00000}"/>
    <cellStyle name="Normal 4 3 11 2 4 4" xfId="36926" xr:uid="{00000000-0005-0000-0000-00008DA00000}"/>
    <cellStyle name="Normal 4 3 11 2 5" xfId="13179" xr:uid="{00000000-0005-0000-0000-00008EA00000}"/>
    <cellStyle name="Normal 4 3 11 2 5 2" xfId="26747" xr:uid="{00000000-0005-0000-0000-00008FA00000}"/>
    <cellStyle name="Normal 4 3 11 2 5 2 2" xfId="53880" xr:uid="{00000000-0005-0000-0000-000090A00000}"/>
    <cellStyle name="Normal 4 3 11 2 5 3" xfId="40318" xr:uid="{00000000-0005-0000-0000-000091A00000}"/>
    <cellStyle name="Normal 4 3 11 2 6" xfId="19966" xr:uid="{00000000-0005-0000-0000-000092A00000}"/>
    <cellStyle name="Normal 4 3 11 2 6 2" xfId="47099" xr:uid="{00000000-0005-0000-0000-000093A00000}"/>
    <cellStyle name="Normal 4 3 11 2 7" xfId="33537" xr:uid="{00000000-0005-0000-0000-000094A00000}"/>
    <cellStyle name="Normal 4 3 11 3" xfId="6244" xr:uid="{00000000-0005-0000-0000-000095A00000}"/>
    <cellStyle name="Normal 4 3 11 3 2" xfId="9781" xr:uid="{00000000-0005-0000-0000-000096A00000}"/>
    <cellStyle name="Normal 4 3 11 3 2 2" xfId="16571" xr:uid="{00000000-0005-0000-0000-000097A00000}"/>
    <cellStyle name="Normal 4 3 11 3 2 2 2" xfId="30139" xr:uid="{00000000-0005-0000-0000-000098A00000}"/>
    <cellStyle name="Normal 4 3 11 3 2 2 2 2" xfId="57272" xr:uid="{00000000-0005-0000-0000-000099A00000}"/>
    <cellStyle name="Normal 4 3 11 3 2 2 3" xfId="43710" xr:uid="{00000000-0005-0000-0000-00009AA00000}"/>
    <cellStyle name="Normal 4 3 11 3 2 3" xfId="23358" xr:uid="{00000000-0005-0000-0000-00009BA00000}"/>
    <cellStyle name="Normal 4 3 11 3 2 3 2" xfId="50491" xr:uid="{00000000-0005-0000-0000-00009CA00000}"/>
    <cellStyle name="Normal 4 3 11 3 2 4" xfId="36929" xr:uid="{00000000-0005-0000-0000-00009DA00000}"/>
    <cellStyle name="Normal 4 3 11 3 3" xfId="13182" xr:uid="{00000000-0005-0000-0000-00009EA00000}"/>
    <cellStyle name="Normal 4 3 11 3 3 2" xfId="26750" xr:uid="{00000000-0005-0000-0000-00009FA00000}"/>
    <cellStyle name="Normal 4 3 11 3 3 2 2" xfId="53883" xr:uid="{00000000-0005-0000-0000-0000A0A00000}"/>
    <cellStyle name="Normal 4 3 11 3 3 3" xfId="40321" xr:uid="{00000000-0005-0000-0000-0000A1A00000}"/>
    <cellStyle name="Normal 4 3 11 3 4" xfId="19969" xr:uid="{00000000-0005-0000-0000-0000A2A00000}"/>
    <cellStyle name="Normal 4 3 11 3 4 2" xfId="47102" xr:uid="{00000000-0005-0000-0000-0000A3A00000}"/>
    <cellStyle name="Normal 4 3 11 3 5" xfId="33540" xr:uid="{00000000-0005-0000-0000-0000A4A00000}"/>
    <cellStyle name="Normal 4 3 11 4" xfId="6245" xr:uid="{00000000-0005-0000-0000-0000A5A00000}"/>
    <cellStyle name="Normal 4 3 11 4 2" xfId="9782" xr:uid="{00000000-0005-0000-0000-0000A6A00000}"/>
    <cellStyle name="Normal 4 3 11 4 2 2" xfId="16572" xr:uid="{00000000-0005-0000-0000-0000A7A00000}"/>
    <cellStyle name="Normal 4 3 11 4 2 2 2" xfId="30140" xr:uid="{00000000-0005-0000-0000-0000A8A00000}"/>
    <cellStyle name="Normal 4 3 11 4 2 2 2 2" xfId="57273" xr:uid="{00000000-0005-0000-0000-0000A9A00000}"/>
    <cellStyle name="Normal 4 3 11 4 2 2 3" xfId="43711" xr:uid="{00000000-0005-0000-0000-0000AAA00000}"/>
    <cellStyle name="Normal 4 3 11 4 2 3" xfId="23359" xr:uid="{00000000-0005-0000-0000-0000ABA00000}"/>
    <cellStyle name="Normal 4 3 11 4 2 3 2" xfId="50492" xr:uid="{00000000-0005-0000-0000-0000ACA00000}"/>
    <cellStyle name="Normal 4 3 11 4 2 4" xfId="36930" xr:uid="{00000000-0005-0000-0000-0000ADA00000}"/>
    <cellStyle name="Normal 4 3 11 4 3" xfId="13183" xr:uid="{00000000-0005-0000-0000-0000AEA00000}"/>
    <cellStyle name="Normal 4 3 11 4 3 2" xfId="26751" xr:uid="{00000000-0005-0000-0000-0000AFA00000}"/>
    <cellStyle name="Normal 4 3 11 4 3 2 2" xfId="53884" xr:uid="{00000000-0005-0000-0000-0000B0A00000}"/>
    <cellStyle name="Normal 4 3 11 4 3 3" xfId="40322" xr:uid="{00000000-0005-0000-0000-0000B1A00000}"/>
    <cellStyle name="Normal 4 3 11 4 4" xfId="19970" xr:uid="{00000000-0005-0000-0000-0000B2A00000}"/>
    <cellStyle name="Normal 4 3 11 4 4 2" xfId="47103" xr:uid="{00000000-0005-0000-0000-0000B3A00000}"/>
    <cellStyle name="Normal 4 3 11 4 5" xfId="33541" xr:uid="{00000000-0005-0000-0000-0000B4A00000}"/>
    <cellStyle name="Normal 4 3 11 5" xfId="9777" xr:uid="{00000000-0005-0000-0000-0000B5A00000}"/>
    <cellStyle name="Normal 4 3 11 5 2" xfId="16567" xr:uid="{00000000-0005-0000-0000-0000B6A00000}"/>
    <cellStyle name="Normal 4 3 11 5 2 2" xfId="30135" xr:uid="{00000000-0005-0000-0000-0000B7A00000}"/>
    <cellStyle name="Normal 4 3 11 5 2 2 2" xfId="57268" xr:uid="{00000000-0005-0000-0000-0000B8A00000}"/>
    <cellStyle name="Normal 4 3 11 5 2 3" xfId="43706" xr:uid="{00000000-0005-0000-0000-0000B9A00000}"/>
    <cellStyle name="Normal 4 3 11 5 3" xfId="23354" xr:uid="{00000000-0005-0000-0000-0000BAA00000}"/>
    <cellStyle name="Normal 4 3 11 5 3 2" xfId="50487" xr:uid="{00000000-0005-0000-0000-0000BBA00000}"/>
    <cellStyle name="Normal 4 3 11 5 4" xfId="36925" xr:uid="{00000000-0005-0000-0000-0000BCA00000}"/>
    <cellStyle name="Normal 4 3 11 6" xfId="13178" xr:uid="{00000000-0005-0000-0000-0000BDA00000}"/>
    <cellStyle name="Normal 4 3 11 6 2" xfId="26746" xr:uid="{00000000-0005-0000-0000-0000BEA00000}"/>
    <cellStyle name="Normal 4 3 11 6 2 2" xfId="53879" xr:uid="{00000000-0005-0000-0000-0000BFA00000}"/>
    <cellStyle name="Normal 4 3 11 6 3" xfId="40317" xr:uid="{00000000-0005-0000-0000-0000C0A00000}"/>
    <cellStyle name="Normal 4 3 11 7" xfId="19965" xr:uid="{00000000-0005-0000-0000-0000C1A00000}"/>
    <cellStyle name="Normal 4 3 11 7 2" xfId="47098" xr:uid="{00000000-0005-0000-0000-0000C2A00000}"/>
    <cellStyle name="Normal 4 3 11 8" xfId="33536" xr:uid="{00000000-0005-0000-0000-0000C3A00000}"/>
    <cellStyle name="Normal 4 3 12" xfId="6246" xr:uid="{00000000-0005-0000-0000-0000C4A00000}"/>
    <cellStyle name="Normal 4 3 12 2" xfId="6247" xr:uid="{00000000-0005-0000-0000-0000C5A00000}"/>
    <cellStyle name="Normal 4 3 12 2 2" xfId="9784" xr:uid="{00000000-0005-0000-0000-0000C6A00000}"/>
    <cellStyle name="Normal 4 3 12 2 2 2" xfId="16574" xr:uid="{00000000-0005-0000-0000-0000C7A00000}"/>
    <cellStyle name="Normal 4 3 12 2 2 2 2" xfId="30142" xr:uid="{00000000-0005-0000-0000-0000C8A00000}"/>
    <cellStyle name="Normal 4 3 12 2 2 2 2 2" xfId="57275" xr:uid="{00000000-0005-0000-0000-0000C9A00000}"/>
    <cellStyle name="Normal 4 3 12 2 2 2 3" xfId="43713" xr:uid="{00000000-0005-0000-0000-0000CAA00000}"/>
    <cellStyle name="Normal 4 3 12 2 2 3" xfId="23361" xr:uid="{00000000-0005-0000-0000-0000CBA00000}"/>
    <cellStyle name="Normal 4 3 12 2 2 3 2" xfId="50494" xr:uid="{00000000-0005-0000-0000-0000CCA00000}"/>
    <cellStyle name="Normal 4 3 12 2 2 4" xfId="36932" xr:uid="{00000000-0005-0000-0000-0000CDA00000}"/>
    <cellStyle name="Normal 4 3 12 2 3" xfId="13185" xr:uid="{00000000-0005-0000-0000-0000CEA00000}"/>
    <cellStyle name="Normal 4 3 12 2 3 2" xfId="26753" xr:uid="{00000000-0005-0000-0000-0000CFA00000}"/>
    <cellStyle name="Normal 4 3 12 2 3 2 2" xfId="53886" xr:uid="{00000000-0005-0000-0000-0000D0A00000}"/>
    <cellStyle name="Normal 4 3 12 2 3 3" xfId="40324" xr:uid="{00000000-0005-0000-0000-0000D1A00000}"/>
    <cellStyle name="Normal 4 3 12 2 4" xfId="19972" xr:uid="{00000000-0005-0000-0000-0000D2A00000}"/>
    <cellStyle name="Normal 4 3 12 2 4 2" xfId="47105" xr:uid="{00000000-0005-0000-0000-0000D3A00000}"/>
    <cellStyle name="Normal 4 3 12 2 5" xfId="33543" xr:uid="{00000000-0005-0000-0000-0000D4A00000}"/>
    <cellStyle name="Normal 4 3 12 3" xfId="9783" xr:uid="{00000000-0005-0000-0000-0000D5A00000}"/>
    <cellStyle name="Normal 4 3 12 3 2" xfId="16573" xr:uid="{00000000-0005-0000-0000-0000D6A00000}"/>
    <cellStyle name="Normal 4 3 12 3 2 2" xfId="30141" xr:uid="{00000000-0005-0000-0000-0000D7A00000}"/>
    <cellStyle name="Normal 4 3 12 3 2 2 2" xfId="57274" xr:uid="{00000000-0005-0000-0000-0000D8A00000}"/>
    <cellStyle name="Normal 4 3 12 3 2 3" xfId="43712" xr:uid="{00000000-0005-0000-0000-0000D9A00000}"/>
    <cellStyle name="Normal 4 3 12 3 3" xfId="23360" xr:uid="{00000000-0005-0000-0000-0000DAA00000}"/>
    <cellStyle name="Normal 4 3 12 3 3 2" xfId="50493" xr:uid="{00000000-0005-0000-0000-0000DBA00000}"/>
    <cellStyle name="Normal 4 3 12 3 4" xfId="36931" xr:uid="{00000000-0005-0000-0000-0000DCA00000}"/>
    <cellStyle name="Normal 4 3 12 4" xfId="13184" xr:uid="{00000000-0005-0000-0000-0000DDA00000}"/>
    <cellStyle name="Normal 4 3 12 4 2" xfId="26752" xr:uid="{00000000-0005-0000-0000-0000DEA00000}"/>
    <cellStyle name="Normal 4 3 12 4 2 2" xfId="53885" xr:uid="{00000000-0005-0000-0000-0000DFA00000}"/>
    <cellStyle name="Normal 4 3 12 4 3" xfId="40323" xr:uid="{00000000-0005-0000-0000-0000E0A00000}"/>
    <cellStyle name="Normal 4 3 12 5" xfId="19971" xr:uid="{00000000-0005-0000-0000-0000E1A00000}"/>
    <cellStyle name="Normal 4 3 12 5 2" xfId="47104" xr:uid="{00000000-0005-0000-0000-0000E2A00000}"/>
    <cellStyle name="Normal 4 3 12 6" xfId="33542" xr:uid="{00000000-0005-0000-0000-0000E3A00000}"/>
    <cellStyle name="Normal 4 3 13" xfId="6248" xr:uid="{00000000-0005-0000-0000-0000E4A00000}"/>
    <cellStyle name="Normal 4 3 13 2" xfId="9785" xr:uid="{00000000-0005-0000-0000-0000E5A00000}"/>
    <cellStyle name="Normal 4 3 13 2 2" xfId="16575" xr:uid="{00000000-0005-0000-0000-0000E6A00000}"/>
    <cellStyle name="Normal 4 3 13 2 2 2" xfId="30143" xr:uid="{00000000-0005-0000-0000-0000E7A00000}"/>
    <cellStyle name="Normal 4 3 13 2 2 2 2" xfId="57276" xr:uid="{00000000-0005-0000-0000-0000E8A00000}"/>
    <cellStyle name="Normal 4 3 13 2 2 3" xfId="43714" xr:uid="{00000000-0005-0000-0000-0000E9A00000}"/>
    <cellStyle name="Normal 4 3 13 2 3" xfId="23362" xr:uid="{00000000-0005-0000-0000-0000EAA00000}"/>
    <cellStyle name="Normal 4 3 13 2 3 2" xfId="50495" xr:uid="{00000000-0005-0000-0000-0000EBA00000}"/>
    <cellStyle name="Normal 4 3 13 2 4" xfId="36933" xr:uid="{00000000-0005-0000-0000-0000ECA00000}"/>
    <cellStyle name="Normal 4 3 13 3" xfId="13186" xr:uid="{00000000-0005-0000-0000-0000EDA00000}"/>
    <cellStyle name="Normal 4 3 13 3 2" xfId="26754" xr:uid="{00000000-0005-0000-0000-0000EEA00000}"/>
    <cellStyle name="Normal 4 3 13 3 2 2" xfId="53887" xr:uid="{00000000-0005-0000-0000-0000EFA00000}"/>
    <cellStyle name="Normal 4 3 13 3 3" xfId="40325" xr:uid="{00000000-0005-0000-0000-0000F0A00000}"/>
    <cellStyle name="Normal 4 3 13 4" xfId="19973" xr:uid="{00000000-0005-0000-0000-0000F1A00000}"/>
    <cellStyle name="Normal 4 3 13 4 2" xfId="47106" xr:uid="{00000000-0005-0000-0000-0000F2A00000}"/>
    <cellStyle name="Normal 4 3 13 5" xfId="33544" xr:uid="{00000000-0005-0000-0000-0000F3A00000}"/>
    <cellStyle name="Normal 4 3 14" xfId="6249" xr:uid="{00000000-0005-0000-0000-0000F4A00000}"/>
    <cellStyle name="Normal 4 3 14 2" xfId="9786" xr:uid="{00000000-0005-0000-0000-0000F5A00000}"/>
    <cellStyle name="Normal 4 3 14 2 2" xfId="16576" xr:uid="{00000000-0005-0000-0000-0000F6A00000}"/>
    <cellStyle name="Normal 4 3 14 2 2 2" xfId="30144" xr:uid="{00000000-0005-0000-0000-0000F7A00000}"/>
    <cellStyle name="Normal 4 3 14 2 2 2 2" xfId="57277" xr:uid="{00000000-0005-0000-0000-0000F8A00000}"/>
    <cellStyle name="Normal 4 3 14 2 2 3" xfId="43715" xr:uid="{00000000-0005-0000-0000-0000F9A00000}"/>
    <cellStyle name="Normal 4 3 14 2 3" xfId="23363" xr:uid="{00000000-0005-0000-0000-0000FAA00000}"/>
    <cellStyle name="Normal 4 3 14 2 3 2" xfId="50496" xr:uid="{00000000-0005-0000-0000-0000FBA00000}"/>
    <cellStyle name="Normal 4 3 14 2 4" xfId="36934" xr:uid="{00000000-0005-0000-0000-0000FCA00000}"/>
    <cellStyle name="Normal 4 3 14 3" xfId="13187" xr:uid="{00000000-0005-0000-0000-0000FDA00000}"/>
    <cellStyle name="Normal 4 3 14 3 2" xfId="26755" xr:uid="{00000000-0005-0000-0000-0000FEA00000}"/>
    <cellStyle name="Normal 4 3 14 3 2 2" xfId="53888" xr:uid="{00000000-0005-0000-0000-0000FFA00000}"/>
    <cellStyle name="Normal 4 3 14 3 3" xfId="40326" xr:uid="{00000000-0005-0000-0000-000000A10000}"/>
    <cellStyle name="Normal 4 3 14 4" xfId="19974" xr:uid="{00000000-0005-0000-0000-000001A10000}"/>
    <cellStyle name="Normal 4 3 14 4 2" xfId="47107" xr:uid="{00000000-0005-0000-0000-000002A10000}"/>
    <cellStyle name="Normal 4 3 14 5" xfId="33545" xr:uid="{00000000-0005-0000-0000-000003A10000}"/>
    <cellStyle name="Normal 4 3 2" xfId="2773" xr:uid="{00000000-0005-0000-0000-000004A10000}"/>
    <cellStyle name="Normal 4 3 2 2" xfId="7578" xr:uid="{00000000-0005-0000-0000-000005A10000}"/>
    <cellStyle name="Normal 4 3 2 2 2" xfId="14368" xr:uid="{00000000-0005-0000-0000-000006A10000}"/>
    <cellStyle name="Normal 4 3 2 2 2 2" xfId="27936" xr:uid="{00000000-0005-0000-0000-000007A10000}"/>
    <cellStyle name="Normal 4 3 2 2 2 2 2" xfId="55069" xr:uid="{00000000-0005-0000-0000-000008A10000}"/>
    <cellStyle name="Normal 4 3 2 2 2 3" xfId="41507" xr:uid="{00000000-0005-0000-0000-000009A10000}"/>
    <cellStyle name="Normal 4 3 2 2 3" xfId="21155" xr:uid="{00000000-0005-0000-0000-00000AA10000}"/>
    <cellStyle name="Normal 4 3 2 2 3 2" xfId="48288" xr:uid="{00000000-0005-0000-0000-00000BA10000}"/>
    <cellStyle name="Normal 4 3 2 2 4" xfId="34726" xr:uid="{00000000-0005-0000-0000-00000CA10000}"/>
    <cellStyle name="Normal 4 3 2 3" xfId="10979" xr:uid="{00000000-0005-0000-0000-00000DA10000}"/>
    <cellStyle name="Normal 4 3 2 3 2" xfId="24547" xr:uid="{00000000-0005-0000-0000-00000EA10000}"/>
    <cellStyle name="Normal 4 3 2 3 2 2" xfId="51680" xr:uid="{00000000-0005-0000-0000-00000FA10000}"/>
    <cellStyle name="Normal 4 3 2 3 3" xfId="38118" xr:uid="{00000000-0005-0000-0000-000010A10000}"/>
    <cellStyle name="Normal 4 3 2 4" xfId="17766" xr:uid="{00000000-0005-0000-0000-000011A10000}"/>
    <cellStyle name="Normal 4 3 2 4 2" xfId="44899" xr:uid="{00000000-0005-0000-0000-000012A10000}"/>
    <cellStyle name="Normal 4 3 2 5" xfId="31337" xr:uid="{00000000-0005-0000-0000-000013A10000}"/>
    <cellStyle name="Normal 4 3 3" xfId="6250" xr:uid="{00000000-0005-0000-0000-000014A10000}"/>
    <cellStyle name="Normal 4 3 4" xfId="6251" xr:uid="{00000000-0005-0000-0000-000015A10000}"/>
    <cellStyle name="Normal 4 3 4 2" xfId="6252" xr:uid="{00000000-0005-0000-0000-000016A10000}"/>
    <cellStyle name="Normal 4 3 5" xfId="6253" xr:uid="{00000000-0005-0000-0000-000017A10000}"/>
    <cellStyle name="Normal 4 3 6" xfId="6254" xr:uid="{00000000-0005-0000-0000-000018A10000}"/>
    <cellStyle name="Normal 4 3 6 10" xfId="9787" xr:uid="{00000000-0005-0000-0000-000019A10000}"/>
    <cellStyle name="Normal 4 3 6 10 2" xfId="16577" xr:uid="{00000000-0005-0000-0000-00001AA10000}"/>
    <cellStyle name="Normal 4 3 6 10 2 2" xfId="30145" xr:uid="{00000000-0005-0000-0000-00001BA10000}"/>
    <cellStyle name="Normal 4 3 6 10 2 2 2" xfId="57278" xr:uid="{00000000-0005-0000-0000-00001CA10000}"/>
    <cellStyle name="Normal 4 3 6 10 2 3" xfId="43716" xr:uid="{00000000-0005-0000-0000-00001DA10000}"/>
    <cellStyle name="Normal 4 3 6 10 3" xfId="23364" xr:uid="{00000000-0005-0000-0000-00001EA10000}"/>
    <cellStyle name="Normal 4 3 6 10 3 2" xfId="50497" xr:uid="{00000000-0005-0000-0000-00001FA10000}"/>
    <cellStyle name="Normal 4 3 6 10 4" xfId="36935" xr:uid="{00000000-0005-0000-0000-000020A10000}"/>
    <cellStyle name="Normal 4 3 6 11" xfId="13188" xr:uid="{00000000-0005-0000-0000-000021A10000}"/>
    <cellStyle name="Normal 4 3 6 11 2" xfId="26756" xr:uid="{00000000-0005-0000-0000-000022A10000}"/>
    <cellStyle name="Normal 4 3 6 11 2 2" xfId="53889" xr:uid="{00000000-0005-0000-0000-000023A10000}"/>
    <cellStyle name="Normal 4 3 6 11 3" xfId="40327" xr:uid="{00000000-0005-0000-0000-000024A10000}"/>
    <cellStyle name="Normal 4 3 6 12" xfId="19975" xr:uid="{00000000-0005-0000-0000-000025A10000}"/>
    <cellStyle name="Normal 4 3 6 12 2" xfId="47108" xr:uid="{00000000-0005-0000-0000-000026A10000}"/>
    <cellStyle name="Normal 4 3 6 13" xfId="33546" xr:uid="{00000000-0005-0000-0000-000027A10000}"/>
    <cellStyle name="Normal 4 3 6 2" xfId="6255" xr:uid="{00000000-0005-0000-0000-000028A10000}"/>
    <cellStyle name="Normal 4 3 6 2 10" xfId="33547" xr:uid="{00000000-0005-0000-0000-000029A10000}"/>
    <cellStyle name="Normal 4 3 6 2 2" xfId="6256" xr:uid="{00000000-0005-0000-0000-00002AA10000}"/>
    <cellStyle name="Normal 4 3 6 2 2 2" xfId="6257" xr:uid="{00000000-0005-0000-0000-00002BA10000}"/>
    <cellStyle name="Normal 4 3 6 2 2 2 2" xfId="6258" xr:uid="{00000000-0005-0000-0000-00002CA10000}"/>
    <cellStyle name="Normal 4 3 6 2 2 2 2 2" xfId="9791" xr:uid="{00000000-0005-0000-0000-00002DA10000}"/>
    <cellStyle name="Normal 4 3 6 2 2 2 2 2 2" xfId="16581" xr:uid="{00000000-0005-0000-0000-00002EA10000}"/>
    <cellStyle name="Normal 4 3 6 2 2 2 2 2 2 2" xfId="30149" xr:uid="{00000000-0005-0000-0000-00002FA10000}"/>
    <cellStyle name="Normal 4 3 6 2 2 2 2 2 2 2 2" xfId="57282" xr:uid="{00000000-0005-0000-0000-000030A10000}"/>
    <cellStyle name="Normal 4 3 6 2 2 2 2 2 2 3" xfId="43720" xr:uid="{00000000-0005-0000-0000-000031A10000}"/>
    <cellStyle name="Normal 4 3 6 2 2 2 2 2 3" xfId="23368" xr:uid="{00000000-0005-0000-0000-000032A10000}"/>
    <cellStyle name="Normal 4 3 6 2 2 2 2 2 3 2" xfId="50501" xr:uid="{00000000-0005-0000-0000-000033A10000}"/>
    <cellStyle name="Normal 4 3 6 2 2 2 2 2 4" xfId="36939" xr:uid="{00000000-0005-0000-0000-000034A10000}"/>
    <cellStyle name="Normal 4 3 6 2 2 2 2 3" xfId="13192" xr:uid="{00000000-0005-0000-0000-000035A10000}"/>
    <cellStyle name="Normal 4 3 6 2 2 2 2 3 2" xfId="26760" xr:uid="{00000000-0005-0000-0000-000036A10000}"/>
    <cellStyle name="Normal 4 3 6 2 2 2 2 3 2 2" xfId="53893" xr:uid="{00000000-0005-0000-0000-000037A10000}"/>
    <cellStyle name="Normal 4 3 6 2 2 2 2 3 3" xfId="40331" xr:uid="{00000000-0005-0000-0000-000038A10000}"/>
    <cellStyle name="Normal 4 3 6 2 2 2 2 4" xfId="19979" xr:uid="{00000000-0005-0000-0000-000039A10000}"/>
    <cellStyle name="Normal 4 3 6 2 2 2 2 4 2" xfId="47112" xr:uid="{00000000-0005-0000-0000-00003AA10000}"/>
    <cellStyle name="Normal 4 3 6 2 2 2 2 5" xfId="33550" xr:uid="{00000000-0005-0000-0000-00003BA10000}"/>
    <cellStyle name="Normal 4 3 6 2 2 2 3" xfId="6259" xr:uid="{00000000-0005-0000-0000-00003CA10000}"/>
    <cellStyle name="Normal 4 3 6 2 2 2 3 2" xfId="9792" xr:uid="{00000000-0005-0000-0000-00003DA10000}"/>
    <cellStyle name="Normal 4 3 6 2 2 2 3 2 2" xfId="16582" xr:uid="{00000000-0005-0000-0000-00003EA10000}"/>
    <cellStyle name="Normal 4 3 6 2 2 2 3 2 2 2" xfId="30150" xr:uid="{00000000-0005-0000-0000-00003FA10000}"/>
    <cellStyle name="Normal 4 3 6 2 2 2 3 2 2 2 2" xfId="57283" xr:uid="{00000000-0005-0000-0000-000040A10000}"/>
    <cellStyle name="Normal 4 3 6 2 2 2 3 2 2 3" xfId="43721" xr:uid="{00000000-0005-0000-0000-000041A10000}"/>
    <cellStyle name="Normal 4 3 6 2 2 2 3 2 3" xfId="23369" xr:uid="{00000000-0005-0000-0000-000042A10000}"/>
    <cellStyle name="Normal 4 3 6 2 2 2 3 2 3 2" xfId="50502" xr:uid="{00000000-0005-0000-0000-000043A10000}"/>
    <cellStyle name="Normal 4 3 6 2 2 2 3 2 4" xfId="36940" xr:uid="{00000000-0005-0000-0000-000044A10000}"/>
    <cellStyle name="Normal 4 3 6 2 2 2 3 3" xfId="13193" xr:uid="{00000000-0005-0000-0000-000045A10000}"/>
    <cellStyle name="Normal 4 3 6 2 2 2 3 3 2" xfId="26761" xr:uid="{00000000-0005-0000-0000-000046A10000}"/>
    <cellStyle name="Normal 4 3 6 2 2 2 3 3 2 2" xfId="53894" xr:uid="{00000000-0005-0000-0000-000047A10000}"/>
    <cellStyle name="Normal 4 3 6 2 2 2 3 3 3" xfId="40332" xr:uid="{00000000-0005-0000-0000-000048A10000}"/>
    <cellStyle name="Normal 4 3 6 2 2 2 3 4" xfId="19980" xr:uid="{00000000-0005-0000-0000-000049A10000}"/>
    <cellStyle name="Normal 4 3 6 2 2 2 3 4 2" xfId="47113" xr:uid="{00000000-0005-0000-0000-00004AA10000}"/>
    <cellStyle name="Normal 4 3 6 2 2 2 3 5" xfId="33551" xr:uid="{00000000-0005-0000-0000-00004BA10000}"/>
    <cellStyle name="Normal 4 3 6 2 2 2 4" xfId="9790" xr:uid="{00000000-0005-0000-0000-00004CA10000}"/>
    <cellStyle name="Normal 4 3 6 2 2 2 4 2" xfId="16580" xr:uid="{00000000-0005-0000-0000-00004DA10000}"/>
    <cellStyle name="Normal 4 3 6 2 2 2 4 2 2" xfId="30148" xr:uid="{00000000-0005-0000-0000-00004EA10000}"/>
    <cellStyle name="Normal 4 3 6 2 2 2 4 2 2 2" xfId="57281" xr:uid="{00000000-0005-0000-0000-00004FA10000}"/>
    <cellStyle name="Normal 4 3 6 2 2 2 4 2 3" xfId="43719" xr:uid="{00000000-0005-0000-0000-000050A10000}"/>
    <cellStyle name="Normal 4 3 6 2 2 2 4 3" xfId="23367" xr:uid="{00000000-0005-0000-0000-000051A10000}"/>
    <cellStyle name="Normal 4 3 6 2 2 2 4 3 2" xfId="50500" xr:uid="{00000000-0005-0000-0000-000052A10000}"/>
    <cellStyle name="Normal 4 3 6 2 2 2 4 4" xfId="36938" xr:uid="{00000000-0005-0000-0000-000053A10000}"/>
    <cellStyle name="Normal 4 3 6 2 2 2 5" xfId="13191" xr:uid="{00000000-0005-0000-0000-000054A10000}"/>
    <cellStyle name="Normal 4 3 6 2 2 2 5 2" xfId="26759" xr:uid="{00000000-0005-0000-0000-000055A10000}"/>
    <cellStyle name="Normal 4 3 6 2 2 2 5 2 2" xfId="53892" xr:uid="{00000000-0005-0000-0000-000056A10000}"/>
    <cellStyle name="Normal 4 3 6 2 2 2 5 3" xfId="40330" xr:uid="{00000000-0005-0000-0000-000057A10000}"/>
    <cellStyle name="Normal 4 3 6 2 2 2 6" xfId="19978" xr:uid="{00000000-0005-0000-0000-000058A10000}"/>
    <cellStyle name="Normal 4 3 6 2 2 2 6 2" xfId="47111" xr:uid="{00000000-0005-0000-0000-000059A10000}"/>
    <cellStyle name="Normal 4 3 6 2 2 2 7" xfId="33549" xr:uid="{00000000-0005-0000-0000-00005AA10000}"/>
    <cellStyle name="Normal 4 3 6 2 2 3" xfId="6260" xr:uid="{00000000-0005-0000-0000-00005BA10000}"/>
    <cellStyle name="Normal 4 3 6 2 2 3 2" xfId="6261" xr:uid="{00000000-0005-0000-0000-00005CA10000}"/>
    <cellStyle name="Normal 4 3 6 2 2 3 2 2" xfId="9794" xr:uid="{00000000-0005-0000-0000-00005DA10000}"/>
    <cellStyle name="Normal 4 3 6 2 2 3 2 2 2" xfId="16584" xr:uid="{00000000-0005-0000-0000-00005EA10000}"/>
    <cellStyle name="Normal 4 3 6 2 2 3 2 2 2 2" xfId="30152" xr:uid="{00000000-0005-0000-0000-00005FA10000}"/>
    <cellStyle name="Normal 4 3 6 2 2 3 2 2 2 2 2" xfId="57285" xr:uid="{00000000-0005-0000-0000-000060A10000}"/>
    <cellStyle name="Normal 4 3 6 2 2 3 2 2 2 3" xfId="43723" xr:uid="{00000000-0005-0000-0000-000061A10000}"/>
    <cellStyle name="Normal 4 3 6 2 2 3 2 2 3" xfId="23371" xr:uid="{00000000-0005-0000-0000-000062A10000}"/>
    <cellStyle name="Normal 4 3 6 2 2 3 2 2 3 2" xfId="50504" xr:uid="{00000000-0005-0000-0000-000063A10000}"/>
    <cellStyle name="Normal 4 3 6 2 2 3 2 2 4" xfId="36942" xr:uid="{00000000-0005-0000-0000-000064A10000}"/>
    <cellStyle name="Normal 4 3 6 2 2 3 2 3" xfId="13195" xr:uid="{00000000-0005-0000-0000-000065A10000}"/>
    <cellStyle name="Normal 4 3 6 2 2 3 2 3 2" xfId="26763" xr:uid="{00000000-0005-0000-0000-000066A10000}"/>
    <cellStyle name="Normal 4 3 6 2 2 3 2 3 2 2" xfId="53896" xr:uid="{00000000-0005-0000-0000-000067A10000}"/>
    <cellStyle name="Normal 4 3 6 2 2 3 2 3 3" xfId="40334" xr:uid="{00000000-0005-0000-0000-000068A10000}"/>
    <cellStyle name="Normal 4 3 6 2 2 3 2 4" xfId="19982" xr:uid="{00000000-0005-0000-0000-000069A10000}"/>
    <cellStyle name="Normal 4 3 6 2 2 3 2 4 2" xfId="47115" xr:uid="{00000000-0005-0000-0000-00006AA10000}"/>
    <cellStyle name="Normal 4 3 6 2 2 3 2 5" xfId="33553" xr:uid="{00000000-0005-0000-0000-00006BA10000}"/>
    <cellStyle name="Normal 4 3 6 2 2 3 3" xfId="9793" xr:uid="{00000000-0005-0000-0000-00006CA10000}"/>
    <cellStyle name="Normal 4 3 6 2 2 3 3 2" xfId="16583" xr:uid="{00000000-0005-0000-0000-00006DA10000}"/>
    <cellStyle name="Normal 4 3 6 2 2 3 3 2 2" xfId="30151" xr:uid="{00000000-0005-0000-0000-00006EA10000}"/>
    <cellStyle name="Normal 4 3 6 2 2 3 3 2 2 2" xfId="57284" xr:uid="{00000000-0005-0000-0000-00006FA10000}"/>
    <cellStyle name="Normal 4 3 6 2 2 3 3 2 3" xfId="43722" xr:uid="{00000000-0005-0000-0000-000070A10000}"/>
    <cellStyle name="Normal 4 3 6 2 2 3 3 3" xfId="23370" xr:uid="{00000000-0005-0000-0000-000071A10000}"/>
    <cellStyle name="Normal 4 3 6 2 2 3 3 3 2" xfId="50503" xr:uid="{00000000-0005-0000-0000-000072A10000}"/>
    <cellStyle name="Normal 4 3 6 2 2 3 3 4" xfId="36941" xr:uid="{00000000-0005-0000-0000-000073A10000}"/>
    <cellStyle name="Normal 4 3 6 2 2 3 4" xfId="13194" xr:uid="{00000000-0005-0000-0000-000074A10000}"/>
    <cellStyle name="Normal 4 3 6 2 2 3 4 2" xfId="26762" xr:uid="{00000000-0005-0000-0000-000075A10000}"/>
    <cellStyle name="Normal 4 3 6 2 2 3 4 2 2" xfId="53895" xr:uid="{00000000-0005-0000-0000-000076A10000}"/>
    <cellStyle name="Normal 4 3 6 2 2 3 4 3" xfId="40333" xr:uid="{00000000-0005-0000-0000-000077A10000}"/>
    <cellStyle name="Normal 4 3 6 2 2 3 5" xfId="19981" xr:uid="{00000000-0005-0000-0000-000078A10000}"/>
    <cellStyle name="Normal 4 3 6 2 2 3 5 2" xfId="47114" xr:uid="{00000000-0005-0000-0000-000079A10000}"/>
    <cellStyle name="Normal 4 3 6 2 2 3 6" xfId="33552" xr:uid="{00000000-0005-0000-0000-00007AA10000}"/>
    <cellStyle name="Normal 4 3 6 2 2 4" xfId="6262" xr:uid="{00000000-0005-0000-0000-00007BA10000}"/>
    <cellStyle name="Normal 4 3 6 2 2 4 2" xfId="9795" xr:uid="{00000000-0005-0000-0000-00007CA10000}"/>
    <cellStyle name="Normal 4 3 6 2 2 4 2 2" xfId="16585" xr:uid="{00000000-0005-0000-0000-00007DA10000}"/>
    <cellStyle name="Normal 4 3 6 2 2 4 2 2 2" xfId="30153" xr:uid="{00000000-0005-0000-0000-00007EA10000}"/>
    <cellStyle name="Normal 4 3 6 2 2 4 2 2 2 2" xfId="57286" xr:uid="{00000000-0005-0000-0000-00007FA10000}"/>
    <cellStyle name="Normal 4 3 6 2 2 4 2 2 3" xfId="43724" xr:uid="{00000000-0005-0000-0000-000080A10000}"/>
    <cellStyle name="Normal 4 3 6 2 2 4 2 3" xfId="23372" xr:uid="{00000000-0005-0000-0000-000081A10000}"/>
    <cellStyle name="Normal 4 3 6 2 2 4 2 3 2" xfId="50505" xr:uid="{00000000-0005-0000-0000-000082A10000}"/>
    <cellStyle name="Normal 4 3 6 2 2 4 2 4" xfId="36943" xr:uid="{00000000-0005-0000-0000-000083A10000}"/>
    <cellStyle name="Normal 4 3 6 2 2 4 3" xfId="13196" xr:uid="{00000000-0005-0000-0000-000084A10000}"/>
    <cellStyle name="Normal 4 3 6 2 2 4 3 2" xfId="26764" xr:uid="{00000000-0005-0000-0000-000085A10000}"/>
    <cellStyle name="Normal 4 3 6 2 2 4 3 2 2" xfId="53897" xr:uid="{00000000-0005-0000-0000-000086A10000}"/>
    <cellStyle name="Normal 4 3 6 2 2 4 3 3" xfId="40335" xr:uid="{00000000-0005-0000-0000-000087A10000}"/>
    <cellStyle name="Normal 4 3 6 2 2 4 4" xfId="19983" xr:uid="{00000000-0005-0000-0000-000088A10000}"/>
    <cellStyle name="Normal 4 3 6 2 2 4 4 2" xfId="47116" xr:uid="{00000000-0005-0000-0000-000089A10000}"/>
    <cellStyle name="Normal 4 3 6 2 2 4 5" xfId="33554" xr:uid="{00000000-0005-0000-0000-00008AA10000}"/>
    <cellStyle name="Normal 4 3 6 2 2 5" xfId="6263" xr:uid="{00000000-0005-0000-0000-00008BA10000}"/>
    <cellStyle name="Normal 4 3 6 2 2 5 2" xfId="9796" xr:uid="{00000000-0005-0000-0000-00008CA10000}"/>
    <cellStyle name="Normal 4 3 6 2 2 5 2 2" xfId="16586" xr:uid="{00000000-0005-0000-0000-00008DA10000}"/>
    <cellStyle name="Normal 4 3 6 2 2 5 2 2 2" xfId="30154" xr:uid="{00000000-0005-0000-0000-00008EA10000}"/>
    <cellStyle name="Normal 4 3 6 2 2 5 2 2 2 2" xfId="57287" xr:uid="{00000000-0005-0000-0000-00008FA10000}"/>
    <cellStyle name="Normal 4 3 6 2 2 5 2 2 3" xfId="43725" xr:uid="{00000000-0005-0000-0000-000090A10000}"/>
    <cellStyle name="Normal 4 3 6 2 2 5 2 3" xfId="23373" xr:uid="{00000000-0005-0000-0000-000091A10000}"/>
    <cellStyle name="Normal 4 3 6 2 2 5 2 3 2" xfId="50506" xr:uid="{00000000-0005-0000-0000-000092A10000}"/>
    <cellStyle name="Normal 4 3 6 2 2 5 2 4" xfId="36944" xr:uid="{00000000-0005-0000-0000-000093A10000}"/>
    <cellStyle name="Normal 4 3 6 2 2 5 3" xfId="13197" xr:uid="{00000000-0005-0000-0000-000094A10000}"/>
    <cellStyle name="Normal 4 3 6 2 2 5 3 2" xfId="26765" xr:uid="{00000000-0005-0000-0000-000095A10000}"/>
    <cellStyle name="Normal 4 3 6 2 2 5 3 2 2" xfId="53898" xr:uid="{00000000-0005-0000-0000-000096A10000}"/>
    <cellStyle name="Normal 4 3 6 2 2 5 3 3" xfId="40336" xr:uid="{00000000-0005-0000-0000-000097A10000}"/>
    <cellStyle name="Normal 4 3 6 2 2 5 4" xfId="19984" xr:uid="{00000000-0005-0000-0000-000098A10000}"/>
    <cellStyle name="Normal 4 3 6 2 2 5 4 2" xfId="47117" xr:uid="{00000000-0005-0000-0000-000099A10000}"/>
    <cellStyle name="Normal 4 3 6 2 2 5 5" xfId="33555" xr:uid="{00000000-0005-0000-0000-00009AA10000}"/>
    <cellStyle name="Normal 4 3 6 2 2 6" xfId="9789" xr:uid="{00000000-0005-0000-0000-00009BA10000}"/>
    <cellStyle name="Normal 4 3 6 2 2 6 2" xfId="16579" xr:uid="{00000000-0005-0000-0000-00009CA10000}"/>
    <cellStyle name="Normal 4 3 6 2 2 6 2 2" xfId="30147" xr:uid="{00000000-0005-0000-0000-00009DA10000}"/>
    <cellStyle name="Normal 4 3 6 2 2 6 2 2 2" xfId="57280" xr:uid="{00000000-0005-0000-0000-00009EA10000}"/>
    <cellStyle name="Normal 4 3 6 2 2 6 2 3" xfId="43718" xr:uid="{00000000-0005-0000-0000-00009FA10000}"/>
    <cellStyle name="Normal 4 3 6 2 2 6 3" xfId="23366" xr:uid="{00000000-0005-0000-0000-0000A0A10000}"/>
    <cellStyle name="Normal 4 3 6 2 2 6 3 2" xfId="50499" xr:uid="{00000000-0005-0000-0000-0000A1A10000}"/>
    <cellStyle name="Normal 4 3 6 2 2 6 4" xfId="36937" xr:uid="{00000000-0005-0000-0000-0000A2A10000}"/>
    <cellStyle name="Normal 4 3 6 2 2 7" xfId="13190" xr:uid="{00000000-0005-0000-0000-0000A3A10000}"/>
    <cellStyle name="Normal 4 3 6 2 2 7 2" xfId="26758" xr:uid="{00000000-0005-0000-0000-0000A4A10000}"/>
    <cellStyle name="Normal 4 3 6 2 2 7 2 2" xfId="53891" xr:uid="{00000000-0005-0000-0000-0000A5A10000}"/>
    <cellStyle name="Normal 4 3 6 2 2 7 3" xfId="40329" xr:uid="{00000000-0005-0000-0000-0000A6A10000}"/>
    <cellStyle name="Normal 4 3 6 2 2 8" xfId="19977" xr:uid="{00000000-0005-0000-0000-0000A7A10000}"/>
    <cellStyle name="Normal 4 3 6 2 2 8 2" xfId="47110" xr:uid="{00000000-0005-0000-0000-0000A8A10000}"/>
    <cellStyle name="Normal 4 3 6 2 2 9" xfId="33548" xr:uid="{00000000-0005-0000-0000-0000A9A10000}"/>
    <cellStyle name="Normal 4 3 6 2 3" xfId="6264" xr:uid="{00000000-0005-0000-0000-0000AAA10000}"/>
    <cellStyle name="Normal 4 3 6 2 3 2" xfId="6265" xr:uid="{00000000-0005-0000-0000-0000ABA10000}"/>
    <cellStyle name="Normal 4 3 6 2 3 2 2" xfId="9798" xr:uid="{00000000-0005-0000-0000-0000ACA10000}"/>
    <cellStyle name="Normal 4 3 6 2 3 2 2 2" xfId="16588" xr:uid="{00000000-0005-0000-0000-0000ADA10000}"/>
    <cellStyle name="Normal 4 3 6 2 3 2 2 2 2" xfId="30156" xr:uid="{00000000-0005-0000-0000-0000AEA10000}"/>
    <cellStyle name="Normal 4 3 6 2 3 2 2 2 2 2" xfId="57289" xr:uid="{00000000-0005-0000-0000-0000AFA10000}"/>
    <cellStyle name="Normal 4 3 6 2 3 2 2 2 3" xfId="43727" xr:uid="{00000000-0005-0000-0000-0000B0A10000}"/>
    <cellStyle name="Normal 4 3 6 2 3 2 2 3" xfId="23375" xr:uid="{00000000-0005-0000-0000-0000B1A10000}"/>
    <cellStyle name="Normal 4 3 6 2 3 2 2 3 2" xfId="50508" xr:uid="{00000000-0005-0000-0000-0000B2A10000}"/>
    <cellStyle name="Normal 4 3 6 2 3 2 2 4" xfId="36946" xr:uid="{00000000-0005-0000-0000-0000B3A10000}"/>
    <cellStyle name="Normal 4 3 6 2 3 2 3" xfId="13199" xr:uid="{00000000-0005-0000-0000-0000B4A10000}"/>
    <cellStyle name="Normal 4 3 6 2 3 2 3 2" xfId="26767" xr:uid="{00000000-0005-0000-0000-0000B5A10000}"/>
    <cellStyle name="Normal 4 3 6 2 3 2 3 2 2" xfId="53900" xr:uid="{00000000-0005-0000-0000-0000B6A10000}"/>
    <cellStyle name="Normal 4 3 6 2 3 2 3 3" xfId="40338" xr:uid="{00000000-0005-0000-0000-0000B7A10000}"/>
    <cellStyle name="Normal 4 3 6 2 3 2 4" xfId="19986" xr:uid="{00000000-0005-0000-0000-0000B8A10000}"/>
    <cellStyle name="Normal 4 3 6 2 3 2 4 2" xfId="47119" xr:uid="{00000000-0005-0000-0000-0000B9A10000}"/>
    <cellStyle name="Normal 4 3 6 2 3 2 5" xfId="33557" xr:uid="{00000000-0005-0000-0000-0000BAA10000}"/>
    <cellStyle name="Normal 4 3 6 2 3 3" xfId="6266" xr:uid="{00000000-0005-0000-0000-0000BBA10000}"/>
    <cellStyle name="Normal 4 3 6 2 3 3 2" xfId="9799" xr:uid="{00000000-0005-0000-0000-0000BCA10000}"/>
    <cellStyle name="Normal 4 3 6 2 3 3 2 2" xfId="16589" xr:uid="{00000000-0005-0000-0000-0000BDA10000}"/>
    <cellStyle name="Normal 4 3 6 2 3 3 2 2 2" xfId="30157" xr:uid="{00000000-0005-0000-0000-0000BEA10000}"/>
    <cellStyle name="Normal 4 3 6 2 3 3 2 2 2 2" xfId="57290" xr:uid="{00000000-0005-0000-0000-0000BFA10000}"/>
    <cellStyle name="Normal 4 3 6 2 3 3 2 2 3" xfId="43728" xr:uid="{00000000-0005-0000-0000-0000C0A10000}"/>
    <cellStyle name="Normal 4 3 6 2 3 3 2 3" xfId="23376" xr:uid="{00000000-0005-0000-0000-0000C1A10000}"/>
    <cellStyle name="Normal 4 3 6 2 3 3 2 3 2" xfId="50509" xr:uid="{00000000-0005-0000-0000-0000C2A10000}"/>
    <cellStyle name="Normal 4 3 6 2 3 3 2 4" xfId="36947" xr:uid="{00000000-0005-0000-0000-0000C3A10000}"/>
    <cellStyle name="Normal 4 3 6 2 3 3 3" xfId="13200" xr:uid="{00000000-0005-0000-0000-0000C4A10000}"/>
    <cellStyle name="Normal 4 3 6 2 3 3 3 2" xfId="26768" xr:uid="{00000000-0005-0000-0000-0000C5A10000}"/>
    <cellStyle name="Normal 4 3 6 2 3 3 3 2 2" xfId="53901" xr:uid="{00000000-0005-0000-0000-0000C6A10000}"/>
    <cellStyle name="Normal 4 3 6 2 3 3 3 3" xfId="40339" xr:uid="{00000000-0005-0000-0000-0000C7A10000}"/>
    <cellStyle name="Normal 4 3 6 2 3 3 4" xfId="19987" xr:uid="{00000000-0005-0000-0000-0000C8A10000}"/>
    <cellStyle name="Normal 4 3 6 2 3 3 4 2" xfId="47120" xr:uid="{00000000-0005-0000-0000-0000C9A10000}"/>
    <cellStyle name="Normal 4 3 6 2 3 3 5" xfId="33558" xr:uid="{00000000-0005-0000-0000-0000CAA10000}"/>
    <cellStyle name="Normal 4 3 6 2 3 4" xfId="9797" xr:uid="{00000000-0005-0000-0000-0000CBA10000}"/>
    <cellStyle name="Normal 4 3 6 2 3 4 2" xfId="16587" xr:uid="{00000000-0005-0000-0000-0000CCA10000}"/>
    <cellStyle name="Normal 4 3 6 2 3 4 2 2" xfId="30155" xr:uid="{00000000-0005-0000-0000-0000CDA10000}"/>
    <cellStyle name="Normal 4 3 6 2 3 4 2 2 2" xfId="57288" xr:uid="{00000000-0005-0000-0000-0000CEA10000}"/>
    <cellStyle name="Normal 4 3 6 2 3 4 2 3" xfId="43726" xr:uid="{00000000-0005-0000-0000-0000CFA10000}"/>
    <cellStyle name="Normal 4 3 6 2 3 4 3" xfId="23374" xr:uid="{00000000-0005-0000-0000-0000D0A10000}"/>
    <cellStyle name="Normal 4 3 6 2 3 4 3 2" xfId="50507" xr:uid="{00000000-0005-0000-0000-0000D1A10000}"/>
    <cellStyle name="Normal 4 3 6 2 3 4 4" xfId="36945" xr:uid="{00000000-0005-0000-0000-0000D2A10000}"/>
    <cellStyle name="Normal 4 3 6 2 3 5" xfId="13198" xr:uid="{00000000-0005-0000-0000-0000D3A10000}"/>
    <cellStyle name="Normal 4 3 6 2 3 5 2" xfId="26766" xr:uid="{00000000-0005-0000-0000-0000D4A10000}"/>
    <cellStyle name="Normal 4 3 6 2 3 5 2 2" xfId="53899" xr:uid="{00000000-0005-0000-0000-0000D5A10000}"/>
    <cellStyle name="Normal 4 3 6 2 3 5 3" xfId="40337" xr:uid="{00000000-0005-0000-0000-0000D6A10000}"/>
    <cellStyle name="Normal 4 3 6 2 3 6" xfId="19985" xr:uid="{00000000-0005-0000-0000-0000D7A10000}"/>
    <cellStyle name="Normal 4 3 6 2 3 6 2" xfId="47118" xr:uid="{00000000-0005-0000-0000-0000D8A10000}"/>
    <cellStyle name="Normal 4 3 6 2 3 7" xfId="33556" xr:uid="{00000000-0005-0000-0000-0000D9A10000}"/>
    <cellStyle name="Normal 4 3 6 2 4" xfId="6267" xr:uid="{00000000-0005-0000-0000-0000DAA10000}"/>
    <cellStyle name="Normal 4 3 6 2 4 2" xfId="6268" xr:uid="{00000000-0005-0000-0000-0000DBA10000}"/>
    <cellStyle name="Normal 4 3 6 2 4 2 2" xfId="9801" xr:uid="{00000000-0005-0000-0000-0000DCA10000}"/>
    <cellStyle name="Normal 4 3 6 2 4 2 2 2" xfId="16591" xr:uid="{00000000-0005-0000-0000-0000DDA10000}"/>
    <cellStyle name="Normal 4 3 6 2 4 2 2 2 2" xfId="30159" xr:uid="{00000000-0005-0000-0000-0000DEA10000}"/>
    <cellStyle name="Normal 4 3 6 2 4 2 2 2 2 2" xfId="57292" xr:uid="{00000000-0005-0000-0000-0000DFA10000}"/>
    <cellStyle name="Normal 4 3 6 2 4 2 2 2 3" xfId="43730" xr:uid="{00000000-0005-0000-0000-0000E0A10000}"/>
    <cellStyle name="Normal 4 3 6 2 4 2 2 3" xfId="23378" xr:uid="{00000000-0005-0000-0000-0000E1A10000}"/>
    <cellStyle name="Normal 4 3 6 2 4 2 2 3 2" xfId="50511" xr:uid="{00000000-0005-0000-0000-0000E2A10000}"/>
    <cellStyle name="Normal 4 3 6 2 4 2 2 4" xfId="36949" xr:uid="{00000000-0005-0000-0000-0000E3A10000}"/>
    <cellStyle name="Normal 4 3 6 2 4 2 3" xfId="13202" xr:uid="{00000000-0005-0000-0000-0000E4A10000}"/>
    <cellStyle name="Normal 4 3 6 2 4 2 3 2" xfId="26770" xr:uid="{00000000-0005-0000-0000-0000E5A10000}"/>
    <cellStyle name="Normal 4 3 6 2 4 2 3 2 2" xfId="53903" xr:uid="{00000000-0005-0000-0000-0000E6A10000}"/>
    <cellStyle name="Normal 4 3 6 2 4 2 3 3" xfId="40341" xr:uid="{00000000-0005-0000-0000-0000E7A10000}"/>
    <cellStyle name="Normal 4 3 6 2 4 2 4" xfId="19989" xr:uid="{00000000-0005-0000-0000-0000E8A10000}"/>
    <cellStyle name="Normal 4 3 6 2 4 2 4 2" xfId="47122" xr:uid="{00000000-0005-0000-0000-0000E9A10000}"/>
    <cellStyle name="Normal 4 3 6 2 4 2 5" xfId="33560" xr:uid="{00000000-0005-0000-0000-0000EAA10000}"/>
    <cellStyle name="Normal 4 3 6 2 4 3" xfId="9800" xr:uid="{00000000-0005-0000-0000-0000EBA10000}"/>
    <cellStyle name="Normal 4 3 6 2 4 3 2" xfId="16590" xr:uid="{00000000-0005-0000-0000-0000ECA10000}"/>
    <cellStyle name="Normal 4 3 6 2 4 3 2 2" xfId="30158" xr:uid="{00000000-0005-0000-0000-0000EDA10000}"/>
    <cellStyle name="Normal 4 3 6 2 4 3 2 2 2" xfId="57291" xr:uid="{00000000-0005-0000-0000-0000EEA10000}"/>
    <cellStyle name="Normal 4 3 6 2 4 3 2 3" xfId="43729" xr:uid="{00000000-0005-0000-0000-0000EFA10000}"/>
    <cellStyle name="Normal 4 3 6 2 4 3 3" xfId="23377" xr:uid="{00000000-0005-0000-0000-0000F0A10000}"/>
    <cellStyle name="Normal 4 3 6 2 4 3 3 2" xfId="50510" xr:uid="{00000000-0005-0000-0000-0000F1A10000}"/>
    <cellStyle name="Normal 4 3 6 2 4 3 4" xfId="36948" xr:uid="{00000000-0005-0000-0000-0000F2A10000}"/>
    <cellStyle name="Normal 4 3 6 2 4 4" xfId="13201" xr:uid="{00000000-0005-0000-0000-0000F3A10000}"/>
    <cellStyle name="Normal 4 3 6 2 4 4 2" xfId="26769" xr:uid="{00000000-0005-0000-0000-0000F4A10000}"/>
    <cellStyle name="Normal 4 3 6 2 4 4 2 2" xfId="53902" xr:uid="{00000000-0005-0000-0000-0000F5A10000}"/>
    <cellStyle name="Normal 4 3 6 2 4 4 3" xfId="40340" xr:uid="{00000000-0005-0000-0000-0000F6A10000}"/>
    <cellStyle name="Normal 4 3 6 2 4 5" xfId="19988" xr:uid="{00000000-0005-0000-0000-0000F7A10000}"/>
    <cellStyle name="Normal 4 3 6 2 4 5 2" xfId="47121" xr:uid="{00000000-0005-0000-0000-0000F8A10000}"/>
    <cellStyle name="Normal 4 3 6 2 4 6" xfId="33559" xr:uid="{00000000-0005-0000-0000-0000F9A10000}"/>
    <cellStyle name="Normal 4 3 6 2 5" xfId="6269" xr:uid="{00000000-0005-0000-0000-0000FAA10000}"/>
    <cellStyle name="Normal 4 3 6 2 5 2" xfId="9802" xr:uid="{00000000-0005-0000-0000-0000FBA10000}"/>
    <cellStyle name="Normal 4 3 6 2 5 2 2" xfId="16592" xr:uid="{00000000-0005-0000-0000-0000FCA10000}"/>
    <cellStyle name="Normal 4 3 6 2 5 2 2 2" xfId="30160" xr:uid="{00000000-0005-0000-0000-0000FDA10000}"/>
    <cellStyle name="Normal 4 3 6 2 5 2 2 2 2" xfId="57293" xr:uid="{00000000-0005-0000-0000-0000FEA10000}"/>
    <cellStyle name="Normal 4 3 6 2 5 2 2 3" xfId="43731" xr:uid="{00000000-0005-0000-0000-0000FFA10000}"/>
    <cellStyle name="Normal 4 3 6 2 5 2 3" xfId="23379" xr:uid="{00000000-0005-0000-0000-000000A20000}"/>
    <cellStyle name="Normal 4 3 6 2 5 2 3 2" xfId="50512" xr:uid="{00000000-0005-0000-0000-000001A20000}"/>
    <cellStyle name="Normal 4 3 6 2 5 2 4" xfId="36950" xr:uid="{00000000-0005-0000-0000-000002A20000}"/>
    <cellStyle name="Normal 4 3 6 2 5 3" xfId="13203" xr:uid="{00000000-0005-0000-0000-000003A20000}"/>
    <cellStyle name="Normal 4 3 6 2 5 3 2" xfId="26771" xr:uid="{00000000-0005-0000-0000-000004A20000}"/>
    <cellStyle name="Normal 4 3 6 2 5 3 2 2" xfId="53904" xr:uid="{00000000-0005-0000-0000-000005A20000}"/>
    <cellStyle name="Normal 4 3 6 2 5 3 3" xfId="40342" xr:uid="{00000000-0005-0000-0000-000006A20000}"/>
    <cellStyle name="Normal 4 3 6 2 5 4" xfId="19990" xr:uid="{00000000-0005-0000-0000-000007A20000}"/>
    <cellStyle name="Normal 4 3 6 2 5 4 2" xfId="47123" xr:uid="{00000000-0005-0000-0000-000008A20000}"/>
    <cellStyle name="Normal 4 3 6 2 5 5" xfId="33561" xr:uid="{00000000-0005-0000-0000-000009A20000}"/>
    <cellStyle name="Normal 4 3 6 2 6" xfId="6270" xr:uid="{00000000-0005-0000-0000-00000AA20000}"/>
    <cellStyle name="Normal 4 3 6 2 6 2" xfId="9803" xr:uid="{00000000-0005-0000-0000-00000BA20000}"/>
    <cellStyle name="Normal 4 3 6 2 6 2 2" xfId="16593" xr:uid="{00000000-0005-0000-0000-00000CA20000}"/>
    <cellStyle name="Normal 4 3 6 2 6 2 2 2" xfId="30161" xr:uid="{00000000-0005-0000-0000-00000DA20000}"/>
    <cellStyle name="Normal 4 3 6 2 6 2 2 2 2" xfId="57294" xr:uid="{00000000-0005-0000-0000-00000EA20000}"/>
    <cellStyle name="Normal 4 3 6 2 6 2 2 3" xfId="43732" xr:uid="{00000000-0005-0000-0000-00000FA20000}"/>
    <cellStyle name="Normal 4 3 6 2 6 2 3" xfId="23380" xr:uid="{00000000-0005-0000-0000-000010A20000}"/>
    <cellStyle name="Normal 4 3 6 2 6 2 3 2" xfId="50513" xr:uid="{00000000-0005-0000-0000-000011A20000}"/>
    <cellStyle name="Normal 4 3 6 2 6 2 4" xfId="36951" xr:uid="{00000000-0005-0000-0000-000012A20000}"/>
    <cellStyle name="Normal 4 3 6 2 6 3" xfId="13204" xr:uid="{00000000-0005-0000-0000-000013A20000}"/>
    <cellStyle name="Normal 4 3 6 2 6 3 2" xfId="26772" xr:uid="{00000000-0005-0000-0000-000014A20000}"/>
    <cellStyle name="Normal 4 3 6 2 6 3 2 2" xfId="53905" xr:uid="{00000000-0005-0000-0000-000015A20000}"/>
    <cellStyle name="Normal 4 3 6 2 6 3 3" xfId="40343" xr:uid="{00000000-0005-0000-0000-000016A20000}"/>
    <cellStyle name="Normal 4 3 6 2 6 4" xfId="19991" xr:uid="{00000000-0005-0000-0000-000017A20000}"/>
    <cellStyle name="Normal 4 3 6 2 6 4 2" xfId="47124" xr:uid="{00000000-0005-0000-0000-000018A20000}"/>
    <cellStyle name="Normal 4 3 6 2 6 5" xfId="33562" xr:uid="{00000000-0005-0000-0000-000019A20000}"/>
    <cellStyle name="Normal 4 3 6 2 7" xfId="9788" xr:uid="{00000000-0005-0000-0000-00001AA20000}"/>
    <cellStyle name="Normal 4 3 6 2 7 2" xfId="16578" xr:uid="{00000000-0005-0000-0000-00001BA20000}"/>
    <cellStyle name="Normal 4 3 6 2 7 2 2" xfId="30146" xr:uid="{00000000-0005-0000-0000-00001CA20000}"/>
    <cellStyle name="Normal 4 3 6 2 7 2 2 2" xfId="57279" xr:uid="{00000000-0005-0000-0000-00001DA20000}"/>
    <cellStyle name="Normal 4 3 6 2 7 2 3" xfId="43717" xr:uid="{00000000-0005-0000-0000-00001EA20000}"/>
    <cellStyle name="Normal 4 3 6 2 7 3" xfId="23365" xr:uid="{00000000-0005-0000-0000-00001FA20000}"/>
    <cellStyle name="Normal 4 3 6 2 7 3 2" xfId="50498" xr:uid="{00000000-0005-0000-0000-000020A20000}"/>
    <cellStyle name="Normal 4 3 6 2 7 4" xfId="36936" xr:uid="{00000000-0005-0000-0000-000021A20000}"/>
    <cellStyle name="Normal 4 3 6 2 8" xfId="13189" xr:uid="{00000000-0005-0000-0000-000022A20000}"/>
    <cellStyle name="Normal 4 3 6 2 8 2" xfId="26757" xr:uid="{00000000-0005-0000-0000-000023A20000}"/>
    <cellStyle name="Normal 4 3 6 2 8 2 2" xfId="53890" xr:uid="{00000000-0005-0000-0000-000024A20000}"/>
    <cellStyle name="Normal 4 3 6 2 8 3" xfId="40328" xr:uid="{00000000-0005-0000-0000-000025A20000}"/>
    <cellStyle name="Normal 4 3 6 2 9" xfId="19976" xr:uid="{00000000-0005-0000-0000-000026A20000}"/>
    <cellStyle name="Normal 4 3 6 2 9 2" xfId="47109" xr:uid="{00000000-0005-0000-0000-000027A20000}"/>
    <cellStyle name="Normal 4 3 6 3" xfId="6271" xr:uid="{00000000-0005-0000-0000-000028A20000}"/>
    <cellStyle name="Normal 4 3 6 3 2" xfId="6272" xr:uid="{00000000-0005-0000-0000-000029A20000}"/>
    <cellStyle name="Normal 4 3 6 3 2 2" xfId="6273" xr:uid="{00000000-0005-0000-0000-00002AA20000}"/>
    <cellStyle name="Normal 4 3 6 3 2 2 2" xfId="9806" xr:uid="{00000000-0005-0000-0000-00002BA20000}"/>
    <cellStyle name="Normal 4 3 6 3 2 2 2 2" xfId="16596" xr:uid="{00000000-0005-0000-0000-00002CA20000}"/>
    <cellStyle name="Normal 4 3 6 3 2 2 2 2 2" xfId="30164" xr:uid="{00000000-0005-0000-0000-00002DA20000}"/>
    <cellStyle name="Normal 4 3 6 3 2 2 2 2 2 2" xfId="57297" xr:uid="{00000000-0005-0000-0000-00002EA20000}"/>
    <cellStyle name="Normal 4 3 6 3 2 2 2 2 3" xfId="43735" xr:uid="{00000000-0005-0000-0000-00002FA20000}"/>
    <cellStyle name="Normal 4 3 6 3 2 2 2 3" xfId="23383" xr:uid="{00000000-0005-0000-0000-000030A20000}"/>
    <cellStyle name="Normal 4 3 6 3 2 2 2 3 2" xfId="50516" xr:uid="{00000000-0005-0000-0000-000031A20000}"/>
    <cellStyle name="Normal 4 3 6 3 2 2 2 4" xfId="36954" xr:uid="{00000000-0005-0000-0000-000032A20000}"/>
    <cellStyle name="Normal 4 3 6 3 2 2 3" xfId="13207" xr:uid="{00000000-0005-0000-0000-000033A20000}"/>
    <cellStyle name="Normal 4 3 6 3 2 2 3 2" xfId="26775" xr:uid="{00000000-0005-0000-0000-000034A20000}"/>
    <cellStyle name="Normal 4 3 6 3 2 2 3 2 2" xfId="53908" xr:uid="{00000000-0005-0000-0000-000035A20000}"/>
    <cellStyle name="Normal 4 3 6 3 2 2 3 3" xfId="40346" xr:uid="{00000000-0005-0000-0000-000036A20000}"/>
    <cellStyle name="Normal 4 3 6 3 2 2 4" xfId="19994" xr:uid="{00000000-0005-0000-0000-000037A20000}"/>
    <cellStyle name="Normal 4 3 6 3 2 2 4 2" xfId="47127" xr:uid="{00000000-0005-0000-0000-000038A20000}"/>
    <cellStyle name="Normal 4 3 6 3 2 2 5" xfId="33565" xr:uid="{00000000-0005-0000-0000-000039A20000}"/>
    <cellStyle name="Normal 4 3 6 3 2 3" xfId="6274" xr:uid="{00000000-0005-0000-0000-00003AA20000}"/>
    <cellStyle name="Normal 4 3 6 3 2 3 2" xfId="9807" xr:uid="{00000000-0005-0000-0000-00003BA20000}"/>
    <cellStyle name="Normal 4 3 6 3 2 3 2 2" xfId="16597" xr:uid="{00000000-0005-0000-0000-00003CA20000}"/>
    <cellStyle name="Normal 4 3 6 3 2 3 2 2 2" xfId="30165" xr:uid="{00000000-0005-0000-0000-00003DA20000}"/>
    <cellStyle name="Normal 4 3 6 3 2 3 2 2 2 2" xfId="57298" xr:uid="{00000000-0005-0000-0000-00003EA20000}"/>
    <cellStyle name="Normal 4 3 6 3 2 3 2 2 3" xfId="43736" xr:uid="{00000000-0005-0000-0000-00003FA20000}"/>
    <cellStyle name="Normal 4 3 6 3 2 3 2 3" xfId="23384" xr:uid="{00000000-0005-0000-0000-000040A20000}"/>
    <cellStyle name="Normal 4 3 6 3 2 3 2 3 2" xfId="50517" xr:uid="{00000000-0005-0000-0000-000041A20000}"/>
    <cellStyle name="Normal 4 3 6 3 2 3 2 4" xfId="36955" xr:uid="{00000000-0005-0000-0000-000042A20000}"/>
    <cellStyle name="Normal 4 3 6 3 2 3 3" xfId="13208" xr:uid="{00000000-0005-0000-0000-000043A20000}"/>
    <cellStyle name="Normal 4 3 6 3 2 3 3 2" xfId="26776" xr:uid="{00000000-0005-0000-0000-000044A20000}"/>
    <cellStyle name="Normal 4 3 6 3 2 3 3 2 2" xfId="53909" xr:uid="{00000000-0005-0000-0000-000045A20000}"/>
    <cellStyle name="Normal 4 3 6 3 2 3 3 3" xfId="40347" xr:uid="{00000000-0005-0000-0000-000046A20000}"/>
    <cellStyle name="Normal 4 3 6 3 2 3 4" xfId="19995" xr:uid="{00000000-0005-0000-0000-000047A20000}"/>
    <cellStyle name="Normal 4 3 6 3 2 3 4 2" xfId="47128" xr:uid="{00000000-0005-0000-0000-000048A20000}"/>
    <cellStyle name="Normal 4 3 6 3 2 3 5" xfId="33566" xr:uid="{00000000-0005-0000-0000-000049A20000}"/>
    <cellStyle name="Normal 4 3 6 3 2 4" xfId="9805" xr:uid="{00000000-0005-0000-0000-00004AA20000}"/>
    <cellStyle name="Normal 4 3 6 3 2 4 2" xfId="16595" xr:uid="{00000000-0005-0000-0000-00004BA20000}"/>
    <cellStyle name="Normal 4 3 6 3 2 4 2 2" xfId="30163" xr:uid="{00000000-0005-0000-0000-00004CA20000}"/>
    <cellStyle name="Normal 4 3 6 3 2 4 2 2 2" xfId="57296" xr:uid="{00000000-0005-0000-0000-00004DA20000}"/>
    <cellStyle name="Normal 4 3 6 3 2 4 2 3" xfId="43734" xr:uid="{00000000-0005-0000-0000-00004EA20000}"/>
    <cellStyle name="Normal 4 3 6 3 2 4 3" xfId="23382" xr:uid="{00000000-0005-0000-0000-00004FA20000}"/>
    <cellStyle name="Normal 4 3 6 3 2 4 3 2" xfId="50515" xr:uid="{00000000-0005-0000-0000-000050A20000}"/>
    <cellStyle name="Normal 4 3 6 3 2 4 4" xfId="36953" xr:uid="{00000000-0005-0000-0000-000051A20000}"/>
    <cellStyle name="Normal 4 3 6 3 2 5" xfId="13206" xr:uid="{00000000-0005-0000-0000-000052A20000}"/>
    <cellStyle name="Normal 4 3 6 3 2 5 2" xfId="26774" xr:uid="{00000000-0005-0000-0000-000053A20000}"/>
    <cellStyle name="Normal 4 3 6 3 2 5 2 2" xfId="53907" xr:uid="{00000000-0005-0000-0000-000054A20000}"/>
    <cellStyle name="Normal 4 3 6 3 2 5 3" xfId="40345" xr:uid="{00000000-0005-0000-0000-000055A20000}"/>
    <cellStyle name="Normal 4 3 6 3 2 6" xfId="19993" xr:uid="{00000000-0005-0000-0000-000056A20000}"/>
    <cellStyle name="Normal 4 3 6 3 2 6 2" xfId="47126" xr:uid="{00000000-0005-0000-0000-000057A20000}"/>
    <cellStyle name="Normal 4 3 6 3 2 7" xfId="33564" xr:uid="{00000000-0005-0000-0000-000058A20000}"/>
    <cellStyle name="Normal 4 3 6 3 3" xfId="6275" xr:uid="{00000000-0005-0000-0000-000059A20000}"/>
    <cellStyle name="Normal 4 3 6 3 3 2" xfId="6276" xr:uid="{00000000-0005-0000-0000-00005AA20000}"/>
    <cellStyle name="Normal 4 3 6 3 3 2 2" xfId="9809" xr:uid="{00000000-0005-0000-0000-00005BA20000}"/>
    <cellStyle name="Normal 4 3 6 3 3 2 2 2" xfId="16599" xr:uid="{00000000-0005-0000-0000-00005CA20000}"/>
    <cellStyle name="Normal 4 3 6 3 3 2 2 2 2" xfId="30167" xr:uid="{00000000-0005-0000-0000-00005DA20000}"/>
    <cellStyle name="Normal 4 3 6 3 3 2 2 2 2 2" xfId="57300" xr:uid="{00000000-0005-0000-0000-00005EA20000}"/>
    <cellStyle name="Normal 4 3 6 3 3 2 2 2 3" xfId="43738" xr:uid="{00000000-0005-0000-0000-00005FA20000}"/>
    <cellStyle name="Normal 4 3 6 3 3 2 2 3" xfId="23386" xr:uid="{00000000-0005-0000-0000-000060A20000}"/>
    <cellStyle name="Normal 4 3 6 3 3 2 2 3 2" xfId="50519" xr:uid="{00000000-0005-0000-0000-000061A20000}"/>
    <cellStyle name="Normal 4 3 6 3 3 2 2 4" xfId="36957" xr:uid="{00000000-0005-0000-0000-000062A20000}"/>
    <cellStyle name="Normal 4 3 6 3 3 2 3" xfId="13210" xr:uid="{00000000-0005-0000-0000-000063A20000}"/>
    <cellStyle name="Normal 4 3 6 3 3 2 3 2" xfId="26778" xr:uid="{00000000-0005-0000-0000-000064A20000}"/>
    <cellStyle name="Normal 4 3 6 3 3 2 3 2 2" xfId="53911" xr:uid="{00000000-0005-0000-0000-000065A20000}"/>
    <cellStyle name="Normal 4 3 6 3 3 2 3 3" xfId="40349" xr:uid="{00000000-0005-0000-0000-000066A20000}"/>
    <cellStyle name="Normal 4 3 6 3 3 2 4" xfId="19997" xr:uid="{00000000-0005-0000-0000-000067A20000}"/>
    <cellStyle name="Normal 4 3 6 3 3 2 4 2" xfId="47130" xr:uid="{00000000-0005-0000-0000-000068A20000}"/>
    <cellStyle name="Normal 4 3 6 3 3 2 5" xfId="33568" xr:uid="{00000000-0005-0000-0000-000069A20000}"/>
    <cellStyle name="Normal 4 3 6 3 3 3" xfId="9808" xr:uid="{00000000-0005-0000-0000-00006AA20000}"/>
    <cellStyle name="Normal 4 3 6 3 3 3 2" xfId="16598" xr:uid="{00000000-0005-0000-0000-00006BA20000}"/>
    <cellStyle name="Normal 4 3 6 3 3 3 2 2" xfId="30166" xr:uid="{00000000-0005-0000-0000-00006CA20000}"/>
    <cellStyle name="Normal 4 3 6 3 3 3 2 2 2" xfId="57299" xr:uid="{00000000-0005-0000-0000-00006DA20000}"/>
    <cellStyle name="Normal 4 3 6 3 3 3 2 3" xfId="43737" xr:uid="{00000000-0005-0000-0000-00006EA20000}"/>
    <cellStyle name="Normal 4 3 6 3 3 3 3" xfId="23385" xr:uid="{00000000-0005-0000-0000-00006FA20000}"/>
    <cellStyle name="Normal 4 3 6 3 3 3 3 2" xfId="50518" xr:uid="{00000000-0005-0000-0000-000070A20000}"/>
    <cellStyle name="Normal 4 3 6 3 3 3 4" xfId="36956" xr:uid="{00000000-0005-0000-0000-000071A20000}"/>
    <cellStyle name="Normal 4 3 6 3 3 4" xfId="13209" xr:uid="{00000000-0005-0000-0000-000072A20000}"/>
    <cellStyle name="Normal 4 3 6 3 3 4 2" xfId="26777" xr:uid="{00000000-0005-0000-0000-000073A20000}"/>
    <cellStyle name="Normal 4 3 6 3 3 4 2 2" xfId="53910" xr:uid="{00000000-0005-0000-0000-000074A20000}"/>
    <cellStyle name="Normal 4 3 6 3 3 4 3" xfId="40348" xr:uid="{00000000-0005-0000-0000-000075A20000}"/>
    <cellStyle name="Normal 4 3 6 3 3 5" xfId="19996" xr:uid="{00000000-0005-0000-0000-000076A20000}"/>
    <cellStyle name="Normal 4 3 6 3 3 5 2" xfId="47129" xr:uid="{00000000-0005-0000-0000-000077A20000}"/>
    <cellStyle name="Normal 4 3 6 3 3 6" xfId="33567" xr:uid="{00000000-0005-0000-0000-000078A20000}"/>
    <cellStyle name="Normal 4 3 6 3 4" xfId="6277" xr:uid="{00000000-0005-0000-0000-000079A20000}"/>
    <cellStyle name="Normal 4 3 6 3 4 2" xfId="9810" xr:uid="{00000000-0005-0000-0000-00007AA20000}"/>
    <cellStyle name="Normal 4 3 6 3 4 2 2" xfId="16600" xr:uid="{00000000-0005-0000-0000-00007BA20000}"/>
    <cellStyle name="Normal 4 3 6 3 4 2 2 2" xfId="30168" xr:uid="{00000000-0005-0000-0000-00007CA20000}"/>
    <cellStyle name="Normal 4 3 6 3 4 2 2 2 2" xfId="57301" xr:uid="{00000000-0005-0000-0000-00007DA20000}"/>
    <cellStyle name="Normal 4 3 6 3 4 2 2 3" xfId="43739" xr:uid="{00000000-0005-0000-0000-00007EA20000}"/>
    <cellStyle name="Normal 4 3 6 3 4 2 3" xfId="23387" xr:uid="{00000000-0005-0000-0000-00007FA20000}"/>
    <cellStyle name="Normal 4 3 6 3 4 2 3 2" xfId="50520" xr:uid="{00000000-0005-0000-0000-000080A20000}"/>
    <cellStyle name="Normal 4 3 6 3 4 2 4" xfId="36958" xr:uid="{00000000-0005-0000-0000-000081A20000}"/>
    <cellStyle name="Normal 4 3 6 3 4 3" xfId="13211" xr:uid="{00000000-0005-0000-0000-000082A20000}"/>
    <cellStyle name="Normal 4 3 6 3 4 3 2" xfId="26779" xr:uid="{00000000-0005-0000-0000-000083A20000}"/>
    <cellStyle name="Normal 4 3 6 3 4 3 2 2" xfId="53912" xr:uid="{00000000-0005-0000-0000-000084A20000}"/>
    <cellStyle name="Normal 4 3 6 3 4 3 3" xfId="40350" xr:uid="{00000000-0005-0000-0000-000085A20000}"/>
    <cellStyle name="Normal 4 3 6 3 4 4" xfId="19998" xr:uid="{00000000-0005-0000-0000-000086A20000}"/>
    <cellStyle name="Normal 4 3 6 3 4 4 2" xfId="47131" xr:uid="{00000000-0005-0000-0000-000087A20000}"/>
    <cellStyle name="Normal 4 3 6 3 4 5" xfId="33569" xr:uid="{00000000-0005-0000-0000-000088A20000}"/>
    <cellStyle name="Normal 4 3 6 3 5" xfId="6278" xr:uid="{00000000-0005-0000-0000-000089A20000}"/>
    <cellStyle name="Normal 4 3 6 3 5 2" xfId="9811" xr:uid="{00000000-0005-0000-0000-00008AA20000}"/>
    <cellStyle name="Normal 4 3 6 3 5 2 2" xfId="16601" xr:uid="{00000000-0005-0000-0000-00008BA20000}"/>
    <cellStyle name="Normal 4 3 6 3 5 2 2 2" xfId="30169" xr:uid="{00000000-0005-0000-0000-00008CA20000}"/>
    <cellStyle name="Normal 4 3 6 3 5 2 2 2 2" xfId="57302" xr:uid="{00000000-0005-0000-0000-00008DA20000}"/>
    <cellStyle name="Normal 4 3 6 3 5 2 2 3" xfId="43740" xr:uid="{00000000-0005-0000-0000-00008EA20000}"/>
    <cellStyle name="Normal 4 3 6 3 5 2 3" xfId="23388" xr:uid="{00000000-0005-0000-0000-00008FA20000}"/>
    <cellStyle name="Normal 4 3 6 3 5 2 3 2" xfId="50521" xr:uid="{00000000-0005-0000-0000-000090A20000}"/>
    <cellStyle name="Normal 4 3 6 3 5 2 4" xfId="36959" xr:uid="{00000000-0005-0000-0000-000091A20000}"/>
    <cellStyle name="Normal 4 3 6 3 5 3" xfId="13212" xr:uid="{00000000-0005-0000-0000-000092A20000}"/>
    <cellStyle name="Normal 4 3 6 3 5 3 2" xfId="26780" xr:uid="{00000000-0005-0000-0000-000093A20000}"/>
    <cellStyle name="Normal 4 3 6 3 5 3 2 2" xfId="53913" xr:uid="{00000000-0005-0000-0000-000094A20000}"/>
    <cellStyle name="Normal 4 3 6 3 5 3 3" xfId="40351" xr:uid="{00000000-0005-0000-0000-000095A20000}"/>
    <cellStyle name="Normal 4 3 6 3 5 4" xfId="19999" xr:uid="{00000000-0005-0000-0000-000096A20000}"/>
    <cellStyle name="Normal 4 3 6 3 5 4 2" xfId="47132" xr:uid="{00000000-0005-0000-0000-000097A20000}"/>
    <cellStyle name="Normal 4 3 6 3 5 5" xfId="33570" xr:uid="{00000000-0005-0000-0000-000098A20000}"/>
    <cellStyle name="Normal 4 3 6 3 6" xfId="9804" xr:uid="{00000000-0005-0000-0000-000099A20000}"/>
    <cellStyle name="Normal 4 3 6 3 6 2" xfId="16594" xr:uid="{00000000-0005-0000-0000-00009AA20000}"/>
    <cellStyle name="Normal 4 3 6 3 6 2 2" xfId="30162" xr:uid="{00000000-0005-0000-0000-00009BA20000}"/>
    <cellStyle name="Normal 4 3 6 3 6 2 2 2" xfId="57295" xr:uid="{00000000-0005-0000-0000-00009CA20000}"/>
    <cellStyle name="Normal 4 3 6 3 6 2 3" xfId="43733" xr:uid="{00000000-0005-0000-0000-00009DA20000}"/>
    <cellStyle name="Normal 4 3 6 3 6 3" xfId="23381" xr:uid="{00000000-0005-0000-0000-00009EA20000}"/>
    <cellStyle name="Normal 4 3 6 3 6 3 2" xfId="50514" xr:uid="{00000000-0005-0000-0000-00009FA20000}"/>
    <cellStyle name="Normal 4 3 6 3 6 4" xfId="36952" xr:uid="{00000000-0005-0000-0000-0000A0A20000}"/>
    <cellStyle name="Normal 4 3 6 3 7" xfId="13205" xr:uid="{00000000-0005-0000-0000-0000A1A20000}"/>
    <cellStyle name="Normal 4 3 6 3 7 2" xfId="26773" xr:uid="{00000000-0005-0000-0000-0000A2A20000}"/>
    <cellStyle name="Normal 4 3 6 3 7 2 2" xfId="53906" xr:uid="{00000000-0005-0000-0000-0000A3A20000}"/>
    <cellStyle name="Normal 4 3 6 3 7 3" xfId="40344" xr:uid="{00000000-0005-0000-0000-0000A4A20000}"/>
    <cellStyle name="Normal 4 3 6 3 8" xfId="19992" xr:uid="{00000000-0005-0000-0000-0000A5A20000}"/>
    <cellStyle name="Normal 4 3 6 3 8 2" xfId="47125" xr:uid="{00000000-0005-0000-0000-0000A6A20000}"/>
    <cellStyle name="Normal 4 3 6 3 9" xfId="33563" xr:uid="{00000000-0005-0000-0000-0000A7A20000}"/>
    <cellStyle name="Normal 4 3 6 4" xfId="6279" xr:uid="{00000000-0005-0000-0000-0000A8A20000}"/>
    <cellStyle name="Normal 4 3 6 4 2" xfId="6280" xr:uid="{00000000-0005-0000-0000-0000A9A20000}"/>
    <cellStyle name="Normal 4 3 6 4 2 2" xfId="6281" xr:uid="{00000000-0005-0000-0000-0000AAA20000}"/>
    <cellStyle name="Normal 4 3 6 4 2 2 2" xfId="9814" xr:uid="{00000000-0005-0000-0000-0000ABA20000}"/>
    <cellStyle name="Normal 4 3 6 4 2 2 2 2" xfId="16604" xr:uid="{00000000-0005-0000-0000-0000ACA20000}"/>
    <cellStyle name="Normal 4 3 6 4 2 2 2 2 2" xfId="30172" xr:uid="{00000000-0005-0000-0000-0000ADA20000}"/>
    <cellStyle name="Normal 4 3 6 4 2 2 2 2 2 2" xfId="57305" xr:uid="{00000000-0005-0000-0000-0000AEA20000}"/>
    <cellStyle name="Normal 4 3 6 4 2 2 2 2 3" xfId="43743" xr:uid="{00000000-0005-0000-0000-0000AFA20000}"/>
    <cellStyle name="Normal 4 3 6 4 2 2 2 3" xfId="23391" xr:uid="{00000000-0005-0000-0000-0000B0A20000}"/>
    <cellStyle name="Normal 4 3 6 4 2 2 2 3 2" xfId="50524" xr:uid="{00000000-0005-0000-0000-0000B1A20000}"/>
    <cellStyle name="Normal 4 3 6 4 2 2 2 4" xfId="36962" xr:uid="{00000000-0005-0000-0000-0000B2A20000}"/>
    <cellStyle name="Normal 4 3 6 4 2 2 3" xfId="13215" xr:uid="{00000000-0005-0000-0000-0000B3A20000}"/>
    <cellStyle name="Normal 4 3 6 4 2 2 3 2" xfId="26783" xr:uid="{00000000-0005-0000-0000-0000B4A20000}"/>
    <cellStyle name="Normal 4 3 6 4 2 2 3 2 2" xfId="53916" xr:uid="{00000000-0005-0000-0000-0000B5A20000}"/>
    <cellStyle name="Normal 4 3 6 4 2 2 3 3" xfId="40354" xr:uid="{00000000-0005-0000-0000-0000B6A20000}"/>
    <cellStyle name="Normal 4 3 6 4 2 2 4" xfId="20002" xr:uid="{00000000-0005-0000-0000-0000B7A20000}"/>
    <cellStyle name="Normal 4 3 6 4 2 2 4 2" xfId="47135" xr:uid="{00000000-0005-0000-0000-0000B8A20000}"/>
    <cellStyle name="Normal 4 3 6 4 2 2 5" xfId="33573" xr:uid="{00000000-0005-0000-0000-0000B9A20000}"/>
    <cellStyle name="Normal 4 3 6 4 2 3" xfId="6282" xr:uid="{00000000-0005-0000-0000-0000BAA20000}"/>
    <cellStyle name="Normal 4 3 6 4 2 3 2" xfId="9815" xr:uid="{00000000-0005-0000-0000-0000BBA20000}"/>
    <cellStyle name="Normal 4 3 6 4 2 3 2 2" xfId="16605" xr:uid="{00000000-0005-0000-0000-0000BCA20000}"/>
    <cellStyle name="Normal 4 3 6 4 2 3 2 2 2" xfId="30173" xr:uid="{00000000-0005-0000-0000-0000BDA20000}"/>
    <cellStyle name="Normal 4 3 6 4 2 3 2 2 2 2" xfId="57306" xr:uid="{00000000-0005-0000-0000-0000BEA20000}"/>
    <cellStyle name="Normal 4 3 6 4 2 3 2 2 3" xfId="43744" xr:uid="{00000000-0005-0000-0000-0000BFA20000}"/>
    <cellStyle name="Normal 4 3 6 4 2 3 2 3" xfId="23392" xr:uid="{00000000-0005-0000-0000-0000C0A20000}"/>
    <cellStyle name="Normal 4 3 6 4 2 3 2 3 2" xfId="50525" xr:uid="{00000000-0005-0000-0000-0000C1A20000}"/>
    <cellStyle name="Normal 4 3 6 4 2 3 2 4" xfId="36963" xr:uid="{00000000-0005-0000-0000-0000C2A20000}"/>
    <cellStyle name="Normal 4 3 6 4 2 3 3" xfId="13216" xr:uid="{00000000-0005-0000-0000-0000C3A20000}"/>
    <cellStyle name="Normal 4 3 6 4 2 3 3 2" xfId="26784" xr:uid="{00000000-0005-0000-0000-0000C4A20000}"/>
    <cellStyle name="Normal 4 3 6 4 2 3 3 2 2" xfId="53917" xr:uid="{00000000-0005-0000-0000-0000C5A20000}"/>
    <cellStyle name="Normal 4 3 6 4 2 3 3 3" xfId="40355" xr:uid="{00000000-0005-0000-0000-0000C6A20000}"/>
    <cellStyle name="Normal 4 3 6 4 2 3 4" xfId="20003" xr:uid="{00000000-0005-0000-0000-0000C7A20000}"/>
    <cellStyle name="Normal 4 3 6 4 2 3 4 2" xfId="47136" xr:uid="{00000000-0005-0000-0000-0000C8A20000}"/>
    <cellStyle name="Normal 4 3 6 4 2 3 5" xfId="33574" xr:uid="{00000000-0005-0000-0000-0000C9A20000}"/>
    <cellStyle name="Normal 4 3 6 4 2 4" xfId="9813" xr:uid="{00000000-0005-0000-0000-0000CAA20000}"/>
    <cellStyle name="Normal 4 3 6 4 2 4 2" xfId="16603" xr:uid="{00000000-0005-0000-0000-0000CBA20000}"/>
    <cellStyle name="Normal 4 3 6 4 2 4 2 2" xfId="30171" xr:uid="{00000000-0005-0000-0000-0000CCA20000}"/>
    <cellStyle name="Normal 4 3 6 4 2 4 2 2 2" xfId="57304" xr:uid="{00000000-0005-0000-0000-0000CDA20000}"/>
    <cellStyle name="Normal 4 3 6 4 2 4 2 3" xfId="43742" xr:uid="{00000000-0005-0000-0000-0000CEA20000}"/>
    <cellStyle name="Normal 4 3 6 4 2 4 3" xfId="23390" xr:uid="{00000000-0005-0000-0000-0000CFA20000}"/>
    <cellStyle name="Normal 4 3 6 4 2 4 3 2" xfId="50523" xr:uid="{00000000-0005-0000-0000-0000D0A20000}"/>
    <cellStyle name="Normal 4 3 6 4 2 4 4" xfId="36961" xr:uid="{00000000-0005-0000-0000-0000D1A20000}"/>
    <cellStyle name="Normal 4 3 6 4 2 5" xfId="13214" xr:uid="{00000000-0005-0000-0000-0000D2A20000}"/>
    <cellStyle name="Normal 4 3 6 4 2 5 2" xfId="26782" xr:uid="{00000000-0005-0000-0000-0000D3A20000}"/>
    <cellStyle name="Normal 4 3 6 4 2 5 2 2" xfId="53915" xr:uid="{00000000-0005-0000-0000-0000D4A20000}"/>
    <cellStyle name="Normal 4 3 6 4 2 5 3" xfId="40353" xr:uid="{00000000-0005-0000-0000-0000D5A20000}"/>
    <cellStyle name="Normal 4 3 6 4 2 6" xfId="20001" xr:uid="{00000000-0005-0000-0000-0000D6A20000}"/>
    <cellStyle name="Normal 4 3 6 4 2 6 2" xfId="47134" xr:uid="{00000000-0005-0000-0000-0000D7A20000}"/>
    <cellStyle name="Normal 4 3 6 4 2 7" xfId="33572" xr:uid="{00000000-0005-0000-0000-0000D8A20000}"/>
    <cellStyle name="Normal 4 3 6 4 3" xfId="6283" xr:uid="{00000000-0005-0000-0000-0000D9A20000}"/>
    <cellStyle name="Normal 4 3 6 4 3 2" xfId="9816" xr:uid="{00000000-0005-0000-0000-0000DAA20000}"/>
    <cellStyle name="Normal 4 3 6 4 3 2 2" xfId="16606" xr:uid="{00000000-0005-0000-0000-0000DBA20000}"/>
    <cellStyle name="Normal 4 3 6 4 3 2 2 2" xfId="30174" xr:uid="{00000000-0005-0000-0000-0000DCA20000}"/>
    <cellStyle name="Normal 4 3 6 4 3 2 2 2 2" xfId="57307" xr:uid="{00000000-0005-0000-0000-0000DDA20000}"/>
    <cellStyle name="Normal 4 3 6 4 3 2 2 3" xfId="43745" xr:uid="{00000000-0005-0000-0000-0000DEA20000}"/>
    <cellStyle name="Normal 4 3 6 4 3 2 3" xfId="23393" xr:uid="{00000000-0005-0000-0000-0000DFA20000}"/>
    <cellStyle name="Normal 4 3 6 4 3 2 3 2" xfId="50526" xr:uid="{00000000-0005-0000-0000-0000E0A20000}"/>
    <cellStyle name="Normal 4 3 6 4 3 2 4" xfId="36964" xr:uid="{00000000-0005-0000-0000-0000E1A20000}"/>
    <cellStyle name="Normal 4 3 6 4 3 3" xfId="13217" xr:uid="{00000000-0005-0000-0000-0000E2A20000}"/>
    <cellStyle name="Normal 4 3 6 4 3 3 2" xfId="26785" xr:uid="{00000000-0005-0000-0000-0000E3A20000}"/>
    <cellStyle name="Normal 4 3 6 4 3 3 2 2" xfId="53918" xr:uid="{00000000-0005-0000-0000-0000E4A20000}"/>
    <cellStyle name="Normal 4 3 6 4 3 3 3" xfId="40356" xr:uid="{00000000-0005-0000-0000-0000E5A20000}"/>
    <cellStyle name="Normal 4 3 6 4 3 4" xfId="20004" xr:uid="{00000000-0005-0000-0000-0000E6A20000}"/>
    <cellStyle name="Normal 4 3 6 4 3 4 2" xfId="47137" xr:uid="{00000000-0005-0000-0000-0000E7A20000}"/>
    <cellStyle name="Normal 4 3 6 4 3 5" xfId="33575" xr:uid="{00000000-0005-0000-0000-0000E8A20000}"/>
    <cellStyle name="Normal 4 3 6 4 4" xfId="6284" xr:uid="{00000000-0005-0000-0000-0000E9A20000}"/>
    <cellStyle name="Normal 4 3 6 4 4 2" xfId="9817" xr:uid="{00000000-0005-0000-0000-0000EAA20000}"/>
    <cellStyle name="Normal 4 3 6 4 4 2 2" xfId="16607" xr:uid="{00000000-0005-0000-0000-0000EBA20000}"/>
    <cellStyle name="Normal 4 3 6 4 4 2 2 2" xfId="30175" xr:uid="{00000000-0005-0000-0000-0000ECA20000}"/>
    <cellStyle name="Normal 4 3 6 4 4 2 2 2 2" xfId="57308" xr:uid="{00000000-0005-0000-0000-0000EDA20000}"/>
    <cellStyle name="Normal 4 3 6 4 4 2 2 3" xfId="43746" xr:uid="{00000000-0005-0000-0000-0000EEA20000}"/>
    <cellStyle name="Normal 4 3 6 4 4 2 3" xfId="23394" xr:uid="{00000000-0005-0000-0000-0000EFA20000}"/>
    <cellStyle name="Normal 4 3 6 4 4 2 3 2" xfId="50527" xr:uid="{00000000-0005-0000-0000-0000F0A20000}"/>
    <cellStyle name="Normal 4 3 6 4 4 2 4" xfId="36965" xr:uid="{00000000-0005-0000-0000-0000F1A20000}"/>
    <cellStyle name="Normal 4 3 6 4 4 3" xfId="13218" xr:uid="{00000000-0005-0000-0000-0000F2A20000}"/>
    <cellStyle name="Normal 4 3 6 4 4 3 2" xfId="26786" xr:uid="{00000000-0005-0000-0000-0000F3A20000}"/>
    <cellStyle name="Normal 4 3 6 4 4 3 2 2" xfId="53919" xr:uid="{00000000-0005-0000-0000-0000F4A20000}"/>
    <cellStyle name="Normal 4 3 6 4 4 3 3" xfId="40357" xr:uid="{00000000-0005-0000-0000-0000F5A20000}"/>
    <cellStyle name="Normal 4 3 6 4 4 4" xfId="20005" xr:uid="{00000000-0005-0000-0000-0000F6A20000}"/>
    <cellStyle name="Normal 4 3 6 4 4 4 2" xfId="47138" xr:uid="{00000000-0005-0000-0000-0000F7A20000}"/>
    <cellStyle name="Normal 4 3 6 4 4 5" xfId="33576" xr:uid="{00000000-0005-0000-0000-0000F8A20000}"/>
    <cellStyle name="Normal 4 3 6 4 5" xfId="9812" xr:uid="{00000000-0005-0000-0000-0000F9A20000}"/>
    <cellStyle name="Normal 4 3 6 4 5 2" xfId="16602" xr:uid="{00000000-0005-0000-0000-0000FAA20000}"/>
    <cellStyle name="Normal 4 3 6 4 5 2 2" xfId="30170" xr:uid="{00000000-0005-0000-0000-0000FBA20000}"/>
    <cellStyle name="Normal 4 3 6 4 5 2 2 2" xfId="57303" xr:uid="{00000000-0005-0000-0000-0000FCA20000}"/>
    <cellStyle name="Normal 4 3 6 4 5 2 3" xfId="43741" xr:uid="{00000000-0005-0000-0000-0000FDA20000}"/>
    <cellStyle name="Normal 4 3 6 4 5 3" xfId="23389" xr:uid="{00000000-0005-0000-0000-0000FEA20000}"/>
    <cellStyle name="Normal 4 3 6 4 5 3 2" xfId="50522" xr:uid="{00000000-0005-0000-0000-0000FFA20000}"/>
    <cellStyle name="Normal 4 3 6 4 5 4" xfId="36960" xr:uid="{00000000-0005-0000-0000-000000A30000}"/>
    <cellStyle name="Normal 4 3 6 4 6" xfId="13213" xr:uid="{00000000-0005-0000-0000-000001A30000}"/>
    <cellStyle name="Normal 4 3 6 4 6 2" xfId="26781" xr:uid="{00000000-0005-0000-0000-000002A30000}"/>
    <cellStyle name="Normal 4 3 6 4 6 2 2" xfId="53914" xr:uid="{00000000-0005-0000-0000-000003A30000}"/>
    <cellStyle name="Normal 4 3 6 4 6 3" xfId="40352" xr:uid="{00000000-0005-0000-0000-000004A30000}"/>
    <cellStyle name="Normal 4 3 6 4 7" xfId="20000" xr:uid="{00000000-0005-0000-0000-000005A30000}"/>
    <cellStyle name="Normal 4 3 6 4 7 2" xfId="47133" xr:uid="{00000000-0005-0000-0000-000006A30000}"/>
    <cellStyle name="Normal 4 3 6 4 8" xfId="33571" xr:uid="{00000000-0005-0000-0000-000007A30000}"/>
    <cellStyle name="Normal 4 3 6 5" xfId="6285" xr:uid="{00000000-0005-0000-0000-000008A30000}"/>
    <cellStyle name="Normal 4 3 6 5 2" xfId="6286" xr:uid="{00000000-0005-0000-0000-000009A30000}"/>
    <cellStyle name="Normal 4 3 6 5 2 2" xfId="6287" xr:uid="{00000000-0005-0000-0000-00000AA30000}"/>
    <cellStyle name="Normal 4 3 6 5 2 2 2" xfId="9820" xr:uid="{00000000-0005-0000-0000-00000BA30000}"/>
    <cellStyle name="Normal 4 3 6 5 2 2 2 2" xfId="16610" xr:uid="{00000000-0005-0000-0000-00000CA30000}"/>
    <cellStyle name="Normal 4 3 6 5 2 2 2 2 2" xfId="30178" xr:uid="{00000000-0005-0000-0000-00000DA30000}"/>
    <cellStyle name="Normal 4 3 6 5 2 2 2 2 2 2" xfId="57311" xr:uid="{00000000-0005-0000-0000-00000EA30000}"/>
    <cellStyle name="Normal 4 3 6 5 2 2 2 2 3" xfId="43749" xr:uid="{00000000-0005-0000-0000-00000FA30000}"/>
    <cellStyle name="Normal 4 3 6 5 2 2 2 3" xfId="23397" xr:uid="{00000000-0005-0000-0000-000010A30000}"/>
    <cellStyle name="Normal 4 3 6 5 2 2 2 3 2" xfId="50530" xr:uid="{00000000-0005-0000-0000-000011A30000}"/>
    <cellStyle name="Normal 4 3 6 5 2 2 2 4" xfId="36968" xr:uid="{00000000-0005-0000-0000-000012A30000}"/>
    <cellStyle name="Normal 4 3 6 5 2 2 3" xfId="13221" xr:uid="{00000000-0005-0000-0000-000013A30000}"/>
    <cellStyle name="Normal 4 3 6 5 2 2 3 2" xfId="26789" xr:uid="{00000000-0005-0000-0000-000014A30000}"/>
    <cellStyle name="Normal 4 3 6 5 2 2 3 2 2" xfId="53922" xr:uid="{00000000-0005-0000-0000-000015A30000}"/>
    <cellStyle name="Normal 4 3 6 5 2 2 3 3" xfId="40360" xr:uid="{00000000-0005-0000-0000-000016A30000}"/>
    <cellStyle name="Normal 4 3 6 5 2 2 4" xfId="20008" xr:uid="{00000000-0005-0000-0000-000017A30000}"/>
    <cellStyle name="Normal 4 3 6 5 2 2 4 2" xfId="47141" xr:uid="{00000000-0005-0000-0000-000018A30000}"/>
    <cellStyle name="Normal 4 3 6 5 2 2 5" xfId="33579" xr:uid="{00000000-0005-0000-0000-000019A30000}"/>
    <cellStyle name="Normal 4 3 6 5 2 3" xfId="6288" xr:uid="{00000000-0005-0000-0000-00001AA30000}"/>
    <cellStyle name="Normal 4 3 6 5 2 3 2" xfId="9821" xr:uid="{00000000-0005-0000-0000-00001BA30000}"/>
    <cellStyle name="Normal 4 3 6 5 2 3 2 2" xfId="16611" xr:uid="{00000000-0005-0000-0000-00001CA30000}"/>
    <cellStyle name="Normal 4 3 6 5 2 3 2 2 2" xfId="30179" xr:uid="{00000000-0005-0000-0000-00001DA30000}"/>
    <cellStyle name="Normal 4 3 6 5 2 3 2 2 2 2" xfId="57312" xr:uid="{00000000-0005-0000-0000-00001EA30000}"/>
    <cellStyle name="Normal 4 3 6 5 2 3 2 2 3" xfId="43750" xr:uid="{00000000-0005-0000-0000-00001FA30000}"/>
    <cellStyle name="Normal 4 3 6 5 2 3 2 3" xfId="23398" xr:uid="{00000000-0005-0000-0000-000020A30000}"/>
    <cellStyle name="Normal 4 3 6 5 2 3 2 3 2" xfId="50531" xr:uid="{00000000-0005-0000-0000-000021A30000}"/>
    <cellStyle name="Normal 4 3 6 5 2 3 2 4" xfId="36969" xr:uid="{00000000-0005-0000-0000-000022A30000}"/>
    <cellStyle name="Normal 4 3 6 5 2 3 3" xfId="13222" xr:uid="{00000000-0005-0000-0000-000023A30000}"/>
    <cellStyle name="Normal 4 3 6 5 2 3 3 2" xfId="26790" xr:uid="{00000000-0005-0000-0000-000024A30000}"/>
    <cellStyle name="Normal 4 3 6 5 2 3 3 2 2" xfId="53923" xr:uid="{00000000-0005-0000-0000-000025A30000}"/>
    <cellStyle name="Normal 4 3 6 5 2 3 3 3" xfId="40361" xr:uid="{00000000-0005-0000-0000-000026A30000}"/>
    <cellStyle name="Normal 4 3 6 5 2 3 4" xfId="20009" xr:uid="{00000000-0005-0000-0000-000027A30000}"/>
    <cellStyle name="Normal 4 3 6 5 2 3 4 2" xfId="47142" xr:uid="{00000000-0005-0000-0000-000028A30000}"/>
    <cellStyle name="Normal 4 3 6 5 2 3 5" xfId="33580" xr:uid="{00000000-0005-0000-0000-000029A30000}"/>
    <cellStyle name="Normal 4 3 6 5 2 4" xfId="9819" xr:uid="{00000000-0005-0000-0000-00002AA30000}"/>
    <cellStyle name="Normal 4 3 6 5 2 4 2" xfId="16609" xr:uid="{00000000-0005-0000-0000-00002BA30000}"/>
    <cellStyle name="Normal 4 3 6 5 2 4 2 2" xfId="30177" xr:uid="{00000000-0005-0000-0000-00002CA30000}"/>
    <cellStyle name="Normal 4 3 6 5 2 4 2 2 2" xfId="57310" xr:uid="{00000000-0005-0000-0000-00002DA30000}"/>
    <cellStyle name="Normal 4 3 6 5 2 4 2 3" xfId="43748" xr:uid="{00000000-0005-0000-0000-00002EA30000}"/>
    <cellStyle name="Normal 4 3 6 5 2 4 3" xfId="23396" xr:uid="{00000000-0005-0000-0000-00002FA30000}"/>
    <cellStyle name="Normal 4 3 6 5 2 4 3 2" xfId="50529" xr:uid="{00000000-0005-0000-0000-000030A30000}"/>
    <cellStyle name="Normal 4 3 6 5 2 4 4" xfId="36967" xr:uid="{00000000-0005-0000-0000-000031A30000}"/>
    <cellStyle name="Normal 4 3 6 5 2 5" xfId="13220" xr:uid="{00000000-0005-0000-0000-000032A30000}"/>
    <cellStyle name="Normal 4 3 6 5 2 5 2" xfId="26788" xr:uid="{00000000-0005-0000-0000-000033A30000}"/>
    <cellStyle name="Normal 4 3 6 5 2 5 2 2" xfId="53921" xr:uid="{00000000-0005-0000-0000-000034A30000}"/>
    <cellStyle name="Normal 4 3 6 5 2 5 3" xfId="40359" xr:uid="{00000000-0005-0000-0000-000035A30000}"/>
    <cellStyle name="Normal 4 3 6 5 2 6" xfId="20007" xr:uid="{00000000-0005-0000-0000-000036A30000}"/>
    <cellStyle name="Normal 4 3 6 5 2 6 2" xfId="47140" xr:uid="{00000000-0005-0000-0000-000037A30000}"/>
    <cellStyle name="Normal 4 3 6 5 2 7" xfId="33578" xr:uid="{00000000-0005-0000-0000-000038A30000}"/>
    <cellStyle name="Normal 4 3 6 5 3" xfId="6289" xr:uid="{00000000-0005-0000-0000-000039A30000}"/>
    <cellStyle name="Normal 4 3 6 5 3 2" xfId="9822" xr:uid="{00000000-0005-0000-0000-00003AA30000}"/>
    <cellStyle name="Normal 4 3 6 5 3 2 2" xfId="16612" xr:uid="{00000000-0005-0000-0000-00003BA30000}"/>
    <cellStyle name="Normal 4 3 6 5 3 2 2 2" xfId="30180" xr:uid="{00000000-0005-0000-0000-00003CA30000}"/>
    <cellStyle name="Normal 4 3 6 5 3 2 2 2 2" xfId="57313" xr:uid="{00000000-0005-0000-0000-00003DA30000}"/>
    <cellStyle name="Normal 4 3 6 5 3 2 2 3" xfId="43751" xr:uid="{00000000-0005-0000-0000-00003EA30000}"/>
    <cellStyle name="Normal 4 3 6 5 3 2 3" xfId="23399" xr:uid="{00000000-0005-0000-0000-00003FA30000}"/>
    <cellStyle name="Normal 4 3 6 5 3 2 3 2" xfId="50532" xr:uid="{00000000-0005-0000-0000-000040A30000}"/>
    <cellStyle name="Normal 4 3 6 5 3 2 4" xfId="36970" xr:uid="{00000000-0005-0000-0000-000041A30000}"/>
    <cellStyle name="Normal 4 3 6 5 3 3" xfId="13223" xr:uid="{00000000-0005-0000-0000-000042A30000}"/>
    <cellStyle name="Normal 4 3 6 5 3 3 2" xfId="26791" xr:uid="{00000000-0005-0000-0000-000043A30000}"/>
    <cellStyle name="Normal 4 3 6 5 3 3 2 2" xfId="53924" xr:uid="{00000000-0005-0000-0000-000044A30000}"/>
    <cellStyle name="Normal 4 3 6 5 3 3 3" xfId="40362" xr:uid="{00000000-0005-0000-0000-000045A30000}"/>
    <cellStyle name="Normal 4 3 6 5 3 4" xfId="20010" xr:uid="{00000000-0005-0000-0000-000046A30000}"/>
    <cellStyle name="Normal 4 3 6 5 3 4 2" xfId="47143" xr:uid="{00000000-0005-0000-0000-000047A30000}"/>
    <cellStyle name="Normal 4 3 6 5 3 5" xfId="33581" xr:uid="{00000000-0005-0000-0000-000048A30000}"/>
    <cellStyle name="Normal 4 3 6 5 4" xfId="6290" xr:uid="{00000000-0005-0000-0000-000049A30000}"/>
    <cellStyle name="Normal 4 3 6 5 4 2" xfId="9823" xr:uid="{00000000-0005-0000-0000-00004AA30000}"/>
    <cellStyle name="Normal 4 3 6 5 4 2 2" xfId="16613" xr:uid="{00000000-0005-0000-0000-00004BA30000}"/>
    <cellStyle name="Normal 4 3 6 5 4 2 2 2" xfId="30181" xr:uid="{00000000-0005-0000-0000-00004CA30000}"/>
    <cellStyle name="Normal 4 3 6 5 4 2 2 2 2" xfId="57314" xr:uid="{00000000-0005-0000-0000-00004DA30000}"/>
    <cellStyle name="Normal 4 3 6 5 4 2 2 3" xfId="43752" xr:uid="{00000000-0005-0000-0000-00004EA30000}"/>
    <cellStyle name="Normal 4 3 6 5 4 2 3" xfId="23400" xr:uid="{00000000-0005-0000-0000-00004FA30000}"/>
    <cellStyle name="Normal 4 3 6 5 4 2 3 2" xfId="50533" xr:uid="{00000000-0005-0000-0000-000050A30000}"/>
    <cellStyle name="Normal 4 3 6 5 4 2 4" xfId="36971" xr:uid="{00000000-0005-0000-0000-000051A30000}"/>
    <cellStyle name="Normal 4 3 6 5 4 3" xfId="13224" xr:uid="{00000000-0005-0000-0000-000052A30000}"/>
    <cellStyle name="Normal 4 3 6 5 4 3 2" xfId="26792" xr:uid="{00000000-0005-0000-0000-000053A30000}"/>
    <cellStyle name="Normal 4 3 6 5 4 3 2 2" xfId="53925" xr:uid="{00000000-0005-0000-0000-000054A30000}"/>
    <cellStyle name="Normal 4 3 6 5 4 3 3" xfId="40363" xr:uid="{00000000-0005-0000-0000-000055A30000}"/>
    <cellStyle name="Normal 4 3 6 5 4 4" xfId="20011" xr:uid="{00000000-0005-0000-0000-000056A30000}"/>
    <cellStyle name="Normal 4 3 6 5 4 4 2" xfId="47144" xr:uid="{00000000-0005-0000-0000-000057A30000}"/>
    <cellStyle name="Normal 4 3 6 5 4 5" xfId="33582" xr:uid="{00000000-0005-0000-0000-000058A30000}"/>
    <cellStyle name="Normal 4 3 6 5 5" xfId="9818" xr:uid="{00000000-0005-0000-0000-000059A30000}"/>
    <cellStyle name="Normal 4 3 6 5 5 2" xfId="16608" xr:uid="{00000000-0005-0000-0000-00005AA30000}"/>
    <cellStyle name="Normal 4 3 6 5 5 2 2" xfId="30176" xr:uid="{00000000-0005-0000-0000-00005BA30000}"/>
    <cellStyle name="Normal 4 3 6 5 5 2 2 2" xfId="57309" xr:uid="{00000000-0005-0000-0000-00005CA30000}"/>
    <cellStyle name="Normal 4 3 6 5 5 2 3" xfId="43747" xr:uid="{00000000-0005-0000-0000-00005DA30000}"/>
    <cellStyle name="Normal 4 3 6 5 5 3" xfId="23395" xr:uid="{00000000-0005-0000-0000-00005EA30000}"/>
    <cellStyle name="Normal 4 3 6 5 5 3 2" xfId="50528" xr:uid="{00000000-0005-0000-0000-00005FA30000}"/>
    <cellStyle name="Normal 4 3 6 5 5 4" xfId="36966" xr:uid="{00000000-0005-0000-0000-000060A30000}"/>
    <cellStyle name="Normal 4 3 6 5 6" xfId="13219" xr:uid="{00000000-0005-0000-0000-000061A30000}"/>
    <cellStyle name="Normal 4 3 6 5 6 2" xfId="26787" xr:uid="{00000000-0005-0000-0000-000062A30000}"/>
    <cellStyle name="Normal 4 3 6 5 6 2 2" xfId="53920" xr:uid="{00000000-0005-0000-0000-000063A30000}"/>
    <cellStyle name="Normal 4 3 6 5 6 3" xfId="40358" xr:uid="{00000000-0005-0000-0000-000064A30000}"/>
    <cellStyle name="Normal 4 3 6 5 7" xfId="20006" xr:uid="{00000000-0005-0000-0000-000065A30000}"/>
    <cellStyle name="Normal 4 3 6 5 7 2" xfId="47139" xr:uid="{00000000-0005-0000-0000-000066A30000}"/>
    <cellStyle name="Normal 4 3 6 5 8" xfId="33577" xr:uid="{00000000-0005-0000-0000-000067A30000}"/>
    <cellStyle name="Normal 4 3 6 6" xfId="6291" xr:uid="{00000000-0005-0000-0000-000068A30000}"/>
    <cellStyle name="Normal 4 3 6 6 2" xfId="6292" xr:uid="{00000000-0005-0000-0000-000069A30000}"/>
    <cellStyle name="Normal 4 3 6 6 2 2" xfId="9825" xr:uid="{00000000-0005-0000-0000-00006AA30000}"/>
    <cellStyle name="Normal 4 3 6 6 2 2 2" xfId="16615" xr:uid="{00000000-0005-0000-0000-00006BA30000}"/>
    <cellStyle name="Normal 4 3 6 6 2 2 2 2" xfId="30183" xr:uid="{00000000-0005-0000-0000-00006CA30000}"/>
    <cellStyle name="Normal 4 3 6 6 2 2 2 2 2" xfId="57316" xr:uid="{00000000-0005-0000-0000-00006DA30000}"/>
    <cellStyle name="Normal 4 3 6 6 2 2 2 3" xfId="43754" xr:uid="{00000000-0005-0000-0000-00006EA30000}"/>
    <cellStyle name="Normal 4 3 6 6 2 2 3" xfId="23402" xr:uid="{00000000-0005-0000-0000-00006FA30000}"/>
    <cellStyle name="Normal 4 3 6 6 2 2 3 2" xfId="50535" xr:uid="{00000000-0005-0000-0000-000070A30000}"/>
    <cellStyle name="Normal 4 3 6 6 2 2 4" xfId="36973" xr:uid="{00000000-0005-0000-0000-000071A30000}"/>
    <cellStyle name="Normal 4 3 6 6 2 3" xfId="13226" xr:uid="{00000000-0005-0000-0000-000072A30000}"/>
    <cellStyle name="Normal 4 3 6 6 2 3 2" xfId="26794" xr:uid="{00000000-0005-0000-0000-000073A30000}"/>
    <cellStyle name="Normal 4 3 6 6 2 3 2 2" xfId="53927" xr:uid="{00000000-0005-0000-0000-000074A30000}"/>
    <cellStyle name="Normal 4 3 6 6 2 3 3" xfId="40365" xr:uid="{00000000-0005-0000-0000-000075A30000}"/>
    <cellStyle name="Normal 4 3 6 6 2 4" xfId="20013" xr:uid="{00000000-0005-0000-0000-000076A30000}"/>
    <cellStyle name="Normal 4 3 6 6 2 4 2" xfId="47146" xr:uid="{00000000-0005-0000-0000-000077A30000}"/>
    <cellStyle name="Normal 4 3 6 6 2 5" xfId="33584" xr:uid="{00000000-0005-0000-0000-000078A30000}"/>
    <cellStyle name="Normal 4 3 6 6 3" xfId="6293" xr:uid="{00000000-0005-0000-0000-000079A30000}"/>
    <cellStyle name="Normal 4 3 6 6 3 2" xfId="9826" xr:uid="{00000000-0005-0000-0000-00007AA30000}"/>
    <cellStyle name="Normal 4 3 6 6 3 2 2" xfId="16616" xr:uid="{00000000-0005-0000-0000-00007BA30000}"/>
    <cellStyle name="Normal 4 3 6 6 3 2 2 2" xfId="30184" xr:uid="{00000000-0005-0000-0000-00007CA30000}"/>
    <cellStyle name="Normal 4 3 6 6 3 2 2 2 2" xfId="57317" xr:uid="{00000000-0005-0000-0000-00007DA30000}"/>
    <cellStyle name="Normal 4 3 6 6 3 2 2 3" xfId="43755" xr:uid="{00000000-0005-0000-0000-00007EA30000}"/>
    <cellStyle name="Normal 4 3 6 6 3 2 3" xfId="23403" xr:uid="{00000000-0005-0000-0000-00007FA30000}"/>
    <cellStyle name="Normal 4 3 6 6 3 2 3 2" xfId="50536" xr:uid="{00000000-0005-0000-0000-000080A30000}"/>
    <cellStyle name="Normal 4 3 6 6 3 2 4" xfId="36974" xr:uid="{00000000-0005-0000-0000-000081A30000}"/>
    <cellStyle name="Normal 4 3 6 6 3 3" xfId="13227" xr:uid="{00000000-0005-0000-0000-000082A30000}"/>
    <cellStyle name="Normal 4 3 6 6 3 3 2" xfId="26795" xr:uid="{00000000-0005-0000-0000-000083A30000}"/>
    <cellStyle name="Normal 4 3 6 6 3 3 2 2" xfId="53928" xr:uid="{00000000-0005-0000-0000-000084A30000}"/>
    <cellStyle name="Normal 4 3 6 6 3 3 3" xfId="40366" xr:uid="{00000000-0005-0000-0000-000085A30000}"/>
    <cellStyle name="Normal 4 3 6 6 3 4" xfId="20014" xr:uid="{00000000-0005-0000-0000-000086A30000}"/>
    <cellStyle name="Normal 4 3 6 6 3 4 2" xfId="47147" xr:uid="{00000000-0005-0000-0000-000087A30000}"/>
    <cellStyle name="Normal 4 3 6 6 3 5" xfId="33585" xr:uid="{00000000-0005-0000-0000-000088A30000}"/>
    <cellStyle name="Normal 4 3 6 6 4" xfId="9824" xr:uid="{00000000-0005-0000-0000-000089A30000}"/>
    <cellStyle name="Normal 4 3 6 6 4 2" xfId="16614" xr:uid="{00000000-0005-0000-0000-00008AA30000}"/>
    <cellStyle name="Normal 4 3 6 6 4 2 2" xfId="30182" xr:uid="{00000000-0005-0000-0000-00008BA30000}"/>
    <cellStyle name="Normal 4 3 6 6 4 2 2 2" xfId="57315" xr:uid="{00000000-0005-0000-0000-00008CA30000}"/>
    <cellStyle name="Normal 4 3 6 6 4 2 3" xfId="43753" xr:uid="{00000000-0005-0000-0000-00008DA30000}"/>
    <cellStyle name="Normal 4 3 6 6 4 3" xfId="23401" xr:uid="{00000000-0005-0000-0000-00008EA30000}"/>
    <cellStyle name="Normal 4 3 6 6 4 3 2" xfId="50534" xr:uid="{00000000-0005-0000-0000-00008FA30000}"/>
    <cellStyle name="Normal 4 3 6 6 4 4" xfId="36972" xr:uid="{00000000-0005-0000-0000-000090A30000}"/>
    <cellStyle name="Normal 4 3 6 6 5" xfId="13225" xr:uid="{00000000-0005-0000-0000-000091A30000}"/>
    <cellStyle name="Normal 4 3 6 6 5 2" xfId="26793" xr:uid="{00000000-0005-0000-0000-000092A30000}"/>
    <cellStyle name="Normal 4 3 6 6 5 2 2" xfId="53926" xr:uid="{00000000-0005-0000-0000-000093A30000}"/>
    <cellStyle name="Normal 4 3 6 6 5 3" xfId="40364" xr:uid="{00000000-0005-0000-0000-000094A30000}"/>
    <cellStyle name="Normal 4 3 6 6 6" xfId="20012" xr:uid="{00000000-0005-0000-0000-000095A30000}"/>
    <cellStyle name="Normal 4 3 6 6 6 2" xfId="47145" xr:uid="{00000000-0005-0000-0000-000096A30000}"/>
    <cellStyle name="Normal 4 3 6 6 7" xfId="33583" xr:uid="{00000000-0005-0000-0000-000097A30000}"/>
    <cellStyle name="Normal 4 3 6 7" xfId="6294" xr:uid="{00000000-0005-0000-0000-000098A30000}"/>
    <cellStyle name="Normal 4 3 6 7 2" xfId="6295" xr:uid="{00000000-0005-0000-0000-000099A30000}"/>
    <cellStyle name="Normal 4 3 6 7 2 2" xfId="9828" xr:uid="{00000000-0005-0000-0000-00009AA30000}"/>
    <cellStyle name="Normal 4 3 6 7 2 2 2" xfId="16618" xr:uid="{00000000-0005-0000-0000-00009BA30000}"/>
    <cellStyle name="Normal 4 3 6 7 2 2 2 2" xfId="30186" xr:uid="{00000000-0005-0000-0000-00009CA30000}"/>
    <cellStyle name="Normal 4 3 6 7 2 2 2 2 2" xfId="57319" xr:uid="{00000000-0005-0000-0000-00009DA30000}"/>
    <cellStyle name="Normal 4 3 6 7 2 2 2 3" xfId="43757" xr:uid="{00000000-0005-0000-0000-00009EA30000}"/>
    <cellStyle name="Normal 4 3 6 7 2 2 3" xfId="23405" xr:uid="{00000000-0005-0000-0000-00009FA30000}"/>
    <cellStyle name="Normal 4 3 6 7 2 2 3 2" xfId="50538" xr:uid="{00000000-0005-0000-0000-0000A0A30000}"/>
    <cellStyle name="Normal 4 3 6 7 2 2 4" xfId="36976" xr:uid="{00000000-0005-0000-0000-0000A1A30000}"/>
    <cellStyle name="Normal 4 3 6 7 2 3" xfId="13229" xr:uid="{00000000-0005-0000-0000-0000A2A30000}"/>
    <cellStyle name="Normal 4 3 6 7 2 3 2" xfId="26797" xr:uid="{00000000-0005-0000-0000-0000A3A30000}"/>
    <cellStyle name="Normal 4 3 6 7 2 3 2 2" xfId="53930" xr:uid="{00000000-0005-0000-0000-0000A4A30000}"/>
    <cellStyle name="Normal 4 3 6 7 2 3 3" xfId="40368" xr:uid="{00000000-0005-0000-0000-0000A5A30000}"/>
    <cellStyle name="Normal 4 3 6 7 2 4" xfId="20016" xr:uid="{00000000-0005-0000-0000-0000A6A30000}"/>
    <cellStyle name="Normal 4 3 6 7 2 4 2" xfId="47149" xr:uid="{00000000-0005-0000-0000-0000A7A30000}"/>
    <cellStyle name="Normal 4 3 6 7 2 5" xfId="33587" xr:uid="{00000000-0005-0000-0000-0000A8A30000}"/>
    <cellStyle name="Normal 4 3 6 7 3" xfId="6296" xr:uid="{00000000-0005-0000-0000-0000A9A30000}"/>
    <cellStyle name="Normal 4 3 6 7 3 2" xfId="9829" xr:uid="{00000000-0005-0000-0000-0000AAA30000}"/>
    <cellStyle name="Normal 4 3 6 7 3 2 2" xfId="16619" xr:uid="{00000000-0005-0000-0000-0000ABA30000}"/>
    <cellStyle name="Normal 4 3 6 7 3 2 2 2" xfId="30187" xr:uid="{00000000-0005-0000-0000-0000ACA30000}"/>
    <cellStyle name="Normal 4 3 6 7 3 2 2 2 2" xfId="57320" xr:uid="{00000000-0005-0000-0000-0000ADA30000}"/>
    <cellStyle name="Normal 4 3 6 7 3 2 2 3" xfId="43758" xr:uid="{00000000-0005-0000-0000-0000AEA30000}"/>
    <cellStyle name="Normal 4 3 6 7 3 2 3" xfId="23406" xr:uid="{00000000-0005-0000-0000-0000AFA30000}"/>
    <cellStyle name="Normal 4 3 6 7 3 2 3 2" xfId="50539" xr:uid="{00000000-0005-0000-0000-0000B0A30000}"/>
    <cellStyle name="Normal 4 3 6 7 3 2 4" xfId="36977" xr:uid="{00000000-0005-0000-0000-0000B1A30000}"/>
    <cellStyle name="Normal 4 3 6 7 3 3" xfId="13230" xr:uid="{00000000-0005-0000-0000-0000B2A30000}"/>
    <cellStyle name="Normal 4 3 6 7 3 3 2" xfId="26798" xr:uid="{00000000-0005-0000-0000-0000B3A30000}"/>
    <cellStyle name="Normal 4 3 6 7 3 3 2 2" xfId="53931" xr:uid="{00000000-0005-0000-0000-0000B4A30000}"/>
    <cellStyle name="Normal 4 3 6 7 3 3 3" xfId="40369" xr:uid="{00000000-0005-0000-0000-0000B5A30000}"/>
    <cellStyle name="Normal 4 3 6 7 3 4" xfId="20017" xr:uid="{00000000-0005-0000-0000-0000B6A30000}"/>
    <cellStyle name="Normal 4 3 6 7 3 4 2" xfId="47150" xr:uid="{00000000-0005-0000-0000-0000B7A30000}"/>
    <cellStyle name="Normal 4 3 6 7 3 5" xfId="33588" xr:uid="{00000000-0005-0000-0000-0000B8A30000}"/>
    <cellStyle name="Normal 4 3 6 7 4" xfId="9827" xr:uid="{00000000-0005-0000-0000-0000B9A30000}"/>
    <cellStyle name="Normal 4 3 6 7 4 2" xfId="16617" xr:uid="{00000000-0005-0000-0000-0000BAA30000}"/>
    <cellStyle name="Normal 4 3 6 7 4 2 2" xfId="30185" xr:uid="{00000000-0005-0000-0000-0000BBA30000}"/>
    <cellStyle name="Normal 4 3 6 7 4 2 2 2" xfId="57318" xr:uid="{00000000-0005-0000-0000-0000BCA30000}"/>
    <cellStyle name="Normal 4 3 6 7 4 2 3" xfId="43756" xr:uid="{00000000-0005-0000-0000-0000BDA30000}"/>
    <cellStyle name="Normal 4 3 6 7 4 3" xfId="23404" xr:uid="{00000000-0005-0000-0000-0000BEA30000}"/>
    <cellStyle name="Normal 4 3 6 7 4 3 2" xfId="50537" xr:uid="{00000000-0005-0000-0000-0000BFA30000}"/>
    <cellStyle name="Normal 4 3 6 7 4 4" xfId="36975" xr:uid="{00000000-0005-0000-0000-0000C0A30000}"/>
    <cellStyle name="Normal 4 3 6 7 5" xfId="13228" xr:uid="{00000000-0005-0000-0000-0000C1A30000}"/>
    <cellStyle name="Normal 4 3 6 7 5 2" xfId="26796" xr:uid="{00000000-0005-0000-0000-0000C2A30000}"/>
    <cellStyle name="Normal 4 3 6 7 5 2 2" xfId="53929" xr:uid="{00000000-0005-0000-0000-0000C3A30000}"/>
    <cellStyle name="Normal 4 3 6 7 5 3" xfId="40367" xr:uid="{00000000-0005-0000-0000-0000C4A30000}"/>
    <cellStyle name="Normal 4 3 6 7 6" xfId="20015" xr:uid="{00000000-0005-0000-0000-0000C5A30000}"/>
    <cellStyle name="Normal 4 3 6 7 6 2" xfId="47148" xr:uid="{00000000-0005-0000-0000-0000C6A30000}"/>
    <cellStyle name="Normal 4 3 6 7 7" xfId="33586" xr:uid="{00000000-0005-0000-0000-0000C7A30000}"/>
    <cellStyle name="Normal 4 3 6 8" xfId="6297" xr:uid="{00000000-0005-0000-0000-0000C8A30000}"/>
    <cellStyle name="Normal 4 3 6 8 2" xfId="9830" xr:uid="{00000000-0005-0000-0000-0000C9A30000}"/>
    <cellStyle name="Normal 4 3 6 8 2 2" xfId="16620" xr:uid="{00000000-0005-0000-0000-0000CAA30000}"/>
    <cellStyle name="Normal 4 3 6 8 2 2 2" xfId="30188" xr:uid="{00000000-0005-0000-0000-0000CBA30000}"/>
    <cellStyle name="Normal 4 3 6 8 2 2 2 2" xfId="57321" xr:uid="{00000000-0005-0000-0000-0000CCA30000}"/>
    <cellStyle name="Normal 4 3 6 8 2 2 3" xfId="43759" xr:uid="{00000000-0005-0000-0000-0000CDA30000}"/>
    <cellStyle name="Normal 4 3 6 8 2 3" xfId="23407" xr:uid="{00000000-0005-0000-0000-0000CEA30000}"/>
    <cellStyle name="Normal 4 3 6 8 2 3 2" xfId="50540" xr:uid="{00000000-0005-0000-0000-0000CFA30000}"/>
    <cellStyle name="Normal 4 3 6 8 2 4" xfId="36978" xr:uid="{00000000-0005-0000-0000-0000D0A30000}"/>
    <cellStyle name="Normal 4 3 6 8 3" xfId="13231" xr:uid="{00000000-0005-0000-0000-0000D1A30000}"/>
    <cellStyle name="Normal 4 3 6 8 3 2" xfId="26799" xr:uid="{00000000-0005-0000-0000-0000D2A30000}"/>
    <cellStyle name="Normal 4 3 6 8 3 2 2" xfId="53932" xr:uid="{00000000-0005-0000-0000-0000D3A30000}"/>
    <cellStyle name="Normal 4 3 6 8 3 3" xfId="40370" xr:uid="{00000000-0005-0000-0000-0000D4A30000}"/>
    <cellStyle name="Normal 4 3 6 8 4" xfId="20018" xr:uid="{00000000-0005-0000-0000-0000D5A30000}"/>
    <cellStyle name="Normal 4 3 6 8 4 2" xfId="47151" xr:uid="{00000000-0005-0000-0000-0000D6A30000}"/>
    <cellStyle name="Normal 4 3 6 8 5" xfId="33589" xr:uid="{00000000-0005-0000-0000-0000D7A30000}"/>
    <cellStyle name="Normal 4 3 6 9" xfId="6298" xr:uid="{00000000-0005-0000-0000-0000D8A30000}"/>
    <cellStyle name="Normal 4 3 6 9 2" xfId="9831" xr:uid="{00000000-0005-0000-0000-0000D9A30000}"/>
    <cellStyle name="Normal 4 3 6 9 2 2" xfId="16621" xr:uid="{00000000-0005-0000-0000-0000DAA30000}"/>
    <cellStyle name="Normal 4 3 6 9 2 2 2" xfId="30189" xr:uid="{00000000-0005-0000-0000-0000DBA30000}"/>
    <cellStyle name="Normal 4 3 6 9 2 2 2 2" xfId="57322" xr:uid="{00000000-0005-0000-0000-0000DCA30000}"/>
    <cellStyle name="Normal 4 3 6 9 2 2 3" xfId="43760" xr:uid="{00000000-0005-0000-0000-0000DDA30000}"/>
    <cellStyle name="Normal 4 3 6 9 2 3" xfId="23408" xr:uid="{00000000-0005-0000-0000-0000DEA30000}"/>
    <cellStyle name="Normal 4 3 6 9 2 3 2" xfId="50541" xr:uid="{00000000-0005-0000-0000-0000DFA30000}"/>
    <cellStyle name="Normal 4 3 6 9 2 4" xfId="36979" xr:uid="{00000000-0005-0000-0000-0000E0A30000}"/>
    <cellStyle name="Normal 4 3 6 9 3" xfId="13232" xr:uid="{00000000-0005-0000-0000-0000E1A30000}"/>
    <cellStyle name="Normal 4 3 6 9 3 2" xfId="26800" xr:uid="{00000000-0005-0000-0000-0000E2A30000}"/>
    <cellStyle name="Normal 4 3 6 9 3 2 2" xfId="53933" xr:uid="{00000000-0005-0000-0000-0000E3A30000}"/>
    <cellStyle name="Normal 4 3 6 9 3 3" xfId="40371" xr:uid="{00000000-0005-0000-0000-0000E4A30000}"/>
    <cellStyle name="Normal 4 3 6 9 4" xfId="20019" xr:uid="{00000000-0005-0000-0000-0000E5A30000}"/>
    <cellStyle name="Normal 4 3 6 9 4 2" xfId="47152" xr:uid="{00000000-0005-0000-0000-0000E6A30000}"/>
    <cellStyle name="Normal 4 3 6 9 5" xfId="33590" xr:uid="{00000000-0005-0000-0000-0000E7A30000}"/>
    <cellStyle name="Normal 4 3 7" xfId="6299" xr:uid="{00000000-0005-0000-0000-0000E8A30000}"/>
    <cellStyle name="Normal 4 3 7 10" xfId="9832" xr:uid="{00000000-0005-0000-0000-0000E9A30000}"/>
    <cellStyle name="Normal 4 3 7 10 2" xfId="16622" xr:uid="{00000000-0005-0000-0000-0000EAA30000}"/>
    <cellStyle name="Normal 4 3 7 10 2 2" xfId="30190" xr:uid="{00000000-0005-0000-0000-0000EBA30000}"/>
    <cellStyle name="Normal 4 3 7 10 2 2 2" xfId="57323" xr:uid="{00000000-0005-0000-0000-0000ECA30000}"/>
    <cellStyle name="Normal 4 3 7 10 2 3" xfId="43761" xr:uid="{00000000-0005-0000-0000-0000EDA30000}"/>
    <cellStyle name="Normal 4 3 7 10 3" xfId="23409" xr:uid="{00000000-0005-0000-0000-0000EEA30000}"/>
    <cellStyle name="Normal 4 3 7 10 3 2" xfId="50542" xr:uid="{00000000-0005-0000-0000-0000EFA30000}"/>
    <cellStyle name="Normal 4 3 7 10 4" xfId="36980" xr:uid="{00000000-0005-0000-0000-0000F0A30000}"/>
    <cellStyle name="Normal 4 3 7 11" xfId="13233" xr:uid="{00000000-0005-0000-0000-0000F1A30000}"/>
    <cellStyle name="Normal 4 3 7 11 2" xfId="26801" xr:uid="{00000000-0005-0000-0000-0000F2A30000}"/>
    <cellStyle name="Normal 4 3 7 11 2 2" xfId="53934" xr:uid="{00000000-0005-0000-0000-0000F3A30000}"/>
    <cellStyle name="Normal 4 3 7 11 3" xfId="40372" xr:uid="{00000000-0005-0000-0000-0000F4A30000}"/>
    <cellStyle name="Normal 4 3 7 12" xfId="20020" xr:uid="{00000000-0005-0000-0000-0000F5A30000}"/>
    <cellStyle name="Normal 4 3 7 12 2" xfId="47153" xr:uid="{00000000-0005-0000-0000-0000F6A30000}"/>
    <cellStyle name="Normal 4 3 7 13" xfId="33591" xr:uid="{00000000-0005-0000-0000-0000F7A30000}"/>
    <cellStyle name="Normal 4 3 7 2" xfId="6300" xr:uid="{00000000-0005-0000-0000-0000F8A30000}"/>
    <cellStyle name="Normal 4 3 7 2 10" xfId="33592" xr:uid="{00000000-0005-0000-0000-0000F9A30000}"/>
    <cellStyle name="Normal 4 3 7 2 2" xfId="6301" xr:uid="{00000000-0005-0000-0000-0000FAA30000}"/>
    <cellStyle name="Normal 4 3 7 2 2 2" xfId="6302" xr:uid="{00000000-0005-0000-0000-0000FBA30000}"/>
    <cellStyle name="Normal 4 3 7 2 2 2 2" xfId="6303" xr:uid="{00000000-0005-0000-0000-0000FCA30000}"/>
    <cellStyle name="Normal 4 3 7 2 2 2 2 2" xfId="9836" xr:uid="{00000000-0005-0000-0000-0000FDA30000}"/>
    <cellStyle name="Normal 4 3 7 2 2 2 2 2 2" xfId="16626" xr:uid="{00000000-0005-0000-0000-0000FEA30000}"/>
    <cellStyle name="Normal 4 3 7 2 2 2 2 2 2 2" xfId="30194" xr:uid="{00000000-0005-0000-0000-0000FFA30000}"/>
    <cellStyle name="Normal 4 3 7 2 2 2 2 2 2 2 2" xfId="57327" xr:uid="{00000000-0005-0000-0000-000000A40000}"/>
    <cellStyle name="Normal 4 3 7 2 2 2 2 2 2 3" xfId="43765" xr:uid="{00000000-0005-0000-0000-000001A40000}"/>
    <cellStyle name="Normal 4 3 7 2 2 2 2 2 3" xfId="23413" xr:uid="{00000000-0005-0000-0000-000002A40000}"/>
    <cellStyle name="Normal 4 3 7 2 2 2 2 2 3 2" xfId="50546" xr:uid="{00000000-0005-0000-0000-000003A40000}"/>
    <cellStyle name="Normal 4 3 7 2 2 2 2 2 4" xfId="36984" xr:uid="{00000000-0005-0000-0000-000004A40000}"/>
    <cellStyle name="Normal 4 3 7 2 2 2 2 3" xfId="13237" xr:uid="{00000000-0005-0000-0000-000005A40000}"/>
    <cellStyle name="Normal 4 3 7 2 2 2 2 3 2" xfId="26805" xr:uid="{00000000-0005-0000-0000-000006A40000}"/>
    <cellStyle name="Normal 4 3 7 2 2 2 2 3 2 2" xfId="53938" xr:uid="{00000000-0005-0000-0000-000007A40000}"/>
    <cellStyle name="Normal 4 3 7 2 2 2 2 3 3" xfId="40376" xr:uid="{00000000-0005-0000-0000-000008A40000}"/>
    <cellStyle name="Normal 4 3 7 2 2 2 2 4" xfId="20024" xr:uid="{00000000-0005-0000-0000-000009A40000}"/>
    <cellStyle name="Normal 4 3 7 2 2 2 2 4 2" xfId="47157" xr:uid="{00000000-0005-0000-0000-00000AA40000}"/>
    <cellStyle name="Normal 4 3 7 2 2 2 2 5" xfId="33595" xr:uid="{00000000-0005-0000-0000-00000BA40000}"/>
    <cellStyle name="Normal 4 3 7 2 2 2 3" xfId="6304" xr:uid="{00000000-0005-0000-0000-00000CA40000}"/>
    <cellStyle name="Normal 4 3 7 2 2 2 3 2" xfId="9837" xr:uid="{00000000-0005-0000-0000-00000DA40000}"/>
    <cellStyle name="Normal 4 3 7 2 2 2 3 2 2" xfId="16627" xr:uid="{00000000-0005-0000-0000-00000EA40000}"/>
    <cellStyle name="Normal 4 3 7 2 2 2 3 2 2 2" xfId="30195" xr:uid="{00000000-0005-0000-0000-00000FA40000}"/>
    <cellStyle name="Normal 4 3 7 2 2 2 3 2 2 2 2" xfId="57328" xr:uid="{00000000-0005-0000-0000-000010A40000}"/>
    <cellStyle name="Normal 4 3 7 2 2 2 3 2 2 3" xfId="43766" xr:uid="{00000000-0005-0000-0000-000011A40000}"/>
    <cellStyle name="Normal 4 3 7 2 2 2 3 2 3" xfId="23414" xr:uid="{00000000-0005-0000-0000-000012A40000}"/>
    <cellStyle name="Normal 4 3 7 2 2 2 3 2 3 2" xfId="50547" xr:uid="{00000000-0005-0000-0000-000013A40000}"/>
    <cellStyle name="Normal 4 3 7 2 2 2 3 2 4" xfId="36985" xr:uid="{00000000-0005-0000-0000-000014A40000}"/>
    <cellStyle name="Normal 4 3 7 2 2 2 3 3" xfId="13238" xr:uid="{00000000-0005-0000-0000-000015A40000}"/>
    <cellStyle name="Normal 4 3 7 2 2 2 3 3 2" xfId="26806" xr:uid="{00000000-0005-0000-0000-000016A40000}"/>
    <cellStyle name="Normal 4 3 7 2 2 2 3 3 2 2" xfId="53939" xr:uid="{00000000-0005-0000-0000-000017A40000}"/>
    <cellStyle name="Normal 4 3 7 2 2 2 3 3 3" xfId="40377" xr:uid="{00000000-0005-0000-0000-000018A40000}"/>
    <cellStyle name="Normal 4 3 7 2 2 2 3 4" xfId="20025" xr:uid="{00000000-0005-0000-0000-000019A40000}"/>
    <cellStyle name="Normal 4 3 7 2 2 2 3 4 2" xfId="47158" xr:uid="{00000000-0005-0000-0000-00001AA40000}"/>
    <cellStyle name="Normal 4 3 7 2 2 2 3 5" xfId="33596" xr:uid="{00000000-0005-0000-0000-00001BA40000}"/>
    <cellStyle name="Normal 4 3 7 2 2 2 4" xfId="9835" xr:uid="{00000000-0005-0000-0000-00001CA40000}"/>
    <cellStyle name="Normal 4 3 7 2 2 2 4 2" xfId="16625" xr:uid="{00000000-0005-0000-0000-00001DA40000}"/>
    <cellStyle name="Normal 4 3 7 2 2 2 4 2 2" xfId="30193" xr:uid="{00000000-0005-0000-0000-00001EA40000}"/>
    <cellStyle name="Normal 4 3 7 2 2 2 4 2 2 2" xfId="57326" xr:uid="{00000000-0005-0000-0000-00001FA40000}"/>
    <cellStyle name="Normal 4 3 7 2 2 2 4 2 3" xfId="43764" xr:uid="{00000000-0005-0000-0000-000020A40000}"/>
    <cellStyle name="Normal 4 3 7 2 2 2 4 3" xfId="23412" xr:uid="{00000000-0005-0000-0000-000021A40000}"/>
    <cellStyle name="Normal 4 3 7 2 2 2 4 3 2" xfId="50545" xr:uid="{00000000-0005-0000-0000-000022A40000}"/>
    <cellStyle name="Normal 4 3 7 2 2 2 4 4" xfId="36983" xr:uid="{00000000-0005-0000-0000-000023A40000}"/>
    <cellStyle name="Normal 4 3 7 2 2 2 5" xfId="13236" xr:uid="{00000000-0005-0000-0000-000024A40000}"/>
    <cellStyle name="Normal 4 3 7 2 2 2 5 2" xfId="26804" xr:uid="{00000000-0005-0000-0000-000025A40000}"/>
    <cellStyle name="Normal 4 3 7 2 2 2 5 2 2" xfId="53937" xr:uid="{00000000-0005-0000-0000-000026A40000}"/>
    <cellStyle name="Normal 4 3 7 2 2 2 5 3" xfId="40375" xr:uid="{00000000-0005-0000-0000-000027A40000}"/>
    <cellStyle name="Normal 4 3 7 2 2 2 6" xfId="20023" xr:uid="{00000000-0005-0000-0000-000028A40000}"/>
    <cellStyle name="Normal 4 3 7 2 2 2 6 2" xfId="47156" xr:uid="{00000000-0005-0000-0000-000029A40000}"/>
    <cellStyle name="Normal 4 3 7 2 2 2 7" xfId="33594" xr:uid="{00000000-0005-0000-0000-00002AA40000}"/>
    <cellStyle name="Normal 4 3 7 2 2 3" xfId="6305" xr:uid="{00000000-0005-0000-0000-00002BA40000}"/>
    <cellStyle name="Normal 4 3 7 2 2 3 2" xfId="6306" xr:uid="{00000000-0005-0000-0000-00002CA40000}"/>
    <cellStyle name="Normal 4 3 7 2 2 3 2 2" xfId="9839" xr:uid="{00000000-0005-0000-0000-00002DA40000}"/>
    <cellStyle name="Normal 4 3 7 2 2 3 2 2 2" xfId="16629" xr:uid="{00000000-0005-0000-0000-00002EA40000}"/>
    <cellStyle name="Normal 4 3 7 2 2 3 2 2 2 2" xfId="30197" xr:uid="{00000000-0005-0000-0000-00002FA40000}"/>
    <cellStyle name="Normal 4 3 7 2 2 3 2 2 2 2 2" xfId="57330" xr:uid="{00000000-0005-0000-0000-000030A40000}"/>
    <cellStyle name="Normal 4 3 7 2 2 3 2 2 2 3" xfId="43768" xr:uid="{00000000-0005-0000-0000-000031A40000}"/>
    <cellStyle name="Normal 4 3 7 2 2 3 2 2 3" xfId="23416" xr:uid="{00000000-0005-0000-0000-000032A40000}"/>
    <cellStyle name="Normal 4 3 7 2 2 3 2 2 3 2" xfId="50549" xr:uid="{00000000-0005-0000-0000-000033A40000}"/>
    <cellStyle name="Normal 4 3 7 2 2 3 2 2 4" xfId="36987" xr:uid="{00000000-0005-0000-0000-000034A40000}"/>
    <cellStyle name="Normal 4 3 7 2 2 3 2 3" xfId="13240" xr:uid="{00000000-0005-0000-0000-000035A40000}"/>
    <cellStyle name="Normal 4 3 7 2 2 3 2 3 2" xfId="26808" xr:uid="{00000000-0005-0000-0000-000036A40000}"/>
    <cellStyle name="Normal 4 3 7 2 2 3 2 3 2 2" xfId="53941" xr:uid="{00000000-0005-0000-0000-000037A40000}"/>
    <cellStyle name="Normal 4 3 7 2 2 3 2 3 3" xfId="40379" xr:uid="{00000000-0005-0000-0000-000038A40000}"/>
    <cellStyle name="Normal 4 3 7 2 2 3 2 4" xfId="20027" xr:uid="{00000000-0005-0000-0000-000039A40000}"/>
    <cellStyle name="Normal 4 3 7 2 2 3 2 4 2" xfId="47160" xr:uid="{00000000-0005-0000-0000-00003AA40000}"/>
    <cellStyle name="Normal 4 3 7 2 2 3 2 5" xfId="33598" xr:uid="{00000000-0005-0000-0000-00003BA40000}"/>
    <cellStyle name="Normal 4 3 7 2 2 3 3" xfId="9838" xr:uid="{00000000-0005-0000-0000-00003CA40000}"/>
    <cellStyle name="Normal 4 3 7 2 2 3 3 2" xfId="16628" xr:uid="{00000000-0005-0000-0000-00003DA40000}"/>
    <cellStyle name="Normal 4 3 7 2 2 3 3 2 2" xfId="30196" xr:uid="{00000000-0005-0000-0000-00003EA40000}"/>
    <cellStyle name="Normal 4 3 7 2 2 3 3 2 2 2" xfId="57329" xr:uid="{00000000-0005-0000-0000-00003FA40000}"/>
    <cellStyle name="Normal 4 3 7 2 2 3 3 2 3" xfId="43767" xr:uid="{00000000-0005-0000-0000-000040A40000}"/>
    <cellStyle name="Normal 4 3 7 2 2 3 3 3" xfId="23415" xr:uid="{00000000-0005-0000-0000-000041A40000}"/>
    <cellStyle name="Normal 4 3 7 2 2 3 3 3 2" xfId="50548" xr:uid="{00000000-0005-0000-0000-000042A40000}"/>
    <cellStyle name="Normal 4 3 7 2 2 3 3 4" xfId="36986" xr:uid="{00000000-0005-0000-0000-000043A40000}"/>
    <cellStyle name="Normal 4 3 7 2 2 3 4" xfId="13239" xr:uid="{00000000-0005-0000-0000-000044A40000}"/>
    <cellStyle name="Normal 4 3 7 2 2 3 4 2" xfId="26807" xr:uid="{00000000-0005-0000-0000-000045A40000}"/>
    <cellStyle name="Normal 4 3 7 2 2 3 4 2 2" xfId="53940" xr:uid="{00000000-0005-0000-0000-000046A40000}"/>
    <cellStyle name="Normal 4 3 7 2 2 3 4 3" xfId="40378" xr:uid="{00000000-0005-0000-0000-000047A40000}"/>
    <cellStyle name="Normal 4 3 7 2 2 3 5" xfId="20026" xr:uid="{00000000-0005-0000-0000-000048A40000}"/>
    <cellStyle name="Normal 4 3 7 2 2 3 5 2" xfId="47159" xr:uid="{00000000-0005-0000-0000-000049A40000}"/>
    <cellStyle name="Normal 4 3 7 2 2 3 6" xfId="33597" xr:uid="{00000000-0005-0000-0000-00004AA40000}"/>
    <cellStyle name="Normal 4 3 7 2 2 4" xfId="6307" xr:uid="{00000000-0005-0000-0000-00004BA40000}"/>
    <cellStyle name="Normal 4 3 7 2 2 4 2" xfId="9840" xr:uid="{00000000-0005-0000-0000-00004CA40000}"/>
    <cellStyle name="Normal 4 3 7 2 2 4 2 2" xfId="16630" xr:uid="{00000000-0005-0000-0000-00004DA40000}"/>
    <cellStyle name="Normal 4 3 7 2 2 4 2 2 2" xfId="30198" xr:uid="{00000000-0005-0000-0000-00004EA40000}"/>
    <cellStyle name="Normal 4 3 7 2 2 4 2 2 2 2" xfId="57331" xr:uid="{00000000-0005-0000-0000-00004FA40000}"/>
    <cellStyle name="Normal 4 3 7 2 2 4 2 2 3" xfId="43769" xr:uid="{00000000-0005-0000-0000-000050A40000}"/>
    <cellStyle name="Normal 4 3 7 2 2 4 2 3" xfId="23417" xr:uid="{00000000-0005-0000-0000-000051A40000}"/>
    <cellStyle name="Normal 4 3 7 2 2 4 2 3 2" xfId="50550" xr:uid="{00000000-0005-0000-0000-000052A40000}"/>
    <cellStyle name="Normal 4 3 7 2 2 4 2 4" xfId="36988" xr:uid="{00000000-0005-0000-0000-000053A40000}"/>
    <cellStyle name="Normal 4 3 7 2 2 4 3" xfId="13241" xr:uid="{00000000-0005-0000-0000-000054A40000}"/>
    <cellStyle name="Normal 4 3 7 2 2 4 3 2" xfId="26809" xr:uid="{00000000-0005-0000-0000-000055A40000}"/>
    <cellStyle name="Normal 4 3 7 2 2 4 3 2 2" xfId="53942" xr:uid="{00000000-0005-0000-0000-000056A40000}"/>
    <cellStyle name="Normal 4 3 7 2 2 4 3 3" xfId="40380" xr:uid="{00000000-0005-0000-0000-000057A40000}"/>
    <cellStyle name="Normal 4 3 7 2 2 4 4" xfId="20028" xr:uid="{00000000-0005-0000-0000-000058A40000}"/>
    <cellStyle name="Normal 4 3 7 2 2 4 4 2" xfId="47161" xr:uid="{00000000-0005-0000-0000-000059A40000}"/>
    <cellStyle name="Normal 4 3 7 2 2 4 5" xfId="33599" xr:uid="{00000000-0005-0000-0000-00005AA40000}"/>
    <cellStyle name="Normal 4 3 7 2 2 5" xfId="6308" xr:uid="{00000000-0005-0000-0000-00005BA40000}"/>
    <cellStyle name="Normal 4 3 7 2 2 5 2" xfId="9841" xr:uid="{00000000-0005-0000-0000-00005CA40000}"/>
    <cellStyle name="Normal 4 3 7 2 2 5 2 2" xfId="16631" xr:uid="{00000000-0005-0000-0000-00005DA40000}"/>
    <cellStyle name="Normal 4 3 7 2 2 5 2 2 2" xfId="30199" xr:uid="{00000000-0005-0000-0000-00005EA40000}"/>
    <cellStyle name="Normal 4 3 7 2 2 5 2 2 2 2" xfId="57332" xr:uid="{00000000-0005-0000-0000-00005FA40000}"/>
    <cellStyle name="Normal 4 3 7 2 2 5 2 2 3" xfId="43770" xr:uid="{00000000-0005-0000-0000-000060A40000}"/>
    <cellStyle name="Normal 4 3 7 2 2 5 2 3" xfId="23418" xr:uid="{00000000-0005-0000-0000-000061A40000}"/>
    <cellStyle name="Normal 4 3 7 2 2 5 2 3 2" xfId="50551" xr:uid="{00000000-0005-0000-0000-000062A40000}"/>
    <cellStyle name="Normal 4 3 7 2 2 5 2 4" xfId="36989" xr:uid="{00000000-0005-0000-0000-000063A40000}"/>
    <cellStyle name="Normal 4 3 7 2 2 5 3" xfId="13242" xr:uid="{00000000-0005-0000-0000-000064A40000}"/>
    <cellStyle name="Normal 4 3 7 2 2 5 3 2" xfId="26810" xr:uid="{00000000-0005-0000-0000-000065A40000}"/>
    <cellStyle name="Normal 4 3 7 2 2 5 3 2 2" xfId="53943" xr:uid="{00000000-0005-0000-0000-000066A40000}"/>
    <cellStyle name="Normal 4 3 7 2 2 5 3 3" xfId="40381" xr:uid="{00000000-0005-0000-0000-000067A40000}"/>
    <cellStyle name="Normal 4 3 7 2 2 5 4" xfId="20029" xr:uid="{00000000-0005-0000-0000-000068A40000}"/>
    <cellStyle name="Normal 4 3 7 2 2 5 4 2" xfId="47162" xr:uid="{00000000-0005-0000-0000-000069A40000}"/>
    <cellStyle name="Normal 4 3 7 2 2 5 5" xfId="33600" xr:uid="{00000000-0005-0000-0000-00006AA40000}"/>
    <cellStyle name="Normal 4 3 7 2 2 6" xfId="9834" xr:uid="{00000000-0005-0000-0000-00006BA40000}"/>
    <cellStyle name="Normal 4 3 7 2 2 6 2" xfId="16624" xr:uid="{00000000-0005-0000-0000-00006CA40000}"/>
    <cellStyle name="Normal 4 3 7 2 2 6 2 2" xfId="30192" xr:uid="{00000000-0005-0000-0000-00006DA40000}"/>
    <cellStyle name="Normal 4 3 7 2 2 6 2 2 2" xfId="57325" xr:uid="{00000000-0005-0000-0000-00006EA40000}"/>
    <cellStyle name="Normal 4 3 7 2 2 6 2 3" xfId="43763" xr:uid="{00000000-0005-0000-0000-00006FA40000}"/>
    <cellStyle name="Normal 4 3 7 2 2 6 3" xfId="23411" xr:uid="{00000000-0005-0000-0000-000070A40000}"/>
    <cellStyle name="Normal 4 3 7 2 2 6 3 2" xfId="50544" xr:uid="{00000000-0005-0000-0000-000071A40000}"/>
    <cellStyle name="Normal 4 3 7 2 2 6 4" xfId="36982" xr:uid="{00000000-0005-0000-0000-000072A40000}"/>
    <cellStyle name="Normal 4 3 7 2 2 7" xfId="13235" xr:uid="{00000000-0005-0000-0000-000073A40000}"/>
    <cellStyle name="Normal 4 3 7 2 2 7 2" xfId="26803" xr:uid="{00000000-0005-0000-0000-000074A40000}"/>
    <cellStyle name="Normal 4 3 7 2 2 7 2 2" xfId="53936" xr:uid="{00000000-0005-0000-0000-000075A40000}"/>
    <cellStyle name="Normal 4 3 7 2 2 7 3" xfId="40374" xr:uid="{00000000-0005-0000-0000-000076A40000}"/>
    <cellStyle name="Normal 4 3 7 2 2 8" xfId="20022" xr:uid="{00000000-0005-0000-0000-000077A40000}"/>
    <cellStyle name="Normal 4 3 7 2 2 8 2" xfId="47155" xr:uid="{00000000-0005-0000-0000-000078A40000}"/>
    <cellStyle name="Normal 4 3 7 2 2 9" xfId="33593" xr:uid="{00000000-0005-0000-0000-000079A40000}"/>
    <cellStyle name="Normal 4 3 7 2 3" xfId="6309" xr:uid="{00000000-0005-0000-0000-00007AA40000}"/>
    <cellStyle name="Normal 4 3 7 2 3 2" xfId="6310" xr:uid="{00000000-0005-0000-0000-00007BA40000}"/>
    <cellStyle name="Normal 4 3 7 2 3 2 2" xfId="9843" xr:uid="{00000000-0005-0000-0000-00007CA40000}"/>
    <cellStyle name="Normal 4 3 7 2 3 2 2 2" xfId="16633" xr:uid="{00000000-0005-0000-0000-00007DA40000}"/>
    <cellStyle name="Normal 4 3 7 2 3 2 2 2 2" xfId="30201" xr:uid="{00000000-0005-0000-0000-00007EA40000}"/>
    <cellStyle name="Normal 4 3 7 2 3 2 2 2 2 2" xfId="57334" xr:uid="{00000000-0005-0000-0000-00007FA40000}"/>
    <cellStyle name="Normal 4 3 7 2 3 2 2 2 3" xfId="43772" xr:uid="{00000000-0005-0000-0000-000080A40000}"/>
    <cellStyle name="Normal 4 3 7 2 3 2 2 3" xfId="23420" xr:uid="{00000000-0005-0000-0000-000081A40000}"/>
    <cellStyle name="Normal 4 3 7 2 3 2 2 3 2" xfId="50553" xr:uid="{00000000-0005-0000-0000-000082A40000}"/>
    <cellStyle name="Normal 4 3 7 2 3 2 2 4" xfId="36991" xr:uid="{00000000-0005-0000-0000-000083A40000}"/>
    <cellStyle name="Normal 4 3 7 2 3 2 3" xfId="13244" xr:uid="{00000000-0005-0000-0000-000084A40000}"/>
    <cellStyle name="Normal 4 3 7 2 3 2 3 2" xfId="26812" xr:uid="{00000000-0005-0000-0000-000085A40000}"/>
    <cellStyle name="Normal 4 3 7 2 3 2 3 2 2" xfId="53945" xr:uid="{00000000-0005-0000-0000-000086A40000}"/>
    <cellStyle name="Normal 4 3 7 2 3 2 3 3" xfId="40383" xr:uid="{00000000-0005-0000-0000-000087A40000}"/>
    <cellStyle name="Normal 4 3 7 2 3 2 4" xfId="20031" xr:uid="{00000000-0005-0000-0000-000088A40000}"/>
    <cellStyle name="Normal 4 3 7 2 3 2 4 2" xfId="47164" xr:uid="{00000000-0005-0000-0000-000089A40000}"/>
    <cellStyle name="Normal 4 3 7 2 3 2 5" xfId="33602" xr:uid="{00000000-0005-0000-0000-00008AA40000}"/>
    <cellStyle name="Normal 4 3 7 2 3 3" xfId="6311" xr:uid="{00000000-0005-0000-0000-00008BA40000}"/>
    <cellStyle name="Normal 4 3 7 2 3 3 2" xfId="9844" xr:uid="{00000000-0005-0000-0000-00008CA40000}"/>
    <cellStyle name="Normal 4 3 7 2 3 3 2 2" xfId="16634" xr:uid="{00000000-0005-0000-0000-00008DA40000}"/>
    <cellStyle name="Normal 4 3 7 2 3 3 2 2 2" xfId="30202" xr:uid="{00000000-0005-0000-0000-00008EA40000}"/>
    <cellStyle name="Normal 4 3 7 2 3 3 2 2 2 2" xfId="57335" xr:uid="{00000000-0005-0000-0000-00008FA40000}"/>
    <cellStyle name="Normal 4 3 7 2 3 3 2 2 3" xfId="43773" xr:uid="{00000000-0005-0000-0000-000090A40000}"/>
    <cellStyle name="Normal 4 3 7 2 3 3 2 3" xfId="23421" xr:uid="{00000000-0005-0000-0000-000091A40000}"/>
    <cellStyle name="Normal 4 3 7 2 3 3 2 3 2" xfId="50554" xr:uid="{00000000-0005-0000-0000-000092A40000}"/>
    <cellStyle name="Normal 4 3 7 2 3 3 2 4" xfId="36992" xr:uid="{00000000-0005-0000-0000-000093A40000}"/>
    <cellStyle name="Normal 4 3 7 2 3 3 3" xfId="13245" xr:uid="{00000000-0005-0000-0000-000094A40000}"/>
    <cellStyle name="Normal 4 3 7 2 3 3 3 2" xfId="26813" xr:uid="{00000000-0005-0000-0000-000095A40000}"/>
    <cellStyle name="Normal 4 3 7 2 3 3 3 2 2" xfId="53946" xr:uid="{00000000-0005-0000-0000-000096A40000}"/>
    <cellStyle name="Normal 4 3 7 2 3 3 3 3" xfId="40384" xr:uid="{00000000-0005-0000-0000-000097A40000}"/>
    <cellStyle name="Normal 4 3 7 2 3 3 4" xfId="20032" xr:uid="{00000000-0005-0000-0000-000098A40000}"/>
    <cellStyle name="Normal 4 3 7 2 3 3 4 2" xfId="47165" xr:uid="{00000000-0005-0000-0000-000099A40000}"/>
    <cellStyle name="Normal 4 3 7 2 3 3 5" xfId="33603" xr:uid="{00000000-0005-0000-0000-00009AA40000}"/>
    <cellStyle name="Normal 4 3 7 2 3 4" xfId="9842" xr:uid="{00000000-0005-0000-0000-00009BA40000}"/>
    <cellStyle name="Normal 4 3 7 2 3 4 2" xfId="16632" xr:uid="{00000000-0005-0000-0000-00009CA40000}"/>
    <cellStyle name="Normal 4 3 7 2 3 4 2 2" xfId="30200" xr:uid="{00000000-0005-0000-0000-00009DA40000}"/>
    <cellStyle name="Normal 4 3 7 2 3 4 2 2 2" xfId="57333" xr:uid="{00000000-0005-0000-0000-00009EA40000}"/>
    <cellStyle name="Normal 4 3 7 2 3 4 2 3" xfId="43771" xr:uid="{00000000-0005-0000-0000-00009FA40000}"/>
    <cellStyle name="Normal 4 3 7 2 3 4 3" xfId="23419" xr:uid="{00000000-0005-0000-0000-0000A0A40000}"/>
    <cellStyle name="Normal 4 3 7 2 3 4 3 2" xfId="50552" xr:uid="{00000000-0005-0000-0000-0000A1A40000}"/>
    <cellStyle name="Normal 4 3 7 2 3 4 4" xfId="36990" xr:uid="{00000000-0005-0000-0000-0000A2A40000}"/>
    <cellStyle name="Normal 4 3 7 2 3 5" xfId="13243" xr:uid="{00000000-0005-0000-0000-0000A3A40000}"/>
    <cellStyle name="Normal 4 3 7 2 3 5 2" xfId="26811" xr:uid="{00000000-0005-0000-0000-0000A4A40000}"/>
    <cellStyle name="Normal 4 3 7 2 3 5 2 2" xfId="53944" xr:uid="{00000000-0005-0000-0000-0000A5A40000}"/>
    <cellStyle name="Normal 4 3 7 2 3 5 3" xfId="40382" xr:uid="{00000000-0005-0000-0000-0000A6A40000}"/>
    <cellStyle name="Normal 4 3 7 2 3 6" xfId="20030" xr:uid="{00000000-0005-0000-0000-0000A7A40000}"/>
    <cellStyle name="Normal 4 3 7 2 3 6 2" xfId="47163" xr:uid="{00000000-0005-0000-0000-0000A8A40000}"/>
    <cellStyle name="Normal 4 3 7 2 3 7" xfId="33601" xr:uid="{00000000-0005-0000-0000-0000A9A40000}"/>
    <cellStyle name="Normal 4 3 7 2 4" xfId="6312" xr:uid="{00000000-0005-0000-0000-0000AAA40000}"/>
    <cellStyle name="Normal 4 3 7 2 4 2" xfId="6313" xr:uid="{00000000-0005-0000-0000-0000ABA40000}"/>
    <cellStyle name="Normal 4 3 7 2 4 2 2" xfId="9846" xr:uid="{00000000-0005-0000-0000-0000ACA40000}"/>
    <cellStyle name="Normal 4 3 7 2 4 2 2 2" xfId="16636" xr:uid="{00000000-0005-0000-0000-0000ADA40000}"/>
    <cellStyle name="Normal 4 3 7 2 4 2 2 2 2" xfId="30204" xr:uid="{00000000-0005-0000-0000-0000AEA40000}"/>
    <cellStyle name="Normal 4 3 7 2 4 2 2 2 2 2" xfId="57337" xr:uid="{00000000-0005-0000-0000-0000AFA40000}"/>
    <cellStyle name="Normal 4 3 7 2 4 2 2 2 3" xfId="43775" xr:uid="{00000000-0005-0000-0000-0000B0A40000}"/>
    <cellStyle name="Normal 4 3 7 2 4 2 2 3" xfId="23423" xr:uid="{00000000-0005-0000-0000-0000B1A40000}"/>
    <cellStyle name="Normal 4 3 7 2 4 2 2 3 2" xfId="50556" xr:uid="{00000000-0005-0000-0000-0000B2A40000}"/>
    <cellStyle name="Normal 4 3 7 2 4 2 2 4" xfId="36994" xr:uid="{00000000-0005-0000-0000-0000B3A40000}"/>
    <cellStyle name="Normal 4 3 7 2 4 2 3" xfId="13247" xr:uid="{00000000-0005-0000-0000-0000B4A40000}"/>
    <cellStyle name="Normal 4 3 7 2 4 2 3 2" xfId="26815" xr:uid="{00000000-0005-0000-0000-0000B5A40000}"/>
    <cellStyle name="Normal 4 3 7 2 4 2 3 2 2" xfId="53948" xr:uid="{00000000-0005-0000-0000-0000B6A40000}"/>
    <cellStyle name="Normal 4 3 7 2 4 2 3 3" xfId="40386" xr:uid="{00000000-0005-0000-0000-0000B7A40000}"/>
    <cellStyle name="Normal 4 3 7 2 4 2 4" xfId="20034" xr:uid="{00000000-0005-0000-0000-0000B8A40000}"/>
    <cellStyle name="Normal 4 3 7 2 4 2 4 2" xfId="47167" xr:uid="{00000000-0005-0000-0000-0000B9A40000}"/>
    <cellStyle name="Normal 4 3 7 2 4 2 5" xfId="33605" xr:uid="{00000000-0005-0000-0000-0000BAA40000}"/>
    <cellStyle name="Normal 4 3 7 2 4 3" xfId="9845" xr:uid="{00000000-0005-0000-0000-0000BBA40000}"/>
    <cellStyle name="Normal 4 3 7 2 4 3 2" xfId="16635" xr:uid="{00000000-0005-0000-0000-0000BCA40000}"/>
    <cellStyle name="Normal 4 3 7 2 4 3 2 2" xfId="30203" xr:uid="{00000000-0005-0000-0000-0000BDA40000}"/>
    <cellStyle name="Normal 4 3 7 2 4 3 2 2 2" xfId="57336" xr:uid="{00000000-0005-0000-0000-0000BEA40000}"/>
    <cellStyle name="Normal 4 3 7 2 4 3 2 3" xfId="43774" xr:uid="{00000000-0005-0000-0000-0000BFA40000}"/>
    <cellStyle name="Normal 4 3 7 2 4 3 3" xfId="23422" xr:uid="{00000000-0005-0000-0000-0000C0A40000}"/>
    <cellStyle name="Normal 4 3 7 2 4 3 3 2" xfId="50555" xr:uid="{00000000-0005-0000-0000-0000C1A40000}"/>
    <cellStyle name="Normal 4 3 7 2 4 3 4" xfId="36993" xr:uid="{00000000-0005-0000-0000-0000C2A40000}"/>
    <cellStyle name="Normal 4 3 7 2 4 4" xfId="13246" xr:uid="{00000000-0005-0000-0000-0000C3A40000}"/>
    <cellStyle name="Normal 4 3 7 2 4 4 2" xfId="26814" xr:uid="{00000000-0005-0000-0000-0000C4A40000}"/>
    <cellStyle name="Normal 4 3 7 2 4 4 2 2" xfId="53947" xr:uid="{00000000-0005-0000-0000-0000C5A40000}"/>
    <cellStyle name="Normal 4 3 7 2 4 4 3" xfId="40385" xr:uid="{00000000-0005-0000-0000-0000C6A40000}"/>
    <cellStyle name="Normal 4 3 7 2 4 5" xfId="20033" xr:uid="{00000000-0005-0000-0000-0000C7A40000}"/>
    <cellStyle name="Normal 4 3 7 2 4 5 2" xfId="47166" xr:uid="{00000000-0005-0000-0000-0000C8A40000}"/>
    <cellStyle name="Normal 4 3 7 2 4 6" xfId="33604" xr:uid="{00000000-0005-0000-0000-0000C9A40000}"/>
    <cellStyle name="Normal 4 3 7 2 5" xfId="6314" xr:uid="{00000000-0005-0000-0000-0000CAA40000}"/>
    <cellStyle name="Normal 4 3 7 2 5 2" xfId="9847" xr:uid="{00000000-0005-0000-0000-0000CBA40000}"/>
    <cellStyle name="Normal 4 3 7 2 5 2 2" xfId="16637" xr:uid="{00000000-0005-0000-0000-0000CCA40000}"/>
    <cellStyle name="Normal 4 3 7 2 5 2 2 2" xfId="30205" xr:uid="{00000000-0005-0000-0000-0000CDA40000}"/>
    <cellStyle name="Normal 4 3 7 2 5 2 2 2 2" xfId="57338" xr:uid="{00000000-0005-0000-0000-0000CEA40000}"/>
    <cellStyle name="Normal 4 3 7 2 5 2 2 3" xfId="43776" xr:uid="{00000000-0005-0000-0000-0000CFA40000}"/>
    <cellStyle name="Normal 4 3 7 2 5 2 3" xfId="23424" xr:uid="{00000000-0005-0000-0000-0000D0A40000}"/>
    <cellStyle name="Normal 4 3 7 2 5 2 3 2" xfId="50557" xr:uid="{00000000-0005-0000-0000-0000D1A40000}"/>
    <cellStyle name="Normal 4 3 7 2 5 2 4" xfId="36995" xr:uid="{00000000-0005-0000-0000-0000D2A40000}"/>
    <cellStyle name="Normal 4 3 7 2 5 3" xfId="13248" xr:uid="{00000000-0005-0000-0000-0000D3A40000}"/>
    <cellStyle name="Normal 4 3 7 2 5 3 2" xfId="26816" xr:uid="{00000000-0005-0000-0000-0000D4A40000}"/>
    <cellStyle name="Normal 4 3 7 2 5 3 2 2" xfId="53949" xr:uid="{00000000-0005-0000-0000-0000D5A40000}"/>
    <cellStyle name="Normal 4 3 7 2 5 3 3" xfId="40387" xr:uid="{00000000-0005-0000-0000-0000D6A40000}"/>
    <cellStyle name="Normal 4 3 7 2 5 4" xfId="20035" xr:uid="{00000000-0005-0000-0000-0000D7A40000}"/>
    <cellStyle name="Normal 4 3 7 2 5 4 2" xfId="47168" xr:uid="{00000000-0005-0000-0000-0000D8A40000}"/>
    <cellStyle name="Normal 4 3 7 2 5 5" xfId="33606" xr:uid="{00000000-0005-0000-0000-0000D9A40000}"/>
    <cellStyle name="Normal 4 3 7 2 6" xfId="6315" xr:uid="{00000000-0005-0000-0000-0000DAA40000}"/>
    <cellStyle name="Normal 4 3 7 2 6 2" xfId="9848" xr:uid="{00000000-0005-0000-0000-0000DBA40000}"/>
    <cellStyle name="Normal 4 3 7 2 6 2 2" xfId="16638" xr:uid="{00000000-0005-0000-0000-0000DCA40000}"/>
    <cellStyle name="Normal 4 3 7 2 6 2 2 2" xfId="30206" xr:uid="{00000000-0005-0000-0000-0000DDA40000}"/>
    <cellStyle name="Normal 4 3 7 2 6 2 2 2 2" xfId="57339" xr:uid="{00000000-0005-0000-0000-0000DEA40000}"/>
    <cellStyle name="Normal 4 3 7 2 6 2 2 3" xfId="43777" xr:uid="{00000000-0005-0000-0000-0000DFA40000}"/>
    <cellStyle name="Normal 4 3 7 2 6 2 3" xfId="23425" xr:uid="{00000000-0005-0000-0000-0000E0A40000}"/>
    <cellStyle name="Normal 4 3 7 2 6 2 3 2" xfId="50558" xr:uid="{00000000-0005-0000-0000-0000E1A40000}"/>
    <cellStyle name="Normal 4 3 7 2 6 2 4" xfId="36996" xr:uid="{00000000-0005-0000-0000-0000E2A40000}"/>
    <cellStyle name="Normal 4 3 7 2 6 3" xfId="13249" xr:uid="{00000000-0005-0000-0000-0000E3A40000}"/>
    <cellStyle name="Normal 4 3 7 2 6 3 2" xfId="26817" xr:uid="{00000000-0005-0000-0000-0000E4A40000}"/>
    <cellStyle name="Normal 4 3 7 2 6 3 2 2" xfId="53950" xr:uid="{00000000-0005-0000-0000-0000E5A40000}"/>
    <cellStyle name="Normal 4 3 7 2 6 3 3" xfId="40388" xr:uid="{00000000-0005-0000-0000-0000E6A40000}"/>
    <cellStyle name="Normal 4 3 7 2 6 4" xfId="20036" xr:uid="{00000000-0005-0000-0000-0000E7A40000}"/>
    <cellStyle name="Normal 4 3 7 2 6 4 2" xfId="47169" xr:uid="{00000000-0005-0000-0000-0000E8A40000}"/>
    <cellStyle name="Normal 4 3 7 2 6 5" xfId="33607" xr:uid="{00000000-0005-0000-0000-0000E9A40000}"/>
    <cellStyle name="Normal 4 3 7 2 7" xfId="9833" xr:uid="{00000000-0005-0000-0000-0000EAA40000}"/>
    <cellStyle name="Normal 4 3 7 2 7 2" xfId="16623" xr:uid="{00000000-0005-0000-0000-0000EBA40000}"/>
    <cellStyle name="Normal 4 3 7 2 7 2 2" xfId="30191" xr:uid="{00000000-0005-0000-0000-0000ECA40000}"/>
    <cellStyle name="Normal 4 3 7 2 7 2 2 2" xfId="57324" xr:uid="{00000000-0005-0000-0000-0000EDA40000}"/>
    <cellStyle name="Normal 4 3 7 2 7 2 3" xfId="43762" xr:uid="{00000000-0005-0000-0000-0000EEA40000}"/>
    <cellStyle name="Normal 4 3 7 2 7 3" xfId="23410" xr:uid="{00000000-0005-0000-0000-0000EFA40000}"/>
    <cellStyle name="Normal 4 3 7 2 7 3 2" xfId="50543" xr:uid="{00000000-0005-0000-0000-0000F0A40000}"/>
    <cellStyle name="Normal 4 3 7 2 7 4" xfId="36981" xr:uid="{00000000-0005-0000-0000-0000F1A40000}"/>
    <cellStyle name="Normal 4 3 7 2 8" xfId="13234" xr:uid="{00000000-0005-0000-0000-0000F2A40000}"/>
    <cellStyle name="Normal 4 3 7 2 8 2" xfId="26802" xr:uid="{00000000-0005-0000-0000-0000F3A40000}"/>
    <cellStyle name="Normal 4 3 7 2 8 2 2" xfId="53935" xr:uid="{00000000-0005-0000-0000-0000F4A40000}"/>
    <cellStyle name="Normal 4 3 7 2 8 3" xfId="40373" xr:uid="{00000000-0005-0000-0000-0000F5A40000}"/>
    <cellStyle name="Normal 4 3 7 2 9" xfId="20021" xr:uid="{00000000-0005-0000-0000-0000F6A40000}"/>
    <cellStyle name="Normal 4 3 7 2 9 2" xfId="47154" xr:uid="{00000000-0005-0000-0000-0000F7A40000}"/>
    <cellStyle name="Normal 4 3 7 3" xfId="6316" xr:uid="{00000000-0005-0000-0000-0000F8A40000}"/>
    <cellStyle name="Normal 4 3 7 3 2" xfId="6317" xr:uid="{00000000-0005-0000-0000-0000F9A40000}"/>
    <cellStyle name="Normal 4 3 7 3 2 2" xfId="6318" xr:uid="{00000000-0005-0000-0000-0000FAA40000}"/>
    <cellStyle name="Normal 4 3 7 3 2 2 2" xfId="9851" xr:uid="{00000000-0005-0000-0000-0000FBA40000}"/>
    <cellStyle name="Normal 4 3 7 3 2 2 2 2" xfId="16641" xr:uid="{00000000-0005-0000-0000-0000FCA40000}"/>
    <cellStyle name="Normal 4 3 7 3 2 2 2 2 2" xfId="30209" xr:uid="{00000000-0005-0000-0000-0000FDA40000}"/>
    <cellStyle name="Normal 4 3 7 3 2 2 2 2 2 2" xfId="57342" xr:uid="{00000000-0005-0000-0000-0000FEA40000}"/>
    <cellStyle name="Normal 4 3 7 3 2 2 2 2 3" xfId="43780" xr:uid="{00000000-0005-0000-0000-0000FFA40000}"/>
    <cellStyle name="Normal 4 3 7 3 2 2 2 3" xfId="23428" xr:uid="{00000000-0005-0000-0000-000000A50000}"/>
    <cellStyle name="Normal 4 3 7 3 2 2 2 3 2" xfId="50561" xr:uid="{00000000-0005-0000-0000-000001A50000}"/>
    <cellStyle name="Normal 4 3 7 3 2 2 2 4" xfId="36999" xr:uid="{00000000-0005-0000-0000-000002A50000}"/>
    <cellStyle name="Normal 4 3 7 3 2 2 3" xfId="13252" xr:uid="{00000000-0005-0000-0000-000003A50000}"/>
    <cellStyle name="Normal 4 3 7 3 2 2 3 2" xfId="26820" xr:uid="{00000000-0005-0000-0000-000004A50000}"/>
    <cellStyle name="Normal 4 3 7 3 2 2 3 2 2" xfId="53953" xr:uid="{00000000-0005-0000-0000-000005A50000}"/>
    <cellStyle name="Normal 4 3 7 3 2 2 3 3" xfId="40391" xr:uid="{00000000-0005-0000-0000-000006A50000}"/>
    <cellStyle name="Normal 4 3 7 3 2 2 4" xfId="20039" xr:uid="{00000000-0005-0000-0000-000007A50000}"/>
    <cellStyle name="Normal 4 3 7 3 2 2 4 2" xfId="47172" xr:uid="{00000000-0005-0000-0000-000008A50000}"/>
    <cellStyle name="Normal 4 3 7 3 2 2 5" xfId="33610" xr:uid="{00000000-0005-0000-0000-000009A50000}"/>
    <cellStyle name="Normal 4 3 7 3 2 3" xfId="6319" xr:uid="{00000000-0005-0000-0000-00000AA50000}"/>
    <cellStyle name="Normal 4 3 7 3 2 3 2" xfId="9852" xr:uid="{00000000-0005-0000-0000-00000BA50000}"/>
    <cellStyle name="Normal 4 3 7 3 2 3 2 2" xfId="16642" xr:uid="{00000000-0005-0000-0000-00000CA50000}"/>
    <cellStyle name="Normal 4 3 7 3 2 3 2 2 2" xfId="30210" xr:uid="{00000000-0005-0000-0000-00000DA50000}"/>
    <cellStyle name="Normal 4 3 7 3 2 3 2 2 2 2" xfId="57343" xr:uid="{00000000-0005-0000-0000-00000EA50000}"/>
    <cellStyle name="Normal 4 3 7 3 2 3 2 2 3" xfId="43781" xr:uid="{00000000-0005-0000-0000-00000FA50000}"/>
    <cellStyle name="Normal 4 3 7 3 2 3 2 3" xfId="23429" xr:uid="{00000000-0005-0000-0000-000010A50000}"/>
    <cellStyle name="Normal 4 3 7 3 2 3 2 3 2" xfId="50562" xr:uid="{00000000-0005-0000-0000-000011A50000}"/>
    <cellStyle name="Normal 4 3 7 3 2 3 2 4" xfId="37000" xr:uid="{00000000-0005-0000-0000-000012A50000}"/>
    <cellStyle name="Normal 4 3 7 3 2 3 3" xfId="13253" xr:uid="{00000000-0005-0000-0000-000013A50000}"/>
    <cellStyle name="Normal 4 3 7 3 2 3 3 2" xfId="26821" xr:uid="{00000000-0005-0000-0000-000014A50000}"/>
    <cellStyle name="Normal 4 3 7 3 2 3 3 2 2" xfId="53954" xr:uid="{00000000-0005-0000-0000-000015A50000}"/>
    <cellStyle name="Normal 4 3 7 3 2 3 3 3" xfId="40392" xr:uid="{00000000-0005-0000-0000-000016A50000}"/>
    <cellStyle name="Normal 4 3 7 3 2 3 4" xfId="20040" xr:uid="{00000000-0005-0000-0000-000017A50000}"/>
    <cellStyle name="Normal 4 3 7 3 2 3 4 2" xfId="47173" xr:uid="{00000000-0005-0000-0000-000018A50000}"/>
    <cellStyle name="Normal 4 3 7 3 2 3 5" xfId="33611" xr:uid="{00000000-0005-0000-0000-000019A50000}"/>
    <cellStyle name="Normal 4 3 7 3 2 4" xfId="9850" xr:uid="{00000000-0005-0000-0000-00001AA50000}"/>
    <cellStyle name="Normal 4 3 7 3 2 4 2" xfId="16640" xr:uid="{00000000-0005-0000-0000-00001BA50000}"/>
    <cellStyle name="Normal 4 3 7 3 2 4 2 2" xfId="30208" xr:uid="{00000000-0005-0000-0000-00001CA50000}"/>
    <cellStyle name="Normal 4 3 7 3 2 4 2 2 2" xfId="57341" xr:uid="{00000000-0005-0000-0000-00001DA50000}"/>
    <cellStyle name="Normal 4 3 7 3 2 4 2 3" xfId="43779" xr:uid="{00000000-0005-0000-0000-00001EA50000}"/>
    <cellStyle name="Normal 4 3 7 3 2 4 3" xfId="23427" xr:uid="{00000000-0005-0000-0000-00001FA50000}"/>
    <cellStyle name="Normal 4 3 7 3 2 4 3 2" xfId="50560" xr:uid="{00000000-0005-0000-0000-000020A50000}"/>
    <cellStyle name="Normal 4 3 7 3 2 4 4" xfId="36998" xr:uid="{00000000-0005-0000-0000-000021A50000}"/>
    <cellStyle name="Normal 4 3 7 3 2 5" xfId="13251" xr:uid="{00000000-0005-0000-0000-000022A50000}"/>
    <cellStyle name="Normal 4 3 7 3 2 5 2" xfId="26819" xr:uid="{00000000-0005-0000-0000-000023A50000}"/>
    <cellStyle name="Normal 4 3 7 3 2 5 2 2" xfId="53952" xr:uid="{00000000-0005-0000-0000-000024A50000}"/>
    <cellStyle name="Normal 4 3 7 3 2 5 3" xfId="40390" xr:uid="{00000000-0005-0000-0000-000025A50000}"/>
    <cellStyle name="Normal 4 3 7 3 2 6" xfId="20038" xr:uid="{00000000-0005-0000-0000-000026A50000}"/>
    <cellStyle name="Normal 4 3 7 3 2 6 2" xfId="47171" xr:uid="{00000000-0005-0000-0000-000027A50000}"/>
    <cellStyle name="Normal 4 3 7 3 2 7" xfId="33609" xr:uid="{00000000-0005-0000-0000-000028A50000}"/>
    <cellStyle name="Normal 4 3 7 3 3" xfId="6320" xr:uid="{00000000-0005-0000-0000-000029A50000}"/>
    <cellStyle name="Normal 4 3 7 3 3 2" xfId="6321" xr:uid="{00000000-0005-0000-0000-00002AA50000}"/>
    <cellStyle name="Normal 4 3 7 3 3 2 2" xfId="9854" xr:uid="{00000000-0005-0000-0000-00002BA50000}"/>
    <cellStyle name="Normal 4 3 7 3 3 2 2 2" xfId="16644" xr:uid="{00000000-0005-0000-0000-00002CA50000}"/>
    <cellStyle name="Normal 4 3 7 3 3 2 2 2 2" xfId="30212" xr:uid="{00000000-0005-0000-0000-00002DA50000}"/>
    <cellStyle name="Normal 4 3 7 3 3 2 2 2 2 2" xfId="57345" xr:uid="{00000000-0005-0000-0000-00002EA50000}"/>
    <cellStyle name="Normal 4 3 7 3 3 2 2 2 3" xfId="43783" xr:uid="{00000000-0005-0000-0000-00002FA50000}"/>
    <cellStyle name="Normal 4 3 7 3 3 2 2 3" xfId="23431" xr:uid="{00000000-0005-0000-0000-000030A50000}"/>
    <cellStyle name="Normal 4 3 7 3 3 2 2 3 2" xfId="50564" xr:uid="{00000000-0005-0000-0000-000031A50000}"/>
    <cellStyle name="Normal 4 3 7 3 3 2 2 4" xfId="37002" xr:uid="{00000000-0005-0000-0000-000032A50000}"/>
    <cellStyle name="Normal 4 3 7 3 3 2 3" xfId="13255" xr:uid="{00000000-0005-0000-0000-000033A50000}"/>
    <cellStyle name="Normal 4 3 7 3 3 2 3 2" xfId="26823" xr:uid="{00000000-0005-0000-0000-000034A50000}"/>
    <cellStyle name="Normal 4 3 7 3 3 2 3 2 2" xfId="53956" xr:uid="{00000000-0005-0000-0000-000035A50000}"/>
    <cellStyle name="Normal 4 3 7 3 3 2 3 3" xfId="40394" xr:uid="{00000000-0005-0000-0000-000036A50000}"/>
    <cellStyle name="Normal 4 3 7 3 3 2 4" xfId="20042" xr:uid="{00000000-0005-0000-0000-000037A50000}"/>
    <cellStyle name="Normal 4 3 7 3 3 2 4 2" xfId="47175" xr:uid="{00000000-0005-0000-0000-000038A50000}"/>
    <cellStyle name="Normal 4 3 7 3 3 2 5" xfId="33613" xr:uid="{00000000-0005-0000-0000-000039A50000}"/>
    <cellStyle name="Normal 4 3 7 3 3 3" xfId="9853" xr:uid="{00000000-0005-0000-0000-00003AA50000}"/>
    <cellStyle name="Normal 4 3 7 3 3 3 2" xfId="16643" xr:uid="{00000000-0005-0000-0000-00003BA50000}"/>
    <cellStyle name="Normal 4 3 7 3 3 3 2 2" xfId="30211" xr:uid="{00000000-0005-0000-0000-00003CA50000}"/>
    <cellStyle name="Normal 4 3 7 3 3 3 2 2 2" xfId="57344" xr:uid="{00000000-0005-0000-0000-00003DA50000}"/>
    <cellStyle name="Normal 4 3 7 3 3 3 2 3" xfId="43782" xr:uid="{00000000-0005-0000-0000-00003EA50000}"/>
    <cellStyle name="Normal 4 3 7 3 3 3 3" xfId="23430" xr:uid="{00000000-0005-0000-0000-00003FA50000}"/>
    <cellStyle name="Normal 4 3 7 3 3 3 3 2" xfId="50563" xr:uid="{00000000-0005-0000-0000-000040A50000}"/>
    <cellStyle name="Normal 4 3 7 3 3 3 4" xfId="37001" xr:uid="{00000000-0005-0000-0000-000041A50000}"/>
    <cellStyle name="Normal 4 3 7 3 3 4" xfId="13254" xr:uid="{00000000-0005-0000-0000-000042A50000}"/>
    <cellStyle name="Normal 4 3 7 3 3 4 2" xfId="26822" xr:uid="{00000000-0005-0000-0000-000043A50000}"/>
    <cellStyle name="Normal 4 3 7 3 3 4 2 2" xfId="53955" xr:uid="{00000000-0005-0000-0000-000044A50000}"/>
    <cellStyle name="Normal 4 3 7 3 3 4 3" xfId="40393" xr:uid="{00000000-0005-0000-0000-000045A50000}"/>
    <cellStyle name="Normal 4 3 7 3 3 5" xfId="20041" xr:uid="{00000000-0005-0000-0000-000046A50000}"/>
    <cellStyle name="Normal 4 3 7 3 3 5 2" xfId="47174" xr:uid="{00000000-0005-0000-0000-000047A50000}"/>
    <cellStyle name="Normal 4 3 7 3 3 6" xfId="33612" xr:uid="{00000000-0005-0000-0000-000048A50000}"/>
    <cellStyle name="Normal 4 3 7 3 4" xfId="6322" xr:uid="{00000000-0005-0000-0000-000049A50000}"/>
    <cellStyle name="Normal 4 3 7 3 4 2" xfId="9855" xr:uid="{00000000-0005-0000-0000-00004AA50000}"/>
    <cellStyle name="Normal 4 3 7 3 4 2 2" xfId="16645" xr:uid="{00000000-0005-0000-0000-00004BA50000}"/>
    <cellStyle name="Normal 4 3 7 3 4 2 2 2" xfId="30213" xr:uid="{00000000-0005-0000-0000-00004CA50000}"/>
    <cellStyle name="Normal 4 3 7 3 4 2 2 2 2" xfId="57346" xr:uid="{00000000-0005-0000-0000-00004DA50000}"/>
    <cellStyle name="Normal 4 3 7 3 4 2 2 3" xfId="43784" xr:uid="{00000000-0005-0000-0000-00004EA50000}"/>
    <cellStyle name="Normal 4 3 7 3 4 2 3" xfId="23432" xr:uid="{00000000-0005-0000-0000-00004FA50000}"/>
    <cellStyle name="Normal 4 3 7 3 4 2 3 2" xfId="50565" xr:uid="{00000000-0005-0000-0000-000050A50000}"/>
    <cellStyle name="Normal 4 3 7 3 4 2 4" xfId="37003" xr:uid="{00000000-0005-0000-0000-000051A50000}"/>
    <cellStyle name="Normal 4 3 7 3 4 3" xfId="13256" xr:uid="{00000000-0005-0000-0000-000052A50000}"/>
    <cellStyle name="Normal 4 3 7 3 4 3 2" xfId="26824" xr:uid="{00000000-0005-0000-0000-000053A50000}"/>
    <cellStyle name="Normal 4 3 7 3 4 3 2 2" xfId="53957" xr:uid="{00000000-0005-0000-0000-000054A50000}"/>
    <cellStyle name="Normal 4 3 7 3 4 3 3" xfId="40395" xr:uid="{00000000-0005-0000-0000-000055A50000}"/>
    <cellStyle name="Normal 4 3 7 3 4 4" xfId="20043" xr:uid="{00000000-0005-0000-0000-000056A50000}"/>
    <cellStyle name="Normal 4 3 7 3 4 4 2" xfId="47176" xr:uid="{00000000-0005-0000-0000-000057A50000}"/>
    <cellStyle name="Normal 4 3 7 3 4 5" xfId="33614" xr:uid="{00000000-0005-0000-0000-000058A50000}"/>
    <cellStyle name="Normal 4 3 7 3 5" xfId="6323" xr:uid="{00000000-0005-0000-0000-000059A50000}"/>
    <cellStyle name="Normal 4 3 7 3 5 2" xfId="9856" xr:uid="{00000000-0005-0000-0000-00005AA50000}"/>
    <cellStyle name="Normal 4 3 7 3 5 2 2" xfId="16646" xr:uid="{00000000-0005-0000-0000-00005BA50000}"/>
    <cellStyle name="Normal 4 3 7 3 5 2 2 2" xfId="30214" xr:uid="{00000000-0005-0000-0000-00005CA50000}"/>
    <cellStyle name="Normal 4 3 7 3 5 2 2 2 2" xfId="57347" xr:uid="{00000000-0005-0000-0000-00005DA50000}"/>
    <cellStyle name="Normal 4 3 7 3 5 2 2 3" xfId="43785" xr:uid="{00000000-0005-0000-0000-00005EA50000}"/>
    <cellStyle name="Normal 4 3 7 3 5 2 3" xfId="23433" xr:uid="{00000000-0005-0000-0000-00005FA50000}"/>
    <cellStyle name="Normal 4 3 7 3 5 2 3 2" xfId="50566" xr:uid="{00000000-0005-0000-0000-000060A50000}"/>
    <cellStyle name="Normal 4 3 7 3 5 2 4" xfId="37004" xr:uid="{00000000-0005-0000-0000-000061A50000}"/>
    <cellStyle name="Normal 4 3 7 3 5 3" xfId="13257" xr:uid="{00000000-0005-0000-0000-000062A50000}"/>
    <cellStyle name="Normal 4 3 7 3 5 3 2" xfId="26825" xr:uid="{00000000-0005-0000-0000-000063A50000}"/>
    <cellStyle name="Normal 4 3 7 3 5 3 2 2" xfId="53958" xr:uid="{00000000-0005-0000-0000-000064A50000}"/>
    <cellStyle name="Normal 4 3 7 3 5 3 3" xfId="40396" xr:uid="{00000000-0005-0000-0000-000065A50000}"/>
    <cellStyle name="Normal 4 3 7 3 5 4" xfId="20044" xr:uid="{00000000-0005-0000-0000-000066A50000}"/>
    <cellStyle name="Normal 4 3 7 3 5 4 2" xfId="47177" xr:uid="{00000000-0005-0000-0000-000067A50000}"/>
    <cellStyle name="Normal 4 3 7 3 5 5" xfId="33615" xr:uid="{00000000-0005-0000-0000-000068A50000}"/>
    <cellStyle name="Normal 4 3 7 3 6" xfId="9849" xr:uid="{00000000-0005-0000-0000-000069A50000}"/>
    <cellStyle name="Normal 4 3 7 3 6 2" xfId="16639" xr:uid="{00000000-0005-0000-0000-00006AA50000}"/>
    <cellStyle name="Normal 4 3 7 3 6 2 2" xfId="30207" xr:uid="{00000000-0005-0000-0000-00006BA50000}"/>
    <cellStyle name="Normal 4 3 7 3 6 2 2 2" xfId="57340" xr:uid="{00000000-0005-0000-0000-00006CA50000}"/>
    <cellStyle name="Normal 4 3 7 3 6 2 3" xfId="43778" xr:uid="{00000000-0005-0000-0000-00006DA50000}"/>
    <cellStyle name="Normal 4 3 7 3 6 3" xfId="23426" xr:uid="{00000000-0005-0000-0000-00006EA50000}"/>
    <cellStyle name="Normal 4 3 7 3 6 3 2" xfId="50559" xr:uid="{00000000-0005-0000-0000-00006FA50000}"/>
    <cellStyle name="Normal 4 3 7 3 6 4" xfId="36997" xr:uid="{00000000-0005-0000-0000-000070A50000}"/>
    <cellStyle name="Normal 4 3 7 3 7" xfId="13250" xr:uid="{00000000-0005-0000-0000-000071A50000}"/>
    <cellStyle name="Normal 4 3 7 3 7 2" xfId="26818" xr:uid="{00000000-0005-0000-0000-000072A50000}"/>
    <cellStyle name="Normal 4 3 7 3 7 2 2" xfId="53951" xr:uid="{00000000-0005-0000-0000-000073A50000}"/>
    <cellStyle name="Normal 4 3 7 3 7 3" xfId="40389" xr:uid="{00000000-0005-0000-0000-000074A50000}"/>
    <cellStyle name="Normal 4 3 7 3 8" xfId="20037" xr:uid="{00000000-0005-0000-0000-000075A50000}"/>
    <cellStyle name="Normal 4 3 7 3 8 2" xfId="47170" xr:uid="{00000000-0005-0000-0000-000076A50000}"/>
    <cellStyle name="Normal 4 3 7 3 9" xfId="33608" xr:uid="{00000000-0005-0000-0000-000077A50000}"/>
    <cellStyle name="Normal 4 3 7 4" xfId="6324" xr:uid="{00000000-0005-0000-0000-000078A50000}"/>
    <cellStyle name="Normal 4 3 7 4 2" xfId="6325" xr:uid="{00000000-0005-0000-0000-000079A50000}"/>
    <cellStyle name="Normal 4 3 7 4 2 2" xfId="6326" xr:uid="{00000000-0005-0000-0000-00007AA50000}"/>
    <cellStyle name="Normal 4 3 7 4 2 2 2" xfId="9859" xr:uid="{00000000-0005-0000-0000-00007BA50000}"/>
    <cellStyle name="Normal 4 3 7 4 2 2 2 2" xfId="16649" xr:uid="{00000000-0005-0000-0000-00007CA50000}"/>
    <cellStyle name="Normal 4 3 7 4 2 2 2 2 2" xfId="30217" xr:uid="{00000000-0005-0000-0000-00007DA50000}"/>
    <cellStyle name="Normal 4 3 7 4 2 2 2 2 2 2" xfId="57350" xr:uid="{00000000-0005-0000-0000-00007EA50000}"/>
    <cellStyle name="Normal 4 3 7 4 2 2 2 2 3" xfId="43788" xr:uid="{00000000-0005-0000-0000-00007FA50000}"/>
    <cellStyle name="Normal 4 3 7 4 2 2 2 3" xfId="23436" xr:uid="{00000000-0005-0000-0000-000080A50000}"/>
    <cellStyle name="Normal 4 3 7 4 2 2 2 3 2" xfId="50569" xr:uid="{00000000-0005-0000-0000-000081A50000}"/>
    <cellStyle name="Normal 4 3 7 4 2 2 2 4" xfId="37007" xr:uid="{00000000-0005-0000-0000-000082A50000}"/>
    <cellStyle name="Normal 4 3 7 4 2 2 3" xfId="13260" xr:uid="{00000000-0005-0000-0000-000083A50000}"/>
    <cellStyle name="Normal 4 3 7 4 2 2 3 2" xfId="26828" xr:uid="{00000000-0005-0000-0000-000084A50000}"/>
    <cellStyle name="Normal 4 3 7 4 2 2 3 2 2" xfId="53961" xr:uid="{00000000-0005-0000-0000-000085A50000}"/>
    <cellStyle name="Normal 4 3 7 4 2 2 3 3" xfId="40399" xr:uid="{00000000-0005-0000-0000-000086A50000}"/>
    <cellStyle name="Normal 4 3 7 4 2 2 4" xfId="20047" xr:uid="{00000000-0005-0000-0000-000087A50000}"/>
    <cellStyle name="Normal 4 3 7 4 2 2 4 2" xfId="47180" xr:uid="{00000000-0005-0000-0000-000088A50000}"/>
    <cellStyle name="Normal 4 3 7 4 2 2 5" xfId="33618" xr:uid="{00000000-0005-0000-0000-000089A50000}"/>
    <cellStyle name="Normal 4 3 7 4 2 3" xfId="6327" xr:uid="{00000000-0005-0000-0000-00008AA50000}"/>
    <cellStyle name="Normal 4 3 7 4 2 3 2" xfId="9860" xr:uid="{00000000-0005-0000-0000-00008BA50000}"/>
    <cellStyle name="Normal 4 3 7 4 2 3 2 2" xfId="16650" xr:uid="{00000000-0005-0000-0000-00008CA50000}"/>
    <cellStyle name="Normal 4 3 7 4 2 3 2 2 2" xfId="30218" xr:uid="{00000000-0005-0000-0000-00008DA50000}"/>
    <cellStyle name="Normal 4 3 7 4 2 3 2 2 2 2" xfId="57351" xr:uid="{00000000-0005-0000-0000-00008EA50000}"/>
    <cellStyle name="Normal 4 3 7 4 2 3 2 2 3" xfId="43789" xr:uid="{00000000-0005-0000-0000-00008FA50000}"/>
    <cellStyle name="Normal 4 3 7 4 2 3 2 3" xfId="23437" xr:uid="{00000000-0005-0000-0000-000090A50000}"/>
    <cellStyle name="Normal 4 3 7 4 2 3 2 3 2" xfId="50570" xr:uid="{00000000-0005-0000-0000-000091A50000}"/>
    <cellStyle name="Normal 4 3 7 4 2 3 2 4" xfId="37008" xr:uid="{00000000-0005-0000-0000-000092A50000}"/>
    <cellStyle name="Normal 4 3 7 4 2 3 3" xfId="13261" xr:uid="{00000000-0005-0000-0000-000093A50000}"/>
    <cellStyle name="Normal 4 3 7 4 2 3 3 2" xfId="26829" xr:uid="{00000000-0005-0000-0000-000094A50000}"/>
    <cellStyle name="Normal 4 3 7 4 2 3 3 2 2" xfId="53962" xr:uid="{00000000-0005-0000-0000-000095A50000}"/>
    <cellStyle name="Normal 4 3 7 4 2 3 3 3" xfId="40400" xr:uid="{00000000-0005-0000-0000-000096A50000}"/>
    <cellStyle name="Normal 4 3 7 4 2 3 4" xfId="20048" xr:uid="{00000000-0005-0000-0000-000097A50000}"/>
    <cellStyle name="Normal 4 3 7 4 2 3 4 2" xfId="47181" xr:uid="{00000000-0005-0000-0000-000098A50000}"/>
    <cellStyle name="Normal 4 3 7 4 2 3 5" xfId="33619" xr:uid="{00000000-0005-0000-0000-000099A50000}"/>
    <cellStyle name="Normal 4 3 7 4 2 4" xfId="9858" xr:uid="{00000000-0005-0000-0000-00009AA50000}"/>
    <cellStyle name="Normal 4 3 7 4 2 4 2" xfId="16648" xr:uid="{00000000-0005-0000-0000-00009BA50000}"/>
    <cellStyle name="Normal 4 3 7 4 2 4 2 2" xfId="30216" xr:uid="{00000000-0005-0000-0000-00009CA50000}"/>
    <cellStyle name="Normal 4 3 7 4 2 4 2 2 2" xfId="57349" xr:uid="{00000000-0005-0000-0000-00009DA50000}"/>
    <cellStyle name="Normal 4 3 7 4 2 4 2 3" xfId="43787" xr:uid="{00000000-0005-0000-0000-00009EA50000}"/>
    <cellStyle name="Normal 4 3 7 4 2 4 3" xfId="23435" xr:uid="{00000000-0005-0000-0000-00009FA50000}"/>
    <cellStyle name="Normal 4 3 7 4 2 4 3 2" xfId="50568" xr:uid="{00000000-0005-0000-0000-0000A0A50000}"/>
    <cellStyle name="Normal 4 3 7 4 2 4 4" xfId="37006" xr:uid="{00000000-0005-0000-0000-0000A1A50000}"/>
    <cellStyle name="Normal 4 3 7 4 2 5" xfId="13259" xr:uid="{00000000-0005-0000-0000-0000A2A50000}"/>
    <cellStyle name="Normal 4 3 7 4 2 5 2" xfId="26827" xr:uid="{00000000-0005-0000-0000-0000A3A50000}"/>
    <cellStyle name="Normal 4 3 7 4 2 5 2 2" xfId="53960" xr:uid="{00000000-0005-0000-0000-0000A4A50000}"/>
    <cellStyle name="Normal 4 3 7 4 2 5 3" xfId="40398" xr:uid="{00000000-0005-0000-0000-0000A5A50000}"/>
    <cellStyle name="Normal 4 3 7 4 2 6" xfId="20046" xr:uid="{00000000-0005-0000-0000-0000A6A50000}"/>
    <cellStyle name="Normal 4 3 7 4 2 6 2" xfId="47179" xr:uid="{00000000-0005-0000-0000-0000A7A50000}"/>
    <cellStyle name="Normal 4 3 7 4 2 7" xfId="33617" xr:uid="{00000000-0005-0000-0000-0000A8A50000}"/>
    <cellStyle name="Normal 4 3 7 4 3" xfId="6328" xr:uid="{00000000-0005-0000-0000-0000A9A50000}"/>
    <cellStyle name="Normal 4 3 7 4 3 2" xfId="9861" xr:uid="{00000000-0005-0000-0000-0000AAA50000}"/>
    <cellStyle name="Normal 4 3 7 4 3 2 2" xfId="16651" xr:uid="{00000000-0005-0000-0000-0000ABA50000}"/>
    <cellStyle name="Normal 4 3 7 4 3 2 2 2" xfId="30219" xr:uid="{00000000-0005-0000-0000-0000ACA50000}"/>
    <cellStyle name="Normal 4 3 7 4 3 2 2 2 2" xfId="57352" xr:uid="{00000000-0005-0000-0000-0000ADA50000}"/>
    <cellStyle name="Normal 4 3 7 4 3 2 2 3" xfId="43790" xr:uid="{00000000-0005-0000-0000-0000AEA50000}"/>
    <cellStyle name="Normal 4 3 7 4 3 2 3" xfId="23438" xr:uid="{00000000-0005-0000-0000-0000AFA50000}"/>
    <cellStyle name="Normal 4 3 7 4 3 2 3 2" xfId="50571" xr:uid="{00000000-0005-0000-0000-0000B0A50000}"/>
    <cellStyle name="Normal 4 3 7 4 3 2 4" xfId="37009" xr:uid="{00000000-0005-0000-0000-0000B1A50000}"/>
    <cellStyle name="Normal 4 3 7 4 3 3" xfId="13262" xr:uid="{00000000-0005-0000-0000-0000B2A50000}"/>
    <cellStyle name="Normal 4 3 7 4 3 3 2" xfId="26830" xr:uid="{00000000-0005-0000-0000-0000B3A50000}"/>
    <cellStyle name="Normal 4 3 7 4 3 3 2 2" xfId="53963" xr:uid="{00000000-0005-0000-0000-0000B4A50000}"/>
    <cellStyle name="Normal 4 3 7 4 3 3 3" xfId="40401" xr:uid="{00000000-0005-0000-0000-0000B5A50000}"/>
    <cellStyle name="Normal 4 3 7 4 3 4" xfId="20049" xr:uid="{00000000-0005-0000-0000-0000B6A50000}"/>
    <cellStyle name="Normal 4 3 7 4 3 4 2" xfId="47182" xr:uid="{00000000-0005-0000-0000-0000B7A50000}"/>
    <cellStyle name="Normal 4 3 7 4 3 5" xfId="33620" xr:uid="{00000000-0005-0000-0000-0000B8A50000}"/>
    <cellStyle name="Normal 4 3 7 4 4" xfId="6329" xr:uid="{00000000-0005-0000-0000-0000B9A50000}"/>
    <cellStyle name="Normal 4 3 7 4 4 2" xfId="9862" xr:uid="{00000000-0005-0000-0000-0000BAA50000}"/>
    <cellStyle name="Normal 4 3 7 4 4 2 2" xfId="16652" xr:uid="{00000000-0005-0000-0000-0000BBA50000}"/>
    <cellStyle name="Normal 4 3 7 4 4 2 2 2" xfId="30220" xr:uid="{00000000-0005-0000-0000-0000BCA50000}"/>
    <cellStyle name="Normal 4 3 7 4 4 2 2 2 2" xfId="57353" xr:uid="{00000000-0005-0000-0000-0000BDA50000}"/>
    <cellStyle name="Normal 4 3 7 4 4 2 2 3" xfId="43791" xr:uid="{00000000-0005-0000-0000-0000BEA50000}"/>
    <cellStyle name="Normal 4 3 7 4 4 2 3" xfId="23439" xr:uid="{00000000-0005-0000-0000-0000BFA50000}"/>
    <cellStyle name="Normal 4 3 7 4 4 2 3 2" xfId="50572" xr:uid="{00000000-0005-0000-0000-0000C0A50000}"/>
    <cellStyle name="Normal 4 3 7 4 4 2 4" xfId="37010" xr:uid="{00000000-0005-0000-0000-0000C1A50000}"/>
    <cellStyle name="Normal 4 3 7 4 4 3" xfId="13263" xr:uid="{00000000-0005-0000-0000-0000C2A50000}"/>
    <cellStyle name="Normal 4 3 7 4 4 3 2" xfId="26831" xr:uid="{00000000-0005-0000-0000-0000C3A50000}"/>
    <cellStyle name="Normal 4 3 7 4 4 3 2 2" xfId="53964" xr:uid="{00000000-0005-0000-0000-0000C4A50000}"/>
    <cellStyle name="Normal 4 3 7 4 4 3 3" xfId="40402" xr:uid="{00000000-0005-0000-0000-0000C5A50000}"/>
    <cellStyle name="Normal 4 3 7 4 4 4" xfId="20050" xr:uid="{00000000-0005-0000-0000-0000C6A50000}"/>
    <cellStyle name="Normal 4 3 7 4 4 4 2" xfId="47183" xr:uid="{00000000-0005-0000-0000-0000C7A50000}"/>
    <cellStyle name="Normal 4 3 7 4 4 5" xfId="33621" xr:uid="{00000000-0005-0000-0000-0000C8A50000}"/>
    <cellStyle name="Normal 4 3 7 4 5" xfId="9857" xr:uid="{00000000-0005-0000-0000-0000C9A50000}"/>
    <cellStyle name="Normal 4 3 7 4 5 2" xfId="16647" xr:uid="{00000000-0005-0000-0000-0000CAA50000}"/>
    <cellStyle name="Normal 4 3 7 4 5 2 2" xfId="30215" xr:uid="{00000000-0005-0000-0000-0000CBA50000}"/>
    <cellStyle name="Normal 4 3 7 4 5 2 2 2" xfId="57348" xr:uid="{00000000-0005-0000-0000-0000CCA50000}"/>
    <cellStyle name="Normal 4 3 7 4 5 2 3" xfId="43786" xr:uid="{00000000-0005-0000-0000-0000CDA50000}"/>
    <cellStyle name="Normal 4 3 7 4 5 3" xfId="23434" xr:uid="{00000000-0005-0000-0000-0000CEA50000}"/>
    <cellStyle name="Normal 4 3 7 4 5 3 2" xfId="50567" xr:uid="{00000000-0005-0000-0000-0000CFA50000}"/>
    <cellStyle name="Normal 4 3 7 4 5 4" xfId="37005" xr:uid="{00000000-0005-0000-0000-0000D0A50000}"/>
    <cellStyle name="Normal 4 3 7 4 6" xfId="13258" xr:uid="{00000000-0005-0000-0000-0000D1A50000}"/>
    <cellStyle name="Normal 4 3 7 4 6 2" xfId="26826" xr:uid="{00000000-0005-0000-0000-0000D2A50000}"/>
    <cellStyle name="Normal 4 3 7 4 6 2 2" xfId="53959" xr:uid="{00000000-0005-0000-0000-0000D3A50000}"/>
    <cellStyle name="Normal 4 3 7 4 6 3" xfId="40397" xr:uid="{00000000-0005-0000-0000-0000D4A50000}"/>
    <cellStyle name="Normal 4 3 7 4 7" xfId="20045" xr:uid="{00000000-0005-0000-0000-0000D5A50000}"/>
    <cellStyle name="Normal 4 3 7 4 7 2" xfId="47178" xr:uid="{00000000-0005-0000-0000-0000D6A50000}"/>
    <cellStyle name="Normal 4 3 7 4 8" xfId="33616" xr:uid="{00000000-0005-0000-0000-0000D7A50000}"/>
    <cellStyle name="Normal 4 3 7 5" xfId="6330" xr:uid="{00000000-0005-0000-0000-0000D8A50000}"/>
    <cellStyle name="Normal 4 3 7 5 2" xfId="6331" xr:uid="{00000000-0005-0000-0000-0000D9A50000}"/>
    <cellStyle name="Normal 4 3 7 5 2 2" xfId="6332" xr:uid="{00000000-0005-0000-0000-0000DAA50000}"/>
    <cellStyle name="Normal 4 3 7 5 2 2 2" xfId="9865" xr:uid="{00000000-0005-0000-0000-0000DBA50000}"/>
    <cellStyle name="Normal 4 3 7 5 2 2 2 2" xfId="16655" xr:uid="{00000000-0005-0000-0000-0000DCA50000}"/>
    <cellStyle name="Normal 4 3 7 5 2 2 2 2 2" xfId="30223" xr:uid="{00000000-0005-0000-0000-0000DDA50000}"/>
    <cellStyle name="Normal 4 3 7 5 2 2 2 2 2 2" xfId="57356" xr:uid="{00000000-0005-0000-0000-0000DEA50000}"/>
    <cellStyle name="Normal 4 3 7 5 2 2 2 2 3" xfId="43794" xr:uid="{00000000-0005-0000-0000-0000DFA50000}"/>
    <cellStyle name="Normal 4 3 7 5 2 2 2 3" xfId="23442" xr:uid="{00000000-0005-0000-0000-0000E0A50000}"/>
    <cellStyle name="Normal 4 3 7 5 2 2 2 3 2" xfId="50575" xr:uid="{00000000-0005-0000-0000-0000E1A50000}"/>
    <cellStyle name="Normal 4 3 7 5 2 2 2 4" xfId="37013" xr:uid="{00000000-0005-0000-0000-0000E2A50000}"/>
    <cellStyle name="Normal 4 3 7 5 2 2 3" xfId="13266" xr:uid="{00000000-0005-0000-0000-0000E3A50000}"/>
    <cellStyle name="Normal 4 3 7 5 2 2 3 2" xfId="26834" xr:uid="{00000000-0005-0000-0000-0000E4A50000}"/>
    <cellStyle name="Normal 4 3 7 5 2 2 3 2 2" xfId="53967" xr:uid="{00000000-0005-0000-0000-0000E5A50000}"/>
    <cellStyle name="Normal 4 3 7 5 2 2 3 3" xfId="40405" xr:uid="{00000000-0005-0000-0000-0000E6A50000}"/>
    <cellStyle name="Normal 4 3 7 5 2 2 4" xfId="20053" xr:uid="{00000000-0005-0000-0000-0000E7A50000}"/>
    <cellStyle name="Normal 4 3 7 5 2 2 4 2" xfId="47186" xr:uid="{00000000-0005-0000-0000-0000E8A50000}"/>
    <cellStyle name="Normal 4 3 7 5 2 2 5" xfId="33624" xr:uid="{00000000-0005-0000-0000-0000E9A50000}"/>
    <cellStyle name="Normal 4 3 7 5 2 3" xfId="6333" xr:uid="{00000000-0005-0000-0000-0000EAA50000}"/>
    <cellStyle name="Normal 4 3 7 5 2 3 2" xfId="9866" xr:uid="{00000000-0005-0000-0000-0000EBA50000}"/>
    <cellStyle name="Normal 4 3 7 5 2 3 2 2" xfId="16656" xr:uid="{00000000-0005-0000-0000-0000ECA50000}"/>
    <cellStyle name="Normal 4 3 7 5 2 3 2 2 2" xfId="30224" xr:uid="{00000000-0005-0000-0000-0000EDA50000}"/>
    <cellStyle name="Normal 4 3 7 5 2 3 2 2 2 2" xfId="57357" xr:uid="{00000000-0005-0000-0000-0000EEA50000}"/>
    <cellStyle name="Normal 4 3 7 5 2 3 2 2 3" xfId="43795" xr:uid="{00000000-0005-0000-0000-0000EFA50000}"/>
    <cellStyle name="Normal 4 3 7 5 2 3 2 3" xfId="23443" xr:uid="{00000000-0005-0000-0000-0000F0A50000}"/>
    <cellStyle name="Normal 4 3 7 5 2 3 2 3 2" xfId="50576" xr:uid="{00000000-0005-0000-0000-0000F1A50000}"/>
    <cellStyle name="Normal 4 3 7 5 2 3 2 4" xfId="37014" xr:uid="{00000000-0005-0000-0000-0000F2A50000}"/>
    <cellStyle name="Normal 4 3 7 5 2 3 3" xfId="13267" xr:uid="{00000000-0005-0000-0000-0000F3A50000}"/>
    <cellStyle name="Normal 4 3 7 5 2 3 3 2" xfId="26835" xr:uid="{00000000-0005-0000-0000-0000F4A50000}"/>
    <cellStyle name="Normal 4 3 7 5 2 3 3 2 2" xfId="53968" xr:uid="{00000000-0005-0000-0000-0000F5A50000}"/>
    <cellStyle name="Normal 4 3 7 5 2 3 3 3" xfId="40406" xr:uid="{00000000-0005-0000-0000-0000F6A50000}"/>
    <cellStyle name="Normal 4 3 7 5 2 3 4" xfId="20054" xr:uid="{00000000-0005-0000-0000-0000F7A50000}"/>
    <cellStyle name="Normal 4 3 7 5 2 3 4 2" xfId="47187" xr:uid="{00000000-0005-0000-0000-0000F8A50000}"/>
    <cellStyle name="Normal 4 3 7 5 2 3 5" xfId="33625" xr:uid="{00000000-0005-0000-0000-0000F9A50000}"/>
    <cellStyle name="Normal 4 3 7 5 2 4" xfId="9864" xr:uid="{00000000-0005-0000-0000-0000FAA50000}"/>
    <cellStyle name="Normal 4 3 7 5 2 4 2" xfId="16654" xr:uid="{00000000-0005-0000-0000-0000FBA50000}"/>
    <cellStyle name="Normal 4 3 7 5 2 4 2 2" xfId="30222" xr:uid="{00000000-0005-0000-0000-0000FCA50000}"/>
    <cellStyle name="Normal 4 3 7 5 2 4 2 2 2" xfId="57355" xr:uid="{00000000-0005-0000-0000-0000FDA50000}"/>
    <cellStyle name="Normal 4 3 7 5 2 4 2 3" xfId="43793" xr:uid="{00000000-0005-0000-0000-0000FEA50000}"/>
    <cellStyle name="Normal 4 3 7 5 2 4 3" xfId="23441" xr:uid="{00000000-0005-0000-0000-0000FFA50000}"/>
    <cellStyle name="Normal 4 3 7 5 2 4 3 2" xfId="50574" xr:uid="{00000000-0005-0000-0000-000000A60000}"/>
    <cellStyle name="Normal 4 3 7 5 2 4 4" xfId="37012" xr:uid="{00000000-0005-0000-0000-000001A60000}"/>
    <cellStyle name="Normal 4 3 7 5 2 5" xfId="13265" xr:uid="{00000000-0005-0000-0000-000002A60000}"/>
    <cellStyle name="Normal 4 3 7 5 2 5 2" xfId="26833" xr:uid="{00000000-0005-0000-0000-000003A60000}"/>
    <cellStyle name="Normal 4 3 7 5 2 5 2 2" xfId="53966" xr:uid="{00000000-0005-0000-0000-000004A60000}"/>
    <cellStyle name="Normal 4 3 7 5 2 5 3" xfId="40404" xr:uid="{00000000-0005-0000-0000-000005A60000}"/>
    <cellStyle name="Normal 4 3 7 5 2 6" xfId="20052" xr:uid="{00000000-0005-0000-0000-000006A60000}"/>
    <cellStyle name="Normal 4 3 7 5 2 6 2" xfId="47185" xr:uid="{00000000-0005-0000-0000-000007A60000}"/>
    <cellStyle name="Normal 4 3 7 5 2 7" xfId="33623" xr:uid="{00000000-0005-0000-0000-000008A60000}"/>
    <cellStyle name="Normal 4 3 7 5 3" xfId="6334" xr:uid="{00000000-0005-0000-0000-000009A60000}"/>
    <cellStyle name="Normal 4 3 7 5 3 2" xfId="9867" xr:uid="{00000000-0005-0000-0000-00000AA60000}"/>
    <cellStyle name="Normal 4 3 7 5 3 2 2" xfId="16657" xr:uid="{00000000-0005-0000-0000-00000BA60000}"/>
    <cellStyle name="Normal 4 3 7 5 3 2 2 2" xfId="30225" xr:uid="{00000000-0005-0000-0000-00000CA60000}"/>
    <cellStyle name="Normal 4 3 7 5 3 2 2 2 2" xfId="57358" xr:uid="{00000000-0005-0000-0000-00000DA60000}"/>
    <cellStyle name="Normal 4 3 7 5 3 2 2 3" xfId="43796" xr:uid="{00000000-0005-0000-0000-00000EA60000}"/>
    <cellStyle name="Normal 4 3 7 5 3 2 3" xfId="23444" xr:uid="{00000000-0005-0000-0000-00000FA60000}"/>
    <cellStyle name="Normal 4 3 7 5 3 2 3 2" xfId="50577" xr:uid="{00000000-0005-0000-0000-000010A60000}"/>
    <cellStyle name="Normal 4 3 7 5 3 2 4" xfId="37015" xr:uid="{00000000-0005-0000-0000-000011A60000}"/>
    <cellStyle name="Normal 4 3 7 5 3 3" xfId="13268" xr:uid="{00000000-0005-0000-0000-000012A60000}"/>
    <cellStyle name="Normal 4 3 7 5 3 3 2" xfId="26836" xr:uid="{00000000-0005-0000-0000-000013A60000}"/>
    <cellStyle name="Normal 4 3 7 5 3 3 2 2" xfId="53969" xr:uid="{00000000-0005-0000-0000-000014A60000}"/>
    <cellStyle name="Normal 4 3 7 5 3 3 3" xfId="40407" xr:uid="{00000000-0005-0000-0000-000015A60000}"/>
    <cellStyle name="Normal 4 3 7 5 3 4" xfId="20055" xr:uid="{00000000-0005-0000-0000-000016A60000}"/>
    <cellStyle name="Normal 4 3 7 5 3 4 2" xfId="47188" xr:uid="{00000000-0005-0000-0000-000017A60000}"/>
    <cellStyle name="Normal 4 3 7 5 3 5" xfId="33626" xr:uid="{00000000-0005-0000-0000-000018A60000}"/>
    <cellStyle name="Normal 4 3 7 5 4" xfId="6335" xr:uid="{00000000-0005-0000-0000-000019A60000}"/>
    <cellStyle name="Normal 4 3 7 5 4 2" xfId="9868" xr:uid="{00000000-0005-0000-0000-00001AA60000}"/>
    <cellStyle name="Normal 4 3 7 5 4 2 2" xfId="16658" xr:uid="{00000000-0005-0000-0000-00001BA60000}"/>
    <cellStyle name="Normal 4 3 7 5 4 2 2 2" xfId="30226" xr:uid="{00000000-0005-0000-0000-00001CA60000}"/>
    <cellStyle name="Normal 4 3 7 5 4 2 2 2 2" xfId="57359" xr:uid="{00000000-0005-0000-0000-00001DA60000}"/>
    <cellStyle name="Normal 4 3 7 5 4 2 2 3" xfId="43797" xr:uid="{00000000-0005-0000-0000-00001EA60000}"/>
    <cellStyle name="Normal 4 3 7 5 4 2 3" xfId="23445" xr:uid="{00000000-0005-0000-0000-00001FA60000}"/>
    <cellStyle name="Normal 4 3 7 5 4 2 3 2" xfId="50578" xr:uid="{00000000-0005-0000-0000-000020A60000}"/>
    <cellStyle name="Normal 4 3 7 5 4 2 4" xfId="37016" xr:uid="{00000000-0005-0000-0000-000021A60000}"/>
    <cellStyle name="Normal 4 3 7 5 4 3" xfId="13269" xr:uid="{00000000-0005-0000-0000-000022A60000}"/>
    <cellStyle name="Normal 4 3 7 5 4 3 2" xfId="26837" xr:uid="{00000000-0005-0000-0000-000023A60000}"/>
    <cellStyle name="Normal 4 3 7 5 4 3 2 2" xfId="53970" xr:uid="{00000000-0005-0000-0000-000024A60000}"/>
    <cellStyle name="Normal 4 3 7 5 4 3 3" xfId="40408" xr:uid="{00000000-0005-0000-0000-000025A60000}"/>
    <cellStyle name="Normal 4 3 7 5 4 4" xfId="20056" xr:uid="{00000000-0005-0000-0000-000026A60000}"/>
    <cellStyle name="Normal 4 3 7 5 4 4 2" xfId="47189" xr:uid="{00000000-0005-0000-0000-000027A60000}"/>
    <cellStyle name="Normal 4 3 7 5 4 5" xfId="33627" xr:uid="{00000000-0005-0000-0000-000028A60000}"/>
    <cellStyle name="Normal 4 3 7 5 5" xfId="9863" xr:uid="{00000000-0005-0000-0000-000029A60000}"/>
    <cellStyle name="Normal 4 3 7 5 5 2" xfId="16653" xr:uid="{00000000-0005-0000-0000-00002AA60000}"/>
    <cellStyle name="Normal 4 3 7 5 5 2 2" xfId="30221" xr:uid="{00000000-0005-0000-0000-00002BA60000}"/>
    <cellStyle name="Normal 4 3 7 5 5 2 2 2" xfId="57354" xr:uid="{00000000-0005-0000-0000-00002CA60000}"/>
    <cellStyle name="Normal 4 3 7 5 5 2 3" xfId="43792" xr:uid="{00000000-0005-0000-0000-00002DA60000}"/>
    <cellStyle name="Normal 4 3 7 5 5 3" xfId="23440" xr:uid="{00000000-0005-0000-0000-00002EA60000}"/>
    <cellStyle name="Normal 4 3 7 5 5 3 2" xfId="50573" xr:uid="{00000000-0005-0000-0000-00002FA60000}"/>
    <cellStyle name="Normal 4 3 7 5 5 4" xfId="37011" xr:uid="{00000000-0005-0000-0000-000030A60000}"/>
    <cellStyle name="Normal 4 3 7 5 6" xfId="13264" xr:uid="{00000000-0005-0000-0000-000031A60000}"/>
    <cellStyle name="Normal 4 3 7 5 6 2" xfId="26832" xr:uid="{00000000-0005-0000-0000-000032A60000}"/>
    <cellStyle name="Normal 4 3 7 5 6 2 2" xfId="53965" xr:uid="{00000000-0005-0000-0000-000033A60000}"/>
    <cellStyle name="Normal 4 3 7 5 6 3" xfId="40403" xr:uid="{00000000-0005-0000-0000-000034A60000}"/>
    <cellStyle name="Normal 4 3 7 5 7" xfId="20051" xr:uid="{00000000-0005-0000-0000-000035A60000}"/>
    <cellStyle name="Normal 4 3 7 5 7 2" xfId="47184" xr:uid="{00000000-0005-0000-0000-000036A60000}"/>
    <cellStyle name="Normal 4 3 7 5 8" xfId="33622" xr:uid="{00000000-0005-0000-0000-000037A60000}"/>
    <cellStyle name="Normal 4 3 7 6" xfId="6336" xr:uid="{00000000-0005-0000-0000-000038A60000}"/>
    <cellStyle name="Normal 4 3 7 6 2" xfId="6337" xr:uid="{00000000-0005-0000-0000-000039A60000}"/>
    <cellStyle name="Normal 4 3 7 6 2 2" xfId="9870" xr:uid="{00000000-0005-0000-0000-00003AA60000}"/>
    <cellStyle name="Normal 4 3 7 6 2 2 2" xfId="16660" xr:uid="{00000000-0005-0000-0000-00003BA60000}"/>
    <cellStyle name="Normal 4 3 7 6 2 2 2 2" xfId="30228" xr:uid="{00000000-0005-0000-0000-00003CA60000}"/>
    <cellStyle name="Normal 4 3 7 6 2 2 2 2 2" xfId="57361" xr:uid="{00000000-0005-0000-0000-00003DA60000}"/>
    <cellStyle name="Normal 4 3 7 6 2 2 2 3" xfId="43799" xr:uid="{00000000-0005-0000-0000-00003EA60000}"/>
    <cellStyle name="Normal 4 3 7 6 2 2 3" xfId="23447" xr:uid="{00000000-0005-0000-0000-00003FA60000}"/>
    <cellStyle name="Normal 4 3 7 6 2 2 3 2" xfId="50580" xr:uid="{00000000-0005-0000-0000-000040A60000}"/>
    <cellStyle name="Normal 4 3 7 6 2 2 4" xfId="37018" xr:uid="{00000000-0005-0000-0000-000041A60000}"/>
    <cellStyle name="Normal 4 3 7 6 2 3" xfId="13271" xr:uid="{00000000-0005-0000-0000-000042A60000}"/>
    <cellStyle name="Normal 4 3 7 6 2 3 2" xfId="26839" xr:uid="{00000000-0005-0000-0000-000043A60000}"/>
    <cellStyle name="Normal 4 3 7 6 2 3 2 2" xfId="53972" xr:uid="{00000000-0005-0000-0000-000044A60000}"/>
    <cellStyle name="Normal 4 3 7 6 2 3 3" xfId="40410" xr:uid="{00000000-0005-0000-0000-000045A60000}"/>
    <cellStyle name="Normal 4 3 7 6 2 4" xfId="20058" xr:uid="{00000000-0005-0000-0000-000046A60000}"/>
    <cellStyle name="Normal 4 3 7 6 2 4 2" xfId="47191" xr:uid="{00000000-0005-0000-0000-000047A60000}"/>
    <cellStyle name="Normal 4 3 7 6 2 5" xfId="33629" xr:uid="{00000000-0005-0000-0000-000048A60000}"/>
    <cellStyle name="Normal 4 3 7 6 3" xfId="6338" xr:uid="{00000000-0005-0000-0000-000049A60000}"/>
    <cellStyle name="Normal 4 3 7 6 3 2" xfId="9871" xr:uid="{00000000-0005-0000-0000-00004AA60000}"/>
    <cellStyle name="Normal 4 3 7 6 3 2 2" xfId="16661" xr:uid="{00000000-0005-0000-0000-00004BA60000}"/>
    <cellStyle name="Normal 4 3 7 6 3 2 2 2" xfId="30229" xr:uid="{00000000-0005-0000-0000-00004CA60000}"/>
    <cellStyle name="Normal 4 3 7 6 3 2 2 2 2" xfId="57362" xr:uid="{00000000-0005-0000-0000-00004DA60000}"/>
    <cellStyle name="Normal 4 3 7 6 3 2 2 3" xfId="43800" xr:uid="{00000000-0005-0000-0000-00004EA60000}"/>
    <cellStyle name="Normal 4 3 7 6 3 2 3" xfId="23448" xr:uid="{00000000-0005-0000-0000-00004FA60000}"/>
    <cellStyle name="Normal 4 3 7 6 3 2 3 2" xfId="50581" xr:uid="{00000000-0005-0000-0000-000050A60000}"/>
    <cellStyle name="Normal 4 3 7 6 3 2 4" xfId="37019" xr:uid="{00000000-0005-0000-0000-000051A60000}"/>
    <cellStyle name="Normal 4 3 7 6 3 3" xfId="13272" xr:uid="{00000000-0005-0000-0000-000052A60000}"/>
    <cellStyle name="Normal 4 3 7 6 3 3 2" xfId="26840" xr:uid="{00000000-0005-0000-0000-000053A60000}"/>
    <cellStyle name="Normal 4 3 7 6 3 3 2 2" xfId="53973" xr:uid="{00000000-0005-0000-0000-000054A60000}"/>
    <cellStyle name="Normal 4 3 7 6 3 3 3" xfId="40411" xr:uid="{00000000-0005-0000-0000-000055A60000}"/>
    <cellStyle name="Normal 4 3 7 6 3 4" xfId="20059" xr:uid="{00000000-0005-0000-0000-000056A60000}"/>
    <cellStyle name="Normal 4 3 7 6 3 4 2" xfId="47192" xr:uid="{00000000-0005-0000-0000-000057A60000}"/>
    <cellStyle name="Normal 4 3 7 6 3 5" xfId="33630" xr:uid="{00000000-0005-0000-0000-000058A60000}"/>
    <cellStyle name="Normal 4 3 7 6 4" xfId="9869" xr:uid="{00000000-0005-0000-0000-000059A60000}"/>
    <cellStyle name="Normal 4 3 7 6 4 2" xfId="16659" xr:uid="{00000000-0005-0000-0000-00005AA60000}"/>
    <cellStyle name="Normal 4 3 7 6 4 2 2" xfId="30227" xr:uid="{00000000-0005-0000-0000-00005BA60000}"/>
    <cellStyle name="Normal 4 3 7 6 4 2 2 2" xfId="57360" xr:uid="{00000000-0005-0000-0000-00005CA60000}"/>
    <cellStyle name="Normal 4 3 7 6 4 2 3" xfId="43798" xr:uid="{00000000-0005-0000-0000-00005DA60000}"/>
    <cellStyle name="Normal 4 3 7 6 4 3" xfId="23446" xr:uid="{00000000-0005-0000-0000-00005EA60000}"/>
    <cellStyle name="Normal 4 3 7 6 4 3 2" xfId="50579" xr:uid="{00000000-0005-0000-0000-00005FA60000}"/>
    <cellStyle name="Normal 4 3 7 6 4 4" xfId="37017" xr:uid="{00000000-0005-0000-0000-000060A60000}"/>
    <cellStyle name="Normal 4 3 7 6 5" xfId="13270" xr:uid="{00000000-0005-0000-0000-000061A60000}"/>
    <cellStyle name="Normal 4 3 7 6 5 2" xfId="26838" xr:uid="{00000000-0005-0000-0000-000062A60000}"/>
    <cellStyle name="Normal 4 3 7 6 5 2 2" xfId="53971" xr:uid="{00000000-0005-0000-0000-000063A60000}"/>
    <cellStyle name="Normal 4 3 7 6 5 3" xfId="40409" xr:uid="{00000000-0005-0000-0000-000064A60000}"/>
    <cellStyle name="Normal 4 3 7 6 6" xfId="20057" xr:uid="{00000000-0005-0000-0000-000065A60000}"/>
    <cellStyle name="Normal 4 3 7 6 6 2" xfId="47190" xr:uid="{00000000-0005-0000-0000-000066A60000}"/>
    <cellStyle name="Normal 4 3 7 6 7" xfId="33628" xr:uid="{00000000-0005-0000-0000-000067A60000}"/>
    <cellStyle name="Normal 4 3 7 7" xfId="6339" xr:uid="{00000000-0005-0000-0000-000068A60000}"/>
    <cellStyle name="Normal 4 3 7 7 2" xfId="6340" xr:uid="{00000000-0005-0000-0000-000069A60000}"/>
    <cellStyle name="Normal 4 3 7 7 2 2" xfId="9873" xr:uid="{00000000-0005-0000-0000-00006AA60000}"/>
    <cellStyle name="Normal 4 3 7 7 2 2 2" xfId="16663" xr:uid="{00000000-0005-0000-0000-00006BA60000}"/>
    <cellStyle name="Normal 4 3 7 7 2 2 2 2" xfId="30231" xr:uid="{00000000-0005-0000-0000-00006CA60000}"/>
    <cellStyle name="Normal 4 3 7 7 2 2 2 2 2" xfId="57364" xr:uid="{00000000-0005-0000-0000-00006DA60000}"/>
    <cellStyle name="Normal 4 3 7 7 2 2 2 3" xfId="43802" xr:uid="{00000000-0005-0000-0000-00006EA60000}"/>
    <cellStyle name="Normal 4 3 7 7 2 2 3" xfId="23450" xr:uid="{00000000-0005-0000-0000-00006FA60000}"/>
    <cellStyle name="Normal 4 3 7 7 2 2 3 2" xfId="50583" xr:uid="{00000000-0005-0000-0000-000070A60000}"/>
    <cellStyle name="Normal 4 3 7 7 2 2 4" xfId="37021" xr:uid="{00000000-0005-0000-0000-000071A60000}"/>
    <cellStyle name="Normal 4 3 7 7 2 3" xfId="13274" xr:uid="{00000000-0005-0000-0000-000072A60000}"/>
    <cellStyle name="Normal 4 3 7 7 2 3 2" xfId="26842" xr:uid="{00000000-0005-0000-0000-000073A60000}"/>
    <cellStyle name="Normal 4 3 7 7 2 3 2 2" xfId="53975" xr:uid="{00000000-0005-0000-0000-000074A60000}"/>
    <cellStyle name="Normal 4 3 7 7 2 3 3" xfId="40413" xr:uid="{00000000-0005-0000-0000-000075A60000}"/>
    <cellStyle name="Normal 4 3 7 7 2 4" xfId="20061" xr:uid="{00000000-0005-0000-0000-000076A60000}"/>
    <cellStyle name="Normal 4 3 7 7 2 4 2" xfId="47194" xr:uid="{00000000-0005-0000-0000-000077A60000}"/>
    <cellStyle name="Normal 4 3 7 7 2 5" xfId="33632" xr:uid="{00000000-0005-0000-0000-000078A60000}"/>
    <cellStyle name="Normal 4 3 7 7 3" xfId="9872" xr:uid="{00000000-0005-0000-0000-000079A60000}"/>
    <cellStyle name="Normal 4 3 7 7 3 2" xfId="16662" xr:uid="{00000000-0005-0000-0000-00007AA60000}"/>
    <cellStyle name="Normal 4 3 7 7 3 2 2" xfId="30230" xr:uid="{00000000-0005-0000-0000-00007BA60000}"/>
    <cellStyle name="Normal 4 3 7 7 3 2 2 2" xfId="57363" xr:uid="{00000000-0005-0000-0000-00007CA60000}"/>
    <cellStyle name="Normal 4 3 7 7 3 2 3" xfId="43801" xr:uid="{00000000-0005-0000-0000-00007DA60000}"/>
    <cellStyle name="Normal 4 3 7 7 3 3" xfId="23449" xr:uid="{00000000-0005-0000-0000-00007EA60000}"/>
    <cellStyle name="Normal 4 3 7 7 3 3 2" xfId="50582" xr:uid="{00000000-0005-0000-0000-00007FA60000}"/>
    <cellStyle name="Normal 4 3 7 7 3 4" xfId="37020" xr:uid="{00000000-0005-0000-0000-000080A60000}"/>
    <cellStyle name="Normal 4 3 7 7 4" xfId="13273" xr:uid="{00000000-0005-0000-0000-000081A60000}"/>
    <cellStyle name="Normal 4 3 7 7 4 2" xfId="26841" xr:uid="{00000000-0005-0000-0000-000082A60000}"/>
    <cellStyle name="Normal 4 3 7 7 4 2 2" xfId="53974" xr:uid="{00000000-0005-0000-0000-000083A60000}"/>
    <cellStyle name="Normal 4 3 7 7 4 3" xfId="40412" xr:uid="{00000000-0005-0000-0000-000084A60000}"/>
    <cellStyle name="Normal 4 3 7 7 5" xfId="20060" xr:uid="{00000000-0005-0000-0000-000085A60000}"/>
    <cellStyle name="Normal 4 3 7 7 5 2" xfId="47193" xr:uid="{00000000-0005-0000-0000-000086A60000}"/>
    <cellStyle name="Normal 4 3 7 7 6" xfId="33631" xr:uid="{00000000-0005-0000-0000-000087A60000}"/>
    <cellStyle name="Normal 4 3 7 8" xfId="6341" xr:uid="{00000000-0005-0000-0000-000088A60000}"/>
    <cellStyle name="Normal 4 3 7 8 2" xfId="9874" xr:uid="{00000000-0005-0000-0000-000089A60000}"/>
    <cellStyle name="Normal 4 3 7 8 2 2" xfId="16664" xr:uid="{00000000-0005-0000-0000-00008AA60000}"/>
    <cellStyle name="Normal 4 3 7 8 2 2 2" xfId="30232" xr:uid="{00000000-0005-0000-0000-00008BA60000}"/>
    <cellStyle name="Normal 4 3 7 8 2 2 2 2" xfId="57365" xr:uid="{00000000-0005-0000-0000-00008CA60000}"/>
    <cellStyle name="Normal 4 3 7 8 2 2 3" xfId="43803" xr:uid="{00000000-0005-0000-0000-00008DA60000}"/>
    <cellStyle name="Normal 4 3 7 8 2 3" xfId="23451" xr:uid="{00000000-0005-0000-0000-00008EA60000}"/>
    <cellStyle name="Normal 4 3 7 8 2 3 2" xfId="50584" xr:uid="{00000000-0005-0000-0000-00008FA60000}"/>
    <cellStyle name="Normal 4 3 7 8 2 4" xfId="37022" xr:uid="{00000000-0005-0000-0000-000090A60000}"/>
    <cellStyle name="Normal 4 3 7 8 3" xfId="13275" xr:uid="{00000000-0005-0000-0000-000091A60000}"/>
    <cellStyle name="Normal 4 3 7 8 3 2" xfId="26843" xr:uid="{00000000-0005-0000-0000-000092A60000}"/>
    <cellStyle name="Normal 4 3 7 8 3 2 2" xfId="53976" xr:uid="{00000000-0005-0000-0000-000093A60000}"/>
    <cellStyle name="Normal 4 3 7 8 3 3" xfId="40414" xr:uid="{00000000-0005-0000-0000-000094A60000}"/>
    <cellStyle name="Normal 4 3 7 8 4" xfId="20062" xr:uid="{00000000-0005-0000-0000-000095A60000}"/>
    <cellStyle name="Normal 4 3 7 8 4 2" xfId="47195" xr:uid="{00000000-0005-0000-0000-000096A60000}"/>
    <cellStyle name="Normal 4 3 7 8 5" xfId="33633" xr:uid="{00000000-0005-0000-0000-000097A60000}"/>
    <cellStyle name="Normal 4 3 7 9" xfId="6342" xr:uid="{00000000-0005-0000-0000-000098A60000}"/>
    <cellStyle name="Normal 4 3 7 9 2" xfId="9875" xr:uid="{00000000-0005-0000-0000-000099A60000}"/>
    <cellStyle name="Normal 4 3 7 9 2 2" xfId="16665" xr:uid="{00000000-0005-0000-0000-00009AA60000}"/>
    <cellStyle name="Normal 4 3 7 9 2 2 2" xfId="30233" xr:uid="{00000000-0005-0000-0000-00009BA60000}"/>
    <cellStyle name="Normal 4 3 7 9 2 2 2 2" xfId="57366" xr:uid="{00000000-0005-0000-0000-00009CA60000}"/>
    <cellStyle name="Normal 4 3 7 9 2 2 3" xfId="43804" xr:uid="{00000000-0005-0000-0000-00009DA60000}"/>
    <cellStyle name="Normal 4 3 7 9 2 3" xfId="23452" xr:uid="{00000000-0005-0000-0000-00009EA60000}"/>
    <cellStyle name="Normal 4 3 7 9 2 3 2" xfId="50585" xr:uid="{00000000-0005-0000-0000-00009FA60000}"/>
    <cellStyle name="Normal 4 3 7 9 2 4" xfId="37023" xr:uid="{00000000-0005-0000-0000-0000A0A60000}"/>
    <cellStyle name="Normal 4 3 7 9 3" xfId="13276" xr:uid="{00000000-0005-0000-0000-0000A1A60000}"/>
    <cellStyle name="Normal 4 3 7 9 3 2" xfId="26844" xr:uid="{00000000-0005-0000-0000-0000A2A60000}"/>
    <cellStyle name="Normal 4 3 7 9 3 2 2" xfId="53977" xr:uid="{00000000-0005-0000-0000-0000A3A60000}"/>
    <cellStyle name="Normal 4 3 7 9 3 3" xfId="40415" xr:uid="{00000000-0005-0000-0000-0000A4A60000}"/>
    <cellStyle name="Normal 4 3 7 9 4" xfId="20063" xr:uid="{00000000-0005-0000-0000-0000A5A60000}"/>
    <cellStyle name="Normal 4 3 7 9 4 2" xfId="47196" xr:uid="{00000000-0005-0000-0000-0000A6A60000}"/>
    <cellStyle name="Normal 4 3 7 9 5" xfId="33634" xr:uid="{00000000-0005-0000-0000-0000A7A60000}"/>
    <cellStyle name="Normal 4 3 8" xfId="6343" xr:uid="{00000000-0005-0000-0000-0000A8A60000}"/>
    <cellStyle name="Normal 4 3 8 10" xfId="33635" xr:uid="{00000000-0005-0000-0000-0000A9A60000}"/>
    <cellStyle name="Normal 4 3 8 2" xfId="6344" xr:uid="{00000000-0005-0000-0000-0000AAA60000}"/>
    <cellStyle name="Normal 4 3 8 2 2" xfId="6345" xr:uid="{00000000-0005-0000-0000-0000ABA60000}"/>
    <cellStyle name="Normal 4 3 8 2 2 2" xfId="6346" xr:uid="{00000000-0005-0000-0000-0000ACA60000}"/>
    <cellStyle name="Normal 4 3 8 2 2 2 2" xfId="9879" xr:uid="{00000000-0005-0000-0000-0000ADA60000}"/>
    <cellStyle name="Normal 4 3 8 2 2 2 2 2" xfId="16669" xr:uid="{00000000-0005-0000-0000-0000AEA60000}"/>
    <cellStyle name="Normal 4 3 8 2 2 2 2 2 2" xfId="30237" xr:uid="{00000000-0005-0000-0000-0000AFA60000}"/>
    <cellStyle name="Normal 4 3 8 2 2 2 2 2 2 2" xfId="57370" xr:uid="{00000000-0005-0000-0000-0000B0A60000}"/>
    <cellStyle name="Normal 4 3 8 2 2 2 2 2 3" xfId="43808" xr:uid="{00000000-0005-0000-0000-0000B1A60000}"/>
    <cellStyle name="Normal 4 3 8 2 2 2 2 3" xfId="23456" xr:uid="{00000000-0005-0000-0000-0000B2A60000}"/>
    <cellStyle name="Normal 4 3 8 2 2 2 2 3 2" xfId="50589" xr:uid="{00000000-0005-0000-0000-0000B3A60000}"/>
    <cellStyle name="Normal 4 3 8 2 2 2 2 4" xfId="37027" xr:uid="{00000000-0005-0000-0000-0000B4A60000}"/>
    <cellStyle name="Normal 4 3 8 2 2 2 3" xfId="13280" xr:uid="{00000000-0005-0000-0000-0000B5A60000}"/>
    <cellStyle name="Normal 4 3 8 2 2 2 3 2" xfId="26848" xr:uid="{00000000-0005-0000-0000-0000B6A60000}"/>
    <cellStyle name="Normal 4 3 8 2 2 2 3 2 2" xfId="53981" xr:uid="{00000000-0005-0000-0000-0000B7A60000}"/>
    <cellStyle name="Normal 4 3 8 2 2 2 3 3" xfId="40419" xr:uid="{00000000-0005-0000-0000-0000B8A60000}"/>
    <cellStyle name="Normal 4 3 8 2 2 2 4" xfId="20067" xr:uid="{00000000-0005-0000-0000-0000B9A60000}"/>
    <cellStyle name="Normal 4 3 8 2 2 2 4 2" xfId="47200" xr:uid="{00000000-0005-0000-0000-0000BAA60000}"/>
    <cellStyle name="Normal 4 3 8 2 2 2 5" xfId="33638" xr:uid="{00000000-0005-0000-0000-0000BBA60000}"/>
    <cellStyle name="Normal 4 3 8 2 2 3" xfId="6347" xr:uid="{00000000-0005-0000-0000-0000BCA60000}"/>
    <cellStyle name="Normal 4 3 8 2 2 3 2" xfId="9880" xr:uid="{00000000-0005-0000-0000-0000BDA60000}"/>
    <cellStyle name="Normal 4 3 8 2 2 3 2 2" xfId="16670" xr:uid="{00000000-0005-0000-0000-0000BEA60000}"/>
    <cellStyle name="Normal 4 3 8 2 2 3 2 2 2" xfId="30238" xr:uid="{00000000-0005-0000-0000-0000BFA60000}"/>
    <cellStyle name="Normal 4 3 8 2 2 3 2 2 2 2" xfId="57371" xr:uid="{00000000-0005-0000-0000-0000C0A60000}"/>
    <cellStyle name="Normal 4 3 8 2 2 3 2 2 3" xfId="43809" xr:uid="{00000000-0005-0000-0000-0000C1A60000}"/>
    <cellStyle name="Normal 4 3 8 2 2 3 2 3" xfId="23457" xr:uid="{00000000-0005-0000-0000-0000C2A60000}"/>
    <cellStyle name="Normal 4 3 8 2 2 3 2 3 2" xfId="50590" xr:uid="{00000000-0005-0000-0000-0000C3A60000}"/>
    <cellStyle name="Normal 4 3 8 2 2 3 2 4" xfId="37028" xr:uid="{00000000-0005-0000-0000-0000C4A60000}"/>
    <cellStyle name="Normal 4 3 8 2 2 3 3" xfId="13281" xr:uid="{00000000-0005-0000-0000-0000C5A60000}"/>
    <cellStyle name="Normal 4 3 8 2 2 3 3 2" xfId="26849" xr:uid="{00000000-0005-0000-0000-0000C6A60000}"/>
    <cellStyle name="Normal 4 3 8 2 2 3 3 2 2" xfId="53982" xr:uid="{00000000-0005-0000-0000-0000C7A60000}"/>
    <cellStyle name="Normal 4 3 8 2 2 3 3 3" xfId="40420" xr:uid="{00000000-0005-0000-0000-0000C8A60000}"/>
    <cellStyle name="Normal 4 3 8 2 2 3 4" xfId="20068" xr:uid="{00000000-0005-0000-0000-0000C9A60000}"/>
    <cellStyle name="Normal 4 3 8 2 2 3 4 2" xfId="47201" xr:uid="{00000000-0005-0000-0000-0000CAA60000}"/>
    <cellStyle name="Normal 4 3 8 2 2 3 5" xfId="33639" xr:uid="{00000000-0005-0000-0000-0000CBA60000}"/>
    <cellStyle name="Normal 4 3 8 2 2 4" xfId="9878" xr:uid="{00000000-0005-0000-0000-0000CCA60000}"/>
    <cellStyle name="Normal 4 3 8 2 2 4 2" xfId="16668" xr:uid="{00000000-0005-0000-0000-0000CDA60000}"/>
    <cellStyle name="Normal 4 3 8 2 2 4 2 2" xfId="30236" xr:uid="{00000000-0005-0000-0000-0000CEA60000}"/>
    <cellStyle name="Normal 4 3 8 2 2 4 2 2 2" xfId="57369" xr:uid="{00000000-0005-0000-0000-0000CFA60000}"/>
    <cellStyle name="Normal 4 3 8 2 2 4 2 3" xfId="43807" xr:uid="{00000000-0005-0000-0000-0000D0A60000}"/>
    <cellStyle name="Normal 4 3 8 2 2 4 3" xfId="23455" xr:uid="{00000000-0005-0000-0000-0000D1A60000}"/>
    <cellStyle name="Normal 4 3 8 2 2 4 3 2" xfId="50588" xr:uid="{00000000-0005-0000-0000-0000D2A60000}"/>
    <cellStyle name="Normal 4 3 8 2 2 4 4" xfId="37026" xr:uid="{00000000-0005-0000-0000-0000D3A60000}"/>
    <cellStyle name="Normal 4 3 8 2 2 5" xfId="13279" xr:uid="{00000000-0005-0000-0000-0000D4A60000}"/>
    <cellStyle name="Normal 4 3 8 2 2 5 2" xfId="26847" xr:uid="{00000000-0005-0000-0000-0000D5A60000}"/>
    <cellStyle name="Normal 4 3 8 2 2 5 2 2" xfId="53980" xr:uid="{00000000-0005-0000-0000-0000D6A60000}"/>
    <cellStyle name="Normal 4 3 8 2 2 5 3" xfId="40418" xr:uid="{00000000-0005-0000-0000-0000D7A60000}"/>
    <cellStyle name="Normal 4 3 8 2 2 6" xfId="20066" xr:uid="{00000000-0005-0000-0000-0000D8A60000}"/>
    <cellStyle name="Normal 4 3 8 2 2 6 2" xfId="47199" xr:uid="{00000000-0005-0000-0000-0000D9A60000}"/>
    <cellStyle name="Normal 4 3 8 2 2 7" xfId="33637" xr:uid="{00000000-0005-0000-0000-0000DAA60000}"/>
    <cellStyle name="Normal 4 3 8 2 3" xfId="6348" xr:uid="{00000000-0005-0000-0000-0000DBA60000}"/>
    <cellStyle name="Normal 4 3 8 2 3 2" xfId="6349" xr:uid="{00000000-0005-0000-0000-0000DCA60000}"/>
    <cellStyle name="Normal 4 3 8 2 3 2 2" xfId="9882" xr:uid="{00000000-0005-0000-0000-0000DDA60000}"/>
    <cellStyle name="Normal 4 3 8 2 3 2 2 2" xfId="16672" xr:uid="{00000000-0005-0000-0000-0000DEA60000}"/>
    <cellStyle name="Normal 4 3 8 2 3 2 2 2 2" xfId="30240" xr:uid="{00000000-0005-0000-0000-0000DFA60000}"/>
    <cellStyle name="Normal 4 3 8 2 3 2 2 2 2 2" xfId="57373" xr:uid="{00000000-0005-0000-0000-0000E0A60000}"/>
    <cellStyle name="Normal 4 3 8 2 3 2 2 2 3" xfId="43811" xr:uid="{00000000-0005-0000-0000-0000E1A60000}"/>
    <cellStyle name="Normal 4 3 8 2 3 2 2 3" xfId="23459" xr:uid="{00000000-0005-0000-0000-0000E2A60000}"/>
    <cellStyle name="Normal 4 3 8 2 3 2 2 3 2" xfId="50592" xr:uid="{00000000-0005-0000-0000-0000E3A60000}"/>
    <cellStyle name="Normal 4 3 8 2 3 2 2 4" xfId="37030" xr:uid="{00000000-0005-0000-0000-0000E4A60000}"/>
    <cellStyle name="Normal 4 3 8 2 3 2 3" xfId="13283" xr:uid="{00000000-0005-0000-0000-0000E5A60000}"/>
    <cellStyle name="Normal 4 3 8 2 3 2 3 2" xfId="26851" xr:uid="{00000000-0005-0000-0000-0000E6A60000}"/>
    <cellStyle name="Normal 4 3 8 2 3 2 3 2 2" xfId="53984" xr:uid="{00000000-0005-0000-0000-0000E7A60000}"/>
    <cellStyle name="Normal 4 3 8 2 3 2 3 3" xfId="40422" xr:uid="{00000000-0005-0000-0000-0000E8A60000}"/>
    <cellStyle name="Normal 4 3 8 2 3 2 4" xfId="20070" xr:uid="{00000000-0005-0000-0000-0000E9A60000}"/>
    <cellStyle name="Normal 4 3 8 2 3 2 4 2" xfId="47203" xr:uid="{00000000-0005-0000-0000-0000EAA60000}"/>
    <cellStyle name="Normal 4 3 8 2 3 2 5" xfId="33641" xr:uid="{00000000-0005-0000-0000-0000EBA60000}"/>
    <cellStyle name="Normal 4 3 8 2 3 3" xfId="9881" xr:uid="{00000000-0005-0000-0000-0000ECA60000}"/>
    <cellStyle name="Normal 4 3 8 2 3 3 2" xfId="16671" xr:uid="{00000000-0005-0000-0000-0000EDA60000}"/>
    <cellStyle name="Normal 4 3 8 2 3 3 2 2" xfId="30239" xr:uid="{00000000-0005-0000-0000-0000EEA60000}"/>
    <cellStyle name="Normal 4 3 8 2 3 3 2 2 2" xfId="57372" xr:uid="{00000000-0005-0000-0000-0000EFA60000}"/>
    <cellStyle name="Normal 4 3 8 2 3 3 2 3" xfId="43810" xr:uid="{00000000-0005-0000-0000-0000F0A60000}"/>
    <cellStyle name="Normal 4 3 8 2 3 3 3" xfId="23458" xr:uid="{00000000-0005-0000-0000-0000F1A60000}"/>
    <cellStyle name="Normal 4 3 8 2 3 3 3 2" xfId="50591" xr:uid="{00000000-0005-0000-0000-0000F2A60000}"/>
    <cellStyle name="Normal 4 3 8 2 3 3 4" xfId="37029" xr:uid="{00000000-0005-0000-0000-0000F3A60000}"/>
    <cellStyle name="Normal 4 3 8 2 3 4" xfId="13282" xr:uid="{00000000-0005-0000-0000-0000F4A60000}"/>
    <cellStyle name="Normal 4 3 8 2 3 4 2" xfId="26850" xr:uid="{00000000-0005-0000-0000-0000F5A60000}"/>
    <cellStyle name="Normal 4 3 8 2 3 4 2 2" xfId="53983" xr:uid="{00000000-0005-0000-0000-0000F6A60000}"/>
    <cellStyle name="Normal 4 3 8 2 3 4 3" xfId="40421" xr:uid="{00000000-0005-0000-0000-0000F7A60000}"/>
    <cellStyle name="Normal 4 3 8 2 3 5" xfId="20069" xr:uid="{00000000-0005-0000-0000-0000F8A60000}"/>
    <cellStyle name="Normal 4 3 8 2 3 5 2" xfId="47202" xr:uid="{00000000-0005-0000-0000-0000F9A60000}"/>
    <cellStyle name="Normal 4 3 8 2 3 6" xfId="33640" xr:uid="{00000000-0005-0000-0000-0000FAA60000}"/>
    <cellStyle name="Normal 4 3 8 2 4" xfId="6350" xr:uid="{00000000-0005-0000-0000-0000FBA60000}"/>
    <cellStyle name="Normal 4 3 8 2 4 2" xfId="9883" xr:uid="{00000000-0005-0000-0000-0000FCA60000}"/>
    <cellStyle name="Normal 4 3 8 2 4 2 2" xfId="16673" xr:uid="{00000000-0005-0000-0000-0000FDA60000}"/>
    <cellStyle name="Normal 4 3 8 2 4 2 2 2" xfId="30241" xr:uid="{00000000-0005-0000-0000-0000FEA60000}"/>
    <cellStyle name="Normal 4 3 8 2 4 2 2 2 2" xfId="57374" xr:uid="{00000000-0005-0000-0000-0000FFA60000}"/>
    <cellStyle name="Normal 4 3 8 2 4 2 2 3" xfId="43812" xr:uid="{00000000-0005-0000-0000-000000A70000}"/>
    <cellStyle name="Normal 4 3 8 2 4 2 3" xfId="23460" xr:uid="{00000000-0005-0000-0000-000001A70000}"/>
    <cellStyle name="Normal 4 3 8 2 4 2 3 2" xfId="50593" xr:uid="{00000000-0005-0000-0000-000002A70000}"/>
    <cellStyle name="Normal 4 3 8 2 4 2 4" xfId="37031" xr:uid="{00000000-0005-0000-0000-000003A70000}"/>
    <cellStyle name="Normal 4 3 8 2 4 3" xfId="13284" xr:uid="{00000000-0005-0000-0000-000004A70000}"/>
    <cellStyle name="Normal 4 3 8 2 4 3 2" xfId="26852" xr:uid="{00000000-0005-0000-0000-000005A70000}"/>
    <cellStyle name="Normal 4 3 8 2 4 3 2 2" xfId="53985" xr:uid="{00000000-0005-0000-0000-000006A70000}"/>
    <cellStyle name="Normal 4 3 8 2 4 3 3" xfId="40423" xr:uid="{00000000-0005-0000-0000-000007A70000}"/>
    <cellStyle name="Normal 4 3 8 2 4 4" xfId="20071" xr:uid="{00000000-0005-0000-0000-000008A70000}"/>
    <cellStyle name="Normal 4 3 8 2 4 4 2" xfId="47204" xr:uid="{00000000-0005-0000-0000-000009A70000}"/>
    <cellStyle name="Normal 4 3 8 2 4 5" xfId="33642" xr:uid="{00000000-0005-0000-0000-00000AA70000}"/>
    <cellStyle name="Normal 4 3 8 2 5" xfId="6351" xr:uid="{00000000-0005-0000-0000-00000BA70000}"/>
    <cellStyle name="Normal 4 3 8 2 5 2" xfId="9884" xr:uid="{00000000-0005-0000-0000-00000CA70000}"/>
    <cellStyle name="Normal 4 3 8 2 5 2 2" xfId="16674" xr:uid="{00000000-0005-0000-0000-00000DA70000}"/>
    <cellStyle name="Normal 4 3 8 2 5 2 2 2" xfId="30242" xr:uid="{00000000-0005-0000-0000-00000EA70000}"/>
    <cellStyle name="Normal 4 3 8 2 5 2 2 2 2" xfId="57375" xr:uid="{00000000-0005-0000-0000-00000FA70000}"/>
    <cellStyle name="Normal 4 3 8 2 5 2 2 3" xfId="43813" xr:uid="{00000000-0005-0000-0000-000010A70000}"/>
    <cellStyle name="Normal 4 3 8 2 5 2 3" xfId="23461" xr:uid="{00000000-0005-0000-0000-000011A70000}"/>
    <cellStyle name="Normal 4 3 8 2 5 2 3 2" xfId="50594" xr:uid="{00000000-0005-0000-0000-000012A70000}"/>
    <cellStyle name="Normal 4 3 8 2 5 2 4" xfId="37032" xr:uid="{00000000-0005-0000-0000-000013A70000}"/>
    <cellStyle name="Normal 4 3 8 2 5 3" xfId="13285" xr:uid="{00000000-0005-0000-0000-000014A70000}"/>
    <cellStyle name="Normal 4 3 8 2 5 3 2" xfId="26853" xr:uid="{00000000-0005-0000-0000-000015A70000}"/>
    <cellStyle name="Normal 4 3 8 2 5 3 2 2" xfId="53986" xr:uid="{00000000-0005-0000-0000-000016A70000}"/>
    <cellStyle name="Normal 4 3 8 2 5 3 3" xfId="40424" xr:uid="{00000000-0005-0000-0000-000017A70000}"/>
    <cellStyle name="Normal 4 3 8 2 5 4" xfId="20072" xr:uid="{00000000-0005-0000-0000-000018A70000}"/>
    <cellStyle name="Normal 4 3 8 2 5 4 2" xfId="47205" xr:uid="{00000000-0005-0000-0000-000019A70000}"/>
    <cellStyle name="Normal 4 3 8 2 5 5" xfId="33643" xr:uid="{00000000-0005-0000-0000-00001AA70000}"/>
    <cellStyle name="Normal 4 3 8 2 6" xfId="9877" xr:uid="{00000000-0005-0000-0000-00001BA70000}"/>
    <cellStyle name="Normal 4 3 8 2 6 2" xfId="16667" xr:uid="{00000000-0005-0000-0000-00001CA70000}"/>
    <cellStyle name="Normal 4 3 8 2 6 2 2" xfId="30235" xr:uid="{00000000-0005-0000-0000-00001DA70000}"/>
    <cellStyle name="Normal 4 3 8 2 6 2 2 2" xfId="57368" xr:uid="{00000000-0005-0000-0000-00001EA70000}"/>
    <cellStyle name="Normal 4 3 8 2 6 2 3" xfId="43806" xr:uid="{00000000-0005-0000-0000-00001FA70000}"/>
    <cellStyle name="Normal 4 3 8 2 6 3" xfId="23454" xr:uid="{00000000-0005-0000-0000-000020A70000}"/>
    <cellStyle name="Normal 4 3 8 2 6 3 2" xfId="50587" xr:uid="{00000000-0005-0000-0000-000021A70000}"/>
    <cellStyle name="Normal 4 3 8 2 6 4" xfId="37025" xr:uid="{00000000-0005-0000-0000-000022A70000}"/>
    <cellStyle name="Normal 4 3 8 2 7" xfId="13278" xr:uid="{00000000-0005-0000-0000-000023A70000}"/>
    <cellStyle name="Normal 4 3 8 2 7 2" xfId="26846" xr:uid="{00000000-0005-0000-0000-000024A70000}"/>
    <cellStyle name="Normal 4 3 8 2 7 2 2" xfId="53979" xr:uid="{00000000-0005-0000-0000-000025A70000}"/>
    <cellStyle name="Normal 4 3 8 2 7 3" xfId="40417" xr:uid="{00000000-0005-0000-0000-000026A70000}"/>
    <cellStyle name="Normal 4 3 8 2 8" xfId="20065" xr:uid="{00000000-0005-0000-0000-000027A70000}"/>
    <cellStyle name="Normal 4 3 8 2 8 2" xfId="47198" xr:uid="{00000000-0005-0000-0000-000028A70000}"/>
    <cellStyle name="Normal 4 3 8 2 9" xfId="33636" xr:uid="{00000000-0005-0000-0000-000029A70000}"/>
    <cellStyle name="Normal 4 3 8 3" xfId="6352" xr:uid="{00000000-0005-0000-0000-00002AA70000}"/>
    <cellStyle name="Normal 4 3 8 3 2" xfId="6353" xr:uid="{00000000-0005-0000-0000-00002BA70000}"/>
    <cellStyle name="Normal 4 3 8 3 2 2" xfId="9886" xr:uid="{00000000-0005-0000-0000-00002CA70000}"/>
    <cellStyle name="Normal 4 3 8 3 2 2 2" xfId="16676" xr:uid="{00000000-0005-0000-0000-00002DA70000}"/>
    <cellStyle name="Normal 4 3 8 3 2 2 2 2" xfId="30244" xr:uid="{00000000-0005-0000-0000-00002EA70000}"/>
    <cellStyle name="Normal 4 3 8 3 2 2 2 2 2" xfId="57377" xr:uid="{00000000-0005-0000-0000-00002FA70000}"/>
    <cellStyle name="Normal 4 3 8 3 2 2 2 3" xfId="43815" xr:uid="{00000000-0005-0000-0000-000030A70000}"/>
    <cellStyle name="Normal 4 3 8 3 2 2 3" xfId="23463" xr:uid="{00000000-0005-0000-0000-000031A70000}"/>
    <cellStyle name="Normal 4 3 8 3 2 2 3 2" xfId="50596" xr:uid="{00000000-0005-0000-0000-000032A70000}"/>
    <cellStyle name="Normal 4 3 8 3 2 2 4" xfId="37034" xr:uid="{00000000-0005-0000-0000-000033A70000}"/>
    <cellStyle name="Normal 4 3 8 3 2 3" xfId="13287" xr:uid="{00000000-0005-0000-0000-000034A70000}"/>
    <cellStyle name="Normal 4 3 8 3 2 3 2" xfId="26855" xr:uid="{00000000-0005-0000-0000-000035A70000}"/>
    <cellStyle name="Normal 4 3 8 3 2 3 2 2" xfId="53988" xr:uid="{00000000-0005-0000-0000-000036A70000}"/>
    <cellStyle name="Normal 4 3 8 3 2 3 3" xfId="40426" xr:uid="{00000000-0005-0000-0000-000037A70000}"/>
    <cellStyle name="Normal 4 3 8 3 2 4" xfId="20074" xr:uid="{00000000-0005-0000-0000-000038A70000}"/>
    <cellStyle name="Normal 4 3 8 3 2 4 2" xfId="47207" xr:uid="{00000000-0005-0000-0000-000039A70000}"/>
    <cellStyle name="Normal 4 3 8 3 2 5" xfId="33645" xr:uid="{00000000-0005-0000-0000-00003AA70000}"/>
    <cellStyle name="Normal 4 3 8 3 3" xfId="6354" xr:uid="{00000000-0005-0000-0000-00003BA70000}"/>
    <cellStyle name="Normal 4 3 8 3 3 2" xfId="9887" xr:uid="{00000000-0005-0000-0000-00003CA70000}"/>
    <cellStyle name="Normal 4 3 8 3 3 2 2" xfId="16677" xr:uid="{00000000-0005-0000-0000-00003DA70000}"/>
    <cellStyle name="Normal 4 3 8 3 3 2 2 2" xfId="30245" xr:uid="{00000000-0005-0000-0000-00003EA70000}"/>
    <cellStyle name="Normal 4 3 8 3 3 2 2 2 2" xfId="57378" xr:uid="{00000000-0005-0000-0000-00003FA70000}"/>
    <cellStyle name="Normal 4 3 8 3 3 2 2 3" xfId="43816" xr:uid="{00000000-0005-0000-0000-000040A70000}"/>
    <cellStyle name="Normal 4 3 8 3 3 2 3" xfId="23464" xr:uid="{00000000-0005-0000-0000-000041A70000}"/>
    <cellStyle name="Normal 4 3 8 3 3 2 3 2" xfId="50597" xr:uid="{00000000-0005-0000-0000-000042A70000}"/>
    <cellStyle name="Normal 4 3 8 3 3 2 4" xfId="37035" xr:uid="{00000000-0005-0000-0000-000043A70000}"/>
    <cellStyle name="Normal 4 3 8 3 3 3" xfId="13288" xr:uid="{00000000-0005-0000-0000-000044A70000}"/>
    <cellStyle name="Normal 4 3 8 3 3 3 2" xfId="26856" xr:uid="{00000000-0005-0000-0000-000045A70000}"/>
    <cellStyle name="Normal 4 3 8 3 3 3 2 2" xfId="53989" xr:uid="{00000000-0005-0000-0000-000046A70000}"/>
    <cellStyle name="Normal 4 3 8 3 3 3 3" xfId="40427" xr:uid="{00000000-0005-0000-0000-000047A70000}"/>
    <cellStyle name="Normal 4 3 8 3 3 4" xfId="20075" xr:uid="{00000000-0005-0000-0000-000048A70000}"/>
    <cellStyle name="Normal 4 3 8 3 3 4 2" xfId="47208" xr:uid="{00000000-0005-0000-0000-000049A70000}"/>
    <cellStyle name="Normal 4 3 8 3 3 5" xfId="33646" xr:uid="{00000000-0005-0000-0000-00004AA70000}"/>
    <cellStyle name="Normal 4 3 8 3 4" xfId="9885" xr:uid="{00000000-0005-0000-0000-00004BA70000}"/>
    <cellStyle name="Normal 4 3 8 3 4 2" xfId="16675" xr:uid="{00000000-0005-0000-0000-00004CA70000}"/>
    <cellStyle name="Normal 4 3 8 3 4 2 2" xfId="30243" xr:uid="{00000000-0005-0000-0000-00004DA70000}"/>
    <cellStyle name="Normal 4 3 8 3 4 2 2 2" xfId="57376" xr:uid="{00000000-0005-0000-0000-00004EA70000}"/>
    <cellStyle name="Normal 4 3 8 3 4 2 3" xfId="43814" xr:uid="{00000000-0005-0000-0000-00004FA70000}"/>
    <cellStyle name="Normal 4 3 8 3 4 3" xfId="23462" xr:uid="{00000000-0005-0000-0000-000050A70000}"/>
    <cellStyle name="Normal 4 3 8 3 4 3 2" xfId="50595" xr:uid="{00000000-0005-0000-0000-000051A70000}"/>
    <cellStyle name="Normal 4 3 8 3 4 4" xfId="37033" xr:uid="{00000000-0005-0000-0000-000052A70000}"/>
    <cellStyle name="Normal 4 3 8 3 5" xfId="13286" xr:uid="{00000000-0005-0000-0000-000053A70000}"/>
    <cellStyle name="Normal 4 3 8 3 5 2" xfId="26854" xr:uid="{00000000-0005-0000-0000-000054A70000}"/>
    <cellStyle name="Normal 4 3 8 3 5 2 2" xfId="53987" xr:uid="{00000000-0005-0000-0000-000055A70000}"/>
    <cellStyle name="Normal 4 3 8 3 5 3" xfId="40425" xr:uid="{00000000-0005-0000-0000-000056A70000}"/>
    <cellStyle name="Normal 4 3 8 3 6" xfId="20073" xr:uid="{00000000-0005-0000-0000-000057A70000}"/>
    <cellStyle name="Normal 4 3 8 3 6 2" xfId="47206" xr:uid="{00000000-0005-0000-0000-000058A70000}"/>
    <cellStyle name="Normal 4 3 8 3 7" xfId="33644" xr:uid="{00000000-0005-0000-0000-000059A70000}"/>
    <cellStyle name="Normal 4 3 8 4" xfId="6355" xr:uid="{00000000-0005-0000-0000-00005AA70000}"/>
    <cellStyle name="Normal 4 3 8 4 2" xfId="6356" xr:uid="{00000000-0005-0000-0000-00005BA70000}"/>
    <cellStyle name="Normal 4 3 8 4 2 2" xfId="9889" xr:uid="{00000000-0005-0000-0000-00005CA70000}"/>
    <cellStyle name="Normal 4 3 8 4 2 2 2" xfId="16679" xr:uid="{00000000-0005-0000-0000-00005DA70000}"/>
    <cellStyle name="Normal 4 3 8 4 2 2 2 2" xfId="30247" xr:uid="{00000000-0005-0000-0000-00005EA70000}"/>
    <cellStyle name="Normal 4 3 8 4 2 2 2 2 2" xfId="57380" xr:uid="{00000000-0005-0000-0000-00005FA70000}"/>
    <cellStyle name="Normal 4 3 8 4 2 2 2 3" xfId="43818" xr:uid="{00000000-0005-0000-0000-000060A70000}"/>
    <cellStyle name="Normal 4 3 8 4 2 2 3" xfId="23466" xr:uid="{00000000-0005-0000-0000-000061A70000}"/>
    <cellStyle name="Normal 4 3 8 4 2 2 3 2" xfId="50599" xr:uid="{00000000-0005-0000-0000-000062A70000}"/>
    <cellStyle name="Normal 4 3 8 4 2 2 4" xfId="37037" xr:uid="{00000000-0005-0000-0000-000063A70000}"/>
    <cellStyle name="Normal 4 3 8 4 2 3" xfId="13290" xr:uid="{00000000-0005-0000-0000-000064A70000}"/>
    <cellStyle name="Normal 4 3 8 4 2 3 2" xfId="26858" xr:uid="{00000000-0005-0000-0000-000065A70000}"/>
    <cellStyle name="Normal 4 3 8 4 2 3 2 2" xfId="53991" xr:uid="{00000000-0005-0000-0000-000066A70000}"/>
    <cellStyle name="Normal 4 3 8 4 2 3 3" xfId="40429" xr:uid="{00000000-0005-0000-0000-000067A70000}"/>
    <cellStyle name="Normal 4 3 8 4 2 4" xfId="20077" xr:uid="{00000000-0005-0000-0000-000068A70000}"/>
    <cellStyle name="Normal 4 3 8 4 2 4 2" xfId="47210" xr:uid="{00000000-0005-0000-0000-000069A70000}"/>
    <cellStyle name="Normal 4 3 8 4 2 5" xfId="33648" xr:uid="{00000000-0005-0000-0000-00006AA70000}"/>
    <cellStyle name="Normal 4 3 8 4 3" xfId="9888" xr:uid="{00000000-0005-0000-0000-00006BA70000}"/>
    <cellStyle name="Normal 4 3 8 4 3 2" xfId="16678" xr:uid="{00000000-0005-0000-0000-00006CA70000}"/>
    <cellStyle name="Normal 4 3 8 4 3 2 2" xfId="30246" xr:uid="{00000000-0005-0000-0000-00006DA70000}"/>
    <cellStyle name="Normal 4 3 8 4 3 2 2 2" xfId="57379" xr:uid="{00000000-0005-0000-0000-00006EA70000}"/>
    <cellStyle name="Normal 4 3 8 4 3 2 3" xfId="43817" xr:uid="{00000000-0005-0000-0000-00006FA70000}"/>
    <cellStyle name="Normal 4 3 8 4 3 3" xfId="23465" xr:uid="{00000000-0005-0000-0000-000070A70000}"/>
    <cellStyle name="Normal 4 3 8 4 3 3 2" xfId="50598" xr:uid="{00000000-0005-0000-0000-000071A70000}"/>
    <cellStyle name="Normal 4 3 8 4 3 4" xfId="37036" xr:uid="{00000000-0005-0000-0000-000072A70000}"/>
    <cellStyle name="Normal 4 3 8 4 4" xfId="13289" xr:uid="{00000000-0005-0000-0000-000073A70000}"/>
    <cellStyle name="Normal 4 3 8 4 4 2" xfId="26857" xr:uid="{00000000-0005-0000-0000-000074A70000}"/>
    <cellStyle name="Normal 4 3 8 4 4 2 2" xfId="53990" xr:uid="{00000000-0005-0000-0000-000075A70000}"/>
    <cellStyle name="Normal 4 3 8 4 4 3" xfId="40428" xr:uid="{00000000-0005-0000-0000-000076A70000}"/>
    <cellStyle name="Normal 4 3 8 4 5" xfId="20076" xr:uid="{00000000-0005-0000-0000-000077A70000}"/>
    <cellStyle name="Normal 4 3 8 4 5 2" xfId="47209" xr:uid="{00000000-0005-0000-0000-000078A70000}"/>
    <cellStyle name="Normal 4 3 8 4 6" xfId="33647" xr:uid="{00000000-0005-0000-0000-000079A70000}"/>
    <cellStyle name="Normal 4 3 8 5" xfId="6357" xr:uid="{00000000-0005-0000-0000-00007AA70000}"/>
    <cellStyle name="Normal 4 3 8 5 2" xfId="9890" xr:uid="{00000000-0005-0000-0000-00007BA70000}"/>
    <cellStyle name="Normal 4 3 8 5 2 2" xfId="16680" xr:uid="{00000000-0005-0000-0000-00007CA70000}"/>
    <cellStyle name="Normal 4 3 8 5 2 2 2" xfId="30248" xr:uid="{00000000-0005-0000-0000-00007DA70000}"/>
    <cellStyle name="Normal 4 3 8 5 2 2 2 2" xfId="57381" xr:uid="{00000000-0005-0000-0000-00007EA70000}"/>
    <cellStyle name="Normal 4 3 8 5 2 2 3" xfId="43819" xr:uid="{00000000-0005-0000-0000-00007FA70000}"/>
    <cellStyle name="Normal 4 3 8 5 2 3" xfId="23467" xr:uid="{00000000-0005-0000-0000-000080A70000}"/>
    <cellStyle name="Normal 4 3 8 5 2 3 2" xfId="50600" xr:uid="{00000000-0005-0000-0000-000081A70000}"/>
    <cellStyle name="Normal 4 3 8 5 2 4" xfId="37038" xr:uid="{00000000-0005-0000-0000-000082A70000}"/>
    <cellStyle name="Normal 4 3 8 5 3" xfId="13291" xr:uid="{00000000-0005-0000-0000-000083A70000}"/>
    <cellStyle name="Normal 4 3 8 5 3 2" xfId="26859" xr:uid="{00000000-0005-0000-0000-000084A70000}"/>
    <cellStyle name="Normal 4 3 8 5 3 2 2" xfId="53992" xr:uid="{00000000-0005-0000-0000-000085A70000}"/>
    <cellStyle name="Normal 4 3 8 5 3 3" xfId="40430" xr:uid="{00000000-0005-0000-0000-000086A70000}"/>
    <cellStyle name="Normal 4 3 8 5 4" xfId="20078" xr:uid="{00000000-0005-0000-0000-000087A70000}"/>
    <cellStyle name="Normal 4 3 8 5 4 2" xfId="47211" xr:uid="{00000000-0005-0000-0000-000088A70000}"/>
    <cellStyle name="Normal 4 3 8 5 5" xfId="33649" xr:uid="{00000000-0005-0000-0000-000089A70000}"/>
    <cellStyle name="Normal 4 3 8 6" xfId="6358" xr:uid="{00000000-0005-0000-0000-00008AA70000}"/>
    <cellStyle name="Normal 4 3 8 6 2" xfId="9891" xr:uid="{00000000-0005-0000-0000-00008BA70000}"/>
    <cellStyle name="Normal 4 3 8 6 2 2" xfId="16681" xr:uid="{00000000-0005-0000-0000-00008CA70000}"/>
    <cellStyle name="Normal 4 3 8 6 2 2 2" xfId="30249" xr:uid="{00000000-0005-0000-0000-00008DA70000}"/>
    <cellStyle name="Normal 4 3 8 6 2 2 2 2" xfId="57382" xr:uid="{00000000-0005-0000-0000-00008EA70000}"/>
    <cellStyle name="Normal 4 3 8 6 2 2 3" xfId="43820" xr:uid="{00000000-0005-0000-0000-00008FA70000}"/>
    <cellStyle name="Normal 4 3 8 6 2 3" xfId="23468" xr:uid="{00000000-0005-0000-0000-000090A70000}"/>
    <cellStyle name="Normal 4 3 8 6 2 3 2" xfId="50601" xr:uid="{00000000-0005-0000-0000-000091A70000}"/>
    <cellStyle name="Normal 4 3 8 6 2 4" xfId="37039" xr:uid="{00000000-0005-0000-0000-000092A70000}"/>
    <cellStyle name="Normal 4 3 8 6 3" xfId="13292" xr:uid="{00000000-0005-0000-0000-000093A70000}"/>
    <cellStyle name="Normal 4 3 8 6 3 2" xfId="26860" xr:uid="{00000000-0005-0000-0000-000094A70000}"/>
    <cellStyle name="Normal 4 3 8 6 3 2 2" xfId="53993" xr:uid="{00000000-0005-0000-0000-000095A70000}"/>
    <cellStyle name="Normal 4 3 8 6 3 3" xfId="40431" xr:uid="{00000000-0005-0000-0000-000096A70000}"/>
    <cellStyle name="Normal 4 3 8 6 4" xfId="20079" xr:uid="{00000000-0005-0000-0000-000097A70000}"/>
    <cellStyle name="Normal 4 3 8 6 4 2" xfId="47212" xr:uid="{00000000-0005-0000-0000-000098A70000}"/>
    <cellStyle name="Normal 4 3 8 6 5" xfId="33650" xr:uid="{00000000-0005-0000-0000-000099A70000}"/>
    <cellStyle name="Normal 4 3 8 7" xfId="9876" xr:uid="{00000000-0005-0000-0000-00009AA70000}"/>
    <cellStyle name="Normal 4 3 8 7 2" xfId="16666" xr:uid="{00000000-0005-0000-0000-00009BA70000}"/>
    <cellStyle name="Normal 4 3 8 7 2 2" xfId="30234" xr:uid="{00000000-0005-0000-0000-00009CA70000}"/>
    <cellStyle name="Normal 4 3 8 7 2 2 2" xfId="57367" xr:uid="{00000000-0005-0000-0000-00009DA70000}"/>
    <cellStyle name="Normal 4 3 8 7 2 3" xfId="43805" xr:uid="{00000000-0005-0000-0000-00009EA70000}"/>
    <cellStyle name="Normal 4 3 8 7 3" xfId="23453" xr:uid="{00000000-0005-0000-0000-00009FA70000}"/>
    <cellStyle name="Normal 4 3 8 7 3 2" xfId="50586" xr:uid="{00000000-0005-0000-0000-0000A0A70000}"/>
    <cellStyle name="Normal 4 3 8 7 4" xfId="37024" xr:uid="{00000000-0005-0000-0000-0000A1A70000}"/>
    <cellStyle name="Normal 4 3 8 8" xfId="13277" xr:uid="{00000000-0005-0000-0000-0000A2A70000}"/>
    <cellStyle name="Normal 4 3 8 8 2" xfId="26845" xr:uid="{00000000-0005-0000-0000-0000A3A70000}"/>
    <cellStyle name="Normal 4 3 8 8 2 2" xfId="53978" xr:uid="{00000000-0005-0000-0000-0000A4A70000}"/>
    <cellStyle name="Normal 4 3 8 8 3" xfId="40416" xr:uid="{00000000-0005-0000-0000-0000A5A70000}"/>
    <cellStyle name="Normal 4 3 8 9" xfId="20064" xr:uid="{00000000-0005-0000-0000-0000A6A70000}"/>
    <cellStyle name="Normal 4 3 8 9 2" xfId="47197" xr:uid="{00000000-0005-0000-0000-0000A7A70000}"/>
    <cellStyle name="Normal 4 3 9" xfId="6359" xr:uid="{00000000-0005-0000-0000-0000A8A70000}"/>
    <cellStyle name="Normal 4 3 9 2" xfId="6360" xr:uid="{00000000-0005-0000-0000-0000A9A70000}"/>
    <cellStyle name="Normal 4 3 9 2 2" xfId="6361" xr:uid="{00000000-0005-0000-0000-0000AAA70000}"/>
    <cellStyle name="Normal 4 3 9 2 2 2" xfId="9894" xr:uid="{00000000-0005-0000-0000-0000ABA70000}"/>
    <cellStyle name="Normal 4 3 9 2 2 2 2" xfId="16684" xr:uid="{00000000-0005-0000-0000-0000ACA70000}"/>
    <cellStyle name="Normal 4 3 9 2 2 2 2 2" xfId="30252" xr:uid="{00000000-0005-0000-0000-0000ADA70000}"/>
    <cellStyle name="Normal 4 3 9 2 2 2 2 2 2" xfId="57385" xr:uid="{00000000-0005-0000-0000-0000AEA70000}"/>
    <cellStyle name="Normal 4 3 9 2 2 2 2 3" xfId="43823" xr:uid="{00000000-0005-0000-0000-0000AFA70000}"/>
    <cellStyle name="Normal 4 3 9 2 2 2 3" xfId="23471" xr:uid="{00000000-0005-0000-0000-0000B0A70000}"/>
    <cellStyle name="Normal 4 3 9 2 2 2 3 2" xfId="50604" xr:uid="{00000000-0005-0000-0000-0000B1A70000}"/>
    <cellStyle name="Normal 4 3 9 2 2 2 4" xfId="37042" xr:uid="{00000000-0005-0000-0000-0000B2A70000}"/>
    <cellStyle name="Normal 4 3 9 2 2 3" xfId="13295" xr:uid="{00000000-0005-0000-0000-0000B3A70000}"/>
    <cellStyle name="Normal 4 3 9 2 2 3 2" xfId="26863" xr:uid="{00000000-0005-0000-0000-0000B4A70000}"/>
    <cellStyle name="Normal 4 3 9 2 2 3 2 2" xfId="53996" xr:uid="{00000000-0005-0000-0000-0000B5A70000}"/>
    <cellStyle name="Normal 4 3 9 2 2 3 3" xfId="40434" xr:uid="{00000000-0005-0000-0000-0000B6A70000}"/>
    <cellStyle name="Normal 4 3 9 2 2 4" xfId="20082" xr:uid="{00000000-0005-0000-0000-0000B7A70000}"/>
    <cellStyle name="Normal 4 3 9 2 2 4 2" xfId="47215" xr:uid="{00000000-0005-0000-0000-0000B8A70000}"/>
    <cellStyle name="Normal 4 3 9 2 2 5" xfId="33653" xr:uid="{00000000-0005-0000-0000-0000B9A70000}"/>
    <cellStyle name="Normal 4 3 9 2 3" xfId="6362" xr:uid="{00000000-0005-0000-0000-0000BAA70000}"/>
    <cellStyle name="Normal 4 3 9 2 3 2" xfId="9895" xr:uid="{00000000-0005-0000-0000-0000BBA70000}"/>
    <cellStyle name="Normal 4 3 9 2 3 2 2" xfId="16685" xr:uid="{00000000-0005-0000-0000-0000BCA70000}"/>
    <cellStyle name="Normal 4 3 9 2 3 2 2 2" xfId="30253" xr:uid="{00000000-0005-0000-0000-0000BDA70000}"/>
    <cellStyle name="Normal 4 3 9 2 3 2 2 2 2" xfId="57386" xr:uid="{00000000-0005-0000-0000-0000BEA70000}"/>
    <cellStyle name="Normal 4 3 9 2 3 2 2 3" xfId="43824" xr:uid="{00000000-0005-0000-0000-0000BFA70000}"/>
    <cellStyle name="Normal 4 3 9 2 3 2 3" xfId="23472" xr:uid="{00000000-0005-0000-0000-0000C0A70000}"/>
    <cellStyle name="Normal 4 3 9 2 3 2 3 2" xfId="50605" xr:uid="{00000000-0005-0000-0000-0000C1A70000}"/>
    <cellStyle name="Normal 4 3 9 2 3 2 4" xfId="37043" xr:uid="{00000000-0005-0000-0000-0000C2A70000}"/>
    <cellStyle name="Normal 4 3 9 2 3 3" xfId="13296" xr:uid="{00000000-0005-0000-0000-0000C3A70000}"/>
    <cellStyle name="Normal 4 3 9 2 3 3 2" xfId="26864" xr:uid="{00000000-0005-0000-0000-0000C4A70000}"/>
    <cellStyle name="Normal 4 3 9 2 3 3 2 2" xfId="53997" xr:uid="{00000000-0005-0000-0000-0000C5A70000}"/>
    <cellStyle name="Normal 4 3 9 2 3 3 3" xfId="40435" xr:uid="{00000000-0005-0000-0000-0000C6A70000}"/>
    <cellStyle name="Normal 4 3 9 2 3 4" xfId="20083" xr:uid="{00000000-0005-0000-0000-0000C7A70000}"/>
    <cellStyle name="Normal 4 3 9 2 3 4 2" xfId="47216" xr:uid="{00000000-0005-0000-0000-0000C8A70000}"/>
    <cellStyle name="Normal 4 3 9 2 3 5" xfId="33654" xr:uid="{00000000-0005-0000-0000-0000C9A70000}"/>
    <cellStyle name="Normal 4 3 9 2 4" xfId="9893" xr:uid="{00000000-0005-0000-0000-0000CAA70000}"/>
    <cellStyle name="Normal 4 3 9 2 4 2" xfId="16683" xr:uid="{00000000-0005-0000-0000-0000CBA70000}"/>
    <cellStyle name="Normal 4 3 9 2 4 2 2" xfId="30251" xr:uid="{00000000-0005-0000-0000-0000CCA70000}"/>
    <cellStyle name="Normal 4 3 9 2 4 2 2 2" xfId="57384" xr:uid="{00000000-0005-0000-0000-0000CDA70000}"/>
    <cellStyle name="Normal 4 3 9 2 4 2 3" xfId="43822" xr:uid="{00000000-0005-0000-0000-0000CEA70000}"/>
    <cellStyle name="Normal 4 3 9 2 4 3" xfId="23470" xr:uid="{00000000-0005-0000-0000-0000CFA70000}"/>
    <cellStyle name="Normal 4 3 9 2 4 3 2" xfId="50603" xr:uid="{00000000-0005-0000-0000-0000D0A70000}"/>
    <cellStyle name="Normal 4 3 9 2 4 4" xfId="37041" xr:uid="{00000000-0005-0000-0000-0000D1A70000}"/>
    <cellStyle name="Normal 4 3 9 2 5" xfId="13294" xr:uid="{00000000-0005-0000-0000-0000D2A70000}"/>
    <cellStyle name="Normal 4 3 9 2 5 2" xfId="26862" xr:uid="{00000000-0005-0000-0000-0000D3A70000}"/>
    <cellStyle name="Normal 4 3 9 2 5 2 2" xfId="53995" xr:uid="{00000000-0005-0000-0000-0000D4A70000}"/>
    <cellStyle name="Normal 4 3 9 2 5 3" xfId="40433" xr:uid="{00000000-0005-0000-0000-0000D5A70000}"/>
    <cellStyle name="Normal 4 3 9 2 6" xfId="20081" xr:uid="{00000000-0005-0000-0000-0000D6A70000}"/>
    <cellStyle name="Normal 4 3 9 2 6 2" xfId="47214" xr:uid="{00000000-0005-0000-0000-0000D7A70000}"/>
    <cellStyle name="Normal 4 3 9 2 7" xfId="33652" xr:uid="{00000000-0005-0000-0000-0000D8A70000}"/>
    <cellStyle name="Normal 4 3 9 3" xfId="6363" xr:uid="{00000000-0005-0000-0000-0000D9A70000}"/>
    <cellStyle name="Normal 4 3 9 3 2" xfId="6364" xr:uid="{00000000-0005-0000-0000-0000DAA70000}"/>
    <cellStyle name="Normal 4 3 9 3 2 2" xfId="9897" xr:uid="{00000000-0005-0000-0000-0000DBA70000}"/>
    <cellStyle name="Normal 4 3 9 3 2 2 2" xfId="16687" xr:uid="{00000000-0005-0000-0000-0000DCA70000}"/>
    <cellStyle name="Normal 4 3 9 3 2 2 2 2" xfId="30255" xr:uid="{00000000-0005-0000-0000-0000DDA70000}"/>
    <cellStyle name="Normal 4 3 9 3 2 2 2 2 2" xfId="57388" xr:uid="{00000000-0005-0000-0000-0000DEA70000}"/>
    <cellStyle name="Normal 4 3 9 3 2 2 2 3" xfId="43826" xr:uid="{00000000-0005-0000-0000-0000DFA70000}"/>
    <cellStyle name="Normal 4 3 9 3 2 2 3" xfId="23474" xr:uid="{00000000-0005-0000-0000-0000E0A70000}"/>
    <cellStyle name="Normal 4 3 9 3 2 2 3 2" xfId="50607" xr:uid="{00000000-0005-0000-0000-0000E1A70000}"/>
    <cellStyle name="Normal 4 3 9 3 2 2 4" xfId="37045" xr:uid="{00000000-0005-0000-0000-0000E2A70000}"/>
    <cellStyle name="Normal 4 3 9 3 2 3" xfId="13298" xr:uid="{00000000-0005-0000-0000-0000E3A70000}"/>
    <cellStyle name="Normal 4 3 9 3 2 3 2" xfId="26866" xr:uid="{00000000-0005-0000-0000-0000E4A70000}"/>
    <cellStyle name="Normal 4 3 9 3 2 3 2 2" xfId="53999" xr:uid="{00000000-0005-0000-0000-0000E5A70000}"/>
    <cellStyle name="Normal 4 3 9 3 2 3 3" xfId="40437" xr:uid="{00000000-0005-0000-0000-0000E6A70000}"/>
    <cellStyle name="Normal 4 3 9 3 2 4" xfId="20085" xr:uid="{00000000-0005-0000-0000-0000E7A70000}"/>
    <cellStyle name="Normal 4 3 9 3 2 4 2" xfId="47218" xr:uid="{00000000-0005-0000-0000-0000E8A70000}"/>
    <cellStyle name="Normal 4 3 9 3 2 5" xfId="33656" xr:uid="{00000000-0005-0000-0000-0000E9A70000}"/>
    <cellStyle name="Normal 4 3 9 3 3" xfId="9896" xr:uid="{00000000-0005-0000-0000-0000EAA70000}"/>
    <cellStyle name="Normal 4 3 9 3 3 2" xfId="16686" xr:uid="{00000000-0005-0000-0000-0000EBA70000}"/>
    <cellStyle name="Normal 4 3 9 3 3 2 2" xfId="30254" xr:uid="{00000000-0005-0000-0000-0000ECA70000}"/>
    <cellStyle name="Normal 4 3 9 3 3 2 2 2" xfId="57387" xr:uid="{00000000-0005-0000-0000-0000EDA70000}"/>
    <cellStyle name="Normal 4 3 9 3 3 2 3" xfId="43825" xr:uid="{00000000-0005-0000-0000-0000EEA70000}"/>
    <cellStyle name="Normal 4 3 9 3 3 3" xfId="23473" xr:uid="{00000000-0005-0000-0000-0000EFA70000}"/>
    <cellStyle name="Normal 4 3 9 3 3 3 2" xfId="50606" xr:uid="{00000000-0005-0000-0000-0000F0A70000}"/>
    <cellStyle name="Normal 4 3 9 3 3 4" xfId="37044" xr:uid="{00000000-0005-0000-0000-0000F1A70000}"/>
    <cellStyle name="Normal 4 3 9 3 4" xfId="13297" xr:uid="{00000000-0005-0000-0000-0000F2A70000}"/>
    <cellStyle name="Normal 4 3 9 3 4 2" xfId="26865" xr:uid="{00000000-0005-0000-0000-0000F3A70000}"/>
    <cellStyle name="Normal 4 3 9 3 4 2 2" xfId="53998" xr:uid="{00000000-0005-0000-0000-0000F4A70000}"/>
    <cellStyle name="Normal 4 3 9 3 4 3" xfId="40436" xr:uid="{00000000-0005-0000-0000-0000F5A70000}"/>
    <cellStyle name="Normal 4 3 9 3 5" xfId="20084" xr:uid="{00000000-0005-0000-0000-0000F6A70000}"/>
    <cellStyle name="Normal 4 3 9 3 5 2" xfId="47217" xr:uid="{00000000-0005-0000-0000-0000F7A70000}"/>
    <cellStyle name="Normal 4 3 9 3 6" xfId="33655" xr:uid="{00000000-0005-0000-0000-0000F8A70000}"/>
    <cellStyle name="Normal 4 3 9 4" xfId="6365" xr:uid="{00000000-0005-0000-0000-0000F9A70000}"/>
    <cellStyle name="Normal 4 3 9 4 2" xfId="9898" xr:uid="{00000000-0005-0000-0000-0000FAA70000}"/>
    <cellStyle name="Normal 4 3 9 4 2 2" xfId="16688" xr:uid="{00000000-0005-0000-0000-0000FBA70000}"/>
    <cellStyle name="Normal 4 3 9 4 2 2 2" xfId="30256" xr:uid="{00000000-0005-0000-0000-0000FCA70000}"/>
    <cellStyle name="Normal 4 3 9 4 2 2 2 2" xfId="57389" xr:uid="{00000000-0005-0000-0000-0000FDA70000}"/>
    <cellStyle name="Normal 4 3 9 4 2 2 3" xfId="43827" xr:uid="{00000000-0005-0000-0000-0000FEA70000}"/>
    <cellStyle name="Normal 4 3 9 4 2 3" xfId="23475" xr:uid="{00000000-0005-0000-0000-0000FFA70000}"/>
    <cellStyle name="Normal 4 3 9 4 2 3 2" xfId="50608" xr:uid="{00000000-0005-0000-0000-000000A80000}"/>
    <cellStyle name="Normal 4 3 9 4 2 4" xfId="37046" xr:uid="{00000000-0005-0000-0000-000001A80000}"/>
    <cellStyle name="Normal 4 3 9 4 3" xfId="13299" xr:uid="{00000000-0005-0000-0000-000002A80000}"/>
    <cellStyle name="Normal 4 3 9 4 3 2" xfId="26867" xr:uid="{00000000-0005-0000-0000-000003A80000}"/>
    <cellStyle name="Normal 4 3 9 4 3 2 2" xfId="54000" xr:uid="{00000000-0005-0000-0000-000004A80000}"/>
    <cellStyle name="Normal 4 3 9 4 3 3" xfId="40438" xr:uid="{00000000-0005-0000-0000-000005A80000}"/>
    <cellStyle name="Normal 4 3 9 4 4" xfId="20086" xr:uid="{00000000-0005-0000-0000-000006A80000}"/>
    <cellStyle name="Normal 4 3 9 4 4 2" xfId="47219" xr:uid="{00000000-0005-0000-0000-000007A80000}"/>
    <cellStyle name="Normal 4 3 9 4 5" xfId="33657" xr:uid="{00000000-0005-0000-0000-000008A80000}"/>
    <cellStyle name="Normal 4 3 9 5" xfId="6366" xr:uid="{00000000-0005-0000-0000-000009A80000}"/>
    <cellStyle name="Normal 4 3 9 5 2" xfId="9899" xr:uid="{00000000-0005-0000-0000-00000AA80000}"/>
    <cellStyle name="Normal 4 3 9 5 2 2" xfId="16689" xr:uid="{00000000-0005-0000-0000-00000BA80000}"/>
    <cellStyle name="Normal 4 3 9 5 2 2 2" xfId="30257" xr:uid="{00000000-0005-0000-0000-00000CA80000}"/>
    <cellStyle name="Normal 4 3 9 5 2 2 2 2" xfId="57390" xr:uid="{00000000-0005-0000-0000-00000DA80000}"/>
    <cellStyle name="Normal 4 3 9 5 2 2 3" xfId="43828" xr:uid="{00000000-0005-0000-0000-00000EA80000}"/>
    <cellStyle name="Normal 4 3 9 5 2 3" xfId="23476" xr:uid="{00000000-0005-0000-0000-00000FA80000}"/>
    <cellStyle name="Normal 4 3 9 5 2 3 2" xfId="50609" xr:uid="{00000000-0005-0000-0000-000010A80000}"/>
    <cellStyle name="Normal 4 3 9 5 2 4" xfId="37047" xr:uid="{00000000-0005-0000-0000-000011A80000}"/>
    <cellStyle name="Normal 4 3 9 5 3" xfId="13300" xr:uid="{00000000-0005-0000-0000-000012A80000}"/>
    <cellStyle name="Normal 4 3 9 5 3 2" xfId="26868" xr:uid="{00000000-0005-0000-0000-000013A80000}"/>
    <cellStyle name="Normal 4 3 9 5 3 2 2" xfId="54001" xr:uid="{00000000-0005-0000-0000-000014A80000}"/>
    <cellStyle name="Normal 4 3 9 5 3 3" xfId="40439" xr:uid="{00000000-0005-0000-0000-000015A80000}"/>
    <cellStyle name="Normal 4 3 9 5 4" xfId="20087" xr:uid="{00000000-0005-0000-0000-000016A80000}"/>
    <cellStyle name="Normal 4 3 9 5 4 2" xfId="47220" xr:uid="{00000000-0005-0000-0000-000017A80000}"/>
    <cellStyle name="Normal 4 3 9 5 5" xfId="33658" xr:uid="{00000000-0005-0000-0000-000018A80000}"/>
    <cellStyle name="Normal 4 3 9 6" xfId="9892" xr:uid="{00000000-0005-0000-0000-000019A80000}"/>
    <cellStyle name="Normal 4 3 9 6 2" xfId="16682" xr:uid="{00000000-0005-0000-0000-00001AA80000}"/>
    <cellStyle name="Normal 4 3 9 6 2 2" xfId="30250" xr:uid="{00000000-0005-0000-0000-00001BA80000}"/>
    <cellStyle name="Normal 4 3 9 6 2 2 2" xfId="57383" xr:uid="{00000000-0005-0000-0000-00001CA80000}"/>
    <cellStyle name="Normal 4 3 9 6 2 3" xfId="43821" xr:uid="{00000000-0005-0000-0000-00001DA80000}"/>
    <cellStyle name="Normal 4 3 9 6 3" xfId="23469" xr:uid="{00000000-0005-0000-0000-00001EA80000}"/>
    <cellStyle name="Normal 4 3 9 6 3 2" xfId="50602" xr:uid="{00000000-0005-0000-0000-00001FA80000}"/>
    <cellStyle name="Normal 4 3 9 6 4" xfId="37040" xr:uid="{00000000-0005-0000-0000-000020A80000}"/>
    <cellStyle name="Normal 4 3 9 7" xfId="13293" xr:uid="{00000000-0005-0000-0000-000021A80000}"/>
    <cellStyle name="Normal 4 3 9 7 2" xfId="26861" xr:uid="{00000000-0005-0000-0000-000022A80000}"/>
    <cellStyle name="Normal 4 3 9 7 2 2" xfId="53994" xr:uid="{00000000-0005-0000-0000-000023A80000}"/>
    <cellStyle name="Normal 4 3 9 7 3" xfId="40432" xr:uid="{00000000-0005-0000-0000-000024A80000}"/>
    <cellStyle name="Normal 4 3 9 8" xfId="20080" xr:uid="{00000000-0005-0000-0000-000025A80000}"/>
    <cellStyle name="Normal 4 3 9 8 2" xfId="47213" xr:uid="{00000000-0005-0000-0000-000026A80000}"/>
    <cellStyle name="Normal 4 3 9 9" xfId="33651" xr:uid="{00000000-0005-0000-0000-000027A80000}"/>
    <cellStyle name="Normal 4 30" xfId="7440" xr:uid="{00000000-0005-0000-0000-000028A80000}"/>
    <cellStyle name="Normal 4 31" xfId="7441" xr:uid="{00000000-0005-0000-0000-000029A80000}"/>
    <cellStyle name="Normal 4 32" xfId="7442" xr:uid="{00000000-0005-0000-0000-00002AA80000}"/>
    <cellStyle name="Normal 4 33" xfId="7443" xr:uid="{00000000-0005-0000-0000-00002BA80000}"/>
    <cellStyle name="Normal 4 34" xfId="7444" xr:uid="{00000000-0005-0000-0000-00002CA80000}"/>
    <cellStyle name="Normal 4 35" xfId="7445" xr:uid="{00000000-0005-0000-0000-00002DA80000}"/>
    <cellStyle name="Normal 4 36" xfId="7446" xr:uid="{00000000-0005-0000-0000-00002EA80000}"/>
    <cellStyle name="Normal 4 37" xfId="7447" xr:uid="{00000000-0005-0000-0000-00002FA80000}"/>
    <cellStyle name="Normal 4 4" xfId="2774" xr:uid="{00000000-0005-0000-0000-000030A80000}"/>
    <cellStyle name="Normal 4 4 10" xfId="6367" xr:uid="{00000000-0005-0000-0000-000031A80000}"/>
    <cellStyle name="Normal 4 4 10 2" xfId="9900" xr:uid="{00000000-0005-0000-0000-000032A80000}"/>
    <cellStyle name="Normal 4 4 10 2 2" xfId="16690" xr:uid="{00000000-0005-0000-0000-000033A80000}"/>
    <cellStyle name="Normal 4 4 10 2 2 2" xfId="30258" xr:uid="{00000000-0005-0000-0000-000034A80000}"/>
    <cellStyle name="Normal 4 4 10 2 2 2 2" xfId="57391" xr:uid="{00000000-0005-0000-0000-000035A80000}"/>
    <cellStyle name="Normal 4 4 10 2 2 3" xfId="43829" xr:uid="{00000000-0005-0000-0000-000036A80000}"/>
    <cellStyle name="Normal 4 4 10 2 3" xfId="23477" xr:uid="{00000000-0005-0000-0000-000037A80000}"/>
    <cellStyle name="Normal 4 4 10 2 3 2" xfId="50610" xr:uid="{00000000-0005-0000-0000-000038A80000}"/>
    <cellStyle name="Normal 4 4 10 2 4" xfId="37048" xr:uid="{00000000-0005-0000-0000-000039A80000}"/>
    <cellStyle name="Normal 4 4 10 3" xfId="13301" xr:uid="{00000000-0005-0000-0000-00003AA80000}"/>
    <cellStyle name="Normal 4 4 10 3 2" xfId="26869" xr:uid="{00000000-0005-0000-0000-00003BA80000}"/>
    <cellStyle name="Normal 4 4 10 3 2 2" xfId="54002" xr:uid="{00000000-0005-0000-0000-00003CA80000}"/>
    <cellStyle name="Normal 4 4 10 3 3" xfId="40440" xr:uid="{00000000-0005-0000-0000-00003DA80000}"/>
    <cellStyle name="Normal 4 4 10 4" xfId="20088" xr:uid="{00000000-0005-0000-0000-00003EA80000}"/>
    <cellStyle name="Normal 4 4 10 4 2" xfId="47221" xr:uid="{00000000-0005-0000-0000-00003FA80000}"/>
    <cellStyle name="Normal 4 4 10 5" xfId="33659" xr:uid="{00000000-0005-0000-0000-000040A80000}"/>
    <cellStyle name="Normal 4 4 11" xfId="6368" xr:uid="{00000000-0005-0000-0000-000041A80000}"/>
    <cellStyle name="Normal 4 4 11 2" xfId="9901" xr:uid="{00000000-0005-0000-0000-000042A80000}"/>
    <cellStyle name="Normal 4 4 11 2 2" xfId="16691" xr:uid="{00000000-0005-0000-0000-000043A80000}"/>
    <cellStyle name="Normal 4 4 11 2 2 2" xfId="30259" xr:uid="{00000000-0005-0000-0000-000044A80000}"/>
    <cellStyle name="Normal 4 4 11 2 2 2 2" xfId="57392" xr:uid="{00000000-0005-0000-0000-000045A80000}"/>
    <cellStyle name="Normal 4 4 11 2 2 3" xfId="43830" xr:uid="{00000000-0005-0000-0000-000046A80000}"/>
    <cellStyle name="Normal 4 4 11 2 3" xfId="23478" xr:uid="{00000000-0005-0000-0000-000047A80000}"/>
    <cellStyle name="Normal 4 4 11 2 3 2" xfId="50611" xr:uid="{00000000-0005-0000-0000-000048A80000}"/>
    <cellStyle name="Normal 4 4 11 2 4" xfId="37049" xr:uid="{00000000-0005-0000-0000-000049A80000}"/>
    <cellStyle name="Normal 4 4 11 3" xfId="13302" xr:uid="{00000000-0005-0000-0000-00004AA80000}"/>
    <cellStyle name="Normal 4 4 11 3 2" xfId="26870" xr:uid="{00000000-0005-0000-0000-00004BA80000}"/>
    <cellStyle name="Normal 4 4 11 3 2 2" xfId="54003" xr:uid="{00000000-0005-0000-0000-00004CA80000}"/>
    <cellStyle name="Normal 4 4 11 3 3" xfId="40441" xr:uid="{00000000-0005-0000-0000-00004DA80000}"/>
    <cellStyle name="Normal 4 4 11 4" xfId="20089" xr:uid="{00000000-0005-0000-0000-00004EA80000}"/>
    <cellStyle name="Normal 4 4 11 4 2" xfId="47222" xr:uid="{00000000-0005-0000-0000-00004FA80000}"/>
    <cellStyle name="Normal 4 4 11 5" xfId="33660" xr:uid="{00000000-0005-0000-0000-000050A80000}"/>
    <cellStyle name="Normal 4 4 12" xfId="7579" xr:uid="{00000000-0005-0000-0000-000051A80000}"/>
    <cellStyle name="Normal 4 4 12 2" xfId="14369" xr:uid="{00000000-0005-0000-0000-000052A80000}"/>
    <cellStyle name="Normal 4 4 12 2 2" xfId="27937" xr:uid="{00000000-0005-0000-0000-000053A80000}"/>
    <cellStyle name="Normal 4 4 12 2 2 2" xfId="55070" xr:uid="{00000000-0005-0000-0000-000054A80000}"/>
    <cellStyle name="Normal 4 4 12 2 3" xfId="41508" xr:uid="{00000000-0005-0000-0000-000055A80000}"/>
    <cellStyle name="Normal 4 4 12 3" xfId="21156" xr:uid="{00000000-0005-0000-0000-000056A80000}"/>
    <cellStyle name="Normal 4 4 12 3 2" xfId="48289" xr:uid="{00000000-0005-0000-0000-000057A80000}"/>
    <cellStyle name="Normal 4 4 12 4" xfId="34727" xr:uid="{00000000-0005-0000-0000-000058A80000}"/>
    <cellStyle name="Normal 4 4 13" xfId="10980" xr:uid="{00000000-0005-0000-0000-000059A80000}"/>
    <cellStyle name="Normal 4 4 13 2" xfId="24548" xr:uid="{00000000-0005-0000-0000-00005AA80000}"/>
    <cellStyle name="Normal 4 4 13 2 2" xfId="51681" xr:uid="{00000000-0005-0000-0000-00005BA80000}"/>
    <cellStyle name="Normal 4 4 13 3" xfId="38119" xr:uid="{00000000-0005-0000-0000-00005CA80000}"/>
    <cellStyle name="Normal 4 4 14" xfId="17767" xr:uid="{00000000-0005-0000-0000-00005DA80000}"/>
    <cellStyle name="Normal 4 4 14 2" xfId="44900" xr:uid="{00000000-0005-0000-0000-00005EA80000}"/>
    <cellStyle name="Normal 4 4 15" xfId="31338" xr:uid="{00000000-0005-0000-0000-00005FA80000}"/>
    <cellStyle name="Normal 4 4 2" xfId="2775" xr:uid="{00000000-0005-0000-0000-000060A80000}"/>
    <cellStyle name="Normal 4 4 2 2" xfId="7580" xr:uid="{00000000-0005-0000-0000-000061A80000}"/>
    <cellStyle name="Normal 4 4 2 2 2" xfId="14370" xr:uid="{00000000-0005-0000-0000-000062A80000}"/>
    <cellStyle name="Normal 4 4 2 2 2 2" xfId="27938" xr:uid="{00000000-0005-0000-0000-000063A80000}"/>
    <cellStyle name="Normal 4 4 2 2 2 2 2" xfId="55071" xr:uid="{00000000-0005-0000-0000-000064A80000}"/>
    <cellStyle name="Normal 4 4 2 2 2 3" xfId="41509" xr:uid="{00000000-0005-0000-0000-000065A80000}"/>
    <cellStyle name="Normal 4 4 2 2 3" xfId="21157" xr:uid="{00000000-0005-0000-0000-000066A80000}"/>
    <cellStyle name="Normal 4 4 2 2 3 2" xfId="48290" xr:uid="{00000000-0005-0000-0000-000067A80000}"/>
    <cellStyle name="Normal 4 4 2 2 4" xfId="34728" xr:uid="{00000000-0005-0000-0000-000068A80000}"/>
    <cellStyle name="Normal 4 4 2 3" xfId="10981" xr:uid="{00000000-0005-0000-0000-000069A80000}"/>
    <cellStyle name="Normal 4 4 2 3 2" xfId="24549" xr:uid="{00000000-0005-0000-0000-00006AA80000}"/>
    <cellStyle name="Normal 4 4 2 3 2 2" xfId="51682" xr:uid="{00000000-0005-0000-0000-00006BA80000}"/>
    <cellStyle name="Normal 4 4 2 3 3" xfId="38120" xr:uid="{00000000-0005-0000-0000-00006CA80000}"/>
    <cellStyle name="Normal 4 4 2 4" xfId="17768" xr:uid="{00000000-0005-0000-0000-00006DA80000}"/>
    <cellStyle name="Normal 4 4 2 4 2" xfId="44901" xr:uid="{00000000-0005-0000-0000-00006EA80000}"/>
    <cellStyle name="Normal 4 4 2 5" xfId="31339" xr:uid="{00000000-0005-0000-0000-00006FA80000}"/>
    <cellStyle name="Normal 4 4 3" xfId="6369" xr:uid="{00000000-0005-0000-0000-000070A80000}"/>
    <cellStyle name="Normal 4 4 3 10" xfId="9902" xr:uid="{00000000-0005-0000-0000-000071A80000}"/>
    <cellStyle name="Normal 4 4 3 10 2" xfId="16692" xr:uid="{00000000-0005-0000-0000-000072A80000}"/>
    <cellStyle name="Normal 4 4 3 10 2 2" xfId="30260" xr:uid="{00000000-0005-0000-0000-000073A80000}"/>
    <cellStyle name="Normal 4 4 3 10 2 2 2" xfId="57393" xr:uid="{00000000-0005-0000-0000-000074A80000}"/>
    <cellStyle name="Normal 4 4 3 10 2 3" xfId="43831" xr:uid="{00000000-0005-0000-0000-000075A80000}"/>
    <cellStyle name="Normal 4 4 3 10 3" xfId="23479" xr:uid="{00000000-0005-0000-0000-000076A80000}"/>
    <cellStyle name="Normal 4 4 3 10 3 2" xfId="50612" xr:uid="{00000000-0005-0000-0000-000077A80000}"/>
    <cellStyle name="Normal 4 4 3 10 4" xfId="37050" xr:uid="{00000000-0005-0000-0000-000078A80000}"/>
    <cellStyle name="Normal 4 4 3 11" xfId="13303" xr:uid="{00000000-0005-0000-0000-000079A80000}"/>
    <cellStyle name="Normal 4 4 3 11 2" xfId="26871" xr:uid="{00000000-0005-0000-0000-00007AA80000}"/>
    <cellStyle name="Normal 4 4 3 11 2 2" xfId="54004" xr:uid="{00000000-0005-0000-0000-00007BA80000}"/>
    <cellStyle name="Normal 4 4 3 11 3" xfId="40442" xr:uid="{00000000-0005-0000-0000-00007CA80000}"/>
    <cellStyle name="Normal 4 4 3 12" xfId="20090" xr:uid="{00000000-0005-0000-0000-00007DA80000}"/>
    <cellStyle name="Normal 4 4 3 12 2" xfId="47223" xr:uid="{00000000-0005-0000-0000-00007EA80000}"/>
    <cellStyle name="Normal 4 4 3 13" xfId="33661" xr:uid="{00000000-0005-0000-0000-00007FA80000}"/>
    <cellStyle name="Normal 4 4 3 2" xfId="6370" xr:uid="{00000000-0005-0000-0000-000080A80000}"/>
    <cellStyle name="Normal 4 4 3 2 10" xfId="33662" xr:uid="{00000000-0005-0000-0000-000081A80000}"/>
    <cellStyle name="Normal 4 4 3 2 2" xfId="6371" xr:uid="{00000000-0005-0000-0000-000082A80000}"/>
    <cellStyle name="Normal 4 4 3 2 2 2" xfId="6372" xr:uid="{00000000-0005-0000-0000-000083A80000}"/>
    <cellStyle name="Normal 4 4 3 2 2 2 2" xfId="6373" xr:uid="{00000000-0005-0000-0000-000084A80000}"/>
    <cellStyle name="Normal 4 4 3 2 2 2 2 2" xfId="9906" xr:uid="{00000000-0005-0000-0000-000085A80000}"/>
    <cellStyle name="Normal 4 4 3 2 2 2 2 2 2" xfId="16696" xr:uid="{00000000-0005-0000-0000-000086A80000}"/>
    <cellStyle name="Normal 4 4 3 2 2 2 2 2 2 2" xfId="30264" xr:uid="{00000000-0005-0000-0000-000087A80000}"/>
    <cellStyle name="Normal 4 4 3 2 2 2 2 2 2 2 2" xfId="57397" xr:uid="{00000000-0005-0000-0000-000088A80000}"/>
    <cellStyle name="Normal 4 4 3 2 2 2 2 2 2 3" xfId="43835" xr:uid="{00000000-0005-0000-0000-000089A80000}"/>
    <cellStyle name="Normal 4 4 3 2 2 2 2 2 3" xfId="23483" xr:uid="{00000000-0005-0000-0000-00008AA80000}"/>
    <cellStyle name="Normal 4 4 3 2 2 2 2 2 3 2" xfId="50616" xr:uid="{00000000-0005-0000-0000-00008BA80000}"/>
    <cellStyle name="Normal 4 4 3 2 2 2 2 2 4" xfId="37054" xr:uid="{00000000-0005-0000-0000-00008CA80000}"/>
    <cellStyle name="Normal 4 4 3 2 2 2 2 3" xfId="13307" xr:uid="{00000000-0005-0000-0000-00008DA80000}"/>
    <cellStyle name="Normal 4 4 3 2 2 2 2 3 2" xfId="26875" xr:uid="{00000000-0005-0000-0000-00008EA80000}"/>
    <cellStyle name="Normal 4 4 3 2 2 2 2 3 2 2" xfId="54008" xr:uid="{00000000-0005-0000-0000-00008FA80000}"/>
    <cellStyle name="Normal 4 4 3 2 2 2 2 3 3" xfId="40446" xr:uid="{00000000-0005-0000-0000-000090A80000}"/>
    <cellStyle name="Normal 4 4 3 2 2 2 2 4" xfId="20094" xr:uid="{00000000-0005-0000-0000-000091A80000}"/>
    <cellStyle name="Normal 4 4 3 2 2 2 2 4 2" xfId="47227" xr:uid="{00000000-0005-0000-0000-000092A80000}"/>
    <cellStyle name="Normal 4 4 3 2 2 2 2 5" xfId="33665" xr:uid="{00000000-0005-0000-0000-000093A80000}"/>
    <cellStyle name="Normal 4 4 3 2 2 2 3" xfId="6374" xr:uid="{00000000-0005-0000-0000-000094A80000}"/>
    <cellStyle name="Normal 4 4 3 2 2 2 3 2" xfId="9907" xr:uid="{00000000-0005-0000-0000-000095A80000}"/>
    <cellStyle name="Normal 4 4 3 2 2 2 3 2 2" xfId="16697" xr:uid="{00000000-0005-0000-0000-000096A80000}"/>
    <cellStyle name="Normal 4 4 3 2 2 2 3 2 2 2" xfId="30265" xr:uid="{00000000-0005-0000-0000-000097A80000}"/>
    <cellStyle name="Normal 4 4 3 2 2 2 3 2 2 2 2" xfId="57398" xr:uid="{00000000-0005-0000-0000-000098A80000}"/>
    <cellStyle name="Normal 4 4 3 2 2 2 3 2 2 3" xfId="43836" xr:uid="{00000000-0005-0000-0000-000099A80000}"/>
    <cellStyle name="Normal 4 4 3 2 2 2 3 2 3" xfId="23484" xr:uid="{00000000-0005-0000-0000-00009AA80000}"/>
    <cellStyle name="Normal 4 4 3 2 2 2 3 2 3 2" xfId="50617" xr:uid="{00000000-0005-0000-0000-00009BA80000}"/>
    <cellStyle name="Normal 4 4 3 2 2 2 3 2 4" xfId="37055" xr:uid="{00000000-0005-0000-0000-00009CA80000}"/>
    <cellStyle name="Normal 4 4 3 2 2 2 3 3" xfId="13308" xr:uid="{00000000-0005-0000-0000-00009DA80000}"/>
    <cellStyle name="Normal 4 4 3 2 2 2 3 3 2" xfId="26876" xr:uid="{00000000-0005-0000-0000-00009EA80000}"/>
    <cellStyle name="Normal 4 4 3 2 2 2 3 3 2 2" xfId="54009" xr:uid="{00000000-0005-0000-0000-00009FA80000}"/>
    <cellStyle name="Normal 4 4 3 2 2 2 3 3 3" xfId="40447" xr:uid="{00000000-0005-0000-0000-0000A0A80000}"/>
    <cellStyle name="Normal 4 4 3 2 2 2 3 4" xfId="20095" xr:uid="{00000000-0005-0000-0000-0000A1A80000}"/>
    <cellStyle name="Normal 4 4 3 2 2 2 3 4 2" xfId="47228" xr:uid="{00000000-0005-0000-0000-0000A2A80000}"/>
    <cellStyle name="Normal 4 4 3 2 2 2 3 5" xfId="33666" xr:uid="{00000000-0005-0000-0000-0000A3A80000}"/>
    <cellStyle name="Normal 4 4 3 2 2 2 4" xfId="9905" xr:uid="{00000000-0005-0000-0000-0000A4A80000}"/>
    <cellStyle name="Normal 4 4 3 2 2 2 4 2" xfId="16695" xr:uid="{00000000-0005-0000-0000-0000A5A80000}"/>
    <cellStyle name="Normal 4 4 3 2 2 2 4 2 2" xfId="30263" xr:uid="{00000000-0005-0000-0000-0000A6A80000}"/>
    <cellStyle name="Normal 4 4 3 2 2 2 4 2 2 2" xfId="57396" xr:uid="{00000000-0005-0000-0000-0000A7A80000}"/>
    <cellStyle name="Normal 4 4 3 2 2 2 4 2 3" xfId="43834" xr:uid="{00000000-0005-0000-0000-0000A8A80000}"/>
    <cellStyle name="Normal 4 4 3 2 2 2 4 3" xfId="23482" xr:uid="{00000000-0005-0000-0000-0000A9A80000}"/>
    <cellStyle name="Normal 4 4 3 2 2 2 4 3 2" xfId="50615" xr:uid="{00000000-0005-0000-0000-0000AAA80000}"/>
    <cellStyle name="Normal 4 4 3 2 2 2 4 4" xfId="37053" xr:uid="{00000000-0005-0000-0000-0000ABA80000}"/>
    <cellStyle name="Normal 4 4 3 2 2 2 5" xfId="13306" xr:uid="{00000000-0005-0000-0000-0000ACA80000}"/>
    <cellStyle name="Normal 4 4 3 2 2 2 5 2" xfId="26874" xr:uid="{00000000-0005-0000-0000-0000ADA80000}"/>
    <cellStyle name="Normal 4 4 3 2 2 2 5 2 2" xfId="54007" xr:uid="{00000000-0005-0000-0000-0000AEA80000}"/>
    <cellStyle name="Normal 4 4 3 2 2 2 5 3" xfId="40445" xr:uid="{00000000-0005-0000-0000-0000AFA80000}"/>
    <cellStyle name="Normal 4 4 3 2 2 2 6" xfId="20093" xr:uid="{00000000-0005-0000-0000-0000B0A80000}"/>
    <cellStyle name="Normal 4 4 3 2 2 2 6 2" xfId="47226" xr:uid="{00000000-0005-0000-0000-0000B1A80000}"/>
    <cellStyle name="Normal 4 4 3 2 2 2 7" xfId="33664" xr:uid="{00000000-0005-0000-0000-0000B2A80000}"/>
    <cellStyle name="Normal 4 4 3 2 2 3" xfId="6375" xr:uid="{00000000-0005-0000-0000-0000B3A80000}"/>
    <cellStyle name="Normal 4 4 3 2 2 3 2" xfId="6376" xr:uid="{00000000-0005-0000-0000-0000B4A80000}"/>
    <cellStyle name="Normal 4 4 3 2 2 3 2 2" xfId="9909" xr:uid="{00000000-0005-0000-0000-0000B5A80000}"/>
    <cellStyle name="Normal 4 4 3 2 2 3 2 2 2" xfId="16699" xr:uid="{00000000-0005-0000-0000-0000B6A80000}"/>
    <cellStyle name="Normal 4 4 3 2 2 3 2 2 2 2" xfId="30267" xr:uid="{00000000-0005-0000-0000-0000B7A80000}"/>
    <cellStyle name="Normal 4 4 3 2 2 3 2 2 2 2 2" xfId="57400" xr:uid="{00000000-0005-0000-0000-0000B8A80000}"/>
    <cellStyle name="Normal 4 4 3 2 2 3 2 2 2 3" xfId="43838" xr:uid="{00000000-0005-0000-0000-0000B9A80000}"/>
    <cellStyle name="Normal 4 4 3 2 2 3 2 2 3" xfId="23486" xr:uid="{00000000-0005-0000-0000-0000BAA80000}"/>
    <cellStyle name="Normal 4 4 3 2 2 3 2 2 3 2" xfId="50619" xr:uid="{00000000-0005-0000-0000-0000BBA80000}"/>
    <cellStyle name="Normal 4 4 3 2 2 3 2 2 4" xfId="37057" xr:uid="{00000000-0005-0000-0000-0000BCA80000}"/>
    <cellStyle name="Normal 4 4 3 2 2 3 2 3" xfId="13310" xr:uid="{00000000-0005-0000-0000-0000BDA80000}"/>
    <cellStyle name="Normal 4 4 3 2 2 3 2 3 2" xfId="26878" xr:uid="{00000000-0005-0000-0000-0000BEA80000}"/>
    <cellStyle name="Normal 4 4 3 2 2 3 2 3 2 2" xfId="54011" xr:uid="{00000000-0005-0000-0000-0000BFA80000}"/>
    <cellStyle name="Normal 4 4 3 2 2 3 2 3 3" xfId="40449" xr:uid="{00000000-0005-0000-0000-0000C0A80000}"/>
    <cellStyle name="Normal 4 4 3 2 2 3 2 4" xfId="20097" xr:uid="{00000000-0005-0000-0000-0000C1A80000}"/>
    <cellStyle name="Normal 4 4 3 2 2 3 2 4 2" xfId="47230" xr:uid="{00000000-0005-0000-0000-0000C2A80000}"/>
    <cellStyle name="Normal 4 4 3 2 2 3 2 5" xfId="33668" xr:uid="{00000000-0005-0000-0000-0000C3A80000}"/>
    <cellStyle name="Normal 4 4 3 2 2 3 3" xfId="9908" xr:uid="{00000000-0005-0000-0000-0000C4A80000}"/>
    <cellStyle name="Normal 4 4 3 2 2 3 3 2" xfId="16698" xr:uid="{00000000-0005-0000-0000-0000C5A80000}"/>
    <cellStyle name="Normal 4 4 3 2 2 3 3 2 2" xfId="30266" xr:uid="{00000000-0005-0000-0000-0000C6A80000}"/>
    <cellStyle name="Normal 4 4 3 2 2 3 3 2 2 2" xfId="57399" xr:uid="{00000000-0005-0000-0000-0000C7A80000}"/>
    <cellStyle name="Normal 4 4 3 2 2 3 3 2 3" xfId="43837" xr:uid="{00000000-0005-0000-0000-0000C8A80000}"/>
    <cellStyle name="Normal 4 4 3 2 2 3 3 3" xfId="23485" xr:uid="{00000000-0005-0000-0000-0000C9A80000}"/>
    <cellStyle name="Normal 4 4 3 2 2 3 3 3 2" xfId="50618" xr:uid="{00000000-0005-0000-0000-0000CAA80000}"/>
    <cellStyle name="Normal 4 4 3 2 2 3 3 4" xfId="37056" xr:uid="{00000000-0005-0000-0000-0000CBA80000}"/>
    <cellStyle name="Normal 4 4 3 2 2 3 4" xfId="13309" xr:uid="{00000000-0005-0000-0000-0000CCA80000}"/>
    <cellStyle name="Normal 4 4 3 2 2 3 4 2" xfId="26877" xr:uid="{00000000-0005-0000-0000-0000CDA80000}"/>
    <cellStyle name="Normal 4 4 3 2 2 3 4 2 2" xfId="54010" xr:uid="{00000000-0005-0000-0000-0000CEA80000}"/>
    <cellStyle name="Normal 4 4 3 2 2 3 4 3" xfId="40448" xr:uid="{00000000-0005-0000-0000-0000CFA80000}"/>
    <cellStyle name="Normal 4 4 3 2 2 3 5" xfId="20096" xr:uid="{00000000-0005-0000-0000-0000D0A80000}"/>
    <cellStyle name="Normal 4 4 3 2 2 3 5 2" xfId="47229" xr:uid="{00000000-0005-0000-0000-0000D1A80000}"/>
    <cellStyle name="Normal 4 4 3 2 2 3 6" xfId="33667" xr:uid="{00000000-0005-0000-0000-0000D2A80000}"/>
    <cellStyle name="Normal 4 4 3 2 2 4" xfId="6377" xr:uid="{00000000-0005-0000-0000-0000D3A80000}"/>
    <cellStyle name="Normal 4 4 3 2 2 4 2" xfId="9910" xr:uid="{00000000-0005-0000-0000-0000D4A80000}"/>
    <cellStyle name="Normal 4 4 3 2 2 4 2 2" xfId="16700" xr:uid="{00000000-0005-0000-0000-0000D5A80000}"/>
    <cellStyle name="Normal 4 4 3 2 2 4 2 2 2" xfId="30268" xr:uid="{00000000-0005-0000-0000-0000D6A80000}"/>
    <cellStyle name="Normal 4 4 3 2 2 4 2 2 2 2" xfId="57401" xr:uid="{00000000-0005-0000-0000-0000D7A80000}"/>
    <cellStyle name="Normal 4 4 3 2 2 4 2 2 3" xfId="43839" xr:uid="{00000000-0005-0000-0000-0000D8A80000}"/>
    <cellStyle name="Normal 4 4 3 2 2 4 2 3" xfId="23487" xr:uid="{00000000-0005-0000-0000-0000D9A80000}"/>
    <cellStyle name="Normal 4 4 3 2 2 4 2 3 2" xfId="50620" xr:uid="{00000000-0005-0000-0000-0000DAA80000}"/>
    <cellStyle name="Normal 4 4 3 2 2 4 2 4" xfId="37058" xr:uid="{00000000-0005-0000-0000-0000DBA80000}"/>
    <cellStyle name="Normal 4 4 3 2 2 4 3" xfId="13311" xr:uid="{00000000-0005-0000-0000-0000DCA80000}"/>
    <cellStyle name="Normal 4 4 3 2 2 4 3 2" xfId="26879" xr:uid="{00000000-0005-0000-0000-0000DDA80000}"/>
    <cellStyle name="Normal 4 4 3 2 2 4 3 2 2" xfId="54012" xr:uid="{00000000-0005-0000-0000-0000DEA80000}"/>
    <cellStyle name="Normal 4 4 3 2 2 4 3 3" xfId="40450" xr:uid="{00000000-0005-0000-0000-0000DFA80000}"/>
    <cellStyle name="Normal 4 4 3 2 2 4 4" xfId="20098" xr:uid="{00000000-0005-0000-0000-0000E0A80000}"/>
    <cellStyle name="Normal 4 4 3 2 2 4 4 2" xfId="47231" xr:uid="{00000000-0005-0000-0000-0000E1A80000}"/>
    <cellStyle name="Normal 4 4 3 2 2 4 5" xfId="33669" xr:uid="{00000000-0005-0000-0000-0000E2A80000}"/>
    <cellStyle name="Normal 4 4 3 2 2 5" xfId="6378" xr:uid="{00000000-0005-0000-0000-0000E3A80000}"/>
    <cellStyle name="Normal 4 4 3 2 2 5 2" xfId="9911" xr:uid="{00000000-0005-0000-0000-0000E4A80000}"/>
    <cellStyle name="Normal 4 4 3 2 2 5 2 2" xfId="16701" xr:uid="{00000000-0005-0000-0000-0000E5A80000}"/>
    <cellStyle name="Normal 4 4 3 2 2 5 2 2 2" xfId="30269" xr:uid="{00000000-0005-0000-0000-0000E6A80000}"/>
    <cellStyle name="Normal 4 4 3 2 2 5 2 2 2 2" xfId="57402" xr:uid="{00000000-0005-0000-0000-0000E7A80000}"/>
    <cellStyle name="Normal 4 4 3 2 2 5 2 2 3" xfId="43840" xr:uid="{00000000-0005-0000-0000-0000E8A80000}"/>
    <cellStyle name="Normal 4 4 3 2 2 5 2 3" xfId="23488" xr:uid="{00000000-0005-0000-0000-0000E9A80000}"/>
    <cellStyle name="Normal 4 4 3 2 2 5 2 3 2" xfId="50621" xr:uid="{00000000-0005-0000-0000-0000EAA80000}"/>
    <cellStyle name="Normal 4 4 3 2 2 5 2 4" xfId="37059" xr:uid="{00000000-0005-0000-0000-0000EBA80000}"/>
    <cellStyle name="Normal 4 4 3 2 2 5 3" xfId="13312" xr:uid="{00000000-0005-0000-0000-0000ECA80000}"/>
    <cellStyle name="Normal 4 4 3 2 2 5 3 2" xfId="26880" xr:uid="{00000000-0005-0000-0000-0000EDA80000}"/>
    <cellStyle name="Normal 4 4 3 2 2 5 3 2 2" xfId="54013" xr:uid="{00000000-0005-0000-0000-0000EEA80000}"/>
    <cellStyle name="Normal 4 4 3 2 2 5 3 3" xfId="40451" xr:uid="{00000000-0005-0000-0000-0000EFA80000}"/>
    <cellStyle name="Normal 4 4 3 2 2 5 4" xfId="20099" xr:uid="{00000000-0005-0000-0000-0000F0A80000}"/>
    <cellStyle name="Normal 4 4 3 2 2 5 4 2" xfId="47232" xr:uid="{00000000-0005-0000-0000-0000F1A80000}"/>
    <cellStyle name="Normal 4 4 3 2 2 5 5" xfId="33670" xr:uid="{00000000-0005-0000-0000-0000F2A80000}"/>
    <cellStyle name="Normal 4 4 3 2 2 6" xfId="9904" xr:uid="{00000000-0005-0000-0000-0000F3A80000}"/>
    <cellStyle name="Normal 4 4 3 2 2 6 2" xfId="16694" xr:uid="{00000000-0005-0000-0000-0000F4A80000}"/>
    <cellStyle name="Normal 4 4 3 2 2 6 2 2" xfId="30262" xr:uid="{00000000-0005-0000-0000-0000F5A80000}"/>
    <cellStyle name="Normal 4 4 3 2 2 6 2 2 2" xfId="57395" xr:uid="{00000000-0005-0000-0000-0000F6A80000}"/>
    <cellStyle name="Normal 4 4 3 2 2 6 2 3" xfId="43833" xr:uid="{00000000-0005-0000-0000-0000F7A80000}"/>
    <cellStyle name="Normal 4 4 3 2 2 6 3" xfId="23481" xr:uid="{00000000-0005-0000-0000-0000F8A80000}"/>
    <cellStyle name="Normal 4 4 3 2 2 6 3 2" xfId="50614" xr:uid="{00000000-0005-0000-0000-0000F9A80000}"/>
    <cellStyle name="Normal 4 4 3 2 2 6 4" xfId="37052" xr:uid="{00000000-0005-0000-0000-0000FAA80000}"/>
    <cellStyle name="Normal 4 4 3 2 2 7" xfId="13305" xr:uid="{00000000-0005-0000-0000-0000FBA80000}"/>
    <cellStyle name="Normal 4 4 3 2 2 7 2" xfId="26873" xr:uid="{00000000-0005-0000-0000-0000FCA80000}"/>
    <cellStyle name="Normal 4 4 3 2 2 7 2 2" xfId="54006" xr:uid="{00000000-0005-0000-0000-0000FDA80000}"/>
    <cellStyle name="Normal 4 4 3 2 2 7 3" xfId="40444" xr:uid="{00000000-0005-0000-0000-0000FEA80000}"/>
    <cellStyle name="Normal 4 4 3 2 2 8" xfId="20092" xr:uid="{00000000-0005-0000-0000-0000FFA80000}"/>
    <cellStyle name="Normal 4 4 3 2 2 8 2" xfId="47225" xr:uid="{00000000-0005-0000-0000-000000A90000}"/>
    <cellStyle name="Normal 4 4 3 2 2 9" xfId="33663" xr:uid="{00000000-0005-0000-0000-000001A90000}"/>
    <cellStyle name="Normal 4 4 3 2 3" xfId="6379" xr:uid="{00000000-0005-0000-0000-000002A90000}"/>
    <cellStyle name="Normal 4 4 3 2 3 2" xfId="6380" xr:uid="{00000000-0005-0000-0000-000003A90000}"/>
    <cellStyle name="Normal 4 4 3 2 3 2 2" xfId="9913" xr:uid="{00000000-0005-0000-0000-000004A90000}"/>
    <cellStyle name="Normal 4 4 3 2 3 2 2 2" xfId="16703" xr:uid="{00000000-0005-0000-0000-000005A90000}"/>
    <cellStyle name="Normal 4 4 3 2 3 2 2 2 2" xfId="30271" xr:uid="{00000000-0005-0000-0000-000006A90000}"/>
    <cellStyle name="Normal 4 4 3 2 3 2 2 2 2 2" xfId="57404" xr:uid="{00000000-0005-0000-0000-000007A90000}"/>
    <cellStyle name="Normal 4 4 3 2 3 2 2 2 3" xfId="43842" xr:uid="{00000000-0005-0000-0000-000008A90000}"/>
    <cellStyle name="Normal 4 4 3 2 3 2 2 3" xfId="23490" xr:uid="{00000000-0005-0000-0000-000009A90000}"/>
    <cellStyle name="Normal 4 4 3 2 3 2 2 3 2" xfId="50623" xr:uid="{00000000-0005-0000-0000-00000AA90000}"/>
    <cellStyle name="Normal 4 4 3 2 3 2 2 4" xfId="37061" xr:uid="{00000000-0005-0000-0000-00000BA90000}"/>
    <cellStyle name="Normal 4 4 3 2 3 2 3" xfId="13314" xr:uid="{00000000-0005-0000-0000-00000CA90000}"/>
    <cellStyle name="Normal 4 4 3 2 3 2 3 2" xfId="26882" xr:uid="{00000000-0005-0000-0000-00000DA90000}"/>
    <cellStyle name="Normal 4 4 3 2 3 2 3 2 2" xfId="54015" xr:uid="{00000000-0005-0000-0000-00000EA90000}"/>
    <cellStyle name="Normal 4 4 3 2 3 2 3 3" xfId="40453" xr:uid="{00000000-0005-0000-0000-00000FA90000}"/>
    <cellStyle name="Normal 4 4 3 2 3 2 4" xfId="20101" xr:uid="{00000000-0005-0000-0000-000010A90000}"/>
    <cellStyle name="Normal 4 4 3 2 3 2 4 2" xfId="47234" xr:uid="{00000000-0005-0000-0000-000011A90000}"/>
    <cellStyle name="Normal 4 4 3 2 3 2 5" xfId="33672" xr:uid="{00000000-0005-0000-0000-000012A90000}"/>
    <cellStyle name="Normal 4 4 3 2 3 3" xfId="6381" xr:uid="{00000000-0005-0000-0000-000013A90000}"/>
    <cellStyle name="Normal 4 4 3 2 3 3 2" xfId="9914" xr:uid="{00000000-0005-0000-0000-000014A90000}"/>
    <cellStyle name="Normal 4 4 3 2 3 3 2 2" xfId="16704" xr:uid="{00000000-0005-0000-0000-000015A90000}"/>
    <cellStyle name="Normal 4 4 3 2 3 3 2 2 2" xfId="30272" xr:uid="{00000000-0005-0000-0000-000016A90000}"/>
    <cellStyle name="Normal 4 4 3 2 3 3 2 2 2 2" xfId="57405" xr:uid="{00000000-0005-0000-0000-000017A90000}"/>
    <cellStyle name="Normal 4 4 3 2 3 3 2 2 3" xfId="43843" xr:uid="{00000000-0005-0000-0000-000018A90000}"/>
    <cellStyle name="Normal 4 4 3 2 3 3 2 3" xfId="23491" xr:uid="{00000000-0005-0000-0000-000019A90000}"/>
    <cellStyle name="Normal 4 4 3 2 3 3 2 3 2" xfId="50624" xr:uid="{00000000-0005-0000-0000-00001AA90000}"/>
    <cellStyle name="Normal 4 4 3 2 3 3 2 4" xfId="37062" xr:uid="{00000000-0005-0000-0000-00001BA90000}"/>
    <cellStyle name="Normal 4 4 3 2 3 3 3" xfId="13315" xr:uid="{00000000-0005-0000-0000-00001CA90000}"/>
    <cellStyle name="Normal 4 4 3 2 3 3 3 2" xfId="26883" xr:uid="{00000000-0005-0000-0000-00001DA90000}"/>
    <cellStyle name="Normal 4 4 3 2 3 3 3 2 2" xfId="54016" xr:uid="{00000000-0005-0000-0000-00001EA90000}"/>
    <cellStyle name="Normal 4 4 3 2 3 3 3 3" xfId="40454" xr:uid="{00000000-0005-0000-0000-00001FA90000}"/>
    <cellStyle name="Normal 4 4 3 2 3 3 4" xfId="20102" xr:uid="{00000000-0005-0000-0000-000020A90000}"/>
    <cellStyle name="Normal 4 4 3 2 3 3 4 2" xfId="47235" xr:uid="{00000000-0005-0000-0000-000021A90000}"/>
    <cellStyle name="Normal 4 4 3 2 3 3 5" xfId="33673" xr:uid="{00000000-0005-0000-0000-000022A90000}"/>
    <cellStyle name="Normal 4 4 3 2 3 4" xfId="9912" xr:uid="{00000000-0005-0000-0000-000023A90000}"/>
    <cellStyle name="Normal 4 4 3 2 3 4 2" xfId="16702" xr:uid="{00000000-0005-0000-0000-000024A90000}"/>
    <cellStyle name="Normal 4 4 3 2 3 4 2 2" xfId="30270" xr:uid="{00000000-0005-0000-0000-000025A90000}"/>
    <cellStyle name="Normal 4 4 3 2 3 4 2 2 2" xfId="57403" xr:uid="{00000000-0005-0000-0000-000026A90000}"/>
    <cellStyle name="Normal 4 4 3 2 3 4 2 3" xfId="43841" xr:uid="{00000000-0005-0000-0000-000027A90000}"/>
    <cellStyle name="Normal 4 4 3 2 3 4 3" xfId="23489" xr:uid="{00000000-0005-0000-0000-000028A90000}"/>
    <cellStyle name="Normal 4 4 3 2 3 4 3 2" xfId="50622" xr:uid="{00000000-0005-0000-0000-000029A90000}"/>
    <cellStyle name="Normal 4 4 3 2 3 4 4" xfId="37060" xr:uid="{00000000-0005-0000-0000-00002AA90000}"/>
    <cellStyle name="Normal 4 4 3 2 3 5" xfId="13313" xr:uid="{00000000-0005-0000-0000-00002BA90000}"/>
    <cellStyle name="Normal 4 4 3 2 3 5 2" xfId="26881" xr:uid="{00000000-0005-0000-0000-00002CA90000}"/>
    <cellStyle name="Normal 4 4 3 2 3 5 2 2" xfId="54014" xr:uid="{00000000-0005-0000-0000-00002DA90000}"/>
    <cellStyle name="Normal 4 4 3 2 3 5 3" xfId="40452" xr:uid="{00000000-0005-0000-0000-00002EA90000}"/>
    <cellStyle name="Normal 4 4 3 2 3 6" xfId="20100" xr:uid="{00000000-0005-0000-0000-00002FA90000}"/>
    <cellStyle name="Normal 4 4 3 2 3 6 2" xfId="47233" xr:uid="{00000000-0005-0000-0000-000030A90000}"/>
    <cellStyle name="Normal 4 4 3 2 3 7" xfId="33671" xr:uid="{00000000-0005-0000-0000-000031A90000}"/>
    <cellStyle name="Normal 4 4 3 2 4" xfId="6382" xr:uid="{00000000-0005-0000-0000-000032A90000}"/>
    <cellStyle name="Normal 4 4 3 2 4 2" xfId="6383" xr:uid="{00000000-0005-0000-0000-000033A90000}"/>
    <cellStyle name="Normal 4 4 3 2 4 2 2" xfId="9916" xr:uid="{00000000-0005-0000-0000-000034A90000}"/>
    <cellStyle name="Normal 4 4 3 2 4 2 2 2" xfId="16706" xr:uid="{00000000-0005-0000-0000-000035A90000}"/>
    <cellStyle name="Normal 4 4 3 2 4 2 2 2 2" xfId="30274" xr:uid="{00000000-0005-0000-0000-000036A90000}"/>
    <cellStyle name="Normal 4 4 3 2 4 2 2 2 2 2" xfId="57407" xr:uid="{00000000-0005-0000-0000-000037A90000}"/>
    <cellStyle name="Normal 4 4 3 2 4 2 2 2 3" xfId="43845" xr:uid="{00000000-0005-0000-0000-000038A90000}"/>
    <cellStyle name="Normal 4 4 3 2 4 2 2 3" xfId="23493" xr:uid="{00000000-0005-0000-0000-000039A90000}"/>
    <cellStyle name="Normal 4 4 3 2 4 2 2 3 2" xfId="50626" xr:uid="{00000000-0005-0000-0000-00003AA90000}"/>
    <cellStyle name="Normal 4 4 3 2 4 2 2 4" xfId="37064" xr:uid="{00000000-0005-0000-0000-00003BA90000}"/>
    <cellStyle name="Normal 4 4 3 2 4 2 3" xfId="13317" xr:uid="{00000000-0005-0000-0000-00003CA90000}"/>
    <cellStyle name="Normal 4 4 3 2 4 2 3 2" xfId="26885" xr:uid="{00000000-0005-0000-0000-00003DA90000}"/>
    <cellStyle name="Normal 4 4 3 2 4 2 3 2 2" xfId="54018" xr:uid="{00000000-0005-0000-0000-00003EA90000}"/>
    <cellStyle name="Normal 4 4 3 2 4 2 3 3" xfId="40456" xr:uid="{00000000-0005-0000-0000-00003FA90000}"/>
    <cellStyle name="Normal 4 4 3 2 4 2 4" xfId="20104" xr:uid="{00000000-0005-0000-0000-000040A90000}"/>
    <cellStyle name="Normal 4 4 3 2 4 2 4 2" xfId="47237" xr:uid="{00000000-0005-0000-0000-000041A90000}"/>
    <cellStyle name="Normal 4 4 3 2 4 2 5" xfId="33675" xr:uid="{00000000-0005-0000-0000-000042A90000}"/>
    <cellStyle name="Normal 4 4 3 2 4 3" xfId="9915" xr:uid="{00000000-0005-0000-0000-000043A90000}"/>
    <cellStyle name="Normal 4 4 3 2 4 3 2" xfId="16705" xr:uid="{00000000-0005-0000-0000-000044A90000}"/>
    <cellStyle name="Normal 4 4 3 2 4 3 2 2" xfId="30273" xr:uid="{00000000-0005-0000-0000-000045A90000}"/>
    <cellStyle name="Normal 4 4 3 2 4 3 2 2 2" xfId="57406" xr:uid="{00000000-0005-0000-0000-000046A90000}"/>
    <cellStyle name="Normal 4 4 3 2 4 3 2 3" xfId="43844" xr:uid="{00000000-0005-0000-0000-000047A90000}"/>
    <cellStyle name="Normal 4 4 3 2 4 3 3" xfId="23492" xr:uid="{00000000-0005-0000-0000-000048A90000}"/>
    <cellStyle name="Normal 4 4 3 2 4 3 3 2" xfId="50625" xr:uid="{00000000-0005-0000-0000-000049A90000}"/>
    <cellStyle name="Normal 4 4 3 2 4 3 4" xfId="37063" xr:uid="{00000000-0005-0000-0000-00004AA90000}"/>
    <cellStyle name="Normal 4 4 3 2 4 4" xfId="13316" xr:uid="{00000000-0005-0000-0000-00004BA90000}"/>
    <cellStyle name="Normal 4 4 3 2 4 4 2" xfId="26884" xr:uid="{00000000-0005-0000-0000-00004CA90000}"/>
    <cellStyle name="Normal 4 4 3 2 4 4 2 2" xfId="54017" xr:uid="{00000000-0005-0000-0000-00004DA90000}"/>
    <cellStyle name="Normal 4 4 3 2 4 4 3" xfId="40455" xr:uid="{00000000-0005-0000-0000-00004EA90000}"/>
    <cellStyle name="Normal 4 4 3 2 4 5" xfId="20103" xr:uid="{00000000-0005-0000-0000-00004FA90000}"/>
    <cellStyle name="Normal 4 4 3 2 4 5 2" xfId="47236" xr:uid="{00000000-0005-0000-0000-000050A90000}"/>
    <cellStyle name="Normal 4 4 3 2 4 6" xfId="33674" xr:uid="{00000000-0005-0000-0000-000051A90000}"/>
    <cellStyle name="Normal 4 4 3 2 5" xfId="6384" xr:uid="{00000000-0005-0000-0000-000052A90000}"/>
    <cellStyle name="Normal 4 4 3 2 5 2" xfId="9917" xr:uid="{00000000-0005-0000-0000-000053A90000}"/>
    <cellStyle name="Normal 4 4 3 2 5 2 2" xfId="16707" xr:uid="{00000000-0005-0000-0000-000054A90000}"/>
    <cellStyle name="Normal 4 4 3 2 5 2 2 2" xfId="30275" xr:uid="{00000000-0005-0000-0000-000055A90000}"/>
    <cellStyle name="Normal 4 4 3 2 5 2 2 2 2" xfId="57408" xr:uid="{00000000-0005-0000-0000-000056A90000}"/>
    <cellStyle name="Normal 4 4 3 2 5 2 2 3" xfId="43846" xr:uid="{00000000-0005-0000-0000-000057A90000}"/>
    <cellStyle name="Normal 4 4 3 2 5 2 3" xfId="23494" xr:uid="{00000000-0005-0000-0000-000058A90000}"/>
    <cellStyle name="Normal 4 4 3 2 5 2 3 2" xfId="50627" xr:uid="{00000000-0005-0000-0000-000059A90000}"/>
    <cellStyle name="Normal 4 4 3 2 5 2 4" xfId="37065" xr:uid="{00000000-0005-0000-0000-00005AA90000}"/>
    <cellStyle name="Normal 4 4 3 2 5 3" xfId="13318" xr:uid="{00000000-0005-0000-0000-00005BA90000}"/>
    <cellStyle name="Normal 4 4 3 2 5 3 2" xfId="26886" xr:uid="{00000000-0005-0000-0000-00005CA90000}"/>
    <cellStyle name="Normal 4 4 3 2 5 3 2 2" xfId="54019" xr:uid="{00000000-0005-0000-0000-00005DA90000}"/>
    <cellStyle name="Normal 4 4 3 2 5 3 3" xfId="40457" xr:uid="{00000000-0005-0000-0000-00005EA90000}"/>
    <cellStyle name="Normal 4 4 3 2 5 4" xfId="20105" xr:uid="{00000000-0005-0000-0000-00005FA90000}"/>
    <cellStyle name="Normal 4 4 3 2 5 4 2" xfId="47238" xr:uid="{00000000-0005-0000-0000-000060A90000}"/>
    <cellStyle name="Normal 4 4 3 2 5 5" xfId="33676" xr:uid="{00000000-0005-0000-0000-000061A90000}"/>
    <cellStyle name="Normal 4 4 3 2 6" xfId="6385" xr:uid="{00000000-0005-0000-0000-000062A90000}"/>
    <cellStyle name="Normal 4 4 3 2 6 2" xfId="9918" xr:uid="{00000000-0005-0000-0000-000063A90000}"/>
    <cellStyle name="Normal 4 4 3 2 6 2 2" xfId="16708" xr:uid="{00000000-0005-0000-0000-000064A90000}"/>
    <cellStyle name="Normal 4 4 3 2 6 2 2 2" xfId="30276" xr:uid="{00000000-0005-0000-0000-000065A90000}"/>
    <cellStyle name="Normal 4 4 3 2 6 2 2 2 2" xfId="57409" xr:uid="{00000000-0005-0000-0000-000066A90000}"/>
    <cellStyle name="Normal 4 4 3 2 6 2 2 3" xfId="43847" xr:uid="{00000000-0005-0000-0000-000067A90000}"/>
    <cellStyle name="Normal 4 4 3 2 6 2 3" xfId="23495" xr:uid="{00000000-0005-0000-0000-000068A90000}"/>
    <cellStyle name="Normal 4 4 3 2 6 2 3 2" xfId="50628" xr:uid="{00000000-0005-0000-0000-000069A90000}"/>
    <cellStyle name="Normal 4 4 3 2 6 2 4" xfId="37066" xr:uid="{00000000-0005-0000-0000-00006AA90000}"/>
    <cellStyle name="Normal 4 4 3 2 6 3" xfId="13319" xr:uid="{00000000-0005-0000-0000-00006BA90000}"/>
    <cellStyle name="Normal 4 4 3 2 6 3 2" xfId="26887" xr:uid="{00000000-0005-0000-0000-00006CA90000}"/>
    <cellStyle name="Normal 4 4 3 2 6 3 2 2" xfId="54020" xr:uid="{00000000-0005-0000-0000-00006DA90000}"/>
    <cellStyle name="Normal 4 4 3 2 6 3 3" xfId="40458" xr:uid="{00000000-0005-0000-0000-00006EA90000}"/>
    <cellStyle name="Normal 4 4 3 2 6 4" xfId="20106" xr:uid="{00000000-0005-0000-0000-00006FA90000}"/>
    <cellStyle name="Normal 4 4 3 2 6 4 2" xfId="47239" xr:uid="{00000000-0005-0000-0000-000070A90000}"/>
    <cellStyle name="Normal 4 4 3 2 6 5" xfId="33677" xr:uid="{00000000-0005-0000-0000-000071A90000}"/>
    <cellStyle name="Normal 4 4 3 2 7" xfId="9903" xr:uid="{00000000-0005-0000-0000-000072A90000}"/>
    <cellStyle name="Normal 4 4 3 2 7 2" xfId="16693" xr:uid="{00000000-0005-0000-0000-000073A90000}"/>
    <cellStyle name="Normal 4 4 3 2 7 2 2" xfId="30261" xr:uid="{00000000-0005-0000-0000-000074A90000}"/>
    <cellStyle name="Normal 4 4 3 2 7 2 2 2" xfId="57394" xr:uid="{00000000-0005-0000-0000-000075A90000}"/>
    <cellStyle name="Normal 4 4 3 2 7 2 3" xfId="43832" xr:uid="{00000000-0005-0000-0000-000076A90000}"/>
    <cellStyle name="Normal 4 4 3 2 7 3" xfId="23480" xr:uid="{00000000-0005-0000-0000-000077A90000}"/>
    <cellStyle name="Normal 4 4 3 2 7 3 2" xfId="50613" xr:uid="{00000000-0005-0000-0000-000078A90000}"/>
    <cellStyle name="Normal 4 4 3 2 7 4" xfId="37051" xr:uid="{00000000-0005-0000-0000-000079A90000}"/>
    <cellStyle name="Normal 4 4 3 2 8" xfId="13304" xr:uid="{00000000-0005-0000-0000-00007AA90000}"/>
    <cellStyle name="Normal 4 4 3 2 8 2" xfId="26872" xr:uid="{00000000-0005-0000-0000-00007BA90000}"/>
    <cellStyle name="Normal 4 4 3 2 8 2 2" xfId="54005" xr:uid="{00000000-0005-0000-0000-00007CA90000}"/>
    <cellStyle name="Normal 4 4 3 2 8 3" xfId="40443" xr:uid="{00000000-0005-0000-0000-00007DA90000}"/>
    <cellStyle name="Normal 4 4 3 2 9" xfId="20091" xr:uid="{00000000-0005-0000-0000-00007EA90000}"/>
    <cellStyle name="Normal 4 4 3 2 9 2" xfId="47224" xr:uid="{00000000-0005-0000-0000-00007FA90000}"/>
    <cellStyle name="Normal 4 4 3 3" xfId="6386" xr:uid="{00000000-0005-0000-0000-000080A90000}"/>
    <cellStyle name="Normal 4 4 3 3 2" xfId="6387" xr:uid="{00000000-0005-0000-0000-000081A90000}"/>
    <cellStyle name="Normal 4 4 3 3 2 2" xfId="6388" xr:uid="{00000000-0005-0000-0000-000082A90000}"/>
    <cellStyle name="Normal 4 4 3 3 2 2 2" xfId="9921" xr:uid="{00000000-0005-0000-0000-000083A90000}"/>
    <cellStyle name="Normal 4 4 3 3 2 2 2 2" xfId="16711" xr:uid="{00000000-0005-0000-0000-000084A90000}"/>
    <cellStyle name="Normal 4 4 3 3 2 2 2 2 2" xfId="30279" xr:uid="{00000000-0005-0000-0000-000085A90000}"/>
    <cellStyle name="Normal 4 4 3 3 2 2 2 2 2 2" xfId="57412" xr:uid="{00000000-0005-0000-0000-000086A90000}"/>
    <cellStyle name="Normal 4 4 3 3 2 2 2 2 3" xfId="43850" xr:uid="{00000000-0005-0000-0000-000087A90000}"/>
    <cellStyle name="Normal 4 4 3 3 2 2 2 3" xfId="23498" xr:uid="{00000000-0005-0000-0000-000088A90000}"/>
    <cellStyle name="Normal 4 4 3 3 2 2 2 3 2" xfId="50631" xr:uid="{00000000-0005-0000-0000-000089A90000}"/>
    <cellStyle name="Normal 4 4 3 3 2 2 2 4" xfId="37069" xr:uid="{00000000-0005-0000-0000-00008AA90000}"/>
    <cellStyle name="Normal 4 4 3 3 2 2 3" xfId="13322" xr:uid="{00000000-0005-0000-0000-00008BA90000}"/>
    <cellStyle name="Normal 4 4 3 3 2 2 3 2" xfId="26890" xr:uid="{00000000-0005-0000-0000-00008CA90000}"/>
    <cellStyle name="Normal 4 4 3 3 2 2 3 2 2" xfId="54023" xr:uid="{00000000-0005-0000-0000-00008DA90000}"/>
    <cellStyle name="Normal 4 4 3 3 2 2 3 3" xfId="40461" xr:uid="{00000000-0005-0000-0000-00008EA90000}"/>
    <cellStyle name="Normal 4 4 3 3 2 2 4" xfId="20109" xr:uid="{00000000-0005-0000-0000-00008FA90000}"/>
    <cellStyle name="Normal 4 4 3 3 2 2 4 2" xfId="47242" xr:uid="{00000000-0005-0000-0000-000090A90000}"/>
    <cellStyle name="Normal 4 4 3 3 2 2 5" xfId="33680" xr:uid="{00000000-0005-0000-0000-000091A90000}"/>
    <cellStyle name="Normal 4 4 3 3 2 3" xfId="6389" xr:uid="{00000000-0005-0000-0000-000092A90000}"/>
    <cellStyle name="Normal 4 4 3 3 2 3 2" xfId="9922" xr:uid="{00000000-0005-0000-0000-000093A90000}"/>
    <cellStyle name="Normal 4 4 3 3 2 3 2 2" xfId="16712" xr:uid="{00000000-0005-0000-0000-000094A90000}"/>
    <cellStyle name="Normal 4 4 3 3 2 3 2 2 2" xfId="30280" xr:uid="{00000000-0005-0000-0000-000095A90000}"/>
    <cellStyle name="Normal 4 4 3 3 2 3 2 2 2 2" xfId="57413" xr:uid="{00000000-0005-0000-0000-000096A90000}"/>
    <cellStyle name="Normal 4 4 3 3 2 3 2 2 3" xfId="43851" xr:uid="{00000000-0005-0000-0000-000097A90000}"/>
    <cellStyle name="Normal 4 4 3 3 2 3 2 3" xfId="23499" xr:uid="{00000000-0005-0000-0000-000098A90000}"/>
    <cellStyle name="Normal 4 4 3 3 2 3 2 3 2" xfId="50632" xr:uid="{00000000-0005-0000-0000-000099A90000}"/>
    <cellStyle name="Normal 4 4 3 3 2 3 2 4" xfId="37070" xr:uid="{00000000-0005-0000-0000-00009AA90000}"/>
    <cellStyle name="Normal 4 4 3 3 2 3 3" xfId="13323" xr:uid="{00000000-0005-0000-0000-00009BA90000}"/>
    <cellStyle name="Normal 4 4 3 3 2 3 3 2" xfId="26891" xr:uid="{00000000-0005-0000-0000-00009CA90000}"/>
    <cellStyle name="Normal 4 4 3 3 2 3 3 2 2" xfId="54024" xr:uid="{00000000-0005-0000-0000-00009DA90000}"/>
    <cellStyle name="Normal 4 4 3 3 2 3 3 3" xfId="40462" xr:uid="{00000000-0005-0000-0000-00009EA90000}"/>
    <cellStyle name="Normal 4 4 3 3 2 3 4" xfId="20110" xr:uid="{00000000-0005-0000-0000-00009FA90000}"/>
    <cellStyle name="Normal 4 4 3 3 2 3 4 2" xfId="47243" xr:uid="{00000000-0005-0000-0000-0000A0A90000}"/>
    <cellStyle name="Normal 4 4 3 3 2 3 5" xfId="33681" xr:uid="{00000000-0005-0000-0000-0000A1A90000}"/>
    <cellStyle name="Normal 4 4 3 3 2 4" xfId="9920" xr:uid="{00000000-0005-0000-0000-0000A2A90000}"/>
    <cellStyle name="Normal 4 4 3 3 2 4 2" xfId="16710" xr:uid="{00000000-0005-0000-0000-0000A3A90000}"/>
    <cellStyle name="Normal 4 4 3 3 2 4 2 2" xfId="30278" xr:uid="{00000000-0005-0000-0000-0000A4A90000}"/>
    <cellStyle name="Normal 4 4 3 3 2 4 2 2 2" xfId="57411" xr:uid="{00000000-0005-0000-0000-0000A5A90000}"/>
    <cellStyle name="Normal 4 4 3 3 2 4 2 3" xfId="43849" xr:uid="{00000000-0005-0000-0000-0000A6A90000}"/>
    <cellStyle name="Normal 4 4 3 3 2 4 3" xfId="23497" xr:uid="{00000000-0005-0000-0000-0000A7A90000}"/>
    <cellStyle name="Normal 4 4 3 3 2 4 3 2" xfId="50630" xr:uid="{00000000-0005-0000-0000-0000A8A90000}"/>
    <cellStyle name="Normal 4 4 3 3 2 4 4" xfId="37068" xr:uid="{00000000-0005-0000-0000-0000A9A90000}"/>
    <cellStyle name="Normal 4 4 3 3 2 5" xfId="13321" xr:uid="{00000000-0005-0000-0000-0000AAA90000}"/>
    <cellStyle name="Normal 4 4 3 3 2 5 2" xfId="26889" xr:uid="{00000000-0005-0000-0000-0000ABA90000}"/>
    <cellStyle name="Normal 4 4 3 3 2 5 2 2" xfId="54022" xr:uid="{00000000-0005-0000-0000-0000ACA90000}"/>
    <cellStyle name="Normal 4 4 3 3 2 5 3" xfId="40460" xr:uid="{00000000-0005-0000-0000-0000ADA90000}"/>
    <cellStyle name="Normal 4 4 3 3 2 6" xfId="20108" xr:uid="{00000000-0005-0000-0000-0000AEA90000}"/>
    <cellStyle name="Normal 4 4 3 3 2 6 2" xfId="47241" xr:uid="{00000000-0005-0000-0000-0000AFA90000}"/>
    <cellStyle name="Normal 4 4 3 3 2 7" xfId="33679" xr:uid="{00000000-0005-0000-0000-0000B0A90000}"/>
    <cellStyle name="Normal 4 4 3 3 3" xfId="6390" xr:uid="{00000000-0005-0000-0000-0000B1A90000}"/>
    <cellStyle name="Normal 4 4 3 3 3 2" xfId="6391" xr:uid="{00000000-0005-0000-0000-0000B2A90000}"/>
    <cellStyle name="Normal 4 4 3 3 3 2 2" xfId="9924" xr:uid="{00000000-0005-0000-0000-0000B3A90000}"/>
    <cellStyle name="Normal 4 4 3 3 3 2 2 2" xfId="16714" xr:uid="{00000000-0005-0000-0000-0000B4A90000}"/>
    <cellStyle name="Normal 4 4 3 3 3 2 2 2 2" xfId="30282" xr:uid="{00000000-0005-0000-0000-0000B5A90000}"/>
    <cellStyle name="Normal 4 4 3 3 3 2 2 2 2 2" xfId="57415" xr:uid="{00000000-0005-0000-0000-0000B6A90000}"/>
    <cellStyle name="Normal 4 4 3 3 3 2 2 2 3" xfId="43853" xr:uid="{00000000-0005-0000-0000-0000B7A90000}"/>
    <cellStyle name="Normal 4 4 3 3 3 2 2 3" xfId="23501" xr:uid="{00000000-0005-0000-0000-0000B8A90000}"/>
    <cellStyle name="Normal 4 4 3 3 3 2 2 3 2" xfId="50634" xr:uid="{00000000-0005-0000-0000-0000B9A90000}"/>
    <cellStyle name="Normal 4 4 3 3 3 2 2 4" xfId="37072" xr:uid="{00000000-0005-0000-0000-0000BAA90000}"/>
    <cellStyle name="Normal 4 4 3 3 3 2 3" xfId="13325" xr:uid="{00000000-0005-0000-0000-0000BBA90000}"/>
    <cellStyle name="Normal 4 4 3 3 3 2 3 2" xfId="26893" xr:uid="{00000000-0005-0000-0000-0000BCA90000}"/>
    <cellStyle name="Normal 4 4 3 3 3 2 3 2 2" xfId="54026" xr:uid="{00000000-0005-0000-0000-0000BDA90000}"/>
    <cellStyle name="Normal 4 4 3 3 3 2 3 3" xfId="40464" xr:uid="{00000000-0005-0000-0000-0000BEA90000}"/>
    <cellStyle name="Normal 4 4 3 3 3 2 4" xfId="20112" xr:uid="{00000000-0005-0000-0000-0000BFA90000}"/>
    <cellStyle name="Normal 4 4 3 3 3 2 4 2" xfId="47245" xr:uid="{00000000-0005-0000-0000-0000C0A90000}"/>
    <cellStyle name="Normal 4 4 3 3 3 2 5" xfId="33683" xr:uid="{00000000-0005-0000-0000-0000C1A90000}"/>
    <cellStyle name="Normal 4 4 3 3 3 3" xfId="9923" xr:uid="{00000000-0005-0000-0000-0000C2A90000}"/>
    <cellStyle name="Normal 4 4 3 3 3 3 2" xfId="16713" xr:uid="{00000000-0005-0000-0000-0000C3A90000}"/>
    <cellStyle name="Normal 4 4 3 3 3 3 2 2" xfId="30281" xr:uid="{00000000-0005-0000-0000-0000C4A90000}"/>
    <cellStyle name="Normal 4 4 3 3 3 3 2 2 2" xfId="57414" xr:uid="{00000000-0005-0000-0000-0000C5A90000}"/>
    <cellStyle name="Normal 4 4 3 3 3 3 2 3" xfId="43852" xr:uid="{00000000-0005-0000-0000-0000C6A90000}"/>
    <cellStyle name="Normal 4 4 3 3 3 3 3" xfId="23500" xr:uid="{00000000-0005-0000-0000-0000C7A90000}"/>
    <cellStyle name="Normal 4 4 3 3 3 3 3 2" xfId="50633" xr:uid="{00000000-0005-0000-0000-0000C8A90000}"/>
    <cellStyle name="Normal 4 4 3 3 3 3 4" xfId="37071" xr:uid="{00000000-0005-0000-0000-0000C9A90000}"/>
    <cellStyle name="Normal 4 4 3 3 3 4" xfId="13324" xr:uid="{00000000-0005-0000-0000-0000CAA90000}"/>
    <cellStyle name="Normal 4 4 3 3 3 4 2" xfId="26892" xr:uid="{00000000-0005-0000-0000-0000CBA90000}"/>
    <cellStyle name="Normal 4 4 3 3 3 4 2 2" xfId="54025" xr:uid="{00000000-0005-0000-0000-0000CCA90000}"/>
    <cellStyle name="Normal 4 4 3 3 3 4 3" xfId="40463" xr:uid="{00000000-0005-0000-0000-0000CDA90000}"/>
    <cellStyle name="Normal 4 4 3 3 3 5" xfId="20111" xr:uid="{00000000-0005-0000-0000-0000CEA90000}"/>
    <cellStyle name="Normal 4 4 3 3 3 5 2" xfId="47244" xr:uid="{00000000-0005-0000-0000-0000CFA90000}"/>
    <cellStyle name="Normal 4 4 3 3 3 6" xfId="33682" xr:uid="{00000000-0005-0000-0000-0000D0A90000}"/>
    <cellStyle name="Normal 4 4 3 3 4" xfId="6392" xr:uid="{00000000-0005-0000-0000-0000D1A90000}"/>
    <cellStyle name="Normal 4 4 3 3 4 2" xfId="9925" xr:uid="{00000000-0005-0000-0000-0000D2A90000}"/>
    <cellStyle name="Normal 4 4 3 3 4 2 2" xfId="16715" xr:uid="{00000000-0005-0000-0000-0000D3A90000}"/>
    <cellStyle name="Normal 4 4 3 3 4 2 2 2" xfId="30283" xr:uid="{00000000-0005-0000-0000-0000D4A90000}"/>
    <cellStyle name="Normal 4 4 3 3 4 2 2 2 2" xfId="57416" xr:uid="{00000000-0005-0000-0000-0000D5A90000}"/>
    <cellStyle name="Normal 4 4 3 3 4 2 2 3" xfId="43854" xr:uid="{00000000-0005-0000-0000-0000D6A90000}"/>
    <cellStyle name="Normal 4 4 3 3 4 2 3" xfId="23502" xr:uid="{00000000-0005-0000-0000-0000D7A90000}"/>
    <cellStyle name="Normal 4 4 3 3 4 2 3 2" xfId="50635" xr:uid="{00000000-0005-0000-0000-0000D8A90000}"/>
    <cellStyle name="Normal 4 4 3 3 4 2 4" xfId="37073" xr:uid="{00000000-0005-0000-0000-0000D9A90000}"/>
    <cellStyle name="Normal 4 4 3 3 4 3" xfId="13326" xr:uid="{00000000-0005-0000-0000-0000DAA90000}"/>
    <cellStyle name="Normal 4 4 3 3 4 3 2" xfId="26894" xr:uid="{00000000-0005-0000-0000-0000DBA90000}"/>
    <cellStyle name="Normal 4 4 3 3 4 3 2 2" xfId="54027" xr:uid="{00000000-0005-0000-0000-0000DCA90000}"/>
    <cellStyle name="Normal 4 4 3 3 4 3 3" xfId="40465" xr:uid="{00000000-0005-0000-0000-0000DDA90000}"/>
    <cellStyle name="Normal 4 4 3 3 4 4" xfId="20113" xr:uid="{00000000-0005-0000-0000-0000DEA90000}"/>
    <cellStyle name="Normal 4 4 3 3 4 4 2" xfId="47246" xr:uid="{00000000-0005-0000-0000-0000DFA90000}"/>
    <cellStyle name="Normal 4 4 3 3 4 5" xfId="33684" xr:uid="{00000000-0005-0000-0000-0000E0A90000}"/>
    <cellStyle name="Normal 4 4 3 3 5" xfId="6393" xr:uid="{00000000-0005-0000-0000-0000E1A90000}"/>
    <cellStyle name="Normal 4 4 3 3 5 2" xfId="9926" xr:uid="{00000000-0005-0000-0000-0000E2A90000}"/>
    <cellStyle name="Normal 4 4 3 3 5 2 2" xfId="16716" xr:uid="{00000000-0005-0000-0000-0000E3A90000}"/>
    <cellStyle name="Normal 4 4 3 3 5 2 2 2" xfId="30284" xr:uid="{00000000-0005-0000-0000-0000E4A90000}"/>
    <cellStyle name="Normal 4 4 3 3 5 2 2 2 2" xfId="57417" xr:uid="{00000000-0005-0000-0000-0000E5A90000}"/>
    <cellStyle name="Normal 4 4 3 3 5 2 2 3" xfId="43855" xr:uid="{00000000-0005-0000-0000-0000E6A90000}"/>
    <cellStyle name="Normal 4 4 3 3 5 2 3" xfId="23503" xr:uid="{00000000-0005-0000-0000-0000E7A90000}"/>
    <cellStyle name="Normal 4 4 3 3 5 2 3 2" xfId="50636" xr:uid="{00000000-0005-0000-0000-0000E8A90000}"/>
    <cellStyle name="Normal 4 4 3 3 5 2 4" xfId="37074" xr:uid="{00000000-0005-0000-0000-0000E9A90000}"/>
    <cellStyle name="Normal 4 4 3 3 5 3" xfId="13327" xr:uid="{00000000-0005-0000-0000-0000EAA90000}"/>
    <cellStyle name="Normal 4 4 3 3 5 3 2" xfId="26895" xr:uid="{00000000-0005-0000-0000-0000EBA90000}"/>
    <cellStyle name="Normal 4 4 3 3 5 3 2 2" xfId="54028" xr:uid="{00000000-0005-0000-0000-0000ECA90000}"/>
    <cellStyle name="Normal 4 4 3 3 5 3 3" xfId="40466" xr:uid="{00000000-0005-0000-0000-0000EDA90000}"/>
    <cellStyle name="Normal 4 4 3 3 5 4" xfId="20114" xr:uid="{00000000-0005-0000-0000-0000EEA90000}"/>
    <cellStyle name="Normal 4 4 3 3 5 4 2" xfId="47247" xr:uid="{00000000-0005-0000-0000-0000EFA90000}"/>
    <cellStyle name="Normal 4 4 3 3 5 5" xfId="33685" xr:uid="{00000000-0005-0000-0000-0000F0A90000}"/>
    <cellStyle name="Normal 4 4 3 3 6" xfId="9919" xr:uid="{00000000-0005-0000-0000-0000F1A90000}"/>
    <cellStyle name="Normal 4 4 3 3 6 2" xfId="16709" xr:uid="{00000000-0005-0000-0000-0000F2A90000}"/>
    <cellStyle name="Normal 4 4 3 3 6 2 2" xfId="30277" xr:uid="{00000000-0005-0000-0000-0000F3A90000}"/>
    <cellStyle name="Normal 4 4 3 3 6 2 2 2" xfId="57410" xr:uid="{00000000-0005-0000-0000-0000F4A90000}"/>
    <cellStyle name="Normal 4 4 3 3 6 2 3" xfId="43848" xr:uid="{00000000-0005-0000-0000-0000F5A90000}"/>
    <cellStyle name="Normal 4 4 3 3 6 3" xfId="23496" xr:uid="{00000000-0005-0000-0000-0000F6A90000}"/>
    <cellStyle name="Normal 4 4 3 3 6 3 2" xfId="50629" xr:uid="{00000000-0005-0000-0000-0000F7A90000}"/>
    <cellStyle name="Normal 4 4 3 3 6 4" xfId="37067" xr:uid="{00000000-0005-0000-0000-0000F8A90000}"/>
    <cellStyle name="Normal 4 4 3 3 7" xfId="13320" xr:uid="{00000000-0005-0000-0000-0000F9A90000}"/>
    <cellStyle name="Normal 4 4 3 3 7 2" xfId="26888" xr:uid="{00000000-0005-0000-0000-0000FAA90000}"/>
    <cellStyle name="Normal 4 4 3 3 7 2 2" xfId="54021" xr:uid="{00000000-0005-0000-0000-0000FBA90000}"/>
    <cellStyle name="Normal 4 4 3 3 7 3" xfId="40459" xr:uid="{00000000-0005-0000-0000-0000FCA90000}"/>
    <cellStyle name="Normal 4 4 3 3 8" xfId="20107" xr:uid="{00000000-0005-0000-0000-0000FDA90000}"/>
    <cellStyle name="Normal 4 4 3 3 8 2" xfId="47240" xr:uid="{00000000-0005-0000-0000-0000FEA90000}"/>
    <cellStyle name="Normal 4 4 3 3 9" xfId="33678" xr:uid="{00000000-0005-0000-0000-0000FFA90000}"/>
    <cellStyle name="Normal 4 4 3 4" xfId="6394" xr:uid="{00000000-0005-0000-0000-000000AA0000}"/>
    <cellStyle name="Normal 4 4 3 4 2" xfId="6395" xr:uid="{00000000-0005-0000-0000-000001AA0000}"/>
    <cellStyle name="Normal 4 4 3 4 2 2" xfId="6396" xr:uid="{00000000-0005-0000-0000-000002AA0000}"/>
    <cellStyle name="Normal 4 4 3 4 2 2 2" xfId="9929" xr:uid="{00000000-0005-0000-0000-000003AA0000}"/>
    <cellStyle name="Normal 4 4 3 4 2 2 2 2" xfId="16719" xr:uid="{00000000-0005-0000-0000-000004AA0000}"/>
    <cellStyle name="Normal 4 4 3 4 2 2 2 2 2" xfId="30287" xr:uid="{00000000-0005-0000-0000-000005AA0000}"/>
    <cellStyle name="Normal 4 4 3 4 2 2 2 2 2 2" xfId="57420" xr:uid="{00000000-0005-0000-0000-000006AA0000}"/>
    <cellStyle name="Normal 4 4 3 4 2 2 2 2 3" xfId="43858" xr:uid="{00000000-0005-0000-0000-000007AA0000}"/>
    <cellStyle name="Normal 4 4 3 4 2 2 2 3" xfId="23506" xr:uid="{00000000-0005-0000-0000-000008AA0000}"/>
    <cellStyle name="Normal 4 4 3 4 2 2 2 3 2" xfId="50639" xr:uid="{00000000-0005-0000-0000-000009AA0000}"/>
    <cellStyle name="Normal 4 4 3 4 2 2 2 4" xfId="37077" xr:uid="{00000000-0005-0000-0000-00000AAA0000}"/>
    <cellStyle name="Normal 4 4 3 4 2 2 3" xfId="13330" xr:uid="{00000000-0005-0000-0000-00000BAA0000}"/>
    <cellStyle name="Normal 4 4 3 4 2 2 3 2" xfId="26898" xr:uid="{00000000-0005-0000-0000-00000CAA0000}"/>
    <cellStyle name="Normal 4 4 3 4 2 2 3 2 2" xfId="54031" xr:uid="{00000000-0005-0000-0000-00000DAA0000}"/>
    <cellStyle name="Normal 4 4 3 4 2 2 3 3" xfId="40469" xr:uid="{00000000-0005-0000-0000-00000EAA0000}"/>
    <cellStyle name="Normal 4 4 3 4 2 2 4" xfId="20117" xr:uid="{00000000-0005-0000-0000-00000FAA0000}"/>
    <cellStyle name="Normal 4 4 3 4 2 2 4 2" xfId="47250" xr:uid="{00000000-0005-0000-0000-000010AA0000}"/>
    <cellStyle name="Normal 4 4 3 4 2 2 5" xfId="33688" xr:uid="{00000000-0005-0000-0000-000011AA0000}"/>
    <cellStyle name="Normal 4 4 3 4 2 3" xfId="6397" xr:uid="{00000000-0005-0000-0000-000012AA0000}"/>
    <cellStyle name="Normal 4 4 3 4 2 3 2" xfId="9930" xr:uid="{00000000-0005-0000-0000-000013AA0000}"/>
    <cellStyle name="Normal 4 4 3 4 2 3 2 2" xfId="16720" xr:uid="{00000000-0005-0000-0000-000014AA0000}"/>
    <cellStyle name="Normal 4 4 3 4 2 3 2 2 2" xfId="30288" xr:uid="{00000000-0005-0000-0000-000015AA0000}"/>
    <cellStyle name="Normal 4 4 3 4 2 3 2 2 2 2" xfId="57421" xr:uid="{00000000-0005-0000-0000-000016AA0000}"/>
    <cellStyle name="Normal 4 4 3 4 2 3 2 2 3" xfId="43859" xr:uid="{00000000-0005-0000-0000-000017AA0000}"/>
    <cellStyle name="Normal 4 4 3 4 2 3 2 3" xfId="23507" xr:uid="{00000000-0005-0000-0000-000018AA0000}"/>
    <cellStyle name="Normal 4 4 3 4 2 3 2 3 2" xfId="50640" xr:uid="{00000000-0005-0000-0000-000019AA0000}"/>
    <cellStyle name="Normal 4 4 3 4 2 3 2 4" xfId="37078" xr:uid="{00000000-0005-0000-0000-00001AAA0000}"/>
    <cellStyle name="Normal 4 4 3 4 2 3 3" xfId="13331" xr:uid="{00000000-0005-0000-0000-00001BAA0000}"/>
    <cellStyle name="Normal 4 4 3 4 2 3 3 2" xfId="26899" xr:uid="{00000000-0005-0000-0000-00001CAA0000}"/>
    <cellStyle name="Normal 4 4 3 4 2 3 3 2 2" xfId="54032" xr:uid="{00000000-0005-0000-0000-00001DAA0000}"/>
    <cellStyle name="Normal 4 4 3 4 2 3 3 3" xfId="40470" xr:uid="{00000000-0005-0000-0000-00001EAA0000}"/>
    <cellStyle name="Normal 4 4 3 4 2 3 4" xfId="20118" xr:uid="{00000000-0005-0000-0000-00001FAA0000}"/>
    <cellStyle name="Normal 4 4 3 4 2 3 4 2" xfId="47251" xr:uid="{00000000-0005-0000-0000-000020AA0000}"/>
    <cellStyle name="Normal 4 4 3 4 2 3 5" xfId="33689" xr:uid="{00000000-0005-0000-0000-000021AA0000}"/>
    <cellStyle name="Normal 4 4 3 4 2 4" xfId="9928" xr:uid="{00000000-0005-0000-0000-000022AA0000}"/>
    <cellStyle name="Normal 4 4 3 4 2 4 2" xfId="16718" xr:uid="{00000000-0005-0000-0000-000023AA0000}"/>
    <cellStyle name="Normal 4 4 3 4 2 4 2 2" xfId="30286" xr:uid="{00000000-0005-0000-0000-000024AA0000}"/>
    <cellStyle name="Normal 4 4 3 4 2 4 2 2 2" xfId="57419" xr:uid="{00000000-0005-0000-0000-000025AA0000}"/>
    <cellStyle name="Normal 4 4 3 4 2 4 2 3" xfId="43857" xr:uid="{00000000-0005-0000-0000-000026AA0000}"/>
    <cellStyle name="Normal 4 4 3 4 2 4 3" xfId="23505" xr:uid="{00000000-0005-0000-0000-000027AA0000}"/>
    <cellStyle name="Normal 4 4 3 4 2 4 3 2" xfId="50638" xr:uid="{00000000-0005-0000-0000-000028AA0000}"/>
    <cellStyle name="Normal 4 4 3 4 2 4 4" xfId="37076" xr:uid="{00000000-0005-0000-0000-000029AA0000}"/>
    <cellStyle name="Normal 4 4 3 4 2 5" xfId="13329" xr:uid="{00000000-0005-0000-0000-00002AAA0000}"/>
    <cellStyle name="Normal 4 4 3 4 2 5 2" xfId="26897" xr:uid="{00000000-0005-0000-0000-00002BAA0000}"/>
    <cellStyle name="Normal 4 4 3 4 2 5 2 2" xfId="54030" xr:uid="{00000000-0005-0000-0000-00002CAA0000}"/>
    <cellStyle name="Normal 4 4 3 4 2 5 3" xfId="40468" xr:uid="{00000000-0005-0000-0000-00002DAA0000}"/>
    <cellStyle name="Normal 4 4 3 4 2 6" xfId="20116" xr:uid="{00000000-0005-0000-0000-00002EAA0000}"/>
    <cellStyle name="Normal 4 4 3 4 2 6 2" xfId="47249" xr:uid="{00000000-0005-0000-0000-00002FAA0000}"/>
    <cellStyle name="Normal 4 4 3 4 2 7" xfId="33687" xr:uid="{00000000-0005-0000-0000-000030AA0000}"/>
    <cellStyle name="Normal 4 4 3 4 3" xfId="6398" xr:uid="{00000000-0005-0000-0000-000031AA0000}"/>
    <cellStyle name="Normal 4 4 3 4 3 2" xfId="9931" xr:uid="{00000000-0005-0000-0000-000032AA0000}"/>
    <cellStyle name="Normal 4 4 3 4 3 2 2" xfId="16721" xr:uid="{00000000-0005-0000-0000-000033AA0000}"/>
    <cellStyle name="Normal 4 4 3 4 3 2 2 2" xfId="30289" xr:uid="{00000000-0005-0000-0000-000034AA0000}"/>
    <cellStyle name="Normal 4 4 3 4 3 2 2 2 2" xfId="57422" xr:uid="{00000000-0005-0000-0000-000035AA0000}"/>
    <cellStyle name="Normal 4 4 3 4 3 2 2 3" xfId="43860" xr:uid="{00000000-0005-0000-0000-000036AA0000}"/>
    <cellStyle name="Normal 4 4 3 4 3 2 3" xfId="23508" xr:uid="{00000000-0005-0000-0000-000037AA0000}"/>
    <cellStyle name="Normal 4 4 3 4 3 2 3 2" xfId="50641" xr:uid="{00000000-0005-0000-0000-000038AA0000}"/>
    <cellStyle name="Normal 4 4 3 4 3 2 4" xfId="37079" xr:uid="{00000000-0005-0000-0000-000039AA0000}"/>
    <cellStyle name="Normal 4 4 3 4 3 3" xfId="13332" xr:uid="{00000000-0005-0000-0000-00003AAA0000}"/>
    <cellStyle name="Normal 4 4 3 4 3 3 2" xfId="26900" xr:uid="{00000000-0005-0000-0000-00003BAA0000}"/>
    <cellStyle name="Normal 4 4 3 4 3 3 2 2" xfId="54033" xr:uid="{00000000-0005-0000-0000-00003CAA0000}"/>
    <cellStyle name="Normal 4 4 3 4 3 3 3" xfId="40471" xr:uid="{00000000-0005-0000-0000-00003DAA0000}"/>
    <cellStyle name="Normal 4 4 3 4 3 4" xfId="20119" xr:uid="{00000000-0005-0000-0000-00003EAA0000}"/>
    <cellStyle name="Normal 4 4 3 4 3 4 2" xfId="47252" xr:uid="{00000000-0005-0000-0000-00003FAA0000}"/>
    <cellStyle name="Normal 4 4 3 4 3 5" xfId="33690" xr:uid="{00000000-0005-0000-0000-000040AA0000}"/>
    <cellStyle name="Normal 4 4 3 4 4" xfId="6399" xr:uid="{00000000-0005-0000-0000-000041AA0000}"/>
    <cellStyle name="Normal 4 4 3 4 4 2" xfId="9932" xr:uid="{00000000-0005-0000-0000-000042AA0000}"/>
    <cellStyle name="Normal 4 4 3 4 4 2 2" xfId="16722" xr:uid="{00000000-0005-0000-0000-000043AA0000}"/>
    <cellStyle name="Normal 4 4 3 4 4 2 2 2" xfId="30290" xr:uid="{00000000-0005-0000-0000-000044AA0000}"/>
    <cellStyle name="Normal 4 4 3 4 4 2 2 2 2" xfId="57423" xr:uid="{00000000-0005-0000-0000-000045AA0000}"/>
    <cellStyle name="Normal 4 4 3 4 4 2 2 3" xfId="43861" xr:uid="{00000000-0005-0000-0000-000046AA0000}"/>
    <cellStyle name="Normal 4 4 3 4 4 2 3" xfId="23509" xr:uid="{00000000-0005-0000-0000-000047AA0000}"/>
    <cellStyle name="Normal 4 4 3 4 4 2 3 2" xfId="50642" xr:uid="{00000000-0005-0000-0000-000048AA0000}"/>
    <cellStyle name="Normal 4 4 3 4 4 2 4" xfId="37080" xr:uid="{00000000-0005-0000-0000-000049AA0000}"/>
    <cellStyle name="Normal 4 4 3 4 4 3" xfId="13333" xr:uid="{00000000-0005-0000-0000-00004AAA0000}"/>
    <cellStyle name="Normal 4 4 3 4 4 3 2" xfId="26901" xr:uid="{00000000-0005-0000-0000-00004BAA0000}"/>
    <cellStyle name="Normal 4 4 3 4 4 3 2 2" xfId="54034" xr:uid="{00000000-0005-0000-0000-00004CAA0000}"/>
    <cellStyle name="Normal 4 4 3 4 4 3 3" xfId="40472" xr:uid="{00000000-0005-0000-0000-00004DAA0000}"/>
    <cellStyle name="Normal 4 4 3 4 4 4" xfId="20120" xr:uid="{00000000-0005-0000-0000-00004EAA0000}"/>
    <cellStyle name="Normal 4 4 3 4 4 4 2" xfId="47253" xr:uid="{00000000-0005-0000-0000-00004FAA0000}"/>
    <cellStyle name="Normal 4 4 3 4 4 5" xfId="33691" xr:uid="{00000000-0005-0000-0000-000050AA0000}"/>
    <cellStyle name="Normal 4 4 3 4 5" xfId="9927" xr:uid="{00000000-0005-0000-0000-000051AA0000}"/>
    <cellStyle name="Normal 4 4 3 4 5 2" xfId="16717" xr:uid="{00000000-0005-0000-0000-000052AA0000}"/>
    <cellStyle name="Normal 4 4 3 4 5 2 2" xfId="30285" xr:uid="{00000000-0005-0000-0000-000053AA0000}"/>
    <cellStyle name="Normal 4 4 3 4 5 2 2 2" xfId="57418" xr:uid="{00000000-0005-0000-0000-000054AA0000}"/>
    <cellStyle name="Normal 4 4 3 4 5 2 3" xfId="43856" xr:uid="{00000000-0005-0000-0000-000055AA0000}"/>
    <cellStyle name="Normal 4 4 3 4 5 3" xfId="23504" xr:uid="{00000000-0005-0000-0000-000056AA0000}"/>
    <cellStyle name="Normal 4 4 3 4 5 3 2" xfId="50637" xr:uid="{00000000-0005-0000-0000-000057AA0000}"/>
    <cellStyle name="Normal 4 4 3 4 5 4" xfId="37075" xr:uid="{00000000-0005-0000-0000-000058AA0000}"/>
    <cellStyle name="Normal 4 4 3 4 6" xfId="13328" xr:uid="{00000000-0005-0000-0000-000059AA0000}"/>
    <cellStyle name="Normal 4 4 3 4 6 2" xfId="26896" xr:uid="{00000000-0005-0000-0000-00005AAA0000}"/>
    <cellStyle name="Normal 4 4 3 4 6 2 2" xfId="54029" xr:uid="{00000000-0005-0000-0000-00005BAA0000}"/>
    <cellStyle name="Normal 4 4 3 4 6 3" xfId="40467" xr:uid="{00000000-0005-0000-0000-00005CAA0000}"/>
    <cellStyle name="Normal 4 4 3 4 7" xfId="20115" xr:uid="{00000000-0005-0000-0000-00005DAA0000}"/>
    <cellStyle name="Normal 4 4 3 4 7 2" xfId="47248" xr:uid="{00000000-0005-0000-0000-00005EAA0000}"/>
    <cellStyle name="Normal 4 4 3 4 8" xfId="33686" xr:uid="{00000000-0005-0000-0000-00005FAA0000}"/>
    <cellStyle name="Normal 4 4 3 5" xfId="6400" xr:uid="{00000000-0005-0000-0000-000060AA0000}"/>
    <cellStyle name="Normal 4 4 3 5 2" xfId="6401" xr:uid="{00000000-0005-0000-0000-000061AA0000}"/>
    <cellStyle name="Normal 4 4 3 5 2 2" xfId="6402" xr:uid="{00000000-0005-0000-0000-000062AA0000}"/>
    <cellStyle name="Normal 4 4 3 5 2 2 2" xfId="9935" xr:uid="{00000000-0005-0000-0000-000063AA0000}"/>
    <cellStyle name="Normal 4 4 3 5 2 2 2 2" xfId="16725" xr:uid="{00000000-0005-0000-0000-000064AA0000}"/>
    <cellStyle name="Normal 4 4 3 5 2 2 2 2 2" xfId="30293" xr:uid="{00000000-0005-0000-0000-000065AA0000}"/>
    <cellStyle name="Normal 4 4 3 5 2 2 2 2 2 2" xfId="57426" xr:uid="{00000000-0005-0000-0000-000066AA0000}"/>
    <cellStyle name="Normal 4 4 3 5 2 2 2 2 3" xfId="43864" xr:uid="{00000000-0005-0000-0000-000067AA0000}"/>
    <cellStyle name="Normal 4 4 3 5 2 2 2 3" xfId="23512" xr:uid="{00000000-0005-0000-0000-000068AA0000}"/>
    <cellStyle name="Normal 4 4 3 5 2 2 2 3 2" xfId="50645" xr:uid="{00000000-0005-0000-0000-000069AA0000}"/>
    <cellStyle name="Normal 4 4 3 5 2 2 2 4" xfId="37083" xr:uid="{00000000-0005-0000-0000-00006AAA0000}"/>
    <cellStyle name="Normal 4 4 3 5 2 2 3" xfId="13336" xr:uid="{00000000-0005-0000-0000-00006BAA0000}"/>
    <cellStyle name="Normal 4 4 3 5 2 2 3 2" xfId="26904" xr:uid="{00000000-0005-0000-0000-00006CAA0000}"/>
    <cellStyle name="Normal 4 4 3 5 2 2 3 2 2" xfId="54037" xr:uid="{00000000-0005-0000-0000-00006DAA0000}"/>
    <cellStyle name="Normal 4 4 3 5 2 2 3 3" xfId="40475" xr:uid="{00000000-0005-0000-0000-00006EAA0000}"/>
    <cellStyle name="Normal 4 4 3 5 2 2 4" xfId="20123" xr:uid="{00000000-0005-0000-0000-00006FAA0000}"/>
    <cellStyle name="Normal 4 4 3 5 2 2 4 2" xfId="47256" xr:uid="{00000000-0005-0000-0000-000070AA0000}"/>
    <cellStyle name="Normal 4 4 3 5 2 2 5" xfId="33694" xr:uid="{00000000-0005-0000-0000-000071AA0000}"/>
    <cellStyle name="Normal 4 4 3 5 2 3" xfId="6403" xr:uid="{00000000-0005-0000-0000-000072AA0000}"/>
    <cellStyle name="Normal 4 4 3 5 2 3 2" xfId="9936" xr:uid="{00000000-0005-0000-0000-000073AA0000}"/>
    <cellStyle name="Normal 4 4 3 5 2 3 2 2" xfId="16726" xr:uid="{00000000-0005-0000-0000-000074AA0000}"/>
    <cellStyle name="Normal 4 4 3 5 2 3 2 2 2" xfId="30294" xr:uid="{00000000-0005-0000-0000-000075AA0000}"/>
    <cellStyle name="Normal 4 4 3 5 2 3 2 2 2 2" xfId="57427" xr:uid="{00000000-0005-0000-0000-000076AA0000}"/>
    <cellStyle name="Normal 4 4 3 5 2 3 2 2 3" xfId="43865" xr:uid="{00000000-0005-0000-0000-000077AA0000}"/>
    <cellStyle name="Normal 4 4 3 5 2 3 2 3" xfId="23513" xr:uid="{00000000-0005-0000-0000-000078AA0000}"/>
    <cellStyle name="Normal 4 4 3 5 2 3 2 3 2" xfId="50646" xr:uid="{00000000-0005-0000-0000-000079AA0000}"/>
    <cellStyle name="Normal 4 4 3 5 2 3 2 4" xfId="37084" xr:uid="{00000000-0005-0000-0000-00007AAA0000}"/>
    <cellStyle name="Normal 4 4 3 5 2 3 3" xfId="13337" xr:uid="{00000000-0005-0000-0000-00007BAA0000}"/>
    <cellStyle name="Normal 4 4 3 5 2 3 3 2" xfId="26905" xr:uid="{00000000-0005-0000-0000-00007CAA0000}"/>
    <cellStyle name="Normal 4 4 3 5 2 3 3 2 2" xfId="54038" xr:uid="{00000000-0005-0000-0000-00007DAA0000}"/>
    <cellStyle name="Normal 4 4 3 5 2 3 3 3" xfId="40476" xr:uid="{00000000-0005-0000-0000-00007EAA0000}"/>
    <cellStyle name="Normal 4 4 3 5 2 3 4" xfId="20124" xr:uid="{00000000-0005-0000-0000-00007FAA0000}"/>
    <cellStyle name="Normal 4 4 3 5 2 3 4 2" xfId="47257" xr:uid="{00000000-0005-0000-0000-000080AA0000}"/>
    <cellStyle name="Normal 4 4 3 5 2 3 5" xfId="33695" xr:uid="{00000000-0005-0000-0000-000081AA0000}"/>
    <cellStyle name="Normal 4 4 3 5 2 4" xfId="9934" xr:uid="{00000000-0005-0000-0000-000082AA0000}"/>
    <cellStyle name="Normal 4 4 3 5 2 4 2" xfId="16724" xr:uid="{00000000-0005-0000-0000-000083AA0000}"/>
    <cellStyle name="Normal 4 4 3 5 2 4 2 2" xfId="30292" xr:uid="{00000000-0005-0000-0000-000084AA0000}"/>
    <cellStyle name="Normal 4 4 3 5 2 4 2 2 2" xfId="57425" xr:uid="{00000000-0005-0000-0000-000085AA0000}"/>
    <cellStyle name="Normal 4 4 3 5 2 4 2 3" xfId="43863" xr:uid="{00000000-0005-0000-0000-000086AA0000}"/>
    <cellStyle name="Normal 4 4 3 5 2 4 3" xfId="23511" xr:uid="{00000000-0005-0000-0000-000087AA0000}"/>
    <cellStyle name="Normal 4 4 3 5 2 4 3 2" xfId="50644" xr:uid="{00000000-0005-0000-0000-000088AA0000}"/>
    <cellStyle name="Normal 4 4 3 5 2 4 4" xfId="37082" xr:uid="{00000000-0005-0000-0000-000089AA0000}"/>
    <cellStyle name="Normal 4 4 3 5 2 5" xfId="13335" xr:uid="{00000000-0005-0000-0000-00008AAA0000}"/>
    <cellStyle name="Normal 4 4 3 5 2 5 2" xfId="26903" xr:uid="{00000000-0005-0000-0000-00008BAA0000}"/>
    <cellStyle name="Normal 4 4 3 5 2 5 2 2" xfId="54036" xr:uid="{00000000-0005-0000-0000-00008CAA0000}"/>
    <cellStyle name="Normal 4 4 3 5 2 5 3" xfId="40474" xr:uid="{00000000-0005-0000-0000-00008DAA0000}"/>
    <cellStyle name="Normal 4 4 3 5 2 6" xfId="20122" xr:uid="{00000000-0005-0000-0000-00008EAA0000}"/>
    <cellStyle name="Normal 4 4 3 5 2 6 2" xfId="47255" xr:uid="{00000000-0005-0000-0000-00008FAA0000}"/>
    <cellStyle name="Normal 4 4 3 5 2 7" xfId="33693" xr:uid="{00000000-0005-0000-0000-000090AA0000}"/>
    <cellStyle name="Normal 4 4 3 5 3" xfId="6404" xr:uid="{00000000-0005-0000-0000-000091AA0000}"/>
    <cellStyle name="Normal 4 4 3 5 3 2" xfId="9937" xr:uid="{00000000-0005-0000-0000-000092AA0000}"/>
    <cellStyle name="Normal 4 4 3 5 3 2 2" xfId="16727" xr:uid="{00000000-0005-0000-0000-000093AA0000}"/>
    <cellStyle name="Normal 4 4 3 5 3 2 2 2" xfId="30295" xr:uid="{00000000-0005-0000-0000-000094AA0000}"/>
    <cellStyle name="Normal 4 4 3 5 3 2 2 2 2" xfId="57428" xr:uid="{00000000-0005-0000-0000-000095AA0000}"/>
    <cellStyle name="Normal 4 4 3 5 3 2 2 3" xfId="43866" xr:uid="{00000000-0005-0000-0000-000096AA0000}"/>
    <cellStyle name="Normal 4 4 3 5 3 2 3" xfId="23514" xr:uid="{00000000-0005-0000-0000-000097AA0000}"/>
    <cellStyle name="Normal 4 4 3 5 3 2 3 2" xfId="50647" xr:uid="{00000000-0005-0000-0000-000098AA0000}"/>
    <cellStyle name="Normal 4 4 3 5 3 2 4" xfId="37085" xr:uid="{00000000-0005-0000-0000-000099AA0000}"/>
    <cellStyle name="Normal 4 4 3 5 3 3" xfId="13338" xr:uid="{00000000-0005-0000-0000-00009AAA0000}"/>
    <cellStyle name="Normal 4 4 3 5 3 3 2" xfId="26906" xr:uid="{00000000-0005-0000-0000-00009BAA0000}"/>
    <cellStyle name="Normal 4 4 3 5 3 3 2 2" xfId="54039" xr:uid="{00000000-0005-0000-0000-00009CAA0000}"/>
    <cellStyle name="Normal 4 4 3 5 3 3 3" xfId="40477" xr:uid="{00000000-0005-0000-0000-00009DAA0000}"/>
    <cellStyle name="Normal 4 4 3 5 3 4" xfId="20125" xr:uid="{00000000-0005-0000-0000-00009EAA0000}"/>
    <cellStyle name="Normal 4 4 3 5 3 4 2" xfId="47258" xr:uid="{00000000-0005-0000-0000-00009FAA0000}"/>
    <cellStyle name="Normal 4 4 3 5 3 5" xfId="33696" xr:uid="{00000000-0005-0000-0000-0000A0AA0000}"/>
    <cellStyle name="Normal 4 4 3 5 4" xfId="6405" xr:uid="{00000000-0005-0000-0000-0000A1AA0000}"/>
    <cellStyle name="Normal 4 4 3 5 4 2" xfId="9938" xr:uid="{00000000-0005-0000-0000-0000A2AA0000}"/>
    <cellStyle name="Normal 4 4 3 5 4 2 2" xfId="16728" xr:uid="{00000000-0005-0000-0000-0000A3AA0000}"/>
    <cellStyle name="Normal 4 4 3 5 4 2 2 2" xfId="30296" xr:uid="{00000000-0005-0000-0000-0000A4AA0000}"/>
    <cellStyle name="Normal 4 4 3 5 4 2 2 2 2" xfId="57429" xr:uid="{00000000-0005-0000-0000-0000A5AA0000}"/>
    <cellStyle name="Normal 4 4 3 5 4 2 2 3" xfId="43867" xr:uid="{00000000-0005-0000-0000-0000A6AA0000}"/>
    <cellStyle name="Normal 4 4 3 5 4 2 3" xfId="23515" xr:uid="{00000000-0005-0000-0000-0000A7AA0000}"/>
    <cellStyle name="Normal 4 4 3 5 4 2 3 2" xfId="50648" xr:uid="{00000000-0005-0000-0000-0000A8AA0000}"/>
    <cellStyle name="Normal 4 4 3 5 4 2 4" xfId="37086" xr:uid="{00000000-0005-0000-0000-0000A9AA0000}"/>
    <cellStyle name="Normal 4 4 3 5 4 3" xfId="13339" xr:uid="{00000000-0005-0000-0000-0000AAAA0000}"/>
    <cellStyle name="Normal 4 4 3 5 4 3 2" xfId="26907" xr:uid="{00000000-0005-0000-0000-0000ABAA0000}"/>
    <cellStyle name="Normal 4 4 3 5 4 3 2 2" xfId="54040" xr:uid="{00000000-0005-0000-0000-0000ACAA0000}"/>
    <cellStyle name="Normal 4 4 3 5 4 3 3" xfId="40478" xr:uid="{00000000-0005-0000-0000-0000ADAA0000}"/>
    <cellStyle name="Normal 4 4 3 5 4 4" xfId="20126" xr:uid="{00000000-0005-0000-0000-0000AEAA0000}"/>
    <cellStyle name="Normal 4 4 3 5 4 4 2" xfId="47259" xr:uid="{00000000-0005-0000-0000-0000AFAA0000}"/>
    <cellStyle name="Normal 4 4 3 5 4 5" xfId="33697" xr:uid="{00000000-0005-0000-0000-0000B0AA0000}"/>
    <cellStyle name="Normal 4 4 3 5 5" xfId="9933" xr:uid="{00000000-0005-0000-0000-0000B1AA0000}"/>
    <cellStyle name="Normal 4 4 3 5 5 2" xfId="16723" xr:uid="{00000000-0005-0000-0000-0000B2AA0000}"/>
    <cellStyle name="Normal 4 4 3 5 5 2 2" xfId="30291" xr:uid="{00000000-0005-0000-0000-0000B3AA0000}"/>
    <cellStyle name="Normal 4 4 3 5 5 2 2 2" xfId="57424" xr:uid="{00000000-0005-0000-0000-0000B4AA0000}"/>
    <cellStyle name="Normal 4 4 3 5 5 2 3" xfId="43862" xr:uid="{00000000-0005-0000-0000-0000B5AA0000}"/>
    <cellStyle name="Normal 4 4 3 5 5 3" xfId="23510" xr:uid="{00000000-0005-0000-0000-0000B6AA0000}"/>
    <cellStyle name="Normal 4 4 3 5 5 3 2" xfId="50643" xr:uid="{00000000-0005-0000-0000-0000B7AA0000}"/>
    <cellStyle name="Normal 4 4 3 5 5 4" xfId="37081" xr:uid="{00000000-0005-0000-0000-0000B8AA0000}"/>
    <cellStyle name="Normal 4 4 3 5 6" xfId="13334" xr:uid="{00000000-0005-0000-0000-0000B9AA0000}"/>
    <cellStyle name="Normal 4 4 3 5 6 2" xfId="26902" xr:uid="{00000000-0005-0000-0000-0000BAAA0000}"/>
    <cellStyle name="Normal 4 4 3 5 6 2 2" xfId="54035" xr:uid="{00000000-0005-0000-0000-0000BBAA0000}"/>
    <cellStyle name="Normal 4 4 3 5 6 3" xfId="40473" xr:uid="{00000000-0005-0000-0000-0000BCAA0000}"/>
    <cellStyle name="Normal 4 4 3 5 7" xfId="20121" xr:uid="{00000000-0005-0000-0000-0000BDAA0000}"/>
    <cellStyle name="Normal 4 4 3 5 7 2" xfId="47254" xr:uid="{00000000-0005-0000-0000-0000BEAA0000}"/>
    <cellStyle name="Normal 4 4 3 5 8" xfId="33692" xr:uid="{00000000-0005-0000-0000-0000BFAA0000}"/>
    <cellStyle name="Normal 4 4 3 6" xfId="6406" xr:uid="{00000000-0005-0000-0000-0000C0AA0000}"/>
    <cellStyle name="Normal 4 4 3 6 2" xfId="6407" xr:uid="{00000000-0005-0000-0000-0000C1AA0000}"/>
    <cellStyle name="Normal 4 4 3 6 2 2" xfId="9940" xr:uid="{00000000-0005-0000-0000-0000C2AA0000}"/>
    <cellStyle name="Normal 4 4 3 6 2 2 2" xfId="16730" xr:uid="{00000000-0005-0000-0000-0000C3AA0000}"/>
    <cellStyle name="Normal 4 4 3 6 2 2 2 2" xfId="30298" xr:uid="{00000000-0005-0000-0000-0000C4AA0000}"/>
    <cellStyle name="Normal 4 4 3 6 2 2 2 2 2" xfId="57431" xr:uid="{00000000-0005-0000-0000-0000C5AA0000}"/>
    <cellStyle name="Normal 4 4 3 6 2 2 2 3" xfId="43869" xr:uid="{00000000-0005-0000-0000-0000C6AA0000}"/>
    <cellStyle name="Normal 4 4 3 6 2 2 3" xfId="23517" xr:uid="{00000000-0005-0000-0000-0000C7AA0000}"/>
    <cellStyle name="Normal 4 4 3 6 2 2 3 2" xfId="50650" xr:uid="{00000000-0005-0000-0000-0000C8AA0000}"/>
    <cellStyle name="Normal 4 4 3 6 2 2 4" xfId="37088" xr:uid="{00000000-0005-0000-0000-0000C9AA0000}"/>
    <cellStyle name="Normal 4 4 3 6 2 3" xfId="13341" xr:uid="{00000000-0005-0000-0000-0000CAAA0000}"/>
    <cellStyle name="Normal 4 4 3 6 2 3 2" xfId="26909" xr:uid="{00000000-0005-0000-0000-0000CBAA0000}"/>
    <cellStyle name="Normal 4 4 3 6 2 3 2 2" xfId="54042" xr:uid="{00000000-0005-0000-0000-0000CCAA0000}"/>
    <cellStyle name="Normal 4 4 3 6 2 3 3" xfId="40480" xr:uid="{00000000-0005-0000-0000-0000CDAA0000}"/>
    <cellStyle name="Normal 4 4 3 6 2 4" xfId="20128" xr:uid="{00000000-0005-0000-0000-0000CEAA0000}"/>
    <cellStyle name="Normal 4 4 3 6 2 4 2" xfId="47261" xr:uid="{00000000-0005-0000-0000-0000CFAA0000}"/>
    <cellStyle name="Normal 4 4 3 6 2 5" xfId="33699" xr:uid="{00000000-0005-0000-0000-0000D0AA0000}"/>
    <cellStyle name="Normal 4 4 3 6 3" xfId="6408" xr:uid="{00000000-0005-0000-0000-0000D1AA0000}"/>
    <cellStyle name="Normal 4 4 3 6 3 2" xfId="9941" xr:uid="{00000000-0005-0000-0000-0000D2AA0000}"/>
    <cellStyle name="Normal 4 4 3 6 3 2 2" xfId="16731" xr:uid="{00000000-0005-0000-0000-0000D3AA0000}"/>
    <cellStyle name="Normal 4 4 3 6 3 2 2 2" xfId="30299" xr:uid="{00000000-0005-0000-0000-0000D4AA0000}"/>
    <cellStyle name="Normal 4 4 3 6 3 2 2 2 2" xfId="57432" xr:uid="{00000000-0005-0000-0000-0000D5AA0000}"/>
    <cellStyle name="Normal 4 4 3 6 3 2 2 3" xfId="43870" xr:uid="{00000000-0005-0000-0000-0000D6AA0000}"/>
    <cellStyle name="Normal 4 4 3 6 3 2 3" xfId="23518" xr:uid="{00000000-0005-0000-0000-0000D7AA0000}"/>
    <cellStyle name="Normal 4 4 3 6 3 2 3 2" xfId="50651" xr:uid="{00000000-0005-0000-0000-0000D8AA0000}"/>
    <cellStyle name="Normal 4 4 3 6 3 2 4" xfId="37089" xr:uid="{00000000-0005-0000-0000-0000D9AA0000}"/>
    <cellStyle name="Normal 4 4 3 6 3 3" xfId="13342" xr:uid="{00000000-0005-0000-0000-0000DAAA0000}"/>
    <cellStyle name="Normal 4 4 3 6 3 3 2" xfId="26910" xr:uid="{00000000-0005-0000-0000-0000DBAA0000}"/>
    <cellStyle name="Normal 4 4 3 6 3 3 2 2" xfId="54043" xr:uid="{00000000-0005-0000-0000-0000DCAA0000}"/>
    <cellStyle name="Normal 4 4 3 6 3 3 3" xfId="40481" xr:uid="{00000000-0005-0000-0000-0000DDAA0000}"/>
    <cellStyle name="Normal 4 4 3 6 3 4" xfId="20129" xr:uid="{00000000-0005-0000-0000-0000DEAA0000}"/>
    <cellStyle name="Normal 4 4 3 6 3 4 2" xfId="47262" xr:uid="{00000000-0005-0000-0000-0000DFAA0000}"/>
    <cellStyle name="Normal 4 4 3 6 3 5" xfId="33700" xr:uid="{00000000-0005-0000-0000-0000E0AA0000}"/>
    <cellStyle name="Normal 4 4 3 6 4" xfId="9939" xr:uid="{00000000-0005-0000-0000-0000E1AA0000}"/>
    <cellStyle name="Normal 4 4 3 6 4 2" xfId="16729" xr:uid="{00000000-0005-0000-0000-0000E2AA0000}"/>
    <cellStyle name="Normal 4 4 3 6 4 2 2" xfId="30297" xr:uid="{00000000-0005-0000-0000-0000E3AA0000}"/>
    <cellStyle name="Normal 4 4 3 6 4 2 2 2" xfId="57430" xr:uid="{00000000-0005-0000-0000-0000E4AA0000}"/>
    <cellStyle name="Normal 4 4 3 6 4 2 3" xfId="43868" xr:uid="{00000000-0005-0000-0000-0000E5AA0000}"/>
    <cellStyle name="Normal 4 4 3 6 4 3" xfId="23516" xr:uid="{00000000-0005-0000-0000-0000E6AA0000}"/>
    <cellStyle name="Normal 4 4 3 6 4 3 2" xfId="50649" xr:uid="{00000000-0005-0000-0000-0000E7AA0000}"/>
    <cellStyle name="Normal 4 4 3 6 4 4" xfId="37087" xr:uid="{00000000-0005-0000-0000-0000E8AA0000}"/>
    <cellStyle name="Normal 4 4 3 6 5" xfId="13340" xr:uid="{00000000-0005-0000-0000-0000E9AA0000}"/>
    <cellStyle name="Normal 4 4 3 6 5 2" xfId="26908" xr:uid="{00000000-0005-0000-0000-0000EAAA0000}"/>
    <cellStyle name="Normal 4 4 3 6 5 2 2" xfId="54041" xr:uid="{00000000-0005-0000-0000-0000EBAA0000}"/>
    <cellStyle name="Normal 4 4 3 6 5 3" xfId="40479" xr:uid="{00000000-0005-0000-0000-0000ECAA0000}"/>
    <cellStyle name="Normal 4 4 3 6 6" xfId="20127" xr:uid="{00000000-0005-0000-0000-0000EDAA0000}"/>
    <cellStyle name="Normal 4 4 3 6 6 2" xfId="47260" xr:uid="{00000000-0005-0000-0000-0000EEAA0000}"/>
    <cellStyle name="Normal 4 4 3 6 7" xfId="33698" xr:uid="{00000000-0005-0000-0000-0000EFAA0000}"/>
    <cellStyle name="Normal 4 4 3 7" xfId="6409" xr:uid="{00000000-0005-0000-0000-0000F0AA0000}"/>
    <cellStyle name="Normal 4 4 3 7 2" xfId="6410" xr:uid="{00000000-0005-0000-0000-0000F1AA0000}"/>
    <cellStyle name="Normal 4 4 3 7 2 2" xfId="9943" xr:uid="{00000000-0005-0000-0000-0000F2AA0000}"/>
    <cellStyle name="Normal 4 4 3 7 2 2 2" xfId="16733" xr:uid="{00000000-0005-0000-0000-0000F3AA0000}"/>
    <cellStyle name="Normal 4 4 3 7 2 2 2 2" xfId="30301" xr:uid="{00000000-0005-0000-0000-0000F4AA0000}"/>
    <cellStyle name="Normal 4 4 3 7 2 2 2 2 2" xfId="57434" xr:uid="{00000000-0005-0000-0000-0000F5AA0000}"/>
    <cellStyle name="Normal 4 4 3 7 2 2 2 3" xfId="43872" xr:uid="{00000000-0005-0000-0000-0000F6AA0000}"/>
    <cellStyle name="Normal 4 4 3 7 2 2 3" xfId="23520" xr:uid="{00000000-0005-0000-0000-0000F7AA0000}"/>
    <cellStyle name="Normal 4 4 3 7 2 2 3 2" xfId="50653" xr:uid="{00000000-0005-0000-0000-0000F8AA0000}"/>
    <cellStyle name="Normal 4 4 3 7 2 2 4" xfId="37091" xr:uid="{00000000-0005-0000-0000-0000F9AA0000}"/>
    <cellStyle name="Normal 4 4 3 7 2 3" xfId="13344" xr:uid="{00000000-0005-0000-0000-0000FAAA0000}"/>
    <cellStyle name="Normal 4 4 3 7 2 3 2" xfId="26912" xr:uid="{00000000-0005-0000-0000-0000FBAA0000}"/>
    <cellStyle name="Normal 4 4 3 7 2 3 2 2" xfId="54045" xr:uid="{00000000-0005-0000-0000-0000FCAA0000}"/>
    <cellStyle name="Normal 4 4 3 7 2 3 3" xfId="40483" xr:uid="{00000000-0005-0000-0000-0000FDAA0000}"/>
    <cellStyle name="Normal 4 4 3 7 2 4" xfId="20131" xr:uid="{00000000-0005-0000-0000-0000FEAA0000}"/>
    <cellStyle name="Normal 4 4 3 7 2 4 2" xfId="47264" xr:uid="{00000000-0005-0000-0000-0000FFAA0000}"/>
    <cellStyle name="Normal 4 4 3 7 2 5" xfId="33702" xr:uid="{00000000-0005-0000-0000-000000AB0000}"/>
    <cellStyle name="Normal 4 4 3 7 3" xfId="6411" xr:uid="{00000000-0005-0000-0000-000001AB0000}"/>
    <cellStyle name="Normal 4 4 3 7 3 2" xfId="9944" xr:uid="{00000000-0005-0000-0000-000002AB0000}"/>
    <cellStyle name="Normal 4 4 3 7 3 2 2" xfId="16734" xr:uid="{00000000-0005-0000-0000-000003AB0000}"/>
    <cellStyle name="Normal 4 4 3 7 3 2 2 2" xfId="30302" xr:uid="{00000000-0005-0000-0000-000004AB0000}"/>
    <cellStyle name="Normal 4 4 3 7 3 2 2 2 2" xfId="57435" xr:uid="{00000000-0005-0000-0000-000005AB0000}"/>
    <cellStyle name="Normal 4 4 3 7 3 2 2 3" xfId="43873" xr:uid="{00000000-0005-0000-0000-000006AB0000}"/>
    <cellStyle name="Normal 4 4 3 7 3 2 3" xfId="23521" xr:uid="{00000000-0005-0000-0000-000007AB0000}"/>
    <cellStyle name="Normal 4 4 3 7 3 2 3 2" xfId="50654" xr:uid="{00000000-0005-0000-0000-000008AB0000}"/>
    <cellStyle name="Normal 4 4 3 7 3 2 4" xfId="37092" xr:uid="{00000000-0005-0000-0000-000009AB0000}"/>
    <cellStyle name="Normal 4 4 3 7 3 3" xfId="13345" xr:uid="{00000000-0005-0000-0000-00000AAB0000}"/>
    <cellStyle name="Normal 4 4 3 7 3 3 2" xfId="26913" xr:uid="{00000000-0005-0000-0000-00000BAB0000}"/>
    <cellStyle name="Normal 4 4 3 7 3 3 2 2" xfId="54046" xr:uid="{00000000-0005-0000-0000-00000CAB0000}"/>
    <cellStyle name="Normal 4 4 3 7 3 3 3" xfId="40484" xr:uid="{00000000-0005-0000-0000-00000DAB0000}"/>
    <cellStyle name="Normal 4 4 3 7 3 4" xfId="20132" xr:uid="{00000000-0005-0000-0000-00000EAB0000}"/>
    <cellStyle name="Normal 4 4 3 7 3 4 2" xfId="47265" xr:uid="{00000000-0005-0000-0000-00000FAB0000}"/>
    <cellStyle name="Normal 4 4 3 7 3 5" xfId="33703" xr:uid="{00000000-0005-0000-0000-000010AB0000}"/>
    <cellStyle name="Normal 4 4 3 7 4" xfId="9942" xr:uid="{00000000-0005-0000-0000-000011AB0000}"/>
    <cellStyle name="Normal 4 4 3 7 4 2" xfId="16732" xr:uid="{00000000-0005-0000-0000-000012AB0000}"/>
    <cellStyle name="Normal 4 4 3 7 4 2 2" xfId="30300" xr:uid="{00000000-0005-0000-0000-000013AB0000}"/>
    <cellStyle name="Normal 4 4 3 7 4 2 2 2" xfId="57433" xr:uid="{00000000-0005-0000-0000-000014AB0000}"/>
    <cellStyle name="Normal 4 4 3 7 4 2 3" xfId="43871" xr:uid="{00000000-0005-0000-0000-000015AB0000}"/>
    <cellStyle name="Normal 4 4 3 7 4 3" xfId="23519" xr:uid="{00000000-0005-0000-0000-000016AB0000}"/>
    <cellStyle name="Normal 4 4 3 7 4 3 2" xfId="50652" xr:uid="{00000000-0005-0000-0000-000017AB0000}"/>
    <cellStyle name="Normal 4 4 3 7 4 4" xfId="37090" xr:uid="{00000000-0005-0000-0000-000018AB0000}"/>
    <cellStyle name="Normal 4 4 3 7 5" xfId="13343" xr:uid="{00000000-0005-0000-0000-000019AB0000}"/>
    <cellStyle name="Normal 4 4 3 7 5 2" xfId="26911" xr:uid="{00000000-0005-0000-0000-00001AAB0000}"/>
    <cellStyle name="Normal 4 4 3 7 5 2 2" xfId="54044" xr:uid="{00000000-0005-0000-0000-00001BAB0000}"/>
    <cellStyle name="Normal 4 4 3 7 5 3" xfId="40482" xr:uid="{00000000-0005-0000-0000-00001CAB0000}"/>
    <cellStyle name="Normal 4 4 3 7 6" xfId="20130" xr:uid="{00000000-0005-0000-0000-00001DAB0000}"/>
    <cellStyle name="Normal 4 4 3 7 6 2" xfId="47263" xr:uid="{00000000-0005-0000-0000-00001EAB0000}"/>
    <cellStyle name="Normal 4 4 3 7 7" xfId="33701" xr:uid="{00000000-0005-0000-0000-00001FAB0000}"/>
    <cellStyle name="Normal 4 4 3 8" xfId="6412" xr:uid="{00000000-0005-0000-0000-000020AB0000}"/>
    <cellStyle name="Normal 4 4 3 8 2" xfId="9945" xr:uid="{00000000-0005-0000-0000-000021AB0000}"/>
    <cellStyle name="Normal 4 4 3 8 2 2" xfId="16735" xr:uid="{00000000-0005-0000-0000-000022AB0000}"/>
    <cellStyle name="Normal 4 4 3 8 2 2 2" xfId="30303" xr:uid="{00000000-0005-0000-0000-000023AB0000}"/>
    <cellStyle name="Normal 4 4 3 8 2 2 2 2" xfId="57436" xr:uid="{00000000-0005-0000-0000-000024AB0000}"/>
    <cellStyle name="Normal 4 4 3 8 2 2 3" xfId="43874" xr:uid="{00000000-0005-0000-0000-000025AB0000}"/>
    <cellStyle name="Normal 4 4 3 8 2 3" xfId="23522" xr:uid="{00000000-0005-0000-0000-000026AB0000}"/>
    <cellStyle name="Normal 4 4 3 8 2 3 2" xfId="50655" xr:uid="{00000000-0005-0000-0000-000027AB0000}"/>
    <cellStyle name="Normal 4 4 3 8 2 4" xfId="37093" xr:uid="{00000000-0005-0000-0000-000028AB0000}"/>
    <cellStyle name="Normal 4 4 3 8 3" xfId="13346" xr:uid="{00000000-0005-0000-0000-000029AB0000}"/>
    <cellStyle name="Normal 4 4 3 8 3 2" xfId="26914" xr:uid="{00000000-0005-0000-0000-00002AAB0000}"/>
    <cellStyle name="Normal 4 4 3 8 3 2 2" xfId="54047" xr:uid="{00000000-0005-0000-0000-00002BAB0000}"/>
    <cellStyle name="Normal 4 4 3 8 3 3" xfId="40485" xr:uid="{00000000-0005-0000-0000-00002CAB0000}"/>
    <cellStyle name="Normal 4 4 3 8 4" xfId="20133" xr:uid="{00000000-0005-0000-0000-00002DAB0000}"/>
    <cellStyle name="Normal 4 4 3 8 4 2" xfId="47266" xr:uid="{00000000-0005-0000-0000-00002EAB0000}"/>
    <cellStyle name="Normal 4 4 3 8 5" xfId="33704" xr:uid="{00000000-0005-0000-0000-00002FAB0000}"/>
    <cellStyle name="Normal 4 4 3 9" xfId="6413" xr:uid="{00000000-0005-0000-0000-000030AB0000}"/>
    <cellStyle name="Normal 4 4 3 9 2" xfId="9946" xr:uid="{00000000-0005-0000-0000-000031AB0000}"/>
    <cellStyle name="Normal 4 4 3 9 2 2" xfId="16736" xr:uid="{00000000-0005-0000-0000-000032AB0000}"/>
    <cellStyle name="Normal 4 4 3 9 2 2 2" xfId="30304" xr:uid="{00000000-0005-0000-0000-000033AB0000}"/>
    <cellStyle name="Normal 4 4 3 9 2 2 2 2" xfId="57437" xr:uid="{00000000-0005-0000-0000-000034AB0000}"/>
    <cellStyle name="Normal 4 4 3 9 2 2 3" xfId="43875" xr:uid="{00000000-0005-0000-0000-000035AB0000}"/>
    <cellStyle name="Normal 4 4 3 9 2 3" xfId="23523" xr:uid="{00000000-0005-0000-0000-000036AB0000}"/>
    <cellStyle name="Normal 4 4 3 9 2 3 2" xfId="50656" xr:uid="{00000000-0005-0000-0000-000037AB0000}"/>
    <cellStyle name="Normal 4 4 3 9 2 4" xfId="37094" xr:uid="{00000000-0005-0000-0000-000038AB0000}"/>
    <cellStyle name="Normal 4 4 3 9 3" xfId="13347" xr:uid="{00000000-0005-0000-0000-000039AB0000}"/>
    <cellStyle name="Normal 4 4 3 9 3 2" xfId="26915" xr:uid="{00000000-0005-0000-0000-00003AAB0000}"/>
    <cellStyle name="Normal 4 4 3 9 3 2 2" xfId="54048" xr:uid="{00000000-0005-0000-0000-00003BAB0000}"/>
    <cellStyle name="Normal 4 4 3 9 3 3" xfId="40486" xr:uid="{00000000-0005-0000-0000-00003CAB0000}"/>
    <cellStyle name="Normal 4 4 3 9 4" xfId="20134" xr:uid="{00000000-0005-0000-0000-00003DAB0000}"/>
    <cellStyle name="Normal 4 4 3 9 4 2" xfId="47267" xr:uid="{00000000-0005-0000-0000-00003EAB0000}"/>
    <cellStyle name="Normal 4 4 3 9 5" xfId="33705" xr:uid="{00000000-0005-0000-0000-00003FAB0000}"/>
    <cellStyle name="Normal 4 4 4" xfId="6414" xr:uid="{00000000-0005-0000-0000-000040AB0000}"/>
    <cellStyle name="Normal 4 4 4 10" xfId="13348" xr:uid="{00000000-0005-0000-0000-000041AB0000}"/>
    <cellStyle name="Normal 4 4 4 10 2" xfId="26916" xr:uid="{00000000-0005-0000-0000-000042AB0000}"/>
    <cellStyle name="Normal 4 4 4 10 2 2" xfId="54049" xr:uid="{00000000-0005-0000-0000-000043AB0000}"/>
    <cellStyle name="Normal 4 4 4 10 3" xfId="40487" xr:uid="{00000000-0005-0000-0000-000044AB0000}"/>
    <cellStyle name="Normal 4 4 4 11" xfId="20135" xr:uid="{00000000-0005-0000-0000-000045AB0000}"/>
    <cellStyle name="Normal 4 4 4 11 2" xfId="47268" xr:uid="{00000000-0005-0000-0000-000046AB0000}"/>
    <cellStyle name="Normal 4 4 4 12" xfId="33706" xr:uid="{00000000-0005-0000-0000-000047AB0000}"/>
    <cellStyle name="Normal 4 4 4 2" xfId="6415" xr:uid="{00000000-0005-0000-0000-000048AB0000}"/>
    <cellStyle name="Normal 4 4 4 2 10" xfId="33707" xr:uid="{00000000-0005-0000-0000-000049AB0000}"/>
    <cellStyle name="Normal 4 4 4 2 2" xfId="6416" xr:uid="{00000000-0005-0000-0000-00004AAB0000}"/>
    <cellStyle name="Normal 4 4 4 2 2 2" xfId="6417" xr:uid="{00000000-0005-0000-0000-00004BAB0000}"/>
    <cellStyle name="Normal 4 4 4 2 2 2 2" xfId="6418" xr:uid="{00000000-0005-0000-0000-00004CAB0000}"/>
    <cellStyle name="Normal 4 4 4 2 2 2 2 2" xfId="9951" xr:uid="{00000000-0005-0000-0000-00004DAB0000}"/>
    <cellStyle name="Normal 4 4 4 2 2 2 2 2 2" xfId="16741" xr:uid="{00000000-0005-0000-0000-00004EAB0000}"/>
    <cellStyle name="Normal 4 4 4 2 2 2 2 2 2 2" xfId="30309" xr:uid="{00000000-0005-0000-0000-00004FAB0000}"/>
    <cellStyle name="Normal 4 4 4 2 2 2 2 2 2 2 2" xfId="57442" xr:uid="{00000000-0005-0000-0000-000050AB0000}"/>
    <cellStyle name="Normal 4 4 4 2 2 2 2 2 2 3" xfId="43880" xr:uid="{00000000-0005-0000-0000-000051AB0000}"/>
    <cellStyle name="Normal 4 4 4 2 2 2 2 2 3" xfId="23528" xr:uid="{00000000-0005-0000-0000-000052AB0000}"/>
    <cellStyle name="Normal 4 4 4 2 2 2 2 2 3 2" xfId="50661" xr:uid="{00000000-0005-0000-0000-000053AB0000}"/>
    <cellStyle name="Normal 4 4 4 2 2 2 2 2 4" xfId="37099" xr:uid="{00000000-0005-0000-0000-000054AB0000}"/>
    <cellStyle name="Normal 4 4 4 2 2 2 2 3" xfId="13352" xr:uid="{00000000-0005-0000-0000-000055AB0000}"/>
    <cellStyle name="Normal 4 4 4 2 2 2 2 3 2" xfId="26920" xr:uid="{00000000-0005-0000-0000-000056AB0000}"/>
    <cellStyle name="Normal 4 4 4 2 2 2 2 3 2 2" xfId="54053" xr:uid="{00000000-0005-0000-0000-000057AB0000}"/>
    <cellStyle name="Normal 4 4 4 2 2 2 2 3 3" xfId="40491" xr:uid="{00000000-0005-0000-0000-000058AB0000}"/>
    <cellStyle name="Normal 4 4 4 2 2 2 2 4" xfId="20139" xr:uid="{00000000-0005-0000-0000-000059AB0000}"/>
    <cellStyle name="Normal 4 4 4 2 2 2 2 4 2" xfId="47272" xr:uid="{00000000-0005-0000-0000-00005AAB0000}"/>
    <cellStyle name="Normal 4 4 4 2 2 2 2 5" xfId="33710" xr:uid="{00000000-0005-0000-0000-00005BAB0000}"/>
    <cellStyle name="Normal 4 4 4 2 2 2 3" xfId="6419" xr:uid="{00000000-0005-0000-0000-00005CAB0000}"/>
    <cellStyle name="Normal 4 4 4 2 2 2 3 2" xfId="9952" xr:uid="{00000000-0005-0000-0000-00005DAB0000}"/>
    <cellStyle name="Normal 4 4 4 2 2 2 3 2 2" xfId="16742" xr:uid="{00000000-0005-0000-0000-00005EAB0000}"/>
    <cellStyle name="Normal 4 4 4 2 2 2 3 2 2 2" xfId="30310" xr:uid="{00000000-0005-0000-0000-00005FAB0000}"/>
    <cellStyle name="Normal 4 4 4 2 2 2 3 2 2 2 2" xfId="57443" xr:uid="{00000000-0005-0000-0000-000060AB0000}"/>
    <cellStyle name="Normal 4 4 4 2 2 2 3 2 2 3" xfId="43881" xr:uid="{00000000-0005-0000-0000-000061AB0000}"/>
    <cellStyle name="Normal 4 4 4 2 2 2 3 2 3" xfId="23529" xr:uid="{00000000-0005-0000-0000-000062AB0000}"/>
    <cellStyle name="Normal 4 4 4 2 2 2 3 2 3 2" xfId="50662" xr:uid="{00000000-0005-0000-0000-000063AB0000}"/>
    <cellStyle name="Normal 4 4 4 2 2 2 3 2 4" xfId="37100" xr:uid="{00000000-0005-0000-0000-000064AB0000}"/>
    <cellStyle name="Normal 4 4 4 2 2 2 3 3" xfId="13353" xr:uid="{00000000-0005-0000-0000-000065AB0000}"/>
    <cellStyle name="Normal 4 4 4 2 2 2 3 3 2" xfId="26921" xr:uid="{00000000-0005-0000-0000-000066AB0000}"/>
    <cellStyle name="Normal 4 4 4 2 2 2 3 3 2 2" xfId="54054" xr:uid="{00000000-0005-0000-0000-000067AB0000}"/>
    <cellStyle name="Normal 4 4 4 2 2 2 3 3 3" xfId="40492" xr:uid="{00000000-0005-0000-0000-000068AB0000}"/>
    <cellStyle name="Normal 4 4 4 2 2 2 3 4" xfId="20140" xr:uid="{00000000-0005-0000-0000-000069AB0000}"/>
    <cellStyle name="Normal 4 4 4 2 2 2 3 4 2" xfId="47273" xr:uid="{00000000-0005-0000-0000-00006AAB0000}"/>
    <cellStyle name="Normal 4 4 4 2 2 2 3 5" xfId="33711" xr:uid="{00000000-0005-0000-0000-00006BAB0000}"/>
    <cellStyle name="Normal 4 4 4 2 2 2 4" xfId="9950" xr:uid="{00000000-0005-0000-0000-00006CAB0000}"/>
    <cellStyle name="Normal 4 4 4 2 2 2 4 2" xfId="16740" xr:uid="{00000000-0005-0000-0000-00006DAB0000}"/>
    <cellStyle name="Normal 4 4 4 2 2 2 4 2 2" xfId="30308" xr:uid="{00000000-0005-0000-0000-00006EAB0000}"/>
    <cellStyle name="Normal 4 4 4 2 2 2 4 2 2 2" xfId="57441" xr:uid="{00000000-0005-0000-0000-00006FAB0000}"/>
    <cellStyle name="Normal 4 4 4 2 2 2 4 2 3" xfId="43879" xr:uid="{00000000-0005-0000-0000-000070AB0000}"/>
    <cellStyle name="Normal 4 4 4 2 2 2 4 3" xfId="23527" xr:uid="{00000000-0005-0000-0000-000071AB0000}"/>
    <cellStyle name="Normal 4 4 4 2 2 2 4 3 2" xfId="50660" xr:uid="{00000000-0005-0000-0000-000072AB0000}"/>
    <cellStyle name="Normal 4 4 4 2 2 2 4 4" xfId="37098" xr:uid="{00000000-0005-0000-0000-000073AB0000}"/>
    <cellStyle name="Normal 4 4 4 2 2 2 5" xfId="13351" xr:uid="{00000000-0005-0000-0000-000074AB0000}"/>
    <cellStyle name="Normal 4 4 4 2 2 2 5 2" xfId="26919" xr:uid="{00000000-0005-0000-0000-000075AB0000}"/>
    <cellStyle name="Normal 4 4 4 2 2 2 5 2 2" xfId="54052" xr:uid="{00000000-0005-0000-0000-000076AB0000}"/>
    <cellStyle name="Normal 4 4 4 2 2 2 5 3" xfId="40490" xr:uid="{00000000-0005-0000-0000-000077AB0000}"/>
    <cellStyle name="Normal 4 4 4 2 2 2 6" xfId="20138" xr:uid="{00000000-0005-0000-0000-000078AB0000}"/>
    <cellStyle name="Normal 4 4 4 2 2 2 6 2" xfId="47271" xr:uid="{00000000-0005-0000-0000-000079AB0000}"/>
    <cellStyle name="Normal 4 4 4 2 2 2 7" xfId="33709" xr:uid="{00000000-0005-0000-0000-00007AAB0000}"/>
    <cellStyle name="Normal 4 4 4 2 2 3" xfId="6420" xr:uid="{00000000-0005-0000-0000-00007BAB0000}"/>
    <cellStyle name="Normal 4 4 4 2 2 3 2" xfId="6421" xr:uid="{00000000-0005-0000-0000-00007CAB0000}"/>
    <cellStyle name="Normal 4 4 4 2 2 3 2 2" xfId="9954" xr:uid="{00000000-0005-0000-0000-00007DAB0000}"/>
    <cellStyle name="Normal 4 4 4 2 2 3 2 2 2" xfId="16744" xr:uid="{00000000-0005-0000-0000-00007EAB0000}"/>
    <cellStyle name="Normal 4 4 4 2 2 3 2 2 2 2" xfId="30312" xr:uid="{00000000-0005-0000-0000-00007FAB0000}"/>
    <cellStyle name="Normal 4 4 4 2 2 3 2 2 2 2 2" xfId="57445" xr:uid="{00000000-0005-0000-0000-000080AB0000}"/>
    <cellStyle name="Normal 4 4 4 2 2 3 2 2 2 3" xfId="43883" xr:uid="{00000000-0005-0000-0000-000081AB0000}"/>
    <cellStyle name="Normal 4 4 4 2 2 3 2 2 3" xfId="23531" xr:uid="{00000000-0005-0000-0000-000082AB0000}"/>
    <cellStyle name="Normal 4 4 4 2 2 3 2 2 3 2" xfId="50664" xr:uid="{00000000-0005-0000-0000-000083AB0000}"/>
    <cellStyle name="Normal 4 4 4 2 2 3 2 2 4" xfId="37102" xr:uid="{00000000-0005-0000-0000-000084AB0000}"/>
    <cellStyle name="Normal 4 4 4 2 2 3 2 3" xfId="13355" xr:uid="{00000000-0005-0000-0000-000085AB0000}"/>
    <cellStyle name="Normal 4 4 4 2 2 3 2 3 2" xfId="26923" xr:uid="{00000000-0005-0000-0000-000086AB0000}"/>
    <cellStyle name="Normal 4 4 4 2 2 3 2 3 2 2" xfId="54056" xr:uid="{00000000-0005-0000-0000-000087AB0000}"/>
    <cellStyle name="Normal 4 4 4 2 2 3 2 3 3" xfId="40494" xr:uid="{00000000-0005-0000-0000-000088AB0000}"/>
    <cellStyle name="Normal 4 4 4 2 2 3 2 4" xfId="20142" xr:uid="{00000000-0005-0000-0000-000089AB0000}"/>
    <cellStyle name="Normal 4 4 4 2 2 3 2 4 2" xfId="47275" xr:uid="{00000000-0005-0000-0000-00008AAB0000}"/>
    <cellStyle name="Normal 4 4 4 2 2 3 2 5" xfId="33713" xr:uid="{00000000-0005-0000-0000-00008BAB0000}"/>
    <cellStyle name="Normal 4 4 4 2 2 3 3" xfId="9953" xr:uid="{00000000-0005-0000-0000-00008CAB0000}"/>
    <cellStyle name="Normal 4 4 4 2 2 3 3 2" xfId="16743" xr:uid="{00000000-0005-0000-0000-00008DAB0000}"/>
    <cellStyle name="Normal 4 4 4 2 2 3 3 2 2" xfId="30311" xr:uid="{00000000-0005-0000-0000-00008EAB0000}"/>
    <cellStyle name="Normal 4 4 4 2 2 3 3 2 2 2" xfId="57444" xr:uid="{00000000-0005-0000-0000-00008FAB0000}"/>
    <cellStyle name="Normal 4 4 4 2 2 3 3 2 3" xfId="43882" xr:uid="{00000000-0005-0000-0000-000090AB0000}"/>
    <cellStyle name="Normal 4 4 4 2 2 3 3 3" xfId="23530" xr:uid="{00000000-0005-0000-0000-000091AB0000}"/>
    <cellStyle name="Normal 4 4 4 2 2 3 3 3 2" xfId="50663" xr:uid="{00000000-0005-0000-0000-000092AB0000}"/>
    <cellStyle name="Normal 4 4 4 2 2 3 3 4" xfId="37101" xr:uid="{00000000-0005-0000-0000-000093AB0000}"/>
    <cellStyle name="Normal 4 4 4 2 2 3 4" xfId="13354" xr:uid="{00000000-0005-0000-0000-000094AB0000}"/>
    <cellStyle name="Normal 4 4 4 2 2 3 4 2" xfId="26922" xr:uid="{00000000-0005-0000-0000-000095AB0000}"/>
    <cellStyle name="Normal 4 4 4 2 2 3 4 2 2" xfId="54055" xr:uid="{00000000-0005-0000-0000-000096AB0000}"/>
    <cellStyle name="Normal 4 4 4 2 2 3 4 3" xfId="40493" xr:uid="{00000000-0005-0000-0000-000097AB0000}"/>
    <cellStyle name="Normal 4 4 4 2 2 3 5" xfId="20141" xr:uid="{00000000-0005-0000-0000-000098AB0000}"/>
    <cellStyle name="Normal 4 4 4 2 2 3 5 2" xfId="47274" xr:uid="{00000000-0005-0000-0000-000099AB0000}"/>
    <cellStyle name="Normal 4 4 4 2 2 3 6" xfId="33712" xr:uid="{00000000-0005-0000-0000-00009AAB0000}"/>
    <cellStyle name="Normal 4 4 4 2 2 4" xfId="6422" xr:uid="{00000000-0005-0000-0000-00009BAB0000}"/>
    <cellStyle name="Normal 4 4 4 2 2 4 2" xfId="9955" xr:uid="{00000000-0005-0000-0000-00009CAB0000}"/>
    <cellStyle name="Normal 4 4 4 2 2 4 2 2" xfId="16745" xr:uid="{00000000-0005-0000-0000-00009DAB0000}"/>
    <cellStyle name="Normal 4 4 4 2 2 4 2 2 2" xfId="30313" xr:uid="{00000000-0005-0000-0000-00009EAB0000}"/>
    <cellStyle name="Normal 4 4 4 2 2 4 2 2 2 2" xfId="57446" xr:uid="{00000000-0005-0000-0000-00009FAB0000}"/>
    <cellStyle name="Normal 4 4 4 2 2 4 2 2 3" xfId="43884" xr:uid="{00000000-0005-0000-0000-0000A0AB0000}"/>
    <cellStyle name="Normal 4 4 4 2 2 4 2 3" xfId="23532" xr:uid="{00000000-0005-0000-0000-0000A1AB0000}"/>
    <cellStyle name="Normal 4 4 4 2 2 4 2 3 2" xfId="50665" xr:uid="{00000000-0005-0000-0000-0000A2AB0000}"/>
    <cellStyle name="Normal 4 4 4 2 2 4 2 4" xfId="37103" xr:uid="{00000000-0005-0000-0000-0000A3AB0000}"/>
    <cellStyle name="Normal 4 4 4 2 2 4 3" xfId="13356" xr:uid="{00000000-0005-0000-0000-0000A4AB0000}"/>
    <cellStyle name="Normal 4 4 4 2 2 4 3 2" xfId="26924" xr:uid="{00000000-0005-0000-0000-0000A5AB0000}"/>
    <cellStyle name="Normal 4 4 4 2 2 4 3 2 2" xfId="54057" xr:uid="{00000000-0005-0000-0000-0000A6AB0000}"/>
    <cellStyle name="Normal 4 4 4 2 2 4 3 3" xfId="40495" xr:uid="{00000000-0005-0000-0000-0000A7AB0000}"/>
    <cellStyle name="Normal 4 4 4 2 2 4 4" xfId="20143" xr:uid="{00000000-0005-0000-0000-0000A8AB0000}"/>
    <cellStyle name="Normal 4 4 4 2 2 4 4 2" xfId="47276" xr:uid="{00000000-0005-0000-0000-0000A9AB0000}"/>
    <cellStyle name="Normal 4 4 4 2 2 4 5" xfId="33714" xr:uid="{00000000-0005-0000-0000-0000AAAB0000}"/>
    <cellStyle name="Normal 4 4 4 2 2 5" xfId="6423" xr:uid="{00000000-0005-0000-0000-0000ABAB0000}"/>
    <cellStyle name="Normal 4 4 4 2 2 5 2" xfId="9956" xr:uid="{00000000-0005-0000-0000-0000ACAB0000}"/>
    <cellStyle name="Normal 4 4 4 2 2 5 2 2" xfId="16746" xr:uid="{00000000-0005-0000-0000-0000ADAB0000}"/>
    <cellStyle name="Normal 4 4 4 2 2 5 2 2 2" xfId="30314" xr:uid="{00000000-0005-0000-0000-0000AEAB0000}"/>
    <cellStyle name="Normal 4 4 4 2 2 5 2 2 2 2" xfId="57447" xr:uid="{00000000-0005-0000-0000-0000AFAB0000}"/>
    <cellStyle name="Normal 4 4 4 2 2 5 2 2 3" xfId="43885" xr:uid="{00000000-0005-0000-0000-0000B0AB0000}"/>
    <cellStyle name="Normal 4 4 4 2 2 5 2 3" xfId="23533" xr:uid="{00000000-0005-0000-0000-0000B1AB0000}"/>
    <cellStyle name="Normal 4 4 4 2 2 5 2 3 2" xfId="50666" xr:uid="{00000000-0005-0000-0000-0000B2AB0000}"/>
    <cellStyle name="Normal 4 4 4 2 2 5 2 4" xfId="37104" xr:uid="{00000000-0005-0000-0000-0000B3AB0000}"/>
    <cellStyle name="Normal 4 4 4 2 2 5 3" xfId="13357" xr:uid="{00000000-0005-0000-0000-0000B4AB0000}"/>
    <cellStyle name="Normal 4 4 4 2 2 5 3 2" xfId="26925" xr:uid="{00000000-0005-0000-0000-0000B5AB0000}"/>
    <cellStyle name="Normal 4 4 4 2 2 5 3 2 2" xfId="54058" xr:uid="{00000000-0005-0000-0000-0000B6AB0000}"/>
    <cellStyle name="Normal 4 4 4 2 2 5 3 3" xfId="40496" xr:uid="{00000000-0005-0000-0000-0000B7AB0000}"/>
    <cellStyle name="Normal 4 4 4 2 2 5 4" xfId="20144" xr:uid="{00000000-0005-0000-0000-0000B8AB0000}"/>
    <cellStyle name="Normal 4 4 4 2 2 5 4 2" xfId="47277" xr:uid="{00000000-0005-0000-0000-0000B9AB0000}"/>
    <cellStyle name="Normal 4 4 4 2 2 5 5" xfId="33715" xr:uid="{00000000-0005-0000-0000-0000BAAB0000}"/>
    <cellStyle name="Normal 4 4 4 2 2 6" xfId="9949" xr:uid="{00000000-0005-0000-0000-0000BBAB0000}"/>
    <cellStyle name="Normal 4 4 4 2 2 6 2" xfId="16739" xr:uid="{00000000-0005-0000-0000-0000BCAB0000}"/>
    <cellStyle name="Normal 4 4 4 2 2 6 2 2" xfId="30307" xr:uid="{00000000-0005-0000-0000-0000BDAB0000}"/>
    <cellStyle name="Normal 4 4 4 2 2 6 2 2 2" xfId="57440" xr:uid="{00000000-0005-0000-0000-0000BEAB0000}"/>
    <cellStyle name="Normal 4 4 4 2 2 6 2 3" xfId="43878" xr:uid="{00000000-0005-0000-0000-0000BFAB0000}"/>
    <cellStyle name="Normal 4 4 4 2 2 6 3" xfId="23526" xr:uid="{00000000-0005-0000-0000-0000C0AB0000}"/>
    <cellStyle name="Normal 4 4 4 2 2 6 3 2" xfId="50659" xr:uid="{00000000-0005-0000-0000-0000C1AB0000}"/>
    <cellStyle name="Normal 4 4 4 2 2 6 4" xfId="37097" xr:uid="{00000000-0005-0000-0000-0000C2AB0000}"/>
    <cellStyle name="Normal 4 4 4 2 2 7" xfId="13350" xr:uid="{00000000-0005-0000-0000-0000C3AB0000}"/>
    <cellStyle name="Normal 4 4 4 2 2 7 2" xfId="26918" xr:uid="{00000000-0005-0000-0000-0000C4AB0000}"/>
    <cellStyle name="Normal 4 4 4 2 2 7 2 2" xfId="54051" xr:uid="{00000000-0005-0000-0000-0000C5AB0000}"/>
    <cellStyle name="Normal 4 4 4 2 2 7 3" xfId="40489" xr:uid="{00000000-0005-0000-0000-0000C6AB0000}"/>
    <cellStyle name="Normal 4 4 4 2 2 8" xfId="20137" xr:uid="{00000000-0005-0000-0000-0000C7AB0000}"/>
    <cellStyle name="Normal 4 4 4 2 2 8 2" xfId="47270" xr:uid="{00000000-0005-0000-0000-0000C8AB0000}"/>
    <cellStyle name="Normal 4 4 4 2 2 9" xfId="33708" xr:uid="{00000000-0005-0000-0000-0000C9AB0000}"/>
    <cellStyle name="Normal 4 4 4 2 3" xfId="6424" xr:uid="{00000000-0005-0000-0000-0000CAAB0000}"/>
    <cellStyle name="Normal 4 4 4 2 3 2" xfId="6425" xr:uid="{00000000-0005-0000-0000-0000CBAB0000}"/>
    <cellStyle name="Normal 4 4 4 2 3 2 2" xfId="9958" xr:uid="{00000000-0005-0000-0000-0000CCAB0000}"/>
    <cellStyle name="Normal 4 4 4 2 3 2 2 2" xfId="16748" xr:uid="{00000000-0005-0000-0000-0000CDAB0000}"/>
    <cellStyle name="Normal 4 4 4 2 3 2 2 2 2" xfId="30316" xr:uid="{00000000-0005-0000-0000-0000CEAB0000}"/>
    <cellStyle name="Normal 4 4 4 2 3 2 2 2 2 2" xfId="57449" xr:uid="{00000000-0005-0000-0000-0000CFAB0000}"/>
    <cellStyle name="Normal 4 4 4 2 3 2 2 2 3" xfId="43887" xr:uid="{00000000-0005-0000-0000-0000D0AB0000}"/>
    <cellStyle name="Normal 4 4 4 2 3 2 2 3" xfId="23535" xr:uid="{00000000-0005-0000-0000-0000D1AB0000}"/>
    <cellStyle name="Normal 4 4 4 2 3 2 2 3 2" xfId="50668" xr:uid="{00000000-0005-0000-0000-0000D2AB0000}"/>
    <cellStyle name="Normal 4 4 4 2 3 2 2 4" xfId="37106" xr:uid="{00000000-0005-0000-0000-0000D3AB0000}"/>
    <cellStyle name="Normal 4 4 4 2 3 2 3" xfId="13359" xr:uid="{00000000-0005-0000-0000-0000D4AB0000}"/>
    <cellStyle name="Normal 4 4 4 2 3 2 3 2" xfId="26927" xr:uid="{00000000-0005-0000-0000-0000D5AB0000}"/>
    <cellStyle name="Normal 4 4 4 2 3 2 3 2 2" xfId="54060" xr:uid="{00000000-0005-0000-0000-0000D6AB0000}"/>
    <cellStyle name="Normal 4 4 4 2 3 2 3 3" xfId="40498" xr:uid="{00000000-0005-0000-0000-0000D7AB0000}"/>
    <cellStyle name="Normal 4 4 4 2 3 2 4" xfId="20146" xr:uid="{00000000-0005-0000-0000-0000D8AB0000}"/>
    <cellStyle name="Normal 4 4 4 2 3 2 4 2" xfId="47279" xr:uid="{00000000-0005-0000-0000-0000D9AB0000}"/>
    <cellStyle name="Normal 4 4 4 2 3 2 5" xfId="33717" xr:uid="{00000000-0005-0000-0000-0000DAAB0000}"/>
    <cellStyle name="Normal 4 4 4 2 3 3" xfId="6426" xr:uid="{00000000-0005-0000-0000-0000DBAB0000}"/>
    <cellStyle name="Normal 4 4 4 2 3 3 2" xfId="9959" xr:uid="{00000000-0005-0000-0000-0000DCAB0000}"/>
    <cellStyle name="Normal 4 4 4 2 3 3 2 2" xfId="16749" xr:uid="{00000000-0005-0000-0000-0000DDAB0000}"/>
    <cellStyle name="Normal 4 4 4 2 3 3 2 2 2" xfId="30317" xr:uid="{00000000-0005-0000-0000-0000DEAB0000}"/>
    <cellStyle name="Normal 4 4 4 2 3 3 2 2 2 2" xfId="57450" xr:uid="{00000000-0005-0000-0000-0000DFAB0000}"/>
    <cellStyle name="Normal 4 4 4 2 3 3 2 2 3" xfId="43888" xr:uid="{00000000-0005-0000-0000-0000E0AB0000}"/>
    <cellStyle name="Normal 4 4 4 2 3 3 2 3" xfId="23536" xr:uid="{00000000-0005-0000-0000-0000E1AB0000}"/>
    <cellStyle name="Normal 4 4 4 2 3 3 2 3 2" xfId="50669" xr:uid="{00000000-0005-0000-0000-0000E2AB0000}"/>
    <cellStyle name="Normal 4 4 4 2 3 3 2 4" xfId="37107" xr:uid="{00000000-0005-0000-0000-0000E3AB0000}"/>
    <cellStyle name="Normal 4 4 4 2 3 3 3" xfId="13360" xr:uid="{00000000-0005-0000-0000-0000E4AB0000}"/>
    <cellStyle name="Normal 4 4 4 2 3 3 3 2" xfId="26928" xr:uid="{00000000-0005-0000-0000-0000E5AB0000}"/>
    <cellStyle name="Normal 4 4 4 2 3 3 3 2 2" xfId="54061" xr:uid="{00000000-0005-0000-0000-0000E6AB0000}"/>
    <cellStyle name="Normal 4 4 4 2 3 3 3 3" xfId="40499" xr:uid="{00000000-0005-0000-0000-0000E7AB0000}"/>
    <cellStyle name="Normal 4 4 4 2 3 3 4" xfId="20147" xr:uid="{00000000-0005-0000-0000-0000E8AB0000}"/>
    <cellStyle name="Normal 4 4 4 2 3 3 4 2" xfId="47280" xr:uid="{00000000-0005-0000-0000-0000E9AB0000}"/>
    <cellStyle name="Normal 4 4 4 2 3 3 5" xfId="33718" xr:uid="{00000000-0005-0000-0000-0000EAAB0000}"/>
    <cellStyle name="Normal 4 4 4 2 3 4" xfId="9957" xr:uid="{00000000-0005-0000-0000-0000EBAB0000}"/>
    <cellStyle name="Normal 4 4 4 2 3 4 2" xfId="16747" xr:uid="{00000000-0005-0000-0000-0000ECAB0000}"/>
    <cellStyle name="Normal 4 4 4 2 3 4 2 2" xfId="30315" xr:uid="{00000000-0005-0000-0000-0000EDAB0000}"/>
    <cellStyle name="Normal 4 4 4 2 3 4 2 2 2" xfId="57448" xr:uid="{00000000-0005-0000-0000-0000EEAB0000}"/>
    <cellStyle name="Normal 4 4 4 2 3 4 2 3" xfId="43886" xr:uid="{00000000-0005-0000-0000-0000EFAB0000}"/>
    <cellStyle name="Normal 4 4 4 2 3 4 3" xfId="23534" xr:uid="{00000000-0005-0000-0000-0000F0AB0000}"/>
    <cellStyle name="Normal 4 4 4 2 3 4 3 2" xfId="50667" xr:uid="{00000000-0005-0000-0000-0000F1AB0000}"/>
    <cellStyle name="Normal 4 4 4 2 3 4 4" xfId="37105" xr:uid="{00000000-0005-0000-0000-0000F2AB0000}"/>
    <cellStyle name="Normal 4 4 4 2 3 5" xfId="13358" xr:uid="{00000000-0005-0000-0000-0000F3AB0000}"/>
    <cellStyle name="Normal 4 4 4 2 3 5 2" xfId="26926" xr:uid="{00000000-0005-0000-0000-0000F4AB0000}"/>
    <cellStyle name="Normal 4 4 4 2 3 5 2 2" xfId="54059" xr:uid="{00000000-0005-0000-0000-0000F5AB0000}"/>
    <cellStyle name="Normal 4 4 4 2 3 5 3" xfId="40497" xr:uid="{00000000-0005-0000-0000-0000F6AB0000}"/>
    <cellStyle name="Normal 4 4 4 2 3 6" xfId="20145" xr:uid="{00000000-0005-0000-0000-0000F7AB0000}"/>
    <cellStyle name="Normal 4 4 4 2 3 6 2" xfId="47278" xr:uid="{00000000-0005-0000-0000-0000F8AB0000}"/>
    <cellStyle name="Normal 4 4 4 2 3 7" xfId="33716" xr:uid="{00000000-0005-0000-0000-0000F9AB0000}"/>
    <cellStyle name="Normal 4 4 4 2 4" xfId="6427" xr:uid="{00000000-0005-0000-0000-0000FAAB0000}"/>
    <cellStyle name="Normal 4 4 4 2 4 2" xfId="6428" xr:uid="{00000000-0005-0000-0000-0000FBAB0000}"/>
    <cellStyle name="Normal 4 4 4 2 4 2 2" xfId="9961" xr:uid="{00000000-0005-0000-0000-0000FCAB0000}"/>
    <cellStyle name="Normal 4 4 4 2 4 2 2 2" xfId="16751" xr:uid="{00000000-0005-0000-0000-0000FDAB0000}"/>
    <cellStyle name="Normal 4 4 4 2 4 2 2 2 2" xfId="30319" xr:uid="{00000000-0005-0000-0000-0000FEAB0000}"/>
    <cellStyle name="Normal 4 4 4 2 4 2 2 2 2 2" xfId="57452" xr:uid="{00000000-0005-0000-0000-0000FFAB0000}"/>
    <cellStyle name="Normal 4 4 4 2 4 2 2 2 3" xfId="43890" xr:uid="{00000000-0005-0000-0000-000000AC0000}"/>
    <cellStyle name="Normal 4 4 4 2 4 2 2 3" xfId="23538" xr:uid="{00000000-0005-0000-0000-000001AC0000}"/>
    <cellStyle name="Normal 4 4 4 2 4 2 2 3 2" xfId="50671" xr:uid="{00000000-0005-0000-0000-000002AC0000}"/>
    <cellStyle name="Normal 4 4 4 2 4 2 2 4" xfId="37109" xr:uid="{00000000-0005-0000-0000-000003AC0000}"/>
    <cellStyle name="Normal 4 4 4 2 4 2 3" xfId="13362" xr:uid="{00000000-0005-0000-0000-000004AC0000}"/>
    <cellStyle name="Normal 4 4 4 2 4 2 3 2" xfId="26930" xr:uid="{00000000-0005-0000-0000-000005AC0000}"/>
    <cellStyle name="Normal 4 4 4 2 4 2 3 2 2" xfId="54063" xr:uid="{00000000-0005-0000-0000-000006AC0000}"/>
    <cellStyle name="Normal 4 4 4 2 4 2 3 3" xfId="40501" xr:uid="{00000000-0005-0000-0000-000007AC0000}"/>
    <cellStyle name="Normal 4 4 4 2 4 2 4" xfId="20149" xr:uid="{00000000-0005-0000-0000-000008AC0000}"/>
    <cellStyle name="Normal 4 4 4 2 4 2 4 2" xfId="47282" xr:uid="{00000000-0005-0000-0000-000009AC0000}"/>
    <cellStyle name="Normal 4 4 4 2 4 2 5" xfId="33720" xr:uid="{00000000-0005-0000-0000-00000AAC0000}"/>
    <cellStyle name="Normal 4 4 4 2 4 3" xfId="9960" xr:uid="{00000000-0005-0000-0000-00000BAC0000}"/>
    <cellStyle name="Normal 4 4 4 2 4 3 2" xfId="16750" xr:uid="{00000000-0005-0000-0000-00000CAC0000}"/>
    <cellStyle name="Normal 4 4 4 2 4 3 2 2" xfId="30318" xr:uid="{00000000-0005-0000-0000-00000DAC0000}"/>
    <cellStyle name="Normal 4 4 4 2 4 3 2 2 2" xfId="57451" xr:uid="{00000000-0005-0000-0000-00000EAC0000}"/>
    <cellStyle name="Normal 4 4 4 2 4 3 2 3" xfId="43889" xr:uid="{00000000-0005-0000-0000-00000FAC0000}"/>
    <cellStyle name="Normal 4 4 4 2 4 3 3" xfId="23537" xr:uid="{00000000-0005-0000-0000-000010AC0000}"/>
    <cellStyle name="Normal 4 4 4 2 4 3 3 2" xfId="50670" xr:uid="{00000000-0005-0000-0000-000011AC0000}"/>
    <cellStyle name="Normal 4 4 4 2 4 3 4" xfId="37108" xr:uid="{00000000-0005-0000-0000-000012AC0000}"/>
    <cellStyle name="Normal 4 4 4 2 4 4" xfId="13361" xr:uid="{00000000-0005-0000-0000-000013AC0000}"/>
    <cellStyle name="Normal 4 4 4 2 4 4 2" xfId="26929" xr:uid="{00000000-0005-0000-0000-000014AC0000}"/>
    <cellStyle name="Normal 4 4 4 2 4 4 2 2" xfId="54062" xr:uid="{00000000-0005-0000-0000-000015AC0000}"/>
    <cellStyle name="Normal 4 4 4 2 4 4 3" xfId="40500" xr:uid="{00000000-0005-0000-0000-000016AC0000}"/>
    <cellStyle name="Normal 4 4 4 2 4 5" xfId="20148" xr:uid="{00000000-0005-0000-0000-000017AC0000}"/>
    <cellStyle name="Normal 4 4 4 2 4 5 2" xfId="47281" xr:uid="{00000000-0005-0000-0000-000018AC0000}"/>
    <cellStyle name="Normal 4 4 4 2 4 6" xfId="33719" xr:uid="{00000000-0005-0000-0000-000019AC0000}"/>
    <cellStyle name="Normal 4 4 4 2 5" xfId="6429" xr:uid="{00000000-0005-0000-0000-00001AAC0000}"/>
    <cellStyle name="Normal 4 4 4 2 5 2" xfId="9962" xr:uid="{00000000-0005-0000-0000-00001BAC0000}"/>
    <cellStyle name="Normal 4 4 4 2 5 2 2" xfId="16752" xr:uid="{00000000-0005-0000-0000-00001CAC0000}"/>
    <cellStyle name="Normal 4 4 4 2 5 2 2 2" xfId="30320" xr:uid="{00000000-0005-0000-0000-00001DAC0000}"/>
    <cellStyle name="Normal 4 4 4 2 5 2 2 2 2" xfId="57453" xr:uid="{00000000-0005-0000-0000-00001EAC0000}"/>
    <cellStyle name="Normal 4 4 4 2 5 2 2 3" xfId="43891" xr:uid="{00000000-0005-0000-0000-00001FAC0000}"/>
    <cellStyle name="Normal 4 4 4 2 5 2 3" xfId="23539" xr:uid="{00000000-0005-0000-0000-000020AC0000}"/>
    <cellStyle name="Normal 4 4 4 2 5 2 3 2" xfId="50672" xr:uid="{00000000-0005-0000-0000-000021AC0000}"/>
    <cellStyle name="Normal 4 4 4 2 5 2 4" xfId="37110" xr:uid="{00000000-0005-0000-0000-000022AC0000}"/>
    <cellStyle name="Normal 4 4 4 2 5 3" xfId="13363" xr:uid="{00000000-0005-0000-0000-000023AC0000}"/>
    <cellStyle name="Normal 4 4 4 2 5 3 2" xfId="26931" xr:uid="{00000000-0005-0000-0000-000024AC0000}"/>
    <cellStyle name="Normal 4 4 4 2 5 3 2 2" xfId="54064" xr:uid="{00000000-0005-0000-0000-000025AC0000}"/>
    <cellStyle name="Normal 4 4 4 2 5 3 3" xfId="40502" xr:uid="{00000000-0005-0000-0000-000026AC0000}"/>
    <cellStyle name="Normal 4 4 4 2 5 4" xfId="20150" xr:uid="{00000000-0005-0000-0000-000027AC0000}"/>
    <cellStyle name="Normal 4 4 4 2 5 4 2" xfId="47283" xr:uid="{00000000-0005-0000-0000-000028AC0000}"/>
    <cellStyle name="Normal 4 4 4 2 5 5" xfId="33721" xr:uid="{00000000-0005-0000-0000-000029AC0000}"/>
    <cellStyle name="Normal 4 4 4 2 6" xfId="6430" xr:uid="{00000000-0005-0000-0000-00002AAC0000}"/>
    <cellStyle name="Normal 4 4 4 2 6 2" xfId="9963" xr:uid="{00000000-0005-0000-0000-00002BAC0000}"/>
    <cellStyle name="Normal 4 4 4 2 6 2 2" xfId="16753" xr:uid="{00000000-0005-0000-0000-00002CAC0000}"/>
    <cellStyle name="Normal 4 4 4 2 6 2 2 2" xfId="30321" xr:uid="{00000000-0005-0000-0000-00002DAC0000}"/>
    <cellStyle name="Normal 4 4 4 2 6 2 2 2 2" xfId="57454" xr:uid="{00000000-0005-0000-0000-00002EAC0000}"/>
    <cellStyle name="Normal 4 4 4 2 6 2 2 3" xfId="43892" xr:uid="{00000000-0005-0000-0000-00002FAC0000}"/>
    <cellStyle name="Normal 4 4 4 2 6 2 3" xfId="23540" xr:uid="{00000000-0005-0000-0000-000030AC0000}"/>
    <cellStyle name="Normal 4 4 4 2 6 2 3 2" xfId="50673" xr:uid="{00000000-0005-0000-0000-000031AC0000}"/>
    <cellStyle name="Normal 4 4 4 2 6 2 4" xfId="37111" xr:uid="{00000000-0005-0000-0000-000032AC0000}"/>
    <cellStyle name="Normal 4 4 4 2 6 3" xfId="13364" xr:uid="{00000000-0005-0000-0000-000033AC0000}"/>
    <cellStyle name="Normal 4 4 4 2 6 3 2" xfId="26932" xr:uid="{00000000-0005-0000-0000-000034AC0000}"/>
    <cellStyle name="Normal 4 4 4 2 6 3 2 2" xfId="54065" xr:uid="{00000000-0005-0000-0000-000035AC0000}"/>
    <cellStyle name="Normal 4 4 4 2 6 3 3" xfId="40503" xr:uid="{00000000-0005-0000-0000-000036AC0000}"/>
    <cellStyle name="Normal 4 4 4 2 6 4" xfId="20151" xr:uid="{00000000-0005-0000-0000-000037AC0000}"/>
    <cellStyle name="Normal 4 4 4 2 6 4 2" xfId="47284" xr:uid="{00000000-0005-0000-0000-000038AC0000}"/>
    <cellStyle name="Normal 4 4 4 2 6 5" xfId="33722" xr:uid="{00000000-0005-0000-0000-000039AC0000}"/>
    <cellStyle name="Normal 4 4 4 2 7" xfId="9948" xr:uid="{00000000-0005-0000-0000-00003AAC0000}"/>
    <cellStyle name="Normal 4 4 4 2 7 2" xfId="16738" xr:uid="{00000000-0005-0000-0000-00003BAC0000}"/>
    <cellStyle name="Normal 4 4 4 2 7 2 2" xfId="30306" xr:uid="{00000000-0005-0000-0000-00003CAC0000}"/>
    <cellStyle name="Normal 4 4 4 2 7 2 2 2" xfId="57439" xr:uid="{00000000-0005-0000-0000-00003DAC0000}"/>
    <cellStyle name="Normal 4 4 4 2 7 2 3" xfId="43877" xr:uid="{00000000-0005-0000-0000-00003EAC0000}"/>
    <cellStyle name="Normal 4 4 4 2 7 3" xfId="23525" xr:uid="{00000000-0005-0000-0000-00003FAC0000}"/>
    <cellStyle name="Normal 4 4 4 2 7 3 2" xfId="50658" xr:uid="{00000000-0005-0000-0000-000040AC0000}"/>
    <cellStyle name="Normal 4 4 4 2 7 4" xfId="37096" xr:uid="{00000000-0005-0000-0000-000041AC0000}"/>
    <cellStyle name="Normal 4 4 4 2 8" xfId="13349" xr:uid="{00000000-0005-0000-0000-000042AC0000}"/>
    <cellStyle name="Normal 4 4 4 2 8 2" xfId="26917" xr:uid="{00000000-0005-0000-0000-000043AC0000}"/>
    <cellStyle name="Normal 4 4 4 2 8 2 2" xfId="54050" xr:uid="{00000000-0005-0000-0000-000044AC0000}"/>
    <cellStyle name="Normal 4 4 4 2 8 3" xfId="40488" xr:uid="{00000000-0005-0000-0000-000045AC0000}"/>
    <cellStyle name="Normal 4 4 4 2 9" xfId="20136" xr:uid="{00000000-0005-0000-0000-000046AC0000}"/>
    <cellStyle name="Normal 4 4 4 2 9 2" xfId="47269" xr:uid="{00000000-0005-0000-0000-000047AC0000}"/>
    <cellStyle name="Normal 4 4 4 3" xfId="6431" xr:uid="{00000000-0005-0000-0000-000048AC0000}"/>
    <cellStyle name="Normal 4 4 4 3 2" xfId="6432" xr:uid="{00000000-0005-0000-0000-000049AC0000}"/>
    <cellStyle name="Normal 4 4 4 3 2 2" xfId="6433" xr:uid="{00000000-0005-0000-0000-00004AAC0000}"/>
    <cellStyle name="Normal 4 4 4 3 2 2 2" xfId="9966" xr:uid="{00000000-0005-0000-0000-00004BAC0000}"/>
    <cellStyle name="Normal 4 4 4 3 2 2 2 2" xfId="16756" xr:uid="{00000000-0005-0000-0000-00004CAC0000}"/>
    <cellStyle name="Normal 4 4 4 3 2 2 2 2 2" xfId="30324" xr:uid="{00000000-0005-0000-0000-00004DAC0000}"/>
    <cellStyle name="Normal 4 4 4 3 2 2 2 2 2 2" xfId="57457" xr:uid="{00000000-0005-0000-0000-00004EAC0000}"/>
    <cellStyle name="Normal 4 4 4 3 2 2 2 2 3" xfId="43895" xr:uid="{00000000-0005-0000-0000-00004FAC0000}"/>
    <cellStyle name="Normal 4 4 4 3 2 2 2 3" xfId="23543" xr:uid="{00000000-0005-0000-0000-000050AC0000}"/>
    <cellStyle name="Normal 4 4 4 3 2 2 2 3 2" xfId="50676" xr:uid="{00000000-0005-0000-0000-000051AC0000}"/>
    <cellStyle name="Normal 4 4 4 3 2 2 2 4" xfId="37114" xr:uid="{00000000-0005-0000-0000-000052AC0000}"/>
    <cellStyle name="Normal 4 4 4 3 2 2 3" xfId="13367" xr:uid="{00000000-0005-0000-0000-000053AC0000}"/>
    <cellStyle name="Normal 4 4 4 3 2 2 3 2" xfId="26935" xr:uid="{00000000-0005-0000-0000-000054AC0000}"/>
    <cellStyle name="Normal 4 4 4 3 2 2 3 2 2" xfId="54068" xr:uid="{00000000-0005-0000-0000-000055AC0000}"/>
    <cellStyle name="Normal 4 4 4 3 2 2 3 3" xfId="40506" xr:uid="{00000000-0005-0000-0000-000056AC0000}"/>
    <cellStyle name="Normal 4 4 4 3 2 2 4" xfId="20154" xr:uid="{00000000-0005-0000-0000-000057AC0000}"/>
    <cellStyle name="Normal 4 4 4 3 2 2 4 2" xfId="47287" xr:uid="{00000000-0005-0000-0000-000058AC0000}"/>
    <cellStyle name="Normal 4 4 4 3 2 2 5" xfId="33725" xr:uid="{00000000-0005-0000-0000-000059AC0000}"/>
    <cellStyle name="Normal 4 4 4 3 2 3" xfId="6434" xr:uid="{00000000-0005-0000-0000-00005AAC0000}"/>
    <cellStyle name="Normal 4 4 4 3 2 3 2" xfId="9967" xr:uid="{00000000-0005-0000-0000-00005BAC0000}"/>
    <cellStyle name="Normal 4 4 4 3 2 3 2 2" xfId="16757" xr:uid="{00000000-0005-0000-0000-00005CAC0000}"/>
    <cellStyle name="Normal 4 4 4 3 2 3 2 2 2" xfId="30325" xr:uid="{00000000-0005-0000-0000-00005DAC0000}"/>
    <cellStyle name="Normal 4 4 4 3 2 3 2 2 2 2" xfId="57458" xr:uid="{00000000-0005-0000-0000-00005EAC0000}"/>
    <cellStyle name="Normal 4 4 4 3 2 3 2 2 3" xfId="43896" xr:uid="{00000000-0005-0000-0000-00005FAC0000}"/>
    <cellStyle name="Normal 4 4 4 3 2 3 2 3" xfId="23544" xr:uid="{00000000-0005-0000-0000-000060AC0000}"/>
    <cellStyle name="Normal 4 4 4 3 2 3 2 3 2" xfId="50677" xr:uid="{00000000-0005-0000-0000-000061AC0000}"/>
    <cellStyle name="Normal 4 4 4 3 2 3 2 4" xfId="37115" xr:uid="{00000000-0005-0000-0000-000062AC0000}"/>
    <cellStyle name="Normal 4 4 4 3 2 3 3" xfId="13368" xr:uid="{00000000-0005-0000-0000-000063AC0000}"/>
    <cellStyle name="Normal 4 4 4 3 2 3 3 2" xfId="26936" xr:uid="{00000000-0005-0000-0000-000064AC0000}"/>
    <cellStyle name="Normal 4 4 4 3 2 3 3 2 2" xfId="54069" xr:uid="{00000000-0005-0000-0000-000065AC0000}"/>
    <cellStyle name="Normal 4 4 4 3 2 3 3 3" xfId="40507" xr:uid="{00000000-0005-0000-0000-000066AC0000}"/>
    <cellStyle name="Normal 4 4 4 3 2 3 4" xfId="20155" xr:uid="{00000000-0005-0000-0000-000067AC0000}"/>
    <cellStyle name="Normal 4 4 4 3 2 3 4 2" xfId="47288" xr:uid="{00000000-0005-0000-0000-000068AC0000}"/>
    <cellStyle name="Normal 4 4 4 3 2 3 5" xfId="33726" xr:uid="{00000000-0005-0000-0000-000069AC0000}"/>
    <cellStyle name="Normal 4 4 4 3 2 4" xfId="9965" xr:uid="{00000000-0005-0000-0000-00006AAC0000}"/>
    <cellStyle name="Normal 4 4 4 3 2 4 2" xfId="16755" xr:uid="{00000000-0005-0000-0000-00006BAC0000}"/>
    <cellStyle name="Normal 4 4 4 3 2 4 2 2" xfId="30323" xr:uid="{00000000-0005-0000-0000-00006CAC0000}"/>
    <cellStyle name="Normal 4 4 4 3 2 4 2 2 2" xfId="57456" xr:uid="{00000000-0005-0000-0000-00006DAC0000}"/>
    <cellStyle name="Normal 4 4 4 3 2 4 2 3" xfId="43894" xr:uid="{00000000-0005-0000-0000-00006EAC0000}"/>
    <cellStyle name="Normal 4 4 4 3 2 4 3" xfId="23542" xr:uid="{00000000-0005-0000-0000-00006FAC0000}"/>
    <cellStyle name="Normal 4 4 4 3 2 4 3 2" xfId="50675" xr:uid="{00000000-0005-0000-0000-000070AC0000}"/>
    <cellStyle name="Normal 4 4 4 3 2 4 4" xfId="37113" xr:uid="{00000000-0005-0000-0000-000071AC0000}"/>
    <cellStyle name="Normal 4 4 4 3 2 5" xfId="13366" xr:uid="{00000000-0005-0000-0000-000072AC0000}"/>
    <cellStyle name="Normal 4 4 4 3 2 5 2" xfId="26934" xr:uid="{00000000-0005-0000-0000-000073AC0000}"/>
    <cellStyle name="Normal 4 4 4 3 2 5 2 2" xfId="54067" xr:uid="{00000000-0005-0000-0000-000074AC0000}"/>
    <cellStyle name="Normal 4 4 4 3 2 5 3" xfId="40505" xr:uid="{00000000-0005-0000-0000-000075AC0000}"/>
    <cellStyle name="Normal 4 4 4 3 2 6" xfId="20153" xr:uid="{00000000-0005-0000-0000-000076AC0000}"/>
    <cellStyle name="Normal 4 4 4 3 2 6 2" xfId="47286" xr:uid="{00000000-0005-0000-0000-000077AC0000}"/>
    <cellStyle name="Normal 4 4 4 3 2 7" xfId="33724" xr:uid="{00000000-0005-0000-0000-000078AC0000}"/>
    <cellStyle name="Normal 4 4 4 3 3" xfId="6435" xr:uid="{00000000-0005-0000-0000-000079AC0000}"/>
    <cellStyle name="Normal 4 4 4 3 3 2" xfId="6436" xr:uid="{00000000-0005-0000-0000-00007AAC0000}"/>
    <cellStyle name="Normal 4 4 4 3 3 2 2" xfId="9969" xr:uid="{00000000-0005-0000-0000-00007BAC0000}"/>
    <cellStyle name="Normal 4 4 4 3 3 2 2 2" xfId="16759" xr:uid="{00000000-0005-0000-0000-00007CAC0000}"/>
    <cellStyle name="Normal 4 4 4 3 3 2 2 2 2" xfId="30327" xr:uid="{00000000-0005-0000-0000-00007DAC0000}"/>
    <cellStyle name="Normal 4 4 4 3 3 2 2 2 2 2" xfId="57460" xr:uid="{00000000-0005-0000-0000-00007EAC0000}"/>
    <cellStyle name="Normal 4 4 4 3 3 2 2 2 3" xfId="43898" xr:uid="{00000000-0005-0000-0000-00007FAC0000}"/>
    <cellStyle name="Normal 4 4 4 3 3 2 2 3" xfId="23546" xr:uid="{00000000-0005-0000-0000-000080AC0000}"/>
    <cellStyle name="Normal 4 4 4 3 3 2 2 3 2" xfId="50679" xr:uid="{00000000-0005-0000-0000-000081AC0000}"/>
    <cellStyle name="Normal 4 4 4 3 3 2 2 4" xfId="37117" xr:uid="{00000000-0005-0000-0000-000082AC0000}"/>
    <cellStyle name="Normal 4 4 4 3 3 2 3" xfId="13370" xr:uid="{00000000-0005-0000-0000-000083AC0000}"/>
    <cellStyle name="Normal 4 4 4 3 3 2 3 2" xfId="26938" xr:uid="{00000000-0005-0000-0000-000084AC0000}"/>
    <cellStyle name="Normal 4 4 4 3 3 2 3 2 2" xfId="54071" xr:uid="{00000000-0005-0000-0000-000085AC0000}"/>
    <cellStyle name="Normal 4 4 4 3 3 2 3 3" xfId="40509" xr:uid="{00000000-0005-0000-0000-000086AC0000}"/>
    <cellStyle name="Normal 4 4 4 3 3 2 4" xfId="20157" xr:uid="{00000000-0005-0000-0000-000087AC0000}"/>
    <cellStyle name="Normal 4 4 4 3 3 2 4 2" xfId="47290" xr:uid="{00000000-0005-0000-0000-000088AC0000}"/>
    <cellStyle name="Normal 4 4 4 3 3 2 5" xfId="33728" xr:uid="{00000000-0005-0000-0000-000089AC0000}"/>
    <cellStyle name="Normal 4 4 4 3 3 3" xfId="9968" xr:uid="{00000000-0005-0000-0000-00008AAC0000}"/>
    <cellStyle name="Normal 4 4 4 3 3 3 2" xfId="16758" xr:uid="{00000000-0005-0000-0000-00008BAC0000}"/>
    <cellStyle name="Normal 4 4 4 3 3 3 2 2" xfId="30326" xr:uid="{00000000-0005-0000-0000-00008CAC0000}"/>
    <cellStyle name="Normal 4 4 4 3 3 3 2 2 2" xfId="57459" xr:uid="{00000000-0005-0000-0000-00008DAC0000}"/>
    <cellStyle name="Normal 4 4 4 3 3 3 2 3" xfId="43897" xr:uid="{00000000-0005-0000-0000-00008EAC0000}"/>
    <cellStyle name="Normal 4 4 4 3 3 3 3" xfId="23545" xr:uid="{00000000-0005-0000-0000-00008FAC0000}"/>
    <cellStyle name="Normal 4 4 4 3 3 3 3 2" xfId="50678" xr:uid="{00000000-0005-0000-0000-000090AC0000}"/>
    <cellStyle name="Normal 4 4 4 3 3 3 4" xfId="37116" xr:uid="{00000000-0005-0000-0000-000091AC0000}"/>
    <cellStyle name="Normal 4 4 4 3 3 4" xfId="13369" xr:uid="{00000000-0005-0000-0000-000092AC0000}"/>
    <cellStyle name="Normal 4 4 4 3 3 4 2" xfId="26937" xr:uid="{00000000-0005-0000-0000-000093AC0000}"/>
    <cellStyle name="Normal 4 4 4 3 3 4 2 2" xfId="54070" xr:uid="{00000000-0005-0000-0000-000094AC0000}"/>
    <cellStyle name="Normal 4 4 4 3 3 4 3" xfId="40508" xr:uid="{00000000-0005-0000-0000-000095AC0000}"/>
    <cellStyle name="Normal 4 4 4 3 3 5" xfId="20156" xr:uid="{00000000-0005-0000-0000-000096AC0000}"/>
    <cellStyle name="Normal 4 4 4 3 3 5 2" xfId="47289" xr:uid="{00000000-0005-0000-0000-000097AC0000}"/>
    <cellStyle name="Normal 4 4 4 3 3 6" xfId="33727" xr:uid="{00000000-0005-0000-0000-000098AC0000}"/>
    <cellStyle name="Normal 4 4 4 3 4" xfId="6437" xr:uid="{00000000-0005-0000-0000-000099AC0000}"/>
    <cellStyle name="Normal 4 4 4 3 4 2" xfId="9970" xr:uid="{00000000-0005-0000-0000-00009AAC0000}"/>
    <cellStyle name="Normal 4 4 4 3 4 2 2" xfId="16760" xr:uid="{00000000-0005-0000-0000-00009BAC0000}"/>
    <cellStyle name="Normal 4 4 4 3 4 2 2 2" xfId="30328" xr:uid="{00000000-0005-0000-0000-00009CAC0000}"/>
    <cellStyle name="Normal 4 4 4 3 4 2 2 2 2" xfId="57461" xr:uid="{00000000-0005-0000-0000-00009DAC0000}"/>
    <cellStyle name="Normal 4 4 4 3 4 2 2 3" xfId="43899" xr:uid="{00000000-0005-0000-0000-00009EAC0000}"/>
    <cellStyle name="Normal 4 4 4 3 4 2 3" xfId="23547" xr:uid="{00000000-0005-0000-0000-00009FAC0000}"/>
    <cellStyle name="Normal 4 4 4 3 4 2 3 2" xfId="50680" xr:uid="{00000000-0005-0000-0000-0000A0AC0000}"/>
    <cellStyle name="Normal 4 4 4 3 4 2 4" xfId="37118" xr:uid="{00000000-0005-0000-0000-0000A1AC0000}"/>
    <cellStyle name="Normal 4 4 4 3 4 3" xfId="13371" xr:uid="{00000000-0005-0000-0000-0000A2AC0000}"/>
    <cellStyle name="Normal 4 4 4 3 4 3 2" xfId="26939" xr:uid="{00000000-0005-0000-0000-0000A3AC0000}"/>
    <cellStyle name="Normal 4 4 4 3 4 3 2 2" xfId="54072" xr:uid="{00000000-0005-0000-0000-0000A4AC0000}"/>
    <cellStyle name="Normal 4 4 4 3 4 3 3" xfId="40510" xr:uid="{00000000-0005-0000-0000-0000A5AC0000}"/>
    <cellStyle name="Normal 4 4 4 3 4 4" xfId="20158" xr:uid="{00000000-0005-0000-0000-0000A6AC0000}"/>
    <cellStyle name="Normal 4 4 4 3 4 4 2" xfId="47291" xr:uid="{00000000-0005-0000-0000-0000A7AC0000}"/>
    <cellStyle name="Normal 4 4 4 3 4 5" xfId="33729" xr:uid="{00000000-0005-0000-0000-0000A8AC0000}"/>
    <cellStyle name="Normal 4 4 4 3 5" xfId="6438" xr:uid="{00000000-0005-0000-0000-0000A9AC0000}"/>
    <cellStyle name="Normal 4 4 4 3 5 2" xfId="9971" xr:uid="{00000000-0005-0000-0000-0000AAAC0000}"/>
    <cellStyle name="Normal 4 4 4 3 5 2 2" xfId="16761" xr:uid="{00000000-0005-0000-0000-0000ABAC0000}"/>
    <cellStyle name="Normal 4 4 4 3 5 2 2 2" xfId="30329" xr:uid="{00000000-0005-0000-0000-0000ACAC0000}"/>
    <cellStyle name="Normal 4 4 4 3 5 2 2 2 2" xfId="57462" xr:uid="{00000000-0005-0000-0000-0000ADAC0000}"/>
    <cellStyle name="Normal 4 4 4 3 5 2 2 3" xfId="43900" xr:uid="{00000000-0005-0000-0000-0000AEAC0000}"/>
    <cellStyle name="Normal 4 4 4 3 5 2 3" xfId="23548" xr:uid="{00000000-0005-0000-0000-0000AFAC0000}"/>
    <cellStyle name="Normal 4 4 4 3 5 2 3 2" xfId="50681" xr:uid="{00000000-0005-0000-0000-0000B0AC0000}"/>
    <cellStyle name="Normal 4 4 4 3 5 2 4" xfId="37119" xr:uid="{00000000-0005-0000-0000-0000B1AC0000}"/>
    <cellStyle name="Normal 4 4 4 3 5 3" xfId="13372" xr:uid="{00000000-0005-0000-0000-0000B2AC0000}"/>
    <cellStyle name="Normal 4 4 4 3 5 3 2" xfId="26940" xr:uid="{00000000-0005-0000-0000-0000B3AC0000}"/>
    <cellStyle name="Normal 4 4 4 3 5 3 2 2" xfId="54073" xr:uid="{00000000-0005-0000-0000-0000B4AC0000}"/>
    <cellStyle name="Normal 4 4 4 3 5 3 3" xfId="40511" xr:uid="{00000000-0005-0000-0000-0000B5AC0000}"/>
    <cellStyle name="Normal 4 4 4 3 5 4" xfId="20159" xr:uid="{00000000-0005-0000-0000-0000B6AC0000}"/>
    <cellStyle name="Normal 4 4 4 3 5 4 2" xfId="47292" xr:uid="{00000000-0005-0000-0000-0000B7AC0000}"/>
    <cellStyle name="Normal 4 4 4 3 5 5" xfId="33730" xr:uid="{00000000-0005-0000-0000-0000B8AC0000}"/>
    <cellStyle name="Normal 4 4 4 3 6" xfId="9964" xr:uid="{00000000-0005-0000-0000-0000B9AC0000}"/>
    <cellStyle name="Normal 4 4 4 3 6 2" xfId="16754" xr:uid="{00000000-0005-0000-0000-0000BAAC0000}"/>
    <cellStyle name="Normal 4 4 4 3 6 2 2" xfId="30322" xr:uid="{00000000-0005-0000-0000-0000BBAC0000}"/>
    <cellStyle name="Normal 4 4 4 3 6 2 2 2" xfId="57455" xr:uid="{00000000-0005-0000-0000-0000BCAC0000}"/>
    <cellStyle name="Normal 4 4 4 3 6 2 3" xfId="43893" xr:uid="{00000000-0005-0000-0000-0000BDAC0000}"/>
    <cellStyle name="Normal 4 4 4 3 6 3" xfId="23541" xr:uid="{00000000-0005-0000-0000-0000BEAC0000}"/>
    <cellStyle name="Normal 4 4 4 3 6 3 2" xfId="50674" xr:uid="{00000000-0005-0000-0000-0000BFAC0000}"/>
    <cellStyle name="Normal 4 4 4 3 6 4" xfId="37112" xr:uid="{00000000-0005-0000-0000-0000C0AC0000}"/>
    <cellStyle name="Normal 4 4 4 3 7" xfId="13365" xr:uid="{00000000-0005-0000-0000-0000C1AC0000}"/>
    <cellStyle name="Normal 4 4 4 3 7 2" xfId="26933" xr:uid="{00000000-0005-0000-0000-0000C2AC0000}"/>
    <cellStyle name="Normal 4 4 4 3 7 2 2" xfId="54066" xr:uid="{00000000-0005-0000-0000-0000C3AC0000}"/>
    <cellStyle name="Normal 4 4 4 3 7 3" xfId="40504" xr:uid="{00000000-0005-0000-0000-0000C4AC0000}"/>
    <cellStyle name="Normal 4 4 4 3 8" xfId="20152" xr:uid="{00000000-0005-0000-0000-0000C5AC0000}"/>
    <cellStyle name="Normal 4 4 4 3 8 2" xfId="47285" xr:uid="{00000000-0005-0000-0000-0000C6AC0000}"/>
    <cellStyle name="Normal 4 4 4 3 9" xfId="33723" xr:uid="{00000000-0005-0000-0000-0000C7AC0000}"/>
    <cellStyle name="Normal 4 4 4 4" xfId="6439" xr:uid="{00000000-0005-0000-0000-0000C8AC0000}"/>
    <cellStyle name="Normal 4 4 4 4 2" xfId="6440" xr:uid="{00000000-0005-0000-0000-0000C9AC0000}"/>
    <cellStyle name="Normal 4 4 4 4 2 2" xfId="6441" xr:uid="{00000000-0005-0000-0000-0000CAAC0000}"/>
    <cellStyle name="Normal 4 4 4 4 2 2 2" xfId="9974" xr:uid="{00000000-0005-0000-0000-0000CBAC0000}"/>
    <cellStyle name="Normal 4 4 4 4 2 2 2 2" xfId="16764" xr:uid="{00000000-0005-0000-0000-0000CCAC0000}"/>
    <cellStyle name="Normal 4 4 4 4 2 2 2 2 2" xfId="30332" xr:uid="{00000000-0005-0000-0000-0000CDAC0000}"/>
    <cellStyle name="Normal 4 4 4 4 2 2 2 2 2 2" xfId="57465" xr:uid="{00000000-0005-0000-0000-0000CEAC0000}"/>
    <cellStyle name="Normal 4 4 4 4 2 2 2 2 3" xfId="43903" xr:uid="{00000000-0005-0000-0000-0000CFAC0000}"/>
    <cellStyle name="Normal 4 4 4 4 2 2 2 3" xfId="23551" xr:uid="{00000000-0005-0000-0000-0000D0AC0000}"/>
    <cellStyle name="Normal 4 4 4 4 2 2 2 3 2" xfId="50684" xr:uid="{00000000-0005-0000-0000-0000D1AC0000}"/>
    <cellStyle name="Normal 4 4 4 4 2 2 2 4" xfId="37122" xr:uid="{00000000-0005-0000-0000-0000D2AC0000}"/>
    <cellStyle name="Normal 4 4 4 4 2 2 3" xfId="13375" xr:uid="{00000000-0005-0000-0000-0000D3AC0000}"/>
    <cellStyle name="Normal 4 4 4 4 2 2 3 2" xfId="26943" xr:uid="{00000000-0005-0000-0000-0000D4AC0000}"/>
    <cellStyle name="Normal 4 4 4 4 2 2 3 2 2" xfId="54076" xr:uid="{00000000-0005-0000-0000-0000D5AC0000}"/>
    <cellStyle name="Normal 4 4 4 4 2 2 3 3" xfId="40514" xr:uid="{00000000-0005-0000-0000-0000D6AC0000}"/>
    <cellStyle name="Normal 4 4 4 4 2 2 4" xfId="20162" xr:uid="{00000000-0005-0000-0000-0000D7AC0000}"/>
    <cellStyle name="Normal 4 4 4 4 2 2 4 2" xfId="47295" xr:uid="{00000000-0005-0000-0000-0000D8AC0000}"/>
    <cellStyle name="Normal 4 4 4 4 2 2 5" xfId="33733" xr:uid="{00000000-0005-0000-0000-0000D9AC0000}"/>
    <cellStyle name="Normal 4 4 4 4 2 3" xfId="6442" xr:uid="{00000000-0005-0000-0000-0000DAAC0000}"/>
    <cellStyle name="Normal 4 4 4 4 2 3 2" xfId="9975" xr:uid="{00000000-0005-0000-0000-0000DBAC0000}"/>
    <cellStyle name="Normal 4 4 4 4 2 3 2 2" xfId="16765" xr:uid="{00000000-0005-0000-0000-0000DCAC0000}"/>
    <cellStyle name="Normal 4 4 4 4 2 3 2 2 2" xfId="30333" xr:uid="{00000000-0005-0000-0000-0000DDAC0000}"/>
    <cellStyle name="Normal 4 4 4 4 2 3 2 2 2 2" xfId="57466" xr:uid="{00000000-0005-0000-0000-0000DEAC0000}"/>
    <cellStyle name="Normal 4 4 4 4 2 3 2 2 3" xfId="43904" xr:uid="{00000000-0005-0000-0000-0000DFAC0000}"/>
    <cellStyle name="Normal 4 4 4 4 2 3 2 3" xfId="23552" xr:uid="{00000000-0005-0000-0000-0000E0AC0000}"/>
    <cellStyle name="Normal 4 4 4 4 2 3 2 3 2" xfId="50685" xr:uid="{00000000-0005-0000-0000-0000E1AC0000}"/>
    <cellStyle name="Normal 4 4 4 4 2 3 2 4" xfId="37123" xr:uid="{00000000-0005-0000-0000-0000E2AC0000}"/>
    <cellStyle name="Normal 4 4 4 4 2 3 3" xfId="13376" xr:uid="{00000000-0005-0000-0000-0000E3AC0000}"/>
    <cellStyle name="Normal 4 4 4 4 2 3 3 2" xfId="26944" xr:uid="{00000000-0005-0000-0000-0000E4AC0000}"/>
    <cellStyle name="Normal 4 4 4 4 2 3 3 2 2" xfId="54077" xr:uid="{00000000-0005-0000-0000-0000E5AC0000}"/>
    <cellStyle name="Normal 4 4 4 4 2 3 3 3" xfId="40515" xr:uid="{00000000-0005-0000-0000-0000E6AC0000}"/>
    <cellStyle name="Normal 4 4 4 4 2 3 4" xfId="20163" xr:uid="{00000000-0005-0000-0000-0000E7AC0000}"/>
    <cellStyle name="Normal 4 4 4 4 2 3 4 2" xfId="47296" xr:uid="{00000000-0005-0000-0000-0000E8AC0000}"/>
    <cellStyle name="Normal 4 4 4 4 2 3 5" xfId="33734" xr:uid="{00000000-0005-0000-0000-0000E9AC0000}"/>
    <cellStyle name="Normal 4 4 4 4 2 4" xfId="9973" xr:uid="{00000000-0005-0000-0000-0000EAAC0000}"/>
    <cellStyle name="Normal 4 4 4 4 2 4 2" xfId="16763" xr:uid="{00000000-0005-0000-0000-0000EBAC0000}"/>
    <cellStyle name="Normal 4 4 4 4 2 4 2 2" xfId="30331" xr:uid="{00000000-0005-0000-0000-0000ECAC0000}"/>
    <cellStyle name="Normal 4 4 4 4 2 4 2 2 2" xfId="57464" xr:uid="{00000000-0005-0000-0000-0000EDAC0000}"/>
    <cellStyle name="Normal 4 4 4 4 2 4 2 3" xfId="43902" xr:uid="{00000000-0005-0000-0000-0000EEAC0000}"/>
    <cellStyle name="Normal 4 4 4 4 2 4 3" xfId="23550" xr:uid="{00000000-0005-0000-0000-0000EFAC0000}"/>
    <cellStyle name="Normal 4 4 4 4 2 4 3 2" xfId="50683" xr:uid="{00000000-0005-0000-0000-0000F0AC0000}"/>
    <cellStyle name="Normal 4 4 4 4 2 4 4" xfId="37121" xr:uid="{00000000-0005-0000-0000-0000F1AC0000}"/>
    <cellStyle name="Normal 4 4 4 4 2 5" xfId="13374" xr:uid="{00000000-0005-0000-0000-0000F2AC0000}"/>
    <cellStyle name="Normal 4 4 4 4 2 5 2" xfId="26942" xr:uid="{00000000-0005-0000-0000-0000F3AC0000}"/>
    <cellStyle name="Normal 4 4 4 4 2 5 2 2" xfId="54075" xr:uid="{00000000-0005-0000-0000-0000F4AC0000}"/>
    <cellStyle name="Normal 4 4 4 4 2 5 3" xfId="40513" xr:uid="{00000000-0005-0000-0000-0000F5AC0000}"/>
    <cellStyle name="Normal 4 4 4 4 2 6" xfId="20161" xr:uid="{00000000-0005-0000-0000-0000F6AC0000}"/>
    <cellStyle name="Normal 4 4 4 4 2 6 2" xfId="47294" xr:uid="{00000000-0005-0000-0000-0000F7AC0000}"/>
    <cellStyle name="Normal 4 4 4 4 2 7" xfId="33732" xr:uid="{00000000-0005-0000-0000-0000F8AC0000}"/>
    <cellStyle name="Normal 4 4 4 4 3" xfId="6443" xr:uid="{00000000-0005-0000-0000-0000F9AC0000}"/>
    <cellStyle name="Normal 4 4 4 4 3 2" xfId="9976" xr:uid="{00000000-0005-0000-0000-0000FAAC0000}"/>
    <cellStyle name="Normal 4 4 4 4 3 2 2" xfId="16766" xr:uid="{00000000-0005-0000-0000-0000FBAC0000}"/>
    <cellStyle name="Normal 4 4 4 4 3 2 2 2" xfId="30334" xr:uid="{00000000-0005-0000-0000-0000FCAC0000}"/>
    <cellStyle name="Normal 4 4 4 4 3 2 2 2 2" xfId="57467" xr:uid="{00000000-0005-0000-0000-0000FDAC0000}"/>
    <cellStyle name="Normal 4 4 4 4 3 2 2 3" xfId="43905" xr:uid="{00000000-0005-0000-0000-0000FEAC0000}"/>
    <cellStyle name="Normal 4 4 4 4 3 2 3" xfId="23553" xr:uid="{00000000-0005-0000-0000-0000FFAC0000}"/>
    <cellStyle name="Normal 4 4 4 4 3 2 3 2" xfId="50686" xr:uid="{00000000-0005-0000-0000-000000AD0000}"/>
    <cellStyle name="Normal 4 4 4 4 3 2 4" xfId="37124" xr:uid="{00000000-0005-0000-0000-000001AD0000}"/>
    <cellStyle name="Normal 4 4 4 4 3 3" xfId="13377" xr:uid="{00000000-0005-0000-0000-000002AD0000}"/>
    <cellStyle name="Normal 4 4 4 4 3 3 2" xfId="26945" xr:uid="{00000000-0005-0000-0000-000003AD0000}"/>
    <cellStyle name="Normal 4 4 4 4 3 3 2 2" xfId="54078" xr:uid="{00000000-0005-0000-0000-000004AD0000}"/>
    <cellStyle name="Normal 4 4 4 4 3 3 3" xfId="40516" xr:uid="{00000000-0005-0000-0000-000005AD0000}"/>
    <cellStyle name="Normal 4 4 4 4 3 4" xfId="20164" xr:uid="{00000000-0005-0000-0000-000006AD0000}"/>
    <cellStyle name="Normal 4 4 4 4 3 4 2" xfId="47297" xr:uid="{00000000-0005-0000-0000-000007AD0000}"/>
    <cellStyle name="Normal 4 4 4 4 3 5" xfId="33735" xr:uid="{00000000-0005-0000-0000-000008AD0000}"/>
    <cellStyle name="Normal 4 4 4 4 4" xfId="6444" xr:uid="{00000000-0005-0000-0000-000009AD0000}"/>
    <cellStyle name="Normal 4 4 4 4 4 2" xfId="9977" xr:uid="{00000000-0005-0000-0000-00000AAD0000}"/>
    <cellStyle name="Normal 4 4 4 4 4 2 2" xfId="16767" xr:uid="{00000000-0005-0000-0000-00000BAD0000}"/>
    <cellStyle name="Normal 4 4 4 4 4 2 2 2" xfId="30335" xr:uid="{00000000-0005-0000-0000-00000CAD0000}"/>
    <cellStyle name="Normal 4 4 4 4 4 2 2 2 2" xfId="57468" xr:uid="{00000000-0005-0000-0000-00000DAD0000}"/>
    <cellStyle name="Normal 4 4 4 4 4 2 2 3" xfId="43906" xr:uid="{00000000-0005-0000-0000-00000EAD0000}"/>
    <cellStyle name="Normal 4 4 4 4 4 2 3" xfId="23554" xr:uid="{00000000-0005-0000-0000-00000FAD0000}"/>
    <cellStyle name="Normal 4 4 4 4 4 2 3 2" xfId="50687" xr:uid="{00000000-0005-0000-0000-000010AD0000}"/>
    <cellStyle name="Normal 4 4 4 4 4 2 4" xfId="37125" xr:uid="{00000000-0005-0000-0000-000011AD0000}"/>
    <cellStyle name="Normal 4 4 4 4 4 3" xfId="13378" xr:uid="{00000000-0005-0000-0000-000012AD0000}"/>
    <cellStyle name="Normal 4 4 4 4 4 3 2" xfId="26946" xr:uid="{00000000-0005-0000-0000-000013AD0000}"/>
    <cellStyle name="Normal 4 4 4 4 4 3 2 2" xfId="54079" xr:uid="{00000000-0005-0000-0000-000014AD0000}"/>
    <cellStyle name="Normal 4 4 4 4 4 3 3" xfId="40517" xr:uid="{00000000-0005-0000-0000-000015AD0000}"/>
    <cellStyle name="Normal 4 4 4 4 4 4" xfId="20165" xr:uid="{00000000-0005-0000-0000-000016AD0000}"/>
    <cellStyle name="Normal 4 4 4 4 4 4 2" xfId="47298" xr:uid="{00000000-0005-0000-0000-000017AD0000}"/>
    <cellStyle name="Normal 4 4 4 4 4 5" xfId="33736" xr:uid="{00000000-0005-0000-0000-000018AD0000}"/>
    <cellStyle name="Normal 4 4 4 4 5" xfId="9972" xr:uid="{00000000-0005-0000-0000-000019AD0000}"/>
    <cellStyle name="Normal 4 4 4 4 5 2" xfId="16762" xr:uid="{00000000-0005-0000-0000-00001AAD0000}"/>
    <cellStyle name="Normal 4 4 4 4 5 2 2" xfId="30330" xr:uid="{00000000-0005-0000-0000-00001BAD0000}"/>
    <cellStyle name="Normal 4 4 4 4 5 2 2 2" xfId="57463" xr:uid="{00000000-0005-0000-0000-00001CAD0000}"/>
    <cellStyle name="Normal 4 4 4 4 5 2 3" xfId="43901" xr:uid="{00000000-0005-0000-0000-00001DAD0000}"/>
    <cellStyle name="Normal 4 4 4 4 5 3" xfId="23549" xr:uid="{00000000-0005-0000-0000-00001EAD0000}"/>
    <cellStyle name="Normal 4 4 4 4 5 3 2" xfId="50682" xr:uid="{00000000-0005-0000-0000-00001FAD0000}"/>
    <cellStyle name="Normal 4 4 4 4 5 4" xfId="37120" xr:uid="{00000000-0005-0000-0000-000020AD0000}"/>
    <cellStyle name="Normal 4 4 4 4 6" xfId="13373" xr:uid="{00000000-0005-0000-0000-000021AD0000}"/>
    <cellStyle name="Normal 4 4 4 4 6 2" xfId="26941" xr:uid="{00000000-0005-0000-0000-000022AD0000}"/>
    <cellStyle name="Normal 4 4 4 4 6 2 2" xfId="54074" xr:uid="{00000000-0005-0000-0000-000023AD0000}"/>
    <cellStyle name="Normal 4 4 4 4 6 3" xfId="40512" xr:uid="{00000000-0005-0000-0000-000024AD0000}"/>
    <cellStyle name="Normal 4 4 4 4 7" xfId="20160" xr:uid="{00000000-0005-0000-0000-000025AD0000}"/>
    <cellStyle name="Normal 4 4 4 4 7 2" xfId="47293" xr:uid="{00000000-0005-0000-0000-000026AD0000}"/>
    <cellStyle name="Normal 4 4 4 4 8" xfId="33731" xr:uid="{00000000-0005-0000-0000-000027AD0000}"/>
    <cellStyle name="Normal 4 4 4 5" xfId="6445" xr:uid="{00000000-0005-0000-0000-000028AD0000}"/>
    <cellStyle name="Normal 4 4 4 5 2" xfId="6446" xr:uid="{00000000-0005-0000-0000-000029AD0000}"/>
    <cellStyle name="Normal 4 4 4 5 2 2" xfId="9979" xr:uid="{00000000-0005-0000-0000-00002AAD0000}"/>
    <cellStyle name="Normal 4 4 4 5 2 2 2" xfId="16769" xr:uid="{00000000-0005-0000-0000-00002BAD0000}"/>
    <cellStyle name="Normal 4 4 4 5 2 2 2 2" xfId="30337" xr:uid="{00000000-0005-0000-0000-00002CAD0000}"/>
    <cellStyle name="Normal 4 4 4 5 2 2 2 2 2" xfId="57470" xr:uid="{00000000-0005-0000-0000-00002DAD0000}"/>
    <cellStyle name="Normal 4 4 4 5 2 2 2 3" xfId="43908" xr:uid="{00000000-0005-0000-0000-00002EAD0000}"/>
    <cellStyle name="Normal 4 4 4 5 2 2 3" xfId="23556" xr:uid="{00000000-0005-0000-0000-00002FAD0000}"/>
    <cellStyle name="Normal 4 4 4 5 2 2 3 2" xfId="50689" xr:uid="{00000000-0005-0000-0000-000030AD0000}"/>
    <cellStyle name="Normal 4 4 4 5 2 2 4" xfId="37127" xr:uid="{00000000-0005-0000-0000-000031AD0000}"/>
    <cellStyle name="Normal 4 4 4 5 2 3" xfId="13380" xr:uid="{00000000-0005-0000-0000-000032AD0000}"/>
    <cellStyle name="Normal 4 4 4 5 2 3 2" xfId="26948" xr:uid="{00000000-0005-0000-0000-000033AD0000}"/>
    <cellStyle name="Normal 4 4 4 5 2 3 2 2" xfId="54081" xr:uid="{00000000-0005-0000-0000-000034AD0000}"/>
    <cellStyle name="Normal 4 4 4 5 2 3 3" xfId="40519" xr:uid="{00000000-0005-0000-0000-000035AD0000}"/>
    <cellStyle name="Normal 4 4 4 5 2 4" xfId="20167" xr:uid="{00000000-0005-0000-0000-000036AD0000}"/>
    <cellStyle name="Normal 4 4 4 5 2 4 2" xfId="47300" xr:uid="{00000000-0005-0000-0000-000037AD0000}"/>
    <cellStyle name="Normal 4 4 4 5 2 5" xfId="33738" xr:uid="{00000000-0005-0000-0000-000038AD0000}"/>
    <cellStyle name="Normal 4 4 4 5 3" xfId="6447" xr:uid="{00000000-0005-0000-0000-000039AD0000}"/>
    <cellStyle name="Normal 4 4 4 5 3 2" xfId="9980" xr:uid="{00000000-0005-0000-0000-00003AAD0000}"/>
    <cellStyle name="Normal 4 4 4 5 3 2 2" xfId="16770" xr:uid="{00000000-0005-0000-0000-00003BAD0000}"/>
    <cellStyle name="Normal 4 4 4 5 3 2 2 2" xfId="30338" xr:uid="{00000000-0005-0000-0000-00003CAD0000}"/>
    <cellStyle name="Normal 4 4 4 5 3 2 2 2 2" xfId="57471" xr:uid="{00000000-0005-0000-0000-00003DAD0000}"/>
    <cellStyle name="Normal 4 4 4 5 3 2 2 3" xfId="43909" xr:uid="{00000000-0005-0000-0000-00003EAD0000}"/>
    <cellStyle name="Normal 4 4 4 5 3 2 3" xfId="23557" xr:uid="{00000000-0005-0000-0000-00003FAD0000}"/>
    <cellStyle name="Normal 4 4 4 5 3 2 3 2" xfId="50690" xr:uid="{00000000-0005-0000-0000-000040AD0000}"/>
    <cellStyle name="Normal 4 4 4 5 3 2 4" xfId="37128" xr:uid="{00000000-0005-0000-0000-000041AD0000}"/>
    <cellStyle name="Normal 4 4 4 5 3 3" xfId="13381" xr:uid="{00000000-0005-0000-0000-000042AD0000}"/>
    <cellStyle name="Normal 4 4 4 5 3 3 2" xfId="26949" xr:uid="{00000000-0005-0000-0000-000043AD0000}"/>
    <cellStyle name="Normal 4 4 4 5 3 3 2 2" xfId="54082" xr:uid="{00000000-0005-0000-0000-000044AD0000}"/>
    <cellStyle name="Normal 4 4 4 5 3 3 3" xfId="40520" xr:uid="{00000000-0005-0000-0000-000045AD0000}"/>
    <cellStyle name="Normal 4 4 4 5 3 4" xfId="20168" xr:uid="{00000000-0005-0000-0000-000046AD0000}"/>
    <cellStyle name="Normal 4 4 4 5 3 4 2" xfId="47301" xr:uid="{00000000-0005-0000-0000-000047AD0000}"/>
    <cellStyle name="Normal 4 4 4 5 3 5" xfId="33739" xr:uid="{00000000-0005-0000-0000-000048AD0000}"/>
    <cellStyle name="Normal 4 4 4 5 4" xfId="9978" xr:uid="{00000000-0005-0000-0000-000049AD0000}"/>
    <cellStyle name="Normal 4 4 4 5 4 2" xfId="16768" xr:uid="{00000000-0005-0000-0000-00004AAD0000}"/>
    <cellStyle name="Normal 4 4 4 5 4 2 2" xfId="30336" xr:uid="{00000000-0005-0000-0000-00004BAD0000}"/>
    <cellStyle name="Normal 4 4 4 5 4 2 2 2" xfId="57469" xr:uid="{00000000-0005-0000-0000-00004CAD0000}"/>
    <cellStyle name="Normal 4 4 4 5 4 2 3" xfId="43907" xr:uid="{00000000-0005-0000-0000-00004DAD0000}"/>
    <cellStyle name="Normal 4 4 4 5 4 3" xfId="23555" xr:uid="{00000000-0005-0000-0000-00004EAD0000}"/>
    <cellStyle name="Normal 4 4 4 5 4 3 2" xfId="50688" xr:uid="{00000000-0005-0000-0000-00004FAD0000}"/>
    <cellStyle name="Normal 4 4 4 5 4 4" xfId="37126" xr:uid="{00000000-0005-0000-0000-000050AD0000}"/>
    <cellStyle name="Normal 4 4 4 5 5" xfId="13379" xr:uid="{00000000-0005-0000-0000-000051AD0000}"/>
    <cellStyle name="Normal 4 4 4 5 5 2" xfId="26947" xr:uid="{00000000-0005-0000-0000-000052AD0000}"/>
    <cellStyle name="Normal 4 4 4 5 5 2 2" xfId="54080" xr:uid="{00000000-0005-0000-0000-000053AD0000}"/>
    <cellStyle name="Normal 4 4 4 5 5 3" xfId="40518" xr:uid="{00000000-0005-0000-0000-000054AD0000}"/>
    <cellStyle name="Normal 4 4 4 5 6" xfId="20166" xr:uid="{00000000-0005-0000-0000-000055AD0000}"/>
    <cellStyle name="Normal 4 4 4 5 6 2" xfId="47299" xr:uid="{00000000-0005-0000-0000-000056AD0000}"/>
    <cellStyle name="Normal 4 4 4 5 7" xfId="33737" xr:uid="{00000000-0005-0000-0000-000057AD0000}"/>
    <cellStyle name="Normal 4 4 4 6" xfId="6448" xr:uid="{00000000-0005-0000-0000-000058AD0000}"/>
    <cellStyle name="Normal 4 4 4 6 2" xfId="6449" xr:uid="{00000000-0005-0000-0000-000059AD0000}"/>
    <cellStyle name="Normal 4 4 4 6 2 2" xfId="9982" xr:uid="{00000000-0005-0000-0000-00005AAD0000}"/>
    <cellStyle name="Normal 4 4 4 6 2 2 2" xfId="16772" xr:uid="{00000000-0005-0000-0000-00005BAD0000}"/>
    <cellStyle name="Normal 4 4 4 6 2 2 2 2" xfId="30340" xr:uid="{00000000-0005-0000-0000-00005CAD0000}"/>
    <cellStyle name="Normal 4 4 4 6 2 2 2 2 2" xfId="57473" xr:uid="{00000000-0005-0000-0000-00005DAD0000}"/>
    <cellStyle name="Normal 4 4 4 6 2 2 2 3" xfId="43911" xr:uid="{00000000-0005-0000-0000-00005EAD0000}"/>
    <cellStyle name="Normal 4 4 4 6 2 2 3" xfId="23559" xr:uid="{00000000-0005-0000-0000-00005FAD0000}"/>
    <cellStyle name="Normal 4 4 4 6 2 2 3 2" xfId="50692" xr:uid="{00000000-0005-0000-0000-000060AD0000}"/>
    <cellStyle name="Normal 4 4 4 6 2 2 4" xfId="37130" xr:uid="{00000000-0005-0000-0000-000061AD0000}"/>
    <cellStyle name="Normal 4 4 4 6 2 3" xfId="13383" xr:uid="{00000000-0005-0000-0000-000062AD0000}"/>
    <cellStyle name="Normal 4 4 4 6 2 3 2" xfId="26951" xr:uid="{00000000-0005-0000-0000-000063AD0000}"/>
    <cellStyle name="Normal 4 4 4 6 2 3 2 2" xfId="54084" xr:uid="{00000000-0005-0000-0000-000064AD0000}"/>
    <cellStyle name="Normal 4 4 4 6 2 3 3" xfId="40522" xr:uid="{00000000-0005-0000-0000-000065AD0000}"/>
    <cellStyle name="Normal 4 4 4 6 2 4" xfId="20170" xr:uid="{00000000-0005-0000-0000-000066AD0000}"/>
    <cellStyle name="Normal 4 4 4 6 2 4 2" xfId="47303" xr:uid="{00000000-0005-0000-0000-000067AD0000}"/>
    <cellStyle name="Normal 4 4 4 6 2 5" xfId="33741" xr:uid="{00000000-0005-0000-0000-000068AD0000}"/>
    <cellStyle name="Normal 4 4 4 6 3" xfId="9981" xr:uid="{00000000-0005-0000-0000-000069AD0000}"/>
    <cellStyle name="Normal 4 4 4 6 3 2" xfId="16771" xr:uid="{00000000-0005-0000-0000-00006AAD0000}"/>
    <cellStyle name="Normal 4 4 4 6 3 2 2" xfId="30339" xr:uid="{00000000-0005-0000-0000-00006BAD0000}"/>
    <cellStyle name="Normal 4 4 4 6 3 2 2 2" xfId="57472" xr:uid="{00000000-0005-0000-0000-00006CAD0000}"/>
    <cellStyle name="Normal 4 4 4 6 3 2 3" xfId="43910" xr:uid="{00000000-0005-0000-0000-00006DAD0000}"/>
    <cellStyle name="Normal 4 4 4 6 3 3" xfId="23558" xr:uid="{00000000-0005-0000-0000-00006EAD0000}"/>
    <cellStyle name="Normal 4 4 4 6 3 3 2" xfId="50691" xr:uid="{00000000-0005-0000-0000-00006FAD0000}"/>
    <cellStyle name="Normal 4 4 4 6 3 4" xfId="37129" xr:uid="{00000000-0005-0000-0000-000070AD0000}"/>
    <cellStyle name="Normal 4 4 4 6 4" xfId="13382" xr:uid="{00000000-0005-0000-0000-000071AD0000}"/>
    <cellStyle name="Normal 4 4 4 6 4 2" xfId="26950" xr:uid="{00000000-0005-0000-0000-000072AD0000}"/>
    <cellStyle name="Normal 4 4 4 6 4 2 2" xfId="54083" xr:uid="{00000000-0005-0000-0000-000073AD0000}"/>
    <cellStyle name="Normal 4 4 4 6 4 3" xfId="40521" xr:uid="{00000000-0005-0000-0000-000074AD0000}"/>
    <cellStyle name="Normal 4 4 4 6 5" xfId="20169" xr:uid="{00000000-0005-0000-0000-000075AD0000}"/>
    <cellStyle name="Normal 4 4 4 6 5 2" xfId="47302" xr:uid="{00000000-0005-0000-0000-000076AD0000}"/>
    <cellStyle name="Normal 4 4 4 6 6" xfId="33740" xr:uid="{00000000-0005-0000-0000-000077AD0000}"/>
    <cellStyle name="Normal 4 4 4 7" xfId="6450" xr:uid="{00000000-0005-0000-0000-000078AD0000}"/>
    <cellStyle name="Normal 4 4 4 7 2" xfId="9983" xr:uid="{00000000-0005-0000-0000-000079AD0000}"/>
    <cellStyle name="Normal 4 4 4 7 2 2" xfId="16773" xr:uid="{00000000-0005-0000-0000-00007AAD0000}"/>
    <cellStyle name="Normal 4 4 4 7 2 2 2" xfId="30341" xr:uid="{00000000-0005-0000-0000-00007BAD0000}"/>
    <cellStyle name="Normal 4 4 4 7 2 2 2 2" xfId="57474" xr:uid="{00000000-0005-0000-0000-00007CAD0000}"/>
    <cellStyle name="Normal 4 4 4 7 2 2 3" xfId="43912" xr:uid="{00000000-0005-0000-0000-00007DAD0000}"/>
    <cellStyle name="Normal 4 4 4 7 2 3" xfId="23560" xr:uid="{00000000-0005-0000-0000-00007EAD0000}"/>
    <cellStyle name="Normal 4 4 4 7 2 3 2" xfId="50693" xr:uid="{00000000-0005-0000-0000-00007FAD0000}"/>
    <cellStyle name="Normal 4 4 4 7 2 4" xfId="37131" xr:uid="{00000000-0005-0000-0000-000080AD0000}"/>
    <cellStyle name="Normal 4 4 4 7 3" xfId="13384" xr:uid="{00000000-0005-0000-0000-000081AD0000}"/>
    <cellStyle name="Normal 4 4 4 7 3 2" xfId="26952" xr:uid="{00000000-0005-0000-0000-000082AD0000}"/>
    <cellStyle name="Normal 4 4 4 7 3 2 2" xfId="54085" xr:uid="{00000000-0005-0000-0000-000083AD0000}"/>
    <cellStyle name="Normal 4 4 4 7 3 3" xfId="40523" xr:uid="{00000000-0005-0000-0000-000084AD0000}"/>
    <cellStyle name="Normal 4 4 4 7 4" xfId="20171" xr:uid="{00000000-0005-0000-0000-000085AD0000}"/>
    <cellStyle name="Normal 4 4 4 7 4 2" xfId="47304" xr:uid="{00000000-0005-0000-0000-000086AD0000}"/>
    <cellStyle name="Normal 4 4 4 7 5" xfId="33742" xr:uid="{00000000-0005-0000-0000-000087AD0000}"/>
    <cellStyle name="Normal 4 4 4 8" xfId="6451" xr:uid="{00000000-0005-0000-0000-000088AD0000}"/>
    <cellStyle name="Normal 4 4 4 8 2" xfId="9984" xr:uid="{00000000-0005-0000-0000-000089AD0000}"/>
    <cellStyle name="Normal 4 4 4 8 2 2" xfId="16774" xr:uid="{00000000-0005-0000-0000-00008AAD0000}"/>
    <cellStyle name="Normal 4 4 4 8 2 2 2" xfId="30342" xr:uid="{00000000-0005-0000-0000-00008BAD0000}"/>
    <cellStyle name="Normal 4 4 4 8 2 2 2 2" xfId="57475" xr:uid="{00000000-0005-0000-0000-00008CAD0000}"/>
    <cellStyle name="Normal 4 4 4 8 2 2 3" xfId="43913" xr:uid="{00000000-0005-0000-0000-00008DAD0000}"/>
    <cellStyle name="Normal 4 4 4 8 2 3" xfId="23561" xr:uid="{00000000-0005-0000-0000-00008EAD0000}"/>
    <cellStyle name="Normal 4 4 4 8 2 3 2" xfId="50694" xr:uid="{00000000-0005-0000-0000-00008FAD0000}"/>
    <cellStyle name="Normal 4 4 4 8 2 4" xfId="37132" xr:uid="{00000000-0005-0000-0000-000090AD0000}"/>
    <cellStyle name="Normal 4 4 4 8 3" xfId="13385" xr:uid="{00000000-0005-0000-0000-000091AD0000}"/>
    <cellStyle name="Normal 4 4 4 8 3 2" xfId="26953" xr:uid="{00000000-0005-0000-0000-000092AD0000}"/>
    <cellStyle name="Normal 4 4 4 8 3 2 2" xfId="54086" xr:uid="{00000000-0005-0000-0000-000093AD0000}"/>
    <cellStyle name="Normal 4 4 4 8 3 3" xfId="40524" xr:uid="{00000000-0005-0000-0000-000094AD0000}"/>
    <cellStyle name="Normal 4 4 4 8 4" xfId="20172" xr:uid="{00000000-0005-0000-0000-000095AD0000}"/>
    <cellStyle name="Normal 4 4 4 8 4 2" xfId="47305" xr:uid="{00000000-0005-0000-0000-000096AD0000}"/>
    <cellStyle name="Normal 4 4 4 8 5" xfId="33743" xr:uid="{00000000-0005-0000-0000-000097AD0000}"/>
    <cellStyle name="Normal 4 4 4 9" xfId="9947" xr:uid="{00000000-0005-0000-0000-000098AD0000}"/>
    <cellStyle name="Normal 4 4 4 9 2" xfId="16737" xr:uid="{00000000-0005-0000-0000-000099AD0000}"/>
    <cellStyle name="Normal 4 4 4 9 2 2" xfId="30305" xr:uid="{00000000-0005-0000-0000-00009AAD0000}"/>
    <cellStyle name="Normal 4 4 4 9 2 2 2" xfId="57438" xr:uid="{00000000-0005-0000-0000-00009BAD0000}"/>
    <cellStyle name="Normal 4 4 4 9 2 3" xfId="43876" xr:uid="{00000000-0005-0000-0000-00009CAD0000}"/>
    <cellStyle name="Normal 4 4 4 9 3" xfId="23524" xr:uid="{00000000-0005-0000-0000-00009DAD0000}"/>
    <cellStyle name="Normal 4 4 4 9 3 2" xfId="50657" xr:uid="{00000000-0005-0000-0000-00009EAD0000}"/>
    <cellStyle name="Normal 4 4 4 9 4" xfId="37095" xr:uid="{00000000-0005-0000-0000-00009FAD0000}"/>
    <cellStyle name="Normal 4 4 5" xfId="6452" xr:uid="{00000000-0005-0000-0000-0000A0AD0000}"/>
    <cellStyle name="Normal 4 4 5 10" xfId="33744" xr:uid="{00000000-0005-0000-0000-0000A1AD0000}"/>
    <cellStyle name="Normal 4 4 5 2" xfId="6453" xr:uid="{00000000-0005-0000-0000-0000A2AD0000}"/>
    <cellStyle name="Normal 4 4 5 2 2" xfId="6454" xr:uid="{00000000-0005-0000-0000-0000A3AD0000}"/>
    <cellStyle name="Normal 4 4 5 2 2 2" xfId="6455" xr:uid="{00000000-0005-0000-0000-0000A4AD0000}"/>
    <cellStyle name="Normal 4 4 5 2 2 2 2" xfId="9988" xr:uid="{00000000-0005-0000-0000-0000A5AD0000}"/>
    <cellStyle name="Normal 4 4 5 2 2 2 2 2" xfId="16778" xr:uid="{00000000-0005-0000-0000-0000A6AD0000}"/>
    <cellStyle name="Normal 4 4 5 2 2 2 2 2 2" xfId="30346" xr:uid="{00000000-0005-0000-0000-0000A7AD0000}"/>
    <cellStyle name="Normal 4 4 5 2 2 2 2 2 2 2" xfId="57479" xr:uid="{00000000-0005-0000-0000-0000A8AD0000}"/>
    <cellStyle name="Normal 4 4 5 2 2 2 2 2 3" xfId="43917" xr:uid="{00000000-0005-0000-0000-0000A9AD0000}"/>
    <cellStyle name="Normal 4 4 5 2 2 2 2 3" xfId="23565" xr:uid="{00000000-0005-0000-0000-0000AAAD0000}"/>
    <cellStyle name="Normal 4 4 5 2 2 2 2 3 2" xfId="50698" xr:uid="{00000000-0005-0000-0000-0000ABAD0000}"/>
    <cellStyle name="Normal 4 4 5 2 2 2 2 4" xfId="37136" xr:uid="{00000000-0005-0000-0000-0000ACAD0000}"/>
    <cellStyle name="Normal 4 4 5 2 2 2 3" xfId="13389" xr:uid="{00000000-0005-0000-0000-0000ADAD0000}"/>
    <cellStyle name="Normal 4 4 5 2 2 2 3 2" xfId="26957" xr:uid="{00000000-0005-0000-0000-0000AEAD0000}"/>
    <cellStyle name="Normal 4 4 5 2 2 2 3 2 2" xfId="54090" xr:uid="{00000000-0005-0000-0000-0000AFAD0000}"/>
    <cellStyle name="Normal 4 4 5 2 2 2 3 3" xfId="40528" xr:uid="{00000000-0005-0000-0000-0000B0AD0000}"/>
    <cellStyle name="Normal 4 4 5 2 2 2 4" xfId="20176" xr:uid="{00000000-0005-0000-0000-0000B1AD0000}"/>
    <cellStyle name="Normal 4 4 5 2 2 2 4 2" xfId="47309" xr:uid="{00000000-0005-0000-0000-0000B2AD0000}"/>
    <cellStyle name="Normal 4 4 5 2 2 2 5" xfId="33747" xr:uid="{00000000-0005-0000-0000-0000B3AD0000}"/>
    <cellStyle name="Normal 4 4 5 2 2 3" xfId="6456" xr:uid="{00000000-0005-0000-0000-0000B4AD0000}"/>
    <cellStyle name="Normal 4 4 5 2 2 3 2" xfId="9989" xr:uid="{00000000-0005-0000-0000-0000B5AD0000}"/>
    <cellStyle name="Normal 4 4 5 2 2 3 2 2" xfId="16779" xr:uid="{00000000-0005-0000-0000-0000B6AD0000}"/>
    <cellStyle name="Normal 4 4 5 2 2 3 2 2 2" xfId="30347" xr:uid="{00000000-0005-0000-0000-0000B7AD0000}"/>
    <cellStyle name="Normal 4 4 5 2 2 3 2 2 2 2" xfId="57480" xr:uid="{00000000-0005-0000-0000-0000B8AD0000}"/>
    <cellStyle name="Normal 4 4 5 2 2 3 2 2 3" xfId="43918" xr:uid="{00000000-0005-0000-0000-0000B9AD0000}"/>
    <cellStyle name="Normal 4 4 5 2 2 3 2 3" xfId="23566" xr:uid="{00000000-0005-0000-0000-0000BAAD0000}"/>
    <cellStyle name="Normal 4 4 5 2 2 3 2 3 2" xfId="50699" xr:uid="{00000000-0005-0000-0000-0000BBAD0000}"/>
    <cellStyle name="Normal 4 4 5 2 2 3 2 4" xfId="37137" xr:uid="{00000000-0005-0000-0000-0000BCAD0000}"/>
    <cellStyle name="Normal 4 4 5 2 2 3 3" xfId="13390" xr:uid="{00000000-0005-0000-0000-0000BDAD0000}"/>
    <cellStyle name="Normal 4 4 5 2 2 3 3 2" xfId="26958" xr:uid="{00000000-0005-0000-0000-0000BEAD0000}"/>
    <cellStyle name="Normal 4 4 5 2 2 3 3 2 2" xfId="54091" xr:uid="{00000000-0005-0000-0000-0000BFAD0000}"/>
    <cellStyle name="Normal 4 4 5 2 2 3 3 3" xfId="40529" xr:uid="{00000000-0005-0000-0000-0000C0AD0000}"/>
    <cellStyle name="Normal 4 4 5 2 2 3 4" xfId="20177" xr:uid="{00000000-0005-0000-0000-0000C1AD0000}"/>
    <cellStyle name="Normal 4 4 5 2 2 3 4 2" xfId="47310" xr:uid="{00000000-0005-0000-0000-0000C2AD0000}"/>
    <cellStyle name="Normal 4 4 5 2 2 3 5" xfId="33748" xr:uid="{00000000-0005-0000-0000-0000C3AD0000}"/>
    <cellStyle name="Normal 4 4 5 2 2 4" xfId="9987" xr:uid="{00000000-0005-0000-0000-0000C4AD0000}"/>
    <cellStyle name="Normal 4 4 5 2 2 4 2" xfId="16777" xr:uid="{00000000-0005-0000-0000-0000C5AD0000}"/>
    <cellStyle name="Normal 4 4 5 2 2 4 2 2" xfId="30345" xr:uid="{00000000-0005-0000-0000-0000C6AD0000}"/>
    <cellStyle name="Normal 4 4 5 2 2 4 2 2 2" xfId="57478" xr:uid="{00000000-0005-0000-0000-0000C7AD0000}"/>
    <cellStyle name="Normal 4 4 5 2 2 4 2 3" xfId="43916" xr:uid="{00000000-0005-0000-0000-0000C8AD0000}"/>
    <cellStyle name="Normal 4 4 5 2 2 4 3" xfId="23564" xr:uid="{00000000-0005-0000-0000-0000C9AD0000}"/>
    <cellStyle name="Normal 4 4 5 2 2 4 3 2" xfId="50697" xr:uid="{00000000-0005-0000-0000-0000CAAD0000}"/>
    <cellStyle name="Normal 4 4 5 2 2 4 4" xfId="37135" xr:uid="{00000000-0005-0000-0000-0000CBAD0000}"/>
    <cellStyle name="Normal 4 4 5 2 2 5" xfId="13388" xr:uid="{00000000-0005-0000-0000-0000CCAD0000}"/>
    <cellStyle name="Normal 4 4 5 2 2 5 2" xfId="26956" xr:uid="{00000000-0005-0000-0000-0000CDAD0000}"/>
    <cellStyle name="Normal 4 4 5 2 2 5 2 2" xfId="54089" xr:uid="{00000000-0005-0000-0000-0000CEAD0000}"/>
    <cellStyle name="Normal 4 4 5 2 2 5 3" xfId="40527" xr:uid="{00000000-0005-0000-0000-0000CFAD0000}"/>
    <cellStyle name="Normal 4 4 5 2 2 6" xfId="20175" xr:uid="{00000000-0005-0000-0000-0000D0AD0000}"/>
    <cellStyle name="Normal 4 4 5 2 2 6 2" xfId="47308" xr:uid="{00000000-0005-0000-0000-0000D1AD0000}"/>
    <cellStyle name="Normal 4 4 5 2 2 7" xfId="33746" xr:uid="{00000000-0005-0000-0000-0000D2AD0000}"/>
    <cellStyle name="Normal 4 4 5 2 3" xfId="6457" xr:uid="{00000000-0005-0000-0000-0000D3AD0000}"/>
    <cellStyle name="Normal 4 4 5 2 3 2" xfId="6458" xr:uid="{00000000-0005-0000-0000-0000D4AD0000}"/>
    <cellStyle name="Normal 4 4 5 2 3 2 2" xfId="9991" xr:uid="{00000000-0005-0000-0000-0000D5AD0000}"/>
    <cellStyle name="Normal 4 4 5 2 3 2 2 2" xfId="16781" xr:uid="{00000000-0005-0000-0000-0000D6AD0000}"/>
    <cellStyle name="Normal 4 4 5 2 3 2 2 2 2" xfId="30349" xr:uid="{00000000-0005-0000-0000-0000D7AD0000}"/>
    <cellStyle name="Normal 4 4 5 2 3 2 2 2 2 2" xfId="57482" xr:uid="{00000000-0005-0000-0000-0000D8AD0000}"/>
    <cellStyle name="Normal 4 4 5 2 3 2 2 2 3" xfId="43920" xr:uid="{00000000-0005-0000-0000-0000D9AD0000}"/>
    <cellStyle name="Normal 4 4 5 2 3 2 2 3" xfId="23568" xr:uid="{00000000-0005-0000-0000-0000DAAD0000}"/>
    <cellStyle name="Normal 4 4 5 2 3 2 2 3 2" xfId="50701" xr:uid="{00000000-0005-0000-0000-0000DBAD0000}"/>
    <cellStyle name="Normal 4 4 5 2 3 2 2 4" xfId="37139" xr:uid="{00000000-0005-0000-0000-0000DCAD0000}"/>
    <cellStyle name="Normal 4 4 5 2 3 2 3" xfId="13392" xr:uid="{00000000-0005-0000-0000-0000DDAD0000}"/>
    <cellStyle name="Normal 4 4 5 2 3 2 3 2" xfId="26960" xr:uid="{00000000-0005-0000-0000-0000DEAD0000}"/>
    <cellStyle name="Normal 4 4 5 2 3 2 3 2 2" xfId="54093" xr:uid="{00000000-0005-0000-0000-0000DFAD0000}"/>
    <cellStyle name="Normal 4 4 5 2 3 2 3 3" xfId="40531" xr:uid="{00000000-0005-0000-0000-0000E0AD0000}"/>
    <cellStyle name="Normal 4 4 5 2 3 2 4" xfId="20179" xr:uid="{00000000-0005-0000-0000-0000E1AD0000}"/>
    <cellStyle name="Normal 4 4 5 2 3 2 4 2" xfId="47312" xr:uid="{00000000-0005-0000-0000-0000E2AD0000}"/>
    <cellStyle name="Normal 4 4 5 2 3 2 5" xfId="33750" xr:uid="{00000000-0005-0000-0000-0000E3AD0000}"/>
    <cellStyle name="Normal 4 4 5 2 3 3" xfId="9990" xr:uid="{00000000-0005-0000-0000-0000E4AD0000}"/>
    <cellStyle name="Normal 4 4 5 2 3 3 2" xfId="16780" xr:uid="{00000000-0005-0000-0000-0000E5AD0000}"/>
    <cellStyle name="Normal 4 4 5 2 3 3 2 2" xfId="30348" xr:uid="{00000000-0005-0000-0000-0000E6AD0000}"/>
    <cellStyle name="Normal 4 4 5 2 3 3 2 2 2" xfId="57481" xr:uid="{00000000-0005-0000-0000-0000E7AD0000}"/>
    <cellStyle name="Normal 4 4 5 2 3 3 2 3" xfId="43919" xr:uid="{00000000-0005-0000-0000-0000E8AD0000}"/>
    <cellStyle name="Normal 4 4 5 2 3 3 3" xfId="23567" xr:uid="{00000000-0005-0000-0000-0000E9AD0000}"/>
    <cellStyle name="Normal 4 4 5 2 3 3 3 2" xfId="50700" xr:uid="{00000000-0005-0000-0000-0000EAAD0000}"/>
    <cellStyle name="Normal 4 4 5 2 3 3 4" xfId="37138" xr:uid="{00000000-0005-0000-0000-0000EBAD0000}"/>
    <cellStyle name="Normal 4 4 5 2 3 4" xfId="13391" xr:uid="{00000000-0005-0000-0000-0000ECAD0000}"/>
    <cellStyle name="Normal 4 4 5 2 3 4 2" xfId="26959" xr:uid="{00000000-0005-0000-0000-0000EDAD0000}"/>
    <cellStyle name="Normal 4 4 5 2 3 4 2 2" xfId="54092" xr:uid="{00000000-0005-0000-0000-0000EEAD0000}"/>
    <cellStyle name="Normal 4 4 5 2 3 4 3" xfId="40530" xr:uid="{00000000-0005-0000-0000-0000EFAD0000}"/>
    <cellStyle name="Normal 4 4 5 2 3 5" xfId="20178" xr:uid="{00000000-0005-0000-0000-0000F0AD0000}"/>
    <cellStyle name="Normal 4 4 5 2 3 5 2" xfId="47311" xr:uid="{00000000-0005-0000-0000-0000F1AD0000}"/>
    <cellStyle name="Normal 4 4 5 2 3 6" xfId="33749" xr:uid="{00000000-0005-0000-0000-0000F2AD0000}"/>
    <cellStyle name="Normal 4 4 5 2 4" xfId="6459" xr:uid="{00000000-0005-0000-0000-0000F3AD0000}"/>
    <cellStyle name="Normal 4 4 5 2 4 2" xfId="9992" xr:uid="{00000000-0005-0000-0000-0000F4AD0000}"/>
    <cellStyle name="Normal 4 4 5 2 4 2 2" xfId="16782" xr:uid="{00000000-0005-0000-0000-0000F5AD0000}"/>
    <cellStyle name="Normal 4 4 5 2 4 2 2 2" xfId="30350" xr:uid="{00000000-0005-0000-0000-0000F6AD0000}"/>
    <cellStyle name="Normal 4 4 5 2 4 2 2 2 2" xfId="57483" xr:uid="{00000000-0005-0000-0000-0000F7AD0000}"/>
    <cellStyle name="Normal 4 4 5 2 4 2 2 3" xfId="43921" xr:uid="{00000000-0005-0000-0000-0000F8AD0000}"/>
    <cellStyle name="Normal 4 4 5 2 4 2 3" xfId="23569" xr:uid="{00000000-0005-0000-0000-0000F9AD0000}"/>
    <cellStyle name="Normal 4 4 5 2 4 2 3 2" xfId="50702" xr:uid="{00000000-0005-0000-0000-0000FAAD0000}"/>
    <cellStyle name="Normal 4 4 5 2 4 2 4" xfId="37140" xr:uid="{00000000-0005-0000-0000-0000FBAD0000}"/>
    <cellStyle name="Normal 4 4 5 2 4 3" xfId="13393" xr:uid="{00000000-0005-0000-0000-0000FCAD0000}"/>
    <cellStyle name="Normal 4 4 5 2 4 3 2" xfId="26961" xr:uid="{00000000-0005-0000-0000-0000FDAD0000}"/>
    <cellStyle name="Normal 4 4 5 2 4 3 2 2" xfId="54094" xr:uid="{00000000-0005-0000-0000-0000FEAD0000}"/>
    <cellStyle name="Normal 4 4 5 2 4 3 3" xfId="40532" xr:uid="{00000000-0005-0000-0000-0000FFAD0000}"/>
    <cellStyle name="Normal 4 4 5 2 4 4" xfId="20180" xr:uid="{00000000-0005-0000-0000-000000AE0000}"/>
    <cellStyle name="Normal 4 4 5 2 4 4 2" xfId="47313" xr:uid="{00000000-0005-0000-0000-000001AE0000}"/>
    <cellStyle name="Normal 4 4 5 2 4 5" xfId="33751" xr:uid="{00000000-0005-0000-0000-000002AE0000}"/>
    <cellStyle name="Normal 4 4 5 2 5" xfId="6460" xr:uid="{00000000-0005-0000-0000-000003AE0000}"/>
    <cellStyle name="Normal 4 4 5 2 5 2" xfId="9993" xr:uid="{00000000-0005-0000-0000-000004AE0000}"/>
    <cellStyle name="Normal 4 4 5 2 5 2 2" xfId="16783" xr:uid="{00000000-0005-0000-0000-000005AE0000}"/>
    <cellStyle name="Normal 4 4 5 2 5 2 2 2" xfId="30351" xr:uid="{00000000-0005-0000-0000-000006AE0000}"/>
    <cellStyle name="Normal 4 4 5 2 5 2 2 2 2" xfId="57484" xr:uid="{00000000-0005-0000-0000-000007AE0000}"/>
    <cellStyle name="Normal 4 4 5 2 5 2 2 3" xfId="43922" xr:uid="{00000000-0005-0000-0000-000008AE0000}"/>
    <cellStyle name="Normal 4 4 5 2 5 2 3" xfId="23570" xr:uid="{00000000-0005-0000-0000-000009AE0000}"/>
    <cellStyle name="Normal 4 4 5 2 5 2 3 2" xfId="50703" xr:uid="{00000000-0005-0000-0000-00000AAE0000}"/>
    <cellStyle name="Normal 4 4 5 2 5 2 4" xfId="37141" xr:uid="{00000000-0005-0000-0000-00000BAE0000}"/>
    <cellStyle name="Normal 4 4 5 2 5 3" xfId="13394" xr:uid="{00000000-0005-0000-0000-00000CAE0000}"/>
    <cellStyle name="Normal 4 4 5 2 5 3 2" xfId="26962" xr:uid="{00000000-0005-0000-0000-00000DAE0000}"/>
    <cellStyle name="Normal 4 4 5 2 5 3 2 2" xfId="54095" xr:uid="{00000000-0005-0000-0000-00000EAE0000}"/>
    <cellStyle name="Normal 4 4 5 2 5 3 3" xfId="40533" xr:uid="{00000000-0005-0000-0000-00000FAE0000}"/>
    <cellStyle name="Normal 4 4 5 2 5 4" xfId="20181" xr:uid="{00000000-0005-0000-0000-000010AE0000}"/>
    <cellStyle name="Normal 4 4 5 2 5 4 2" xfId="47314" xr:uid="{00000000-0005-0000-0000-000011AE0000}"/>
    <cellStyle name="Normal 4 4 5 2 5 5" xfId="33752" xr:uid="{00000000-0005-0000-0000-000012AE0000}"/>
    <cellStyle name="Normal 4 4 5 2 6" xfId="9986" xr:uid="{00000000-0005-0000-0000-000013AE0000}"/>
    <cellStyle name="Normal 4 4 5 2 6 2" xfId="16776" xr:uid="{00000000-0005-0000-0000-000014AE0000}"/>
    <cellStyle name="Normal 4 4 5 2 6 2 2" xfId="30344" xr:uid="{00000000-0005-0000-0000-000015AE0000}"/>
    <cellStyle name="Normal 4 4 5 2 6 2 2 2" xfId="57477" xr:uid="{00000000-0005-0000-0000-000016AE0000}"/>
    <cellStyle name="Normal 4 4 5 2 6 2 3" xfId="43915" xr:uid="{00000000-0005-0000-0000-000017AE0000}"/>
    <cellStyle name="Normal 4 4 5 2 6 3" xfId="23563" xr:uid="{00000000-0005-0000-0000-000018AE0000}"/>
    <cellStyle name="Normal 4 4 5 2 6 3 2" xfId="50696" xr:uid="{00000000-0005-0000-0000-000019AE0000}"/>
    <cellStyle name="Normal 4 4 5 2 6 4" xfId="37134" xr:uid="{00000000-0005-0000-0000-00001AAE0000}"/>
    <cellStyle name="Normal 4 4 5 2 7" xfId="13387" xr:uid="{00000000-0005-0000-0000-00001BAE0000}"/>
    <cellStyle name="Normal 4 4 5 2 7 2" xfId="26955" xr:uid="{00000000-0005-0000-0000-00001CAE0000}"/>
    <cellStyle name="Normal 4 4 5 2 7 2 2" xfId="54088" xr:uid="{00000000-0005-0000-0000-00001DAE0000}"/>
    <cellStyle name="Normal 4 4 5 2 7 3" xfId="40526" xr:uid="{00000000-0005-0000-0000-00001EAE0000}"/>
    <cellStyle name="Normal 4 4 5 2 8" xfId="20174" xr:uid="{00000000-0005-0000-0000-00001FAE0000}"/>
    <cellStyle name="Normal 4 4 5 2 8 2" xfId="47307" xr:uid="{00000000-0005-0000-0000-000020AE0000}"/>
    <cellStyle name="Normal 4 4 5 2 9" xfId="33745" xr:uid="{00000000-0005-0000-0000-000021AE0000}"/>
    <cellStyle name="Normal 4 4 5 3" xfId="6461" xr:uid="{00000000-0005-0000-0000-000022AE0000}"/>
    <cellStyle name="Normal 4 4 5 3 2" xfId="6462" xr:uid="{00000000-0005-0000-0000-000023AE0000}"/>
    <cellStyle name="Normal 4 4 5 3 2 2" xfId="9995" xr:uid="{00000000-0005-0000-0000-000024AE0000}"/>
    <cellStyle name="Normal 4 4 5 3 2 2 2" xfId="16785" xr:uid="{00000000-0005-0000-0000-000025AE0000}"/>
    <cellStyle name="Normal 4 4 5 3 2 2 2 2" xfId="30353" xr:uid="{00000000-0005-0000-0000-000026AE0000}"/>
    <cellStyle name="Normal 4 4 5 3 2 2 2 2 2" xfId="57486" xr:uid="{00000000-0005-0000-0000-000027AE0000}"/>
    <cellStyle name="Normal 4 4 5 3 2 2 2 3" xfId="43924" xr:uid="{00000000-0005-0000-0000-000028AE0000}"/>
    <cellStyle name="Normal 4 4 5 3 2 2 3" xfId="23572" xr:uid="{00000000-0005-0000-0000-000029AE0000}"/>
    <cellStyle name="Normal 4 4 5 3 2 2 3 2" xfId="50705" xr:uid="{00000000-0005-0000-0000-00002AAE0000}"/>
    <cellStyle name="Normal 4 4 5 3 2 2 4" xfId="37143" xr:uid="{00000000-0005-0000-0000-00002BAE0000}"/>
    <cellStyle name="Normal 4 4 5 3 2 3" xfId="13396" xr:uid="{00000000-0005-0000-0000-00002CAE0000}"/>
    <cellStyle name="Normal 4 4 5 3 2 3 2" xfId="26964" xr:uid="{00000000-0005-0000-0000-00002DAE0000}"/>
    <cellStyle name="Normal 4 4 5 3 2 3 2 2" xfId="54097" xr:uid="{00000000-0005-0000-0000-00002EAE0000}"/>
    <cellStyle name="Normal 4 4 5 3 2 3 3" xfId="40535" xr:uid="{00000000-0005-0000-0000-00002FAE0000}"/>
    <cellStyle name="Normal 4 4 5 3 2 4" xfId="20183" xr:uid="{00000000-0005-0000-0000-000030AE0000}"/>
    <cellStyle name="Normal 4 4 5 3 2 4 2" xfId="47316" xr:uid="{00000000-0005-0000-0000-000031AE0000}"/>
    <cellStyle name="Normal 4 4 5 3 2 5" xfId="33754" xr:uid="{00000000-0005-0000-0000-000032AE0000}"/>
    <cellStyle name="Normal 4 4 5 3 3" xfId="6463" xr:uid="{00000000-0005-0000-0000-000033AE0000}"/>
    <cellStyle name="Normal 4 4 5 3 3 2" xfId="9996" xr:uid="{00000000-0005-0000-0000-000034AE0000}"/>
    <cellStyle name="Normal 4 4 5 3 3 2 2" xfId="16786" xr:uid="{00000000-0005-0000-0000-000035AE0000}"/>
    <cellStyle name="Normal 4 4 5 3 3 2 2 2" xfId="30354" xr:uid="{00000000-0005-0000-0000-000036AE0000}"/>
    <cellStyle name="Normal 4 4 5 3 3 2 2 2 2" xfId="57487" xr:uid="{00000000-0005-0000-0000-000037AE0000}"/>
    <cellStyle name="Normal 4 4 5 3 3 2 2 3" xfId="43925" xr:uid="{00000000-0005-0000-0000-000038AE0000}"/>
    <cellStyle name="Normal 4 4 5 3 3 2 3" xfId="23573" xr:uid="{00000000-0005-0000-0000-000039AE0000}"/>
    <cellStyle name="Normal 4 4 5 3 3 2 3 2" xfId="50706" xr:uid="{00000000-0005-0000-0000-00003AAE0000}"/>
    <cellStyle name="Normal 4 4 5 3 3 2 4" xfId="37144" xr:uid="{00000000-0005-0000-0000-00003BAE0000}"/>
    <cellStyle name="Normal 4 4 5 3 3 3" xfId="13397" xr:uid="{00000000-0005-0000-0000-00003CAE0000}"/>
    <cellStyle name="Normal 4 4 5 3 3 3 2" xfId="26965" xr:uid="{00000000-0005-0000-0000-00003DAE0000}"/>
    <cellStyle name="Normal 4 4 5 3 3 3 2 2" xfId="54098" xr:uid="{00000000-0005-0000-0000-00003EAE0000}"/>
    <cellStyle name="Normal 4 4 5 3 3 3 3" xfId="40536" xr:uid="{00000000-0005-0000-0000-00003FAE0000}"/>
    <cellStyle name="Normal 4 4 5 3 3 4" xfId="20184" xr:uid="{00000000-0005-0000-0000-000040AE0000}"/>
    <cellStyle name="Normal 4 4 5 3 3 4 2" xfId="47317" xr:uid="{00000000-0005-0000-0000-000041AE0000}"/>
    <cellStyle name="Normal 4 4 5 3 3 5" xfId="33755" xr:uid="{00000000-0005-0000-0000-000042AE0000}"/>
    <cellStyle name="Normal 4 4 5 3 4" xfId="9994" xr:uid="{00000000-0005-0000-0000-000043AE0000}"/>
    <cellStyle name="Normal 4 4 5 3 4 2" xfId="16784" xr:uid="{00000000-0005-0000-0000-000044AE0000}"/>
    <cellStyle name="Normal 4 4 5 3 4 2 2" xfId="30352" xr:uid="{00000000-0005-0000-0000-000045AE0000}"/>
    <cellStyle name="Normal 4 4 5 3 4 2 2 2" xfId="57485" xr:uid="{00000000-0005-0000-0000-000046AE0000}"/>
    <cellStyle name="Normal 4 4 5 3 4 2 3" xfId="43923" xr:uid="{00000000-0005-0000-0000-000047AE0000}"/>
    <cellStyle name="Normal 4 4 5 3 4 3" xfId="23571" xr:uid="{00000000-0005-0000-0000-000048AE0000}"/>
    <cellStyle name="Normal 4 4 5 3 4 3 2" xfId="50704" xr:uid="{00000000-0005-0000-0000-000049AE0000}"/>
    <cellStyle name="Normal 4 4 5 3 4 4" xfId="37142" xr:uid="{00000000-0005-0000-0000-00004AAE0000}"/>
    <cellStyle name="Normal 4 4 5 3 5" xfId="13395" xr:uid="{00000000-0005-0000-0000-00004BAE0000}"/>
    <cellStyle name="Normal 4 4 5 3 5 2" xfId="26963" xr:uid="{00000000-0005-0000-0000-00004CAE0000}"/>
    <cellStyle name="Normal 4 4 5 3 5 2 2" xfId="54096" xr:uid="{00000000-0005-0000-0000-00004DAE0000}"/>
    <cellStyle name="Normal 4 4 5 3 5 3" xfId="40534" xr:uid="{00000000-0005-0000-0000-00004EAE0000}"/>
    <cellStyle name="Normal 4 4 5 3 6" xfId="20182" xr:uid="{00000000-0005-0000-0000-00004FAE0000}"/>
    <cellStyle name="Normal 4 4 5 3 6 2" xfId="47315" xr:uid="{00000000-0005-0000-0000-000050AE0000}"/>
    <cellStyle name="Normal 4 4 5 3 7" xfId="33753" xr:uid="{00000000-0005-0000-0000-000051AE0000}"/>
    <cellStyle name="Normal 4 4 5 4" xfId="6464" xr:uid="{00000000-0005-0000-0000-000052AE0000}"/>
    <cellStyle name="Normal 4 4 5 4 2" xfId="6465" xr:uid="{00000000-0005-0000-0000-000053AE0000}"/>
    <cellStyle name="Normal 4 4 5 4 2 2" xfId="9998" xr:uid="{00000000-0005-0000-0000-000054AE0000}"/>
    <cellStyle name="Normal 4 4 5 4 2 2 2" xfId="16788" xr:uid="{00000000-0005-0000-0000-000055AE0000}"/>
    <cellStyle name="Normal 4 4 5 4 2 2 2 2" xfId="30356" xr:uid="{00000000-0005-0000-0000-000056AE0000}"/>
    <cellStyle name="Normal 4 4 5 4 2 2 2 2 2" xfId="57489" xr:uid="{00000000-0005-0000-0000-000057AE0000}"/>
    <cellStyle name="Normal 4 4 5 4 2 2 2 3" xfId="43927" xr:uid="{00000000-0005-0000-0000-000058AE0000}"/>
    <cellStyle name="Normal 4 4 5 4 2 2 3" xfId="23575" xr:uid="{00000000-0005-0000-0000-000059AE0000}"/>
    <cellStyle name="Normal 4 4 5 4 2 2 3 2" xfId="50708" xr:uid="{00000000-0005-0000-0000-00005AAE0000}"/>
    <cellStyle name="Normal 4 4 5 4 2 2 4" xfId="37146" xr:uid="{00000000-0005-0000-0000-00005BAE0000}"/>
    <cellStyle name="Normal 4 4 5 4 2 3" xfId="13399" xr:uid="{00000000-0005-0000-0000-00005CAE0000}"/>
    <cellStyle name="Normal 4 4 5 4 2 3 2" xfId="26967" xr:uid="{00000000-0005-0000-0000-00005DAE0000}"/>
    <cellStyle name="Normal 4 4 5 4 2 3 2 2" xfId="54100" xr:uid="{00000000-0005-0000-0000-00005EAE0000}"/>
    <cellStyle name="Normal 4 4 5 4 2 3 3" xfId="40538" xr:uid="{00000000-0005-0000-0000-00005FAE0000}"/>
    <cellStyle name="Normal 4 4 5 4 2 4" xfId="20186" xr:uid="{00000000-0005-0000-0000-000060AE0000}"/>
    <cellStyle name="Normal 4 4 5 4 2 4 2" xfId="47319" xr:uid="{00000000-0005-0000-0000-000061AE0000}"/>
    <cellStyle name="Normal 4 4 5 4 2 5" xfId="33757" xr:uid="{00000000-0005-0000-0000-000062AE0000}"/>
    <cellStyle name="Normal 4 4 5 4 3" xfId="9997" xr:uid="{00000000-0005-0000-0000-000063AE0000}"/>
    <cellStyle name="Normal 4 4 5 4 3 2" xfId="16787" xr:uid="{00000000-0005-0000-0000-000064AE0000}"/>
    <cellStyle name="Normal 4 4 5 4 3 2 2" xfId="30355" xr:uid="{00000000-0005-0000-0000-000065AE0000}"/>
    <cellStyle name="Normal 4 4 5 4 3 2 2 2" xfId="57488" xr:uid="{00000000-0005-0000-0000-000066AE0000}"/>
    <cellStyle name="Normal 4 4 5 4 3 2 3" xfId="43926" xr:uid="{00000000-0005-0000-0000-000067AE0000}"/>
    <cellStyle name="Normal 4 4 5 4 3 3" xfId="23574" xr:uid="{00000000-0005-0000-0000-000068AE0000}"/>
    <cellStyle name="Normal 4 4 5 4 3 3 2" xfId="50707" xr:uid="{00000000-0005-0000-0000-000069AE0000}"/>
    <cellStyle name="Normal 4 4 5 4 3 4" xfId="37145" xr:uid="{00000000-0005-0000-0000-00006AAE0000}"/>
    <cellStyle name="Normal 4 4 5 4 4" xfId="13398" xr:uid="{00000000-0005-0000-0000-00006BAE0000}"/>
    <cellStyle name="Normal 4 4 5 4 4 2" xfId="26966" xr:uid="{00000000-0005-0000-0000-00006CAE0000}"/>
    <cellStyle name="Normal 4 4 5 4 4 2 2" xfId="54099" xr:uid="{00000000-0005-0000-0000-00006DAE0000}"/>
    <cellStyle name="Normal 4 4 5 4 4 3" xfId="40537" xr:uid="{00000000-0005-0000-0000-00006EAE0000}"/>
    <cellStyle name="Normal 4 4 5 4 5" xfId="20185" xr:uid="{00000000-0005-0000-0000-00006FAE0000}"/>
    <cellStyle name="Normal 4 4 5 4 5 2" xfId="47318" xr:uid="{00000000-0005-0000-0000-000070AE0000}"/>
    <cellStyle name="Normal 4 4 5 4 6" xfId="33756" xr:uid="{00000000-0005-0000-0000-000071AE0000}"/>
    <cellStyle name="Normal 4 4 5 5" xfId="6466" xr:uid="{00000000-0005-0000-0000-000072AE0000}"/>
    <cellStyle name="Normal 4 4 5 5 2" xfId="9999" xr:uid="{00000000-0005-0000-0000-000073AE0000}"/>
    <cellStyle name="Normal 4 4 5 5 2 2" xfId="16789" xr:uid="{00000000-0005-0000-0000-000074AE0000}"/>
    <cellStyle name="Normal 4 4 5 5 2 2 2" xfId="30357" xr:uid="{00000000-0005-0000-0000-000075AE0000}"/>
    <cellStyle name="Normal 4 4 5 5 2 2 2 2" xfId="57490" xr:uid="{00000000-0005-0000-0000-000076AE0000}"/>
    <cellStyle name="Normal 4 4 5 5 2 2 3" xfId="43928" xr:uid="{00000000-0005-0000-0000-000077AE0000}"/>
    <cellStyle name="Normal 4 4 5 5 2 3" xfId="23576" xr:uid="{00000000-0005-0000-0000-000078AE0000}"/>
    <cellStyle name="Normal 4 4 5 5 2 3 2" xfId="50709" xr:uid="{00000000-0005-0000-0000-000079AE0000}"/>
    <cellStyle name="Normal 4 4 5 5 2 4" xfId="37147" xr:uid="{00000000-0005-0000-0000-00007AAE0000}"/>
    <cellStyle name="Normal 4 4 5 5 3" xfId="13400" xr:uid="{00000000-0005-0000-0000-00007BAE0000}"/>
    <cellStyle name="Normal 4 4 5 5 3 2" xfId="26968" xr:uid="{00000000-0005-0000-0000-00007CAE0000}"/>
    <cellStyle name="Normal 4 4 5 5 3 2 2" xfId="54101" xr:uid="{00000000-0005-0000-0000-00007DAE0000}"/>
    <cellStyle name="Normal 4 4 5 5 3 3" xfId="40539" xr:uid="{00000000-0005-0000-0000-00007EAE0000}"/>
    <cellStyle name="Normal 4 4 5 5 4" xfId="20187" xr:uid="{00000000-0005-0000-0000-00007FAE0000}"/>
    <cellStyle name="Normal 4 4 5 5 4 2" xfId="47320" xr:uid="{00000000-0005-0000-0000-000080AE0000}"/>
    <cellStyle name="Normal 4 4 5 5 5" xfId="33758" xr:uid="{00000000-0005-0000-0000-000081AE0000}"/>
    <cellStyle name="Normal 4 4 5 6" xfId="6467" xr:uid="{00000000-0005-0000-0000-000082AE0000}"/>
    <cellStyle name="Normal 4 4 5 6 2" xfId="10000" xr:uid="{00000000-0005-0000-0000-000083AE0000}"/>
    <cellStyle name="Normal 4 4 5 6 2 2" xfId="16790" xr:uid="{00000000-0005-0000-0000-000084AE0000}"/>
    <cellStyle name="Normal 4 4 5 6 2 2 2" xfId="30358" xr:uid="{00000000-0005-0000-0000-000085AE0000}"/>
    <cellStyle name="Normal 4 4 5 6 2 2 2 2" xfId="57491" xr:uid="{00000000-0005-0000-0000-000086AE0000}"/>
    <cellStyle name="Normal 4 4 5 6 2 2 3" xfId="43929" xr:uid="{00000000-0005-0000-0000-000087AE0000}"/>
    <cellStyle name="Normal 4 4 5 6 2 3" xfId="23577" xr:uid="{00000000-0005-0000-0000-000088AE0000}"/>
    <cellStyle name="Normal 4 4 5 6 2 3 2" xfId="50710" xr:uid="{00000000-0005-0000-0000-000089AE0000}"/>
    <cellStyle name="Normal 4 4 5 6 2 4" xfId="37148" xr:uid="{00000000-0005-0000-0000-00008AAE0000}"/>
    <cellStyle name="Normal 4 4 5 6 3" xfId="13401" xr:uid="{00000000-0005-0000-0000-00008BAE0000}"/>
    <cellStyle name="Normal 4 4 5 6 3 2" xfId="26969" xr:uid="{00000000-0005-0000-0000-00008CAE0000}"/>
    <cellStyle name="Normal 4 4 5 6 3 2 2" xfId="54102" xr:uid="{00000000-0005-0000-0000-00008DAE0000}"/>
    <cellStyle name="Normal 4 4 5 6 3 3" xfId="40540" xr:uid="{00000000-0005-0000-0000-00008EAE0000}"/>
    <cellStyle name="Normal 4 4 5 6 4" xfId="20188" xr:uid="{00000000-0005-0000-0000-00008FAE0000}"/>
    <cellStyle name="Normal 4 4 5 6 4 2" xfId="47321" xr:uid="{00000000-0005-0000-0000-000090AE0000}"/>
    <cellStyle name="Normal 4 4 5 6 5" xfId="33759" xr:uid="{00000000-0005-0000-0000-000091AE0000}"/>
    <cellStyle name="Normal 4 4 5 7" xfId="9985" xr:uid="{00000000-0005-0000-0000-000092AE0000}"/>
    <cellStyle name="Normal 4 4 5 7 2" xfId="16775" xr:uid="{00000000-0005-0000-0000-000093AE0000}"/>
    <cellStyle name="Normal 4 4 5 7 2 2" xfId="30343" xr:uid="{00000000-0005-0000-0000-000094AE0000}"/>
    <cellStyle name="Normal 4 4 5 7 2 2 2" xfId="57476" xr:uid="{00000000-0005-0000-0000-000095AE0000}"/>
    <cellStyle name="Normal 4 4 5 7 2 3" xfId="43914" xr:uid="{00000000-0005-0000-0000-000096AE0000}"/>
    <cellStyle name="Normal 4 4 5 7 3" xfId="23562" xr:uid="{00000000-0005-0000-0000-000097AE0000}"/>
    <cellStyle name="Normal 4 4 5 7 3 2" xfId="50695" xr:uid="{00000000-0005-0000-0000-000098AE0000}"/>
    <cellStyle name="Normal 4 4 5 7 4" xfId="37133" xr:uid="{00000000-0005-0000-0000-000099AE0000}"/>
    <cellStyle name="Normal 4 4 5 8" xfId="13386" xr:uid="{00000000-0005-0000-0000-00009AAE0000}"/>
    <cellStyle name="Normal 4 4 5 8 2" xfId="26954" xr:uid="{00000000-0005-0000-0000-00009BAE0000}"/>
    <cellStyle name="Normal 4 4 5 8 2 2" xfId="54087" xr:uid="{00000000-0005-0000-0000-00009CAE0000}"/>
    <cellStyle name="Normal 4 4 5 8 3" xfId="40525" xr:uid="{00000000-0005-0000-0000-00009DAE0000}"/>
    <cellStyle name="Normal 4 4 5 9" xfId="20173" xr:uid="{00000000-0005-0000-0000-00009EAE0000}"/>
    <cellStyle name="Normal 4 4 5 9 2" xfId="47306" xr:uid="{00000000-0005-0000-0000-00009FAE0000}"/>
    <cellStyle name="Normal 4 4 6" xfId="6468" xr:uid="{00000000-0005-0000-0000-0000A0AE0000}"/>
    <cellStyle name="Normal 4 4 6 2" xfId="6469" xr:uid="{00000000-0005-0000-0000-0000A1AE0000}"/>
    <cellStyle name="Normal 4 4 6 2 2" xfId="6470" xr:uid="{00000000-0005-0000-0000-0000A2AE0000}"/>
    <cellStyle name="Normal 4 4 6 2 2 2" xfId="10003" xr:uid="{00000000-0005-0000-0000-0000A3AE0000}"/>
    <cellStyle name="Normal 4 4 6 2 2 2 2" xfId="16793" xr:uid="{00000000-0005-0000-0000-0000A4AE0000}"/>
    <cellStyle name="Normal 4 4 6 2 2 2 2 2" xfId="30361" xr:uid="{00000000-0005-0000-0000-0000A5AE0000}"/>
    <cellStyle name="Normal 4 4 6 2 2 2 2 2 2" xfId="57494" xr:uid="{00000000-0005-0000-0000-0000A6AE0000}"/>
    <cellStyle name="Normal 4 4 6 2 2 2 2 3" xfId="43932" xr:uid="{00000000-0005-0000-0000-0000A7AE0000}"/>
    <cellStyle name="Normal 4 4 6 2 2 2 3" xfId="23580" xr:uid="{00000000-0005-0000-0000-0000A8AE0000}"/>
    <cellStyle name="Normal 4 4 6 2 2 2 3 2" xfId="50713" xr:uid="{00000000-0005-0000-0000-0000A9AE0000}"/>
    <cellStyle name="Normal 4 4 6 2 2 2 4" xfId="37151" xr:uid="{00000000-0005-0000-0000-0000AAAE0000}"/>
    <cellStyle name="Normal 4 4 6 2 2 3" xfId="13404" xr:uid="{00000000-0005-0000-0000-0000ABAE0000}"/>
    <cellStyle name="Normal 4 4 6 2 2 3 2" xfId="26972" xr:uid="{00000000-0005-0000-0000-0000ACAE0000}"/>
    <cellStyle name="Normal 4 4 6 2 2 3 2 2" xfId="54105" xr:uid="{00000000-0005-0000-0000-0000ADAE0000}"/>
    <cellStyle name="Normal 4 4 6 2 2 3 3" xfId="40543" xr:uid="{00000000-0005-0000-0000-0000AEAE0000}"/>
    <cellStyle name="Normal 4 4 6 2 2 4" xfId="20191" xr:uid="{00000000-0005-0000-0000-0000AFAE0000}"/>
    <cellStyle name="Normal 4 4 6 2 2 4 2" xfId="47324" xr:uid="{00000000-0005-0000-0000-0000B0AE0000}"/>
    <cellStyle name="Normal 4 4 6 2 2 5" xfId="33762" xr:uid="{00000000-0005-0000-0000-0000B1AE0000}"/>
    <cellStyle name="Normal 4 4 6 2 3" xfId="6471" xr:uid="{00000000-0005-0000-0000-0000B2AE0000}"/>
    <cellStyle name="Normal 4 4 6 2 3 2" xfId="10004" xr:uid="{00000000-0005-0000-0000-0000B3AE0000}"/>
    <cellStyle name="Normal 4 4 6 2 3 2 2" xfId="16794" xr:uid="{00000000-0005-0000-0000-0000B4AE0000}"/>
    <cellStyle name="Normal 4 4 6 2 3 2 2 2" xfId="30362" xr:uid="{00000000-0005-0000-0000-0000B5AE0000}"/>
    <cellStyle name="Normal 4 4 6 2 3 2 2 2 2" xfId="57495" xr:uid="{00000000-0005-0000-0000-0000B6AE0000}"/>
    <cellStyle name="Normal 4 4 6 2 3 2 2 3" xfId="43933" xr:uid="{00000000-0005-0000-0000-0000B7AE0000}"/>
    <cellStyle name="Normal 4 4 6 2 3 2 3" xfId="23581" xr:uid="{00000000-0005-0000-0000-0000B8AE0000}"/>
    <cellStyle name="Normal 4 4 6 2 3 2 3 2" xfId="50714" xr:uid="{00000000-0005-0000-0000-0000B9AE0000}"/>
    <cellStyle name="Normal 4 4 6 2 3 2 4" xfId="37152" xr:uid="{00000000-0005-0000-0000-0000BAAE0000}"/>
    <cellStyle name="Normal 4 4 6 2 3 3" xfId="13405" xr:uid="{00000000-0005-0000-0000-0000BBAE0000}"/>
    <cellStyle name="Normal 4 4 6 2 3 3 2" xfId="26973" xr:uid="{00000000-0005-0000-0000-0000BCAE0000}"/>
    <cellStyle name="Normal 4 4 6 2 3 3 2 2" xfId="54106" xr:uid="{00000000-0005-0000-0000-0000BDAE0000}"/>
    <cellStyle name="Normal 4 4 6 2 3 3 3" xfId="40544" xr:uid="{00000000-0005-0000-0000-0000BEAE0000}"/>
    <cellStyle name="Normal 4 4 6 2 3 4" xfId="20192" xr:uid="{00000000-0005-0000-0000-0000BFAE0000}"/>
    <cellStyle name="Normal 4 4 6 2 3 4 2" xfId="47325" xr:uid="{00000000-0005-0000-0000-0000C0AE0000}"/>
    <cellStyle name="Normal 4 4 6 2 3 5" xfId="33763" xr:uid="{00000000-0005-0000-0000-0000C1AE0000}"/>
    <cellStyle name="Normal 4 4 6 2 4" xfId="10002" xr:uid="{00000000-0005-0000-0000-0000C2AE0000}"/>
    <cellStyle name="Normal 4 4 6 2 4 2" xfId="16792" xr:uid="{00000000-0005-0000-0000-0000C3AE0000}"/>
    <cellStyle name="Normal 4 4 6 2 4 2 2" xfId="30360" xr:uid="{00000000-0005-0000-0000-0000C4AE0000}"/>
    <cellStyle name="Normal 4 4 6 2 4 2 2 2" xfId="57493" xr:uid="{00000000-0005-0000-0000-0000C5AE0000}"/>
    <cellStyle name="Normal 4 4 6 2 4 2 3" xfId="43931" xr:uid="{00000000-0005-0000-0000-0000C6AE0000}"/>
    <cellStyle name="Normal 4 4 6 2 4 3" xfId="23579" xr:uid="{00000000-0005-0000-0000-0000C7AE0000}"/>
    <cellStyle name="Normal 4 4 6 2 4 3 2" xfId="50712" xr:uid="{00000000-0005-0000-0000-0000C8AE0000}"/>
    <cellStyle name="Normal 4 4 6 2 4 4" xfId="37150" xr:uid="{00000000-0005-0000-0000-0000C9AE0000}"/>
    <cellStyle name="Normal 4 4 6 2 5" xfId="13403" xr:uid="{00000000-0005-0000-0000-0000CAAE0000}"/>
    <cellStyle name="Normal 4 4 6 2 5 2" xfId="26971" xr:uid="{00000000-0005-0000-0000-0000CBAE0000}"/>
    <cellStyle name="Normal 4 4 6 2 5 2 2" xfId="54104" xr:uid="{00000000-0005-0000-0000-0000CCAE0000}"/>
    <cellStyle name="Normal 4 4 6 2 5 3" xfId="40542" xr:uid="{00000000-0005-0000-0000-0000CDAE0000}"/>
    <cellStyle name="Normal 4 4 6 2 6" xfId="20190" xr:uid="{00000000-0005-0000-0000-0000CEAE0000}"/>
    <cellStyle name="Normal 4 4 6 2 6 2" xfId="47323" xr:uid="{00000000-0005-0000-0000-0000CFAE0000}"/>
    <cellStyle name="Normal 4 4 6 2 7" xfId="33761" xr:uid="{00000000-0005-0000-0000-0000D0AE0000}"/>
    <cellStyle name="Normal 4 4 6 3" xfId="6472" xr:uid="{00000000-0005-0000-0000-0000D1AE0000}"/>
    <cellStyle name="Normal 4 4 6 3 2" xfId="6473" xr:uid="{00000000-0005-0000-0000-0000D2AE0000}"/>
    <cellStyle name="Normal 4 4 6 3 2 2" xfId="10006" xr:uid="{00000000-0005-0000-0000-0000D3AE0000}"/>
    <cellStyle name="Normal 4 4 6 3 2 2 2" xfId="16796" xr:uid="{00000000-0005-0000-0000-0000D4AE0000}"/>
    <cellStyle name="Normal 4 4 6 3 2 2 2 2" xfId="30364" xr:uid="{00000000-0005-0000-0000-0000D5AE0000}"/>
    <cellStyle name="Normal 4 4 6 3 2 2 2 2 2" xfId="57497" xr:uid="{00000000-0005-0000-0000-0000D6AE0000}"/>
    <cellStyle name="Normal 4 4 6 3 2 2 2 3" xfId="43935" xr:uid="{00000000-0005-0000-0000-0000D7AE0000}"/>
    <cellStyle name="Normal 4 4 6 3 2 2 3" xfId="23583" xr:uid="{00000000-0005-0000-0000-0000D8AE0000}"/>
    <cellStyle name="Normal 4 4 6 3 2 2 3 2" xfId="50716" xr:uid="{00000000-0005-0000-0000-0000D9AE0000}"/>
    <cellStyle name="Normal 4 4 6 3 2 2 4" xfId="37154" xr:uid="{00000000-0005-0000-0000-0000DAAE0000}"/>
    <cellStyle name="Normal 4 4 6 3 2 3" xfId="13407" xr:uid="{00000000-0005-0000-0000-0000DBAE0000}"/>
    <cellStyle name="Normal 4 4 6 3 2 3 2" xfId="26975" xr:uid="{00000000-0005-0000-0000-0000DCAE0000}"/>
    <cellStyle name="Normal 4 4 6 3 2 3 2 2" xfId="54108" xr:uid="{00000000-0005-0000-0000-0000DDAE0000}"/>
    <cellStyle name="Normal 4 4 6 3 2 3 3" xfId="40546" xr:uid="{00000000-0005-0000-0000-0000DEAE0000}"/>
    <cellStyle name="Normal 4 4 6 3 2 4" xfId="20194" xr:uid="{00000000-0005-0000-0000-0000DFAE0000}"/>
    <cellStyle name="Normal 4 4 6 3 2 4 2" xfId="47327" xr:uid="{00000000-0005-0000-0000-0000E0AE0000}"/>
    <cellStyle name="Normal 4 4 6 3 2 5" xfId="33765" xr:uid="{00000000-0005-0000-0000-0000E1AE0000}"/>
    <cellStyle name="Normal 4 4 6 3 3" xfId="10005" xr:uid="{00000000-0005-0000-0000-0000E2AE0000}"/>
    <cellStyle name="Normal 4 4 6 3 3 2" xfId="16795" xr:uid="{00000000-0005-0000-0000-0000E3AE0000}"/>
    <cellStyle name="Normal 4 4 6 3 3 2 2" xfId="30363" xr:uid="{00000000-0005-0000-0000-0000E4AE0000}"/>
    <cellStyle name="Normal 4 4 6 3 3 2 2 2" xfId="57496" xr:uid="{00000000-0005-0000-0000-0000E5AE0000}"/>
    <cellStyle name="Normal 4 4 6 3 3 2 3" xfId="43934" xr:uid="{00000000-0005-0000-0000-0000E6AE0000}"/>
    <cellStyle name="Normal 4 4 6 3 3 3" xfId="23582" xr:uid="{00000000-0005-0000-0000-0000E7AE0000}"/>
    <cellStyle name="Normal 4 4 6 3 3 3 2" xfId="50715" xr:uid="{00000000-0005-0000-0000-0000E8AE0000}"/>
    <cellStyle name="Normal 4 4 6 3 3 4" xfId="37153" xr:uid="{00000000-0005-0000-0000-0000E9AE0000}"/>
    <cellStyle name="Normal 4 4 6 3 4" xfId="13406" xr:uid="{00000000-0005-0000-0000-0000EAAE0000}"/>
    <cellStyle name="Normal 4 4 6 3 4 2" xfId="26974" xr:uid="{00000000-0005-0000-0000-0000EBAE0000}"/>
    <cellStyle name="Normal 4 4 6 3 4 2 2" xfId="54107" xr:uid="{00000000-0005-0000-0000-0000ECAE0000}"/>
    <cellStyle name="Normal 4 4 6 3 4 3" xfId="40545" xr:uid="{00000000-0005-0000-0000-0000EDAE0000}"/>
    <cellStyle name="Normal 4 4 6 3 5" xfId="20193" xr:uid="{00000000-0005-0000-0000-0000EEAE0000}"/>
    <cellStyle name="Normal 4 4 6 3 5 2" xfId="47326" xr:uid="{00000000-0005-0000-0000-0000EFAE0000}"/>
    <cellStyle name="Normal 4 4 6 3 6" xfId="33764" xr:uid="{00000000-0005-0000-0000-0000F0AE0000}"/>
    <cellStyle name="Normal 4 4 6 4" xfId="6474" xr:uid="{00000000-0005-0000-0000-0000F1AE0000}"/>
    <cellStyle name="Normal 4 4 6 4 2" xfId="10007" xr:uid="{00000000-0005-0000-0000-0000F2AE0000}"/>
    <cellStyle name="Normal 4 4 6 4 2 2" xfId="16797" xr:uid="{00000000-0005-0000-0000-0000F3AE0000}"/>
    <cellStyle name="Normal 4 4 6 4 2 2 2" xfId="30365" xr:uid="{00000000-0005-0000-0000-0000F4AE0000}"/>
    <cellStyle name="Normal 4 4 6 4 2 2 2 2" xfId="57498" xr:uid="{00000000-0005-0000-0000-0000F5AE0000}"/>
    <cellStyle name="Normal 4 4 6 4 2 2 3" xfId="43936" xr:uid="{00000000-0005-0000-0000-0000F6AE0000}"/>
    <cellStyle name="Normal 4 4 6 4 2 3" xfId="23584" xr:uid="{00000000-0005-0000-0000-0000F7AE0000}"/>
    <cellStyle name="Normal 4 4 6 4 2 3 2" xfId="50717" xr:uid="{00000000-0005-0000-0000-0000F8AE0000}"/>
    <cellStyle name="Normal 4 4 6 4 2 4" xfId="37155" xr:uid="{00000000-0005-0000-0000-0000F9AE0000}"/>
    <cellStyle name="Normal 4 4 6 4 3" xfId="13408" xr:uid="{00000000-0005-0000-0000-0000FAAE0000}"/>
    <cellStyle name="Normal 4 4 6 4 3 2" xfId="26976" xr:uid="{00000000-0005-0000-0000-0000FBAE0000}"/>
    <cellStyle name="Normal 4 4 6 4 3 2 2" xfId="54109" xr:uid="{00000000-0005-0000-0000-0000FCAE0000}"/>
    <cellStyle name="Normal 4 4 6 4 3 3" xfId="40547" xr:uid="{00000000-0005-0000-0000-0000FDAE0000}"/>
    <cellStyle name="Normal 4 4 6 4 4" xfId="20195" xr:uid="{00000000-0005-0000-0000-0000FEAE0000}"/>
    <cellStyle name="Normal 4 4 6 4 4 2" xfId="47328" xr:uid="{00000000-0005-0000-0000-0000FFAE0000}"/>
    <cellStyle name="Normal 4 4 6 4 5" xfId="33766" xr:uid="{00000000-0005-0000-0000-000000AF0000}"/>
    <cellStyle name="Normal 4 4 6 5" xfId="6475" xr:uid="{00000000-0005-0000-0000-000001AF0000}"/>
    <cellStyle name="Normal 4 4 6 5 2" xfId="10008" xr:uid="{00000000-0005-0000-0000-000002AF0000}"/>
    <cellStyle name="Normal 4 4 6 5 2 2" xfId="16798" xr:uid="{00000000-0005-0000-0000-000003AF0000}"/>
    <cellStyle name="Normal 4 4 6 5 2 2 2" xfId="30366" xr:uid="{00000000-0005-0000-0000-000004AF0000}"/>
    <cellStyle name="Normal 4 4 6 5 2 2 2 2" xfId="57499" xr:uid="{00000000-0005-0000-0000-000005AF0000}"/>
    <cellStyle name="Normal 4 4 6 5 2 2 3" xfId="43937" xr:uid="{00000000-0005-0000-0000-000006AF0000}"/>
    <cellStyle name="Normal 4 4 6 5 2 3" xfId="23585" xr:uid="{00000000-0005-0000-0000-000007AF0000}"/>
    <cellStyle name="Normal 4 4 6 5 2 3 2" xfId="50718" xr:uid="{00000000-0005-0000-0000-000008AF0000}"/>
    <cellStyle name="Normal 4 4 6 5 2 4" xfId="37156" xr:uid="{00000000-0005-0000-0000-000009AF0000}"/>
    <cellStyle name="Normal 4 4 6 5 3" xfId="13409" xr:uid="{00000000-0005-0000-0000-00000AAF0000}"/>
    <cellStyle name="Normal 4 4 6 5 3 2" xfId="26977" xr:uid="{00000000-0005-0000-0000-00000BAF0000}"/>
    <cellStyle name="Normal 4 4 6 5 3 2 2" xfId="54110" xr:uid="{00000000-0005-0000-0000-00000CAF0000}"/>
    <cellStyle name="Normal 4 4 6 5 3 3" xfId="40548" xr:uid="{00000000-0005-0000-0000-00000DAF0000}"/>
    <cellStyle name="Normal 4 4 6 5 4" xfId="20196" xr:uid="{00000000-0005-0000-0000-00000EAF0000}"/>
    <cellStyle name="Normal 4 4 6 5 4 2" xfId="47329" xr:uid="{00000000-0005-0000-0000-00000FAF0000}"/>
    <cellStyle name="Normal 4 4 6 5 5" xfId="33767" xr:uid="{00000000-0005-0000-0000-000010AF0000}"/>
    <cellStyle name="Normal 4 4 6 6" xfId="10001" xr:uid="{00000000-0005-0000-0000-000011AF0000}"/>
    <cellStyle name="Normal 4 4 6 6 2" xfId="16791" xr:uid="{00000000-0005-0000-0000-000012AF0000}"/>
    <cellStyle name="Normal 4 4 6 6 2 2" xfId="30359" xr:uid="{00000000-0005-0000-0000-000013AF0000}"/>
    <cellStyle name="Normal 4 4 6 6 2 2 2" xfId="57492" xr:uid="{00000000-0005-0000-0000-000014AF0000}"/>
    <cellStyle name="Normal 4 4 6 6 2 3" xfId="43930" xr:uid="{00000000-0005-0000-0000-000015AF0000}"/>
    <cellStyle name="Normal 4 4 6 6 3" xfId="23578" xr:uid="{00000000-0005-0000-0000-000016AF0000}"/>
    <cellStyle name="Normal 4 4 6 6 3 2" xfId="50711" xr:uid="{00000000-0005-0000-0000-000017AF0000}"/>
    <cellStyle name="Normal 4 4 6 6 4" xfId="37149" xr:uid="{00000000-0005-0000-0000-000018AF0000}"/>
    <cellStyle name="Normal 4 4 6 7" xfId="13402" xr:uid="{00000000-0005-0000-0000-000019AF0000}"/>
    <cellStyle name="Normal 4 4 6 7 2" xfId="26970" xr:uid="{00000000-0005-0000-0000-00001AAF0000}"/>
    <cellStyle name="Normal 4 4 6 7 2 2" xfId="54103" xr:uid="{00000000-0005-0000-0000-00001BAF0000}"/>
    <cellStyle name="Normal 4 4 6 7 3" xfId="40541" xr:uid="{00000000-0005-0000-0000-00001CAF0000}"/>
    <cellStyle name="Normal 4 4 6 8" xfId="20189" xr:uid="{00000000-0005-0000-0000-00001DAF0000}"/>
    <cellStyle name="Normal 4 4 6 8 2" xfId="47322" xr:uid="{00000000-0005-0000-0000-00001EAF0000}"/>
    <cellStyle name="Normal 4 4 6 9" xfId="33760" xr:uid="{00000000-0005-0000-0000-00001FAF0000}"/>
    <cellStyle name="Normal 4 4 7" xfId="6476" xr:uid="{00000000-0005-0000-0000-000020AF0000}"/>
    <cellStyle name="Normal 4 4 7 2" xfId="6477" xr:uid="{00000000-0005-0000-0000-000021AF0000}"/>
    <cellStyle name="Normal 4 4 7 2 2" xfId="6478" xr:uid="{00000000-0005-0000-0000-000022AF0000}"/>
    <cellStyle name="Normal 4 4 7 2 2 2" xfId="10011" xr:uid="{00000000-0005-0000-0000-000023AF0000}"/>
    <cellStyle name="Normal 4 4 7 2 2 2 2" xfId="16801" xr:uid="{00000000-0005-0000-0000-000024AF0000}"/>
    <cellStyle name="Normal 4 4 7 2 2 2 2 2" xfId="30369" xr:uid="{00000000-0005-0000-0000-000025AF0000}"/>
    <cellStyle name="Normal 4 4 7 2 2 2 2 2 2" xfId="57502" xr:uid="{00000000-0005-0000-0000-000026AF0000}"/>
    <cellStyle name="Normal 4 4 7 2 2 2 2 3" xfId="43940" xr:uid="{00000000-0005-0000-0000-000027AF0000}"/>
    <cellStyle name="Normal 4 4 7 2 2 2 3" xfId="23588" xr:uid="{00000000-0005-0000-0000-000028AF0000}"/>
    <cellStyle name="Normal 4 4 7 2 2 2 3 2" xfId="50721" xr:uid="{00000000-0005-0000-0000-000029AF0000}"/>
    <cellStyle name="Normal 4 4 7 2 2 2 4" xfId="37159" xr:uid="{00000000-0005-0000-0000-00002AAF0000}"/>
    <cellStyle name="Normal 4 4 7 2 2 3" xfId="13412" xr:uid="{00000000-0005-0000-0000-00002BAF0000}"/>
    <cellStyle name="Normal 4 4 7 2 2 3 2" xfId="26980" xr:uid="{00000000-0005-0000-0000-00002CAF0000}"/>
    <cellStyle name="Normal 4 4 7 2 2 3 2 2" xfId="54113" xr:uid="{00000000-0005-0000-0000-00002DAF0000}"/>
    <cellStyle name="Normal 4 4 7 2 2 3 3" xfId="40551" xr:uid="{00000000-0005-0000-0000-00002EAF0000}"/>
    <cellStyle name="Normal 4 4 7 2 2 4" xfId="20199" xr:uid="{00000000-0005-0000-0000-00002FAF0000}"/>
    <cellStyle name="Normal 4 4 7 2 2 4 2" xfId="47332" xr:uid="{00000000-0005-0000-0000-000030AF0000}"/>
    <cellStyle name="Normal 4 4 7 2 2 5" xfId="33770" xr:uid="{00000000-0005-0000-0000-000031AF0000}"/>
    <cellStyle name="Normal 4 4 7 2 3" xfId="6479" xr:uid="{00000000-0005-0000-0000-000032AF0000}"/>
    <cellStyle name="Normal 4 4 7 2 3 2" xfId="10012" xr:uid="{00000000-0005-0000-0000-000033AF0000}"/>
    <cellStyle name="Normal 4 4 7 2 3 2 2" xfId="16802" xr:uid="{00000000-0005-0000-0000-000034AF0000}"/>
    <cellStyle name="Normal 4 4 7 2 3 2 2 2" xfId="30370" xr:uid="{00000000-0005-0000-0000-000035AF0000}"/>
    <cellStyle name="Normal 4 4 7 2 3 2 2 2 2" xfId="57503" xr:uid="{00000000-0005-0000-0000-000036AF0000}"/>
    <cellStyle name="Normal 4 4 7 2 3 2 2 3" xfId="43941" xr:uid="{00000000-0005-0000-0000-000037AF0000}"/>
    <cellStyle name="Normal 4 4 7 2 3 2 3" xfId="23589" xr:uid="{00000000-0005-0000-0000-000038AF0000}"/>
    <cellStyle name="Normal 4 4 7 2 3 2 3 2" xfId="50722" xr:uid="{00000000-0005-0000-0000-000039AF0000}"/>
    <cellStyle name="Normal 4 4 7 2 3 2 4" xfId="37160" xr:uid="{00000000-0005-0000-0000-00003AAF0000}"/>
    <cellStyle name="Normal 4 4 7 2 3 3" xfId="13413" xr:uid="{00000000-0005-0000-0000-00003BAF0000}"/>
    <cellStyle name="Normal 4 4 7 2 3 3 2" xfId="26981" xr:uid="{00000000-0005-0000-0000-00003CAF0000}"/>
    <cellStyle name="Normal 4 4 7 2 3 3 2 2" xfId="54114" xr:uid="{00000000-0005-0000-0000-00003DAF0000}"/>
    <cellStyle name="Normal 4 4 7 2 3 3 3" xfId="40552" xr:uid="{00000000-0005-0000-0000-00003EAF0000}"/>
    <cellStyle name="Normal 4 4 7 2 3 4" xfId="20200" xr:uid="{00000000-0005-0000-0000-00003FAF0000}"/>
    <cellStyle name="Normal 4 4 7 2 3 4 2" xfId="47333" xr:uid="{00000000-0005-0000-0000-000040AF0000}"/>
    <cellStyle name="Normal 4 4 7 2 3 5" xfId="33771" xr:uid="{00000000-0005-0000-0000-000041AF0000}"/>
    <cellStyle name="Normal 4 4 7 2 4" xfId="10010" xr:uid="{00000000-0005-0000-0000-000042AF0000}"/>
    <cellStyle name="Normal 4 4 7 2 4 2" xfId="16800" xr:uid="{00000000-0005-0000-0000-000043AF0000}"/>
    <cellStyle name="Normal 4 4 7 2 4 2 2" xfId="30368" xr:uid="{00000000-0005-0000-0000-000044AF0000}"/>
    <cellStyle name="Normal 4 4 7 2 4 2 2 2" xfId="57501" xr:uid="{00000000-0005-0000-0000-000045AF0000}"/>
    <cellStyle name="Normal 4 4 7 2 4 2 3" xfId="43939" xr:uid="{00000000-0005-0000-0000-000046AF0000}"/>
    <cellStyle name="Normal 4 4 7 2 4 3" xfId="23587" xr:uid="{00000000-0005-0000-0000-000047AF0000}"/>
    <cellStyle name="Normal 4 4 7 2 4 3 2" xfId="50720" xr:uid="{00000000-0005-0000-0000-000048AF0000}"/>
    <cellStyle name="Normal 4 4 7 2 4 4" xfId="37158" xr:uid="{00000000-0005-0000-0000-000049AF0000}"/>
    <cellStyle name="Normal 4 4 7 2 5" xfId="13411" xr:uid="{00000000-0005-0000-0000-00004AAF0000}"/>
    <cellStyle name="Normal 4 4 7 2 5 2" xfId="26979" xr:uid="{00000000-0005-0000-0000-00004BAF0000}"/>
    <cellStyle name="Normal 4 4 7 2 5 2 2" xfId="54112" xr:uid="{00000000-0005-0000-0000-00004CAF0000}"/>
    <cellStyle name="Normal 4 4 7 2 5 3" xfId="40550" xr:uid="{00000000-0005-0000-0000-00004DAF0000}"/>
    <cellStyle name="Normal 4 4 7 2 6" xfId="20198" xr:uid="{00000000-0005-0000-0000-00004EAF0000}"/>
    <cellStyle name="Normal 4 4 7 2 6 2" xfId="47331" xr:uid="{00000000-0005-0000-0000-00004FAF0000}"/>
    <cellStyle name="Normal 4 4 7 2 7" xfId="33769" xr:uid="{00000000-0005-0000-0000-000050AF0000}"/>
    <cellStyle name="Normal 4 4 7 3" xfId="6480" xr:uid="{00000000-0005-0000-0000-000051AF0000}"/>
    <cellStyle name="Normal 4 4 7 3 2" xfId="10013" xr:uid="{00000000-0005-0000-0000-000052AF0000}"/>
    <cellStyle name="Normal 4 4 7 3 2 2" xfId="16803" xr:uid="{00000000-0005-0000-0000-000053AF0000}"/>
    <cellStyle name="Normal 4 4 7 3 2 2 2" xfId="30371" xr:uid="{00000000-0005-0000-0000-000054AF0000}"/>
    <cellStyle name="Normal 4 4 7 3 2 2 2 2" xfId="57504" xr:uid="{00000000-0005-0000-0000-000055AF0000}"/>
    <cellStyle name="Normal 4 4 7 3 2 2 3" xfId="43942" xr:uid="{00000000-0005-0000-0000-000056AF0000}"/>
    <cellStyle name="Normal 4 4 7 3 2 3" xfId="23590" xr:uid="{00000000-0005-0000-0000-000057AF0000}"/>
    <cellStyle name="Normal 4 4 7 3 2 3 2" xfId="50723" xr:uid="{00000000-0005-0000-0000-000058AF0000}"/>
    <cellStyle name="Normal 4 4 7 3 2 4" xfId="37161" xr:uid="{00000000-0005-0000-0000-000059AF0000}"/>
    <cellStyle name="Normal 4 4 7 3 3" xfId="13414" xr:uid="{00000000-0005-0000-0000-00005AAF0000}"/>
    <cellStyle name="Normal 4 4 7 3 3 2" xfId="26982" xr:uid="{00000000-0005-0000-0000-00005BAF0000}"/>
    <cellStyle name="Normal 4 4 7 3 3 2 2" xfId="54115" xr:uid="{00000000-0005-0000-0000-00005CAF0000}"/>
    <cellStyle name="Normal 4 4 7 3 3 3" xfId="40553" xr:uid="{00000000-0005-0000-0000-00005DAF0000}"/>
    <cellStyle name="Normal 4 4 7 3 4" xfId="20201" xr:uid="{00000000-0005-0000-0000-00005EAF0000}"/>
    <cellStyle name="Normal 4 4 7 3 4 2" xfId="47334" xr:uid="{00000000-0005-0000-0000-00005FAF0000}"/>
    <cellStyle name="Normal 4 4 7 3 5" xfId="33772" xr:uid="{00000000-0005-0000-0000-000060AF0000}"/>
    <cellStyle name="Normal 4 4 7 4" xfId="6481" xr:uid="{00000000-0005-0000-0000-000061AF0000}"/>
    <cellStyle name="Normal 4 4 7 4 2" xfId="10014" xr:uid="{00000000-0005-0000-0000-000062AF0000}"/>
    <cellStyle name="Normal 4 4 7 4 2 2" xfId="16804" xr:uid="{00000000-0005-0000-0000-000063AF0000}"/>
    <cellStyle name="Normal 4 4 7 4 2 2 2" xfId="30372" xr:uid="{00000000-0005-0000-0000-000064AF0000}"/>
    <cellStyle name="Normal 4 4 7 4 2 2 2 2" xfId="57505" xr:uid="{00000000-0005-0000-0000-000065AF0000}"/>
    <cellStyle name="Normal 4 4 7 4 2 2 3" xfId="43943" xr:uid="{00000000-0005-0000-0000-000066AF0000}"/>
    <cellStyle name="Normal 4 4 7 4 2 3" xfId="23591" xr:uid="{00000000-0005-0000-0000-000067AF0000}"/>
    <cellStyle name="Normal 4 4 7 4 2 3 2" xfId="50724" xr:uid="{00000000-0005-0000-0000-000068AF0000}"/>
    <cellStyle name="Normal 4 4 7 4 2 4" xfId="37162" xr:uid="{00000000-0005-0000-0000-000069AF0000}"/>
    <cellStyle name="Normal 4 4 7 4 3" xfId="13415" xr:uid="{00000000-0005-0000-0000-00006AAF0000}"/>
    <cellStyle name="Normal 4 4 7 4 3 2" xfId="26983" xr:uid="{00000000-0005-0000-0000-00006BAF0000}"/>
    <cellStyle name="Normal 4 4 7 4 3 2 2" xfId="54116" xr:uid="{00000000-0005-0000-0000-00006CAF0000}"/>
    <cellStyle name="Normal 4 4 7 4 3 3" xfId="40554" xr:uid="{00000000-0005-0000-0000-00006DAF0000}"/>
    <cellStyle name="Normal 4 4 7 4 4" xfId="20202" xr:uid="{00000000-0005-0000-0000-00006EAF0000}"/>
    <cellStyle name="Normal 4 4 7 4 4 2" xfId="47335" xr:uid="{00000000-0005-0000-0000-00006FAF0000}"/>
    <cellStyle name="Normal 4 4 7 4 5" xfId="33773" xr:uid="{00000000-0005-0000-0000-000070AF0000}"/>
    <cellStyle name="Normal 4 4 7 5" xfId="10009" xr:uid="{00000000-0005-0000-0000-000071AF0000}"/>
    <cellStyle name="Normal 4 4 7 5 2" xfId="16799" xr:uid="{00000000-0005-0000-0000-000072AF0000}"/>
    <cellStyle name="Normal 4 4 7 5 2 2" xfId="30367" xr:uid="{00000000-0005-0000-0000-000073AF0000}"/>
    <cellStyle name="Normal 4 4 7 5 2 2 2" xfId="57500" xr:uid="{00000000-0005-0000-0000-000074AF0000}"/>
    <cellStyle name="Normal 4 4 7 5 2 3" xfId="43938" xr:uid="{00000000-0005-0000-0000-000075AF0000}"/>
    <cellStyle name="Normal 4 4 7 5 3" xfId="23586" xr:uid="{00000000-0005-0000-0000-000076AF0000}"/>
    <cellStyle name="Normal 4 4 7 5 3 2" xfId="50719" xr:uid="{00000000-0005-0000-0000-000077AF0000}"/>
    <cellStyle name="Normal 4 4 7 5 4" xfId="37157" xr:uid="{00000000-0005-0000-0000-000078AF0000}"/>
    <cellStyle name="Normal 4 4 7 6" xfId="13410" xr:uid="{00000000-0005-0000-0000-000079AF0000}"/>
    <cellStyle name="Normal 4 4 7 6 2" xfId="26978" xr:uid="{00000000-0005-0000-0000-00007AAF0000}"/>
    <cellStyle name="Normal 4 4 7 6 2 2" xfId="54111" xr:uid="{00000000-0005-0000-0000-00007BAF0000}"/>
    <cellStyle name="Normal 4 4 7 6 3" xfId="40549" xr:uid="{00000000-0005-0000-0000-00007CAF0000}"/>
    <cellStyle name="Normal 4 4 7 7" xfId="20197" xr:uid="{00000000-0005-0000-0000-00007DAF0000}"/>
    <cellStyle name="Normal 4 4 7 7 2" xfId="47330" xr:uid="{00000000-0005-0000-0000-00007EAF0000}"/>
    <cellStyle name="Normal 4 4 7 8" xfId="33768" xr:uid="{00000000-0005-0000-0000-00007FAF0000}"/>
    <cellStyle name="Normal 4 4 8" xfId="6482" xr:uid="{00000000-0005-0000-0000-000080AF0000}"/>
    <cellStyle name="Normal 4 4 8 2" xfId="6483" xr:uid="{00000000-0005-0000-0000-000081AF0000}"/>
    <cellStyle name="Normal 4 4 8 2 2" xfId="6484" xr:uid="{00000000-0005-0000-0000-000082AF0000}"/>
    <cellStyle name="Normal 4 4 8 2 2 2" xfId="10017" xr:uid="{00000000-0005-0000-0000-000083AF0000}"/>
    <cellStyle name="Normal 4 4 8 2 2 2 2" xfId="16807" xr:uid="{00000000-0005-0000-0000-000084AF0000}"/>
    <cellStyle name="Normal 4 4 8 2 2 2 2 2" xfId="30375" xr:uid="{00000000-0005-0000-0000-000085AF0000}"/>
    <cellStyle name="Normal 4 4 8 2 2 2 2 2 2" xfId="57508" xr:uid="{00000000-0005-0000-0000-000086AF0000}"/>
    <cellStyle name="Normal 4 4 8 2 2 2 2 3" xfId="43946" xr:uid="{00000000-0005-0000-0000-000087AF0000}"/>
    <cellStyle name="Normal 4 4 8 2 2 2 3" xfId="23594" xr:uid="{00000000-0005-0000-0000-000088AF0000}"/>
    <cellStyle name="Normal 4 4 8 2 2 2 3 2" xfId="50727" xr:uid="{00000000-0005-0000-0000-000089AF0000}"/>
    <cellStyle name="Normal 4 4 8 2 2 2 4" xfId="37165" xr:uid="{00000000-0005-0000-0000-00008AAF0000}"/>
    <cellStyle name="Normal 4 4 8 2 2 3" xfId="13418" xr:uid="{00000000-0005-0000-0000-00008BAF0000}"/>
    <cellStyle name="Normal 4 4 8 2 2 3 2" xfId="26986" xr:uid="{00000000-0005-0000-0000-00008CAF0000}"/>
    <cellStyle name="Normal 4 4 8 2 2 3 2 2" xfId="54119" xr:uid="{00000000-0005-0000-0000-00008DAF0000}"/>
    <cellStyle name="Normal 4 4 8 2 2 3 3" xfId="40557" xr:uid="{00000000-0005-0000-0000-00008EAF0000}"/>
    <cellStyle name="Normal 4 4 8 2 2 4" xfId="20205" xr:uid="{00000000-0005-0000-0000-00008FAF0000}"/>
    <cellStyle name="Normal 4 4 8 2 2 4 2" xfId="47338" xr:uid="{00000000-0005-0000-0000-000090AF0000}"/>
    <cellStyle name="Normal 4 4 8 2 2 5" xfId="33776" xr:uid="{00000000-0005-0000-0000-000091AF0000}"/>
    <cellStyle name="Normal 4 4 8 2 3" xfId="6485" xr:uid="{00000000-0005-0000-0000-000092AF0000}"/>
    <cellStyle name="Normal 4 4 8 2 3 2" xfId="10018" xr:uid="{00000000-0005-0000-0000-000093AF0000}"/>
    <cellStyle name="Normal 4 4 8 2 3 2 2" xfId="16808" xr:uid="{00000000-0005-0000-0000-000094AF0000}"/>
    <cellStyle name="Normal 4 4 8 2 3 2 2 2" xfId="30376" xr:uid="{00000000-0005-0000-0000-000095AF0000}"/>
    <cellStyle name="Normal 4 4 8 2 3 2 2 2 2" xfId="57509" xr:uid="{00000000-0005-0000-0000-000096AF0000}"/>
    <cellStyle name="Normal 4 4 8 2 3 2 2 3" xfId="43947" xr:uid="{00000000-0005-0000-0000-000097AF0000}"/>
    <cellStyle name="Normal 4 4 8 2 3 2 3" xfId="23595" xr:uid="{00000000-0005-0000-0000-000098AF0000}"/>
    <cellStyle name="Normal 4 4 8 2 3 2 3 2" xfId="50728" xr:uid="{00000000-0005-0000-0000-000099AF0000}"/>
    <cellStyle name="Normal 4 4 8 2 3 2 4" xfId="37166" xr:uid="{00000000-0005-0000-0000-00009AAF0000}"/>
    <cellStyle name="Normal 4 4 8 2 3 3" xfId="13419" xr:uid="{00000000-0005-0000-0000-00009BAF0000}"/>
    <cellStyle name="Normal 4 4 8 2 3 3 2" xfId="26987" xr:uid="{00000000-0005-0000-0000-00009CAF0000}"/>
    <cellStyle name="Normal 4 4 8 2 3 3 2 2" xfId="54120" xr:uid="{00000000-0005-0000-0000-00009DAF0000}"/>
    <cellStyle name="Normal 4 4 8 2 3 3 3" xfId="40558" xr:uid="{00000000-0005-0000-0000-00009EAF0000}"/>
    <cellStyle name="Normal 4 4 8 2 3 4" xfId="20206" xr:uid="{00000000-0005-0000-0000-00009FAF0000}"/>
    <cellStyle name="Normal 4 4 8 2 3 4 2" xfId="47339" xr:uid="{00000000-0005-0000-0000-0000A0AF0000}"/>
    <cellStyle name="Normal 4 4 8 2 3 5" xfId="33777" xr:uid="{00000000-0005-0000-0000-0000A1AF0000}"/>
    <cellStyle name="Normal 4 4 8 2 4" xfId="10016" xr:uid="{00000000-0005-0000-0000-0000A2AF0000}"/>
    <cellStyle name="Normal 4 4 8 2 4 2" xfId="16806" xr:uid="{00000000-0005-0000-0000-0000A3AF0000}"/>
    <cellStyle name="Normal 4 4 8 2 4 2 2" xfId="30374" xr:uid="{00000000-0005-0000-0000-0000A4AF0000}"/>
    <cellStyle name="Normal 4 4 8 2 4 2 2 2" xfId="57507" xr:uid="{00000000-0005-0000-0000-0000A5AF0000}"/>
    <cellStyle name="Normal 4 4 8 2 4 2 3" xfId="43945" xr:uid="{00000000-0005-0000-0000-0000A6AF0000}"/>
    <cellStyle name="Normal 4 4 8 2 4 3" xfId="23593" xr:uid="{00000000-0005-0000-0000-0000A7AF0000}"/>
    <cellStyle name="Normal 4 4 8 2 4 3 2" xfId="50726" xr:uid="{00000000-0005-0000-0000-0000A8AF0000}"/>
    <cellStyle name="Normal 4 4 8 2 4 4" xfId="37164" xr:uid="{00000000-0005-0000-0000-0000A9AF0000}"/>
    <cellStyle name="Normal 4 4 8 2 5" xfId="13417" xr:uid="{00000000-0005-0000-0000-0000AAAF0000}"/>
    <cellStyle name="Normal 4 4 8 2 5 2" xfId="26985" xr:uid="{00000000-0005-0000-0000-0000ABAF0000}"/>
    <cellStyle name="Normal 4 4 8 2 5 2 2" xfId="54118" xr:uid="{00000000-0005-0000-0000-0000ACAF0000}"/>
    <cellStyle name="Normal 4 4 8 2 5 3" xfId="40556" xr:uid="{00000000-0005-0000-0000-0000ADAF0000}"/>
    <cellStyle name="Normal 4 4 8 2 6" xfId="20204" xr:uid="{00000000-0005-0000-0000-0000AEAF0000}"/>
    <cellStyle name="Normal 4 4 8 2 6 2" xfId="47337" xr:uid="{00000000-0005-0000-0000-0000AFAF0000}"/>
    <cellStyle name="Normal 4 4 8 2 7" xfId="33775" xr:uid="{00000000-0005-0000-0000-0000B0AF0000}"/>
    <cellStyle name="Normal 4 4 8 3" xfId="6486" xr:uid="{00000000-0005-0000-0000-0000B1AF0000}"/>
    <cellStyle name="Normal 4 4 8 3 2" xfId="10019" xr:uid="{00000000-0005-0000-0000-0000B2AF0000}"/>
    <cellStyle name="Normal 4 4 8 3 2 2" xfId="16809" xr:uid="{00000000-0005-0000-0000-0000B3AF0000}"/>
    <cellStyle name="Normal 4 4 8 3 2 2 2" xfId="30377" xr:uid="{00000000-0005-0000-0000-0000B4AF0000}"/>
    <cellStyle name="Normal 4 4 8 3 2 2 2 2" xfId="57510" xr:uid="{00000000-0005-0000-0000-0000B5AF0000}"/>
    <cellStyle name="Normal 4 4 8 3 2 2 3" xfId="43948" xr:uid="{00000000-0005-0000-0000-0000B6AF0000}"/>
    <cellStyle name="Normal 4 4 8 3 2 3" xfId="23596" xr:uid="{00000000-0005-0000-0000-0000B7AF0000}"/>
    <cellStyle name="Normal 4 4 8 3 2 3 2" xfId="50729" xr:uid="{00000000-0005-0000-0000-0000B8AF0000}"/>
    <cellStyle name="Normal 4 4 8 3 2 4" xfId="37167" xr:uid="{00000000-0005-0000-0000-0000B9AF0000}"/>
    <cellStyle name="Normal 4 4 8 3 3" xfId="13420" xr:uid="{00000000-0005-0000-0000-0000BAAF0000}"/>
    <cellStyle name="Normal 4 4 8 3 3 2" xfId="26988" xr:uid="{00000000-0005-0000-0000-0000BBAF0000}"/>
    <cellStyle name="Normal 4 4 8 3 3 2 2" xfId="54121" xr:uid="{00000000-0005-0000-0000-0000BCAF0000}"/>
    <cellStyle name="Normal 4 4 8 3 3 3" xfId="40559" xr:uid="{00000000-0005-0000-0000-0000BDAF0000}"/>
    <cellStyle name="Normal 4 4 8 3 4" xfId="20207" xr:uid="{00000000-0005-0000-0000-0000BEAF0000}"/>
    <cellStyle name="Normal 4 4 8 3 4 2" xfId="47340" xr:uid="{00000000-0005-0000-0000-0000BFAF0000}"/>
    <cellStyle name="Normal 4 4 8 3 5" xfId="33778" xr:uid="{00000000-0005-0000-0000-0000C0AF0000}"/>
    <cellStyle name="Normal 4 4 8 4" xfId="6487" xr:uid="{00000000-0005-0000-0000-0000C1AF0000}"/>
    <cellStyle name="Normal 4 4 8 4 2" xfId="10020" xr:uid="{00000000-0005-0000-0000-0000C2AF0000}"/>
    <cellStyle name="Normal 4 4 8 4 2 2" xfId="16810" xr:uid="{00000000-0005-0000-0000-0000C3AF0000}"/>
    <cellStyle name="Normal 4 4 8 4 2 2 2" xfId="30378" xr:uid="{00000000-0005-0000-0000-0000C4AF0000}"/>
    <cellStyle name="Normal 4 4 8 4 2 2 2 2" xfId="57511" xr:uid="{00000000-0005-0000-0000-0000C5AF0000}"/>
    <cellStyle name="Normal 4 4 8 4 2 2 3" xfId="43949" xr:uid="{00000000-0005-0000-0000-0000C6AF0000}"/>
    <cellStyle name="Normal 4 4 8 4 2 3" xfId="23597" xr:uid="{00000000-0005-0000-0000-0000C7AF0000}"/>
    <cellStyle name="Normal 4 4 8 4 2 3 2" xfId="50730" xr:uid="{00000000-0005-0000-0000-0000C8AF0000}"/>
    <cellStyle name="Normal 4 4 8 4 2 4" xfId="37168" xr:uid="{00000000-0005-0000-0000-0000C9AF0000}"/>
    <cellStyle name="Normal 4 4 8 4 3" xfId="13421" xr:uid="{00000000-0005-0000-0000-0000CAAF0000}"/>
    <cellStyle name="Normal 4 4 8 4 3 2" xfId="26989" xr:uid="{00000000-0005-0000-0000-0000CBAF0000}"/>
    <cellStyle name="Normal 4 4 8 4 3 2 2" xfId="54122" xr:uid="{00000000-0005-0000-0000-0000CCAF0000}"/>
    <cellStyle name="Normal 4 4 8 4 3 3" xfId="40560" xr:uid="{00000000-0005-0000-0000-0000CDAF0000}"/>
    <cellStyle name="Normal 4 4 8 4 4" xfId="20208" xr:uid="{00000000-0005-0000-0000-0000CEAF0000}"/>
    <cellStyle name="Normal 4 4 8 4 4 2" xfId="47341" xr:uid="{00000000-0005-0000-0000-0000CFAF0000}"/>
    <cellStyle name="Normal 4 4 8 4 5" xfId="33779" xr:uid="{00000000-0005-0000-0000-0000D0AF0000}"/>
    <cellStyle name="Normal 4 4 8 5" xfId="10015" xr:uid="{00000000-0005-0000-0000-0000D1AF0000}"/>
    <cellStyle name="Normal 4 4 8 5 2" xfId="16805" xr:uid="{00000000-0005-0000-0000-0000D2AF0000}"/>
    <cellStyle name="Normal 4 4 8 5 2 2" xfId="30373" xr:uid="{00000000-0005-0000-0000-0000D3AF0000}"/>
    <cellStyle name="Normal 4 4 8 5 2 2 2" xfId="57506" xr:uid="{00000000-0005-0000-0000-0000D4AF0000}"/>
    <cellStyle name="Normal 4 4 8 5 2 3" xfId="43944" xr:uid="{00000000-0005-0000-0000-0000D5AF0000}"/>
    <cellStyle name="Normal 4 4 8 5 3" xfId="23592" xr:uid="{00000000-0005-0000-0000-0000D6AF0000}"/>
    <cellStyle name="Normal 4 4 8 5 3 2" xfId="50725" xr:uid="{00000000-0005-0000-0000-0000D7AF0000}"/>
    <cellStyle name="Normal 4 4 8 5 4" xfId="37163" xr:uid="{00000000-0005-0000-0000-0000D8AF0000}"/>
    <cellStyle name="Normal 4 4 8 6" xfId="13416" xr:uid="{00000000-0005-0000-0000-0000D9AF0000}"/>
    <cellStyle name="Normal 4 4 8 6 2" xfId="26984" xr:uid="{00000000-0005-0000-0000-0000DAAF0000}"/>
    <cellStyle name="Normal 4 4 8 6 2 2" xfId="54117" xr:uid="{00000000-0005-0000-0000-0000DBAF0000}"/>
    <cellStyle name="Normal 4 4 8 6 3" xfId="40555" xr:uid="{00000000-0005-0000-0000-0000DCAF0000}"/>
    <cellStyle name="Normal 4 4 8 7" xfId="20203" xr:uid="{00000000-0005-0000-0000-0000DDAF0000}"/>
    <cellStyle name="Normal 4 4 8 7 2" xfId="47336" xr:uid="{00000000-0005-0000-0000-0000DEAF0000}"/>
    <cellStyle name="Normal 4 4 8 8" xfId="33774" xr:uid="{00000000-0005-0000-0000-0000DFAF0000}"/>
    <cellStyle name="Normal 4 4 9" xfId="6488" xr:uid="{00000000-0005-0000-0000-0000E0AF0000}"/>
    <cellStyle name="Normal 4 4 9 2" xfId="6489" xr:uid="{00000000-0005-0000-0000-0000E1AF0000}"/>
    <cellStyle name="Normal 4 4 9 2 2" xfId="10022" xr:uid="{00000000-0005-0000-0000-0000E2AF0000}"/>
    <cellStyle name="Normal 4 4 9 2 2 2" xfId="16812" xr:uid="{00000000-0005-0000-0000-0000E3AF0000}"/>
    <cellStyle name="Normal 4 4 9 2 2 2 2" xfId="30380" xr:uid="{00000000-0005-0000-0000-0000E4AF0000}"/>
    <cellStyle name="Normal 4 4 9 2 2 2 2 2" xfId="57513" xr:uid="{00000000-0005-0000-0000-0000E5AF0000}"/>
    <cellStyle name="Normal 4 4 9 2 2 2 3" xfId="43951" xr:uid="{00000000-0005-0000-0000-0000E6AF0000}"/>
    <cellStyle name="Normal 4 4 9 2 2 3" xfId="23599" xr:uid="{00000000-0005-0000-0000-0000E7AF0000}"/>
    <cellStyle name="Normal 4 4 9 2 2 3 2" xfId="50732" xr:uid="{00000000-0005-0000-0000-0000E8AF0000}"/>
    <cellStyle name="Normal 4 4 9 2 2 4" xfId="37170" xr:uid="{00000000-0005-0000-0000-0000E9AF0000}"/>
    <cellStyle name="Normal 4 4 9 2 3" xfId="13423" xr:uid="{00000000-0005-0000-0000-0000EAAF0000}"/>
    <cellStyle name="Normal 4 4 9 2 3 2" xfId="26991" xr:uid="{00000000-0005-0000-0000-0000EBAF0000}"/>
    <cellStyle name="Normal 4 4 9 2 3 2 2" xfId="54124" xr:uid="{00000000-0005-0000-0000-0000ECAF0000}"/>
    <cellStyle name="Normal 4 4 9 2 3 3" xfId="40562" xr:uid="{00000000-0005-0000-0000-0000EDAF0000}"/>
    <cellStyle name="Normal 4 4 9 2 4" xfId="20210" xr:uid="{00000000-0005-0000-0000-0000EEAF0000}"/>
    <cellStyle name="Normal 4 4 9 2 4 2" xfId="47343" xr:uid="{00000000-0005-0000-0000-0000EFAF0000}"/>
    <cellStyle name="Normal 4 4 9 2 5" xfId="33781" xr:uid="{00000000-0005-0000-0000-0000F0AF0000}"/>
    <cellStyle name="Normal 4 4 9 3" xfId="10021" xr:uid="{00000000-0005-0000-0000-0000F1AF0000}"/>
    <cellStyle name="Normal 4 4 9 3 2" xfId="16811" xr:uid="{00000000-0005-0000-0000-0000F2AF0000}"/>
    <cellStyle name="Normal 4 4 9 3 2 2" xfId="30379" xr:uid="{00000000-0005-0000-0000-0000F3AF0000}"/>
    <cellStyle name="Normal 4 4 9 3 2 2 2" xfId="57512" xr:uid="{00000000-0005-0000-0000-0000F4AF0000}"/>
    <cellStyle name="Normal 4 4 9 3 2 3" xfId="43950" xr:uid="{00000000-0005-0000-0000-0000F5AF0000}"/>
    <cellStyle name="Normal 4 4 9 3 3" xfId="23598" xr:uid="{00000000-0005-0000-0000-0000F6AF0000}"/>
    <cellStyle name="Normal 4 4 9 3 3 2" xfId="50731" xr:uid="{00000000-0005-0000-0000-0000F7AF0000}"/>
    <cellStyle name="Normal 4 4 9 3 4" xfId="37169" xr:uid="{00000000-0005-0000-0000-0000F8AF0000}"/>
    <cellStyle name="Normal 4 4 9 4" xfId="13422" xr:uid="{00000000-0005-0000-0000-0000F9AF0000}"/>
    <cellStyle name="Normal 4 4 9 4 2" xfId="26990" xr:uid="{00000000-0005-0000-0000-0000FAAF0000}"/>
    <cellStyle name="Normal 4 4 9 4 2 2" xfId="54123" xr:uid="{00000000-0005-0000-0000-0000FBAF0000}"/>
    <cellStyle name="Normal 4 4 9 4 3" xfId="40561" xr:uid="{00000000-0005-0000-0000-0000FCAF0000}"/>
    <cellStyle name="Normal 4 4 9 5" xfId="20209" xr:uid="{00000000-0005-0000-0000-0000FDAF0000}"/>
    <cellStyle name="Normal 4 4 9 5 2" xfId="47342" xr:uid="{00000000-0005-0000-0000-0000FEAF0000}"/>
    <cellStyle name="Normal 4 4 9 6" xfId="33780" xr:uid="{00000000-0005-0000-0000-0000FFAF0000}"/>
    <cellStyle name="Normal 4 5" xfId="2776" xr:uid="{00000000-0005-0000-0000-000000B00000}"/>
    <cellStyle name="Normal 4 5 10" xfId="6490" xr:uid="{00000000-0005-0000-0000-000001B00000}"/>
    <cellStyle name="Normal 4 5 10 2" xfId="10023" xr:uid="{00000000-0005-0000-0000-000002B00000}"/>
    <cellStyle name="Normal 4 5 10 2 2" xfId="16813" xr:uid="{00000000-0005-0000-0000-000003B00000}"/>
    <cellStyle name="Normal 4 5 10 2 2 2" xfId="30381" xr:uid="{00000000-0005-0000-0000-000004B00000}"/>
    <cellStyle name="Normal 4 5 10 2 2 2 2" xfId="57514" xr:uid="{00000000-0005-0000-0000-000005B00000}"/>
    <cellStyle name="Normal 4 5 10 2 2 3" xfId="43952" xr:uid="{00000000-0005-0000-0000-000006B00000}"/>
    <cellStyle name="Normal 4 5 10 2 3" xfId="23600" xr:uid="{00000000-0005-0000-0000-000007B00000}"/>
    <cellStyle name="Normal 4 5 10 2 3 2" xfId="50733" xr:uid="{00000000-0005-0000-0000-000008B00000}"/>
    <cellStyle name="Normal 4 5 10 2 4" xfId="37171" xr:uid="{00000000-0005-0000-0000-000009B00000}"/>
    <cellStyle name="Normal 4 5 10 3" xfId="13424" xr:uid="{00000000-0005-0000-0000-00000AB00000}"/>
    <cellStyle name="Normal 4 5 10 3 2" xfId="26992" xr:uid="{00000000-0005-0000-0000-00000BB00000}"/>
    <cellStyle name="Normal 4 5 10 3 2 2" xfId="54125" xr:uid="{00000000-0005-0000-0000-00000CB00000}"/>
    <cellStyle name="Normal 4 5 10 3 3" xfId="40563" xr:uid="{00000000-0005-0000-0000-00000DB00000}"/>
    <cellStyle name="Normal 4 5 10 4" xfId="20211" xr:uid="{00000000-0005-0000-0000-00000EB00000}"/>
    <cellStyle name="Normal 4 5 10 4 2" xfId="47344" xr:uid="{00000000-0005-0000-0000-00000FB00000}"/>
    <cellStyle name="Normal 4 5 10 5" xfId="33782" xr:uid="{00000000-0005-0000-0000-000010B00000}"/>
    <cellStyle name="Normal 4 5 11" xfId="6491" xr:uid="{00000000-0005-0000-0000-000011B00000}"/>
    <cellStyle name="Normal 4 5 11 2" xfId="10024" xr:uid="{00000000-0005-0000-0000-000012B00000}"/>
    <cellStyle name="Normal 4 5 11 2 2" xfId="16814" xr:uid="{00000000-0005-0000-0000-000013B00000}"/>
    <cellStyle name="Normal 4 5 11 2 2 2" xfId="30382" xr:uid="{00000000-0005-0000-0000-000014B00000}"/>
    <cellStyle name="Normal 4 5 11 2 2 2 2" xfId="57515" xr:uid="{00000000-0005-0000-0000-000015B00000}"/>
    <cellStyle name="Normal 4 5 11 2 2 3" xfId="43953" xr:uid="{00000000-0005-0000-0000-000016B00000}"/>
    <cellStyle name="Normal 4 5 11 2 3" xfId="23601" xr:uid="{00000000-0005-0000-0000-000017B00000}"/>
    <cellStyle name="Normal 4 5 11 2 3 2" xfId="50734" xr:uid="{00000000-0005-0000-0000-000018B00000}"/>
    <cellStyle name="Normal 4 5 11 2 4" xfId="37172" xr:uid="{00000000-0005-0000-0000-000019B00000}"/>
    <cellStyle name="Normal 4 5 11 3" xfId="13425" xr:uid="{00000000-0005-0000-0000-00001AB00000}"/>
    <cellStyle name="Normal 4 5 11 3 2" xfId="26993" xr:uid="{00000000-0005-0000-0000-00001BB00000}"/>
    <cellStyle name="Normal 4 5 11 3 2 2" xfId="54126" xr:uid="{00000000-0005-0000-0000-00001CB00000}"/>
    <cellStyle name="Normal 4 5 11 3 3" xfId="40564" xr:uid="{00000000-0005-0000-0000-00001DB00000}"/>
    <cellStyle name="Normal 4 5 11 4" xfId="20212" xr:uid="{00000000-0005-0000-0000-00001EB00000}"/>
    <cellStyle name="Normal 4 5 11 4 2" xfId="47345" xr:uid="{00000000-0005-0000-0000-00001FB00000}"/>
    <cellStyle name="Normal 4 5 11 5" xfId="33783" xr:uid="{00000000-0005-0000-0000-000020B00000}"/>
    <cellStyle name="Normal 4 5 12" xfId="7581" xr:uid="{00000000-0005-0000-0000-000021B00000}"/>
    <cellStyle name="Normal 4 5 12 2" xfId="14371" xr:uid="{00000000-0005-0000-0000-000022B00000}"/>
    <cellStyle name="Normal 4 5 12 2 2" xfId="27939" xr:uid="{00000000-0005-0000-0000-000023B00000}"/>
    <cellStyle name="Normal 4 5 12 2 2 2" xfId="55072" xr:uid="{00000000-0005-0000-0000-000024B00000}"/>
    <cellStyle name="Normal 4 5 12 2 3" xfId="41510" xr:uid="{00000000-0005-0000-0000-000025B00000}"/>
    <cellStyle name="Normal 4 5 12 3" xfId="21158" xr:uid="{00000000-0005-0000-0000-000026B00000}"/>
    <cellStyle name="Normal 4 5 12 3 2" xfId="48291" xr:uid="{00000000-0005-0000-0000-000027B00000}"/>
    <cellStyle name="Normal 4 5 12 4" xfId="34729" xr:uid="{00000000-0005-0000-0000-000028B00000}"/>
    <cellStyle name="Normal 4 5 13" xfId="10982" xr:uid="{00000000-0005-0000-0000-000029B00000}"/>
    <cellStyle name="Normal 4 5 13 2" xfId="24550" xr:uid="{00000000-0005-0000-0000-00002AB00000}"/>
    <cellStyle name="Normal 4 5 13 2 2" xfId="51683" xr:uid="{00000000-0005-0000-0000-00002BB00000}"/>
    <cellStyle name="Normal 4 5 13 3" xfId="38121" xr:uid="{00000000-0005-0000-0000-00002CB00000}"/>
    <cellStyle name="Normal 4 5 14" xfId="17769" xr:uid="{00000000-0005-0000-0000-00002DB00000}"/>
    <cellStyle name="Normal 4 5 14 2" xfId="44902" xr:uid="{00000000-0005-0000-0000-00002EB00000}"/>
    <cellStyle name="Normal 4 5 15" xfId="31340" xr:uid="{00000000-0005-0000-0000-00002FB00000}"/>
    <cellStyle name="Normal 4 5 2" xfId="2777" xr:uid="{00000000-0005-0000-0000-000030B00000}"/>
    <cellStyle name="Normal 4 5 2 2" xfId="7582" xr:uid="{00000000-0005-0000-0000-000031B00000}"/>
    <cellStyle name="Normal 4 5 2 2 2" xfId="14372" xr:uid="{00000000-0005-0000-0000-000032B00000}"/>
    <cellStyle name="Normal 4 5 2 2 2 2" xfId="27940" xr:uid="{00000000-0005-0000-0000-000033B00000}"/>
    <cellStyle name="Normal 4 5 2 2 2 2 2" xfId="55073" xr:uid="{00000000-0005-0000-0000-000034B00000}"/>
    <cellStyle name="Normal 4 5 2 2 2 3" xfId="41511" xr:uid="{00000000-0005-0000-0000-000035B00000}"/>
    <cellStyle name="Normal 4 5 2 2 3" xfId="21159" xr:uid="{00000000-0005-0000-0000-000036B00000}"/>
    <cellStyle name="Normal 4 5 2 2 3 2" xfId="48292" xr:uid="{00000000-0005-0000-0000-000037B00000}"/>
    <cellStyle name="Normal 4 5 2 2 4" xfId="34730" xr:uid="{00000000-0005-0000-0000-000038B00000}"/>
    <cellStyle name="Normal 4 5 2 3" xfId="10983" xr:uid="{00000000-0005-0000-0000-000039B00000}"/>
    <cellStyle name="Normal 4 5 2 3 2" xfId="24551" xr:uid="{00000000-0005-0000-0000-00003AB00000}"/>
    <cellStyle name="Normal 4 5 2 3 2 2" xfId="51684" xr:uid="{00000000-0005-0000-0000-00003BB00000}"/>
    <cellStyle name="Normal 4 5 2 3 3" xfId="38122" xr:uid="{00000000-0005-0000-0000-00003CB00000}"/>
    <cellStyle name="Normal 4 5 2 4" xfId="17770" xr:uid="{00000000-0005-0000-0000-00003DB00000}"/>
    <cellStyle name="Normal 4 5 2 4 2" xfId="44903" xr:uid="{00000000-0005-0000-0000-00003EB00000}"/>
    <cellStyle name="Normal 4 5 2 5" xfId="31341" xr:uid="{00000000-0005-0000-0000-00003FB00000}"/>
    <cellStyle name="Normal 4 5 3" xfId="6492" xr:uid="{00000000-0005-0000-0000-000040B00000}"/>
    <cellStyle name="Normal 4 5 4" xfId="6493" xr:uid="{00000000-0005-0000-0000-000041B00000}"/>
    <cellStyle name="Normal 4 5 4 10" xfId="13426" xr:uid="{00000000-0005-0000-0000-000042B00000}"/>
    <cellStyle name="Normal 4 5 4 10 2" xfId="26994" xr:uid="{00000000-0005-0000-0000-000043B00000}"/>
    <cellStyle name="Normal 4 5 4 10 2 2" xfId="54127" xr:uid="{00000000-0005-0000-0000-000044B00000}"/>
    <cellStyle name="Normal 4 5 4 10 3" xfId="40565" xr:uid="{00000000-0005-0000-0000-000045B00000}"/>
    <cellStyle name="Normal 4 5 4 11" xfId="20213" xr:uid="{00000000-0005-0000-0000-000046B00000}"/>
    <cellStyle name="Normal 4 5 4 11 2" xfId="47346" xr:uid="{00000000-0005-0000-0000-000047B00000}"/>
    <cellStyle name="Normal 4 5 4 12" xfId="33784" xr:uid="{00000000-0005-0000-0000-000048B00000}"/>
    <cellStyle name="Normal 4 5 4 2" xfId="6494" xr:uid="{00000000-0005-0000-0000-000049B00000}"/>
    <cellStyle name="Normal 4 5 4 2 10" xfId="33785" xr:uid="{00000000-0005-0000-0000-00004AB00000}"/>
    <cellStyle name="Normal 4 5 4 2 2" xfId="6495" xr:uid="{00000000-0005-0000-0000-00004BB00000}"/>
    <cellStyle name="Normal 4 5 4 2 2 2" xfId="6496" xr:uid="{00000000-0005-0000-0000-00004CB00000}"/>
    <cellStyle name="Normal 4 5 4 2 2 2 2" xfId="6497" xr:uid="{00000000-0005-0000-0000-00004DB00000}"/>
    <cellStyle name="Normal 4 5 4 2 2 2 2 2" xfId="10029" xr:uid="{00000000-0005-0000-0000-00004EB00000}"/>
    <cellStyle name="Normal 4 5 4 2 2 2 2 2 2" xfId="16819" xr:uid="{00000000-0005-0000-0000-00004FB00000}"/>
    <cellStyle name="Normal 4 5 4 2 2 2 2 2 2 2" xfId="30387" xr:uid="{00000000-0005-0000-0000-000050B00000}"/>
    <cellStyle name="Normal 4 5 4 2 2 2 2 2 2 2 2" xfId="57520" xr:uid="{00000000-0005-0000-0000-000051B00000}"/>
    <cellStyle name="Normal 4 5 4 2 2 2 2 2 2 3" xfId="43958" xr:uid="{00000000-0005-0000-0000-000052B00000}"/>
    <cellStyle name="Normal 4 5 4 2 2 2 2 2 3" xfId="23606" xr:uid="{00000000-0005-0000-0000-000053B00000}"/>
    <cellStyle name="Normal 4 5 4 2 2 2 2 2 3 2" xfId="50739" xr:uid="{00000000-0005-0000-0000-000054B00000}"/>
    <cellStyle name="Normal 4 5 4 2 2 2 2 2 4" xfId="37177" xr:uid="{00000000-0005-0000-0000-000055B00000}"/>
    <cellStyle name="Normal 4 5 4 2 2 2 2 3" xfId="13430" xr:uid="{00000000-0005-0000-0000-000056B00000}"/>
    <cellStyle name="Normal 4 5 4 2 2 2 2 3 2" xfId="26998" xr:uid="{00000000-0005-0000-0000-000057B00000}"/>
    <cellStyle name="Normal 4 5 4 2 2 2 2 3 2 2" xfId="54131" xr:uid="{00000000-0005-0000-0000-000058B00000}"/>
    <cellStyle name="Normal 4 5 4 2 2 2 2 3 3" xfId="40569" xr:uid="{00000000-0005-0000-0000-000059B00000}"/>
    <cellStyle name="Normal 4 5 4 2 2 2 2 4" xfId="20217" xr:uid="{00000000-0005-0000-0000-00005AB00000}"/>
    <cellStyle name="Normal 4 5 4 2 2 2 2 4 2" xfId="47350" xr:uid="{00000000-0005-0000-0000-00005BB00000}"/>
    <cellStyle name="Normal 4 5 4 2 2 2 2 5" xfId="33788" xr:uid="{00000000-0005-0000-0000-00005CB00000}"/>
    <cellStyle name="Normal 4 5 4 2 2 2 3" xfId="6498" xr:uid="{00000000-0005-0000-0000-00005DB00000}"/>
    <cellStyle name="Normal 4 5 4 2 2 2 3 2" xfId="10030" xr:uid="{00000000-0005-0000-0000-00005EB00000}"/>
    <cellStyle name="Normal 4 5 4 2 2 2 3 2 2" xfId="16820" xr:uid="{00000000-0005-0000-0000-00005FB00000}"/>
    <cellStyle name="Normal 4 5 4 2 2 2 3 2 2 2" xfId="30388" xr:uid="{00000000-0005-0000-0000-000060B00000}"/>
    <cellStyle name="Normal 4 5 4 2 2 2 3 2 2 2 2" xfId="57521" xr:uid="{00000000-0005-0000-0000-000061B00000}"/>
    <cellStyle name="Normal 4 5 4 2 2 2 3 2 2 3" xfId="43959" xr:uid="{00000000-0005-0000-0000-000062B00000}"/>
    <cellStyle name="Normal 4 5 4 2 2 2 3 2 3" xfId="23607" xr:uid="{00000000-0005-0000-0000-000063B00000}"/>
    <cellStyle name="Normal 4 5 4 2 2 2 3 2 3 2" xfId="50740" xr:uid="{00000000-0005-0000-0000-000064B00000}"/>
    <cellStyle name="Normal 4 5 4 2 2 2 3 2 4" xfId="37178" xr:uid="{00000000-0005-0000-0000-000065B00000}"/>
    <cellStyle name="Normal 4 5 4 2 2 2 3 3" xfId="13431" xr:uid="{00000000-0005-0000-0000-000066B00000}"/>
    <cellStyle name="Normal 4 5 4 2 2 2 3 3 2" xfId="26999" xr:uid="{00000000-0005-0000-0000-000067B00000}"/>
    <cellStyle name="Normal 4 5 4 2 2 2 3 3 2 2" xfId="54132" xr:uid="{00000000-0005-0000-0000-000068B00000}"/>
    <cellStyle name="Normal 4 5 4 2 2 2 3 3 3" xfId="40570" xr:uid="{00000000-0005-0000-0000-000069B00000}"/>
    <cellStyle name="Normal 4 5 4 2 2 2 3 4" xfId="20218" xr:uid="{00000000-0005-0000-0000-00006AB00000}"/>
    <cellStyle name="Normal 4 5 4 2 2 2 3 4 2" xfId="47351" xr:uid="{00000000-0005-0000-0000-00006BB00000}"/>
    <cellStyle name="Normal 4 5 4 2 2 2 3 5" xfId="33789" xr:uid="{00000000-0005-0000-0000-00006CB00000}"/>
    <cellStyle name="Normal 4 5 4 2 2 2 4" xfId="10028" xr:uid="{00000000-0005-0000-0000-00006DB00000}"/>
    <cellStyle name="Normal 4 5 4 2 2 2 4 2" xfId="16818" xr:uid="{00000000-0005-0000-0000-00006EB00000}"/>
    <cellStyle name="Normal 4 5 4 2 2 2 4 2 2" xfId="30386" xr:uid="{00000000-0005-0000-0000-00006FB00000}"/>
    <cellStyle name="Normal 4 5 4 2 2 2 4 2 2 2" xfId="57519" xr:uid="{00000000-0005-0000-0000-000070B00000}"/>
    <cellStyle name="Normal 4 5 4 2 2 2 4 2 3" xfId="43957" xr:uid="{00000000-0005-0000-0000-000071B00000}"/>
    <cellStyle name="Normal 4 5 4 2 2 2 4 3" xfId="23605" xr:uid="{00000000-0005-0000-0000-000072B00000}"/>
    <cellStyle name="Normal 4 5 4 2 2 2 4 3 2" xfId="50738" xr:uid="{00000000-0005-0000-0000-000073B00000}"/>
    <cellStyle name="Normal 4 5 4 2 2 2 4 4" xfId="37176" xr:uid="{00000000-0005-0000-0000-000074B00000}"/>
    <cellStyle name="Normal 4 5 4 2 2 2 5" xfId="13429" xr:uid="{00000000-0005-0000-0000-000075B00000}"/>
    <cellStyle name="Normal 4 5 4 2 2 2 5 2" xfId="26997" xr:uid="{00000000-0005-0000-0000-000076B00000}"/>
    <cellStyle name="Normal 4 5 4 2 2 2 5 2 2" xfId="54130" xr:uid="{00000000-0005-0000-0000-000077B00000}"/>
    <cellStyle name="Normal 4 5 4 2 2 2 5 3" xfId="40568" xr:uid="{00000000-0005-0000-0000-000078B00000}"/>
    <cellStyle name="Normal 4 5 4 2 2 2 6" xfId="20216" xr:uid="{00000000-0005-0000-0000-000079B00000}"/>
    <cellStyle name="Normal 4 5 4 2 2 2 6 2" xfId="47349" xr:uid="{00000000-0005-0000-0000-00007AB00000}"/>
    <cellStyle name="Normal 4 5 4 2 2 2 7" xfId="33787" xr:uid="{00000000-0005-0000-0000-00007BB00000}"/>
    <cellStyle name="Normal 4 5 4 2 2 3" xfId="6499" xr:uid="{00000000-0005-0000-0000-00007CB00000}"/>
    <cellStyle name="Normal 4 5 4 2 2 3 2" xfId="6500" xr:uid="{00000000-0005-0000-0000-00007DB00000}"/>
    <cellStyle name="Normal 4 5 4 2 2 3 2 2" xfId="10032" xr:uid="{00000000-0005-0000-0000-00007EB00000}"/>
    <cellStyle name="Normal 4 5 4 2 2 3 2 2 2" xfId="16822" xr:uid="{00000000-0005-0000-0000-00007FB00000}"/>
    <cellStyle name="Normal 4 5 4 2 2 3 2 2 2 2" xfId="30390" xr:uid="{00000000-0005-0000-0000-000080B00000}"/>
    <cellStyle name="Normal 4 5 4 2 2 3 2 2 2 2 2" xfId="57523" xr:uid="{00000000-0005-0000-0000-000081B00000}"/>
    <cellStyle name="Normal 4 5 4 2 2 3 2 2 2 3" xfId="43961" xr:uid="{00000000-0005-0000-0000-000082B00000}"/>
    <cellStyle name="Normal 4 5 4 2 2 3 2 2 3" xfId="23609" xr:uid="{00000000-0005-0000-0000-000083B00000}"/>
    <cellStyle name="Normal 4 5 4 2 2 3 2 2 3 2" xfId="50742" xr:uid="{00000000-0005-0000-0000-000084B00000}"/>
    <cellStyle name="Normal 4 5 4 2 2 3 2 2 4" xfId="37180" xr:uid="{00000000-0005-0000-0000-000085B00000}"/>
    <cellStyle name="Normal 4 5 4 2 2 3 2 3" xfId="13433" xr:uid="{00000000-0005-0000-0000-000086B00000}"/>
    <cellStyle name="Normal 4 5 4 2 2 3 2 3 2" xfId="27001" xr:uid="{00000000-0005-0000-0000-000087B00000}"/>
    <cellStyle name="Normal 4 5 4 2 2 3 2 3 2 2" xfId="54134" xr:uid="{00000000-0005-0000-0000-000088B00000}"/>
    <cellStyle name="Normal 4 5 4 2 2 3 2 3 3" xfId="40572" xr:uid="{00000000-0005-0000-0000-000089B00000}"/>
    <cellStyle name="Normal 4 5 4 2 2 3 2 4" xfId="20220" xr:uid="{00000000-0005-0000-0000-00008AB00000}"/>
    <cellStyle name="Normal 4 5 4 2 2 3 2 4 2" xfId="47353" xr:uid="{00000000-0005-0000-0000-00008BB00000}"/>
    <cellStyle name="Normal 4 5 4 2 2 3 2 5" xfId="33791" xr:uid="{00000000-0005-0000-0000-00008CB00000}"/>
    <cellStyle name="Normal 4 5 4 2 2 3 3" xfId="10031" xr:uid="{00000000-0005-0000-0000-00008DB00000}"/>
    <cellStyle name="Normal 4 5 4 2 2 3 3 2" xfId="16821" xr:uid="{00000000-0005-0000-0000-00008EB00000}"/>
    <cellStyle name="Normal 4 5 4 2 2 3 3 2 2" xfId="30389" xr:uid="{00000000-0005-0000-0000-00008FB00000}"/>
    <cellStyle name="Normal 4 5 4 2 2 3 3 2 2 2" xfId="57522" xr:uid="{00000000-0005-0000-0000-000090B00000}"/>
    <cellStyle name="Normal 4 5 4 2 2 3 3 2 3" xfId="43960" xr:uid="{00000000-0005-0000-0000-000091B00000}"/>
    <cellStyle name="Normal 4 5 4 2 2 3 3 3" xfId="23608" xr:uid="{00000000-0005-0000-0000-000092B00000}"/>
    <cellStyle name="Normal 4 5 4 2 2 3 3 3 2" xfId="50741" xr:uid="{00000000-0005-0000-0000-000093B00000}"/>
    <cellStyle name="Normal 4 5 4 2 2 3 3 4" xfId="37179" xr:uid="{00000000-0005-0000-0000-000094B00000}"/>
    <cellStyle name="Normal 4 5 4 2 2 3 4" xfId="13432" xr:uid="{00000000-0005-0000-0000-000095B00000}"/>
    <cellStyle name="Normal 4 5 4 2 2 3 4 2" xfId="27000" xr:uid="{00000000-0005-0000-0000-000096B00000}"/>
    <cellStyle name="Normal 4 5 4 2 2 3 4 2 2" xfId="54133" xr:uid="{00000000-0005-0000-0000-000097B00000}"/>
    <cellStyle name="Normal 4 5 4 2 2 3 4 3" xfId="40571" xr:uid="{00000000-0005-0000-0000-000098B00000}"/>
    <cellStyle name="Normal 4 5 4 2 2 3 5" xfId="20219" xr:uid="{00000000-0005-0000-0000-000099B00000}"/>
    <cellStyle name="Normal 4 5 4 2 2 3 5 2" xfId="47352" xr:uid="{00000000-0005-0000-0000-00009AB00000}"/>
    <cellStyle name="Normal 4 5 4 2 2 3 6" xfId="33790" xr:uid="{00000000-0005-0000-0000-00009BB00000}"/>
    <cellStyle name="Normal 4 5 4 2 2 4" xfId="6501" xr:uid="{00000000-0005-0000-0000-00009CB00000}"/>
    <cellStyle name="Normal 4 5 4 2 2 4 2" xfId="10033" xr:uid="{00000000-0005-0000-0000-00009DB00000}"/>
    <cellStyle name="Normal 4 5 4 2 2 4 2 2" xfId="16823" xr:uid="{00000000-0005-0000-0000-00009EB00000}"/>
    <cellStyle name="Normal 4 5 4 2 2 4 2 2 2" xfId="30391" xr:uid="{00000000-0005-0000-0000-00009FB00000}"/>
    <cellStyle name="Normal 4 5 4 2 2 4 2 2 2 2" xfId="57524" xr:uid="{00000000-0005-0000-0000-0000A0B00000}"/>
    <cellStyle name="Normal 4 5 4 2 2 4 2 2 3" xfId="43962" xr:uid="{00000000-0005-0000-0000-0000A1B00000}"/>
    <cellStyle name="Normal 4 5 4 2 2 4 2 3" xfId="23610" xr:uid="{00000000-0005-0000-0000-0000A2B00000}"/>
    <cellStyle name="Normal 4 5 4 2 2 4 2 3 2" xfId="50743" xr:uid="{00000000-0005-0000-0000-0000A3B00000}"/>
    <cellStyle name="Normal 4 5 4 2 2 4 2 4" xfId="37181" xr:uid="{00000000-0005-0000-0000-0000A4B00000}"/>
    <cellStyle name="Normal 4 5 4 2 2 4 3" xfId="13434" xr:uid="{00000000-0005-0000-0000-0000A5B00000}"/>
    <cellStyle name="Normal 4 5 4 2 2 4 3 2" xfId="27002" xr:uid="{00000000-0005-0000-0000-0000A6B00000}"/>
    <cellStyle name="Normal 4 5 4 2 2 4 3 2 2" xfId="54135" xr:uid="{00000000-0005-0000-0000-0000A7B00000}"/>
    <cellStyle name="Normal 4 5 4 2 2 4 3 3" xfId="40573" xr:uid="{00000000-0005-0000-0000-0000A8B00000}"/>
    <cellStyle name="Normal 4 5 4 2 2 4 4" xfId="20221" xr:uid="{00000000-0005-0000-0000-0000A9B00000}"/>
    <cellStyle name="Normal 4 5 4 2 2 4 4 2" xfId="47354" xr:uid="{00000000-0005-0000-0000-0000AAB00000}"/>
    <cellStyle name="Normal 4 5 4 2 2 4 5" xfId="33792" xr:uid="{00000000-0005-0000-0000-0000ABB00000}"/>
    <cellStyle name="Normal 4 5 4 2 2 5" xfId="6502" xr:uid="{00000000-0005-0000-0000-0000ACB00000}"/>
    <cellStyle name="Normal 4 5 4 2 2 5 2" xfId="10034" xr:uid="{00000000-0005-0000-0000-0000ADB00000}"/>
    <cellStyle name="Normal 4 5 4 2 2 5 2 2" xfId="16824" xr:uid="{00000000-0005-0000-0000-0000AEB00000}"/>
    <cellStyle name="Normal 4 5 4 2 2 5 2 2 2" xfId="30392" xr:uid="{00000000-0005-0000-0000-0000AFB00000}"/>
    <cellStyle name="Normal 4 5 4 2 2 5 2 2 2 2" xfId="57525" xr:uid="{00000000-0005-0000-0000-0000B0B00000}"/>
    <cellStyle name="Normal 4 5 4 2 2 5 2 2 3" xfId="43963" xr:uid="{00000000-0005-0000-0000-0000B1B00000}"/>
    <cellStyle name="Normal 4 5 4 2 2 5 2 3" xfId="23611" xr:uid="{00000000-0005-0000-0000-0000B2B00000}"/>
    <cellStyle name="Normal 4 5 4 2 2 5 2 3 2" xfId="50744" xr:uid="{00000000-0005-0000-0000-0000B3B00000}"/>
    <cellStyle name="Normal 4 5 4 2 2 5 2 4" xfId="37182" xr:uid="{00000000-0005-0000-0000-0000B4B00000}"/>
    <cellStyle name="Normal 4 5 4 2 2 5 3" xfId="13435" xr:uid="{00000000-0005-0000-0000-0000B5B00000}"/>
    <cellStyle name="Normal 4 5 4 2 2 5 3 2" xfId="27003" xr:uid="{00000000-0005-0000-0000-0000B6B00000}"/>
    <cellStyle name="Normal 4 5 4 2 2 5 3 2 2" xfId="54136" xr:uid="{00000000-0005-0000-0000-0000B7B00000}"/>
    <cellStyle name="Normal 4 5 4 2 2 5 3 3" xfId="40574" xr:uid="{00000000-0005-0000-0000-0000B8B00000}"/>
    <cellStyle name="Normal 4 5 4 2 2 5 4" xfId="20222" xr:uid="{00000000-0005-0000-0000-0000B9B00000}"/>
    <cellStyle name="Normal 4 5 4 2 2 5 4 2" xfId="47355" xr:uid="{00000000-0005-0000-0000-0000BAB00000}"/>
    <cellStyle name="Normal 4 5 4 2 2 5 5" xfId="33793" xr:uid="{00000000-0005-0000-0000-0000BBB00000}"/>
    <cellStyle name="Normal 4 5 4 2 2 6" xfId="10027" xr:uid="{00000000-0005-0000-0000-0000BCB00000}"/>
    <cellStyle name="Normal 4 5 4 2 2 6 2" xfId="16817" xr:uid="{00000000-0005-0000-0000-0000BDB00000}"/>
    <cellStyle name="Normal 4 5 4 2 2 6 2 2" xfId="30385" xr:uid="{00000000-0005-0000-0000-0000BEB00000}"/>
    <cellStyle name="Normal 4 5 4 2 2 6 2 2 2" xfId="57518" xr:uid="{00000000-0005-0000-0000-0000BFB00000}"/>
    <cellStyle name="Normal 4 5 4 2 2 6 2 3" xfId="43956" xr:uid="{00000000-0005-0000-0000-0000C0B00000}"/>
    <cellStyle name="Normal 4 5 4 2 2 6 3" xfId="23604" xr:uid="{00000000-0005-0000-0000-0000C1B00000}"/>
    <cellStyle name="Normal 4 5 4 2 2 6 3 2" xfId="50737" xr:uid="{00000000-0005-0000-0000-0000C2B00000}"/>
    <cellStyle name="Normal 4 5 4 2 2 6 4" xfId="37175" xr:uid="{00000000-0005-0000-0000-0000C3B00000}"/>
    <cellStyle name="Normal 4 5 4 2 2 7" xfId="13428" xr:uid="{00000000-0005-0000-0000-0000C4B00000}"/>
    <cellStyle name="Normal 4 5 4 2 2 7 2" xfId="26996" xr:uid="{00000000-0005-0000-0000-0000C5B00000}"/>
    <cellStyle name="Normal 4 5 4 2 2 7 2 2" xfId="54129" xr:uid="{00000000-0005-0000-0000-0000C6B00000}"/>
    <cellStyle name="Normal 4 5 4 2 2 7 3" xfId="40567" xr:uid="{00000000-0005-0000-0000-0000C7B00000}"/>
    <cellStyle name="Normal 4 5 4 2 2 8" xfId="20215" xr:uid="{00000000-0005-0000-0000-0000C8B00000}"/>
    <cellStyle name="Normal 4 5 4 2 2 8 2" xfId="47348" xr:uid="{00000000-0005-0000-0000-0000C9B00000}"/>
    <cellStyle name="Normal 4 5 4 2 2 9" xfId="33786" xr:uid="{00000000-0005-0000-0000-0000CAB00000}"/>
    <cellStyle name="Normal 4 5 4 2 3" xfId="6503" xr:uid="{00000000-0005-0000-0000-0000CBB00000}"/>
    <cellStyle name="Normal 4 5 4 2 3 2" xfId="6504" xr:uid="{00000000-0005-0000-0000-0000CCB00000}"/>
    <cellStyle name="Normal 4 5 4 2 3 2 2" xfId="10036" xr:uid="{00000000-0005-0000-0000-0000CDB00000}"/>
    <cellStyle name="Normal 4 5 4 2 3 2 2 2" xfId="16826" xr:uid="{00000000-0005-0000-0000-0000CEB00000}"/>
    <cellStyle name="Normal 4 5 4 2 3 2 2 2 2" xfId="30394" xr:uid="{00000000-0005-0000-0000-0000CFB00000}"/>
    <cellStyle name="Normal 4 5 4 2 3 2 2 2 2 2" xfId="57527" xr:uid="{00000000-0005-0000-0000-0000D0B00000}"/>
    <cellStyle name="Normal 4 5 4 2 3 2 2 2 3" xfId="43965" xr:uid="{00000000-0005-0000-0000-0000D1B00000}"/>
    <cellStyle name="Normal 4 5 4 2 3 2 2 3" xfId="23613" xr:uid="{00000000-0005-0000-0000-0000D2B00000}"/>
    <cellStyle name="Normal 4 5 4 2 3 2 2 3 2" xfId="50746" xr:uid="{00000000-0005-0000-0000-0000D3B00000}"/>
    <cellStyle name="Normal 4 5 4 2 3 2 2 4" xfId="37184" xr:uid="{00000000-0005-0000-0000-0000D4B00000}"/>
    <cellStyle name="Normal 4 5 4 2 3 2 3" xfId="13437" xr:uid="{00000000-0005-0000-0000-0000D5B00000}"/>
    <cellStyle name="Normal 4 5 4 2 3 2 3 2" xfId="27005" xr:uid="{00000000-0005-0000-0000-0000D6B00000}"/>
    <cellStyle name="Normal 4 5 4 2 3 2 3 2 2" xfId="54138" xr:uid="{00000000-0005-0000-0000-0000D7B00000}"/>
    <cellStyle name="Normal 4 5 4 2 3 2 3 3" xfId="40576" xr:uid="{00000000-0005-0000-0000-0000D8B00000}"/>
    <cellStyle name="Normal 4 5 4 2 3 2 4" xfId="20224" xr:uid="{00000000-0005-0000-0000-0000D9B00000}"/>
    <cellStyle name="Normal 4 5 4 2 3 2 4 2" xfId="47357" xr:uid="{00000000-0005-0000-0000-0000DAB00000}"/>
    <cellStyle name="Normal 4 5 4 2 3 2 5" xfId="33795" xr:uid="{00000000-0005-0000-0000-0000DBB00000}"/>
    <cellStyle name="Normal 4 5 4 2 3 3" xfId="6505" xr:uid="{00000000-0005-0000-0000-0000DCB00000}"/>
    <cellStyle name="Normal 4 5 4 2 3 3 2" xfId="10037" xr:uid="{00000000-0005-0000-0000-0000DDB00000}"/>
    <cellStyle name="Normal 4 5 4 2 3 3 2 2" xfId="16827" xr:uid="{00000000-0005-0000-0000-0000DEB00000}"/>
    <cellStyle name="Normal 4 5 4 2 3 3 2 2 2" xfId="30395" xr:uid="{00000000-0005-0000-0000-0000DFB00000}"/>
    <cellStyle name="Normal 4 5 4 2 3 3 2 2 2 2" xfId="57528" xr:uid="{00000000-0005-0000-0000-0000E0B00000}"/>
    <cellStyle name="Normal 4 5 4 2 3 3 2 2 3" xfId="43966" xr:uid="{00000000-0005-0000-0000-0000E1B00000}"/>
    <cellStyle name="Normal 4 5 4 2 3 3 2 3" xfId="23614" xr:uid="{00000000-0005-0000-0000-0000E2B00000}"/>
    <cellStyle name="Normal 4 5 4 2 3 3 2 3 2" xfId="50747" xr:uid="{00000000-0005-0000-0000-0000E3B00000}"/>
    <cellStyle name="Normal 4 5 4 2 3 3 2 4" xfId="37185" xr:uid="{00000000-0005-0000-0000-0000E4B00000}"/>
    <cellStyle name="Normal 4 5 4 2 3 3 3" xfId="13438" xr:uid="{00000000-0005-0000-0000-0000E5B00000}"/>
    <cellStyle name="Normal 4 5 4 2 3 3 3 2" xfId="27006" xr:uid="{00000000-0005-0000-0000-0000E6B00000}"/>
    <cellStyle name="Normal 4 5 4 2 3 3 3 2 2" xfId="54139" xr:uid="{00000000-0005-0000-0000-0000E7B00000}"/>
    <cellStyle name="Normal 4 5 4 2 3 3 3 3" xfId="40577" xr:uid="{00000000-0005-0000-0000-0000E8B00000}"/>
    <cellStyle name="Normal 4 5 4 2 3 3 4" xfId="20225" xr:uid="{00000000-0005-0000-0000-0000E9B00000}"/>
    <cellStyle name="Normal 4 5 4 2 3 3 4 2" xfId="47358" xr:uid="{00000000-0005-0000-0000-0000EAB00000}"/>
    <cellStyle name="Normal 4 5 4 2 3 3 5" xfId="33796" xr:uid="{00000000-0005-0000-0000-0000EBB00000}"/>
    <cellStyle name="Normal 4 5 4 2 3 4" xfId="10035" xr:uid="{00000000-0005-0000-0000-0000ECB00000}"/>
    <cellStyle name="Normal 4 5 4 2 3 4 2" xfId="16825" xr:uid="{00000000-0005-0000-0000-0000EDB00000}"/>
    <cellStyle name="Normal 4 5 4 2 3 4 2 2" xfId="30393" xr:uid="{00000000-0005-0000-0000-0000EEB00000}"/>
    <cellStyle name="Normal 4 5 4 2 3 4 2 2 2" xfId="57526" xr:uid="{00000000-0005-0000-0000-0000EFB00000}"/>
    <cellStyle name="Normal 4 5 4 2 3 4 2 3" xfId="43964" xr:uid="{00000000-0005-0000-0000-0000F0B00000}"/>
    <cellStyle name="Normal 4 5 4 2 3 4 3" xfId="23612" xr:uid="{00000000-0005-0000-0000-0000F1B00000}"/>
    <cellStyle name="Normal 4 5 4 2 3 4 3 2" xfId="50745" xr:uid="{00000000-0005-0000-0000-0000F2B00000}"/>
    <cellStyle name="Normal 4 5 4 2 3 4 4" xfId="37183" xr:uid="{00000000-0005-0000-0000-0000F3B00000}"/>
    <cellStyle name="Normal 4 5 4 2 3 5" xfId="13436" xr:uid="{00000000-0005-0000-0000-0000F4B00000}"/>
    <cellStyle name="Normal 4 5 4 2 3 5 2" xfId="27004" xr:uid="{00000000-0005-0000-0000-0000F5B00000}"/>
    <cellStyle name="Normal 4 5 4 2 3 5 2 2" xfId="54137" xr:uid="{00000000-0005-0000-0000-0000F6B00000}"/>
    <cellStyle name="Normal 4 5 4 2 3 5 3" xfId="40575" xr:uid="{00000000-0005-0000-0000-0000F7B00000}"/>
    <cellStyle name="Normal 4 5 4 2 3 6" xfId="20223" xr:uid="{00000000-0005-0000-0000-0000F8B00000}"/>
    <cellStyle name="Normal 4 5 4 2 3 6 2" xfId="47356" xr:uid="{00000000-0005-0000-0000-0000F9B00000}"/>
    <cellStyle name="Normal 4 5 4 2 3 7" xfId="33794" xr:uid="{00000000-0005-0000-0000-0000FAB00000}"/>
    <cellStyle name="Normal 4 5 4 2 4" xfId="6506" xr:uid="{00000000-0005-0000-0000-0000FBB00000}"/>
    <cellStyle name="Normal 4 5 4 2 4 2" xfId="6507" xr:uid="{00000000-0005-0000-0000-0000FCB00000}"/>
    <cellStyle name="Normal 4 5 4 2 4 2 2" xfId="10039" xr:uid="{00000000-0005-0000-0000-0000FDB00000}"/>
    <cellStyle name="Normal 4 5 4 2 4 2 2 2" xfId="16829" xr:uid="{00000000-0005-0000-0000-0000FEB00000}"/>
    <cellStyle name="Normal 4 5 4 2 4 2 2 2 2" xfId="30397" xr:uid="{00000000-0005-0000-0000-0000FFB00000}"/>
    <cellStyle name="Normal 4 5 4 2 4 2 2 2 2 2" xfId="57530" xr:uid="{00000000-0005-0000-0000-000000B10000}"/>
    <cellStyle name="Normal 4 5 4 2 4 2 2 2 3" xfId="43968" xr:uid="{00000000-0005-0000-0000-000001B10000}"/>
    <cellStyle name="Normal 4 5 4 2 4 2 2 3" xfId="23616" xr:uid="{00000000-0005-0000-0000-000002B10000}"/>
    <cellStyle name="Normal 4 5 4 2 4 2 2 3 2" xfId="50749" xr:uid="{00000000-0005-0000-0000-000003B10000}"/>
    <cellStyle name="Normal 4 5 4 2 4 2 2 4" xfId="37187" xr:uid="{00000000-0005-0000-0000-000004B10000}"/>
    <cellStyle name="Normal 4 5 4 2 4 2 3" xfId="13440" xr:uid="{00000000-0005-0000-0000-000005B10000}"/>
    <cellStyle name="Normal 4 5 4 2 4 2 3 2" xfId="27008" xr:uid="{00000000-0005-0000-0000-000006B10000}"/>
    <cellStyle name="Normal 4 5 4 2 4 2 3 2 2" xfId="54141" xr:uid="{00000000-0005-0000-0000-000007B10000}"/>
    <cellStyle name="Normal 4 5 4 2 4 2 3 3" xfId="40579" xr:uid="{00000000-0005-0000-0000-000008B10000}"/>
    <cellStyle name="Normal 4 5 4 2 4 2 4" xfId="20227" xr:uid="{00000000-0005-0000-0000-000009B10000}"/>
    <cellStyle name="Normal 4 5 4 2 4 2 4 2" xfId="47360" xr:uid="{00000000-0005-0000-0000-00000AB10000}"/>
    <cellStyle name="Normal 4 5 4 2 4 2 5" xfId="33798" xr:uid="{00000000-0005-0000-0000-00000BB10000}"/>
    <cellStyle name="Normal 4 5 4 2 4 3" xfId="10038" xr:uid="{00000000-0005-0000-0000-00000CB10000}"/>
    <cellStyle name="Normal 4 5 4 2 4 3 2" xfId="16828" xr:uid="{00000000-0005-0000-0000-00000DB10000}"/>
    <cellStyle name="Normal 4 5 4 2 4 3 2 2" xfId="30396" xr:uid="{00000000-0005-0000-0000-00000EB10000}"/>
    <cellStyle name="Normal 4 5 4 2 4 3 2 2 2" xfId="57529" xr:uid="{00000000-0005-0000-0000-00000FB10000}"/>
    <cellStyle name="Normal 4 5 4 2 4 3 2 3" xfId="43967" xr:uid="{00000000-0005-0000-0000-000010B10000}"/>
    <cellStyle name="Normal 4 5 4 2 4 3 3" xfId="23615" xr:uid="{00000000-0005-0000-0000-000011B10000}"/>
    <cellStyle name="Normal 4 5 4 2 4 3 3 2" xfId="50748" xr:uid="{00000000-0005-0000-0000-000012B10000}"/>
    <cellStyle name="Normal 4 5 4 2 4 3 4" xfId="37186" xr:uid="{00000000-0005-0000-0000-000013B10000}"/>
    <cellStyle name="Normal 4 5 4 2 4 4" xfId="13439" xr:uid="{00000000-0005-0000-0000-000014B10000}"/>
    <cellStyle name="Normal 4 5 4 2 4 4 2" xfId="27007" xr:uid="{00000000-0005-0000-0000-000015B10000}"/>
    <cellStyle name="Normal 4 5 4 2 4 4 2 2" xfId="54140" xr:uid="{00000000-0005-0000-0000-000016B10000}"/>
    <cellStyle name="Normal 4 5 4 2 4 4 3" xfId="40578" xr:uid="{00000000-0005-0000-0000-000017B10000}"/>
    <cellStyle name="Normal 4 5 4 2 4 5" xfId="20226" xr:uid="{00000000-0005-0000-0000-000018B10000}"/>
    <cellStyle name="Normal 4 5 4 2 4 5 2" xfId="47359" xr:uid="{00000000-0005-0000-0000-000019B10000}"/>
    <cellStyle name="Normal 4 5 4 2 4 6" xfId="33797" xr:uid="{00000000-0005-0000-0000-00001AB10000}"/>
    <cellStyle name="Normal 4 5 4 2 5" xfId="6508" xr:uid="{00000000-0005-0000-0000-00001BB10000}"/>
    <cellStyle name="Normal 4 5 4 2 5 2" xfId="10040" xr:uid="{00000000-0005-0000-0000-00001CB10000}"/>
    <cellStyle name="Normal 4 5 4 2 5 2 2" xfId="16830" xr:uid="{00000000-0005-0000-0000-00001DB10000}"/>
    <cellStyle name="Normal 4 5 4 2 5 2 2 2" xfId="30398" xr:uid="{00000000-0005-0000-0000-00001EB10000}"/>
    <cellStyle name="Normal 4 5 4 2 5 2 2 2 2" xfId="57531" xr:uid="{00000000-0005-0000-0000-00001FB10000}"/>
    <cellStyle name="Normal 4 5 4 2 5 2 2 3" xfId="43969" xr:uid="{00000000-0005-0000-0000-000020B10000}"/>
    <cellStyle name="Normal 4 5 4 2 5 2 3" xfId="23617" xr:uid="{00000000-0005-0000-0000-000021B10000}"/>
    <cellStyle name="Normal 4 5 4 2 5 2 3 2" xfId="50750" xr:uid="{00000000-0005-0000-0000-000022B10000}"/>
    <cellStyle name="Normal 4 5 4 2 5 2 4" xfId="37188" xr:uid="{00000000-0005-0000-0000-000023B10000}"/>
    <cellStyle name="Normal 4 5 4 2 5 3" xfId="13441" xr:uid="{00000000-0005-0000-0000-000024B10000}"/>
    <cellStyle name="Normal 4 5 4 2 5 3 2" xfId="27009" xr:uid="{00000000-0005-0000-0000-000025B10000}"/>
    <cellStyle name="Normal 4 5 4 2 5 3 2 2" xfId="54142" xr:uid="{00000000-0005-0000-0000-000026B10000}"/>
    <cellStyle name="Normal 4 5 4 2 5 3 3" xfId="40580" xr:uid="{00000000-0005-0000-0000-000027B10000}"/>
    <cellStyle name="Normal 4 5 4 2 5 4" xfId="20228" xr:uid="{00000000-0005-0000-0000-000028B10000}"/>
    <cellStyle name="Normal 4 5 4 2 5 4 2" xfId="47361" xr:uid="{00000000-0005-0000-0000-000029B10000}"/>
    <cellStyle name="Normal 4 5 4 2 5 5" xfId="33799" xr:uid="{00000000-0005-0000-0000-00002AB10000}"/>
    <cellStyle name="Normal 4 5 4 2 6" xfId="6509" xr:uid="{00000000-0005-0000-0000-00002BB10000}"/>
    <cellStyle name="Normal 4 5 4 2 6 2" xfId="10041" xr:uid="{00000000-0005-0000-0000-00002CB10000}"/>
    <cellStyle name="Normal 4 5 4 2 6 2 2" xfId="16831" xr:uid="{00000000-0005-0000-0000-00002DB10000}"/>
    <cellStyle name="Normal 4 5 4 2 6 2 2 2" xfId="30399" xr:uid="{00000000-0005-0000-0000-00002EB10000}"/>
    <cellStyle name="Normal 4 5 4 2 6 2 2 2 2" xfId="57532" xr:uid="{00000000-0005-0000-0000-00002FB10000}"/>
    <cellStyle name="Normal 4 5 4 2 6 2 2 3" xfId="43970" xr:uid="{00000000-0005-0000-0000-000030B10000}"/>
    <cellStyle name="Normal 4 5 4 2 6 2 3" xfId="23618" xr:uid="{00000000-0005-0000-0000-000031B10000}"/>
    <cellStyle name="Normal 4 5 4 2 6 2 3 2" xfId="50751" xr:uid="{00000000-0005-0000-0000-000032B10000}"/>
    <cellStyle name="Normal 4 5 4 2 6 2 4" xfId="37189" xr:uid="{00000000-0005-0000-0000-000033B10000}"/>
    <cellStyle name="Normal 4 5 4 2 6 3" xfId="13442" xr:uid="{00000000-0005-0000-0000-000034B10000}"/>
    <cellStyle name="Normal 4 5 4 2 6 3 2" xfId="27010" xr:uid="{00000000-0005-0000-0000-000035B10000}"/>
    <cellStyle name="Normal 4 5 4 2 6 3 2 2" xfId="54143" xr:uid="{00000000-0005-0000-0000-000036B10000}"/>
    <cellStyle name="Normal 4 5 4 2 6 3 3" xfId="40581" xr:uid="{00000000-0005-0000-0000-000037B10000}"/>
    <cellStyle name="Normal 4 5 4 2 6 4" xfId="20229" xr:uid="{00000000-0005-0000-0000-000038B10000}"/>
    <cellStyle name="Normal 4 5 4 2 6 4 2" xfId="47362" xr:uid="{00000000-0005-0000-0000-000039B10000}"/>
    <cellStyle name="Normal 4 5 4 2 6 5" xfId="33800" xr:uid="{00000000-0005-0000-0000-00003AB10000}"/>
    <cellStyle name="Normal 4 5 4 2 7" xfId="10026" xr:uid="{00000000-0005-0000-0000-00003BB10000}"/>
    <cellStyle name="Normal 4 5 4 2 7 2" xfId="16816" xr:uid="{00000000-0005-0000-0000-00003CB10000}"/>
    <cellStyle name="Normal 4 5 4 2 7 2 2" xfId="30384" xr:uid="{00000000-0005-0000-0000-00003DB10000}"/>
    <cellStyle name="Normal 4 5 4 2 7 2 2 2" xfId="57517" xr:uid="{00000000-0005-0000-0000-00003EB10000}"/>
    <cellStyle name="Normal 4 5 4 2 7 2 3" xfId="43955" xr:uid="{00000000-0005-0000-0000-00003FB10000}"/>
    <cellStyle name="Normal 4 5 4 2 7 3" xfId="23603" xr:uid="{00000000-0005-0000-0000-000040B10000}"/>
    <cellStyle name="Normal 4 5 4 2 7 3 2" xfId="50736" xr:uid="{00000000-0005-0000-0000-000041B10000}"/>
    <cellStyle name="Normal 4 5 4 2 7 4" xfId="37174" xr:uid="{00000000-0005-0000-0000-000042B10000}"/>
    <cellStyle name="Normal 4 5 4 2 8" xfId="13427" xr:uid="{00000000-0005-0000-0000-000043B10000}"/>
    <cellStyle name="Normal 4 5 4 2 8 2" xfId="26995" xr:uid="{00000000-0005-0000-0000-000044B10000}"/>
    <cellStyle name="Normal 4 5 4 2 8 2 2" xfId="54128" xr:uid="{00000000-0005-0000-0000-000045B10000}"/>
    <cellStyle name="Normal 4 5 4 2 8 3" xfId="40566" xr:uid="{00000000-0005-0000-0000-000046B10000}"/>
    <cellStyle name="Normal 4 5 4 2 9" xfId="20214" xr:uid="{00000000-0005-0000-0000-000047B10000}"/>
    <cellStyle name="Normal 4 5 4 2 9 2" xfId="47347" xr:uid="{00000000-0005-0000-0000-000048B10000}"/>
    <cellStyle name="Normal 4 5 4 3" xfId="6510" xr:uid="{00000000-0005-0000-0000-000049B10000}"/>
    <cellStyle name="Normal 4 5 4 3 2" xfId="6511" xr:uid="{00000000-0005-0000-0000-00004AB10000}"/>
    <cellStyle name="Normal 4 5 4 3 2 2" xfId="6512" xr:uid="{00000000-0005-0000-0000-00004BB10000}"/>
    <cellStyle name="Normal 4 5 4 3 2 2 2" xfId="10044" xr:uid="{00000000-0005-0000-0000-00004CB10000}"/>
    <cellStyle name="Normal 4 5 4 3 2 2 2 2" xfId="16834" xr:uid="{00000000-0005-0000-0000-00004DB10000}"/>
    <cellStyle name="Normal 4 5 4 3 2 2 2 2 2" xfId="30402" xr:uid="{00000000-0005-0000-0000-00004EB10000}"/>
    <cellStyle name="Normal 4 5 4 3 2 2 2 2 2 2" xfId="57535" xr:uid="{00000000-0005-0000-0000-00004FB10000}"/>
    <cellStyle name="Normal 4 5 4 3 2 2 2 2 3" xfId="43973" xr:uid="{00000000-0005-0000-0000-000050B10000}"/>
    <cellStyle name="Normal 4 5 4 3 2 2 2 3" xfId="23621" xr:uid="{00000000-0005-0000-0000-000051B10000}"/>
    <cellStyle name="Normal 4 5 4 3 2 2 2 3 2" xfId="50754" xr:uid="{00000000-0005-0000-0000-000052B10000}"/>
    <cellStyle name="Normal 4 5 4 3 2 2 2 4" xfId="37192" xr:uid="{00000000-0005-0000-0000-000053B10000}"/>
    <cellStyle name="Normal 4 5 4 3 2 2 3" xfId="13445" xr:uid="{00000000-0005-0000-0000-000054B10000}"/>
    <cellStyle name="Normal 4 5 4 3 2 2 3 2" xfId="27013" xr:uid="{00000000-0005-0000-0000-000055B10000}"/>
    <cellStyle name="Normal 4 5 4 3 2 2 3 2 2" xfId="54146" xr:uid="{00000000-0005-0000-0000-000056B10000}"/>
    <cellStyle name="Normal 4 5 4 3 2 2 3 3" xfId="40584" xr:uid="{00000000-0005-0000-0000-000057B10000}"/>
    <cellStyle name="Normal 4 5 4 3 2 2 4" xfId="20232" xr:uid="{00000000-0005-0000-0000-000058B10000}"/>
    <cellStyle name="Normal 4 5 4 3 2 2 4 2" xfId="47365" xr:uid="{00000000-0005-0000-0000-000059B10000}"/>
    <cellStyle name="Normal 4 5 4 3 2 2 5" xfId="33803" xr:uid="{00000000-0005-0000-0000-00005AB10000}"/>
    <cellStyle name="Normal 4 5 4 3 2 3" xfId="6513" xr:uid="{00000000-0005-0000-0000-00005BB10000}"/>
    <cellStyle name="Normal 4 5 4 3 2 3 2" xfId="10045" xr:uid="{00000000-0005-0000-0000-00005CB10000}"/>
    <cellStyle name="Normal 4 5 4 3 2 3 2 2" xfId="16835" xr:uid="{00000000-0005-0000-0000-00005DB10000}"/>
    <cellStyle name="Normal 4 5 4 3 2 3 2 2 2" xfId="30403" xr:uid="{00000000-0005-0000-0000-00005EB10000}"/>
    <cellStyle name="Normal 4 5 4 3 2 3 2 2 2 2" xfId="57536" xr:uid="{00000000-0005-0000-0000-00005FB10000}"/>
    <cellStyle name="Normal 4 5 4 3 2 3 2 2 3" xfId="43974" xr:uid="{00000000-0005-0000-0000-000060B10000}"/>
    <cellStyle name="Normal 4 5 4 3 2 3 2 3" xfId="23622" xr:uid="{00000000-0005-0000-0000-000061B10000}"/>
    <cellStyle name="Normal 4 5 4 3 2 3 2 3 2" xfId="50755" xr:uid="{00000000-0005-0000-0000-000062B10000}"/>
    <cellStyle name="Normal 4 5 4 3 2 3 2 4" xfId="37193" xr:uid="{00000000-0005-0000-0000-000063B10000}"/>
    <cellStyle name="Normal 4 5 4 3 2 3 3" xfId="13446" xr:uid="{00000000-0005-0000-0000-000064B10000}"/>
    <cellStyle name="Normal 4 5 4 3 2 3 3 2" xfId="27014" xr:uid="{00000000-0005-0000-0000-000065B10000}"/>
    <cellStyle name="Normal 4 5 4 3 2 3 3 2 2" xfId="54147" xr:uid="{00000000-0005-0000-0000-000066B10000}"/>
    <cellStyle name="Normal 4 5 4 3 2 3 3 3" xfId="40585" xr:uid="{00000000-0005-0000-0000-000067B10000}"/>
    <cellStyle name="Normal 4 5 4 3 2 3 4" xfId="20233" xr:uid="{00000000-0005-0000-0000-000068B10000}"/>
    <cellStyle name="Normal 4 5 4 3 2 3 4 2" xfId="47366" xr:uid="{00000000-0005-0000-0000-000069B10000}"/>
    <cellStyle name="Normal 4 5 4 3 2 3 5" xfId="33804" xr:uid="{00000000-0005-0000-0000-00006AB10000}"/>
    <cellStyle name="Normal 4 5 4 3 2 4" xfId="10043" xr:uid="{00000000-0005-0000-0000-00006BB10000}"/>
    <cellStyle name="Normal 4 5 4 3 2 4 2" xfId="16833" xr:uid="{00000000-0005-0000-0000-00006CB10000}"/>
    <cellStyle name="Normal 4 5 4 3 2 4 2 2" xfId="30401" xr:uid="{00000000-0005-0000-0000-00006DB10000}"/>
    <cellStyle name="Normal 4 5 4 3 2 4 2 2 2" xfId="57534" xr:uid="{00000000-0005-0000-0000-00006EB10000}"/>
    <cellStyle name="Normal 4 5 4 3 2 4 2 3" xfId="43972" xr:uid="{00000000-0005-0000-0000-00006FB10000}"/>
    <cellStyle name="Normal 4 5 4 3 2 4 3" xfId="23620" xr:uid="{00000000-0005-0000-0000-000070B10000}"/>
    <cellStyle name="Normal 4 5 4 3 2 4 3 2" xfId="50753" xr:uid="{00000000-0005-0000-0000-000071B10000}"/>
    <cellStyle name="Normal 4 5 4 3 2 4 4" xfId="37191" xr:uid="{00000000-0005-0000-0000-000072B10000}"/>
    <cellStyle name="Normal 4 5 4 3 2 5" xfId="13444" xr:uid="{00000000-0005-0000-0000-000073B10000}"/>
    <cellStyle name="Normal 4 5 4 3 2 5 2" xfId="27012" xr:uid="{00000000-0005-0000-0000-000074B10000}"/>
    <cellStyle name="Normal 4 5 4 3 2 5 2 2" xfId="54145" xr:uid="{00000000-0005-0000-0000-000075B10000}"/>
    <cellStyle name="Normal 4 5 4 3 2 5 3" xfId="40583" xr:uid="{00000000-0005-0000-0000-000076B10000}"/>
    <cellStyle name="Normal 4 5 4 3 2 6" xfId="20231" xr:uid="{00000000-0005-0000-0000-000077B10000}"/>
    <cellStyle name="Normal 4 5 4 3 2 6 2" xfId="47364" xr:uid="{00000000-0005-0000-0000-000078B10000}"/>
    <cellStyle name="Normal 4 5 4 3 2 7" xfId="33802" xr:uid="{00000000-0005-0000-0000-000079B10000}"/>
    <cellStyle name="Normal 4 5 4 3 3" xfId="6514" xr:uid="{00000000-0005-0000-0000-00007AB10000}"/>
    <cellStyle name="Normal 4 5 4 3 3 2" xfId="6515" xr:uid="{00000000-0005-0000-0000-00007BB10000}"/>
    <cellStyle name="Normal 4 5 4 3 3 2 2" xfId="10047" xr:uid="{00000000-0005-0000-0000-00007CB10000}"/>
    <cellStyle name="Normal 4 5 4 3 3 2 2 2" xfId="16837" xr:uid="{00000000-0005-0000-0000-00007DB10000}"/>
    <cellStyle name="Normal 4 5 4 3 3 2 2 2 2" xfId="30405" xr:uid="{00000000-0005-0000-0000-00007EB10000}"/>
    <cellStyle name="Normal 4 5 4 3 3 2 2 2 2 2" xfId="57538" xr:uid="{00000000-0005-0000-0000-00007FB10000}"/>
    <cellStyle name="Normal 4 5 4 3 3 2 2 2 3" xfId="43976" xr:uid="{00000000-0005-0000-0000-000080B10000}"/>
    <cellStyle name="Normal 4 5 4 3 3 2 2 3" xfId="23624" xr:uid="{00000000-0005-0000-0000-000081B10000}"/>
    <cellStyle name="Normal 4 5 4 3 3 2 2 3 2" xfId="50757" xr:uid="{00000000-0005-0000-0000-000082B10000}"/>
    <cellStyle name="Normal 4 5 4 3 3 2 2 4" xfId="37195" xr:uid="{00000000-0005-0000-0000-000083B10000}"/>
    <cellStyle name="Normal 4 5 4 3 3 2 3" xfId="13448" xr:uid="{00000000-0005-0000-0000-000084B10000}"/>
    <cellStyle name="Normal 4 5 4 3 3 2 3 2" xfId="27016" xr:uid="{00000000-0005-0000-0000-000085B10000}"/>
    <cellStyle name="Normal 4 5 4 3 3 2 3 2 2" xfId="54149" xr:uid="{00000000-0005-0000-0000-000086B10000}"/>
    <cellStyle name="Normal 4 5 4 3 3 2 3 3" xfId="40587" xr:uid="{00000000-0005-0000-0000-000087B10000}"/>
    <cellStyle name="Normal 4 5 4 3 3 2 4" xfId="20235" xr:uid="{00000000-0005-0000-0000-000088B10000}"/>
    <cellStyle name="Normal 4 5 4 3 3 2 4 2" xfId="47368" xr:uid="{00000000-0005-0000-0000-000089B10000}"/>
    <cellStyle name="Normal 4 5 4 3 3 2 5" xfId="33806" xr:uid="{00000000-0005-0000-0000-00008AB10000}"/>
    <cellStyle name="Normal 4 5 4 3 3 3" xfId="10046" xr:uid="{00000000-0005-0000-0000-00008BB10000}"/>
    <cellStyle name="Normal 4 5 4 3 3 3 2" xfId="16836" xr:uid="{00000000-0005-0000-0000-00008CB10000}"/>
    <cellStyle name="Normal 4 5 4 3 3 3 2 2" xfId="30404" xr:uid="{00000000-0005-0000-0000-00008DB10000}"/>
    <cellStyle name="Normal 4 5 4 3 3 3 2 2 2" xfId="57537" xr:uid="{00000000-0005-0000-0000-00008EB10000}"/>
    <cellStyle name="Normal 4 5 4 3 3 3 2 3" xfId="43975" xr:uid="{00000000-0005-0000-0000-00008FB10000}"/>
    <cellStyle name="Normal 4 5 4 3 3 3 3" xfId="23623" xr:uid="{00000000-0005-0000-0000-000090B10000}"/>
    <cellStyle name="Normal 4 5 4 3 3 3 3 2" xfId="50756" xr:uid="{00000000-0005-0000-0000-000091B10000}"/>
    <cellStyle name="Normal 4 5 4 3 3 3 4" xfId="37194" xr:uid="{00000000-0005-0000-0000-000092B10000}"/>
    <cellStyle name="Normal 4 5 4 3 3 4" xfId="13447" xr:uid="{00000000-0005-0000-0000-000093B10000}"/>
    <cellStyle name="Normal 4 5 4 3 3 4 2" xfId="27015" xr:uid="{00000000-0005-0000-0000-000094B10000}"/>
    <cellStyle name="Normal 4 5 4 3 3 4 2 2" xfId="54148" xr:uid="{00000000-0005-0000-0000-000095B10000}"/>
    <cellStyle name="Normal 4 5 4 3 3 4 3" xfId="40586" xr:uid="{00000000-0005-0000-0000-000096B10000}"/>
    <cellStyle name="Normal 4 5 4 3 3 5" xfId="20234" xr:uid="{00000000-0005-0000-0000-000097B10000}"/>
    <cellStyle name="Normal 4 5 4 3 3 5 2" xfId="47367" xr:uid="{00000000-0005-0000-0000-000098B10000}"/>
    <cellStyle name="Normal 4 5 4 3 3 6" xfId="33805" xr:uid="{00000000-0005-0000-0000-000099B10000}"/>
    <cellStyle name="Normal 4 5 4 3 4" xfId="6516" xr:uid="{00000000-0005-0000-0000-00009AB10000}"/>
    <cellStyle name="Normal 4 5 4 3 4 2" xfId="10048" xr:uid="{00000000-0005-0000-0000-00009BB10000}"/>
    <cellStyle name="Normal 4 5 4 3 4 2 2" xfId="16838" xr:uid="{00000000-0005-0000-0000-00009CB10000}"/>
    <cellStyle name="Normal 4 5 4 3 4 2 2 2" xfId="30406" xr:uid="{00000000-0005-0000-0000-00009DB10000}"/>
    <cellStyle name="Normal 4 5 4 3 4 2 2 2 2" xfId="57539" xr:uid="{00000000-0005-0000-0000-00009EB10000}"/>
    <cellStyle name="Normal 4 5 4 3 4 2 2 3" xfId="43977" xr:uid="{00000000-0005-0000-0000-00009FB10000}"/>
    <cellStyle name="Normal 4 5 4 3 4 2 3" xfId="23625" xr:uid="{00000000-0005-0000-0000-0000A0B10000}"/>
    <cellStyle name="Normal 4 5 4 3 4 2 3 2" xfId="50758" xr:uid="{00000000-0005-0000-0000-0000A1B10000}"/>
    <cellStyle name="Normal 4 5 4 3 4 2 4" xfId="37196" xr:uid="{00000000-0005-0000-0000-0000A2B10000}"/>
    <cellStyle name="Normal 4 5 4 3 4 3" xfId="13449" xr:uid="{00000000-0005-0000-0000-0000A3B10000}"/>
    <cellStyle name="Normal 4 5 4 3 4 3 2" xfId="27017" xr:uid="{00000000-0005-0000-0000-0000A4B10000}"/>
    <cellStyle name="Normal 4 5 4 3 4 3 2 2" xfId="54150" xr:uid="{00000000-0005-0000-0000-0000A5B10000}"/>
    <cellStyle name="Normal 4 5 4 3 4 3 3" xfId="40588" xr:uid="{00000000-0005-0000-0000-0000A6B10000}"/>
    <cellStyle name="Normal 4 5 4 3 4 4" xfId="20236" xr:uid="{00000000-0005-0000-0000-0000A7B10000}"/>
    <cellStyle name="Normal 4 5 4 3 4 4 2" xfId="47369" xr:uid="{00000000-0005-0000-0000-0000A8B10000}"/>
    <cellStyle name="Normal 4 5 4 3 4 5" xfId="33807" xr:uid="{00000000-0005-0000-0000-0000A9B10000}"/>
    <cellStyle name="Normal 4 5 4 3 5" xfId="6517" xr:uid="{00000000-0005-0000-0000-0000AAB10000}"/>
    <cellStyle name="Normal 4 5 4 3 5 2" xfId="10049" xr:uid="{00000000-0005-0000-0000-0000ABB10000}"/>
    <cellStyle name="Normal 4 5 4 3 5 2 2" xfId="16839" xr:uid="{00000000-0005-0000-0000-0000ACB10000}"/>
    <cellStyle name="Normal 4 5 4 3 5 2 2 2" xfId="30407" xr:uid="{00000000-0005-0000-0000-0000ADB10000}"/>
    <cellStyle name="Normal 4 5 4 3 5 2 2 2 2" xfId="57540" xr:uid="{00000000-0005-0000-0000-0000AEB10000}"/>
    <cellStyle name="Normal 4 5 4 3 5 2 2 3" xfId="43978" xr:uid="{00000000-0005-0000-0000-0000AFB10000}"/>
    <cellStyle name="Normal 4 5 4 3 5 2 3" xfId="23626" xr:uid="{00000000-0005-0000-0000-0000B0B10000}"/>
    <cellStyle name="Normal 4 5 4 3 5 2 3 2" xfId="50759" xr:uid="{00000000-0005-0000-0000-0000B1B10000}"/>
    <cellStyle name="Normal 4 5 4 3 5 2 4" xfId="37197" xr:uid="{00000000-0005-0000-0000-0000B2B10000}"/>
    <cellStyle name="Normal 4 5 4 3 5 3" xfId="13450" xr:uid="{00000000-0005-0000-0000-0000B3B10000}"/>
    <cellStyle name="Normal 4 5 4 3 5 3 2" xfId="27018" xr:uid="{00000000-0005-0000-0000-0000B4B10000}"/>
    <cellStyle name="Normal 4 5 4 3 5 3 2 2" xfId="54151" xr:uid="{00000000-0005-0000-0000-0000B5B10000}"/>
    <cellStyle name="Normal 4 5 4 3 5 3 3" xfId="40589" xr:uid="{00000000-0005-0000-0000-0000B6B10000}"/>
    <cellStyle name="Normal 4 5 4 3 5 4" xfId="20237" xr:uid="{00000000-0005-0000-0000-0000B7B10000}"/>
    <cellStyle name="Normal 4 5 4 3 5 4 2" xfId="47370" xr:uid="{00000000-0005-0000-0000-0000B8B10000}"/>
    <cellStyle name="Normal 4 5 4 3 5 5" xfId="33808" xr:uid="{00000000-0005-0000-0000-0000B9B10000}"/>
    <cellStyle name="Normal 4 5 4 3 6" xfId="10042" xr:uid="{00000000-0005-0000-0000-0000BAB10000}"/>
    <cellStyle name="Normal 4 5 4 3 6 2" xfId="16832" xr:uid="{00000000-0005-0000-0000-0000BBB10000}"/>
    <cellStyle name="Normal 4 5 4 3 6 2 2" xfId="30400" xr:uid="{00000000-0005-0000-0000-0000BCB10000}"/>
    <cellStyle name="Normal 4 5 4 3 6 2 2 2" xfId="57533" xr:uid="{00000000-0005-0000-0000-0000BDB10000}"/>
    <cellStyle name="Normal 4 5 4 3 6 2 3" xfId="43971" xr:uid="{00000000-0005-0000-0000-0000BEB10000}"/>
    <cellStyle name="Normal 4 5 4 3 6 3" xfId="23619" xr:uid="{00000000-0005-0000-0000-0000BFB10000}"/>
    <cellStyle name="Normal 4 5 4 3 6 3 2" xfId="50752" xr:uid="{00000000-0005-0000-0000-0000C0B10000}"/>
    <cellStyle name="Normal 4 5 4 3 6 4" xfId="37190" xr:uid="{00000000-0005-0000-0000-0000C1B10000}"/>
    <cellStyle name="Normal 4 5 4 3 7" xfId="13443" xr:uid="{00000000-0005-0000-0000-0000C2B10000}"/>
    <cellStyle name="Normal 4 5 4 3 7 2" xfId="27011" xr:uid="{00000000-0005-0000-0000-0000C3B10000}"/>
    <cellStyle name="Normal 4 5 4 3 7 2 2" xfId="54144" xr:uid="{00000000-0005-0000-0000-0000C4B10000}"/>
    <cellStyle name="Normal 4 5 4 3 7 3" xfId="40582" xr:uid="{00000000-0005-0000-0000-0000C5B10000}"/>
    <cellStyle name="Normal 4 5 4 3 8" xfId="20230" xr:uid="{00000000-0005-0000-0000-0000C6B10000}"/>
    <cellStyle name="Normal 4 5 4 3 8 2" xfId="47363" xr:uid="{00000000-0005-0000-0000-0000C7B10000}"/>
    <cellStyle name="Normal 4 5 4 3 9" xfId="33801" xr:uid="{00000000-0005-0000-0000-0000C8B10000}"/>
    <cellStyle name="Normal 4 5 4 4" xfId="6518" xr:uid="{00000000-0005-0000-0000-0000C9B10000}"/>
    <cellStyle name="Normal 4 5 4 4 2" xfId="6519" xr:uid="{00000000-0005-0000-0000-0000CAB10000}"/>
    <cellStyle name="Normal 4 5 4 4 2 2" xfId="6520" xr:uid="{00000000-0005-0000-0000-0000CBB10000}"/>
    <cellStyle name="Normal 4 5 4 4 2 2 2" xfId="10052" xr:uid="{00000000-0005-0000-0000-0000CCB10000}"/>
    <cellStyle name="Normal 4 5 4 4 2 2 2 2" xfId="16842" xr:uid="{00000000-0005-0000-0000-0000CDB10000}"/>
    <cellStyle name="Normal 4 5 4 4 2 2 2 2 2" xfId="30410" xr:uid="{00000000-0005-0000-0000-0000CEB10000}"/>
    <cellStyle name="Normal 4 5 4 4 2 2 2 2 2 2" xfId="57543" xr:uid="{00000000-0005-0000-0000-0000CFB10000}"/>
    <cellStyle name="Normal 4 5 4 4 2 2 2 2 3" xfId="43981" xr:uid="{00000000-0005-0000-0000-0000D0B10000}"/>
    <cellStyle name="Normal 4 5 4 4 2 2 2 3" xfId="23629" xr:uid="{00000000-0005-0000-0000-0000D1B10000}"/>
    <cellStyle name="Normal 4 5 4 4 2 2 2 3 2" xfId="50762" xr:uid="{00000000-0005-0000-0000-0000D2B10000}"/>
    <cellStyle name="Normal 4 5 4 4 2 2 2 4" xfId="37200" xr:uid="{00000000-0005-0000-0000-0000D3B10000}"/>
    <cellStyle name="Normal 4 5 4 4 2 2 3" xfId="13453" xr:uid="{00000000-0005-0000-0000-0000D4B10000}"/>
    <cellStyle name="Normal 4 5 4 4 2 2 3 2" xfId="27021" xr:uid="{00000000-0005-0000-0000-0000D5B10000}"/>
    <cellStyle name="Normal 4 5 4 4 2 2 3 2 2" xfId="54154" xr:uid="{00000000-0005-0000-0000-0000D6B10000}"/>
    <cellStyle name="Normal 4 5 4 4 2 2 3 3" xfId="40592" xr:uid="{00000000-0005-0000-0000-0000D7B10000}"/>
    <cellStyle name="Normal 4 5 4 4 2 2 4" xfId="20240" xr:uid="{00000000-0005-0000-0000-0000D8B10000}"/>
    <cellStyle name="Normal 4 5 4 4 2 2 4 2" xfId="47373" xr:uid="{00000000-0005-0000-0000-0000D9B10000}"/>
    <cellStyle name="Normal 4 5 4 4 2 2 5" xfId="33811" xr:uid="{00000000-0005-0000-0000-0000DAB10000}"/>
    <cellStyle name="Normal 4 5 4 4 2 3" xfId="6521" xr:uid="{00000000-0005-0000-0000-0000DBB10000}"/>
    <cellStyle name="Normal 4 5 4 4 2 3 2" xfId="10053" xr:uid="{00000000-0005-0000-0000-0000DCB10000}"/>
    <cellStyle name="Normal 4 5 4 4 2 3 2 2" xfId="16843" xr:uid="{00000000-0005-0000-0000-0000DDB10000}"/>
    <cellStyle name="Normal 4 5 4 4 2 3 2 2 2" xfId="30411" xr:uid="{00000000-0005-0000-0000-0000DEB10000}"/>
    <cellStyle name="Normal 4 5 4 4 2 3 2 2 2 2" xfId="57544" xr:uid="{00000000-0005-0000-0000-0000DFB10000}"/>
    <cellStyle name="Normal 4 5 4 4 2 3 2 2 3" xfId="43982" xr:uid="{00000000-0005-0000-0000-0000E0B10000}"/>
    <cellStyle name="Normal 4 5 4 4 2 3 2 3" xfId="23630" xr:uid="{00000000-0005-0000-0000-0000E1B10000}"/>
    <cellStyle name="Normal 4 5 4 4 2 3 2 3 2" xfId="50763" xr:uid="{00000000-0005-0000-0000-0000E2B10000}"/>
    <cellStyle name="Normal 4 5 4 4 2 3 2 4" xfId="37201" xr:uid="{00000000-0005-0000-0000-0000E3B10000}"/>
    <cellStyle name="Normal 4 5 4 4 2 3 3" xfId="13454" xr:uid="{00000000-0005-0000-0000-0000E4B10000}"/>
    <cellStyle name="Normal 4 5 4 4 2 3 3 2" xfId="27022" xr:uid="{00000000-0005-0000-0000-0000E5B10000}"/>
    <cellStyle name="Normal 4 5 4 4 2 3 3 2 2" xfId="54155" xr:uid="{00000000-0005-0000-0000-0000E6B10000}"/>
    <cellStyle name="Normal 4 5 4 4 2 3 3 3" xfId="40593" xr:uid="{00000000-0005-0000-0000-0000E7B10000}"/>
    <cellStyle name="Normal 4 5 4 4 2 3 4" xfId="20241" xr:uid="{00000000-0005-0000-0000-0000E8B10000}"/>
    <cellStyle name="Normal 4 5 4 4 2 3 4 2" xfId="47374" xr:uid="{00000000-0005-0000-0000-0000E9B10000}"/>
    <cellStyle name="Normal 4 5 4 4 2 3 5" xfId="33812" xr:uid="{00000000-0005-0000-0000-0000EAB10000}"/>
    <cellStyle name="Normal 4 5 4 4 2 4" xfId="10051" xr:uid="{00000000-0005-0000-0000-0000EBB10000}"/>
    <cellStyle name="Normal 4 5 4 4 2 4 2" xfId="16841" xr:uid="{00000000-0005-0000-0000-0000ECB10000}"/>
    <cellStyle name="Normal 4 5 4 4 2 4 2 2" xfId="30409" xr:uid="{00000000-0005-0000-0000-0000EDB10000}"/>
    <cellStyle name="Normal 4 5 4 4 2 4 2 2 2" xfId="57542" xr:uid="{00000000-0005-0000-0000-0000EEB10000}"/>
    <cellStyle name="Normal 4 5 4 4 2 4 2 3" xfId="43980" xr:uid="{00000000-0005-0000-0000-0000EFB10000}"/>
    <cellStyle name="Normal 4 5 4 4 2 4 3" xfId="23628" xr:uid="{00000000-0005-0000-0000-0000F0B10000}"/>
    <cellStyle name="Normal 4 5 4 4 2 4 3 2" xfId="50761" xr:uid="{00000000-0005-0000-0000-0000F1B10000}"/>
    <cellStyle name="Normal 4 5 4 4 2 4 4" xfId="37199" xr:uid="{00000000-0005-0000-0000-0000F2B10000}"/>
    <cellStyle name="Normal 4 5 4 4 2 5" xfId="13452" xr:uid="{00000000-0005-0000-0000-0000F3B10000}"/>
    <cellStyle name="Normal 4 5 4 4 2 5 2" xfId="27020" xr:uid="{00000000-0005-0000-0000-0000F4B10000}"/>
    <cellStyle name="Normal 4 5 4 4 2 5 2 2" xfId="54153" xr:uid="{00000000-0005-0000-0000-0000F5B10000}"/>
    <cellStyle name="Normal 4 5 4 4 2 5 3" xfId="40591" xr:uid="{00000000-0005-0000-0000-0000F6B10000}"/>
    <cellStyle name="Normal 4 5 4 4 2 6" xfId="20239" xr:uid="{00000000-0005-0000-0000-0000F7B10000}"/>
    <cellStyle name="Normal 4 5 4 4 2 6 2" xfId="47372" xr:uid="{00000000-0005-0000-0000-0000F8B10000}"/>
    <cellStyle name="Normal 4 5 4 4 2 7" xfId="33810" xr:uid="{00000000-0005-0000-0000-0000F9B10000}"/>
    <cellStyle name="Normal 4 5 4 4 3" xfId="6522" xr:uid="{00000000-0005-0000-0000-0000FAB10000}"/>
    <cellStyle name="Normal 4 5 4 4 3 2" xfId="10054" xr:uid="{00000000-0005-0000-0000-0000FBB10000}"/>
    <cellStyle name="Normal 4 5 4 4 3 2 2" xfId="16844" xr:uid="{00000000-0005-0000-0000-0000FCB10000}"/>
    <cellStyle name="Normal 4 5 4 4 3 2 2 2" xfId="30412" xr:uid="{00000000-0005-0000-0000-0000FDB10000}"/>
    <cellStyle name="Normal 4 5 4 4 3 2 2 2 2" xfId="57545" xr:uid="{00000000-0005-0000-0000-0000FEB10000}"/>
    <cellStyle name="Normal 4 5 4 4 3 2 2 3" xfId="43983" xr:uid="{00000000-0005-0000-0000-0000FFB10000}"/>
    <cellStyle name="Normal 4 5 4 4 3 2 3" xfId="23631" xr:uid="{00000000-0005-0000-0000-000000B20000}"/>
    <cellStyle name="Normal 4 5 4 4 3 2 3 2" xfId="50764" xr:uid="{00000000-0005-0000-0000-000001B20000}"/>
    <cellStyle name="Normal 4 5 4 4 3 2 4" xfId="37202" xr:uid="{00000000-0005-0000-0000-000002B20000}"/>
    <cellStyle name="Normal 4 5 4 4 3 3" xfId="13455" xr:uid="{00000000-0005-0000-0000-000003B20000}"/>
    <cellStyle name="Normal 4 5 4 4 3 3 2" xfId="27023" xr:uid="{00000000-0005-0000-0000-000004B20000}"/>
    <cellStyle name="Normal 4 5 4 4 3 3 2 2" xfId="54156" xr:uid="{00000000-0005-0000-0000-000005B20000}"/>
    <cellStyle name="Normal 4 5 4 4 3 3 3" xfId="40594" xr:uid="{00000000-0005-0000-0000-000006B20000}"/>
    <cellStyle name="Normal 4 5 4 4 3 4" xfId="20242" xr:uid="{00000000-0005-0000-0000-000007B20000}"/>
    <cellStyle name="Normal 4 5 4 4 3 4 2" xfId="47375" xr:uid="{00000000-0005-0000-0000-000008B20000}"/>
    <cellStyle name="Normal 4 5 4 4 3 5" xfId="33813" xr:uid="{00000000-0005-0000-0000-000009B20000}"/>
    <cellStyle name="Normal 4 5 4 4 4" xfId="6523" xr:uid="{00000000-0005-0000-0000-00000AB20000}"/>
    <cellStyle name="Normal 4 5 4 4 4 2" xfId="10055" xr:uid="{00000000-0005-0000-0000-00000BB20000}"/>
    <cellStyle name="Normal 4 5 4 4 4 2 2" xfId="16845" xr:uid="{00000000-0005-0000-0000-00000CB20000}"/>
    <cellStyle name="Normal 4 5 4 4 4 2 2 2" xfId="30413" xr:uid="{00000000-0005-0000-0000-00000DB20000}"/>
    <cellStyle name="Normal 4 5 4 4 4 2 2 2 2" xfId="57546" xr:uid="{00000000-0005-0000-0000-00000EB20000}"/>
    <cellStyle name="Normal 4 5 4 4 4 2 2 3" xfId="43984" xr:uid="{00000000-0005-0000-0000-00000FB20000}"/>
    <cellStyle name="Normal 4 5 4 4 4 2 3" xfId="23632" xr:uid="{00000000-0005-0000-0000-000010B20000}"/>
    <cellStyle name="Normal 4 5 4 4 4 2 3 2" xfId="50765" xr:uid="{00000000-0005-0000-0000-000011B20000}"/>
    <cellStyle name="Normal 4 5 4 4 4 2 4" xfId="37203" xr:uid="{00000000-0005-0000-0000-000012B20000}"/>
    <cellStyle name="Normal 4 5 4 4 4 3" xfId="13456" xr:uid="{00000000-0005-0000-0000-000013B20000}"/>
    <cellStyle name="Normal 4 5 4 4 4 3 2" xfId="27024" xr:uid="{00000000-0005-0000-0000-000014B20000}"/>
    <cellStyle name="Normal 4 5 4 4 4 3 2 2" xfId="54157" xr:uid="{00000000-0005-0000-0000-000015B20000}"/>
    <cellStyle name="Normal 4 5 4 4 4 3 3" xfId="40595" xr:uid="{00000000-0005-0000-0000-000016B20000}"/>
    <cellStyle name="Normal 4 5 4 4 4 4" xfId="20243" xr:uid="{00000000-0005-0000-0000-000017B20000}"/>
    <cellStyle name="Normal 4 5 4 4 4 4 2" xfId="47376" xr:uid="{00000000-0005-0000-0000-000018B20000}"/>
    <cellStyle name="Normal 4 5 4 4 4 5" xfId="33814" xr:uid="{00000000-0005-0000-0000-000019B20000}"/>
    <cellStyle name="Normal 4 5 4 4 5" xfId="10050" xr:uid="{00000000-0005-0000-0000-00001AB20000}"/>
    <cellStyle name="Normal 4 5 4 4 5 2" xfId="16840" xr:uid="{00000000-0005-0000-0000-00001BB20000}"/>
    <cellStyle name="Normal 4 5 4 4 5 2 2" xfId="30408" xr:uid="{00000000-0005-0000-0000-00001CB20000}"/>
    <cellStyle name="Normal 4 5 4 4 5 2 2 2" xfId="57541" xr:uid="{00000000-0005-0000-0000-00001DB20000}"/>
    <cellStyle name="Normal 4 5 4 4 5 2 3" xfId="43979" xr:uid="{00000000-0005-0000-0000-00001EB20000}"/>
    <cellStyle name="Normal 4 5 4 4 5 3" xfId="23627" xr:uid="{00000000-0005-0000-0000-00001FB20000}"/>
    <cellStyle name="Normal 4 5 4 4 5 3 2" xfId="50760" xr:uid="{00000000-0005-0000-0000-000020B20000}"/>
    <cellStyle name="Normal 4 5 4 4 5 4" xfId="37198" xr:uid="{00000000-0005-0000-0000-000021B20000}"/>
    <cellStyle name="Normal 4 5 4 4 6" xfId="13451" xr:uid="{00000000-0005-0000-0000-000022B20000}"/>
    <cellStyle name="Normal 4 5 4 4 6 2" xfId="27019" xr:uid="{00000000-0005-0000-0000-000023B20000}"/>
    <cellStyle name="Normal 4 5 4 4 6 2 2" xfId="54152" xr:uid="{00000000-0005-0000-0000-000024B20000}"/>
    <cellStyle name="Normal 4 5 4 4 6 3" xfId="40590" xr:uid="{00000000-0005-0000-0000-000025B20000}"/>
    <cellStyle name="Normal 4 5 4 4 7" xfId="20238" xr:uid="{00000000-0005-0000-0000-000026B20000}"/>
    <cellStyle name="Normal 4 5 4 4 7 2" xfId="47371" xr:uid="{00000000-0005-0000-0000-000027B20000}"/>
    <cellStyle name="Normal 4 5 4 4 8" xfId="33809" xr:uid="{00000000-0005-0000-0000-000028B20000}"/>
    <cellStyle name="Normal 4 5 4 5" xfId="6524" xr:uid="{00000000-0005-0000-0000-000029B20000}"/>
    <cellStyle name="Normal 4 5 4 5 2" xfId="6525" xr:uid="{00000000-0005-0000-0000-00002AB20000}"/>
    <cellStyle name="Normal 4 5 4 5 2 2" xfId="10057" xr:uid="{00000000-0005-0000-0000-00002BB20000}"/>
    <cellStyle name="Normal 4 5 4 5 2 2 2" xfId="16847" xr:uid="{00000000-0005-0000-0000-00002CB20000}"/>
    <cellStyle name="Normal 4 5 4 5 2 2 2 2" xfId="30415" xr:uid="{00000000-0005-0000-0000-00002DB20000}"/>
    <cellStyle name="Normal 4 5 4 5 2 2 2 2 2" xfId="57548" xr:uid="{00000000-0005-0000-0000-00002EB20000}"/>
    <cellStyle name="Normal 4 5 4 5 2 2 2 3" xfId="43986" xr:uid="{00000000-0005-0000-0000-00002FB20000}"/>
    <cellStyle name="Normal 4 5 4 5 2 2 3" xfId="23634" xr:uid="{00000000-0005-0000-0000-000030B20000}"/>
    <cellStyle name="Normal 4 5 4 5 2 2 3 2" xfId="50767" xr:uid="{00000000-0005-0000-0000-000031B20000}"/>
    <cellStyle name="Normal 4 5 4 5 2 2 4" xfId="37205" xr:uid="{00000000-0005-0000-0000-000032B20000}"/>
    <cellStyle name="Normal 4 5 4 5 2 3" xfId="13458" xr:uid="{00000000-0005-0000-0000-000033B20000}"/>
    <cellStyle name="Normal 4 5 4 5 2 3 2" xfId="27026" xr:uid="{00000000-0005-0000-0000-000034B20000}"/>
    <cellStyle name="Normal 4 5 4 5 2 3 2 2" xfId="54159" xr:uid="{00000000-0005-0000-0000-000035B20000}"/>
    <cellStyle name="Normal 4 5 4 5 2 3 3" xfId="40597" xr:uid="{00000000-0005-0000-0000-000036B20000}"/>
    <cellStyle name="Normal 4 5 4 5 2 4" xfId="20245" xr:uid="{00000000-0005-0000-0000-000037B20000}"/>
    <cellStyle name="Normal 4 5 4 5 2 4 2" xfId="47378" xr:uid="{00000000-0005-0000-0000-000038B20000}"/>
    <cellStyle name="Normal 4 5 4 5 2 5" xfId="33816" xr:uid="{00000000-0005-0000-0000-000039B20000}"/>
    <cellStyle name="Normal 4 5 4 5 3" xfId="6526" xr:uid="{00000000-0005-0000-0000-00003AB20000}"/>
    <cellStyle name="Normal 4 5 4 5 3 2" xfId="10058" xr:uid="{00000000-0005-0000-0000-00003BB20000}"/>
    <cellStyle name="Normal 4 5 4 5 3 2 2" xfId="16848" xr:uid="{00000000-0005-0000-0000-00003CB20000}"/>
    <cellStyle name="Normal 4 5 4 5 3 2 2 2" xfId="30416" xr:uid="{00000000-0005-0000-0000-00003DB20000}"/>
    <cellStyle name="Normal 4 5 4 5 3 2 2 2 2" xfId="57549" xr:uid="{00000000-0005-0000-0000-00003EB20000}"/>
    <cellStyle name="Normal 4 5 4 5 3 2 2 3" xfId="43987" xr:uid="{00000000-0005-0000-0000-00003FB20000}"/>
    <cellStyle name="Normal 4 5 4 5 3 2 3" xfId="23635" xr:uid="{00000000-0005-0000-0000-000040B20000}"/>
    <cellStyle name="Normal 4 5 4 5 3 2 3 2" xfId="50768" xr:uid="{00000000-0005-0000-0000-000041B20000}"/>
    <cellStyle name="Normal 4 5 4 5 3 2 4" xfId="37206" xr:uid="{00000000-0005-0000-0000-000042B20000}"/>
    <cellStyle name="Normal 4 5 4 5 3 3" xfId="13459" xr:uid="{00000000-0005-0000-0000-000043B20000}"/>
    <cellStyle name="Normal 4 5 4 5 3 3 2" xfId="27027" xr:uid="{00000000-0005-0000-0000-000044B20000}"/>
    <cellStyle name="Normal 4 5 4 5 3 3 2 2" xfId="54160" xr:uid="{00000000-0005-0000-0000-000045B20000}"/>
    <cellStyle name="Normal 4 5 4 5 3 3 3" xfId="40598" xr:uid="{00000000-0005-0000-0000-000046B20000}"/>
    <cellStyle name="Normal 4 5 4 5 3 4" xfId="20246" xr:uid="{00000000-0005-0000-0000-000047B20000}"/>
    <cellStyle name="Normal 4 5 4 5 3 4 2" xfId="47379" xr:uid="{00000000-0005-0000-0000-000048B20000}"/>
    <cellStyle name="Normal 4 5 4 5 3 5" xfId="33817" xr:uid="{00000000-0005-0000-0000-000049B20000}"/>
    <cellStyle name="Normal 4 5 4 5 4" xfId="10056" xr:uid="{00000000-0005-0000-0000-00004AB20000}"/>
    <cellStyle name="Normal 4 5 4 5 4 2" xfId="16846" xr:uid="{00000000-0005-0000-0000-00004BB20000}"/>
    <cellStyle name="Normal 4 5 4 5 4 2 2" xfId="30414" xr:uid="{00000000-0005-0000-0000-00004CB20000}"/>
    <cellStyle name="Normal 4 5 4 5 4 2 2 2" xfId="57547" xr:uid="{00000000-0005-0000-0000-00004DB20000}"/>
    <cellStyle name="Normal 4 5 4 5 4 2 3" xfId="43985" xr:uid="{00000000-0005-0000-0000-00004EB20000}"/>
    <cellStyle name="Normal 4 5 4 5 4 3" xfId="23633" xr:uid="{00000000-0005-0000-0000-00004FB20000}"/>
    <cellStyle name="Normal 4 5 4 5 4 3 2" xfId="50766" xr:uid="{00000000-0005-0000-0000-000050B20000}"/>
    <cellStyle name="Normal 4 5 4 5 4 4" xfId="37204" xr:uid="{00000000-0005-0000-0000-000051B20000}"/>
    <cellStyle name="Normal 4 5 4 5 5" xfId="13457" xr:uid="{00000000-0005-0000-0000-000052B20000}"/>
    <cellStyle name="Normal 4 5 4 5 5 2" xfId="27025" xr:uid="{00000000-0005-0000-0000-000053B20000}"/>
    <cellStyle name="Normal 4 5 4 5 5 2 2" xfId="54158" xr:uid="{00000000-0005-0000-0000-000054B20000}"/>
    <cellStyle name="Normal 4 5 4 5 5 3" xfId="40596" xr:uid="{00000000-0005-0000-0000-000055B20000}"/>
    <cellStyle name="Normal 4 5 4 5 6" xfId="20244" xr:uid="{00000000-0005-0000-0000-000056B20000}"/>
    <cellStyle name="Normal 4 5 4 5 6 2" xfId="47377" xr:uid="{00000000-0005-0000-0000-000057B20000}"/>
    <cellStyle name="Normal 4 5 4 5 7" xfId="33815" xr:uid="{00000000-0005-0000-0000-000058B20000}"/>
    <cellStyle name="Normal 4 5 4 6" xfId="6527" xr:uid="{00000000-0005-0000-0000-000059B20000}"/>
    <cellStyle name="Normal 4 5 4 6 2" xfId="6528" xr:uid="{00000000-0005-0000-0000-00005AB20000}"/>
    <cellStyle name="Normal 4 5 4 6 2 2" xfId="10060" xr:uid="{00000000-0005-0000-0000-00005BB20000}"/>
    <cellStyle name="Normal 4 5 4 6 2 2 2" xfId="16850" xr:uid="{00000000-0005-0000-0000-00005CB20000}"/>
    <cellStyle name="Normal 4 5 4 6 2 2 2 2" xfId="30418" xr:uid="{00000000-0005-0000-0000-00005DB20000}"/>
    <cellStyle name="Normal 4 5 4 6 2 2 2 2 2" xfId="57551" xr:uid="{00000000-0005-0000-0000-00005EB20000}"/>
    <cellStyle name="Normal 4 5 4 6 2 2 2 3" xfId="43989" xr:uid="{00000000-0005-0000-0000-00005FB20000}"/>
    <cellStyle name="Normal 4 5 4 6 2 2 3" xfId="23637" xr:uid="{00000000-0005-0000-0000-000060B20000}"/>
    <cellStyle name="Normal 4 5 4 6 2 2 3 2" xfId="50770" xr:uid="{00000000-0005-0000-0000-000061B20000}"/>
    <cellStyle name="Normal 4 5 4 6 2 2 4" xfId="37208" xr:uid="{00000000-0005-0000-0000-000062B20000}"/>
    <cellStyle name="Normal 4 5 4 6 2 3" xfId="13461" xr:uid="{00000000-0005-0000-0000-000063B20000}"/>
    <cellStyle name="Normal 4 5 4 6 2 3 2" xfId="27029" xr:uid="{00000000-0005-0000-0000-000064B20000}"/>
    <cellStyle name="Normal 4 5 4 6 2 3 2 2" xfId="54162" xr:uid="{00000000-0005-0000-0000-000065B20000}"/>
    <cellStyle name="Normal 4 5 4 6 2 3 3" xfId="40600" xr:uid="{00000000-0005-0000-0000-000066B20000}"/>
    <cellStyle name="Normal 4 5 4 6 2 4" xfId="20248" xr:uid="{00000000-0005-0000-0000-000067B20000}"/>
    <cellStyle name="Normal 4 5 4 6 2 4 2" xfId="47381" xr:uid="{00000000-0005-0000-0000-000068B20000}"/>
    <cellStyle name="Normal 4 5 4 6 2 5" xfId="33819" xr:uid="{00000000-0005-0000-0000-000069B20000}"/>
    <cellStyle name="Normal 4 5 4 6 3" xfId="6529" xr:uid="{00000000-0005-0000-0000-00006AB20000}"/>
    <cellStyle name="Normal 4 5 4 6 3 2" xfId="10061" xr:uid="{00000000-0005-0000-0000-00006BB20000}"/>
    <cellStyle name="Normal 4 5 4 6 3 2 2" xfId="16851" xr:uid="{00000000-0005-0000-0000-00006CB20000}"/>
    <cellStyle name="Normal 4 5 4 6 3 2 2 2" xfId="30419" xr:uid="{00000000-0005-0000-0000-00006DB20000}"/>
    <cellStyle name="Normal 4 5 4 6 3 2 2 2 2" xfId="57552" xr:uid="{00000000-0005-0000-0000-00006EB20000}"/>
    <cellStyle name="Normal 4 5 4 6 3 2 2 3" xfId="43990" xr:uid="{00000000-0005-0000-0000-00006FB20000}"/>
    <cellStyle name="Normal 4 5 4 6 3 2 3" xfId="23638" xr:uid="{00000000-0005-0000-0000-000070B20000}"/>
    <cellStyle name="Normal 4 5 4 6 3 2 3 2" xfId="50771" xr:uid="{00000000-0005-0000-0000-000071B20000}"/>
    <cellStyle name="Normal 4 5 4 6 3 2 4" xfId="37209" xr:uid="{00000000-0005-0000-0000-000072B20000}"/>
    <cellStyle name="Normal 4 5 4 6 3 3" xfId="13462" xr:uid="{00000000-0005-0000-0000-000073B20000}"/>
    <cellStyle name="Normal 4 5 4 6 3 3 2" xfId="27030" xr:uid="{00000000-0005-0000-0000-000074B20000}"/>
    <cellStyle name="Normal 4 5 4 6 3 3 2 2" xfId="54163" xr:uid="{00000000-0005-0000-0000-000075B20000}"/>
    <cellStyle name="Normal 4 5 4 6 3 3 3" xfId="40601" xr:uid="{00000000-0005-0000-0000-000076B20000}"/>
    <cellStyle name="Normal 4 5 4 6 3 4" xfId="20249" xr:uid="{00000000-0005-0000-0000-000077B20000}"/>
    <cellStyle name="Normal 4 5 4 6 3 4 2" xfId="47382" xr:uid="{00000000-0005-0000-0000-000078B20000}"/>
    <cellStyle name="Normal 4 5 4 6 3 5" xfId="33820" xr:uid="{00000000-0005-0000-0000-000079B20000}"/>
    <cellStyle name="Normal 4 5 4 6 4" xfId="10059" xr:uid="{00000000-0005-0000-0000-00007AB20000}"/>
    <cellStyle name="Normal 4 5 4 6 4 2" xfId="16849" xr:uid="{00000000-0005-0000-0000-00007BB20000}"/>
    <cellStyle name="Normal 4 5 4 6 4 2 2" xfId="30417" xr:uid="{00000000-0005-0000-0000-00007CB20000}"/>
    <cellStyle name="Normal 4 5 4 6 4 2 2 2" xfId="57550" xr:uid="{00000000-0005-0000-0000-00007DB20000}"/>
    <cellStyle name="Normal 4 5 4 6 4 2 3" xfId="43988" xr:uid="{00000000-0005-0000-0000-00007EB20000}"/>
    <cellStyle name="Normal 4 5 4 6 4 3" xfId="23636" xr:uid="{00000000-0005-0000-0000-00007FB20000}"/>
    <cellStyle name="Normal 4 5 4 6 4 3 2" xfId="50769" xr:uid="{00000000-0005-0000-0000-000080B20000}"/>
    <cellStyle name="Normal 4 5 4 6 4 4" xfId="37207" xr:uid="{00000000-0005-0000-0000-000081B20000}"/>
    <cellStyle name="Normal 4 5 4 6 5" xfId="13460" xr:uid="{00000000-0005-0000-0000-000082B20000}"/>
    <cellStyle name="Normal 4 5 4 6 5 2" xfId="27028" xr:uid="{00000000-0005-0000-0000-000083B20000}"/>
    <cellStyle name="Normal 4 5 4 6 5 2 2" xfId="54161" xr:uid="{00000000-0005-0000-0000-000084B20000}"/>
    <cellStyle name="Normal 4 5 4 6 5 3" xfId="40599" xr:uid="{00000000-0005-0000-0000-000085B20000}"/>
    <cellStyle name="Normal 4 5 4 6 6" xfId="20247" xr:uid="{00000000-0005-0000-0000-000086B20000}"/>
    <cellStyle name="Normal 4 5 4 6 6 2" xfId="47380" xr:uid="{00000000-0005-0000-0000-000087B20000}"/>
    <cellStyle name="Normal 4 5 4 6 7" xfId="33818" xr:uid="{00000000-0005-0000-0000-000088B20000}"/>
    <cellStyle name="Normal 4 5 4 7" xfId="6530" xr:uid="{00000000-0005-0000-0000-000089B20000}"/>
    <cellStyle name="Normal 4 5 4 7 2" xfId="10062" xr:uid="{00000000-0005-0000-0000-00008AB20000}"/>
    <cellStyle name="Normal 4 5 4 7 2 2" xfId="16852" xr:uid="{00000000-0005-0000-0000-00008BB20000}"/>
    <cellStyle name="Normal 4 5 4 7 2 2 2" xfId="30420" xr:uid="{00000000-0005-0000-0000-00008CB20000}"/>
    <cellStyle name="Normal 4 5 4 7 2 2 2 2" xfId="57553" xr:uid="{00000000-0005-0000-0000-00008DB20000}"/>
    <cellStyle name="Normal 4 5 4 7 2 2 3" xfId="43991" xr:uid="{00000000-0005-0000-0000-00008EB20000}"/>
    <cellStyle name="Normal 4 5 4 7 2 3" xfId="23639" xr:uid="{00000000-0005-0000-0000-00008FB20000}"/>
    <cellStyle name="Normal 4 5 4 7 2 3 2" xfId="50772" xr:uid="{00000000-0005-0000-0000-000090B20000}"/>
    <cellStyle name="Normal 4 5 4 7 2 4" xfId="37210" xr:uid="{00000000-0005-0000-0000-000091B20000}"/>
    <cellStyle name="Normal 4 5 4 7 3" xfId="13463" xr:uid="{00000000-0005-0000-0000-000092B20000}"/>
    <cellStyle name="Normal 4 5 4 7 3 2" xfId="27031" xr:uid="{00000000-0005-0000-0000-000093B20000}"/>
    <cellStyle name="Normal 4 5 4 7 3 2 2" xfId="54164" xr:uid="{00000000-0005-0000-0000-000094B20000}"/>
    <cellStyle name="Normal 4 5 4 7 3 3" xfId="40602" xr:uid="{00000000-0005-0000-0000-000095B20000}"/>
    <cellStyle name="Normal 4 5 4 7 4" xfId="20250" xr:uid="{00000000-0005-0000-0000-000096B20000}"/>
    <cellStyle name="Normal 4 5 4 7 4 2" xfId="47383" xr:uid="{00000000-0005-0000-0000-000097B20000}"/>
    <cellStyle name="Normal 4 5 4 7 5" xfId="33821" xr:uid="{00000000-0005-0000-0000-000098B20000}"/>
    <cellStyle name="Normal 4 5 4 8" xfId="6531" xr:uid="{00000000-0005-0000-0000-000099B20000}"/>
    <cellStyle name="Normal 4 5 4 8 2" xfId="10063" xr:uid="{00000000-0005-0000-0000-00009AB20000}"/>
    <cellStyle name="Normal 4 5 4 8 2 2" xfId="16853" xr:uid="{00000000-0005-0000-0000-00009BB20000}"/>
    <cellStyle name="Normal 4 5 4 8 2 2 2" xfId="30421" xr:uid="{00000000-0005-0000-0000-00009CB20000}"/>
    <cellStyle name="Normal 4 5 4 8 2 2 2 2" xfId="57554" xr:uid="{00000000-0005-0000-0000-00009DB20000}"/>
    <cellStyle name="Normal 4 5 4 8 2 2 3" xfId="43992" xr:uid="{00000000-0005-0000-0000-00009EB20000}"/>
    <cellStyle name="Normal 4 5 4 8 2 3" xfId="23640" xr:uid="{00000000-0005-0000-0000-00009FB20000}"/>
    <cellStyle name="Normal 4 5 4 8 2 3 2" xfId="50773" xr:uid="{00000000-0005-0000-0000-0000A0B20000}"/>
    <cellStyle name="Normal 4 5 4 8 2 4" xfId="37211" xr:uid="{00000000-0005-0000-0000-0000A1B20000}"/>
    <cellStyle name="Normal 4 5 4 8 3" xfId="13464" xr:uid="{00000000-0005-0000-0000-0000A2B20000}"/>
    <cellStyle name="Normal 4 5 4 8 3 2" xfId="27032" xr:uid="{00000000-0005-0000-0000-0000A3B20000}"/>
    <cellStyle name="Normal 4 5 4 8 3 2 2" xfId="54165" xr:uid="{00000000-0005-0000-0000-0000A4B20000}"/>
    <cellStyle name="Normal 4 5 4 8 3 3" xfId="40603" xr:uid="{00000000-0005-0000-0000-0000A5B20000}"/>
    <cellStyle name="Normal 4 5 4 8 4" xfId="20251" xr:uid="{00000000-0005-0000-0000-0000A6B20000}"/>
    <cellStyle name="Normal 4 5 4 8 4 2" xfId="47384" xr:uid="{00000000-0005-0000-0000-0000A7B20000}"/>
    <cellStyle name="Normal 4 5 4 8 5" xfId="33822" xr:uid="{00000000-0005-0000-0000-0000A8B20000}"/>
    <cellStyle name="Normal 4 5 4 9" xfId="10025" xr:uid="{00000000-0005-0000-0000-0000A9B20000}"/>
    <cellStyle name="Normal 4 5 4 9 2" xfId="16815" xr:uid="{00000000-0005-0000-0000-0000AAB20000}"/>
    <cellStyle name="Normal 4 5 4 9 2 2" xfId="30383" xr:uid="{00000000-0005-0000-0000-0000ABB20000}"/>
    <cellStyle name="Normal 4 5 4 9 2 2 2" xfId="57516" xr:uid="{00000000-0005-0000-0000-0000ACB20000}"/>
    <cellStyle name="Normal 4 5 4 9 2 3" xfId="43954" xr:uid="{00000000-0005-0000-0000-0000ADB20000}"/>
    <cellStyle name="Normal 4 5 4 9 3" xfId="23602" xr:uid="{00000000-0005-0000-0000-0000AEB20000}"/>
    <cellStyle name="Normal 4 5 4 9 3 2" xfId="50735" xr:uid="{00000000-0005-0000-0000-0000AFB20000}"/>
    <cellStyle name="Normal 4 5 4 9 4" xfId="37173" xr:uid="{00000000-0005-0000-0000-0000B0B20000}"/>
    <cellStyle name="Normal 4 5 5" xfId="6532" xr:uid="{00000000-0005-0000-0000-0000B1B20000}"/>
    <cellStyle name="Normal 4 5 5 10" xfId="33823" xr:uid="{00000000-0005-0000-0000-0000B2B20000}"/>
    <cellStyle name="Normal 4 5 5 2" xfId="6533" xr:uid="{00000000-0005-0000-0000-0000B3B20000}"/>
    <cellStyle name="Normal 4 5 5 2 2" xfId="6534" xr:uid="{00000000-0005-0000-0000-0000B4B20000}"/>
    <cellStyle name="Normal 4 5 5 2 2 2" xfId="6535" xr:uid="{00000000-0005-0000-0000-0000B5B20000}"/>
    <cellStyle name="Normal 4 5 5 2 2 2 2" xfId="10067" xr:uid="{00000000-0005-0000-0000-0000B6B20000}"/>
    <cellStyle name="Normal 4 5 5 2 2 2 2 2" xfId="16857" xr:uid="{00000000-0005-0000-0000-0000B7B20000}"/>
    <cellStyle name="Normal 4 5 5 2 2 2 2 2 2" xfId="30425" xr:uid="{00000000-0005-0000-0000-0000B8B20000}"/>
    <cellStyle name="Normal 4 5 5 2 2 2 2 2 2 2" xfId="57558" xr:uid="{00000000-0005-0000-0000-0000B9B20000}"/>
    <cellStyle name="Normal 4 5 5 2 2 2 2 2 3" xfId="43996" xr:uid="{00000000-0005-0000-0000-0000BAB20000}"/>
    <cellStyle name="Normal 4 5 5 2 2 2 2 3" xfId="23644" xr:uid="{00000000-0005-0000-0000-0000BBB20000}"/>
    <cellStyle name="Normal 4 5 5 2 2 2 2 3 2" xfId="50777" xr:uid="{00000000-0005-0000-0000-0000BCB20000}"/>
    <cellStyle name="Normal 4 5 5 2 2 2 2 4" xfId="37215" xr:uid="{00000000-0005-0000-0000-0000BDB20000}"/>
    <cellStyle name="Normal 4 5 5 2 2 2 3" xfId="13468" xr:uid="{00000000-0005-0000-0000-0000BEB20000}"/>
    <cellStyle name="Normal 4 5 5 2 2 2 3 2" xfId="27036" xr:uid="{00000000-0005-0000-0000-0000BFB20000}"/>
    <cellStyle name="Normal 4 5 5 2 2 2 3 2 2" xfId="54169" xr:uid="{00000000-0005-0000-0000-0000C0B20000}"/>
    <cellStyle name="Normal 4 5 5 2 2 2 3 3" xfId="40607" xr:uid="{00000000-0005-0000-0000-0000C1B20000}"/>
    <cellStyle name="Normal 4 5 5 2 2 2 4" xfId="20255" xr:uid="{00000000-0005-0000-0000-0000C2B20000}"/>
    <cellStyle name="Normal 4 5 5 2 2 2 4 2" xfId="47388" xr:uid="{00000000-0005-0000-0000-0000C3B20000}"/>
    <cellStyle name="Normal 4 5 5 2 2 2 5" xfId="33826" xr:uid="{00000000-0005-0000-0000-0000C4B20000}"/>
    <cellStyle name="Normal 4 5 5 2 2 3" xfId="6536" xr:uid="{00000000-0005-0000-0000-0000C5B20000}"/>
    <cellStyle name="Normal 4 5 5 2 2 3 2" xfId="10068" xr:uid="{00000000-0005-0000-0000-0000C6B20000}"/>
    <cellStyle name="Normal 4 5 5 2 2 3 2 2" xfId="16858" xr:uid="{00000000-0005-0000-0000-0000C7B20000}"/>
    <cellStyle name="Normal 4 5 5 2 2 3 2 2 2" xfId="30426" xr:uid="{00000000-0005-0000-0000-0000C8B20000}"/>
    <cellStyle name="Normal 4 5 5 2 2 3 2 2 2 2" xfId="57559" xr:uid="{00000000-0005-0000-0000-0000C9B20000}"/>
    <cellStyle name="Normal 4 5 5 2 2 3 2 2 3" xfId="43997" xr:uid="{00000000-0005-0000-0000-0000CAB20000}"/>
    <cellStyle name="Normal 4 5 5 2 2 3 2 3" xfId="23645" xr:uid="{00000000-0005-0000-0000-0000CBB20000}"/>
    <cellStyle name="Normal 4 5 5 2 2 3 2 3 2" xfId="50778" xr:uid="{00000000-0005-0000-0000-0000CCB20000}"/>
    <cellStyle name="Normal 4 5 5 2 2 3 2 4" xfId="37216" xr:uid="{00000000-0005-0000-0000-0000CDB20000}"/>
    <cellStyle name="Normal 4 5 5 2 2 3 3" xfId="13469" xr:uid="{00000000-0005-0000-0000-0000CEB20000}"/>
    <cellStyle name="Normal 4 5 5 2 2 3 3 2" xfId="27037" xr:uid="{00000000-0005-0000-0000-0000CFB20000}"/>
    <cellStyle name="Normal 4 5 5 2 2 3 3 2 2" xfId="54170" xr:uid="{00000000-0005-0000-0000-0000D0B20000}"/>
    <cellStyle name="Normal 4 5 5 2 2 3 3 3" xfId="40608" xr:uid="{00000000-0005-0000-0000-0000D1B20000}"/>
    <cellStyle name="Normal 4 5 5 2 2 3 4" xfId="20256" xr:uid="{00000000-0005-0000-0000-0000D2B20000}"/>
    <cellStyle name="Normal 4 5 5 2 2 3 4 2" xfId="47389" xr:uid="{00000000-0005-0000-0000-0000D3B20000}"/>
    <cellStyle name="Normal 4 5 5 2 2 3 5" xfId="33827" xr:uid="{00000000-0005-0000-0000-0000D4B20000}"/>
    <cellStyle name="Normal 4 5 5 2 2 4" xfId="10066" xr:uid="{00000000-0005-0000-0000-0000D5B20000}"/>
    <cellStyle name="Normal 4 5 5 2 2 4 2" xfId="16856" xr:uid="{00000000-0005-0000-0000-0000D6B20000}"/>
    <cellStyle name="Normal 4 5 5 2 2 4 2 2" xfId="30424" xr:uid="{00000000-0005-0000-0000-0000D7B20000}"/>
    <cellStyle name="Normal 4 5 5 2 2 4 2 2 2" xfId="57557" xr:uid="{00000000-0005-0000-0000-0000D8B20000}"/>
    <cellStyle name="Normal 4 5 5 2 2 4 2 3" xfId="43995" xr:uid="{00000000-0005-0000-0000-0000D9B20000}"/>
    <cellStyle name="Normal 4 5 5 2 2 4 3" xfId="23643" xr:uid="{00000000-0005-0000-0000-0000DAB20000}"/>
    <cellStyle name="Normal 4 5 5 2 2 4 3 2" xfId="50776" xr:uid="{00000000-0005-0000-0000-0000DBB20000}"/>
    <cellStyle name="Normal 4 5 5 2 2 4 4" xfId="37214" xr:uid="{00000000-0005-0000-0000-0000DCB20000}"/>
    <cellStyle name="Normal 4 5 5 2 2 5" xfId="13467" xr:uid="{00000000-0005-0000-0000-0000DDB20000}"/>
    <cellStyle name="Normal 4 5 5 2 2 5 2" xfId="27035" xr:uid="{00000000-0005-0000-0000-0000DEB20000}"/>
    <cellStyle name="Normal 4 5 5 2 2 5 2 2" xfId="54168" xr:uid="{00000000-0005-0000-0000-0000DFB20000}"/>
    <cellStyle name="Normal 4 5 5 2 2 5 3" xfId="40606" xr:uid="{00000000-0005-0000-0000-0000E0B20000}"/>
    <cellStyle name="Normal 4 5 5 2 2 6" xfId="20254" xr:uid="{00000000-0005-0000-0000-0000E1B20000}"/>
    <cellStyle name="Normal 4 5 5 2 2 6 2" xfId="47387" xr:uid="{00000000-0005-0000-0000-0000E2B20000}"/>
    <cellStyle name="Normal 4 5 5 2 2 7" xfId="33825" xr:uid="{00000000-0005-0000-0000-0000E3B20000}"/>
    <cellStyle name="Normal 4 5 5 2 3" xfId="6537" xr:uid="{00000000-0005-0000-0000-0000E4B20000}"/>
    <cellStyle name="Normal 4 5 5 2 3 2" xfId="6538" xr:uid="{00000000-0005-0000-0000-0000E5B20000}"/>
    <cellStyle name="Normal 4 5 5 2 3 2 2" xfId="10070" xr:uid="{00000000-0005-0000-0000-0000E6B20000}"/>
    <cellStyle name="Normal 4 5 5 2 3 2 2 2" xfId="16860" xr:uid="{00000000-0005-0000-0000-0000E7B20000}"/>
    <cellStyle name="Normal 4 5 5 2 3 2 2 2 2" xfId="30428" xr:uid="{00000000-0005-0000-0000-0000E8B20000}"/>
    <cellStyle name="Normal 4 5 5 2 3 2 2 2 2 2" xfId="57561" xr:uid="{00000000-0005-0000-0000-0000E9B20000}"/>
    <cellStyle name="Normal 4 5 5 2 3 2 2 2 3" xfId="43999" xr:uid="{00000000-0005-0000-0000-0000EAB20000}"/>
    <cellStyle name="Normal 4 5 5 2 3 2 2 3" xfId="23647" xr:uid="{00000000-0005-0000-0000-0000EBB20000}"/>
    <cellStyle name="Normal 4 5 5 2 3 2 2 3 2" xfId="50780" xr:uid="{00000000-0005-0000-0000-0000ECB20000}"/>
    <cellStyle name="Normal 4 5 5 2 3 2 2 4" xfId="37218" xr:uid="{00000000-0005-0000-0000-0000EDB20000}"/>
    <cellStyle name="Normal 4 5 5 2 3 2 3" xfId="13471" xr:uid="{00000000-0005-0000-0000-0000EEB20000}"/>
    <cellStyle name="Normal 4 5 5 2 3 2 3 2" xfId="27039" xr:uid="{00000000-0005-0000-0000-0000EFB20000}"/>
    <cellStyle name="Normal 4 5 5 2 3 2 3 2 2" xfId="54172" xr:uid="{00000000-0005-0000-0000-0000F0B20000}"/>
    <cellStyle name="Normal 4 5 5 2 3 2 3 3" xfId="40610" xr:uid="{00000000-0005-0000-0000-0000F1B20000}"/>
    <cellStyle name="Normal 4 5 5 2 3 2 4" xfId="20258" xr:uid="{00000000-0005-0000-0000-0000F2B20000}"/>
    <cellStyle name="Normal 4 5 5 2 3 2 4 2" xfId="47391" xr:uid="{00000000-0005-0000-0000-0000F3B20000}"/>
    <cellStyle name="Normal 4 5 5 2 3 2 5" xfId="33829" xr:uid="{00000000-0005-0000-0000-0000F4B20000}"/>
    <cellStyle name="Normal 4 5 5 2 3 3" xfId="10069" xr:uid="{00000000-0005-0000-0000-0000F5B20000}"/>
    <cellStyle name="Normal 4 5 5 2 3 3 2" xfId="16859" xr:uid="{00000000-0005-0000-0000-0000F6B20000}"/>
    <cellStyle name="Normal 4 5 5 2 3 3 2 2" xfId="30427" xr:uid="{00000000-0005-0000-0000-0000F7B20000}"/>
    <cellStyle name="Normal 4 5 5 2 3 3 2 2 2" xfId="57560" xr:uid="{00000000-0005-0000-0000-0000F8B20000}"/>
    <cellStyle name="Normal 4 5 5 2 3 3 2 3" xfId="43998" xr:uid="{00000000-0005-0000-0000-0000F9B20000}"/>
    <cellStyle name="Normal 4 5 5 2 3 3 3" xfId="23646" xr:uid="{00000000-0005-0000-0000-0000FAB20000}"/>
    <cellStyle name="Normal 4 5 5 2 3 3 3 2" xfId="50779" xr:uid="{00000000-0005-0000-0000-0000FBB20000}"/>
    <cellStyle name="Normal 4 5 5 2 3 3 4" xfId="37217" xr:uid="{00000000-0005-0000-0000-0000FCB20000}"/>
    <cellStyle name="Normal 4 5 5 2 3 4" xfId="13470" xr:uid="{00000000-0005-0000-0000-0000FDB20000}"/>
    <cellStyle name="Normal 4 5 5 2 3 4 2" xfId="27038" xr:uid="{00000000-0005-0000-0000-0000FEB20000}"/>
    <cellStyle name="Normal 4 5 5 2 3 4 2 2" xfId="54171" xr:uid="{00000000-0005-0000-0000-0000FFB20000}"/>
    <cellStyle name="Normal 4 5 5 2 3 4 3" xfId="40609" xr:uid="{00000000-0005-0000-0000-000000B30000}"/>
    <cellStyle name="Normal 4 5 5 2 3 5" xfId="20257" xr:uid="{00000000-0005-0000-0000-000001B30000}"/>
    <cellStyle name="Normal 4 5 5 2 3 5 2" xfId="47390" xr:uid="{00000000-0005-0000-0000-000002B30000}"/>
    <cellStyle name="Normal 4 5 5 2 3 6" xfId="33828" xr:uid="{00000000-0005-0000-0000-000003B30000}"/>
    <cellStyle name="Normal 4 5 5 2 4" xfId="6539" xr:uid="{00000000-0005-0000-0000-000004B30000}"/>
    <cellStyle name="Normal 4 5 5 2 4 2" xfId="10071" xr:uid="{00000000-0005-0000-0000-000005B30000}"/>
    <cellStyle name="Normal 4 5 5 2 4 2 2" xfId="16861" xr:uid="{00000000-0005-0000-0000-000006B30000}"/>
    <cellStyle name="Normal 4 5 5 2 4 2 2 2" xfId="30429" xr:uid="{00000000-0005-0000-0000-000007B30000}"/>
    <cellStyle name="Normal 4 5 5 2 4 2 2 2 2" xfId="57562" xr:uid="{00000000-0005-0000-0000-000008B30000}"/>
    <cellStyle name="Normal 4 5 5 2 4 2 2 3" xfId="44000" xr:uid="{00000000-0005-0000-0000-000009B30000}"/>
    <cellStyle name="Normal 4 5 5 2 4 2 3" xfId="23648" xr:uid="{00000000-0005-0000-0000-00000AB30000}"/>
    <cellStyle name="Normal 4 5 5 2 4 2 3 2" xfId="50781" xr:uid="{00000000-0005-0000-0000-00000BB30000}"/>
    <cellStyle name="Normal 4 5 5 2 4 2 4" xfId="37219" xr:uid="{00000000-0005-0000-0000-00000CB30000}"/>
    <cellStyle name="Normal 4 5 5 2 4 3" xfId="13472" xr:uid="{00000000-0005-0000-0000-00000DB30000}"/>
    <cellStyle name="Normal 4 5 5 2 4 3 2" xfId="27040" xr:uid="{00000000-0005-0000-0000-00000EB30000}"/>
    <cellStyle name="Normal 4 5 5 2 4 3 2 2" xfId="54173" xr:uid="{00000000-0005-0000-0000-00000FB30000}"/>
    <cellStyle name="Normal 4 5 5 2 4 3 3" xfId="40611" xr:uid="{00000000-0005-0000-0000-000010B30000}"/>
    <cellStyle name="Normal 4 5 5 2 4 4" xfId="20259" xr:uid="{00000000-0005-0000-0000-000011B30000}"/>
    <cellStyle name="Normal 4 5 5 2 4 4 2" xfId="47392" xr:uid="{00000000-0005-0000-0000-000012B30000}"/>
    <cellStyle name="Normal 4 5 5 2 4 5" xfId="33830" xr:uid="{00000000-0005-0000-0000-000013B30000}"/>
    <cellStyle name="Normal 4 5 5 2 5" xfId="6540" xr:uid="{00000000-0005-0000-0000-000014B30000}"/>
    <cellStyle name="Normal 4 5 5 2 5 2" xfId="10072" xr:uid="{00000000-0005-0000-0000-000015B30000}"/>
    <cellStyle name="Normal 4 5 5 2 5 2 2" xfId="16862" xr:uid="{00000000-0005-0000-0000-000016B30000}"/>
    <cellStyle name="Normal 4 5 5 2 5 2 2 2" xfId="30430" xr:uid="{00000000-0005-0000-0000-000017B30000}"/>
    <cellStyle name="Normal 4 5 5 2 5 2 2 2 2" xfId="57563" xr:uid="{00000000-0005-0000-0000-000018B30000}"/>
    <cellStyle name="Normal 4 5 5 2 5 2 2 3" xfId="44001" xr:uid="{00000000-0005-0000-0000-000019B30000}"/>
    <cellStyle name="Normal 4 5 5 2 5 2 3" xfId="23649" xr:uid="{00000000-0005-0000-0000-00001AB30000}"/>
    <cellStyle name="Normal 4 5 5 2 5 2 3 2" xfId="50782" xr:uid="{00000000-0005-0000-0000-00001BB30000}"/>
    <cellStyle name="Normal 4 5 5 2 5 2 4" xfId="37220" xr:uid="{00000000-0005-0000-0000-00001CB30000}"/>
    <cellStyle name="Normal 4 5 5 2 5 3" xfId="13473" xr:uid="{00000000-0005-0000-0000-00001DB30000}"/>
    <cellStyle name="Normal 4 5 5 2 5 3 2" xfId="27041" xr:uid="{00000000-0005-0000-0000-00001EB30000}"/>
    <cellStyle name="Normal 4 5 5 2 5 3 2 2" xfId="54174" xr:uid="{00000000-0005-0000-0000-00001FB30000}"/>
    <cellStyle name="Normal 4 5 5 2 5 3 3" xfId="40612" xr:uid="{00000000-0005-0000-0000-000020B30000}"/>
    <cellStyle name="Normal 4 5 5 2 5 4" xfId="20260" xr:uid="{00000000-0005-0000-0000-000021B30000}"/>
    <cellStyle name="Normal 4 5 5 2 5 4 2" xfId="47393" xr:uid="{00000000-0005-0000-0000-000022B30000}"/>
    <cellStyle name="Normal 4 5 5 2 5 5" xfId="33831" xr:uid="{00000000-0005-0000-0000-000023B30000}"/>
    <cellStyle name="Normal 4 5 5 2 6" xfId="10065" xr:uid="{00000000-0005-0000-0000-000024B30000}"/>
    <cellStyle name="Normal 4 5 5 2 6 2" xfId="16855" xr:uid="{00000000-0005-0000-0000-000025B30000}"/>
    <cellStyle name="Normal 4 5 5 2 6 2 2" xfId="30423" xr:uid="{00000000-0005-0000-0000-000026B30000}"/>
    <cellStyle name="Normal 4 5 5 2 6 2 2 2" xfId="57556" xr:uid="{00000000-0005-0000-0000-000027B30000}"/>
    <cellStyle name="Normal 4 5 5 2 6 2 3" xfId="43994" xr:uid="{00000000-0005-0000-0000-000028B30000}"/>
    <cellStyle name="Normal 4 5 5 2 6 3" xfId="23642" xr:uid="{00000000-0005-0000-0000-000029B30000}"/>
    <cellStyle name="Normal 4 5 5 2 6 3 2" xfId="50775" xr:uid="{00000000-0005-0000-0000-00002AB30000}"/>
    <cellStyle name="Normal 4 5 5 2 6 4" xfId="37213" xr:uid="{00000000-0005-0000-0000-00002BB30000}"/>
    <cellStyle name="Normal 4 5 5 2 7" xfId="13466" xr:uid="{00000000-0005-0000-0000-00002CB30000}"/>
    <cellStyle name="Normal 4 5 5 2 7 2" xfId="27034" xr:uid="{00000000-0005-0000-0000-00002DB30000}"/>
    <cellStyle name="Normal 4 5 5 2 7 2 2" xfId="54167" xr:uid="{00000000-0005-0000-0000-00002EB30000}"/>
    <cellStyle name="Normal 4 5 5 2 7 3" xfId="40605" xr:uid="{00000000-0005-0000-0000-00002FB30000}"/>
    <cellStyle name="Normal 4 5 5 2 8" xfId="20253" xr:uid="{00000000-0005-0000-0000-000030B30000}"/>
    <cellStyle name="Normal 4 5 5 2 8 2" xfId="47386" xr:uid="{00000000-0005-0000-0000-000031B30000}"/>
    <cellStyle name="Normal 4 5 5 2 9" xfId="33824" xr:uid="{00000000-0005-0000-0000-000032B30000}"/>
    <cellStyle name="Normal 4 5 5 3" xfId="6541" xr:uid="{00000000-0005-0000-0000-000033B30000}"/>
    <cellStyle name="Normal 4 5 5 3 2" xfId="6542" xr:uid="{00000000-0005-0000-0000-000034B30000}"/>
    <cellStyle name="Normal 4 5 5 3 2 2" xfId="10074" xr:uid="{00000000-0005-0000-0000-000035B30000}"/>
    <cellStyle name="Normal 4 5 5 3 2 2 2" xfId="16864" xr:uid="{00000000-0005-0000-0000-000036B30000}"/>
    <cellStyle name="Normal 4 5 5 3 2 2 2 2" xfId="30432" xr:uid="{00000000-0005-0000-0000-000037B30000}"/>
    <cellStyle name="Normal 4 5 5 3 2 2 2 2 2" xfId="57565" xr:uid="{00000000-0005-0000-0000-000038B30000}"/>
    <cellStyle name="Normal 4 5 5 3 2 2 2 3" xfId="44003" xr:uid="{00000000-0005-0000-0000-000039B30000}"/>
    <cellStyle name="Normal 4 5 5 3 2 2 3" xfId="23651" xr:uid="{00000000-0005-0000-0000-00003AB30000}"/>
    <cellStyle name="Normal 4 5 5 3 2 2 3 2" xfId="50784" xr:uid="{00000000-0005-0000-0000-00003BB30000}"/>
    <cellStyle name="Normal 4 5 5 3 2 2 4" xfId="37222" xr:uid="{00000000-0005-0000-0000-00003CB30000}"/>
    <cellStyle name="Normal 4 5 5 3 2 3" xfId="13475" xr:uid="{00000000-0005-0000-0000-00003DB30000}"/>
    <cellStyle name="Normal 4 5 5 3 2 3 2" xfId="27043" xr:uid="{00000000-0005-0000-0000-00003EB30000}"/>
    <cellStyle name="Normal 4 5 5 3 2 3 2 2" xfId="54176" xr:uid="{00000000-0005-0000-0000-00003FB30000}"/>
    <cellStyle name="Normal 4 5 5 3 2 3 3" xfId="40614" xr:uid="{00000000-0005-0000-0000-000040B30000}"/>
    <cellStyle name="Normal 4 5 5 3 2 4" xfId="20262" xr:uid="{00000000-0005-0000-0000-000041B30000}"/>
    <cellStyle name="Normal 4 5 5 3 2 4 2" xfId="47395" xr:uid="{00000000-0005-0000-0000-000042B30000}"/>
    <cellStyle name="Normal 4 5 5 3 2 5" xfId="33833" xr:uid="{00000000-0005-0000-0000-000043B30000}"/>
    <cellStyle name="Normal 4 5 5 3 3" xfId="6543" xr:uid="{00000000-0005-0000-0000-000044B30000}"/>
    <cellStyle name="Normal 4 5 5 3 3 2" xfId="10075" xr:uid="{00000000-0005-0000-0000-000045B30000}"/>
    <cellStyle name="Normal 4 5 5 3 3 2 2" xfId="16865" xr:uid="{00000000-0005-0000-0000-000046B30000}"/>
    <cellStyle name="Normal 4 5 5 3 3 2 2 2" xfId="30433" xr:uid="{00000000-0005-0000-0000-000047B30000}"/>
    <cellStyle name="Normal 4 5 5 3 3 2 2 2 2" xfId="57566" xr:uid="{00000000-0005-0000-0000-000048B30000}"/>
    <cellStyle name="Normal 4 5 5 3 3 2 2 3" xfId="44004" xr:uid="{00000000-0005-0000-0000-000049B30000}"/>
    <cellStyle name="Normal 4 5 5 3 3 2 3" xfId="23652" xr:uid="{00000000-0005-0000-0000-00004AB30000}"/>
    <cellStyle name="Normal 4 5 5 3 3 2 3 2" xfId="50785" xr:uid="{00000000-0005-0000-0000-00004BB30000}"/>
    <cellStyle name="Normal 4 5 5 3 3 2 4" xfId="37223" xr:uid="{00000000-0005-0000-0000-00004CB30000}"/>
    <cellStyle name="Normal 4 5 5 3 3 3" xfId="13476" xr:uid="{00000000-0005-0000-0000-00004DB30000}"/>
    <cellStyle name="Normal 4 5 5 3 3 3 2" xfId="27044" xr:uid="{00000000-0005-0000-0000-00004EB30000}"/>
    <cellStyle name="Normal 4 5 5 3 3 3 2 2" xfId="54177" xr:uid="{00000000-0005-0000-0000-00004FB30000}"/>
    <cellStyle name="Normal 4 5 5 3 3 3 3" xfId="40615" xr:uid="{00000000-0005-0000-0000-000050B30000}"/>
    <cellStyle name="Normal 4 5 5 3 3 4" xfId="20263" xr:uid="{00000000-0005-0000-0000-000051B30000}"/>
    <cellStyle name="Normal 4 5 5 3 3 4 2" xfId="47396" xr:uid="{00000000-0005-0000-0000-000052B30000}"/>
    <cellStyle name="Normal 4 5 5 3 3 5" xfId="33834" xr:uid="{00000000-0005-0000-0000-000053B30000}"/>
    <cellStyle name="Normal 4 5 5 3 4" xfId="10073" xr:uid="{00000000-0005-0000-0000-000054B30000}"/>
    <cellStyle name="Normal 4 5 5 3 4 2" xfId="16863" xr:uid="{00000000-0005-0000-0000-000055B30000}"/>
    <cellStyle name="Normal 4 5 5 3 4 2 2" xfId="30431" xr:uid="{00000000-0005-0000-0000-000056B30000}"/>
    <cellStyle name="Normal 4 5 5 3 4 2 2 2" xfId="57564" xr:uid="{00000000-0005-0000-0000-000057B30000}"/>
    <cellStyle name="Normal 4 5 5 3 4 2 3" xfId="44002" xr:uid="{00000000-0005-0000-0000-000058B30000}"/>
    <cellStyle name="Normal 4 5 5 3 4 3" xfId="23650" xr:uid="{00000000-0005-0000-0000-000059B30000}"/>
    <cellStyle name="Normal 4 5 5 3 4 3 2" xfId="50783" xr:uid="{00000000-0005-0000-0000-00005AB30000}"/>
    <cellStyle name="Normal 4 5 5 3 4 4" xfId="37221" xr:uid="{00000000-0005-0000-0000-00005BB30000}"/>
    <cellStyle name="Normal 4 5 5 3 5" xfId="13474" xr:uid="{00000000-0005-0000-0000-00005CB30000}"/>
    <cellStyle name="Normal 4 5 5 3 5 2" xfId="27042" xr:uid="{00000000-0005-0000-0000-00005DB30000}"/>
    <cellStyle name="Normal 4 5 5 3 5 2 2" xfId="54175" xr:uid="{00000000-0005-0000-0000-00005EB30000}"/>
    <cellStyle name="Normal 4 5 5 3 5 3" xfId="40613" xr:uid="{00000000-0005-0000-0000-00005FB30000}"/>
    <cellStyle name="Normal 4 5 5 3 6" xfId="20261" xr:uid="{00000000-0005-0000-0000-000060B30000}"/>
    <cellStyle name="Normal 4 5 5 3 6 2" xfId="47394" xr:uid="{00000000-0005-0000-0000-000061B30000}"/>
    <cellStyle name="Normal 4 5 5 3 7" xfId="33832" xr:uid="{00000000-0005-0000-0000-000062B30000}"/>
    <cellStyle name="Normal 4 5 5 4" xfId="6544" xr:uid="{00000000-0005-0000-0000-000063B30000}"/>
    <cellStyle name="Normal 4 5 5 4 2" xfId="6545" xr:uid="{00000000-0005-0000-0000-000064B30000}"/>
    <cellStyle name="Normal 4 5 5 4 2 2" xfId="10077" xr:uid="{00000000-0005-0000-0000-000065B30000}"/>
    <cellStyle name="Normal 4 5 5 4 2 2 2" xfId="16867" xr:uid="{00000000-0005-0000-0000-000066B30000}"/>
    <cellStyle name="Normal 4 5 5 4 2 2 2 2" xfId="30435" xr:uid="{00000000-0005-0000-0000-000067B30000}"/>
    <cellStyle name="Normal 4 5 5 4 2 2 2 2 2" xfId="57568" xr:uid="{00000000-0005-0000-0000-000068B30000}"/>
    <cellStyle name="Normal 4 5 5 4 2 2 2 3" xfId="44006" xr:uid="{00000000-0005-0000-0000-000069B30000}"/>
    <cellStyle name="Normal 4 5 5 4 2 2 3" xfId="23654" xr:uid="{00000000-0005-0000-0000-00006AB30000}"/>
    <cellStyle name="Normal 4 5 5 4 2 2 3 2" xfId="50787" xr:uid="{00000000-0005-0000-0000-00006BB30000}"/>
    <cellStyle name="Normal 4 5 5 4 2 2 4" xfId="37225" xr:uid="{00000000-0005-0000-0000-00006CB30000}"/>
    <cellStyle name="Normal 4 5 5 4 2 3" xfId="13478" xr:uid="{00000000-0005-0000-0000-00006DB30000}"/>
    <cellStyle name="Normal 4 5 5 4 2 3 2" xfId="27046" xr:uid="{00000000-0005-0000-0000-00006EB30000}"/>
    <cellStyle name="Normal 4 5 5 4 2 3 2 2" xfId="54179" xr:uid="{00000000-0005-0000-0000-00006FB30000}"/>
    <cellStyle name="Normal 4 5 5 4 2 3 3" xfId="40617" xr:uid="{00000000-0005-0000-0000-000070B30000}"/>
    <cellStyle name="Normal 4 5 5 4 2 4" xfId="20265" xr:uid="{00000000-0005-0000-0000-000071B30000}"/>
    <cellStyle name="Normal 4 5 5 4 2 4 2" xfId="47398" xr:uid="{00000000-0005-0000-0000-000072B30000}"/>
    <cellStyle name="Normal 4 5 5 4 2 5" xfId="33836" xr:uid="{00000000-0005-0000-0000-000073B30000}"/>
    <cellStyle name="Normal 4 5 5 4 3" xfId="10076" xr:uid="{00000000-0005-0000-0000-000074B30000}"/>
    <cellStyle name="Normal 4 5 5 4 3 2" xfId="16866" xr:uid="{00000000-0005-0000-0000-000075B30000}"/>
    <cellStyle name="Normal 4 5 5 4 3 2 2" xfId="30434" xr:uid="{00000000-0005-0000-0000-000076B30000}"/>
    <cellStyle name="Normal 4 5 5 4 3 2 2 2" xfId="57567" xr:uid="{00000000-0005-0000-0000-000077B30000}"/>
    <cellStyle name="Normal 4 5 5 4 3 2 3" xfId="44005" xr:uid="{00000000-0005-0000-0000-000078B30000}"/>
    <cellStyle name="Normal 4 5 5 4 3 3" xfId="23653" xr:uid="{00000000-0005-0000-0000-000079B30000}"/>
    <cellStyle name="Normal 4 5 5 4 3 3 2" xfId="50786" xr:uid="{00000000-0005-0000-0000-00007AB30000}"/>
    <cellStyle name="Normal 4 5 5 4 3 4" xfId="37224" xr:uid="{00000000-0005-0000-0000-00007BB30000}"/>
    <cellStyle name="Normal 4 5 5 4 4" xfId="13477" xr:uid="{00000000-0005-0000-0000-00007CB30000}"/>
    <cellStyle name="Normal 4 5 5 4 4 2" xfId="27045" xr:uid="{00000000-0005-0000-0000-00007DB30000}"/>
    <cellStyle name="Normal 4 5 5 4 4 2 2" xfId="54178" xr:uid="{00000000-0005-0000-0000-00007EB30000}"/>
    <cellStyle name="Normal 4 5 5 4 4 3" xfId="40616" xr:uid="{00000000-0005-0000-0000-00007FB30000}"/>
    <cellStyle name="Normal 4 5 5 4 5" xfId="20264" xr:uid="{00000000-0005-0000-0000-000080B30000}"/>
    <cellStyle name="Normal 4 5 5 4 5 2" xfId="47397" xr:uid="{00000000-0005-0000-0000-000081B30000}"/>
    <cellStyle name="Normal 4 5 5 4 6" xfId="33835" xr:uid="{00000000-0005-0000-0000-000082B30000}"/>
    <cellStyle name="Normal 4 5 5 5" xfId="6546" xr:uid="{00000000-0005-0000-0000-000083B30000}"/>
    <cellStyle name="Normal 4 5 5 5 2" xfId="10078" xr:uid="{00000000-0005-0000-0000-000084B30000}"/>
    <cellStyle name="Normal 4 5 5 5 2 2" xfId="16868" xr:uid="{00000000-0005-0000-0000-000085B30000}"/>
    <cellStyle name="Normal 4 5 5 5 2 2 2" xfId="30436" xr:uid="{00000000-0005-0000-0000-000086B30000}"/>
    <cellStyle name="Normal 4 5 5 5 2 2 2 2" xfId="57569" xr:uid="{00000000-0005-0000-0000-000087B30000}"/>
    <cellStyle name="Normal 4 5 5 5 2 2 3" xfId="44007" xr:uid="{00000000-0005-0000-0000-000088B30000}"/>
    <cellStyle name="Normal 4 5 5 5 2 3" xfId="23655" xr:uid="{00000000-0005-0000-0000-000089B30000}"/>
    <cellStyle name="Normal 4 5 5 5 2 3 2" xfId="50788" xr:uid="{00000000-0005-0000-0000-00008AB30000}"/>
    <cellStyle name="Normal 4 5 5 5 2 4" xfId="37226" xr:uid="{00000000-0005-0000-0000-00008BB30000}"/>
    <cellStyle name="Normal 4 5 5 5 3" xfId="13479" xr:uid="{00000000-0005-0000-0000-00008CB30000}"/>
    <cellStyle name="Normal 4 5 5 5 3 2" xfId="27047" xr:uid="{00000000-0005-0000-0000-00008DB30000}"/>
    <cellStyle name="Normal 4 5 5 5 3 2 2" xfId="54180" xr:uid="{00000000-0005-0000-0000-00008EB30000}"/>
    <cellStyle name="Normal 4 5 5 5 3 3" xfId="40618" xr:uid="{00000000-0005-0000-0000-00008FB30000}"/>
    <cellStyle name="Normal 4 5 5 5 4" xfId="20266" xr:uid="{00000000-0005-0000-0000-000090B30000}"/>
    <cellStyle name="Normal 4 5 5 5 4 2" xfId="47399" xr:uid="{00000000-0005-0000-0000-000091B30000}"/>
    <cellStyle name="Normal 4 5 5 5 5" xfId="33837" xr:uid="{00000000-0005-0000-0000-000092B30000}"/>
    <cellStyle name="Normal 4 5 5 6" xfId="6547" xr:uid="{00000000-0005-0000-0000-000093B30000}"/>
    <cellStyle name="Normal 4 5 5 6 2" xfId="10079" xr:uid="{00000000-0005-0000-0000-000094B30000}"/>
    <cellStyle name="Normal 4 5 5 6 2 2" xfId="16869" xr:uid="{00000000-0005-0000-0000-000095B30000}"/>
    <cellStyle name="Normal 4 5 5 6 2 2 2" xfId="30437" xr:uid="{00000000-0005-0000-0000-000096B30000}"/>
    <cellStyle name="Normal 4 5 5 6 2 2 2 2" xfId="57570" xr:uid="{00000000-0005-0000-0000-000097B30000}"/>
    <cellStyle name="Normal 4 5 5 6 2 2 3" xfId="44008" xr:uid="{00000000-0005-0000-0000-000098B30000}"/>
    <cellStyle name="Normal 4 5 5 6 2 3" xfId="23656" xr:uid="{00000000-0005-0000-0000-000099B30000}"/>
    <cellStyle name="Normal 4 5 5 6 2 3 2" xfId="50789" xr:uid="{00000000-0005-0000-0000-00009AB30000}"/>
    <cellStyle name="Normal 4 5 5 6 2 4" xfId="37227" xr:uid="{00000000-0005-0000-0000-00009BB30000}"/>
    <cellStyle name="Normal 4 5 5 6 3" xfId="13480" xr:uid="{00000000-0005-0000-0000-00009CB30000}"/>
    <cellStyle name="Normal 4 5 5 6 3 2" xfId="27048" xr:uid="{00000000-0005-0000-0000-00009DB30000}"/>
    <cellStyle name="Normal 4 5 5 6 3 2 2" xfId="54181" xr:uid="{00000000-0005-0000-0000-00009EB30000}"/>
    <cellStyle name="Normal 4 5 5 6 3 3" xfId="40619" xr:uid="{00000000-0005-0000-0000-00009FB30000}"/>
    <cellStyle name="Normal 4 5 5 6 4" xfId="20267" xr:uid="{00000000-0005-0000-0000-0000A0B30000}"/>
    <cellStyle name="Normal 4 5 5 6 4 2" xfId="47400" xr:uid="{00000000-0005-0000-0000-0000A1B30000}"/>
    <cellStyle name="Normal 4 5 5 6 5" xfId="33838" xr:uid="{00000000-0005-0000-0000-0000A2B30000}"/>
    <cellStyle name="Normal 4 5 5 7" xfId="10064" xr:uid="{00000000-0005-0000-0000-0000A3B30000}"/>
    <cellStyle name="Normal 4 5 5 7 2" xfId="16854" xr:uid="{00000000-0005-0000-0000-0000A4B30000}"/>
    <cellStyle name="Normal 4 5 5 7 2 2" xfId="30422" xr:uid="{00000000-0005-0000-0000-0000A5B30000}"/>
    <cellStyle name="Normal 4 5 5 7 2 2 2" xfId="57555" xr:uid="{00000000-0005-0000-0000-0000A6B30000}"/>
    <cellStyle name="Normal 4 5 5 7 2 3" xfId="43993" xr:uid="{00000000-0005-0000-0000-0000A7B30000}"/>
    <cellStyle name="Normal 4 5 5 7 3" xfId="23641" xr:uid="{00000000-0005-0000-0000-0000A8B30000}"/>
    <cellStyle name="Normal 4 5 5 7 3 2" xfId="50774" xr:uid="{00000000-0005-0000-0000-0000A9B30000}"/>
    <cellStyle name="Normal 4 5 5 7 4" xfId="37212" xr:uid="{00000000-0005-0000-0000-0000AAB30000}"/>
    <cellStyle name="Normal 4 5 5 8" xfId="13465" xr:uid="{00000000-0005-0000-0000-0000ABB30000}"/>
    <cellStyle name="Normal 4 5 5 8 2" xfId="27033" xr:uid="{00000000-0005-0000-0000-0000ACB30000}"/>
    <cellStyle name="Normal 4 5 5 8 2 2" xfId="54166" xr:uid="{00000000-0005-0000-0000-0000ADB30000}"/>
    <cellStyle name="Normal 4 5 5 8 3" xfId="40604" xr:uid="{00000000-0005-0000-0000-0000AEB30000}"/>
    <cellStyle name="Normal 4 5 5 9" xfId="20252" xr:uid="{00000000-0005-0000-0000-0000AFB30000}"/>
    <cellStyle name="Normal 4 5 5 9 2" xfId="47385" xr:uid="{00000000-0005-0000-0000-0000B0B30000}"/>
    <cellStyle name="Normal 4 5 6" xfId="6548" xr:uid="{00000000-0005-0000-0000-0000B1B30000}"/>
    <cellStyle name="Normal 4 5 6 2" xfId="6549" xr:uid="{00000000-0005-0000-0000-0000B2B30000}"/>
    <cellStyle name="Normal 4 5 6 2 2" xfId="6550" xr:uid="{00000000-0005-0000-0000-0000B3B30000}"/>
    <cellStyle name="Normal 4 5 6 2 2 2" xfId="10082" xr:uid="{00000000-0005-0000-0000-0000B4B30000}"/>
    <cellStyle name="Normal 4 5 6 2 2 2 2" xfId="16872" xr:uid="{00000000-0005-0000-0000-0000B5B30000}"/>
    <cellStyle name="Normal 4 5 6 2 2 2 2 2" xfId="30440" xr:uid="{00000000-0005-0000-0000-0000B6B30000}"/>
    <cellStyle name="Normal 4 5 6 2 2 2 2 2 2" xfId="57573" xr:uid="{00000000-0005-0000-0000-0000B7B30000}"/>
    <cellStyle name="Normal 4 5 6 2 2 2 2 3" xfId="44011" xr:uid="{00000000-0005-0000-0000-0000B8B30000}"/>
    <cellStyle name="Normal 4 5 6 2 2 2 3" xfId="23659" xr:uid="{00000000-0005-0000-0000-0000B9B30000}"/>
    <cellStyle name="Normal 4 5 6 2 2 2 3 2" xfId="50792" xr:uid="{00000000-0005-0000-0000-0000BAB30000}"/>
    <cellStyle name="Normal 4 5 6 2 2 2 4" xfId="37230" xr:uid="{00000000-0005-0000-0000-0000BBB30000}"/>
    <cellStyle name="Normal 4 5 6 2 2 3" xfId="13483" xr:uid="{00000000-0005-0000-0000-0000BCB30000}"/>
    <cellStyle name="Normal 4 5 6 2 2 3 2" xfId="27051" xr:uid="{00000000-0005-0000-0000-0000BDB30000}"/>
    <cellStyle name="Normal 4 5 6 2 2 3 2 2" xfId="54184" xr:uid="{00000000-0005-0000-0000-0000BEB30000}"/>
    <cellStyle name="Normal 4 5 6 2 2 3 3" xfId="40622" xr:uid="{00000000-0005-0000-0000-0000BFB30000}"/>
    <cellStyle name="Normal 4 5 6 2 2 4" xfId="20270" xr:uid="{00000000-0005-0000-0000-0000C0B30000}"/>
    <cellStyle name="Normal 4 5 6 2 2 4 2" xfId="47403" xr:uid="{00000000-0005-0000-0000-0000C1B30000}"/>
    <cellStyle name="Normal 4 5 6 2 2 5" xfId="33841" xr:uid="{00000000-0005-0000-0000-0000C2B30000}"/>
    <cellStyle name="Normal 4 5 6 2 3" xfId="6551" xr:uid="{00000000-0005-0000-0000-0000C3B30000}"/>
    <cellStyle name="Normal 4 5 6 2 3 2" xfId="10083" xr:uid="{00000000-0005-0000-0000-0000C4B30000}"/>
    <cellStyle name="Normal 4 5 6 2 3 2 2" xfId="16873" xr:uid="{00000000-0005-0000-0000-0000C5B30000}"/>
    <cellStyle name="Normal 4 5 6 2 3 2 2 2" xfId="30441" xr:uid="{00000000-0005-0000-0000-0000C6B30000}"/>
    <cellStyle name="Normal 4 5 6 2 3 2 2 2 2" xfId="57574" xr:uid="{00000000-0005-0000-0000-0000C7B30000}"/>
    <cellStyle name="Normal 4 5 6 2 3 2 2 3" xfId="44012" xr:uid="{00000000-0005-0000-0000-0000C8B30000}"/>
    <cellStyle name="Normal 4 5 6 2 3 2 3" xfId="23660" xr:uid="{00000000-0005-0000-0000-0000C9B30000}"/>
    <cellStyle name="Normal 4 5 6 2 3 2 3 2" xfId="50793" xr:uid="{00000000-0005-0000-0000-0000CAB30000}"/>
    <cellStyle name="Normal 4 5 6 2 3 2 4" xfId="37231" xr:uid="{00000000-0005-0000-0000-0000CBB30000}"/>
    <cellStyle name="Normal 4 5 6 2 3 3" xfId="13484" xr:uid="{00000000-0005-0000-0000-0000CCB30000}"/>
    <cellStyle name="Normal 4 5 6 2 3 3 2" xfId="27052" xr:uid="{00000000-0005-0000-0000-0000CDB30000}"/>
    <cellStyle name="Normal 4 5 6 2 3 3 2 2" xfId="54185" xr:uid="{00000000-0005-0000-0000-0000CEB30000}"/>
    <cellStyle name="Normal 4 5 6 2 3 3 3" xfId="40623" xr:uid="{00000000-0005-0000-0000-0000CFB30000}"/>
    <cellStyle name="Normal 4 5 6 2 3 4" xfId="20271" xr:uid="{00000000-0005-0000-0000-0000D0B30000}"/>
    <cellStyle name="Normal 4 5 6 2 3 4 2" xfId="47404" xr:uid="{00000000-0005-0000-0000-0000D1B30000}"/>
    <cellStyle name="Normal 4 5 6 2 3 5" xfId="33842" xr:uid="{00000000-0005-0000-0000-0000D2B30000}"/>
    <cellStyle name="Normal 4 5 6 2 4" xfId="10081" xr:uid="{00000000-0005-0000-0000-0000D3B30000}"/>
    <cellStyle name="Normal 4 5 6 2 4 2" xfId="16871" xr:uid="{00000000-0005-0000-0000-0000D4B30000}"/>
    <cellStyle name="Normal 4 5 6 2 4 2 2" xfId="30439" xr:uid="{00000000-0005-0000-0000-0000D5B30000}"/>
    <cellStyle name="Normal 4 5 6 2 4 2 2 2" xfId="57572" xr:uid="{00000000-0005-0000-0000-0000D6B30000}"/>
    <cellStyle name="Normal 4 5 6 2 4 2 3" xfId="44010" xr:uid="{00000000-0005-0000-0000-0000D7B30000}"/>
    <cellStyle name="Normal 4 5 6 2 4 3" xfId="23658" xr:uid="{00000000-0005-0000-0000-0000D8B30000}"/>
    <cellStyle name="Normal 4 5 6 2 4 3 2" xfId="50791" xr:uid="{00000000-0005-0000-0000-0000D9B30000}"/>
    <cellStyle name="Normal 4 5 6 2 4 4" xfId="37229" xr:uid="{00000000-0005-0000-0000-0000DAB30000}"/>
    <cellStyle name="Normal 4 5 6 2 5" xfId="13482" xr:uid="{00000000-0005-0000-0000-0000DBB30000}"/>
    <cellStyle name="Normal 4 5 6 2 5 2" xfId="27050" xr:uid="{00000000-0005-0000-0000-0000DCB30000}"/>
    <cellStyle name="Normal 4 5 6 2 5 2 2" xfId="54183" xr:uid="{00000000-0005-0000-0000-0000DDB30000}"/>
    <cellStyle name="Normal 4 5 6 2 5 3" xfId="40621" xr:uid="{00000000-0005-0000-0000-0000DEB30000}"/>
    <cellStyle name="Normal 4 5 6 2 6" xfId="20269" xr:uid="{00000000-0005-0000-0000-0000DFB30000}"/>
    <cellStyle name="Normal 4 5 6 2 6 2" xfId="47402" xr:uid="{00000000-0005-0000-0000-0000E0B30000}"/>
    <cellStyle name="Normal 4 5 6 2 7" xfId="33840" xr:uid="{00000000-0005-0000-0000-0000E1B30000}"/>
    <cellStyle name="Normal 4 5 6 3" xfId="6552" xr:uid="{00000000-0005-0000-0000-0000E2B30000}"/>
    <cellStyle name="Normal 4 5 6 3 2" xfId="6553" xr:uid="{00000000-0005-0000-0000-0000E3B30000}"/>
    <cellStyle name="Normal 4 5 6 3 2 2" xfId="10085" xr:uid="{00000000-0005-0000-0000-0000E4B30000}"/>
    <cellStyle name="Normal 4 5 6 3 2 2 2" xfId="16875" xr:uid="{00000000-0005-0000-0000-0000E5B30000}"/>
    <cellStyle name="Normal 4 5 6 3 2 2 2 2" xfId="30443" xr:uid="{00000000-0005-0000-0000-0000E6B30000}"/>
    <cellStyle name="Normal 4 5 6 3 2 2 2 2 2" xfId="57576" xr:uid="{00000000-0005-0000-0000-0000E7B30000}"/>
    <cellStyle name="Normal 4 5 6 3 2 2 2 3" xfId="44014" xr:uid="{00000000-0005-0000-0000-0000E8B30000}"/>
    <cellStyle name="Normal 4 5 6 3 2 2 3" xfId="23662" xr:uid="{00000000-0005-0000-0000-0000E9B30000}"/>
    <cellStyle name="Normal 4 5 6 3 2 2 3 2" xfId="50795" xr:uid="{00000000-0005-0000-0000-0000EAB30000}"/>
    <cellStyle name="Normal 4 5 6 3 2 2 4" xfId="37233" xr:uid="{00000000-0005-0000-0000-0000EBB30000}"/>
    <cellStyle name="Normal 4 5 6 3 2 3" xfId="13486" xr:uid="{00000000-0005-0000-0000-0000ECB30000}"/>
    <cellStyle name="Normal 4 5 6 3 2 3 2" xfId="27054" xr:uid="{00000000-0005-0000-0000-0000EDB30000}"/>
    <cellStyle name="Normal 4 5 6 3 2 3 2 2" xfId="54187" xr:uid="{00000000-0005-0000-0000-0000EEB30000}"/>
    <cellStyle name="Normal 4 5 6 3 2 3 3" xfId="40625" xr:uid="{00000000-0005-0000-0000-0000EFB30000}"/>
    <cellStyle name="Normal 4 5 6 3 2 4" xfId="20273" xr:uid="{00000000-0005-0000-0000-0000F0B30000}"/>
    <cellStyle name="Normal 4 5 6 3 2 4 2" xfId="47406" xr:uid="{00000000-0005-0000-0000-0000F1B30000}"/>
    <cellStyle name="Normal 4 5 6 3 2 5" xfId="33844" xr:uid="{00000000-0005-0000-0000-0000F2B30000}"/>
    <cellStyle name="Normal 4 5 6 3 3" xfId="10084" xr:uid="{00000000-0005-0000-0000-0000F3B30000}"/>
    <cellStyle name="Normal 4 5 6 3 3 2" xfId="16874" xr:uid="{00000000-0005-0000-0000-0000F4B30000}"/>
    <cellStyle name="Normal 4 5 6 3 3 2 2" xfId="30442" xr:uid="{00000000-0005-0000-0000-0000F5B30000}"/>
    <cellStyle name="Normal 4 5 6 3 3 2 2 2" xfId="57575" xr:uid="{00000000-0005-0000-0000-0000F6B30000}"/>
    <cellStyle name="Normal 4 5 6 3 3 2 3" xfId="44013" xr:uid="{00000000-0005-0000-0000-0000F7B30000}"/>
    <cellStyle name="Normal 4 5 6 3 3 3" xfId="23661" xr:uid="{00000000-0005-0000-0000-0000F8B30000}"/>
    <cellStyle name="Normal 4 5 6 3 3 3 2" xfId="50794" xr:uid="{00000000-0005-0000-0000-0000F9B30000}"/>
    <cellStyle name="Normal 4 5 6 3 3 4" xfId="37232" xr:uid="{00000000-0005-0000-0000-0000FAB30000}"/>
    <cellStyle name="Normal 4 5 6 3 4" xfId="13485" xr:uid="{00000000-0005-0000-0000-0000FBB30000}"/>
    <cellStyle name="Normal 4 5 6 3 4 2" xfId="27053" xr:uid="{00000000-0005-0000-0000-0000FCB30000}"/>
    <cellStyle name="Normal 4 5 6 3 4 2 2" xfId="54186" xr:uid="{00000000-0005-0000-0000-0000FDB30000}"/>
    <cellStyle name="Normal 4 5 6 3 4 3" xfId="40624" xr:uid="{00000000-0005-0000-0000-0000FEB30000}"/>
    <cellStyle name="Normal 4 5 6 3 5" xfId="20272" xr:uid="{00000000-0005-0000-0000-0000FFB30000}"/>
    <cellStyle name="Normal 4 5 6 3 5 2" xfId="47405" xr:uid="{00000000-0005-0000-0000-000000B40000}"/>
    <cellStyle name="Normal 4 5 6 3 6" xfId="33843" xr:uid="{00000000-0005-0000-0000-000001B40000}"/>
    <cellStyle name="Normal 4 5 6 4" xfId="6554" xr:uid="{00000000-0005-0000-0000-000002B40000}"/>
    <cellStyle name="Normal 4 5 6 4 2" xfId="10086" xr:uid="{00000000-0005-0000-0000-000003B40000}"/>
    <cellStyle name="Normal 4 5 6 4 2 2" xfId="16876" xr:uid="{00000000-0005-0000-0000-000004B40000}"/>
    <cellStyle name="Normal 4 5 6 4 2 2 2" xfId="30444" xr:uid="{00000000-0005-0000-0000-000005B40000}"/>
    <cellStyle name="Normal 4 5 6 4 2 2 2 2" xfId="57577" xr:uid="{00000000-0005-0000-0000-000006B40000}"/>
    <cellStyle name="Normal 4 5 6 4 2 2 3" xfId="44015" xr:uid="{00000000-0005-0000-0000-000007B40000}"/>
    <cellStyle name="Normal 4 5 6 4 2 3" xfId="23663" xr:uid="{00000000-0005-0000-0000-000008B40000}"/>
    <cellStyle name="Normal 4 5 6 4 2 3 2" xfId="50796" xr:uid="{00000000-0005-0000-0000-000009B40000}"/>
    <cellStyle name="Normal 4 5 6 4 2 4" xfId="37234" xr:uid="{00000000-0005-0000-0000-00000AB40000}"/>
    <cellStyle name="Normal 4 5 6 4 3" xfId="13487" xr:uid="{00000000-0005-0000-0000-00000BB40000}"/>
    <cellStyle name="Normal 4 5 6 4 3 2" xfId="27055" xr:uid="{00000000-0005-0000-0000-00000CB40000}"/>
    <cellStyle name="Normal 4 5 6 4 3 2 2" xfId="54188" xr:uid="{00000000-0005-0000-0000-00000DB40000}"/>
    <cellStyle name="Normal 4 5 6 4 3 3" xfId="40626" xr:uid="{00000000-0005-0000-0000-00000EB40000}"/>
    <cellStyle name="Normal 4 5 6 4 4" xfId="20274" xr:uid="{00000000-0005-0000-0000-00000FB40000}"/>
    <cellStyle name="Normal 4 5 6 4 4 2" xfId="47407" xr:uid="{00000000-0005-0000-0000-000010B40000}"/>
    <cellStyle name="Normal 4 5 6 4 5" xfId="33845" xr:uid="{00000000-0005-0000-0000-000011B40000}"/>
    <cellStyle name="Normal 4 5 6 5" xfId="6555" xr:uid="{00000000-0005-0000-0000-000012B40000}"/>
    <cellStyle name="Normal 4 5 6 5 2" xfId="10087" xr:uid="{00000000-0005-0000-0000-000013B40000}"/>
    <cellStyle name="Normal 4 5 6 5 2 2" xfId="16877" xr:uid="{00000000-0005-0000-0000-000014B40000}"/>
    <cellStyle name="Normal 4 5 6 5 2 2 2" xfId="30445" xr:uid="{00000000-0005-0000-0000-000015B40000}"/>
    <cellStyle name="Normal 4 5 6 5 2 2 2 2" xfId="57578" xr:uid="{00000000-0005-0000-0000-000016B40000}"/>
    <cellStyle name="Normal 4 5 6 5 2 2 3" xfId="44016" xr:uid="{00000000-0005-0000-0000-000017B40000}"/>
    <cellStyle name="Normal 4 5 6 5 2 3" xfId="23664" xr:uid="{00000000-0005-0000-0000-000018B40000}"/>
    <cellStyle name="Normal 4 5 6 5 2 3 2" xfId="50797" xr:uid="{00000000-0005-0000-0000-000019B40000}"/>
    <cellStyle name="Normal 4 5 6 5 2 4" xfId="37235" xr:uid="{00000000-0005-0000-0000-00001AB40000}"/>
    <cellStyle name="Normal 4 5 6 5 3" xfId="13488" xr:uid="{00000000-0005-0000-0000-00001BB40000}"/>
    <cellStyle name="Normal 4 5 6 5 3 2" xfId="27056" xr:uid="{00000000-0005-0000-0000-00001CB40000}"/>
    <cellStyle name="Normal 4 5 6 5 3 2 2" xfId="54189" xr:uid="{00000000-0005-0000-0000-00001DB40000}"/>
    <cellStyle name="Normal 4 5 6 5 3 3" xfId="40627" xr:uid="{00000000-0005-0000-0000-00001EB40000}"/>
    <cellStyle name="Normal 4 5 6 5 4" xfId="20275" xr:uid="{00000000-0005-0000-0000-00001FB40000}"/>
    <cellStyle name="Normal 4 5 6 5 4 2" xfId="47408" xr:uid="{00000000-0005-0000-0000-000020B40000}"/>
    <cellStyle name="Normal 4 5 6 5 5" xfId="33846" xr:uid="{00000000-0005-0000-0000-000021B40000}"/>
    <cellStyle name="Normal 4 5 6 6" xfId="10080" xr:uid="{00000000-0005-0000-0000-000022B40000}"/>
    <cellStyle name="Normal 4 5 6 6 2" xfId="16870" xr:uid="{00000000-0005-0000-0000-000023B40000}"/>
    <cellStyle name="Normal 4 5 6 6 2 2" xfId="30438" xr:uid="{00000000-0005-0000-0000-000024B40000}"/>
    <cellStyle name="Normal 4 5 6 6 2 2 2" xfId="57571" xr:uid="{00000000-0005-0000-0000-000025B40000}"/>
    <cellStyle name="Normal 4 5 6 6 2 3" xfId="44009" xr:uid="{00000000-0005-0000-0000-000026B40000}"/>
    <cellStyle name="Normal 4 5 6 6 3" xfId="23657" xr:uid="{00000000-0005-0000-0000-000027B40000}"/>
    <cellStyle name="Normal 4 5 6 6 3 2" xfId="50790" xr:uid="{00000000-0005-0000-0000-000028B40000}"/>
    <cellStyle name="Normal 4 5 6 6 4" xfId="37228" xr:uid="{00000000-0005-0000-0000-000029B40000}"/>
    <cellStyle name="Normal 4 5 6 7" xfId="13481" xr:uid="{00000000-0005-0000-0000-00002AB40000}"/>
    <cellStyle name="Normal 4 5 6 7 2" xfId="27049" xr:uid="{00000000-0005-0000-0000-00002BB40000}"/>
    <cellStyle name="Normal 4 5 6 7 2 2" xfId="54182" xr:uid="{00000000-0005-0000-0000-00002CB40000}"/>
    <cellStyle name="Normal 4 5 6 7 3" xfId="40620" xr:uid="{00000000-0005-0000-0000-00002DB40000}"/>
    <cellStyle name="Normal 4 5 6 8" xfId="20268" xr:uid="{00000000-0005-0000-0000-00002EB40000}"/>
    <cellStyle name="Normal 4 5 6 8 2" xfId="47401" xr:uid="{00000000-0005-0000-0000-00002FB40000}"/>
    <cellStyle name="Normal 4 5 6 9" xfId="33839" xr:uid="{00000000-0005-0000-0000-000030B40000}"/>
    <cellStyle name="Normal 4 5 7" xfId="6556" xr:uid="{00000000-0005-0000-0000-000031B40000}"/>
    <cellStyle name="Normal 4 5 7 2" xfId="6557" xr:uid="{00000000-0005-0000-0000-000032B40000}"/>
    <cellStyle name="Normal 4 5 7 2 2" xfId="6558" xr:uid="{00000000-0005-0000-0000-000033B40000}"/>
    <cellStyle name="Normal 4 5 7 2 2 2" xfId="10090" xr:uid="{00000000-0005-0000-0000-000034B40000}"/>
    <cellStyle name="Normal 4 5 7 2 2 2 2" xfId="16880" xr:uid="{00000000-0005-0000-0000-000035B40000}"/>
    <cellStyle name="Normal 4 5 7 2 2 2 2 2" xfId="30448" xr:uid="{00000000-0005-0000-0000-000036B40000}"/>
    <cellStyle name="Normal 4 5 7 2 2 2 2 2 2" xfId="57581" xr:uid="{00000000-0005-0000-0000-000037B40000}"/>
    <cellStyle name="Normal 4 5 7 2 2 2 2 3" xfId="44019" xr:uid="{00000000-0005-0000-0000-000038B40000}"/>
    <cellStyle name="Normal 4 5 7 2 2 2 3" xfId="23667" xr:uid="{00000000-0005-0000-0000-000039B40000}"/>
    <cellStyle name="Normal 4 5 7 2 2 2 3 2" xfId="50800" xr:uid="{00000000-0005-0000-0000-00003AB40000}"/>
    <cellStyle name="Normal 4 5 7 2 2 2 4" xfId="37238" xr:uid="{00000000-0005-0000-0000-00003BB40000}"/>
    <cellStyle name="Normal 4 5 7 2 2 3" xfId="13491" xr:uid="{00000000-0005-0000-0000-00003CB40000}"/>
    <cellStyle name="Normal 4 5 7 2 2 3 2" xfId="27059" xr:uid="{00000000-0005-0000-0000-00003DB40000}"/>
    <cellStyle name="Normal 4 5 7 2 2 3 2 2" xfId="54192" xr:uid="{00000000-0005-0000-0000-00003EB40000}"/>
    <cellStyle name="Normal 4 5 7 2 2 3 3" xfId="40630" xr:uid="{00000000-0005-0000-0000-00003FB40000}"/>
    <cellStyle name="Normal 4 5 7 2 2 4" xfId="20278" xr:uid="{00000000-0005-0000-0000-000040B40000}"/>
    <cellStyle name="Normal 4 5 7 2 2 4 2" xfId="47411" xr:uid="{00000000-0005-0000-0000-000041B40000}"/>
    <cellStyle name="Normal 4 5 7 2 2 5" xfId="33849" xr:uid="{00000000-0005-0000-0000-000042B40000}"/>
    <cellStyle name="Normal 4 5 7 2 3" xfId="6559" xr:uid="{00000000-0005-0000-0000-000043B40000}"/>
    <cellStyle name="Normal 4 5 7 2 3 2" xfId="10091" xr:uid="{00000000-0005-0000-0000-000044B40000}"/>
    <cellStyle name="Normal 4 5 7 2 3 2 2" xfId="16881" xr:uid="{00000000-0005-0000-0000-000045B40000}"/>
    <cellStyle name="Normal 4 5 7 2 3 2 2 2" xfId="30449" xr:uid="{00000000-0005-0000-0000-000046B40000}"/>
    <cellStyle name="Normal 4 5 7 2 3 2 2 2 2" xfId="57582" xr:uid="{00000000-0005-0000-0000-000047B40000}"/>
    <cellStyle name="Normal 4 5 7 2 3 2 2 3" xfId="44020" xr:uid="{00000000-0005-0000-0000-000048B40000}"/>
    <cellStyle name="Normal 4 5 7 2 3 2 3" xfId="23668" xr:uid="{00000000-0005-0000-0000-000049B40000}"/>
    <cellStyle name="Normal 4 5 7 2 3 2 3 2" xfId="50801" xr:uid="{00000000-0005-0000-0000-00004AB40000}"/>
    <cellStyle name="Normal 4 5 7 2 3 2 4" xfId="37239" xr:uid="{00000000-0005-0000-0000-00004BB40000}"/>
    <cellStyle name="Normal 4 5 7 2 3 3" xfId="13492" xr:uid="{00000000-0005-0000-0000-00004CB40000}"/>
    <cellStyle name="Normal 4 5 7 2 3 3 2" xfId="27060" xr:uid="{00000000-0005-0000-0000-00004DB40000}"/>
    <cellStyle name="Normal 4 5 7 2 3 3 2 2" xfId="54193" xr:uid="{00000000-0005-0000-0000-00004EB40000}"/>
    <cellStyle name="Normal 4 5 7 2 3 3 3" xfId="40631" xr:uid="{00000000-0005-0000-0000-00004FB40000}"/>
    <cellStyle name="Normal 4 5 7 2 3 4" xfId="20279" xr:uid="{00000000-0005-0000-0000-000050B40000}"/>
    <cellStyle name="Normal 4 5 7 2 3 4 2" xfId="47412" xr:uid="{00000000-0005-0000-0000-000051B40000}"/>
    <cellStyle name="Normal 4 5 7 2 3 5" xfId="33850" xr:uid="{00000000-0005-0000-0000-000052B40000}"/>
    <cellStyle name="Normal 4 5 7 2 4" xfId="10089" xr:uid="{00000000-0005-0000-0000-000053B40000}"/>
    <cellStyle name="Normal 4 5 7 2 4 2" xfId="16879" xr:uid="{00000000-0005-0000-0000-000054B40000}"/>
    <cellStyle name="Normal 4 5 7 2 4 2 2" xfId="30447" xr:uid="{00000000-0005-0000-0000-000055B40000}"/>
    <cellStyle name="Normal 4 5 7 2 4 2 2 2" xfId="57580" xr:uid="{00000000-0005-0000-0000-000056B40000}"/>
    <cellStyle name="Normal 4 5 7 2 4 2 3" xfId="44018" xr:uid="{00000000-0005-0000-0000-000057B40000}"/>
    <cellStyle name="Normal 4 5 7 2 4 3" xfId="23666" xr:uid="{00000000-0005-0000-0000-000058B40000}"/>
    <cellStyle name="Normal 4 5 7 2 4 3 2" xfId="50799" xr:uid="{00000000-0005-0000-0000-000059B40000}"/>
    <cellStyle name="Normal 4 5 7 2 4 4" xfId="37237" xr:uid="{00000000-0005-0000-0000-00005AB40000}"/>
    <cellStyle name="Normal 4 5 7 2 5" xfId="13490" xr:uid="{00000000-0005-0000-0000-00005BB40000}"/>
    <cellStyle name="Normal 4 5 7 2 5 2" xfId="27058" xr:uid="{00000000-0005-0000-0000-00005CB40000}"/>
    <cellStyle name="Normal 4 5 7 2 5 2 2" xfId="54191" xr:uid="{00000000-0005-0000-0000-00005DB40000}"/>
    <cellStyle name="Normal 4 5 7 2 5 3" xfId="40629" xr:uid="{00000000-0005-0000-0000-00005EB40000}"/>
    <cellStyle name="Normal 4 5 7 2 6" xfId="20277" xr:uid="{00000000-0005-0000-0000-00005FB40000}"/>
    <cellStyle name="Normal 4 5 7 2 6 2" xfId="47410" xr:uid="{00000000-0005-0000-0000-000060B40000}"/>
    <cellStyle name="Normal 4 5 7 2 7" xfId="33848" xr:uid="{00000000-0005-0000-0000-000061B40000}"/>
    <cellStyle name="Normal 4 5 7 3" xfId="6560" xr:uid="{00000000-0005-0000-0000-000062B40000}"/>
    <cellStyle name="Normal 4 5 7 3 2" xfId="10092" xr:uid="{00000000-0005-0000-0000-000063B40000}"/>
    <cellStyle name="Normal 4 5 7 3 2 2" xfId="16882" xr:uid="{00000000-0005-0000-0000-000064B40000}"/>
    <cellStyle name="Normal 4 5 7 3 2 2 2" xfId="30450" xr:uid="{00000000-0005-0000-0000-000065B40000}"/>
    <cellStyle name="Normal 4 5 7 3 2 2 2 2" xfId="57583" xr:uid="{00000000-0005-0000-0000-000066B40000}"/>
    <cellStyle name="Normal 4 5 7 3 2 2 3" xfId="44021" xr:uid="{00000000-0005-0000-0000-000067B40000}"/>
    <cellStyle name="Normal 4 5 7 3 2 3" xfId="23669" xr:uid="{00000000-0005-0000-0000-000068B40000}"/>
    <cellStyle name="Normal 4 5 7 3 2 3 2" xfId="50802" xr:uid="{00000000-0005-0000-0000-000069B40000}"/>
    <cellStyle name="Normal 4 5 7 3 2 4" xfId="37240" xr:uid="{00000000-0005-0000-0000-00006AB40000}"/>
    <cellStyle name="Normal 4 5 7 3 3" xfId="13493" xr:uid="{00000000-0005-0000-0000-00006BB40000}"/>
    <cellStyle name="Normal 4 5 7 3 3 2" xfId="27061" xr:uid="{00000000-0005-0000-0000-00006CB40000}"/>
    <cellStyle name="Normal 4 5 7 3 3 2 2" xfId="54194" xr:uid="{00000000-0005-0000-0000-00006DB40000}"/>
    <cellStyle name="Normal 4 5 7 3 3 3" xfId="40632" xr:uid="{00000000-0005-0000-0000-00006EB40000}"/>
    <cellStyle name="Normal 4 5 7 3 4" xfId="20280" xr:uid="{00000000-0005-0000-0000-00006FB40000}"/>
    <cellStyle name="Normal 4 5 7 3 4 2" xfId="47413" xr:uid="{00000000-0005-0000-0000-000070B40000}"/>
    <cellStyle name="Normal 4 5 7 3 5" xfId="33851" xr:uid="{00000000-0005-0000-0000-000071B40000}"/>
    <cellStyle name="Normal 4 5 7 4" xfId="6561" xr:uid="{00000000-0005-0000-0000-000072B40000}"/>
    <cellStyle name="Normal 4 5 7 4 2" xfId="10093" xr:uid="{00000000-0005-0000-0000-000073B40000}"/>
    <cellStyle name="Normal 4 5 7 4 2 2" xfId="16883" xr:uid="{00000000-0005-0000-0000-000074B40000}"/>
    <cellStyle name="Normal 4 5 7 4 2 2 2" xfId="30451" xr:uid="{00000000-0005-0000-0000-000075B40000}"/>
    <cellStyle name="Normal 4 5 7 4 2 2 2 2" xfId="57584" xr:uid="{00000000-0005-0000-0000-000076B40000}"/>
    <cellStyle name="Normal 4 5 7 4 2 2 3" xfId="44022" xr:uid="{00000000-0005-0000-0000-000077B40000}"/>
    <cellStyle name="Normal 4 5 7 4 2 3" xfId="23670" xr:uid="{00000000-0005-0000-0000-000078B40000}"/>
    <cellStyle name="Normal 4 5 7 4 2 3 2" xfId="50803" xr:uid="{00000000-0005-0000-0000-000079B40000}"/>
    <cellStyle name="Normal 4 5 7 4 2 4" xfId="37241" xr:uid="{00000000-0005-0000-0000-00007AB40000}"/>
    <cellStyle name="Normal 4 5 7 4 3" xfId="13494" xr:uid="{00000000-0005-0000-0000-00007BB40000}"/>
    <cellStyle name="Normal 4 5 7 4 3 2" xfId="27062" xr:uid="{00000000-0005-0000-0000-00007CB40000}"/>
    <cellStyle name="Normal 4 5 7 4 3 2 2" xfId="54195" xr:uid="{00000000-0005-0000-0000-00007DB40000}"/>
    <cellStyle name="Normal 4 5 7 4 3 3" xfId="40633" xr:uid="{00000000-0005-0000-0000-00007EB40000}"/>
    <cellStyle name="Normal 4 5 7 4 4" xfId="20281" xr:uid="{00000000-0005-0000-0000-00007FB40000}"/>
    <cellStyle name="Normal 4 5 7 4 4 2" xfId="47414" xr:uid="{00000000-0005-0000-0000-000080B40000}"/>
    <cellStyle name="Normal 4 5 7 4 5" xfId="33852" xr:uid="{00000000-0005-0000-0000-000081B40000}"/>
    <cellStyle name="Normal 4 5 7 5" xfId="10088" xr:uid="{00000000-0005-0000-0000-000082B40000}"/>
    <cellStyle name="Normal 4 5 7 5 2" xfId="16878" xr:uid="{00000000-0005-0000-0000-000083B40000}"/>
    <cellStyle name="Normal 4 5 7 5 2 2" xfId="30446" xr:uid="{00000000-0005-0000-0000-000084B40000}"/>
    <cellStyle name="Normal 4 5 7 5 2 2 2" xfId="57579" xr:uid="{00000000-0005-0000-0000-000085B40000}"/>
    <cellStyle name="Normal 4 5 7 5 2 3" xfId="44017" xr:uid="{00000000-0005-0000-0000-000086B40000}"/>
    <cellStyle name="Normal 4 5 7 5 3" xfId="23665" xr:uid="{00000000-0005-0000-0000-000087B40000}"/>
    <cellStyle name="Normal 4 5 7 5 3 2" xfId="50798" xr:uid="{00000000-0005-0000-0000-000088B40000}"/>
    <cellStyle name="Normal 4 5 7 5 4" xfId="37236" xr:uid="{00000000-0005-0000-0000-000089B40000}"/>
    <cellStyle name="Normal 4 5 7 6" xfId="13489" xr:uid="{00000000-0005-0000-0000-00008AB40000}"/>
    <cellStyle name="Normal 4 5 7 6 2" xfId="27057" xr:uid="{00000000-0005-0000-0000-00008BB40000}"/>
    <cellStyle name="Normal 4 5 7 6 2 2" xfId="54190" xr:uid="{00000000-0005-0000-0000-00008CB40000}"/>
    <cellStyle name="Normal 4 5 7 6 3" xfId="40628" xr:uid="{00000000-0005-0000-0000-00008DB40000}"/>
    <cellStyle name="Normal 4 5 7 7" xfId="20276" xr:uid="{00000000-0005-0000-0000-00008EB40000}"/>
    <cellStyle name="Normal 4 5 7 7 2" xfId="47409" xr:uid="{00000000-0005-0000-0000-00008FB40000}"/>
    <cellStyle name="Normal 4 5 7 8" xfId="33847" xr:uid="{00000000-0005-0000-0000-000090B40000}"/>
    <cellStyle name="Normal 4 5 8" xfId="6562" xr:uid="{00000000-0005-0000-0000-000091B40000}"/>
    <cellStyle name="Normal 4 5 8 2" xfId="6563" xr:uid="{00000000-0005-0000-0000-000092B40000}"/>
    <cellStyle name="Normal 4 5 8 2 2" xfId="6564" xr:uid="{00000000-0005-0000-0000-000093B40000}"/>
    <cellStyle name="Normal 4 5 8 2 2 2" xfId="10096" xr:uid="{00000000-0005-0000-0000-000094B40000}"/>
    <cellStyle name="Normal 4 5 8 2 2 2 2" xfId="16886" xr:uid="{00000000-0005-0000-0000-000095B40000}"/>
    <cellStyle name="Normal 4 5 8 2 2 2 2 2" xfId="30454" xr:uid="{00000000-0005-0000-0000-000096B40000}"/>
    <cellStyle name="Normal 4 5 8 2 2 2 2 2 2" xfId="57587" xr:uid="{00000000-0005-0000-0000-000097B40000}"/>
    <cellStyle name="Normal 4 5 8 2 2 2 2 3" xfId="44025" xr:uid="{00000000-0005-0000-0000-000098B40000}"/>
    <cellStyle name="Normal 4 5 8 2 2 2 3" xfId="23673" xr:uid="{00000000-0005-0000-0000-000099B40000}"/>
    <cellStyle name="Normal 4 5 8 2 2 2 3 2" xfId="50806" xr:uid="{00000000-0005-0000-0000-00009AB40000}"/>
    <cellStyle name="Normal 4 5 8 2 2 2 4" xfId="37244" xr:uid="{00000000-0005-0000-0000-00009BB40000}"/>
    <cellStyle name="Normal 4 5 8 2 2 3" xfId="13497" xr:uid="{00000000-0005-0000-0000-00009CB40000}"/>
    <cellStyle name="Normal 4 5 8 2 2 3 2" xfId="27065" xr:uid="{00000000-0005-0000-0000-00009DB40000}"/>
    <cellStyle name="Normal 4 5 8 2 2 3 2 2" xfId="54198" xr:uid="{00000000-0005-0000-0000-00009EB40000}"/>
    <cellStyle name="Normal 4 5 8 2 2 3 3" xfId="40636" xr:uid="{00000000-0005-0000-0000-00009FB40000}"/>
    <cellStyle name="Normal 4 5 8 2 2 4" xfId="20284" xr:uid="{00000000-0005-0000-0000-0000A0B40000}"/>
    <cellStyle name="Normal 4 5 8 2 2 4 2" xfId="47417" xr:uid="{00000000-0005-0000-0000-0000A1B40000}"/>
    <cellStyle name="Normal 4 5 8 2 2 5" xfId="33855" xr:uid="{00000000-0005-0000-0000-0000A2B40000}"/>
    <cellStyle name="Normal 4 5 8 2 3" xfId="6565" xr:uid="{00000000-0005-0000-0000-0000A3B40000}"/>
    <cellStyle name="Normal 4 5 8 2 3 2" xfId="10097" xr:uid="{00000000-0005-0000-0000-0000A4B40000}"/>
    <cellStyle name="Normal 4 5 8 2 3 2 2" xfId="16887" xr:uid="{00000000-0005-0000-0000-0000A5B40000}"/>
    <cellStyle name="Normal 4 5 8 2 3 2 2 2" xfId="30455" xr:uid="{00000000-0005-0000-0000-0000A6B40000}"/>
    <cellStyle name="Normal 4 5 8 2 3 2 2 2 2" xfId="57588" xr:uid="{00000000-0005-0000-0000-0000A7B40000}"/>
    <cellStyle name="Normal 4 5 8 2 3 2 2 3" xfId="44026" xr:uid="{00000000-0005-0000-0000-0000A8B40000}"/>
    <cellStyle name="Normal 4 5 8 2 3 2 3" xfId="23674" xr:uid="{00000000-0005-0000-0000-0000A9B40000}"/>
    <cellStyle name="Normal 4 5 8 2 3 2 3 2" xfId="50807" xr:uid="{00000000-0005-0000-0000-0000AAB40000}"/>
    <cellStyle name="Normal 4 5 8 2 3 2 4" xfId="37245" xr:uid="{00000000-0005-0000-0000-0000ABB40000}"/>
    <cellStyle name="Normal 4 5 8 2 3 3" xfId="13498" xr:uid="{00000000-0005-0000-0000-0000ACB40000}"/>
    <cellStyle name="Normal 4 5 8 2 3 3 2" xfId="27066" xr:uid="{00000000-0005-0000-0000-0000ADB40000}"/>
    <cellStyle name="Normal 4 5 8 2 3 3 2 2" xfId="54199" xr:uid="{00000000-0005-0000-0000-0000AEB40000}"/>
    <cellStyle name="Normal 4 5 8 2 3 3 3" xfId="40637" xr:uid="{00000000-0005-0000-0000-0000AFB40000}"/>
    <cellStyle name="Normal 4 5 8 2 3 4" xfId="20285" xr:uid="{00000000-0005-0000-0000-0000B0B40000}"/>
    <cellStyle name="Normal 4 5 8 2 3 4 2" xfId="47418" xr:uid="{00000000-0005-0000-0000-0000B1B40000}"/>
    <cellStyle name="Normal 4 5 8 2 3 5" xfId="33856" xr:uid="{00000000-0005-0000-0000-0000B2B40000}"/>
    <cellStyle name="Normal 4 5 8 2 4" xfId="10095" xr:uid="{00000000-0005-0000-0000-0000B3B40000}"/>
    <cellStyle name="Normal 4 5 8 2 4 2" xfId="16885" xr:uid="{00000000-0005-0000-0000-0000B4B40000}"/>
    <cellStyle name="Normal 4 5 8 2 4 2 2" xfId="30453" xr:uid="{00000000-0005-0000-0000-0000B5B40000}"/>
    <cellStyle name="Normal 4 5 8 2 4 2 2 2" xfId="57586" xr:uid="{00000000-0005-0000-0000-0000B6B40000}"/>
    <cellStyle name="Normal 4 5 8 2 4 2 3" xfId="44024" xr:uid="{00000000-0005-0000-0000-0000B7B40000}"/>
    <cellStyle name="Normal 4 5 8 2 4 3" xfId="23672" xr:uid="{00000000-0005-0000-0000-0000B8B40000}"/>
    <cellStyle name="Normal 4 5 8 2 4 3 2" xfId="50805" xr:uid="{00000000-0005-0000-0000-0000B9B40000}"/>
    <cellStyle name="Normal 4 5 8 2 4 4" xfId="37243" xr:uid="{00000000-0005-0000-0000-0000BAB40000}"/>
    <cellStyle name="Normal 4 5 8 2 5" xfId="13496" xr:uid="{00000000-0005-0000-0000-0000BBB40000}"/>
    <cellStyle name="Normal 4 5 8 2 5 2" xfId="27064" xr:uid="{00000000-0005-0000-0000-0000BCB40000}"/>
    <cellStyle name="Normal 4 5 8 2 5 2 2" xfId="54197" xr:uid="{00000000-0005-0000-0000-0000BDB40000}"/>
    <cellStyle name="Normal 4 5 8 2 5 3" xfId="40635" xr:uid="{00000000-0005-0000-0000-0000BEB40000}"/>
    <cellStyle name="Normal 4 5 8 2 6" xfId="20283" xr:uid="{00000000-0005-0000-0000-0000BFB40000}"/>
    <cellStyle name="Normal 4 5 8 2 6 2" xfId="47416" xr:uid="{00000000-0005-0000-0000-0000C0B40000}"/>
    <cellStyle name="Normal 4 5 8 2 7" xfId="33854" xr:uid="{00000000-0005-0000-0000-0000C1B40000}"/>
    <cellStyle name="Normal 4 5 8 3" xfId="6566" xr:uid="{00000000-0005-0000-0000-0000C2B40000}"/>
    <cellStyle name="Normal 4 5 8 3 2" xfId="10098" xr:uid="{00000000-0005-0000-0000-0000C3B40000}"/>
    <cellStyle name="Normal 4 5 8 3 2 2" xfId="16888" xr:uid="{00000000-0005-0000-0000-0000C4B40000}"/>
    <cellStyle name="Normal 4 5 8 3 2 2 2" xfId="30456" xr:uid="{00000000-0005-0000-0000-0000C5B40000}"/>
    <cellStyle name="Normal 4 5 8 3 2 2 2 2" xfId="57589" xr:uid="{00000000-0005-0000-0000-0000C6B40000}"/>
    <cellStyle name="Normal 4 5 8 3 2 2 3" xfId="44027" xr:uid="{00000000-0005-0000-0000-0000C7B40000}"/>
    <cellStyle name="Normal 4 5 8 3 2 3" xfId="23675" xr:uid="{00000000-0005-0000-0000-0000C8B40000}"/>
    <cellStyle name="Normal 4 5 8 3 2 3 2" xfId="50808" xr:uid="{00000000-0005-0000-0000-0000C9B40000}"/>
    <cellStyle name="Normal 4 5 8 3 2 4" xfId="37246" xr:uid="{00000000-0005-0000-0000-0000CAB40000}"/>
    <cellStyle name="Normal 4 5 8 3 3" xfId="13499" xr:uid="{00000000-0005-0000-0000-0000CBB40000}"/>
    <cellStyle name="Normal 4 5 8 3 3 2" xfId="27067" xr:uid="{00000000-0005-0000-0000-0000CCB40000}"/>
    <cellStyle name="Normal 4 5 8 3 3 2 2" xfId="54200" xr:uid="{00000000-0005-0000-0000-0000CDB40000}"/>
    <cellStyle name="Normal 4 5 8 3 3 3" xfId="40638" xr:uid="{00000000-0005-0000-0000-0000CEB40000}"/>
    <cellStyle name="Normal 4 5 8 3 4" xfId="20286" xr:uid="{00000000-0005-0000-0000-0000CFB40000}"/>
    <cellStyle name="Normal 4 5 8 3 4 2" xfId="47419" xr:uid="{00000000-0005-0000-0000-0000D0B40000}"/>
    <cellStyle name="Normal 4 5 8 3 5" xfId="33857" xr:uid="{00000000-0005-0000-0000-0000D1B40000}"/>
    <cellStyle name="Normal 4 5 8 4" xfId="6567" xr:uid="{00000000-0005-0000-0000-0000D2B40000}"/>
    <cellStyle name="Normal 4 5 8 4 2" xfId="10099" xr:uid="{00000000-0005-0000-0000-0000D3B40000}"/>
    <cellStyle name="Normal 4 5 8 4 2 2" xfId="16889" xr:uid="{00000000-0005-0000-0000-0000D4B40000}"/>
    <cellStyle name="Normal 4 5 8 4 2 2 2" xfId="30457" xr:uid="{00000000-0005-0000-0000-0000D5B40000}"/>
    <cellStyle name="Normal 4 5 8 4 2 2 2 2" xfId="57590" xr:uid="{00000000-0005-0000-0000-0000D6B40000}"/>
    <cellStyle name="Normal 4 5 8 4 2 2 3" xfId="44028" xr:uid="{00000000-0005-0000-0000-0000D7B40000}"/>
    <cellStyle name="Normal 4 5 8 4 2 3" xfId="23676" xr:uid="{00000000-0005-0000-0000-0000D8B40000}"/>
    <cellStyle name="Normal 4 5 8 4 2 3 2" xfId="50809" xr:uid="{00000000-0005-0000-0000-0000D9B40000}"/>
    <cellStyle name="Normal 4 5 8 4 2 4" xfId="37247" xr:uid="{00000000-0005-0000-0000-0000DAB40000}"/>
    <cellStyle name="Normal 4 5 8 4 3" xfId="13500" xr:uid="{00000000-0005-0000-0000-0000DBB40000}"/>
    <cellStyle name="Normal 4 5 8 4 3 2" xfId="27068" xr:uid="{00000000-0005-0000-0000-0000DCB40000}"/>
    <cellStyle name="Normal 4 5 8 4 3 2 2" xfId="54201" xr:uid="{00000000-0005-0000-0000-0000DDB40000}"/>
    <cellStyle name="Normal 4 5 8 4 3 3" xfId="40639" xr:uid="{00000000-0005-0000-0000-0000DEB40000}"/>
    <cellStyle name="Normal 4 5 8 4 4" xfId="20287" xr:uid="{00000000-0005-0000-0000-0000DFB40000}"/>
    <cellStyle name="Normal 4 5 8 4 4 2" xfId="47420" xr:uid="{00000000-0005-0000-0000-0000E0B40000}"/>
    <cellStyle name="Normal 4 5 8 4 5" xfId="33858" xr:uid="{00000000-0005-0000-0000-0000E1B40000}"/>
    <cellStyle name="Normal 4 5 8 5" xfId="10094" xr:uid="{00000000-0005-0000-0000-0000E2B40000}"/>
    <cellStyle name="Normal 4 5 8 5 2" xfId="16884" xr:uid="{00000000-0005-0000-0000-0000E3B40000}"/>
    <cellStyle name="Normal 4 5 8 5 2 2" xfId="30452" xr:uid="{00000000-0005-0000-0000-0000E4B40000}"/>
    <cellStyle name="Normal 4 5 8 5 2 2 2" xfId="57585" xr:uid="{00000000-0005-0000-0000-0000E5B40000}"/>
    <cellStyle name="Normal 4 5 8 5 2 3" xfId="44023" xr:uid="{00000000-0005-0000-0000-0000E6B40000}"/>
    <cellStyle name="Normal 4 5 8 5 3" xfId="23671" xr:uid="{00000000-0005-0000-0000-0000E7B40000}"/>
    <cellStyle name="Normal 4 5 8 5 3 2" xfId="50804" xr:uid="{00000000-0005-0000-0000-0000E8B40000}"/>
    <cellStyle name="Normal 4 5 8 5 4" xfId="37242" xr:uid="{00000000-0005-0000-0000-0000E9B40000}"/>
    <cellStyle name="Normal 4 5 8 6" xfId="13495" xr:uid="{00000000-0005-0000-0000-0000EAB40000}"/>
    <cellStyle name="Normal 4 5 8 6 2" xfId="27063" xr:uid="{00000000-0005-0000-0000-0000EBB40000}"/>
    <cellStyle name="Normal 4 5 8 6 2 2" xfId="54196" xr:uid="{00000000-0005-0000-0000-0000ECB40000}"/>
    <cellStyle name="Normal 4 5 8 6 3" xfId="40634" xr:uid="{00000000-0005-0000-0000-0000EDB40000}"/>
    <cellStyle name="Normal 4 5 8 7" xfId="20282" xr:uid="{00000000-0005-0000-0000-0000EEB40000}"/>
    <cellStyle name="Normal 4 5 8 7 2" xfId="47415" xr:uid="{00000000-0005-0000-0000-0000EFB40000}"/>
    <cellStyle name="Normal 4 5 8 8" xfId="33853" xr:uid="{00000000-0005-0000-0000-0000F0B40000}"/>
    <cellStyle name="Normal 4 5 9" xfId="6568" xr:uid="{00000000-0005-0000-0000-0000F1B40000}"/>
    <cellStyle name="Normal 4 5 9 2" xfId="6569" xr:uid="{00000000-0005-0000-0000-0000F2B40000}"/>
    <cellStyle name="Normal 4 5 9 2 2" xfId="10101" xr:uid="{00000000-0005-0000-0000-0000F3B40000}"/>
    <cellStyle name="Normal 4 5 9 2 2 2" xfId="16891" xr:uid="{00000000-0005-0000-0000-0000F4B40000}"/>
    <cellStyle name="Normal 4 5 9 2 2 2 2" xfId="30459" xr:uid="{00000000-0005-0000-0000-0000F5B40000}"/>
    <cellStyle name="Normal 4 5 9 2 2 2 2 2" xfId="57592" xr:uid="{00000000-0005-0000-0000-0000F6B40000}"/>
    <cellStyle name="Normal 4 5 9 2 2 2 3" xfId="44030" xr:uid="{00000000-0005-0000-0000-0000F7B40000}"/>
    <cellStyle name="Normal 4 5 9 2 2 3" xfId="23678" xr:uid="{00000000-0005-0000-0000-0000F8B40000}"/>
    <cellStyle name="Normal 4 5 9 2 2 3 2" xfId="50811" xr:uid="{00000000-0005-0000-0000-0000F9B40000}"/>
    <cellStyle name="Normal 4 5 9 2 2 4" xfId="37249" xr:uid="{00000000-0005-0000-0000-0000FAB40000}"/>
    <cellStyle name="Normal 4 5 9 2 3" xfId="13502" xr:uid="{00000000-0005-0000-0000-0000FBB40000}"/>
    <cellStyle name="Normal 4 5 9 2 3 2" xfId="27070" xr:uid="{00000000-0005-0000-0000-0000FCB40000}"/>
    <cellStyle name="Normal 4 5 9 2 3 2 2" xfId="54203" xr:uid="{00000000-0005-0000-0000-0000FDB40000}"/>
    <cellStyle name="Normal 4 5 9 2 3 3" xfId="40641" xr:uid="{00000000-0005-0000-0000-0000FEB40000}"/>
    <cellStyle name="Normal 4 5 9 2 4" xfId="20289" xr:uid="{00000000-0005-0000-0000-0000FFB40000}"/>
    <cellStyle name="Normal 4 5 9 2 4 2" xfId="47422" xr:uid="{00000000-0005-0000-0000-000000B50000}"/>
    <cellStyle name="Normal 4 5 9 2 5" xfId="33860" xr:uid="{00000000-0005-0000-0000-000001B50000}"/>
    <cellStyle name="Normal 4 5 9 3" xfId="10100" xr:uid="{00000000-0005-0000-0000-000002B50000}"/>
    <cellStyle name="Normal 4 5 9 3 2" xfId="16890" xr:uid="{00000000-0005-0000-0000-000003B50000}"/>
    <cellStyle name="Normal 4 5 9 3 2 2" xfId="30458" xr:uid="{00000000-0005-0000-0000-000004B50000}"/>
    <cellStyle name="Normal 4 5 9 3 2 2 2" xfId="57591" xr:uid="{00000000-0005-0000-0000-000005B50000}"/>
    <cellStyle name="Normal 4 5 9 3 2 3" xfId="44029" xr:uid="{00000000-0005-0000-0000-000006B50000}"/>
    <cellStyle name="Normal 4 5 9 3 3" xfId="23677" xr:uid="{00000000-0005-0000-0000-000007B50000}"/>
    <cellStyle name="Normal 4 5 9 3 3 2" xfId="50810" xr:uid="{00000000-0005-0000-0000-000008B50000}"/>
    <cellStyle name="Normal 4 5 9 3 4" xfId="37248" xr:uid="{00000000-0005-0000-0000-000009B50000}"/>
    <cellStyle name="Normal 4 5 9 4" xfId="13501" xr:uid="{00000000-0005-0000-0000-00000AB50000}"/>
    <cellStyle name="Normal 4 5 9 4 2" xfId="27069" xr:uid="{00000000-0005-0000-0000-00000BB50000}"/>
    <cellStyle name="Normal 4 5 9 4 2 2" xfId="54202" xr:uid="{00000000-0005-0000-0000-00000CB50000}"/>
    <cellStyle name="Normal 4 5 9 4 3" xfId="40640" xr:uid="{00000000-0005-0000-0000-00000DB50000}"/>
    <cellStyle name="Normal 4 5 9 5" xfId="20288" xr:uid="{00000000-0005-0000-0000-00000EB50000}"/>
    <cellStyle name="Normal 4 5 9 5 2" xfId="47421" xr:uid="{00000000-0005-0000-0000-00000FB50000}"/>
    <cellStyle name="Normal 4 5 9 6" xfId="33859" xr:uid="{00000000-0005-0000-0000-000010B50000}"/>
    <cellStyle name="Normal 4 6" xfId="2778" xr:uid="{00000000-0005-0000-0000-000011B50000}"/>
    <cellStyle name="Normal 4 6 2" xfId="6570" xr:uid="{00000000-0005-0000-0000-000012B50000}"/>
    <cellStyle name="Normal 4 6 2 10" xfId="33861" xr:uid="{00000000-0005-0000-0000-000013B50000}"/>
    <cellStyle name="Normal 4 6 2 2" xfId="6571" xr:uid="{00000000-0005-0000-0000-000014B50000}"/>
    <cellStyle name="Normal 4 6 2 2 2" xfId="6572" xr:uid="{00000000-0005-0000-0000-000015B50000}"/>
    <cellStyle name="Normal 4 6 2 2 2 2" xfId="6573" xr:uid="{00000000-0005-0000-0000-000016B50000}"/>
    <cellStyle name="Normal 4 6 2 2 2 2 2" xfId="10105" xr:uid="{00000000-0005-0000-0000-000017B50000}"/>
    <cellStyle name="Normal 4 6 2 2 2 2 2 2" xfId="16895" xr:uid="{00000000-0005-0000-0000-000018B50000}"/>
    <cellStyle name="Normal 4 6 2 2 2 2 2 2 2" xfId="30463" xr:uid="{00000000-0005-0000-0000-000019B50000}"/>
    <cellStyle name="Normal 4 6 2 2 2 2 2 2 2 2" xfId="57596" xr:uid="{00000000-0005-0000-0000-00001AB50000}"/>
    <cellStyle name="Normal 4 6 2 2 2 2 2 2 3" xfId="44034" xr:uid="{00000000-0005-0000-0000-00001BB50000}"/>
    <cellStyle name="Normal 4 6 2 2 2 2 2 3" xfId="23682" xr:uid="{00000000-0005-0000-0000-00001CB50000}"/>
    <cellStyle name="Normal 4 6 2 2 2 2 2 3 2" xfId="50815" xr:uid="{00000000-0005-0000-0000-00001DB50000}"/>
    <cellStyle name="Normal 4 6 2 2 2 2 2 4" xfId="37253" xr:uid="{00000000-0005-0000-0000-00001EB50000}"/>
    <cellStyle name="Normal 4 6 2 2 2 2 3" xfId="13506" xr:uid="{00000000-0005-0000-0000-00001FB50000}"/>
    <cellStyle name="Normal 4 6 2 2 2 2 3 2" xfId="27074" xr:uid="{00000000-0005-0000-0000-000020B50000}"/>
    <cellStyle name="Normal 4 6 2 2 2 2 3 2 2" xfId="54207" xr:uid="{00000000-0005-0000-0000-000021B50000}"/>
    <cellStyle name="Normal 4 6 2 2 2 2 3 3" xfId="40645" xr:uid="{00000000-0005-0000-0000-000022B50000}"/>
    <cellStyle name="Normal 4 6 2 2 2 2 4" xfId="20293" xr:uid="{00000000-0005-0000-0000-000023B50000}"/>
    <cellStyle name="Normal 4 6 2 2 2 2 4 2" xfId="47426" xr:uid="{00000000-0005-0000-0000-000024B50000}"/>
    <cellStyle name="Normal 4 6 2 2 2 2 5" xfId="33864" xr:uid="{00000000-0005-0000-0000-000025B50000}"/>
    <cellStyle name="Normal 4 6 2 2 2 3" xfId="6574" xr:uid="{00000000-0005-0000-0000-000026B50000}"/>
    <cellStyle name="Normal 4 6 2 2 2 3 2" xfId="10106" xr:uid="{00000000-0005-0000-0000-000027B50000}"/>
    <cellStyle name="Normal 4 6 2 2 2 3 2 2" xfId="16896" xr:uid="{00000000-0005-0000-0000-000028B50000}"/>
    <cellStyle name="Normal 4 6 2 2 2 3 2 2 2" xfId="30464" xr:uid="{00000000-0005-0000-0000-000029B50000}"/>
    <cellStyle name="Normal 4 6 2 2 2 3 2 2 2 2" xfId="57597" xr:uid="{00000000-0005-0000-0000-00002AB50000}"/>
    <cellStyle name="Normal 4 6 2 2 2 3 2 2 3" xfId="44035" xr:uid="{00000000-0005-0000-0000-00002BB50000}"/>
    <cellStyle name="Normal 4 6 2 2 2 3 2 3" xfId="23683" xr:uid="{00000000-0005-0000-0000-00002CB50000}"/>
    <cellStyle name="Normal 4 6 2 2 2 3 2 3 2" xfId="50816" xr:uid="{00000000-0005-0000-0000-00002DB50000}"/>
    <cellStyle name="Normal 4 6 2 2 2 3 2 4" xfId="37254" xr:uid="{00000000-0005-0000-0000-00002EB50000}"/>
    <cellStyle name="Normal 4 6 2 2 2 3 3" xfId="13507" xr:uid="{00000000-0005-0000-0000-00002FB50000}"/>
    <cellStyle name="Normal 4 6 2 2 2 3 3 2" xfId="27075" xr:uid="{00000000-0005-0000-0000-000030B50000}"/>
    <cellStyle name="Normal 4 6 2 2 2 3 3 2 2" xfId="54208" xr:uid="{00000000-0005-0000-0000-000031B50000}"/>
    <cellStyle name="Normal 4 6 2 2 2 3 3 3" xfId="40646" xr:uid="{00000000-0005-0000-0000-000032B50000}"/>
    <cellStyle name="Normal 4 6 2 2 2 3 4" xfId="20294" xr:uid="{00000000-0005-0000-0000-000033B50000}"/>
    <cellStyle name="Normal 4 6 2 2 2 3 4 2" xfId="47427" xr:uid="{00000000-0005-0000-0000-000034B50000}"/>
    <cellStyle name="Normal 4 6 2 2 2 3 5" xfId="33865" xr:uid="{00000000-0005-0000-0000-000035B50000}"/>
    <cellStyle name="Normal 4 6 2 2 2 4" xfId="10104" xr:uid="{00000000-0005-0000-0000-000036B50000}"/>
    <cellStyle name="Normal 4 6 2 2 2 4 2" xfId="16894" xr:uid="{00000000-0005-0000-0000-000037B50000}"/>
    <cellStyle name="Normal 4 6 2 2 2 4 2 2" xfId="30462" xr:uid="{00000000-0005-0000-0000-000038B50000}"/>
    <cellStyle name="Normal 4 6 2 2 2 4 2 2 2" xfId="57595" xr:uid="{00000000-0005-0000-0000-000039B50000}"/>
    <cellStyle name="Normal 4 6 2 2 2 4 2 3" xfId="44033" xr:uid="{00000000-0005-0000-0000-00003AB50000}"/>
    <cellStyle name="Normal 4 6 2 2 2 4 3" xfId="23681" xr:uid="{00000000-0005-0000-0000-00003BB50000}"/>
    <cellStyle name="Normal 4 6 2 2 2 4 3 2" xfId="50814" xr:uid="{00000000-0005-0000-0000-00003CB50000}"/>
    <cellStyle name="Normal 4 6 2 2 2 4 4" xfId="37252" xr:uid="{00000000-0005-0000-0000-00003DB50000}"/>
    <cellStyle name="Normal 4 6 2 2 2 5" xfId="13505" xr:uid="{00000000-0005-0000-0000-00003EB50000}"/>
    <cellStyle name="Normal 4 6 2 2 2 5 2" xfId="27073" xr:uid="{00000000-0005-0000-0000-00003FB50000}"/>
    <cellStyle name="Normal 4 6 2 2 2 5 2 2" xfId="54206" xr:uid="{00000000-0005-0000-0000-000040B50000}"/>
    <cellStyle name="Normal 4 6 2 2 2 5 3" xfId="40644" xr:uid="{00000000-0005-0000-0000-000041B50000}"/>
    <cellStyle name="Normal 4 6 2 2 2 6" xfId="20292" xr:uid="{00000000-0005-0000-0000-000042B50000}"/>
    <cellStyle name="Normal 4 6 2 2 2 6 2" xfId="47425" xr:uid="{00000000-0005-0000-0000-000043B50000}"/>
    <cellStyle name="Normal 4 6 2 2 2 7" xfId="33863" xr:uid="{00000000-0005-0000-0000-000044B50000}"/>
    <cellStyle name="Normal 4 6 2 2 3" xfId="6575" xr:uid="{00000000-0005-0000-0000-000045B50000}"/>
    <cellStyle name="Normal 4 6 2 2 3 2" xfId="6576" xr:uid="{00000000-0005-0000-0000-000046B50000}"/>
    <cellStyle name="Normal 4 6 2 2 3 2 2" xfId="10108" xr:uid="{00000000-0005-0000-0000-000047B50000}"/>
    <cellStyle name="Normal 4 6 2 2 3 2 2 2" xfId="16898" xr:uid="{00000000-0005-0000-0000-000048B50000}"/>
    <cellStyle name="Normal 4 6 2 2 3 2 2 2 2" xfId="30466" xr:uid="{00000000-0005-0000-0000-000049B50000}"/>
    <cellStyle name="Normal 4 6 2 2 3 2 2 2 2 2" xfId="57599" xr:uid="{00000000-0005-0000-0000-00004AB50000}"/>
    <cellStyle name="Normal 4 6 2 2 3 2 2 2 3" xfId="44037" xr:uid="{00000000-0005-0000-0000-00004BB50000}"/>
    <cellStyle name="Normal 4 6 2 2 3 2 2 3" xfId="23685" xr:uid="{00000000-0005-0000-0000-00004CB50000}"/>
    <cellStyle name="Normal 4 6 2 2 3 2 2 3 2" xfId="50818" xr:uid="{00000000-0005-0000-0000-00004DB50000}"/>
    <cellStyle name="Normal 4 6 2 2 3 2 2 4" xfId="37256" xr:uid="{00000000-0005-0000-0000-00004EB50000}"/>
    <cellStyle name="Normal 4 6 2 2 3 2 3" xfId="13509" xr:uid="{00000000-0005-0000-0000-00004FB50000}"/>
    <cellStyle name="Normal 4 6 2 2 3 2 3 2" xfId="27077" xr:uid="{00000000-0005-0000-0000-000050B50000}"/>
    <cellStyle name="Normal 4 6 2 2 3 2 3 2 2" xfId="54210" xr:uid="{00000000-0005-0000-0000-000051B50000}"/>
    <cellStyle name="Normal 4 6 2 2 3 2 3 3" xfId="40648" xr:uid="{00000000-0005-0000-0000-000052B50000}"/>
    <cellStyle name="Normal 4 6 2 2 3 2 4" xfId="20296" xr:uid="{00000000-0005-0000-0000-000053B50000}"/>
    <cellStyle name="Normal 4 6 2 2 3 2 4 2" xfId="47429" xr:uid="{00000000-0005-0000-0000-000054B50000}"/>
    <cellStyle name="Normal 4 6 2 2 3 2 5" xfId="33867" xr:uid="{00000000-0005-0000-0000-000055B50000}"/>
    <cellStyle name="Normal 4 6 2 2 3 3" xfId="10107" xr:uid="{00000000-0005-0000-0000-000056B50000}"/>
    <cellStyle name="Normal 4 6 2 2 3 3 2" xfId="16897" xr:uid="{00000000-0005-0000-0000-000057B50000}"/>
    <cellStyle name="Normal 4 6 2 2 3 3 2 2" xfId="30465" xr:uid="{00000000-0005-0000-0000-000058B50000}"/>
    <cellStyle name="Normal 4 6 2 2 3 3 2 2 2" xfId="57598" xr:uid="{00000000-0005-0000-0000-000059B50000}"/>
    <cellStyle name="Normal 4 6 2 2 3 3 2 3" xfId="44036" xr:uid="{00000000-0005-0000-0000-00005AB50000}"/>
    <cellStyle name="Normal 4 6 2 2 3 3 3" xfId="23684" xr:uid="{00000000-0005-0000-0000-00005BB50000}"/>
    <cellStyle name="Normal 4 6 2 2 3 3 3 2" xfId="50817" xr:uid="{00000000-0005-0000-0000-00005CB50000}"/>
    <cellStyle name="Normal 4 6 2 2 3 3 4" xfId="37255" xr:uid="{00000000-0005-0000-0000-00005DB50000}"/>
    <cellStyle name="Normal 4 6 2 2 3 4" xfId="13508" xr:uid="{00000000-0005-0000-0000-00005EB50000}"/>
    <cellStyle name="Normal 4 6 2 2 3 4 2" xfId="27076" xr:uid="{00000000-0005-0000-0000-00005FB50000}"/>
    <cellStyle name="Normal 4 6 2 2 3 4 2 2" xfId="54209" xr:uid="{00000000-0005-0000-0000-000060B50000}"/>
    <cellStyle name="Normal 4 6 2 2 3 4 3" xfId="40647" xr:uid="{00000000-0005-0000-0000-000061B50000}"/>
    <cellStyle name="Normal 4 6 2 2 3 5" xfId="20295" xr:uid="{00000000-0005-0000-0000-000062B50000}"/>
    <cellStyle name="Normal 4 6 2 2 3 5 2" xfId="47428" xr:uid="{00000000-0005-0000-0000-000063B50000}"/>
    <cellStyle name="Normal 4 6 2 2 3 6" xfId="33866" xr:uid="{00000000-0005-0000-0000-000064B50000}"/>
    <cellStyle name="Normal 4 6 2 2 4" xfId="6577" xr:uid="{00000000-0005-0000-0000-000065B50000}"/>
    <cellStyle name="Normal 4 6 2 2 4 2" xfId="10109" xr:uid="{00000000-0005-0000-0000-000066B50000}"/>
    <cellStyle name="Normal 4 6 2 2 4 2 2" xfId="16899" xr:uid="{00000000-0005-0000-0000-000067B50000}"/>
    <cellStyle name="Normal 4 6 2 2 4 2 2 2" xfId="30467" xr:uid="{00000000-0005-0000-0000-000068B50000}"/>
    <cellStyle name="Normal 4 6 2 2 4 2 2 2 2" xfId="57600" xr:uid="{00000000-0005-0000-0000-000069B50000}"/>
    <cellStyle name="Normal 4 6 2 2 4 2 2 3" xfId="44038" xr:uid="{00000000-0005-0000-0000-00006AB50000}"/>
    <cellStyle name="Normal 4 6 2 2 4 2 3" xfId="23686" xr:uid="{00000000-0005-0000-0000-00006BB50000}"/>
    <cellStyle name="Normal 4 6 2 2 4 2 3 2" xfId="50819" xr:uid="{00000000-0005-0000-0000-00006CB50000}"/>
    <cellStyle name="Normal 4 6 2 2 4 2 4" xfId="37257" xr:uid="{00000000-0005-0000-0000-00006DB50000}"/>
    <cellStyle name="Normal 4 6 2 2 4 3" xfId="13510" xr:uid="{00000000-0005-0000-0000-00006EB50000}"/>
    <cellStyle name="Normal 4 6 2 2 4 3 2" xfId="27078" xr:uid="{00000000-0005-0000-0000-00006FB50000}"/>
    <cellStyle name="Normal 4 6 2 2 4 3 2 2" xfId="54211" xr:uid="{00000000-0005-0000-0000-000070B50000}"/>
    <cellStyle name="Normal 4 6 2 2 4 3 3" xfId="40649" xr:uid="{00000000-0005-0000-0000-000071B50000}"/>
    <cellStyle name="Normal 4 6 2 2 4 4" xfId="20297" xr:uid="{00000000-0005-0000-0000-000072B50000}"/>
    <cellStyle name="Normal 4 6 2 2 4 4 2" xfId="47430" xr:uid="{00000000-0005-0000-0000-000073B50000}"/>
    <cellStyle name="Normal 4 6 2 2 4 5" xfId="33868" xr:uid="{00000000-0005-0000-0000-000074B50000}"/>
    <cellStyle name="Normal 4 6 2 2 5" xfId="6578" xr:uid="{00000000-0005-0000-0000-000075B50000}"/>
    <cellStyle name="Normal 4 6 2 2 5 2" xfId="10110" xr:uid="{00000000-0005-0000-0000-000076B50000}"/>
    <cellStyle name="Normal 4 6 2 2 5 2 2" xfId="16900" xr:uid="{00000000-0005-0000-0000-000077B50000}"/>
    <cellStyle name="Normal 4 6 2 2 5 2 2 2" xfId="30468" xr:uid="{00000000-0005-0000-0000-000078B50000}"/>
    <cellStyle name="Normal 4 6 2 2 5 2 2 2 2" xfId="57601" xr:uid="{00000000-0005-0000-0000-000079B50000}"/>
    <cellStyle name="Normal 4 6 2 2 5 2 2 3" xfId="44039" xr:uid="{00000000-0005-0000-0000-00007AB50000}"/>
    <cellStyle name="Normal 4 6 2 2 5 2 3" xfId="23687" xr:uid="{00000000-0005-0000-0000-00007BB50000}"/>
    <cellStyle name="Normal 4 6 2 2 5 2 3 2" xfId="50820" xr:uid="{00000000-0005-0000-0000-00007CB50000}"/>
    <cellStyle name="Normal 4 6 2 2 5 2 4" xfId="37258" xr:uid="{00000000-0005-0000-0000-00007DB50000}"/>
    <cellStyle name="Normal 4 6 2 2 5 3" xfId="13511" xr:uid="{00000000-0005-0000-0000-00007EB50000}"/>
    <cellStyle name="Normal 4 6 2 2 5 3 2" xfId="27079" xr:uid="{00000000-0005-0000-0000-00007FB50000}"/>
    <cellStyle name="Normal 4 6 2 2 5 3 2 2" xfId="54212" xr:uid="{00000000-0005-0000-0000-000080B50000}"/>
    <cellStyle name="Normal 4 6 2 2 5 3 3" xfId="40650" xr:uid="{00000000-0005-0000-0000-000081B50000}"/>
    <cellStyle name="Normal 4 6 2 2 5 4" xfId="20298" xr:uid="{00000000-0005-0000-0000-000082B50000}"/>
    <cellStyle name="Normal 4 6 2 2 5 4 2" xfId="47431" xr:uid="{00000000-0005-0000-0000-000083B50000}"/>
    <cellStyle name="Normal 4 6 2 2 5 5" xfId="33869" xr:uid="{00000000-0005-0000-0000-000084B50000}"/>
    <cellStyle name="Normal 4 6 2 2 6" xfId="10103" xr:uid="{00000000-0005-0000-0000-000085B50000}"/>
    <cellStyle name="Normal 4 6 2 2 6 2" xfId="16893" xr:uid="{00000000-0005-0000-0000-000086B50000}"/>
    <cellStyle name="Normal 4 6 2 2 6 2 2" xfId="30461" xr:uid="{00000000-0005-0000-0000-000087B50000}"/>
    <cellStyle name="Normal 4 6 2 2 6 2 2 2" xfId="57594" xr:uid="{00000000-0005-0000-0000-000088B50000}"/>
    <cellStyle name="Normal 4 6 2 2 6 2 3" xfId="44032" xr:uid="{00000000-0005-0000-0000-000089B50000}"/>
    <cellStyle name="Normal 4 6 2 2 6 3" xfId="23680" xr:uid="{00000000-0005-0000-0000-00008AB50000}"/>
    <cellStyle name="Normal 4 6 2 2 6 3 2" xfId="50813" xr:uid="{00000000-0005-0000-0000-00008BB50000}"/>
    <cellStyle name="Normal 4 6 2 2 6 4" xfId="37251" xr:uid="{00000000-0005-0000-0000-00008CB50000}"/>
    <cellStyle name="Normal 4 6 2 2 7" xfId="13504" xr:uid="{00000000-0005-0000-0000-00008DB50000}"/>
    <cellStyle name="Normal 4 6 2 2 7 2" xfId="27072" xr:uid="{00000000-0005-0000-0000-00008EB50000}"/>
    <cellStyle name="Normal 4 6 2 2 7 2 2" xfId="54205" xr:uid="{00000000-0005-0000-0000-00008FB50000}"/>
    <cellStyle name="Normal 4 6 2 2 7 3" xfId="40643" xr:uid="{00000000-0005-0000-0000-000090B50000}"/>
    <cellStyle name="Normal 4 6 2 2 8" xfId="20291" xr:uid="{00000000-0005-0000-0000-000091B50000}"/>
    <cellStyle name="Normal 4 6 2 2 8 2" xfId="47424" xr:uid="{00000000-0005-0000-0000-000092B50000}"/>
    <cellStyle name="Normal 4 6 2 2 9" xfId="33862" xr:uid="{00000000-0005-0000-0000-000093B50000}"/>
    <cellStyle name="Normal 4 6 2 3" xfId="6579" xr:uid="{00000000-0005-0000-0000-000094B50000}"/>
    <cellStyle name="Normal 4 6 2 3 2" xfId="6580" xr:uid="{00000000-0005-0000-0000-000095B50000}"/>
    <cellStyle name="Normal 4 6 2 3 2 2" xfId="10112" xr:uid="{00000000-0005-0000-0000-000096B50000}"/>
    <cellStyle name="Normal 4 6 2 3 2 2 2" xfId="16902" xr:uid="{00000000-0005-0000-0000-000097B50000}"/>
    <cellStyle name="Normal 4 6 2 3 2 2 2 2" xfId="30470" xr:uid="{00000000-0005-0000-0000-000098B50000}"/>
    <cellStyle name="Normal 4 6 2 3 2 2 2 2 2" xfId="57603" xr:uid="{00000000-0005-0000-0000-000099B50000}"/>
    <cellStyle name="Normal 4 6 2 3 2 2 2 3" xfId="44041" xr:uid="{00000000-0005-0000-0000-00009AB50000}"/>
    <cellStyle name="Normal 4 6 2 3 2 2 3" xfId="23689" xr:uid="{00000000-0005-0000-0000-00009BB50000}"/>
    <cellStyle name="Normal 4 6 2 3 2 2 3 2" xfId="50822" xr:uid="{00000000-0005-0000-0000-00009CB50000}"/>
    <cellStyle name="Normal 4 6 2 3 2 2 4" xfId="37260" xr:uid="{00000000-0005-0000-0000-00009DB50000}"/>
    <cellStyle name="Normal 4 6 2 3 2 3" xfId="13513" xr:uid="{00000000-0005-0000-0000-00009EB50000}"/>
    <cellStyle name="Normal 4 6 2 3 2 3 2" xfId="27081" xr:uid="{00000000-0005-0000-0000-00009FB50000}"/>
    <cellStyle name="Normal 4 6 2 3 2 3 2 2" xfId="54214" xr:uid="{00000000-0005-0000-0000-0000A0B50000}"/>
    <cellStyle name="Normal 4 6 2 3 2 3 3" xfId="40652" xr:uid="{00000000-0005-0000-0000-0000A1B50000}"/>
    <cellStyle name="Normal 4 6 2 3 2 4" xfId="20300" xr:uid="{00000000-0005-0000-0000-0000A2B50000}"/>
    <cellStyle name="Normal 4 6 2 3 2 4 2" xfId="47433" xr:uid="{00000000-0005-0000-0000-0000A3B50000}"/>
    <cellStyle name="Normal 4 6 2 3 2 5" xfId="33871" xr:uid="{00000000-0005-0000-0000-0000A4B50000}"/>
    <cellStyle name="Normal 4 6 2 3 3" xfId="6581" xr:uid="{00000000-0005-0000-0000-0000A5B50000}"/>
    <cellStyle name="Normal 4 6 2 3 3 2" xfId="10113" xr:uid="{00000000-0005-0000-0000-0000A6B50000}"/>
    <cellStyle name="Normal 4 6 2 3 3 2 2" xfId="16903" xr:uid="{00000000-0005-0000-0000-0000A7B50000}"/>
    <cellStyle name="Normal 4 6 2 3 3 2 2 2" xfId="30471" xr:uid="{00000000-0005-0000-0000-0000A8B50000}"/>
    <cellStyle name="Normal 4 6 2 3 3 2 2 2 2" xfId="57604" xr:uid="{00000000-0005-0000-0000-0000A9B50000}"/>
    <cellStyle name="Normal 4 6 2 3 3 2 2 3" xfId="44042" xr:uid="{00000000-0005-0000-0000-0000AAB50000}"/>
    <cellStyle name="Normal 4 6 2 3 3 2 3" xfId="23690" xr:uid="{00000000-0005-0000-0000-0000ABB50000}"/>
    <cellStyle name="Normal 4 6 2 3 3 2 3 2" xfId="50823" xr:uid="{00000000-0005-0000-0000-0000ACB50000}"/>
    <cellStyle name="Normal 4 6 2 3 3 2 4" xfId="37261" xr:uid="{00000000-0005-0000-0000-0000ADB50000}"/>
    <cellStyle name="Normal 4 6 2 3 3 3" xfId="13514" xr:uid="{00000000-0005-0000-0000-0000AEB50000}"/>
    <cellStyle name="Normal 4 6 2 3 3 3 2" xfId="27082" xr:uid="{00000000-0005-0000-0000-0000AFB50000}"/>
    <cellStyle name="Normal 4 6 2 3 3 3 2 2" xfId="54215" xr:uid="{00000000-0005-0000-0000-0000B0B50000}"/>
    <cellStyle name="Normal 4 6 2 3 3 3 3" xfId="40653" xr:uid="{00000000-0005-0000-0000-0000B1B50000}"/>
    <cellStyle name="Normal 4 6 2 3 3 4" xfId="20301" xr:uid="{00000000-0005-0000-0000-0000B2B50000}"/>
    <cellStyle name="Normal 4 6 2 3 3 4 2" xfId="47434" xr:uid="{00000000-0005-0000-0000-0000B3B50000}"/>
    <cellStyle name="Normal 4 6 2 3 3 5" xfId="33872" xr:uid="{00000000-0005-0000-0000-0000B4B50000}"/>
    <cellStyle name="Normal 4 6 2 3 4" xfId="10111" xr:uid="{00000000-0005-0000-0000-0000B5B50000}"/>
    <cellStyle name="Normal 4 6 2 3 4 2" xfId="16901" xr:uid="{00000000-0005-0000-0000-0000B6B50000}"/>
    <cellStyle name="Normal 4 6 2 3 4 2 2" xfId="30469" xr:uid="{00000000-0005-0000-0000-0000B7B50000}"/>
    <cellStyle name="Normal 4 6 2 3 4 2 2 2" xfId="57602" xr:uid="{00000000-0005-0000-0000-0000B8B50000}"/>
    <cellStyle name="Normal 4 6 2 3 4 2 3" xfId="44040" xr:uid="{00000000-0005-0000-0000-0000B9B50000}"/>
    <cellStyle name="Normal 4 6 2 3 4 3" xfId="23688" xr:uid="{00000000-0005-0000-0000-0000BAB50000}"/>
    <cellStyle name="Normal 4 6 2 3 4 3 2" xfId="50821" xr:uid="{00000000-0005-0000-0000-0000BBB50000}"/>
    <cellStyle name="Normal 4 6 2 3 4 4" xfId="37259" xr:uid="{00000000-0005-0000-0000-0000BCB50000}"/>
    <cellStyle name="Normal 4 6 2 3 5" xfId="13512" xr:uid="{00000000-0005-0000-0000-0000BDB50000}"/>
    <cellStyle name="Normal 4 6 2 3 5 2" xfId="27080" xr:uid="{00000000-0005-0000-0000-0000BEB50000}"/>
    <cellStyle name="Normal 4 6 2 3 5 2 2" xfId="54213" xr:uid="{00000000-0005-0000-0000-0000BFB50000}"/>
    <cellStyle name="Normal 4 6 2 3 5 3" xfId="40651" xr:uid="{00000000-0005-0000-0000-0000C0B50000}"/>
    <cellStyle name="Normal 4 6 2 3 6" xfId="20299" xr:uid="{00000000-0005-0000-0000-0000C1B50000}"/>
    <cellStyle name="Normal 4 6 2 3 6 2" xfId="47432" xr:uid="{00000000-0005-0000-0000-0000C2B50000}"/>
    <cellStyle name="Normal 4 6 2 3 7" xfId="33870" xr:uid="{00000000-0005-0000-0000-0000C3B50000}"/>
    <cellStyle name="Normal 4 6 2 4" xfId="6582" xr:uid="{00000000-0005-0000-0000-0000C4B50000}"/>
    <cellStyle name="Normal 4 6 2 4 2" xfId="6583" xr:uid="{00000000-0005-0000-0000-0000C5B50000}"/>
    <cellStyle name="Normal 4 6 2 4 2 2" xfId="10115" xr:uid="{00000000-0005-0000-0000-0000C6B50000}"/>
    <cellStyle name="Normal 4 6 2 4 2 2 2" xfId="16905" xr:uid="{00000000-0005-0000-0000-0000C7B50000}"/>
    <cellStyle name="Normal 4 6 2 4 2 2 2 2" xfId="30473" xr:uid="{00000000-0005-0000-0000-0000C8B50000}"/>
    <cellStyle name="Normal 4 6 2 4 2 2 2 2 2" xfId="57606" xr:uid="{00000000-0005-0000-0000-0000C9B50000}"/>
    <cellStyle name="Normal 4 6 2 4 2 2 2 3" xfId="44044" xr:uid="{00000000-0005-0000-0000-0000CAB50000}"/>
    <cellStyle name="Normal 4 6 2 4 2 2 3" xfId="23692" xr:uid="{00000000-0005-0000-0000-0000CBB50000}"/>
    <cellStyle name="Normal 4 6 2 4 2 2 3 2" xfId="50825" xr:uid="{00000000-0005-0000-0000-0000CCB50000}"/>
    <cellStyle name="Normal 4 6 2 4 2 2 4" xfId="37263" xr:uid="{00000000-0005-0000-0000-0000CDB50000}"/>
    <cellStyle name="Normal 4 6 2 4 2 3" xfId="13516" xr:uid="{00000000-0005-0000-0000-0000CEB50000}"/>
    <cellStyle name="Normal 4 6 2 4 2 3 2" xfId="27084" xr:uid="{00000000-0005-0000-0000-0000CFB50000}"/>
    <cellStyle name="Normal 4 6 2 4 2 3 2 2" xfId="54217" xr:uid="{00000000-0005-0000-0000-0000D0B50000}"/>
    <cellStyle name="Normal 4 6 2 4 2 3 3" xfId="40655" xr:uid="{00000000-0005-0000-0000-0000D1B50000}"/>
    <cellStyle name="Normal 4 6 2 4 2 4" xfId="20303" xr:uid="{00000000-0005-0000-0000-0000D2B50000}"/>
    <cellStyle name="Normal 4 6 2 4 2 4 2" xfId="47436" xr:uid="{00000000-0005-0000-0000-0000D3B50000}"/>
    <cellStyle name="Normal 4 6 2 4 2 5" xfId="33874" xr:uid="{00000000-0005-0000-0000-0000D4B50000}"/>
    <cellStyle name="Normal 4 6 2 4 3" xfId="10114" xr:uid="{00000000-0005-0000-0000-0000D5B50000}"/>
    <cellStyle name="Normal 4 6 2 4 3 2" xfId="16904" xr:uid="{00000000-0005-0000-0000-0000D6B50000}"/>
    <cellStyle name="Normal 4 6 2 4 3 2 2" xfId="30472" xr:uid="{00000000-0005-0000-0000-0000D7B50000}"/>
    <cellStyle name="Normal 4 6 2 4 3 2 2 2" xfId="57605" xr:uid="{00000000-0005-0000-0000-0000D8B50000}"/>
    <cellStyle name="Normal 4 6 2 4 3 2 3" xfId="44043" xr:uid="{00000000-0005-0000-0000-0000D9B50000}"/>
    <cellStyle name="Normal 4 6 2 4 3 3" xfId="23691" xr:uid="{00000000-0005-0000-0000-0000DAB50000}"/>
    <cellStyle name="Normal 4 6 2 4 3 3 2" xfId="50824" xr:uid="{00000000-0005-0000-0000-0000DBB50000}"/>
    <cellStyle name="Normal 4 6 2 4 3 4" xfId="37262" xr:uid="{00000000-0005-0000-0000-0000DCB50000}"/>
    <cellStyle name="Normal 4 6 2 4 4" xfId="13515" xr:uid="{00000000-0005-0000-0000-0000DDB50000}"/>
    <cellStyle name="Normal 4 6 2 4 4 2" xfId="27083" xr:uid="{00000000-0005-0000-0000-0000DEB50000}"/>
    <cellStyle name="Normal 4 6 2 4 4 2 2" xfId="54216" xr:uid="{00000000-0005-0000-0000-0000DFB50000}"/>
    <cellStyle name="Normal 4 6 2 4 4 3" xfId="40654" xr:uid="{00000000-0005-0000-0000-0000E0B50000}"/>
    <cellStyle name="Normal 4 6 2 4 5" xfId="20302" xr:uid="{00000000-0005-0000-0000-0000E1B50000}"/>
    <cellStyle name="Normal 4 6 2 4 5 2" xfId="47435" xr:uid="{00000000-0005-0000-0000-0000E2B50000}"/>
    <cellStyle name="Normal 4 6 2 4 6" xfId="33873" xr:uid="{00000000-0005-0000-0000-0000E3B50000}"/>
    <cellStyle name="Normal 4 6 2 5" xfId="6584" xr:uid="{00000000-0005-0000-0000-0000E4B50000}"/>
    <cellStyle name="Normal 4 6 2 5 2" xfId="10116" xr:uid="{00000000-0005-0000-0000-0000E5B50000}"/>
    <cellStyle name="Normal 4 6 2 5 2 2" xfId="16906" xr:uid="{00000000-0005-0000-0000-0000E6B50000}"/>
    <cellStyle name="Normal 4 6 2 5 2 2 2" xfId="30474" xr:uid="{00000000-0005-0000-0000-0000E7B50000}"/>
    <cellStyle name="Normal 4 6 2 5 2 2 2 2" xfId="57607" xr:uid="{00000000-0005-0000-0000-0000E8B50000}"/>
    <cellStyle name="Normal 4 6 2 5 2 2 3" xfId="44045" xr:uid="{00000000-0005-0000-0000-0000E9B50000}"/>
    <cellStyle name="Normal 4 6 2 5 2 3" xfId="23693" xr:uid="{00000000-0005-0000-0000-0000EAB50000}"/>
    <cellStyle name="Normal 4 6 2 5 2 3 2" xfId="50826" xr:uid="{00000000-0005-0000-0000-0000EBB50000}"/>
    <cellStyle name="Normal 4 6 2 5 2 4" xfId="37264" xr:uid="{00000000-0005-0000-0000-0000ECB50000}"/>
    <cellStyle name="Normal 4 6 2 5 3" xfId="13517" xr:uid="{00000000-0005-0000-0000-0000EDB50000}"/>
    <cellStyle name="Normal 4 6 2 5 3 2" xfId="27085" xr:uid="{00000000-0005-0000-0000-0000EEB50000}"/>
    <cellStyle name="Normal 4 6 2 5 3 2 2" xfId="54218" xr:uid="{00000000-0005-0000-0000-0000EFB50000}"/>
    <cellStyle name="Normal 4 6 2 5 3 3" xfId="40656" xr:uid="{00000000-0005-0000-0000-0000F0B50000}"/>
    <cellStyle name="Normal 4 6 2 5 4" xfId="20304" xr:uid="{00000000-0005-0000-0000-0000F1B50000}"/>
    <cellStyle name="Normal 4 6 2 5 4 2" xfId="47437" xr:uid="{00000000-0005-0000-0000-0000F2B50000}"/>
    <cellStyle name="Normal 4 6 2 5 5" xfId="33875" xr:uid="{00000000-0005-0000-0000-0000F3B50000}"/>
    <cellStyle name="Normal 4 6 2 6" xfId="6585" xr:uid="{00000000-0005-0000-0000-0000F4B50000}"/>
    <cellStyle name="Normal 4 6 2 6 2" xfId="10117" xr:uid="{00000000-0005-0000-0000-0000F5B50000}"/>
    <cellStyle name="Normal 4 6 2 6 2 2" xfId="16907" xr:uid="{00000000-0005-0000-0000-0000F6B50000}"/>
    <cellStyle name="Normal 4 6 2 6 2 2 2" xfId="30475" xr:uid="{00000000-0005-0000-0000-0000F7B50000}"/>
    <cellStyle name="Normal 4 6 2 6 2 2 2 2" xfId="57608" xr:uid="{00000000-0005-0000-0000-0000F8B50000}"/>
    <cellStyle name="Normal 4 6 2 6 2 2 3" xfId="44046" xr:uid="{00000000-0005-0000-0000-0000F9B50000}"/>
    <cellStyle name="Normal 4 6 2 6 2 3" xfId="23694" xr:uid="{00000000-0005-0000-0000-0000FAB50000}"/>
    <cellStyle name="Normal 4 6 2 6 2 3 2" xfId="50827" xr:uid="{00000000-0005-0000-0000-0000FBB50000}"/>
    <cellStyle name="Normal 4 6 2 6 2 4" xfId="37265" xr:uid="{00000000-0005-0000-0000-0000FCB50000}"/>
    <cellStyle name="Normal 4 6 2 6 3" xfId="13518" xr:uid="{00000000-0005-0000-0000-0000FDB50000}"/>
    <cellStyle name="Normal 4 6 2 6 3 2" xfId="27086" xr:uid="{00000000-0005-0000-0000-0000FEB50000}"/>
    <cellStyle name="Normal 4 6 2 6 3 2 2" xfId="54219" xr:uid="{00000000-0005-0000-0000-0000FFB50000}"/>
    <cellStyle name="Normal 4 6 2 6 3 3" xfId="40657" xr:uid="{00000000-0005-0000-0000-000000B60000}"/>
    <cellStyle name="Normal 4 6 2 6 4" xfId="20305" xr:uid="{00000000-0005-0000-0000-000001B60000}"/>
    <cellStyle name="Normal 4 6 2 6 4 2" xfId="47438" xr:uid="{00000000-0005-0000-0000-000002B60000}"/>
    <cellStyle name="Normal 4 6 2 6 5" xfId="33876" xr:uid="{00000000-0005-0000-0000-000003B60000}"/>
    <cellStyle name="Normal 4 6 2 7" xfId="10102" xr:uid="{00000000-0005-0000-0000-000004B60000}"/>
    <cellStyle name="Normal 4 6 2 7 2" xfId="16892" xr:uid="{00000000-0005-0000-0000-000005B60000}"/>
    <cellStyle name="Normal 4 6 2 7 2 2" xfId="30460" xr:uid="{00000000-0005-0000-0000-000006B60000}"/>
    <cellStyle name="Normal 4 6 2 7 2 2 2" xfId="57593" xr:uid="{00000000-0005-0000-0000-000007B60000}"/>
    <cellStyle name="Normal 4 6 2 7 2 3" xfId="44031" xr:uid="{00000000-0005-0000-0000-000008B60000}"/>
    <cellStyle name="Normal 4 6 2 7 3" xfId="23679" xr:uid="{00000000-0005-0000-0000-000009B60000}"/>
    <cellStyle name="Normal 4 6 2 7 3 2" xfId="50812" xr:uid="{00000000-0005-0000-0000-00000AB60000}"/>
    <cellStyle name="Normal 4 6 2 7 4" xfId="37250" xr:uid="{00000000-0005-0000-0000-00000BB60000}"/>
    <cellStyle name="Normal 4 6 2 8" xfId="13503" xr:uid="{00000000-0005-0000-0000-00000CB60000}"/>
    <cellStyle name="Normal 4 6 2 8 2" xfId="27071" xr:uid="{00000000-0005-0000-0000-00000DB60000}"/>
    <cellStyle name="Normal 4 6 2 8 2 2" xfId="54204" xr:uid="{00000000-0005-0000-0000-00000EB60000}"/>
    <cellStyle name="Normal 4 6 2 8 3" xfId="40642" xr:uid="{00000000-0005-0000-0000-00000FB60000}"/>
    <cellStyle name="Normal 4 6 2 9" xfId="20290" xr:uid="{00000000-0005-0000-0000-000010B60000}"/>
    <cellStyle name="Normal 4 6 2 9 2" xfId="47423" xr:uid="{00000000-0005-0000-0000-000011B60000}"/>
    <cellStyle name="Normal 4 6 3" xfId="6586" xr:uid="{00000000-0005-0000-0000-000012B60000}"/>
    <cellStyle name="Normal 4 6 3 2" xfId="6587" xr:uid="{00000000-0005-0000-0000-000013B60000}"/>
    <cellStyle name="Normal 4 6 3 2 2" xfId="6588" xr:uid="{00000000-0005-0000-0000-000014B60000}"/>
    <cellStyle name="Normal 4 6 3 2 2 2" xfId="10120" xr:uid="{00000000-0005-0000-0000-000015B60000}"/>
    <cellStyle name="Normal 4 6 3 2 2 2 2" xfId="16910" xr:uid="{00000000-0005-0000-0000-000016B60000}"/>
    <cellStyle name="Normal 4 6 3 2 2 2 2 2" xfId="30478" xr:uid="{00000000-0005-0000-0000-000017B60000}"/>
    <cellStyle name="Normal 4 6 3 2 2 2 2 2 2" xfId="57611" xr:uid="{00000000-0005-0000-0000-000018B60000}"/>
    <cellStyle name="Normal 4 6 3 2 2 2 2 3" xfId="44049" xr:uid="{00000000-0005-0000-0000-000019B60000}"/>
    <cellStyle name="Normal 4 6 3 2 2 2 3" xfId="23697" xr:uid="{00000000-0005-0000-0000-00001AB60000}"/>
    <cellStyle name="Normal 4 6 3 2 2 2 3 2" xfId="50830" xr:uid="{00000000-0005-0000-0000-00001BB60000}"/>
    <cellStyle name="Normal 4 6 3 2 2 2 4" xfId="37268" xr:uid="{00000000-0005-0000-0000-00001CB60000}"/>
    <cellStyle name="Normal 4 6 3 2 2 3" xfId="13521" xr:uid="{00000000-0005-0000-0000-00001DB60000}"/>
    <cellStyle name="Normal 4 6 3 2 2 3 2" xfId="27089" xr:uid="{00000000-0005-0000-0000-00001EB60000}"/>
    <cellStyle name="Normal 4 6 3 2 2 3 2 2" xfId="54222" xr:uid="{00000000-0005-0000-0000-00001FB60000}"/>
    <cellStyle name="Normal 4 6 3 2 2 3 3" xfId="40660" xr:uid="{00000000-0005-0000-0000-000020B60000}"/>
    <cellStyle name="Normal 4 6 3 2 2 4" xfId="20308" xr:uid="{00000000-0005-0000-0000-000021B60000}"/>
    <cellStyle name="Normal 4 6 3 2 2 4 2" xfId="47441" xr:uid="{00000000-0005-0000-0000-000022B60000}"/>
    <cellStyle name="Normal 4 6 3 2 2 5" xfId="33879" xr:uid="{00000000-0005-0000-0000-000023B60000}"/>
    <cellStyle name="Normal 4 6 3 2 3" xfId="6589" xr:uid="{00000000-0005-0000-0000-000024B60000}"/>
    <cellStyle name="Normal 4 6 3 2 3 2" xfId="10121" xr:uid="{00000000-0005-0000-0000-000025B60000}"/>
    <cellStyle name="Normal 4 6 3 2 3 2 2" xfId="16911" xr:uid="{00000000-0005-0000-0000-000026B60000}"/>
    <cellStyle name="Normal 4 6 3 2 3 2 2 2" xfId="30479" xr:uid="{00000000-0005-0000-0000-000027B60000}"/>
    <cellStyle name="Normal 4 6 3 2 3 2 2 2 2" xfId="57612" xr:uid="{00000000-0005-0000-0000-000028B60000}"/>
    <cellStyle name="Normal 4 6 3 2 3 2 2 3" xfId="44050" xr:uid="{00000000-0005-0000-0000-000029B60000}"/>
    <cellStyle name="Normal 4 6 3 2 3 2 3" xfId="23698" xr:uid="{00000000-0005-0000-0000-00002AB60000}"/>
    <cellStyle name="Normal 4 6 3 2 3 2 3 2" xfId="50831" xr:uid="{00000000-0005-0000-0000-00002BB60000}"/>
    <cellStyle name="Normal 4 6 3 2 3 2 4" xfId="37269" xr:uid="{00000000-0005-0000-0000-00002CB60000}"/>
    <cellStyle name="Normal 4 6 3 2 3 3" xfId="13522" xr:uid="{00000000-0005-0000-0000-00002DB60000}"/>
    <cellStyle name="Normal 4 6 3 2 3 3 2" xfId="27090" xr:uid="{00000000-0005-0000-0000-00002EB60000}"/>
    <cellStyle name="Normal 4 6 3 2 3 3 2 2" xfId="54223" xr:uid="{00000000-0005-0000-0000-00002FB60000}"/>
    <cellStyle name="Normal 4 6 3 2 3 3 3" xfId="40661" xr:uid="{00000000-0005-0000-0000-000030B60000}"/>
    <cellStyle name="Normal 4 6 3 2 3 4" xfId="20309" xr:uid="{00000000-0005-0000-0000-000031B60000}"/>
    <cellStyle name="Normal 4 6 3 2 3 4 2" xfId="47442" xr:uid="{00000000-0005-0000-0000-000032B60000}"/>
    <cellStyle name="Normal 4 6 3 2 3 5" xfId="33880" xr:uid="{00000000-0005-0000-0000-000033B60000}"/>
    <cellStyle name="Normal 4 6 3 2 4" xfId="10119" xr:uid="{00000000-0005-0000-0000-000034B60000}"/>
    <cellStyle name="Normal 4 6 3 2 4 2" xfId="16909" xr:uid="{00000000-0005-0000-0000-000035B60000}"/>
    <cellStyle name="Normal 4 6 3 2 4 2 2" xfId="30477" xr:uid="{00000000-0005-0000-0000-000036B60000}"/>
    <cellStyle name="Normal 4 6 3 2 4 2 2 2" xfId="57610" xr:uid="{00000000-0005-0000-0000-000037B60000}"/>
    <cellStyle name="Normal 4 6 3 2 4 2 3" xfId="44048" xr:uid="{00000000-0005-0000-0000-000038B60000}"/>
    <cellStyle name="Normal 4 6 3 2 4 3" xfId="23696" xr:uid="{00000000-0005-0000-0000-000039B60000}"/>
    <cellStyle name="Normal 4 6 3 2 4 3 2" xfId="50829" xr:uid="{00000000-0005-0000-0000-00003AB60000}"/>
    <cellStyle name="Normal 4 6 3 2 4 4" xfId="37267" xr:uid="{00000000-0005-0000-0000-00003BB60000}"/>
    <cellStyle name="Normal 4 6 3 2 5" xfId="13520" xr:uid="{00000000-0005-0000-0000-00003CB60000}"/>
    <cellStyle name="Normal 4 6 3 2 5 2" xfId="27088" xr:uid="{00000000-0005-0000-0000-00003DB60000}"/>
    <cellStyle name="Normal 4 6 3 2 5 2 2" xfId="54221" xr:uid="{00000000-0005-0000-0000-00003EB60000}"/>
    <cellStyle name="Normal 4 6 3 2 5 3" xfId="40659" xr:uid="{00000000-0005-0000-0000-00003FB60000}"/>
    <cellStyle name="Normal 4 6 3 2 6" xfId="20307" xr:uid="{00000000-0005-0000-0000-000040B60000}"/>
    <cellStyle name="Normal 4 6 3 2 6 2" xfId="47440" xr:uid="{00000000-0005-0000-0000-000041B60000}"/>
    <cellStyle name="Normal 4 6 3 2 7" xfId="33878" xr:uid="{00000000-0005-0000-0000-000042B60000}"/>
    <cellStyle name="Normal 4 6 3 3" xfId="6590" xr:uid="{00000000-0005-0000-0000-000043B60000}"/>
    <cellStyle name="Normal 4 6 3 3 2" xfId="6591" xr:uid="{00000000-0005-0000-0000-000044B60000}"/>
    <cellStyle name="Normal 4 6 3 3 2 2" xfId="10123" xr:uid="{00000000-0005-0000-0000-000045B60000}"/>
    <cellStyle name="Normal 4 6 3 3 2 2 2" xfId="16913" xr:uid="{00000000-0005-0000-0000-000046B60000}"/>
    <cellStyle name="Normal 4 6 3 3 2 2 2 2" xfId="30481" xr:uid="{00000000-0005-0000-0000-000047B60000}"/>
    <cellStyle name="Normal 4 6 3 3 2 2 2 2 2" xfId="57614" xr:uid="{00000000-0005-0000-0000-000048B60000}"/>
    <cellStyle name="Normal 4 6 3 3 2 2 2 3" xfId="44052" xr:uid="{00000000-0005-0000-0000-000049B60000}"/>
    <cellStyle name="Normal 4 6 3 3 2 2 3" xfId="23700" xr:uid="{00000000-0005-0000-0000-00004AB60000}"/>
    <cellStyle name="Normal 4 6 3 3 2 2 3 2" xfId="50833" xr:uid="{00000000-0005-0000-0000-00004BB60000}"/>
    <cellStyle name="Normal 4 6 3 3 2 2 4" xfId="37271" xr:uid="{00000000-0005-0000-0000-00004CB60000}"/>
    <cellStyle name="Normal 4 6 3 3 2 3" xfId="13524" xr:uid="{00000000-0005-0000-0000-00004DB60000}"/>
    <cellStyle name="Normal 4 6 3 3 2 3 2" xfId="27092" xr:uid="{00000000-0005-0000-0000-00004EB60000}"/>
    <cellStyle name="Normal 4 6 3 3 2 3 2 2" xfId="54225" xr:uid="{00000000-0005-0000-0000-00004FB60000}"/>
    <cellStyle name="Normal 4 6 3 3 2 3 3" xfId="40663" xr:uid="{00000000-0005-0000-0000-000050B60000}"/>
    <cellStyle name="Normal 4 6 3 3 2 4" xfId="20311" xr:uid="{00000000-0005-0000-0000-000051B60000}"/>
    <cellStyle name="Normal 4 6 3 3 2 4 2" xfId="47444" xr:uid="{00000000-0005-0000-0000-000052B60000}"/>
    <cellStyle name="Normal 4 6 3 3 2 5" xfId="33882" xr:uid="{00000000-0005-0000-0000-000053B60000}"/>
    <cellStyle name="Normal 4 6 3 3 3" xfId="10122" xr:uid="{00000000-0005-0000-0000-000054B60000}"/>
    <cellStyle name="Normal 4 6 3 3 3 2" xfId="16912" xr:uid="{00000000-0005-0000-0000-000055B60000}"/>
    <cellStyle name="Normal 4 6 3 3 3 2 2" xfId="30480" xr:uid="{00000000-0005-0000-0000-000056B60000}"/>
    <cellStyle name="Normal 4 6 3 3 3 2 2 2" xfId="57613" xr:uid="{00000000-0005-0000-0000-000057B60000}"/>
    <cellStyle name="Normal 4 6 3 3 3 2 3" xfId="44051" xr:uid="{00000000-0005-0000-0000-000058B60000}"/>
    <cellStyle name="Normal 4 6 3 3 3 3" xfId="23699" xr:uid="{00000000-0005-0000-0000-000059B60000}"/>
    <cellStyle name="Normal 4 6 3 3 3 3 2" xfId="50832" xr:uid="{00000000-0005-0000-0000-00005AB60000}"/>
    <cellStyle name="Normal 4 6 3 3 3 4" xfId="37270" xr:uid="{00000000-0005-0000-0000-00005BB60000}"/>
    <cellStyle name="Normal 4 6 3 3 4" xfId="13523" xr:uid="{00000000-0005-0000-0000-00005CB60000}"/>
    <cellStyle name="Normal 4 6 3 3 4 2" xfId="27091" xr:uid="{00000000-0005-0000-0000-00005DB60000}"/>
    <cellStyle name="Normal 4 6 3 3 4 2 2" xfId="54224" xr:uid="{00000000-0005-0000-0000-00005EB60000}"/>
    <cellStyle name="Normal 4 6 3 3 4 3" xfId="40662" xr:uid="{00000000-0005-0000-0000-00005FB60000}"/>
    <cellStyle name="Normal 4 6 3 3 5" xfId="20310" xr:uid="{00000000-0005-0000-0000-000060B60000}"/>
    <cellStyle name="Normal 4 6 3 3 5 2" xfId="47443" xr:uid="{00000000-0005-0000-0000-000061B60000}"/>
    <cellStyle name="Normal 4 6 3 3 6" xfId="33881" xr:uid="{00000000-0005-0000-0000-000062B60000}"/>
    <cellStyle name="Normal 4 6 3 4" xfId="6592" xr:uid="{00000000-0005-0000-0000-000063B60000}"/>
    <cellStyle name="Normal 4 6 3 4 2" xfId="10124" xr:uid="{00000000-0005-0000-0000-000064B60000}"/>
    <cellStyle name="Normal 4 6 3 4 2 2" xfId="16914" xr:uid="{00000000-0005-0000-0000-000065B60000}"/>
    <cellStyle name="Normal 4 6 3 4 2 2 2" xfId="30482" xr:uid="{00000000-0005-0000-0000-000066B60000}"/>
    <cellStyle name="Normal 4 6 3 4 2 2 2 2" xfId="57615" xr:uid="{00000000-0005-0000-0000-000067B60000}"/>
    <cellStyle name="Normal 4 6 3 4 2 2 3" xfId="44053" xr:uid="{00000000-0005-0000-0000-000068B60000}"/>
    <cellStyle name="Normal 4 6 3 4 2 3" xfId="23701" xr:uid="{00000000-0005-0000-0000-000069B60000}"/>
    <cellStyle name="Normal 4 6 3 4 2 3 2" xfId="50834" xr:uid="{00000000-0005-0000-0000-00006AB60000}"/>
    <cellStyle name="Normal 4 6 3 4 2 4" xfId="37272" xr:uid="{00000000-0005-0000-0000-00006BB60000}"/>
    <cellStyle name="Normal 4 6 3 4 3" xfId="13525" xr:uid="{00000000-0005-0000-0000-00006CB60000}"/>
    <cellStyle name="Normal 4 6 3 4 3 2" xfId="27093" xr:uid="{00000000-0005-0000-0000-00006DB60000}"/>
    <cellStyle name="Normal 4 6 3 4 3 2 2" xfId="54226" xr:uid="{00000000-0005-0000-0000-00006EB60000}"/>
    <cellStyle name="Normal 4 6 3 4 3 3" xfId="40664" xr:uid="{00000000-0005-0000-0000-00006FB60000}"/>
    <cellStyle name="Normal 4 6 3 4 4" xfId="20312" xr:uid="{00000000-0005-0000-0000-000070B60000}"/>
    <cellStyle name="Normal 4 6 3 4 4 2" xfId="47445" xr:uid="{00000000-0005-0000-0000-000071B60000}"/>
    <cellStyle name="Normal 4 6 3 4 5" xfId="33883" xr:uid="{00000000-0005-0000-0000-000072B60000}"/>
    <cellStyle name="Normal 4 6 3 5" xfId="6593" xr:uid="{00000000-0005-0000-0000-000073B60000}"/>
    <cellStyle name="Normal 4 6 3 5 2" xfId="10125" xr:uid="{00000000-0005-0000-0000-000074B60000}"/>
    <cellStyle name="Normal 4 6 3 5 2 2" xfId="16915" xr:uid="{00000000-0005-0000-0000-000075B60000}"/>
    <cellStyle name="Normal 4 6 3 5 2 2 2" xfId="30483" xr:uid="{00000000-0005-0000-0000-000076B60000}"/>
    <cellStyle name="Normal 4 6 3 5 2 2 2 2" xfId="57616" xr:uid="{00000000-0005-0000-0000-000077B60000}"/>
    <cellStyle name="Normal 4 6 3 5 2 2 3" xfId="44054" xr:uid="{00000000-0005-0000-0000-000078B60000}"/>
    <cellStyle name="Normal 4 6 3 5 2 3" xfId="23702" xr:uid="{00000000-0005-0000-0000-000079B60000}"/>
    <cellStyle name="Normal 4 6 3 5 2 3 2" xfId="50835" xr:uid="{00000000-0005-0000-0000-00007AB60000}"/>
    <cellStyle name="Normal 4 6 3 5 2 4" xfId="37273" xr:uid="{00000000-0005-0000-0000-00007BB60000}"/>
    <cellStyle name="Normal 4 6 3 5 3" xfId="13526" xr:uid="{00000000-0005-0000-0000-00007CB60000}"/>
    <cellStyle name="Normal 4 6 3 5 3 2" xfId="27094" xr:uid="{00000000-0005-0000-0000-00007DB60000}"/>
    <cellStyle name="Normal 4 6 3 5 3 2 2" xfId="54227" xr:uid="{00000000-0005-0000-0000-00007EB60000}"/>
    <cellStyle name="Normal 4 6 3 5 3 3" xfId="40665" xr:uid="{00000000-0005-0000-0000-00007FB60000}"/>
    <cellStyle name="Normal 4 6 3 5 4" xfId="20313" xr:uid="{00000000-0005-0000-0000-000080B60000}"/>
    <cellStyle name="Normal 4 6 3 5 4 2" xfId="47446" xr:uid="{00000000-0005-0000-0000-000081B60000}"/>
    <cellStyle name="Normal 4 6 3 5 5" xfId="33884" xr:uid="{00000000-0005-0000-0000-000082B60000}"/>
    <cellStyle name="Normal 4 6 3 6" xfId="10118" xr:uid="{00000000-0005-0000-0000-000083B60000}"/>
    <cellStyle name="Normal 4 6 3 6 2" xfId="16908" xr:uid="{00000000-0005-0000-0000-000084B60000}"/>
    <cellStyle name="Normal 4 6 3 6 2 2" xfId="30476" xr:uid="{00000000-0005-0000-0000-000085B60000}"/>
    <cellStyle name="Normal 4 6 3 6 2 2 2" xfId="57609" xr:uid="{00000000-0005-0000-0000-000086B60000}"/>
    <cellStyle name="Normal 4 6 3 6 2 3" xfId="44047" xr:uid="{00000000-0005-0000-0000-000087B60000}"/>
    <cellStyle name="Normal 4 6 3 6 3" xfId="23695" xr:uid="{00000000-0005-0000-0000-000088B60000}"/>
    <cellStyle name="Normal 4 6 3 6 3 2" xfId="50828" xr:uid="{00000000-0005-0000-0000-000089B60000}"/>
    <cellStyle name="Normal 4 6 3 6 4" xfId="37266" xr:uid="{00000000-0005-0000-0000-00008AB60000}"/>
    <cellStyle name="Normal 4 6 3 7" xfId="13519" xr:uid="{00000000-0005-0000-0000-00008BB60000}"/>
    <cellStyle name="Normal 4 6 3 7 2" xfId="27087" xr:uid="{00000000-0005-0000-0000-00008CB60000}"/>
    <cellStyle name="Normal 4 6 3 7 2 2" xfId="54220" xr:uid="{00000000-0005-0000-0000-00008DB60000}"/>
    <cellStyle name="Normal 4 6 3 7 3" xfId="40658" xr:uid="{00000000-0005-0000-0000-00008EB60000}"/>
    <cellStyle name="Normal 4 6 3 8" xfId="20306" xr:uid="{00000000-0005-0000-0000-00008FB60000}"/>
    <cellStyle name="Normal 4 6 3 8 2" xfId="47439" xr:uid="{00000000-0005-0000-0000-000090B60000}"/>
    <cellStyle name="Normal 4 6 3 9" xfId="33877" xr:uid="{00000000-0005-0000-0000-000091B60000}"/>
    <cellStyle name="Normal 4 6 4" xfId="6594" xr:uid="{00000000-0005-0000-0000-000092B60000}"/>
    <cellStyle name="Normal 4 6 4 2" xfId="6595" xr:uid="{00000000-0005-0000-0000-000093B60000}"/>
    <cellStyle name="Normal 4 6 4 2 2" xfId="6596" xr:uid="{00000000-0005-0000-0000-000094B60000}"/>
    <cellStyle name="Normal 4 6 4 2 2 2" xfId="10128" xr:uid="{00000000-0005-0000-0000-000095B60000}"/>
    <cellStyle name="Normal 4 6 4 2 2 2 2" xfId="16918" xr:uid="{00000000-0005-0000-0000-000096B60000}"/>
    <cellStyle name="Normal 4 6 4 2 2 2 2 2" xfId="30486" xr:uid="{00000000-0005-0000-0000-000097B60000}"/>
    <cellStyle name="Normal 4 6 4 2 2 2 2 2 2" xfId="57619" xr:uid="{00000000-0005-0000-0000-000098B60000}"/>
    <cellStyle name="Normal 4 6 4 2 2 2 2 3" xfId="44057" xr:uid="{00000000-0005-0000-0000-000099B60000}"/>
    <cellStyle name="Normal 4 6 4 2 2 2 3" xfId="23705" xr:uid="{00000000-0005-0000-0000-00009AB60000}"/>
    <cellStyle name="Normal 4 6 4 2 2 2 3 2" xfId="50838" xr:uid="{00000000-0005-0000-0000-00009BB60000}"/>
    <cellStyle name="Normal 4 6 4 2 2 2 4" xfId="37276" xr:uid="{00000000-0005-0000-0000-00009CB60000}"/>
    <cellStyle name="Normal 4 6 4 2 2 3" xfId="13529" xr:uid="{00000000-0005-0000-0000-00009DB60000}"/>
    <cellStyle name="Normal 4 6 4 2 2 3 2" xfId="27097" xr:uid="{00000000-0005-0000-0000-00009EB60000}"/>
    <cellStyle name="Normal 4 6 4 2 2 3 2 2" xfId="54230" xr:uid="{00000000-0005-0000-0000-00009FB60000}"/>
    <cellStyle name="Normal 4 6 4 2 2 3 3" xfId="40668" xr:uid="{00000000-0005-0000-0000-0000A0B60000}"/>
    <cellStyle name="Normal 4 6 4 2 2 4" xfId="20316" xr:uid="{00000000-0005-0000-0000-0000A1B60000}"/>
    <cellStyle name="Normal 4 6 4 2 2 4 2" xfId="47449" xr:uid="{00000000-0005-0000-0000-0000A2B60000}"/>
    <cellStyle name="Normal 4 6 4 2 2 5" xfId="33887" xr:uid="{00000000-0005-0000-0000-0000A3B60000}"/>
    <cellStyle name="Normal 4 6 4 2 3" xfId="6597" xr:uid="{00000000-0005-0000-0000-0000A4B60000}"/>
    <cellStyle name="Normal 4 6 4 2 3 2" xfId="10129" xr:uid="{00000000-0005-0000-0000-0000A5B60000}"/>
    <cellStyle name="Normal 4 6 4 2 3 2 2" xfId="16919" xr:uid="{00000000-0005-0000-0000-0000A6B60000}"/>
    <cellStyle name="Normal 4 6 4 2 3 2 2 2" xfId="30487" xr:uid="{00000000-0005-0000-0000-0000A7B60000}"/>
    <cellStyle name="Normal 4 6 4 2 3 2 2 2 2" xfId="57620" xr:uid="{00000000-0005-0000-0000-0000A8B60000}"/>
    <cellStyle name="Normal 4 6 4 2 3 2 2 3" xfId="44058" xr:uid="{00000000-0005-0000-0000-0000A9B60000}"/>
    <cellStyle name="Normal 4 6 4 2 3 2 3" xfId="23706" xr:uid="{00000000-0005-0000-0000-0000AAB60000}"/>
    <cellStyle name="Normal 4 6 4 2 3 2 3 2" xfId="50839" xr:uid="{00000000-0005-0000-0000-0000ABB60000}"/>
    <cellStyle name="Normal 4 6 4 2 3 2 4" xfId="37277" xr:uid="{00000000-0005-0000-0000-0000ACB60000}"/>
    <cellStyle name="Normal 4 6 4 2 3 3" xfId="13530" xr:uid="{00000000-0005-0000-0000-0000ADB60000}"/>
    <cellStyle name="Normal 4 6 4 2 3 3 2" xfId="27098" xr:uid="{00000000-0005-0000-0000-0000AEB60000}"/>
    <cellStyle name="Normal 4 6 4 2 3 3 2 2" xfId="54231" xr:uid="{00000000-0005-0000-0000-0000AFB60000}"/>
    <cellStyle name="Normal 4 6 4 2 3 3 3" xfId="40669" xr:uid="{00000000-0005-0000-0000-0000B0B60000}"/>
    <cellStyle name="Normal 4 6 4 2 3 4" xfId="20317" xr:uid="{00000000-0005-0000-0000-0000B1B60000}"/>
    <cellStyle name="Normal 4 6 4 2 3 4 2" xfId="47450" xr:uid="{00000000-0005-0000-0000-0000B2B60000}"/>
    <cellStyle name="Normal 4 6 4 2 3 5" xfId="33888" xr:uid="{00000000-0005-0000-0000-0000B3B60000}"/>
    <cellStyle name="Normal 4 6 4 2 4" xfId="10127" xr:uid="{00000000-0005-0000-0000-0000B4B60000}"/>
    <cellStyle name="Normal 4 6 4 2 4 2" xfId="16917" xr:uid="{00000000-0005-0000-0000-0000B5B60000}"/>
    <cellStyle name="Normal 4 6 4 2 4 2 2" xfId="30485" xr:uid="{00000000-0005-0000-0000-0000B6B60000}"/>
    <cellStyle name="Normal 4 6 4 2 4 2 2 2" xfId="57618" xr:uid="{00000000-0005-0000-0000-0000B7B60000}"/>
    <cellStyle name="Normal 4 6 4 2 4 2 3" xfId="44056" xr:uid="{00000000-0005-0000-0000-0000B8B60000}"/>
    <cellStyle name="Normal 4 6 4 2 4 3" xfId="23704" xr:uid="{00000000-0005-0000-0000-0000B9B60000}"/>
    <cellStyle name="Normal 4 6 4 2 4 3 2" xfId="50837" xr:uid="{00000000-0005-0000-0000-0000BAB60000}"/>
    <cellStyle name="Normal 4 6 4 2 4 4" xfId="37275" xr:uid="{00000000-0005-0000-0000-0000BBB60000}"/>
    <cellStyle name="Normal 4 6 4 2 5" xfId="13528" xr:uid="{00000000-0005-0000-0000-0000BCB60000}"/>
    <cellStyle name="Normal 4 6 4 2 5 2" xfId="27096" xr:uid="{00000000-0005-0000-0000-0000BDB60000}"/>
    <cellStyle name="Normal 4 6 4 2 5 2 2" xfId="54229" xr:uid="{00000000-0005-0000-0000-0000BEB60000}"/>
    <cellStyle name="Normal 4 6 4 2 5 3" xfId="40667" xr:uid="{00000000-0005-0000-0000-0000BFB60000}"/>
    <cellStyle name="Normal 4 6 4 2 6" xfId="20315" xr:uid="{00000000-0005-0000-0000-0000C0B60000}"/>
    <cellStyle name="Normal 4 6 4 2 6 2" xfId="47448" xr:uid="{00000000-0005-0000-0000-0000C1B60000}"/>
    <cellStyle name="Normal 4 6 4 2 7" xfId="33886" xr:uid="{00000000-0005-0000-0000-0000C2B60000}"/>
    <cellStyle name="Normal 4 6 4 3" xfId="6598" xr:uid="{00000000-0005-0000-0000-0000C3B60000}"/>
    <cellStyle name="Normal 4 6 4 3 2" xfId="10130" xr:uid="{00000000-0005-0000-0000-0000C4B60000}"/>
    <cellStyle name="Normal 4 6 4 3 2 2" xfId="16920" xr:uid="{00000000-0005-0000-0000-0000C5B60000}"/>
    <cellStyle name="Normal 4 6 4 3 2 2 2" xfId="30488" xr:uid="{00000000-0005-0000-0000-0000C6B60000}"/>
    <cellStyle name="Normal 4 6 4 3 2 2 2 2" xfId="57621" xr:uid="{00000000-0005-0000-0000-0000C7B60000}"/>
    <cellStyle name="Normal 4 6 4 3 2 2 3" xfId="44059" xr:uid="{00000000-0005-0000-0000-0000C8B60000}"/>
    <cellStyle name="Normal 4 6 4 3 2 3" xfId="23707" xr:uid="{00000000-0005-0000-0000-0000C9B60000}"/>
    <cellStyle name="Normal 4 6 4 3 2 3 2" xfId="50840" xr:uid="{00000000-0005-0000-0000-0000CAB60000}"/>
    <cellStyle name="Normal 4 6 4 3 2 4" xfId="37278" xr:uid="{00000000-0005-0000-0000-0000CBB60000}"/>
    <cellStyle name="Normal 4 6 4 3 3" xfId="13531" xr:uid="{00000000-0005-0000-0000-0000CCB60000}"/>
    <cellStyle name="Normal 4 6 4 3 3 2" xfId="27099" xr:uid="{00000000-0005-0000-0000-0000CDB60000}"/>
    <cellStyle name="Normal 4 6 4 3 3 2 2" xfId="54232" xr:uid="{00000000-0005-0000-0000-0000CEB60000}"/>
    <cellStyle name="Normal 4 6 4 3 3 3" xfId="40670" xr:uid="{00000000-0005-0000-0000-0000CFB60000}"/>
    <cellStyle name="Normal 4 6 4 3 4" xfId="20318" xr:uid="{00000000-0005-0000-0000-0000D0B60000}"/>
    <cellStyle name="Normal 4 6 4 3 4 2" xfId="47451" xr:uid="{00000000-0005-0000-0000-0000D1B60000}"/>
    <cellStyle name="Normal 4 6 4 3 5" xfId="33889" xr:uid="{00000000-0005-0000-0000-0000D2B60000}"/>
    <cellStyle name="Normal 4 6 4 4" xfId="6599" xr:uid="{00000000-0005-0000-0000-0000D3B60000}"/>
    <cellStyle name="Normal 4 6 4 4 2" xfId="10131" xr:uid="{00000000-0005-0000-0000-0000D4B60000}"/>
    <cellStyle name="Normal 4 6 4 4 2 2" xfId="16921" xr:uid="{00000000-0005-0000-0000-0000D5B60000}"/>
    <cellStyle name="Normal 4 6 4 4 2 2 2" xfId="30489" xr:uid="{00000000-0005-0000-0000-0000D6B60000}"/>
    <cellStyle name="Normal 4 6 4 4 2 2 2 2" xfId="57622" xr:uid="{00000000-0005-0000-0000-0000D7B60000}"/>
    <cellStyle name="Normal 4 6 4 4 2 2 3" xfId="44060" xr:uid="{00000000-0005-0000-0000-0000D8B60000}"/>
    <cellStyle name="Normal 4 6 4 4 2 3" xfId="23708" xr:uid="{00000000-0005-0000-0000-0000D9B60000}"/>
    <cellStyle name="Normal 4 6 4 4 2 3 2" xfId="50841" xr:uid="{00000000-0005-0000-0000-0000DAB60000}"/>
    <cellStyle name="Normal 4 6 4 4 2 4" xfId="37279" xr:uid="{00000000-0005-0000-0000-0000DBB60000}"/>
    <cellStyle name="Normal 4 6 4 4 3" xfId="13532" xr:uid="{00000000-0005-0000-0000-0000DCB60000}"/>
    <cellStyle name="Normal 4 6 4 4 3 2" xfId="27100" xr:uid="{00000000-0005-0000-0000-0000DDB60000}"/>
    <cellStyle name="Normal 4 6 4 4 3 2 2" xfId="54233" xr:uid="{00000000-0005-0000-0000-0000DEB60000}"/>
    <cellStyle name="Normal 4 6 4 4 3 3" xfId="40671" xr:uid="{00000000-0005-0000-0000-0000DFB60000}"/>
    <cellStyle name="Normal 4 6 4 4 4" xfId="20319" xr:uid="{00000000-0005-0000-0000-0000E0B60000}"/>
    <cellStyle name="Normal 4 6 4 4 4 2" xfId="47452" xr:uid="{00000000-0005-0000-0000-0000E1B60000}"/>
    <cellStyle name="Normal 4 6 4 4 5" xfId="33890" xr:uid="{00000000-0005-0000-0000-0000E2B60000}"/>
    <cellStyle name="Normal 4 6 4 5" xfId="10126" xr:uid="{00000000-0005-0000-0000-0000E3B60000}"/>
    <cellStyle name="Normal 4 6 4 5 2" xfId="16916" xr:uid="{00000000-0005-0000-0000-0000E4B60000}"/>
    <cellStyle name="Normal 4 6 4 5 2 2" xfId="30484" xr:uid="{00000000-0005-0000-0000-0000E5B60000}"/>
    <cellStyle name="Normal 4 6 4 5 2 2 2" xfId="57617" xr:uid="{00000000-0005-0000-0000-0000E6B60000}"/>
    <cellStyle name="Normal 4 6 4 5 2 3" xfId="44055" xr:uid="{00000000-0005-0000-0000-0000E7B60000}"/>
    <cellStyle name="Normal 4 6 4 5 3" xfId="23703" xr:uid="{00000000-0005-0000-0000-0000E8B60000}"/>
    <cellStyle name="Normal 4 6 4 5 3 2" xfId="50836" xr:uid="{00000000-0005-0000-0000-0000E9B60000}"/>
    <cellStyle name="Normal 4 6 4 5 4" xfId="37274" xr:uid="{00000000-0005-0000-0000-0000EAB60000}"/>
    <cellStyle name="Normal 4 6 4 6" xfId="13527" xr:uid="{00000000-0005-0000-0000-0000EBB60000}"/>
    <cellStyle name="Normal 4 6 4 6 2" xfId="27095" xr:uid="{00000000-0005-0000-0000-0000ECB60000}"/>
    <cellStyle name="Normal 4 6 4 6 2 2" xfId="54228" xr:uid="{00000000-0005-0000-0000-0000EDB60000}"/>
    <cellStyle name="Normal 4 6 4 6 3" xfId="40666" xr:uid="{00000000-0005-0000-0000-0000EEB60000}"/>
    <cellStyle name="Normal 4 6 4 7" xfId="20314" xr:uid="{00000000-0005-0000-0000-0000EFB60000}"/>
    <cellStyle name="Normal 4 6 4 7 2" xfId="47447" xr:uid="{00000000-0005-0000-0000-0000F0B60000}"/>
    <cellStyle name="Normal 4 6 4 8" xfId="33885" xr:uid="{00000000-0005-0000-0000-0000F1B60000}"/>
    <cellStyle name="Normal 4 6 5" xfId="6600" xr:uid="{00000000-0005-0000-0000-0000F2B60000}"/>
    <cellStyle name="Normal 4 6 5 2" xfId="6601" xr:uid="{00000000-0005-0000-0000-0000F3B60000}"/>
    <cellStyle name="Normal 4 6 5 2 2" xfId="6602" xr:uid="{00000000-0005-0000-0000-0000F4B60000}"/>
    <cellStyle name="Normal 4 6 5 2 2 2" xfId="10134" xr:uid="{00000000-0005-0000-0000-0000F5B60000}"/>
    <cellStyle name="Normal 4 6 5 2 2 2 2" xfId="16924" xr:uid="{00000000-0005-0000-0000-0000F6B60000}"/>
    <cellStyle name="Normal 4 6 5 2 2 2 2 2" xfId="30492" xr:uid="{00000000-0005-0000-0000-0000F7B60000}"/>
    <cellStyle name="Normal 4 6 5 2 2 2 2 2 2" xfId="57625" xr:uid="{00000000-0005-0000-0000-0000F8B60000}"/>
    <cellStyle name="Normal 4 6 5 2 2 2 2 3" xfId="44063" xr:uid="{00000000-0005-0000-0000-0000F9B60000}"/>
    <cellStyle name="Normal 4 6 5 2 2 2 3" xfId="23711" xr:uid="{00000000-0005-0000-0000-0000FAB60000}"/>
    <cellStyle name="Normal 4 6 5 2 2 2 3 2" xfId="50844" xr:uid="{00000000-0005-0000-0000-0000FBB60000}"/>
    <cellStyle name="Normal 4 6 5 2 2 2 4" xfId="37282" xr:uid="{00000000-0005-0000-0000-0000FCB60000}"/>
    <cellStyle name="Normal 4 6 5 2 2 3" xfId="13535" xr:uid="{00000000-0005-0000-0000-0000FDB60000}"/>
    <cellStyle name="Normal 4 6 5 2 2 3 2" xfId="27103" xr:uid="{00000000-0005-0000-0000-0000FEB60000}"/>
    <cellStyle name="Normal 4 6 5 2 2 3 2 2" xfId="54236" xr:uid="{00000000-0005-0000-0000-0000FFB60000}"/>
    <cellStyle name="Normal 4 6 5 2 2 3 3" xfId="40674" xr:uid="{00000000-0005-0000-0000-000000B70000}"/>
    <cellStyle name="Normal 4 6 5 2 2 4" xfId="20322" xr:uid="{00000000-0005-0000-0000-000001B70000}"/>
    <cellStyle name="Normal 4 6 5 2 2 4 2" xfId="47455" xr:uid="{00000000-0005-0000-0000-000002B70000}"/>
    <cellStyle name="Normal 4 6 5 2 2 5" xfId="33893" xr:uid="{00000000-0005-0000-0000-000003B70000}"/>
    <cellStyle name="Normal 4 6 5 2 3" xfId="6603" xr:uid="{00000000-0005-0000-0000-000004B70000}"/>
    <cellStyle name="Normal 4 6 5 2 3 2" xfId="10135" xr:uid="{00000000-0005-0000-0000-000005B70000}"/>
    <cellStyle name="Normal 4 6 5 2 3 2 2" xfId="16925" xr:uid="{00000000-0005-0000-0000-000006B70000}"/>
    <cellStyle name="Normal 4 6 5 2 3 2 2 2" xfId="30493" xr:uid="{00000000-0005-0000-0000-000007B70000}"/>
    <cellStyle name="Normal 4 6 5 2 3 2 2 2 2" xfId="57626" xr:uid="{00000000-0005-0000-0000-000008B70000}"/>
    <cellStyle name="Normal 4 6 5 2 3 2 2 3" xfId="44064" xr:uid="{00000000-0005-0000-0000-000009B70000}"/>
    <cellStyle name="Normal 4 6 5 2 3 2 3" xfId="23712" xr:uid="{00000000-0005-0000-0000-00000AB70000}"/>
    <cellStyle name="Normal 4 6 5 2 3 2 3 2" xfId="50845" xr:uid="{00000000-0005-0000-0000-00000BB70000}"/>
    <cellStyle name="Normal 4 6 5 2 3 2 4" xfId="37283" xr:uid="{00000000-0005-0000-0000-00000CB70000}"/>
    <cellStyle name="Normal 4 6 5 2 3 3" xfId="13536" xr:uid="{00000000-0005-0000-0000-00000DB70000}"/>
    <cellStyle name="Normal 4 6 5 2 3 3 2" xfId="27104" xr:uid="{00000000-0005-0000-0000-00000EB70000}"/>
    <cellStyle name="Normal 4 6 5 2 3 3 2 2" xfId="54237" xr:uid="{00000000-0005-0000-0000-00000FB70000}"/>
    <cellStyle name="Normal 4 6 5 2 3 3 3" xfId="40675" xr:uid="{00000000-0005-0000-0000-000010B70000}"/>
    <cellStyle name="Normal 4 6 5 2 3 4" xfId="20323" xr:uid="{00000000-0005-0000-0000-000011B70000}"/>
    <cellStyle name="Normal 4 6 5 2 3 4 2" xfId="47456" xr:uid="{00000000-0005-0000-0000-000012B70000}"/>
    <cellStyle name="Normal 4 6 5 2 3 5" xfId="33894" xr:uid="{00000000-0005-0000-0000-000013B70000}"/>
    <cellStyle name="Normal 4 6 5 2 4" xfId="10133" xr:uid="{00000000-0005-0000-0000-000014B70000}"/>
    <cellStyle name="Normal 4 6 5 2 4 2" xfId="16923" xr:uid="{00000000-0005-0000-0000-000015B70000}"/>
    <cellStyle name="Normal 4 6 5 2 4 2 2" xfId="30491" xr:uid="{00000000-0005-0000-0000-000016B70000}"/>
    <cellStyle name="Normal 4 6 5 2 4 2 2 2" xfId="57624" xr:uid="{00000000-0005-0000-0000-000017B70000}"/>
    <cellStyle name="Normal 4 6 5 2 4 2 3" xfId="44062" xr:uid="{00000000-0005-0000-0000-000018B70000}"/>
    <cellStyle name="Normal 4 6 5 2 4 3" xfId="23710" xr:uid="{00000000-0005-0000-0000-000019B70000}"/>
    <cellStyle name="Normal 4 6 5 2 4 3 2" xfId="50843" xr:uid="{00000000-0005-0000-0000-00001AB70000}"/>
    <cellStyle name="Normal 4 6 5 2 4 4" xfId="37281" xr:uid="{00000000-0005-0000-0000-00001BB70000}"/>
    <cellStyle name="Normal 4 6 5 2 5" xfId="13534" xr:uid="{00000000-0005-0000-0000-00001CB70000}"/>
    <cellStyle name="Normal 4 6 5 2 5 2" xfId="27102" xr:uid="{00000000-0005-0000-0000-00001DB70000}"/>
    <cellStyle name="Normal 4 6 5 2 5 2 2" xfId="54235" xr:uid="{00000000-0005-0000-0000-00001EB70000}"/>
    <cellStyle name="Normal 4 6 5 2 5 3" xfId="40673" xr:uid="{00000000-0005-0000-0000-00001FB70000}"/>
    <cellStyle name="Normal 4 6 5 2 6" xfId="20321" xr:uid="{00000000-0005-0000-0000-000020B70000}"/>
    <cellStyle name="Normal 4 6 5 2 6 2" xfId="47454" xr:uid="{00000000-0005-0000-0000-000021B70000}"/>
    <cellStyle name="Normal 4 6 5 2 7" xfId="33892" xr:uid="{00000000-0005-0000-0000-000022B70000}"/>
    <cellStyle name="Normal 4 6 5 3" xfId="6604" xr:uid="{00000000-0005-0000-0000-000023B70000}"/>
    <cellStyle name="Normal 4 6 5 3 2" xfId="10136" xr:uid="{00000000-0005-0000-0000-000024B70000}"/>
    <cellStyle name="Normal 4 6 5 3 2 2" xfId="16926" xr:uid="{00000000-0005-0000-0000-000025B70000}"/>
    <cellStyle name="Normal 4 6 5 3 2 2 2" xfId="30494" xr:uid="{00000000-0005-0000-0000-000026B70000}"/>
    <cellStyle name="Normal 4 6 5 3 2 2 2 2" xfId="57627" xr:uid="{00000000-0005-0000-0000-000027B70000}"/>
    <cellStyle name="Normal 4 6 5 3 2 2 3" xfId="44065" xr:uid="{00000000-0005-0000-0000-000028B70000}"/>
    <cellStyle name="Normal 4 6 5 3 2 3" xfId="23713" xr:uid="{00000000-0005-0000-0000-000029B70000}"/>
    <cellStyle name="Normal 4 6 5 3 2 3 2" xfId="50846" xr:uid="{00000000-0005-0000-0000-00002AB70000}"/>
    <cellStyle name="Normal 4 6 5 3 2 4" xfId="37284" xr:uid="{00000000-0005-0000-0000-00002BB70000}"/>
    <cellStyle name="Normal 4 6 5 3 3" xfId="13537" xr:uid="{00000000-0005-0000-0000-00002CB70000}"/>
    <cellStyle name="Normal 4 6 5 3 3 2" xfId="27105" xr:uid="{00000000-0005-0000-0000-00002DB70000}"/>
    <cellStyle name="Normal 4 6 5 3 3 2 2" xfId="54238" xr:uid="{00000000-0005-0000-0000-00002EB70000}"/>
    <cellStyle name="Normal 4 6 5 3 3 3" xfId="40676" xr:uid="{00000000-0005-0000-0000-00002FB70000}"/>
    <cellStyle name="Normal 4 6 5 3 4" xfId="20324" xr:uid="{00000000-0005-0000-0000-000030B70000}"/>
    <cellStyle name="Normal 4 6 5 3 4 2" xfId="47457" xr:uid="{00000000-0005-0000-0000-000031B70000}"/>
    <cellStyle name="Normal 4 6 5 3 5" xfId="33895" xr:uid="{00000000-0005-0000-0000-000032B70000}"/>
    <cellStyle name="Normal 4 6 5 4" xfId="6605" xr:uid="{00000000-0005-0000-0000-000033B70000}"/>
    <cellStyle name="Normal 4 6 5 4 2" xfId="10137" xr:uid="{00000000-0005-0000-0000-000034B70000}"/>
    <cellStyle name="Normal 4 6 5 4 2 2" xfId="16927" xr:uid="{00000000-0005-0000-0000-000035B70000}"/>
    <cellStyle name="Normal 4 6 5 4 2 2 2" xfId="30495" xr:uid="{00000000-0005-0000-0000-000036B70000}"/>
    <cellStyle name="Normal 4 6 5 4 2 2 2 2" xfId="57628" xr:uid="{00000000-0005-0000-0000-000037B70000}"/>
    <cellStyle name="Normal 4 6 5 4 2 2 3" xfId="44066" xr:uid="{00000000-0005-0000-0000-000038B70000}"/>
    <cellStyle name="Normal 4 6 5 4 2 3" xfId="23714" xr:uid="{00000000-0005-0000-0000-000039B70000}"/>
    <cellStyle name="Normal 4 6 5 4 2 3 2" xfId="50847" xr:uid="{00000000-0005-0000-0000-00003AB70000}"/>
    <cellStyle name="Normal 4 6 5 4 2 4" xfId="37285" xr:uid="{00000000-0005-0000-0000-00003BB70000}"/>
    <cellStyle name="Normal 4 6 5 4 3" xfId="13538" xr:uid="{00000000-0005-0000-0000-00003CB70000}"/>
    <cellStyle name="Normal 4 6 5 4 3 2" xfId="27106" xr:uid="{00000000-0005-0000-0000-00003DB70000}"/>
    <cellStyle name="Normal 4 6 5 4 3 2 2" xfId="54239" xr:uid="{00000000-0005-0000-0000-00003EB70000}"/>
    <cellStyle name="Normal 4 6 5 4 3 3" xfId="40677" xr:uid="{00000000-0005-0000-0000-00003FB70000}"/>
    <cellStyle name="Normal 4 6 5 4 4" xfId="20325" xr:uid="{00000000-0005-0000-0000-000040B70000}"/>
    <cellStyle name="Normal 4 6 5 4 4 2" xfId="47458" xr:uid="{00000000-0005-0000-0000-000041B70000}"/>
    <cellStyle name="Normal 4 6 5 4 5" xfId="33896" xr:uid="{00000000-0005-0000-0000-000042B70000}"/>
    <cellStyle name="Normal 4 6 5 5" xfId="10132" xr:uid="{00000000-0005-0000-0000-000043B70000}"/>
    <cellStyle name="Normal 4 6 5 5 2" xfId="16922" xr:uid="{00000000-0005-0000-0000-000044B70000}"/>
    <cellStyle name="Normal 4 6 5 5 2 2" xfId="30490" xr:uid="{00000000-0005-0000-0000-000045B70000}"/>
    <cellStyle name="Normal 4 6 5 5 2 2 2" xfId="57623" xr:uid="{00000000-0005-0000-0000-000046B70000}"/>
    <cellStyle name="Normal 4 6 5 5 2 3" xfId="44061" xr:uid="{00000000-0005-0000-0000-000047B70000}"/>
    <cellStyle name="Normal 4 6 5 5 3" xfId="23709" xr:uid="{00000000-0005-0000-0000-000048B70000}"/>
    <cellStyle name="Normal 4 6 5 5 3 2" xfId="50842" xr:uid="{00000000-0005-0000-0000-000049B70000}"/>
    <cellStyle name="Normal 4 6 5 5 4" xfId="37280" xr:uid="{00000000-0005-0000-0000-00004AB70000}"/>
    <cellStyle name="Normal 4 6 5 6" xfId="13533" xr:uid="{00000000-0005-0000-0000-00004BB70000}"/>
    <cellStyle name="Normal 4 6 5 6 2" xfId="27101" xr:uid="{00000000-0005-0000-0000-00004CB70000}"/>
    <cellStyle name="Normal 4 6 5 6 2 2" xfId="54234" xr:uid="{00000000-0005-0000-0000-00004DB70000}"/>
    <cellStyle name="Normal 4 6 5 6 3" xfId="40672" xr:uid="{00000000-0005-0000-0000-00004EB70000}"/>
    <cellStyle name="Normal 4 6 5 7" xfId="20320" xr:uid="{00000000-0005-0000-0000-00004FB70000}"/>
    <cellStyle name="Normal 4 6 5 7 2" xfId="47453" xr:uid="{00000000-0005-0000-0000-000050B70000}"/>
    <cellStyle name="Normal 4 6 5 8" xfId="33891" xr:uid="{00000000-0005-0000-0000-000051B70000}"/>
    <cellStyle name="Normal 4 6 6" xfId="6606" xr:uid="{00000000-0005-0000-0000-000052B70000}"/>
    <cellStyle name="Normal 4 6 6 2" xfId="6607" xr:uid="{00000000-0005-0000-0000-000053B70000}"/>
    <cellStyle name="Normal 4 6 6 2 2" xfId="10139" xr:uid="{00000000-0005-0000-0000-000054B70000}"/>
    <cellStyle name="Normal 4 6 6 2 2 2" xfId="16929" xr:uid="{00000000-0005-0000-0000-000055B70000}"/>
    <cellStyle name="Normal 4 6 6 2 2 2 2" xfId="30497" xr:uid="{00000000-0005-0000-0000-000056B70000}"/>
    <cellStyle name="Normal 4 6 6 2 2 2 2 2" xfId="57630" xr:uid="{00000000-0005-0000-0000-000057B70000}"/>
    <cellStyle name="Normal 4 6 6 2 2 2 3" xfId="44068" xr:uid="{00000000-0005-0000-0000-000058B70000}"/>
    <cellStyle name="Normal 4 6 6 2 2 3" xfId="23716" xr:uid="{00000000-0005-0000-0000-000059B70000}"/>
    <cellStyle name="Normal 4 6 6 2 2 3 2" xfId="50849" xr:uid="{00000000-0005-0000-0000-00005AB70000}"/>
    <cellStyle name="Normal 4 6 6 2 2 4" xfId="37287" xr:uid="{00000000-0005-0000-0000-00005BB70000}"/>
    <cellStyle name="Normal 4 6 6 2 3" xfId="13540" xr:uid="{00000000-0005-0000-0000-00005CB70000}"/>
    <cellStyle name="Normal 4 6 6 2 3 2" xfId="27108" xr:uid="{00000000-0005-0000-0000-00005DB70000}"/>
    <cellStyle name="Normal 4 6 6 2 3 2 2" xfId="54241" xr:uid="{00000000-0005-0000-0000-00005EB70000}"/>
    <cellStyle name="Normal 4 6 6 2 3 3" xfId="40679" xr:uid="{00000000-0005-0000-0000-00005FB70000}"/>
    <cellStyle name="Normal 4 6 6 2 4" xfId="20327" xr:uid="{00000000-0005-0000-0000-000060B70000}"/>
    <cellStyle name="Normal 4 6 6 2 4 2" xfId="47460" xr:uid="{00000000-0005-0000-0000-000061B70000}"/>
    <cellStyle name="Normal 4 6 6 2 5" xfId="33898" xr:uid="{00000000-0005-0000-0000-000062B70000}"/>
    <cellStyle name="Normal 4 6 6 3" xfId="6608" xr:uid="{00000000-0005-0000-0000-000063B70000}"/>
    <cellStyle name="Normal 4 6 6 3 2" xfId="10140" xr:uid="{00000000-0005-0000-0000-000064B70000}"/>
    <cellStyle name="Normal 4 6 6 3 2 2" xfId="16930" xr:uid="{00000000-0005-0000-0000-000065B70000}"/>
    <cellStyle name="Normal 4 6 6 3 2 2 2" xfId="30498" xr:uid="{00000000-0005-0000-0000-000066B70000}"/>
    <cellStyle name="Normal 4 6 6 3 2 2 2 2" xfId="57631" xr:uid="{00000000-0005-0000-0000-000067B70000}"/>
    <cellStyle name="Normal 4 6 6 3 2 2 3" xfId="44069" xr:uid="{00000000-0005-0000-0000-000068B70000}"/>
    <cellStyle name="Normal 4 6 6 3 2 3" xfId="23717" xr:uid="{00000000-0005-0000-0000-000069B70000}"/>
    <cellStyle name="Normal 4 6 6 3 2 3 2" xfId="50850" xr:uid="{00000000-0005-0000-0000-00006AB70000}"/>
    <cellStyle name="Normal 4 6 6 3 2 4" xfId="37288" xr:uid="{00000000-0005-0000-0000-00006BB70000}"/>
    <cellStyle name="Normal 4 6 6 3 3" xfId="13541" xr:uid="{00000000-0005-0000-0000-00006CB70000}"/>
    <cellStyle name="Normal 4 6 6 3 3 2" xfId="27109" xr:uid="{00000000-0005-0000-0000-00006DB70000}"/>
    <cellStyle name="Normal 4 6 6 3 3 2 2" xfId="54242" xr:uid="{00000000-0005-0000-0000-00006EB70000}"/>
    <cellStyle name="Normal 4 6 6 3 3 3" xfId="40680" xr:uid="{00000000-0005-0000-0000-00006FB70000}"/>
    <cellStyle name="Normal 4 6 6 3 4" xfId="20328" xr:uid="{00000000-0005-0000-0000-000070B70000}"/>
    <cellStyle name="Normal 4 6 6 3 4 2" xfId="47461" xr:uid="{00000000-0005-0000-0000-000071B70000}"/>
    <cellStyle name="Normal 4 6 6 3 5" xfId="33899" xr:uid="{00000000-0005-0000-0000-000072B70000}"/>
    <cellStyle name="Normal 4 6 6 4" xfId="10138" xr:uid="{00000000-0005-0000-0000-000073B70000}"/>
    <cellStyle name="Normal 4 6 6 4 2" xfId="16928" xr:uid="{00000000-0005-0000-0000-000074B70000}"/>
    <cellStyle name="Normal 4 6 6 4 2 2" xfId="30496" xr:uid="{00000000-0005-0000-0000-000075B70000}"/>
    <cellStyle name="Normal 4 6 6 4 2 2 2" xfId="57629" xr:uid="{00000000-0005-0000-0000-000076B70000}"/>
    <cellStyle name="Normal 4 6 6 4 2 3" xfId="44067" xr:uid="{00000000-0005-0000-0000-000077B70000}"/>
    <cellStyle name="Normal 4 6 6 4 3" xfId="23715" xr:uid="{00000000-0005-0000-0000-000078B70000}"/>
    <cellStyle name="Normal 4 6 6 4 3 2" xfId="50848" xr:uid="{00000000-0005-0000-0000-000079B70000}"/>
    <cellStyle name="Normal 4 6 6 4 4" xfId="37286" xr:uid="{00000000-0005-0000-0000-00007AB70000}"/>
    <cellStyle name="Normal 4 6 6 5" xfId="13539" xr:uid="{00000000-0005-0000-0000-00007BB70000}"/>
    <cellStyle name="Normal 4 6 6 5 2" xfId="27107" xr:uid="{00000000-0005-0000-0000-00007CB70000}"/>
    <cellStyle name="Normal 4 6 6 5 2 2" xfId="54240" xr:uid="{00000000-0005-0000-0000-00007DB70000}"/>
    <cellStyle name="Normal 4 6 6 5 3" xfId="40678" xr:uid="{00000000-0005-0000-0000-00007EB70000}"/>
    <cellStyle name="Normal 4 6 6 6" xfId="20326" xr:uid="{00000000-0005-0000-0000-00007FB70000}"/>
    <cellStyle name="Normal 4 6 6 6 2" xfId="47459" xr:uid="{00000000-0005-0000-0000-000080B70000}"/>
    <cellStyle name="Normal 4 6 6 7" xfId="33897" xr:uid="{00000000-0005-0000-0000-000081B70000}"/>
    <cellStyle name="Normal 4 6 7" xfId="6609" xr:uid="{00000000-0005-0000-0000-000082B70000}"/>
    <cellStyle name="Normal 4 6 7 2" xfId="6610" xr:uid="{00000000-0005-0000-0000-000083B70000}"/>
    <cellStyle name="Normal 4 6 7 2 2" xfId="10142" xr:uid="{00000000-0005-0000-0000-000084B70000}"/>
    <cellStyle name="Normal 4 6 7 2 2 2" xfId="16932" xr:uid="{00000000-0005-0000-0000-000085B70000}"/>
    <cellStyle name="Normal 4 6 7 2 2 2 2" xfId="30500" xr:uid="{00000000-0005-0000-0000-000086B70000}"/>
    <cellStyle name="Normal 4 6 7 2 2 2 2 2" xfId="57633" xr:uid="{00000000-0005-0000-0000-000087B70000}"/>
    <cellStyle name="Normal 4 6 7 2 2 2 3" xfId="44071" xr:uid="{00000000-0005-0000-0000-000088B70000}"/>
    <cellStyle name="Normal 4 6 7 2 2 3" xfId="23719" xr:uid="{00000000-0005-0000-0000-000089B70000}"/>
    <cellStyle name="Normal 4 6 7 2 2 3 2" xfId="50852" xr:uid="{00000000-0005-0000-0000-00008AB70000}"/>
    <cellStyle name="Normal 4 6 7 2 2 4" xfId="37290" xr:uid="{00000000-0005-0000-0000-00008BB70000}"/>
    <cellStyle name="Normal 4 6 7 2 3" xfId="13543" xr:uid="{00000000-0005-0000-0000-00008CB70000}"/>
    <cellStyle name="Normal 4 6 7 2 3 2" xfId="27111" xr:uid="{00000000-0005-0000-0000-00008DB70000}"/>
    <cellStyle name="Normal 4 6 7 2 3 2 2" xfId="54244" xr:uid="{00000000-0005-0000-0000-00008EB70000}"/>
    <cellStyle name="Normal 4 6 7 2 3 3" xfId="40682" xr:uid="{00000000-0005-0000-0000-00008FB70000}"/>
    <cellStyle name="Normal 4 6 7 2 4" xfId="20330" xr:uid="{00000000-0005-0000-0000-000090B70000}"/>
    <cellStyle name="Normal 4 6 7 2 4 2" xfId="47463" xr:uid="{00000000-0005-0000-0000-000091B70000}"/>
    <cellStyle name="Normal 4 6 7 2 5" xfId="33901" xr:uid="{00000000-0005-0000-0000-000092B70000}"/>
    <cellStyle name="Normal 4 6 7 3" xfId="6611" xr:uid="{00000000-0005-0000-0000-000093B70000}"/>
    <cellStyle name="Normal 4 6 7 3 2" xfId="10143" xr:uid="{00000000-0005-0000-0000-000094B70000}"/>
    <cellStyle name="Normal 4 6 7 3 2 2" xfId="16933" xr:uid="{00000000-0005-0000-0000-000095B70000}"/>
    <cellStyle name="Normal 4 6 7 3 2 2 2" xfId="30501" xr:uid="{00000000-0005-0000-0000-000096B70000}"/>
    <cellStyle name="Normal 4 6 7 3 2 2 2 2" xfId="57634" xr:uid="{00000000-0005-0000-0000-000097B70000}"/>
    <cellStyle name="Normal 4 6 7 3 2 2 3" xfId="44072" xr:uid="{00000000-0005-0000-0000-000098B70000}"/>
    <cellStyle name="Normal 4 6 7 3 2 3" xfId="23720" xr:uid="{00000000-0005-0000-0000-000099B70000}"/>
    <cellStyle name="Normal 4 6 7 3 2 3 2" xfId="50853" xr:uid="{00000000-0005-0000-0000-00009AB70000}"/>
    <cellStyle name="Normal 4 6 7 3 2 4" xfId="37291" xr:uid="{00000000-0005-0000-0000-00009BB70000}"/>
    <cellStyle name="Normal 4 6 7 3 3" xfId="13544" xr:uid="{00000000-0005-0000-0000-00009CB70000}"/>
    <cellStyle name="Normal 4 6 7 3 3 2" xfId="27112" xr:uid="{00000000-0005-0000-0000-00009DB70000}"/>
    <cellStyle name="Normal 4 6 7 3 3 2 2" xfId="54245" xr:uid="{00000000-0005-0000-0000-00009EB70000}"/>
    <cellStyle name="Normal 4 6 7 3 3 3" xfId="40683" xr:uid="{00000000-0005-0000-0000-00009FB70000}"/>
    <cellStyle name="Normal 4 6 7 3 4" xfId="20331" xr:uid="{00000000-0005-0000-0000-0000A0B70000}"/>
    <cellStyle name="Normal 4 6 7 3 4 2" xfId="47464" xr:uid="{00000000-0005-0000-0000-0000A1B70000}"/>
    <cellStyle name="Normal 4 6 7 3 5" xfId="33902" xr:uid="{00000000-0005-0000-0000-0000A2B70000}"/>
    <cellStyle name="Normal 4 6 7 4" xfId="10141" xr:uid="{00000000-0005-0000-0000-0000A3B70000}"/>
    <cellStyle name="Normal 4 6 7 4 2" xfId="16931" xr:uid="{00000000-0005-0000-0000-0000A4B70000}"/>
    <cellStyle name="Normal 4 6 7 4 2 2" xfId="30499" xr:uid="{00000000-0005-0000-0000-0000A5B70000}"/>
    <cellStyle name="Normal 4 6 7 4 2 2 2" xfId="57632" xr:uid="{00000000-0005-0000-0000-0000A6B70000}"/>
    <cellStyle name="Normal 4 6 7 4 2 3" xfId="44070" xr:uid="{00000000-0005-0000-0000-0000A7B70000}"/>
    <cellStyle name="Normal 4 6 7 4 3" xfId="23718" xr:uid="{00000000-0005-0000-0000-0000A8B70000}"/>
    <cellStyle name="Normal 4 6 7 4 3 2" xfId="50851" xr:uid="{00000000-0005-0000-0000-0000A9B70000}"/>
    <cellStyle name="Normal 4 6 7 4 4" xfId="37289" xr:uid="{00000000-0005-0000-0000-0000AAB70000}"/>
    <cellStyle name="Normal 4 6 7 5" xfId="13542" xr:uid="{00000000-0005-0000-0000-0000ABB70000}"/>
    <cellStyle name="Normal 4 6 7 5 2" xfId="27110" xr:uid="{00000000-0005-0000-0000-0000ACB70000}"/>
    <cellStyle name="Normal 4 6 7 5 2 2" xfId="54243" xr:uid="{00000000-0005-0000-0000-0000ADB70000}"/>
    <cellStyle name="Normal 4 6 7 5 3" xfId="40681" xr:uid="{00000000-0005-0000-0000-0000AEB70000}"/>
    <cellStyle name="Normal 4 6 7 6" xfId="20329" xr:uid="{00000000-0005-0000-0000-0000AFB70000}"/>
    <cellStyle name="Normal 4 6 7 6 2" xfId="47462" xr:uid="{00000000-0005-0000-0000-0000B0B70000}"/>
    <cellStyle name="Normal 4 6 7 7" xfId="33900" xr:uid="{00000000-0005-0000-0000-0000B1B70000}"/>
    <cellStyle name="Normal 4 6 8" xfId="6612" xr:uid="{00000000-0005-0000-0000-0000B2B70000}"/>
    <cellStyle name="Normal 4 6 8 2" xfId="10144" xr:uid="{00000000-0005-0000-0000-0000B3B70000}"/>
    <cellStyle name="Normal 4 6 8 2 2" xfId="16934" xr:uid="{00000000-0005-0000-0000-0000B4B70000}"/>
    <cellStyle name="Normal 4 6 8 2 2 2" xfId="30502" xr:uid="{00000000-0005-0000-0000-0000B5B70000}"/>
    <cellStyle name="Normal 4 6 8 2 2 2 2" xfId="57635" xr:uid="{00000000-0005-0000-0000-0000B6B70000}"/>
    <cellStyle name="Normal 4 6 8 2 2 3" xfId="44073" xr:uid="{00000000-0005-0000-0000-0000B7B70000}"/>
    <cellStyle name="Normal 4 6 8 2 3" xfId="23721" xr:uid="{00000000-0005-0000-0000-0000B8B70000}"/>
    <cellStyle name="Normal 4 6 8 2 3 2" xfId="50854" xr:uid="{00000000-0005-0000-0000-0000B9B70000}"/>
    <cellStyle name="Normal 4 6 8 2 4" xfId="37292" xr:uid="{00000000-0005-0000-0000-0000BAB70000}"/>
    <cellStyle name="Normal 4 6 8 3" xfId="13545" xr:uid="{00000000-0005-0000-0000-0000BBB70000}"/>
    <cellStyle name="Normal 4 6 8 3 2" xfId="27113" xr:uid="{00000000-0005-0000-0000-0000BCB70000}"/>
    <cellStyle name="Normal 4 6 8 3 2 2" xfId="54246" xr:uid="{00000000-0005-0000-0000-0000BDB70000}"/>
    <cellStyle name="Normal 4 6 8 3 3" xfId="40684" xr:uid="{00000000-0005-0000-0000-0000BEB70000}"/>
    <cellStyle name="Normal 4 6 8 4" xfId="20332" xr:uid="{00000000-0005-0000-0000-0000BFB70000}"/>
    <cellStyle name="Normal 4 6 8 4 2" xfId="47465" xr:uid="{00000000-0005-0000-0000-0000C0B70000}"/>
    <cellStyle name="Normal 4 6 8 5" xfId="33903" xr:uid="{00000000-0005-0000-0000-0000C1B70000}"/>
    <cellStyle name="Normal 4 6 9" xfId="6613" xr:uid="{00000000-0005-0000-0000-0000C2B70000}"/>
    <cellStyle name="Normal 4 6 9 2" xfId="10145" xr:uid="{00000000-0005-0000-0000-0000C3B70000}"/>
    <cellStyle name="Normal 4 6 9 2 2" xfId="16935" xr:uid="{00000000-0005-0000-0000-0000C4B70000}"/>
    <cellStyle name="Normal 4 6 9 2 2 2" xfId="30503" xr:uid="{00000000-0005-0000-0000-0000C5B70000}"/>
    <cellStyle name="Normal 4 6 9 2 2 2 2" xfId="57636" xr:uid="{00000000-0005-0000-0000-0000C6B70000}"/>
    <cellStyle name="Normal 4 6 9 2 2 3" xfId="44074" xr:uid="{00000000-0005-0000-0000-0000C7B70000}"/>
    <cellStyle name="Normal 4 6 9 2 3" xfId="23722" xr:uid="{00000000-0005-0000-0000-0000C8B70000}"/>
    <cellStyle name="Normal 4 6 9 2 3 2" xfId="50855" xr:uid="{00000000-0005-0000-0000-0000C9B70000}"/>
    <cellStyle name="Normal 4 6 9 2 4" xfId="37293" xr:uid="{00000000-0005-0000-0000-0000CAB70000}"/>
    <cellStyle name="Normal 4 6 9 3" xfId="13546" xr:uid="{00000000-0005-0000-0000-0000CBB70000}"/>
    <cellStyle name="Normal 4 6 9 3 2" xfId="27114" xr:uid="{00000000-0005-0000-0000-0000CCB70000}"/>
    <cellStyle name="Normal 4 6 9 3 2 2" xfId="54247" xr:uid="{00000000-0005-0000-0000-0000CDB70000}"/>
    <cellStyle name="Normal 4 6 9 3 3" xfId="40685" xr:uid="{00000000-0005-0000-0000-0000CEB70000}"/>
    <cellStyle name="Normal 4 6 9 4" xfId="20333" xr:uid="{00000000-0005-0000-0000-0000CFB70000}"/>
    <cellStyle name="Normal 4 6 9 4 2" xfId="47466" xr:uid="{00000000-0005-0000-0000-0000D0B70000}"/>
    <cellStyle name="Normal 4 6 9 5" xfId="33904" xr:uid="{00000000-0005-0000-0000-0000D1B70000}"/>
    <cellStyle name="Normal 4 7" xfId="2779" xr:uid="{00000000-0005-0000-0000-0000D2B70000}"/>
    <cellStyle name="Normal 4 7 2" xfId="6614" xr:uid="{00000000-0005-0000-0000-0000D3B70000}"/>
    <cellStyle name="Normal 4 7 2 2" xfId="6615" xr:uid="{00000000-0005-0000-0000-0000D4B70000}"/>
    <cellStyle name="Normal 4 7 2 2 2" xfId="6616" xr:uid="{00000000-0005-0000-0000-0000D5B70000}"/>
    <cellStyle name="Normal 4 7 2 2 2 2" xfId="10148" xr:uid="{00000000-0005-0000-0000-0000D6B70000}"/>
    <cellStyle name="Normal 4 7 2 2 2 2 2" xfId="16938" xr:uid="{00000000-0005-0000-0000-0000D7B70000}"/>
    <cellStyle name="Normal 4 7 2 2 2 2 2 2" xfId="30506" xr:uid="{00000000-0005-0000-0000-0000D8B70000}"/>
    <cellStyle name="Normal 4 7 2 2 2 2 2 2 2" xfId="57639" xr:uid="{00000000-0005-0000-0000-0000D9B70000}"/>
    <cellStyle name="Normal 4 7 2 2 2 2 2 3" xfId="44077" xr:uid="{00000000-0005-0000-0000-0000DAB70000}"/>
    <cellStyle name="Normal 4 7 2 2 2 2 3" xfId="23725" xr:uid="{00000000-0005-0000-0000-0000DBB70000}"/>
    <cellStyle name="Normal 4 7 2 2 2 2 3 2" xfId="50858" xr:uid="{00000000-0005-0000-0000-0000DCB70000}"/>
    <cellStyle name="Normal 4 7 2 2 2 2 4" xfId="37296" xr:uid="{00000000-0005-0000-0000-0000DDB70000}"/>
    <cellStyle name="Normal 4 7 2 2 2 3" xfId="13549" xr:uid="{00000000-0005-0000-0000-0000DEB70000}"/>
    <cellStyle name="Normal 4 7 2 2 2 3 2" xfId="27117" xr:uid="{00000000-0005-0000-0000-0000DFB70000}"/>
    <cellStyle name="Normal 4 7 2 2 2 3 2 2" xfId="54250" xr:uid="{00000000-0005-0000-0000-0000E0B70000}"/>
    <cellStyle name="Normal 4 7 2 2 2 3 3" xfId="40688" xr:uid="{00000000-0005-0000-0000-0000E1B70000}"/>
    <cellStyle name="Normal 4 7 2 2 2 4" xfId="20336" xr:uid="{00000000-0005-0000-0000-0000E2B70000}"/>
    <cellStyle name="Normal 4 7 2 2 2 4 2" xfId="47469" xr:uid="{00000000-0005-0000-0000-0000E3B70000}"/>
    <cellStyle name="Normal 4 7 2 2 2 5" xfId="33907" xr:uid="{00000000-0005-0000-0000-0000E4B70000}"/>
    <cellStyle name="Normal 4 7 2 2 3" xfId="6617" xr:uid="{00000000-0005-0000-0000-0000E5B70000}"/>
    <cellStyle name="Normal 4 7 2 2 3 2" xfId="10149" xr:uid="{00000000-0005-0000-0000-0000E6B70000}"/>
    <cellStyle name="Normal 4 7 2 2 3 2 2" xfId="16939" xr:uid="{00000000-0005-0000-0000-0000E7B70000}"/>
    <cellStyle name="Normal 4 7 2 2 3 2 2 2" xfId="30507" xr:uid="{00000000-0005-0000-0000-0000E8B70000}"/>
    <cellStyle name="Normal 4 7 2 2 3 2 2 2 2" xfId="57640" xr:uid="{00000000-0005-0000-0000-0000E9B70000}"/>
    <cellStyle name="Normal 4 7 2 2 3 2 2 3" xfId="44078" xr:uid="{00000000-0005-0000-0000-0000EAB70000}"/>
    <cellStyle name="Normal 4 7 2 2 3 2 3" xfId="23726" xr:uid="{00000000-0005-0000-0000-0000EBB70000}"/>
    <cellStyle name="Normal 4 7 2 2 3 2 3 2" xfId="50859" xr:uid="{00000000-0005-0000-0000-0000ECB70000}"/>
    <cellStyle name="Normal 4 7 2 2 3 2 4" xfId="37297" xr:uid="{00000000-0005-0000-0000-0000EDB70000}"/>
    <cellStyle name="Normal 4 7 2 2 3 3" xfId="13550" xr:uid="{00000000-0005-0000-0000-0000EEB70000}"/>
    <cellStyle name="Normal 4 7 2 2 3 3 2" xfId="27118" xr:uid="{00000000-0005-0000-0000-0000EFB70000}"/>
    <cellStyle name="Normal 4 7 2 2 3 3 2 2" xfId="54251" xr:uid="{00000000-0005-0000-0000-0000F0B70000}"/>
    <cellStyle name="Normal 4 7 2 2 3 3 3" xfId="40689" xr:uid="{00000000-0005-0000-0000-0000F1B70000}"/>
    <cellStyle name="Normal 4 7 2 2 3 4" xfId="20337" xr:uid="{00000000-0005-0000-0000-0000F2B70000}"/>
    <cellStyle name="Normal 4 7 2 2 3 4 2" xfId="47470" xr:uid="{00000000-0005-0000-0000-0000F3B70000}"/>
    <cellStyle name="Normal 4 7 2 2 3 5" xfId="33908" xr:uid="{00000000-0005-0000-0000-0000F4B70000}"/>
    <cellStyle name="Normal 4 7 2 2 4" xfId="10147" xr:uid="{00000000-0005-0000-0000-0000F5B70000}"/>
    <cellStyle name="Normal 4 7 2 2 4 2" xfId="16937" xr:uid="{00000000-0005-0000-0000-0000F6B70000}"/>
    <cellStyle name="Normal 4 7 2 2 4 2 2" xfId="30505" xr:uid="{00000000-0005-0000-0000-0000F7B70000}"/>
    <cellStyle name="Normal 4 7 2 2 4 2 2 2" xfId="57638" xr:uid="{00000000-0005-0000-0000-0000F8B70000}"/>
    <cellStyle name="Normal 4 7 2 2 4 2 3" xfId="44076" xr:uid="{00000000-0005-0000-0000-0000F9B70000}"/>
    <cellStyle name="Normal 4 7 2 2 4 3" xfId="23724" xr:uid="{00000000-0005-0000-0000-0000FAB70000}"/>
    <cellStyle name="Normal 4 7 2 2 4 3 2" xfId="50857" xr:uid="{00000000-0005-0000-0000-0000FBB70000}"/>
    <cellStyle name="Normal 4 7 2 2 4 4" xfId="37295" xr:uid="{00000000-0005-0000-0000-0000FCB70000}"/>
    <cellStyle name="Normal 4 7 2 2 5" xfId="13548" xr:uid="{00000000-0005-0000-0000-0000FDB70000}"/>
    <cellStyle name="Normal 4 7 2 2 5 2" xfId="27116" xr:uid="{00000000-0005-0000-0000-0000FEB70000}"/>
    <cellStyle name="Normal 4 7 2 2 5 2 2" xfId="54249" xr:uid="{00000000-0005-0000-0000-0000FFB70000}"/>
    <cellStyle name="Normal 4 7 2 2 5 3" xfId="40687" xr:uid="{00000000-0005-0000-0000-000000B80000}"/>
    <cellStyle name="Normal 4 7 2 2 6" xfId="20335" xr:uid="{00000000-0005-0000-0000-000001B80000}"/>
    <cellStyle name="Normal 4 7 2 2 6 2" xfId="47468" xr:uid="{00000000-0005-0000-0000-000002B80000}"/>
    <cellStyle name="Normal 4 7 2 2 7" xfId="33906" xr:uid="{00000000-0005-0000-0000-000003B80000}"/>
    <cellStyle name="Normal 4 7 2 3" xfId="6618" xr:uid="{00000000-0005-0000-0000-000004B80000}"/>
    <cellStyle name="Normal 4 7 2 3 2" xfId="6619" xr:uid="{00000000-0005-0000-0000-000005B80000}"/>
    <cellStyle name="Normal 4 7 2 3 2 2" xfId="10151" xr:uid="{00000000-0005-0000-0000-000006B80000}"/>
    <cellStyle name="Normal 4 7 2 3 2 2 2" xfId="16941" xr:uid="{00000000-0005-0000-0000-000007B80000}"/>
    <cellStyle name="Normal 4 7 2 3 2 2 2 2" xfId="30509" xr:uid="{00000000-0005-0000-0000-000008B80000}"/>
    <cellStyle name="Normal 4 7 2 3 2 2 2 2 2" xfId="57642" xr:uid="{00000000-0005-0000-0000-000009B80000}"/>
    <cellStyle name="Normal 4 7 2 3 2 2 2 3" xfId="44080" xr:uid="{00000000-0005-0000-0000-00000AB80000}"/>
    <cellStyle name="Normal 4 7 2 3 2 2 3" xfId="23728" xr:uid="{00000000-0005-0000-0000-00000BB80000}"/>
    <cellStyle name="Normal 4 7 2 3 2 2 3 2" xfId="50861" xr:uid="{00000000-0005-0000-0000-00000CB80000}"/>
    <cellStyle name="Normal 4 7 2 3 2 2 4" xfId="37299" xr:uid="{00000000-0005-0000-0000-00000DB80000}"/>
    <cellStyle name="Normal 4 7 2 3 2 3" xfId="13552" xr:uid="{00000000-0005-0000-0000-00000EB80000}"/>
    <cellStyle name="Normal 4 7 2 3 2 3 2" xfId="27120" xr:uid="{00000000-0005-0000-0000-00000FB80000}"/>
    <cellStyle name="Normal 4 7 2 3 2 3 2 2" xfId="54253" xr:uid="{00000000-0005-0000-0000-000010B80000}"/>
    <cellStyle name="Normal 4 7 2 3 2 3 3" xfId="40691" xr:uid="{00000000-0005-0000-0000-000011B80000}"/>
    <cellStyle name="Normal 4 7 2 3 2 4" xfId="20339" xr:uid="{00000000-0005-0000-0000-000012B80000}"/>
    <cellStyle name="Normal 4 7 2 3 2 4 2" xfId="47472" xr:uid="{00000000-0005-0000-0000-000013B80000}"/>
    <cellStyle name="Normal 4 7 2 3 2 5" xfId="33910" xr:uid="{00000000-0005-0000-0000-000014B80000}"/>
    <cellStyle name="Normal 4 7 2 3 3" xfId="10150" xr:uid="{00000000-0005-0000-0000-000015B80000}"/>
    <cellStyle name="Normal 4 7 2 3 3 2" xfId="16940" xr:uid="{00000000-0005-0000-0000-000016B80000}"/>
    <cellStyle name="Normal 4 7 2 3 3 2 2" xfId="30508" xr:uid="{00000000-0005-0000-0000-000017B80000}"/>
    <cellStyle name="Normal 4 7 2 3 3 2 2 2" xfId="57641" xr:uid="{00000000-0005-0000-0000-000018B80000}"/>
    <cellStyle name="Normal 4 7 2 3 3 2 3" xfId="44079" xr:uid="{00000000-0005-0000-0000-000019B80000}"/>
    <cellStyle name="Normal 4 7 2 3 3 3" xfId="23727" xr:uid="{00000000-0005-0000-0000-00001AB80000}"/>
    <cellStyle name="Normal 4 7 2 3 3 3 2" xfId="50860" xr:uid="{00000000-0005-0000-0000-00001BB80000}"/>
    <cellStyle name="Normal 4 7 2 3 3 4" xfId="37298" xr:uid="{00000000-0005-0000-0000-00001CB80000}"/>
    <cellStyle name="Normal 4 7 2 3 4" xfId="13551" xr:uid="{00000000-0005-0000-0000-00001DB80000}"/>
    <cellStyle name="Normal 4 7 2 3 4 2" xfId="27119" xr:uid="{00000000-0005-0000-0000-00001EB80000}"/>
    <cellStyle name="Normal 4 7 2 3 4 2 2" xfId="54252" xr:uid="{00000000-0005-0000-0000-00001FB80000}"/>
    <cellStyle name="Normal 4 7 2 3 4 3" xfId="40690" xr:uid="{00000000-0005-0000-0000-000020B80000}"/>
    <cellStyle name="Normal 4 7 2 3 5" xfId="20338" xr:uid="{00000000-0005-0000-0000-000021B80000}"/>
    <cellStyle name="Normal 4 7 2 3 5 2" xfId="47471" xr:uid="{00000000-0005-0000-0000-000022B80000}"/>
    <cellStyle name="Normal 4 7 2 3 6" xfId="33909" xr:uid="{00000000-0005-0000-0000-000023B80000}"/>
    <cellStyle name="Normal 4 7 2 4" xfId="6620" xr:uid="{00000000-0005-0000-0000-000024B80000}"/>
    <cellStyle name="Normal 4 7 2 4 2" xfId="10152" xr:uid="{00000000-0005-0000-0000-000025B80000}"/>
    <cellStyle name="Normal 4 7 2 4 2 2" xfId="16942" xr:uid="{00000000-0005-0000-0000-000026B80000}"/>
    <cellStyle name="Normal 4 7 2 4 2 2 2" xfId="30510" xr:uid="{00000000-0005-0000-0000-000027B80000}"/>
    <cellStyle name="Normal 4 7 2 4 2 2 2 2" xfId="57643" xr:uid="{00000000-0005-0000-0000-000028B80000}"/>
    <cellStyle name="Normal 4 7 2 4 2 2 3" xfId="44081" xr:uid="{00000000-0005-0000-0000-000029B80000}"/>
    <cellStyle name="Normal 4 7 2 4 2 3" xfId="23729" xr:uid="{00000000-0005-0000-0000-00002AB80000}"/>
    <cellStyle name="Normal 4 7 2 4 2 3 2" xfId="50862" xr:uid="{00000000-0005-0000-0000-00002BB80000}"/>
    <cellStyle name="Normal 4 7 2 4 2 4" xfId="37300" xr:uid="{00000000-0005-0000-0000-00002CB80000}"/>
    <cellStyle name="Normal 4 7 2 4 3" xfId="13553" xr:uid="{00000000-0005-0000-0000-00002DB80000}"/>
    <cellStyle name="Normal 4 7 2 4 3 2" xfId="27121" xr:uid="{00000000-0005-0000-0000-00002EB80000}"/>
    <cellStyle name="Normal 4 7 2 4 3 2 2" xfId="54254" xr:uid="{00000000-0005-0000-0000-00002FB80000}"/>
    <cellStyle name="Normal 4 7 2 4 3 3" xfId="40692" xr:uid="{00000000-0005-0000-0000-000030B80000}"/>
    <cellStyle name="Normal 4 7 2 4 4" xfId="20340" xr:uid="{00000000-0005-0000-0000-000031B80000}"/>
    <cellStyle name="Normal 4 7 2 4 4 2" xfId="47473" xr:uid="{00000000-0005-0000-0000-000032B80000}"/>
    <cellStyle name="Normal 4 7 2 4 5" xfId="33911" xr:uid="{00000000-0005-0000-0000-000033B80000}"/>
    <cellStyle name="Normal 4 7 2 5" xfId="6621" xr:uid="{00000000-0005-0000-0000-000034B80000}"/>
    <cellStyle name="Normal 4 7 2 5 2" xfId="10153" xr:uid="{00000000-0005-0000-0000-000035B80000}"/>
    <cellStyle name="Normal 4 7 2 5 2 2" xfId="16943" xr:uid="{00000000-0005-0000-0000-000036B80000}"/>
    <cellStyle name="Normal 4 7 2 5 2 2 2" xfId="30511" xr:uid="{00000000-0005-0000-0000-000037B80000}"/>
    <cellStyle name="Normal 4 7 2 5 2 2 2 2" xfId="57644" xr:uid="{00000000-0005-0000-0000-000038B80000}"/>
    <cellStyle name="Normal 4 7 2 5 2 2 3" xfId="44082" xr:uid="{00000000-0005-0000-0000-000039B80000}"/>
    <cellStyle name="Normal 4 7 2 5 2 3" xfId="23730" xr:uid="{00000000-0005-0000-0000-00003AB80000}"/>
    <cellStyle name="Normal 4 7 2 5 2 3 2" xfId="50863" xr:uid="{00000000-0005-0000-0000-00003BB80000}"/>
    <cellStyle name="Normal 4 7 2 5 2 4" xfId="37301" xr:uid="{00000000-0005-0000-0000-00003CB80000}"/>
    <cellStyle name="Normal 4 7 2 5 3" xfId="13554" xr:uid="{00000000-0005-0000-0000-00003DB80000}"/>
    <cellStyle name="Normal 4 7 2 5 3 2" xfId="27122" xr:uid="{00000000-0005-0000-0000-00003EB80000}"/>
    <cellStyle name="Normal 4 7 2 5 3 2 2" xfId="54255" xr:uid="{00000000-0005-0000-0000-00003FB80000}"/>
    <cellStyle name="Normal 4 7 2 5 3 3" xfId="40693" xr:uid="{00000000-0005-0000-0000-000040B80000}"/>
    <cellStyle name="Normal 4 7 2 5 4" xfId="20341" xr:uid="{00000000-0005-0000-0000-000041B80000}"/>
    <cellStyle name="Normal 4 7 2 5 4 2" xfId="47474" xr:uid="{00000000-0005-0000-0000-000042B80000}"/>
    <cellStyle name="Normal 4 7 2 5 5" xfId="33912" xr:uid="{00000000-0005-0000-0000-000043B80000}"/>
    <cellStyle name="Normal 4 7 2 6" xfId="10146" xr:uid="{00000000-0005-0000-0000-000044B80000}"/>
    <cellStyle name="Normal 4 7 2 6 2" xfId="16936" xr:uid="{00000000-0005-0000-0000-000045B80000}"/>
    <cellStyle name="Normal 4 7 2 6 2 2" xfId="30504" xr:uid="{00000000-0005-0000-0000-000046B80000}"/>
    <cellStyle name="Normal 4 7 2 6 2 2 2" xfId="57637" xr:uid="{00000000-0005-0000-0000-000047B80000}"/>
    <cellStyle name="Normal 4 7 2 6 2 3" xfId="44075" xr:uid="{00000000-0005-0000-0000-000048B80000}"/>
    <cellStyle name="Normal 4 7 2 6 3" xfId="23723" xr:uid="{00000000-0005-0000-0000-000049B80000}"/>
    <cellStyle name="Normal 4 7 2 6 3 2" xfId="50856" xr:uid="{00000000-0005-0000-0000-00004AB80000}"/>
    <cellStyle name="Normal 4 7 2 6 4" xfId="37294" xr:uid="{00000000-0005-0000-0000-00004BB80000}"/>
    <cellStyle name="Normal 4 7 2 7" xfId="13547" xr:uid="{00000000-0005-0000-0000-00004CB80000}"/>
    <cellStyle name="Normal 4 7 2 7 2" xfId="27115" xr:uid="{00000000-0005-0000-0000-00004DB80000}"/>
    <cellStyle name="Normal 4 7 2 7 2 2" xfId="54248" xr:uid="{00000000-0005-0000-0000-00004EB80000}"/>
    <cellStyle name="Normal 4 7 2 7 3" xfId="40686" xr:uid="{00000000-0005-0000-0000-00004FB80000}"/>
    <cellStyle name="Normal 4 7 2 8" xfId="20334" xr:uid="{00000000-0005-0000-0000-000050B80000}"/>
    <cellStyle name="Normal 4 7 2 8 2" xfId="47467" xr:uid="{00000000-0005-0000-0000-000051B80000}"/>
    <cellStyle name="Normal 4 7 2 9" xfId="33905" xr:uid="{00000000-0005-0000-0000-000052B80000}"/>
    <cellStyle name="Normal 4 7 3" xfId="6622" xr:uid="{00000000-0005-0000-0000-000053B80000}"/>
    <cellStyle name="Normal 4 7 3 2" xfId="6623" xr:uid="{00000000-0005-0000-0000-000054B80000}"/>
    <cellStyle name="Normal 4 7 3 2 2" xfId="6624" xr:uid="{00000000-0005-0000-0000-000055B80000}"/>
    <cellStyle name="Normal 4 7 3 2 2 2" xfId="10156" xr:uid="{00000000-0005-0000-0000-000056B80000}"/>
    <cellStyle name="Normal 4 7 3 2 2 2 2" xfId="16946" xr:uid="{00000000-0005-0000-0000-000057B80000}"/>
    <cellStyle name="Normal 4 7 3 2 2 2 2 2" xfId="30514" xr:uid="{00000000-0005-0000-0000-000058B80000}"/>
    <cellStyle name="Normal 4 7 3 2 2 2 2 2 2" xfId="57647" xr:uid="{00000000-0005-0000-0000-000059B80000}"/>
    <cellStyle name="Normal 4 7 3 2 2 2 2 3" xfId="44085" xr:uid="{00000000-0005-0000-0000-00005AB80000}"/>
    <cellStyle name="Normal 4 7 3 2 2 2 3" xfId="23733" xr:uid="{00000000-0005-0000-0000-00005BB80000}"/>
    <cellStyle name="Normal 4 7 3 2 2 2 3 2" xfId="50866" xr:uid="{00000000-0005-0000-0000-00005CB80000}"/>
    <cellStyle name="Normal 4 7 3 2 2 2 4" xfId="37304" xr:uid="{00000000-0005-0000-0000-00005DB80000}"/>
    <cellStyle name="Normal 4 7 3 2 2 3" xfId="13557" xr:uid="{00000000-0005-0000-0000-00005EB80000}"/>
    <cellStyle name="Normal 4 7 3 2 2 3 2" xfId="27125" xr:uid="{00000000-0005-0000-0000-00005FB80000}"/>
    <cellStyle name="Normal 4 7 3 2 2 3 2 2" xfId="54258" xr:uid="{00000000-0005-0000-0000-000060B80000}"/>
    <cellStyle name="Normal 4 7 3 2 2 3 3" xfId="40696" xr:uid="{00000000-0005-0000-0000-000061B80000}"/>
    <cellStyle name="Normal 4 7 3 2 2 4" xfId="20344" xr:uid="{00000000-0005-0000-0000-000062B80000}"/>
    <cellStyle name="Normal 4 7 3 2 2 4 2" xfId="47477" xr:uid="{00000000-0005-0000-0000-000063B80000}"/>
    <cellStyle name="Normal 4 7 3 2 2 5" xfId="33915" xr:uid="{00000000-0005-0000-0000-000064B80000}"/>
    <cellStyle name="Normal 4 7 3 2 3" xfId="6625" xr:uid="{00000000-0005-0000-0000-000065B80000}"/>
    <cellStyle name="Normal 4 7 3 2 3 2" xfId="10157" xr:uid="{00000000-0005-0000-0000-000066B80000}"/>
    <cellStyle name="Normal 4 7 3 2 3 2 2" xfId="16947" xr:uid="{00000000-0005-0000-0000-000067B80000}"/>
    <cellStyle name="Normal 4 7 3 2 3 2 2 2" xfId="30515" xr:uid="{00000000-0005-0000-0000-000068B80000}"/>
    <cellStyle name="Normal 4 7 3 2 3 2 2 2 2" xfId="57648" xr:uid="{00000000-0005-0000-0000-000069B80000}"/>
    <cellStyle name="Normal 4 7 3 2 3 2 2 3" xfId="44086" xr:uid="{00000000-0005-0000-0000-00006AB80000}"/>
    <cellStyle name="Normal 4 7 3 2 3 2 3" xfId="23734" xr:uid="{00000000-0005-0000-0000-00006BB80000}"/>
    <cellStyle name="Normal 4 7 3 2 3 2 3 2" xfId="50867" xr:uid="{00000000-0005-0000-0000-00006CB80000}"/>
    <cellStyle name="Normal 4 7 3 2 3 2 4" xfId="37305" xr:uid="{00000000-0005-0000-0000-00006DB80000}"/>
    <cellStyle name="Normal 4 7 3 2 3 3" xfId="13558" xr:uid="{00000000-0005-0000-0000-00006EB80000}"/>
    <cellStyle name="Normal 4 7 3 2 3 3 2" xfId="27126" xr:uid="{00000000-0005-0000-0000-00006FB80000}"/>
    <cellStyle name="Normal 4 7 3 2 3 3 2 2" xfId="54259" xr:uid="{00000000-0005-0000-0000-000070B80000}"/>
    <cellStyle name="Normal 4 7 3 2 3 3 3" xfId="40697" xr:uid="{00000000-0005-0000-0000-000071B80000}"/>
    <cellStyle name="Normal 4 7 3 2 3 4" xfId="20345" xr:uid="{00000000-0005-0000-0000-000072B80000}"/>
    <cellStyle name="Normal 4 7 3 2 3 4 2" xfId="47478" xr:uid="{00000000-0005-0000-0000-000073B80000}"/>
    <cellStyle name="Normal 4 7 3 2 3 5" xfId="33916" xr:uid="{00000000-0005-0000-0000-000074B80000}"/>
    <cellStyle name="Normal 4 7 3 2 4" xfId="10155" xr:uid="{00000000-0005-0000-0000-000075B80000}"/>
    <cellStyle name="Normal 4 7 3 2 4 2" xfId="16945" xr:uid="{00000000-0005-0000-0000-000076B80000}"/>
    <cellStyle name="Normal 4 7 3 2 4 2 2" xfId="30513" xr:uid="{00000000-0005-0000-0000-000077B80000}"/>
    <cellStyle name="Normal 4 7 3 2 4 2 2 2" xfId="57646" xr:uid="{00000000-0005-0000-0000-000078B80000}"/>
    <cellStyle name="Normal 4 7 3 2 4 2 3" xfId="44084" xr:uid="{00000000-0005-0000-0000-000079B80000}"/>
    <cellStyle name="Normal 4 7 3 2 4 3" xfId="23732" xr:uid="{00000000-0005-0000-0000-00007AB80000}"/>
    <cellStyle name="Normal 4 7 3 2 4 3 2" xfId="50865" xr:uid="{00000000-0005-0000-0000-00007BB80000}"/>
    <cellStyle name="Normal 4 7 3 2 4 4" xfId="37303" xr:uid="{00000000-0005-0000-0000-00007CB80000}"/>
    <cellStyle name="Normal 4 7 3 2 5" xfId="13556" xr:uid="{00000000-0005-0000-0000-00007DB80000}"/>
    <cellStyle name="Normal 4 7 3 2 5 2" xfId="27124" xr:uid="{00000000-0005-0000-0000-00007EB80000}"/>
    <cellStyle name="Normal 4 7 3 2 5 2 2" xfId="54257" xr:uid="{00000000-0005-0000-0000-00007FB80000}"/>
    <cellStyle name="Normal 4 7 3 2 5 3" xfId="40695" xr:uid="{00000000-0005-0000-0000-000080B80000}"/>
    <cellStyle name="Normal 4 7 3 2 6" xfId="20343" xr:uid="{00000000-0005-0000-0000-000081B80000}"/>
    <cellStyle name="Normal 4 7 3 2 6 2" xfId="47476" xr:uid="{00000000-0005-0000-0000-000082B80000}"/>
    <cellStyle name="Normal 4 7 3 2 7" xfId="33914" xr:uid="{00000000-0005-0000-0000-000083B80000}"/>
    <cellStyle name="Normal 4 7 3 3" xfId="6626" xr:uid="{00000000-0005-0000-0000-000084B80000}"/>
    <cellStyle name="Normal 4 7 3 3 2" xfId="10158" xr:uid="{00000000-0005-0000-0000-000085B80000}"/>
    <cellStyle name="Normal 4 7 3 3 2 2" xfId="16948" xr:uid="{00000000-0005-0000-0000-000086B80000}"/>
    <cellStyle name="Normal 4 7 3 3 2 2 2" xfId="30516" xr:uid="{00000000-0005-0000-0000-000087B80000}"/>
    <cellStyle name="Normal 4 7 3 3 2 2 2 2" xfId="57649" xr:uid="{00000000-0005-0000-0000-000088B80000}"/>
    <cellStyle name="Normal 4 7 3 3 2 2 3" xfId="44087" xr:uid="{00000000-0005-0000-0000-000089B80000}"/>
    <cellStyle name="Normal 4 7 3 3 2 3" xfId="23735" xr:uid="{00000000-0005-0000-0000-00008AB80000}"/>
    <cellStyle name="Normal 4 7 3 3 2 3 2" xfId="50868" xr:uid="{00000000-0005-0000-0000-00008BB80000}"/>
    <cellStyle name="Normal 4 7 3 3 2 4" xfId="37306" xr:uid="{00000000-0005-0000-0000-00008CB80000}"/>
    <cellStyle name="Normal 4 7 3 3 3" xfId="13559" xr:uid="{00000000-0005-0000-0000-00008DB80000}"/>
    <cellStyle name="Normal 4 7 3 3 3 2" xfId="27127" xr:uid="{00000000-0005-0000-0000-00008EB80000}"/>
    <cellStyle name="Normal 4 7 3 3 3 2 2" xfId="54260" xr:uid="{00000000-0005-0000-0000-00008FB80000}"/>
    <cellStyle name="Normal 4 7 3 3 3 3" xfId="40698" xr:uid="{00000000-0005-0000-0000-000090B80000}"/>
    <cellStyle name="Normal 4 7 3 3 4" xfId="20346" xr:uid="{00000000-0005-0000-0000-000091B80000}"/>
    <cellStyle name="Normal 4 7 3 3 4 2" xfId="47479" xr:uid="{00000000-0005-0000-0000-000092B80000}"/>
    <cellStyle name="Normal 4 7 3 3 5" xfId="33917" xr:uid="{00000000-0005-0000-0000-000093B80000}"/>
    <cellStyle name="Normal 4 7 3 4" xfId="6627" xr:uid="{00000000-0005-0000-0000-000094B80000}"/>
    <cellStyle name="Normal 4 7 3 4 2" xfId="10159" xr:uid="{00000000-0005-0000-0000-000095B80000}"/>
    <cellStyle name="Normal 4 7 3 4 2 2" xfId="16949" xr:uid="{00000000-0005-0000-0000-000096B80000}"/>
    <cellStyle name="Normal 4 7 3 4 2 2 2" xfId="30517" xr:uid="{00000000-0005-0000-0000-000097B80000}"/>
    <cellStyle name="Normal 4 7 3 4 2 2 2 2" xfId="57650" xr:uid="{00000000-0005-0000-0000-000098B80000}"/>
    <cellStyle name="Normal 4 7 3 4 2 2 3" xfId="44088" xr:uid="{00000000-0005-0000-0000-000099B80000}"/>
    <cellStyle name="Normal 4 7 3 4 2 3" xfId="23736" xr:uid="{00000000-0005-0000-0000-00009AB80000}"/>
    <cellStyle name="Normal 4 7 3 4 2 3 2" xfId="50869" xr:uid="{00000000-0005-0000-0000-00009BB80000}"/>
    <cellStyle name="Normal 4 7 3 4 2 4" xfId="37307" xr:uid="{00000000-0005-0000-0000-00009CB80000}"/>
    <cellStyle name="Normal 4 7 3 4 3" xfId="13560" xr:uid="{00000000-0005-0000-0000-00009DB80000}"/>
    <cellStyle name="Normal 4 7 3 4 3 2" xfId="27128" xr:uid="{00000000-0005-0000-0000-00009EB80000}"/>
    <cellStyle name="Normal 4 7 3 4 3 2 2" xfId="54261" xr:uid="{00000000-0005-0000-0000-00009FB80000}"/>
    <cellStyle name="Normal 4 7 3 4 3 3" xfId="40699" xr:uid="{00000000-0005-0000-0000-0000A0B80000}"/>
    <cellStyle name="Normal 4 7 3 4 4" xfId="20347" xr:uid="{00000000-0005-0000-0000-0000A1B80000}"/>
    <cellStyle name="Normal 4 7 3 4 4 2" xfId="47480" xr:uid="{00000000-0005-0000-0000-0000A2B80000}"/>
    <cellStyle name="Normal 4 7 3 4 5" xfId="33918" xr:uid="{00000000-0005-0000-0000-0000A3B80000}"/>
    <cellStyle name="Normal 4 7 3 5" xfId="10154" xr:uid="{00000000-0005-0000-0000-0000A4B80000}"/>
    <cellStyle name="Normal 4 7 3 5 2" xfId="16944" xr:uid="{00000000-0005-0000-0000-0000A5B80000}"/>
    <cellStyle name="Normal 4 7 3 5 2 2" xfId="30512" xr:uid="{00000000-0005-0000-0000-0000A6B80000}"/>
    <cellStyle name="Normal 4 7 3 5 2 2 2" xfId="57645" xr:uid="{00000000-0005-0000-0000-0000A7B80000}"/>
    <cellStyle name="Normal 4 7 3 5 2 3" xfId="44083" xr:uid="{00000000-0005-0000-0000-0000A8B80000}"/>
    <cellStyle name="Normal 4 7 3 5 3" xfId="23731" xr:uid="{00000000-0005-0000-0000-0000A9B80000}"/>
    <cellStyle name="Normal 4 7 3 5 3 2" xfId="50864" xr:uid="{00000000-0005-0000-0000-0000AAB80000}"/>
    <cellStyle name="Normal 4 7 3 5 4" xfId="37302" xr:uid="{00000000-0005-0000-0000-0000ABB80000}"/>
    <cellStyle name="Normal 4 7 3 6" xfId="13555" xr:uid="{00000000-0005-0000-0000-0000ACB80000}"/>
    <cellStyle name="Normal 4 7 3 6 2" xfId="27123" xr:uid="{00000000-0005-0000-0000-0000ADB80000}"/>
    <cellStyle name="Normal 4 7 3 6 2 2" xfId="54256" xr:uid="{00000000-0005-0000-0000-0000AEB80000}"/>
    <cellStyle name="Normal 4 7 3 6 3" xfId="40694" xr:uid="{00000000-0005-0000-0000-0000AFB80000}"/>
    <cellStyle name="Normal 4 7 3 7" xfId="20342" xr:uid="{00000000-0005-0000-0000-0000B0B80000}"/>
    <cellStyle name="Normal 4 7 3 7 2" xfId="47475" xr:uid="{00000000-0005-0000-0000-0000B1B80000}"/>
    <cellStyle name="Normal 4 7 3 8" xfId="33913" xr:uid="{00000000-0005-0000-0000-0000B2B80000}"/>
    <cellStyle name="Normal 4 7 4" xfId="6628" xr:uid="{00000000-0005-0000-0000-0000B3B80000}"/>
    <cellStyle name="Normal 4 7 4 2" xfId="6629" xr:uid="{00000000-0005-0000-0000-0000B4B80000}"/>
    <cellStyle name="Normal 4 7 4 2 2" xfId="10161" xr:uid="{00000000-0005-0000-0000-0000B5B80000}"/>
    <cellStyle name="Normal 4 7 4 2 2 2" xfId="16951" xr:uid="{00000000-0005-0000-0000-0000B6B80000}"/>
    <cellStyle name="Normal 4 7 4 2 2 2 2" xfId="30519" xr:uid="{00000000-0005-0000-0000-0000B7B80000}"/>
    <cellStyle name="Normal 4 7 4 2 2 2 2 2" xfId="57652" xr:uid="{00000000-0005-0000-0000-0000B8B80000}"/>
    <cellStyle name="Normal 4 7 4 2 2 2 3" xfId="44090" xr:uid="{00000000-0005-0000-0000-0000B9B80000}"/>
    <cellStyle name="Normal 4 7 4 2 2 3" xfId="23738" xr:uid="{00000000-0005-0000-0000-0000BAB80000}"/>
    <cellStyle name="Normal 4 7 4 2 2 3 2" xfId="50871" xr:uid="{00000000-0005-0000-0000-0000BBB80000}"/>
    <cellStyle name="Normal 4 7 4 2 2 4" xfId="37309" xr:uid="{00000000-0005-0000-0000-0000BCB80000}"/>
    <cellStyle name="Normal 4 7 4 2 3" xfId="13562" xr:uid="{00000000-0005-0000-0000-0000BDB80000}"/>
    <cellStyle name="Normal 4 7 4 2 3 2" xfId="27130" xr:uid="{00000000-0005-0000-0000-0000BEB80000}"/>
    <cellStyle name="Normal 4 7 4 2 3 2 2" xfId="54263" xr:uid="{00000000-0005-0000-0000-0000BFB80000}"/>
    <cellStyle name="Normal 4 7 4 2 3 3" xfId="40701" xr:uid="{00000000-0005-0000-0000-0000C0B80000}"/>
    <cellStyle name="Normal 4 7 4 2 4" xfId="20349" xr:uid="{00000000-0005-0000-0000-0000C1B80000}"/>
    <cellStyle name="Normal 4 7 4 2 4 2" xfId="47482" xr:uid="{00000000-0005-0000-0000-0000C2B80000}"/>
    <cellStyle name="Normal 4 7 4 2 5" xfId="33920" xr:uid="{00000000-0005-0000-0000-0000C3B80000}"/>
    <cellStyle name="Normal 4 7 4 3" xfId="6630" xr:uid="{00000000-0005-0000-0000-0000C4B80000}"/>
    <cellStyle name="Normal 4 7 4 3 2" xfId="10162" xr:uid="{00000000-0005-0000-0000-0000C5B80000}"/>
    <cellStyle name="Normal 4 7 4 3 2 2" xfId="16952" xr:uid="{00000000-0005-0000-0000-0000C6B80000}"/>
    <cellStyle name="Normal 4 7 4 3 2 2 2" xfId="30520" xr:uid="{00000000-0005-0000-0000-0000C7B80000}"/>
    <cellStyle name="Normal 4 7 4 3 2 2 2 2" xfId="57653" xr:uid="{00000000-0005-0000-0000-0000C8B80000}"/>
    <cellStyle name="Normal 4 7 4 3 2 2 3" xfId="44091" xr:uid="{00000000-0005-0000-0000-0000C9B80000}"/>
    <cellStyle name="Normal 4 7 4 3 2 3" xfId="23739" xr:uid="{00000000-0005-0000-0000-0000CAB80000}"/>
    <cellStyle name="Normal 4 7 4 3 2 3 2" xfId="50872" xr:uid="{00000000-0005-0000-0000-0000CBB80000}"/>
    <cellStyle name="Normal 4 7 4 3 2 4" xfId="37310" xr:uid="{00000000-0005-0000-0000-0000CCB80000}"/>
    <cellStyle name="Normal 4 7 4 3 3" xfId="13563" xr:uid="{00000000-0005-0000-0000-0000CDB80000}"/>
    <cellStyle name="Normal 4 7 4 3 3 2" xfId="27131" xr:uid="{00000000-0005-0000-0000-0000CEB80000}"/>
    <cellStyle name="Normal 4 7 4 3 3 2 2" xfId="54264" xr:uid="{00000000-0005-0000-0000-0000CFB80000}"/>
    <cellStyle name="Normal 4 7 4 3 3 3" xfId="40702" xr:uid="{00000000-0005-0000-0000-0000D0B80000}"/>
    <cellStyle name="Normal 4 7 4 3 4" xfId="20350" xr:uid="{00000000-0005-0000-0000-0000D1B80000}"/>
    <cellStyle name="Normal 4 7 4 3 4 2" xfId="47483" xr:uid="{00000000-0005-0000-0000-0000D2B80000}"/>
    <cellStyle name="Normal 4 7 4 3 5" xfId="33921" xr:uid="{00000000-0005-0000-0000-0000D3B80000}"/>
    <cellStyle name="Normal 4 7 4 4" xfId="10160" xr:uid="{00000000-0005-0000-0000-0000D4B80000}"/>
    <cellStyle name="Normal 4 7 4 4 2" xfId="16950" xr:uid="{00000000-0005-0000-0000-0000D5B80000}"/>
    <cellStyle name="Normal 4 7 4 4 2 2" xfId="30518" xr:uid="{00000000-0005-0000-0000-0000D6B80000}"/>
    <cellStyle name="Normal 4 7 4 4 2 2 2" xfId="57651" xr:uid="{00000000-0005-0000-0000-0000D7B80000}"/>
    <cellStyle name="Normal 4 7 4 4 2 3" xfId="44089" xr:uid="{00000000-0005-0000-0000-0000D8B80000}"/>
    <cellStyle name="Normal 4 7 4 4 3" xfId="23737" xr:uid="{00000000-0005-0000-0000-0000D9B80000}"/>
    <cellStyle name="Normal 4 7 4 4 3 2" xfId="50870" xr:uid="{00000000-0005-0000-0000-0000DAB80000}"/>
    <cellStyle name="Normal 4 7 4 4 4" xfId="37308" xr:uid="{00000000-0005-0000-0000-0000DBB80000}"/>
    <cellStyle name="Normal 4 7 4 5" xfId="13561" xr:uid="{00000000-0005-0000-0000-0000DCB80000}"/>
    <cellStyle name="Normal 4 7 4 5 2" xfId="27129" xr:uid="{00000000-0005-0000-0000-0000DDB80000}"/>
    <cellStyle name="Normal 4 7 4 5 2 2" xfId="54262" xr:uid="{00000000-0005-0000-0000-0000DEB80000}"/>
    <cellStyle name="Normal 4 7 4 5 3" xfId="40700" xr:uid="{00000000-0005-0000-0000-0000DFB80000}"/>
    <cellStyle name="Normal 4 7 4 6" xfId="20348" xr:uid="{00000000-0005-0000-0000-0000E0B80000}"/>
    <cellStyle name="Normal 4 7 4 6 2" xfId="47481" xr:uid="{00000000-0005-0000-0000-0000E1B80000}"/>
    <cellStyle name="Normal 4 7 4 7" xfId="33919" xr:uid="{00000000-0005-0000-0000-0000E2B80000}"/>
    <cellStyle name="Normal 4 7 5" xfId="6631" xr:uid="{00000000-0005-0000-0000-0000E3B80000}"/>
    <cellStyle name="Normal 4 7 5 2" xfId="6632" xr:uid="{00000000-0005-0000-0000-0000E4B80000}"/>
    <cellStyle name="Normal 4 7 5 2 2" xfId="10164" xr:uid="{00000000-0005-0000-0000-0000E5B80000}"/>
    <cellStyle name="Normal 4 7 5 2 2 2" xfId="16954" xr:uid="{00000000-0005-0000-0000-0000E6B80000}"/>
    <cellStyle name="Normal 4 7 5 2 2 2 2" xfId="30522" xr:uid="{00000000-0005-0000-0000-0000E7B80000}"/>
    <cellStyle name="Normal 4 7 5 2 2 2 2 2" xfId="57655" xr:uid="{00000000-0005-0000-0000-0000E8B80000}"/>
    <cellStyle name="Normal 4 7 5 2 2 2 3" xfId="44093" xr:uid="{00000000-0005-0000-0000-0000E9B80000}"/>
    <cellStyle name="Normal 4 7 5 2 2 3" xfId="23741" xr:uid="{00000000-0005-0000-0000-0000EAB80000}"/>
    <cellStyle name="Normal 4 7 5 2 2 3 2" xfId="50874" xr:uid="{00000000-0005-0000-0000-0000EBB80000}"/>
    <cellStyle name="Normal 4 7 5 2 2 4" xfId="37312" xr:uid="{00000000-0005-0000-0000-0000ECB80000}"/>
    <cellStyle name="Normal 4 7 5 2 3" xfId="13565" xr:uid="{00000000-0005-0000-0000-0000EDB80000}"/>
    <cellStyle name="Normal 4 7 5 2 3 2" xfId="27133" xr:uid="{00000000-0005-0000-0000-0000EEB80000}"/>
    <cellStyle name="Normal 4 7 5 2 3 2 2" xfId="54266" xr:uid="{00000000-0005-0000-0000-0000EFB80000}"/>
    <cellStyle name="Normal 4 7 5 2 3 3" xfId="40704" xr:uid="{00000000-0005-0000-0000-0000F0B80000}"/>
    <cellStyle name="Normal 4 7 5 2 4" xfId="20352" xr:uid="{00000000-0005-0000-0000-0000F1B80000}"/>
    <cellStyle name="Normal 4 7 5 2 4 2" xfId="47485" xr:uid="{00000000-0005-0000-0000-0000F2B80000}"/>
    <cellStyle name="Normal 4 7 5 2 5" xfId="33923" xr:uid="{00000000-0005-0000-0000-0000F3B80000}"/>
    <cellStyle name="Normal 4 7 5 3" xfId="10163" xr:uid="{00000000-0005-0000-0000-0000F4B80000}"/>
    <cellStyle name="Normal 4 7 5 3 2" xfId="16953" xr:uid="{00000000-0005-0000-0000-0000F5B80000}"/>
    <cellStyle name="Normal 4 7 5 3 2 2" xfId="30521" xr:uid="{00000000-0005-0000-0000-0000F6B80000}"/>
    <cellStyle name="Normal 4 7 5 3 2 2 2" xfId="57654" xr:uid="{00000000-0005-0000-0000-0000F7B80000}"/>
    <cellStyle name="Normal 4 7 5 3 2 3" xfId="44092" xr:uid="{00000000-0005-0000-0000-0000F8B80000}"/>
    <cellStyle name="Normal 4 7 5 3 3" xfId="23740" xr:uid="{00000000-0005-0000-0000-0000F9B80000}"/>
    <cellStyle name="Normal 4 7 5 3 3 2" xfId="50873" xr:uid="{00000000-0005-0000-0000-0000FAB80000}"/>
    <cellStyle name="Normal 4 7 5 3 4" xfId="37311" xr:uid="{00000000-0005-0000-0000-0000FBB80000}"/>
    <cellStyle name="Normal 4 7 5 4" xfId="13564" xr:uid="{00000000-0005-0000-0000-0000FCB80000}"/>
    <cellStyle name="Normal 4 7 5 4 2" xfId="27132" xr:uid="{00000000-0005-0000-0000-0000FDB80000}"/>
    <cellStyle name="Normal 4 7 5 4 2 2" xfId="54265" xr:uid="{00000000-0005-0000-0000-0000FEB80000}"/>
    <cellStyle name="Normal 4 7 5 4 3" xfId="40703" xr:uid="{00000000-0005-0000-0000-0000FFB80000}"/>
    <cellStyle name="Normal 4 7 5 5" xfId="20351" xr:uid="{00000000-0005-0000-0000-000000B90000}"/>
    <cellStyle name="Normal 4 7 5 5 2" xfId="47484" xr:uid="{00000000-0005-0000-0000-000001B90000}"/>
    <cellStyle name="Normal 4 7 5 6" xfId="33922" xr:uid="{00000000-0005-0000-0000-000002B90000}"/>
    <cellStyle name="Normal 4 7 6" xfId="6633" xr:uid="{00000000-0005-0000-0000-000003B90000}"/>
    <cellStyle name="Normal 4 7 6 2" xfId="10165" xr:uid="{00000000-0005-0000-0000-000004B90000}"/>
    <cellStyle name="Normal 4 7 6 2 2" xfId="16955" xr:uid="{00000000-0005-0000-0000-000005B90000}"/>
    <cellStyle name="Normal 4 7 6 2 2 2" xfId="30523" xr:uid="{00000000-0005-0000-0000-000006B90000}"/>
    <cellStyle name="Normal 4 7 6 2 2 2 2" xfId="57656" xr:uid="{00000000-0005-0000-0000-000007B90000}"/>
    <cellStyle name="Normal 4 7 6 2 2 3" xfId="44094" xr:uid="{00000000-0005-0000-0000-000008B90000}"/>
    <cellStyle name="Normal 4 7 6 2 3" xfId="23742" xr:uid="{00000000-0005-0000-0000-000009B90000}"/>
    <cellStyle name="Normal 4 7 6 2 3 2" xfId="50875" xr:uid="{00000000-0005-0000-0000-00000AB90000}"/>
    <cellStyle name="Normal 4 7 6 2 4" xfId="37313" xr:uid="{00000000-0005-0000-0000-00000BB90000}"/>
    <cellStyle name="Normal 4 7 6 3" xfId="13566" xr:uid="{00000000-0005-0000-0000-00000CB90000}"/>
    <cellStyle name="Normal 4 7 6 3 2" xfId="27134" xr:uid="{00000000-0005-0000-0000-00000DB90000}"/>
    <cellStyle name="Normal 4 7 6 3 2 2" xfId="54267" xr:uid="{00000000-0005-0000-0000-00000EB90000}"/>
    <cellStyle name="Normal 4 7 6 3 3" xfId="40705" xr:uid="{00000000-0005-0000-0000-00000FB90000}"/>
    <cellStyle name="Normal 4 7 6 4" xfId="20353" xr:uid="{00000000-0005-0000-0000-000010B90000}"/>
    <cellStyle name="Normal 4 7 6 4 2" xfId="47486" xr:uid="{00000000-0005-0000-0000-000011B90000}"/>
    <cellStyle name="Normal 4 7 6 5" xfId="33924" xr:uid="{00000000-0005-0000-0000-000012B90000}"/>
    <cellStyle name="Normal 4 7 7" xfId="6634" xr:uid="{00000000-0005-0000-0000-000013B90000}"/>
    <cellStyle name="Normal 4 7 7 2" xfId="10166" xr:uid="{00000000-0005-0000-0000-000014B90000}"/>
    <cellStyle name="Normal 4 7 7 2 2" xfId="16956" xr:uid="{00000000-0005-0000-0000-000015B90000}"/>
    <cellStyle name="Normal 4 7 7 2 2 2" xfId="30524" xr:uid="{00000000-0005-0000-0000-000016B90000}"/>
    <cellStyle name="Normal 4 7 7 2 2 2 2" xfId="57657" xr:uid="{00000000-0005-0000-0000-000017B90000}"/>
    <cellStyle name="Normal 4 7 7 2 2 3" xfId="44095" xr:uid="{00000000-0005-0000-0000-000018B90000}"/>
    <cellStyle name="Normal 4 7 7 2 3" xfId="23743" xr:uid="{00000000-0005-0000-0000-000019B90000}"/>
    <cellStyle name="Normal 4 7 7 2 3 2" xfId="50876" xr:uid="{00000000-0005-0000-0000-00001AB90000}"/>
    <cellStyle name="Normal 4 7 7 2 4" xfId="37314" xr:uid="{00000000-0005-0000-0000-00001BB90000}"/>
    <cellStyle name="Normal 4 7 7 3" xfId="13567" xr:uid="{00000000-0005-0000-0000-00001CB90000}"/>
    <cellStyle name="Normal 4 7 7 3 2" xfId="27135" xr:uid="{00000000-0005-0000-0000-00001DB90000}"/>
    <cellStyle name="Normal 4 7 7 3 2 2" xfId="54268" xr:uid="{00000000-0005-0000-0000-00001EB90000}"/>
    <cellStyle name="Normal 4 7 7 3 3" xfId="40706" xr:uid="{00000000-0005-0000-0000-00001FB90000}"/>
    <cellStyle name="Normal 4 7 7 4" xfId="20354" xr:uid="{00000000-0005-0000-0000-000020B90000}"/>
    <cellStyle name="Normal 4 7 7 4 2" xfId="47487" xr:uid="{00000000-0005-0000-0000-000021B90000}"/>
    <cellStyle name="Normal 4 7 7 5" xfId="33925" xr:uid="{00000000-0005-0000-0000-000022B90000}"/>
    <cellStyle name="Normal 4 8" xfId="2780" xr:uid="{00000000-0005-0000-0000-000023B90000}"/>
    <cellStyle name="Normal 4 8 2" xfId="6635" xr:uid="{00000000-0005-0000-0000-000024B90000}"/>
    <cellStyle name="Normal 4 8 2 2" xfId="6636" xr:uid="{00000000-0005-0000-0000-000025B90000}"/>
    <cellStyle name="Normal 4 8 2 2 2" xfId="10168" xr:uid="{00000000-0005-0000-0000-000026B90000}"/>
    <cellStyle name="Normal 4 8 2 2 2 2" xfId="16958" xr:uid="{00000000-0005-0000-0000-000027B90000}"/>
    <cellStyle name="Normal 4 8 2 2 2 2 2" xfId="30526" xr:uid="{00000000-0005-0000-0000-000028B90000}"/>
    <cellStyle name="Normal 4 8 2 2 2 2 2 2" xfId="57659" xr:uid="{00000000-0005-0000-0000-000029B90000}"/>
    <cellStyle name="Normal 4 8 2 2 2 2 3" xfId="44097" xr:uid="{00000000-0005-0000-0000-00002AB90000}"/>
    <cellStyle name="Normal 4 8 2 2 2 3" xfId="23745" xr:uid="{00000000-0005-0000-0000-00002BB90000}"/>
    <cellStyle name="Normal 4 8 2 2 2 3 2" xfId="50878" xr:uid="{00000000-0005-0000-0000-00002CB90000}"/>
    <cellStyle name="Normal 4 8 2 2 2 4" xfId="37316" xr:uid="{00000000-0005-0000-0000-00002DB90000}"/>
    <cellStyle name="Normal 4 8 2 2 3" xfId="13569" xr:uid="{00000000-0005-0000-0000-00002EB90000}"/>
    <cellStyle name="Normal 4 8 2 2 3 2" xfId="27137" xr:uid="{00000000-0005-0000-0000-00002FB90000}"/>
    <cellStyle name="Normal 4 8 2 2 3 2 2" xfId="54270" xr:uid="{00000000-0005-0000-0000-000030B90000}"/>
    <cellStyle name="Normal 4 8 2 2 3 3" xfId="40708" xr:uid="{00000000-0005-0000-0000-000031B90000}"/>
    <cellStyle name="Normal 4 8 2 2 4" xfId="20356" xr:uid="{00000000-0005-0000-0000-000032B90000}"/>
    <cellStyle name="Normal 4 8 2 2 4 2" xfId="47489" xr:uid="{00000000-0005-0000-0000-000033B90000}"/>
    <cellStyle name="Normal 4 8 2 2 5" xfId="33927" xr:uid="{00000000-0005-0000-0000-000034B90000}"/>
    <cellStyle name="Normal 4 8 2 3" xfId="6637" xr:uid="{00000000-0005-0000-0000-000035B90000}"/>
    <cellStyle name="Normal 4 8 2 3 2" xfId="10169" xr:uid="{00000000-0005-0000-0000-000036B90000}"/>
    <cellStyle name="Normal 4 8 2 3 2 2" xfId="16959" xr:uid="{00000000-0005-0000-0000-000037B90000}"/>
    <cellStyle name="Normal 4 8 2 3 2 2 2" xfId="30527" xr:uid="{00000000-0005-0000-0000-000038B90000}"/>
    <cellStyle name="Normal 4 8 2 3 2 2 2 2" xfId="57660" xr:uid="{00000000-0005-0000-0000-000039B90000}"/>
    <cellStyle name="Normal 4 8 2 3 2 2 3" xfId="44098" xr:uid="{00000000-0005-0000-0000-00003AB90000}"/>
    <cellStyle name="Normal 4 8 2 3 2 3" xfId="23746" xr:uid="{00000000-0005-0000-0000-00003BB90000}"/>
    <cellStyle name="Normal 4 8 2 3 2 3 2" xfId="50879" xr:uid="{00000000-0005-0000-0000-00003CB90000}"/>
    <cellStyle name="Normal 4 8 2 3 2 4" xfId="37317" xr:uid="{00000000-0005-0000-0000-00003DB90000}"/>
    <cellStyle name="Normal 4 8 2 3 3" xfId="13570" xr:uid="{00000000-0005-0000-0000-00003EB90000}"/>
    <cellStyle name="Normal 4 8 2 3 3 2" xfId="27138" xr:uid="{00000000-0005-0000-0000-00003FB90000}"/>
    <cellStyle name="Normal 4 8 2 3 3 2 2" xfId="54271" xr:uid="{00000000-0005-0000-0000-000040B90000}"/>
    <cellStyle name="Normal 4 8 2 3 3 3" xfId="40709" xr:uid="{00000000-0005-0000-0000-000041B90000}"/>
    <cellStyle name="Normal 4 8 2 3 4" xfId="20357" xr:uid="{00000000-0005-0000-0000-000042B90000}"/>
    <cellStyle name="Normal 4 8 2 3 4 2" xfId="47490" xr:uid="{00000000-0005-0000-0000-000043B90000}"/>
    <cellStyle name="Normal 4 8 2 3 5" xfId="33928" xr:uid="{00000000-0005-0000-0000-000044B90000}"/>
    <cellStyle name="Normal 4 8 2 4" xfId="10167" xr:uid="{00000000-0005-0000-0000-000045B90000}"/>
    <cellStyle name="Normal 4 8 2 4 2" xfId="16957" xr:uid="{00000000-0005-0000-0000-000046B90000}"/>
    <cellStyle name="Normal 4 8 2 4 2 2" xfId="30525" xr:uid="{00000000-0005-0000-0000-000047B90000}"/>
    <cellStyle name="Normal 4 8 2 4 2 2 2" xfId="57658" xr:uid="{00000000-0005-0000-0000-000048B90000}"/>
    <cellStyle name="Normal 4 8 2 4 2 3" xfId="44096" xr:uid="{00000000-0005-0000-0000-000049B90000}"/>
    <cellStyle name="Normal 4 8 2 4 3" xfId="23744" xr:uid="{00000000-0005-0000-0000-00004AB90000}"/>
    <cellStyle name="Normal 4 8 2 4 3 2" xfId="50877" xr:uid="{00000000-0005-0000-0000-00004BB90000}"/>
    <cellStyle name="Normal 4 8 2 4 4" xfId="37315" xr:uid="{00000000-0005-0000-0000-00004CB90000}"/>
    <cellStyle name="Normal 4 8 2 5" xfId="13568" xr:uid="{00000000-0005-0000-0000-00004DB90000}"/>
    <cellStyle name="Normal 4 8 2 5 2" xfId="27136" xr:uid="{00000000-0005-0000-0000-00004EB90000}"/>
    <cellStyle name="Normal 4 8 2 5 2 2" xfId="54269" xr:uid="{00000000-0005-0000-0000-00004FB90000}"/>
    <cellStyle name="Normal 4 8 2 5 3" xfId="40707" xr:uid="{00000000-0005-0000-0000-000050B90000}"/>
    <cellStyle name="Normal 4 8 2 6" xfId="20355" xr:uid="{00000000-0005-0000-0000-000051B90000}"/>
    <cellStyle name="Normal 4 8 2 6 2" xfId="47488" xr:uid="{00000000-0005-0000-0000-000052B90000}"/>
    <cellStyle name="Normal 4 8 2 7" xfId="33926" xr:uid="{00000000-0005-0000-0000-000053B90000}"/>
    <cellStyle name="Normal 4 8 3" xfId="6638" xr:uid="{00000000-0005-0000-0000-000054B90000}"/>
    <cellStyle name="Normal 4 8 3 2" xfId="6639" xr:uid="{00000000-0005-0000-0000-000055B90000}"/>
    <cellStyle name="Normal 4 8 3 2 2" xfId="10171" xr:uid="{00000000-0005-0000-0000-000056B90000}"/>
    <cellStyle name="Normal 4 8 3 2 2 2" xfId="16961" xr:uid="{00000000-0005-0000-0000-000057B90000}"/>
    <cellStyle name="Normal 4 8 3 2 2 2 2" xfId="30529" xr:uid="{00000000-0005-0000-0000-000058B90000}"/>
    <cellStyle name="Normal 4 8 3 2 2 2 2 2" xfId="57662" xr:uid="{00000000-0005-0000-0000-000059B90000}"/>
    <cellStyle name="Normal 4 8 3 2 2 2 3" xfId="44100" xr:uid="{00000000-0005-0000-0000-00005AB90000}"/>
    <cellStyle name="Normal 4 8 3 2 2 3" xfId="23748" xr:uid="{00000000-0005-0000-0000-00005BB90000}"/>
    <cellStyle name="Normal 4 8 3 2 2 3 2" xfId="50881" xr:uid="{00000000-0005-0000-0000-00005CB90000}"/>
    <cellStyle name="Normal 4 8 3 2 2 4" xfId="37319" xr:uid="{00000000-0005-0000-0000-00005DB90000}"/>
    <cellStyle name="Normal 4 8 3 2 3" xfId="13572" xr:uid="{00000000-0005-0000-0000-00005EB90000}"/>
    <cellStyle name="Normal 4 8 3 2 3 2" xfId="27140" xr:uid="{00000000-0005-0000-0000-00005FB90000}"/>
    <cellStyle name="Normal 4 8 3 2 3 2 2" xfId="54273" xr:uid="{00000000-0005-0000-0000-000060B90000}"/>
    <cellStyle name="Normal 4 8 3 2 3 3" xfId="40711" xr:uid="{00000000-0005-0000-0000-000061B90000}"/>
    <cellStyle name="Normal 4 8 3 2 4" xfId="20359" xr:uid="{00000000-0005-0000-0000-000062B90000}"/>
    <cellStyle name="Normal 4 8 3 2 4 2" xfId="47492" xr:uid="{00000000-0005-0000-0000-000063B90000}"/>
    <cellStyle name="Normal 4 8 3 2 5" xfId="33930" xr:uid="{00000000-0005-0000-0000-000064B90000}"/>
    <cellStyle name="Normal 4 8 3 3" xfId="10170" xr:uid="{00000000-0005-0000-0000-000065B90000}"/>
    <cellStyle name="Normal 4 8 3 3 2" xfId="16960" xr:uid="{00000000-0005-0000-0000-000066B90000}"/>
    <cellStyle name="Normal 4 8 3 3 2 2" xfId="30528" xr:uid="{00000000-0005-0000-0000-000067B90000}"/>
    <cellStyle name="Normal 4 8 3 3 2 2 2" xfId="57661" xr:uid="{00000000-0005-0000-0000-000068B90000}"/>
    <cellStyle name="Normal 4 8 3 3 2 3" xfId="44099" xr:uid="{00000000-0005-0000-0000-000069B90000}"/>
    <cellStyle name="Normal 4 8 3 3 3" xfId="23747" xr:uid="{00000000-0005-0000-0000-00006AB90000}"/>
    <cellStyle name="Normal 4 8 3 3 3 2" xfId="50880" xr:uid="{00000000-0005-0000-0000-00006BB90000}"/>
    <cellStyle name="Normal 4 8 3 3 4" xfId="37318" xr:uid="{00000000-0005-0000-0000-00006CB90000}"/>
    <cellStyle name="Normal 4 8 3 4" xfId="13571" xr:uid="{00000000-0005-0000-0000-00006DB90000}"/>
    <cellStyle name="Normal 4 8 3 4 2" xfId="27139" xr:uid="{00000000-0005-0000-0000-00006EB90000}"/>
    <cellStyle name="Normal 4 8 3 4 2 2" xfId="54272" xr:uid="{00000000-0005-0000-0000-00006FB90000}"/>
    <cellStyle name="Normal 4 8 3 4 3" xfId="40710" xr:uid="{00000000-0005-0000-0000-000070B90000}"/>
    <cellStyle name="Normal 4 8 3 5" xfId="20358" xr:uid="{00000000-0005-0000-0000-000071B90000}"/>
    <cellStyle name="Normal 4 8 3 5 2" xfId="47491" xr:uid="{00000000-0005-0000-0000-000072B90000}"/>
    <cellStyle name="Normal 4 8 3 6" xfId="33929" xr:uid="{00000000-0005-0000-0000-000073B90000}"/>
    <cellStyle name="Normal 4 8 4" xfId="6640" xr:uid="{00000000-0005-0000-0000-000074B90000}"/>
    <cellStyle name="Normal 4 8 4 2" xfId="10172" xr:uid="{00000000-0005-0000-0000-000075B90000}"/>
    <cellStyle name="Normal 4 8 4 2 2" xfId="16962" xr:uid="{00000000-0005-0000-0000-000076B90000}"/>
    <cellStyle name="Normal 4 8 4 2 2 2" xfId="30530" xr:uid="{00000000-0005-0000-0000-000077B90000}"/>
    <cellStyle name="Normal 4 8 4 2 2 2 2" xfId="57663" xr:uid="{00000000-0005-0000-0000-000078B90000}"/>
    <cellStyle name="Normal 4 8 4 2 2 3" xfId="44101" xr:uid="{00000000-0005-0000-0000-000079B90000}"/>
    <cellStyle name="Normal 4 8 4 2 3" xfId="23749" xr:uid="{00000000-0005-0000-0000-00007AB90000}"/>
    <cellStyle name="Normal 4 8 4 2 3 2" xfId="50882" xr:uid="{00000000-0005-0000-0000-00007BB90000}"/>
    <cellStyle name="Normal 4 8 4 2 4" xfId="37320" xr:uid="{00000000-0005-0000-0000-00007CB90000}"/>
    <cellStyle name="Normal 4 8 4 3" xfId="13573" xr:uid="{00000000-0005-0000-0000-00007DB90000}"/>
    <cellStyle name="Normal 4 8 4 3 2" xfId="27141" xr:uid="{00000000-0005-0000-0000-00007EB90000}"/>
    <cellStyle name="Normal 4 8 4 3 2 2" xfId="54274" xr:uid="{00000000-0005-0000-0000-00007FB90000}"/>
    <cellStyle name="Normal 4 8 4 3 3" xfId="40712" xr:uid="{00000000-0005-0000-0000-000080B90000}"/>
    <cellStyle name="Normal 4 8 4 4" xfId="20360" xr:uid="{00000000-0005-0000-0000-000081B90000}"/>
    <cellStyle name="Normal 4 8 4 4 2" xfId="47493" xr:uid="{00000000-0005-0000-0000-000082B90000}"/>
    <cellStyle name="Normal 4 8 4 5" xfId="33931" xr:uid="{00000000-0005-0000-0000-000083B90000}"/>
    <cellStyle name="Normal 4 8 5" xfId="6641" xr:uid="{00000000-0005-0000-0000-000084B90000}"/>
    <cellStyle name="Normal 4 8 5 2" xfId="10173" xr:uid="{00000000-0005-0000-0000-000085B90000}"/>
    <cellStyle name="Normal 4 8 5 2 2" xfId="16963" xr:uid="{00000000-0005-0000-0000-000086B90000}"/>
    <cellStyle name="Normal 4 8 5 2 2 2" xfId="30531" xr:uid="{00000000-0005-0000-0000-000087B90000}"/>
    <cellStyle name="Normal 4 8 5 2 2 2 2" xfId="57664" xr:uid="{00000000-0005-0000-0000-000088B90000}"/>
    <cellStyle name="Normal 4 8 5 2 2 3" xfId="44102" xr:uid="{00000000-0005-0000-0000-000089B90000}"/>
    <cellStyle name="Normal 4 8 5 2 3" xfId="23750" xr:uid="{00000000-0005-0000-0000-00008AB90000}"/>
    <cellStyle name="Normal 4 8 5 2 3 2" xfId="50883" xr:uid="{00000000-0005-0000-0000-00008BB90000}"/>
    <cellStyle name="Normal 4 8 5 2 4" xfId="37321" xr:uid="{00000000-0005-0000-0000-00008CB90000}"/>
    <cellStyle name="Normal 4 8 5 3" xfId="13574" xr:uid="{00000000-0005-0000-0000-00008DB90000}"/>
    <cellStyle name="Normal 4 8 5 3 2" xfId="27142" xr:uid="{00000000-0005-0000-0000-00008EB90000}"/>
    <cellStyle name="Normal 4 8 5 3 2 2" xfId="54275" xr:uid="{00000000-0005-0000-0000-00008FB90000}"/>
    <cellStyle name="Normal 4 8 5 3 3" xfId="40713" xr:uid="{00000000-0005-0000-0000-000090B90000}"/>
    <cellStyle name="Normal 4 8 5 4" xfId="20361" xr:uid="{00000000-0005-0000-0000-000091B90000}"/>
    <cellStyle name="Normal 4 8 5 4 2" xfId="47494" xr:uid="{00000000-0005-0000-0000-000092B90000}"/>
    <cellStyle name="Normal 4 8 5 5" xfId="33932" xr:uid="{00000000-0005-0000-0000-000093B90000}"/>
    <cellStyle name="Normal 4 9" xfId="2781" xr:uid="{00000000-0005-0000-0000-000094B90000}"/>
    <cellStyle name="Normal 4 9 2" xfId="6642" xr:uid="{00000000-0005-0000-0000-000095B90000}"/>
    <cellStyle name="Normal 4 9 2 2" xfId="6643" xr:uid="{00000000-0005-0000-0000-000096B90000}"/>
    <cellStyle name="Normal 4 9 2 2 2" xfId="10175" xr:uid="{00000000-0005-0000-0000-000097B90000}"/>
    <cellStyle name="Normal 4 9 2 2 2 2" xfId="16965" xr:uid="{00000000-0005-0000-0000-000098B90000}"/>
    <cellStyle name="Normal 4 9 2 2 2 2 2" xfId="30533" xr:uid="{00000000-0005-0000-0000-000099B90000}"/>
    <cellStyle name="Normal 4 9 2 2 2 2 2 2" xfId="57666" xr:uid="{00000000-0005-0000-0000-00009AB90000}"/>
    <cellStyle name="Normal 4 9 2 2 2 2 3" xfId="44104" xr:uid="{00000000-0005-0000-0000-00009BB90000}"/>
    <cellStyle name="Normal 4 9 2 2 2 3" xfId="23752" xr:uid="{00000000-0005-0000-0000-00009CB90000}"/>
    <cellStyle name="Normal 4 9 2 2 2 3 2" xfId="50885" xr:uid="{00000000-0005-0000-0000-00009DB90000}"/>
    <cellStyle name="Normal 4 9 2 2 2 4" xfId="37323" xr:uid="{00000000-0005-0000-0000-00009EB90000}"/>
    <cellStyle name="Normal 4 9 2 2 3" xfId="13576" xr:uid="{00000000-0005-0000-0000-00009FB90000}"/>
    <cellStyle name="Normal 4 9 2 2 3 2" xfId="27144" xr:uid="{00000000-0005-0000-0000-0000A0B90000}"/>
    <cellStyle name="Normal 4 9 2 2 3 2 2" xfId="54277" xr:uid="{00000000-0005-0000-0000-0000A1B90000}"/>
    <cellStyle name="Normal 4 9 2 2 3 3" xfId="40715" xr:uid="{00000000-0005-0000-0000-0000A2B90000}"/>
    <cellStyle name="Normal 4 9 2 2 4" xfId="20363" xr:uid="{00000000-0005-0000-0000-0000A3B90000}"/>
    <cellStyle name="Normal 4 9 2 2 4 2" xfId="47496" xr:uid="{00000000-0005-0000-0000-0000A4B90000}"/>
    <cellStyle name="Normal 4 9 2 2 5" xfId="33934" xr:uid="{00000000-0005-0000-0000-0000A5B90000}"/>
    <cellStyle name="Normal 4 9 2 3" xfId="6644" xr:uid="{00000000-0005-0000-0000-0000A6B90000}"/>
    <cellStyle name="Normal 4 9 2 3 2" xfId="10176" xr:uid="{00000000-0005-0000-0000-0000A7B90000}"/>
    <cellStyle name="Normal 4 9 2 3 2 2" xfId="16966" xr:uid="{00000000-0005-0000-0000-0000A8B90000}"/>
    <cellStyle name="Normal 4 9 2 3 2 2 2" xfId="30534" xr:uid="{00000000-0005-0000-0000-0000A9B90000}"/>
    <cellStyle name="Normal 4 9 2 3 2 2 2 2" xfId="57667" xr:uid="{00000000-0005-0000-0000-0000AAB90000}"/>
    <cellStyle name="Normal 4 9 2 3 2 2 3" xfId="44105" xr:uid="{00000000-0005-0000-0000-0000ABB90000}"/>
    <cellStyle name="Normal 4 9 2 3 2 3" xfId="23753" xr:uid="{00000000-0005-0000-0000-0000ACB90000}"/>
    <cellStyle name="Normal 4 9 2 3 2 3 2" xfId="50886" xr:uid="{00000000-0005-0000-0000-0000ADB90000}"/>
    <cellStyle name="Normal 4 9 2 3 2 4" xfId="37324" xr:uid="{00000000-0005-0000-0000-0000AEB90000}"/>
    <cellStyle name="Normal 4 9 2 3 3" xfId="13577" xr:uid="{00000000-0005-0000-0000-0000AFB90000}"/>
    <cellStyle name="Normal 4 9 2 3 3 2" xfId="27145" xr:uid="{00000000-0005-0000-0000-0000B0B90000}"/>
    <cellStyle name="Normal 4 9 2 3 3 2 2" xfId="54278" xr:uid="{00000000-0005-0000-0000-0000B1B90000}"/>
    <cellStyle name="Normal 4 9 2 3 3 3" xfId="40716" xr:uid="{00000000-0005-0000-0000-0000B2B90000}"/>
    <cellStyle name="Normal 4 9 2 3 4" xfId="20364" xr:uid="{00000000-0005-0000-0000-0000B3B90000}"/>
    <cellStyle name="Normal 4 9 2 3 4 2" xfId="47497" xr:uid="{00000000-0005-0000-0000-0000B4B90000}"/>
    <cellStyle name="Normal 4 9 2 3 5" xfId="33935" xr:uid="{00000000-0005-0000-0000-0000B5B90000}"/>
    <cellStyle name="Normal 4 9 2 4" xfId="10174" xr:uid="{00000000-0005-0000-0000-0000B6B90000}"/>
    <cellStyle name="Normal 4 9 2 4 2" xfId="16964" xr:uid="{00000000-0005-0000-0000-0000B7B90000}"/>
    <cellStyle name="Normal 4 9 2 4 2 2" xfId="30532" xr:uid="{00000000-0005-0000-0000-0000B8B90000}"/>
    <cellStyle name="Normal 4 9 2 4 2 2 2" xfId="57665" xr:uid="{00000000-0005-0000-0000-0000B9B90000}"/>
    <cellStyle name="Normal 4 9 2 4 2 3" xfId="44103" xr:uid="{00000000-0005-0000-0000-0000BAB90000}"/>
    <cellStyle name="Normal 4 9 2 4 3" xfId="23751" xr:uid="{00000000-0005-0000-0000-0000BBB90000}"/>
    <cellStyle name="Normal 4 9 2 4 3 2" xfId="50884" xr:uid="{00000000-0005-0000-0000-0000BCB90000}"/>
    <cellStyle name="Normal 4 9 2 4 4" xfId="37322" xr:uid="{00000000-0005-0000-0000-0000BDB90000}"/>
    <cellStyle name="Normal 4 9 2 5" xfId="13575" xr:uid="{00000000-0005-0000-0000-0000BEB90000}"/>
    <cellStyle name="Normal 4 9 2 5 2" xfId="27143" xr:uid="{00000000-0005-0000-0000-0000BFB90000}"/>
    <cellStyle name="Normal 4 9 2 5 2 2" xfId="54276" xr:uid="{00000000-0005-0000-0000-0000C0B90000}"/>
    <cellStyle name="Normal 4 9 2 5 3" xfId="40714" xr:uid="{00000000-0005-0000-0000-0000C1B90000}"/>
    <cellStyle name="Normal 4 9 2 6" xfId="20362" xr:uid="{00000000-0005-0000-0000-0000C2B90000}"/>
    <cellStyle name="Normal 4 9 2 6 2" xfId="47495" xr:uid="{00000000-0005-0000-0000-0000C3B90000}"/>
    <cellStyle name="Normal 4 9 2 7" xfId="33933" xr:uid="{00000000-0005-0000-0000-0000C4B90000}"/>
    <cellStyle name="Normal 4 9 3" xfId="6645" xr:uid="{00000000-0005-0000-0000-0000C5B90000}"/>
    <cellStyle name="Normal 4 9 3 2" xfId="10177" xr:uid="{00000000-0005-0000-0000-0000C6B90000}"/>
    <cellStyle name="Normal 4 9 3 2 2" xfId="16967" xr:uid="{00000000-0005-0000-0000-0000C7B90000}"/>
    <cellStyle name="Normal 4 9 3 2 2 2" xfId="30535" xr:uid="{00000000-0005-0000-0000-0000C8B90000}"/>
    <cellStyle name="Normal 4 9 3 2 2 2 2" xfId="57668" xr:uid="{00000000-0005-0000-0000-0000C9B90000}"/>
    <cellStyle name="Normal 4 9 3 2 2 3" xfId="44106" xr:uid="{00000000-0005-0000-0000-0000CAB90000}"/>
    <cellStyle name="Normal 4 9 3 2 3" xfId="23754" xr:uid="{00000000-0005-0000-0000-0000CBB90000}"/>
    <cellStyle name="Normal 4 9 3 2 3 2" xfId="50887" xr:uid="{00000000-0005-0000-0000-0000CCB90000}"/>
    <cellStyle name="Normal 4 9 3 2 4" xfId="37325" xr:uid="{00000000-0005-0000-0000-0000CDB90000}"/>
    <cellStyle name="Normal 4 9 3 3" xfId="13578" xr:uid="{00000000-0005-0000-0000-0000CEB90000}"/>
    <cellStyle name="Normal 4 9 3 3 2" xfId="27146" xr:uid="{00000000-0005-0000-0000-0000CFB90000}"/>
    <cellStyle name="Normal 4 9 3 3 2 2" xfId="54279" xr:uid="{00000000-0005-0000-0000-0000D0B90000}"/>
    <cellStyle name="Normal 4 9 3 3 3" xfId="40717" xr:uid="{00000000-0005-0000-0000-0000D1B90000}"/>
    <cellStyle name="Normal 4 9 3 4" xfId="20365" xr:uid="{00000000-0005-0000-0000-0000D2B90000}"/>
    <cellStyle name="Normal 4 9 3 4 2" xfId="47498" xr:uid="{00000000-0005-0000-0000-0000D3B90000}"/>
    <cellStyle name="Normal 4 9 3 5" xfId="33936" xr:uid="{00000000-0005-0000-0000-0000D4B90000}"/>
    <cellStyle name="Normal 4 9 4" xfId="6646" xr:uid="{00000000-0005-0000-0000-0000D5B90000}"/>
    <cellStyle name="Normal 4 9 4 2" xfId="10178" xr:uid="{00000000-0005-0000-0000-0000D6B90000}"/>
    <cellStyle name="Normal 4 9 4 2 2" xfId="16968" xr:uid="{00000000-0005-0000-0000-0000D7B90000}"/>
    <cellStyle name="Normal 4 9 4 2 2 2" xfId="30536" xr:uid="{00000000-0005-0000-0000-0000D8B90000}"/>
    <cellStyle name="Normal 4 9 4 2 2 2 2" xfId="57669" xr:uid="{00000000-0005-0000-0000-0000D9B90000}"/>
    <cellStyle name="Normal 4 9 4 2 2 3" xfId="44107" xr:uid="{00000000-0005-0000-0000-0000DAB90000}"/>
    <cellStyle name="Normal 4 9 4 2 3" xfId="23755" xr:uid="{00000000-0005-0000-0000-0000DBB90000}"/>
    <cellStyle name="Normal 4 9 4 2 3 2" xfId="50888" xr:uid="{00000000-0005-0000-0000-0000DCB90000}"/>
    <cellStyle name="Normal 4 9 4 2 4" xfId="37326" xr:uid="{00000000-0005-0000-0000-0000DDB90000}"/>
    <cellStyle name="Normal 4 9 4 3" xfId="13579" xr:uid="{00000000-0005-0000-0000-0000DEB90000}"/>
    <cellStyle name="Normal 4 9 4 3 2" xfId="27147" xr:uid="{00000000-0005-0000-0000-0000DFB90000}"/>
    <cellStyle name="Normal 4 9 4 3 2 2" xfId="54280" xr:uid="{00000000-0005-0000-0000-0000E0B90000}"/>
    <cellStyle name="Normal 4 9 4 3 3" xfId="40718" xr:uid="{00000000-0005-0000-0000-0000E1B90000}"/>
    <cellStyle name="Normal 4 9 4 4" xfId="20366" xr:uid="{00000000-0005-0000-0000-0000E2B90000}"/>
    <cellStyle name="Normal 4 9 4 4 2" xfId="47499" xr:uid="{00000000-0005-0000-0000-0000E3B90000}"/>
    <cellStyle name="Normal 4 9 4 5" xfId="33937" xr:uid="{00000000-0005-0000-0000-0000E4B90000}"/>
    <cellStyle name="Normal 40" xfId="7320" xr:uid="{00000000-0005-0000-0000-0000E5B90000}"/>
    <cellStyle name="Normal 40 2" xfId="10810" xr:uid="{00000000-0005-0000-0000-0000E6B90000}"/>
    <cellStyle name="Normal 40 2 2" xfId="17600" xr:uid="{00000000-0005-0000-0000-0000E7B90000}"/>
    <cellStyle name="Normal 40 2 2 2" xfId="31168" xr:uid="{00000000-0005-0000-0000-0000E8B90000}"/>
    <cellStyle name="Normal 40 2 2 2 2" xfId="58301" xr:uid="{00000000-0005-0000-0000-0000E9B90000}"/>
    <cellStyle name="Normal 40 2 2 3" xfId="44739" xr:uid="{00000000-0005-0000-0000-0000EAB90000}"/>
    <cellStyle name="Normal 40 2 3" xfId="24387" xr:uid="{00000000-0005-0000-0000-0000EBB90000}"/>
    <cellStyle name="Normal 40 2 3 2" xfId="51520" xr:uid="{00000000-0005-0000-0000-0000ECB90000}"/>
    <cellStyle name="Normal 40 2 4" xfId="37958" xr:uid="{00000000-0005-0000-0000-0000EDB90000}"/>
    <cellStyle name="Normal 40 3" xfId="14211" xr:uid="{00000000-0005-0000-0000-0000EEB90000}"/>
    <cellStyle name="Normal 40 3 2" xfId="27779" xr:uid="{00000000-0005-0000-0000-0000EFB90000}"/>
    <cellStyle name="Normal 40 3 2 2" xfId="54912" xr:uid="{00000000-0005-0000-0000-0000F0B90000}"/>
    <cellStyle name="Normal 40 3 3" xfId="41350" xr:uid="{00000000-0005-0000-0000-0000F1B90000}"/>
    <cellStyle name="Normal 40 4" xfId="20998" xr:uid="{00000000-0005-0000-0000-0000F2B90000}"/>
    <cellStyle name="Normal 40 4 2" xfId="48131" xr:uid="{00000000-0005-0000-0000-0000F3B90000}"/>
    <cellStyle name="Normal 40 5" xfId="34569" xr:uid="{00000000-0005-0000-0000-0000F4B90000}"/>
    <cellStyle name="Normal 41" xfId="7323" xr:uid="{00000000-0005-0000-0000-0000F5B90000}"/>
    <cellStyle name="Normal 41 2" xfId="10813" xr:uid="{00000000-0005-0000-0000-0000F6B90000}"/>
    <cellStyle name="Normal 41 2 2" xfId="17603" xr:uid="{00000000-0005-0000-0000-0000F7B90000}"/>
    <cellStyle name="Normal 41 2 2 2" xfId="31171" xr:uid="{00000000-0005-0000-0000-0000F8B90000}"/>
    <cellStyle name="Normal 41 2 2 2 2" xfId="58304" xr:uid="{00000000-0005-0000-0000-0000F9B90000}"/>
    <cellStyle name="Normal 41 2 2 3" xfId="44742" xr:uid="{00000000-0005-0000-0000-0000FAB90000}"/>
    <cellStyle name="Normal 41 2 3" xfId="24390" xr:uid="{00000000-0005-0000-0000-0000FBB90000}"/>
    <cellStyle name="Normal 41 2 3 2" xfId="51523" xr:uid="{00000000-0005-0000-0000-0000FCB90000}"/>
    <cellStyle name="Normal 41 2 4" xfId="37961" xr:uid="{00000000-0005-0000-0000-0000FDB90000}"/>
    <cellStyle name="Normal 41 3" xfId="14214" xr:uid="{00000000-0005-0000-0000-0000FEB90000}"/>
    <cellStyle name="Normal 41 3 2" xfId="27782" xr:uid="{00000000-0005-0000-0000-0000FFB90000}"/>
    <cellStyle name="Normal 41 3 2 2" xfId="54915" xr:uid="{00000000-0005-0000-0000-000000BA0000}"/>
    <cellStyle name="Normal 41 3 3" xfId="41353" xr:uid="{00000000-0005-0000-0000-000001BA0000}"/>
    <cellStyle name="Normal 41 4" xfId="21001" xr:uid="{00000000-0005-0000-0000-000002BA0000}"/>
    <cellStyle name="Normal 41 4 2" xfId="48134" xr:uid="{00000000-0005-0000-0000-000003BA0000}"/>
    <cellStyle name="Normal 41 5" xfId="34572" xr:uid="{00000000-0005-0000-0000-000004BA0000}"/>
    <cellStyle name="Normal 42" xfId="7456" xr:uid="{00000000-0005-0000-0000-000005BA0000}"/>
    <cellStyle name="Normal 43" xfId="7455" xr:uid="{00000000-0005-0000-0000-000006BA0000}"/>
    <cellStyle name="Normal 43 2" xfId="14248" xr:uid="{00000000-0005-0000-0000-000007BA0000}"/>
    <cellStyle name="Normal 43 2 2" xfId="27816" xr:uid="{00000000-0005-0000-0000-000008BA0000}"/>
    <cellStyle name="Normal 43 2 2 2" xfId="54949" xr:uid="{00000000-0005-0000-0000-000009BA0000}"/>
    <cellStyle name="Normal 43 2 3" xfId="41387" xr:uid="{00000000-0005-0000-0000-00000ABA0000}"/>
    <cellStyle name="Normal 43 3" xfId="21035" xr:uid="{00000000-0005-0000-0000-00000BBA0000}"/>
    <cellStyle name="Normal 43 3 2" xfId="48168" xr:uid="{00000000-0005-0000-0000-00000CBA0000}"/>
    <cellStyle name="Normal 43 4" xfId="34606" xr:uid="{00000000-0005-0000-0000-00000DBA0000}"/>
    <cellStyle name="Normal 44" xfId="10848" xr:uid="{00000000-0005-0000-0000-00000EBA0000}"/>
    <cellStyle name="Normal 44 2" xfId="17637" xr:uid="{00000000-0005-0000-0000-00000FBA0000}"/>
    <cellStyle name="Normal 44 2 2" xfId="31205" xr:uid="{00000000-0005-0000-0000-000010BA0000}"/>
    <cellStyle name="Normal 44 2 2 2" xfId="58338" xr:uid="{00000000-0005-0000-0000-000011BA0000}"/>
    <cellStyle name="Normal 44 2 3" xfId="44776" xr:uid="{00000000-0005-0000-0000-000012BA0000}"/>
    <cellStyle name="Normal 44 3" xfId="24424" xr:uid="{00000000-0005-0000-0000-000013BA0000}"/>
    <cellStyle name="Normal 44 3 2" xfId="51557" xr:uid="{00000000-0005-0000-0000-000014BA0000}"/>
    <cellStyle name="Normal 44 4" xfId="37995" xr:uid="{00000000-0005-0000-0000-000015BA0000}"/>
    <cellStyle name="Normal 45" xfId="10855" xr:uid="{00000000-0005-0000-0000-000016BA0000}"/>
    <cellStyle name="Normal 45 2" xfId="17639" xr:uid="{00000000-0005-0000-0000-000017BA0000}"/>
    <cellStyle name="Normal 45 2 2" xfId="31207" xr:uid="{00000000-0005-0000-0000-000018BA0000}"/>
    <cellStyle name="Normal 45 2 2 2" xfId="58340" xr:uid="{00000000-0005-0000-0000-000019BA0000}"/>
    <cellStyle name="Normal 45 2 3" xfId="44778" xr:uid="{00000000-0005-0000-0000-00001ABA0000}"/>
    <cellStyle name="Normal 45 3" xfId="24426" xr:uid="{00000000-0005-0000-0000-00001BBA0000}"/>
    <cellStyle name="Normal 45 3 2" xfId="51559" xr:uid="{00000000-0005-0000-0000-00001CBA0000}"/>
    <cellStyle name="Normal 45 4" xfId="37997" xr:uid="{00000000-0005-0000-0000-00001DBA0000}"/>
    <cellStyle name="Normal 46" xfId="10857" xr:uid="{00000000-0005-0000-0000-00001EBA0000}"/>
    <cellStyle name="Normal 47" xfId="10856" xr:uid="{00000000-0005-0000-0000-00001FBA0000}"/>
    <cellStyle name="Normal 47 2" xfId="24427" xr:uid="{00000000-0005-0000-0000-000020BA0000}"/>
    <cellStyle name="Normal 47 2 2" xfId="51560" xr:uid="{00000000-0005-0000-0000-000021BA0000}"/>
    <cellStyle name="Normal 47 3" xfId="37998" xr:uid="{00000000-0005-0000-0000-000022BA0000}"/>
    <cellStyle name="Normal 48" xfId="17641" xr:uid="{00000000-0005-0000-0000-000023BA0000}"/>
    <cellStyle name="Normal 49" xfId="17640" xr:uid="{00000000-0005-0000-0000-000024BA0000}"/>
    <cellStyle name="Normal 49 2" xfId="44779" xr:uid="{00000000-0005-0000-0000-000025BA0000}"/>
    <cellStyle name="Normal 5" xfId="12" xr:uid="{00000000-0005-0000-0000-000026BA0000}"/>
    <cellStyle name="Normal 5 2" xfId="153" xr:uid="{00000000-0005-0000-0000-000027BA0000}"/>
    <cellStyle name="Normal 5 2 2" xfId="6647" xr:uid="{00000000-0005-0000-0000-000028BA0000}"/>
    <cellStyle name="Normal 5 2 2 10" xfId="6648" xr:uid="{00000000-0005-0000-0000-000029BA0000}"/>
    <cellStyle name="Normal 5 2 2 10 2" xfId="10180" xr:uid="{00000000-0005-0000-0000-00002ABA0000}"/>
    <cellStyle name="Normal 5 2 2 10 2 2" xfId="16970" xr:uid="{00000000-0005-0000-0000-00002BBA0000}"/>
    <cellStyle name="Normal 5 2 2 10 2 2 2" xfId="30538" xr:uid="{00000000-0005-0000-0000-00002CBA0000}"/>
    <cellStyle name="Normal 5 2 2 10 2 2 2 2" xfId="57671" xr:uid="{00000000-0005-0000-0000-00002DBA0000}"/>
    <cellStyle name="Normal 5 2 2 10 2 2 3" xfId="44109" xr:uid="{00000000-0005-0000-0000-00002EBA0000}"/>
    <cellStyle name="Normal 5 2 2 10 2 3" xfId="23757" xr:uid="{00000000-0005-0000-0000-00002FBA0000}"/>
    <cellStyle name="Normal 5 2 2 10 2 3 2" xfId="50890" xr:uid="{00000000-0005-0000-0000-000030BA0000}"/>
    <cellStyle name="Normal 5 2 2 10 2 4" xfId="37328" xr:uid="{00000000-0005-0000-0000-000031BA0000}"/>
    <cellStyle name="Normal 5 2 2 10 3" xfId="13581" xr:uid="{00000000-0005-0000-0000-000032BA0000}"/>
    <cellStyle name="Normal 5 2 2 10 3 2" xfId="27149" xr:uid="{00000000-0005-0000-0000-000033BA0000}"/>
    <cellStyle name="Normal 5 2 2 10 3 2 2" xfId="54282" xr:uid="{00000000-0005-0000-0000-000034BA0000}"/>
    <cellStyle name="Normal 5 2 2 10 3 3" xfId="40720" xr:uid="{00000000-0005-0000-0000-000035BA0000}"/>
    <cellStyle name="Normal 5 2 2 10 4" xfId="20368" xr:uid="{00000000-0005-0000-0000-000036BA0000}"/>
    <cellStyle name="Normal 5 2 2 10 4 2" xfId="47501" xr:uid="{00000000-0005-0000-0000-000037BA0000}"/>
    <cellStyle name="Normal 5 2 2 10 5" xfId="33939" xr:uid="{00000000-0005-0000-0000-000038BA0000}"/>
    <cellStyle name="Normal 5 2 2 11" xfId="10179" xr:uid="{00000000-0005-0000-0000-000039BA0000}"/>
    <cellStyle name="Normal 5 2 2 11 2" xfId="16969" xr:uid="{00000000-0005-0000-0000-00003ABA0000}"/>
    <cellStyle name="Normal 5 2 2 11 2 2" xfId="30537" xr:uid="{00000000-0005-0000-0000-00003BBA0000}"/>
    <cellStyle name="Normal 5 2 2 11 2 2 2" xfId="57670" xr:uid="{00000000-0005-0000-0000-00003CBA0000}"/>
    <cellStyle name="Normal 5 2 2 11 2 3" xfId="44108" xr:uid="{00000000-0005-0000-0000-00003DBA0000}"/>
    <cellStyle name="Normal 5 2 2 11 3" xfId="23756" xr:uid="{00000000-0005-0000-0000-00003EBA0000}"/>
    <cellStyle name="Normal 5 2 2 11 3 2" xfId="50889" xr:uid="{00000000-0005-0000-0000-00003FBA0000}"/>
    <cellStyle name="Normal 5 2 2 11 4" xfId="37327" xr:uid="{00000000-0005-0000-0000-000040BA0000}"/>
    <cellStyle name="Normal 5 2 2 12" xfId="13580" xr:uid="{00000000-0005-0000-0000-000041BA0000}"/>
    <cellStyle name="Normal 5 2 2 12 2" xfId="27148" xr:uid="{00000000-0005-0000-0000-000042BA0000}"/>
    <cellStyle name="Normal 5 2 2 12 2 2" xfId="54281" xr:uid="{00000000-0005-0000-0000-000043BA0000}"/>
    <cellStyle name="Normal 5 2 2 12 3" xfId="40719" xr:uid="{00000000-0005-0000-0000-000044BA0000}"/>
    <cellStyle name="Normal 5 2 2 13" xfId="20367" xr:uid="{00000000-0005-0000-0000-000045BA0000}"/>
    <cellStyle name="Normal 5 2 2 13 2" xfId="47500" xr:uid="{00000000-0005-0000-0000-000046BA0000}"/>
    <cellStyle name="Normal 5 2 2 14" xfId="33938" xr:uid="{00000000-0005-0000-0000-000047BA0000}"/>
    <cellStyle name="Normal 5 2 2 2" xfId="6649" xr:uid="{00000000-0005-0000-0000-000048BA0000}"/>
    <cellStyle name="Normal 5 2 2 2 10" xfId="13582" xr:uid="{00000000-0005-0000-0000-000049BA0000}"/>
    <cellStyle name="Normal 5 2 2 2 10 2" xfId="27150" xr:uid="{00000000-0005-0000-0000-00004ABA0000}"/>
    <cellStyle name="Normal 5 2 2 2 10 2 2" xfId="54283" xr:uid="{00000000-0005-0000-0000-00004BBA0000}"/>
    <cellStyle name="Normal 5 2 2 2 10 3" xfId="40721" xr:uid="{00000000-0005-0000-0000-00004CBA0000}"/>
    <cellStyle name="Normal 5 2 2 2 11" xfId="20369" xr:uid="{00000000-0005-0000-0000-00004DBA0000}"/>
    <cellStyle name="Normal 5 2 2 2 11 2" xfId="47502" xr:uid="{00000000-0005-0000-0000-00004EBA0000}"/>
    <cellStyle name="Normal 5 2 2 2 12" xfId="33940" xr:uid="{00000000-0005-0000-0000-00004FBA0000}"/>
    <cellStyle name="Normal 5 2 2 2 2" xfId="6650" xr:uid="{00000000-0005-0000-0000-000050BA0000}"/>
    <cellStyle name="Normal 5 2 2 2 2 10" xfId="33941" xr:uid="{00000000-0005-0000-0000-000051BA0000}"/>
    <cellStyle name="Normal 5 2 2 2 2 2" xfId="6651" xr:uid="{00000000-0005-0000-0000-000052BA0000}"/>
    <cellStyle name="Normal 5 2 2 2 2 2 2" xfId="6652" xr:uid="{00000000-0005-0000-0000-000053BA0000}"/>
    <cellStyle name="Normal 5 2 2 2 2 2 2 2" xfId="6653" xr:uid="{00000000-0005-0000-0000-000054BA0000}"/>
    <cellStyle name="Normal 5 2 2 2 2 2 2 2 2" xfId="10185" xr:uid="{00000000-0005-0000-0000-000055BA0000}"/>
    <cellStyle name="Normal 5 2 2 2 2 2 2 2 2 2" xfId="16975" xr:uid="{00000000-0005-0000-0000-000056BA0000}"/>
    <cellStyle name="Normal 5 2 2 2 2 2 2 2 2 2 2" xfId="30543" xr:uid="{00000000-0005-0000-0000-000057BA0000}"/>
    <cellStyle name="Normal 5 2 2 2 2 2 2 2 2 2 2 2" xfId="57676" xr:uid="{00000000-0005-0000-0000-000058BA0000}"/>
    <cellStyle name="Normal 5 2 2 2 2 2 2 2 2 2 3" xfId="44114" xr:uid="{00000000-0005-0000-0000-000059BA0000}"/>
    <cellStyle name="Normal 5 2 2 2 2 2 2 2 2 3" xfId="23762" xr:uid="{00000000-0005-0000-0000-00005ABA0000}"/>
    <cellStyle name="Normal 5 2 2 2 2 2 2 2 2 3 2" xfId="50895" xr:uid="{00000000-0005-0000-0000-00005BBA0000}"/>
    <cellStyle name="Normal 5 2 2 2 2 2 2 2 2 4" xfId="37333" xr:uid="{00000000-0005-0000-0000-00005CBA0000}"/>
    <cellStyle name="Normal 5 2 2 2 2 2 2 2 3" xfId="13586" xr:uid="{00000000-0005-0000-0000-00005DBA0000}"/>
    <cellStyle name="Normal 5 2 2 2 2 2 2 2 3 2" xfId="27154" xr:uid="{00000000-0005-0000-0000-00005EBA0000}"/>
    <cellStyle name="Normal 5 2 2 2 2 2 2 2 3 2 2" xfId="54287" xr:uid="{00000000-0005-0000-0000-00005FBA0000}"/>
    <cellStyle name="Normal 5 2 2 2 2 2 2 2 3 3" xfId="40725" xr:uid="{00000000-0005-0000-0000-000060BA0000}"/>
    <cellStyle name="Normal 5 2 2 2 2 2 2 2 4" xfId="20373" xr:uid="{00000000-0005-0000-0000-000061BA0000}"/>
    <cellStyle name="Normal 5 2 2 2 2 2 2 2 4 2" xfId="47506" xr:uid="{00000000-0005-0000-0000-000062BA0000}"/>
    <cellStyle name="Normal 5 2 2 2 2 2 2 2 5" xfId="33944" xr:uid="{00000000-0005-0000-0000-000063BA0000}"/>
    <cellStyle name="Normal 5 2 2 2 2 2 2 3" xfId="6654" xr:uid="{00000000-0005-0000-0000-000064BA0000}"/>
    <cellStyle name="Normal 5 2 2 2 2 2 2 3 2" xfId="10186" xr:uid="{00000000-0005-0000-0000-000065BA0000}"/>
    <cellStyle name="Normal 5 2 2 2 2 2 2 3 2 2" xfId="16976" xr:uid="{00000000-0005-0000-0000-000066BA0000}"/>
    <cellStyle name="Normal 5 2 2 2 2 2 2 3 2 2 2" xfId="30544" xr:uid="{00000000-0005-0000-0000-000067BA0000}"/>
    <cellStyle name="Normal 5 2 2 2 2 2 2 3 2 2 2 2" xfId="57677" xr:uid="{00000000-0005-0000-0000-000068BA0000}"/>
    <cellStyle name="Normal 5 2 2 2 2 2 2 3 2 2 3" xfId="44115" xr:uid="{00000000-0005-0000-0000-000069BA0000}"/>
    <cellStyle name="Normal 5 2 2 2 2 2 2 3 2 3" xfId="23763" xr:uid="{00000000-0005-0000-0000-00006ABA0000}"/>
    <cellStyle name="Normal 5 2 2 2 2 2 2 3 2 3 2" xfId="50896" xr:uid="{00000000-0005-0000-0000-00006BBA0000}"/>
    <cellStyle name="Normal 5 2 2 2 2 2 2 3 2 4" xfId="37334" xr:uid="{00000000-0005-0000-0000-00006CBA0000}"/>
    <cellStyle name="Normal 5 2 2 2 2 2 2 3 3" xfId="13587" xr:uid="{00000000-0005-0000-0000-00006DBA0000}"/>
    <cellStyle name="Normal 5 2 2 2 2 2 2 3 3 2" xfId="27155" xr:uid="{00000000-0005-0000-0000-00006EBA0000}"/>
    <cellStyle name="Normal 5 2 2 2 2 2 2 3 3 2 2" xfId="54288" xr:uid="{00000000-0005-0000-0000-00006FBA0000}"/>
    <cellStyle name="Normal 5 2 2 2 2 2 2 3 3 3" xfId="40726" xr:uid="{00000000-0005-0000-0000-000070BA0000}"/>
    <cellStyle name="Normal 5 2 2 2 2 2 2 3 4" xfId="20374" xr:uid="{00000000-0005-0000-0000-000071BA0000}"/>
    <cellStyle name="Normal 5 2 2 2 2 2 2 3 4 2" xfId="47507" xr:uid="{00000000-0005-0000-0000-000072BA0000}"/>
    <cellStyle name="Normal 5 2 2 2 2 2 2 3 5" xfId="33945" xr:uid="{00000000-0005-0000-0000-000073BA0000}"/>
    <cellStyle name="Normal 5 2 2 2 2 2 2 4" xfId="10184" xr:uid="{00000000-0005-0000-0000-000074BA0000}"/>
    <cellStyle name="Normal 5 2 2 2 2 2 2 4 2" xfId="16974" xr:uid="{00000000-0005-0000-0000-000075BA0000}"/>
    <cellStyle name="Normal 5 2 2 2 2 2 2 4 2 2" xfId="30542" xr:uid="{00000000-0005-0000-0000-000076BA0000}"/>
    <cellStyle name="Normal 5 2 2 2 2 2 2 4 2 2 2" xfId="57675" xr:uid="{00000000-0005-0000-0000-000077BA0000}"/>
    <cellStyle name="Normal 5 2 2 2 2 2 2 4 2 3" xfId="44113" xr:uid="{00000000-0005-0000-0000-000078BA0000}"/>
    <cellStyle name="Normal 5 2 2 2 2 2 2 4 3" xfId="23761" xr:uid="{00000000-0005-0000-0000-000079BA0000}"/>
    <cellStyle name="Normal 5 2 2 2 2 2 2 4 3 2" xfId="50894" xr:uid="{00000000-0005-0000-0000-00007ABA0000}"/>
    <cellStyle name="Normal 5 2 2 2 2 2 2 4 4" xfId="37332" xr:uid="{00000000-0005-0000-0000-00007BBA0000}"/>
    <cellStyle name="Normal 5 2 2 2 2 2 2 5" xfId="13585" xr:uid="{00000000-0005-0000-0000-00007CBA0000}"/>
    <cellStyle name="Normal 5 2 2 2 2 2 2 5 2" xfId="27153" xr:uid="{00000000-0005-0000-0000-00007DBA0000}"/>
    <cellStyle name="Normal 5 2 2 2 2 2 2 5 2 2" xfId="54286" xr:uid="{00000000-0005-0000-0000-00007EBA0000}"/>
    <cellStyle name="Normal 5 2 2 2 2 2 2 5 3" xfId="40724" xr:uid="{00000000-0005-0000-0000-00007FBA0000}"/>
    <cellStyle name="Normal 5 2 2 2 2 2 2 6" xfId="20372" xr:uid="{00000000-0005-0000-0000-000080BA0000}"/>
    <cellStyle name="Normal 5 2 2 2 2 2 2 6 2" xfId="47505" xr:uid="{00000000-0005-0000-0000-000081BA0000}"/>
    <cellStyle name="Normal 5 2 2 2 2 2 2 7" xfId="33943" xr:uid="{00000000-0005-0000-0000-000082BA0000}"/>
    <cellStyle name="Normal 5 2 2 2 2 2 3" xfId="6655" xr:uid="{00000000-0005-0000-0000-000083BA0000}"/>
    <cellStyle name="Normal 5 2 2 2 2 2 3 2" xfId="6656" xr:uid="{00000000-0005-0000-0000-000084BA0000}"/>
    <cellStyle name="Normal 5 2 2 2 2 2 3 2 2" xfId="10188" xr:uid="{00000000-0005-0000-0000-000085BA0000}"/>
    <cellStyle name="Normal 5 2 2 2 2 2 3 2 2 2" xfId="16978" xr:uid="{00000000-0005-0000-0000-000086BA0000}"/>
    <cellStyle name="Normal 5 2 2 2 2 2 3 2 2 2 2" xfId="30546" xr:uid="{00000000-0005-0000-0000-000087BA0000}"/>
    <cellStyle name="Normal 5 2 2 2 2 2 3 2 2 2 2 2" xfId="57679" xr:uid="{00000000-0005-0000-0000-000088BA0000}"/>
    <cellStyle name="Normal 5 2 2 2 2 2 3 2 2 2 3" xfId="44117" xr:uid="{00000000-0005-0000-0000-000089BA0000}"/>
    <cellStyle name="Normal 5 2 2 2 2 2 3 2 2 3" xfId="23765" xr:uid="{00000000-0005-0000-0000-00008ABA0000}"/>
    <cellStyle name="Normal 5 2 2 2 2 2 3 2 2 3 2" xfId="50898" xr:uid="{00000000-0005-0000-0000-00008BBA0000}"/>
    <cellStyle name="Normal 5 2 2 2 2 2 3 2 2 4" xfId="37336" xr:uid="{00000000-0005-0000-0000-00008CBA0000}"/>
    <cellStyle name="Normal 5 2 2 2 2 2 3 2 3" xfId="13589" xr:uid="{00000000-0005-0000-0000-00008DBA0000}"/>
    <cellStyle name="Normal 5 2 2 2 2 2 3 2 3 2" xfId="27157" xr:uid="{00000000-0005-0000-0000-00008EBA0000}"/>
    <cellStyle name="Normal 5 2 2 2 2 2 3 2 3 2 2" xfId="54290" xr:uid="{00000000-0005-0000-0000-00008FBA0000}"/>
    <cellStyle name="Normal 5 2 2 2 2 2 3 2 3 3" xfId="40728" xr:uid="{00000000-0005-0000-0000-000090BA0000}"/>
    <cellStyle name="Normal 5 2 2 2 2 2 3 2 4" xfId="20376" xr:uid="{00000000-0005-0000-0000-000091BA0000}"/>
    <cellStyle name="Normal 5 2 2 2 2 2 3 2 4 2" xfId="47509" xr:uid="{00000000-0005-0000-0000-000092BA0000}"/>
    <cellStyle name="Normal 5 2 2 2 2 2 3 2 5" xfId="33947" xr:uid="{00000000-0005-0000-0000-000093BA0000}"/>
    <cellStyle name="Normal 5 2 2 2 2 2 3 3" xfId="10187" xr:uid="{00000000-0005-0000-0000-000094BA0000}"/>
    <cellStyle name="Normal 5 2 2 2 2 2 3 3 2" xfId="16977" xr:uid="{00000000-0005-0000-0000-000095BA0000}"/>
    <cellStyle name="Normal 5 2 2 2 2 2 3 3 2 2" xfId="30545" xr:uid="{00000000-0005-0000-0000-000096BA0000}"/>
    <cellStyle name="Normal 5 2 2 2 2 2 3 3 2 2 2" xfId="57678" xr:uid="{00000000-0005-0000-0000-000097BA0000}"/>
    <cellStyle name="Normal 5 2 2 2 2 2 3 3 2 3" xfId="44116" xr:uid="{00000000-0005-0000-0000-000098BA0000}"/>
    <cellStyle name="Normal 5 2 2 2 2 2 3 3 3" xfId="23764" xr:uid="{00000000-0005-0000-0000-000099BA0000}"/>
    <cellStyle name="Normal 5 2 2 2 2 2 3 3 3 2" xfId="50897" xr:uid="{00000000-0005-0000-0000-00009ABA0000}"/>
    <cellStyle name="Normal 5 2 2 2 2 2 3 3 4" xfId="37335" xr:uid="{00000000-0005-0000-0000-00009BBA0000}"/>
    <cellStyle name="Normal 5 2 2 2 2 2 3 4" xfId="13588" xr:uid="{00000000-0005-0000-0000-00009CBA0000}"/>
    <cellStyle name="Normal 5 2 2 2 2 2 3 4 2" xfId="27156" xr:uid="{00000000-0005-0000-0000-00009DBA0000}"/>
    <cellStyle name="Normal 5 2 2 2 2 2 3 4 2 2" xfId="54289" xr:uid="{00000000-0005-0000-0000-00009EBA0000}"/>
    <cellStyle name="Normal 5 2 2 2 2 2 3 4 3" xfId="40727" xr:uid="{00000000-0005-0000-0000-00009FBA0000}"/>
    <cellStyle name="Normal 5 2 2 2 2 2 3 5" xfId="20375" xr:uid="{00000000-0005-0000-0000-0000A0BA0000}"/>
    <cellStyle name="Normal 5 2 2 2 2 2 3 5 2" xfId="47508" xr:uid="{00000000-0005-0000-0000-0000A1BA0000}"/>
    <cellStyle name="Normal 5 2 2 2 2 2 3 6" xfId="33946" xr:uid="{00000000-0005-0000-0000-0000A2BA0000}"/>
    <cellStyle name="Normal 5 2 2 2 2 2 4" xfId="6657" xr:uid="{00000000-0005-0000-0000-0000A3BA0000}"/>
    <cellStyle name="Normal 5 2 2 2 2 2 4 2" xfId="10189" xr:uid="{00000000-0005-0000-0000-0000A4BA0000}"/>
    <cellStyle name="Normal 5 2 2 2 2 2 4 2 2" xfId="16979" xr:uid="{00000000-0005-0000-0000-0000A5BA0000}"/>
    <cellStyle name="Normal 5 2 2 2 2 2 4 2 2 2" xfId="30547" xr:uid="{00000000-0005-0000-0000-0000A6BA0000}"/>
    <cellStyle name="Normal 5 2 2 2 2 2 4 2 2 2 2" xfId="57680" xr:uid="{00000000-0005-0000-0000-0000A7BA0000}"/>
    <cellStyle name="Normal 5 2 2 2 2 2 4 2 2 3" xfId="44118" xr:uid="{00000000-0005-0000-0000-0000A8BA0000}"/>
    <cellStyle name="Normal 5 2 2 2 2 2 4 2 3" xfId="23766" xr:uid="{00000000-0005-0000-0000-0000A9BA0000}"/>
    <cellStyle name="Normal 5 2 2 2 2 2 4 2 3 2" xfId="50899" xr:uid="{00000000-0005-0000-0000-0000AABA0000}"/>
    <cellStyle name="Normal 5 2 2 2 2 2 4 2 4" xfId="37337" xr:uid="{00000000-0005-0000-0000-0000ABBA0000}"/>
    <cellStyle name="Normal 5 2 2 2 2 2 4 3" xfId="13590" xr:uid="{00000000-0005-0000-0000-0000ACBA0000}"/>
    <cellStyle name="Normal 5 2 2 2 2 2 4 3 2" xfId="27158" xr:uid="{00000000-0005-0000-0000-0000ADBA0000}"/>
    <cellStyle name="Normal 5 2 2 2 2 2 4 3 2 2" xfId="54291" xr:uid="{00000000-0005-0000-0000-0000AEBA0000}"/>
    <cellStyle name="Normal 5 2 2 2 2 2 4 3 3" xfId="40729" xr:uid="{00000000-0005-0000-0000-0000AFBA0000}"/>
    <cellStyle name="Normal 5 2 2 2 2 2 4 4" xfId="20377" xr:uid="{00000000-0005-0000-0000-0000B0BA0000}"/>
    <cellStyle name="Normal 5 2 2 2 2 2 4 4 2" xfId="47510" xr:uid="{00000000-0005-0000-0000-0000B1BA0000}"/>
    <cellStyle name="Normal 5 2 2 2 2 2 4 5" xfId="33948" xr:uid="{00000000-0005-0000-0000-0000B2BA0000}"/>
    <cellStyle name="Normal 5 2 2 2 2 2 5" xfId="6658" xr:uid="{00000000-0005-0000-0000-0000B3BA0000}"/>
    <cellStyle name="Normal 5 2 2 2 2 2 5 2" xfId="10190" xr:uid="{00000000-0005-0000-0000-0000B4BA0000}"/>
    <cellStyle name="Normal 5 2 2 2 2 2 5 2 2" xfId="16980" xr:uid="{00000000-0005-0000-0000-0000B5BA0000}"/>
    <cellStyle name="Normal 5 2 2 2 2 2 5 2 2 2" xfId="30548" xr:uid="{00000000-0005-0000-0000-0000B6BA0000}"/>
    <cellStyle name="Normal 5 2 2 2 2 2 5 2 2 2 2" xfId="57681" xr:uid="{00000000-0005-0000-0000-0000B7BA0000}"/>
    <cellStyle name="Normal 5 2 2 2 2 2 5 2 2 3" xfId="44119" xr:uid="{00000000-0005-0000-0000-0000B8BA0000}"/>
    <cellStyle name="Normal 5 2 2 2 2 2 5 2 3" xfId="23767" xr:uid="{00000000-0005-0000-0000-0000B9BA0000}"/>
    <cellStyle name="Normal 5 2 2 2 2 2 5 2 3 2" xfId="50900" xr:uid="{00000000-0005-0000-0000-0000BABA0000}"/>
    <cellStyle name="Normal 5 2 2 2 2 2 5 2 4" xfId="37338" xr:uid="{00000000-0005-0000-0000-0000BBBA0000}"/>
    <cellStyle name="Normal 5 2 2 2 2 2 5 3" xfId="13591" xr:uid="{00000000-0005-0000-0000-0000BCBA0000}"/>
    <cellStyle name="Normal 5 2 2 2 2 2 5 3 2" xfId="27159" xr:uid="{00000000-0005-0000-0000-0000BDBA0000}"/>
    <cellStyle name="Normal 5 2 2 2 2 2 5 3 2 2" xfId="54292" xr:uid="{00000000-0005-0000-0000-0000BEBA0000}"/>
    <cellStyle name="Normal 5 2 2 2 2 2 5 3 3" xfId="40730" xr:uid="{00000000-0005-0000-0000-0000BFBA0000}"/>
    <cellStyle name="Normal 5 2 2 2 2 2 5 4" xfId="20378" xr:uid="{00000000-0005-0000-0000-0000C0BA0000}"/>
    <cellStyle name="Normal 5 2 2 2 2 2 5 4 2" xfId="47511" xr:uid="{00000000-0005-0000-0000-0000C1BA0000}"/>
    <cellStyle name="Normal 5 2 2 2 2 2 5 5" xfId="33949" xr:uid="{00000000-0005-0000-0000-0000C2BA0000}"/>
    <cellStyle name="Normal 5 2 2 2 2 2 6" xfId="10183" xr:uid="{00000000-0005-0000-0000-0000C3BA0000}"/>
    <cellStyle name="Normal 5 2 2 2 2 2 6 2" xfId="16973" xr:uid="{00000000-0005-0000-0000-0000C4BA0000}"/>
    <cellStyle name="Normal 5 2 2 2 2 2 6 2 2" xfId="30541" xr:uid="{00000000-0005-0000-0000-0000C5BA0000}"/>
    <cellStyle name="Normal 5 2 2 2 2 2 6 2 2 2" xfId="57674" xr:uid="{00000000-0005-0000-0000-0000C6BA0000}"/>
    <cellStyle name="Normal 5 2 2 2 2 2 6 2 3" xfId="44112" xr:uid="{00000000-0005-0000-0000-0000C7BA0000}"/>
    <cellStyle name="Normal 5 2 2 2 2 2 6 3" xfId="23760" xr:uid="{00000000-0005-0000-0000-0000C8BA0000}"/>
    <cellStyle name="Normal 5 2 2 2 2 2 6 3 2" xfId="50893" xr:uid="{00000000-0005-0000-0000-0000C9BA0000}"/>
    <cellStyle name="Normal 5 2 2 2 2 2 6 4" xfId="37331" xr:uid="{00000000-0005-0000-0000-0000CABA0000}"/>
    <cellStyle name="Normal 5 2 2 2 2 2 7" xfId="13584" xr:uid="{00000000-0005-0000-0000-0000CBBA0000}"/>
    <cellStyle name="Normal 5 2 2 2 2 2 7 2" xfId="27152" xr:uid="{00000000-0005-0000-0000-0000CCBA0000}"/>
    <cellStyle name="Normal 5 2 2 2 2 2 7 2 2" xfId="54285" xr:uid="{00000000-0005-0000-0000-0000CDBA0000}"/>
    <cellStyle name="Normal 5 2 2 2 2 2 7 3" xfId="40723" xr:uid="{00000000-0005-0000-0000-0000CEBA0000}"/>
    <cellStyle name="Normal 5 2 2 2 2 2 8" xfId="20371" xr:uid="{00000000-0005-0000-0000-0000CFBA0000}"/>
    <cellStyle name="Normal 5 2 2 2 2 2 8 2" xfId="47504" xr:uid="{00000000-0005-0000-0000-0000D0BA0000}"/>
    <cellStyle name="Normal 5 2 2 2 2 2 9" xfId="33942" xr:uid="{00000000-0005-0000-0000-0000D1BA0000}"/>
    <cellStyle name="Normal 5 2 2 2 2 3" xfId="6659" xr:uid="{00000000-0005-0000-0000-0000D2BA0000}"/>
    <cellStyle name="Normal 5 2 2 2 2 3 2" xfId="6660" xr:uid="{00000000-0005-0000-0000-0000D3BA0000}"/>
    <cellStyle name="Normal 5 2 2 2 2 3 2 2" xfId="10192" xr:uid="{00000000-0005-0000-0000-0000D4BA0000}"/>
    <cellStyle name="Normal 5 2 2 2 2 3 2 2 2" xfId="16982" xr:uid="{00000000-0005-0000-0000-0000D5BA0000}"/>
    <cellStyle name="Normal 5 2 2 2 2 3 2 2 2 2" xfId="30550" xr:uid="{00000000-0005-0000-0000-0000D6BA0000}"/>
    <cellStyle name="Normal 5 2 2 2 2 3 2 2 2 2 2" xfId="57683" xr:uid="{00000000-0005-0000-0000-0000D7BA0000}"/>
    <cellStyle name="Normal 5 2 2 2 2 3 2 2 2 3" xfId="44121" xr:uid="{00000000-0005-0000-0000-0000D8BA0000}"/>
    <cellStyle name="Normal 5 2 2 2 2 3 2 2 3" xfId="23769" xr:uid="{00000000-0005-0000-0000-0000D9BA0000}"/>
    <cellStyle name="Normal 5 2 2 2 2 3 2 2 3 2" xfId="50902" xr:uid="{00000000-0005-0000-0000-0000DABA0000}"/>
    <cellStyle name="Normal 5 2 2 2 2 3 2 2 4" xfId="37340" xr:uid="{00000000-0005-0000-0000-0000DBBA0000}"/>
    <cellStyle name="Normal 5 2 2 2 2 3 2 3" xfId="13593" xr:uid="{00000000-0005-0000-0000-0000DCBA0000}"/>
    <cellStyle name="Normal 5 2 2 2 2 3 2 3 2" xfId="27161" xr:uid="{00000000-0005-0000-0000-0000DDBA0000}"/>
    <cellStyle name="Normal 5 2 2 2 2 3 2 3 2 2" xfId="54294" xr:uid="{00000000-0005-0000-0000-0000DEBA0000}"/>
    <cellStyle name="Normal 5 2 2 2 2 3 2 3 3" xfId="40732" xr:uid="{00000000-0005-0000-0000-0000DFBA0000}"/>
    <cellStyle name="Normal 5 2 2 2 2 3 2 4" xfId="20380" xr:uid="{00000000-0005-0000-0000-0000E0BA0000}"/>
    <cellStyle name="Normal 5 2 2 2 2 3 2 4 2" xfId="47513" xr:uid="{00000000-0005-0000-0000-0000E1BA0000}"/>
    <cellStyle name="Normal 5 2 2 2 2 3 2 5" xfId="33951" xr:uid="{00000000-0005-0000-0000-0000E2BA0000}"/>
    <cellStyle name="Normal 5 2 2 2 2 3 3" xfId="6661" xr:uid="{00000000-0005-0000-0000-0000E3BA0000}"/>
    <cellStyle name="Normal 5 2 2 2 2 3 3 2" xfId="10193" xr:uid="{00000000-0005-0000-0000-0000E4BA0000}"/>
    <cellStyle name="Normal 5 2 2 2 2 3 3 2 2" xfId="16983" xr:uid="{00000000-0005-0000-0000-0000E5BA0000}"/>
    <cellStyle name="Normal 5 2 2 2 2 3 3 2 2 2" xfId="30551" xr:uid="{00000000-0005-0000-0000-0000E6BA0000}"/>
    <cellStyle name="Normal 5 2 2 2 2 3 3 2 2 2 2" xfId="57684" xr:uid="{00000000-0005-0000-0000-0000E7BA0000}"/>
    <cellStyle name="Normal 5 2 2 2 2 3 3 2 2 3" xfId="44122" xr:uid="{00000000-0005-0000-0000-0000E8BA0000}"/>
    <cellStyle name="Normal 5 2 2 2 2 3 3 2 3" xfId="23770" xr:uid="{00000000-0005-0000-0000-0000E9BA0000}"/>
    <cellStyle name="Normal 5 2 2 2 2 3 3 2 3 2" xfId="50903" xr:uid="{00000000-0005-0000-0000-0000EABA0000}"/>
    <cellStyle name="Normal 5 2 2 2 2 3 3 2 4" xfId="37341" xr:uid="{00000000-0005-0000-0000-0000EBBA0000}"/>
    <cellStyle name="Normal 5 2 2 2 2 3 3 3" xfId="13594" xr:uid="{00000000-0005-0000-0000-0000ECBA0000}"/>
    <cellStyle name="Normal 5 2 2 2 2 3 3 3 2" xfId="27162" xr:uid="{00000000-0005-0000-0000-0000EDBA0000}"/>
    <cellStyle name="Normal 5 2 2 2 2 3 3 3 2 2" xfId="54295" xr:uid="{00000000-0005-0000-0000-0000EEBA0000}"/>
    <cellStyle name="Normal 5 2 2 2 2 3 3 3 3" xfId="40733" xr:uid="{00000000-0005-0000-0000-0000EFBA0000}"/>
    <cellStyle name="Normal 5 2 2 2 2 3 3 4" xfId="20381" xr:uid="{00000000-0005-0000-0000-0000F0BA0000}"/>
    <cellStyle name="Normal 5 2 2 2 2 3 3 4 2" xfId="47514" xr:uid="{00000000-0005-0000-0000-0000F1BA0000}"/>
    <cellStyle name="Normal 5 2 2 2 2 3 3 5" xfId="33952" xr:uid="{00000000-0005-0000-0000-0000F2BA0000}"/>
    <cellStyle name="Normal 5 2 2 2 2 3 4" xfId="10191" xr:uid="{00000000-0005-0000-0000-0000F3BA0000}"/>
    <cellStyle name="Normal 5 2 2 2 2 3 4 2" xfId="16981" xr:uid="{00000000-0005-0000-0000-0000F4BA0000}"/>
    <cellStyle name="Normal 5 2 2 2 2 3 4 2 2" xfId="30549" xr:uid="{00000000-0005-0000-0000-0000F5BA0000}"/>
    <cellStyle name="Normal 5 2 2 2 2 3 4 2 2 2" xfId="57682" xr:uid="{00000000-0005-0000-0000-0000F6BA0000}"/>
    <cellStyle name="Normal 5 2 2 2 2 3 4 2 3" xfId="44120" xr:uid="{00000000-0005-0000-0000-0000F7BA0000}"/>
    <cellStyle name="Normal 5 2 2 2 2 3 4 3" xfId="23768" xr:uid="{00000000-0005-0000-0000-0000F8BA0000}"/>
    <cellStyle name="Normal 5 2 2 2 2 3 4 3 2" xfId="50901" xr:uid="{00000000-0005-0000-0000-0000F9BA0000}"/>
    <cellStyle name="Normal 5 2 2 2 2 3 4 4" xfId="37339" xr:uid="{00000000-0005-0000-0000-0000FABA0000}"/>
    <cellStyle name="Normal 5 2 2 2 2 3 5" xfId="13592" xr:uid="{00000000-0005-0000-0000-0000FBBA0000}"/>
    <cellStyle name="Normal 5 2 2 2 2 3 5 2" xfId="27160" xr:uid="{00000000-0005-0000-0000-0000FCBA0000}"/>
    <cellStyle name="Normal 5 2 2 2 2 3 5 2 2" xfId="54293" xr:uid="{00000000-0005-0000-0000-0000FDBA0000}"/>
    <cellStyle name="Normal 5 2 2 2 2 3 5 3" xfId="40731" xr:uid="{00000000-0005-0000-0000-0000FEBA0000}"/>
    <cellStyle name="Normal 5 2 2 2 2 3 6" xfId="20379" xr:uid="{00000000-0005-0000-0000-0000FFBA0000}"/>
    <cellStyle name="Normal 5 2 2 2 2 3 6 2" xfId="47512" xr:uid="{00000000-0005-0000-0000-000000BB0000}"/>
    <cellStyle name="Normal 5 2 2 2 2 3 7" xfId="33950" xr:uid="{00000000-0005-0000-0000-000001BB0000}"/>
    <cellStyle name="Normal 5 2 2 2 2 4" xfId="6662" xr:uid="{00000000-0005-0000-0000-000002BB0000}"/>
    <cellStyle name="Normal 5 2 2 2 2 4 2" xfId="6663" xr:uid="{00000000-0005-0000-0000-000003BB0000}"/>
    <cellStyle name="Normal 5 2 2 2 2 4 2 2" xfId="10195" xr:uid="{00000000-0005-0000-0000-000004BB0000}"/>
    <cellStyle name="Normal 5 2 2 2 2 4 2 2 2" xfId="16985" xr:uid="{00000000-0005-0000-0000-000005BB0000}"/>
    <cellStyle name="Normal 5 2 2 2 2 4 2 2 2 2" xfId="30553" xr:uid="{00000000-0005-0000-0000-000006BB0000}"/>
    <cellStyle name="Normal 5 2 2 2 2 4 2 2 2 2 2" xfId="57686" xr:uid="{00000000-0005-0000-0000-000007BB0000}"/>
    <cellStyle name="Normal 5 2 2 2 2 4 2 2 2 3" xfId="44124" xr:uid="{00000000-0005-0000-0000-000008BB0000}"/>
    <cellStyle name="Normal 5 2 2 2 2 4 2 2 3" xfId="23772" xr:uid="{00000000-0005-0000-0000-000009BB0000}"/>
    <cellStyle name="Normal 5 2 2 2 2 4 2 2 3 2" xfId="50905" xr:uid="{00000000-0005-0000-0000-00000ABB0000}"/>
    <cellStyle name="Normal 5 2 2 2 2 4 2 2 4" xfId="37343" xr:uid="{00000000-0005-0000-0000-00000BBB0000}"/>
    <cellStyle name="Normal 5 2 2 2 2 4 2 3" xfId="13596" xr:uid="{00000000-0005-0000-0000-00000CBB0000}"/>
    <cellStyle name="Normal 5 2 2 2 2 4 2 3 2" xfId="27164" xr:uid="{00000000-0005-0000-0000-00000DBB0000}"/>
    <cellStyle name="Normal 5 2 2 2 2 4 2 3 2 2" xfId="54297" xr:uid="{00000000-0005-0000-0000-00000EBB0000}"/>
    <cellStyle name="Normal 5 2 2 2 2 4 2 3 3" xfId="40735" xr:uid="{00000000-0005-0000-0000-00000FBB0000}"/>
    <cellStyle name="Normal 5 2 2 2 2 4 2 4" xfId="20383" xr:uid="{00000000-0005-0000-0000-000010BB0000}"/>
    <cellStyle name="Normal 5 2 2 2 2 4 2 4 2" xfId="47516" xr:uid="{00000000-0005-0000-0000-000011BB0000}"/>
    <cellStyle name="Normal 5 2 2 2 2 4 2 5" xfId="33954" xr:uid="{00000000-0005-0000-0000-000012BB0000}"/>
    <cellStyle name="Normal 5 2 2 2 2 4 3" xfId="10194" xr:uid="{00000000-0005-0000-0000-000013BB0000}"/>
    <cellStyle name="Normal 5 2 2 2 2 4 3 2" xfId="16984" xr:uid="{00000000-0005-0000-0000-000014BB0000}"/>
    <cellStyle name="Normal 5 2 2 2 2 4 3 2 2" xfId="30552" xr:uid="{00000000-0005-0000-0000-000015BB0000}"/>
    <cellStyle name="Normal 5 2 2 2 2 4 3 2 2 2" xfId="57685" xr:uid="{00000000-0005-0000-0000-000016BB0000}"/>
    <cellStyle name="Normal 5 2 2 2 2 4 3 2 3" xfId="44123" xr:uid="{00000000-0005-0000-0000-000017BB0000}"/>
    <cellStyle name="Normal 5 2 2 2 2 4 3 3" xfId="23771" xr:uid="{00000000-0005-0000-0000-000018BB0000}"/>
    <cellStyle name="Normal 5 2 2 2 2 4 3 3 2" xfId="50904" xr:uid="{00000000-0005-0000-0000-000019BB0000}"/>
    <cellStyle name="Normal 5 2 2 2 2 4 3 4" xfId="37342" xr:uid="{00000000-0005-0000-0000-00001ABB0000}"/>
    <cellStyle name="Normal 5 2 2 2 2 4 4" xfId="13595" xr:uid="{00000000-0005-0000-0000-00001BBB0000}"/>
    <cellStyle name="Normal 5 2 2 2 2 4 4 2" xfId="27163" xr:uid="{00000000-0005-0000-0000-00001CBB0000}"/>
    <cellStyle name="Normal 5 2 2 2 2 4 4 2 2" xfId="54296" xr:uid="{00000000-0005-0000-0000-00001DBB0000}"/>
    <cellStyle name="Normal 5 2 2 2 2 4 4 3" xfId="40734" xr:uid="{00000000-0005-0000-0000-00001EBB0000}"/>
    <cellStyle name="Normal 5 2 2 2 2 4 5" xfId="20382" xr:uid="{00000000-0005-0000-0000-00001FBB0000}"/>
    <cellStyle name="Normal 5 2 2 2 2 4 5 2" xfId="47515" xr:uid="{00000000-0005-0000-0000-000020BB0000}"/>
    <cellStyle name="Normal 5 2 2 2 2 4 6" xfId="33953" xr:uid="{00000000-0005-0000-0000-000021BB0000}"/>
    <cellStyle name="Normal 5 2 2 2 2 5" xfId="6664" xr:uid="{00000000-0005-0000-0000-000022BB0000}"/>
    <cellStyle name="Normal 5 2 2 2 2 5 2" xfId="10196" xr:uid="{00000000-0005-0000-0000-000023BB0000}"/>
    <cellStyle name="Normal 5 2 2 2 2 5 2 2" xfId="16986" xr:uid="{00000000-0005-0000-0000-000024BB0000}"/>
    <cellStyle name="Normal 5 2 2 2 2 5 2 2 2" xfId="30554" xr:uid="{00000000-0005-0000-0000-000025BB0000}"/>
    <cellStyle name="Normal 5 2 2 2 2 5 2 2 2 2" xfId="57687" xr:uid="{00000000-0005-0000-0000-000026BB0000}"/>
    <cellStyle name="Normal 5 2 2 2 2 5 2 2 3" xfId="44125" xr:uid="{00000000-0005-0000-0000-000027BB0000}"/>
    <cellStyle name="Normal 5 2 2 2 2 5 2 3" xfId="23773" xr:uid="{00000000-0005-0000-0000-000028BB0000}"/>
    <cellStyle name="Normal 5 2 2 2 2 5 2 3 2" xfId="50906" xr:uid="{00000000-0005-0000-0000-000029BB0000}"/>
    <cellStyle name="Normal 5 2 2 2 2 5 2 4" xfId="37344" xr:uid="{00000000-0005-0000-0000-00002ABB0000}"/>
    <cellStyle name="Normal 5 2 2 2 2 5 3" xfId="13597" xr:uid="{00000000-0005-0000-0000-00002BBB0000}"/>
    <cellStyle name="Normal 5 2 2 2 2 5 3 2" xfId="27165" xr:uid="{00000000-0005-0000-0000-00002CBB0000}"/>
    <cellStyle name="Normal 5 2 2 2 2 5 3 2 2" xfId="54298" xr:uid="{00000000-0005-0000-0000-00002DBB0000}"/>
    <cellStyle name="Normal 5 2 2 2 2 5 3 3" xfId="40736" xr:uid="{00000000-0005-0000-0000-00002EBB0000}"/>
    <cellStyle name="Normal 5 2 2 2 2 5 4" xfId="20384" xr:uid="{00000000-0005-0000-0000-00002FBB0000}"/>
    <cellStyle name="Normal 5 2 2 2 2 5 4 2" xfId="47517" xr:uid="{00000000-0005-0000-0000-000030BB0000}"/>
    <cellStyle name="Normal 5 2 2 2 2 5 5" xfId="33955" xr:uid="{00000000-0005-0000-0000-000031BB0000}"/>
    <cellStyle name="Normal 5 2 2 2 2 6" xfId="6665" xr:uid="{00000000-0005-0000-0000-000032BB0000}"/>
    <cellStyle name="Normal 5 2 2 2 2 6 2" xfId="10197" xr:uid="{00000000-0005-0000-0000-000033BB0000}"/>
    <cellStyle name="Normal 5 2 2 2 2 6 2 2" xfId="16987" xr:uid="{00000000-0005-0000-0000-000034BB0000}"/>
    <cellStyle name="Normal 5 2 2 2 2 6 2 2 2" xfId="30555" xr:uid="{00000000-0005-0000-0000-000035BB0000}"/>
    <cellStyle name="Normal 5 2 2 2 2 6 2 2 2 2" xfId="57688" xr:uid="{00000000-0005-0000-0000-000036BB0000}"/>
    <cellStyle name="Normal 5 2 2 2 2 6 2 2 3" xfId="44126" xr:uid="{00000000-0005-0000-0000-000037BB0000}"/>
    <cellStyle name="Normal 5 2 2 2 2 6 2 3" xfId="23774" xr:uid="{00000000-0005-0000-0000-000038BB0000}"/>
    <cellStyle name="Normal 5 2 2 2 2 6 2 3 2" xfId="50907" xr:uid="{00000000-0005-0000-0000-000039BB0000}"/>
    <cellStyle name="Normal 5 2 2 2 2 6 2 4" xfId="37345" xr:uid="{00000000-0005-0000-0000-00003ABB0000}"/>
    <cellStyle name="Normal 5 2 2 2 2 6 3" xfId="13598" xr:uid="{00000000-0005-0000-0000-00003BBB0000}"/>
    <cellStyle name="Normal 5 2 2 2 2 6 3 2" xfId="27166" xr:uid="{00000000-0005-0000-0000-00003CBB0000}"/>
    <cellStyle name="Normal 5 2 2 2 2 6 3 2 2" xfId="54299" xr:uid="{00000000-0005-0000-0000-00003DBB0000}"/>
    <cellStyle name="Normal 5 2 2 2 2 6 3 3" xfId="40737" xr:uid="{00000000-0005-0000-0000-00003EBB0000}"/>
    <cellStyle name="Normal 5 2 2 2 2 6 4" xfId="20385" xr:uid="{00000000-0005-0000-0000-00003FBB0000}"/>
    <cellStyle name="Normal 5 2 2 2 2 6 4 2" xfId="47518" xr:uid="{00000000-0005-0000-0000-000040BB0000}"/>
    <cellStyle name="Normal 5 2 2 2 2 6 5" xfId="33956" xr:uid="{00000000-0005-0000-0000-000041BB0000}"/>
    <cellStyle name="Normal 5 2 2 2 2 7" xfId="10182" xr:uid="{00000000-0005-0000-0000-000042BB0000}"/>
    <cellStyle name="Normal 5 2 2 2 2 7 2" xfId="16972" xr:uid="{00000000-0005-0000-0000-000043BB0000}"/>
    <cellStyle name="Normal 5 2 2 2 2 7 2 2" xfId="30540" xr:uid="{00000000-0005-0000-0000-000044BB0000}"/>
    <cellStyle name="Normal 5 2 2 2 2 7 2 2 2" xfId="57673" xr:uid="{00000000-0005-0000-0000-000045BB0000}"/>
    <cellStyle name="Normal 5 2 2 2 2 7 2 3" xfId="44111" xr:uid="{00000000-0005-0000-0000-000046BB0000}"/>
    <cellStyle name="Normal 5 2 2 2 2 7 3" xfId="23759" xr:uid="{00000000-0005-0000-0000-000047BB0000}"/>
    <cellStyle name="Normal 5 2 2 2 2 7 3 2" xfId="50892" xr:uid="{00000000-0005-0000-0000-000048BB0000}"/>
    <cellStyle name="Normal 5 2 2 2 2 7 4" xfId="37330" xr:uid="{00000000-0005-0000-0000-000049BB0000}"/>
    <cellStyle name="Normal 5 2 2 2 2 8" xfId="13583" xr:uid="{00000000-0005-0000-0000-00004ABB0000}"/>
    <cellStyle name="Normal 5 2 2 2 2 8 2" xfId="27151" xr:uid="{00000000-0005-0000-0000-00004BBB0000}"/>
    <cellStyle name="Normal 5 2 2 2 2 8 2 2" xfId="54284" xr:uid="{00000000-0005-0000-0000-00004CBB0000}"/>
    <cellStyle name="Normal 5 2 2 2 2 8 3" xfId="40722" xr:uid="{00000000-0005-0000-0000-00004DBB0000}"/>
    <cellStyle name="Normal 5 2 2 2 2 9" xfId="20370" xr:uid="{00000000-0005-0000-0000-00004EBB0000}"/>
    <cellStyle name="Normal 5 2 2 2 2 9 2" xfId="47503" xr:uid="{00000000-0005-0000-0000-00004FBB0000}"/>
    <cellStyle name="Normal 5 2 2 2 3" xfId="6666" xr:uid="{00000000-0005-0000-0000-000050BB0000}"/>
    <cellStyle name="Normal 5 2 2 2 3 2" xfId="6667" xr:uid="{00000000-0005-0000-0000-000051BB0000}"/>
    <cellStyle name="Normal 5 2 2 2 3 2 2" xfId="6668" xr:uid="{00000000-0005-0000-0000-000052BB0000}"/>
    <cellStyle name="Normal 5 2 2 2 3 2 2 2" xfId="10200" xr:uid="{00000000-0005-0000-0000-000053BB0000}"/>
    <cellStyle name="Normal 5 2 2 2 3 2 2 2 2" xfId="16990" xr:uid="{00000000-0005-0000-0000-000054BB0000}"/>
    <cellStyle name="Normal 5 2 2 2 3 2 2 2 2 2" xfId="30558" xr:uid="{00000000-0005-0000-0000-000055BB0000}"/>
    <cellStyle name="Normal 5 2 2 2 3 2 2 2 2 2 2" xfId="57691" xr:uid="{00000000-0005-0000-0000-000056BB0000}"/>
    <cellStyle name="Normal 5 2 2 2 3 2 2 2 2 3" xfId="44129" xr:uid="{00000000-0005-0000-0000-000057BB0000}"/>
    <cellStyle name="Normal 5 2 2 2 3 2 2 2 3" xfId="23777" xr:uid="{00000000-0005-0000-0000-000058BB0000}"/>
    <cellStyle name="Normal 5 2 2 2 3 2 2 2 3 2" xfId="50910" xr:uid="{00000000-0005-0000-0000-000059BB0000}"/>
    <cellStyle name="Normal 5 2 2 2 3 2 2 2 4" xfId="37348" xr:uid="{00000000-0005-0000-0000-00005ABB0000}"/>
    <cellStyle name="Normal 5 2 2 2 3 2 2 3" xfId="13601" xr:uid="{00000000-0005-0000-0000-00005BBB0000}"/>
    <cellStyle name="Normal 5 2 2 2 3 2 2 3 2" xfId="27169" xr:uid="{00000000-0005-0000-0000-00005CBB0000}"/>
    <cellStyle name="Normal 5 2 2 2 3 2 2 3 2 2" xfId="54302" xr:uid="{00000000-0005-0000-0000-00005DBB0000}"/>
    <cellStyle name="Normal 5 2 2 2 3 2 2 3 3" xfId="40740" xr:uid="{00000000-0005-0000-0000-00005EBB0000}"/>
    <cellStyle name="Normal 5 2 2 2 3 2 2 4" xfId="20388" xr:uid="{00000000-0005-0000-0000-00005FBB0000}"/>
    <cellStyle name="Normal 5 2 2 2 3 2 2 4 2" xfId="47521" xr:uid="{00000000-0005-0000-0000-000060BB0000}"/>
    <cellStyle name="Normal 5 2 2 2 3 2 2 5" xfId="33959" xr:uid="{00000000-0005-0000-0000-000061BB0000}"/>
    <cellStyle name="Normal 5 2 2 2 3 2 3" xfId="6669" xr:uid="{00000000-0005-0000-0000-000062BB0000}"/>
    <cellStyle name="Normal 5 2 2 2 3 2 3 2" xfId="10201" xr:uid="{00000000-0005-0000-0000-000063BB0000}"/>
    <cellStyle name="Normal 5 2 2 2 3 2 3 2 2" xfId="16991" xr:uid="{00000000-0005-0000-0000-000064BB0000}"/>
    <cellStyle name="Normal 5 2 2 2 3 2 3 2 2 2" xfId="30559" xr:uid="{00000000-0005-0000-0000-000065BB0000}"/>
    <cellStyle name="Normal 5 2 2 2 3 2 3 2 2 2 2" xfId="57692" xr:uid="{00000000-0005-0000-0000-000066BB0000}"/>
    <cellStyle name="Normal 5 2 2 2 3 2 3 2 2 3" xfId="44130" xr:uid="{00000000-0005-0000-0000-000067BB0000}"/>
    <cellStyle name="Normal 5 2 2 2 3 2 3 2 3" xfId="23778" xr:uid="{00000000-0005-0000-0000-000068BB0000}"/>
    <cellStyle name="Normal 5 2 2 2 3 2 3 2 3 2" xfId="50911" xr:uid="{00000000-0005-0000-0000-000069BB0000}"/>
    <cellStyle name="Normal 5 2 2 2 3 2 3 2 4" xfId="37349" xr:uid="{00000000-0005-0000-0000-00006ABB0000}"/>
    <cellStyle name="Normal 5 2 2 2 3 2 3 3" xfId="13602" xr:uid="{00000000-0005-0000-0000-00006BBB0000}"/>
    <cellStyle name="Normal 5 2 2 2 3 2 3 3 2" xfId="27170" xr:uid="{00000000-0005-0000-0000-00006CBB0000}"/>
    <cellStyle name="Normal 5 2 2 2 3 2 3 3 2 2" xfId="54303" xr:uid="{00000000-0005-0000-0000-00006DBB0000}"/>
    <cellStyle name="Normal 5 2 2 2 3 2 3 3 3" xfId="40741" xr:uid="{00000000-0005-0000-0000-00006EBB0000}"/>
    <cellStyle name="Normal 5 2 2 2 3 2 3 4" xfId="20389" xr:uid="{00000000-0005-0000-0000-00006FBB0000}"/>
    <cellStyle name="Normal 5 2 2 2 3 2 3 4 2" xfId="47522" xr:uid="{00000000-0005-0000-0000-000070BB0000}"/>
    <cellStyle name="Normal 5 2 2 2 3 2 3 5" xfId="33960" xr:uid="{00000000-0005-0000-0000-000071BB0000}"/>
    <cellStyle name="Normal 5 2 2 2 3 2 4" xfId="10199" xr:uid="{00000000-0005-0000-0000-000072BB0000}"/>
    <cellStyle name="Normal 5 2 2 2 3 2 4 2" xfId="16989" xr:uid="{00000000-0005-0000-0000-000073BB0000}"/>
    <cellStyle name="Normal 5 2 2 2 3 2 4 2 2" xfId="30557" xr:uid="{00000000-0005-0000-0000-000074BB0000}"/>
    <cellStyle name="Normal 5 2 2 2 3 2 4 2 2 2" xfId="57690" xr:uid="{00000000-0005-0000-0000-000075BB0000}"/>
    <cellStyle name="Normal 5 2 2 2 3 2 4 2 3" xfId="44128" xr:uid="{00000000-0005-0000-0000-000076BB0000}"/>
    <cellStyle name="Normal 5 2 2 2 3 2 4 3" xfId="23776" xr:uid="{00000000-0005-0000-0000-000077BB0000}"/>
    <cellStyle name="Normal 5 2 2 2 3 2 4 3 2" xfId="50909" xr:uid="{00000000-0005-0000-0000-000078BB0000}"/>
    <cellStyle name="Normal 5 2 2 2 3 2 4 4" xfId="37347" xr:uid="{00000000-0005-0000-0000-000079BB0000}"/>
    <cellStyle name="Normal 5 2 2 2 3 2 5" xfId="13600" xr:uid="{00000000-0005-0000-0000-00007ABB0000}"/>
    <cellStyle name="Normal 5 2 2 2 3 2 5 2" xfId="27168" xr:uid="{00000000-0005-0000-0000-00007BBB0000}"/>
    <cellStyle name="Normal 5 2 2 2 3 2 5 2 2" xfId="54301" xr:uid="{00000000-0005-0000-0000-00007CBB0000}"/>
    <cellStyle name="Normal 5 2 2 2 3 2 5 3" xfId="40739" xr:uid="{00000000-0005-0000-0000-00007DBB0000}"/>
    <cellStyle name="Normal 5 2 2 2 3 2 6" xfId="20387" xr:uid="{00000000-0005-0000-0000-00007EBB0000}"/>
    <cellStyle name="Normal 5 2 2 2 3 2 6 2" xfId="47520" xr:uid="{00000000-0005-0000-0000-00007FBB0000}"/>
    <cellStyle name="Normal 5 2 2 2 3 2 7" xfId="33958" xr:uid="{00000000-0005-0000-0000-000080BB0000}"/>
    <cellStyle name="Normal 5 2 2 2 3 3" xfId="6670" xr:uid="{00000000-0005-0000-0000-000081BB0000}"/>
    <cellStyle name="Normal 5 2 2 2 3 3 2" xfId="6671" xr:uid="{00000000-0005-0000-0000-000082BB0000}"/>
    <cellStyle name="Normal 5 2 2 2 3 3 2 2" xfId="10203" xr:uid="{00000000-0005-0000-0000-000083BB0000}"/>
    <cellStyle name="Normal 5 2 2 2 3 3 2 2 2" xfId="16993" xr:uid="{00000000-0005-0000-0000-000084BB0000}"/>
    <cellStyle name="Normal 5 2 2 2 3 3 2 2 2 2" xfId="30561" xr:uid="{00000000-0005-0000-0000-000085BB0000}"/>
    <cellStyle name="Normal 5 2 2 2 3 3 2 2 2 2 2" xfId="57694" xr:uid="{00000000-0005-0000-0000-000086BB0000}"/>
    <cellStyle name="Normal 5 2 2 2 3 3 2 2 2 3" xfId="44132" xr:uid="{00000000-0005-0000-0000-000087BB0000}"/>
    <cellStyle name="Normal 5 2 2 2 3 3 2 2 3" xfId="23780" xr:uid="{00000000-0005-0000-0000-000088BB0000}"/>
    <cellStyle name="Normal 5 2 2 2 3 3 2 2 3 2" xfId="50913" xr:uid="{00000000-0005-0000-0000-000089BB0000}"/>
    <cellStyle name="Normal 5 2 2 2 3 3 2 2 4" xfId="37351" xr:uid="{00000000-0005-0000-0000-00008ABB0000}"/>
    <cellStyle name="Normal 5 2 2 2 3 3 2 3" xfId="13604" xr:uid="{00000000-0005-0000-0000-00008BBB0000}"/>
    <cellStyle name="Normal 5 2 2 2 3 3 2 3 2" xfId="27172" xr:uid="{00000000-0005-0000-0000-00008CBB0000}"/>
    <cellStyle name="Normal 5 2 2 2 3 3 2 3 2 2" xfId="54305" xr:uid="{00000000-0005-0000-0000-00008DBB0000}"/>
    <cellStyle name="Normal 5 2 2 2 3 3 2 3 3" xfId="40743" xr:uid="{00000000-0005-0000-0000-00008EBB0000}"/>
    <cellStyle name="Normal 5 2 2 2 3 3 2 4" xfId="20391" xr:uid="{00000000-0005-0000-0000-00008FBB0000}"/>
    <cellStyle name="Normal 5 2 2 2 3 3 2 4 2" xfId="47524" xr:uid="{00000000-0005-0000-0000-000090BB0000}"/>
    <cellStyle name="Normal 5 2 2 2 3 3 2 5" xfId="33962" xr:uid="{00000000-0005-0000-0000-000091BB0000}"/>
    <cellStyle name="Normal 5 2 2 2 3 3 3" xfId="10202" xr:uid="{00000000-0005-0000-0000-000092BB0000}"/>
    <cellStyle name="Normal 5 2 2 2 3 3 3 2" xfId="16992" xr:uid="{00000000-0005-0000-0000-000093BB0000}"/>
    <cellStyle name="Normal 5 2 2 2 3 3 3 2 2" xfId="30560" xr:uid="{00000000-0005-0000-0000-000094BB0000}"/>
    <cellStyle name="Normal 5 2 2 2 3 3 3 2 2 2" xfId="57693" xr:uid="{00000000-0005-0000-0000-000095BB0000}"/>
    <cellStyle name="Normal 5 2 2 2 3 3 3 2 3" xfId="44131" xr:uid="{00000000-0005-0000-0000-000096BB0000}"/>
    <cellStyle name="Normal 5 2 2 2 3 3 3 3" xfId="23779" xr:uid="{00000000-0005-0000-0000-000097BB0000}"/>
    <cellStyle name="Normal 5 2 2 2 3 3 3 3 2" xfId="50912" xr:uid="{00000000-0005-0000-0000-000098BB0000}"/>
    <cellStyle name="Normal 5 2 2 2 3 3 3 4" xfId="37350" xr:uid="{00000000-0005-0000-0000-000099BB0000}"/>
    <cellStyle name="Normal 5 2 2 2 3 3 4" xfId="13603" xr:uid="{00000000-0005-0000-0000-00009ABB0000}"/>
    <cellStyle name="Normal 5 2 2 2 3 3 4 2" xfId="27171" xr:uid="{00000000-0005-0000-0000-00009BBB0000}"/>
    <cellStyle name="Normal 5 2 2 2 3 3 4 2 2" xfId="54304" xr:uid="{00000000-0005-0000-0000-00009CBB0000}"/>
    <cellStyle name="Normal 5 2 2 2 3 3 4 3" xfId="40742" xr:uid="{00000000-0005-0000-0000-00009DBB0000}"/>
    <cellStyle name="Normal 5 2 2 2 3 3 5" xfId="20390" xr:uid="{00000000-0005-0000-0000-00009EBB0000}"/>
    <cellStyle name="Normal 5 2 2 2 3 3 5 2" xfId="47523" xr:uid="{00000000-0005-0000-0000-00009FBB0000}"/>
    <cellStyle name="Normal 5 2 2 2 3 3 6" xfId="33961" xr:uid="{00000000-0005-0000-0000-0000A0BB0000}"/>
    <cellStyle name="Normal 5 2 2 2 3 4" xfId="6672" xr:uid="{00000000-0005-0000-0000-0000A1BB0000}"/>
    <cellStyle name="Normal 5 2 2 2 3 4 2" xfId="10204" xr:uid="{00000000-0005-0000-0000-0000A2BB0000}"/>
    <cellStyle name="Normal 5 2 2 2 3 4 2 2" xfId="16994" xr:uid="{00000000-0005-0000-0000-0000A3BB0000}"/>
    <cellStyle name="Normal 5 2 2 2 3 4 2 2 2" xfId="30562" xr:uid="{00000000-0005-0000-0000-0000A4BB0000}"/>
    <cellStyle name="Normal 5 2 2 2 3 4 2 2 2 2" xfId="57695" xr:uid="{00000000-0005-0000-0000-0000A5BB0000}"/>
    <cellStyle name="Normal 5 2 2 2 3 4 2 2 3" xfId="44133" xr:uid="{00000000-0005-0000-0000-0000A6BB0000}"/>
    <cellStyle name="Normal 5 2 2 2 3 4 2 3" xfId="23781" xr:uid="{00000000-0005-0000-0000-0000A7BB0000}"/>
    <cellStyle name="Normal 5 2 2 2 3 4 2 3 2" xfId="50914" xr:uid="{00000000-0005-0000-0000-0000A8BB0000}"/>
    <cellStyle name="Normal 5 2 2 2 3 4 2 4" xfId="37352" xr:uid="{00000000-0005-0000-0000-0000A9BB0000}"/>
    <cellStyle name="Normal 5 2 2 2 3 4 3" xfId="13605" xr:uid="{00000000-0005-0000-0000-0000AABB0000}"/>
    <cellStyle name="Normal 5 2 2 2 3 4 3 2" xfId="27173" xr:uid="{00000000-0005-0000-0000-0000ABBB0000}"/>
    <cellStyle name="Normal 5 2 2 2 3 4 3 2 2" xfId="54306" xr:uid="{00000000-0005-0000-0000-0000ACBB0000}"/>
    <cellStyle name="Normal 5 2 2 2 3 4 3 3" xfId="40744" xr:uid="{00000000-0005-0000-0000-0000ADBB0000}"/>
    <cellStyle name="Normal 5 2 2 2 3 4 4" xfId="20392" xr:uid="{00000000-0005-0000-0000-0000AEBB0000}"/>
    <cellStyle name="Normal 5 2 2 2 3 4 4 2" xfId="47525" xr:uid="{00000000-0005-0000-0000-0000AFBB0000}"/>
    <cellStyle name="Normal 5 2 2 2 3 4 5" xfId="33963" xr:uid="{00000000-0005-0000-0000-0000B0BB0000}"/>
    <cellStyle name="Normal 5 2 2 2 3 5" xfId="6673" xr:uid="{00000000-0005-0000-0000-0000B1BB0000}"/>
    <cellStyle name="Normal 5 2 2 2 3 5 2" xfId="10205" xr:uid="{00000000-0005-0000-0000-0000B2BB0000}"/>
    <cellStyle name="Normal 5 2 2 2 3 5 2 2" xfId="16995" xr:uid="{00000000-0005-0000-0000-0000B3BB0000}"/>
    <cellStyle name="Normal 5 2 2 2 3 5 2 2 2" xfId="30563" xr:uid="{00000000-0005-0000-0000-0000B4BB0000}"/>
    <cellStyle name="Normal 5 2 2 2 3 5 2 2 2 2" xfId="57696" xr:uid="{00000000-0005-0000-0000-0000B5BB0000}"/>
    <cellStyle name="Normal 5 2 2 2 3 5 2 2 3" xfId="44134" xr:uid="{00000000-0005-0000-0000-0000B6BB0000}"/>
    <cellStyle name="Normal 5 2 2 2 3 5 2 3" xfId="23782" xr:uid="{00000000-0005-0000-0000-0000B7BB0000}"/>
    <cellStyle name="Normal 5 2 2 2 3 5 2 3 2" xfId="50915" xr:uid="{00000000-0005-0000-0000-0000B8BB0000}"/>
    <cellStyle name="Normal 5 2 2 2 3 5 2 4" xfId="37353" xr:uid="{00000000-0005-0000-0000-0000B9BB0000}"/>
    <cellStyle name="Normal 5 2 2 2 3 5 3" xfId="13606" xr:uid="{00000000-0005-0000-0000-0000BABB0000}"/>
    <cellStyle name="Normal 5 2 2 2 3 5 3 2" xfId="27174" xr:uid="{00000000-0005-0000-0000-0000BBBB0000}"/>
    <cellStyle name="Normal 5 2 2 2 3 5 3 2 2" xfId="54307" xr:uid="{00000000-0005-0000-0000-0000BCBB0000}"/>
    <cellStyle name="Normal 5 2 2 2 3 5 3 3" xfId="40745" xr:uid="{00000000-0005-0000-0000-0000BDBB0000}"/>
    <cellStyle name="Normal 5 2 2 2 3 5 4" xfId="20393" xr:uid="{00000000-0005-0000-0000-0000BEBB0000}"/>
    <cellStyle name="Normal 5 2 2 2 3 5 4 2" xfId="47526" xr:uid="{00000000-0005-0000-0000-0000BFBB0000}"/>
    <cellStyle name="Normal 5 2 2 2 3 5 5" xfId="33964" xr:uid="{00000000-0005-0000-0000-0000C0BB0000}"/>
    <cellStyle name="Normal 5 2 2 2 3 6" xfId="10198" xr:uid="{00000000-0005-0000-0000-0000C1BB0000}"/>
    <cellStyle name="Normal 5 2 2 2 3 6 2" xfId="16988" xr:uid="{00000000-0005-0000-0000-0000C2BB0000}"/>
    <cellStyle name="Normal 5 2 2 2 3 6 2 2" xfId="30556" xr:uid="{00000000-0005-0000-0000-0000C3BB0000}"/>
    <cellStyle name="Normal 5 2 2 2 3 6 2 2 2" xfId="57689" xr:uid="{00000000-0005-0000-0000-0000C4BB0000}"/>
    <cellStyle name="Normal 5 2 2 2 3 6 2 3" xfId="44127" xr:uid="{00000000-0005-0000-0000-0000C5BB0000}"/>
    <cellStyle name="Normal 5 2 2 2 3 6 3" xfId="23775" xr:uid="{00000000-0005-0000-0000-0000C6BB0000}"/>
    <cellStyle name="Normal 5 2 2 2 3 6 3 2" xfId="50908" xr:uid="{00000000-0005-0000-0000-0000C7BB0000}"/>
    <cellStyle name="Normal 5 2 2 2 3 6 4" xfId="37346" xr:uid="{00000000-0005-0000-0000-0000C8BB0000}"/>
    <cellStyle name="Normal 5 2 2 2 3 7" xfId="13599" xr:uid="{00000000-0005-0000-0000-0000C9BB0000}"/>
    <cellStyle name="Normal 5 2 2 2 3 7 2" xfId="27167" xr:uid="{00000000-0005-0000-0000-0000CABB0000}"/>
    <cellStyle name="Normal 5 2 2 2 3 7 2 2" xfId="54300" xr:uid="{00000000-0005-0000-0000-0000CBBB0000}"/>
    <cellStyle name="Normal 5 2 2 2 3 7 3" xfId="40738" xr:uid="{00000000-0005-0000-0000-0000CCBB0000}"/>
    <cellStyle name="Normal 5 2 2 2 3 8" xfId="20386" xr:uid="{00000000-0005-0000-0000-0000CDBB0000}"/>
    <cellStyle name="Normal 5 2 2 2 3 8 2" xfId="47519" xr:uid="{00000000-0005-0000-0000-0000CEBB0000}"/>
    <cellStyle name="Normal 5 2 2 2 3 9" xfId="33957" xr:uid="{00000000-0005-0000-0000-0000CFBB0000}"/>
    <cellStyle name="Normal 5 2 2 2 4" xfId="6674" xr:uid="{00000000-0005-0000-0000-0000D0BB0000}"/>
    <cellStyle name="Normal 5 2 2 2 4 2" xfId="6675" xr:uid="{00000000-0005-0000-0000-0000D1BB0000}"/>
    <cellStyle name="Normal 5 2 2 2 4 2 2" xfId="6676" xr:uid="{00000000-0005-0000-0000-0000D2BB0000}"/>
    <cellStyle name="Normal 5 2 2 2 4 2 2 2" xfId="10208" xr:uid="{00000000-0005-0000-0000-0000D3BB0000}"/>
    <cellStyle name="Normal 5 2 2 2 4 2 2 2 2" xfId="16998" xr:uid="{00000000-0005-0000-0000-0000D4BB0000}"/>
    <cellStyle name="Normal 5 2 2 2 4 2 2 2 2 2" xfId="30566" xr:uid="{00000000-0005-0000-0000-0000D5BB0000}"/>
    <cellStyle name="Normal 5 2 2 2 4 2 2 2 2 2 2" xfId="57699" xr:uid="{00000000-0005-0000-0000-0000D6BB0000}"/>
    <cellStyle name="Normal 5 2 2 2 4 2 2 2 2 3" xfId="44137" xr:uid="{00000000-0005-0000-0000-0000D7BB0000}"/>
    <cellStyle name="Normal 5 2 2 2 4 2 2 2 3" xfId="23785" xr:uid="{00000000-0005-0000-0000-0000D8BB0000}"/>
    <cellStyle name="Normal 5 2 2 2 4 2 2 2 3 2" xfId="50918" xr:uid="{00000000-0005-0000-0000-0000D9BB0000}"/>
    <cellStyle name="Normal 5 2 2 2 4 2 2 2 4" xfId="37356" xr:uid="{00000000-0005-0000-0000-0000DABB0000}"/>
    <cellStyle name="Normal 5 2 2 2 4 2 2 3" xfId="13609" xr:uid="{00000000-0005-0000-0000-0000DBBB0000}"/>
    <cellStyle name="Normal 5 2 2 2 4 2 2 3 2" xfId="27177" xr:uid="{00000000-0005-0000-0000-0000DCBB0000}"/>
    <cellStyle name="Normal 5 2 2 2 4 2 2 3 2 2" xfId="54310" xr:uid="{00000000-0005-0000-0000-0000DDBB0000}"/>
    <cellStyle name="Normal 5 2 2 2 4 2 2 3 3" xfId="40748" xr:uid="{00000000-0005-0000-0000-0000DEBB0000}"/>
    <cellStyle name="Normal 5 2 2 2 4 2 2 4" xfId="20396" xr:uid="{00000000-0005-0000-0000-0000DFBB0000}"/>
    <cellStyle name="Normal 5 2 2 2 4 2 2 4 2" xfId="47529" xr:uid="{00000000-0005-0000-0000-0000E0BB0000}"/>
    <cellStyle name="Normal 5 2 2 2 4 2 2 5" xfId="33967" xr:uid="{00000000-0005-0000-0000-0000E1BB0000}"/>
    <cellStyle name="Normal 5 2 2 2 4 2 3" xfId="6677" xr:uid="{00000000-0005-0000-0000-0000E2BB0000}"/>
    <cellStyle name="Normal 5 2 2 2 4 2 3 2" xfId="10209" xr:uid="{00000000-0005-0000-0000-0000E3BB0000}"/>
    <cellStyle name="Normal 5 2 2 2 4 2 3 2 2" xfId="16999" xr:uid="{00000000-0005-0000-0000-0000E4BB0000}"/>
    <cellStyle name="Normal 5 2 2 2 4 2 3 2 2 2" xfId="30567" xr:uid="{00000000-0005-0000-0000-0000E5BB0000}"/>
    <cellStyle name="Normal 5 2 2 2 4 2 3 2 2 2 2" xfId="57700" xr:uid="{00000000-0005-0000-0000-0000E6BB0000}"/>
    <cellStyle name="Normal 5 2 2 2 4 2 3 2 2 3" xfId="44138" xr:uid="{00000000-0005-0000-0000-0000E7BB0000}"/>
    <cellStyle name="Normal 5 2 2 2 4 2 3 2 3" xfId="23786" xr:uid="{00000000-0005-0000-0000-0000E8BB0000}"/>
    <cellStyle name="Normal 5 2 2 2 4 2 3 2 3 2" xfId="50919" xr:uid="{00000000-0005-0000-0000-0000E9BB0000}"/>
    <cellStyle name="Normal 5 2 2 2 4 2 3 2 4" xfId="37357" xr:uid="{00000000-0005-0000-0000-0000EABB0000}"/>
    <cellStyle name="Normal 5 2 2 2 4 2 3 3" xfId="13610" xr:uid="{00000000-0005-0000-0000-0000EBBB0000}"/>
    <cellStyle name="Normal 5 2 2 2 4 2 3 3 2" xfId="27178" xr:uid="{00000000-0005-0000-0000-0000ECBB0000}"/>
    <cellStyle name="Normal 5 2 2 2 4 2 3 3 2 2" xfId="54311" xr:uid="{00000000-0005-0000-0000-0000EDBB0000}"/>
    <cellStyle name="Normal 5 2 2 2 4 2 3 3 3" xfId="40749" xr:uid="{00000000-0005-0000-0000-0000EEBB0000}"/>
    <cellStyle name="Normal 5 2 2 2 4 2 3 4" xfId="20397" xr:uid="{00000000-0005-0000-0000-0000EFBB0000}"/>
    <cellStyle name="Normal 5 2 2 2 4 2 3 4 2" xfId="47530" xr:uid="{00000000-0005-0000-0000-0000F0BB0000}"/>
    <cellStyle name="Normal 5 2 2 2 4 2 3 5" xfId="33968" xr:uid="{00000000-0005-0000-0000-0000F1BB0000}"/>
    <cellStyle name="Normal 5 2 2 2 4 2 4" xfId="10207" xr:uid="{00000000-0005-0000-0000-0000F2BB0000}"/>
    <cellStyle name="Normal 5 2 2 2 4 2 4 2" xfId="16997" xr:uid="{00000000-0005-0000-0000-0000F3BB0000}"/>
    <cellStyle name="Normal 5 2 2 2 4 2 4 2 2" xfId="30565" xr:uid="{00000000-0005-0000-0000-0000F4BB0000}"/>
    <cellStyle name="Normal 5 2 2 2 4 2 4 2 2 2" xfId="57698" xr:uid="{00000000-0005-0000-0000-0000F5BB0000}"/>
    <cellStyle name="Normal 5 2 2 2 4 2 4 2 3" xfId="44136" xr:uid="{00000000-0005-0000-0000-0000F6BB0000}"/>
    <cellStyle name="Normal 5 2 2 2 4 2 4 3" xfId="23784" xr:uid="{00000000-0005-0000-0000-0000F7BB0000}"/>
    <cellStyle name="Normal 5 2 2 2 4 2 4 3 2" xfId="50917" xr:uid="{00000000-0005-0000-0000-0000F8BB0000}"/>
    <cellStyle name="Normal 5 2 2 2 4 2 4 4" xfId="37355" xr:uid="{00000000-0005-0000-0000-0000F9BB0000}"/>
    <cellStyle name="Normal 5 2 2 2 4 2 5" xfId="13608" xr:uid="{00000000-0005-0000-0000-0000FABB0000}"/>
    <cellStyle name="Normal 5 2 2 2 4 2 5 2" xfId="27176" xr:uid="{00000000-0005-0000-0000-0000FBBB0000}"/>
    <cellStyle name="Normal 5 2 2 2 4 2 5 2 2" xfId="54309" xr:uid="{00000000-0005-0000-0000-0000FCBB0000}"/>
    <cellStyle name="Normal 5 2 2 2 4 2 5 3" xfId="40747" xr:uid="{00000000-0005-0000-0000-0000FDBB0000}"/>
    <cellStyle name="Normal 5 2 2 2 4 2 6" xfId="20395" xr:uid="{00000000-0005-0000-0000-0000FEBB0000}"/>
    <cellStyle name="Normal 5 2 2 2 4 2 6 2" xfId="47528" xr:uid="{00000000-0005-0000-0000-0000FFBB0000}"/>
    <cellStyle name="Normal 5 2 2 2 4 2 7" xfId="33966" xr:uid="{00000000-0005-0000-0000-000000BC0000}"/>
    <cellStyle name="Normal 5 2 2 2 4 3" xfId="6678" xr:uid="{00000000-0005-0000-0000-000001BC0000}"/>
    <cellStyle name="Normal 5 2 2 2 4 3 2" xfId="10210" xr:uid="{00000000-0005-0000-0000-000002BC0000}"/>
    <cellStyle name="Normal 5 2 2 2 4 3 2 2" xfId="17000" xr:uid="{00000000-0005-0000-0000-000003BC0000}"/>
    <cellStyle name="Normal 5 2 2 2 4 3 2 2 2" xfId="30568" xr:uid="{00000000-0005-0000-0000-000004BC0000}"/>
    <cellStyle name="Normal 5 2 2 2 4 3 2 2 2 2" xfId="57701" xr:uid="{00000000-0005-0000-0000-000005BC0000}"/>
    <cellStyle name="Normal 5 2 2 2 4 3 2 2 3" xfId="44139" xr:uid="{00000000-0005-0000-0000-000006BC0000}"/>
    <cellStyle name="Normal 5 2 2 2 4 3 2 3" xfId="23787" xr:uid="{00000000-0005-0000-0000-000007BC0000}"/>
    <cellStyle name="Normal 5 2 2 2 4 3 2 3 2" xfId="50920" xr:uid="{00000000-0005-0000-0000-000008BC0000}"/>
    <cellStyle name="Normal 5 2 2 2 4 3 2 4" xfId="37358" xr:uid="{00000000-0005-0000-0000-000009BC0000}"/>
    <cellStyle name="Normal 5 2 2 2 4 3 3" xfId="13611" xr:uid="{00000000-0005-0000-0000-00000ABC0000}"/>
    <cellStyle name="Normal 5 2 2 2 4 3 3 2" xfId="27179" xr:uid="{00000000-0005-0000-0000-00000BBC0000}"/>
    <cellStyle name="Normal 5 2 2 2 4 3 3 2 2" xfId="54312" xr:uid="{00000000-0005-0000-0000-00000CBC0000}"/>
    <cellStyle name="Normal 5 2 2 2 4 3 3 3" xfId="40750" xr:uid="{00000000-0005-0000-0000-00000DBC0000}"/>
    <cellStyle name="Normal 5 2 2 2 4 3 4" xfId="20398" xr:uid="{00000000-0005-0000-0000-00000EBC0000}"/>
    <cellStyle name="Normal 5 2 2 2 4 3 4 2" xfId="47531" xr:uid="{00000000-0005-0000-0000-00000FBC0000}"/>
    <cellStyle name="Normal 5 2 2 2 4 3 5" xfId="33969" xr:uid="{00000000-0005-0000-0000-000010BC0000}"/>
    <cellStyle name="Normal 5 2 2 2 4 4" xfId="6679" xr:uid="{00000000-0005-0000-0000-000011BC0000}"/>
    <cellStyle name="Normal 5 2 2 2 4 4 2" xfId="10211" xr:uid="{00000000-0005-0000-0000-000012BC0000}"/>
    <cellStyle name="Normal 5 2 2 2 4 4 2 2" xfId="17001" xr:uid="{00000000-0005-0000-0000-000013BC0000}"/>
    <cellStyle name="Normal 5 2 2 2 4 4 2 2 2" xfId="30569" xr:uid="{00000000-0005-0000-0000-000014BC0000}"/>
    <cellStyle name="Normal 5 2 2 2 4 4 2 2 2 2" xfId="57702" xr:uid="{00000000-0005-0000-0000-000015BC0000}"/>
    <cellStyle name="Normal 5 2 2 2 4 4 2 2 3" xfId="44140" xr:uid="{00000000-0005-0000-0000-000016BC0000}"/>
    <cellStyle name="Normal 5 2 2 2 4 4 2 3" xfId="23788" xr:uid="{00000000-0005-0000-0000-000017BC0000}"/>
    <cellStyle name="Normal 5 2 2 2 4 4 2 3 2" xfId="50921" xr:uid="{00000000-0005-0000-0000-000018BC0000}"/>
    <cellStyle name="Normal 5 2 2 2 4 4 2 4" xfId="37359" xr:uid="{00000000-0005-0000-0000-000019BC0000}"/>
    <cellStyle name="Normal 5 2 2 2 4 4 3" xfId="13612" xr:uid="{00000000-0005-0000-0000-00001ABC0000}"/>
    <cellStyle name="Normal 5 2 2 2 4 4 3 2" xfId="27180" xr:uid="{00000000-0005-0000-0000-00001BBC0000}"/>
    <cellStyle name="Normal 5 2 2 2 4 4 3 2 2" xfId="54313" xr:uid="{00000000-0005-0000-0000-00001CBC0000}"/>
    <cellStyle name="Normal 5 2 2 2 4 4 3 3" xfId="40751" xr:uid="{00000000-0005-0000-0000-00001DBC0000}"/>
    <cellStyle name="Normal 5 2 2 2 4 4 4" xfId="20399" xr:uid="{00000000-0005-0000-0000-00001EBC0000}"/>
    <cellStyle name="Normal 5 2 2 2 4 4 4 2" xfId="47532" xr:uid="{00000000-0005-0000-0000-00001FBC0000}"/>
    <cellStyle name="Normal 5 2 2 2 4 4 5" xfId="33970" xr:uid="{00000000-0005-0000-0000-000020BC0000}"/>
    <cellStyle name="Normal 5 2 2 2 4 5" xfId="10206" xr:uid="{00000000-0005-0000-0000-000021BC0000}"/>
    <cellStyle name="Normal 5 2 2 2 4 5 2" xfId="16996" xr:uid="{00000000-0005-0000-0000-000022BC0000}"/>
    <cellStyle name="Normal 5 2 2 2 4 5 2 2" xfId="30564" xr:uid="{00000000-0005-0000-0000-000023BC0000}"/>
    <cellStyle name="Normal 5 2 2 2 4 5 2 2 2" xfId="57697" xr:uid="{00000000-0005-0000-0000-000024BC0000}"/>
    <cellStyle name="Normal 5 2 2 2 4 5 2 3" xfId="44135" xr:uid="{00000000-0005-0000-0000-000025BC0000}"/>
    <cellStyle name="Normal 5 2 2 2 4 5 3" xfId="23783" xr:uid="{00000000-0005-0000-0000-000026BC0000}"/>
    <cellStyle name="Normal 5 2 2 2 4 5 3 2" xfId="50916" xr:uid="{00000000-0005-0000-0000-000027BC0000}"/>
    <cellStyle name="Normal 5 2 2 2 4 5 4" xfId="37354" xr:uid="{00000000-0005-0000-0000-000028BC0000}"/>
    <cellStyle name="Normal 5 2 2 2 4 6" xfId="13607" xr:uid="{00000000-0005-0000-0000-000029BC0000}"/>
    <cellStyle name="Normal 5 2 2 2 4 6 2" xfId="27175" xr:uid="{00000000-0005-0000-0000-00002ABC0000}"/>
    <cellStyle name="Normal 5 2 2 2 4 6 2 2" xfId="54308" xr:uid="{00000000-0005-0000-0000-00002BBC0000}"/>
    <cellStyle name="Normal 5 2 2 2 4 6 3" xfId="40746" xr:uid="{00000000-0005-0000-0000-00002CBC0000}"/>
    <cellStyle name="Normal 5 2 2 2 4 7" xfId="20394" xr:uid="{00000000-0005-0000-0000-00002DBC0000}"/>
    <cellStyle name="Normal 5 2 2 2 4 7 2" xfId="47527" xr:uid="{00000000-0005-0000-0000-00002EBC0000}"/>
    <cellStyle name="Normal 5 2 2 2 4 8" xfId="33965" xr:uid="{00000000-0005-0000-0000-00002FBC0000}"/>
    <cellStyle name="Normal 5 2 2 2 5" xfId="6680" xr:uid="{00000000-0005-0000-0000-000030BC0000}"/>
    <cellStyle name="Normal 5 2 2 2 5 2" xfId="6681" xr:uid="{00000000-0005-0000-0000-000031BC0000}"/>
    <cellStyle name="Normal 5 2 2 2 5 2 2" xfId="10213" xr:uid="{00000000-0005-0000-0000-000032BC0000}"/>
    <cellStyle name="Normal 5 2 2 2 5 2 2 2" xfId="17003" xr:uid="{00000000-0005-0000-0000-000033BC0000}"/>
    <cellStyle name="Normal 5 2 2 2 5 2 2 2 2" xfId="30571" xr:uid="{00000000-0005-0000-0000-000034BC0000}"/>
    <cellStyle name="Normal 5 2 2 2 5 2 2 2 2 2" xfId="57704" xr:uid="{00000000-0005-0000-0000-000035BC0000}"/>
    <cellStyle name="Normal 5 2 2 2 5 2 2 2 3" xfId="44142" xr:uid="{00000000-0005-0000-0000-000036BC0000}"/>
    <cellStyle name="Normal 5 2 2 2 5 2 2 3" xfId="23790" xr:uid="{00000000-0005-0000-0000-000037BC0000}"/>
    <cellStyle name="Normal 5 2 2 2 5 2 2 3 2" xfId="50923" xr:uid="{00000000-0005-0000-0000-000038BC0000}"/>
    <cellStyle name="Normal 5 2 2 2 5 2 2 4" xfId="37361" xr:uid="{00000000-0005-0000-0000-000039BC0000}"/>
    <cellStyle name="Normal 5 2 2 2 5 2 3" xfId="13614" xr:uid="{00000000-0005-0000-0000-00003ABC0000}"/>
    <cellStyle name="Normal 5 2 2 2 5 2 3 2" xfId="27182" xr:uid="{00000000-0005-0000-0000-00003BBC0000}"/>
    <cellStyle name="Normal 5 2 2 2 5 2 3 2 2" xfId="54315" xr:uid="{00000000-0005-0000-0000-00003CBC0000}"/>
    <cellStyle name="Normal 5 2 2 2 5 2 3 3" xfId="40753" xr:uid="{00000000-0005-0000-0000-00003DBC0000}"/>
    <cellStyle name="Normal 5 2 2 2 5 2 4" xfId="20401" xr:uid="{00000000-0005-0000-0000-00003EBC0000}"/>
    <cellStyle name="Normal 5 2 2 2 5 2 4 2" xfId="47534" xr:uid="{00000000-0005-0000-0000-00003FBC0000}"/>
    <cellStyle name="Normal 5 2 2 2 5 2 5" xfId="33972" xr:uid="{00000000-0005-0000-0000-000040BC0000}"/>
    <cellStyle name="Normal 5 2 2 2 5 3" xfId="6682" xr:uid="{00000000-0005-0000-0000-000041BC0000}"/>
    <cellStyle name="Normal 5 2 2 2 5 3 2" xfId="10214" xr:uid="{00000000-0005-0000-0000-000042BC0000}"/>
    <cellStyle name="Normal 5 2 2 2 5 3 2 2" xfId="17004" xr:uid="{00000000-0005-0000-0000-000043BC0000}"/>
    <cellStyle name="Normal 5 2 2 2 5 3 2 2 2" xfId="30572" xr:uid="{00000000-0005-0000-0000-000044BC0000}"/>
    <cellStyle name="Normal 5 2 2 2 5 3 2 2 2 2" xfId="57705" xr:uid="{00000000-0005-0000-0000-000045BC0000}"/>
    <cellStyle name="Normal 5 2 2 2 5 3 2 2 3" xfId="44143" xr:uid="{00000000-0005-0000-0000-000046BC0000}"/>
    <cellStyle name="Normal 5 2 2 2 5 3 2 3" xfId="23791" xr:uid="{00000000-0005-0000-0000-000047BC0000}"/>
    <cellStyle name="Normal 5 2 2 2 5 3 2 3 2" xfId="50924" xr:uid="{00000000-0005-0000-0000-000048BC0000}"/>
    <cellStyle name="Normal 5 2 2 2 5 3 2 4" xfId="37362" xr:uid="{00000000-0005-0000-0000-000049BC0000}"/>
    <cellStyle name="Normal 5 2 2 2 5 3 3" xfId="13615" xr:uid="{00000000-0005-0000-0000-00004ABC0000}"/>
    <cellStyle name="Normal 5 2 2 2 5 3 3 2" xfId="27183" xr:uid="{00000000-0005-0000-0000-00004BBC0000}"/>
    <cellStyle name="Normal 5 2 2 2 5 3 3 2 2" xfId="54316" xr:uid="{00000000-0005-0000-0000-00004CBC0000}"/>
    <cellStyle name="Normal 5 2 2 2 5 3 3 3" xfId="40754" xr:uid="{00000000-0005-0000-0000-00004DBC0000}"/>
    <cellStyle name="Normal 5 2 2 2 5 3 4" xfId="20402" xr:uid="{00000000-0005-0000-0000-00004EBC0000}"/>
    <cellStyle name="Normal 5 2 2 2 5 3 4 2" xfId="47535" xr:uid="{00000000-0005-0000-0000-00004FBC0000}"/>
    <cellStyle name="Normal 5 2 2 2 5 3 5" xfId="33973" xr:uid="{00000000-0005-0000-0000-000050BC0000}"/>
    <cellStyle name="Normal 5 2 2 2 5 4" xfId="10212" xr:uid="{00000000-0005-0000-0000-000051BC0000}"/>
    <cellStyle name="Normal 5 2 2 2 5 4 2" xfId="17002" xr:uid="{00000000-0005-0000-0000-000052BC0000}"/>
    <cellStyle name="Normal 5 2 2 2 5 4 2 2" xfId="30570" xr:uid="{00000000-0005-0000-0000-000053BC0000}"/>
    <cellStyle name="Normal 5 2 2 2 5 4 2 2 2" xfId="57703" xr:uid="{00000000-0005-0000-0000-000054BC0000}"/>
    <cellStyle name="Normal 5 2 2 2 5 4 2 3" xfId="44141" xr:uid="{00000000-0005-0000-0000-000055BC0000}"/>
    <cellStyle name="Normal 5 2 2 2 5 4 3" xfId="23789" xr:uid="{00000000-0005-0000-0000-000056BC0000}"/>
    <cellStyle name="Normal 5 2 2 2 5 4 3 2" xfId="50922" xr:uid="{00000000-0005-0000-0000-000057BC0000}"/>
    <cellStyle name="Normal 5 2 2 2 5 4 4" xfId="37360" xr:uid="{00000000-0005-0000-0000-000058BC0000}"/>
    <cellStyle name="Normal 5 2 2 2 5 5" xfId="13613" xr:uid="{00000000-0005-0000-0000-000059BC0000}"/>
    <cellStyle name="Normal 5 2 2 2 5 5 2" xfId="27181" xr:uid="{00000000-0005-0000-0000-00005ABC0000}"/>
    <cellStyle name="Normal 5 2 2 2 5 5 2 2" xfId="54314" xr:uid="{00000000-0005-0000-0000-00005BBC0000}"/>
    <cellStyle name="Normal 5 2 2 2 5 5 3" xfId="40752" xr:uid="{00000000-0005-0000-0000-00005CBC0000}"/>
    <cellStyle name="Normal 5 2 2 2 5 6" xfId="20400" xr:uid="{00000000-0005-0000-0000-00005DBC0000}"/>
    <cellStyle name="Normal 5 2 2 2 5 6 2" xfId="47533" xr:uid="{00000000-0005-0000-0000-00005EBC0000}"/>
    <cellStyle name="Normal 5 2 2 2 5 7" xfId="33971" xr:uid="{00000000-0005-0000-0000-00005FBC0000}"/>
    <cellStyle name="Normal 5 2 2 2 6" xfId="6683" xr:uid="{00000000-0005-0000-0000-000060BC0000}"/>
    <cellStyle name="Normal 5 2 2 2 6 2" xfId="6684" xr:uid="{00000000-0005-0000-0000-000061BC0000}"/>
    <cellStyle name="Normal 5 2 2 2 6 2 2" xfId="10216" xr:uid="{00000000-0005-0000-0000-000062BC0000}"/>
    <cellStyle name="Normal 5 2 2 2 6 2 2 2" xfId="17006" xr:uid="{00000000-0005-0000-0000-000063BC0000}"/>
    <cellStyle name="Normal 5 2 2 2 6 2 2 2 2" xfId="30574" xr:uid="{00000000-0005-0000-0000-000064BC0000}"/>
    <cellStyle name="Normal 5 2 2 2 6 2 2 2 2 2" xfId="57707" xr:uid="{00000000-0005-0000-0000-000065BC0000}"/>
    <cellStyle name="Normal 5 2 2 2 6 2 2 2 3" xfId="44145" xr:uid="{00000000-0005-0000-0000-000066BC0000}"/>
    <cellStyle name="Normal 5 2 2 2 6 2 2 3" xfId="23793" xr:uid="{00000000-0005-0000-0000-000067BC0000}"/>
    <cellStyle name="Normal 5 2 2 2 6 2 2 3 2" xfId="50926" xr:uid="{00000000-0005-0000-0000-000068BC0000}"/>
    <cellStyle name="Normal 5 2 2 2 6 2 2 4" xfId="37364" xr:uid="{00000000-0005-0000-0000-000069BC0000}"/>
    <cellStyle name="Normal 5 2 2 2 6 2 3" xfId="13617" xr:uid="{00000000-0005-0000-0000-00006ABC0000}"/>
    <cellStyle name="Normal 5 2 2 2 6 2 3 2" xfId="27185" xr:uid="{00000000-0005-0000-0000-00006BBC0000}"/>
    <cellStyle name="Normal 5 2 2 2 6 2 3 2 2" xfId="54318" xr:uid="{00000000-0005-0000-0000-00006CBC0000}"/>
    <cellStyle name="Normal 5 2 2 2 6 2 3 3" xfId="40756" xr:uid="{00000000-0005-0000-0000-00006DBC0000}"/>
    <cellStyle name="Normal 5 2 2 2 6 2 4" xfId="20404" xr:uid="{00000000-0005-0000-0000-00006EBC0000}"/>
    <cellStyle name="Normal 5 2 2 2 6 2 4 2" xfId="47537" xr:uid="{00000000-0005-0000-0000-00006FBC0000}"/>
    <cellStyle name="Normal 5 2 2 2 6 2 5" xfId="33975" xr:uid="{00000000-0005-0000-0000-000070BC0000}"/>
    <cellStyle name="Normal 5 2 2 2 6 3" xfId="10215" xr:uid="{00000000-0005-0000-0000-000071BC0000}"/>
    <cellStyle name="Normal 5 2 2 2 6 3 2" xfId="17005" xr:uid="{00000000-0005-0000-0000-000072BC0000}"/>
    <cellStyle name="Normal 5 2 2 2 6 3 2 2" xfId="30573" xr:uid="{00000000-0005-0000-0000-000073BC0000}"/>
    <cellStyle name="Normal 5 2 2 2 6 3 2 2 2" xfId="57706" xr:uid="{00000000-0005-0000-0000-000074BC0000}"/>
    <cellStyle name="Normal 5 2 2 2 6 3 2 3" xfId="44144" xr:uid="{00000000-0005-0000-0000-000075BC0000}"/>
    <cellStyle name="Normal 5 2 2 2 6 3 3" xfId="23792" xr:uid="{00000000-0005-0000-0000-000076BC0000}"/>
    <cellStyle name="Normal 5 2 2 2 6 3 3 2" xfId="50925" xr:uid="{00000000-0005-0000-0000-000077BC0000}"/>
    <cellStyle name="Normal 5 2 2 2 6 3 4" xfId="37363" xr:uid="{00000000-0005-0000-0000-000078BC0000}"/>
    <cellStyle name="Normal 5 2 2 2 6 4" xfId="13616" xr:uid="{00000000-0005-0000-0000-000079BC0000}"/>
    <cellStyle name="Normal 5 2 2 2 6 4 2" xfId="27184" xr:uid="{00000000-0005-0000-0000-00007ABC0000}"/>
    <cellStyle name="Normal 5 2 2 2 6 4 2 2" xfId="54317" xr:uid="{00000000-0005-0000-0000-00007BBC0000}"/>
    <cellStyle name="Normal 5 2 2 2 6 4 3" xfId="40755" xr:uid="{00000000-0005-0000-0000-00007CBC0000}"/>
    <cellStyle name="Normal 5 2 2 2 6 5" xfId="20403" xr:uid="{00000000-0005-0000-0000-00007DBC0000}"/>
    <cellStyle name="Normal 5 2 2 2 6 5 2" xfId="47536" xr:uid="{00000000-0005-0000-0000-00007EBC0000}"/>
    <cellStyle name="Normal 5 2 2 2 6 6" xfId="33974" xr:uid="{00000000-0005-0000-0000-00007FBC0000}"/>
    <cellStyle name="Normal 5 2 2 2 7" xfId="6685" xr:uid="{00000000-0005-0000-0000-000080BC0000}"/>
    <cellStyle name="Normal 5 2 2 2 7 2" xfId="10217" xr:uid="{00000000-0005-0000-0000-000081BC0000}"/>
    <cellStyle name="Normal 5 2 2 2 7 2 2" xfId="17007" xr:uid="{00000000-0005-0000-0000-000082BC0000}"/>
    <cellStyle name="Normal 5 2 2 2 7 2 2 2" xfId="30575" xr:uid="{00000000-0005-0000-0000-000083BC0000}"/>
    <cellStyle name="Normal 5 2 2 2 7 2 2 2 2" xfId="57708" xr:uid="{00000000-0005-0000-0000-000084BC0000}"/>
    <cellStyle name="Normal 5 2 2 2 7 2 2 3" xfId="44146" xr:uid="{00000000-0005-0000-0000-000085BC0000}"/>
    <cellStyle name="Normal 5 2 2 2 7 2 3" xfId="23794" xr:uid="{00000000-0005-0000-0000-000086BC0000}"/>
    <cellStyle name="Normal 5 2 2 2 7 2 3 2" xfId="50927" xr:uid="{00000000-0005-0000-0000-000087BC0000}"/>
    <cellStyle name="Normal 5 2 2 2 7 2 4" xfId="37365" xr:uid="{00000000-0005-0000-0000-000088BC0000}"/>
    <cellStyle name="Normal 5 2 2 2 7 3" xfId="13618" xr:uid="{00000000-0005-0000-0000-000089BC0000}"/>
    <cellStyle name="Normal 5 2 2 2 7 3 2" xfId="27186" xr:uid="{00000000-0005-0000-0000-00008ABC0000}"/>
    <cellStyle name="Normal 5 2 2 2 7 3 2 2" xfId="54319" xr:uid="{00000000-0005-0000-0000-00008BBC0000}"/>
    <cellStyle name="Normal 5 2 2 2 7 3 3" xfId="40757" xr:uid="{00000000-0005-0000-0000-00008CBC0000}"/>
    <cellStyle name="Normal 5 2 2 2 7 4" xfId="20405" xr:uid="{00000000-0005-0000-0000-00008DBC0000}"/>
    <cellStyle name="Normal 5 2 2 2 7 4 2" xfId="47538" xr:uid="{00000000-0005-0000-0000-00008EBC0000}"/>
    <cellStyle name="Normal 5 2 2 2 7 5" xfId="33976" xr:uid="{00000000-0005-0000-0000-00008FBC0000}"/>
    <cellStyle name="Normal 5 2 2 2 8" xfId="6686" xr:uid="{00000000-0005-0000-0000-000090BC0000}"/>
    <cellStyle name="Normal 5 2 2 2 8 2" xfId="10218" xr:uid="{00000000-0005-0000-0000-000091BC0000}"/>
    <cellStyle name="Normal 5 2 2 2 8 2 2" xfId="17008" xr:uid="{00000000-0005-0000-0000-000092BC0000}"/>
    <cellStyle name="Normal 5 2 2 2 8 2 2 2" xfId="30576" xr:uid="{00000000-0005-0000-0000-000093BC0000}"/>
    <cellStyle name="Normal 5 2 2 2 8 2 2 2 2" xfId="57709" xr:uid="{00000000-0005-0000-0000-000094BC0000}"/>
    <cellStyle name="Normal 5 2 2 2 8 2 2 3" xfId="44147" xr:uid="{00000000-0005-0000-0000-000095BC0000}"/>
    <cellStyle name="Normal 5 2 2 2 8 2 3" xfId="23795" xr:uid="{00000000-0005-0000-0000-000096BC0000}"/>
    <cellStyle name="Normal 5 2 2 2 8 2 3 2" xfId="50928" xr:uid="{00000000-0005-0000-0000-000097BC0000}"/>
    <cellStyle name="Normal 5 2 2 2 8 2 4" xfId="37366" xr:uid="{00000000-0005-0000-0000-000098BC0000}"/>
    <cellStyle name="Normal 5 2 2 2 8 3" xfId="13619" xr:uid="{00000000-0005-0000-0000-000099BC0000}"/>
    <cellStyle name="Normal 5 2 2 2 8 3 2" xfId="27187" xr:uid="{00000000-0005-0000-0000-00009ABC0000}"/>
    <cellStyle name="Normal 5 2 2 2 8 3 2 2" xfId="54320" xr:uid="{00000000-0005-0000-0000-00009BBC0000}"/>
    <cellStyle name="Normal 5 2 2 2 8 3 3" xfId="40758" xr:uid="{00000000-0005-0000-0000-00009CBC0000}"/>
    <cellStyle name="Normal 5 2 2 2 8 4" xfId="20406" xr:uid="{00000000-0005-0000-0000-00009DBC0000}"/>
    <cellStyle name="Normal 5 2 2 2 8 4 2" xfId="47539" xr:uid="{00000000-0005-0000-0000-00009EBC0000}"/>
    <cellStyle name="Normal 5 2 2 2 8 5" xfId="33977" xr:uid="{00000000-0005-0000-0000-00009FBC0000}"/>
    <cellStyle name="Normal 5 2 2 2 9" xfId="10181" xr:uid="{00000000-0005-0000-0000-0000A0BC0000}"/>
    <cellStyle name="Normal 5 2 2 2 9 2" xfId="16971" xr:uid="{00000000-0005-0000-0000-0000A1BC0000}"/>
    <cellStyle name="Normal 5 2 2 2 9 2 2" xfId="30539" xr:uid="{00000000-0005-0000-0000-0000A2BC0000}"/>
    <cellStyle name="Normal 5 2 2 2 9 2 2 2" xfId="57672" xr:uid="{00000000-0005-0000-0000-0000A3BC0000}"/>
    <cellStyle name="Normal 5 2 2 2 9 2 3" xfId="44110" xr:uid="{00000000-0005-0000-0000-0000A4BC0000}"/>
    <cellStyle name="Normal 5 2 2 2 9 3" xfId="23758" xr:uid="{00000000-0005-0000-0000-0000A5BC0000}"/>
    <cellStyle name="Normal 5 2 2 2 9 3 2" xfId="50891" xr:uid="{00000000-0005-0000-0000-0000A6BC0000}"/>
    <cellStyle name="Normal 5 2 2 2 9 4" xfId="37329" xr:uid="{00000000-0005-0000-0000-0000A7BC0000}"/>
    <cellStyle name="Normal 5 2 2 3" xfId="6687" xr:uid="{00000000-0005-0000-0000-0000A8BC0000}"/>
    <cellStyle name="Normal 5 2 2 3 10" xfId="33978" xr:uid="{00000000-0005-0000-0000-0000A9BC0000}"/>
    <cellStyle name="Normal 5 2 2 3 2" xfId="6688" xr:uid="{00000000-0005-0000-0000-0000AABC0000}"/>
    <cellStyle name="Normal 5 2 2 3 2 2" xfId="6689" xr:uid="{00000000-0005-0000-0000-0000ABBC0000}"/>
    <cellStyle name="Normal 5 2 2 3 2 2 2" xfId="6690" xr:uid="{00000000-0005-0000-0000-0000ACBC0000}"/>
    <cellStyle name="Normal 5 2 2 3 2 2 2 2" xfId="10222" xr:uid="{00000000-0005-0000-0000-0000ADBC0000}"/>
    <cellStyle name="Normal 5 2 2 3 2 2 2 2 2" xfId="17012" xr:uid="{00000000-0005-0000-0000-0000AEBC0000}"/>
    <cellStyle name="Normal 5 2 2 3 2 2 2 2 2 2" xfId="30580" xr:uid="{00000000-0005-0000-0000-0000AFBC0000}"/>
    <cellStyle name="Normal 5 2 2 3 2 2 2 2 2 2 2" xfId="57713" xr:uid="{00000000-0005-0000-0000-0000B0BC0000}"/>
    <cellStyle name="Normal 5 2 2 3 2 2 2 2 2 3" xfId="44151" xr:uid="{00000000-0005-0000-0000-0000B1BC0000}"/>
    <cellStyle name="Normal 5 2 2 3 2 2 2 2 3" xfId="23799" xr:uid="{00000000-0005-0000-0000-0000B2BC0000}"/>
    <cellStyle name="Normal 5 2 2 3 2 2 2 2 3 2" xfId="50932" xr:uid="{00000000-0005-0000-0000-0000B3BC0000}"/>
    <cellStyle name="Normal 5 2 2 3 2 2 2 2 4" xfId="37370" xr:uid="{00000000-0005-0000-0000-0000B4BC0000}"/>
    <cellStyle name="Normal 5 2 2 3 2 2 2 3" xfId="13623" xr:uid="{00000000-0005-0000-0000-0000B5BC0000}"/>
    <cellStyle name="Normal 5 2 2 3 2 2 2 3 2" xfId="27191" xr:uid="{00000000-0005-0000-0000-0000B6BC0000}"/>
    <cellStyle name="Normal 5 2 2 3 2 2 2 3 2 2" xfId="54324" xr:uid="{00000000-0005-0000-0000-0000B7BC0000}"/>
    <cellStyle name="Normal 5 2 2 3 2 2 2 3 3" xfId="40762" xr:uid="{00000000-0005-0000-0000-0000B8BC0000}"/>
    <cellStyle name="Normal 5 2 2 3 2 2 2 4" xfId="20410" xr:uid="{00000000-0005-0000-0000-0000B9BC0000}"/>
    <cellStyle name="Normal 5 2 2 3 2 2 2 4 2" xfId="47543" xr:uid="{00000000-0005-0000-0000-0000BABC0000}"/>
    <cellStyle name="Normal 5 2 2 3 2 2 2 5" xfId="33981" xr:uid="{00000000-0005-0000-0000-0000BBBC0000}"/>
    <cellStyle name="Normal 5 2 2 3 2 2 3" xfId="6691" xr:uid="{00000000-0005-0000-0000-0000BCBC0000}"/>
    <cellStyle name="Normal 5 2 2 3 2 2 3 2" xfId="10223" xr:uid="{00000000-0005-0000-0000-0000BDBC0000}"/>
    <cellStyle name="Normal 5 2 2 3 2 2 3 2 2" xfId="17013" xr:uid="{00000000-0005-0000-0000-0000BEBC0000}"/>
    <cellStyle name="Normal 5 2 2 3 2 2 3 2 2 2" xfId="30581" xr:uid="{00000000-0005-0000-0000-0000BFBC0000}"/>
    <cellStyle name="Normal 5 2 2 3 2 2 3 2 2 2 2" xfId="57714" xr:uid="{00000000-0005-0000-0000-0000C0BC0000}"/>
    <cellStyle name="Normal 5 2 2 3 2 2 3 2 2 3" xfId="44152" xr:uid="{00000000-0005-0000-0000-0000C1BC0000}"/>
    <cellStyle name="Normal 5 2 2 3 2 2 3 2 3" xfId="23800" xr:uid="{00000000-0005-0000-0000-0000C2BC0000}"/>
    <cellStyle name="Normal 5 2 2 3 2 2 3 2 3 2" xfId="50933" xr:uid="{00000000-0005-0000-0000-0000C3BC0000}"/>
    <cellStyle name="Normal 5 2 2 3 2 2 3 2 4" xfId="37371" xr:uid="{00000000-0005-0000-0000-0000C4BC0000}"/>
    <cellStyle name="Normal 5 2 2 3 2 2 3 3" xfId="13624" xr:uid="{00000000-0005-0000-0000-0000C5BC0000}"/>
    <cellStyle name="Normal 5 2 2 3 2 2 3 3 2" xfId="27192" xr:uid="{00000000-0005-0000-0000-0000C6BC0000}"/>
    <cellStyle name="Normal 5 2 2 3 2 2 3 3 2 2" xfId="54325" xr:uid="{00000000-0005-0000-0000-0000C7BC0000}"/>
    <cellStyle name="Normal 5 2 2 3 2 2 3 3 3" xfId="40763" xr:uid="{00000000-0005-0000-0000-0000C8BC0000}"/>
    <cellStyle name="Normal 5 2 2 3 2 2 3 4" xfId="20411" xr:uid="{00000000-0005-0000-0000-0000C9BC0000}"/>
    <cellStyle name="Normal 5 2 2 3 2 2 3 4 2" xfId="47544" xr:uid="{00000000-0005-0000-0000-0000CABC0000}"/>
    <cellStyle name="Normal 5 2 2 3 2 2 3 5" xfId="33982" xr:uid="{00000000-0005-0000-0000-0000CBBC0000}"/>
    <cellStyle name="Normal 5 2 2 3 2 2 4" xfId="10221" xr:uid="{00000000-0005-0000-0000-0000CCBC0000}"/>
    <cellStyle name="Normal 5 2 2 3 2 2 4 2" xfId="17011" xr:uid="{00000000-0005-0000-0000-0000CDBC0000}"/>
    <cellStyle name="Normal 5 2 2 3 2 2 4 2 2" xfId="30579" xr:uid="{00000000-0005-0000-0000-0000CEBC0000}"/>
    <cellStyle name="Normal 5 2 2 3 2 2 4 2 2 2" xfId="57712" xr:uid="{00000000-0005-0000-0000-0000CFBC0000}"/>
    <cellStyle name="Normal 5 2 2 3 2 2 4 2 3" xfId="44150" xr:uid="{00000000-0005-0000-0000-0000D0BC0000}"/>
    <cellStyle name="Normal 5 2 2 3 2 2 4 3" xfId="23798" xr:uid="{00000000-0005-0000-0000-0000D1BC0000}"/>
    <cellStyle name="Normal 5 2 2 3 2 2 4 3 2" xfId="50931" xr:uid="{00000000-0005-0000-0000-0000D2BC0000}"/>
    <cellStyle name="Normal 5 2 2 3 2 2 4 4" xfId="37369" xr:uid="{00000000-0005-0000-0000-0000D3BC0000}"/>
    <cellStyle name="Normal 5 2 2 3 2 2 5" xfId="13622" xr:uid="{00000000-0005-0000-0000-0000D4BC0000}"/>
    <cellStyle name="Normal 5 2 2 3 2 2 5 2" xfId="27190" xr:uid="{00000000-0005-0000-0000-0000D5BC0000}"/>
    <cellStyle name="Normal 5 2 2 3 2 2 5 2 2" xfId="54323" xr:uid="{00000000-0005-0000-0000-0000D6BC0000}"/>
    <cellStyle name="Normal 5 2 2 3 2 2 5 3" xfId="40761" xr:uid="{00000000-0005-0000-0000-0000D7BC0000}"/>
    <cellStyle name="Normal 5 2 2 3 2 2 6" xfId="20409" xr:uid="{00000000-0005-0000-0000-0000D8BC0000}"/>
    <cellStyle name="Normal 5 2 2 3 2 2 6 2" xfId="47542" xr:uid="{00000000-0005-0000-0000-0000D9BC0000}"/>
    <cellStyle name="Normal 5 2 2 3 2 2 7" xfId="33980" xr:uid="{00000000-0005-0000-0000-0000DABC0000}"/>
    <cellStyle name="Normal 5 2 2 3 2 3" xfId="6692" xr:uid="{00000000-0005-0000-0000-0000DBBC0000}"/>
    <cellStyle name="Normal 5 2 2 3 2 3 2" xfId="6693" xr:uid="{00000000-0005-0000-0000-0000DCBC0000}"/>
    <cellStyle name="Normal 5 2 2 3 2 3 2 2" xfId="10225" xr:uid="{00000000-0005-0000-0000-0000DDBC0000}"/>
    <cellStyle name="Normal 5 2 2 3 2 3 2 2 2" xfId="17015" xr:uid="{00000000-0005-0000-0000-0000DEBC0000}"/>
    <cellStyle name="Normal 5 2 2 3 2 3 2 2 2 2" xfId="30583" xr:uid="{00000000-0005-0000-0000-0000DFBC0000}"/>
    <cellStyle name="Normal 5 2 2 3 2 3 2 2 2 2 2" xfId="57716" xr:uid="{00000000-0005-0000-0000-0000E0BC0000}"/>
    <cellStyle name="Normal 5 2 2 3 2 3 2 2 2 3" xfId="44154" xr:uid="{00000000-0005-0000-0000-0000E1BC0000}"/>
    <cellStyle name="Normal 5 2 2 3 2 3 2 2 3" xfId="23802" xr:uid="{00000000-0005-0000-0000-0000E2BC0000}"/>
    <cellStyle name="Normal 5 2 2 3 2 3 2 2 3 2" xfId="50935" xr:uid="{00000000-0005-0000-0000-0000E3BC0000}"/>
    <cellStyle name="Normal 5 2 2 3 2 3 2 2 4" xfId="37373" xr:uid="{00000000-0005-0000-0000-0000E4BC0000}"/>
    <cellStyle name="Normal 5 2 2 3 2 3 2 3" xfId="13626" xr:uid="{00000000-0005-0000-0000-0000E5BC0000}"/>
    <cellStyle name="Normal 5 2 2 3 2 3 2 3 2" xfId="27194" xr:uid="{00000000-0005-0000-0000-0000E6BC0000}"/>
    <cellStyle name="Normal 5 2 2 3 2 3 2 3 2 2" xfId="54327" xr:uid="{00000000-0005-0000-0000-0000E7BC0000}"/>
    <cellStyle name="Normal 5 2 2 3 2 3 2 3 3" xfId="40765" xr:uid="{00000000-0005-0000-0000-0000E8BC0000}"/>
    <cellStyle name="Normal 5 2 2 3 2 3 2 4" xfId="20413" xr:uid="{00000000-0005-0000-0000-0000E9BC0000}"/>
    <cellStyle name="Normal 5 2 2 3 2 3 2 4 2" xfId="47546" xr:uid="{00000000-0005-0000-0000-0000EABC0000}"/>
    <cellStyle name="Normal 5 2 2 3 2 3 2 5" xfId="33984" xr:uid="{00000000-0005-0000-0000-0000EBBC0000}"/>
    <cellStyle name="Normal 5 2 2 3 2 3 3" xfId="10224" xr:uid="{00000000-0005-0000-0000-0000ECBC0000}"/>
    <cellStyle name="Normal 5 2 2 3 2 3 3 2" xfId="17014" xr:uid="{00000000-0005-0000-0000-0000EDBC0000}"/>
    <cellStyle name="Normal 5 2 2 3 2 3 3 2 2" xfId="30582" xr:uid="{00000000-0005-0000-0000-0000EEBC0000}"/>
    <cellStyle name="Normal 5 2 2 3 2 3 3 2 2 2" xfId="57715" xr:uid="{00000000-0005-0000-0000-0000EFBC0000}"/>
    <cellStyle name="Normal 5 2 2 3 2 3 3 2 3" xfId="44153" xr:uid="{00000000-0005-0000-0000-0000F0BC0000}"/>
    <cellStyle name="Normal 5 2 2 3 2 3 3 3" xfId="23801" xr:uid="{00000000-0005-0000-0000-0000F1BC0000}"/>
    <cellStyle name="Normal 5 2 2 3 2 3 3 3 2" xfId="50934" xr:uid="{00000000-0005-0000-0000-0000F2BC0000}"/>
    <cellStyle name="Normal 5 2 2 3 2 3 3 4" xfId="37372" xr:uid="{00000000-0005-0000-0000-0000F3BC0000}"/>
    <cellStyle name="Normal 5 2 2 3 2 3 4" xfId="13625" xr:uid="{00000000-0005-0000-0000-0000F4BC0000}"/>
    <cellStyle name="Normal 5 2 2 3 2 3 4 2" xfId="27193" xr:uid="{00000000-0005-0000-0000-0000F5BC0000}"/>
    <cellStyle name="Normal 5 2 2 3 2 3 4 2 2" xfId="54326" xr:uid="{00000000-0005-0000-0000-0000F6BC0000}"/>
    <cellStyle name="Normal 5 2 2 3 2 3 4 3" xfId="40764" xr:uid="{00000000-0005-0000-0000-0000F7BC0000}"/>
    <cellStyle name="Normal 5 2 2 3 2 3 5" xfId="20412" xr:uid="{00000000-0005-0000-0000-0000F8BC0000}"/>
    <cellStyle name="Normal 5 2 2 3 2 3 5 2" xfId="47545" xr:uid="{00000000-0005-0000-0000-0000F9BC0000}"/>
    <cellStyle name="Normal 5 2 2 3 2 3 6" xfId="33983" xr:uid="{00000000-0005-0000-0000-0000FABC0000}"/>
    <cellStyle name="Normal 5 2 2 3 2 4" xfId="6694" xr:uid="{00000000-0005-0000-0000-0000FBBC0000}"/>
    <cellStyle name="Normal 5 2 2 3 2 4 2" xfId="10226" xr:uid="{00000000-0005-0000-0000-0000FCBC0000}"/>
    <cellStyle name="Normal 5 2 2 3 2 4 2 2" xfId="17016" xr:uid="{00000000-0005-0000-0000-0000FDBC0000}"/>
    <cellStyle name="Normal 5 2 2 3 2 4 2 2 2" xfId="30584" xr:uid="{00000000-0005-0000-0000-0000FEBC0000}"/>
    <cellStyle name="Normal 5 2 2 3 2 4 2 2 2 2" xfId="57717" xr:uid="{00000000-0005-0000-0000-0000FFBC0000}"/>
    <cellStyle name="Normal 5 2 2 3 2 4 2 2 3" xfId="44155" xr:uid="{00000000-0005-0000-0000-000000BD0000}"/>
    <cellStyle name="Normal 5 2 2 3 2 4 2 3" xfId="23803" xr:uid="{00000000-0005-0000-0000-000001BD0000}"/>
    <cellStyle name="Normal 5 2 2 3 2 4 2 3 2" xfId="50936" xr:uid="{00000000-0005-0000-0000-000002BD0000}"/>
    <cellStyle name="Normal 5 2 2 3 2 4 2 4" xfId="37374" xr:uid="{00000000-0005-0000-0000-000003BD0000}"/>
    <cellStyle name="Normal 5 2 2 3 2 4 3" xfId="13627" xr:uid="{00000000-0005-0000-0000-000004BD0000}"/>
    <cellStyle name="Normal 5 2 2 3 2 4 3 2" xfId="27195" xr:uid="{00000000-0005-0000-0000-000005BD0000}"/>
    <cellStyle name="Normal 5 2 2 3 2 4 3 2 2" xfId="54328" xr:uid="{00000000-0005-0000-0000-000006BD0000}"/>
    <cellStyle name="Normal 5 2 2 3 2 4 3 3" xfId="40766" xr:uid="{00000000-0005-0000-0000-000007BD0000}"/>
    <cellStyle name="Normal 5 2 2 3 2 4 4" xfId="20414" xr:uid="{00000000-0005-0000-0000-000008BD0000}"/>
    <cellStyle name="Normal 5 2 2 3 2 4 4 2" xfId="47547" xr:uid="{00000000-0005-0000-0000-000009BD0000}"/>
    <cellStyle name="Normal 5 2 2 3 2 4 5" xfId="33985" xr:uid="{00000000-0005-0000-0000-00000ABD0000}"/>
    <cellStyle name="Normal 5 2 2 3 2 5" xfId="6695" xr:uid="{00000000-0005-0000-0000-00000BBD0000}"/>
    <cellStyle name="Normal 5 2 2 3 2 5 2" xfId="10227" xr:uid="{00000000-0005-0000-0000-00000CBD0000}"/>
    <cellStyle name="Normal 5 2 2 3 2 5 2 2" xfId="17017" xr:uid="{00000000-0005-0000-0000-00000DBD0000}"/>
    <cellStyle name="Normal 5 2 2 3 2 5 2 2 2" xfId="30585" xr:uid="{00000000-0005-0000-0000-00000EBD0000}"/>
    <cellStyle name="Normal 5 2 2 3 2 5 2 2 2 2" xfId="57718" xr:uid="{00000000-0005-0000-0000-00000FBD0000}"/>
    <cellStyle name="Normal 5 2 2 3 2 5 2 2 3" xfId="44156" xr:uid="{00000000-0005-0000-0000-000010BD0000}"/>
    <cellStyle name="Normal 5 2 2 3 2 5 2 3" xfId="23804" xr:uid="{00000000-0005-0000-0000-000011BD0000}"/>
    <cellStyle name="Normal 5 2 2 3 2 5 2 3 2" xfId="50937" xr:uid="{00000000-0005-0000-0000-000012BD0000}"/>
    <cellStyle name="Normal 5 2 2 3 2 5 2 4" xfId="37375" xr:uid="{00000000-0005-0000-0000-000013BD0000}"/>
    <cellStyle name="Normal 5 2 2 3 2 5 3" xfId="13628" xr:uid="{00000000-0005-0000-0000-000014BD0000}"/>
    <cellStyle name="Normal 5 2 2 3 2 5 3 2" xfId="27196" xr:uid="{00000000-0005-0000-0000-000015BD0000}"/>
    <cellStyle name="Normal 5 2 2 3 2 5 3 2 2" xfId="54329" xr:uid="{00000000-0005-0000-0000-000016BD0000}"/>
    <cellStyle name="Normal 5 2 2 3 2 5 3 3" xfId="40767" xr:uid="{00000000-0005-0000-0000-000017BD0000}"/>
    <cellStyle name="Normal 5 2 2 3 2 5 4" xfId="20415" xr:uid="{00000000-0005-0000-0000-000018BD0000}"/>
    <cellStyle name="Normal 5 2 2 3 2 5 4 2" xfId="47548" xr:uid="{00000000-0005-0000-0000-000019BD0000}"/>
    <cellStyle name="Normal 5 2 2 3 2 5 5" xfId="33986" xr:uid="{00000000-0005-0000-0000-00001ABD0000}"/>
    <cellStyle name="Normal 5 2 2 3 2 6" xfId="10220" xr:uid="{00000000-0005-0000-0000-00001BBD0000}"/>
    <cellStyle name="Normal 5 2 2 3 2 6 2" xfId="17010" xr:uid="{00000000-0005-0000-0000-00001CBD0000}"/>
    <cellStyle name="Normal 5 2 2 3 2 6 2 2" xfId="30578" xr:uid="{00000000-0005-0000-0000-00001DBD0000}"/>
    <cellStyle name="Normal 5 2 2 3 2 6 2 2 2" xfId="57711" xr:uid="{00000000-0005-0000-0000-00001EBD0000}"/>
    <cellStyle name="Normal 5 2 2 3 2 6 2 3" xfId="44149" xr:uid="{00000000-0005-0000-0000-00001FBD0000}"/>
    <cellStyle name="Normal 5 2 2 3 2 6 3" xfId="23797" xr:uid="{00000000-0005-0000-0000-000020BD0000}"/>
    <cellStyle name="Normal 5 2 2 3 2 6 3 2" xfId="50930" xr:uid="{00000000-0005-0000-0000-000021BD0000}"/>
    <cellStyle name="Normal 5 2 2 3 2 6 4" xfId="37368" xr:uid="{00000000-0005-0000-0000-000022BD0000}"/>
    <cellStyle name="Normal 5 2 2 3 2 7" xfId="13621" xr:uid="{00000000-0005-0000-0000-000023BD0000}"/>
    <cellStyle name="Normal 5 2 2 3 2 7 2" xfId="27189" xr:uid="{00000000-0005-0000-0000-000024BD0000}"/>
    <cellStyle name="Normal 5 2 2 3 2 7 2 2" xfId="54322" xr:uid="{00000000-0005-0000-0000-000025BD0000}"/>
    <cellStyle name="Normal 5 2 2 3 2 7 3" xfId="40760" xr:uid="{00000000-0005-0000-0000-000026BD0000}"/>
    <cellStyle name="Normal 5 2 2 3 2 8" xfId="20408" xr:uid="{00000000-0005-0000-0000-000027BD0000}"/>
    <cellStyle name="Normal 5 2 2 3 2 8 2" xfId="47541" xr:uid="{00000000-0005-0000-0000-000028BD0000}"/>
    <cellStyle name="Normal 5 2 2 3 2 9" xfId="33979" xr:uid="{00000000-0005-0000-0000-000029BD0000}"/>
    <cellStyle name="Normal 5 2 2 3 3" xfId="6696" xr:uid="{00000000-0005-0000-0000-00002ABD0000}"/>
    <cellStyle name="Normal 5 2 2 3 3 2" xfId="6697" xr:uid="{00000000-0005-0000-0000-00002BBD0000}"/>
    <cellStyle name="Normal 5 2 2 3 3 2 2" xfId="10229" xr:uid="{00000000-0005-0000-0000-00002CBD0000}"/>
    <cellStyle name="Normal 5 2 2 3 3 2 2 2" xfId="17019" xr:uid="{00000000-0005-0000-0000-00002DBD0000}"/>
    <cellStyle name="Normal 5 2 2 3 3 2 2 2 2" xfId="30587" xr:uid="{00000000-0005-0000-0000-00002EBD0000}"/>
    <cellStyle name="Normal 5 2 2 3 3 2 2 2 2 2" xfId="57720" xr:uid="{00000000-0005-0000-0000-00002FBD0000}"/>
    <cellStyle name="Normal 5 2 2 3 3 2 2 2 3" xfId="44158" xr:uid="{00000000-0005-0000-0000-000030BD0000}"/>
    <cellStyle name="Normal 5 2 2 3 3 2 2 3" xfId="23806" xr:uid="{00000000-0005-0000-0000-000031BD0000}"/>
    <cellStyle name="Normal 5 2 2 3 3 2 2 3 2" xfId="50939" xr:uid="{00000000-0005-0000-0000-000032BD0000}"/>
    <cellStyle name="Normal 5 2 2 3 3 2 2 4" xfId="37377" xr:uid="{00000000-0005-0000-0000-000033BD0000}"/>
    <cellStyle name="Normal 5 2 2 3 3 2 3" xfId="13630" xr:uid="{00000000-0005-0000-0000-000034BD0000}"/>
    <cellStyle name="Normal 5 2 2 3 3 2 3 2" xfId="27198" xr:uid="{00000000-0005-0000-0000-000035BD0000}"/>
    <cellStyle name="Normal 5 2 2 3 3 2 3 2 2" xfId="54331" xr:uid="{00000000-0005-0000-0000-000036BD0000}"/>
    <cellStyle name="Normal 5 2 2 3 3 2 3 3" xfId="40769" xr:uid="{00000000-0005-0000-0000-000037BD0000}"/>
    <cellStyle name="Normal 5 2 2 3 3 2 4" xfId="20417" xr:uid="{00000000-0005-0000-0000-000038BD0000}"/>
    <cellStyle name="Normal 5 2 2 3 3 2 4 2" xfId="47550" xr:uid="{00000000-0005-0000-0000-000039BD0000}"/>
    <cellStyle name="Normal 5 2 2 3 3 2 5" xfId="33988" xr:uid="{00000000-0005-0000-0000-00003ABD0000}"/>
    <cellStyle name="Normal 5 2 2 3 3 3" xfId="6698" xr:uid="{00000000-0005-0000-0000-00003BBD0000}"/>
    <cellStyle name="Normal 5 2 2 3 3 3 2" xfId="10230" xr:uid="{00000000-0005-0000-0000-00003CBD0000}"/>
    <cellStyle name="Normal 5 2 2 3 3 3 2 2" xfId="17020" xr:uid="{00000000-0005-0000-0000-00003DBD0000}"/>
    <cellStyle name="Normal 5 2 2 3 3 3 2 2 2" xfId="30588" xr:uid="{00000000-0005-0000-0000-00003EBD0000}"/>
    <cellStyle name="Normal 5 2 2 3 3 3 2 2 2 2" xfId="57721" xr:uid="{00000000-0005-0000-0000-00003FBD0000}"/>
    <cellStyle name="Normal 5 2 2 3 3 3 2 2 3" xfId="44159" xr:uid="{00000000-0005-0000-0000-000040BD0000}"/>
    <cellStyle name="Normal 5 2 2 3 3 3 2 3" xfId="23807" xr:uid="{00000000-0005-0000-0000-000041BD0000}"/>
    <cellStyle name="Normal 5 2 2 3 3 3 2 3 2" xfId="50940" xr:uid="{00000000-0005-0000-0000-000042BD0000}"/>
    <cellStyle name="Normal 5 2 2 3 3 3 2 4" xfId="37378" xr:uid="{00000000-0005-0000-0000-000043BD0000}"/>
    <cellStyle name="Normal 5 2 2 3 3 3 3" xfId="13631" xr:uid="{00000000-0005-0000-0000-000044BD0000}"/>
    <cellStyle name="Normal 5 2 2 3 3 3 3 2" xfId="27199" xr:uid="{00000000-0005-0000-0000-000045BD0000}"/>
    <cellStyle name="Normal 5 2 2 3 3 3 3 2 2" xfId="54332" xr:uid="{00000000-0005-0000-0000-000046BD0000}"/>
    <cellStyle name="Normal 5 2 2 3 3 3 3 3" xfId="40770" xr:uid="{00000000-0005-0000-0000-000047BD0000}"/>
    <cellStyle name="Normal 5 2 2 3 3 3 4" xfId="20418" xr:uid="{00000000-0005-0000-0000-000048BD0000}"/>
    <cellStyle name="Normal 5 2 2 3 3 3 4 2" xfId="47551" xr:uid="{00000000-0005-0000-0000-000049BD0000}"/>
    <cellStyle name="Normal 5 2 2 3 3 3 5" xfId="33989" xr:uid="{00000000-0005-0000-0000-00004ABD0000}"/>
    <cellStyle name="Normal 5 2 2 3 3 4" xfId="10228" xr:uid="{00000000-0005-0000-0000-00004BBD0000}"/>
    <cellStyle name="Normal 5 2 2 3 3 4 2" xfId="17018" xr:uid="{00000000-0005-0000-0000-00004CBD0000}"/>
    <cellStyle name="Normal 5 2 2 3 3 4 2 2" xfId="30586" xr:uid="{00000000-0005-0000-0000-00004DBD0000}"/>
    <cellStyle name="Normal 5 2 2 3 3 4 2 2 2" xfId="57719" xr:uid="{00000000-0005-0000-0000-00004EBD0000}"/>
    <cellStyle name="Normal 5 2 2 3 3 4 2 3" xfId="44157" xr:uid="{00000000-0005-0000-0000-00004FBD0000}"/>
    <cellStyle name="Normal 5 2 2 3 3 4 3" xfId="23805" xr:uid="{00000000-0005-0000-0000-000050BD0000}"/>
    <cellStyle name="Normal 5 2 2 3 3 4 3 2" xfId="50938" xr:uid="{00000000-0005-0000-0000-000051BD0000}"/>
    <cellStyle name="Normal 5 2 2 3 3 4 4" xfId="37376" xr:uid="{00000000-0005-0000-0000-000052BD0000}"/>
    <cellStyle name="Normal 5 2 2 3 3 5" xfId="13629" xr:uid="{00000000-0005-0000-0000-000053BD0000}"/>
    <cellStyle name="Normal 5 2 2 3 3 5 2" xfId="27197" xr:uid="{00000000-0005-0000-0000-000054BD0000}"/>
    <cellStyle name="Normal 5 2 2 3 3 5 2 2" xfId="54330" xr:uid="{00000000-0005-0000-0000-000055BD0000}"/>
    <cellStyle name="Normal 5 2 2 3 3 5 3" xfId="40768" xr:uid="{00000000-0005-0000-0000-000056BD0000}"/>
    <cellStyle name="Normal 5 2 2 3 3 6" xfId="20416" xr:uid="{00000000-0005-0000-0000-000057BD0000}"/>
    <cellStyle name="Normal 5 2 2 3 3 6 2" xfId="47549" xr:uid="{00000000-0005-0000-0000-000058BD0000}"/>
    <cellStyle name="Normal 5 2 2 3 3 7" xfId="33987" xr:uid="{00000000-0005-0000-0000-000059BD0000}"/>
    <cellStyle name="Normal 5 2 2 3 4" xfId="6699" xr:uid="{00000000-0005-0000-0000-00005ABD0000}"/>
    <cellStyle name="Normal 5 2 2 3 4 2" xfId="6700" xr:uid="{00000000-0005-0000-0000-00005BBD0000}"/>
    <cellStyle name="Normal 5 2 2 3 4 2 2" xfId="10232" xr:uid="{00000000-0005-0000-0000-00005CBD0000}"/>
    <cellStyle name="Normal 5 2 2 3 4 2 2 2" xfId="17022" xr:uid="{00000000-0005-0000-0000-00005DBD0000}"/>
    <cellStyle name="Normal 5 2 2 3 4 2 2 2 2" xfId="30590" xr:uid="{00000000-0005-0000-0000-00005EBD0000}"/>
    <cellStyle name="Normal 5 2 2 3 4 2 2 2 2 2" xfId="57723" xr:uid="{00000000-0005-0000-0000-00005FBD0000}"/>
    <cellStyle name="Normal 5 2 2 3 4 2 2 2 3" xfId="44161" xr:uid="{00000000-0005-0000-0000-000060BD0000}"/>
    <cellStyle name="Normal 5 2 2 3 4 2 2 3" xfId="23809" xr:uid="{00000000-0005-0000-0000-000061BD0000}"/>
    <cellStyle name="Normal 5 2 2 3 4 2 2 3 2" xfId="50942" xr:uid="{00000000-0005-0000-0000-000062BD0000}"/>
    <cellStyle name="Normal 5 2 2 3 4 2 2 4" xfId="37380" xr:uid="{00000000-0005-0000-0000-000063BD0000}"/>
    <cellStyle name="Normal 5 2 2 3 4 2 3" xfId="13633" xr:uid="{00000000-0005-0000-0000-000064BD0000}"/>
    <cellStyle name="Normal 5 2 2 3 4 2 3 2" xfId="27201" xr:uid="{00000000-0005-0000-0000-000065BD0000}"/>
    <cellStyle name="Normal 5 2 2 3 4 2 3 2 2" xfId="54334" xr:uid="{00000000-0005-0000-0000-000066BD0000}"/>
    <cellStyle name="Normal 5 2 2 3 4 2 3 3" xfId="40772" xr:uid="{00000000-0005-0000-0000-000067BD0000}"/>
    <cellStyle name="Normal 5 2 2 3 4 2 4" xfId="20420" xr:uid="{00000000-0005-0000-0000-000068BD0000}"/>
    <cellStyle name="Normal 5 2 2 3 4 2 4 2" xfId="47553" xr:uid="{00000000-0005-0000-0000-000069BD0000}"/>
    <cellStyle name="Normal 5 2 2 3 4 2 5" xfId="33991" xr:uid="{00000000-0005-0000-0000-00006ABD0000}"/>
    <cellStyle name="Normal 5 2 2 3 4 3" xfId="10231" xr:uid="{00000000-0005-0000-0000-00006BBD0000}"/>
    <cellStyle name="Normal 5 2 2 3 4 3 2" xfId="17021" xr:uid="{00000000-0005-0000-0000-00006CBD0000}"/>
    <cellStyle name="Normal 5 2 2 3 4 3 2 2" xfId="30589" xr:uid="{00000000-0005-0000-0000-00006DBD0000}"/>
    <cellStyle name="Normal 5 2 2 3 4 3 2 2 2" xfId="57722" xr:uid="{00000000-0005-0000-0000-00006EBD0000}"/>
    <cellStyle name="Normal 5 2 2 3 4 3 2 3" xfId="44160" xr:uid="{00000000-0005-0000-0000-00006FBD0000}"/>
    <cellStyle name="Normal 5 2 2 3 4 3 3" xfId="23808" xr:uid="{00000000-0005-0000-0000-000070BD0000}"/>
    <cellStyle name="Normal 5 2 2 3 4 3 3 2" xfId="50941" xr:uid="{00000000-0005-0000-0000-000071BD0000}"/>
    <cellStyle name="Normal 5 2 2 3 4 3 4" xfId="37379" xr:uid="{00000000-0005-0000-0000-000072BD0000}"/>
    <cellStyle name="Normal 5 2 2 3 4 4" xfId="13632" xr:uid="{00000000-0005-0000-0000-000073BD0000}"/>
    <cellStyle name="Normal 5 2 2 3 4 4 2" xfId="27200" xr:uid="{00000000-0005-0000-0000-000074BD0000}"/>
    <cellStyle name="Normal 5 2 2 3 4 4 2 2" xfId="54333" xr:uid="{00000000-0005-0000-0000-000075BD0000}"/>
    <cellStyle name="Normal 5 2 2 3 4 4 3" xfId="40771" xr:uid="{00000000-0005-0000-0000-000076BD0000}"/>
    <cellStyle name="Normal 5 2 2 3 4 5" xfId="20419" xr:uid="{00000000-0005-0000-0000-000077BD0000}"/>
    <cellStyle name="Normal 5 2 2 3 4 5 2" xfId="47552" xr:uid="{00000000-0005-0000-0000-000078BD0000}"/>
    <cellStyle name="Normal 5 2 2 3 4 6" xfId="33990" xr:uid="{00000000-0005-0000-0000-000079BD0000}"/>
    <cellStyle name="Normal 5 2 2 3 5" xfId="6701" xr:uid="{00000000-0005-0000-0000-00007ABD0000}"/>
    <cellStyle name="Normal 5 2 2 3 5 2" xfId="10233" xr:uid="{00000000-0005-0000-0000-00007BBD0000}"/>
    <cellStyle name="Normal 5 2 2 3 5 2 2" xfId="17023" xr:uid="{00000000-0005-0000-0000-00007CBD0000}"/>
    <cellStyle name="Normal 5 2 2 3 5 2 2 2" xfId="30591" xr:uid="{00000000-0005-0000-0000-00007DBD0000}"/>
    <cellStyle name="Normal 5 2 2 3 5 2 2 2 2" xfId="57724" xr:uid="{00000000-0005-0000-0000-00007EBD0000}"/>
    <cellStyle name="Normal 5 2 2 3 5 2 2 3" xfId="44162" xr:uid="{00000000-0005-0000-0000-00007FBD0000}"/>
    <cellStyle name="Normal 5 2 2 3 5 2 3" xfId="23810" xr:uid="{00000000-0005-0000-0000-000080BD0000}"/>
    <cellStyle name="Normal 5 2 2 3 5 2 3 2" xfId="50943" xr:uid="{00000000-0005-0000-0000-000081BD0000}"/>
    <cellStyle name="Normal 5 2 2 3 5 2 4" xfId="37381" xr:uid="{00000000-0005-0000-0000-000082BD0000}"/>
    <cellStyle name="Normal 5 2 2 3 5 3" xfId="13634" xr:uid="{00000000-0005-0000-0000-000083BD0000}"/>
    <cellStyle name="Normal 5 2 2 3 5 3 2" xfId="27202" xr:uid="{00000000-0005-0000-0000-000084BD0000}"/>
    <cellStyle name="Normal 5 2 2 3 5 3 2 2" xfId="54335" xr:uid="{00000000-0005-0000-0000-000085BD0000}"/>
    <cellStyle name="Normal 5 2 2 3 5 3 3" xfId="40773" xr:uid="{00000000-0005-0000-0000-000086BD0000}"/>
    <cellStyle name="Normal 5 2 2 3 5 4" xfId="20421" xr:uid="{00000000-0005-0000-0000-000087BD0000}"/>
    <cellStyle name="Normal 5 2 2 3 5 4 2" xfId="47554" xr:uid="{00000000-0005-0000-0000-000088BD0000}"/>
    <cellStyle name="Normal 5 2 2 3 5 5" xfId="33992" xr:uid="{00000000-0005-0000-0000-000089BD0000}"/>
    <cellStyle name="Normal 5 2 2 3 6" xfId="6702" xr:uid="{00000000-0005-0000-0000-00008ABD0000}"/>
    <cellStyle name="Normal 5 2 2 3 6 2" xfId="10234" xr:uid="{00000000-0005-0000-0000-00008BBD0000}"/>
    <cellStyle name="Normal 5 2 2 3 6 2 2" xfId="17024" xr:uid="{00000000-0005-0000-0000-00008CBD0000}"/>
    <cellStyle name="Normal 5 2 2 3 6 2 2 2" xfId="30592" xr:uid="{00000000-0005-0000-0000-00008DBD0000}"/>
    <cellStyle name="Normal 5 2 2 3 6 2 2 2 2" xfId="57725" xr:uid="{00000000-0005-0000-0000-00008EBD0000}"/>
    <cellStyle name="Normal 5 2 2 3 6 2 2 3" xfId="44163" xr:uid="{00000000-0005-0000-0000-00008FBD0000}"/>
    <cellStyle name="Normal 5 2 2 3 6 2 3" xfId="23811" xr:uid="{00000000-0005-0000-0000-000090BD0000}"/>
    <cellStyle name="Normal 5 2 2 3 6 2 3 2" xfId="50944" xr:uid="{00000000-0005-0000-0000-000091BD0000}"/>
    <cellStyle name="Normal 5 2 2 3 6 2 4" xfId="37382" xr:uid="{00000000-0005-0000-0000-000092BD0000}"/>
    <cellStyle name="Normal 5 2 2 3 6 3" xfId="13635" xr:uid="{00000000-0005-0000-0000-000093BD0000}"/>
    <cellStyle name="Normal 5 2 2 3 6 3 2" xfId="27203" xr:uid="{00000000-0005-0000-0000-000094BD0000}"/>
    <cellStyle name="Normal 5 2 2 3 6 3 2 2" xfId="54336" xr:uid="{00000000-0005-0000-0000-000095BD0000}"/>
    <cellStyle name="Normal 5 2 2 3 6 3 3" xfId="40774" xr:uid="{00000000-0005-0000-0000-000096BD0000}"/>
    <cellStyle name="Normal 5 2 2 3 6 4" xfId="20422" xr:uid="{00000000-0005-0000-0000-000097BD0000}"/>
    <cellStyle name="Normal 5 2 2 3 6 4 2" xfId="47555" xr:uid="{00000000-0005-0000-0000-000098BD0000}"/>
    <cellStyle name="Normal 5 2 2 3 6 5" xfId="33993" xr:uid="{00000000-0005-0000-0000-000099BD0000}"/>
    <cellStyle name="Normal 5 2 2 3 7" xfId="10219" xr:uid="{00000000-0005-0000-0000-00009ABD0000}"/>
    <cellStyle name="Normal 5 2 2 3 7 2" xfId="17009" xr:uid="{00000000-0005-0000-0000-00009BBD0000}"/>
    <cellStyle name="Normal 5 2 2 3 7 2 2" xfId="30577" xr:uid="{00000000-0005-0000-0000-00009CBD0000}"/>
    <cellStyle name="Normal 5 2 2 3 7 2 2 2" xfId="57710" xr:uid="{00000000-0005-0000-0000-00009DBD0000}"/>
    <cellStyle name="Normal 5 2 2 3 7 2 3" xfId="44148" xr:uid="{00000000-0005-0000-0000-00009EBD0000}"/>
    <cellStyle name="Normal 5 2 2 3 7 3" xfId="23796" xr:uid="{00000000-0005-0000-0000-00009FBD0000}"/>
    <cellStyle name="Normal 5 2 2 3 7 3 2" xfId="50929" xr:uid="{00000000-0005-0000-0000-0000A0BD0000}"/>
    <cellStyle name="Normal 5 2 2 3 7 4" xfId="37367" xr:uid="{00000000-0005-0000-0000-0000A1BD0000}"/>
    <cellStyle name="Normal 5 2 2 3 8" xfId="13620" xr:uid="{00000000-0005-0000-0000-0000A2BD0000}"/>
    <cellStyle name="Normal 5 2 2 3 8 2" xfId="27188" xr:uid="{00000000-0005-0000-0000-0000A3BD0000}"/>
    <cellStyle name="Normal 5 2 2 3 8 2 2" xfId="54321" xr:uid="{00000000-0005-0000-0000-0000A4BD0000}"/>
    <cellStyle name="Normal 5 2 2 3 8 3" xfId="40759" xr:uid="{00000000-0005-0000-0000-0000A5BD0000}"/>
    <cellStyle name="Normal 5 2 2 3 9" xfId="20407" xr:uid="{00000000-0005-0000-0000-0000A6BD0000}"/>
    <cellStyle name="Normal 5 2 2 3 9 2" xfId="47540" xr:uid="{00000000-0005-0000-0000-0000A7BD0000}"/>
    <cellStyle name="Normal 5 2 2 4" xfId="6703" xr:uid="{00000000-0005-0000-0000-0000A8BD0000}"/>
    <cellStyle name="Normal 5 2 2 4 2" xfId="6704" xr:uid="{00000000-0005-0000-0000-0000A9BD0000}"/>
    <cellStyle name="Normal 5 2 2 4 2 2" xfId="6705" xr:uid="{00000000-0005-0000-0000-0000AABD0000}"/>
    <cellStyle name="Normal 5 2 2 4 2 2 2" xfId="10237" xr:uid="{00000000-0005-0000-0000-0000ABBD0000}"/>
    <cellStyle name="Normal 5 2 2 4 2 2 2 2" xfId="17027" xr:uid="{00000000-0005-0000-0000-0000ACBD0000}"/>
    <cellStyle name="Normal 5 2 2 4 2 2 2 2 2" xfId="30595" xr:uid="{00000000-0005-0000-0000-0000ADBD0000}"/>
    <cellStyle name="Normal 5 2 2 4 2 2 2 2 2 2" xfId="57728" xr:uid="{00000000-0005-0000-0000-0000AEBD0000}"/>
    <cellStyle name="Normal 5 2 2 4 2 2 2 2 3" xfId="44166" xr:uid="{00000000-0005-0000-0000-0000AFBD0000}"/>
    <cellStyle name="Normal 5 2 2 4 2 2 2 3" xfId="23814" xr:uid="{00000000-0005-0000-0000-0000B0BD0000}"/>
    <cellStyle name="Normal 5 2 2 4 2 2 2 3 2" xfId="50947" xr:uid="{00000000-0005-0000-0000-0000B1BD0000}"/>
    <cellStyle name="Normal 5 2 2 4 2 2 2 4" xfId="37385" xr:uid="{00000000-0005-0000-0000-0000B2BD0000}"/>
    <cellStyle name="Normal 5 2 2 4 2 2 3" xfId="13638" xr:uid="{00000000-0005-0000-0000-0000B3BD0000}"/>
    <cellStyle name="Normal 5 2 2 4 2 2 3 2" xfId="27206" xr:uid="{00000000-0005-0000-0000-0000B4BD0000}"/>
    <cellStyle name="Normal 5 2 2 4 2 2 3 2 2" xfId="54339" xr:uid="{00000000-0005-0000-0000-0000B5BD0000}"/>
    <cellStyle name="Normal 5 2 2 4 2 2 3 3" xfId="40777" xr:uid="{00000000-0005-0000-0000-0000B6BD0000}"/>
    <cellStyle name="Normal 5 2 2 4 2 2 4" xfId="20425" xr:uid="{00000000-0005-0000-0000-0000B7BD0000}"/>
    <cellStyle name="Normal 5 2 2 4 2 2 4 2" xfId="47558" xr:uid="{00000000-0005-0000-0000-0000B8BD0000}"/>
    <cellStyle name="Normal 5 2 2 4 2 2 5" xfId="33996" xr:uid="{00000000-0005-0000-0000-0000B9BD0000}"/>
    <cellStyle name="Normal 5 2 2 4 2 3" xfId="6706" xr:uid="{00000000-0005-0000-0000-0000BABD0000}"/>
    <cellStyle name="Normal 5 2 2 4 2 3 2" xfId="10238" xr:uid="{00000000-0005-0000-0000-0000BBBD0000}"/>
    <cellStyle name="Normal 5 2 2 4 2 3 2 2" xfId="17028" xr:uid="{00000000-0005-0000-0000-0000BCBD0000}"/>
    <cellStyle name="Normal 5 2 2 4 2 3 2 2 2" xfId="30596" xr:uid="{00000000-0005-0000-0000-0000BDBD0000}"/>
    <cellStyle name="Normal 5 2 2 4 2 3 2 2 2 2" xfId="57729" xr:uid="{00000000-0005-0000-0000-0000BEBD0000}"/>
    <cellStyle name="Normal 5 2 2 4 2 3 2 2 3" xfId="44167" xr:uid="{00000000-0005-0000-0000-0000BFBD0000}"/>
    <cellStyle name="Normal 5 2 2 4 2 3 2 3" xfId="23815" xr:uid="{00000000-0005-0000-0000-0000C0BD0000}"/>
    <cellStyle name="Normal 5 2 2 4 2 3 2 3 2" xfId="50948" xr:uid="{00000000-0005-0000-0000-0000C1BD0000}"/>
    <cellStyle name="Normal 5 2 2 4 2 3 2 4" xfId="37386" xr:uid="{00000000-0005-0000-0000-0000C2BD0000}"/>
    <cellStyle name="Normal 5 2 2 4 2 3 3" xfId="13639" xr:uid="{00000000-0005-0000-0000-0000C3BD0000}"/>
    <cellStyle name="Normal 5 2 2 4 2 3 3 2" xfId="27207" xr:uid="{00000000-0005-0000-0000-0000C4BD0000}"/>
    <cellStyle name="Normal 5 2 2 4 2 3 3 2 2" xfId="54340" xr:uid="{00000000-0005-0000-0000-0000C5BD0000}"/>
    <cellStyle name="Normal 5 2 2 4 2 3 3 3" xfId="40778" xr:uid="{00000000-0005-0000-0000-0000C6BD0000}"/>
    <cellStyle name="Normal 5 2 2 4 2 3 4" xfId="20426" xr:uid="{00000000-0005-0000-0000-0000C7BD0000}"/>
    <cellStyle name="Normal 5 2 2 4 2 3 4 2" xfId="47559" xr:uid="{00000000-0005-0000-0000-0000C8BD0000}"/>
    <cellStyle name="Normal 5 2 2 4 2 3 5" xfId="33997" xr:uid="{00000000-0005-0000-0000-0000C9BD0000}"/>
    <cellStyle name="Normal 5 2 2 4 2 4" xfId="10236" xr:uid="{00000000-0005-0000-0000-0000CABD0000}"/>
    <cellStyle name="Normal 5 2 2 4 2 4 2" xfId="17026" xr:uid="{00000000-0005-0000-0000-0000CBBD0000}"/>
    <cellStyle name="Normal 5 2 2 4 2 4 2 2" xfId="30594" xr:uid="{00000000-0005-0000-0000-0000CCBD0000}"/>
    <cellStyle name="Normal 5 2 2 4 2 4 2 2 2" xfId="57727" xr:uid="{00000000-0005-0000-0000-0000CDBD0000}"/>
    <cellStyle name="Normal 5 2 2 4 2 4 2 3" xfId="44165" xr:uid="{00000000-0005-0000-0000-0000CEBD0000}"/>
    <cellStyle name="Normal 5 2 2 4 2 4 3" xfId="23813" xr:uid="{00000000-0005-0000-0000-0000CFBD0000}"/>
    <cellStyle name="Normal 5 2 2 4 2 4 3 2" xfId="50946" xr:uid="{00000000-0005-0000-0000-0000D0BD0000}"/>
    <cellStyle name="Normal 5 2 2 4 2 4 4" xfId="37384" xr:uid="{00000000-0005-0000-0000-0000D1BD0000}"/>
    <cellStyle name="Normal 5 2 2 4 2 5" xfId="13637" xr:uid="{00000000-0005-0000-0000-0000D2BD0000}"/>
    <cellStyle name="Normal 5 2 2 4 2 5 2" xfId="27205" xr:uid="{00000000-0005-0000-0000-0000D3BD0000}"/>
    <cellStyle name="Normal 5 2 2 4 2 5 2 2" xfId="54338" xr:uid="{00000000-0005-0000-0000-0000D4BD0000}"/>
    <cellStyle name="Normal 5 2 2 4 2 5 3" xfId="40776" xr:uid="{00000000-0005-0000-0000-0000D5BD0000}"/>
    <cellStyle name="Normal 5 2 2 4 2 6" xfId="20424" xr:uid="{00000000-0005-0000-0000-0000D6BD0000}"/>
    <cellStyle name="Normal 5 2 2 4 2 6 2" xfId="47557" xr:uid="{00000000-0005-0000-0000-0000D7BD0000}"/>
    <cellStyle name="Normal 5 2 2 4 2 7" xfId="33995" xr:uid="{00000000-0005-0000-0000-0000D8BD0000}"/>
    <cellStyle name="Normal 5 2 2 4 3" xfId="6707" xr:uid="{00000000-0005-0000-0000-0000D9BD0000}"/>
    <cellStyle name="Normal 5 2 2 4 3 2" xfId="6708" xr:uid="{00000000-0005-0000-0000-0000DABD0000}"/>
    <cellStyle name="Normal 5 2 2 4 3 2 2" xfId="10240" xr:uid="{00000000-0005-0000-0000-0000DBBD0000}"/>
    <cellStyle name="Normal 5 2 2 4 3 2 2 2" xfId="17030" xr:uid="{00000000-0005-0000-0000-0000DCBD0000}"/>
    <cellStyle name="Normal 5 2 2 4 3 2 2 2 2" xfId="30598" xr:uid="{00000000-0005-0000-0000-0000DDBD0000}"/>
    <cellStyle name="Normal 5 2 2 4 3 2 2 2 2 2" xfId="57731" xr:uid="{00000000-0005-0000-0000-0000DEBD0000}"/>
    <cellStyle name="Normal 5 2 2 4 3 2 2 2 3" xfId="44169" xr:uid="{00000000-0005-0000-0000-0000DFBD0000}"/>
    <cellStyle name="Normal 5 2 2 4 3 2 2 3" xfId="23817" xr:uid="{00000000-0005-0000-0000-0000E0BD0000}"/>
    <cellStyle name="Normal 5 2 2 4 3 2 2 3 2" xfId="50950" xr:uid="{00000000-0005-0000-0000-0000E1BD0000}"/>
    <cellStyle name="Normal 5 2 2 4 3 2 2 4" xfId="37388" xr:uid="{00000000-0005-0000-0000-0000E2BD0000}"/>
    <cellStyle name="Normal 5 2 2 4 3 2 3" xfId="13641" xr:uid="{00000000-0005-0000-0000-0000E3BD0000}"/>
    <cellStyle name="Normal 5 2 2 4 3 2 3 2" xfId="27209" xr:uid="{00000000-0005-0000-0000-0000E4BD0000}"/>
    <cellStyle name="Normal 5 2 2 4 3 2 3 2 2" xfId="54342" xr:uid="{00000000-0005-0000-0000-0000E5BD0000}"/>
    <cellStyle name="Normal 5 2 2 4 3 2 3 3" xfId="40780" xr:uid="{00000000-0005-0000-0000-0000E6BD0000}"/>
    <cellStyle name="Normal 5 2 2 4 3 2 4" xfId="20428" xr:uid="{00000000-0005-0000-0000-0000E7BD0000}"/>
    <cellStyle name="Normal 5 2 2 4 3 2 4 2" xfId="47561" xr:uid="{00000000-0005-0000-0000-0000E8BD0000}"/>
    <cellStyle name="Normal 5 2 2 4 3 2 5" xfId="33999" xr:uid="{00000000-0005-0000-0000-0000E9BD0000}"/>
    <cellStyle name="Normal 5 2 2 4 3 3" xfId="10239" xr:uid="{00000000-0005-0000-0000-0000EABD0000}"/>
    <cellStyle name="Normal 5 2 2 4 3 3 2" xfId="17029" xr:uid="{00000000-0005-0000-0000-0000EBBD0000}"/>
    <cellStyle name="Normal 5 2 2 4 3 3 2 2" xfId="30597" xr:uid="{00000000-0005-0000-0000-0000ECBD0000}"/>
    <cellStyle name="Normal 5 2 2 4 3 3 2 2 2" xfId="57730" xr:uid="{00000000-0005-0000-0000-0000EDBD0000}"/>
    <cellStyle name="Normal 5 2 2 4 3 3 2 3" xfId="44168" xr:uid="{00000000-0005-0000-0000-0000EEBD0000}"/>
    <cellStyle name="Normal 5 2 2 4 3 3 3" xfId="23816" xr:uid="{00000000-0005-0000-0000-0000EFBD0000}"/>
    <cellStyle name="Normal 5 2 2 4 3 3 3 2" xfId="50949" xr:uid="{00000000-0005-0000-0000-0000F0BD0000}"/>
    <cellStyle name="Normal 5 2 2 4 3 3 4" xfId="37387" xr:uid="{00000000-0005-0000-0000-0000F1BD0000}"/>
    <cellStyle name="Normal 5 2 2 4 3 4" xfId="13640" xr:uid="{00000000-0005-0000-0000-0000F2BD0000}"/>
    <cellStyle name="Normal 5 2 2 4 3 4 2" xfId="27208" xr:uid="{00000000-0005-0000-0000-0000F3BD0000}"/>
    <cellStyle name="Normal 5 2 2 4 3 4 2 2" xfId="54341" xr:uid="{00000000-0005-0000-0000-0000F4BD0000}"/>
    <cellStyle name="Normal 5 2 2 4 3 4 3" xfId="40779" xr:uid="{00000000-0005-0000-0000-0000F5BD0000}"/>
    <cellStyle name="Normal 5 2 2 4 3 5" xfId="20427" xr:uid="{00000000-0005-0000-0000-0000F6BD0000}"/>
    <cellStyle name="Normal 5 2 2 4 3 5 2" xfId="47560" xr:uid="{00000000-0005-0000-0000-0000F7BD0000}"/>
    <cellStyle name="Normal 5 2 2 4 3 6" xfId="33998" xr:uid="{00000000-0005-0000-0000-0000F8BD0000}"/>
    <cellStyle name="Normal 5 2 2 4 4" xfId="6709" xr:uid="{00000000-0005-0000-0000-0000F9BD0000}"/>
    <cellStyle name="Normal 5 2 2 4 4 2" xfId="10241" xr:uid="{00000000-0005-0000-0000-0000FABD0000}"/>
    <cellStyle name="Normal 5 2 2 4 4 2 2" xfId="17031" xr:uid="{00000000-0005-0000-0000-0000FBBD0000}"/>
    <cellStyle name="Normal 5 2 2 4 4 2 2 2" xfId="30599" xr:uid="{00000000-0005-0000-0000-0000FCBD0000}"/>
    <cellStyle name="Normal 5 2 2 4 4 2 2 2 2" xfId="57732" xr:uid="{00000000-0005-0000-0000-0000FDBD0000}"/>
    <cellStyle name="Normal 5 2 2 4 4 2 2 3" xfId="44170" xr:uid="{00000000-0005-0000-0000-0000FEBD0000}"/>
    <cellStyle name="Normal 5 2 2 4 4 2 3" xfId="23818" xr:uid="{00000000-0005-0000-0000-0000FFBD0000}"/>
    <cellStyle name="Normal 5 2 2 4 4 2 3 2" xfId="50951" xr:uid="{00000000-0005-0000-0000-000000BE0000}"/>
    <cellStyle name="Normal 5 2 2 4 4 2 4" xfId="37389" xr:uid="{00000000-0005-0000-0000-000001BE0000}"/>
    <cellStyle name="Normal 5 2 2 4 4 3" xfId="13642" xr:uid="{00000000-0005-0000-0000-000002BE0000}"/>
    <cellStyle name="Normal 5 2 2 4 4 3 2" xfId="27210" xr:uid="{00000000-0005-0000-0000-000003BE0000}"/>
    <cellStyle name="Normal 5 2 2 4 4 3 2 2" xfId="54343" xr:uid="{00000000-0005-0000-0000-000004BE0000}"/>
    <cellStyle name="Normal 5 2 2 4 4 3 3" xfId="40781" xr:uid="{00000000-0005-0000-0000-000005BE0000}"/>
    <cellStyle name="Normal 5 2 2 4 4 4" xfId="20429" xr:uid="{00000000-0005-0000-0000-000006BE0000}"/>
    <cellStyle name="Normal 5 2 2 4 4 4 2" xfId="47562" xr:uid="{00000000-0005-0000-0000-000007BE0000}"/>
    <cellStyle name="Normal 5 2 2 4 4 5" xfId="34000" xr:uid="{00000000-0005-0000-0000-000008BE0000}"/>
    <cellStyle name="Normal 5 2 2 4 5" xfId="6710" xr:uid="{00000000-0005-0000-0000-000009BE0000}"/>
    <cellStyle name="Normal 5 2 2 4 5 2" xfId="10242" xr:uid="{00000000-0005-0000-0000-00000ABE0000}"/>
    <cellStyle name="Normal 5 2 2 4 5 2 2" xfId="17032" xr:uid="{00000000-0005-0000-0000-00000BBE0000}"/>
    <cellStyle name="Normal 5 2 2 4 5 2 2 2" xfId="30600" xr:uid="{00000000-0005-0000-0000-00000CBE0000}"/>
    <cellStyle name="Normal 5 2 2 4 5 2 2 2 2" xfId="57733" xr:uid="{00000000-0005-0000-0000-00000DBE0000}"/>
    <cellStyle name="Normal 5 2 2 4 5 2 2 3" xfId="44171" xr:uid="{00000000-0005-0000-0000-00000EBE0000}"/>
    <cellStyle name="Normal 5 2 2 4 5 2 3" xfId="23819" xr:uid="{00000000-0005-0000-0000-00000FBE0000}"/>
    <cellStyle name="Normal 5 2 2 4 5 2 3 2" xfId="50952" xr:uid="{00000000-0005-0000-0000-000010BE0000}"/>
    <cellStyle name="Normal 5 2 2 4 5 2 4" xfId="37390" xr:uid="{00000000-0005-0000-0000-000011BE0000}"/>
    <cellStyle name="Normal 5 2 2 4 5 3" xfId="13643" xr:uid="{00000000-0005-0000-0000-000012BE0000}"/>
    <cellStyle name="Normal 5 2 2 4 5 3 2" xfId="27211" xr:uid="{00000000-0005-0000-0000-000013BE0000}"/>
    <cellStyle name="Normal 5 2 2 4 5 3 2 2" xfId="54344" xr:uid="{00000000-0005-0000-0000-000014BE0000}"/>
    <cellStyle name="Normal 5 2 2 4 5 3 3" xfId="40782" xr:uid="{00000000-0005-0000-0000-000015BE0000}"/>
    <cellStyle name="Normal 5 2 2 4 5 4" xfId="20430" xr:uid="{00000000-0005-0000-0000-000016BE0000}"/>
    <cellStyle name="Normal 5 2 2 4 5 4 2" xfId="47563" xr:uid="{00000000-0005-0000-0000-000017BE0000}"/>
    <cellStyle name="Normal 5 2 2 4 5 5" xfId="34001" xr:uid="{00000000-0005-0000-0000-000018BE0000}"/>
    <cellStyle name="Normal 5 2 2 4 6" xfId="10235" xr:uid="{00000000-0005-0000-0000-000019BE0000}"/>
    <cellStyle name="Normal 5 2 2 4 6 2" xfId="17025" xr:uid="{00000000-0005-0000-0000-00001ABE0000}"/>
    <cellStyle name="Normal 5 2 2 4 6 2 2" xfId="30593" xr:uid="{00000000-0005-0000-0000-00001BBE0000}"/>
    <cellStyle name="Normal 5 2 2 4 6 2 2 2" xfId="57726" xr:uid="{00000000-0005-0000-0000-00001CBE0000}"/>
    <cellStyle name="Normal 5 2 2 4 6 2 3" xfId="44164" xr:uid="{00000000-0005-0000-0000-00001DBE0000}"/>
    <cellStyle name="Normal 5 2 2 4 6 3" xfId="23812" xr:uid="{00000000-0005-0000-0000-00001EBE0000}"/>
    <cellStyle name="Normal 5 2 2 4 6 3 2" xfId="50945" xr:uid="{00000000-0005-0000-0000-00001FBE0000}"/>
    <cellStyle name="Normal 5 2 2 4 6 4" xfId="37383" xr:uid="{00000000-0005-0000-0000-000020BE0000}"/>
    <cellStyle name="Normal 5 2 2 4 7" xfId="13636" xr:uid="{00000000-0005-0000-0000-000021BE0000}"/>
    <cellStyle name="Normal 5 2 2 4 7 2" xfId="27204" xr:uid="{00000000-0005-0000-0000-000022BE0000}"/>
    <cellStyle name="Normal 5 2 2 4 7 2 2" xfId="54337" xr:uid="{00000000-0005-0000-0000-000023BE0000}"/>
    <cellStyle name="Normal 5 2 2 4 7 3" xfId="40775" xr:uid="{00000000-0005-0000-0000-000024BE0000}"/>
    <cellStyle name="Normal 5 2 2 4 8" xfId="20423" xr:uid="{00000000-0005-0000-0000-000025BE0000}"/>
    <cellStyle name="Normal 5 2 2 4 8 2" xfId="47556" xr:uid="{00000000-0005-0000-0000-000026BE0000}"/>
    <cellStyle name="Normal 5 2 2 4 9" xfId="33994" xr:uid="{00000000-0005-0000-0000-000027BE0000}"/>
    <cellStyle name="Normal 5 2 2 5" xfId="6711" xr:uid="{00000000-0005-0000-0000-000028BE0000}"/>
    <cellStyle name="Normal 5 2 2 5 2" xfId="6712" xr:uid="{00000000-0005-0000-0000-000029BE0000}"/>
    <cellStyle name="Normal 5 2 2 5 2 2" xfId="6713" xr:uid="{00000000-0005-0000-0000-00002ABE0000}"/>
    <cellStyle name="Normal 5 2 2 5 2 2 2" xfId="10245" xr:uid="{00000000-0005-0000-0000-00002BBE0000}"/>
    <cellStyle name="Normal 5 2 2 5 2 2 2 2" xfId="17035" xr:uid="{00000000-0005-0000-0000-00002CBE0000}"/>
    <cellStyle name="Normal 5 2 2 5 2 2 2 2 2" xfId="30603" xr:uid="{00000000-0005-0000-0000-00002DBE0000}"/>
    <cellStyle name="Normal 5 2 2 5 2 2 2 2 2 2" xfId="57736" xr:uid="{00000000-0005-0000-0000-00002EBE0000}"/>
    <cellStyle name="Normal 5 2 2 5 2 2 2 2 3" xfId="44174" xr:uid="{00000000-0005-0000-0000-00002FBE0000}"/>
    <cellStyle name="Normal 5 2 2 5 2 2 2 3" xfId="23822" xr:uid="{00000000-0005-0000-0000-000030BE0000}"/>
    <cellStyle name="Normal 5 2 2 5 2 2 2 3 2" xfId="50955" xr:uid="{00000000-0005-0000-0000-000031BE0000}"/>
    <cellStyle name="Normal 5 2 2 5 2 2 2 4" xfId="37393" xr:uid="{00000000-0005-0000-0000-000032BE0000}"/>
    <cellStyle name="Normal 5 2 2 5 2 2 3" xfId="13646" xr:uid="{00000000-0005-0000-0000-000033BE0000}"/>
    <cellStyle name="Normal 5 2 2 5 2 2 3 2" xfId="27214" xr:uid="{00000000-0005-0000-0000-000034BE0000}"/>
    <cellStyle name="Normal 5 2 2 5 2 2 3 2 2" xfId="54347" xr:uid="{00000000-0005-0000-0000-000035BE0000}"/>
    <cellStyle name="Normal 5 2 2 5 2 2 3 3" xfId="40785" xr:uid="{00000000-0005-0000-0000-000036BE0000}"/>
    <cellStyle name="Normal 5 2 2 5 2 2 4" xfId="20433" xr:uid="{00000000-0005-0000-0000-000037BE0000}"/>
    <cellStyle name="Normal 5 2 2 5 2 2 4 2" xfId="47566" xr:uid="{00000000-0005-0000-0000-000038BE0000}"/>
    <cellStyle name="Normal 5 2 2 5 2 2 5" xfId="34004" xr:uid="{00000000-0005-0000-0000-000039BE0000}"/>
    <cellStyle name="Normal 5 2 2 5 2 3" xfId="6714" xr:uid="{00000000-0005-0000-0000-00003ABE0000}"/>
    <cellStyle name="Normal 5 2 2 5 2 3 2" xfId="10246" xr:uid="{00000000-0005-0000-0000-00003BBE0000}"/>
    <cellStyle name="Normal 5 2 2 5 2 3 2 2" xfId="17036" xr:uid="{00000000-0005-0000-0000-00003CBE0000}"/>
    <cellStyle name="Normal 5 2 2 5 2 3 2 2 2" xfId="30604" xr:uid="{00000000-0005-0000-0000-00003DBE0000}"/>
    <cellStyle name="Normal 5 2 2 5 2 3 2 2 2 2" xfId="57737" xr:uid="{00000000-0005-0000-0000-00003EBE0000}"/>
    <cellStyle name="Normal 5 2 2 5 2 3 2 2 3" xfId="44175" xr:uid="{00000000-0005-0000-0000-00003FBE0000}"/>
    <cellStyle name="Normal 5 2 2 5 2 3 2 3" xfId="23823" xr:uid="{00000000-0005-0000-0000-000040BE0000}"/>
    <cellStyle name="Normal 5 2 2 5 2 3 2 3 2" xfId="50956" xr:uid="{00000000-0005-0000-0000-000041BE0000}"/>
    <cellStyle name="Normal 5 2 2 5 2 3 2 4" xfId="37394" xr:uid="{00000000-0005-0000-0000-000042BE0000}"/>
    <cellStyle name="Normal 5 2 2 5 2 3 3" xfId="13647" xr:uid="{00000000-0005-0000-0000-000043BE0000}"/>
    <cellStyle name="Normal 5 2 2 5 2 3 3 2" xfId="27215" xr:uid="{00000000-0005-0000-0000-000044BE0000}"/>
    <cellStyle name="Normal 5 2 2 5 2 3 3 2 2" xfId="54348" xr:uid="{00000000-0005-0000-0000-000045BE0000}"/>
    <cellStyle name="Normal 5 2 2 5 2 3 3 3" xfId="40786" xr:uid="{00000000-0005-0000-0000-000046BE0000}"/>
    <cellStyle name="Normal 5 2 2 5 2 3 4" xfId="20434" xr:uid="{00000000-0005-0000-0000-000047BE0000}"/>
    <cellStyle name="Normal 5 2 2 5 2 3 4 2" xfId="47567" xr:uid="{00000000-0005-0000-0000-000048BE0000}"/>
    <cellStyle name="Normal 5 2 2 5 2 3 5" xfId="34005" xr:uid="{00000000-0005-0000-0000-000049BE0000}"/>
    <cellStyle name="Normal 5 2 2 5 2 4" xfId="10244" xr:uid="{00000000-0005-0000-0000-00004ABE0000}"/>
    <cellStyle name="Normal 5 2 2 5 2 4 2" xfId="17034" xr:uid="{00000000-0005-0000-0000-00004BBE0000}"/>
    <cellStyle name="Normal 5 2 2 5 2 4 2 2" xfId="30602" xr:uid="{00000000-0005-0000-0000-00004CBE0000}"/>
    <cellStyle name="Normal 5 2 2 5 2 4 2 2 2" xfId="57735" xr:uid="{00000000-0005-0000-0000-00004DBE0000}"/>
    <cellStyle name="Normal 5 2 2 5 2 4 2 3" xfId="44173" xr:uid="{00000000-0005-0000-0000-00004EBE0000}"/>
    <cellStyle name="Normal 5 2 2 5 2 4 3" xfId="23821" xr:uid="{00000000-0005-0000-0000-00004FBE0000}"/>
    <cellStyle name="Normal 5 2 2 5 2 4 3 2" xfId="50954" xr:uid="{00000000-0005-0000-0000-000050BE0000}"/>
    <cellStyle name="Normal 5 2 2 5 2 4 4" xfId="37392" xr:uid="{00000000-0005-0000-0000-000051BE0000}"/>
    <cellStyle name="Normal 5 2 2 5 2 5" xfId="13645" xr:uid="{00000000-0005-0000-0000-000052BE0000}"/>
    <cellStyle name="Normal 5 2 2 5 2 5 2" xfId="27213" xr:uid="{00000000-0005-0000-0000-000053BE0000}"/>
    <cellStyle name="Normal 5 2 2 5 2 5 2 2" xfId="54346" xr:uid="{00000000-0005-0000-0000-000054BE0000}"/>
    <cellStyle name="Normal 5 2 2 5 2 5 3" xfId="40784" xr:uid="{00000000-0005-0000-0000-000055BE0000}"/>
    <cellStyle name="Normal 5 2 2 5 2 6" xfId="20432" xr:uid="{00000000-0005-0000-0000-000056BE0000}"/>
    <cellStyle name="Normal 5 2 2 5 2 6 2" xfId="47565" xr:uid="{00000000-0005-0000-0000-000057BE0000}"/>
    <cellStyle name="Normal 5 2 2 5 2 7" xfId="34003" xr:uid="{00000000-0005-0000-0000-000058BE0000}"/>
    <cellStyle name="Normal 5 2 2 5 3" xfId="6715" xr:uid="{00000000-0005-0000-0000-000059BE0000}"/>
    <cellStyle name="Normal 5 2 2 5 3 2" xfId="10247" xr:uid="{00000000-0005-0000-0000-00005ABE0000}"/>
    <cellStyle name="Normal 5 2 2 5 3 2 2" xfId="17037" xr:uid="{00000000-0005-0000-0000-00005BBE0000}"/>
    <cellStyle name="Normal 5 2 2 5 3 2 2 2" xfId="30605" xr:uid="{00000000-0005-0000-0000-00005CBE0000}"/>
    <cellStyle name="Normal 5 2 2 5 3 2 2 2 2" xfId="57738" xr:uid="{00000000-0005-0000-0000-00005DBE0000}"/>
    <cellStyle name="Normal 5 2 2 5 3 2 2 3" xfId="44176" xr:uid="{00000000-0005-0000-0000-00005EBE0000}"/>
    <cellStyle name="Normal 5 2 2 5 3 2 3" xfId="23824" xr:uid="{00000000-0005-0000-0000-00005FBE0000}"/>
    <cellStyle name="Normal 5 2 2 5 3 2 3 2" xfId="50957" xr:uid="{00000000-0005-0000-0000-000060BE0000}"/>
    <cellStyle name="Normal 5 2 2 5 3 2 4" xfId="37395" xr:uid="{00000000-0005-0000-0000-000061BE0000}"/>
    <cellStyle name="Normal 5 2 2 5 3 3" xfId="13648" xr:uid="{00000000-0005-0000-0000-000062BE0000}"/>
    <cellStyle name="Normal 5 2 2 5 3 3 2" xfId="27216" xr:uid="{00000000-0005-0000-0000-000063BE0000}"/>
    <cellStyle name="Normal 5 2 2 5 3 3 2 2" xfId="54349" xr:uid="{00000000-0005-0000-0000-000064BE0000}"/>
    <cellStyle name="Normal 5 2 2 5 3 3 3" xfId="40787" xr:uid="{00000000-0005-0000-0000-000065BE0000}"/>
    <cellStyle name="Normal 5 2 2 5 3 4" xfId="20435" xr:uid="{00000000-0005-0000-0000-000066BE0000}"/>
    <cellStyle name="Normal 5 2 2 5 3 4 2" xfId="47568" xr:uid="{00000000-0005-0000-0000-000067BE0000}"/>
    <cellStyle name="Normal 5 2 2 5 3 5" xfId="34006" xr:uid="{00000000-0005-0000-0000-000068BE0000}"/>
    <cellStyle name="Normal 5 2 2 5 4" xfId="6716" xr:uid="{00000000-0005-0000-0000-000069BE0000}"/>
    <cellStyle name="Normal 5 2 2 5 4 2" xfId="10248" xr:uid="{00000000-0005-0000-0000-00006ABE0000}"/>
    <cellStyle name="Normal 5 2 2 5 4 2 2" xfId="17038" xr:uid="{00000000-0005-0000-0000-00006BBE0000}"/>
    <cellStyle name="Normal 5 2 2 5 4 2 2 2" xfId="30606" xr:uid="{00000000-0005-0000-0000-00006CBE0000}"/>
    <cellStyle name="Normal 5 2 2 5 4 2 2 2 2" xfId="57739" xr:uid="{00000000-0005-0000-0000-00006DBE0000}"/>
    <cellStyle name="Normal 5 2 2 5 4 2 2 3" xfId="44177" xr:uid="{00000000-0005-0000-0000-00006EBE0000}"/>
    <cellStyle name="Normal 5 2 2 5 4 2 3" xfId="23825" xr:uid="{00000000-0005-0000-0000-00006FBE0000}"/>
    <cellStyle name="Normal 5 2 2 5 4 2 3 2" xfId="50958" xr:uid="{00000000-0005-0000-0000-000070BE0000}"/>
    <cellStyle name="Normal 5 2 2 5 4 2 4" xfId="37396" xr:uid="{00000000-0005-0000-0000-000071BE0000}"/>
    <cellStyle name="Normal 5 2 2 5 4 3" xfId="13649" xr:uid="{00000000-0005-0000-0000-000072BE0000}"/>
    <cellStyle name="Normal 5 2 2 5 4 3 2" xfId="27217" xr:uid="{00000000-0005-0000-0000-000073BE0000}"/>
    <cellStyle name="Normal 5 2 2 5 4 3 2 2" xfId="54350" xr:uid="{00000000-0005-0000-0000-000074BE0000}"/>
    <cellStyle name="Normal 5 2 2 5 4 3 3" xfId="40788" xr:uid="{00000000-0005-0000-0000-000075BE0000}"/>
    <cellStyle name="Normal 5 2 2 5 4 4" xfId="20436" xr:uid="{00000000-0005-0000-0000-000076BE0000}"/>
    <cellStyle name="Normal 5 2 2 5 4 4 2" xfId="47569" xr:uid="{00000000-0005-0000-0000-000077BE0000}"/>
    <cellStyle name="Normal 5 2 2 5 4 5" xfId="34007" xr:uid="{00000000-0005-0000-0000-000078BE0000}"/>
    <cellStyle name="Normal 5 2 2 5 5" xfId="10243" xr:uid="{00000000-0005-0000-0000-000079BE0000}"/>
    <cellStyle name="Normal 5 2 2 5 5 2" xfId="17033" xr:uid="{00000000-0005-0000-0000-00007ABE0000}"/>
    <cellStyle name="Normal 5 2 2 5 5 2 2" xfId="30601" xr:uid="{00000000-0005-0000-0000-00007BBE0000}"/>
    <cellStyle name="Normal 5 2 2 5 5 2 2 2" xfId="57734" xr:uid="{00000000-0005-0000-0000-00007CBE0000}"/>
    <cellStyle name="Normal 5 2 2 5 5 2 3" xfId="44172" xr:uid="{00000000-0005-0000-0000-00007DBE0000}"/>
    <cellStyle name="Normal 5 2 2 5 5 3" xfId="23820" xr:uid="{00000000-0005-0000-0000-00007EBE0000}"/>
    <cellStyle name="Normal 5 2 2 5 5 3 2" xfId="50953" xr:uid="{00000000-0005-0000-0000-00007FBE0000}"/>
    <cellStyle name="Normal 5 2 2 5 5 4" xfId="37391" xr:uid="{00000000-0005-0000-0000-000080BE0000}"/>
    <cellStyle name="Normal 5 2 2 5 6" xfId="13644" xr:uid="{00000000-0005-0000-0000-000081BE0000}"/>
    <cellStyle name="Normal 5 2 2 5 6 2" xfId="27212" xr:uid="{00000000-0005-0000-0000-000082BE0000}"/>
    <cellStyle name="Normal 5 2 2 5 6 2 2" xfId="54345" xr:uid="{00000000-0005-0000-0000-000083BE0000}"/>
    <cellStyle name="Normal 5 2 2 5 6 3" xfId="40783" xr:uid="{00000000-0005-0000-0000-000084BE0000}"/>
    <cellStyle name="Normal 5 2 2 5 7" xfId="20431" xr:uid="{00000000-0005-0000-0000-000085BE0000}"/>
    <cellStyle name="Normal 5 2 2 5 7 2" xfId="47564" xr:uid="{00000000-0005-0000-0000-000086BE0000}"/>
    <cellStyle name="Normal 5 2 2 5 8" xfId="34002" xr:uid="{00000000-0005-0000-0000-000087BE0000}"/>
    <cellStyle name="Normal 5 2 2 6" xfId="6717" xr:uid="{00000000-0005-0000-0000-000088BE0000}"/>
    <cellStyle name="Normal 5 2 2 6 2" xfId="6718" xr:uid="{00000000-0005-0000-0000-000089BE0000}"/>
    <cellStyle name="Normal 5 2 2 6 2 2" xfId="6719" xr:uid="{00000000-0005-0000-0000-00008ABE0000}"/>
    <cellStyle name="Normal 5 2 2 6 2 2 2" xfId="10251" xr:uid="{00000000-0005-0000-0000-00008BBE0000}"/>
    <cellStyle name="Normal 5 2 2 6 2 2 2 2" xfId="17041" xr:uid="{00000000-0005-0000-0000-00008CBE0000}"/>
    <cellStyle name="Normal 5 2 2 6 2 2 2 2 2" xfId="30609" xr:uid="{00000000-0005-0000-0000-00008DBE0000}"/>
    <cellStyle name="Normal 5 2 2 6 2 2 2 2 2 2" xfId="57742" xr:uid="{00000000-0005-0000-0000-00008EBE0000}"/>
    <cellStyle name="Normal 5 2 2 6 2 2 2 2 3" xfId="44180" xr:uid="{00000000-0005-0000-0000-00008FBE0000}"/>
    <cellStyle name="Normal 5 2 2 6 2 2 2 3" xfId="23828" xr:uid="{00000000-0005-0000-0000-000090BE0000}"/>
    <cellStyle name="Normal 5 2 2 6 2 2 2 3 2" xfId="50961" xr:uid="{00000000-0005-0000-0000-000091BE0000}"/>
    <cellStyle name="Normal 5 2 2 6 2 2 2 4" xfId="37399" xr:uid="{00000000-0005-0000-0000-000092BE0000}"/>
    <cellStyle name="Normal 5 2 2 6 2 2 3" xfId="13652" xr:uid="{00000000-0005-0000-0000-000093BE0000}"/>
    <cellStyle name="Normal 5 2 2 6 2 2 3 2" xfId="27220" xr:uid="{00000000-0005-0000-0000-000094BE0000}"/>
    <cellStyle name="Normal 5 2 2 6 2 2 3 2 2" xfId="54353" xr:uid="{00000000-0005-0000-0000-000095BE0000}"/>
    <cellStyle name="Normal 5 2 2 6 2 2 3 3" xfId="40791" xr:uid="{00000000-0005-0000-0000-000096BE0000}"/>
    <cellStyle name="Normal 5 2 2 6 2 2 4" xfId="20439" xr:uid="{00000000-0005-0000-0000-000097BE0000}"/>
    <cellStyle name="Normal 5 2 2 6 2 2 4 2" xfId="47572" xr:uid="{00000000-0005-0000-0000-000098BE0000}"/>
    <cellStyle name="Normal 5 2 2 6 2 2 5" xfId="34010" xr:uid="{00000000-0005-0000-0000-000099BE0000}"/>
    <cellStyle name="Normal 5 2 2 6 2 3" xfId="6720" xr:uid="{00000000-0005-0000-0000-00009ABE0000}"/>
    <cellStyle name="Normal 5 2 2 6 2 3 2" xfId="10252" xr:uid="{00000000-0005-0000-0000-00009BBE0000}"/>
    <cellStyle name="Normal 5 2 2 6 2 3 2 2" xfId="17042" xr:uid="{00000000-0005-0000-0000-00009CBE0000}"/>
    <cellStyle name="Normal 5 2 2 6 2 3 2 2 2" xfId="30610" xr:uid="{00000000-0005-0000-0000-00009DBE0000}"/>
    <cellStyle name="Normal 5 2 2 6 2 3 2 2 2 2" xfId="57743" xr:uid="{00000000-0005-0000-0000-00009EBE0000}"/>
    <cellStyle name="Normal 5 2 2 6 2 3 2 2 3" xfId="44181" xr:uid="{00000000-0005-0000-0000-00009FBE0000}"/>
    <cellStyle name="Normal 5 2 2 6 2 3 2 3" xfId="23829" xr:uid="{00000000-0005-0000-0000-0000A0BE0000}"/>
    <cellStyle name="Normal 5 2 2 6 2 3 2 3 2" xfId="50962" xr:uid="{00000000-0005-0000-0000-0000A1BE0000}"/>
    <cellStyle name="Normal 5 2 2 6 2 3 2 4" xfId="37400" xr:uid="{00000000-0005-0000-0000-0000A2BE0000}"/>
    <cellStyle name="Normal 5 2 2 6 2 3 3" xfId="13653" xr:uid="{00000000-0005-0000-0000-0000A3BE0000}"/>
    <cellStyle name="Normal 5 2 2 6 2 3 3 2" xfId="27221" xr:uid="{00000000-0005-0000-0000-0000A4BE0000}"/>
    <cellStyle name="Normal 5 2 2 6 2 3 3 2 2" xfId="54354" xr:uid="{00000000-0005-0000-0000-0000A5BE0000}"/>
    <cellStyle name="Normal 5 2 2 6 2 3 3 3" xfId="40792" xr:uid="{00000000-0005-0000-0000-0000A6BE0000}"/>
    <cellStyle name="Normal 5 2 2 6 2 3 4" xfId="20440" xr:uid="{00000000-0005-0000-0000-0000A7BE0000}"/>
    <cellStyle name="Normal 5 2 2 6 2 3 4 2" xfId="47573" xr:uid="{00000000-0005-0000-0000-0000A8BE0000}"/>
    <cellStyle name="Normal 5 2 2 6 2 3 5" xfId="34011" xr:uid="{00000000-0005-0000-0000-0000A9BE0000}"/>
    <cellStyle name="Normal 5 2 2 6 2 4" xfId="10250" xr:uid="{00000000-0005-0000-0000-0000AABE0000}"/>
    <cellStyle name="Normal 5 2 2 6 2 4 2" xfId="17040" xr:uid="{00000000-0005-0000-0000-0000ABBE0000}"/>
    <cellStyle name="Normal 5 2 2 6 2 4 2 2" xfId="30608" xr:uid="{00000000-0005-0000-0000-0000ACBE0000}"/>
    <cellStyle name="Normal 5 2 2 6 2 4 2 2 2" xfId="57741" xr:uid="{00000000-0005-0000-0000-0000ADBE0000}"/>
    <cellStyle name="Normal 5 2 2 6 2 4 2 3" xfId="44179" xr:uid="{00000000-0005-0000-0000-0000AEBE0000}"/>
    <cellStyle name="Normal 5 2 2 6 2 4 3" xfId="23827" xr:uid="{00000000-0005-0000-0000-0000AFBE0000}"/>
    <cellStyle name="Normal 5 2 2 6 2 4 3 2" xfId="50960" xr:uid="{00000000-0005-0000-0000-0000B0BE0000}"/>
    <cellStyle name="Normal 5 2 2 6 2 4 4" xfId="37398" xr:uid="{00000000-0005-0000-0000-0000B1BE0000}"/>
    <cellStyle name="Normal 5 2 2 6 2 5" xfId="13651" xr:uid="{00000000-0005-0000-0000-0000B2BE0000}"/>
    <cellStyle name="Normal 5 2 2 6 2 5 2" xfId="27219" xr:uid="{00000000-0005-0000-0000-0000B3BE0000}"/>
    <cellStyle name="Normal 5 2 2 6 2 5 2 2" xfId="54352" xr:uid="{00000000-0005-0000-0000-0000B4BE0000}"/>
    <cellStyle name="Normal 5 2 2 6 2 5 3" xfId="40790" xr:uid="{00000000-0005-0000-0000-0000B5BE0000}"/>
    <cellStyle name="Normal 5 2 2 6 2 6" xfId="20438" xr:uid="{00000000-0005-0000-0000-0000B6BE0000}"/>
    <cellStyle name="Normal 5 2 2 6 2 6 2" xfId="47571" xr:uid="{00000000-0005-0000-0000-0000B7BE0000}"/>
    <cellStyle name="Normal 5 2 2 6 2 7" xfId="34009" xr:uid="{00000000-0005-0000-0000-0000B8BE0000}"/>
    <cellStyle name="Normal 5 2 2 6 3" xfId="6721" xr:uid="{00000000-0005-0000-0000-0000B9BE0000}"/>
    <cellStyle name="Normal 5 2 2 6 3 2" xfId="10253" xr:uid="{00000000-0005-0000-0000-0000BABE0000}"/>
    <cellStyle name="Normal 5 2 2 6 3 2 2" xfId="17043" xr:uid="{00000000-0005-0000-0000-0000BBBE0000}"/>
    <cellStyle name="Normal 5 2 2 6 3 2 2 2" xfId="30611" xr:uid="{00000000-0005-0000-0000-0000BCBE0000}"/>
    <cellStyle name="Normal 5 2 2 6 3 2 2 2 2" xfId="57744" xr:uid="{00000000-0005-0000-0000-0000BDBE0000}"/>
    <cellStyle name="Normal 5 2 2 6 3 2 2 3" xfId="44182" xr:uid="{00000000-0005-0000-0000-0000BEBE0000}"/>
    <cellStyle name="Normal 5 2 2 6 3 2 3" xfId="23830" xr:uid="{00000000-0005-0000-0000-0000BFBE0000}"/>
    <cellStyle name="Normal 5 2 2 6 3 2 3 2" xfId="50963" xr:uid="{00000000-0005-0000-0000-0000C0BE0000}"/>
    <cellStyle name="Normal 5 2 2 6 3 2 4" xfId="37401" xr:uid="{00000000-0005-0000-0000-0000C1BE0000}"/>
    <cellStyle name="Normal 5 2 2 6 3 3" xfId="13654" xr:uid="{00000000-0005-0000-0000-0000C2BE0000}"/>
    <cellStyle name="Normal 5 2 2 6 3 3 2" xfId="27222" xr:uid="{00000000-0005-0000-0000-0000C3BE0000}"/>
    <cellStyle name="Normal 5 2 2 6 3 3 2 2" xfId="54355" xr:uid="{00000000-0005-0000-0000-0000C4BE0000}"/>
    <cellStyle name="Normal 5 2 2 6 3 3 3" xfId="40793" xr:uid="{00000000-0005-0000-0000-0000C5BE0000}"/>
    <cellStyle name="Normal 5 2 2 6 3 4" xfId="20441" xr:uid="{00000000-0005-0000-0000-0000C6BE0000}"/>
    <cellStyle name="Normal 5 2 2 6 3 4 2" xfId="47574" xr:uid="{00000000-0005-0000-0000-0000C7BE0000}"/>
    <cellStyle name="Normal 5 2 2 6 3 5" xfId="34012" xr:uid="{00000000-0005-0000-0000-0000C8BE0000}"/>
    <cellStyle name="Normal 5 2 2 6 4" xfId="6722" xr:uid="{00000000-0005-0000-0000-0000C9BE0000}"/>
    <cellStyle name="Normal 5 2 2 6 4 2" xfId="10254" xr:uid="{00000000-0005-0000-0000-0000CABE0000}"/>
    <cellStyle name="Normal 5 2 2 6 4 2 2" xfId="17044" xr:uid="{00000000-0005-0000-0000-0000CBBE0000}"/>
    <cellStyle name="Normal 5 2 2 6 4 2 2 2" xfId="30612" xr:uid="{00000000-0005-0000-0000-0000CCBE0000}"/>
    <cellStyle name="Normal 5 2 2 6 4 2 2 2 2" xfId="57745" xr:uid="{00000000-0005-0000-0000-0000CDBE0000}"/>
    <cellStyle name="Normal 5 2 2 6 4 2 2 3" xfId="44183" xr:uid="{00000000-0005-0000-0000-0000CEBE0000}"/>
    <cellStyle name="Normal 5 2 2 6 4 2 3" xfId="23831" xr:uid="{00000000-0005-0000-0000-0000CFBE0000}"/>
    <cellStyle name="Normal 5 2 2 6 4 2 3 2" xfId="50964" xr:uid="{00000000-0005-0000-0000-0000D0BE0000}"/>
    <cellStyle name="Normal 5 2 2 6 4 2 4" xfId="37402" xr:uid="{00000000-0005-0000-0000-0000D1BE0000}"/>
    <cellStyle name="Normal 5 2 2 6 4 3" xfId="13655" xr:uid="{00000000-0005-0000-0000-0000D2BE0000}"/>
    <cellStyle name="Normal 5 2 2 6 4 3 2" xfId="27223" xr:uid="{00000000-0005-0000-0000-0000D3BE0000}"/>
    <cellStyle name="Normal 5 2 2 6 4 3 2 2" xfId="54356" xr:uid="{00000000-0005-0000-0000-0000D4BE0000}"/>
    <cellStyle name="Normal 5 2 2 6 4 3 3" xfId="40794" xr:uid="{00000000-0005-0000-0000-0000D5BE0000}"/>
    <cellStyle name="Normal 5 2 2 6 4 4" xfId="20442" xr:uid="{00000000-0005-0000-0000-0000D6BE0000}"/>
    <cellStyle name="Normal 5 2 2 6 4 4 2" xfId="47575" xr:uid="{00000000-0005-0000-0000-0000D7BE0000}"/>
    <cellStyle name="Normal 5 2 2 6 4 5" xfId="34013" xr:uid="{00000000-0005-0000-0000-0000D8BE0000}"/>
    <cellStyle name="Normal 5 2 2 6 5" xfId="10249" xr:uid="{00000000-0005-0000-0000-0000D9BE0000}"/>
    <cellStyle name="Normal 5 2 2 6 5 2" xfId="17039" xr:uid="{00000000-0005-0000-0000-0000DABE0000}"/>
    <cellStyle name="Normal 5 2 2 6 5 2 2" xfId="30607" xr:uid="{00000000-0005-0000-0000-0000DBBE0000}"/>
    <cellStyle name="Normal 5 2 2 6 5 2 2 2" xfId="57740" xr:uid="{00000000-0005-0000-0000-0000DCBE0000}"/>
    <cellStyle name="Normal 5 2 2 6 5 2 3" xfId="44178" xr:uid="{00000000-0005-0000-0000-0000DDBE0000}"/>
    <cellStyle name="Normal 5 2 2 6 5 3" xfId="23826" xr:uid="{00000000-0005-0000-0000-0000DEBE0000}"/>
    <cellStyle name="Normal 5 2 2 6 5 3 2" xfId="50959" xr:uid="{00000000-0005-0000-0000-0000DFBE0000}"/>
    <cellStyle name="Normal 5 2 2 6 5 4" xfId="37397" xr:uid="{00000000-0005-0000-0000-0000E0BE0000}"/>
    <cellStyle name="Normal 5 2 2 6 6" xfId="13650" xr:uid="{00000000-0005-0000-0000-0000E1BE0000}"/>
    <cellStyle name="Normal 5 2 2 6 6 2" xfId="27218" xr:uid="{00000000-0005-0000-0000-0000E2BE0000}"/>
    <cellStyle name="Normal 5 2 2 6 6 2 2" xfId="54351" xr:uid="{00000000-0005-0000-0000-0000E3BE0000}"/>
    <cellStyle name="Normal 5 2 2 6 6 3" xfId="40789" xr:uid="{00000000-0005-0000-0000-0000E4BE0000}"/>
    <cellStyle name="Normal 5 2 2 6 7" xfId="20437" xr:uid="{00000000-0005-0000-0000-0000E5BE0000}"/>
    <cellStyle name="Normal 5 2 2 6 7 2" xfId="47570" xr:uid="{00000000-0005-0000-0000-0000E6BE0000}"/>
    <cellStyle name="Normal 5 2 2 6 8" xfId="34008" xr:uid="{00000000-0005-0000-0000-0000E7BE0000}"/>
    <cellStyle name="Normal 5 2 2 7" xfId="6723" xr:uid="{00000000-0005-0000-0000-0000E8BE0000}"/>
    <cellStyle name="Normal 5 2 2 7 2" xfId="6724" xr:uid="{00000000-0005-0000-0000-0000E9BE0000}"/>
    <cellStyle name="Normal 5 2 2 7 2 2" xfId="10256" xr:uid="{00000000-0005-0000-0000-0000EABE0000}"/>
    <cellStyle name="Normal 5 2 2 7 2 2 2" xfId="17046" xr:uid="{00000000-0005-0000-0000-0000EBBE0000}"/>
    <cellStyle name="Normal 5 2 2 7 2 2 2 2" xfId="30614" xr:uid="{00000000-0005-0000-0000-0000ECBE0000}"/>
    <cellStyle name="Normal 5 2 2 7 2 2 2 2 2" xfId="57747" xr:uid="{00000000-0005-0000-0000-0000EDBE0000}"/>
    <cellStyle name="Normal 5 2 2 7 2 2 2 3" xfId="44185" xr:uid="{00000000-0005-0000-0000-0000EEBE0000}"/>
    <cellStyle name="Normal 5 2 2 7 2 2 3" xfId="23833" xr:uid="{00000000-0005-0000-0000-0000EFBE0000}"/>
    <cellStyle name="Normal 5 2 2 7 2 2 3 2" xfId="50966" xr:uid="{00000000-0005-0000-0000-0000F0BE0000}"/>
    <cellStyle name="Normal 5 2 2 7 2 2 4" xfId="37404" xr:uid="{00000000-0005-0000-0000-0000F1BE0000}"/>
    <cellStyle name="Normal 5 2 2 7 2 3" xfId="13657" xr:uid="{00000000-0005-0000-0000-0000F2BE0000}"/>
    <cellStyle name="Normal 5 2 2 7 2 3 2" xfId="27225" xr:uid="{00000000-0005-0000-0000-0000F3BE0000}"/>
    <cellStyle name="Normal 5 2 2 7 2 3 2 2" xfId="54358" xr:uid="{00000000-0005-0000-0000-0000F4BE0000}"/>
    <cellStyle name="Normal 5 2 2 7 2 3 3" xfId="40796" xr:uid="{00000000-0005-0000-0000-0000F5BE0000}"/>
    <cellStyle name="Normal 5 2 2 7 2 4" xfId="20444" xr:uid="{00000000-0005-0000-0000-0000F6BE0000}"/>
    <cellStyle name="Normal 5 2 2 7 2 4 2" xfId="47577" xr:uid="{00000000-0005-0000-0000-0000F7BE0000}"/>
    <cellStyle name="Normal 5 2 2 7 2 5" xfId="34015" xr:uid="{00000000-0005-0000-0000-0000F8BE0000}"/>
    <cellStyle name="Normal 5 2 2 7 3" xfId="6725" xr:uid="{00000000-0005-0000-0000-0000F9BE0000}"/>
    <cellStyle name="Normal 5 2 2 7 3 2" xfId="10257" xr:uid="{00000000-0005-0000-0000-0000FABE0000}"/>
    <cellStyle name="Normal 5 2 2 7 3 2 2" xfId="17047" xr:uid="{00000000-0005-0000-0000-0000FBBE0000}"/>
    <cellStyle name="Normal 5 2 2 7 3 2 2 2" xfId="30615" xr:uid="{00000000-0005-0000-0000-0000FCBE0000}"/>
    <cellStyle name="Normal 5 2 2 7 3 2 2 2 2" xfId="57748" xr:uid="{00000000-0005-0000-0000-0000FDBE0000}"/>
    <cellStyle name="Normal 5 2 2 7 3 2 2 3" xfId="44186" xr:uid="{00000000-0005-0000-0000-0000FEBE0000}"/>
    <cellStyle name="Normal 5 2 2 7 3 2 3" xfId="23834" xr:uid="{00000000-0005-0000-0000-0000FFBE0000}"/>
    <cellStyle name="Normal 5 2 2 7 3 2 3 2" xfId="50967" xr:uid="{00000000-0005-0000-0000-000000BF0000}"/>
    <cellStyle name="Normal 5 2 2 7 3 2 4" xfId="37405" xr:uid="{00000000-0005-0000-0000-000001BF0000}"/>
    <cellStyle name="Normal 5 2 2 7 3 3" xfId="13658" xr:uid="{00000000-0005-0000-0000-000002BF0000}"/>
    <cellStyle name="Normal 5 2 2 7 3 3 2" xfId="27226" xr:uid="{00000000-0005-0000-0000-000003BF0000}"/>
    <cellStyle name="Normal 5 2 2 7 3 3 2 2" xfId="54359" xr:uid="{00000000-0005-0000-0000-000004BF0000}"/>
    <cellStyle name="Normal 5 2 2 7 3 3 3" xfId="40797" xr:uid="{00000000-0005-0000-0000-000005BF0000}"/>
    <cellStyle name="Normal 5 2 2 7 3 4" xfId="20445" xr:uid="{00000000-0005-0000-0000-000006BF0000}"/>
    <cellStyle name="Normal 5 2 2 7 3 4 2" xfId="47578" xr:uid="{00000000-0005-0000-0000-000007BF0000}"/>
    <cellStyle name="Normal 5 2 2 7 3 5" xfId="34016" xr:uid="{00000000-0005-0000-0000-000008BF0000}"/>
    <cellStyle name="Normal 5 2 2 7 4" xfId="10255" xr:uid="{00000000-0005-0000-0000-000009BF0000}"/>
    <cellStyle name="Normal 5 2 2 7 4 2" xfId="17045" xr:uid="{00000000-0005-0000-0000-00000ABF0000}"/>
    <cellStyle name="Normal 5 2 2 7 4 2 2" xfId="30613" xr:uid="{00000000-0005-0000-0000-00000BBF0000}"/>
    <cellStyle name="Normal 5 2 2 7 4 2 2 2" xfId="57746" xr:uid="{00000000-0005-0000-0000-00000CBF0000}"/>
    <cellStyle name="Normal 5 2 2 7 4 2 3" xfId="44184" xr:uid="{00000000-0005-0000-0000-00000DBF0000}"/>
    <cellStyle name="Normal 5 2 2 7 4 3" xfId="23832" xr:uid="{00000000-0005-0000-0000-00000EBF0000}"/>
    <cellStyle name="Normal 5 2 2 7 4 3 2" xfId="50965" xr:uid="{00000000-0005-0000-0000-00000FBF0000}"/>
    <cellStyle name="Normal 5 2 2 7 4 4" xfId="37403" xr:uid="{00000000-0005-0000-0000-000010BF0000}"/>
    <cellStyle name="Normal 5 2 2 7 5" xfId="13656" xr:uid="{00000000-0005-0000-0000-000011BF0000}"/>
    <cellStyle name="Normal 5 2 2 7 5 2" xfId="27224" xr:uid="{00000000-0005-0000-0000-000012BF0000}"/>
    <cellStyle name="Normal 5 2 2 7 5 2 2" xfId="54357" xr:uid="{00000000-0005-0000-0000-000013BF0000}"/>
    <cellStyle name="Normal 5 2 2 7 5 3" xfId="40795" xr:uid="{00000000-0005-0000-0000-000014BF0000}"/>
    <cellStyle name="Normal 5 2 2 7 6" xfId="20443" xr:uid="{00000000-0005-0000-0000-000015BF0000}"/>
    <cellStyle name="Normal 5 2 2 7 6 2" xfId="47576" xr:uid="{00000000-0005-0000-0000-000016BF0000}"/>
    <cellStyle name="Normal 5 2 2 7 7" xfId="34014" xr:uid="{00000000-0005-0000-0000-000017BF0000}"/>
    <cellStyle name="Normal 5 2 2 8" xfId="6726" xr:uid="{00000000-0005-0000-0000-000018BF0000}"/>
    <cellStyle name="Normal 5 2 2 8 2" xfId="6727" xr:uid="{00000000-0005-0000-0000-000019BF0000}"/>
    <cellStyle name="Normal 5 2 2 8 2 2" xfId="10259" xr:uid="{00000000-0005-0000-0000-00001ABF0000}"/>
    <cellStyle name="Normal 5 2 2 8 2 2 2" xfId="17049" xr:uid="{00000000-0005-0000-0000-00001BBF0000}"/>
    <cellStyle name="Normal 5 2 2 8 2 2 2 2" xfId="30617" xr:uid="{00000000-0005-0000-0000-00001CBF0000}"/>
    <cellStyle name="Normal 5 2 2 8 2 2 2 2 2" xfId="57750" xr:uid="{00000000-0005-0000-0000-00001DBF0000}"/>
    <cellStyle name="Normal 5 2 2 8 2 2 2 3" xfId="44188" xr:uid="{00000000-0005-0000-0000-00001EBF0000}"/>
    <cellStyle name="Normal 5 2 2 8 2 2 3" xfId="23836" xr:uid="{00000000-0005-0000-0000-00001FBF0000}"/>
    <cellStyle name="Normal 5 2 2 8 2 2 3 2" xfId="50969" xr:uid="{00000000-0005-0000-0000-000020BF0000}"/>
    <cellStyle name="Normal 5 2 2 8 2 2 4" xfId="37407" xr:uid="{00000000-0005-0000-0000-000021BF0000}"/>
    <cellStyle name="Normal 5 2 2 8 2 3" xfId="13660" xr:uid="{00000000-0005-0000-0000-000022BF0000}"/>
    <cellStyle name="Normal 5 2 2 8 2 3 2" xfId="27228" xr:uid="{00000000-0005-0000-0000-000023BF0000}"/>
    <cellStyle name="Normal 5 2 2 8 2 3 2 2" xfId="54361" xr:uid="{00000000-0005-0000-0000-000024BF0000}"/>
    <cellStyle name="Normal 5 2 2 8 2 3 3" xfId="40799" xr:uid="{00000000-0005-0000-0000-000025BF0000}"/>
    <cellStyle name="Normal 5 2 2 8 2 4" xfId="20447" xr:uid="{00000000-0005-0000-0000-000026BF0000}"/>
    <cellStyle name="Normal 5 2 2 8 2 4 2" xfId="47580" xr:uid="{00000000-0005-0000-0000-000027BF0000}"/>
    <cellStyle name="Normal 5 2 2 8 2 5" xfId="34018" xr:uid="{00000000-0005-0000-0000-000028BF0000}"/>
    <cellStyle name="Normal 5 2 2 8 3" xfId="6728" xr:uid="{00000000-0005-0000-0000-000029BF0000}"/>
    <cellStyle name="Normal 5 2 2 8 3 2" xfId="10260" xr:uid="{00000000-0005-0000-0000-00002ABF0000}"/>
    <cellStyle name="Normal 5 2 2 8 3 2 2" xfId="17050" xr:uid="{00000000-0005-0000-0000-00002BBF0000}"/>
    <cellStyle name="Normal 5 2 2 8 3 2 2 2" xfId="30618" xr:uid="{00000000-0005-0000-0000-00002CBF0000}"/>
    <cellStyle name="Normal 5 2 2 8 3 2 2 2 2" xfId="57751" xr:uid="{00000000-0005-0000-0000-00002DBF0000}"/>
    <cellStyle name="Normal 5 2 2 8 3 2 2 3" xfId="44189" xr:uid="{00000000-0005-0000-0000-00002EBF0000}"/>
    <cellStyle name="Normal 5 2 2 8 3 2 3" xfId="23837" xr:uid="{00000000-0005-0000-0000-00002FBF0000}"/>
    <cellStyle name="Normal 5 2 2 8 3 2 3 2" xfId="50970" xr:uid="{00000000-0005-0000-0000-000030BF0000}"/>
    <cellStyle name="Normal 5 2 2 8 3 2 4" xfId="37408" xr:uid="{00000000-0005-0000-0000-000031BF0000}"/>
    <cellStyle name="Normal 5 2 2 8 3 3" xfId="13661" xr:uid="{00000000-0005-0000-0000-000032BF0000}"/>
    <cellStyle name="Normal 5 2 2 8 3 3 2" xfId="27229" xr:uid="{00000000-0005-0000-0000-000033BF0000}"/>
    <cellStyle name="Normal 5 2 2 8 3 3 2 2" xfId="54362" xr:uid="{00000000-0005-0000-0000-000034BF0000}"/>
    <cellStyle name="Normal 5 2 2 8 3 3 3" xfId="40800" xr:uid="{00000000-0005-0000-0000-000035BF0000}"/>
    <cellStyle name="Normal 5 2 2 8 3 4" xfId="20448" xr:uid="{00000000-0005-0000-0000-000036BF0000}"/>
    <cellStyle name="Normal 5 2 2 8 3 4 2" xfId="47581" xr:uid="{00000000-0005-0000-0000-000037BF0000}"/>
    <cellStyle name="Normal 5 2 2 8 3 5" xfId="34019" xr:uid="{00000000-0005-0000-0000-000038BF0000}"/>
    <cellStyle name="Normal 5 2 2 8 4" xfId="10258" xr:uid="{00000000-0005-0000-0000-000039BF0000}"/>
    <cellStyle name="Normal 5 2 2 8 4 2" xfId="17048" xr:uid="{00000000-0005-0000-0000-00003ABF0000}"/>
    <cellStyle name="Normal 5 2 2 8 4 2 2" xfId="30616" xr:uid="{00000000-0005-0000-0000-00003BBF0000}"/>
    <cellStyle name="Normal 5 2 2 8 4 2 2 2" xfId="57749" xr:uid="{00000000-0005-0000-0000-00003CBF0000}"/>
    <cellStyle name="Normal 5 2 2 8 4 2 3" xfId="44187" xr:uid="{00000000-0005-0000-0000-00003DBF0000}"/>
    <cellStyle name="Normal 5 2 2 8 4 3" xfId="23835" xr:uid="{00000000-0005-0000-0000-00003EBF0000}"/>
    <cellStyle name="Normal 5 2 2 8 4 3 2" xfId="50968" xr:uid="{00000000-0005-0000-0000-00003FBF0000}"/>
    <cellStyle name="Normal 5 2 2 8 4 4" xfId="37406" xr:uid="{00000000-0005-0000-0000-000040BF0000}"/>
    <cellStyle name="Normal 5 2 2 8 5" xfId="13659" xr:uid="{00000000-0005-0000-0000-000041BF0000}"/>
    <cellStyle name="Normal 5 2 2 8 5 2" xfId="27227" xr:uid="{00000000-0005-0000-0000-000042BF0000}"/>
    <cellStyle name="Normal 5 2 2 8 5 2 2" xfId="54360" xr:uid="{00000000-0005-0000-0000-000043BF0000}"/>
    <cellStyle name="Normal 5 2 2 8 5 3" xfId="40798" xr:uid="{00000000-0005-0000-0000-000044BF0000}"/>
    <cellStyle name="Normal 5 2 2 8 6" xfId="20446" xr:uid="{00000000-0005-0000-0000-000045BF0000}"/>
    <cellStyle name="Normal 5 2 2 8 6 2" xfId="47579" xr:uid="{00000000-0005-0000-0000-000046BF0000}"/>
    <cellStyle name="Normal 5 2 2 8 7" xfId="34017" xr:uid="{00000000-0005-0000-0000-000047BF0000}"/>
    <cellStyle name="Normal 5 2 2 9" xfId="6729" xr:uid="{00000000-0005-0000-0000-000048BF0000}"/>
    <cellStyle name="Normal 5 2 2 9 2" xfId="10261" xr:uid="{00000000-0005-0000-0000-000049BF0000}"/>
    <cellStyle name="Normal 5 2 2 9 2 2" xfId="17051" xr:uid="{00000000-0005-0000-0000-00004ABF0000}"/>
    <cellStyle name="Normal 5 2 2 9 2 2 2" xfId="30619" xr:uid="{00000000-0005-0000-0000-00004BBF0000}"/>
    <cellStyle name="Normal 5 2 2 9 2 2 2 2" xfId="57752" xr:uid="{00000000-0005-0000-0000-00004CBF0000}"/>
    <cellStyle name="Normal 5 2 2 9 2 2 3" xfId="44190" xr:uid="{00000000-0005-0000-0000-00004DBF0000}"/>
    <cellStyle name="Normal 5 2 2 9 2 3" xfId="23838" xr:uid="{00000000-0005-0000-0000-00004EBF0000}"/>
    <cellStyle name="Normal 5 2 2 9 2 3 2" xfId="50971" xr:uid="{00000000-0005-0000-0000-00004FBF0000}"/>
    <cellStyle name="Normal 5 2 2 9 2 4" xfId="37409" xr:uid="{00000000-0005-0000-0000-000050BF0000}"/>
    <cellStyle name="Normal 5 2 2 9 3" xfId="13662" xr:uid="{00000000-0005-0000-0000-000051BF0000}"/>
    <cellStyle name="Normal 5 2 2 9 3 2" xfId="27230" xr:uid="{00000000-0005-0000-0000-000052BF0000}"/>
    <cellStyle name="Normal 5 2 2 9 3 2 2" xfId="54363" xr:uid="{00000000-0005-0000-0000-000053BF0000}"/>
    <cellStyle name="Normal 5 2 2 9 3 3" xfId="40801" xr:uid="{00000000-0005-0000-0000-000054BF0000}"/>
    <cellStyle name="Normal 5 2 2 9 4" xfId="20449" xr:uid="{00000000-0005-0000-0000-000055BF0000}"/>
    <cellStyle name="Normal 5 2 2 9 4 2" xfId="47582" xr:uid="{00000000-0005-0000-0000-000056BF0000}"/>
    <cellStyle name="Normal 5 2 2 9 5" xfId="34020" xr:uid="{00000000-0005-0000-0000-000057BF0000}"/>
    <cellStyle name="Normal 5 2 3" xfId="6730" xr:uid="{00000000-0005-0000-0000-000058BF0000}"/>
    <cellStyle name="Normal 5 2 3 2" xfId="6731" xr:uid="{00000000-0005-0000-0000-000059BF0000}"/>
    <cellStyle name="Normal 5 2 3 2 2" xfId="6732" xr:uid="{00000000-0005-0000-0000-00005ABF0000}"/>
    <cellStyle name="Normal 5 2 3 2 2 2" xfId="10264" xr:uid="{00000000-0005-0000-0000-00005BBF0000}"/>
    <cellStyle name="Normal 5 2 3 2 2 2 2" xfId="17054" xr:uid="{00000000-0005-0000-0000-00005CBF0000}"/>
    <cellStyle name="Normal 5 2 3 2 2 2 2 2" xfId="30622" xr:uid="{00000000-0005-0000-0000-00005DBF0000}"/>
    <cellStyle name="Normal 5 2 3 2 2 2 2 2 2" xfId="57755" xr:uid="{00000000-0005-0000-0000-00005EBF0000}"/>
    <cellStyle name="Normal 5 2 3 2 2 2 2 3" xfId="44193" xr:uid="{00000000-0005-0000-0000-00005FBF0000}"/>
    <cellStyle name="Normal 5 2 3 2 2 2 3" xfId="23841" xr:uid="{00000000-0005-0000-0000-000060BF0000}"/>
    <cellStyle name="Normal 5 2 3 2 2 2 3 2" xfId="50974" xr:uid="{00000000-0005-0000-0000-000061BF0000}"/>
    <cellStyle name="Normal 5 2 3 2 2 2 4" xfId="37412" xr:uid="{00000000-0005-0000-0000-000062BF0000}"/>
    <cellStyle name="Normal 5 2 3 2 2 3" xfId="13665" xr:uid="{00000000-0005-0000-0000-000063BF0000}"/>
    <cellStyle name="Normal 5 2 3 2 2 3 2" xfId="27233" xr:uid="{00000000-0005-0000-0000-000064BF0000}"/>
    <cellStyle name="Normal 5 2 3 2 2 3 2 2" xfId="54366" xr:uid="{00000000-0005-0000-0000-000065BF0000}"/>
    <cellStyle name="Normal 5 2 3 2 2 3 3" xfId="40804" xr:uid="{00000000-0005-0000-0000-000066BF0000}"/>
    <cellStyle name="Normal 5 2 3 2 2 4" xfId="20452" xr:uid="{00000000-0005-0000-0000-000067BF0000}"/>
    <cellStyle name="Normal 5 2 3 2 2 4 2" xfId="47585" xr:uid="{00000000-0005-0000-0000-000068BF0000}"/>
    <cellStyle name="Normal 5 2 3 2 2 5" xfId="34023" xr:uid="{00000000-0005-0000-0000-000069BF0000}"/>
    <cellStyle name="Normal 5 2 3 2 3" xfId="6733" xr:uid="{00000000-0005-0000-0000-00006ABF0000}"/>
    <cellStyle name="Normal 5 2 3 2 3 2" xfId="10265" xr:uid="{00000000-0005-0000-0000-00006BBF0000}"/>
    <cellStyle name="Normal 5 2 3 2 3 2 2" xfId="17055" xr:uid="{00000000-0005-0000-0000-00006CBF0000}"/>
    <cellStyle name="Normal 5 2 3 2 3 2 2 2" xfId="30623" xr:uid="{00000000-0005-0000-0000-00006DBF0000}"/>
    <cellStyle name="Normal 5 2 3 2 3 2 2 2 2" xfId="57756" xr:uid="{00000000-0005-0000-0000-00006EBF0000}"/>
    <cellStyle name="Normal 5 2 3 2 3 2 2 3" xfId="44194" xr:uid="{00000000-0005-0000-0000-00006FBF0000}"/>
    <cellStyle name="Normal 5 2 3 2 3 2 3" xfId="23842" xr:uid="{00000000-0005-0000-0000-000070BF0000}"/>
    <cellStyle name="Normal 5 2 3 2 3 2 3 2" xfId="50975" xr:uid="{00000000-0005-0000-0000-000071BF0000}"/>
    <cellStyle name="Normal 5 2 3 2 3 2 4" xfId="37413" xr:uid="{00000000-0005-0000-0000-000072BF0000}"/>
    <cellStyle name="Normal 5 2 3 2 3 3" xfId="13666" xr:uid="{00000000-0005-0000-0000-000073BF0000}"/>
    <cellStyle name="Normal 5 2 3 2 3 3 2" xfId="27234" xr:uid="{00000000-0005-0000-0000-000074BF0000}"/>
    <cellStyle name="Normal 5 2 3 2 3 3 2 2" xfId="54367" xr:uid="{00000000-0005-0000-0000-000075BF0000}"/>
    <cellStyle name="Normal 5 2 3 2 3 3 3" xfId="40805" xr:uid="{00000000-0005-0000-0000-000076BF0000}"/>
    <cellStyle name="Normal 5 2 3 2 3 4" xfId="20453" xr:uid="{00000000-0005-0000-0000-000077BF0000}"/>
    <cellStyle name="Normal 5 2 3 2 3 4 2" xfId="47586" xr:uid="{00000000-0005-0000-0000-000078BF0000}"/>
    <cellStyle name="Normal 5 2 3 2 3 5" xfId="34024" xr:uid="{00000000-0005-0000-0000-000079BF0000}"/>
    <cellStyle name="Normal 5 2 3 2 4" xfId="10263" xr:uid="{00000000-0005-0000-0000-00007ABF0000}"/>
    <cellStyle name="Normal 5 2 3 2 4 2" xfId="17053" xr:uid="{00000000-0005-0000-0000-00007BBF0000}"/>
    <cellStyle name="Normal 5 2 3 2 4 2 2" xfId="30621" xr:uid="{00000000-0005-0000-0000-00007CBF0000}"/>
    <cellStyle name="Normal 5 2 3 2 4 2 2 2" xfId="57754" xr:uid="{00000000-0005-0000-0000-00007DBF0000}"/>
    <cellStyle name="Normal 5 2 3 2 4 2 3" xfId="44192" xr:uid="{00000000-0005-0000-0000-00007EBF0000}"/>
    <cellStyle name="Normal 5 2 3 2 4 3" xfId="23840" xr:uid="{00000000-0005-0000-0000-00007FBF0000}"/>
    <cellStyle name="Normal 5 2 3 2 4 3 2" xfId="50973" xr:uid="{00000000-0005-0000-0000-000080BF0000}"/>
    <cellStyle name="Normal 5 2 3 2 4 4" xfId="37411" xr:uid="{00000000-0005-0000-0000-000081BF0000}"/>
    <cellStyle name="Normal 5 2 3 2 5" xfId="13664" xr:uid="{00000000-0005-0000-0000-000082BF0000}"/>
    <cellStyle name="Normal 5 2 3 2 5 2" xfId="27232" xr:uid="{00000000-0005-0000-0000-000083BF0000}"/>
    <cellStyle name="Normal 5 2 3 2 5 2 2" xfId="54365" xr:uid="{00000000-0005-0000-0000-000084BF0000}"/>
    <cellStyle name="Normal 5 2 3 2 5 3" xfId="40803" xr:uid="{00000000-0005-0000-0000-000085BF0000}"/>
    <cellStyle name="Normal 5 2 3 2 6" xfId="20451" xr:uid="{00000000-0005-0000-0000-000086BF0000}"/>
    <cellStyle name="Normal 5 2 3 2 6 2" xfId="47584" xr:uid="{00000000-0005-0000-0000-000087BF0000}"/>
    <cellStyle name="Normal 5 2 3 2 7" xfId="34022" xr:uid="{00000000-0005-0000-0000-000088BF0000}"/>
    <cellStyle name="Normal 5 2 3 3" xfId="6734" xr:uid="{00000000-0005-0000-0000-000089BF0000}"/>
    <cellStyle name="Normal 5 2 3 3 2" xfId="6735" xr:uid="{00000000-0005-0000-0000-00008ABF0000}"/>
    <cellStyle name="Normal 5 2 3 3 2 2" xfId="10267" xr:uid="{00000000-0005-0000-0000-00008BBF0000}"/>
    <cellStyle name="Normal 5 2 3 3 2 2 2" xfId="17057" xr:uid="{00000000-0005-0000-0000-00008CBF0000}"/>
    <cellStyle name="Normal 5 2 3 3 2 2 2 2" xfId="30625" xr:uid="{00000000-0005-0000-0000-00008DBF0000}"/>
    <cellStyle name="Normal 5 2 3 3 2 2 2 2 2" xfId="57758" xr:uid="{00000000-0005-0000-0000-00008EBF0000}"/>
    <cellStyle name="Normal 5 2 3 3 2 2 2 3" xfId="44196" xr:uid="{00000000-0005-0000-0000-00008FBF0000}"/>
    <cellStyle name="Normal 5 2 3 3 2 2 3" xfId="23844" xr:uid="{00000000-0005-0000-0000-000090BF0000}"/>
    <cellStyle name="Normal 5 2 3 3 2 2 3 2" xfId="50977" xr:uid="{00000000-0005-0000-0000-000091BF0000}"/>
    <cellStyle name="Normal 5 2 3 3 2 2 4" xfId="37415" xr:uid="{00000000-0005-0000-0000-000092BF0000}"/>
    <cellStyle name="Normal 5 2 3 3 2 3" xfId="13668" xr:uid="{00000000-0005-0000-0000-000093BF0000}"/>
    <cellStyle name="Normal 5 2 3 3 2 3 2" xfId="27236" xr:uid="{00000000-0005-0000-0000-000094BF0000}"/>
    <cellStyle name="Normal 5 2 3 3 2 3 2 2" xfId="54369" xr:uid="{00000000-0005-0000-0000-000095BF0000}"/>
    <cellStyle name="Normal 5 2 3 3 2 3 3" xfId="40807" xr:uid="{00000000-0005-0000-0000-000096BF0000}"/>
    <cellStyle name="Normal 5 2 3 3 2 4" xfId="20455" xr:uid="{00000000-0005-0000-0000-000097BF0000}"/>
    <cellStyle name="Normal 5 2 3 3 2 4 2" xfId="47588" xr:uid="{00000000-0005-0000-0000-000098BF0000}"/>
    <cellStyle name="Normal 5 2 3 3 2 5" xfId="34026" xr:uid="{00000000-0005-0000-0000-000099BF0000}"/>
    <cellStyle name="Normal 5 2 3 3 3" xfId="10266" xr:uid="{00000000-0005-0000-0000-00009ABF0000}"/>
    <cellStyle name="Normal 5 2 3 3 3 2" xfId="17056" xr:uid="{00000000-0005-0000-0000-00009BBF0000}"/>
    <cellStyle name="Normal 5 2 3 3 3 2 2" xfId="30624" xr:uid="{00000000-0005-0000-0000-00009CBF0000}"/>
    <cellStyle name="Normal 5 2 3 3 3 2 2 2" xfId="57757" xr:uid="{00000000-0005-0000-0000-00009DBF0000}"/>
    <cellStyle name="Normal 5 2 3 3 3 2 3" xfId="44195" xr:uid="{00000000-0005-0000-0000-00009EBF0000}"/>
    <cellStyle name="Normal 5 2 3 3 3 3" xfId="23843" xr:uid="{00000000-0005-0000-0000-00009FBF0000}"/>
    <cellStyle name="Normal 5 2 3 3 3 3 2" xfId="50976" xr:uid="{00000000-0005-0000-0000-0000A0BF0000}"/>
    <cellStyle name="Normal 5 2 3 3 3 4" xfId="37414" xr:uid="{00000000-0005-0000-0000-0000A1BF0000}"/>
    <cellStyle name="Normal 5 2 3 3 4" xfId="13667" xr:uid="{00000000-0005-0000-0000-0000A2BF0000}"/>
    <cellStyle name="Normal 5 2 3 3 4 2" xfId="27235" xr:uid="{00000000-0005-0000-0000-0000A3BF0000}"/>
    <cellStyle name="Normal 5 2 3 3 4 2 2" xfId="54368" xr:uid="{00000000-0005-0000-0000-0000A4BF0000}"/>
    <cellStyle name="Normal 5 2 3 3 4 3" xfId="40806" xr:uid="{00000000-0005-0000-0000-0000A5BF0000}"/>
    <cellStyle name="Normal 5 2 3 3 5" xfId="20454" xr:uid="{00000000-0005-0000-0000-0000A6BF0000}"/>
    <cellStyle name="Normal 5 2 3 3 5 2" xfId="47587" xr:uid="{00000000-0005-0000-0000-0000A7BF0000}"/>
    <cellStyle name="Normal 5 2 3 3 6" xfId="34025" xr:uid="{00000000-0005-0000-0000-0000A8BF0000}"/>
    <cellStyle name="Normal 5 2 3 4" xfId="6736" xr:uid="{00000000-0005-0000-0000-0000A9BF0000}"/>
    <cellStyle name="Normal 5 2 3 4 2" xfId="10268" xr:uid="{00000000-0005-0000-0000-0000AABF0000}"/>
    <cellStyle name="Normal 5 2 3 4 2 2" xfId="17058" xr:uid="{00000000-0005-0000-0000-0000ABBF0000}"/>
    <cellStyle name="Normal 5 2 3 4 2 2 2" xfId="30626" xr:uid="{00000000-0005-0000-0000-0000ACBF0000}"/>
    <cellStyle name="Normal 5 2 3 4 2 2 2 2" xfId="57759" xr:uid="{00000000-0005-0000-0000-0000ADBF0000}"/>
    <cellStyle name="Normal 5 2 3 4 2 2 3" xfId="44197" xr:uid="{00000000-0005-0000-0000-0000AEBF0000}"/>
    <cellStyle name="Normal 5 2 3 4 2 3" xfId="23845" xr:uid="{00000000-0005-0000-0000-0000AFBF0000}"/>
    <cellStyle name="Normal 5 2 3 4 2 3 2" xfId="50978" xr:uid="{00000000-0005-0000-0000-0000B0BF0000}"/>
    <cellStyle name="Normal 5 2 3 4 2 4" xfId="37416" xr:uid="{00000000-0005-0000-0000-0000B1BF0000}"/>
    <cellStyle name="Normal 5 2 3 4 3" xfId="13669" xr:uid="{00000000-0005-0000-0000-0000B2BF0000}"/>
    <cellStyle name="Normal 5 2 3 4 3 2" xfId="27237" xr:uid="{00000000-0005-0000-0000-0000B3BF0000}"/>
    <cellStyle name="Normal 5 2 3 4 3 2 2" xfId="54370" xr:uid="{00000000-0005-0000-0000-0000B4BF0000}"/>
    <cellStyle name="Normal 5 2 3 4 3 3" xfId="40808" xr:uid="{00000000-0005-0000-0000-0000B5BF0000}"/>
    <cellStyle name="Normal 5 2 3 4 4" xfId="20456" xr:uid="{00000000-0005-0000-0000-0000B6BF0000}"/>
    <cellStyle name="Normal 5 2 3 4 4 2" xfId="47589" xr:uid="{00000000-0005-0000-0000-0000B7BF0000}"/>
    <cellStyle name="Normal 5 2 3 4 5" xfId="34027" xr:uid="{00000000-0005-0000-0000-0000B8BF0000}"/>
    <cellStyle name="Normal 5 2 3 5" xfId="6737" xr:uid="{00000000-0005-0000-0000-0000B9BF0000}"/>
    <cellStyle name="Normal 5 2 3 5 2" xfId="10269" xr:uid="{00000000-0005-0000-0000-0000BABF0000}"/>
    <cellStyle name="Normal 5 2 3 5 2 2" xfId="17059" xr:uid="{00000000-0005-0000-0000-0000BBBF0000}"/>
    <cellStyle name="Normal 5 2 3 5 2 2 2" xfId="30627" xr:uid="{00000000-0005-0000-0000-0000BCBF0000}"/>
    <cellStyle name="Normal 5 2 3 5 2 2 2 2" xfId="57760" xr:uid="{00000000-0005-0000-0000-0000BDBF0000}"/>
    <cellStyle name="Normal 5 2 3 5 2 2 3" xfId="44198" xr:uid="{00000000-0005-0000-0000-0000BEBF0000}"/>
    <cellStyle name="Normal 5 2 3 5 2 3" xfId="23846" xr:uid="{00000000-0005-0000-0000-0000BFBF0000}"/>
    <cellStyle name="Normal 5 2 3 5 2 3 2" xfId="50979" xr:uid="{00000000-0005-0000-0000-0000C0BF0000}"/>
    <cellStyle name="Normal 5 2 3 5 2 4" xfId="37417" xr:uid="{00000000-0005-0000-0000-0000C1BF0000}"/>
    <cellStyle name="Normal 5 2 3 5 3" xfId="13670" xr:uid="{00000000-0005-0000-0000-0000C2BF0000}"/>
    <cellStyle name="Normal 5 2 3 5 3 2" xfId="27238" xr:uid="{00000000-0005-0000-0000-0000C3BF0000}"/>
    <cellStyle name="Normal 5 2 3 5 3 2 2" xfId="54371" xr:uid="{00000000-0005-0000-0000-0000C4BF0000}"/>
    <cellStyle name="Normal 5 2 3 5 3 3" xfId="40809" xr:uid="{00000000-0005-0000-0000-0000C5BF0000}"/>
    <cellStyle name="Normal 5 2 3 5 4" xfId="20457" xr:uid="{00000000-0005-0000-0000-0000C6BF0000}"/>
    <cellStyle name="Normal 5 2 3 5 4 2" xfId="47590" xr:uid="{00000000-0005-0000-0000-0000C7BF0000}"/>
    <cellStyle name="Normal 5 2 3 5 5" xfId="34028" xr:uid="{00000000-0005-0000-0000-0000C8BF0000}"/>
    <cellStyle name="Normal 5 2 3 6" xfId="10262" xr:uid="{00000000-0005-0000-0000-0000C9BF0000}"/>
    <cellStyle name="Normal 5 2 3 6 2" xfId="17052" xr:uid="{00000000-0005-0000-0000-0000CABF0000}"/>
    <cellStyle name="Normal 5 2 3 6 2 2" xfId="30620" xr:uid="{00000000-0005-0000-0000-0000CBBF0000}"/>
    <cellStyle name="Normal 5 2 3 6 2 2 2" xfId="57753" xr:uid="{00000000-0005-0000-0000-0000CCBF0000}"/>
    <cellStyle name="Normal 5 2 3 6 2 3" xfId="44191" xr:uid="{00000000-0005-0000-0000-0000CDBF0000}"/>
    <cellStyle name="Normal 5 2 3 6 3" xfId="23839" xr:uid="{00000000-0005-0000-0000-0000CEBF0000}"/>
    <cellStyle name="Normal 5 2 3 6 3 2" xfId="50972" xr:uid="{00000000-0005-0000-0000-0000CFBF0000}"/>
    <cellStyle name="Normal 5 2 3 6 4" xfId="37410" xr:uid="{00000000-0005-0000-0000-0000D0BF0000}"/>
    <cellStyle name="Normal 5 2 3 7" xfId="13663" xr:uid="{00000000-0005-0000-0000-0000D1BF0000}"/>
    <cellStyle name="Normal 5 2 3 7 2" xfId="27231" xr:uid="{00000000-0005-0000-0000-0000D2BF0000}"/>
    <cellStyle name="Normal 5 2 3 7 2 2" xfId="54364" xr:uid="{00000000-0005-0000-0000-0000D3BF0000}"/>
    <cellStyle name="Normal 5 2 3 7 3" xfId="40802" xr:uid="{00000000-0005-0000-0000-0000D4BF0000}"/>
    <cellStyle name="Normal 5 2 3 8" xfId="20450" xr:uid="{00000000-0005-0000-0000-0000D5BF0000}"/>
    <cellStyle name="Normal 5 2 3 8 2" xfId="47583" xr:uid="{00000000-0005-0000-0000-0000D6BF0000}"/>
    <cellStyle name="Normal 5 2 3 9" xfId="34021" xr:uid="{00000000-0005-0000-0000-0000D7BF0000}"/>
    <cellStyle name="Normal 5 2 4" xfId="6738" xr:uid="{00000000-0005-0000-0000-0000D8BF0000}"/>
    <cellStyle name="Normal 5 2 5" xfId="6739" xr:uid="{00000000-0005-0000-0000-0000D9BF0000}"/>
    <cellStyle name="Normal 5 2 5 2" xfId="6740" xr:uid="{00000000-0005-0000-0000-0000DABF0000}"/>
    <cellStyle name="Normal 5 2 5 2 2" xfId="10271" xr:uid="{00000000-0005-0000-0000-0000DBBF0000}"/>
    <cellStyle name="Normal 5 2 5 2 2 2" xfId="17061" xr:uid="{00000000-0005-0000-0000-0000DCBF0000}"/>
    <cellStyle name="Normal 5 2 5 2 2 2 2" xfId="30629" xr:uid="{00000000-0005-0000-0000-0000DDBF0000}"/>
    <cellStyle name="Normal 5 2 5 2 2 2 2 2" xfId="57762" xr:uid="{00000000-0005-0000-0000-0000DEBF0000}"/>
    <cellStyle name="Normal 5 2 5 2 2 2 3" xfId="44200" xr:uid="{00000000-0005-0000-0000-0000DFBF0000}"/>
    <cellStyle name="Normal 5 2 5 2 2 3" xfId="23848" xr:uid="{00000000-0005-0000-0000-0000E0BF0000}"/>
    <cellStyle name="Normal 5 2 5 2 2 3 2" xfId="50981" xr:uid="{00000000-0005-0000-0000-0000E1BF0000}"/>
    <cellStyle name="Normal 5 2 5 2 2 4" xfId="37419" xr:uid="{00000000-0005-0000-0000-0000E2BF0000}"/>
    <cellStyle name="Normal 5 2 5 2 3" xfId="13672" xr:uid="{00000000-0005-0000-0000-0000E3BF0000}"/>
    <cellStyle name="Normal 5 2 5 2 3 2" xfId="27240" xr:uid="{00000000-0005-0000-0000-0000E4BF0000}"/>
    <cellStyle name="Normal 5 2 5 2 3 2 2" xfId="54373" xr:uid="{00000000-0005-0000-0000-0000E5BF0000}"/>
    <cellStyle name="Normal 5 2 5 2 3 3" xfId="40811" xr:uid="{00000000-0005-0000-0000-0000E6BF0000}"/>
    <cellStyle name="Normal 5 2 5 2 4" xfId="20459" xr:uid="{00000000-0005-0000-0000-0000E7BF0000}"/>
    <cellStyle name="Normal 5 2 5 2 4 2" xfId="47592" xr:uid="{00000000-0005-0000-0000-0000E8BF0000}"/>
    <cellStyle name="Normal 5 2 5 2 5" xfId="34030" xr:uid="{00000000-0005-0000-0000-0000E9BF0000}"/>
    <cellStyle name="Normal 5 2 5 3" xfId="6741" xr:uid="{00000000-0005-0000-0000-0000EABF0000}"/>
    <cellStyle name="Normal 5 2 5 3 2" xfId="10272" xr:uid="{00000000-0005-0000-0000-0000EBBF0000}"/>
    <cellStyle name="Normal 5 2 5 3 2 2" xfId="17062" xr:uid="{00000000-0005-0000-0000-0000ECBF0000}"/>
    <cellStyle name="Normal 5 2 5 3 2 2 2" xfId="30630" xr:uid="{00000000-0005-0000-0000-0000EDBF0000}"/>
    <cellStyle name="Normal 5 2 5 3 2 2 2 2" xfId="57763" xr:uid="{00000000-0005-0000-0000-0000EEBF0000}"/>
    <cellStyle name="Normal 5 2 5 3 2 2 3" xfId="44201" xr:uid="{00000000-0005-0000-0000-0000EFBF0000}"/>
    <cellStyle name="Normal 5 2 5 3 2 3" xfId="23849" xr:uid="{00000000-0005-0000-0000-0000F0BF0000}"/>
    <cellStyle name="Normal 5 2 5 3 2 3 2" xfId="50982" xr:uid="{00000000-0005-0000-0000-0000F1BF0000}"/>
    <cellStyle name="Normal 5 2 5 3 2 4" xfId="37420" xr:uid="{00000000-0005-0000-0000-0000F2BF0000}"/>
    <cellStyle name="Normal 5 2 5 3 3" xfId="13673" xr:uid="{00000000-0005-0000-0000-0000F3BF0000}"/>
    <cellStyle name="Normal 5 2 5 3 3 2" xfId="27241" xr:uid="{00000000-0005-0000-0000-0000F4BF0000}"/>
    <cellStyle name="Normal 5 2 5 3 3 2 2" xfId="54374" xr:uid="{00000000-0005-0000-0000-0000F5BF0000}"/>
    <cellStyle name="Normal 5 2 5 3 3 3" xfId="40812" xr:uid="{00000000-0005-0000-0000-0000F6BF0000}"/>
    <cellStyle name="Normal 5 2 5 3 4" xfId="20460" xr:uid="{00000000-0005-0000-0000-0000F7BF0000}"/>
    <cellStyle name="Normal 5 2 5 3 4 2" xfId="47593" xr:uid="{00000000-0005-0000-0000-0000F8BF0000}"/>
    <cellStyle name="Normal 5 2 5 3 5" xfId="34031" xr:uid="{00000000-0005-0000-0000-0000F9BF0000}"/>
    <cellStyle name="Normal 5 2 5 4" xfId="10270" xr:uid="{00000000-0005-0000-0000-0000FABF0000}"/>
    <cellStyle name="Normal 5 2 5 4 2" xfId="17060" xr:uid="{00000000-0005-0000-0000-0000FBBF0000}"/>
    <cellStyle name="Normal 5 2 5 4 2 2" xfId="30628" xr:uid="{00000000-0005-0000-0000-0000FCBF0000}"/>
    <cellStyle name="Normal 5 2 5 4 2 2 2" xfId="57761" xr:uid="{00000000-0005-0000-0000-0000FDBF0000}"/>
    <cellStyle name="Normal 5 2 5 4 2 3" xfId="44199" xr:uid="{00000000-0005-0000-0000-0000FEBF0000}"/>
    <cellStyle name="Normal 5 2 5 4 3" xfId="23847" xr:uid="{00000000-0005-0000-0000-0000FFBF0000}"/>
    <cellStyle name="Normal 5 2 5 4 3 2" xfId="50980" xr:uid="{00000000-0005-0000-0000-000000C00000}"/>
    <cellStyle name="Normal 5 2 5 4 4" xfId="37418" xr:uid="{00000000-0005-0000-0000-000001C00000}"/>
    <cellStyle name="Normal 5 2 5 5" xfId="13671" xr:uid="{00000000-0005-0000-0000-000002C00000}"/>
    <cellStyle name="Normal 5 2 5 5 2" xfId="27239" xr:uid="{00000000-0005-0000-0000-000003C00000}"/>
    <cellStyle name="Normal 5 2 5 5 2 2" xfId="54372" xr:uid="{00000000-0005-0000-0000-000004C00000}"/>
    <cellStyle name="Normal 5 2 5 5 3" xfId="40810" xr:uid="{00000000-0005-0000-0000-000005C00000}"/>
    <cellStyle name="Normal 5 2 5 6" xfId="20458" xr:uid="{00000000-0005-0000-0000-000006C00000}"/>
    <cellStyle name="Normal 5 2 5 6 2" xfId="47591" xr:uid="{00000000-0005-0000-0000-000007C00000}"/>
    <cellStyle name="Normal 5 2 5 7" xfId="34029" xr:uid="{00000000-0005-0000-0000-000008C00000}"/>
    <cellStyle name="Normal 5 2 6" xfId="6742" xr:uid="{00000000-0005-0000-0000-000009C00000}"/>
    <cellStyle name="Normal 5 2 6 2" xfId="10273" xr:uid="{00000000-0005-0000-0000-00000AC00000}"/>
    <cellStyle name="Normal 5 2 6 2 2" xfId="17063" xr:uid="{00000000-0005-0000-0000-00000BC00000}"/>
    <cellStyle name="Normal 5 2 6 2 2 2" xfId="30631" xr:uid="{00000000-0005-0000-0000-00000CC00000}"/>
    <cellStyle name="Normal 5 2 6 2 2 2 2" xfId="57764" xr:uid="{00000000-0005-0000-0000-00000DC00000}"/>
    <cellStyle name="Normal 5 2 6 2 2 3" xfId="44202" xr:uid="{00000000-0005-0000-0000-00000EC00000}"/>
    <cellStyle name="Normal 5 2 6 2 3" xfId="23850" xr:uid="{00000000-0005-0000-0000-00000FC00000}"/>
    <cellStyle name="Normal 5 2 6 2 3 2" xfId="50983" xr:uid="{00000000-0005-0000-0000-000010C00000}"/>
    <cellStyle name="Normal 5 2 6 2 4" xfId="37421" xr:uid="{00000000-0005-0000-0000-000011C00000}"/>
    <cellStyle name="Normal 5 2 6 3" xfId="13674" xr:uid="{00000000-0005-0000-0000-000012C00000}"/>
    <cellStyle name="Normal 5 2 6 3 2" xfId="27242" xr:uid="{00000000-0005-0000-0000-000013C00000}"/>
    <cellStyle name="Normal 5 2 6 3 2 2" xfId="54375" xr:uid="{00000000-0005-0000-0000-000014C00000}"/>
    <cellStyle name="Normal 5 2 6 3 3" xfId="40813" xr:uid="{00000000-0005-0000-0000-000015C00000}"/>
    <cellStyle name="Normal 5 2 6 4" xfId="20461" xr:uid="{00000000-0005-0000-0000-000016C00000}"/>
    <cellStyle name="Normal 5 2 6 4 2" xfId="47594" xr:uid="{00000000-0005-0000-0000-000017C00000}"/>
    <cellStyle name="Normal 5 2 6 5" xfId="34032" xr:uid="{00000000-0005-0000-0000-000018C00000}"/>
    <cellStyle name="Normal 5 2 7" xfId="6743" xr:uid="{00000000-0005-0000-0000-000019C00000}"/>
    <cellStyle name="Normal 5 2 7 2" xfId="10274" xr:uid="{00000000-0005-0000-0000-00001AC00000}"/>
    <cellStyle name="Normal 5 2 7 2 2" xfId="17064" xr:uid="{00000000-0005-0000-0000-00001BC00000}"/>
    <cellStyle name="Normal 5 2 7 2 2 2" xfId="30632" xr:uid="{00000000-0005-0000-0000-00001CC00000}"/>
    <cellStyle name="Normal 5 2 7 2 2 2 2" xfId="57765" xr:uid="{00000000-0005-0000-0000-00001DC00000}"/>
    <cellStyle name="Normal 5 2 7 2 2 3" xfId="44203" xr:uid="{00000000-0005-0000-0000-00001EC00000}"/>
    <cellStyle name="Normal 5 2 7 2 3" xfId="23851" xr:uid="{00000000-0005-0000-0000-00001FC00000}"/>
    <cellStyle name="Normal 5 2 7 2 3 2" xfId="50984" xr:uid="{00000000-0005-0000-0000-000020C00000}"/>
    <cellStyle name="Normal 5 2 7 2 4" xfId="37422" xr:uid="{00000000-0005-0000-0000-000021C00000}"/>
    <cellStyle name="Normal 5 2 7 3" xfId="13675" xr:uid="{00000000-0005-0000-0000-000022C00000}"/>
    <cellStyle name="Normal 5 2 7 3 2" xfId="27243" xr:uid="{00000000-0005-0000-0000-000023C00000}"/>
    <cellStyle name="Normal 5 2 7 3 2 2" xfId="54376" xr:uid="{00000000-0005-0000-0000-000024C00000}"/>
    <cellStyle name="Normal 5 2 7 3 3" xfId="40814" xr:uid="{00000000-0005-0000-0000-000025C00000}"/>
    <cellStyle name="Normal 5 2 7 4" xfId="20462" xr:uid="{00000000-0005-0000-0000-000026C00000}"/>
    <cellStyle name="Normal 5 2 7 4 2" xfId="47595" xr:uid="{00000000-0005-0000-0000-000027C00000}"/>
    <cellStyle name="Normal 5 2 7 5" xfId="34033" xr:uid="{00000000-0005-0000-0000-000028C00000}"/>
    <cellStyle name="Normal 5 20" xfId="7448" xr:uid="{00000000-0005-0000-0000-000029C00000}"/>
    <cellStyle name="Normal 5 20 2" xfId="10843" xr:uid="{00000000-0005-0000-0000-00002AC00000}"/>
    <cellStyle name="Normal 5 20 2 2" xfId="17633" xr:uid="{00000000-0005-0000-0000-00002BC00000}"/>
    <cellStyle name="Normal 5 20 2 2 2" xfId="31201" xr:uid="{00000000-0005-0000-0000-00002CC00000}"/>
    <cellStyle name="Normal 5 20 2 2 2 2" xfId="58334" xr:uid="{00000000-0005-0000-0000-00002DC00000}"/>
    <cellStyle name="Normal 5 20 2 2 3" xfId="44772" xr:uid="{00000000-0005-0000-0000-00002EC00000}"/>
    <cellStyle name="Normal 5 20 2 3" xfId="24420" xr:uid="{00000000-0005-0000-0000-00002FC00000}"/>
    <cellStyle name="Normal 5 20 2 3 2" xfId="51553" xr:uid="{00000000-0005-0000-0000-000030C00000}"/>
    <cellStyle name="Normal 5 20 2 4" xfId="37991" xr:uid="{00000000-0005-0000-0000-000031C00000}"/>
    <cellStyle name="Normal 5 20 3" xfId="14244" xr:uid="{00000000-0005-0000-0000-000032C00000}"/>
    <cellStyle name="Normal 5 20 3 2" xfId="27812" xr:uid="{00000000-0005-0000-0000-000033C00000}"/>
    <cellStyle name="Normal 5 20 3 2 2" xfId="54945" xr:uid="{00000000-0005-0000-0000-000034C00000}"/>
    <cellStyle name="Normal 5 20 3 3" xfId="41383" xr:uid="{00000000-0005-0000-0000-000035C00000}"/>
    <cellStyle name="Normal 5 20 4" xfId="21031" xr:uid="{00000000-0005-0000-0000-000036C00000}"/>
    <cellStyle name="Normal 5 20 4 2" xfId="48164" xr:uid="{00000000-0005-0000-0000-000037C00000}"/>
    <cellStyle name="Normal 5 20 5" xfId="34602" xr:uid="{00000000-0005-0000-0000-000038C00000}"/>
    <cellStyle name="Normal 5 3" xfId="21" xr:uid="{00000000-0005-0000-0000-000039C00000}"/>
    <cellStyle name="Normal 5 3 10" xfId="6744" xr:uid="{00000000-0005-0000-0000-00003AC00000}"/>
    <cellStyle name="Normal 5 3 10 2" xfId="10275" xr:uid="{00000000-0005-0000-0000-00003BC00000}"/>
    <cellStyle name="Normal 5 3 10 2 2" xfId="17065" xr:uid="{00000000-0005-0000-0000-00003CC00000}"/>
    <cellStyle name="Normal 5 3 10 2 2 2" xfId="30633" xr:uid="{00000000-0005-0000-0000-00003DC00000}"/>
    <cellStyle name="Normal 5 3 10 2 2 2 2" xfId="57766" xr:uid="{00000000-0005-0000-0000-00003EC00000}"/>
    <cellStyle name="Normal 5 3 10 2 2 3" xfId="44204" xr:uid="{00000000-0005-0000-0000-00003FC00000}"/>
    <cellStyle name="Normal 5 3 10 2 3" xfId="23852" xr:uid="{00000000-0005-0000-0000-000040C00000}"/>
    <cellStyle name="Normal 5 3 10 2 3 2" xfId="50985" xr:uid="{00000000-0005-0000-0000-000041C00000}"/>
    <cellStyle name="Normal 5 3 10 2 4" xfId="37423" xr:uid="{00000000-0005-0000-0000-000042C00000}"/>
    <cellStyle name="Normal 5 3 10 3" xfId="13676" xr:uid="{00000000-0005-0000-0000-000043C00000}"/>
    <cellStyle name="Normal 5 3 10 3 2" xfId="27244" xr:uid="{00000000-0005-0000-0000-000044C00000}"/>
    <cellStyle name="Normal 5 3 10 3 2 2" xfId="54377" xr:uid="{00000000-0005-0000-0000-000045C00000}"/>
    <cellStyle name="Normal 5 3 10 3 3" xfId="40815" xr:uid="{00000000-0005-0000-0000-000046C00000}"/>
    <cellStyle name="Normal 5 3 10 4" xfId="20463" xr:uid="{00000000-0005-0000-0000-000047C00000}"/>
    <cellStyle name="Normal 5 3 10 4 2" xfId="47596" xr:uid="{00000000-0005-0000-0000-000048C00000}"/>
    <cellStyle name="Normal 5 3 10 5" xfId="34034" xr:uid="{00000000-0005-0000-0000-000049C00000}"/>
    <cellStyle name="Normal 5 3 11" xfId="203" xr:uid="{00000000-0005-0000-0000-00004AC00000}"/>
    <cellStyle name="Normal 5 3 2" xfId="6745" xr:uid="{00000000-0005-0000-0000-00004BC00000}"/>
    <cellStyle name="Normal 5 3 2 10" xfId="13677" xr:uid="{00000000-0005-0000-0000-00004CC00000}"/>
    <cellStyle name="Normal 5 3 2 10 2" xfId="27245" xr:uid="{00000000-0005-0000-0000-00004DC00000}"/>
    <cellStyle name="Normal 5 3 2 10 2 2" xfId="54378" xr:uid="{00000000-0005-0000-0000-00004EC00000}"/>
    <cellStyle name="Normal 5 3 2 10 3" xfId="40816" xr:uid="{00000000-0005-0000-0000-00004FC00000}"/>
    <cellStyle name="Normal 5 3 2 11" xfId="20464" xr:uid="{00000000-0005-0000-0000-000050C00000}"/>
    <cellStyle name="Normal 5 3 2 11 2" xfId="47597" xr:uid="{00000000-0005-0000-0000-000051C00000}"/>
    <cellStyle name="Normal 5 3 2 12" xfId="34035" xr:uid="{00000000-0005-0000-0000-000052C00000}"/>
    <cellStyle name="Normal 5 3 2 2" xfId="6746" xr:uid="{00000000-0005-0000-0000-000053C00000}"/>
    <cellStyle name="Normal 5 3 2 2 10" xfId="34036" xr:uid="{00000000-0005-0000-0000-000054C00000}"/>
    <cellStyle name="Normal 5 3 2 2 2" xfId="6747" xr:uid="{00000000-0005-0000-0000-000055C00000}"/>
    <cellStyle name="Normal 5 3 2 2 2 2" xfId="6748" xr:uid="{00000000-0005-0000-0000-000056C00000}"/>
    <cellStyle name="Normal 5 3 2 2 2 2 2" xfId="6749" xr:uid="{00000000-0005-0000-0000-000057C00000}"/>
    <cellStyle name="Normal 5 3 2 2 2 2 2 2" xfId="10280" xr:uid="{00000000-0005-0000-0000-000058C00000}"/>
    <cellStyle name="Normal 5 3 2 2 2 2 2 2 2" xfId="17070" xr:uid="{00000000-0005-0000-0000-000059C00000}"/>
    <cellStyle name="Normal 5 3 2 2 2 2 2 2 2 2" xfId="30638" xr:uid="{00000000-0005-0000-0000-00005AC00000}"/>
    <cellStyle name="Normal 5 3 2 2 2 2 2 2 2 2 2" xfId="57771" xr:uid="{00000000-0005-0000-0000-00005BC00000}"/>
    <cellStyle name="Normal 5 3 2 2 2 2 2 2 2 3" xfId="44209" xr:uid="{00000000-0005-0000-0000-00005CC00000}"/>
    <cellStyle name="Normal 5 3 2 2 2 2 2 2 3" xfId="23857" xr:uid="{00000000-0005-0000-0000-00005DC00000}"/>
    <cellStyle name="Normal 5 3 2 2 2 2 2 2 3 2" xfId="50990" xr:uid="{00000000-0005-0000-0000-00005EC00000}"/>
    <cellStyle name="Normal 5 3 2 2 2 2 2 2 4" xfId="37428" xr:uid="{00000000-0005-0000-0000-00005FC00000}"/>
    <cellStyle name="Normal 5 3 2 2 2 2 2 3" xfId="13681" xr:uid="{00000000-0005-0000-0000-000060C00000}"/>
    <cellStyle name="Normal 5 3 2 2 2 2 2 3 2" xfId="27249" xr:uid="{00000000-0005-0000-0000-000061C00000}"/>
    <cellStyle name="Normal 5 3 2 2 2 2 2 3 2 2" xfId="54382" xr:uid="{00000000-0005-0000-0000-000062C00000}"/>
    <cellStyle name="Normal 5 3 2 2 2 2 2 3 3" xfId="40820" xr:uid="{00000000-0005-0000-0000-000063C00000}"/>
    <cellStyle name="Normal 5 3 2 2 2 2 2 4" xfId="20468" xr:uid="{00000000-0005-0000-0000-000064C00000}"/>
    <cellStyle name="Normal 5 3 2 2 2 2 2 4 2" xfId="47601" xr:uid="{00000000-0005-0000-0000-000065C00000}"/>
    <cellStyle name="Normal 5 3 2 2 2 2 2 5" xfId="34039" xr:uid="{00000000-0005-0000-0000-000066C00000}"/>
    <cellStyle name="Normal 5 3 2 2 2 2 3" xfId="6750" xr:uid="{00000000-0005-0000-0000-000067C00000}"/>
    <cellStyle name="Normal 5 3 2 2 2 2 3 2" xfId="10281" xr:uid="{00000000-0005-0000-0000-000068C00000}"/>
    <cellStyle name="Normal 5 3 2 2 2 2 3 2 2" xfId="17071" xr:uid="{00000000-0005-0000-0000-000069C00000}"/>
    <cellStyle name="Normal 5 3 2 2 2 2 3 2 2 2" xfId="30639" xr:uid="{00000000-0005-0000-0000-00006AC00000}"/>
    <cellStyle name="Normal 5 3 2 2 2 2 3 2 2 2 2" xfId="57772" xr:uid="{00000000-0005-0000-0000-00006BC00000}"/>
    <cellStyle name="Normal 5 3 2 2 2 2 3 2 2 3" xfId="44210" xr:uid="{00000000-0005-0000-0000-00006CC00000}"/>
    <cellStyle name="Normal 5 3 2 2 2 2 3 2 3" xfId="23858" xr:uid="{00000000-0005-0000-0000-00006DC00000}"/>
    <cellStyle name="Normal 5 3 2 2 2 2 3 2 3 2" xfId="50991" xr:uid="{00000000-0005-0000-0000-00006EC00000}"/>
    <cellStyle name="Normal 5 3 2 2 2 2 3 2 4" xfId="37429" xr:uid="{00000000-0005-0000-0000-00006FC00000}"/>
    <cellStyle name="Normal 5 3 2 2 2 2 3 3" xfId="13682" xr:uid="{00000000-0005-0000-0000-000070C00000}"/>
    <cellStyle name="Normal 5 3 2 2 2 2 3 3 2" xfId="27250" xr:uid="{00000000-0005-0000-0000-000071C00000}"/>
    <cellStyle name="Normal 5 3 2 2 2 2 3 3 2 2" xfId="54383" xr:uid="{00000000-0005-0000-0000-000072C00000}"/>
    <cellStyle name="Normal 5 3 2 2 2 2 3 3 3" xfId="40821" xr:uid="{00000000-0005-0000-0000-000073C00000}"/>
    <cellStyle name="Normal 5 3 2 2 2 2 3 4" xfId="20469" xr:uid="{00000000-0005-0000-0000-000074C00000}"/>
    <cellStyle name="Normal 5 3 2 2 2 2 3 4 2" xfId="47602" xr:uid="{00000000-0005-0000-0000-000075C00000}"/>
    <cellStyle name="Normal 5 3 2 2 2 2 3 5" xfId="34040" xr:uid="{00000000-0005-0000-0000-000076C00000}"/>
    <cellStyle name="Normal 5 3 2 2 2 2 4" xfId="10279" xr:uid="{00000000-0005-0000-0000-000077C00000}"/>
    <cellStyle name="Normal 5 3 2 2 2 2 4 2" xfId="17069" xr:uid="{00000000-0005-0000-0000-000078C00000}"/>
    <cellStyle name="Normal 5 3 2 2 2 2 4 2 2" xfId="30637" xr:uid="{00000000-0005-0000-0000-000079C00000}"/>
    <cellStyle name="Normal 5 3 2 2 2 2 4 2 2 2" xfId="57770" xr:uid="{00000000-0005-0000-0000-00007AC00000}"/>
    <cellStyle name="Normal 5 3 2 2 2 2 4 2 3" xfId="44208" xr:uid="{00000000-0005-0000-0000-00007BC00000}"/>
    <cellStyle name="Normal 5 3 2 2 2 2 4 3" xfId="23856" xr:uid="{00000000-0005-0000-0000-00007CC00000}"/>
    <cellStyle name="Normal 5 3 2 2 2 2 4 3 2" xfId="50989" xr:uid="{00000000-0005-0000-0000-00007DC00000}"/>
    <cellStyle name="Normal 5 3 2 2 2 2 4 4" xfId="37427" xr:uid="{00000000-0005-0000-0000-00007EC00000}"/>
    <cellStyle name="Normal 5 3 2 2 2 2 5" xfId="13680" xr:uid="{00000000-0005-0000-0000-00007FC00000}"/>
    <cellStyle name="Normal 5 3 2 2 2 2 5 2" xfId="27248" xr:uid="{00000000-0005-0000-0000-000080C00000}"/>
    <cellStyle name="Normal 5 3 2 2 2 2 5 2 2" xfId="54381" xr:uid="{00000000-0005-0000-0000-000081C00000}"/>
    <cellStyle name="Normal 5 3 2 2 2 2 5 3" xfId="40819" xr:uid="{00000000-0005-0000-0000-000082C00000}"/>
    <cellStyle name="Normal 5 3 2 2 2 2 6" xfId="20467" xr:uid="{00000000-0005-0000-0000-000083C00000}"/>
    <cellStyle name="Normal 5 3 2 2 2 2 6 2" xfId="47600" xr:uid="{00000000-0005-0000-0000-000084C00000}"/>
    <cellStyle name="Normal 5 3 2 2 2 2 7" xfId="34038" xr:uid="{00000000-0005-0000-0000-000085C00000}"/>
    <cellStyle name="Normal 5 3 2 2 2 3" xfId="6751" xr:uid="{00000000-0005-0000-0000-000086C00000}"/>
    <cellStyle name="Normal 5 3 2 2 2 3 2" xfId="6752" xr:uid="{00000000-0005-0000-0000-000087C00000}"/>
    <cellStyle name="Normal 5 3 2 2 2 3 2 2" xfId="10283" xr:uid="{00000000-0005-0000-0000-000088C00000}"/>
    <cellStyle name="Normal 5 3 2 2 2 3 2 2 2" xfId="17073" xr:uid="{00000000-0005-0000-0000-000089C00000}"/>
    <cellStyle name="Normal 5 3 2 2 2 3 2 2 2 2" xfId="30641" xr:uid="{00000000-0005-0000-0000-00008AC00000}"/>
    <cellStyle name="Normal 5 3 2 2 2 3 2 2 2 2 2" xfId="57774" xr:uid="{00000000-0005-0000-0000-00008BC00000}"/>
    <cellStyle name="Normal 5 3 2 2 2 3 2 2 2 3" xfId="44212" xr:uid="{00000000-0005-0000-0000-00008CC00000}"/>
    <cellStyle name="Normal 5 3 2 2 2 3 2 2 3" xfId="23860" xr:uid="{00000000-0005-0000-0000-00008DC00000}"/>
    <cellStyle name="Normal 5 3 2 2 2 3 2 2 3 2" xfId="50993" xr:uid="{00000000-0005-0000-0000-00008EC00000}"/>
    <cellStyle name="Normal 5 3 2 2 2 3 2 2 4" xfId="37431" xr:uid="{00000000-0005-0000-0000-00008FC00000}"/>
    <cellStyle name="Normal 5 3 2 2 2 3 2 3" xfId="13684" xr:uid="{00000000-0005-0000-0000-000090C00000}"/>
    <cellStyle name="Normal 5 3 2 2 2 3 2 3 2" xfId="27252" xr:uid="{00000000-0005-0000-0000-000091C00000}"/>
    <cellStyle name="Normal 5 3 2 2 2 3 2 3 2 2" xfId="54385" xr:uid="{00000000-0005-0000-0000-000092C00000}"/>
    <cellStyle name="Normal 5 3 2 2 2 3 2 3 3" xfId="40823" xr:uid="{00000000-0005-0000-0000-000093C00000}"/>
    <cellStyle name="Normal 5 3 2 2 2 3 2 4" xfId="20471" xr:uid="{00000000-0005-0000-0000-000094C00000}"/>
    <cellStyle name="Normal 5 3 2 2 2 3 2 4 2" xfId="47604" xr:uid="{00000000-0005-0000-0000-000095C00000}"/>
    <cellStyle name="Normal 5 3 2 2 2 3 2 5" xfId="34042" xr:uid="{00000000-0005-0000-0000-000096C00000}"/>
    <cellStyle name="Normal 5 3 2 2 2 3 3" xfId="10282" xr:uid="{00000000-0005-0000-0000-000097C00000}"/>
    <cellStyle name="Normal 5 3 2 2 2 3 3 2" xfId="17072" xr:uid="{00000000-0005-0000-0000-000098C00000}"/>
    <cellStyle name="Normal 5 3 2 2 2 3 3 2 2" xfId="30640" xr:uid="{00000000-0005-0000-0000-000099C00000}"/>
    <cellStyle name="Normal 5 3 2 2 2 3 3 2 2 2" xfId="57773" xr:uid="{00000000-0005-0000-0000-00009AC00000}"/>
    <cellStyle name="Normal 5 3 2 2 2 3 3 2 3" xfId="44211" xr:uid="{00000000-0005-0000-0000-00009BC00000}"/>
    <cellStyle name="Normal 5 3 2 2 2 3 3 3" xfId="23859" xr:uid="{00000000-0005-0000-0000-00009CC00000}"/>
    <cellStyle name="Normal 5 3 2 2 2 3 3 3 2" xfId="50992" xr:uid="{00000000-0005-0000-0000-00009DC00000}"/>
    <cellStyle name="Normal 5 3 2 2 2 3 3 4" xfId="37430" xr:uid="{00000000-0005-0000-0000-00009EC00000}"/>
    <cellStyle name="Normal 5 3 2 2 2 3 4" xfId="13683" xr:uid="{00000000-0005-0000-0000-00009FC00000}"/>
    <cellStyle name="Normal 5 3 2 2 2 3 4 2" xfId="27251" xr:uid="{00000000-0005-0000-0000-0000A0C00000}"/>
    <cellStyle name="Normal 5 3 2 2 2 3 4 2 2" xfId="54384" xr:uid="{00000000-0005-0000-0000-0000A1C00000}"/>
    <cellStyle name="Normal 5 3 2 2 2 3 4 3" xfId="40822" xr:uid="{00000000-0005-0000-0000-0000A2C00000}"/>
    <cellStyle name="Normal 5 3 2 2 2 3 5" xfId="20470" xr:uid="{00000000-0005-0000-0000-0000A3C00000}"/>
    <cellStyle name="Normal 5 3 2 2 2 3 5 2" xfId="47603" xr:uid="{00000000-0005-0000-0000-0000A4C00000}"/>
    <cellStyle name="Normal 5 3 2 2 2 3 6" xfId="34041" xr:uid="{00000000-0005-0000-0000-0000A5C00000}"/>
    <cellStyle name="Normal 5 3 2 2 2 4" xfId="6753" xr:uid="{00000000-0005-0000-0000-0000A6C00000}"/>
    <cellStyle name="Normal 5 3 2 2 2 4 2" xfId="10284" xr:uid="{00000000-0005-0000-0000-0000A7C00000}"/>
    <cellStyle name="Normal 5 3 2 2 2 4 2 2" xfId="17074" xr:uid="{00000000-0005-0000-0000-0000A8C00000}"/>
    <cellStyle name="Normal 5 3 2 2 2 4 2 2 2" xfId="30642" xr:uid="{00000000-0005-0000-0000-0000A9C00000}"/>
    <cellStyle name="Normal 5 3 2 2 2 4 2 2 2 2" xfId="57775" xr:uid="{00000000-0005-0000-0000-0000AAC00000}"/>
    <cellStyle name="Normal 5 3 2 2 2 4 2 2 3" xfId="44213" xr:uid="{00000000-0005-0000-0000-0000ABC00000}"/>
    <cellStyle name="Normal 5 3 2 2 2 4 2 3" xfId="23861" xr:uid="{00000000-0005-0000-0000-0000ACC00000}"/>
    <cellStyle name="Normal 5 3 2 2 2 4 2 3 2" xfId="50994" xr:uid="{00000000-0005-0000-0000-0000ADC00000}"/>
    <cellStyle name="Normal 5 3 2 2 2 4 2 4" xfId="37432" xr:uid="{00000000-0005-0000-0000-0000AEC00000}"/>
    <cellStyle name="Normal 5 3 2 2 2 4 3" xfId="13685" xr:uid="{00000000-0005-0000-0000-0000AFC00000}"/>
    <cellStyle name="Normal 5 3 2 2 2 4 3 2" xfId="27253" xr:uid="{00000000-0005-0000-0000-0000B0C00000}"/>
    <cellStyle name="Normal 5 3 2 2 2 4 3 2 2" xfId="54386" xr:uid="{00000000-0005-0000-0000-0000B1C00000}"/>
    <cellStyle name="Normal 5 3 2 2 2 4 3 3" xfId="40824" xr:uid="{00000000-0005-0000-0000-0000B2C00000}"/>
    <cellStyle name="Normal 5 3 2 2 2 4 4" xfId="20472" xr:uid="{00000000-0005-0000-0000-0000B3C00000}"/>
    <cellStyle name="Normal 5 3 2 2 2 4 4 2" xfId="47605" xr:uid="{00000000-0005-0000-0000-0000B4C00000}"/>
    <cellStyle name="Normal 5 3 2 2 2 4 5" xfId="34043" xr:uid="{00000000-0005-0000-0000-0000B5C00000}"/>
    <cellStyle name="Normal 5 3 2 2 2 5" xfId="6754" xr:uid="{00000000-0005-0000-0000-0000B6C00000}"/>
    <cellStyle name="Normal 5 3 2 2 2 5 2" xfId="10285" xr:uid="{00000000-0005-0000-0000-0000B7C00000}"/>
    <cellStyle name="Normal 5 3 2 2 2 5 2 2" xfId="17075" xr:uid="{00000000-0005-0000-0000-0000B8C00000}"/>
    <cellStyle name="Normal 5 3 2 2 2 5 2 2 2" xfId="30643" xr:uid="{00000000-0005-0000-0000-0000B9C00000}"/>
    <cellStyle name="Normal 5 3 2 2 2 5 2 2 2 2" xfId="57776" xr:uid="{00000000-0005-0000-0000-0000BAC00000}"/>
    <cellStyle name="Normal 5 3 2 2 2 5 2 2 3" xfId="44214" xr:uid="{00000000-0005-0000-0000-0000BBC00000}"/>
    <cellStyle name="Normal 5 3 2 2 2 5 2 3" xfId="23862" xr:uid="{00000000-0005-0000-0000-0000BCC00000}"/>
    <cellStyle name="Normal 5 3 2 2 2 5 2 3 2" xfId="50995" xr:uid="{00000000-0005-0000-0000-0000BDC00000}"/>
    <cellStyle name="Normal 5 3 2 2 2 5 2 4" xfId="37433" xr:uid="{00000000-0005-0000-0000-0000BEC00000}"/>
    <cellStyle name="Normal 5 3 2 2 2 5 3" xfId="13686" xr:uid="{00000000-0005-0000-0000-0000BFC00000}"/>
    <cellStyle name="Normal 5 3 2 2 2 5 3 2" xfId="27254" xr:uid="{00000000-0005-0000-0000-0000C0C00000}"/>
    <cellStyle name="Normal 5 3 2 2 2 5 3 2 2" xfId="54387" xr:uid="{00000000-0005-0000-0000-0000C1C00000}"/>
    <cellStyle name="Normal 5 3 2 2 2 5 3 3" xfId="40825" xr:uid="{00000000-0005-0000-0000-0000C2C00000}"/>
    <cellStyle name="Normal 5 3 2 2 2 5 4" xfId="20473" xr:uid="{00000000-0005-0000-0000-0000C3C00000}"/>
    <cellStyle name="Normal 5 3 2 2 2 5 4 2" xfId="47606" xr:uid="{00000000-0005-0000-0000-0000C4C00000}"/>
    <cellStyle name="Normal 5 3 2 2 2 5 5" xfId="34044" xr:uid="{00000000-0005-0000-0000-0000C5C00000}"/>
    <cellStyle name="Normal 5 3 2 2 2 6" xfId="10278" xr:uid="{00000000-0005-0000-0000-0000C6C00000}"/>
    <cellStyle name="Normal 5 3 2 2 2 6 2" xfId="17068" xr:uid="{00000000-0005-0000-0000-0000C7C00000}"/>
    <cellStyle name="Normal 5 3 2 2 2 6 2 2" xfId="30636" xr:uid="{00000000-0005-0000-0000-0000C8C00000}"/>
    <cellStyle name="Normal 5 3 2 2 2 6 2 2 2" xfId="57769" xr:uid="{00000000-0005-0000-0000-0000C9C00000}"/>
    <cellStyle name="Normal 5 3 2 2 2 6 2 3" xfId="44207" xr:uid="{00000000-0005-0000-0000-0000CAC00000}"/>
    <cellStyle name="Normal 5 3 2 2 2 6 3" xfId="23855" xr:uid="{00000000-0005-0000-0000-0000CBC00000}"/>
    <cellStyle name="Normal 5 3 2 2 2 6 3 2" xfId="50988" xr:uid="{00000000-0005-0000-0000-0000CCC00000}"/>
    <cellStyle name="Normal 5 3 2 2 2 6 4" xfId="37426" xr:uid="{00000000-0005-0000-0000-0000CDC00000}"/>
    <cellStyle name="Normal 5 3 2 2 2 7" xfId="13679" xr:uid="{00000000-0005-0000-0000-0000CEC00000}"/>
    <cellStyle name="Normal 5 3 2 2 2 7 2" xfId="27247" xr:uid="{00000000-0005-0000-0000-0000CFC00000}"/>
    <cellStyle name="Normal 5 3 2 2 2 7 2 2" xfId="54380" xr:uid="{00000000-0005-0000-0000-0000D0C00000}"/>
    <cellStyle name="Normal 5 3 2 2 2 7 3" xfId="40818" xr:uid="{00000000-0005-0000-0000-0000D1C00000}"/>
    <cellStyle name="Normal 5 3 2 2 2 8" xfId="20466" xr:uid="{00000000-0005-0000-0000-0000D2C00000}"/>
    <cellStyle name="Normal 5 3 2 2 2 8 2" xfId="47599" xr:uid="{00000000-0005-0000-0000-0000D3C00000}"/>
    <cellStyle name="Normal 5 3 2 2 2 9" xfId="34037" xr:uid="{00000000-0005-0000-0000-0000D4C00000}"/>
    <cellStyle name="Normal 5 3 2 2 3" xfId="6755" xr:uid="{00000000-0005-0000-0000-0000D5C00000}"/>
    <cellStyle name="Normal 5 3 2 2 3 2" xfId="6756" xr:uid="{00000000-0005-0000-0000-0000D6C00000}"/>
    <cellStyle name="Normal 5 3 2 2 3 2 2" xfId="10287" xr:uid="{00000000-0005-0000-0000-0000D7C00000}"/>
    <cellStyle name="Normal 5 3 2 2 3 2 2 2" xfId="17077" xr:uid="{00000000-0005-0000-0000-0000D8C00000}"/>
    <cellStyle name="Normal 5 3 2 2 3 2 2 2 2" xfId="30645" xr:uid="{00000000-0005-0000-0000-0000D9C00000}"/>
    <cellStyle name="Normal 5 3 2 2 3 2 2 2 2 2" xfId="57778" xr:uid="{00000000-0005-0000-0000-0000DAC00000}"/>
    <cellStyle name="Normal 5 3 2 2 3 2 2 2 3" xfId="44216" xr:uid="{00000000-0005-0000-0000-0000DBC00000}"/>
    <cellStyle name="Normal 5 3 2 2 3 2 2 3" xfId="23864" xr:uid="{00000000-0005-0000-0000-0000DCC00000}"/>
    <cellStyle name="Normal 5 3 2 2 3 2 2 3 2" xfId="50997" xr:uid="{00000000-0005-0000-0000-0000DDC00000}"/>
    <cellStyle name="Normal 5 3 2 2 3 2 2 4" xfId="37435" xr:uid="{00000000-0005-0000-0000-0000DEC00000}"/>
    <cellStyle name="Normal 5 3 2 2 3 2 3" xfId="13688" xr:uid="{00000000-0005-0000-0000-0000DFC00000}"/>
    <cellStyle name="Normal 5 3 2 2 3 2 3 2" xfId="27256" xr:uid="{00000000-0005-0000-0000-0000E0C00000}"/>
    <cellStyle name="Normal 5 3 2 2 3 2 3 2 2" xfId="54389" xr:uid="{00000000-0005-0000-0000-0000E1C00000}"/>
    <cellStyle name="Normal 5 3 2 2 3 2 3 3" xfId="40827" xr:uid="{00000000-0005-0000-0000-0000E2C00000}"/>
    <cellStyle name="Normal 5 3 2 2 3 2 4" xfId="20475" xr:uid="{00000000-0005-0000-0000-0000E3C00000}"/>
    <cellStyle name="Normal 5 3 2 2 3 2 4 2" xfId="47608" xr:uid="{00000000-0005-0000-0000-0000E4C00000}"/>
    <cellStyle name="Normal 5 3 2 2 3 2 5" xfId="34046" xr:uid="{00000000-0005-0000-0000-0000E5C00000}"/>
    <cellStyle name="Normal 5 3 2 2 3 3" xfId="6757" xr:uid="{00000000-0005-0000-0000-0000E6C00000}"/>
    <cellStyle name="Normal 5 3 2 2 3 3 2" xfId="10288" xr:uid="{00000000-0005-0000-0000-0000E7C00000}"/>
    <cellStyle name="Normal 5 3 2 2 3 3 2 2" xfId="17078" xr:uid="{00000000-0005-0000-0000-0000E8C00000}"/>
    <cellStyle name="Normal 5 3 2 2 3 3 2 2 2" xfId="30646" xr:uid="{00000000-0005-0000-0000-0000E9C00000}"/>
    <cellStyle name="Normal 5 3 2 2 3 3 2 2 2 2" xfId="57779" xr:uid="{00000000-0005-0000-0000-0000EAC00000}"/>
    <cellStyle name="Normal 5 3 2 2 3 3 2 2 3" xfId="44217" xr:uid="{00000000-0005-0000-0000-0000EBC00000}"/>
    <cellStyle name="Normal 5 3 2 2 3 3 2 3" xfId="23865" xr:uid="{00000000-0005-0000-0000-0000ECC00000}"/>
    <cellStyle name="Normal 5 3 2 2 3 3 2 3 2" xfId="50998" xr:uid="{00000000-0005-0000-0000-0000EDC00000}"/>
    <cellStyle name="Normal 5 3 2 2 3 3 2 4" xfId="37436" xr:uid="{00000000-0005-0000-0000-0000EEC00000}"/>
    <cellStyle name="Normal 5 3 2 2 3 3 3" xfId="13689" xr:uid="{00000000-0005-0000-0000-0000EFC00000}"/>
    <cellStyle name="Normal 5 3 2 2 3 3 3 2" xfId="27257" xr:uid="{00000000-0005-0000-0000-0000F0C00000}"/>
    <cellStyle name="Normal 5 3 2 2 3 3 3 2 2" xfId="54390" xr:uid="{00000000-0005-0000-0000-0000F1C00000}"/>
    <cellStyle name="Normal 5 3 2 2 3 3 3 3" xfId="40828" xr:uid="{00000000-0005-0000-0000-0000F2C00000}"/>
    <cellStyle name="Normal 5 3 2 2 3 3 4" xfId="20476" xr:uid="{00000000-0005-0000-0000-0000F3C00000}"/>
    <cellStyle name="Normal 5 3 2 2 3 3 4 2" xfId="47609" xr:uid="{00000000-0005-0000-0000-0000F4C00000}"/>
    <cellStyle name="Normal 5 3 2 2 3 3 5" xfId="34047" xr:uid="{00000000-0005-0000-0000-0000F5C00000}"/>
    <cellStyle name="Normal 5 3 2 2 3 4" xfId="10286" xr:uid="{00000000-0005-0000-0000-0000F6C00000}"/>
    <cellStyle name="Normal 5 3 2 2 3 4 2" xfId="17076" xr:uid="{00000000-0005-0000-0000-0000F7C00000}"/>
    <cellStyle name="Normal 5 3 2 2 3 4 2 2" xfId="30644" xr:uid="{00000000-0005-0000-0000-0000F8C00000}"/>
    <cellStyle name="Normal 5 3 2 2 3 4 2 2 2" xfId="57777" xr:uid="{00000000-0005-0000-0000-0000F9C00000}"/>
    <cellStyle name="Normal 5 3 2 2 3 4 2 3" xfId="44215" xr:uid="{00000000-0005-0000-0000-0000FAC00000}"/>
    <cellStyle name="Normal 5 3 2 2 3 4 3" xfId="23863" xr:uid="{00000000-0005-0000-0000-0000FBC00000}"/>
    <cellStyle name="Normal 5 3 2 2 3 4 3 2" xfId="50996" xr:uid="{00000000-0005-0000-0000-0000FCC00000}"/>
    <cellStyle name="Normal 5 3 2 2 3 4 4" xfId="37434" xr:uid="{00000000-0005-0000-0000-0000FDC00000}"/>
    <cellStyle name="Normal 5 3 2 2 3 5" xfId="13687" xr:uid="{00000000-0005-0000-0000-0000FEC00000}"/>
    <cellStyle name="Normal 5 3 2 2 3 5 2" xfId="27255" xr:uid="{00000000-0005-0000-0000-0000FFC00000}"/>
    <cellStyle name="Normal 5 3 2 2 3 5 2 2" xfId="54388" xr:uid="{00000000-0005-0000-0000-000000C10000}"/>
    <cellStyle name="Normal 5 3 2 2 3 5 3" xfId="40826" xr:uid="{00000000-0005-0000-0000-000001C10000}"/>
    <cellStyle name="Normal 5 3 2 2 3 6" xfId="20474" xr:uid="{00000000-0005-0000-0000-000002C10000}"/>
    <cellStyle name="Normal 5 3 2 2 3 6 2" xfId="47607" xr:uid="{00000000-0005-0000-0000-000003C10000}"/>
    <cellStyle name="Normal 5 3 2 2 3 7" xfId="34045" xr:uid="{00000000-0005-0000-0000-000004C10000}"/>
    <cellStyle name="Normal 5 3 2 2 4" xfId="6758" xr:uid="{00000000-0005-0000-0000-000005C10000}"/>
    <cellStyle name="Normal 5 3 2 2 4 2" xfId="6759" xr:uid="{00000000-0005-0000-0000-000006C10000}"/>
    <cellStyle name="Normal 5 3 2 2 4 2 2" xfId="10290" xr:uid="{00000000-0005-0000-0000-000007C10000}"/>
    <cellStyle name="Normal 5 3 2 2 4 2 2 2" xfId="17080" xr:uid="{00000000-0005-0000-0000-000008C10000}"/>
    <cellStyle name="Normal 5 3 2 2 4 2 2 2 2" xfId="30648" xr:uid="{00000000-0005-0000-0000-000009C10000}"/>
    <cellStyle name="Normal 5 3 2 2 4 2 2 2 2 2" xfId="57781" xr:uid="{00000000-0005-0000-0000-00000AC10000}"/>
    <cellStyle name="Normal 5 3 2 2 4 2 2 2 3" xfId="44219" xr:uid="{00000000-0005-0000-0000-00000BC10000}"/>
    <cellStyle name="Normal 5 3 2 2 4 2 2 3" xfId="23867" xr:uid="{00000000-0005-0000-0000-00000CC10000}"/>
    <cellStyle name="Normal 5 3 2 2 4 2 2 3 2" xfId="51000" xr:uid="{00000000-0005-0000-0000-00000DC10000}"/>
    <cellStyle name="Normal 5 3 2 2 4 2 2 4" xfId="37438" xr:uid="{00000000-0005-0000-0000-00000EC10000}"/>
    <cellStyle name="Normal 5 3 2 2 4 2 3" xfId="13691" xr:uid="{00000000-0005-0000-0000-00000FC10000}"/>
    <cellStyle name="Normal 5 3 2 2 4 2 3 2" xfId="27259" xr:uid="{00000000-0005-0000-0000-000010C10000}"/>
    <cellStyle name="Normal 5 3 2 2 4 2 3 2 2" xfId="54392" xr:uid="{00000000-0005-0000-0000-000011C10000}"/>
    <cellStyle name="Normal 5 3 2 2 4 2 3 3" xfId="40830" xr:uid="{00000000-0005-0000-0000-000012C10000}"/>
    <cellStyle name="Normal 5 3 2 2 4 2 4" xfId="20478" xr:uid="{00000000-0005-0000-0000-000013C10000}"/>
    <cellStyle name="Normal 5 3 2 2 4 2 4 2" xfId="47611" xr:uid="{00000000-0005-0000-0000-000014C10000}"/>
    <cellStyle name="Normal 5 3 2 2 4 2 5" xfId="34049" xr:uid="{00000000-0005-0000-0000-000015C10000}"/>
    <cellStyle name="Normal 5 3 2 2 4 3" xfId="10289" xr:uid="{00000000-0005-0000-0000-000016C10000}"/>
    <cellStyle name="Normal 5 3 2 2 4 3 2" xfId="17079" xr:uid="{00000000-0005-0000-0000-000017C10000}"/>
    <cellStyle name="Normal 5 3 2 2 4 3 2 2" xfId="30647" xr:uid="{00000000-0005-0000-0000-000018C10000}"/>
    <cellStyle name="Normal 5 3 2 2 4 3 2 2 2" xfId="57780" xr:uid="{00000000-0005-0000-0000-000019C10000}"/>
    <cellStyle name="Normal 5 3 2 2 4 3 2 3" xfId="44218" xr:uid="{00000000-0005-0000-0000-00001AC10000}"/>
    <cellStyle name="Normal 5 3 2 2 4 3 3" xfId="23866" xr:uid="{00000000-0005-0000-0000-00001BC10000}"/>
    <cellStyle name="Normal 5 3 2 2 4 3 3 2" xfId="50999" xr:uid="{00000000-0005-0000-0000-00001CC10000}"/>
    <cellStyle name="Normal 5 3 2 2 4 3 4" xfId="37437" xr:uid="{00000000-0005-0000-0000-00001DC10000}"/>
    <cellStyle name="Normal 5 3 2 2 4 4" xfId="13690" xr:uid="{00000000-0005-0000-0000-00001EC10000}"/>
    <cellStyle name="Normal 5 3 2 2 4 4 2" xfId="27258" xr:uid="{00000000-0005-0000-0000-00001FC10000}"/>
    <cellStyle name="Normal 5 3 2 2 4 4 2 2" xfId="54391" xr:uid="{00000000-0005-0000-0000-000020C10000}"/>
    <cellStyle name="Normal 5 3 2 2 4 4 3" xfId="40829" xr:uid="{00000000-0005-0000-0000-000021C10000}"/>
    <cellStyle name="Normal 5 3 2 2 4 5" xfId="20477" xr:uid="{00000000-0005-0000-0000-000022C10000}"/>
    <cellStyle name="Normal 5 3 2 2 4 5 2" xfId="47610" xr:uid="{00000000-0005-0000-0000-000023C10000}"/>
    <cellStyle name="Normal 5 3 2 2 4 6" xfId="34048" xr:uid="{00000000-0005-0000-0000-000024C10000}"/>
    <cellStyle name="Normal 5 3 2 2 5" xfId="6760" xr:uid="{00000000-0005-0000-0000-000025C10000}"/>
    <cellStyle name="Normal 5 3 2 2 5 2" xfId="10291" xr:uid="{00000000-0005-0000-0000-000026C10000}"/>
    <cellStyle name="Normal 5 3 2 2 5 2 2" xfId="17081" xr:uid="{00000000-0005-0000-0000-000027C10000}"/>
    <cellStyle name="Normal 5 3 2 2 5 2 2 2" xfId="30649" xr:uid="{00000000-0005-0000-0000-000028C10000}"/>
    <cellStyle name="Normal 5 3 2 2 5 2 2 2 2" xfId="57782" xr:uid="{00000000-0005-0000-0000-000029C10000}"/>
    <cellStyle name="Normal 5 3 2 2 5 2 2 3" xfId="44220" xr:uid="{00000000-0005-0000-0000-00002AC10000}"/>
    <cellStyle name="Normal 5 3 2 2 5 2 3" xfId="23868" xr:uid="{00000000-0005-0000-0000-00002BC10000}"/>
    <cellStyle name="Normal 5 3 2 2 5 2 3 2" xfId="51001" xr:uid="{00000000-0005-0000-0000-00002CC10000}"/>
    <cellStyle name="Normal 5 3 2 2 5 2 4" xfId="37439" xr:uid="{00000000-0005-0000-0000-00002DC10000}"/>
    <cellStyle name="Normal 5 3 2 2 5 3" xfId="13692" xr:uid="{00000000-0005-0000-0000-00002EC10000}"/>
    <cellStyle name="Normal 5 3 2 2 5 3 2" xfId="27260" xr:uid="{00000000-0005-0000-0000-00002FC10000}"/>
    <cellStyle name="Normal 5 3 2 2 5 3 2 2" xfId="54393" xr:uid="{00000000-0005-0000-0000-000030C10000}"/>
    <cellStyle name="Normal 5 3 2 2 5 3 3" xfId="40831" xr:uid="{00000000-0005-0000-0000-000031C10000}"/>
    <cellStyle name="Normal 5 3 2 2 5 4" xfId="20479" xr:uid="{00000000-0005-0000-0000-000032C10000}"/>
    <cellStyle name="Normal 5 3 2 2 5 4 2" xfId="47612" xr:uid="{00000000-0005-0000-0000-000033C10000}"/>
    <cellStyle name="Normal 5 3 2 2 5 5" xfId="34050" xr:uid="{00000000-0005-0000-0000-000034C10000}"/>
    <cellStyle name="Normal 5 3 2 2 6" xfId="6761" xr:uid="{00000000-0005-0000-0000-000035C10000}"/>
    <cellStyle name="Normal 5 3 2 2 6 2" xfId="10292" xr:uid="{00000000-0005-0000-0000-000036C10000}"/>
    <cellStyle name="Normal 5 3 2 2 6 2 2" xfId="17082" xr:uid="{00000000-0005-0000-0000-000037C10000}"/>
    <cellStyle name="Normal 5 3 2 2 6 2 2 2" xfId="30650" xr:uid="{00000000-0005-0000-0000-000038C10000}"/>
    <cellStyle name="Normal 5 3 2 2 6 2 2 2 2" xfId="57783" xr:uid="{00000000-0005-0000-0000-000039C10000}"/>
    <cellStyle name="Normal 5 3 2 2 6 2 2 3" xfId="44221" xr:uid="{00000000-0005-0000-0000-00003AC10000}"/>
    <cellStyle name="Normal 5 3 2 2 6 2 3" xfId="23869" xr:uid="{00000000-0005-0000-0000-00003BC10000}"/>
    <cellStyle name="Normal 5 3 2 2 6 2 3 2" xfId="51002" xr:uid="{00000000-0005-0000-0000-00003CC10000}"/>
    <cellStyle name="Normal 5 3 2 2 6 2 4" xfId="37440" xr:uid="{00000000-0005-0000-0000-00003DC10000}"/>
    <cellStyle name="Normal 5 3 2 2 6 3" xfId="13693" xr:uid="{00000000-0005-0000-0000-00003EC10000}"/>
    <cellStyle name="Normal 5 3 2 2 6 3 2" xfId="27261" xr:uid="{00000000-0005-0000-0000-00003FC10000}"/>
    <cellStyle name="Normal 5 3 2 2 6 3 2 2" xfId="54394" xr:uid="{00000000-0005-0000-0000-000040C10000}"/>
    <cellStyle name="Normal 5 3 2 2 6 3 3" xfId="40832" xr:uid="{00000000-0005-0000-0000-000041C10000}"/>
    <cellStyle name="Normal 5 3 2 2 6 4" xfId="20480" xr:uid="{00000000-0005-0000-0000-000042C10000}"/>
    <cellStyle name="Normal 5 3 2 2 6 4 2" xfId="47613" xr:uid="{00000000-0005-0000-0000-000043C10000}"/>
    <cellStyle name="Normal 5 3 2 2 6 5" xfId="34051" xr:uid="{00000000-0005-0000-0000-000044C10000}"/>
    <cellStyle name="Normal 5 3 2 2 7" xfId="10277" xr:uid="{00000000-0005-0000-0000-000045C10000}"/>
    <cellStyle name="Normal 5 3 2 2 7 2" xfId="17067" xr:uid="{00000000-0005-0000-0000-000046C10000}"/>
    <cellStyle name="Normal 5 3 2 2 7 2 2" xfId="30635" xr:uid="{00000000-0005-0000-0000-000047C10000}"/>
    <cellStyle name="Normal 5 3 2 2 7 2 2 2" xfId="57768" xr:uid="{00000000-0005-0000-0000-000048C10000}"/>
    <cellStyle name="Normal 5 3 2 2 7 2 3" xfId="44206" xr:uid="{00000000-0005-0000-0000-000049C10000}"/>
    <cellStyle name="Normal 5 3 2 2 7 3" xfId="23854" xr:uid="{00000000-0005-0000-0000-00004AC10000}"/>
    <cellStyle name="Normal 5 3 2 2 7 3 2" xfId="50987" xr:uid="{00000000-0005-0000-0000-00004BC10000}"/>
    <cellStyle name="Normal 5 3 2 2 7 4" xfId="37425" xr:uid="{00000000-0005-0000-0000-00004CC10000}"/>
    <cellStyle name="Normal 5 3 2 2 8" xfId="13678" xr:uid="{00000000-0005-0000-0000-00004DC10000}"/>
    <cellStyle name="Normal 5 3 2 2 8 2" xfId="27246" xr:uid="{00000000-0005-0000-0000-00004EC10000}"/>
    <cellStyle name="Normal 5 3 2 2 8 2 2" xfId="54379" xr:uid="{00000000-0005-0000-0000-00004FC10000}"/>
    <cellStyle name="Normal 5 3 2 2 8 3" xfId="40817" xr:uid="{00000000-0005-0000-0000-000050C10000}"/>
    <cellStyle name="Normal 5 3 2 2 9" xfId="20465" xr:uid="{00000000-0005-0000-0000-000051C10000}"/>
    <cellStyle name="Normal 5 3 2 2 9 2" xfId="47598" xr:uid="{00000000-0005-0000-0000-000052C10000}"/>
    <cellStyle name="Normal 5 3 2 3" xfId="6762" xr:uid="{00000000-0005-0000-0000-000053C10000}"/>
    <cellStyle name="Normal 5 3 2 3 2" xfId="6763" xr:uid="{00000000-0005-0000-0000-000054C10000}"/>
    <cellStyle name="Normal 5 3 2 3 2 2" xfId="6764" xr:uid="{00000000-0005-0000-0000-000055C10000}"/>
    <cellStyle name="Normal 5 3 2 3 2 2 2" xfId="10295" xr:uid="{00000000-0005-0000-0000-000056C10000}"/>
    <cellStyle name="Normal 5 3 2 3 2 2 2 2" xfId="17085" xr:uid="{00000000-0005-0000-0000-000057C10000}"/>
    <cellStyle name="Normal 5 3 2 3 2 2 2 2 2" xfId="30653" xr:uid="{00000000-0005-0000-0000-000058C10000}"/>
    <cellStyle name="Normal 5 3 2 3 2 2 2 2 2 2" xfId="57786" xr:uid="{00000000-0005-0000-0000-000059C10000}"/>
    <cellStyle name="Normal 5 3 2 3 2 2 2 2 3" xfId="44224" xr:uid="{00000000-0005-0000-0000-00005AC10000}"/>
    <cellStyle name="Normal 5 3 2 3 2 2 2 3" xfId="23872" xr:uid="{00000000-0005-0000-0000-00005BC10000}"/>
    <cellStyle name="Normal 5 3 2 3 2 2 2 3 2" xfId="51005" xr:uid="{00000000-0005-0000-0000-00005CC10000}"/>
    <cellStyle name="Normal 5 3 2 3 2 2 2 4" xfId="37443" xr:uid="{00000000-0005-0000-0000-00005DC10000}"/>
    <cellStyle name="Normal 5 3 2 3 2 2 3" xfId="13696" xr:uid="{00000000-0005-0000-0000-00005EC10000}"/>
    <cellStyle name="Normal 5 3 2 3 2 2 3 2" xfId="27264" xr:uid="{00000000-0005-0000-0000-00005FC10000}"/>
    <cellStyle name="Normal 5 3 2 3 2 2 3 2 2" xfId="54397" xr:uid="{00000000-0005-0000-0000-000060C10000}"/>
    <cellStyle name="Normal 5 3 2 3 2 2 3 3" xfId="40835" xr:uid="{00000000-0005-0000-0000-000061C10000}"/>
    <cellStyle name="Normal 5 3 2 3 2 2 4" xfId="20483" xr:uid="{00000000-0005-0000-0000-000062C10000}"/>
    <cellStyle name="Normal 5 3 2 3 2 2 4 2" xfId="47616" xr:uid="{00000000-0005-0000-0000-000063C10000}"/>
    <cellStyle name="Normal 5 3 2 3 2 2 5" xfId="34054" xr:uid="{00000000-0005-0000-0000-000064C10000}"/>
    <cellStyle name="Normal 5 3 2 3 2 3" xfId="6765" xr:uid="{00000000-0005-0000-0000-000065C10000}"/>
    <cellStyle name="Normal 5 3 2 3 2 3 2" xfId="10296" xr:uid="{00000000-0005-0000-0000-000066C10000}"/>
    <cellStyle name="Normal 5 3 2 3 2 3 2 2" xfId="17086" xr:uid="{00000000-0005-0000-0000-000067C10000}"/>
    <cellStyle name="Normal 5 3 2 3 2 3 2 2 2" xfId="30654" xr:uid="{00000000-0005-0000-0000-000068C10000}"/>
    <cellStyle name="Normal 5 3 2 3 2 3 2 2 2 2" xfId="57787" xr:uid="{00000000-0005-0000-0000-000069C10000}"/>
    <cellStyle name="Normal 5 3 2 3 2 3 2 2 3" xfId="44225" xr:uid="{00000000-0005-0000-0000-00006AC10000}"/>
    <cellStyle name="Normal 5 3 2 3 2 3 2 3" xfId="23873" xr:uid="{00000000-0005-0000-0000-00006BC10000}"/>
    <cellStyle name="Normal 5 3 2 3 2 3 2 3 2" xfId="51006" xr:uid="{00000000-0005-0000-0000-00006CC10000}"/>
    <cellStyle name="Normal 5 3 2 3 2 3 2 4" xfId="37444" xr:uid="{00000000-0005-0000-0000-00006DC10000}"/>
    <cellStyle name="Normal 5 3 2 3 2 3 3" xfId="13697" xr:uid="{00000000-0005-0000-0000-00006EC10000}"/>
    <cellStyle name="Normal 5 3 2 3 2 3 3 2" xfId="27265" xr:uid="{00000000-0005-0000-0000-00006FC10000}"/>
    <cellStyle name="Normal 5 3 2 3 2 3 3 2 2" xfId="54398" xr:uid="{00000000-0005-0000-0000-000070C10000}"/>
    <cellStyle name="Normal 5 3 2 3 2 3 3 3" xfId="40836" xr:uid="{00000000-0005-0000-0000-000071C10000}"/>
    <cellStyle name="Normal 5 3 2 3 2 3 4" xfId="20484" xr:uid="{00000000-0005-0000-0000-000072C10000}"/>
    <cellStyle name="Normal 5 3 2 3 2 3 4 2" xfId="47617" xr:uid="{00000000-0005-0000-0000-000073C10000}"/>
    <cellStyle name="Normal 5 3 2 3 2 3 5" xfId="34055" xr:uid="{00000000-0005-0000-0000-000074C10000}"/>
    <cellStyle name="Normal 5 3 2 3 2 4" xfId="10294" xr:uid="{00000000-0005-0000-0000-000075C10000}"/>
    <cellStyle name="Normal 5 3 2 3 2 4 2" xfId="17084" xr:uid="{00000000-0005-0000-0000-000076C10000}"/>
    <cellStyle name="Normal 5 3 2 3 2 4 2 2" xfId="30652" xr:uid="{00000000-0005-0000-0000-000077C10000}"/>
    <cellStyle name="Normal 5 3 2 3 2 4 2 2 2" xfId="57785" xr:uid="{00000000-0005-0000-0000-000078C10000}"/>
    <cellStyle name="Normal 5 3 2 3 2 4 2 3" xfId="44223" xr:uid="{00000000-0005-0000-0000-000079C10000}"/>
    <cellStyle name="Normal 5 3 2 3 2 4 3" xfId="23871" xr:uid="{00000000-0005-0000-0000-00007AC10000}"/>
    <cellStyle name="Normal 5 3 2 3 2 4 3 2" xfId="51004" xr:uid="{00000000-0005-0000-0000-00007BC10000}"/>
    <cellStyle name="Normal 5 3 2 3 2 4 4" xfId="37442" xr:uid="{00000000-0005-0000-0000-00007CC10000}"/>
    <cellStyle name="Normal 5 3 2 3 2 5" xfId="13695" xr:uid="{00000000-0005-0000-0000-00007DC10000}"/>
    <cellStyle name="Normal 5 3 2 3 2 5 2" xfId="27263" xr:uid="{00000000-0005-0000-0000-00007EC10000}"/>
    <cellStyle name="Normal 5 3 2 3 2 5 2 2" xfId="54396" xr:uid="{00000000-0005-0000-0000-00007FC10000}"/>
    <cellStyle name="Normal 5 3 2 3 2 5 3" xfId="40834" xr:uid="{00000000-0005-0000-0000-000080C10000}"/>
    <cellStyle name="Normal 5 3 2 3 2 6" xfId="20482" xr:uid="{00000000-0005-0000-0000-000081C10000}"/>
    <cellStyle name="Normal 5 3 2 3 2 6 2" xfId="47615" xr:uid="{00000000-0005-0000-0000-000082C10000}"/>
    <cellStyle name="Normal 5 3 2 3 2 7" xfId="34053" xr:uid="{00000000-0005-0000-0000-000083C10000}"/>
    <cellStyle name="Normal 5 3 2 3 3" xfId="6766" xr:uid="{00000000-0005-0000-0000-000084C10000}"/>
    <cellStyle name="Normal 5 3 2 3 3 2" xfId="6767" xr:uid="{00000000-0005-0000-0000-000085C10000}"/>
    <cellStyle name="Normal 5 3 2 3 3 2 2" xfId="10298" xr:uid="{00000000-0005-0000-0000-000086C10000}"/>
    <cellStyle name="Normal 5 3 2 3 3 2 2 2" xfId="17088" xr:uid="{00000000-0005-0000-0000-000087C10000}"/>
    <cellStyle name="Normal 5 3 2 3 3 2 2 2 2" xfId="30656" xr:uid="{00000000-0005-0000-0000-000088C10000}"/>
    <cellStyle name="Normal 5 3 2 3 3 2 2 2 2 2" xfId="57789" xr:uid="{00000000-0005-0000-0000-000089C10000}"/>
    <cellStyle name="Normal 5 3 2 3 3 2 2 2 3" xfId="44227" xr:uid="{00000000-0005-0000-0000-00008AC10000}"/>
    <cellStyle name="Normal 5 3 2 3 3 2 2 3" xfId="23875" xr:uid="{00000000-0005-0000-0000-00008BC10000}"/>
    <cellStyle name="Normal 5 3 2 3 3 2 2 3 2" xfId="51008" xr:uid="{00000000-0005-0000-0000-00008CC10000}"/>
    <cellStyle name="Normal 5 3 2 3 3 2 2 4" xfId="37446" xr:uid="{00000000-0005-0000-0000-00008DC10000}"/>
    <cellStyle name="Normal 5 3 2 3 3 2 3" xfId="13699" xr:uid="{00000000-0005-0000-0000-00008EC10000}"/>
    <cellStyle name="Normal 5 3 2 3 3 2 3 2" xfId="27267" xr:uid="{00000000-0005-0000-0000-00008FC10000}"/>
    <cellStyle name="Normal 5 3 2 3 3 2 3 2 2" xfId="54400" xr:uid="{00000000-0005-0000-0000-000090C10000}"/>
    <cellStyle name="Normal 5 3 2 3 3 2 3 3" xfId="40838" xr:uid="{00000000-0005-0000-0000-000091C10000}"/>
    <cellStyle name="Normal 5 3 2 3 3 2 4" xfId="20486" xr:uid="{00000000-0005-0000-0000-000092C10000}"/>
    <cellStyle name="Normal 5 3 2 3 3 2 4 2" xfId="47619" xr:uid="{00000000-0005-0000-0000-000093C10000}"/>
    <cellStyle name="Normal 5 3 2 3 3 2 5" xfId="34057" xr:uid="{00000000-0005-0000-0000-000094C10000}"/>
    <cellStyle name="Normal 5 3 2 3 3 3" xfId="10297" xr:uid="{00000000-0005-0000-0000-000095C10000}"/>
    <cellStyle name="Normal 5 3 2 3 3 3 2" xfId="17087" xr:uid="{00000000-0005-0000-0000-000096C10000}"/>
    <cellStyle name="Normal 5 3 2 3 3 3 2 2" xfId="30655" xr:uid="{00000000-0005-0000-0000-000097C10000}"/>
    <cellStyle name="Normal 5 3 2 3 3 3 2 2 2" xfId="57788" xr:uid="{00000000-0005-0000-0000-000098C10000}"/>
    <cellStyle name="Normal 5 3 2 3 3 3 2 3" xfId="44226" xr:uid="{00000000-0005-0000-0000-000099C10000}"/>
    <cellStyle name="Normal 5 3 2 3 3 3 3" xfId="23874" xr:uid="{00000000-0005-0000-0000-00009AC10000}"/>
    <cellStyle name="Normal 5 3 2 3 3 3 3 2" xfId="51007" xr:uid="{00000000-0005-0000-0000-00009BC10000}"/>
    <cellStyle name="Normal 5 3 2 3 3 3 4" xfId="37445" xr:uid="{00000000-0005-0000-0000-00009CC10000}"/>
    <cellStyle name="Normal 5 3 2 3 3 4" xfId="13698" xr:uid="{00000000-0005-0000-0000-00009DC10000}"/>
    <cellStyle name="Normal 5 3 2 3 3 4 2" xfId="27266" xr:uid="{00000000-0005-0000-0000-00009EC10000}"/>
    <cellStyle name="Normal 5 3 2 3 3 4 2 2" xfId="54399" xr:uid="{00000000-0005-0000-0000-00009FC10000}"/>
    <cellStyle name="Normal 5 3 2 3 3 4 3" xfId="40837" xr:uid="{00000000-0005-0000-0000-0000A0C10000}"/>
    <cellStyle name="Normal 5 3 2 3 3 5" xfId="20485" xr:uid="{00000000-0005-0000-0000-0000A1C10000}"/>
    <cellStyle name="Normal 5 3 2 3 3 5 2" xfId="47618" xr:uid="{00000000-0005-0000-0000-0000A2C10000}"/>
    <cellStyle name="Normal 5 3 2 3 3 6" xfId="34056" xr:uid="{00000000-0005-0000-0000-0000A3C10000}"/>
    <cellStyle name="Normal 5 3 2 3 4" xfId="6768" xr:uid="{00000000-0005-0000-0000-0000A4C10000}"/>
    <cellStyle name="Normal 5 3 2 3 4 2" xfId="10299" xr:uid="{00000000-0005-0000-0000-0000A5C10000}"/>
    <cellStyle name="Normal 5 3 2 3 4 2 2" xfId="17089" xr:uid="{00000000-0005-0000-0000-0000A6C10000}"/>
    <cellStyle name="Normal 5 3 2 3 4 2 2 2" xfId="30657" xr:uid="{00000000-0005-0000-0000-0000A7C10000}"/>
    <cellStyle name="Normal 5 3 2 3 4 2 2 2 2" xfId="57790" xr:uid="{00000000-0005-0000-0000-0000A8C10000}"/>
    <cellStyle name="Normal 5 3 2 3 4 2 2 3" xfId="44228" xr:uid="{00000000-0005-0000-0000-0000A9C10000}"/>
    <cellStyle name="Normal 5 3 2 3 4 2 3" xfId="23876" xr:uid="{00000000-0005-0000-0000-0000AAC10000}"/>
    <cellStyle name="Normal 5 3 2 3 4 2 3 2" xfId="51009" xr:uid="{00000000-0005-0000-0000-0000ABC10000}"/>
    <cellStyle name="Normal 5 3 2 3 4 2 4" xfId="37447" xr:uid="{00000000-0005-0000-0000-0000ACC10000}"/>
    <cellStyle name="Normal 5 3 2 3 4 3" xfId="13700" xr:uid="{00000000-0005-0000-0000-0000ADC10000}"/>
    <cellStyle name="Normal 5 3 2 3 4 3 2" xfId="27268" xr:uid="{00000000-0005-0000-0000-0000AEC10000}"/>
    <cellStyle name="Normal 5 3 2 3 4 3 2 2" xfId="54401" xr:uid="{00000000-0005-0000-0000-0000AFC10000}"/>
    <cellStyle name="Normal 5 3 2 3 4 3 3" xfId="40839" xr:uid="{00000000-0005-0000-0000-0000B0C10000}"/>
    <cellStyle name="Normal 5 3 2 3 4 4" xfId="20487" xr:uid="{00000000-0005-0000-0000-0000B1C10000}"/>
    <cellStyle name="Normal 5 3 2 3 4 4 2" xfId="47620" xr:uid="{00000000-0005-0000-0000-0000B2C10000}"/>
    <cellStyle name="Normal 5 3 2 3 4 5" xfId="34058" xr:uid="{00000000-0005-0000-0000-0000B3C10000}"/>
    <cellStyle name="Normal 5 3 2 3 5" xfId="6769" xr:uid="{00000000-0005-0000-0000-0000B4C10000}"/>
    <cellStyle name="Normal 5 3 2 3 5 2" xfId="10300" xr:uid="{00000000-0005-0000-0000-0000B5C10000}"/>
    <cellStyle name="Normal 5 3 2 3 5 2 2" xfId="17090" xr:uid="{00000000-0005-0000-0000-0000B6C10000}"/>
    <cellStyle name="Normal 5 3 2 3 5 2 2 2" xfId="30658" xr:uid="{00000000-0005-0000-0000-0000B7C10000}"/>
    <cellStyle name="Normal 5 3 2 3 5 2 2 2 2" xfId="57791" xr:uid="{00000000-0005-0000-0000-0000B8C10000}"/>
    <cellStyle name="Normal 5 3 2 3 5 2 2 3" xfId="44229" xr:uid="{00000000-0005-0000-0000-0000B9C10000}"/>
    <cellStyle name="Normal 5 3 2 3 5 2 3" xfId="23877" xr:uid="{00000000-0005-0000-0000-0000BAC10000}"/>
    <cellStyle name="Normal 5 3 2 3 5 2 3 2" xfId="51010" xr:uid="{00000000-0005-0000-0000-0000BBC10000}"/>
    <cellStyle name="Normal 5 3 2 3 5 2 4" xfId="37448" xr:uid="{00000000-0005-0000-0000-0000BCC10000}"/>
    <cellStyle name="Normal 5 3 2 3 5 3" xfId="13701" xr:uid="{00000000-0005-0000-0000-0000BDC10000}"/>
    <cellStyle name="Normal 5 3 2 3 5 3 2" xfId="27269" xr:uid="{00000000-0005-0000-0000-0000BEC10000}"/>
    <cellStyle name="Normal 5 3 2 3 5 3 2 2" xfId="54402" xr:uid="{00000000-0005-0000-0000-0000BFC10000}"/>
    <cellStyle name="Normal 5 3 2 3 5 3 3" xfId="40840" xr:uid="{00000000-0005-0000-0000-0000C0C10000}"/>
    <cellStyle name="Normal 5 3 2 3 5 4" xfId="20488" xr:uid="{00000000-0005-0000-0000-0000C1C10000}"/>
    <cellStyle name="Normal 5 3 2 3 5 4 2" xfId="47621" xr:uid="{00000000-0005-0000-0000-0000C2C10000}"/>
    <cellStyle name="Normal 5 3 2 3 5 5" xfId="34059" xr:uid="{00000000-0005-0000-0000-0000C3C10000}"/>
    <cellStyle name="Normal 5 3 2 3 6" xfId="10293" xr:uid="{00000000-0005-0000-0000-0000C4C10000}"/>
    <cellStyle name="Normal 5 3 2 3 6 2" xfId="17083" xr:uid="{00000000-0005-0000-0000-0000C5C10000}"/>
    <cellStyle name="Normal 5 3 2 3 6 2 2" xfId="30651" xr:uid="{00000000-0005-0000-0000-0000C6C10000}"/>
    <cellStyle name="Normal 5 3 2 3 6 2 2 2" xfId="57784" xr:uid="{00000000-0005-0000-0000-0000C7C10000}"/>
    <cellStyle name="Normal 5 3 2 3 6 2 3" xfId="44222" xr:uid="{00000000-0005-0000-0000-0000C8C10000}"/>
    <cellStyle name="Normal 5 3 2 3 6 3" xfId="23870" xr:uid="{00000000-0005-0000-0000-0000C9C10000}"/>
    <cellStyle name="Normal 5 3 2 3 6 3 2" xfId="51003" xr:uid="{00000000-0005-0000-0000-0000CAC10000}"/>
    <cellStyle name="Normal 5 3 2 3 6 4" xfId="37441" xr:uid="{00000000-0005-0000-0000-0000CBC10000}"/>
    <cellStyle name="Normal 5 3 2 3 7" xfId="13694" xr:uid="{00000000-0005-0000-0000-0000CCC10000}"/>
    <cellStyle name="Normal 5 3 2 3 7 2" xfId="27262" xr:uid="{00000000-0005-0000-0000-0000CDC10000}"/>
    <cellStyle name="Normal 5 3 2 3 7 2 2" xfId="54395" xr:uid="{00000000-0005-0000-0000-0000CEC10000}"/>
    <cellStyle name="Normal 5 3 2 3 7 3" xfId="40833" xr:uid="{00000000-0005-0000-0000-0000CFC10000}"/>
    <cellStyle name="Normal 5 3 2 3 8" xfId="20481" xr:uid="{00000000-0005-0000-0000-0000D0C10000}"/>
    <cellStyle name="Normal 5 3 2 3 8 2" xfId="47614" xr:uid="{00000000-0005-0000-0000-0000D1C10000}"/>
    <cellStyle name="Normal 5 3 2 3 9" xfId="34052" xr:uid="{00000000-0005-0000-0000-0000D2C10000}"/>
    <cellStyle name="Normal 5 3 2 4" xfId="6770" xr:uid="{00000000-0005-0000-0000-0000D3C10000}"/>
    <cellStyle name="Normal 5 3 2 4 2" xfId="6771" xr:uid="{00000000-0005-0000-0000-0000D4C10000}"/>
    <cellStyle name="Normal 5 3 2 4 2 2" xfId="6772" xr:uid="{00000000-0005-0000-0000-0000D5C10000}"/>
    <cellStyle name="Normal 5 3 2 4 2 2 2" xfId="10303" xr:uid="{00000000-0005-0000-0000-0000D6C10000}"/>
    <cellStyle name="Normal 5 3 2 4 2 2 2 2" xfId="17093" xr:uid="{00000000-0005-0000-0000-0000D7C10000}"/>
    <cellStyle name="Normal 5 3 2 4 2 2 2 2 2" xfId="30661" xr:uid="{00000000-0005-0000-0000-0000D8C10000}"/>
    <cellStyle name="Normal 5 3 2 4 2 2 2 2 2 2" xfId="57794" xr:uid="{00000000-0005-0000-0000-0000D9C10000}"/>
    <cellStyle name="Normal 5 3 2 4 2 2 2 2 3" xfId="44232" xr:uid="{00000000-0005-0000-0000-0000DAC10000}"/>
    <cellStyle name="Normal 5 3 2 4 2 2 2 3" xfId="23880" xr:uid="{00000000-0005-0000-0000-0000DBC10000}"/>
    <cellStyle name="Normal 5 3 2 4 2 2 2 3 2" xfId="51013" xr:uid="{00000000-0005-0000-0000-0000DCC10000}"/>
    <cellStyle name="Normal 5 3 2 4 2 2 2 4" xfId="37451" xr:uid="{00000000-0005-0000-0000-0000DDC10000}"/>
    <cellStyle name="Normal 5 3 2 4 2 2 3" xfId="13704" xr:uid="{00000000-0005-0000-0000-0000DEC10000}"/>
    <cellStyle name="Normal 5 3 2 4 2 2 3 2" xfId="27272" xr:uid="{00000000-0005-0000-0000-0000DFC10000}"/>
    <cellStyle name="Normal 5 3 2 4 2 2 3 2 2" xfId="54405" xr:uid="{00000000-0005-0000-0000-0000E0C10000}"/>
    <cellStyle name="Normal 5 3 2 4 2 2 3 3" xfId="40843" xr:uid="{00000000-0005-0000-0000-0000E1C10000}"/>
    <cellStyle name="Normal 5 3 2 4 2 2 4" xfId="20491" xr:uid="{00000000-0005-0000-0000-0000E2C10000}"/>
    <cellStyle name="Normal 5 3 2 4 2 2 4 2" xfId="47624" xr:uid="{00000000-0005-0000-0000-0000E3C10000}"/>
    <cellStyle name="Normal 5 3 2 4 2 2 5" xfId="34062" xr:uid="{00000000-0005-0000-0000-0000E4C10000}"/>
    <cellStyle name="Normal 5 3 2 4 2 3" xfId="6773" xr:uid="{00000000-0005-0000-0000-0000E5C10000}"/>
    <cellStyle name="Normal 5 3 2 4 2 3 2" xfId="10304" xr:uid="{00000000-0005-0000-0000-0000E6C10000}"/>
    <cellStyle name="Normal 5 3 2 4 2 3 2 2" xfId="17094" xr:uid="{00000000-0005-0000-0000-0000E7C10000}"/>
    <cellStyle name="Normal 5 3 2 4 2 3 2 2 2" xfId="30662" xr:uid="{00000000-0005-0000-0000-0000E8C10000}"/>
    <cellStyle name="Normal 5 3 2 4 2 3 2 2 2 2" xfId="57795" xr:uid="{00000000-0005-0000-0000-0000E9C10000}"/>
    <cellStyle name="Normal 5 3 2 4 2 3 2 2 3" xfId="44233" xr:uid="{00000000-0005-0000-0000-0000EAC10000}"/>
    <cellStyle name="Normal 5 3 2 4 2 3 2 3" xfId="23881" xr:uid="{00000000-0005-0000-0000-0000EBC10000}"/>
    <cellStyle name="Normal 5 3 2 4 2 3 2 3 2" xfId="51014" xr:uid="{00000000-0005-0000-0000-0000ECC10000}"/>
    <cellStyle name="Normal 5 3 2 4 2 3 2 4" xfId="37452" xr:uid="{00000000-0005-0000-0000-0000EDC10000}"/>
    <cellStyle name="Normal 5 3 2 4 2 3 3" xfId="13705" xr:uid="{00000000-0005-0000-0000-0000EEC10000}"/>
    <cellStyle name="Normal 5 3 2 4 2 3 3 2" xfId="27273" xr:uid="{00000000-0005-0000-0000-0000EFC10000}"/>
    <cellStyle name="Normal 5 3 2 4 2 3 3 2 2" xfId="54406" xr:uid="{00000000-0005-0000-0000-0000F0C10000}"/>
    <cellStyle name="Normal 5 3 2 4 2 3 3 3" xfId="40844" xr:uid="{00000000-0005-0000-0000-0000F1C10000}"/>
    <cellStyle name="Normal 5 3 2 4 2 3 4" xfId="20492" xr:uid="{00000000-0005-0000-0000-0000F2C10000}"/>
    <cellStyle name="Normal 5 3 2 4 2 3 4 2" xfId="47625" xr:uid="{00000000-0005-0000-0000-0000F3C10000}"/>
    <cellStyle name="Normal 5 3 2 4 2 3 5" xfId="34063" xr:uid="{00000000-0005-0000-0000-0000F4C10000}"/>
    <cellStyle name="Normal 5 3 2 4 2 4" xfId="10302" xr:uid="{00000000-0005-0000-0000-0000F5C10000}"/>
    <cellStyle name="Normal 5 3 2 4 2 4 2" xfId="17092" xr:uid="{00000000-0005-0000-0000-0000F6C10000}"/>
    <cellStyle name="Normal 5 3 2 4 2 4 2 2" xfId="30660" xr:uid="{00000000-0005-0000-0000-0000F7C10000}"/>
    <cellStyle name="Normal 5 3 2 4 2 4 2 2 2" xfId="57793" xr:uid="{00000000-0005-0000-0000-0000F8C10000}"/>
    <cellStyle name="Normal 5 3 2 4 2 4 2 3" xfId="44231" xr:uid="{00000000-0005-0000-0000-0000F9C10000}"/>
    <cellStyle name="Normal 5 3 2 4 2 4 3" xfId="23879" xr:uid="{00000000-0005-0000-0000-0000FAC10000}"/>
    <cellStyle name="Normal 5 3 2 4 2 4 3 2" xfId="51012" xr:uid="{00000000-0005-0000-0000-0000FBC10000}"/>
    <cellStyle name="Normal 5 3 2 4 2 4 4" xfId="37450" xr:uid="{00000000-0005-0000-0000-0000FCC10000}"/>
    <cellStyle name="Normal 5 3 2 4 2 5" xfId="13703" xr:uid="{00000000-0005-0000-0000-0000FDC10000}"/>
    <cellStyle name="Normal 5 3 2 4 2 5 2" xfId="27271" xr:uid="{00000000-0005-0000-0000-0000FEC10000}"/>
    <cellStyle name="Normal 5 3 2 4 2 5 2 2" xfId="54404" xr:uid="{00000000-0005-0000-0000-0000FFC10000}"/>
    <cellStyle name="Normal 5 3 2 4 2 5 3" xfId="40842" xr:uid="{00000000-0005-0000-0000-000000C20000}"/>
    <cellStyle name="Normal 5 3 2 4 2 6" xfId="20490" xr:uid="{00000000-0005-0000-0000-000001C20000}"/>
    <cellStyle name="Normal 5 3 2 4 2 6 2" xfId="47623" xr:uid="{00000000-0005-0000-0000-000002C20000}"/>
    <cellStyle name="Normal 5 3 2 4 2 7" xfId="34061" xr:uid="{00000000-0005-0000-0000-000003C20000}"/>
    <cellStyle name="Normal 5 3 2 4 3" xfId="6774" xr:uid="{00000000-0005-0000-0000-000004C20000}"/>
    <cellStyle name="Normal 5 3 2 4 3 2" xfId="10305" xr:uid="{00000000-0005-0000-0000-000005C20000}"/>
    <cellStyle name="Normal 5 3 2 4 3 2 2" xfId="17095" xr:uid="{00000000-0005-0000-0000-000006C20000}"/>
    <cellStyle name="Normal 5 3 2 4 3 2 2 2" xfId="30663" xr:uid="{00000000-0005-0000-0000-000007C20000}"/>
    <cellStyle name="Normal 5 3 2 4 3 2 2 2 2" xfId="57796" xr:uid="{00000000-0005-0000-0000-000008C20000}"/>
    <cellStyle name="Normal 5 3 2 4 3 2 2 3" xfId="44234" xr:uid="{00000000-0005-0000-0000-000009C20000}"/>
    <cellStyle name="Normal 5 3 2 4 3 2 3" xfId="23882" xr:uid="{00000000-0005-0000-0000-00000AC20000}"/>
    <cellStyle name="Normal 5 3 2 4 3 2 3 2" xfId="51015" xr:uid="{00000000-0005-0000-0000-00000BC20000}"/>
    <cellStyle name="Normal 5 3 2 4 3 2 4" xfId="37453" xr:uid="{00000000-0005-0000-0000-00000CC20000}"/>
    <cellStyle name="Normal 5 3 2 4 3 3" xfId="13706" xr:uid="{00000000-0005-0000-0000-00000DC20000}"/>
    <cellStyle name="Normal 5 3 2 4 3 3 2" xfId="27274" xr:uid="{00000000-0005-0000-0000-00000EC20000}"/>
    <cellStyle name="Normal 5 3 2 4 3 3 2 2" xfId="54407" xr:uid="{00000000-0005-0000-0000-00000FC20000}"/>
    <cellStyle name="Normal 5 3 2 4 3 3 3" xfId="40845" xr:uid="{00000000-0005-0000-0000-000010C20000}"/>
    <cellStyle name="Normal 5 3 2 4 3 4" xfId="20493" xr:uid="{00000000-0005-0000-0000-000011C20000}"/>
    <cellStyle name="Normal 5 3 2 4 3 4 2" xfId="47626" xr:uid="{00000000-0005-0000-0000-000012C20000}"/>
    <cellStyle name="Normal 5 3 2 4 3 5" xfId="34064" xr:uid="{00000000-0005-0000-0000-000013C20000}"/>
    <cellStyle name="Normal 5 3 2 4 4" xfId="6775" xr:uid="{00000000-0005-0000-0000-000014C20000}"/>
    <cellStyle name="Normal 5 3 2 4 4 2" xfId="10306" xr:uid="{00000000-0005-0000-0000-000015C20000}"/>
    <cellStyle name="Normal 5 3 2 4 4 2 2" xfId="17096" xr:uid="{00000000-0005-0000-0000-000016C20000}"/>
    <cellStyle name="Normal 5 3 2 4 4 2 2 2" xfId="30664" xr:uid="{00000000-0005-0000-0000-000017C20000}"/>
    <cellStyle name="Normal 5 3 2 4 4 2 2 2 2" xfId="57797" xr:uid="{00000000-0005-0000-0000-000018C20000}"/>
    <cellStyle name="Normal 5 3 2 4 4 2 2 3" xfId="44235" xr:uid="{00000000-0005-0000-0000-000019C20000}"/>
    <cellStyle name="Normal 5 3 2 4 4 2 3" xfId="23883" xr:uid="{00000000-0005-0000-0000-00001AC20000}"/>
    <cellStyle name="Normal 5 3 2 4 4 2 3 2" xfId="51016" xr:uid="{00000000-0005-0000-0000-00001BC20000}"/>
    <cellStyle name="Normal 5 3 2 4 4 2 4" xfId="37454" xr:uid="{00000000-0005-0000-0000-00001CC20000}"/>
    <cellStyle name="Normal 5 3 2 4 4 3" xfId="13707" xr:uid="{00000000-0005-0000-0000-00001DC20000}"/>
    <cellStyle name="Normal 5 3 2 4 4 3 2" xfId="27275" xr:uid="{00000000-0005-0000-0000-00001EC20000}"/>
    <cellStyle name="Normal 5 3 2 4 4 3 2 2" xfId="54408" xr:uid="{00000000-0005-0000-0000-00001FC20000}"/>
    <cellStyle name="Normal 5 3 2 4 4 3 3" xfId="40846" xr:uid="{00000000-0005-0000-0000-000020C20000}"/>
    <cellStyle name="Normal 5 3 2 4 4 4" xfId="20494" xr:uid="{00000000-0005-0000-0000-000021C20000}"/>
    <cellStyle name="Normal 5 3 2 4 4 4 2" xfId="47627" xr:uid="{00000000-0005-0000-0000-000022C20000}"/>
    <cellStyle name="Normal 5 3 2 4 4 5" xfId="34065" xr:uid="{00000000-0005-0000-0000-000023C20000}"/>
    <cellStyle name="Normal 5 3 2 4 5" xfId="10301" xr:uid="{00000000-0005-0000-0000-000024C20000}"/>
    <cellStyle name="Normal 5 3 2 4 5 2" xfId="17091" xr:uid="{00000000-0005-0000-0000-000025C20000}"/>
    <cellStyle name="Normal 5 3 2 4 5 2 2" xfId="30659" xr:uid="{00000000-0005-0000-0000-000026C20000}"/>
    <cellStyle name="Normal 5 3 2 4 5 2 2 2" xfId="57792" xr:uid="{00000000-0005-0000-0000-000027C20000}"/>
    <cellStyle name="Normal 5 3 2 4 5 2 3" xfId="44230" xr:uid="{00000000-0005-0000-0000-000028C20000}"/>
    <cellStyle name="Normal 5 3 2 4 5 3" xfId="23878" xr:uid="{00000000-0005-0000-0000-000029C20000}"/>
    <cellStyle name="Normal 5 3 2 4 5 3 2" xfId="51011" xr:uid="{00000000-0005-0000-0000-00002AC20000}"/>
    <cellStyle name="Normal 5 3 2 4 5 4" xfId="37449" xr:uid="{00000000-0005-0000-0000-00002BC20000}"/>
    <cellStyle name="Normal 5 3 2 4 6" xfId="13702" xr:uid="{00000000-0005-0000-0000-00002CC20000}"/>
    <cellStyle name="Normal 5 3 2 4 6 2" xfId="27270" xr:uid="{00000000-0005-0000-0000-00002DC20000}"/>
    <cellStyle name="Normal 5 3 2 4 6 2 2" xfId="54403" xr:uid="{00000000-0005-0000-0000-00002EC20000}"/>
    <cellStyle name="Normal 5 3 2 4 6 3" xfId="40841" xr:uid="{00000000-0005-0000-0000-00002FC20000}"/>
    <cellStyle name="Normal 5 3 2 4 7" xfId="20489" xr:uid="{00000000-0005-0000-0000-000030C20000}"/>
    <cellStyle name="Normal 5 3 2 4 7 2" xfId="47622" xr:uid="{00000000-0005-0000-0000-000031C20000}"/>
    <cellStyle name="Normal 5 3 2 4 8" xfId="34060" xr:uid="{00000000-0005-0000-0000-000032C20000}"/>
    <cellStyle name="Normal 5 3 2 5" xfId="6776" xr:uid="{00000000-0005-0000-0000-000033C20000}"/>
    <cellStyle name="Normal 5 3 2 5 2" xfId="6777" xr:uid="{00000000-0005-0000-0000-000034C20000}"/>
    <cellStyle name="Normal 5 3 2 5 2 2" xfId="10308" xr:uid="{00000000-0005-0000-0000-000035C20000}"/>
    <cellStyle name="Normal 5 3 2 5 2 2 2" xfId="17098" xr:uid="{00000000-0005-0000-0000-000036C20000}"/>
    <cellStyle name="Normal 5 3 2 5 2 2 2 2" xfId="30666" xr:uid="{00000000-0005-0000-0000-000037C20000}"/>
    <cellStyle name="Normal 5 3 2 5 2 2 2 2 2" xfId="57799" xr:uid="{00000000-0005-0000-0000-000038C20000}"/>
    <cellStyle name="Normal 5 3 2 5 2 2 2 3" xfId="44237" xr:uid="{00000000-0005-0000-0000-000039C20000}"/>
    <cellStyle name="Normal 5 3 2 5 2 2 3" xfId="23885" xr:uid="{00000000-0005-0000-0000-00003AC20000}"/>
    <cellStyle name="Normal 5 3 2 5 2 2 3 2" xfId="51018" xr:uid="{00000000-0005-0000-0000-00003BC20000}"/>
    <cellStyle name="Normal 5 3 2 5 2 2 4" xfId="37456" xr:uid="{00000000-0005-0000-0000-00003CC20000}"/>
    <cellStyle name="Normal 5 3 2 5 2 3" xfId="13709" xr:uid="{00000000-0005-0000-0000-00003DC20000}"/>
    <cellStyle name="Normal 5 3 2 5 2 3 2" xfId="27277" xr:uid="{00000000-0005-0000-0000-00003EC20000}"/>
    <cellStyle name="Normal 5 3 2 5 2 3 2 2" xfId="54410" xr:uid="{00000000-0005-0000-0000-00003FC20000}"/>
    <cellStyle name="Normal 5 3 2 5 2 3 3" xfId="40848" xr:uid="{00000000-0005-0000-0000-000040C20000}"/>
    <cellStyle name="Normal 5 3 2 5 2 4" xfId="20496" xr:uid="{00000000-0005-0000-0000-000041C20000}"/>
    <cellStyle name="Normal 5 3 2 5 2 4 2" xfId="47629" xr:uid="{00000000-0005-0000-0000-000042C20000}"/>
    <cellStyle name="Normal 5 3 2 5 2 5" xfId="34067" xr:uid="{00000000-0005-0000-0000-000043C20000}"/>
    <cellStyle name="Normal 5 3 2 5 3" xfId="6778" xr:uid="{00000000-0005-0000-0000-000044C20000}"/>
    <cellStyle name="Normal 5 3 2 5 3 2" xfId="10309" xr:uid="{00000000-0005-0000-0000-000045C20000}"/>
    <cellStyle name="Normal 5 3 2 5 3 2 2" xfId="17099" xr:uid="{00000000-0005-0000-0000-000046C20000}"/>
    <cellStyle name="Normal 5 3 2 5 3 2 2 2" xfId="30667" xr:uid="{00000000-0005-0000-0000-000047C20000}"/>
    <cellStyle name="Normal 5 3 2 5 3 2 2 2 2" xfId="57800" xr:uid="{00000000-0005-0000-0000-000048C20000}"/>
    <cellStyle name="Normal 5 3 2 5 3 2 2 3" xfId="44238" xr:uid="{00000000-0005-0000-0000-000049C20000}"/>
    <cellStyle name="Normal 5 3 2 5 3 2 3" xfId="23886" xr:uid="{00000000-0005-0000-0000-00004AC20000}"/>
    <cellStyle name="Normal 5 3 2 5 3 2 3 2" xfId="51019" xr:uid="{00000000-0005-0000-0000-00004BC20000}"/>
    <cellStyle name="Normal 5 3 2 5 3 2 4" xfId="37457" xr:uid="{00000000-0005-0000-0000-00004CC20000}"/>
    <cellStyle name="Normal 5 3 2 5 3 3" xfId="13710" xr:uid="{00000000-0005-0000-0000-00004DC20000}"/>
    <cellStyle name="Normal 5 3 2 5 3 3 2" xfId="27278" xr:uid="{00000000-0005-0000-0000-00004EC20000}"/>
    <cellStyle name="Normal 5 3 2 5 3 3 2 2" xfId="54411" xr:uid="{00000000-0005-0000-0000-00004FC20000}"/>
    <cellStyle name="Normal 5 3 2 5 3 3 3" xfId="40849" xr:uid="{00000000-0005-0000-0000-000050C20000}"/>
    <cellStyle name="Normal 5 3 2 5 3 4" xfId="20497" xr:uid="{00000000-0005-0000-0000-000051C20000}"/>
    <cellStyle name="Normal 5 3 2 5 3 4 2" xfId="47630" xr:uid="{00000000-0005-0000-0000-000052C20000}"/>
    <cellStyle name="Normal 5 3 2 5 3 5" xfId="34068" xr:uid="{00000000-0005-0000-0000-000053C20000}"/>
    <cellStyle name="Normal 5 3 2 5 4" xfId="10307" xr:uid="{00000000-0005-0000-0000-000054C20000}"/>
    <cellStyle name="Normal 5 3 2 5 4 2" xfId="17097" xr:uid="{00000000-0005-0000-0000-000055C20000}"/>
    <cellStyle name="Normal 5 3 2 5 4 2 2" xfId="30665" xr:uid="{00000000-0005-0000-0000-000056C20000}"/>
    <cellStyle name="Normal 5 3 2 5 4 2 2 2" xfId="57798" xr:uid="{00000000-0005-0000-0000-000057C20000}"/>
    <cellStyle name="Normal 5 3 2 5 4 2 3" xfId="44236" xr:uid="{00000000-0005-0000-0000-000058C20000}"/>
    <cellStyle name="Normal 5 3 2 5 4 3" xfId="23884" xr:uid="{00000000-0005-0000-0000-000059C20000}"/>
    <cellStyle name="Normal 5 3 2 5 4 3 2" xfId="51017" xr:uid="{00000000-0005-0000-0000-00005AC20000}"/>
    <cellStyle name="Normal 5 3 2 5 4 4" xfId="37455" xr:uid="{00000000-0005-0000-0000-00005BC20000}"/>
    <cellStyle name="Normal 5 3 2 5 5" xfId="13708" xr:uid="{00000000-0005-0000-0000-00005CC20000}"/>
    <cellStyle name="Normal 5 3 2 5 5 2" xfId="27276" xr:uid="{00000000-0005-0000-0000-00005DC20000}"/>
    <cellStyle name="Normal 5 3 2 5 5 2 2" xfId="54409" xr:uid="{00000000-0005-0000-0000-00005EC20000}"/>
    <cellStyle name="Normal 5 3 2 5 5 3" xfId="40847" xr:uid="{00000000-0005-0000-0000-00005FC20000}"/>
    <cellStyle name="Normal 5 3 2 5 6" xfId="20495" xr:uid="{00000000-0005-0000-0000-000060C20000}"/>
    <cellStyle name="Normal 5 3 2 5 6 2" xfId="47628" xr:uid="{00000000-0005-0000-0000-000061C20000}"/>
    <cellStyle name="Normal 5 3 2 5 7" xfId="34066" xr:uid="{00000000-0005-0000-0000-000062C20000}"/>
    <cellStyle name="Normal 5 3 2 6" xfId="6779" xr:uid="{00000000-0005-0000-0000-000063C20000}"/>
    <cellStyle name="Normal 5 3 2 6 2" xfId="6780" xr:uid="{00000000-0005-0000-0000-000064C20000}"/>
    <cellStyle name="Normal 5 3 2 6 2 2" xfId="10311" xr:uid="{00000000-0005-0000-0000-000065C20000}"/>
    <cellStyle name="Normal 5 3 2 6 2 2 2" xfId="17101" xr:uid="{00000000-0005-0000-0000-000066C20000}"/>
    <cellStyle name="Normal 5 3 2 6 2 2 2 2" xfId="30669" xr:uid="{00000000-0005-0000-0000-000067C20000}"/>
    <cellStyle name="Normal 5 3 2 6 2 2 2 2 2" xfId="57802" xr:uid="{00000000-0005-0000-0000-000068C20000}"/>
    <cellStyle name="Normal 5 3 2 6 2 2 2 3" xfId="44240" xr:uid="{00000000-0005-0000-0000-000069C20000}"/>
    <cellStyle name="Normal 5 3 2 6 2 2 3" xfId="23888" xr:uid="{00000000-0005-0000-0000-00006AC20000}"/>
    <cellStyle name="Normal 5 3 2 6 2 2 3 2" xfId="51021" xr:uid="{00000000-0005-0000-0000-00006BC20000}"/>
    <cellStyle name="Normal 5 3 2 6 2 2 4" xfId="37459" xr:uid="{00000000-0005-0000-0000-00006CC20000}"/>
    <cellStyle name="Normal 5 3 2 6 2 3" xfId="13712" xr:uid="{00000000-0005-0000-0000-00006DC20000}"/>
    <cellStyle name="Normal 5 3 2 6 2 3 2" xfId="27280" xr:uid="{00000000-0005-0000-0000-00006EC20000}"/>
    <cellStyle name="Normal 5 3 2 6 2 3 2 2" xfId="54413" xr:uid="{00000000-0005-0000-0000-00006FC20000}"/>
    <cellStyle name="Normal 5 3 2 6 2 3 3" xfId="40851" xr:uid="{00000000-0005-0000-0000-000070C20000}"/>
    <cellStyle name="Normal 5 3 2 6 2 4" xfId="20499" xr:uid="{00000000-0005-0000-0000-000071C20000}"/>
    <cellStyle name="Normal 5 3 2 6 2 4 2" xfId="47632" xr:uid="{00000000-0005-0000-0000-000072C20000}"/>
    <cellStyle name="Normal 5 3 2 6 2 5" xfId="34070" xr:uid="{00000000-0005-0000-0000-000073C20000}"/>
    <cellStyle name="Normal 5 3 2 6 3" xfId="6781" xr:uid="{00000000-0005-0000-0000-000074C20000}"/>
    <cellStyle name="Normal 5 3 2 6 3 2" xfId="10312" xr:uid="{00000000-0005-0000-0000-000075C20000}"/>
    <cellStyle name="Normal 5 3 2 6 3 2 2" xfId="17102" xr:uid="{00000000-0005-0000-0000-000076C20000}"/>
    <cellStyle name="Normal 5 3 2 6 3 2 2 2" xfId="30670" xr:uid="{00000000-0005-0000-0000-000077C20000}"/>
    <cellStyle name="Normal 5 3 2 6 3 2 2 2 2" xfId="57803" xr:uid="{00000000-0005-0000-0000-000078C20000}"/>
    <cellStyle name="Normal 5 3 2 6 3 2 2 3" xfId="44241" xr:uid="{00000000-0005-0000-0000-000079C20000}"/>
    <cellStyle name="Normal 5 3 2 6 3 2 3" xfId="23889" xr:uid="{00000000-0005-0000-0000-00007AC20000}"/>
    <cellStyle name="Normal 5 3 2 6 3 2 3 2" xfId="51022" xr:uid="{00000000-0005-0000-0000-00007BC20000}"/>
    <cellStyle name="Normal 5 3 2 6 3 2 4" xfId="37460" xr:uid="{00000000-0005-0000-0000-00007CC20000}"/>
    <cellStyle name="Normal 5 3 2 6 3 3" xfId="13713" xr:uid="{00000000-0005-0000-0000-00007DC20000}"/>
    <cellStyle name="Normal 5 3 2 6 3 3 2" xfId="27281" xr:uid="{00000000-0005-0000-0000-00007EC20000}"/>
    <cellStyle name="Normal 5 3 2 6 3 3 2 2" xfId="54414" xr:uid="{00000000-0005-0000-0000-00007FC20000}"/>
    <cellStyle name="Normal 5 3 2 6 3 3 3" xfId="40852" xr:uid="{00000000-0005-0000-0000-000080C20000}"/>
    <cellStyle name="Normal 5 3 2 6 3 4" xfId="20500" xr:uid="{00000000-0005-0000-0000-000081C20000}"/>
    <cellStyle name="Normal 5 3 2 6 3 4 2" xfId="47633" xr:uid="{00000000-0005-0000-0000-000082C20000}"/>
    <cellStyle name="Normal 5 3 2 6 3 5" xfId="34071" xr:uid="{00000000-0005-0000-0000-000083C20000}"/>
    <cellStyle name="Normal 5 3 2 6 4" xfId="10310" xr:uid="{00000000-0005-0000-0000-000084C20000}"/>
    <cellStyle name="Normal 5 3 2 6 4 2" xfId="17100" xr:uid="{00000000-0005-0000-0000-000085C20000}"/>
    <cellStyle name="Normal 5 3 2 6 4 2 2" xfId="30668" xr:uid="{00000000-0005-0000-0000-000086C20000}"/>
    <cellStyle name="Normal 5 3 2 6 4 2 2 2" xfId="57801" xr:uid="{00000000-0005-0000-0000-000087C20000}"/>
    <cellStyle name="Normal 5 3 2 6 4 2 3" xfId="44239" xr:uid="{00000000-0005-0000-0000-000088C20000}"/>
    <cellStyle name="Normal 5 3 2 6 4 3" xfId="23887" xr:uid="{00000000-0005-0000-0000-000089C20000}"/>
    <cellStyle name="Normal 5 3 2 6 4 3 2" xfId="51020" xr:uid="{00000000-0005-0000-0000-00008AC20000}"/>
    <cellStyle name="Normal 5 3 2 6 4 4" xfId="37458" xr:uid="{00000000-0005-0000-0000-00008BC20000}"/>
    <cellStyle name="Normal 5 3 2 6 5" xfId="13711" xr:uid="{00000000-0005-0000-0000-00008CC20000}"/>
    <cellStyle name="Normal 5 3 2 6 5 2" xfId="27279" xr:uid="{00000000-0005-0000-0000-00008DC20000}"/>
    <cellStyle name="Normal 5 3 2 6 5 2 2" xfId="54412" xr:uid="{00000000-0005-0000-0000-00008EC20000}"/>
    <cellStyle name="Normal 5 3 2 6 5 3" xfId="40850" xr:uid="{00000000-0005-0000-0000-00008FC20000}"/>
    <cellStyle name="Normal 5 3 2 6 6" xfId="20498" xr:uid="{00000000-0005-0000-0000-000090C20000}"/>
    <cellStyle name="Normal 5 3 2 6 6 2" xfId="47631" xr:uid="{00000000-0005-0000-0000-000091C20000}"/>
    <cellStyle name="Normal 5 3 2 6 7" xfId="34069" xr:uid="{00000000-0005-0000-0000-000092C20000}"/>
    <cellStyle name="Normal 5 3 2 7" xfId="6782" xr:uid="{00000000-0005-0000-0000-000093C20000}"/>
    <cellStyle name="Normal 5 3 2 7 2" xfId="10313" xr:uid="{00000000-0005-0000-0000-000094C20000}"/>
    <cellStyle name="Normal 5 3 2 7 2 2" xfId="17103" xr:uid="{00000000-0005-0000-0000-000095C20000}"/>
    <cellStyle name="Normal 5 3 2 7 2 2 2" xfId="30671" xr:uid="{00000000-0005-0000-0000-000096C20000}"/>
    <cellStyle name="Normal 5 3 2 7 2 2 2 2" xfId="57804" xr:uid="{00000000-0005-0000-0000-000097C20000}"/>
    <cellStyle name="Normal 5 3 2 7 2 2 3" xfId="44242" xr:uid="{00000000-0005-0000-0000-000098C20000}"/>
    <cellStyle name="Normal 5 3 2 7 2 3" xfId="23890" xr:uid="{00000000-0005-0000-0000-000099C20000}"/>
    <cellStyle name="Normal 5 3 2 7 2 3 2" xfId="51023" xr:uid="{00000000-0005-0000-0000-00009AC20000}"/>
    <cellStyle name="Normal 5 3 2 7 2 4" xfId="37461" xr:uid="{00000000-0005-0000-0000-00009BC20000}"/>
    <cellStyle name="Normal 5 3 2 7 3" xfId="13714" xr:uid="{00000000-0005-0000-0000-00009CC20000}"/>
    <cellStyle name="Normal 5 3 2 7 3 2" xfId="27282" xr:uid="{00000000-0005-0000-0000-00009DC20000}"/>
    <cellStyle name="Normal 5 3 2 7 3 2 2" xfId="54415" xr:uid="{00000000-0005-0000-0000-00009EC20000}"/>
    <cellStyle name="Normal 5 3 2 7 3 3" xfId="40853" xr:uid="{00000000-0005-0000-0000-00009FC20000}"/>
    <cellStyle name="Normal 5 3 2 7 4" xfId="20501" xr:uid="{00000000-0005-0000-0000-0000A0C20000}"/>
    <cellStyle name="Normal 5 3 2 7 4 2" xfId="47634" xr:uid="{00000000-0005-0000-0000-0000A1C20000}"/>
    <cellStyle name="Normal 5 3 2 7 5" xfId="34072" xr:uid="{00000000-0005-0000-0000-0000A2C20000}"/>
    <cellStyle name="Normal 5 3 2 8" xfId="6783" xr:uid="{00000000-0005-0000-0000-0000A3C20000}"/>
    <cellStyle name="Normal 5 3 2 8 2" xfId="10314" xr:uid="{00000000-0005-0000-0000-0000A4C20000}"/>
    <cellStyle name="Normal 5 3 2 8 2 2" xfId="17104" xr:uid="{00000000-0005-0000-0000-0000A5C20000}"/>
    <cellStyle name="Normal 5 3 2 8 2 2 2" xfId="30672" xr:uid="{00000000-0005-0000-0000-0000A6C20000}"/>
    <cellStyle name="Normal 5 3 2 8 2 2 2 2" xfId="57805" xr:uid="{00000000-0005-0000-0000-0000A7C20000}"/>
    <cellStyle name="Normal 5 3 2 8 2 2 3" xfId="44243" xr:uid="{00000000-0005-0000-0000-0000A8C20000}"/>
    <cellStyle name="Normal 5 3 2 8 2 3" xfId="23891" xr:uid="{00000000-0005-0000-0000-0000A9C20000}"/>
    <cellStyle name="Normal 5 3 2 8 2 3 2" xfId="51024" xr:uid="{00000000-0005-0000-0000-0000AAC20000}"/>
    <cellStyle name="Normal 5 3 2 8 2 4" xfId="37462" xr:uid="{00000000-0005-0000-0000-0000ABC20000}"/>
    <cellStyle name="Normal 5 3 2 8 3" xfId="13715" xr:uid="{00000000-0005-0000-0000-0000ACC20000}"/>
    <cellStyle name="Normal 5 3 2 8 3 2" xfId="27283" xr:uid="{00000000-0005-0000-0000-0000ADC20000}"/>
    <cellStyle name="Normal 5 3 2 8 3 2 2" xfId="54416" xr:uid="{00000000-0005-0000-0000-0000AEC20000}"/>
    <cellStyle name="Normal 5 3 2 8 3 3" xfId="40854" xr:uid="{00000000-0005-0000-0000-0000AFC20000}"/>
    <cellStyle name="Normal 5 3 2 8 4" xfId="20502" xr:uid="{00000000-0005-0000-0000-0000B0C20000}"/>
    <cellStyle name="Normal 5 3 2 8 4 2" xfId="47635" xr:uid="{00000000-0005-0000-0000-0000B1C20000}"/>
    <cellStyle name="Normal 5 3 2 8 5" xfId="34073" xr:uid="{00000000-0005-0000-0000-0000B2C20000}"/>
    <cellStyle name="Normal 5 3 2 9" xfId="10276" xr:uid="{00000000-0005-0000-0000-0000B3C20000}"/>
    <cellStyle name="Normal 5 3 2 9 2" xfId="17066" xr:uid="{00000000-0005-0000-0000-0000B4C20000}"/>
    <cellStyle name="Normal 5 3 2 9 2 2" xfId="30634" xr:uid="{00000000-0005-0000-0000-0000B5C20000}"/>
    <cellStyle name="Normal 5 3 2 9 2 2 2" xfId="57767" xr:uid="{00000000-0005-0000-0000-0000B6C20000}"/>
    <cellStyle name="Normal 5 3 2 9 2 3" xfId="44205" xr:uid="{00000000-0005-0000-0000-0000B7C20000}"/>
    <cellStyle name="Normal 5 3 2 9 3" xfId="23853" xr:uid="{00000000-0005-0000-0000-0000B8C20000}"/>
    <cellStyle name="Normal 5 3 2 9 3 2" xfId="50986" xr:uid="{00000000-0005-0000-0000-0000B9C20000}"/>
    <cellStyle name="Normal 5 3 2 9 4" xfId="37424" xr:uid="{00000000-0005-0000-0000-0000BAC20000}"/>
    <cellStyle name="Normal 5 3 3" xfId="6784" xr:uid="{00000000-0005-0000-0000-0000BBC20000}"/>
    <cellStyle name="Normal 5 3 3 10" xfId="34074" xr:uid="{00000000-0005-0000-0000-0000BCC20000}"/>
    <cellStyle name="Normal 5 3 3 2" xfId="6785" xr:uid="{00000000-0005-0000-0000-0000BDC20000}"/>
    <cellStyle name="Normal 5 3 3 2 2" xfId="6786" xr:uid="{00000000-0005-0000-0000-0000BEC20000}"/>
    <cellStyle name="Normal 5 3 3 2 2 2" xfId="6787" xr:uid="{00000000-0005-0000-0000-0000BFC20000}"/>
    <cellStyle name="Normal 5 3 3 2 2 2 2" xfId="10318" xr:uid="{00000000-0005-0000-0000-0000C0C20000}"/>
    <cellStyle name="Normal 5 3 3 2 2 2 2 2" xfId="17108" xr:uid="{00000000-0005-0000-0000-0000C1C20000}"/>
    <cellStyle name="Normal 5 3 3 2 2 2 2 2 2" xfId="30676" xr:uid="{00000000-0005-0000-0000-0000C2C20000}"/>
    <cellStyle name="Normal 5 3 3 2 2 2 2 2 2 2" xfId="57809" xr:uid="{00000000-0005-0000-0000-0000C3C20000}"/>
    <cellStyle name="Normal 5 3 3 2 2 2 2 2 3" xfId="44247" xr:uid="{00000000-0005-0000-0000-0000C4C20000}"/>
    <cellStyle name="Normal 5 3 3 2 2 2 2 3" xfId="23895" xr:uid="{00000000-0005-0000-0000-0000C5C20000}"/>
    <cellStyle name="Normal 5 3 3 2 2 2 2 3 2" xfId="51028" xr:uid="{00000000-0005-0000-0000-0000C6C20000}"/>
    <cellStyle name="Normal 5 3 3 2 2 2 2 4" xfId="37466" xr:uid="{00000000-0005-0000-0000-0000C7C20000}"/>
    <cellStyle name="Normal 5 3 3 2 2 2 3" xfId="13719" xr:uid="{00000000-0005-0000-0000-0000C8C20000}"/>
    <cellStyle name="Normal 5 3 3 2 2 2 3 2" xfId="27287" xr:uid="{00000000-0005-0000-0000-0000C9C20000}"/>
    <cellStyle name="Normal 5 3 3 2 2 2 3 2 2" xfId="54420" xr:uid="{00000000-0005-0000-0000-0000CAC20000}"/>
    <cellStyle name="Normal 5 3 3 2 2 2 3 3" xfId="40858" xr:uid="{00000000-0005-0000-0000-0000CBC20000}"/>
    <cellStyle name="Normal 5 3 3 2 2 2 4" xfId="20506" xr:uid="{00000000-0005-0000-0000-0000CCC20000}"/>
    <cellStyle name="Normal 5 3 3 2 2 2 4 2" xfId="47639" xr:uid="{00000000-0005-0000-0000-0000CDC20000}"/>
    <cellStyle name="Normal 5 3 3 2 2 2 5" xfId="34077" xr:uid="{00000000-0005-0000-0000-0000CEC20000}"/>
    <cellStyle name="Normal 5 3 3 2 2 3" xfId="6788" xr:uid="{00000000-0005-0000-0000-0000CFC20000}"/>
    <cellStyle name="Normal 5 3 3 2 2 3 2" xfId="10319" xr:uid="{00000000-0005-0000-0000-0000D0C20000}"/>
    <cellStyle name="Normal 5 3 3 2 2 3 2 2" xfId="17109" xr:uid="{00000000-0005-0000-0000-0000D1C20000}"/>
    <cellStyle name="Normal 5 3 3 2 2 3 2 2 2" xfId="30677" xr:uid="{00000000-0005-0000-0000-0000D2C20000}"/>
    <cellStyle name="Normal 5 3 3 2 2 3 2 2 2 2" xfId="57810" xr:uid="{00000000-0005-0000-0000-0000D3C20000}"/>
    <cellStyle name="Normal 5 3 3 2 2 3 2 2 3" xfId="44248" xr:uid="{00000000-0005-0000-0000-0000D4C20000}"/>
    <cellStyle name="Normal 5 3 3 2 2 3 2 3" xfId="23896" xr:uid="{00000000-0005-0000-0000-0000D5C20000}"/>
    <cellStyle name="Normal 5 3 3 2 2 3 2 3 2" xfId="51029" xr:uid="{00000000-0005-0000-0000-0000D6C20000}"/>
    <cellStyle name="Normal 5 3 3 2 2 3 2 4" xfId="37467" xr:uid="{00000000-0005-0000-0000-0000D7C20000}"/>
    <cellStyle name="Normal 5 3 3 2 2 3 3" xfId="13720" xr:uid="{00000000-0005-0000-0000-0000D8C20000}"/>
    <cellStyle name="Normal 5 3 3 2 2 3 3 2" xfId="27288" xr:uid="{00000000-0005-0000-0000-0000D9C20000}"/>
    <cellStyle name="Normal 5 3 3 2 2 3 3 2 2" xfId="54421" xr:uid="{00000000-0005-0000-0000-0000DAC20000}"/>
    <cellStyle name="Normal 5 3 3 2 2 3 3 3" xfId="40859" xr:uid="{00000000-0005-0000-0000-0000DBC20000}"/>
    <cellStyle name="Normal 5 3 3 2 2 3 4" xfId="20507" xr:uid="{00000000-0005-0000-0000-0000DCC20000}"/>
    <cellStyle name="Normal 5 3 3 2 2 3 4 2" xfId="47640" xr:uid="{00000000-0005-0000-0000-0000DDC20000}"/>
    <cellStyle name="Normal 5 3 3 2 2 3 5" xfId="34078" xr:uid="{00000000-0005-0000-0000-0000DEC20000}"/>
    <cellStyle name="Normal 5 3 3 2 2 4" xfId="10317" xr:uid="{00000000-0005-0000-0000-0000DFC20000}"/>
    <cellStyle name="Normal 5 3 3 2 2 4 2" xfId="17107" xr:uid="{00000000-0005-0000-0000-0000E0C20000}"/>
    <cellStyle name="Normal 5 3 3 2 2 4 2 2" xfId="30675" xr:uid="{00000000-0005-0000-0000-0000E1C20000}"/>
    <cellStyle name="Normal 5 3 3 2 2 4 2 2 2" xfId="57808" xr:uid="{00000000-0005-0000-0000-0000E2C20000}"/>
    <cellStyle name="Normal 5 3 3 2 2 4 2 3" xfId="44246" xr:uid="{00000000-0005-0000-0000-0000E3C20000}"/>
    <cellStyle name="Normal 5 3 3 2 2 4 3" xfId="23894" xr:uid="{00000000-0005-0000-0000-0000E4C20000}"/>
    <cellStyle name="Normal 5 3 3 2 2 4 3 2" xfId="51027" xr:uid="{00000000-0005-0000-0000-0000E5C20000}"/>
    <cellStyle name="Normal 5 3 3 2 2 4 4" xfId="37465" xr:uid="{00000000-0005-0000-0000-0000E6C20000}"/>
    <cellStyle name="Normal 5 3 3 2 2 5" xfId="13718" xr:uid="{00000000-0005-0000-0000-0000E7C20000}"/>
    <cellStyle name="Normal 5 3 3 2 2 5 2" xfId="27286" xr:uid="{00000000-0005-0000-0000-0000E8C20000}"/>
    <cellStyle name="Normal 5 3 3 2 2 5 2 2" xfId="54419" xr:uid="{00000000-0005-0000-0000-0000E9C20000}"/>
    <cellStyle name="Normal 5 3 3 2 2 5 3" xfId="40857" xr:uid="{00000000-0005-0000-0000-0000EAC20000}"/>
    <cellStyle name="Normal 5 3 3 2 2 6" xfId="20505" xr:uid="{00000000-0005-0000-0000-0000EBC20000}"/>
    <cellStyle name="Normal 5 3 3 2 2 6 2" xfId="47638" xr:uid="{00000000-0005-0000-0000-0000ECC20000}"/>
    <cellStyle name="Normal 5 3 3 2 2 7" xfId="34076" xr:uid="{00000000-0005-0000-0000-0000EDC20000}"/>
    <cellStyle name="Normal 5 3 3 2 3" xfId="6789" xr:uid="{00000000-0005-0000-0000-0000EEC20000}"/>
    <cellStyle name="Normal 5 3 3 2 3 2" xfId="6790" xr:uid="{00000000-0005-0000-0000-0000EFC20000}"/>
    <cellStyle name="Normal 5 3 3 2 3 2 2" xfId="10321" xr:uid="{00000000-0005-0000-0000-0000F0C20000}"/>
    <cellStyle name="Normal 5 3 3 2 3 2 2 2" xfId="17111" xr:uid="{00000000-0005-0000-0000-0000F1C20000}"/>
    <cellStyle name="Normal 5 3 3 2 3 2 2 2 2" xfId="30679" xr:uid="{00000000-0005-0000-0000-0000F2C20000}"/>
    <cellStyle name="Normal 5 3 3 2 3 2 2 2 2 2" xfId="57812" xr:uid="{00000000-0005-0000-0000-0000F3C20000}"/>
    <cellStyle name="Normal 5 3 3 2 3 2 2 2 3" xfId="44250" xr:uid="{00000000-0005-0000-0000-0000F4C20000}"/>
    <cellStyle name="Normal 5 3 3 2 3 2 2 3" xfId="23898" xr:uid="{00000000-0005-0000-0000-0000F5C20000}"/>
    <cellStyle name="Normal 5 3 3 2 3 2 2 3 2" xfId="51031" xr:uid="{00000000-0005-0000-0000-0000F6C20000}"/>
    <cellStyle name="Normal 5 3 3 2 3 2 2 4" xfId="37469" xr:uid="{00000000-0005-0000-0000-0000F7C20000}"/>
    <cellStyle name="Normal 5 3 3 2 3 2 3" xfId="13722" xr:uid="{00000000-0005-0000-0000-0000F8C20000}"/>
    <cellStyle name="Normal 5 3 3 2 3 2 3 2" xfId="27290" xr:uid="{00000000-0005-0000-0000-0000F9C20000}"/>
    <cellStyle name="Normal 5 3 3 2 3 2 3 2 2" xfId="54423" xr:uid="{00000000-0005-0000-0000-0000FAC20000}"/>
    <cellStyle name="Normal 5 3 3 2 3 2 3 3" xfId="40861" xr:uid="{00000000-0005-0000-0000-0000FBC20000}"/>
    <cellStyle name="Normal 5 3 3 2 3 2 4" xfId="20509" xr:uid="{00000000-0005-0000-0000-0000FCC20000}"/>
    <cellStyle name="Normal 5 3 3 2 3 2 4 2" xfId="47642" xr:uid="{00000000-0005-0000-0000-0000FDC20000}"/>
    <cellStyle name="Normal 5 3 3 2 3 2 5" xfId="34080" xr:uid="{00000000-0005-0000-0000-0000FEC20000}"/>
    <cellStyle name="Normal 5 3 3 2 3 3" xfId="10320" xr:uid="{00000000-0005-0000-0000-0000FFC20000}"/>
    <cellStyle name="Normal 5 3 3 2 3 3 2" xfId="17110" xr:uid="{00000000-0005-0000-0000-000000C30000}"/>
    <cellStyle name="Normal 5 3 3 2 3 3 2 2" xfId="30678" xr:uid="{00000000-0005-0000-0000-000001C30000}"/>
    <cellStyle name="Normal 5 3 3 2 3 3 2 2 2" xfId="57811" xr:uid="{00000000-0005-0000-0000-000002C30000}"/>
    <cellStyle name="Normal 5 3 3 2 3 3 2 3" xfId="44249" xr:uid="{00000000-0005-0000-0000-000003C30000}"/>
    <cellStyle name="Normal 5 3 3 2 3 3 3" xfId="23897" xr:uid="{00000000-0005-0000-0000-000004C30000}"/>
    <cellStyle name="Normal 5 3 3 2 3 3 3 2" xfId="51030" xr:uid="{00000000-0005-0000-0000-000005C30000}"/>
    <cellStyle name="Normal 5 3 3 2 3 3 4" xfId="37468" xr:uid="{00000000-0005-0000-0000-000006C30000}"/>
    <cellStyle name="Normal 5 3 3 2 3 4" xfId="13721" xr:uid="{00000000-0005-0000-0000-000007C30000}"/>
    <cellStyle name="Normal 5 3 3 2 3 4 2" xfId="27289" xr:uid="{00000000-0005-0000-0000-000008C30000}"/>
    <cellStyle name="Normal 5 3 3 2 3 4 2 2" xfId="54422" xr:uid="{00000000-0005-0000-0000-000009C30000}"/>
    <cellStyle name="Normal 5 3 3 2 3 4 3" xfId="40860" xr:uid="{00000000-0005-0000-0000-00000AC30000}"/>
    <cellStyle name="Normal 5 3 3 2 3 5" xfId="20508" xr:uid="{00000000-0005-0000-0000-00000BC30000}"/>
    <cellStyle name="Normal 5 3 3 2 3 5 2" xfId="47641" xr:uid="{00000000-0005-0000-0000-00000CC30000}"/>
    <cellStyle name="Normal 5 3 3 2 3 6" xfId="34079" xr:uid="{00000000-0005-0000-0000-00000DC30000}"/>
    <cellStyle name="Normal 5 3 3 2 4" xfId="6791" xr:uid="{00000000-0005-0000-0000-00000EC30000}"/>
    <cellStyle name="Normal 5 3 3 2 4 2" xfId="10322" xr:uid="{00000000-0005-0000-0000-00000FC30000}"/>
    <cellStyle name="Normal 5 3 3 2 4 2 2" xfId="17112" xr:uid="{00000000-0005-0000-0000-000010C30000}"/>
    <cellStyle name="Normal 5 3 3 2 4 2 2 2" xfId="30680" xr:uid="{00000000-0005-0000-0000-000011C30000}"/>
    <cellStyle name="Normal 5 3 3 2 4 2 2 2 2" xfId="57813" xr:uid="{00000000-0005-0000-0000-000012C30000}"/>
    <cellStyle name="Normal 5 3 3 2 4 2 2 3" xfId="44251" xr:uid="{00000000-0005-0000-0000-000013C30000}"/>
    <cellStyle name="Normal 5 3 3 2 4 2 3" xfId="23899" xr:uid="{00000000-0005-0000-0000-000014C30000}"/>
    <cellStyle name="Normal 5 3 3 2 4 2 3 2" xfId="51032" xr:uid="{00000000-0005-0000-0000-000015C30000}"/>
    <cellStyle name="Normal 5 3 3 2 4 2 4" xfId="37470" xr:uid="{00000000-0005-0000-0000-000016C30000}"/>
    <cellStyle name="Normal 5 3 3 2 4 3" xfId="13723" xr:uid="{00000000-0005-0000-0000-000017C30000}"/>
    <cellStyle name="Normal 5 3 3 2 4 3 2" xfId="27291" xr:uid="{00000000-0005-0000-0000-000018C30000}"/>
    <cellStyle name="Normal 5 3 3 2 4 3 2 2" xfId="54424" xr:uid="{00000000-0005-0000-0000-000019C30000}"/>
    <cellStyle name="Normal 5 3 3 2 4 3 3" xfId="40862" xr:uid="{00000000-0005-0000-0000-00001AC30000}"/>
    <cellStyle name="Normal 5 3 3 2 4 4" xfId="20510" xr:uid="{00000000-0005-0000-0000-00001BC30000}"/>
    <cellStyle name="Normal 5 3 3 2 4 4 2" xfId="47643" xr:uid="{00000000-0005-0000-0000-00001CC30000}"/>
    <cellStyle name="Normal 5 3 3 2 4 5" xfId="34081" xr:uid="{00000000-0005-0000-0000-00001DC30000}"/>
    <cellStyle name="Normal 5 3 3 2 5" xfId="6792" xr:uid="{00000000-0005-0000-0000-00001EC30000}"/>
    <cellStyle name="Normal 5 3 3 2 5 2" xfId="10323" xr:uid="{00000000-0005-0000-0000-00001FC30000}"/>
    <cellStyle name="Normal 5 3 3 2 5 2 2" xfId="17113" xr:uid="{00000000-0005-0000-0000-000020C30000}"/>
    <cellStyle name="Normal 5 3 3 2 5 2 2 2" xfId="30681" xr:uid="{00000000-0005-0000-0000-000021C30000}"/>
    <cellStyle name="Normal 5 3 3 2 5 2 2 2 2" xfId="57814" xr:uid="{00000000-0005-0000-0000-000022C30000}"/>
    <cellStyle name="Normal 5 3 3 2 5 2 2 3" xfId="44252" xr:uid="{00000000-0005-0000-0000-000023C30000}"/>
    <cellStyle name="Normal 5 3 3 2 5 2 3" xfId="23900" xr:uid="{00000000-0005-0000-0000-000024C30000}"/>
    <cellStyle name="Normal 5 3 3 2 5 2 3 2" xfId="51033" xr:uid="{00000000-0005-0000-0000-000025C30000}"/>
    <cellStyle name="Normal 5 3 3 2 5 2 4" xfId="37471" xr:uid="{00000000-0005-0000-0000-000026C30000}"/>
    <cellStyle name="Normal 5 3 3 2 5 3" xfId="13724" xr:uid="{00000000-0005-0000-0000-000027C30000}"/>
    <cellStyle name="Normal 5 3 3 2 5 3 2" xfId="27292" xr:uid="{00000000-0005-0000-0000-000028C30000}"/>
    <cellStyle name="Normal 5 3 3 2 5 3 2 2" xfId="54425" xr:uid="{00000000-0005-0000-0000-000029C30000}"/>
    <cellStyle name="Normal 5 3 3 2 5 3 3" xfId="40863" xr:uid="{00000000-0005-0000-0000-00002AC30000}"/>
    <cellStyle name="Normal 5 3 3 2 5 4" xfId="20511" xr:uid="{00000000-0005-0000-0000-00002BC30000}"/>
    <cellStyle name="Normal 5 3 3 2 5 4 2" xfId="47644" xr:uid="{00000000-0005-0000-0000-00002CC30000}"/>
    <cellStyle name="Normal 5 3 3 2 5 5" xfId="34082" xr:uid="{00000000-0005-0000-0000-00002DC30000}"/>
    <cellStyle name="Normal 5 3 3 2 6" xfId="10316" xr:uid="{00000000-0005-0000-0000-00002EC30000}"/>
    <cellStyle name="Normal 5 3 3 2 6 2" xfId="17106" xr:uid="{00000000-0005-0000-0000-00002FC30000}"/>
    <cellStyle name="Normal 5 3 3 2 6 2 2" xfId="30674" xr:uid="{00000000-0005-0000-0000-000030C30000}"/>
    <cellStyle name="Normal 5 3 3 2 6 2 2 2" xfId="57807" xr:uid="{00000000-0005-0000-0000-000031C30000}"/>
    <cellStyle name="Normal 5 3 3 2 6 2 3" xfId="44245" xr:uid="{00000000-0005-0000-0000-000032C30000}"/>
    <cellStyle name="Normal 5 3 3 2 6 3" xfId="23893" xr:uid="{00000000-0005-0000-0000-000033C30000}"/>
    <cellStyle name="Normal 5 3 3 2 6 3 2" xfId="51026" xr:uid="{00000000-0005-0000-0000-000034C30000}"/>
    <cellStyle name="Normal 5 3 3 2 6 4" xfId="37464" xr:uid="{00000000-0005-0000-0000-000035C30000}"/>
    <cellStyle name="Normal 5 3 3 2 7" xfId="13717" xr:uid="{00000000-0005-0000-0000-000036C30000}"/>
    <cellStyle name="Normal 5 3 3 2 7 2" xfId="27285" xr:uid="{00000000-0005-0000-0000-000037C30000}"/>
    <cellStyle name="Normal 5 3 3 2 7 2 2" xfId="54418" xr:uid="{00000000-0005-0000-0000-000038C30000}"/>
    <cellStyle name="Normal 5 3 3 2 7 3" xfId="40856" xr:uid="{00000000-0005-0000-0000-000039C30000}"/>
    <cellStyle name="Normal 5 3 3 2 8" xfId="20504" xr:uid="{00000000-0005-0000-0000-00003AC30000}"/>
    <cellStyle name="Normal 5 3 3 2 8 2" xfId="47637" xr:uid="{00000000-0005-0000-0000-00003BC30000}"/>
    <cellStyle name="Normal 5 3 3 2 9" xfId="34075" xr:uid="{00000000-0005-0000-0000-00003CC30000}"/>
    <cellStyle name="Normal 5 3 3 3" xfId="6793" xr:uid="{00000000-0005-0000-0000-00003DC30000}"/>
    <cellStyle name="Normal 5 3 3 3 2" xfId="6794" xr:uid="{00000000-0005-0000-0000-00003EC30000}"/>
    <cellStyle name="Normal 5 3 3 3 2 2" xfId="10325" xr:uid="{00000000-0005-0000-0000-00003FC30000}"/>
    <cellStyle name="Normal 5 3 3 3 2 2 2" xfId="17115" xr:uid="{00000000-0005-0000-0000-000040C30000}"/>
    <cellStyle name="Normal 5 3 3 3 2 2 2 2" xfId="30683" xr:uid="{00000000-0005-0000-0000-000041C30000}"/>
    <cellStyle name="Normal 5 3 3 3 2 2 2 2 2" xfId="57816" xr:uid="{00000000-0005-0000-0000-000042C30000}"/>
    <cellStyle name="Normal 5 3 3 3 2 2 2 3" xfId="44254" xr:uid="{00000000-0005-0000-0000-000043C30000}"/>
    <cellStyle name="Normal 5 3 3 3 2 2 3" xfId="23902" xr:uid="{00000000-0005-0000-0000-000044C30000}"/>
    <cellStyle name="Normal 5 3 3 3 2 2 3 2" xfId="51035" xr:uid="{00000000-0005-0000-0000-000045C30000}"/>
    <cellStyle name="Normal 5 3 3 3 2 2 4" xfId="37473" xr:uid="{00000000-0005-0000-0000-000046C30000}"/>
    <cellStyle name="Normal 5 3 3 3 2 3" xfId="13726" xr:uid="{00000000-0005-0000-0000-000047C30000}"/>
    <cellStyle name="Normal 5 3 3 3 2 3 2" xfId="27294" xr:uid="{00000000-0005-0000-0000-000048C30000}"/>
    <cellStyle name="Normal 5 3 3 3 2 3 2 2" xfId="54427" xr:uid="{00000000-0005-0000-0000-000049C30000}"/>
    <cellStyle name="Normal 5 3 3 3 2 3 3" xfId="40865" xr:uid="{00000000-0005-0000-0000-00004AC30000}"/>
    <cellStyle name="Normal 5 3 3 3 2 4" xfId="20513" xr:uid="{00000000-0005-0000-0000-00004BC30000}"/>
    <cellStyle name="Normal 5 3 3 3 2 4 2" xfId="47646" xr:uid="{00000000-0005-0000-0000-00004CC30000}"/>
    <cellStyle name="Normal 5 3 3 3 2 5" xfId="34084" xr:uid="{00000000-0005-0000-0000-00004DC30000}"/>
    <cellStyle name="Normal 5 3 3 3 3" xfId="6795" xr:uid="{00000000-0005-0000-0000-00004EC30000}"/>
    <cellStyle name="Normal 5 3 3 3 3 2" xfId="10326" xr:uid="{00000000-0005-0000-0000-00004FC30000}"/>
    <cellStyle name="Normal 5 3 3 3 3 2 2" xfId="17116" xr:uid="{00000000-0005-0000-0000-000050C30000}"/>
    <cellStyle name="Normal 5 3 3 3 3 2 2 2" xfId="30684" xr:uid="{00000000-0005-0000-0000-000051C30000}"/>
    <cellStyle name="Normal 5 3 3 3 3 2 2 2 2" xfId="57817" xr:uid="{00000000-0005-0000-0000-000052C30000}"/>
    <cellStyle name="Normal 5 3 3 3 3 2 2 3" xfId="44255" xr:uid="{00000000-0005-0000-0000-000053C30000}"/>
    <cellStyle name="Normal 5 3 3 3 3 2 3" xfId="23903" xr:uid="{00000000-0005-0000-0000-000054C30000}"/>
    <cellStyle name="Normal 5 3 3 3 3 2 3 2" xfId="51036" xr:uid="{00000000-0005-0000-0000-000055C30000}"/>
    <cellStyle name="Normal 5 3 3 3 3 2 4" xfId="37474" xr:uid="{00000000-0005-0000-0000-000056C30000}"/>
    <cellStyle name="Normal 5 3 3 3 3 3" xfId="13727" xr:uid="{00000000-0005-0000-0000-000057C30000}"/>
    <cellStyle name="Normal 5 3 3 3 3 3 2" xfId="27295" xr:uid="{00000000-0005-0000-0000-000058C30000}"/>
    <cellStyle name="Normal 5 3 3 3 3 3 2 2" xfId="54428" xr:uid="{00000000-0005-0000-0000-000059C30000}"/>
    <cellStyle name="Normal 5 3 3 3 3 3 3" xfId="40866" xr:uid="{00000000-0005-0000-0000-00005AC30000}"/>
    <cellStyle name="Normal 5 3 3 3 3 4" xfId="20514" xr:uid="{00000000-0005-0000-0000-00005BC30000}"/>
    <cellStyle name="Normal 5 3 3 3 3 4 2" xfId="47647" xr:uid="{00000000-0005-0000-0000-00005CC30000}"/>
    <cellStyle name="Normal 5 3 3 3 3 5" xfId="34085" xr:uid="{00000000-0005-0000-0000-00005DC30000}"/>
    <cellStyle name="Normal 5 3 3 3 4" xfId="10324" xr:uid="{00000000-0005-0000-0000-00005EC30000}"/>
    <cellStyle name="Normal 5 3 3 3 4 2" xfId="17114" xr:uid="{00000000-0005-0000-0000-00005FC30000}"/>
    <cellStyle name="Normal 5 3 3 3 4 2 2" xfId="30682" xr:uid="{00000000-0005-0000-0000-000060C30000}"/>
    <cellStyle name="Normal 5 3 3 3 4 2 2 2" xfId="57815" xr:uid="{00000000-0005-0000-0000-000061C30000}"/>
    <cellStyle name="Normal 5 3 3 3 4 2 3" xfId="44253" xr:uid="{00000000-0005-0000-0000-000062C30000}"/>
    <cellStyle name="Normal 5 3 3 3 4 3" xfId="23901" xr:uid="{00000000-0005-0000-0000-000063C30000}"/>
    <cellStyle name="Normal 5 3 3 3 4 3 2" xfId="51034" xr:uid="{00000000-0005-0000-0000-000064C30000}"/>
    <cellStyle name="Normal 5 3 3 3 4 4" xfId="37472" xr:uid="{00000000-0005-0000-0000-000065C30000}"/>
    <cellStyle name="Normal 5 3 3 3 5" xfId="13725" xr:uid="{00000000-0005-0000-0000-000066C30000}"/>
    <cellStyle name="Normal 5 3 3 3 5 2" xfId="27293" xr:uid="{00000000-0005-0000-0000-000067C30000}"/>
    <cellStyle name="Normal 5 3 3 3 5 2 2" xfId="54426" xr:uid="{00000000-0005-0000-0000-000068C30000}"/>
    <cellStyle name="Normal 5 3 3 3 5 3" xfId="40864" xr:uid="{00000000-0005-0000-0000-000069C30000}"/>
    <cellStyle name="Normal 5 3 3 3 6" xfId="20512" xr:uid="{00000000-0005-0000-0000-00006AC30000}"/>
    <cellStyle name="Normal 5 3 3 3 6 2" xfId="47645" xr:uid="{00000000-0005-0000-0000-00006BC30000}"/>
    <cellStyle name="Normal 5 3 3 3 7" xfId="34083" xr:uid="{00000000-0005-0000-0000-00006CC30000}"/>
    <cellStyle name="Normal 5 3 3 4" xfId="6796" xr:uid="{00000000-0005-0000-0000-00006DC30000}"/>
    <cellStyle name="Normal 5 3 3 4 2" xfId="6797" xr:uid="{00000000-0005-0000-0000-00006EC30000}"/>
    <cellStyle name="Normal 5 3 3 4 2 2" xfId="10328" xr:uid="{00000000-0005-0000-0000-00006FC30000}"/>
    <cellStyle name="Normal 5 3 3 4 2 2 2" xfId="17118" xr:uid="{00000000-0005-0000-0000-000070C30000}"/>
    <cellStyle name="Normal 5 3 3 4 2 2 2 2" xfId="30686" xr:uid="{00000000-0005-0000-0000-000071C30000}"/>
    <cellStyle name="Normal 5 3 3 4 2 2 2 2 2" xfId="57819" xr:uid="{00000000-0005-0000-0000-000072C30000}"/>
    <cellStyle name="Normal 5 3 3 4 2 2 2 3" xfId="44257" xr:uid="{00000000-0005-0000-0000-000073C30000}"/>
    <cellStyle name="Normal 5 3 3 4 2 2 3" xfId="23905" xr:uid="{00000000-0005-0000-0000-000074C30000}"/>
    <cellStyle name="Normal 5 3 3 4 2 2 3 2" xfId="51038" xr:uid="{00000000-0005-0000-0000-000075C30000}"/>
    <cellStyle name="Normal 5 3 3 4 2 2 4" xfId="37476" xr:uid="{00000000-0005-0000-0000-000076C30000}"/>
    <cellStyle name="Normal 5 3 3 4 2 3" xfId="13729" xr:uid="{00000000-0005-0000-0000-000077C30000}"/>
    <cellStyle name="Normal 5 3 3 4 2 3 2" xfId="27297" xr:uid="{00000000-0005-0000-0000-000078C30000}"/>
    <cellStyle name="Normal 5 3 3 4 2 3 2 2" xfId="54430" xr:uid="{00000000-0005-0000-0000-000079C30000}"/>
    <cellStyle name="Normal 5 3 3 4 2 3 3" xfId="40868" xr:uid="{00000000-0005-0000-0000-00007AC30000}"/>
    <cellStyle name="Normal 5 3 3 4 2 4" xfId="20516" xr:uid="{00000000-0005-0000-0000-00007BC30000}"/>
    <cellStyle name="Normal 5 3 3 4 2 4 2" xfId="47649" xr:uid="{00000000-0005-0000-0000-00007CC30000}"/>
    <cellStyle name="Normal 5 3 3 4 2 5" xfId="34087" xr:uid="{00000000-0005-0000-0000-00007DC30000}"/>
    <cellStyle name="Normal 5 3 3 4 3" xfId="10327" xr:uid="{00000000-0005-0000-0000-00007EC30000}"/>
    <cellStyle name="Normal 5 3 3 4 3 2" xfId="17117" xr:uid="{00000000-0005-0000-0000-00007FC30000}"/>
    <cellStyle name="Normal 5 3 3 4 3 2 2" xfId="30685" xr:uid="{00000000-0005-0000-0000-000080C30000}"/>
    <cellStyle name="Normal 5 3 3 4 3 2 2 2" xfId="57818" xr:uid="{00000000-0005-0000-0000-000081C30000}"/>
    <cellStyle name="Normal 5 3 3 4 3 2 3" xfId="44256" xr:uid="{00000000-0005-0000-0000-000082C30000}"/>
    <cellStyle name="Normal 5 3 3 4 3 3" xfId="23904" xr:uid="{00000000-0005-0000-0000-000083C30000}"/>
    <cellStyle name="Normal 5 3 3 4 3 3 2" xfId="51037" xr:uid="{00000000-0005-0000-0000-000084C30000}"/>
    <cellStyle name="Normal 5 3 3 4 3 4" xfId="37475" xr:uid="{00000000-0005-0000-0000-000085C30000}"/>
    <cellStyle name="Normal 5 3 3 4 4" xfId="13728" xr:uid="{00000000-0005-0000-0000-000086C30000}"/>
    <cellStyle name="Normal 5 3 3 4 4 2" xfId="27296" xr:uid="{00000000-0005-0000-0000-000087C30000}"/>
    <cellStyle name="Normal 5 3 3 4 4 2 2" xfId="54429" xr:uid="{00000000-0005-0000-0000-000088C30000}"/>
    <cellStyle name="Normal 5 3 3 4 4 3" xfId="40867" xr:uid="{00000000-0005-0000-0000-000089C30000}"/>
    <cellStyle name="Normal 5 3 3 4 5" xfId="20515" xr:uid="{00000000-0005-0000-0000-00008AC30000}"/>
    <cellStyle name="Normal 5 3 3 4 5 2" xfId="47648" xr:uid="{00000000-0005-0000-0000-00008BC30000}"/>
    <cellStyle name="Normal 5 3 3 4 6" xfId="34086" xr:uid="{00000000-0005-0000-0000-00008CC30000}"/>
    <cellStyle name="Normal 5 3 3 5" xfId="6798" xr:uid="{00000000-0005-0000-0000-00008DC30000}"/>
    <cellStyle name="Normal 5 3 3 5 2" xfId="10329" xr:uid="{00000000-0005-0000-0000-00008EC30000}"/>
    <cellStyle name="Normal 5 3 3 5 2 2" xfId="17119" xr:uid="{00000000-0005-0000-0000-00008FC30000}"/>
    <cellStyle name="Normal 5 3 3 5 2 2 2" xfId="30687" xr:uid="{00000000-0005-0000-0000-000090C30000}"/>
    <cellStyle name="Normal 5 3 3 5 2 2 2 2" xfId="57820" xr:uid="{00000000-0005-0000-0000-000091C30000}"/>
    <cellStyle name="Normal 5 3 3 5 2 2 3" xfId="44258" xr:uid="{00000000-0005-0000-0000-000092C30000}"/>
    <cellStyle name="Normal 5 3 3 5 2 3" xfId="23906" xr:uid="{00000000-0005-0000-0000-000093C30000}"/>
    <cellStyle name="Normal 5 3 3 5 2 3 2" xfId="51039" xr:uid="{00000000-0005-0000-0000-000094C30000}"/>
    <cellStyle name="Normal 5 3 3 5 2 4" xfId="37477" xr:uid="{00000000-0005-0000-0000-000095C30000}"/>
    <cellStyle name="Normal 5 3 3 5 3" xfId="13730" xr:uid="{00000000-0005-0000-0000-000096C30000}"/>
    <cellStyle name="Normal 5 3 3 5 3 2" xfId="27298" xr:uid="{00000000-0005-0000-0000-000097C30000}"/>
    <cellStyle name="Normal 5 3 3 5 3 2 2" xfId="54431" xr:uid="{00000000-0005-0000-0000-000098C30000}"/>
    <cellStyle name="Normal 5 3 3 5 3 3" xfId="40869" xr:uid="{00000000-0005-0000-0000-000099C30000}"/>
    <cellStyle name="Normal 5 3 3 5 4" xfId="20517" xr:uid="{00000000-0005-0000-0000-00009AC30000}"/>
    <cellStyle name="Normal 5 3 3 5 4 2" xfId="47650" xr:uid="{00000000-0005-0000-0000-00009BC30000}"/>
    <cellStyle name="Normal 5 3 3 5 5" xfId="34088" xr:uid="{00000000-0005-0000-0000-00009CC30000}"/>
    <cellStyle name="Normal 5 3 3 6" xfId="6799" xr:uid="{00000000-0005-0000-0000-00009DC30000}"/>
    <cellStyle name="Normal 5 3 3 6 2" xfId="10330" xr:uid="{00000000-0005-0000-0000-00009EC30000}"/>
    <cellStyle name="Normal 5 3 3 6 2 2" xfId="17120" xr:uid="{00000000-0005-0000-0000-00009FC30000}"/>
    <cellStyle name="Normal 5 3 3 6 2 2 2" xfId="30688" xr:uid="{00000000-0005-0000-0000-0000A0C30000}"/>
    <cellStyle name="Normal 5 3 3 6 2 2 2 2" xfId="57821" xr:uid="{00000000-0005-0000-0000-0000A1C30000}"/>
    <cellStyle name="Normal 5 3 3 6 2 2 3" xfId="44259" xr:uid="{00000000-0005-0000-0000-0000A2C30000}"/>
    <cellStyle name="Normal 5 3 3 6 2 3" xfId="23907" xr:uid="{00000000-0005-0000-0000-0000A3C30000}"/>
    <cellStyle name="Normal 5 3 3 6 2 3 2" xfId="51040" xr:uid="{00000000-0005-0000-0000-0000A4C30000}"/>
    <cellStyle name="Normal 5 3 3 6 2 4" xfId="37478" xr:uid="{00000000-0005-0000-0000-0000A5C30000}"/>
    <cellStyle name="Normal 5 3 3 6 3" xfId="13731" xr:uid="{00000000-0005-0000-0000-0000A6C30000}"/>
    <cellStyle name="Normal 5 3 3 6 3 2" xfId="27299" xr:uid="{00000000-0005-0000-0000-0000A7C30000}"/>
    <cellStyle name="Normal 5 3 3 6 3 2 2" xfId="54432" xr:uid="{00000000-0005-0000-0000-0000A8C30000}"/>
    <cellStyle name="Normal 5 3 3 6 3 3" xfId="40870" xr:uid="{00000000-0005-0000-0000-0000A9C30000}"/>
    <cellStyle name="Normal 5 3 3 6 4" xfId="20518" xr:uid="{00000000-0005-0000-0000-0000AAC30000}"/>
    <cellStyle name="Normal 5 3 3 6 4 2" xfId="47651" xr:uid="{00000000-0005-0000-0000-0000ABC30000}"/>
    <cellStyle name="Normal 5 3 3 6 5" xfId="34089" xr:uid="{00000000-0005-0000-0000-0000ACC30000}"/>
    <cellStyle name="Normal 5 3 3 7" xfId="10315" xr:uid="{00000000-0005-0000-0000-0000ADC30000}"/>
    <cellStyle name="Normal 5 3 3 7 2" xfId="17105" xr:uid="{00000000-0005-0000-0000-0000AEC30000}"/>
    <cellStyle name="Normal 5 3 3 7 2 2" xfId="30673" xr:uid="{00000000-0005-0000-0000-0000AFC30000}"/>
    <cellStyle name="Normal 5 3 3 7 2 2 2" xfId="57806" xr:uid="{00000000-0005-0000-0000-0000B0C30000}"/>
    <cellStyle name="Normal 5 3 3 7 2 3" xfId="44244" xr:uid="{00000000-0005-0000-0000-0000B1C30000}"/>
    <cellStyle name="Normal 5 3 3 7 3" xfId="23892" xr:uid="{00000000-0005-0000-0000-0000B2C30000}"/>
    <cellStyle name="Normal 5 3 3 7 3 2" xfId="51025" xr:uid="{00000000-0005-0000-0000-0000B3C30000}"/>
    <cellStyle name="Normal 5 3 3 7 4" xfId="37463" xr:uid="{00000000-0005-0000-0000-0000B4C30000}"/>
    <cellStyle name="Normal 5 3 3 8" xfId="13716" xr:uid="{00000000-0005-0000-0000-0000B5C30000}"/>
    <cellStyle name="Normal 5 3 3 8 2" xfId="27284" xr:uid="{00000000-0005-0000-0000-0000B6C30000}"/>
    <cellStyle name="Normal 5 3 3 8 2 2" xfId="54417" xr:uid="{00000000-0005-0000-0000-0000B7C30000}"/>
    <cellStyle name="Normal 5 3 3 8 3" xfId="40855" xr:uid="{00000000-0005-0000-0000-0000B8C30000}"/>
    <cellStyle name="Normal 5 3 3 9" xfId="20503" xr:uid="{00000000-0005-0000-0000-0000B9C30000}"/>
    <cellStyle name="Normal 5 3 3 9 2" xfId="47636" xr:uid="{00000000-0005-0000-0000-0000BAC30000}"/>
    <cellStyle name="Normal 5 3 4" xfId="6800" xr:uid="{00000000-0005-0000-0000-0000BBC30000}"/>
    <cellStyle name="Normal 5 3 4 2" xfId="6801" xr:uid="{00000000-0005-0000-0000-0000BCC30000}"/>
    <cellStyle name="Normal 5 3 4 2 2" xfId="6802" xr:uid="{00000000-0005-0000-0000-0000BDC30000}"/>
    <cellStyle name="Normal 5 3 4 2 2 2" xfId="10333" xr:uid="{00000000-0005-0000-0000-0000BEC30000}"/>
    <cellStyle name="Normal 5 3 4 2 2 2 2" xfId="17123" xr:uid="{00000000-0005-0000-0000-0000BFC30000}"/>
    <cellStyle name="Normal 5 3 4 2 2 2 2 2" xfId="30691" xr:uid="{00000000-0005-0000-0000-0000C0C30000}"/>
    <cellStyle name="Normal 5 3 4 2 2 2 2 2 2" xfId="57824" xr:uid="{00000000-0005-0000-0000-0000C1C30000}"/>
    <cellStyle name="Normal 5 3 4 2 2 2 2 3" xfId="44262" xr:uid="{00000000-0005-0000-0000-0000C2C30000}"/>
    <cellStyle name="Normal 5 3 4 2 2 2 3" xfId="23910" xr:uid="{00000000-0005-0000-0000-0000C3C30000}"/>
    <cellStyle name="Normal 5 3 4 2 2 2 3 2" xfId="51043" xr:uid="{00000000-0005-0000-0000-0000C4C30000}"/>
    <cellStyle name="Normal 5 3 4 2 2 2 4" xfId="37481" xr:uid="{00000000-0005-0000-0000-0000C5C30000}"/>
    <cellStyle name="Normal 5 3 4 2 2 3" xfId="13734" xr:uid="{00000000-0005-0000-0000-0000C6C30000}"/>
    <cellStyle name="Normal 5 3 4 2 2 3 2" xfId="27302" xr:uid="{00000000-0005-0000-0000-0000C7C30000}"/>
    <cellStyle name="Normal 5 3 4 2 2 3 2 2" xfId="54435" xr:uid="{00000000-0005-0000-0000-0000C8C30000}"/>
    <cellStyle name="Normal 5 3 4 2 2 3 3" xfId="40873" xr:uid="{00000000-0005-0000-0000-0000C9C30000}"/>
    <cellStyle name="Normal 5 3 4 2 2 4" xfId="20521" xr:uid="{00000000-0005-0000-0000-0000CAC30000}"/>
    <cellStyle name="Normal 5 3 4 2 2 4 2" xfId="47654" xr:uid="{00000000-0005-0000-0000-0000CBC30000}"/>
    <cellStyle name="Normal 5 3 4 2 2 5" xfId="34092" xr:uid="{00000000-0005-0000-0000-0000CCC30000}"/>
    <cellStyle name="Normal 5 3 4 2 3" xfId="6803" xr:uid="{00000000-0005-0000-0000-0000CDC30000}"/>
    <cellStyle name="Normal 5 3 4 2 3 2" xfId="10334" xr:uid="{00000000-0005-0000-0000-0000CEC30000}"/>
    <cellStyle name="Normal 5 3 4 2 3 2 2" xfId="17124" xr:uid="{00000000-0005-0000-0000-0000CFC30000}"/>
    <cellStyle name="Normal 5 3 4 2 3 2 2 2" xfId="30692" xr:uid="{00000000-0005-0000-0000-0000D0C30000}"/>
    <cellStyle name="Normal 5 3 4 2 3 2 2 2 2" xfId="57825" xr:uid="{00000000-0005-0000-0000-0000D1C30000}"/>
    <cellStyle name="Normal 5 3 4 2 3 2 2 3" xfId="44263" xr:uid="{00000000-0005-0000-0000-0000D2C30000}"/>
    <cellStyle name="Normal 5 3 4 2 3 2 3" xfId="23911" xr:uid="{00000000-0005-0000-0000-0000D3C30000}"/>
    <cellStyle name="Normal 5 3 4 2 3 2 3 2" xfId="51044" xr:uid="{00000000-0005-0000-0000-0000D4C30000}"/>
    <cellStyle name="Normal 5 3 4 2 3 2 4" xfId="37482" xr:uid="{00000000-0005-0000-0000-0000D5C30000}"/>
    <cellStyle name="Normal 5 3 4 2 3 3" xfId="13735" xr:uid="{00000000-0005-0000-0000-0000D6C30000}"/>
    <cellStyle name="Normal 5 3 4 2 3 3 2" xfId="27303" xr:uid="{00000000-0005-0000-0000-0000D7C30000}"/>
    <cellStyle name="Normal 5 3 4 2 3 3 2 2" xfId="54436" xr:uid="{00000000-0005-0000-0000-0000D8C30000}"/>
    <cellStyle name="Normal 5 3 4 2 3 3 3" xfId="40874" xr:uid="{00000000-0005-0000-0000-0000D9C30000}"/>
    <cellStyle name="Normal 5 3 4 2 3 4" xfId="20522" xr:uid="{00000000-0005-0000-0000-0000DAC30000}"/>
    <cellStyle name="Normal 5 3 4 2 3 4 2" xfId="47655" xr:uid="{00000000-0005-0000-0000-0000DBC30000}"/>
    <cellStyle name="Normal 5 3 4 2 3 5" xfId="34093" xr:uid="{00000000-0005-0000-0000-0000DCC30000}"/>
    <cellStyle name="Normal 5 3 4 2 4" xfId="10332" xr:uid="{00000000-0005-0000-0000-0000DDC30000}"/>
    <cellStyle name="Normal 5 3 4 2 4 2" xfId="17122" xr:uid="{00000000-0005-0000-0000-0000DEC30000}"/>
    <cellStyle name="Normal 5 3 4 2 4 2 2" xfId="30690" xr:uid="{00000000-0005-0000-0000-0000DFC30000}"/>
    <cellStyle name="Normal 5 3 4 2 4 2 2 2" xfId="57823" xr:uid="{00000000-0005-0000-0000-0000E0C30000}"/>
    <cellStyle name="Normal 5 3 4 2 4 2 3" xfId="44261" xr:uid="{00000000-0005-0000-0000-0000E1C30000}"/>
    <cellStyle name="Normal 5 3 4 2 4 3" xfId="23909" xr:uid="{00000000-0005-0000-0000-0000E2C30000}"/>
    <cellStyle name="Normal 5 3 4 2 4 3 2" xfId="51042" xr:uid="{00000000-0005-0000-0000-0000E3C30000}"/>
    <cellStyle name="Normal 5 3 4 2 4 4" xfId="37480" xr:uid="{00000000-0005-0000-0000-0000E4C30000}"/>
    <cellStyle name="Normal 5 3 4 2 5" xfId="13733" xr:uid="{00000000-0005-0000-0000-0000E5C30000}"/>
    <cellStyle name="Normal 5 3 4 2 5 2" xfId="27301" xr:uid="{00000000-0005-0000-0000-0000E6C30000}"/>
    <cellStyle name="Normal 5 3 4 2 5 2 2" xfId="54434" xr:uid="{00000000-0005-0000-0000-0000E7C30000}"/>
    <cellStyle name="Normal 5 3 4 2 5 3" xfId="40872" xr:uid="{00000000-0005-0000-0000-0000E8C30000}"/>
    <cellStyle name="Normal 5 3 4 2 6" xfId="20520" xr:uid="{00000000-0005-0000-0000-0000E9C30000}"/>
    <cellStyle name="Normal 5 3 4 2 6 2" xfId="47653" xr:uid="{00000000-0005-0000-0000-0000EAC30000}"/>
    <cellStyle name="Normal 5 3 4 2 7" xfId="34091" xr:uid="{00000000-0005-0000-0000-0000EBC30000}"/>
    <cellStyle name="Normal 5 3 4 3" xfId="6804" xr:uid="{00000000-0005-0000-0000-0000ECC30000}"/>
    <cellStyle name="Normal 5 3 4 3 2" xfId="6805" xr:uid="{00000000-0005-0000-0000-0000EDC30000}"/>
    <cellStyle name="Normal 5 3 4 3 2 2" xfId="10336" xr:uid="{00000000-0005-0000-0000-0000EEC30000}"/>
    <cellStyle name="Normal 5 3 4 3 2 2 2" xfId="17126" xr:uid="{00000000-0005-0000-0000-0000EFC30000}"/>
    <cellStyle name="Normal 5 3 4 3 2 2 2 2" xfId="30694" xr:uid="{00000000-0005-0000-0000-0000F0C30000}"/>
    <cellStyle name="Normal 5 3 4 3 2 2 2 2 2" xfId="57827" xr:uid="{00000000-0005-0000-0000-0000F1C30000}"/>
    <cellStyle name="Normal 5 3 4 3 2 2 2 3" xfId="44265" xr:uid="{00000000-0005-0000-0000-0000F2C30000}"/>
    <cellStyle name="Normal 5 3 4 3 2 2 3" xfId="23913" xr:uid="{00000000-0005-0000-0000-0000F3C30000}"/>
    <cellStyle name="Normal 5 3 4 3 2 2 3 2" xfId="51046" xr:uid="{00000000-0005-0000-0000-0000F4C30000}"/>
    <cellStyle name="Normal 5 3 4 3 2 2 4" xfId="37484" xr:uid="{00000000-0005-0000-0000-0000F5C30000}"/>
    <cellStyle name="Normal 5 3 4 3 2 3" xfId="13737" xr:uid="{00000000-0005-0000-0000-0000F6C30000}"/>
    <cellStyle name="Normal 5 3 4 3 2 3 2" xfId="27305" xr:uid="{00000000-0005-0000-0000-0000F7C30000}"/>
    <cellStyle name="Normal 5 3 4 3 2 3 2 2" xfId="54438" xr:uid="{00000000-0005-0000-0000-0000F8C30000}"/>
    <cellStyle name="Normal 5 3 4 3 2 3 3" xfId="40876" xr:uid="{00000000-0005-0000-0000-0000F9C30000}"/>
    <cellStyle name="Normal 5 3 4 3 2 4" xfId="20524" xr:uid="{00000000-0005-0000-0000-0000FAC30000}"/>
    <cellStyle name="Normal 5 3 4 3 2 4 2" xfId="47657" xr:uid="{00000000-0005-0000-0000-0000FBC30000}"/>
    <cellStyle name="Normal 5 3 4 3 2 5" xfId="34095" xr:uid="{00000000-0005-0000-0000-0000FCC30000}"/>
    <cellStyle name="Normal 5 3 4 3 3" xfId="10335" xr:uid="{00000000-0005-0000-0000-0000FDC30000}"/>
    <cellStyle name="Normal 5 3 4 3 3 2" xfId="17125" xr:uid="{00000000-0005-0000-0000-0000FEC30000}"/>
    <cellStyle name="Normal 5 3 4 3 3 2 2" xfId="30693" xr:uid="{00000000-0005-0000-0000-0000FFC30000}"/>
    <cellStyle name="Normal 5 3 4 3 3 2 2 2" xfId="57826" xr:uid="{00000000-0005-0000-0000-000000C40000}"/>
    <cellStyle name="Normal 5 3 4 3 3 2 3" xfId="44264" xr:uid="{00000000-0005-0000-0000-000001C40000}"/>
    <cellStyle name="Normal 5 3 4 3 3 3" xfId="23912" xr:uid="{00000000-0005-0000-0000-000002C40000}"/>
    <cellStyle name="Normal 5 3 4 3 3 3 2" xfId="51045" xr:uid="{00000000-0005-0000-0000-000003C40000}"/>
    <cellStyle name="Normal 5 3 4 3 3 4" xfId="37483" xr:uid="{00000000-0005-0000-0000-000004C40000}"/>
    <cellStyle name="Normal 5 3 4 3 4" xfId="13736" xr:uid="{00000000-0005-0000-0000-000005C40000}"/>
    <cellStyle name="Normal 5 3 4 3 4 2" xfId="27304" xr:uid="{00000000-0005-0000-0000-000006C40000}"/>
    <cellStyle name="Normal 5 3 4 3 4 2 2" xfId="54437" xr:uid="{00000000-0005-0000-0000-000007C40000}"/>
    <cellStyle name="Normal 5 3 4 3 4 3" xfId="40875" xr:uid="{00000000-0005-0000-0000-000008C40000}"/>
    <cellStyle name="Normal 5 3 4 3 5" xfId="20523" xr:uid="{00000000-0005-0000-0000-000009C40000}"/>
    <cellStyle name="Normal 5 3 4 3 5 2" xfId="47656" xr:uid="{00000000-0005-0000-0000-00000AC40000}"/>
    <cellStyle name="Normal 5 3 4 3 6" xfId="34094" xr:uid="{00000000-0005-0000-0000-00000BC40000}"/>
    <cellStyle name="Normal 5 3 4 4" xfId="6806" xr:uid="{00000000-0005-0000-0000-00000CC40000}"/>
    <cellStyle name="Normal 5 3 4 4 2" xfId="10337" xr:uid="{00000000-0005-0000-0000-00000DC40000}"/>
    <cellStyle name="Normal 5 3 4 4 2 2" xfId="17127" xr:uid="{00000000-0005-0000-0000-00000EC40000}"/>
    <cellStyle name="Normal 5 3 4 4 2 2 2" xfId="30695" xr:uid="{00000000-0005-0000-0000-00000FC40000}"/>
    <cellStyle name="Normal 5 3 4 4 2 2 2 2" xfId="57828" xr:uid="{00000000-0005-0000-0000-000010C40000}"/>
    <cellStyle name="Normal 5 3 4 4 2 2 3" xfId="44266" xr:uid="{00000000-0005-0000-0000-000011C40000}"/>
    <cellStyle name="Normal 5 3 4 4 2 3" xfId="23914" xr:uid="{00000000-0005-0000-0000-000012C40000}"/>
    <cellStyle name="Normal 5 3 4 4 2 3 2" xfId="51047" xr:uid="{00000000-0005-0000-0000-000013C40000}"/>
    <cellStyle name="Normal 5 3 4 4 2 4" xfId="37485" xr:uid="{00000000-0005-0000-0000-000014C40000}"/>
    <cellStyle name="Normal 5 3 4 4 3" xfId="13738" xr:uid="{00000000-0005-0000-0000-000015C40000}"/>
    <cellStyle name="Normal 5 3 4 4 3 2" xfId="27306" xr:uid="{00000000-0005-0000-0000-000016C40000}"/>
    <cellStyle name="Normal 5 3 4 4 3 2 2" xfId="54439" xr:uid="{00000000-0005-0000-0000-000017C40000}"/>
    <cellStyle name="Normal 5 3 4 4 3 3" xfId="40877" xr:uid="{00000000-0005-0000-0000-000018C40000}"/>
    <cellStyle name="Normal 5 3 4 4 4" xfId="20525" xr:uid="{00000000-0005-0000-0000-000019C40000}"/>
    <cellStyle name="Normal 5 3 4 4 4 2" xfId="47658" xr:uid="{00000000-0005-0000-0000-00001AC40000}"/>
    <cellStyle name="Normal 5 3 4 4 5" xfId="34096" xr:uid="{00000000-0005-0000-0000-00001BC40000}"/>
    <cellStyle name="Normal 5 3 4 5" xfId="6807" xr:uid="{00000000-0005-0000-0000-00001CC40000}"/>
    <cellStyle name="Normal 5 3 4 5 2" xfId="10338" xr:uid="{00000000-0005-0000-0000-00001DC40000}"/>
    <cellStyle name="Normal 5 3 4 5 2 2" xfId="17128" xr:uid="{00000000-0005-0000-0000-00001EC40000}"/>
    <cellStyle name="Normal 5 3 4 5 2 2 2" xfId="30696" xr:uid="{00000000-0005-0000-0000-00001FC40000}"/>
    <cellStyle name="Normal 5 3 4 5 2 2 2 2" xfId="57829" xr:uid="{00000000-0005-0000-0000-000020C40000}"/>
    <cellStyle name="Normal 5 3 4 5 2 2 3" xfId="44267" xr:uid="{00000000-0005-0000-0000-000021C40000}"/>
    <cellStyle name="Normal 5 3 4 5 2 3" xfId="23915" xr:uid="{00000000-0005-0000-0000-000022C40000}"/>
    <cellStyle name="Normal 5 3 4 5 2 3 2" xfId="51048" xr:uid="{00000000-0005-0000-0000-000023C40000}"/>
    <cellStyle name="Normal 5 3 4 5 2 4" xfId="37486" xr:uid="{00000000-0005-0000-0000-000024C40000}"/>
    <cellStyle name="Normal 5 3 4 5 3" xfId="13739" xr:uid="{00000000-0005-0000-0000-000025C40000}"/>
    <cellStyle name="Normal 5 3 4 5 3 2" xfId="27307" xr:uid="{00000000-0005-0000-0000-000026C40000}"/>
    <cellStyle name="Normal 5 3 4 5 3 2 2" xfId="54440" xr:uid="{00000000-0005-0000-0000-000027C40000}"/>
    <cellStyle name="Normal 5 3 4 5 3 3" xfId="40878" xr:uid="{00000000-0005-0000-0000-000028C40000}"/>
    <cellStyle name="Normal 5 3 4 5 4" xfId="20526" xr:uid="{00000000-0005-0000-0000-000029C40000}"/>
    <cellStyle name="Normal 5 3 4 5 4 2" xfId="47659" xr:uid="{00000000-0005-0000-0000-00002AC40000}"/>
    <cellStyle name="Normal 5 3 4 5 5" xfId="34097" xr:uid="{00000000-0005-0000-0000-00002BC40000}"/>
    <cellStyle name="Normal 5 3 4 6" xfId="10331" xr:uid="{00000000-0005-0000-0000-00002CC40000}"/>
    <cellStyle name="Normal 5 3 4 6 2" xfId="17121" xr:uid="{00000000-0005-0000-0000-00002DC40000}"/>
    <cellStyle name="Normal 5 3 4 6 2 2" xfId="30689" xr:uid="{00000000-0005-0000-0000-00002EC40000}"/>
    <cellStyle name="Normal 5 3 4 6 2 2 2" xfId="57822" xr:uid="{00000000-0005-0000-0000-00002FC40000}"/>
    <cellStyle name="Normal 5 3 4 6 2 3" xfId="44260" xr:uid="{00000000-0005-0000-0000-000030C40000}"/>
    <cellStyle name="Normal 5 3 4 6 3" xfId="23908" xr:uid="{00000000-0005-0000-0000-000031C40000}"/>
    <cellStyle name="Normal 5 3 4 6 3 2" xfId="51041" xr:uid="{00000000-0005-0000-0000-000032C40000}"/>
    <cellStyle name="Normal 5 3 4 6 4" xfId="37479" xr:uid="{00000000-0005-0000-0000-000033C40000}"/>
    <cellStyle name="Normal 5 3 4 7" xfId="13732" xr:uid="{00000000-0005-0000-0000-000034C40000}"/>
    <cellStyle name="Normal 5 3 4 7 2" xfId="27300" xr:uid="{00000000-0005-0000-0000-000035C40000}"/>
    <cellStyle name="Normal 5 3 4 7 2 2" xfId="54433" xr:uid="{00000000-0005-0000-0000-000036C40000}"/>
    <cellStyle name="Normal 5 3 4 7 3" xfId="40871" xr:uid="{00000000-0005-0000-0000-000037C40000}"/>
    <cellStyle name="Normal 5 3 4 8" xfId="20519" xr:uid="{00000000-0005-0000-0000-000038C40000}"/>
    <cellStyle name="Normal 5 3 4 8 2" xfId="47652" xr:uid="{00000000-0005-0000-0000-000039C40000}"/>
    <cellStyle name="Normal 5 3 4 9" xfId="34090" xr:uid="{00000000-0005-0000-0000-00003AC40000}"/>
    <cellStyle name="Normal 5 3 5" xfId="6808" xr:uid="{00000000-0005-0000-0000-00003BC40000}"/>
    <cellStyle name="Normal 5 3 5 2" xfId="6809" xr:uid="{00000000-0005-0000-0000-00003CC40000}"/>
    <cellStyle name="Normal 5 3 5 2 2" xfId="6810" xr:uid="{00000000-0005-0000-0000-00003DC40000}"/>
    <cellStyle name="Normal 5 3 5 2 2 2" xfId="10341" xr:uid="{00000000-0005-0000-0000-00003EC40000}"/>
    <cellStyle name="Normal 5 3 5 2 2 2 2" xfId="17131" xr:uid="{00000000-0005-0000-0000-00003FC40000}"/>
    <cellStyle name="Normal 5 3 5 2 2 2 2 2" xfId="30699" xr:uid="{00000000-0005-0000-0000-000040C40000}"/>
    <cellStyle name="Normal 5 3 5 2 2 2 2 2 2" xfId="57832" xr:uid="{00000000-0005-0000-0000-000041C40000}"/>
    <cellStyle name="Normal 5 3 5 2 2 2 2 3" xfId="44270" xr:uid="{00000000-0005-0000-0000-000042C40000}"/>
    <cellStyle name="Normal 5 3 5 2 2 2 3" xfId="23918" xr:uid="{00000000-0005-0000-0000-000043C40000}"/>
    <cellStyle name="Normal 5 3 5 2 2 2 3 2" xfId="51051" xr:uid="{00000000-0005-0000-0000-000044C40000}"/>
    <cellStyle name="Normal 5 3 5 2 2 2 4" xfId="37489" xr:uid="{00000000-0005-0000-0000-000045C40000}"/>
    <cellStyle name="Normal 5 3 5 2 2 3" xfId="13742" xr:uid="{00000000-0005-0000-0000-000046C40000}"/>
    <cellStyle name="Normal 5 3 5 2 2 3 2" xfId="27310" xr:uid="{00000000-0005-0000-0000-000047C40000}"/>
    <cellStyle name="Normal 5 3 5 2 2 3 2 2" xfId="54443" xr:uid="{00000000-0005-0000-0000-000048C40000}"/>
    <cellStyle name="Normal 5 3 5 2 2 3 3" xfId="40881" xr:uid="{00000000-0005-0000-0000-000049C40000}"/>
    <cellStyle name="Normal 5 3 5 2 2 4" xfId="20529" xr:uid="{00000000-0005-0000-0000-00004AC40000}"/>
    <cellStyle name="Normal 5 3 5 2 2 4 2" xfId="47662" xr:uid="{00000000-0005-0000-0000-00004BC40000}"/>
    <cellStyle name="Normal 5 3 5 2 2 5" xfId="34100" xr:uid="{00000000-0005-0000-0000-00004CC40000}"/>
    <cellStyle name="Normal 5 3 5 2 3" xfId="6811" xr:uid="{00000000-0005-0000-0000-00004DC40000}"/>
    <cellStyle name="Normal 5 3 5 2 3 2" xfId="10342" xr:uid="{00000000-0005-0000-0000-00004EC40000}"/>
    <cellStyle name="Normal 5 3 5 2 3 2 2" xfId="17132" xr:uid="{00000000-0005-0000-0000-00004FC40000}"/>
    <cellStyle name="Normal 5 3 5 2 3 2 2 2" xfId="30700" xr:uid="{00000000-0005-0000-0000-000050C40000}"/>
    <cellStyle name="Normal 5 3 5 2 3 2 2 2 2" xfId="57833" xr:uid="{00000000-0005-0000-0000-000051C40000}"/>
    <cellStyle name="Normal 5 3 5 2 3 2 2 3" xfId="44271" xr:uid="{00000000-0005-0000-0000-000052C40000}"/>
    <cellStyle name="Normal 5 3 5 2 3 2 3" xfId="23919" xr:uid="{00000000-0005-0000-0000-000053C40000}"/>
    <cellStyle name="Normal 5 3 5 2 3 2 3 2" xfId="51052" xr:uid="{00000000-0005-0000-0000-000054C40000}"/>
    <cellStyle name="Normal 5 3 5 2 3 2 4" xfId="37490" xr:uid="{00000000-0005-0000-0000-000055C40000}"/>
    <cellStyle name="Normal 5 3 5 2 3 3" xfId="13743" xr:uid="{00000000-0005-0000-0000-000056C40000}"/>
    <cellStyle name="Normal 5 3 5 2 3 3 2" xfId="27311" xr:uid="{00000000-0005-0000-0000-000057C40000}"/>
    <cellStyle name="Normal 5 3 5 2 3 3 2 2" xfId="54444" xr:uid="{00000000-0005-0000-0000-000058C40000}"/>
    <cellStyle name="Normal 5 3 5 2 3 3 3" xfId="40882" xr:uid="{00000000-0005-0000-0000-000059C40000}"/>
    <cellStyle name="Normal 5 3 5 2 3 4" xfId="20530" xr:uid="{00000000-0005-0000-0000-00005AC40000}"/>
    <cellStyle name="Normal 5 3 5 2 3 4 2" xfId="47663" xr:uid="{00000000-0005-0000-0000-00005BC40000}"/>
    <cellStyle name="Normal 5 3 5 2 3 5" xfId="34101" xr:uid="{00000000-0005-0000-0000-00005CC40000}"/>
    <cellStyle name="Normal 5 3 5 2 4" xfId="10340" xr:uid="{00000000-0005-0000-0000-00005DC40000}"/>
    <cellStyle name="Normal 5 3 5 2 4 2" xfId="17130" xr:uid="{00000000-0005-0000-0000-00005EC40000}"/>
    <cellStyle name="Normal 5 3 5 2 4 2 2" xfId="30698" xr:uid="{00000000-0005-0000-0000-00005FC40000}"/>
    <cellStyle name="Normal 5 3 5 2 4 2 2 2" xfId="57831" xr:uid="{00000000-0005-0000-0000-000060C40000}"/>
    <cellStyle name="Normal 5 3 5 2 4 2 3" xfId="44269" xr:uid="{00000000-0005-0000-0000-000061C40000}"/>
    <cellStyle name="Normal 5 3 5 2 4 3" xfId="23917" xr:uid="{00000000-0005-0000-0000-000062C40000}"/>
    <cellStyle name="Normal 5 3 5 2 4 3 2" xfId="51050" xr:uid="{00000000-0005-0000-0000-000063C40000}"/>
    <cellStyle name="Normal 5 3 5 2 4 4" xfId="37488" xr:uid="{00000000-0005-0000-0000-000064C40000}"/>
    <cellStyle name="Normal 5 3 5 2 5" xfId="13741" xr:uid="{00000000-0005-0000-0000-000065C40000}"/>
    <cellStyle name="Normal 5 3 5 2 5 2" xfId="27309" xr:uid="{00000000-0005-0000-0000-000066C40000}"/>
    <cellStyle name="Normal 5 3 5 2 5 2 2" xfId="54442" xr:uid="{00000000-0005-0000-0000-000067C40000}"/>
    <cellStyle name="Normal 5 3 5 2 5 3" xfId="40880" xr:uid="{00000000-0005-0000-0000-000068C40000}"/>
    <cellStyle name="Normal 5 3 5 2 6" xfId="20528" xr:uid="{00000000-0005-0000-0000-000069C40000}"/>
    <cellStyle name="Normal 5 3 5 2 6 2" xfId="47661" xr:uid="{00000000-0005-0000-0000-00006AC40000}"/>
    <cellStyle name="Normal 5 3 5 2 7" xfId="34099" xr:uid="{00000000-0005-0000-0000-00006BC40000}"/>
    <cellStyle name="Normal 5 3 5 3" xfId="6812" xr:uid="{00000000-0005-0000-0000-00006CC40000}"/>
    <cellStyle name="Normal 5 3 5 3 2" xfId="10343" xr:uid="{00000000-0005-0000-0000-00006DC40000}"/>
    <cellStyle name="Normal 5 3 5 3 2 2" xfId="17133" xr:uid="{00000000-0005-0000-0000-00006EC40000}"/>
    <cellStyle name="Normal 5 3 5 3 2 2 2" xfId="30701" xr:uid="{00000000-0005-0000-0000-00006FC40000}"/>
    <cellStyle name="Normal 5 3 5 3 2 2 2 2" xfId="57834" xr:uid="{00000000-0005-0000-0000-000070C40000}"/>
    <cellStyle name="Normal 5 3 5 3 2 2 3" xfId="44272" xr:uid="{00000000-0005-0000-0000-000071C40000}"/>
    <cellStyle name="Normal 5 3 5 3 2 3" xfId="23920" xr:uid="{00000000-0005-0000-0000-000072C40000}"/>
    <cellStyle name="Normal 5 3 5 3 2 3 2" xfId="51053" xr:uid="{00000000-0005-0000-0000-000073C40000}"/>
    <cellStyle name="Normal 5 3 5 3 2 4" xfId="37491" xr:uid="{00000000-0005-0000-0000-000074C40000}"/>
    <cellStyle name="Normal 5 3 5 3 3" xfId="13744" xr:uid="{00000000-0005-0000-0000-000075C40000}"/>
    <cellStyle name="Normal 5 3 5 3 3 2" xfId="27312" xr:uid="{00000000-0005-0000-0000-000076C40000}"/>
    <cellStyle name="Normal 5 3 5 3 3 2 2" xfId="54445" xr:uid="{00000000-0005-0000-0000-000077C40000}"/>
    <cellStyle name="Normal 5 3 5 3 3 3" xfId="40883" xr:uid="{00000000-0005-0000-0000-000078C40000}"/>
    <cellStyle name="Normal 5 3 5 3 4" xfId="20531" xr:uid="{00000000-0005-0000-0000-000079C40000}"/>
    <cellStyle name="Normal 5 3 5 3 4 2" xfId="47664" xr:uid="{00000000-0005-0000-0000-00007AC40000}"/>
    <cellStyle name="Normal 5 3 5 3 5" xfId="34102" xr:uid="{00000000-0005-0000-0000-00007BC40000}"/>
    <cellStyle name="Normal 5 3 5 4" xfId="6813" xr:uid="{00000000-0005-0000-0000-00007CC40000}"/>
    <cellStyle name="Normal 5 3 5 4 2" xfId="10344" xr:uid="{00000000-0005-0000-0000-00007DC40000}"/>
    <cellStyle name="Normal 5 3 5 4 2 2" xfId="17134" xr:uid="{00000000-0005-0000-0000-00007EC40000}"/>
    <cellStyle name="Normal 5 3 5 4 2 2 2" xfId="30702" xr:uid="{00000000-0005-0000-0000-00007FC40000}"/>
    <cellStyle name="Normal 5 3 5 4 2 2 2 2" xfId="57835" xr:uid="{00000000-0005-0000-0000-000080C40000}"/>
    <cellStyle name="Normal 5 3 5 4 2 2 3" xfId="44273" xr:uid="{00000000-0005-0000-0000-000081C40000}"/>
    <cellStyle name="Normal 5 3 5 4 2 3" xfId="23921" xr:uid="{00000000-0005-0000-0000-000082C40000}"/>
    <cellStyle name="Normal 5 3 5 4 2 3 2" xfId="51054" xr:uid="{00000000-0005-0000-0000-000083C40000}"/>
    <cellStyle name="Normal 5 3 5 4 2 4" xfId="37492" xr:uid="{00000000-0005-0000-0000-000084C40000}"/>
    <cellStyle name="Normal 5 3 5 4 3" xfId="13745" xr:uid="{00000000-0005-0000-0000-000085C40000}"/>
    <cellStyle name="Normal 5 3 5 4 3 2" xfId="27313" xr:uid="{00000000-0005-0000-0000-000086C40000}"/>
    <cellStyle name="Normal 5 3 5 4 3 2 2" xfId="54446" xr:uid="{00000000-0005-0000-0000-000087C40000}"/>
    <cellStyle name="Normal 5 3 5 4 3 3" xfId="40884" xr:uid="{00000000-0005-0000-0000-000088C40000}"/>
    <cellStyle name="Normal 5 3 5 4 4" xfId="20532" xr:uid="{00000000-0005-0000-0000-000089C40000}"/>
    <cellStyle name="Normal 5 3 5 4 4 2" xfId="47665" xr:uid="{00000000-0005-0000-0000-00008AC40000}"/>
    <cellStyle name="Normal 5 3 5 4 5" xfId="34103" xr:uid="{00000000-0005-0000-0000-00008BC40000}"/>
    <cellStyle name="Normal 5 3 5 5" xfId="10339" xr:uid="{00000000-0005-0000-0000-00008CC40000}"/>
    <cellStyle name="Normal 5 3 5 5 2" xfId="17129" xr:uid="{00000000-0005-0000-0000-00008DC40000}"/>
    <cellStyle name="Normal 5 3 5 5 2 2" xfId="30697" xr:uid="{00000000-0005-0000-0000-00008EC40000}"/>
    <cellStyle name="Normal 5 3 5 5 2 2 2" xfId="57830" xr:uid="{00000000-0005-0000-0000-00008FC40000}"/>
    <cellStyle name="Normal 5 3 5 5 2 3" xfId="44268" xr:uid="{00000000-0005-0000-0000-000090C40000}"/>
    <cellStyle name="Normal 5 3 5 5 3" xfId="23916" xr:uid="{00000000-0005-0000-0000-000091C40000}"/>
    <cellStyle name="Normal 5 3 5 5 3 2" xfId="51049" xr:uid="{00000000-0005-0000-0000-000092C40000}"/>
    <cellStyle name="Normal 5 3 5 5 4" xfId="37487" xr:uid="{00000000-0005-0000-0000-000093C40000}"/>
    <cellStyle name="Normal 5 3 5 6" xfId="13740" xr:uid="{00000000-0005-0000-0000-000094C40000}"/>
    <cellStyle name="Normal 5 3 5 6 2" xfId="27308" xr:uid="{00000000-0005-0000-0000-000095C40000}"/>
    <cellStyle name="Normal 5 3 5 6 2 2" xfId="54441" xr:uid="{00000000-0005-0000-0000-000096C40000}"/>
    <cellStyle name="Normal 5 3 5 6 3" xfId="40879" xr:uid="{00000000-0005-0000-0000-000097C40000}"/>
    <cellStyle name="Normal 5 3 5 7" xfId="20527" xr:uid="{00000000-0005-0000-0000-000098C40000}"/>
    <cellStyle name="Normal 5 3 5 7 2" xfId="47660" xr:uid="{00000000-0005-0000-0000-000099C40000}"/>
    <cellStyle name="Normal 5 3 5 8" xfId="34098" xr:uid="{00000000-0005-0000-0000-00009AC40000}"/>
    <cellStyle name="Normal 5 3 6" xfId="6814" xr:uid="{00000000-0005-0000-0000-00009BC40000}"/>
    <cellStyle name="Normal 5 3 6 2" xfId="6815" xr:uid="{00000000-0005-0000-0000-00009CC40000}"/>
    <cellStyle name="Normal 5 3 6 2 2" xfId="6816" xr:uid="{00000000-0005-0000-0000-00009DC40000}"/>
    <cellStyle name="Normal 5 3 6 2 2 2" xfId="10347" xr:uid="{00000000-0005-0000-0000-00009EC40000}"/>
    <cellStyle name="Normal 5 3 6 2 2 2 2" xfId="17137" xr:uid="{00000000-0005-0000-0000-00009FC40000}"/>
    <cellStyle name="Normal 5 3 6 2 2 2 2 2" xfId="30705" xr:uid="{00000000-0005-0000-0000-0000A0C40000}"/>
    <cellStyle name="Normal 5 3 6 2 2 2 2 2 2" xfId="57838" xr:uid="{00000000-0005-0000-0000-0000A1C40000}"/>
    <cellStyle name="Normal 5 3 6 2 2 2 2 3" xfId="44276" xr:uid="{00000000-0005-0000-0000-0000A2C40000}"/>
    <cellStyle name="Normal 5 3 6 2 2 2 3" xfId="23924" xr:uid="{00000000-0005-0000-0000-0000A3C40000}"/>
    <cellStyle name="Normal 5 3 6 2 2 2 3 2" xfId="51057" xr:uid="{00000000-0005-0000-0000-0000A4C40000}"/>
    <cellStyle name="Normal 5 3 6 2 2 2 4" xfId="37495" xr:uid="{00000000-0005-0000-0000-0000A5C40000}"/>
    <cellStyle name="Normal 5 3 6 2 2 3" xfId="13748" xr:uid="{00000000-0005-0000-0000-0000A6C40000}"/>
    <cellStyle name="Normal 5 3 6 2 2 3 2" xfId="27316" xr:uid="{00000000-0005-0000-0000-0000A7C40000}"/>
    <cellStyle name="Normal 5 3 6 2 2 3 2 2" xfId="54449" xr:uid="{00000000-0005-0000-0000-0000A8C40000}"/>
    <cellStyle name="Normal 5 3 6 2 2 3 3" xfId="40887" xr:uid="{00000000-0005-0000-0000-0000A9C40000}"/>
    <cellStyle name="Normal 5 3 6 2 2 4" xfId="20535" xr:uid="{00000000-0005-0000-0000-0000AAC40000}"/>
    <cellStyle name="Normal 5 3 6 2 2 4 2" xfId="47668" xr:uid="{00000000-0005-0000-0000-0000ABC40000}"/>
    <cellStyle name="Normal 5 3 6 2 2 5" xfId="34106" xr:uid="{00000000-0005-0000-0000-0000ACC40000}"/>
    <cellStyle name="Normal 5 3 6 2 3" xfId="6817" xr:uid="{00000000-0005-0000-0000-0000ADC40000}"/>
    <cellStyle name="Normal 5 3 6 2 3 2" xfId="10348" xr:uid="{00000000-0005-0000-0000-0000AEC40000}"/>
    <cellStyle name="Normal 5 3 6 2 3 2 2" xfId="17138" xr:uid="{00000000-0005-0000-0000-0000AFC40000}"/>
    <cellStyle name="Normal 5 3 6 2 3 2 2 2" xfId="30706" xr:uid="{00000000-0005-0000-0000-0000B0C40000}"/>
    <cellStyle name="Normal 5 3 6 2 3 2 2 2 2" xfId="57839" xr:uid="{00000000-0005-0000-0000-0000B1C40000}"/>
    <cellStyle name="Normal 5 3 6 2 3 2 2 3" xfId="44277" xr:uid="{00000000-0005-0000-0000-0000B2C40000}"/>
    <cellStyle name="Normal 5 3 6 2 3 2 3" xfId="23925" xr:uid="{00000000-0005-0000-0000-0000B3C40000}"/>
    <cellStyle name="Normal 5 3 6 2 3 2 3 2" xfId="51058" xr:uid="{00000000-0005-0000-0000-0000B4C40000}"/>
    <cellStyle name="Normal 5 3 6 2 3 2 4" xfId="37496" xr:uid="{00000000-0005-0000-0000-0000B5C40000}"/>
    <cellStyle name="Normal 5 3 6 2 3 3" xfId="13749" xr:uid="{00000000-0005-0000-0000-0000B6C40000}"/>
    <cellStyle name="Normal 5 3 6 2 3 3 2" xfId="27317" xr:uid="{00000000-0005-0000-0000-0000B7C40000}"/>
    <cellStyle name="Normal 5 3 6 2 3 3 2 2" xfId="54450" xr:uid="{00000000-0005-0000-0000-0000B8C40000}"/>
    <cellStyle name="Normal 5 3 6 2 3 3 3" xfId="40888" xr:uid="{00000000-0005-0000-0000-0000B9C40000}"/>
    <cellStyle name="Normal 5 3 6 2 3 4" xfId="20536" xr:uid="{00000000-0005-0000-0000-0000BAC40000}"/>
    <cellStyle name="Normal 5 3 6 2 3 4 2" xfId="47669" xr:uid="{00000000-0005-0000-0000-0000BBC40000}"/>
    <cellStyle name="Normal 5 3 6 2 3 5" xfId="34107" xr:uid="{00000000-0005-0000-0000-0000BCC40000}"/>
    <cellStyle name="Normal 5 3 6 2 4" xfId="10346" xr:uid="{00000000-0005-0000-0000-0000BDC40000}"/>
    <cellStyle name="Normal 5 3 6 2 4 2" xfId="17136" xr:uid="{00000000-0005-0000-0000-0000BEC40000}"/>
    <cellStyle name="Normal 5 3 6 2 4 2 2" xfId="30704" xr:uid="{00000000-0005-0000-0000-0000BFC40000}"/>
    <cellStyle name="Normal 5 3 6 2 4 2 2 2" xfId="57837" xr:uid="{00000000-0005-0000-0000-0000C0C40000}"/>
    <cellStyle name="Normal 5 3 6 2 4 2 3" xfId="44275" xr:uid="{00000000-0005-0000-0000-0000C1C40000}"/>
    <cellStyle name="Normal 5 3 6 2 4 3" xfId="23923" xr:uid="{00000000-0005-0000-0000-0000C2C40000}"/>
    <cellStyle name="Normal 5 3 6 2 4 3 2" xfId="51056" xr:uid="{00000000-0005-0000-0000-0000C3C40000}"/>
    <cellStyle name="Normal 5 3 6 2 4 4" xfId="37494" xr:uid="{00000000-0005-0000-0000-0000C4C40000}"/>
    <cellStyle name="Normal 5 3 6 2 5" xfId="13747" xr:uid="{00000000-0005-0000-0000-0000C5C40000}"/>
    <cellStyle name="Normal 5 3 6 2 5 2" xfId="27315" xr:uid="{00000000-0005-0000-0000-0000C6C40000}"/>
    <cellStyle name="Normal 5 3 6 2 5 2 2" xfId="54448" xr:uid="{00000000-0005-0000-0000-0000C7C40000}"/>
    <cellStyle name="Normal 5 3 6 2 5 3" xfId="40886" xr:uid="{00000000-0005-0000-0000-0000C8C40000}"/>
    <cellStyle name="Normal 5 3 6 2 6" xfId="20534" xr:uid="{00000000-0005-0000-0000-0000C9C40000}"/>
    <cellStyle name="Normal 5 3 6 2 6 2" xfId="47667" xr:uid="{00000000-0005-0000-0000-0000CAC40000}"/>
    <cellStyle name="Normal 5 3 6 2 7" xfId="34105" xr:uid="{00000000-0005-0000-0000-0000CBC40000}"/>
    <cellStyle name="Normal 5 3 6 3" xfId="6818" xr:uid="{00000000-0005-0000-0000-0000CCC40000}"/>
    <cellStyle name="Normal 5 3 6 3 2" xfId="10349" xr:uid="{00000000-0005-0000-0000-0000CDC40000}"/>
    <cellStyle name="Normal 5 3 6 3 2 2" xfId="17139" xr:uid="{00000000-0005-0000-0000-0000CEC40000}"/>
    <cellStyle name="Normal 5 3 6 3 2 2 2" xfId="30707" xr:uid="{00000000-0005-0000-0000-0000CFC40000}"/>
    <cellStyle name="Normal 5 3 6 3 2 2 2 2" xfId="57840" xr:uid="{00000000-0005-0000-0000-0000D0C40000}"/>
    <cellStyle name="Normal 5 3 6 3 2 2 3" xfId="44278" xr:uid="{00000000-0005-0000-0000-0000D1C40000}"/>
    <cellStyle name="Normal 5 3 6 3 2 3" xfId="23926" xr:uid="{00000000-0005-0000-0000-0000D2C40000}"/>
    <cellStyle name="Normal 5 3 6 3 2 3 2" xfId="51059" xr:uid="{00000000-0005-0000-0000-0000D3C40000}"/>
    <cellStyle name="Normal 5 3 6 3 2 4" xfId="37497" xr:uid="{00000000-0005-0000-0000-0000D4C40000}"/>
    <cellStyle name="Normal 5 3 6 3 3" xfId="13750" xr:uid="{00000000-0005-0000-0000-0000D5C40000}"/>
    <cellStyle name="Normal 5 3 6 3 3 2" xfId="27318" xr:uid="{00000000-0005-0000-0000-0000D6C40000}"/>
    <cellStyle name="Normal 5 3 6 3 3 2 2" xfId="54451" xr:uid="{00000000-0005-0000-0000-0000D7C40000}"/>
    <cellStyle name="Normal 5 3 6 3 3 3" xfId="40889" xr:uid="{00000000-0005-0000-0000-0000D8C40000}"/>
    <cellStyle name="Normal 5 3 6 3 4" xfId="20537" xr:uid="{00000000-0005-0000-0000-0000D9C40000}"/>
    <cellStyle name="Normal 5 3 6 3 4 2" xfId="47670" xr:uid="{00000000-0005-0000-0000-0000DAC40000}"/>
    <cellStyle name="Normal 5 3 6 3 5" xfId="34108" xr:uid="{00000000-0005-0000-0000-0000DBC40000}"/>
    <cellStyle name="Normal 5 3 6 4" xfId="6819" xr:uid="{00000000-0005-0000-0000-0000DCC40000}"/>
    <cellStyle name="Normal 5 3 6 4 2" xfId="10350" xr:uid="{00000000-0005-0000-0000-0000DDC40000}"/>
    <cellStyle name="Normal 5 3 6 4 2 2" xfId="17140" xr:uid="{00000000-0005-0000-0000-0000DEC40000}"/>
    <cellStyle name="Normal 5 3 6 4 2 2 2" xfId="30708" xr:uid="{00000000-0005-0000-0000-0000DFC40000}"/>
    <cellStyle name="Normal 5 3 6 4 2 2 2 2" xfId="57841" xr:uid="{00000000-0005-0000-0000-0000E0C40000}"/>
    <cellStyle name="Normal 5 3 6 4 2 2 3" xfId="44279" xr:uid="{00000000-0005-0000-0000-0000E1C40000}"/>
    <cellStyle name="Normal 5 3 6 4 2 3" xfId="23927" xr:uid="{00000000-0005-0000-0000-0000E2C40000}"/>
    <cellStyle name="Normal 5 3 6 4 2 3 2" xfId="51060" xr:uid="{00000000-0005-0000-0000-0000E3C40000}"/>
    <cellStyle name="Normal 5 3 6 4 2 4" xfId="37498" xr:uid="{00000000-0005-0000-0000-0000E4C40000}"/>
    <cellStyle name="Normal 5 3 6 4 3" xfId="13751" xr:uid="{00000000-0005-0000-0000-0000E5C40000}"/>
    <cellStyle name="Normal 5 3 6 4 3 2" xfId="27319" xr:uid="{00000000-0005-0000-0000-0000E6C40000}"/>
    <cellStyle name="Normal 5 3 6 4 3 2 2" xfId="54452" xr:uid="{00000000-0005-0000-0000-0000E7C40000}"/>
    <cellStyle name="Normal 5 3 6 4 3 3" xfId="40890" xr:uid="{00000000-0005-0000-0000-0000E8C40000}"/>
    <cellStyle name="Normal 5 3 6 4 4" xfId="20538" xr:uid="{00000000-0005-0000-0000-0000E9C40000}"/>
    <cellStyle name="Normal 5 3 6 4 4 2" xfId="47671" xr:uid="{00000000-0005-0000-0000-0000EAC40000}"/>
    <cellStyle name="Normal 5 3 6 4 5" xfId="34109" xr:uid="{00000000-0005-0000-0000-0000EBC40000}"/>
    <cellStyle name="Normal 5 3 6 5" xfId="10345" xr:uid="{00000000-0005-0000-0000-0000ECC40000}"/>
    <cellStyle name="Normal 5 3 6 5 2" xfId="17135" xr:uid="{00000000-0005-0000-0000-0000EDC40000}"/>
    <cellStyle name="Normal 5 3 6 5 2 2" xfId="30703" xr:uid="{00000000-0005-0000-0000-0000EEC40000}"/>
    <cellStyle name="Normal 5 3 6 5 2 2 2" xfId="57836" xr:uid="{00000000-0005-0000-0000-0000EFC40000}"/>
    <cellStyle name="Normal 5 3 6 5 2 3" xfId="44274" xr:uid="{00000000-0005-0000-0000-0000F0C40000}"/>
    <cellStyle name="Normal 5 3 6 5 3" xfId="23922" xr:uid="{00000000-0005-0000-0000-0000F1C40000}"/>
    <cellStyle name="Normal 5 3 6 5 3 2" xfId="51055" xr:uid="{00000000-0005-0000-0000-0000F2C40000}"/>
    <cellStyle name="Normal 5 3 6 5 4" xfId="37493" xr:uid="{00000000-0005-0000-0000-0000F3C40000}"/>
    <cellStyle name="Normal 5 3 6 6" xfId="13746" xr:uid="{00000000-0005-0000-0000-0000F4C40000}"/>
    <cellStyle name="Normal 5 3 6 6 2" xfId="27314" xr:uid="{00000000-0005-0000-0000-0000F5C40000}"/>
    <cellStyle name="Normal 5 3 6 6 2 2" xfId="54447" xr:uid="{00000000-0005-0000-0000-0000F6C40000}"/>
    <cellStyle name="Normal 5 3 6 6 3" xfId="40885" xr:uid="{00000000-0005-0000-0000-0000F7C40000}"/>
    <cellStyle name="Normal 5 3 6 7" xfId="20533" xr:uid="{00000000-0005-0000-0000-0000F8C40000}"/>
    <cellStyle name="Normal 5 3 6 7 2" xfId="47666" xr:uid="{00000000-0005-0000-0000-0000F9C40000}"/>
    <cellStyle name="Normal 5 3 6 8" xfId="34104" xr:uid="{00000000-0005-0000-0000-0000FAC40000}"/>
    <cellStyle name="Normal 5 3 7" xfId="6820" xr:uid="{00000000-0005-0000-0000-0000FBC40000}"/>
    <cellStyle name="Normal 5 3 7 2" xfId="6821" xr:uid="{00000000-0005-0000-0000-0000FCC40000}"/>
    <cellStyle name="Normal 5 3 7 2 2" xfId="10352" xr:uid="{00000000-0005-0000-0000-0000FDC40000}"/>
    <cellStyle name="Normal 5 3 7 2 2 2" xfId="17142" xr:uid="{00000000-0005-0000-0000-0000FEC40000}"/>
    <cellStyle name="Normal 5 3 7 2 2 2 2" xfId="30710" xr:uid="{00000000-0005-0000-0000-0000FFC40000}"/>
    <cellStyle name="Normal 5 3 7 2 2 2 2 2" xfId="57843" xr:uid="{00000000-0005-0000-0000-000000C50000}"/>
    <cellStyle name="Normal 5 3 7 2 2 2 3" xfId="44281" xr:uid="{00000000-0005-0000-0000-000001C50000}"/>
    <cellStyle name="Normal 5 3 7 2 2 3" xfId="23929" xr:uid="{00000000-0005-0000-0000-000002C50000}"/>
    <cellStyle name="Normal 5 3 7 2 2 3 2" xfId="51062" xr:uid="{00000000-0005-0000-0000-000003C50000}"/>
    <cellStyle name="Normal 5 3 7 2 2 4" xfId="37500" xr:uid="{00000000-0005-0000-0000-000004C50000}"/>
    <cellStyle name="Normal 5 3 7 2 3" xfId="13753" xr:uid="{00000000-0005-0000-0000-000005C50000}"/>
    <cellStyle name="Normal 5 3 7 2 3 2" xfId="27321" xr:uid="{00000000-0005-0000-0000-000006C50000}"/>
    <cellStyle name="Normal 5 3 7 2 3 2 2" xfId="54454" xr:uid="{00000000-0005-0000-0000-000007C50000}"/>
    <cellStyle name="Normal 5 3 7 2 3 3" xfId="40892" xr:uid="{00000000-0005-0000-0000-000008C50000}"/>
    <cellStyle name="Normal 5 3 7 2 4" xfId="20540" xr:uid="{00000000-0005-0000-0000-000009C50000}"/>
    <cellStyle name="Normal 5 3 7 2 4 2" xfId="47673" xr:uid="{00000000-0005-0000-0000-00000AC50000}"/>
    <cellStyle name="Normal 5 3 7 2 5" xfId="34111" xr:uid="{00000000-0005-0000-0000-00000BC50000}"/>
    <cellStyle name="Normal 5 3 7 3" xfId="6822" xr:uid="{00000000-0005-0000-0000-00000CC50000}"/>
    <cellStyle name="Normal 5 3 7 3 2" xfId="10353" xr:uid="{00000000-0005-0000-0000-00000DC50000}"/>
    <cellStyle name="Normal 5 3 7 3 2 2" xfId="17143" xr:uid="{00000000-0005-0000-0000-00000EC50000}"/>
    <cellStyle name="Normal 5 3 7 3 2 2 2" xfId="30711" xr:uid="{00000000-0005-0000-0000-00000FC50000}"/>
    <cellStyle name="Normal 5 3 7 3 2 2 2 2" xfId="57844" xr:uid="{00000000-0005-0000-0000-000010C50000}"/>
    <cellStyle name="Normal 5 3 7 3 2 2 3" xfId="44282" xr:uid="{00000000-0005-0000-0000-000011C50000}"/>
    <cellStyle name="Normal 5 3 7 3 2 3" xfId="23930" xr:uid="{00000000-0005-0000-0000-000012C50000}"/>
    <cellStyle name="Normal 5 3 7 3 2 3 2" xfId="51063" xr:uid="{00000000-0005-0000-0000-000013C50000}"/>
    <cellStyle name="Normal 5 3 7 3 2 4" xfId="37501" xr:uid="{00000000-0005-0000-0000-000014C50000}"/>
    <cellStyle name="Normal 5 3 7 3 3" xfId="13754" xr:uid="{00000000-0005-0000-0000-000015C50000}"/>
    <cellStyle name="Normal 5 3 7 3 3 2" xfId="27322" xr:uid="{00000000-0005-0000-0000-000016C50000}"/>
    <cellStyle name="Normal 5 3 7 3 3 2 2" xfId="54455" xr:uid="{00000000-0005-0000-0000-000017C50000}"/>
    <cellStyle name="Normal 5 3 7 3 3 3" xfId="40893" xr:uid="{00000000-0005-0000-0000-000018C50000}"/>
    <cellStyle name="Normal 5 3 7 3 4" xfId="20541" xr:uid="{00000000-0005-0000-0000-000019C50000}"/>
    <cellStyle name="Normal 5 3 7 3 4 2" xfId="47674" xr:uid="{00000000-0005-0000-0000-00001AC50000}"/>
    <cellStyle name="Normal 5 3 7 3 5" xfId="34112" xr:uid="{00000000-0005-0000-0000-00001BC50000}"/>
    <cellStyle name="Normal 5 3 7 4" xfId="10351" xr:uid="{00000000-0005-0000-0000-00001CC50000}"/>
    <cellStyle name="Normal 5 3 7 4 2" xfId="17141" xr:uid="{00000000-0005-0000-0000-00001DC50000}"/>
    <cellStyle name="Normal 5 3 7 4 2 2" xfId="30709" xr:uid="{00000000-0005-0000-0000-00001EC50000}"/>
    <cellStyle name="Normal 5 3 7 4 2 2 2" xfId="57842" xr:uid="{00000000-0005-0000-0000-00001FC50000}"/>
    <cellStyle name="Normal 5 3 7 4 2 3" xfId="44280" xr:uid="{00000000-0005-0000-0000-000020C50000}"/>
    <cellStyle name="Normal 5 3 7 4 3" xfId="23928" xr:uid="{00000000-0005-0000-0000-000021C50000}"/>
    <cellStyle name="Normal 5 3 7 4 3 2" xfId="51061" xr:uid="{00000000-0005-0000-0000-000022C50000}"/>
    <cellStyle name="Normal 5 3 7 4 4" xfId="37499" xr:uid="{00000000-0005-0000-0000-000023C50000}"/>
    <cellStyle name="Normal 5 3 7 5" xfId="13752" xr:uid="{00000000-0005-0000-0000-000024C50000}"/>
    <cellStyle name="Normal 5 3 7 5 2" xfId="27320" xr:uid="{00000000-0005-0000-0000-000025C50000}"/>
    <cellStyle name="Normal 5 3 7 5 2 2" xfId="54453" xr:uid="{00000000-0005-0000-0000-000026C50000}"/>
    <cellStyle name="Normal 5 3 7 5 3" xfId="40891" xr:uid="{00000000-0005-0000-0000-000027C50000}"/>
    <cellStyle name="Normal 5 3 7 6" xfId="20539" xr:uid="{00000000-0005-0000-0000-000028C50000}"/>
    <cellStyle name="Normal 5 3 7 6 2" xfId="47672" xr:uid="{00000000-0005-0000-0000-000029C50000}"/>
    <cellStyle name="Normal 5 3 7 7" xfId="34110" xr:uid="{00000000-0005-0000-0000-00002AC50000}"/>
    <cellStyle name="Normal 5 3 8" xfId="6823" xr:uid="{00000000-0005-0000-0000-00002BC50000}"/>
    <cellStyle name="Normal 5 3 8 2" xfId="6824" xr:uid="{00000000-0005-0000-0000-00002CC50000}"/>
    <cellStyle name="Normal 5 3 8 2 2" xfId="10355" xr:uid="{00000000-0005-0000-0000-00002DC50000}"/>
    <cellStyle name="Normal 5 3 8 2 2 2" xfId="17145" xr:uid="{00000000-0005-0000-0000-00002EC50000}"/>
    <cellStyle name="Normal 5 3 8 2 2 2 2" xfId="30713" xr:uid="{00000000-0005-0000-0000-00002FC50000}"/>
    <cellStyle name="Normal 5 3 8 2 2 2 2 2" xfId="57846" xr:uid="{00000000-0005-0000-0000-000030C50000}"/>
    <cellStyle name="Normal 5 3 8 2 2 2 3" xfId="44284" xr:uid="{00000000-0005-0000-0000-000031C50000}"/>
    <cellStyle name="Normal 5 3 8 2 2 3" xfId="23932" xr:uid="{00000000-0005-0000-0000-000032C50000}"/>
    <cellStyle name="Normal 5 3 8 2 2 3 2" xfId="51065" xr:uid="{00000000-0005-0000-0000-000033C50000}"/>
    <cellStyle name="Normal 5 3 8 2 2 4" xfId="37503" xr:uid="{00000000-0005-0000-0000-000034C50000}"/>
    <cellStyle name="Normal 5 3 8 2 3" xfId="13756" xr:uid="{00000000-0005-0000-0000-000035C50000}"/>
    <cellStyle name="Normal 5 3 8 2 3 2" xfId="27324" xr:uid="{00000000-0005-0000-0000-000036C50000}"/>
    <cellStyle name="Normal 5 3 8 2 3 2 2" xfId="54457" xr:uid="{00000000-0005-0000-0000-000037C50000}"/>
    <cellStyle name="Normal 5 3 8 2 3 3" xfId="40895" xr:uid="{00000000-0005-0000-0000-000038C50000}"/>
    <cellStyle name="Normal 5 3 8 2 4" xfId="20543" xr:uid="{00000000-0005-0000-0000-000039C50000}"/>
    <cellStyle name="Normal 5 3 8 2 4 2" xfId="47676" xr:uid="{00000000-0005-0000-0000-00003AC50000}"/>
    <cellStyle name="Normal 5 3 8 2 5" xfId="34114" xr:uid="{00000000-0005-0000-0000-00003BC50000}"/>
    <cellStyle name="Normal 5 3 8 3" xfId="6825" xr:uid="{00000000-0005-0000-0000-00003CC50000}"/>
    <cellStyle name="Normal 5 3 8 3 2" xfId="10356" xr:uid="{00000000-0005-0000-0000-00003DC50000}"/>
    <cellStyle name="Normal 5 3 8 3 2 2" xfId="17146" xr:uid="{00000000-0005-0000-0000-00003EC50000}"/>
    <cellStyle name="Normal 5 3 8 3 2 2 2" xfId="30714" xr:uid="{00000000-0005-0000-0000-00003FC50000}"/>
    <cellStyle name="Normal 5 3 8 3 2 2 2 2" xfId="57847" xr:uid="{00000000-0005-0000-0000-000040C50000}"/>
    <cellStyle name="Normal 5 3 8 3 2 2 3" xfId="44285" xr:uid="{00000000-0005-0000-0000-000041C50000}"/>
    <cellStyle name="Normal 5 3 8 3 2 3" xfId="23933" xr:uid="{00000000-0005-0000-0000-000042C50000}"/>
    <cellStyle name="Normal 5 3 8 3 2 3 2" xfId="51066" xr:uid="{00000000-0005-0000-0000-000043C50000}"/>
    <cellStyle name="Normal 5 3 8 3 2 4" xfId="37504" xr:uid="{00000000-0005-0000-0000-000044C50000}"/>
    <cellStyle name="Normal 5 3 8 3 3" xfId="13757" xr:uid="{00000000-0005-0000-0000-000045C50000}"/>
    <cellStyle name="Normal 5 3 8 3 3 2" xfId="27325" xr:uid="{00000000-0005-0000-0000-000046C50000}"/>
    <cellStyle name="Normal 5 3 8 3 3 2 2" xfId="54458" xr:uid="{00000000-0005-0000-0000-000047C50000}"/>
    <cellStyle name="Normal 5 3 8 3 3 3" xfId="40896" xr:uid="{00000000-0005-0000-0000-000048C50000}"/>
    <cellStyle name="Normal 5 3 8 3 4" xfId="20544" xr:uid="{00000000-0005-0000-0000-000049C50000}"/>
    <cellStyle name="Normal 5 3 8 3 4 2" xfId="47677" xr:uid="{00000000-0005-0000-0000-00004AC50000}"/>
    <cellStyle name="Normal 5 3 8 3 5" xfId="34115" xr:uid="{00000000-0005-0000-0000-00004BC50000}"/>
    <cellStyle name="Normal 5 3 8 4" xfId="10354" xr:uid="{00000000-0005-0000-0000-00004CC50000}"/>
    <cellStyle name="Normal 5 3 8 4 2" xfId="17144" xr:uid="{00000000-0005-0000-0000-00004DC50000}"/>
    <cellStyle name="Normal 5 3 8 4 2 2" xfId="30712" xr:uid="{00000000-0005-0000-0000-00004EC50000}"/>
    <cellStyle name="Normal 5 3 8 4 2 2 2" xfId="57845" xr:uid="{00000000-0005-0000-0000-00004FC50000}"/>
    <cellStyle name="Normal 5 3 8 4 2 3" xfId="44283" xr:uid="{00000000-0005-0000-0000-000050C50000}"/>
    <cellStyle name="Normal 5 3 8 4 3" xfId="23931" xr:uid="{00000000-0005-0000-0000-000051C50000}"/>
    <cellStyle name="Normal 5 3 8 4 3 2" xfId="51064" xr:uid="{00000000-0005-0000-0000-000052C50000}"/>
    <cellStyle name="Normal 5 3 8 4 4" xfId="37502" xr:uid="{00000000-0005-0000-0000-000053C50000}"/>
    <cellStyle name="Normal 5 3 8 5" xfId="13755" xr:uid="{00000000-0005-0000-0000-000054C50000}"/>
    <cellStyle name="Normal 5 3 8 5 2" xfId="27323" xr:uid="{00000000-0005-0000-0000-000055C50000}"/>
    <cellStyle name="Normal 5 3 8 5 2 2" xfId="54456" xr:uid="{00000000-0005-0000-0000-000056C50000}"/>
    <cellStyle name="Normal 5 3 8 5 3" xfId="40894" xr:uid="{00000000-0005-0000-0000-000057C50000}"/>
    <cellStyle name="Normal 5 3 8 6" xfId="20542" xr:uid="{00000000-0005-0000-0000-000058C50000}"/>
    <cellStyle name="Normal 5 3 8 6 2" xfId="47675" xr:uid="{00000000-0005-0000-0000-000059C50000}"/>
    <cellStyle name="Normal 5 3 8 7" xfId="34113" xr:uid="{00000000-0005-0000-0000-00005AC50000}"/>
    <cellStyle name="Normal 5 3 9" xfId="6826" xr:uid="{00000000-0005-0000-0000-00005BC50000}"/>
    <cellStyle name="Normal 5 3 9 2" xfId="10357" xr:uid="{00000000-0005-0000-0000-00005CC50000}"/>
    <cellStyle name="Normal 5 3 9 2 2" xfId="17147" xr:uid="{00000000-0005-0000-0000-00005DC50000}"/>
    <cellStyle name="Normal 5 3 9 2 2 2" xfId="30715" xr:uid="{00000000-0005-0000-0000-00005EC50000}"/>
    <cellStyle name="Normal 5 3 9 2 2 2 2" xfId="57848" xr:uid="{00000000-0005-0000-0000-00005FC50000}"/>
    <cellStyle name="Normal 5 3 9 2 2 3" xfId="44286" xr:uid="{00000000-0005-0000-0000-000060C50000}"/>
    <cellStyle name="Normal 5 3 9 2 3" xfId="23934" xr:uid="{00000000-0005-0000-0000-000061C50000}"/>
    <cellStyle name="Normal 5 3 9 2 3 2" xfId="51067" xr:uid="{00000000-0005-0000-0000-000062C50000}"/>
    <cellStyle name="Normal 5 3 9 2 4" xfId="37505" xr:uid="{00000000-0005-0000-0000-000063C50000}"/>
    <cellStyle name="Normal 5 3 9 3" xfId="13758" xr:uid="{00000000-0005-0000-0000-000064C50000}"/>
    <cellStyle name="Normal 5 3 9 3 2" xfId="27326" xr:uid="{00000000-0005-0000-0000-000065C50000}"/>
    <cellStyle name="Normal 5 3 9 3 2 2" xfId="54459" xr:uid="{00000000-0005-0000-0000-000066C50000}"/>
    <cellStyle name="Normal 5 3 9 3 3" xfId="40897" xr:uid="{00000000-0005-0000-0000-000067C50000}"/>
    <cellStyle name="Normal 5 3 9 4" xfId="20545" xr:uid="{00000000-0005-0000-0000-000068C50000}"/>
    <cellStyle name="Normal 5 3 9 4 2" xfId="47678" xr:uid="{00000000-0005-0000-0000-000069C50000}"/>
    <cellStyle name="Normal 5 3 9 5" xfId="34116" xr:uid="{00000000-0005-0000-0000-00006AC50000}"/>
    <cellStyle name="Normal 5 4" xfId="6827" xr:uid="{00000000-0005-0000-0000-00006BC50000}"/>
    <cellStyle name="Normal 5 49" xfId="25" xr:uid="{00000000-0005-0000-0000-00006CC50000}"/>
    <cellStyle name="Normal 5 5" xfId="6828" xr:uid="{00000000-0005-0000-0000-00006DC50000}"/>
    <cellStyle name="Normal 5 5 2" xfId="6829" xr:uid="{00000000-0005-0000-0000-00006EC50000}"/>
    <cellStyle name="Normal 5 5 2 2" xfId="10359" xr:uid="{00000000-0005-0000-0000-00006FC50000}"/>
    <cellStyle name="Normal 5 5 2 2 2" xfId="17149" xr:uid="{00000000-0005-0000-0000-000070C50000}"/>
    <cellStyle name="Normal 5 5 2 2 2 2" xfId="30717" xr:uid="{00000000-0005-0000-0000-000071C50000}"/>
    <cellStyle name="Normal 5 5 2 2 2 2 2" xfId="57850" xr:uid="{00000000-0005-0000-0000-000072C50000}"/>
    <cellStyle name="Normal 5 5 2 2 2 3" xfId="44288" xr:uid="{00000000-0005-0000-0000-000073C50000}"/>
    <cellStyle name="Normal 5 5 2 2 3" xfId="23936" xr:uid="{00000000-0005-0000-0000-000074C50000}"/>
    <cellStyle name="Normal 5 5 2 2 3 2" xfId="51069" xr:uid="{00000000-0005-0000-0000-000075C50000}"/>
    <cellStyle name="Normal 5 5 2 2 4" xfId="37507" xr:uid="{00000000-0005-0000-0000-000076C50000}"/>
    <cellStyle name="Normal 5 5 2 3" xfId="13760" xr:uid="{00000000-0005-0000-0000-000077C50000}"/>
    <cellStyle name="Normal 5 5 2 3 2" xfId="27328" xr:uid="{00000000-0005-0000-0000-000078C50000}"/>
    <cellStyle name="Normal 5 5 2 3 2 2" xfId="54461" xr:uid="{00000000-0005-0000-0000-000079C50000}"/>
    <cellStyle name="Normal 5 5 2 3 3" xfId="40899" xr:uid="{00000000-0005-0000-0000-00007AC50000}"/>
    <cellStyle name="Normal 5 5 2 4" xfId="20547" xr:uid="{00000000-0005-0000-0000-00007BC50000}"/>
    <cellStyle name="Normal 5 5 2 4 2" xfId="47680" xr:uid="{00000000-0005-0000-0000-00007CC50000}"/>
    <cellStyle name="Normal 5 5 2 5" xfId="34118" xr:uid="{00000000-0005-0000-0000-00007DC50000}"/>
    <cellStyle name="Normal 5 5 3" xfId="6830" xr:uid="{00000000-0005-0000-0000-00007EC50000}"/>
    <cellStyle name="Normal 5 5 3 2" xfId="10360" xr:uid="{00000000-0005-0000-0000-00007FC50000}"/>
    <cellStyle name="Normal 5 5 3 2 2" xfId="17150" xr:uid="{00000000-0005-0000-0000-000080C50000}"/>
    <cellStyle name="Normal 5 5 3 2 2 2" xfId="30718" xr:uid="{00000000-0005-0000-0000-000081C50000}"/>
    <cellStyle name="Normal 5 5 3 2 2 2 2" xfId="57851" xr:uid="{00000000-0005-0000-0000-000082C50000}"/>
    <cellStyle name="Normal 5 5 3 2 2 3" xfId="44289" xr:uid="{00000000-0005-0000-0000-000083C50000}"/>
    <cellStyle name="Normal 5 5 3 2 3" xfId="23937" xr:uid="{00000000-0005-0000-0000-000084C50000}"/>
    <cellStyle name="Normal 5 5 3 2 3 2" xfId="51070" xr:uid="{00000000-0005-0000-0000-000085C50000}"/>
    <cellStyle name="Normal 5 5 3 2 4" xfId="37508" xr:uid="{00000000-0005-0000-0000-000086C50000}"/>
    <cellStyle name="Normal 5 5 3 3" xfId="13761" xr:uid="{00000000-0005-0000-0000-000087C50000}"/>
    <cellStyle name="Normal 5 5 3 3 2" xfId="27329" xr:uid="{00000000-0005-0000-0000-000088C50000}"/>
    <cellStyle name="Normal 5 5 3 3 2 2" xfId="54462" xr:uid="{00000000-0005-0000-0000-000089C50000}"/>
    <cellStyle name="Normal 5 5 3 3 3" xfId="40900" xr:uid="{00000000-0005-0000-0000-00008AC50000}"/>
    <cellStyle name="Normal 5 5 3 4" xfId="20548" xr:uid="{00000000-0005-0000-0000-00008BC50000}"/>
    <cellStyle name="Normal 5 5 3 4 2" xfId="47681" xr:uid="{00000000-0005-0000-0000-00008CC50000}"/>
    <cellStyle name="Normal 5 5 3 5" xfId="34119" xr:uid="{00000000-0005-0000-0000-00008DC50000}"/>
    <cellStyle name="Normal 5 5 4" xfId="10358" xr:uid="{00000000-0005-0000-0000-00008EC50000}"/>
    <cellStyle name="Normal 5 5 4 2" xfId="17148" xr:uid="{00000000-0005-0000-0000-00008FC50000}"/>
    <cellStyle name="Normal 5 5 4 2 2" xfId="30716" xr:uid="{00000000-0005-0000-0000-000090C50000}"/>
    <cellStyle name="Normal 5 5 4 2 2 2" xfId="57849" xr:uid="{00000000-0005-0000-0000-000091C50000}"/>
    <cellStyle name="Normal 5 5 4 2 3" xfId="44287" xr:uid="{00000000-0005-0000-0000-000092C50000}"/>
    <cellStyle name="Normal 5 5 4 3" xfId="23935" xr:uid="{00000000-0005-0000-0000-000093C50000}"/>
    <cellStyle name="Normal 5 5 4 3 2" xfId="51068" xr:uid="{00000000-0005-0000-0000-000094C50000}"/>
    <cellStyle name="Normal 5 5 4 4" xfId="37506" xr:uid="{00000000-0005-0000-0000-000095C50000}"/>
    <cellStyle name="Normal 5 5 5" xfId="13759" xr:uid="{00000000-0005-0000-0000-000096C50000}"/>
    <cellStyle name="Normal 5 5 5 2" xfId="27327" xr:uid="{00000000-0005-0000-0000-000097C50000}"/>
    <cellStyle name="Normal 5 5 5 2 2" xfId="54460" xr:uid="{00000000-0005-0000-0000-000098C50000}"/>
    <cellStyle name="Normal 5 5 5 3" xfId="40898" xr:uid="{00000000-0005-0000-0000-000099C50000}"/>
    <cellStyle name="Normal 5 5 6" xfId="20546" xr:uid="{00000000-0005-0000-0000-00009AC50000}"/>
    <cellStyle name="Normal 5 5 6 2" xfId="47679" xr:uid="{00000000-0005-0000-0000-00009BC50000}"/>
    <cellStyle name="Normal 5 5 7" xfId="34117" xr:uid="{00000000-0005-0000-0000-00009CC50000}"/>
    <cellStyle name="Normal 5 6" xfId="6831" xr:uid="{00000000-0005-0000-0000-00009DC50000}"/>
    <cellStyle name="Normal 5 6 2" xfId="10361" xr:uid="{00000000-0005-0000-0000-00009EC50000}"/>
    <cellStyle name="Normal 5 6 2 2" xfId="17151" xr:uid="{00000000-0005-0000-0000-00009FC50000}"/>
    <cellStyle name="Normal 5 6 2 2 2" xfId="30719" xr:uid="{00000000-0005-0000-0000-0000A0C50000}"/>
    <cellStyle name="Normal 5 6 2 2 2 2" xfId="57852" xr:uid="{00000000-0005-0000-0000-0000A1C50000}"/>
    <cellStyle name="Normal 5 6 2 2 3" xfId="44290" xr:uid="{00000000-0005-0000-0000-0000A2C50000}"/>
    <cellStyle name="Normal 5 6 2 3" xfId="23938" xr:uid="{00000000-0005-0000-0000-0000A3C50000}"/>
    <cellStyle name="Normal 5 6 2 3 2" xfId="51071" xr:uid="{00000000-0005-0000-0000-0000A4C50000}"/>
    <cellStyle name="Normal 5 6 2 4" xfId="37509" xr:uid="{00000000-0005-0000-0000-0000A5C50000}"/>
    <cellStyle name="Normal 5 6 3" xfId="13762" xr:uid="{00000000-0005-0000-0000-0000A6C50000}"/>
    <cellStyle name="Normal 5 6 3 2" xfId="27330" xr:uid="{00000000-0005-0000-0000-0000A7C50000}"/>
    <cellStyle name="Normal 5 6 3 2 2" xfId="54463" xr:uid="{00000000-0005-0000-0000-0000A8C50000}"/>
    <cellStyle name="Normal 5 6 3 3" xfId="40901" xr:uid="{00000000-0005-0000-0000-0000A9C50000}"/>
    <cellStyle name="Normal 5 6 4" xfId="20549" xr:uid="{00000000-0005-0000-0000-0000AAC50000}"/>
    <cellStyle name="Normal 5 6 4 2" xfId="47682" xr:uid="{00000000-0005-0000-0000-0000ABC50000}"/>
    <cellStyle name="Normal 5 6 5" xfId="34120" xr:uid="{00000000-0005-0000-0000-0000ACC50000}"/>
    <cellStyle name="Normal 5 7" xfId="81" xr:uid="{00000000-0005-0000-0000-0000ADC50000}"/>
    <cellStyle name="Normal 50" xfId="17647" xr:uid="{00000000-0005-0000-0000-0000AEC50000}"/>
    <cellStyle name="Normal 51" xfId="31208" xr:uid="{00000000-0005-0000-0000-0000AFC50000}"/>
    <cellStyle name="Normal 52" xfId="31209" xr:uid="{00000000-0005-0000-0000-0000B0C50000}"/>
    <cellStyle name="Normal 53" xfId="31210" xr:uid="{00000000-0005-0000-0000-0000B1C50000}"/>
    <cellStyle name="Normal 53 2" xfId="58341" xr:uid="{00000000-0005-0000-0000-0000B2C50000}"/>
    <cellStyle name="Normal 54" xfId="31211" xr:uid="{00000000-0005-0000-0000-0000B3C50000}"/>
    <cellStyle name="Normal 54 2" xfId="58342" xr:uid="{00000000-0005-0000-0000-0000B4C50000}"/>
    <cellStyle name="Normal 55" xfId="31212" xr:uid="{00000000-0005-0000-0000-0000B5C50000}"/>
    <cellStyle name="Normal 55 2" xfId="58343" xr:uid="{00000000-0005-0000-0000-0000B6C50000}"/>
    <cellStyle name="Normal 56" xfId="31213" xr:uid="{00000000-0005-0000-0000-0000B7C50000}"/>
    <cellStyle name="Normal 56 2" xfId="58344" xr:uid="{00000000-0005-0000-0000-0000B8C50000}"/>
    <cellStyle name="Normal 57" xfId="31215" xr:uid="{00000000-0005-0000-0000-0000B9C50000}"/>
    <cellStyle name="Normal 58" xfId="58345" xr:uid="{00000000-0005-0000-0000-0000BAC50000}"/>
    <cellStyle name="Normal 59" xfId="31214" xr:uid="{00000000-0005-0000-0000-0000BBC50000}"/>
    <cellStyle name="Normal 6" xfId="82" xr:uid="{00000000-0005-0000-0000-0000BCC50000}"/>
    <cellStyle name="Normal 6 2" xfId="154" xr:uid="{00000000-0005-0000-0000-0000BDC50000}"/>
    <cellStyle name="Normal 6 2 10" xfId="6832" xr:uid="{00000000-0005-0000-0000-0000BEC50000}"/>
    <cellStyle name="Normal 6 2 10 2" xfId="10362" xr:uid="{00000000-0005-0000-0000-0000BFC50000}"/>
    <cellStyle name="Normal 6 2 10 2 2" xfId="17152" xr:uid="{00000000-0005-0000-0000-0000C0C50000}"/>
    <cellStyle name="Normal 6 2 10 2 2 2" xfId="30720" xr:uid="{00000000-0005-0000-0000-0000C1C50000}"/>
    <cellStyle name="Normal 6 2 10 2 2 2 2" xfId="57853" xr:uid="{00000000-0005-0000-0000-0000C2C50000}"/>
    <cellStyle name="Normal 6 2 10 2 2 3" xfId="44291" xr:uid="{00000000-0005-0000-0000-0000C3C50000}"/>
    <cellStyle name="Normal 6 2 10 2 3" xfId="23939" xr:uid="{00000000-0005-0000-0000-0000C4C50000}"/>
    <cellStyle name="Normal 6 2 10 2 3 2" xfId="51072" xr:uid="{00000000-0005-0000-0000-0000C5C50000}"/>
    <cellStyle name="Normal 6 2 10 2 4" xfId="37510" xr:uid="{00000000-0005-0000-0000-0000C6C50000}"/>
    <cellStyle name="Normal 6 2 10 3" xfId="13763" xr:uid="{00000000-0005-0000-0000-0000C7C50000}"/>
    <cellStyle name="Normal 6 2 10 3 2" xfId="27331" xr:uid="{00000000-0005-0000-0000-0000C8C50000}"/>
    <cellStyle name="Normal 6 2 10 3 2 2" xfId="54464" xr:uid="{00000000-0005-0000-0000-0000C9C50000}"/>
    <cellStyle name="Normal 6 2 10 3 3" xfId="40902" xr:uid="{00000000-0005-0000-0000-0000CAC50000}"/>
    <cellStyle name="Normal 6 2 10 4" xfId="20550" xr:uid="{00000000-0005-0000-0000-0000CBC50000}"/>
    <cellStyle name="Normal 6 2 10 4 2" xfId="47683" xr:uid="{00000000-0005-0000-0000-0000CCC50000}"/>
    <cellStyle name="Normal 6 2 10 5" xfId="34121" xr:uid="{00000000-0005-0000-0000-0000CDC50000}"/>
    <cellStyle name="Normal 6 2 2" xfId="6833" xr:uid="{00000000-0005-0000-0000-0000CEC50000}"/>
    <cellStyle name="Normal 6 2 2 10" xfId="13764" xr:uid="{00000000-0005-0000-0000-0000CFC50000}"/>
    <cellStyle name="Normal 6 2 2 10 2" xfId="27332" xr:uid="{00000000-0005-0000-0000-0000D0C50000}"/>
    <cellStyle name="Normal 6 2 2 10 2 2" xfId="54465" xr:uid="{00000000-0005-0000-0000-0000D1C50000}"/>
    <cellStyle name="Normal 6 2 2 10 3" xfId="40903" xr:uid="{00000000-0005-0000-0000-0000D2C50000}"/>
    <cellStyle name="Normal 6 2 2 11" xfId="20551" xr:uid="{00000000-0005-0000-0000-0000D3C50000}"/>
    <cellStyle name="Normal 6 2 2 11 2" xfId="47684" xr:uid="{00000000-0005-0000-0000-0000D4C50000}"/>
    <cellStyle name="Normal 6 2 2 12" xfId="34122" xr:uid="{00000000-0005-0000-0000-0000D5C50000}"/>
    <cellStyle name="Normal 6 2 2 2" xfId="6834" xr:uid="{00000000-0005-0000-0000-0000D6C50000}"/>
    <cellStyle name="Normal 6 2 2 2 10" xfId="34123" xr:uid="{00000000-0005-0000-0000-0000D7C50000}"/>
    <cellStyle name="Normal 6 2 2 2 2" xfId="6835" xr:uid="{00000000-0005-0000-0000-0000D8C50000}"/>
    <cellStyle name="Normal 6 2 2 2 2 2" xfId="6836" xr:uid="{00000000-0005-0000-0000-0000D9C50000}"/>
    <cellStyle name="Normal 6 2 2 2 2 2 2" xfId="6837" xr:uid="{00000000-0005-0000-0000-0000DAC50000}"/>
    <cellStyle name="Normal 6 2 2 2 2 2 2 2" xfId="10367" xr:uid="{00000000-0005-0000-0000-0000DBC50000}"/>
    <cellStyle name="Normal 6 2 2 2 2 2 2 2 2" xfId="17157" xr:uid="{00000000-0005-0000-0000-0000DCC50000}"/>
    <cellStyle name="Normal 6 2 2 2 2 2 2 2 2 2" xfId="30725" xr:uid="{00000000-0005-0000-0000-0000DDC50000}"/>
    <cellStyle name="Normal 6 2 2 2 2 2 2 2 2 2 2" xfId="57858" xr:uid="{00000000-0005-0000-0000-0000DEC50000}"/>
    <cellStyle name="Normal 6 2 2 2 2 2 2 2 2 3" xfId="44296" xr:uid="{00000000-0005-0000-0000-0000DFC50000}"/>
    <cellStyle name="Normal 6 2 2 2 2 2 2 2 3" xfId="23944" xr:uid="{00000000-0005-0000-0000-0000E0C50000}"/>
    <cellStyle name="Normal 6 2 2 2 2 2 2 2 3 2" xfId="51077" xr:uid="{00000000-0005-0000-0000-0000E1C50000}"/>
    <cellStyle name="Normal 6 2 2 2 2 2 2 2 4" xfId="37515" xr:uid="{00000000-0005-0000-0000-0000E2C50000}"/>
    <cellStyle name="Normal 6 2 2 2 2 2 2 3" xfId="13768" xr:uid="{00000000-0005-0000-0000-0000E3C50000}"/>
    <cellStyle name="Normal 6 2 2 2 2 2 2 3 2" xfId="27336" xr:uid="{00000000-0005-0000-0000-0000E4C50000}"/>
    <cellStyle name="Normal 6 2 2 2 2 2 2 3 2 2" xfId="54469" xr:uid="{00000000-0005-0000-0000-0000E5C50000}"/>
    <cellStyle name="Normal 6 2 2 2 2 2 2 3 3" xfId="40907" xr:uid="{00000000-0005-0000-0000-0000E6C50000}"/>
    <cellStyle name="Normal 6 2 2 2 2 2 2 4" xfId="20555" xr:uid="{00000000-0005-0000-0000-0000E7C50000}"/>
    <cellStyle name="Normal 6 2 2 2 2 2 2 4 2" xfId="47688" xr:uid="{00000000-0005-0000-0000-0000E8C50000}"/>
    <cellStyle name="Normal 6 2 2 2 2 2 2 5" xfId="34126" xr:uid="{00000000-0005-0000-0000-0000E9C50000}"/>
    <cellStyle name="Normal 6 2 2 2 2 2 3" xfId="6838" xr:uid="{00000000-0005-0000-0000-0000EAC50000}"/>
    <cellStyle name="Normal 6 2 2 2 2 2 3 2" xfId="10368" xr:uid="{00000000-0005-0000-0000-0000EBC50000}"/>
    <cellStyle name="Normal 6 2 2 2 2 2 3 2 2" xfId="17158" xr:uid="{00000000-0005-0000-0000-0000ECC50000}"/>
    <cellStyle name="Normal 6 2 2 2 2 2 3 2 2 2" xfId="30726" xr:uid="{00000000-0005-0000-0000-0000EDC50000}"/>
    <cellStyle name="Normal 6 2 2 2 2 2 3 2 2 2 2" xfId="57859" xr:uid="{00000000-0005-0000-0000-0000EEC50000}"/>
    <cellStyle name="Normal 6 2 2 2 2 2 3 2 2 3" xfId="44297" xr:uid="{00000000-0005-0000-0000-0000EFC50000}"/>
    <cellStyle name="Normal 6 2 2 2 2 2 3 2 3" xfId="23945" xr:uid="{00000000-0005-0000-0000-0000F0C50000}"/>
    <cellStyle name="Normal 6 2 2 2 2 2 3 2 3 2" xfId="51078" xr:uid="{00000000-0005-0000-0000-0000F1C50000}"/>
    <cellStyle name="Normal 6 2 2 2 2 2 3 2 4" xfId="37516" xr:uid="{00000000-0005-0000-0000-0000F2C50000}"/>
    <cellStyle name="Normal 6 2 2 2 2 2 3 3" xfId="13769" xr:uid="{00000000-0005-0000-0000-0000F3C50000}"/>
    <cellStyle name="Normal 6 2 2 2 2 2 3 3 2" xfId="27337" xr:uid="{00000000-0005-0000-0000-0000F4C50000}"/>
    <cellStyle name="Normal 6 2 2 2 2 2 3 3 2 2" xfId="54470" xr:uid="{00000000-0005-0000-0000-0000F5C50000}"/>
    <cellStyle name="Normal 6 2 2 2 2 2 3 3 3" xfId="40908" xr:uid="{00000000-0005-0000-0000-0000F6C50000}"/>
    <cellStyle name="Normal 6 2 2 2 2 2 3 4" xfId="20556" xr:uid="{00000000-0005-0000-0000-0000F7C50000}"/>
    <cellStyle name="Normal 6 2 2 2 2 2 3 4 2" xfId="47689" xr:uid="{00000000-0005-0000-0000-0000F8C50000}"/>
    <cellStyle name="Normal 6 2 2 2 2 2 3 5" xfId="34127" xr:uid="{00000000-0005-0000-0000-0000F9C50000}"/>
    <cellStyle name="Normal 6 2 2 2 2 2 4" xfId="10366" xr:uid="{00000000-0005-0000-0000-0000FAC50000}"/>
    <cellStyle name="Normal 6 2 2 2 2 2 4 2" xfId="17156" xr:uid="{00000000-0005-0000-0000-0000FBC50000}"/>
    <cellStyle name="Normal 6 2 2 2 2 2 4 2 2" xfId="30724" xr:uid="{00000000-0005-0000-0000-0000FCC50000}"/>
    <cellStyle name="Normal 6 2 2 2 2 2 4 2 2 2" xfId="57857" xr:uid="{00000000-0005-0000-0000-0000FDC50000}"/>
    <cellStyle name="Normal 6 2 2 2 2 2 4 2 3" xfId="44295" xr:uid="{00000000-0005-0000-0000-0000FEC50000}"/>
    <cellStyle name="Normal 6 2 2 2 2 2 4 3" xfId="23943" xr:uid="{00000000-0005-0000-0000-0000FFC50000}"/>
    <cellStyle name="Normal 6 2 2 2 2 2 4 3 2" xfId="51076" xr:uid="{00000000-0005-0000-0000-000000C60000}"/>
    <cellStyle name="Normal 6 2 2 2 2 2 4 4" xfId="37514" xr:uid="{00000000-0005-0000-0000-000001C60000}"/>
    <cellStyle name="Normal 6 2 2 2 2 2 5" xfId="13767" xr:uid="{00000000-0005-0000-0000-000002C60000}"/>
    <cellStyle name="Normal 6 2 2 2 2 2 5 2" xfId="27335" xr:uid="{00000000-0005-0000-0000-000003C60000}"/>
    <cellStyle name="Normal 6 2 2 2 2 2 5 2 2" xfId="54468" xr:uid="{00000000-0005-0000-0000-000004C60000}"/>
    <cellStyle name="Normal 6 2 2 2 2 2 5 3" xfId="40906" xr:uid="{00000000-0005-0000-0000-000005C60000}"/>
    <cellStyle name="Normal 6 2 2 2 2 2 6" xfId="20554" xr:uid="{00000000-0005-0000-0000-000006C60000}"/>
    <cellStyle name="Normal 6 2 2 2 2 2 6 2" xfId="47687" xr:uid="{00000000-0005-0000-0000-000007C60000}"/>
    <cellStyle name="Normal 6 2 2 2 2 2 7" xfId="34125" xr:uid="{00000000-0005-0000-0000-000008C60000}"/>
    <cellStyle name="Normal 6 2 2 2 2 3" xfId="6839" xr:uid="{00000000-0005-0000-0000-000009C60000}"/>
    <cellStyle name="Normal 6 2 2 2 2 3 2" xfId="6840" xr:uid="{00000000-0005-0000-0000-00000AC60000}"/>
    <cellStyle name="Normal 6 2 2 2 2 3 2 2" xfId="10370" xr:uid="{00000000-0005-0000-0000-00000BC60000}"/>
    <cellStyle name="Normal 6 2 2 2 2 3 2 2 2" xfId="17160" xr:uid="{00000000-0005-0000-0000-00000CC60000}"/>
    <cellStyle name="Normal 6 2 2 2 2 3 2 2 2 2" xfId="30728" xr:uid="{00000000-0005-0000-0000-00000DC60000}"/>
    <cellStyle name="Normal 6 2 2 2 2 3 2 2 2 2 2" xfId="57861" xr:uid="{00000000-0005-0000-0000-00000EC60000}"/>
    <cellStyle name="Normal 6 2 2 2 2 3 2 2 2 3" xfId="44299" xr:uid="{00000000-0005-0000-0000-00000FC60000}"/>
    <cellStyle name="Normal 6 2 2 2 2 3 2 2 3" xfId="23947" xr:uid="{00000000-0005-0000-0000-000010C60000}"/>
    <cellStyle name="Normal 6 2 2 2 2 3 2 2 3 2" xfId="51080" xr:uid="{00000000-0005-0000-0000-000011C60000}"/>
    <cellStyle name="Normal 6 2 2 2 2 3 2 2 4" xfId="37518" xr:uid="{00000000-0005-0000-0000-000012C60000}"/>
    <cellStyle name="Normal 6 2 2 2 2 3 2 3" xfId="13771" xr:uid="{00000000-0005-0000-0000-000013C60000}"/>
    <cellStyle name="Normal 6 2 2 2 2 3 2 3 2" xfId="27339" xr:uid="{00000000-0005-0000-0000-000014C60000}"/>
    <cellStyle name="Normal 6 2 2 2 2 3 2 3 2 2" xfId="54472" xr:uid="{00000000-0005-0000-0000-000015C60000}"/>
    <cellStyle name="Normal 6 2 2 2 2 3 2 3 3" xfId="40910" xr:uid="{00000000-0005-0000-0000-000016C60000}"/>
    <cellStyle name="Normal 6 2 2 2 2 3 2 4" xfId="20558" xr:uid="{00000000-0005-0000-0000-000017C60000}"/>
    <cellStyle name="Normal 6 2 2 2 2 3 2 4 2" xfId="47691" xr:uid="{00000000-0005-0000-0000-000018C60000}"/>
    <cellStyle name="Normal 6 2 2 2 2 3 2 5" xfId="34129" xr:uid="{00000000-0005-0000-0000-000019C60000}"/>
    <cellStyle name="Normal 6 2 2 2 2 3 3" xfId="10369" xr:uid="{00000000-0005-0000-0000-00001AC60000}"/>
    <cellStyle name="Normal 6 2 2 2 2 3 3 2" xfId="17159" xr:uid="{00000000-0005-0000-0000-00001BC60000}"/>
    <cellStyle name="Normal 6 2 2 2 2 3 3 2 2" xfId="30727" xr:uid="{00000000-0005-0000-0000-00001CC60000}"/>
    <cellStyle name="Normal 6 2 2 2 2 3 3 2 2 2" xfId="57860" xr:uid="{00000000-0005-0000-0000-00001DC60000}"/>
    <cellStyle name="Normal 6 2 2 2 2 3 3 2 3" xfId="44298" xr:uid="{00000000-0005-0000-0000-00001EC60000}"/>
    <cellStyle name="Normal 6 2 2 2 2 3 3 3" xfId="23946" xr:uid="{00000000-0005-0000-0000-00001FC60000}"/>
    <cellStyle name="Normal 6 2 2 2 2 3 3 3 2" xfId="51079" xr:uid="{00000000-0005-0000-0000-000020C60000}"/>
    <cellStyle name="Normal 6 2 2 2 2 3 3 4" xfId="37517" xr:uid="{00000000-0005-0000-0000-000021C60000}"/>
    <cellStyle name="Normal 6 2 2 2 2 3 4" xfId="13770" xr:uid="{00000000-0005-0000-0000-000022C60000}"/>
    <cellStyle name="Normal 6 2 2 2 2 3 4 2" xfId="27338" xr:uid="{00000000-0005-0000-0000-000023C60000}"/>
    <cellStyle name="Normal 6 2 2 2 2 3 4 2 2" xfId="54471" xr:uid="{00000000-0005-0000-0000-000024C60000}"/>
    <cellStyle name="Normal 6 2 2 2 2 3 4 3" xfId="40909" xr:uid="{00000000-0005-0000-0000-000025C60000}"/>
    <cellStyle name="Normal 6 2 2 2 2 3 5" xfId="20557" xr:uid="{00000000-0005-0000-0000-000026C60000}"/>
    <cellStyle name="Normal 6 2 2 2 2 3 5 2" xfId="47690" xr:uid="{00000000-0005-0000-0000-000027C60000}"/>
    <cellStyle name="Normal 6 2 2 2 2 3 6" xfId="34128" xr:uid="{00000000-0005-0000-0000-000028C60000}"/>
    <cellStyle name="Normal 6 2 2 2 2 4" xfId="6841" xr:uid="{00000000-0005-0000-0000-000029C60000}"/>
    <cellStyle name="Normal 6 2 2 2 2 4 2" xfId="10371" xr:uid="{00000000-0005-0000-0000-00002AC60000}"/>
    <cellStyle name="Normal 6 2 2 2 2 4 2 2" xfId="17161" xr:uid="{00000000-0005-0000-0000-00002BC60000}"/>
    <cellStyle name="Normal 6 2 2 2 2 4 2 2 2" xfId="30729" xr:uid="{00000000-0005-0000-0000-00002CC60000}"/>
    <cellStyle name="Normal 6 2 2 2 2 4 2 2 2 2" xfId="57862" xr:uid="{00000000-0005-0000-0000-00002DC60000}"/>
    <cellStyle name="Normal 6 2 2 2 2 4 2 2 3" xfId="44300" xr:uid="{00000000-0005-0000-0000-00002EC60000}"/>
    <cellStyle name="Normal 6 2 2 2 2 4 2 3" xfId="23948" xr:uid="{00000000-0005-0000-0000-00002FC60000}"/>
    <cellStyle name="Normal 6 2 2 2 2 4 2 3 2" xfId="51081" xr:uid="{00000000-0005-0000-0000-000030C60000}"/>
    <cellStyle name="Normal 6 2 2 2 2 4 2 4" xfId="37519" xr:uid="{00000000-0005-0000-0000-000031C60000}"/>
    <cellStyle name="Normal 6 2 2 2 2 4 3" xfId="13772" xr:uid="{00000000-0005-0000-0000-000032C60000}"/>
    <cellStyle name="Normal 6 2 2 2 2 4 3 2" xfId="27340" xr:uid="{00000000-0005-0000-0000-000033C60000}"/>
    <cellStyle name="Normal 6 2 2 2 2 4 3 2 2" xfId="54473" xr:uid="{00000000-0005-0000-0000-000034C60000}"/>
    <cellStyle name="Normal 6 2 2 2 2 4 3 3" xfId="40911" xr:uid="{00000000-0005-0000-0000-000035C60000}"/>
    <cellStyle name="Normal 6 2 2 2 2 4 4" xfId="20559" xr:uid="{00000000-0005-0000-0000-000036C60000}"/>
    <cellStyle name="Normal 6 2 2 2 2 4 4 2" xfId="47692" xr:uid="{00000000-0005-0000-0000-000037C60000}"/>
    <cellStyle name="Normal 6 2 2 2 2 4 5" xfId="34130" xr:uid="{00000000-0005-0000-0000-000038C60000}"/>
    <cellStyle name="Normal 6 2 2 2 2 5" xfId="6842" xr:uid="{00000000-0005-0000-0000-000039C60000}"/>
    <cellStyle name="Normal 6 2 2 2 2 5 2" xfId="10372" xr:uid="{00000000-0005-0000-0000-00003AC60000}"/>
    <cellStyle name="Normal 6 2 2 2 2 5 2 2" xfId="17162" xr:uid="{00000000-0005-0000-0000-00003BC60000}"/>
    <cellStyle name="Normal 6 2 2 2 2 5 2 2 2" xfId="30730" xr:uid="{00000000-0005-0000-0000-00003CC60000}"/>
    <cellStyle name="Normal 6 2 2 2 2 5 2 2 2 2" xfId="57863" xr:uid="{00000000-0005-0000-0000-00003DC60000}"/>
    <cellStyle name="Normal 6 2 2 2 2 5 2 2 3" xfId="44301" xr:uid="{00000000-0005-0000-0000-00003EC60000}"/>
    <cellStyle name="Normal 6 2 2 2 2 5 2 3" xfId="23949" xr:uid="{00000000-0005-0000-0000-00003FC60000}"/>
    <cellStyle name="Normal 6 2 2 2 2 5 2 3 2" xfId="51082" xr:uid="{00000000-0005-0000-0000-000040C60000}"/>
    <cellStyle name="Normal 6 2 2 2 2 5 2 4" xfId="37520" xr:uid="{00000000-0005-0000-0000-000041C60000}"/>
    <cellStyle name="Normal 6 2 2 2 2 5 3" xfId="13773" xr:uid="{00000000-0005-0000-0000-000042C60000}"/>
    <cellStyle name="Normal 6 2 2 2 2 5 3 2" xfId="27341" xr:uid="{00000000-0005-0000-0000-000043C60000}"/>
    <cellStyle name="Normal 6 2 2 2 2 5 3 2 2" xfId="54474" xr:uid="{00000000-0005-0000-0000-000044C60000}"/>
    <cellStyle name="Normal 6 2 2 2 2 5 3 3" xfId="40912" xr:uid="{00000000-0005-0000-0000-000045C60000}"/>
    <cellStyle name="Normal 6 2 2 2 2 5 4" xfId="20560" xr:uid="{00000000-0005-0000-0000-000046C60000}"/>
    <cellStyle name="Normal 6 2 2 2 2 5 4 2" xfId="47693" xr:uid="{00000000-0005-0000-0000-000047C60000}"/>
    <cellStyle name="Normal 6 2 2 2 2 5 5" xfId="34131" xr:uid="{00000000-0005-0000-0000-000048C60000}"/>
    <cellStyle name="Normal 6 2 2 2 2 6" xfId="10365" xr:uid="{00000000-0005-0000-0000-000049C60000}"/>
    <cellStyle name="Normal 6 2 2 2 2 6 2" xfId="17155" xr:uid="{00000000-0005-0000-0000-00004AC60000}"/>
    <cellStyle name="Normal 6 2 2 2 2 6 2 2" xfId="30723" xr:uid="{00000000-0005-0000-0000-00004BC60000}"/>
    <cellStyle name="Normal 6 2 2 2 2 6 2 2 2" xfId="57856" xr:uid="{00000000-0005-0000-0000-00004CC60000}"/>
    <cellStyle name="Normal 6 2 2 2 2 6 2 3" xfId="44294" xr:uid="{00000000-0005-0000-0000-00004DC60000}"/>
    <cellStyle name="Normal 6 2 2 2 2 6 3" xfId="23942" xr:uid="{00000000-0005-0000-0000-00004EC60000}"/>
    <cellStyle name="Normal 6 2 2 2 2 6 3 2" xfId="51075" xr:uid="{00000000-0005-0000-0000-00004FC60000}"/>
    <cellStyle name="Normal 6 2 2 2 2 6 4" xfId="37513" xr:uid="{00000000-0005-0000-0000-000050C60000}"/>
    <cellStyle name="Normal 6 2 2 2 2 7" xfId="13766" xr:uid="{00000000-0005-0000-0000-000051C60000}"/>
    <cellStyle name="Normal 6 2 2 2 2 7 2" xfId="27334" xr:uid="{00000000-0005-0000-0000-000052C60000}"/>
    <cellStyle name="Normal 6 2 2 2 2 7 2 2" xfId="54467" xr:uid="{00000000-0005-0000-0000-000053C60000}"/>
    <cellStyle name="Normal 6 2 2 2 2 7 3" xfId="40905" xr:uid="{00000000-0005-0000-0000-000054C60000}"/>
    <cellStyle name="Normal 6 2 2 2 2 8" xfId="20553" xr:uid="{00000000-0005-0000-0000-000055C60000}"/>
    <cellStyle name="Normal 6 2 2 2 2 8 2" xfId="47686" xr:uid="{00000000-0005-0000-0000-000056C60000}"/>
    <cellStyle name="Normal 6 2 2 2 2 9" xfId="34124" xr:uid="{00000000-0005-0000-0000-000057C60000}"/>
    <cellStyle name="Normal 6 2 2 2 3" xfId="6843" xr:uid="{00000000-0005-0000-0000-000058C60000}"/>
    <cellStyle name="Normal 6 2 2 2 3 2" xfId="6844" xr:uid="{00000000-0005-0000-0000-000059C60000}"/>
    <cellStyle name="Normal 6 2 2 2 3 2 2" xfId="10374" xr:uid="{00000000-0005-0000-0000-00005AC60000}"/>
    <cellStyle name="Normal 6 2 2 2 3 2 2 2" xfId="17164" xr:uid="{00000000-0005-0000-0000-00005BC60000}"/>
    <cellStyle name="Normal 6 2 2 2 3 2 2 2 2" xfId="30732" xr:uid="{00000000-0005-0000-0000-00005CC60000}"/>
    <cellStyle name="Normal 6 2 2 2 3 2 2 2 2 2" xfId="57865" xr:uid="{00000000-0005-0000-0000-00005DC60000}"/>
    <cellStyle name="Normal 6 2 2 2 3 2 2 2 3" xfId="44303" xr:uid="{00000000-0005-0000-0000-00005EC60000}"/>
    <cellStyle name="Normal 6 2 2 2 3 2 2 3" xfId="23951" xr:uid="{00000000-0005-0000-0000-00005FC60000}"/>
    <cellStyle name="Normal 6 2 2 2 3 2 2 3 2" xfId="51084" xr:uid="{00000000-0005-0000-0000-000060C60000}"/>
    <cellStyle name="Normal 6 2 2 2 3 2 2 4" xfId="37522" xr:uid="{00000000-0005-0000-0000-000061C60000}"/>
    <cellStyle name="Normal 6 2 2 2 3 2 3" xfId="13775" xr:uid="{00000000-0005-0000-0000-000062C60000}"/>
    <cellStyle name="Normal 6 2 2 2 3 2 3 2" xfId="27343" xr:uid="{00000000-0005-0000-0000-000063C60000}"/>
    <cellStyle name="Normal 6 2 2 2 3 2 3 2 2" xfId="54476" xr:uid="{00000000-0005-0000-0000-000064C60000}"/>
    <cellStyle name="Normal 6 2 2 2 3 2 3 3" xfId="40914" xr:uid="{00000000-0005-0000-0000-000065C60000}"/>
    <cellStyle name="Normal 6 2 2 2 3 2 4" xfId="20562" xr:uid="{00000000-0005-0000-0000-000066C60000}"/>
    <cellStyle name="Normal 6 2 2 2 3 2 4 2" xfId="47695" xr:uid="{00000000-0005-0000-0000-000067C60000}"/>
    <cellStyle name="Normal 6 2 2 2 3 2 5" xfId="34133" xr:uid="{00000000-0005-0000-0000-000068C60000}"/>
    <cellStyle name="Normal 6 2 2 2 3 3" xfId="6845" xr:uid="{00000000-0005-0000-0000-000069C60000}"/>
    <cellStyle name="Normal 6 2 2 2 3 3 2" xfId="10375" xr:uid="{00000000-0005-0000-0000-00006AC60000}"/>
    <cellStyle name="Normal 6 2 2 2 3 3 2 2" xfId="17165" xr:uid="{00000000-0005-0000-0000-00006BC60000}"/>
    <cellStyle name="Normal 6 2 2 2 3 3 2 2 2" xfId="30733" xr:uid="{00000000-0005-0000-0000-00006CC60000}"/>
    <cellStyle name="Normal 6 2 2 2 3 3 2 2 2 2" xfId="57866" xr:uid="{00000000-0005-0000-0000-00006DC60000}"/>
    <cellStyle name="Normal 6 2 2 2 3 3 2 2 3" xfId="44304" xr:uid="{00000000-0005-0000-0000-00006EC60000}"/>
    <cellStyle name="Normal 6 2 2 2 3 3 2 3" xfId="23952" xr:uid="{00000000-0005-0000-0000-00006FC60000}"/>
    <cellStyle name="Normal 6 2 2 2 3 3 2 3 2" xfId="51085" xr:uid="{00000000-0005-0000-0000-000070C60000}"/>
    <cellStyle name="Normal 6 2 2 2 3 3 2 4" xfId="37523" xr:uid="{00000000-0005-0000-0000-000071C60000}"/>
    <cellStyle name="Normal 6 2 2 2 3 3 3" xfId="13776" xr:uid="{00000000-0005-0000-0000-000072C60000}"/>
    <cellStyle name="Normal 6 2 2 2 3 3 3 2" xfId="27344" xr:uid="{00000000-0005-0000-0000-000073C60000}"/>
    <cellStyle name="Normal 6 2 2 2 3 3 3 2 2" xfId="54477" xr:uid="{00000000-0005-0000-0000-000074C60000}"/>
    <cellStyle name="Normal 6 2 2 2 3 3 3 3" xfId="40915" xr:uid="{00000000-0005-0000-0000-000075C60000}"/>
    <cellStyle name="Normal 6 2 2 2 3 3 4" xfId="20563" xr:uid="{00000000-0005-0000-0000-000076C60000}"/>
    <cellStyle name="Normal 6 2 2 2 3 3 4 2" xfId="47696" xr:uid="{00000000-0005-0000-0000-000077C60000}"/>
    <cellStyle name="Normal 6 2 2 2 3 3 5" xfId="34134" xr:uid="{00000000-0005-0000-0000-000078C60000}"/>
    <cellStyle name="Normal 6 2 2 2 3 4" xfId="10373" xr:uid="{00000000-0005-0000-0000-000079C60000}"/>
    <cellStyle name="Normal 6 2 2 2 3 4 2" xfId="17163" xr:uid="{00000000-0005-0000-0000-00007AC60000}"/>
    <cellStyle name="Normal 6 2 2 2 3 4 2 2" xfId="30731" xr:uid="{00000000-0005-0000-0000-00007BC60000}"/>
    <cellStyle name="Normal 6 2 2 2 3 4 2 2 2" xfId="57864" xr:uid="{00000000-0005-0000-0000-00007CC60000}"/>
    <cellStyle name="Normal 6 2 2 2 3 4 2 3" xfId="44302" xr:uid="{00000000-0005-0000-0000-00007DC60000}"/>
    <cellStyle name="Normal 6 2 2 2 3 4 3" xfId="23950" xr:uid="{00000000-0005-0000-0000-00007EC60000}"/>
    <cellStyle name="Normal 6 2 2 2 3 4 3 2" xfId="51083" xr:uid="{00000000-0005-0000-0000-00007FC60000}"/>
    <cellStyle name="Normal 6 2 2 2 3 4 4" xfId="37521" xr:uid="{00000000-0005-0000-0000-000080C60000}"/>
    <cellStyle name="Normal 6 2 2 2 3 5" xfId="13774" xr:uid="{00000000-0005-0000-0000-000081C60000}"/>
    <cellStyle name="Normal 6 2 2 2 3 5 2" xfId="27342" xr:uid="{00000000-0005-0000-0000-000082C60000}"/>
    <cellStyle name="Normal 6 2 2 2 3 5 2 2" xfId="54475" xr:uid="{00000000-0005-0000-0000-000083C60000}"/>
    <cellStyle name="Normal 6 2 2 2 3 5 3" xfId="40913" xr:uid="{00000000-0005-0000-0000-000084C60000}"/>
    <cellStyle name="Normal 6 2 2 2 3 6" xfId="20561" xr:uid="{00000000-0005-0000-0000-000085C60000}"/>
    <cellStyle name="Normal 6 2 2 2 3 6 2" xfId="47694" xr:uid="{00000000-0005-0000-0000-000086C60000}"/>
    <cellStyle name="Normal 6 2 2 2 3 7" xfId="34132" xr:uid="{00000000-0005-0000-0000-000087C60000}"/>
    <cellStyle name="Normal 6 2 2 2 4" xfId="6846" xr:uid="{00000000-0005-0000-0000-000088C60000}"/>
    <cellStyle name="Normal 6 2 2 2 4 2" xfId="6847" xr:uid="{00000000-0005-0000-0000-000089C60000}"/>
    <cellStyle name="Normal 6 2 2 2 4 2 2" xfId="10377" xr:uid="{00000000-0005-0000-0000-00008AC60000}"/>
    <cellStyle name="Normal 6 2 2 2 4 2 2 2" xfId="17167" xr:uid="{00000000-0005-0000-0000-00008BC60000}"/>
    <cellStyle name="Normal 6 2 2 2 4 2 2 2 2" xfId="30735" xr:uid="{00000000-0005-0000-0000-00008CC60000}"/>
    <cellStyle name="Normal 6 2 2 2 4 2 2 2 2 2" xfId="57868" xr:uid="{00000000-0005-0000-0000-00008DC60000}"/>
    <cellStyle name="Normal 6 2 2 2 4 2 2 2 3" xfId="44306" xr:uid="{00000000-0005-0000-0000-00008EC60000}"/>
    <cellStyle name="Normal 6 2 2 2 4 2 2 3" xfId="23954" xr:uid="{00000000-0005-0000-0000-00008FC60000}"/>
    <cellStyle name="Normal 6 2 2 2 4 2 2 3 2" xfId="51087" xr:uid="{00000000-0005-0000-0000-000090C60000}"/>
    <cellStyle name="Normal 6 2 2 2 4 2 2 4" xfId="37525" xr:uid="{00000000-0005-0000-0000-000091C60000}"/>
    <cellStyle name="Normal 6 2 2 2 4 2 3" xfId="13778" xr:uid="{00000000-0005-0000-0000-000092C60000}"/>
    <cellStyle name="Normal 6 2 2 2 4 2 3 2" xfId="27346" xr:uid="{00000000-0005-0000-0000-000093C60000}"/>
    <cellStyle name="Normal 6 2 2 2 4 2 3 2 2" xfId="54479" xr:uid="{00000000-0005-0000-0000-000094C60000}"/>
    <cellStyle name="Normal 6 2 2 2 4 2 3 3" xfId="40917" xr:uid="{00000000-0005-0000-0000-000095C60000}"/>
    <cellStyle name="Normal 6 2 2 2 4 2 4" xfId="20565" xr:uid="{00000000-0005-0000-0000-000096C60000}"/>
    <cellStyle name="Normal 6 2 2 2 4 2 4 2" xfId="47698" xr:uid="{00000000-0005-0000-0000-000097C60000}"/>
    <cellStyle name="Normal 6 2 2 2 4 2 5" xfId="34136" xr:uid="{00000000-0005-0000-0000-000098C60000}"/>
    <cellStyle name="Normal 6 2 2 2 4 3" xfId="10376" xr:uid="{00000000-0005-0000-0000-000099C60000}"/>
    <cellStyle name="Normal 6 2 2 2 4 3 2" xfId="17166" xr:uid="{00000000-0005-0000-0000-00009AC60000}"/>
    <cellStyle name="Normal 6 2 2 2 4 3 2 2" xfId="30734" xr:uid="{00000000-0005-0000-0000-00009BC60000}"/>
    <cellStyle name="Normal 6 2 2 2 4 3 2 2 2" xfId="57867" xr:uid="{00000000-0005-0000-0000-00009CC60000}"/>
    <cellStyle name="Normal 6 2 2 2 4 3 2 3" xfId="44305" xr:uid="{00000000-0005-0000-0000-00009DC60000}"/>
    <cellStyle name="Normal 6 2 2 2 4 3 3" xfId="23953" xr:uid="{00000000-0005-0000-0000-00009EC60000}"/>
    <cellStyle name="Normal 6 2 2 2 4 3 3 2" xfId="51086" xr:uid="{00000000-0005-0000-0000-00009FC60000}"/>
    <cellStyle name="Normal 6 2 2 2 4 3 4" xfId="37524" xr:uid="{00000000-0005-0000-0000-0000A0C60000}"/>
    <cellStyle name="Normal 6 2 2 2 4 4" xfId="13777" xr:uid="{00000000-0005-0000-0000-0000A1C60000}"/>
    <cellStyle name="Normal 6 2 2 2 4 4 2" xfId="27345" xr:uid="{00000000-0005-0000-0000-0000A2C60000}"/>
    <cellStyle name="Normal 6 2 2 2 4 4 2 2" xfId="54478" xr:uid="{00000000-0005-0000-0000-0000A3C60000}"/>
    <cellStyle name="Normal 6 2 2 2 4 4 3" xfId="40916" xr:uid="{00000000-0005-0000-0000-0000A4C60000}"/>
    <cellStyle name="Normal 6 2 2 2 4 5" xfId="20564" xr:uid="{00000000-0005-0000-0000-0000A5C60000}"/>
    <cellStyle name="Normal 6 2 2 2 4 5 2" xfId="47697" xr:uid="{00000000-0005-0000-0000-0000A6C60000}"/>
    <cellStyle name="Normal 6 2 2 2 4 6" xfId="34135" xr:uid="{00000000-0005-0000-0000-0000A7C60000}"/>
    <cellStyle name="Normal 6 2 2 2 5" xfId="6848" xr:uid="{00000000-0005-0000-0000-0000A8C60000}"/>
    <cellStyle name="Normal 6 2 2 2 5 2" xfId="10378" xr:uid="{00000000-0005-0000-0000-0000A9C60000}"/>
    <cellStyle name="Normal 6 2 2 2 5 2 2" xfId="17168" xr:uid="{00000000-0005-0000-0000-0000AAC60000}"/>
    <cellStyle name="Normal 6 2 2 2 5 2 2 2" xfId="30736" xr:uid="{00000000-0005-0000-0000-0000ABC60000}"/>
    <cellStyle name="Normal 6 2 2 2 5 2 2 2 2" xfId="57869" xr:uid="{00000000-0005-0000-0000-0000ACC60000}"/>
    <cellStyle name="Normal 6 2 2 2 5 2 2 3" xfId="44307" xr:uid="{00000000-0005-0000-0000-0000ADC60000}"/>
    <cellStyle name="Normal 6 2 2 2 5 2 3" xfId="23955" xr:uid="{00000000-0005-0000-0000-0000AEC60000}"/>
    <cellStyle name="Normal 6 2 2 2 5 2 3 2" xfId="51088" xr:uid="{00000000-0005-0000-0000-0000AFC60000}"/>
    <cellStyle name="Normal 6 2 2 2 5 2 4" xfId="37526" xr:uid="{00000000-0005-0000-0000-0000B0C60000}"/>
    <cellStyle name="Normal 6 2 2 2 5 3" xfId="13779" xr:uid="{00000000-0005-0000-0000-0000B1C60000}"/>
    <cellStyle name="Normal 6 2 2 2 5 3 2" xfId="27347" xr:uid="{00000000-0005-0000-0000-0000B2C60000}"/>
    <cellStyle name="Normal 6 2 2 2 5 3 2 2" xfId="54480" xr:uid="{00000000-0005-0000-0000-0000B3C60000}"/>
    <cellStyle name="Normal 6 2 2 2 5 3 3" xfId="40918" xr:uid="{00000000-0005-0000-0000-0000B4C60000}"/>
    <cellStyle name="Normal 6 2 2 2 5 4" xfId="20566" xr:uid="{00000000-0005-0000-0000-0000B5C60000}"/>
    <cellStyle name="Normal 6 2 2 2 5 4 2" xfId="47699" xr:uid="{00000000-0005-0000-0000-0000B6C60000}"/>
    <cellStyle name="Normal 6 2 2 2 5 5" xfId="34137" xr:uid="{00000000-0005-0000-0000-0000B7C60000}"/>
    <cellStyle name="Normal 6 2 2 2 6" xfId="6849" xr:uid="{00000000-0005-0000-0000-0000B8C60000}"/>
    <cellStyle name="Normal 6 2 2 2 6 2" xfId="10379" xr:uid="{00000000-0005-0000-0000-0000B9C60000}"/>
    <cellStyle name="Normal 6 2 2 2 6 2 2" xfId="17169" xr:uid="{00000000-0005-0000-0000-0000BAC60000}"/>
    <cellStyle name="Normal 6 2 2 2 6 2 2 2" xfId="30737" xr:uid="{00000000-0005-0000-0000-0000BBC60000}"/>
    <cellStyle name="Normal 6 2 2 2 6 2 2 2 2" xfId="57870" xr:uid="{00000000-0005-0000-0000-0000BCC60000}"/>
    <cellStyle name="Normal 6 2 2 2 6 2 2 3" xfId="44308" xr:uid="{00000000-0005-0000-0000-0000BDC60000}"/>
    <cellStyle name="Normal 6 2 2 2 6 2 3" xfId="23956" xr:uid="{00000000-0005-0000-0000-0000BEC60000}"/>
    <cellStyle name="Normal 6 2 2 2 6 2 3 2" xfId="51089" xr:uid="{00000000-0005-0000-0000-0000BFC60000}"/>
    <cellStyle name="Normal 6 2 2 2 6 2 4" xfId="37527" xr:uid="{00000000-0005-0000-0000-0000C0C60000}"/>
    <cellStyle name="Normal 6 2 2 2 6 3" xfId="13780" xr:uid="{00000000-0005-0000-0000-0000C1C60000}"/>
    <cellStyle name="Normal 6 2 2 2 6 3 2" xfId="27348" xr:uid="{00000000-0005-0000-0000-0000C2C60000}"/>
    <cellStyle name="Normal 6 2 2 2 6 3 2 2" xfId="54481" xr:uid="{00000000-0005-0000-0000-0000C3C60000}"/>
    <cellStyle name="Normal 6 2 2 2 6 3 3" xfId="40919" xr:uid="{00000000-0005-0000-0000-0000C4C60000}"/>
    <cellStyle name="Normal 6 2 2 2 6 4" xfId="20567" xr:uid="{00000000-0005-0000-0000-0000C5C60000}"/>
    <cellStyle name="Normal 6 2 2 2 6 4 2" xfId="47700" xr:uid="{00000000-0005-0000-0000-0000C6C60000}"/>
    <cellStyle name="Normal 6 2 2 2 6 5" xfId="34138" xr:uid="{00000000-0005-0000-0000-0000C7C60000}"/>
    <cellStyle name="Normal 6 2 2 2 7" xfId="10364" xr:uid="{00000000-0005-0000-0000-0000C8C60000}"/>
    <cellStyle name="Normal 6 2 2 2 7 2" xfId="17154" xr:uid="{00000000-0005-0000-0000-0000C9C60000}"/>
    <cellStyle name="Normal 6 2 2 2 7 2 2" xfId="30722" xr:uid="{00000000-0005-0000-0000-0000CAC60000}"/>
    <cellStyle name="Normal 6 2 2 2 7 2 2 2" xfId="57855" xr:uid="{00000000-0005-0000-0000-0000CBC60000}"/>
    <cellStyle name="Normal 6 2 2 2 7 2 3" xfId="44293" xr:uid="{00000000-0005-0000-0000-0000CCC60000}"/>
    <cellStyle name="Normal 6 2 2 2 7 3" xfId="23941" xr:uid="{00000000-0005-0000-0000-0000CDC60000}"/>
    <cellStyle name="Normal 6 2 2 2 7 3 2" xfId="51074" xr:uid="{00000000-0005-0000-0000-0000CEC60000}"/>
    <cellStyle name="Normal 6 2 2 2 7 4" xfId="37512" xr:uid="{00000000-0005-0000-0000-0000CFC60000}"/>
    <cellStyle name="Normal 6 2 2 2 8" xfId="13765" xr:uid="{00000000-0005-0000-0000-0000D0C60000}"/>
    <cellStyle name="Normal 6 2 2 2 8 2" xfId="27333" xr:uid="{00000000-0005-0000-0000-0000D1C60000}"/>
    <cellStyle name="Normal 6 2 2 2 8 2 2" xfId="54466" xr:uid="{00000000-0005-0000-0000-0000D2C60000}"/>
    <cellStyle name="Normal 6 2 2 2 8 3" xfId="40904" xr:uid="{00000000-0005-0000-0000-0000D3C60000}"/>
    <cellStyle name="Normal 6 2 2 2 9" xfId="20552" xr:uid="{00000000-0005-0000-0000-0000D4C60000}"/>
    <cellStyle name="Normal 6 2 2 2 9 2" xfId="47685" xr:uid="{00000000-0005-0000-0000-0000D5C60000}"/>
    <cellStyle name="Normal 6 2 2 3" xfId="6850" xr:uid="{00000000-0005-0000-0000-0000D6C60000}"/>
    <cellStyle name="Normal 6 2 2 3 2" xfId="6851" xr:uid="{00000000-0005-0000-0000-0000D7C60000}"/>
    <cellStyle name="Normal 6 2 2 3 2 2" xfId="6852" xr:uid="{00000000-0005-0000-0000-0000D8C60000}"/>
    <cellStyle name="Normal 6 2 2 3 2 2 2" xfId="10382" xr:uid="{00000000-0005-0000-0000-0000D9C60000}"/>
    <cellStyle name="Normal 6 2 2 3 2 2 2 2" xfId="17172" xr:uid="{00000000-0005-0000-0000-0000DAC60000}"/>
    <cellStyle name="Normal 6 2 2 3 2 2 2 2 2" xfId="30740" xr:uid="{00000000-0005-0000-0000-0000DBC60000}"/>
    <cellStyle name="Normal 6 2 2 3 2 2 2 2 2 2" xfId="57873" xr:uid="{00000000-0005-0000-0000-0000DCC60000}"/>
    <cellStyle name="Normal 6 2 2 3 2 2 2 2 3" xfId="44311" xr:uid="{00000000-0005-0000-0000-0000DDC60000}"/>
    <cellStyle name="Normal 6 2 2 3 2 2 2 3" xfId="23959" xr:uid="{00000000-0005-0000-0000-0000DEC60000}"/>
    <cellStyle name="Normal 6 2 2 3 2 2 2 3 2" xfId="51092" xr:uid="{00000000-0005-0000-0000-0000DFC60000}"/>
    <cellStyle name="Normal 6 2 2 3 2 2 2 4" xfId="37530" xr:uid="{00000000-0005-0000-0000-0000E0C60000}"/>
    <cellStyle name="Normal 6 2 2 3 2 2 3" xfId="13783" xr:uid="{00000000-0005-0000-0000-0000E1C60000}"/>
    <cellStyle name="Normal 6 2 2 3 2 2 3 2" xfId="27351" xr:uid="{00000000-0005-0000-0000-0000E2C60000}"/>
    <cellStyle name="Normal 6 2 2 3 2 2 3 2 2" xfId="54484" xr:uid="{00000000-0005-0000-0000-0000E3C60000}"/>
    <cellStyle name="Normal 6 2 2 3 2 2 3 3" xfId="40922" xr:uid="{00000000-0005-0000-0000-0000E4C60000}"/>
    <cellStyle name="Normal 6 2 2 3 2 2 4" xfId="20570" xr:uid="{00000000-0005-0000-0000-0000E5C60000}"/>
    <cellStyle name="Normal 6 2 2 3 2 2 4 2" xfId="47703" xr:uid="{00000000-0005-0000-0000-0000E6C60000}"/>
    <cellStyle name="Normal 6 2 2 3 2 2 5" xfId="34141" xr:uid="{00000000-0005-0000-0000-0000E7C60000}"/>
    <cellStyle name="Normal 6 2 2 3 2 3" xfId="6853" xr:uid="{00000000-0005-0000-0000-0000E8C60000}"/>
    <cellStyle name="Normal 6 2 2 3 2 3 2" xfId="10383" xr:uid="{00000000-0005-0000-0000-0000E9C60000}"/>
    <cellStyle name="Normal 6 2 2 3 2 3 2 2" xfId="17173" xr:uid="{00000000-0005-0000-0000-0000EAC60000}"/>
    <cellStyle name="Normal 6 2 2 3 2 3 2 2 2" xfId="30741" xr:uid="{00000000-0005-0000-0000-0000EBC60000}"/>
    <cellStyle name="Normal 6 2 2 3 2 3 2 2 2 2" xfId="57874" xr:uid="{00000000-0005-0000-0000-0000ECC60000}"/>
    <cellStyle name="Normal 6 2 2 3 2 3 2 2 3" xfId="44312" xr:uid="{00000000-0005-0000-0000-0000EDC60000}"/>
    <cellStyle name="Normal 6 2 2 3 2 3 2 3" xfId="23960" xr:uid="{00000000-0005-0000-0000-0000EEC60000}"/>
    <cellStyle name="Normal 6 2 2 3 2 3 2 3 2" xfId="51093" xr:uid="{00000000-0005-0000-0000-0000EFC60000}"/>
    <cellStyle name="Normal 6 2 2 3 2 3 2 4" xfId="37531" xr:uid="{00000000-0005-0000-0000-0000F0C60000}"/>
    <cellStyle name="Normal 6 2 2 3 2 3 3" xfId="13784" xr:uid="{00000000-0005-0000-0000-0000F1C60000}"/>
    <cellStyle name="Normal 6 2 2 3 2 3 3 2" xfId="27352" xr:uid="{00000000-0005-0000-0000-0000F2C60000}"/>
    <cellStyle name="Normal 6 2 2 3 2 3 3 2 2" xfId="54485" xr:uid="{00000000-0005-0000-0000-0000F3C60000}"/>
    <cellStyle name="Normal 6 2 2 3 2 3 3 3" xfId="40923" xr:uid="{00000000-0005-0000-0000-0000F4C60000}"/>
    <cellStyle name="Normal 6 2 2 3 2 3 4" xfId="20571" xr:uid="{00000000-0005-0000-0000-0000F5C60000}"/>
    <cellStyle name="Normal 6 2 2 3 2 3 4 2" xfId="47704" xr:uid="{00000000-0005-0000-0000-0000F6C60000}"/>
    <cellStyle name="Normal 6 2 2 3 2 3 5" xfId="34142" xr:uid="{00000000-0005-0000-0000-0000F7C60000}"/>
    <cellStyle name="Normal 6 2 2 3 2 4" xfId="10381" xr:uid="{00000000-0005-0000-0000-0000F8C60000}"/>
    <cellStyle name="Normal 6 2 2 3 2 4 2" xfId="17171" xr:uid="{00000000-0005-0000-0000-0000F9C60000}"/>
    <cellStyle name="Normal 6 2 2 3 2 4 2 2" xfId="30739" xr:uid="{00000000-0005-0000-0000-0000FAC60000}"/>
    <cellStyle name="Normal 6 2 2 3 2 4 2 2 2" xfId="57872" xr:uid="{00000000-0005-0000-0000-0000FBC60000}"/>
    <cellStyle name="Normal 6 2 2 3 2 4 2 3" xfId="44310" xr:uid="{00000000-0005-0000-0000-0000FCC60000}"/>
    <cellStyle name="Normal 6 2 2 3 2 4 3" xfId="23958" xr:uid="{00000000-0005-0000-0000-0000FDC60000}"/>
    <cellStyle name="Normal 6 2 2 3 2 4 3 2" xfId="51091" xr:uid="{00000000-0005-0000-0000-0000FEC60000}"/>
    <cellStyle name="Normal 6 2 2 3 2 4 4" xfId="37529" xr:uid="{00000000-0005-0000-0000-0000FFC60000}"/>
    <cellStyle name="Normal 6 2 2 3 2 5" xfId="13782" xr:uid="{00000000-0005-0000-0000-000000C70000}"/>
    <cellStyle name="Normal 6 2 2 3 2 5 2" xfId="27350" xr:uid="{00000000-0005-0000-0000-000001C70000}"/>
    <cellStyle name="Normal 6 2 2 3 2 5 2 2" xfId="54483" xr:uid="{00000000-0005-0000-0000-000002C70000}"/>
    <cellStyle name="Normal 6 2 2 3 2 5 3" xfId="40921" xr:uid="{00000000-0005-0000-0000-000003C70000}"/>
    <cellStyle name="Normal 6 2 2 3 2 6" xfId="20569" xr:uid="{00000000-0005-0000-0000-000004C70000}"/>
    <cellStyle name="Normal 6 2 2 3 2 6 2" xfId="47702" xr:uid="{00000000-0005-0000-0000-000005C70000}"/>
    <cellStyle name="Normal 6 2 2 3 2 7" xfId="34140" xr:uid="{00000000-0005-0000-0000-000006C70000}"/>
    <cellStyle name="Normal 6 2 2 3 3" xfId="6854" xr:uid="{00000000-0005-0000-0000-000007C70000}"/>
    <cellStyle name="Normal 6 2 2 3 3 2" xfId="6855" xr:uid="{00000000-0005-0000-0000-000008C70000}"/>
    <cellStyle name="Normal 6 2 2 3 3 2 2" xfId="10385" xr:uid="{00000000-0005-0000-0000-000009C70000}"/>
    <cellStyle name="Normal 6 2 2 3 3 2 2 2" xfId="17175" xr:uid="{00000000-0005-0000-0000-00000AC70000}"/>
    <cellStyle name="Normal 6 2 2 3 3 2 2 2 2" xfId="30743" xr:uid="{00000000-0005-0000-0000-00000BC70000}"/>
    <cellStyle name="Normal 6 2 2 3 3 2 2 2 2 2" xfId="57876" xr:uid="{00000000-0005-0000-0000-00000CC70000}"/>
    <cellStyle name="Normal 6 2 2 3 3 2 2 2 3" xfId="44314" xr:uid="{00000000-0005-0000-0000-00000DC70000}"/>
    <cellStyle name="Normal 6 2 2 3 3 2 2 3" xfId="23962" xr:uid="{00000000-0005-0000-0000-00000EC70000}"/>
    <cellStyle name="Normal 6 2 2 3 3 2 2 3 2" xfId="51095" xr:uid="{00000000-0005-0000-0000-00000FC70000}"/>
    <cellStyle name="Normal 6 2 2 3 3 2 2 4" xfId="37533" xr:uid="{00000000-0005-0000-0000-000010C70000}"/>
    <cellStyle name="Normal 6 2 2 3 3 2 3" xfId="13786" xr:uid="{00000000-0005-0000-0000-000011C70000}"/>
    <cellStyle name="Normal 6 2 2 3 3 2 3 2" xfId="27354" xr:uid="{00000000-0005-0000-0000-000012C70000}"/>
    <cellStyle name="Normal 6 2 2 3 3 2 3 2 2" xfId="54487" xr:uid="{00000000-0005-0000-0000-000013C70000}"/>
    <cellStyle name="Normal 6 2 2 3 3 2 3 3" xfId="40925" xr:uid="{00000000-0005-0000-0000-000014C70000}"/>
    <cellStyle name="Normal 6 2 2 3 3 2 4" xfId="20573" xr:uid="{00000000-0005-0000-0000-000015C70000}"/>
    <cellStyle name="Normal 6 2 2 3 3 2 4 2" xfId="47706" xr:uid="{00000000-0005-0000-0000-000016C70000}"/>
    <cellStyle name="Normal 6 2 2 3 3 2 5" xfId="34144" xr:uid="{00000000-0005-0000-0000-000017C70000}"/>
    <cellStyle name="Normal 6 2 2 3 3 3" xfId="10384" xr:uid="{00000000-0005-0000-0000-000018C70000}"/>
    <cellStyle name="Normal 6 2 2 3 3 3 2" xfId="17174" xr:uid="{00000000-0005-0000-0000-000019C70000}"/>
    <cellStyle name="Normal 6 2 2 3 3 3 2 2" xfId="30742" xr:uid="{00000000-0005-0000-0000-00001AC70000}"/>
    <cellStyle name="Normal 6 2 2 3 3 3 2 2 2" xfId="57875" xr:uid="{00000000-0005-0000-0000-00001BC70000}"/>
    <cellStyle name="Normal 6 2 2 3 3 3 2 3" xfId="44313" xr:uid="{00000000-0005-0000-0000-00001CC70000}"/>
    <cellStyle name="Normal 6 2 2 3 3 3 3" xfId="23961" xr:uid="{00000000-0005-0000-0000-00001DC70000}"/>
    <cellStyle name="Normal 6 2 2 3 3 3 3 2" xfId="51094" xr:uid="{00000000-0005-0000-0000-00001EC70000}"/>
    <cellStyle name="Normal 6 2 2 3 3 3 4" xfId="37532" xr:uid="{00000000-0005-0000-0000-00001FC70000}"/>
    <cellStyle name="Normal 6 2 2 3 3 4" xfId="13785" xr:uid="{00000000-0005-0000-0000-000020C70000}"/>
    <cellStyle name="Normal 6 2 2 3 3 4 2" xfId="27353" xr:uid="{00000000-0005-0000-0000-000021C70000}"/>
    <cellStyle name="Normal 6 2 2 3 3 4 2 2" xfId="54486" xr:uid="{00000000-0005-0000-0000-000022C70000}"/>
    <cellStyle name="Normal 6 2 2 3 3 4 3" xfId="40924" xr:uid="{00000000-0005-0000-0000-000023C70000}"/>
    <cellStyle name="Normal 6 2 2 3 3 5" xfId="20572" xr:uid="{00000000-0005-0000-0000-000024C70000}"/>
    <cellStyle name="Normal 6 2 2 3 3 5 2" xfId="47705" xr:uid="{00000000-0005-0000-0000-000025C70000}"/>
    <cellStyle name="Normal 6 2 2 3 3 6" xfId="34143" xr:uid="{00000000-0005-0000-0000-000026C70000}"/>
    <cellStyle name="Normal 6 2 2 3 4" xfId="6856" xr:uid="{00000000-0005-0000-0000-000027C70000}"/>
    <cellStyle name="Normal 6 2 2 3 4 2" xfId="10386" xr:uid="{00000000-0005-0000-0000-000028C70000}"/>
    <cellStyle name="Normal 6 2 2 3 4 2 2" xfId="17176" xr:uid="{00000000-0005-0000-0000-000029C70000}"/>
    <cellStyle name="Normal 6 2 2 3 4 2 2 2" xfId="30744" xr:uid="{00000000-0005-0000-0000-00002AC70000}"/>
    <cellStyle name="Normal 6 2 2 3 4 2 2 2 2" xfId="57877" xr:uid="{00000000-0005-0000-0000-00002BC70000}"/>
    <cellStyle name="Normal 6 2 2 3 4 2 2 3" xfId="44315" xr:uid="{00000000-0005-0000-0000-00002CC70000}"/>
    <cellStyle name="Normal 6 2 2 3 4 2 3" xfId="23963" xr:uid="{00000000-0005-0000-0000-00002DC70000}"/>
    <cellStyle name="Normal 6 2 2 3 4 2 3 2" xfId="51096" xr:uid="{00000000-0005-0000-0000-00002EC70000}"/>
    <cellStyle name="Normal 6 2 2 3 4 2 4" xfId="37534" xr:uid="{00000000-0005-0000-0000-00002FC70000}"/>
    <cellStyle name="Normal 6 2 2 3 4 3" xfId="13787" xr:uid="{00000000-0005-0000-0000-000030C70000}"/>
    <cellStyle name="Normal 6 2 2 3 4 3 2" xfId="27355" xr:uid="{00000000-0005-0000-0000-000031C70000}"/>
    <cellStyle name="Normal 6 2 2 3 4 3 2 2" xfId="54488" xr:uid="{00000000-0005-0000-0000-000032C70000}"/>
    <cellStyle name="Normal 6 2 2 3 4 3 3" xfId="40926" xr:uid="{00000000-0005-0000-0000-000033C70000}"/>
    <cellStyle name="Normal 6 2 2 3 4 4" xfId="20574" xr:uid="{00000000-0005-0000-0000-000034C70000}"/>
    <cellStyle name="Normal 6 2 2 3 4 4 2" xfId="47707" xr:uid="{00000000-0005-0000-0000-000035C70000}"/>
    <cellStyle name="Normal 6 2 2 3 4 5" xfId="34145" xr:uid="{00000000-0005-0000-0000-000036C70000}"/>
    <cellStyle name="Normal 6 2 2 3 5" xfId="6857" xr:uid="{00000000-0005-0000-0000-000037C70000}"/>
    <cellStyle name="Normal 6 2 2 3 5 2" xfId="10387" xr:uid="{00000000-0005-0000-0000-000038C70000}"/>
    <cellStyle name="Normal 6 2 2 3 5 2 2" xfId="17177" xr:uid="{00000000-0005-0000-0000-000039C70000}"/>
    <cellStyle name="Normal 6 2 2 3 5 2 2 2" xfId="30745" xr:uid="{00000000-0005-0000-0000-00003AC70000}"/>
    <cellStyle name="Normal 6 2 2 3 5 2 2 2 2" xfId="57878" xr:uid="{00000000-0005-0000-0000-00003BC70000}"/>
    <cellStyle name="Normal 6 2 2 3 5 2 2 3" xfId="44316" xr:uid="{00000000-0005-0000-0000-00003CC70000}"/>
    <cellStyle name="Normal 6 2 2 3 5 2 3" xfId="23964" xr:uid="{00000000-0005-0000-0000-00003DC70000}"/>
    <cellStyle name="Normal 6 2 2 3 5 2 3 2" xfId="51097" xr:uid="{00000000-0005-0000-0000-00003EC70000}"/>
    <cellStyle name="Normal 6 2 2 3 5 2 4" xfId="37535" xr:uid="{00000000-0005-0000-0000-00003FC70000}"/>
    <cellStyle name="Normal 6 2 2 3 5 3" xfId="13788" xr:uid="{00000000-0005-0000-0000-000040C70000}"/>
    <cellStyle name="Normal 6 2 2 3 5 3 2" xfId="27356" xr:uid="{00000000-0005-0000-0000-000041C70000}"/>
    <cellStyle name="Normal 6 2 2 3 5 3 2 2" xfId="54489" xr:uid="{00000000-0005-0000-0000-000042C70000}"/>
    <cellStyle name="Normal 6 2 2 3 5 3 3" xfId="40927" xr:uid="{00000000-0005-0000-0000-000043C70000}"/>
    <cellStyle name="Normal 6 2 2 3 5 4" xfId="20575" xr:uid="{00000000-0005-0000-0000-000044C70000}"/>
    <cellStyle name="Normal 6 2 2 3 5 4 2" xfId="47708" xr:uid="{00000000-0005-0000-0000-000045C70000}"/>
    <cellStyle name="Normal 6 2 2 3 5 5" xfId="34146" xr:uid="{00000000-0005-0000-0000-000046C70000}"/>
    <cellStyle name="Normal 6 2 2 3 6" xfId="10380" xr:uid="{00000000-0005-0000-0000-000047C70000}"/>
    <cellStyle name="Normal 6 2 2 3 6 2" xfId="17170" xr:uid="{00000000-0005-0000-0000-000048C70000}"/>
    <cellStyle name="Normal 6 2 2 3 6 2 2" xfId="30738" xr:uid="{00000000-0005-0000-0000-000049C70000}"/>
    <cellStyle name="Normal 6 2 2 3 6 2 2 2" xfId="57871" xr:uid="{00000000-0005-0000-0000-00004AC70000}"/>
    <cellStyle name="Normal 6 2 2 3 6 2 3" xfId="44309" xr:uid="{00000000-0005-0000-0000-00004BC70000}"/>
    <cellStyle name="Normal 6 2 2 3 6 3" xfId="23957" xr:uid="{00000000-0005-0000-0000-00004CC70000}"/>
    <cellStyle name="Normal 6 2 2 3 6 3 2" xfId="51090" xr:uid="{00000000-0005-0000-0000-00004DC70000}"/>
    <cellStyle name="Normal 6 2 2 3 6 4" xfId="37528" xr:uid="{00000000-0005-0000-0000-00004EC70000}"/>
    <cellStyle name="Normal 6 2 2 3 7" xfId="13781" xr:uid="{00000000-0005-0000-0000-00004FC70000}"/>
    <cellStyle name="Normal 6 2 2 3 7 2" xfId="27349" xr:uid="{00000000-0005-0000-0000-000050C70000}"/>
    <cellStyle name="Normal 6 2 2 3 7 2 2" xfId="54482" xr:uid="{00000000-0005-0000-0000-000051C70000}"/>
    <cellStyle name="Normal 6 2 2 3 7 3" xfId="40920" xr:uid="{00000000-0005-0000-0000-000052C70000}"/>
    <cellStyle name="Normal 6 2 2 3 8" xfId="20568" xr:uid="{00000000-0005-0000-0000-000053C70000}"/>
    <cellStyle name="Normal 6 2 2 3 8 2" xfId="47701" xr:uid="{00000000-0005-0000-0000-000054C70000}"/>
    <cellStyle name="Normal 6 2 2 3 9" xfId="34139" xr:uid="{00000000-0005-0000-0000-000055C70000}"/>
    <cellStyle name="Normal 6 2 2 4" xfId="6858" xr:uid="{00000000-0005-0000-0000-000056C70000}"/>
    <cellStyle name="Normal 6 2 2 4 2" xfId="6859" xr:uid="{00000000-0005-0000-0000-000057C70000}"/>
    <cellStyle name="Normal 6 2 2 4 2 2" xfId="6860" xr:uid="{00000000-0005-0000-0000-000058C70000}"/>
    <cellStyle name="Normal 6 2 2 4 2 2 2" xfId="10390" xr:uid="{00000000-0005-0000-0000-000059C70000}"/>
    <cellStyle name="Normal 6 2 2 4 2 2 2 2" xfId="17180" xr:uid="{00000000-0005-0000-0000-00005AC70000}"/>
    <cellStyle name="Normal 6 2 2 4 2 2 2 2 2" xfId="30748" xr:uid="{00000000-0005-0000-0000-00005BC70000}"/>
    <cellStyle name="Normal 6 2 2 4 2 2 2 2 2 2" xfId="57881" xr:uid="{00000000-0005-0000-0000-00005CC70000}"/>
    <cellStyle name="Normal 6 2 2 4 2 2 2 2 3" xfId="44319" xr:uid="{00000000-0005-0000-0000-00005DC70000}"/>
    <cellStyle name="Normal 6 2 2 4 2 2 2 3" xfId="23967" xr:uid="{00000000-0005-0000-0000-00005EC70000}"/>
    <cellStyle name="Normal 6 2 2 4 2 2 2 3 2" xfId="51100" xr:uid="{00000000-0005-0000-0000-00005FC70000}"/>
    <cellStyle name="Normal 6 2 2 4 2 2 2 4" xfId="37538" xr:uid="{00000000-0005-0000-0000-000060C70000}"/>
    <cellStyle name="Normal 6 2 2 4 2 2 3" xfId="13791" xr:uid="{00000000-0005-0000-0000-000061C70000}"/>
    <cellStyle name="Normal 6 2 2 4 2 2 3 2" xfId="27359" xr:uid="{00000000-0005-0000-0000-000062C70000}"/>
    <cellStyle name="Normal 6 2 2 4 2 2 3 2 2" xfId="54492" xr:uid="{00000000-0005-0000-0000-000063C70000}"/>
    <cellStyle name="Normal 6 2 2 4 2 2 3 3" xfId="40930" xr:uid="{00000000-0005-0000-0000-000064C70000}"/>
    <cellStyle name="Normal 6 2 2 4 2 2 4" xfId="20578" xr:uid="{00000000-0005-0000-0000-000065C70000}"/>
    <cellStyle name="Normal 6 2 2 4 2 2 4 2" xfId="47711" xr:uid="{00000000-0005-0000-0000-000066C70000}"/>
    <cellStyle name="Normal 6 2 2 4 2 2 5" xfId="34149" xr:uid="{00000000-0005-0000-0000-000067C70000}"/>
    <cellStyle name="Normal 6 2 2 4 2 3" xfId="6861" xr:uid="{00000000-0005-0000-0000-000068C70000}"/>
    <cellStyle name="Normal 6 2 2 4 2 3 2" xfId="10391" xr:uid="{00000000-0005-0000-0000-000069C70000}"/>
    <cellStyle name="Normal 6 2 2 4 2 3 2 2" xfId="17181" xr:uid="{00000000-0005-0000-0000-00006AC70000}"/>
    <cellStyle name="Normal 6 2 2 4 2 3 2 2 2" xfId="30749" xr:uid="{00000000-0005-0000-0000-00006BC70000}"/>
    <cellStyle name="Normal 6 2 2 4 2 3 2 2 2 2" xfId="57882" xr:uid="{00000000-0005-0000-0000-00006CC70000}"/>
    <cellStyle name="Normal 6 2 2 4 2 3 2 2 3" xfId="44320" xr:uid="{00000000-0005-0000-0000-00006DC70000}"/>
    <cellStyle name="Normal 6 2 2 4 2 3 2 3" xfId="23968" xr:uid="{00000000-0005-0000-0000-00006EC70000}"/>
    <cellStyle name="Normal 6 2 2 4 2 3 2 3 2" xfId="51101" xr:uid="{00000000-0005-0000-0000-00006FC70000}"/>
    <cellStyle name="Normal 6 2 2 4 2 3 2 4" xfId="37539" xr:uid="{00000000-0005-0000-0000-000070C70000}"/>
    <cellStyle name="Normal 6 2 2 4 2 3 3" xfId="13792" xr:uid="{00000000-0005-0000-0000-000071C70000}"/>
    <cellStyle name="Normal 6 2 2 4 2 3 3 2" xfId="27360" xr:uid="{00000000-0005-0000-0000-000072C70000}"/>
    <cellStyle name="Normal 6 2 2 4 2 3 3 2 2" xfId="54493" xr:uid="{00000000-0005-0000-0000-000073C70000}"/>
    <cellStyle name="Normal 6 2 2 4 2 3 3 3" xfId="40931" xr:uid="{00000000-0005-0000-0000-000074C70000}"/>
    <cellStyle name="Normal 6 2 2 4 2 3 4" xfId="20579" xr:uid="{00000000-0005-0000-0000-000075C70000}"/>
    <cellStyle name="Normal 6 2 2 4 2 3 4 2" xfId="47712" xr:uid="{00000000-0005-0000-0000-000076C70000}"/>
    <cellStyle name="Normal 6 2 2 4 2 3 5" xfId="34150" xr:uid="{00000000-0005-0000-0000-000077C70000}"/>
    <cellStyle name="Normal 6 2 2 4 2 4" xfId="10389" xr:uid="{00000000-0005-0000-0000-000078C70000}"/>
    <cellStyle name="Normal 6 2 2 4 2 4 2" xfId="17179" xr:uid="{00000000-0005-0000-0000-000079C70000}"/>
    <cellStyle name="Normal 6 2 2 4 2 4 2 2" xfId="30747" xr:uid="{00000000-0005-0000-0000-00007AC70000}"/>
    <cellStyle name="Normal 6 2 2 4 2 4 2 2 2" xfId="57880" xr:uid="{00000000-0005-0000-0000-00007BC70000}"/>
    <cellStyle name="Normal 6 2 2 4 2 4 2 3" xfId="44318" xr:uid="{00000000-0005-0000-0000-00007CC70000}"/>
    <cellStyle name="Normal 6 2 2 4 2 4 3" xfId="23966" xr:uid="{00000000-0005-0000-0000-00007DC70000}"/>
    <cellStyle name="Normal 6 2 2 4 2 4 3 2" xfId="51099" xr:uid="{00000000-0005-0000-0000-00007EC70000}"/>
    <cellStyle name="Normal 6 2 2 4 2 4 4" xfId="37537" xr:uid="{00000000-0005-0000-0000-00007FC70000}"/>
    <cellStyle name="Normal 6 2 2 4 2 5" xfId="13790" xr:uid="{00000000-0005-0000-0000-000080C70000}"/>
    <cellStyle name="Normal 6 2 2 4 2 5 2" xfId="27358" xr:uid="{00000000-0005-0000-0000-000081C70000}"/>
    <cellStyle name="Normal 6 2 2 4 2 5 2 2" xfId="54491" xr:uid="{00000000-0005-0000-0000-000082C70000}"/>
    <cellStyle name="Normal 6 2 2 4 2 5 3" xfId="40929" xr:uid="{00000000-0005-0000-0000-000083C70000}"/>
    <cellStyle name="Normal 6 2 2 4 2 6" xfId="20577" xr:uid="{00000000-0005-0000-0000-000084C70000}"/>
    <cellStyle name="Normal 6 2 2 4 2 6 2" xfId="47710" xr:uid="{00000000-0005-0000-0000-000085C70000}"/>
    <cellStyle name="Normal 6 2 2 4 2 7" xfId="34148" xr:uid="{00000000-0005-0000-0000-000086C70000}"/>
    <cellStyle name="Normal 6 2 2 4 3" xfId="6862" xr:uid="{00000000-0005-0000-0000-000087C70000}"/>
    <cellStyle name="Normal 6 2 2 4 3 2" xfId="10392" xr:uid="{00000000-0005-0000-0000-000088C70000}"/>
    <cellStyle name="Normal 6 2 2 4 3 2 2" xfId="17182" xr:uid="{00000000-0005-0000-0000-000089C70000}"/>
    <cellStyle name="Normal 6 2 2 4 3 2 2 2" xfId="30750" xr:uid="{00000000-0005-0000-0000-00008AC70000}"/>
    <cellStyle name="Normal 6 2 2 4 3 2 2 2 2" xfId="57883" xr:uid="{00000000-0005-0000-0000-00008BC70000}"/>
    <cellStyle name="Normal 6 2 2 4 3 2 2 3" xfId="44321" xr:uid="{00000000-0005-0000-0000-00008CC70000}"/>
    <cellStyle name="Normal 6 2 2 4 3 2 3" xfId="23969" xr:uid="{00000000-0005-0000-0000-00008DC70000}"/>
    <cellStyle name="Normal 6 2 2 4 3 2 3 2" xfId="51102" xr:uid="{00000000-0005-0000-0000-00008EC70000}"/>
    <cellStyle name="Normal 6 2 2 4 3 2 4" xfId="37540" xr:uid="{00000000-0005-0000-0000-00008FC70000}"/>
    <cellStyle name="Normal 6 2 2 4 3 3" xfId="13793" xr:uid="{00000000-0005-0000-0000-000090C70000}"/>
    <cellStyle name="Normal 6 2 2 4 3 3 2" xfId="27361" xr:uid="{00000000-0005-0000-0000-000091C70000}"/>
    <cellStyle name="Normal 6 2 2 4 3 3 2 2" xfId="54494" xr:uid="{00000000-0005-0000-0000-000092C70000}"/>
    <cellStyle name="Normal 6 2 2 4 3 3 3" xfId="40932" xr:uid="{00000000-0005-0000-0000-000093C70000}"/>
    <cellStyle name="Normal 6 2 2 4 3 4" xfId="20580" xr:uid="{00000000-0005-0000-0000-000094C70000}"/>
    <cellStyle name="Normal 6 2 2 4 3 4 2" xfId="47713" xr:uid="{00000000-0005-0000-0000-000095C70000}"/>
    <cellStyle name="Normal 6 2 2 4 3 5" xfId="34151" xr:uid="{00000000-0005-0000-0000-000096C70000}"/>
    <cellStyle name="Normal 6 2 2 4 4" xfId="6863" xr:uid="{00000000-0005-0000-0000-000097C70000}"/>
    <cellStyle name="Normal 6 2 2 4 4 2" xfId="10393" xr:uid="{00000000-0005-0000-0000-000098C70000}"/>
    <cellStyle name="Normal 6 2 2 4 4 2 2" xfId="17183" xr:uid="{00000000-0005-0000-0000-000099C70000}"/>
    <cellStyle name="Normal 6 2 2 4 4 2 2 2" xfId="30751" xr:uid="{00000000-0005-0000-0000-00009AC70000}"/>
    <cellStyle name="Normal 6 2 2 4 4 2 2 2 2" xfId="57884" xr:uid="{00000000-0005-0000-0000-00009BC70000}"/>
    <cellStyle name="Normal 6 2 2 4 4 2 2 3" xfId="44322" xr:uid="{00000000-0005-0000-0000-00009CC70000}"/>
    <cellStyle name="Normal 6 2 2 4 4 2 3" xfId="23970" xr:uid="{00000000-0005-0000-0000-00009DC70000}"/>
    <cellStyle name="Normal 6 2 2 4 4 2 3 2" xfId="51103" xr:uid="{00000000-0005-0000-0000-00009EC70000}"/>
    <cellStyle name="Normal 6 2 2 4 4 2 4" xfId="37541" xr:uid="{00000000-0005-0000-0000-00009FC70000}"/>
    <cellStyle name="Normal 6 2 2 4 4 3" xfId="13794" xr:uid="{00000000-0005-0000-0000-0000A0C70000}"/>
    <cellStyle name="Normal 6 2 2 4 4 3 2" xfId="27362" xr:uid="{00000000-0005-0000-0000-0000A1C70000}"/>
    <cellStyle name="Normal 6 2 2 4 4 3 2 2" xfId="54495" xr:uid="{00000000-0005-0000-0000-0000A2C70000}"/>
    <cellStyle name="Normal 6 2 2 4 4 3 3" xfId="40933" xr:uid="{00000000-0005-0000-0000-0000A3C70000}"/>
    <cellStyle name="Normal 6 2 2 4 4 4" xfId="20581" xr:uid="{00000000-0005-0000-0000-0000A4C70000}"/>
    <cellStyle name="Normal 6 2 2 4 4 4 2" xfId="47714" xr:uid="{00000000-0005-0000-0000-0000A5C70000}"/>
    <cellStyle name="Normal 6 2 2 4 4 5" xfId="34152" xr:uid="{00000000-0005-0000-0000-0000A6C70000}"/>
    <cellStyle name="Normal 6 2 2 4 5" xfId="10388" xr:uid="{00000000-0005-0000-0000-0000A7C70000}"/>
    <cellStyle name="Normal 6 2 2 4 5 2" xfId="17178" xr:uid="{00000000-0005-0000-0000-0000A8C70000}"/>
    <cellStyle name="Normal 6 2 2 4 5 2 2" xfId="30746" xr:uid="{00000000-0005-0000-0000-0000A9C70000}"/>
    <cellStyle name="Normal 6 2 2 4 5 2 2 2" xfId="57879" xr:uid="{00000000-0005-0000-0000-0000AAC70000}"/>
    <cellStyle name="Normal 6 2 2 4 5 2 3" xfId="44317" xr:uid="{00000000-0005-0000-0000-0000ABC70000}"/>
    <cellStyle name="Normal 6 2 2 4 5 3" xfId="23965" xr:uid="{00000000-0005-0000-0000-0000ACC70000}"/>
    <cellStyle name="Normal 6 2 2 4 5 3 2" xfId="51098" xr:uid="{00000000-0005-0000-0000-0000ADC70000}"/>
    <cellStyle name="Normal 6 2 2 4 5 4" xfId="37536" xr:uid="{00000000-0005-0000-0000-0000AEC70000}"/>
    <cellStyle name="Normal 6 2 2 4 6" xfId="13789" xr:uid="{00000000-0005-0000-0000-0000AFC70000}"/>
    <cellStyle name="Normal 6 2 2 4 6 2" xfId="27357" xr:uid="{00000000-0005-0000-0000-0000B0C70000}"/>
    <cellStyle name="Normal 6 2 2 4 6 2 2" xfId="54490" xr:uid="{00000000-0005-0000-0000-0000B1C70000}"/>
    <cellStyle name="Normal 6 2 2 4 6 3" xfId="40928" xr:uid="{00000000-0005-0000-0000-0000B2C70000}"/>
    <cellStyle name="Normal 6 2 2 4 7" xfId="20576" xr:uid="{00000000-0005-0000-0000-0000B3C70000}"/>
    <cellStyle name="Normal 6 2 2 4 7 2" xfId="47709" xr:uid="{00000000-0005-0000-0000-0000B4C70000}"/>
    <cellStyle name="Normal 6 2 2 4 8" xfId="34147" xr:uid="{00000000-0005-0000-0000-0000B5C70000}"/>
    <cellStyle name="Normal 6 2 2 5" xfId="6864" xr:uid="{00000000-0005-0000-0000-0000B6C70000}"/>
    <cellStyle name="Normal 6 2 2 5 2" xfId="6865" xr:uid="{00000000-0005-0000-0000-0000B7C70000}"/>
    <cellStyle name="Normal 6 2 2 5 2 2" xfId="10395" xr:uid="{00000000-0005-0000-0000-0000B8C70000}"/>
    <cellStyle name="Normal 6 2 2 5 2 2 2" xfId="17185" xr:uid="{00000000-0005-0000-0000-0000B9C70000}"/>
    <cellStyle name="Normal 6 2 2 5 2 2 2 2" xfId="30753" xr:uid="{00000000-0005-0000-0000-0000BAC70000}"/>
    <cellStyle name="Normal 6 2 2 5 2 2 2 2 2" xfId="57886" xr:uid="{00000000-0005-0000-0000-0000BBC70000}"/>
    <cellStyle name="Normal 6 2 2 5 2 2 2 3" xfId="44324" xr:uid="{00000000-0005-0000-0000-0000BCC70000}"/>
    <cellStyle name="Normal 6 2 2 5 2 2 3" xfId="23972" xr:uid="{00000000-0005-0000-0000-0000BDC70000}"/>
    <cellStyle name="Normal 6 2 2 5 2 2 3 2" xfId="51105" xr:uid="{00000000-0005-0000-0000-0000BEC70000}"/>
    <cellStyle name="Normal 6 2 2 5 2 2 4" xfId="37543" xr:uid="{00000000-0005-0000-0000-0000BFC70000}"/>
    <cellStyle name="Normal 6 2 2 5 2 3" xfId="13796" xr:uid="{00000000-0005-0000-0000-0000C0C70000}"/>
    <cellStyle name="Normal 6 2 2 5 2 3 2" xfId="27364" xr:uid="{00000000-0005-0000-0000-0000C1C70000}"/>
    <cellStyle name="Normal 6 2 2 5 2 3 2 2" xfId="54497" xr:uid="{00000000-0005-0000-0000-0000C2C70000}"/>
    <cellStyle name="Normal 6 2 2 5 2 3 3" xfId="40935" xr:uid="{00000000-0005-0000-0000-0000C3C70000}"/>
    <cellStyle name="Normal 6 2 2 5 2 4" xfId="20583" xr:uid="{00000000-0005-0000-0000-0000C4C70000}"/>
    <cellStyle name="Normal 6 2 2 5 2 4 2" xfId="47716" xr:uid="{00000000-0005-0000-0000-0000C5C70000}"/>
    <cellStyle name="Normal 6 2 2 5 2 5" xfId="34154" xr:uid="{00000000-0005-0000-0000-0000C6C70000}"/>
    <cellStyle name="Normal 6 2 2 5 3" xfId="6866" xr:uid="{00000000-0005-0000-0000-0000C7C70000}"/>
    <cellStyle name="Normal 6 2 2 5 3 2" xfId="10396" xr:uid="{00000000-0005-0000-0000-0000C8C70000}"/>
    <cellStyle name="Normal 6 2 2 5 3 2 2" xfId="17186" xr:uid="{00000000-0005-0000-0000-0000C9C70000}"/>
    <cellStyle name="Normal 6 2 2 5 3 2 2 2" xfId="30754" xr:uid="{00000000-0005-0000-0000-0000CAC70000}"/>
    <cellStyle name="Normal 6 2 2 5 3 2 2 2 2" xfId="57887" xr:uid="{00000000-0005-0000-0000-0000CBC70000}"/>
    <cellStyle name="Normal 6 2 2 5 3 2 2 3" xfId="44325" xr:uid="{00000000-0005-0000-0000-0000CCC70000}"/>
    <cellStyle name="Normal 6 2 2 5 3 2 3" xfId="23973" xr:uid="{00000000-0005-0000-0000-0000CDC70000}"/>
    <cellStyle name="Normal 6 2 2 5 3 2 3 2" xfId="51106" xr:uid="{00000000-0005-0000-0000-0000CEC70000}"/>
    <cellStyle name="Normal 6 2 2 5 3 2 4" xfId="37544" xr:uid="{00000000-0005-0000-0000-0000CFC70000}"/>
    <cellStyle name="Normal 6 2 2 5 3 3" xfId="13797" xr:uid="{00000000-0005-0000-0000-0000D0C70000}"/>
    <cellStyle name="Normal 6 2 2 5 3 3 2" xfId="27365" xr:uid="{00000000-0005-0000-0000-0000D1C70000}"/>
    <cellStyle name="Normal 6 2 2 5 3 3 2 2" xfId="54498" xr:uid="{00000000-0005-0000-0000-0000D2C70000}"/>
    <cellStyle name="Normal 6 2 2 5 3 3 3" xfId="40936" xr:uid="{00000000-0005-0000-0000-0000D3C70000}"/>
    <cellStyle name="Normal 6 2 2 5 3 4" xfId="20584" xr:uid="{00000000-0005-0000-0000-0000D4C70000}"/>
    <cellStyle name="Normal 6 2 2 5 3 4 2" xfId="47717" xr:uid="{00000000-0005-0000-0000-0000D5C70000}"/>
    <cellStyle name="Normal 6 2 2 5 3 5" xfId="34155" xr:uid="{00000000-0005-0000-0000-0000D6C70000}"/>
    <cellStyle name="Normal 6 2 2 5 4" xfId="10394" xr:uid="{00000000-0005-0000-0000-0000D7C70000}"/>
    <cellStyle name="Normal 6 2 2 5 4 2" xfId="17184" xr:uid="{00000000-0005-0000-0000-0000D8C70000}"/>
    <cellStyle name="Normal 6 2 2 5 4 2 2" xfId="30752" xr:uid="{00000000-0005-0000-0000-0000D9C70000}"/>
    <cellStyle name="Normal 6 2 2 5 4 2 2 2" xfId="57885" xr:uid="{00000000-0005-0000-0000-0000DAC70000}"/>
    <cellStyle name="Normal 6 2 2 5 4 2 3" xfId="44323" xr:uid="{00000000-0005-0000-0000-0000DBC70000}"/>
    <cellStyle name="Normal 6 2 2 5 4 3" xfId="23971" xr:uid="{00000000-0005-0000-0000-0000DCC70000}"/>
    <cellStyle name="Normal 6 2 2 5 4 3 2" xfId="51104" xr:uid="{00000000-0005-0000-0000-0000DDC70000}"/>
    <cellStyle name="Normal 6 2 2 5 4 4" xfId="37542" xr:uid="{00000000-0005-0000-0000-0000DEC70000}"/>
    <cellStyle name="Normal 6 2 2 5 5" xfId="13795" xr:uid="{00000000-0005-0000-0000-0000DFC70000}"/>
    <cellStyle name="Normal 6 2 2 5 5 2" xfId="27363" xr:uid="{00000000-0005-0000-0000-0000E0C70000}"/>
    <cellStyle name="Normal 6 2 2 5 5 2 2" xfId="54496" xr:uid="{00000000-0005-0000-0000-0000E1C70000}"/>
    <cellStyle name="Normal 6 2 2 5 5 3" xfId="40934" xr:uid="{00000000-0005-0000-0000-0000E2C70000}"/>
    <cellStyle name="Normal 6 2 2 5 6" xfId="20582" xr:uid="{00000000-0005-0000-0000-0000E3C70000}"/>
    <cellStyle name="Normal 6 2 2 5 6 2" xfId="47715" xr:uid="{00000000-0005-0000-0000-0000E4C70000}"/>
    <cellStyle name="Normal 6 2 2 5 7" xfId="34153" xr:uid="{00000000-0005-0000-0000-0000E5C70000}"/>
    <cellStyle name="Normal 6 2 2 6" xfId="6867" xr:uid="{00000000-0005-0000-0000-0000E6C70000}"/>
    <cellStyle name="Normal 6 2 2 6 2" xfId="6868" xr:uid="{00000000-0005-0000-0000-0000E7C70000}"/>
    <cellStyle name="Normal 6 2 2 6 2 2" xfId="10398" xr:uid="{00000000-0005-0000-0000-0000E8C70000}"/>
    <cellStyle name="Normal 6 2 2 6 2 2 2" xfId="17188" xr:uid="{00000000-0005-0000-0000-0000E9C70000}"/>
    <cellStyle name="Normal 6 2 2 6 2 2 2 2" xfId="30756" xr:uid="{00000000-0005-0000-0000-0000EAC70000}"/>
    <cellStyle name="Normal 6 2 2 6 2 2 2 2 2" xfId="57889" xr:uid="{00000000-0005-0000-0000-0000EBC70000}"/>
    <cellStyle name="Normal 6 2 2 6 2 2 2 3" xfId="44327" xr:uid="{00000000-0005-0000-0000-0000ECC70000}"/>
    <cellStyle name="Normal 6 2 2 6 2 2 3" xfId="23975" xr:uid="{00000000-0005-0000-0000-0000EDC70000}"/>
    <cellStyle name="Normal 6 2 2 6 2 2 3 2" xfId="51108" xr:uid="{00000000-0005-0000-0000-0000EEC70000}"/>
    <cellStyle name="Normal 6 2 2 6 2 2 4" xfId="37546" xr:uid="{00000000-0005-0000-0000-0000EFC70000}"/>
    <cellStyle name="Normal 6 2 2 6 2 3" xfId="13799" xr:uid="{00000000-0005-0000-0000-0000F0C70000}"/>
    <cellStyle name="Normal 6 2 2 6 2 3 2" xfId="27367" xr:uid="{00000000-0005-0000-0000-0000F1C70000}"/>
    <cellStyle name="Normal 6 2 2 6 2 3 2 2" xfId="54500" xr:uid="{00000000-0005-0000-0000-0000F2C70000}"/>
    <cellStyle name="Normal 6 2 2 6 2 3 3" xfId="40938" xr:uid="{00000000-0005-0000-0000-0000F3C70000}"/>
    <cellStyle name="Normal 6 2 2 6 2 4" xfId="20586" xr:uid="{00000000-0005-0000-0000-0000F4C70000}"/>
    <cellStyle name="Normal 6 2 2 6 2 4 2" xfId="47719" xr:uid="{00000000-0005-0000-0000-0000F5C70000}"/>
    <cellStyle name="Normal 6 2 2 6 2 5" xfId="34157" xr:uid="{00000000-0005-0000-0000-0000F6C70000}"/>
    <cellStyle name="Normal 6 2 2 6 3" xfId="6869" xr:uid="{00000000-0005-0000-0000-0000F7C70000}"/>
    <cellStyle name="Normal 6 2 2 6 3 2" xfId="10399" xr:uid="{00000000-0005-0000-0000-0000F8C70000}"/>
    <cellStyle name="Normal 6 2 2 6 3 2 2" xfId="17189" xr:uid="{00000000-0005-0000-0000-0000F9C70000}"/>
    <cellStyle name="Normal 6 2 2 6 3 2 2 2" xfId="30757" xr:uid="{00000000-0005-0000-0000-0000FAC70000}"/>
    <cellStyle name="Normal 6 2 2 6 3 2 2 2 2" xfId="57890" xr:uid="{00000000-0005-0000-0000-0000FBC70000}"/>
    <cellStyle name="Normal 6 2 2 6 3 2 2 3" xfId="44328" xr:uid="{00000000-0005-0000-0000-0000FCC70000}"/>
    <cellStyle name="Normal 6 2 2 6 3 2 3" xfId="23976" xr:uid="{00000000-0005-0000-0000-0000FDC70000}"/>
    <cellStyle name="Normal 6 2 2 6 3 2 3 2" xfId="51109" xr:uid="{00000000-0005-0000-0000-0000FEC70000}"/>
    <cellStyle name="Normal 6 2 2 6 3 2 4" xfId="37547" xr:uid="{00000000-0005-0000-0000-0000FFC70000}"/>
    <cellStyle name="Normal 6 2 2 6 3 3" xfId="13800" xr:uid="{00000000-0005-0000-0000-000000C80000}"/>
    <cellStyle name="Normal 6 2 2 6 3 3 2" xfId="27368" xr:uid="{00000000-0005-0000-0000-000001C80000}"/>
    <cellStyle name="Normal 6 2 2 6 3 3 2 2" xfId="54501" xr:uid="{00000000-0005-0000-0000-000002C80000}"/>
    <cellStyle name="Normal 6 2 2 6 3 3 3" xfId="40939" xr:uid="{00000000-0005-0000-0000-000003C80000}"/>
    <cellStyle name="Normal 6 2 2 6 3 4" xfId="20587" xr:uid="{00000000-0005-0000-0000-000004C80000}"/>
    <cellStyle name="Normal 6 2 2 6 3 4 2" xfId="47720" xr:uid="{00000000-0005-0000-0000-000005C80000}"/>
    <cellStyle name="Normal 6 2 2 6 3 5" xfId="34158" xr:uid="{00000000-0005-0000-0000-000006C80000}"/>
    <cellStyle name="Normal 6 2 2 6 4" xfId="10397" xr:uid="{00000000-0005-0000-0000-000007C80000}"/>
    <cellStyle name="Normal 6 2 2 6 4 2" xfId="17187" xr:uid="{00000000-0005-0000-0000-000008C80000}"/>
    <cellStyle name="Normal 6 2 2 6 4 2 2" xfId="30755" xr:uid="{00000000-0005-0000-0000-000009C80000}"/>
    <cellStyle name="Normal 6 2 2 6 4 2 2 2" xfId="57888" xr:uid="{00000000-0005-0000-0000-00000AC80000}"/>
    <cellStyle name="Normal 6 2 2 6 4 2 3" xfId="44326" xr:uid="{00000000-0005-0000-0000-00000BC80000}"/>
    <cellStyle name="Normal 6 2 2 6 4 3" xfId="23974" xr:uid="{00000000-0005-0000-0000-00000CC80000}"/>
    <cellStyle name="Normal 6 2 2 6 4 3 2" xfId="51107" xr:uid="{00000000-0005-0000-0000-00000DC80000}"/>
    <cellStyle name="Normal 6 2 2 6 4 4" xfId="37545" xr:uid="{00000000-0005-0000-0000-00000EC80000}"/>
    <cellStyle name="Normal 6 2 2 6 5" xfId="13798" xr:uid="{00000000-0005-0000-0000-00000FC80000}"/>
    <cellStyle name="Normal 6 2 2 6 5 2" xfId="27366" xr:uid="{00000000-0005-0000-0000-000010C80000}"/>
    <cellStyle name="Normal 6 2 2 6 5 2 2" xfId="54499" xr:uid="{00000000-0005-0000-0000-000011C80000}"/>
    <cellStyle name="Normal 6 2 2 6 5 3" xfId="40937" xr:uid="{00000000-0005-0000-0000-000012C80000}"/>
    <cellStyle name="Normal 6 2 2 6 6" xfId="20585" xr:uid="{00000000-0005-0000-0000-000013C80000}"/>
    <cellStyle name="Normal 6 2 2 6 6 2" xfId="47718" xr:uid="{00000000-0005-0000-0000-000014C80000}"/>
    <cellStyle name="Normal 6 2 2 6 7" xfId="34156" xr:uid="{00000000-0005-0000-0000-000015C80000}"/>
    <cellStyle name="Normal 6 2 2 7" xfId="6870" xr:uid="{00000000-0005-0000-0000-000016C80000}"/>
    <cellStyle name="Normal 6 2 2 7 2" xfId="10400" xr:uid="{00000000-0005-0000-0000-000017C80000}"/>
    <cellStyle name="Normal 6 2 2 7 2 2" xfId="17190" xr:uid="{00000000-0005-0000-0000-000018C80000}"/>
    <cellStyle name="Normal 6 2 2 7 2 2 2" xfId="30758" xr:uid="{00000000-0005-0000-0000-000019C80000}"/>
    <cellStyle name="Normal 6 2 2 7 2 2 2 2" xfId="57891" xr:uid="{00000000-0005-0000-0000-00001AC80000}"/>
    <cellStyle name="Normal 6 2 2 7 2 2 3" xfId="44329" xr:uid="{00000000-0005-0000-0000-00001BC80000}"/>
    <cellStyle name="Normal 6 2 2 7 2 3" xfId="23977" xr:uid="{00000000-0005-0000-0000-00001CC80000}"/>
    <cellStyle name="Normal 6 2 2 7 2 3 2" xfId="51110" xr:uid="{00000000-0005-0000-0000-00001DC80000}"/>
    <cellStyle name="Normal 6 2 2 7 2 4" xfId="37548" xr:uid="{00000000-0005-0000-0000-00001EC80000}"/>
    <cellStyle name="Normal 6 2 2 7 3" xfId="13801" xr:uid="{00000000-0005-0000-0000-00001FC80000}"/>
    <cellStyle name="Normal 6 2 2 7 3 2" xfId="27369" xr:uid="{00000000-0005-0000-0000-000020C80000}"/>
    <cellStyle name="Normal 6 2 2 7 3 2 2" xfId="54502" xr:uid="{00000000-0005-0000-0000-000021C80000}"/>
    <cellStyle name="Normal 6 2 2 7 3 3" xfId="40940" xr:uid="{00000000-0005-0000-0000-000022C80000}"/>
    <cellStyle name="Normal 6 2 2 7 4" xfId="20588" xr:uid="{00000000-0005-0000-0000-000023C80000}"/>
    <cellStyle name="Normal 6 2 2 7 4 2" xfId="47721" xr:uid="{00000000-0005-0000-0000-000024C80000}"/>
    <cellStyle name="Normal 6 2 2 7 5" xfId="34159" xr:uid="{00000000-0005-0000-0000-000025C80000}"/>
    <cellStyle name="Normal 6 2 2 8" xfId="6871" xr:uid="{00000000-0005-0000-0000-000026C80000}"/>
    <cellStyle name="Normal 6 2 2 8 2" xfId="10401" xr:uid="{00000000-0005-0000-0000-000027C80000}"/>
    <cellStyle name="Normal 6 2 2 8 2 2" xfId="17191" xr:uid="{00000000-0005-0000-0000-000028C80000}"/>
    <cellStyle name="Normal 6 2 2 8 2 2 2" xfId="30759" xr:uid="{00000000-0005-0000-0000-000029C80000}"/>
    <cellStyle name="Normal 6 2 2 8 2 2 2 2" xfId="57892" xr:uid="{00000000-0005-0000-0000-00002AC80000}"/>
    <cellStyle name="Normal 6 2 2 8 2 2 3" xfId="44330" xr:uid="{00000000-0005-0000-0000-00002BC80000}"/>
    <cellStyle name="Normal 6 2 2 8 2 3" xfId="23978" xr:uid="{00000000-0005-0000-0000-00002CC80000}"/>
    <cellStyle name="Normal 6 2 2 8 2 3 2" xfId="51111" xr:uid="{00000000-0005-0000-0000-00002DC80000}"/>
    <cellStyle name="Normal 6 2 2 8 2 4" xfId="37549" xr:uid="{00000000-0005-0000-0000-00002EC80000}"/>
    <cellStyle name="Normal 6 2 2 8 3" xfId="13802" xr:uid="{00000000-0005-0000-0000-00002FC80000}"/>
    <cellStyle name="Normal 6 2 2 8 3 2" xfId="27370" xr:uid="{00000000-0005-0000-0000-000030C80000}"/>
    <cellStyle name="Normal 6 2 2 8 3 2 2" xfId="54503" xr:uid="{00000000-0005-0000-0000-000031C80000}"/>
    <cellStyle name="Normal 6 2 2 8 3 3" xfId="40941" xr:uid="{00000000-0005-0000-0000-000032C80000}"/>
    <cellStyle name="Normal 6 2 2 8 4" xfId="20589" xr:uid="{00000000-0005-0000-0000-000033C80000}"/>
    <cellStyle name="Normal 6 2 2 8 4 2" xfId="47722" xr:uid="{00000000-0005-0000-0000-000034C80000}"/>
    <cellStyle name="Normal 6 2 2 8 5" xfId="34160" xr:uid="{00000000-0005-0000-0000-000035C80000}"/>
    <cellStyle name="Normal 6 2 2 9" xfId="10363" xr:uid="{00000000-0005-0000-0000-000036C80000}"/>
    <cellStyle name="Normal 6 2 2 9 2" xfId="17153" xr:uid="{00000000-0005-0000-0000-000037C80000}"/>
    <cellStyle name="Normal 6 2 2 9 2 2" xfId="30721" xr:uid="{00000000-0005-0000-0000-000038C80000}"/>
    <cellStyle name="Normal 6 2 2 9 2 2 2" xfId="57854" xr:uid="{00000000-0005-0000-0000-000039C80000}"/>
    <cellStyle name="Normal 6 2 2 9 2 3" xfId="44292" xr:uid="{00000000-0005-0000-0000-00003AC80000}"/>
    <cellStyle name="Normal 6 2 2 9 3" xfId="23940" xr:uid="{00000000-0005-0000-0000-00003BC80000}"/>
    <cellStyle name="Normal 6 2 2 9 3 2" xfId="51073" xr:uid="{00000000-0005-0000-0000-00003CC80000}"/>
    <cellStyle name="Normal 6 2 2 9 4" xfId="37511" xr:uid="{00000000-0005-0000-0000-00003DC80000}"/>
    <cellStyle name="Normal 6 2 3" xfId="6872" xr:uid="{00000000-0005-0000-0000-00003EC80000}"/>
    <cellStyle name="Normal 6 2 3 10" xfId="34161" xr:uid="{00000000-0005-0000-0000-00003FC80000}"/>
    <cellStyle name="Normal 6 2 3 2" xfId="6873" xr:uid="{00000000-0005-0000-0000-000040C80000}"/>
    <cellStyle name="Normal 6 2 3 2 2" xfId="6874" xr:uid="{00000000-0005-0000-0000-000041C80000}"/>
    <cellStyle name="Normal 6 2 3 2 2 2" xfId="6875" xr:uid="{00000000-0005-0000-0000-000042C80000}"/>
    <cellStyle name="Normal 6 2 3 2 2 2 2" xfId="10405" xr:uid="{00000000-0005-0000-0000-000043C80000}"/>
    <cellStyle name="Normal 6 2 3 2 2 2 2 2" xfId="17195" xr:uid="{00000000-0005-0000-0000-000044C80000}"/>
    <cellStyle name="Normal 6 2 3 2 2 2 2 2 2" xfId="30763" xr:uid="{00000000-0005-0000-0000-000045C80000}"/>
    <cellStyle name="Normal 6 2 3 2 2 2 2 2 2 2" xfId="57896" xr:uid="{00000000-0005-0000-0000-000046C80000}"/>
    <cellStyle name="Normal 6 2 3 2 2 2 2 2 3" xfId="44334" xr:uid="{00000000-0005-0000-0000-000047C80000}"/>
    <cellStyle name="Normal 6 2 3 2 2 2 2 3" xfId="23982" xr:uid="{00000000-0005-0000-0000-000048C80000}"/>
    <cellStyle name="Normal 6 2 3 2 2 2 2 3 2" xfId="51115" xr:uid="{00000000-0005-0000-0000-000049C80000}"/>
    <cellStyle name="Normal 6 2 3 2 2 2 2 4" xfId="37553" xr:uid="{00000000-0005-0000-0000-00004AC80000}"/>
    <cellStyle name="Normal 6 2 3 2 2 2 3" xfId="13806" xr:uid="{00000000-0005-0000-0000-00004BC80000}"/>
    <cellStyle name="Normal 6 2 3 2 2 2 3 2" xfId="27374" xr:uid="{00000000-0005-0000-0000-00004CC80000}"/>
    <cellStyle name="Normal 6 2 3 2 2 2 3 2 2" xfId="54507" xr:uid="{00000000-0005-0000-0000-00004DC80000}"/>
    <cellStyle name="Normal 6 2 3 2 2 2 3 3" xfId="40945" xr:uid="{00000000-0005-0000-0000-00004EC80000}"/>
    <cellStyle name="Normal 6 2 3 2 2 2 4" xfId="20593" xr:uid="{00000000-0005-0000-0000-00004FC80000}"/>
    <cellStyle name="Normal 6 2 3 2 2 2 4 2" xfId="47726" xr:uid="{00000000-0005-0000-0000-000050C80000}"/>
    <cellStyle name="Normal 6 2 3 2 2 2 5" xfId="34164" xr:uid="{00000000-0005-0000-0000-000051C80000}"/>
    <cellStyle name="Normal 6 2 3 2 2 3" xfId="6876" xr:uid="{00000000-0005-0000-0000-000052C80000}"/>
    <cellStyle name="Normal 6 2 3 2 2 3 2" xfId="10406" xr:uid="{00000000-0005-0000-0000-000053C80000}"/>
    <cellStyle name="Normal 6 2 3 2 2 3 2 2" xfId="17196" xr:uid="{00000000-0005-0000-0000-000054C80000}"/>
    <cellStyle name="Normal 6 2 3 2 2 3 2 2 2" xfId="30764" xr:uid="{00000000-0005-0000-0000-000055C80000}"/>
    <cellStyle name="Normal 6 2 3 2 2 3 2 2 2 2" xfId="57897" xr:uid="{00000000-0005-0000-0000-000056C80000}"/>
    <cellStyle name="Normal 6 2 3 2 2 3 2 2 3" xfId="44335" xr:uid="{00000000-0005-0000-0000-000057C80000}"/>
    <cellStyle name="Normal 6 2 3 2 2 3 2 3" xfId="23983" xr:uid="{00000000-0005-0000-0000-000058C80000}"/>
    <cellStyle name="Normal 6 2 3 2 2 3 2 3 2" xfId="51116" xr:uid="{00000000-0005-0000-0000-000059C80000}"/>
    <cellStyle name="Normal 6 2 3 2 2 3 2 4" xfId="37554" xr:uid="{00000000-0005-0000-0000-00005AC80000}"/>
    <cellStyle name="Normal 6 2 3 2 2 3 3" xfId="13807" xr:uid="{00000000-0005-0000-0000-00005BC80000}"/>
    <cellStyle name="Normal 6 2 3 2 2 3 3 2" xfId="27375" xr:uid="{00000000-0005-0000-0000-00005CC80000}"/>
    <cellStyle name="Normal 6 2 3 2 2 3 3 2 2" xfId="54508" xr:uid="{00000000-0005-0000-0000-00005DC80000}"/>
    <cellStyle name="Normal 6 2 3 2 2 3 3 3" xfId="40946" xr:uid="{00000000-0005-0000-0000-00005EC80000}"/>
    <cellStyle name="Normal 6 2 3 2 2 3 4" xfId="20594" xr:uid="{00000000-0005-0000-0000-00005FC80000}"/>
    <cellStyle name="Normal 6 2 3 2 2 3 4 2" xfId="47727" xr:uid="{00000000-0005-0000-0000-000060C80000}"/>
    <cellStyle name="Normal 6 2 3 2 2 3 5" xfId="34165" xr:uid="{00000000-0005-0000-0000-000061C80000}"/>
    <cellStyle name="Normal 6 2 3 2 2 4" xfId="10404" xr:uid="{00000000-0005-0000-0000-000062C80000}"/>
    <cellStyle name="Normal 6 2 3 2 2 4 2" xfId="17194" xr:uid="{00000000-0005-0000-0000-000063C80000}"/>
    <cellStyle name="Normal 6 2 3 2 2 4 2 2" xfId="30762" xr:uid="{00000000-0005-0000-0000-000064C80000}"/>
    <cellStyle name="Normal 6 2 3 2 2 4 2 2 2" xfId="57895" xr:uid="{00000000-0005-0000-0000-000065C80000}"/>
    <cellStyle name="Normal 6 2 3 2 2 4 2 3" xfId="44333" xr:uid="{00000000-0005-0000-0000-000066C80000}"/>
    <cellStyle name="Normal 6 2 3 2 2 4 3" xfId="23981" xr:uid="{00000000-0005-0000-0000-000067C80000}"/>
    <cellStyle name="Normal 6 2 3 2 2 4 3 2" xfId="51114" xr:uid="{00000000-0005-0000-0000-000068C80000}"/>
    <cellStyle name="Normal 6 2 3 2 2 4 4" xfId="37552" xr:uid="{00000000-0005-0000-0000-000069C80000}"/>
    <cellStyle name="Normal 6 2 3 2 2 5" xfId="13805" xr:uid="{00000000-0005-0000-0000-00006AC80000}"/>
    <cellStyle name="Normal 6 2 3 2 2 5 2" xfId="27373" xr:uid="{00000000-0005-0000-0000-00006BC80000}"/>
    <cellStyle name="Normal 6 2 3 2 2 5 2 2" xfId="54506" xr:uid="{00000000-0005-0000-0000-00006CC80000}"/>
    <cellStyle name="Normal 6 2 3 2 2 5 3" xfId="40944" xr:uid="{00000000-0005-0000-0000-00006DC80000}"/>
    <cellStyle name="Normal 6 2 3 2 2 6" xfId="20592" xr:uid="{00000000-0005-0000-0000-00006EC80000}"/>
    <cellStyle name="Normal 6 2 3 2 2 6 2" xfId="47725" xr:uid="{00000000-0005-0000-0000-00006FC80000}"/>
    <cellStyle name="Normal 6 2 3 2 2 7" xfId="34163" xr:uid="{00000000-0005-0000-0000-000070C80000}"/>
    <cellStyle name="Normal 6 2 3 2 3" xfId="6877" xr:uid="{00000000-0005-0000-0000-000071C80000}"/>
    <cellStyle name="Normal 6 2 3 2 3 2" xfId="6878" xr:uid="{00000000-0005-0000-0000-000072C80000}"/>
    <cellStyle name="Normal 6 2 3 2 3 2 2" xfId="10408" xr:uid="{00000000-0005-0000-0000-000073C80000}"/>
    <cellStyle name="Normal 6 2 3 2 3 2 2 2" xfId="17198" xr:uid="{00000000-0005-0000-0000-000074C80000}"/>
    <cellStyle name="Normal 6 2 3 2 3 2 2 2 2" xfId="30766" xr:uid="{00000000-0005-0000-0000-000075C80000}"/>
    <cellStyle name="Normal 6 2 3 2 3 2 2 2 2 2" xfId="57899" xr:uid="{00000000-0005-0000-0000-000076C80000}"/>
    <cellStyle name="Normal 6 2 3 2 3 2 2 2 3" xfId="44337" xr:uid="{00000000-0005-0000-0000-000077C80000}"/>
    <cellStyle name="Normal 6 2 3 2 3 2 2 3" xfId="23985" xr:uid="{00000000-0005-0000-0000-000078C80000}"/>
    <cellStyle name="Normal 6 2 3 2 3 2 2 3 2" xfId="51118" xr:uid="{00000000-0005-0000-0000-000079C80000}"/>
    <cellStyle name="Normal 6 2 3 2 3 2 2 4" xfId="37556" xr:uid="{00000000-0005-0000-0000-00007AC80000}"/>
    <cellStyle name="Normal 6 2 3 2 3 2 3" xfId="13809" xr:uid="{00000000-0005-0000-0000-00007BC80000}"/>
    <cellStyle name="Normal 6 2 3 2 3 2 3 2" xfId="27377" xr:uid="{00000000-0005-0000-0000-00007CC80000}"/>
    <cellStyle name="Normal 6 2 3 2 3 2 3 2 2" xfId="54510" xr:uid="{00000000-0005-0000-0000-00007DC80000}"/>
    <cellStyle name="Normal 6 2 3 2 3 2 3 3" xfId="40948" xr:uid="{00000000-0005-0000-0000-00007EC80000}"/>
    <cellStyle name="Normal 6 2 3 2 3 2 4" xfId="20596" xr:uid="{00000000-0005-0000-0000-00007FC80000}"/>
    <cellStyle name="Normal 6 2 3 2 3 2 4 2" xfId="47729" xr:uid="{00000000-0005-0000-0000-000080C80000}"/>
    <cellStyle name="Normal 6 2 3 2 3 2 5" xfId="34167" xr:uid="{00000000-0005-0000-0000-000081C80000}"/>
    <cellStyle name="Normal 6 2 3 2 3 3" xfId="10407" xr:uid="{00000000-0005-0000-0000-000082C80000}"/>
    <cellStyle name="Normal 6 2 3 2 3 3 2" xfId="17197" xr:uid="{00000000-0005-0000-0000-000083C80000}"/>
    <cellStyle name="Normal 6 2 3 2 3 3 2 2" xfId="30765" xr:uid="{00000000-0005-0000-0000-000084C80000}"/>
    <cellStyle name="Normal 6 2 3 2 3 3 2 2 2" xfId="57898" xr:uid="{00000000-0005-0000-0000-000085C80000}"/>
    <cellStyle name="Normal 6 2 3 2 3 3 2 3" xfId="44336" xr:uid="{00000000-0005-0000-0000-000086C80000}"/>
    <cellStyle name="Normal 6 2 3 2 3 3 3" xfId="23984" xr:uid="{00000000-0005-0000-0000-000087C80000}"/>
    <cellStyle name="Normal 6 2 3 2 3 3 3 2" xfId="51117" xr:uid="{00000000-0005-0000-0000-000088C80000}"/>
    <cellStyle name="Normal 6 2 3 2 3 3 4" xfId="37555" xr:uid="{00000000-0005-0000-0000-000089C80000}"/>
    <cellStyle name="Normal 6 2 3 2 3 4" xfId="13808" xr:uid="{00000000-0005-0000-0000-00008AC80000}"/>
    <cellStyle name="Normal 6 2 3 2 3 4 2" xfId="27376" xr:uid="{00000000-0005-0000-0000-00008BC80000}"/>
    <cellStyle name="Normal 6 2 3 2 3 4 2 2" xfId="54509" xr:uid="{00000000-0005-0000-0000-00008CC80000}"/>
    <cellStyle name="Normal 6 2 3 2 3 4 3" xfId="40947" xr:uid="{00000000-0005-0000-0000-00008DC80000}"/>
    <cellStyle name="Normal 6 2 3 2 3 5" xfId="20595" xr:uid="{00000000-0005-0000-0000-00008EC80000}"/>
    <cellStyle name="Normal 6 2 3 2 3 5 2" xfId="47728" xr:uid="{00000000-0005-0000-0000-00008FC80000}"/>
    <cellStyle name="Normal 6 2 3 2 3 6" xfId="34166" xr:uid="{00000000-0005-0000-0000-000090C80000}"/>
    <cellStyle name="Normal 6 2 3 2 4" xfId="6879" xr:uid="{00000000-0005-0000-0000-000091C80000}"/>
    <cellStyle name="Normal 6 2 3 2 4 2" xfId="10409" xr:uid="{00000000-0005-0000-0000-000092C80000}"/>
    <cellStyle name="Normal 6 2 3 2 4 2 2" xfId="17199" xr:uid="{00000000-0005-0000-0000-000093C80000}"/>
    <cellStyle name="Normal 6 2 3 2 4 2 2 2" xfId="30767" xr:uid="{00000000-0005-0000-0000-000094C80000}"/>
    <cellStyle name="Normal 6 2 3 2 4 2 2 2 2" xfId="57900" xr:uid="{00000000-0005-0000-0000-000095C80000}"/>
    <cellStyle name="Normal 6 2 3 2 4 2 2 3" xfId="44338" xr:uid="{00000000-0005-0000-0000-000096C80000}"/>
    <cellStyle name="Normal 6 2 3 2 4 2 3" xfId="23986" xr:uid="{00000000-0005-0000-0000-000097C80000}"/>
    <cellStyle name="Normal 6 2 3 2 4 2 3 2" xfId="51119" xr:uid="{00000000-0005-0000-0000-000098C80000}"/>
    <cellStyle name="Normal 6 2 3 2 4 2 4" xfId="37557" xr:uid="{00000000-0005-0000-0000-000099C80000}"/>
    <cellStyle name="Normal 6 2 3 2 4 3" xfId="13810" xr:uid="{00000000-0005-0000-0000-00009AC80000}"/>
    <cellStyle name="Normal 6 2 3 2 4 3 2" xfId="27378" xr:uid="{00000000-0005-0000-0000-00009BC80000}"/>
    <cellStyle name="Normal 6 2 3 2 4 3 2 2" xfId="54511" xr:uid="{00000000-0005-0000-0000-00009CC80000}"/>
    <cellStyle name="Normal 6 2 3 2 4 3 3" xfId="40949" xr:uid="{00000000-0005-0000-0000-00009DC80000}"/>
    <cellStyle name="Normal 6 2 3 2 4 4" xfId="20597" xr:uid="{00000000-0005-0000-0000-00009EC80000}"/>
    <cellStyle name="Normal 6 2 3 2 4 4 2" xfId="47730" xr:uid="{00000000-0005-0000-0000-00009FC80000}"/>
    <cellStyle name="Normal 6 2 3 2 4 5" xfId="34168" xr:uid="{00000000-0005-0000-0000-0000A0C80000}"/>
    <cellStyle name="Normal 6 2 3 2 5" xfId="6880" xr:uid="{00000000-0005-0000-0000-0000A1C80000}"/>
    <cellStyle name="Normal 6 2 3 2 5 2" xfId="10410" xr:uid="{00000000-0005-0000-0000-0000A2C80000}"/>
    <cellStyle name="Normal 6 2 3 2 5 2 2" xfId="17200" xr:uid="{00000000-0005-0000-0000-0000A3C80000}"/>
    <cellStyle name="Normal 6 2 3 2 5 2 2 2" xfId="30768" xr:uid="{00000000-0005-0000-0000-0000A4C80000}"/>
    <cellStyle name="Normal 6 2 3 2 5 2 2 2 2" xfId="57901" xr:uid="{00000000-0005-0000-0000-0000A5C80000}"/>
    <cellStyle name="Normal 6 2 3 2 5 2 2 3" xfId="44339" xr:uid="{00000000-0005-0000-0000-0000A6C80000}"/>
    <cellStyle name="Normal 6 2 3 2 5 2 3" xfId="23987" xr:uid="{00000000-0005-0000-0000-0000A7C80000}"/>
    <cellStyle name="Normal 6 2 3 2 5 2 3 2" xfId="51120" xr:uid="{00000000-0005-0000-0000-0000A8C80000}"/>
    <cellStyle name="Normal 6 2 3 2 5 2 4" xfId="37558" xr:uid="{00000000-0005-0000-0000-0000A9C80000}"/>
    <cellStyle name="Normal 6 2 3 2 5 3" xfId="13811" xr:uid="{00000000-0005-0000-0000-0000AAC80000}"/>
    <cellStyle name="Normal 6 2 3 2 5 3 2" xfId="27379" xr:uid="{00000000-0005-0000-0000-0000ABC80000}"/>
    <cellStyle name="Normal 6 2 3 2 5 3 2 2" xfId="54512" xr:uid="{00000000-0005-0000-0000-0000ACC80000}"/>
    <cellStyle name="Normal 6 2 3 2 5 3 3" xfId="40950" xr:uid="{00000000-0005-0000-0000-0000ADC80000}"/>
    <cellStyle name="Normal 6 2 3 2 5 4" xfId="20598" xr:uid="{00000000-0005-0000-0000-0000AEC80000}"/>
    <cellStyle name="Normal 6 2 3 2 5 4 2" xfId="47731" xr:uid="{00000000-0005-0000-0000-0000AFC80000}"/>
    <cellStyle name="Normal 6 2 3 2 5 5" xfId="34169" xr:uid="{00000000-0005-0000-0000-0000B0C80000}"/>
    <cellStyle name="Normal 6 2 3 2 6" xfId="10403" xr:uid="{00000000-0005-0000-0000-0000B1C80000}"/>
    <cellStyle name="Normal 6 2 3 2 6 2" xfId="17193" xr:uid="{00000000-0005-0000-0000-0000B2C80000}"/>
    <cellStyle name="Normal 6 2 3 2 6 2 2" xfId="30761" xr:uid="{00000000-0005-0000-0000-0000B3C80000}"/>
    <cellStyle name="Normal 6 2 3 2 6 2 2 2" xfId="57894" xr:uid="{00000000-0005-0000-0000-0000B4C80000}"/>
    <cellStyle name="Normal 6 2 3 2 6 2 3" xfId="44332" xr:uid="{00000000-0005-0000-0000-0000B5C80000}"/>
    <cellStyle name="Normal 6 2 3 2 6 3" xfId="23980" xr:uid="{00000000-0005-0000-0000-0000B6C80000}"/>
    <cellStyle name="Normal 6 2 3 2 6 3 2" xfId="51113" xr:uid="{00000000-0005-0000-0000-0000B7C80000}"/>
    <cellStyle name="Normal 6 2 3 2 6 4" xfId="37551" xr:uid="{00000000-0005-0000-0000-0000B8C80000}"/>
    <cellStyle name="Normal 6 2 3 2 7" xfId="13804" xr:uid="{00000000-0005-0000-0000-0000B9C80000}"/>
    <cellStyle name="Normal 6 2 3 2 7 2" xfId="27372" xr:uid="{00000000-0005-0000-0000-0000BAC80000}"/>
    <cellStyle name="Normal 6 2 3 2 7 2 2" xfId="54505" xr:uid="{00000000-0005-0000-0000-0000BBC80000}"/>
    <cellStyle name="Normal 6 2 3 2 7 3" xfId="40943" xr:uid="{00000000-0005-0000-0000-0000BCC80000}"/>
    <cellStyle name="Normal 6 2 3 2 8" xfId="20591" xr:uid="{00000000-0005-0000-0000-0000BDC80000}"/>
    <cellStyle name="Normal 6 2 3 2 8 2" xfId="47724" xr:uid="{00000000-0005-0000-0000-0000BEC80000}"/>
    <cellStyle name="Normal 6 2 3 2 9" xfId="34162" xr:uid="{00000000-0005-0000-0000-0000BFC80000}"/>
    <cellStyle name="Normal 6 2 3 3" xfId="6881" xr:uid="{00000000-0005-0000-0000-0000C0C80000}"/>
    <cellStyle name="Normal 6 2 3 3 2" xfId="6882" xr:uid="{00000000-0005-0000-0000-0000C1C80000}"/>
    <cellStyle name="Normal 6 2 3 3 2 2" xfId="10412" xr:uid="{00000000-0005-0000-0000-0000C2C80000}"/>
    <cellStyle name="Normal 6 2 3 3 2 2 2" xfId="17202" xr:uid="{00000000-0005-0000-0000-0000C3C80000}"/>
    <cellStyle name="Normal 6 2 3 3 2 2 2 2" xfId="30770" xr:uid="{00000000-0005-0000-0000-0000C4C80000}"/>
    <cellStyle name="Normal 6 2 3 3 2 2 2 2 2" xfId="57903" xr:uid="{00000000-0005-0000-0000-0000C5C80000}"/>
    <cellStyle name="Normal 6 2 3 3 2 2 2 3" xfId="44341" xr:uid="{00000000-0005-0000-0000-0000C6C80000}"/>
    <cellStyle name="Normal 6 2 3 3 2 2 3" xfId="23989" xr:uid="{00000000-0005-0000-0000-0000C7C80000}"/>
    <cellStyle name="Normal 6 2 3 3 2 2 3 2" xfId="51122" xr:uid="{00000000-0005-0000-0000-0000C8C80000}"/>
    <cellStyle name="Normal 6 2 3 3 2 2 4" xfId="37560" xr:uid="{00000000-0005-0000-0000-0000C9C80000}"/>
    <cellStyle name="Normal 6 2 3 3 2 3" xfId="13813" xr:uid="{00000000-0005-0000-0000-0000CAC80000}"/>
    <cellStyle name="Normal 6 2 3 3 2 3 2" xfId="27381" xr:uid="{00000000-0005-0000-0000-0000CBC80000}"/>
    <cellStyle name="Normal 6 2 3 3 2 3 2 2" xfId="54514" xr:uid="{00000000-0005-0000-0000-0000CCC80000}"/>
    <cellStyle name="Normal 6 2 3 3 2 3 3" xfId="40952" xr:uid="{00000000-0005-0000-0000-0000CDC80000}"/>
    <cellStyle name="Normal 6 2 3 3 2 4" xfId="20600" xr:uid="{00000000-0005-0000-0000-0000CEC80000}"/>
    <cellStyle name="Normal 6 2 3 3 2 4 2" xfId="47733" xr:uid="{00000000-0005-0000-0000-0000CFC80000}"/>
    <cellStyle name="Normal 6 2 3 3 2 5" xfId="34171" xr:uid="{00000000-0005-0000-0000-0000D0C80000}"/>
    <cellStyle name="Normal 6 2 3 3 3" xfId="6883" xr:uid="{00000000-0005-0000-0000-0000D1C80000}"/>
    <cellStyle name="Normal 6 2 3 3 3 2" xfId="10413" xr:uid="{00000000-0005-0000-0000-0000D2C80000}"/>
    <cellStyle name="Normal 6 2 3 3 3 2 2" xfId="17203" xr:uid="{00000000-0005-0000-0000-0000D3C80000}"/>
    <cellStyle name="Normal 6 2 3 3 3 2 2 2" xfId="30771" xr:uid="{00000000-0005-0000-0000-0000D4C80000}"/>
    <cellStyle name="Normal 6 2 3 3 3 2 2 2 2" xfId="57904" xr:uid="{00000000-0005-0000-0000-0000D5C80000}"/>
    <cellStyle name="Normal 6 2 3 3 3 2 2 3" xfId="44342" xr:uid="{00000000-0005-0000-0000-0000D6C80000}"/>
    <cellStyle name="Normal 6 2 3 3 3 2 3" xfId="23990" xr:uid="{00000000-0005-0000-0000-0000D7C80000}"/>
    <cellStyle name="Normal 6 2 3 3 3 2 3 2" xfId="51123" xr:uid="{00000000-0005-0000-0000-0000D8C80000}"/>
    <cellStyle name="Normal 6 2 3 3 3 2 4" xfId="37561" xr:uid="{00000000-0005-0000-0000-0000D9C80000}"/>
    <cellStyle name="Normal 6 2 3 3 3 3" xfId="13814" xr:uid="{00000000-0005-0000-0000-0000DAC80000}"/>
    <cellStyle name="Normal 6 2 3 3 3 3 2" xfId="27382" xr:uid="{00000000-0005-0000-0000-0000DBC80000}"/>
    <cellStyle name="Normal 6 2 3 3 3 3 2 2" xfId="54515" xr:uid="{00000000-0005-0000-0000-0000DCC80000}"/>
    <cellStyle name="Normal 6 2 3 3 3 3 3" xfId="40953" xr:uid="{00000000-0005-0000-0000-0000DDC80000}"/>
    <cellStyle name="Normal 6 2 3 3 3 4" xfId="20601" xr:uid="{00000000-0005-0000-0000-0000DEC80000}"/>
    <cellStyle name="Normal 6 2 3 3 3 4 2" xfId="47734" xr:uid="{00000000-0005-0000-0000-0000DFC80000}"/>
    <cellStyle name="Normal 6 2 3 3 3 5" xfId="34172" xr:uid="{00000000-0005-0000-0000-0000E0C80000}"/>
    <cellStyle name="Normal 6 2 3 3 4" xfId="10411" xr:uid="{00000000-0005-0000-0000-0000E1C80000}"/>
    <cellStyle name="Normal 6 2 3 3 4 2" xfId="17201" xr:uid="{00000000-0005-0000-0000-0000E2C80000}"/>
    <cellStyle name="Normal 6 2 3 3 4 2 2" xfId="30769" xr:uid="{00000000-0005-0000-0000-0000E3C80000}"/>
    <cellStyle name="Normal 6 2 3 3 4 2 2 2" xfId="57902" xr:uid="{00000000-0005-0000-0000-0000E4C80000}"/>
    <cellStyle name="Normal 6 2 3 3 4 2 3" xfId="44340" xr:uid="{00000000-0005-0000-0000-0000E5C80000}"/>
    <cellStyle name="Normal 6 2 3 3 4 3" xfId="23988" xr:uid="{00000000-0005-0000-0000-0000E6C80000}"/>
    <cellStyle name="Normal 6 2 3 3 4 3 2" xfId="51121" xr:uid="{00000000-0005-0000-0000-0000E7C80000}"/>
    <cellStyle name="Normal 6 2 3 3 4 4" xfId="37559" xr:uid="{00000000-0005-0000-0000-0000E8C80000}"/>
    <cellStyle name="Normal 6 2 3 3 5" xfId="13812" xr:uid="{00000000-0005-0000-0000-0000E9C80000}"/>
    <cellStyle name="Normal 6 2 3 3 5 2" xfId="27380" xr:uid="{00000000-0005-0000-0000-0000EAC80000}"/>
    <cellStyle name="Normal 6 2 3 3 5 2 2" xfId="54513" xr:uid="{00000000-0005-0000-0000-0000EBC80000}"/>
    <cellStyle name="Normal 6 2 3 3 5 3" xfId="40951" xr:uid="{00000000-0005-0000-0000-0000ECC80000}"/>
    <cellStyle name="Normal 6 2 3 3 6" xfId="20599" xr:uid="{00000000-0005-0000-0000-0000EDC80000}"/>
    <cellStyle name="Normal 6 2 3 3 6 2" xfId="47732" xr:uid="{00000000-0005-0000-0000-0000EEC80000}"/>
    <cellStyle name="Normal 6 2 3 3 7" xfId="34170" xr:uid="{00000000-0005-0000-0000-0000EFC80000}"/>
    <cellStyle name="Normal 6 2 3 4" xfId="6884" xr:uid="{00000000-0005-0000-0000-0000F0C80000}"/>
    <cellStyle name="Normal 6 2 3 4 2" xfId="6885" xr:uid="{00000000-0005-0000-0000-0000F1C80000}"/>
    <cellStyle name="Normal 6 2 3 4 2 2" xfId="10415" xr:uid="{00000000-0005-0000-0000-0000F2C80000}"/>
    <cellStyle name="Normal 6 2 3 4 2 2 2" xfId="17205" xr:uid="{00000000-0005-0000-0000-0000F3C80000}"/>
    <cellStyle name="Normal 6 2 3 4 2 2 2 2" xfId="30773" xr:uid="{00000000-0005-0000-0000-0000F4C80000}"/>
    <cellStyle name="Normal 6 2 3 4 2 2 2 2 2" xfId="57906" xr:uid="{00000000-0005-0000-0000-0000F5C80000}"/>
    <cellStyle name="Normal 6 2 3 4 2 2 2 3" xfId="44344" xr:uid="{00000000-0005-0000-0000-0000F6C80000}"/>
    <cellStyle name="Normal 6 2 3 4 2 2 3" xfId="23992" xr:uid="{00000000-0005-0000-0000-0000F7C80000}"/>
    <cellStyle name="Normal 6 2 3 4 2 2 3 2" xfId="51125" xr:uid="{00000000-0005-0000-0000-0000F8C80000}"/>
    <cellStyle name="Normal 6 2 3 4 2 2 4" xfId="37563" xr:uid="{00000000-0005-0000-0000-0000F9C80000}"/>
    <cellStyle name="Normal 6 2 3 4 2 3" xfId="13816" xr:uid="{00000000-0005-0000-0000-0000FAC80000}"/>
    <cellStyle name="Normal 6 2 3 4 2 3 2" xfId="27384" xr:uid="{00000000-0005-0000-0000-0000FBC80000}"/>
    <cellStyle name="Normal 6 2 3 4 2 3 2 2" xfId="54517" xr:uid="{00000000-0005-0000-0000-0000FCC80000}"/>
    <cellStyle name="Normal 6 2 3 4 2 3 3" xfId="40955" xr:uid="{00000000-0005-0000-0000-0000FDC80000}"/>
    <cellStyle name="Normal 6 2 3 4 2 4" xfId="20603" xr:uid="{00000000-0005-0000-0000-0000FEC80000}"/>
    <cellStyle name="Normal 6 2 3 4 2 4 2" xfId="47736" xr:uid="{00000000-0005-0000-0000-0000FFC80000}"/>
    <cellStyle name="Normal 6 2 3 4 2 5" xfId="34174" xr:uid="{00000000-0005-0000-0000-000000C90000}"/>
    <cellStyle name="Normal 6 2 3 4 3" xfId="10414" xr:uid="{00000000-0005-0000-0000-000001C90000}"/>
    <cellStyle name="Normal 6 2 3 4 3 2" xfId="17204" xr:uid="{00000000-0005-0000-0000-000002C90000}"/>
    <cellStyle name="Normal 6 2 3 4 3 2 2" xfId="30772" xr:uid="{00000000-0005-0000-0000-000003C90000}"/>
    <cellStyle name="Normal 6 2 3 4 3 2 2 2" xfId="57905" xr:uid="{00000000-0005-0000-0000-000004C90000}"/>
    <cellStyle name="Normal 6 2 3 4 3 2 3" xfId="44343" xr:uid="{00000000-0005-0000-0000-000005C90000}"/>
    <cellStyle name="Normal 6 2 3 4 3 3" xfId="23991" xr:uid="{00000000-0005-0000-0000-000006C90000}"/>
    <cellStyle name="Normal 6 2 3 4 3 3 2" xfId="51124" xr:uid="{00000000-0005-0000-0000-000007C90000}"/>
    <cellStyle name="Normal 6 2 3 4 3 4" xfId="37562" xr:uid="{00000000-0005-0000-0000-000008C90000}"/>
    <cellStyle name="Normal 6 2 3 4 4" xfId="13815" xr:uid="{00000000-0005-0000-0000-000009C90000}"/>
    <cellStyle name="Normal 6 2 3 4 4 2" xfId="27383" xr:uid="{00000000-0005-0000-0000-00000AC90000}"/>
    <cellStyle name="Normal 6 2 3 4 4 2 2" xfId="54516" xr:uid="{00000000-0005-0000-0000-00000BC90000}"/>
    <cellStyle name="Normal 6 2 3 4 4 3" xfId="40954" xr:uid="{00000000-0005-0000-0000-00000CC90000}"/>
    <cellStyle name="Normal 6 2 3 4 5" xfId="20602" xr:uid="{00000000-0005-0000-0000-00000DC90000}"/>
    <cellStyle name="Normal 6 2 3 4 5 2" xfId="47735" xr:uid="{00000000-0005-0000-0000-00000EC90000}"/>
    <cellStyle name="Normal 6 2 3 4 6" xfId="34173" xr:uid="{00000000-0005-0000-0000-00000FC90000}"/>
    <cellStyle name="Normal 6 2 3 5" xfId="6886" xr:uid="{00000000-0005-0000-0000-000010C90000}"/>
    <cellStyle name="Normal 6 2 3 5 2" xfId="10416" xr:uid="{00000000-0005-0000-0000-000011C90000}"/>
    <cellStyle name="Normal 6 2 3 5 2 2" xfId="17206" xr:uid="{00000000-0005-0000-0000-000012C90000}"/>
    <cellStyle name="Normal 6 2 3 5 2 2 2" xfId="30774" xr:uid="{00000000-0005-0000-0000-000013C90000}"/>
    <cellStyle name="Normal 6 2 3 5 2 2 2 2" xfId="57907" xr:uid="{00000000-0005-0000-0000-000014C90000}"/>
    <cellStyle name="Normal 6 2 3 5 2 2 3" xfId="44345" xr:uid="{00000000-0005-0000-0000-000015C90000}"/>
    <cellStyle name="Normal 6 2 3 5 2 3" xfId="23993" xr:uid="{00000000-0005-0000-0000-000016C90000}"/>
    <cellStyle name="Normal 6 2 3 5 2 3 2" xfId="51126" xr:uid="{00000000-0005-0000-0000-000017C90000}"/>
    <cellStyle name="Normal 6 2 3 5 2 4" xfId="37564" xr:uid="{00000000-0005-0000-0000-000018C90000}"/>
    <cellStyle name="Normal 6 2 3 5 3" xfId="13817" xr:uid="{00000000-0005-0000-0000-000019C90000}"/>
    <cellStyle name="Normal 6 2 3 5 3 2" xfId="27385" xr:uid="{00000000-0005-0000-0000-00001AC90000}"/>
    <cellStyle name="Normal 6 2 3 5 3 2 2" xfId="54518" xr:uid="{00000000-0005-0000-0000-00001BC90000}"/>
    <cellStyle name="Normal 6 2 3 5 3 3" xfId="40956" xr:uid="{00000000-0005-0000-0000-00001CC90000}"/>
    <cellStyle name="Normal 6 2 3 5 4" xfId="20604" xr:uid="{00000000-0005-0000-0000-00001DC90000}"/>
    <cellStyle name="Normal 6 2 3 5 4 2" xfId="47737" xr:uid="{00000000-0005-0000-0000-00001EC90000}"/>
    <cellStyle name="Normal 6 2 3 5 5" xfId="34175" xr:uid="{00000000-0005-0000-0000-00001FC90000}"/>
    <cellStyle name="Normal 6 2 3 6" xfId="6887" xr:uid="{00000000-0005-0000-0000-000020C90000}"/>
    <cellStyle name="Normal 6 2 3 6 2" xfId="10417" xr:uid="{00000000-0005-0000-0000-000021C90000}"/>
    <cellStyle name="Normal 6 2 3 6 2 2" xfId="17207" xr:uid="{00000000-0005-0000-0000-000022C90000}"/>
    <cellStyle name="Normal 6 2 3 6 2 2 2" xfId="30775" xr:uid="{00000000-0005-0000-0000-000023C90000}"/>
    <cellStyle name="Normal 6 2 3 6 2 2 2 2" xfId="57908" xr:uid="{00000000-0005-0000-0000-000024C90000}"/>
    <cellStyle name="Normal 6 2 3 6 2 2 3" xfId="44346" xr:uid="{00000000-0005-0000-0000-000025C90000}"/>
    <cellStyle name="Normal 6 2 3 6 2 3" xfId="23994" xr:uid="{00000000-0005-0000-0000-000026C90000}"/>
    <cellStyle name="Normal 6 2 3 6 2 3 2" xfId="51127" xr:uid="{00000000-0005-0000-0000-000027C90000}"/>
    <cellStyle name="Normal 6 2 3 6 2 4" xfId="37565" xr:uid="{00000000-0005-0000-0000-000028C90000}"/>
    <cellStyle name="Normal 6 2 3 6 3" xfId="13818" xr:uid="{00000000-0005-0000-0000-000029C90000}"/>
    <cellStyle name="Normal 6 2 3 6 3 2" xfId="27386" xr:uid="{00000000-0005-0000-0000-00002AC90000}"/>
    <cellStyle name="Normal 6 2 3 6 3 2 2" xfId="54519" xr:uid="{00000000-0005-0000-0000-00002BC90000}"/>
    <cellStyle name="Normal 6 2 3 6 3 3" xfId="40957" xr:uid="{00000000-0005-0000-0000-00002CC90000}"/>
    <cellStyle name="Normal 6 2 3 6 4" xfId="20605" xr:uid="{00000000-0005-0000-0000-00002DC90000}"/>
    <cellStyle name="Normal 6 2 3 6 4 2" xfId="47738" xr:uid="{00000000-0005-0000-0000-00002EC90000}"/>
    <cellStyle name="Normal 6 2 3 6 5" xfId="34176" xr:uid="{00000000-0005-0000-0000-00002FC90000}"/>
    <cellStyle name="Normal 6 2 3 7" xfId="10402" xr:uid="{00000000-0005-0000-0000-000030C90000}"/>
    <cellStyle name="Normal 6 2 3 7 2" xfId="17192" xr:uid="{00000000-0005-0000-0000-000031C90000}"/>
    <cellStyle name="Normal 6 2 3 7 2 2" xfId="30760" xr:uid="{00000000-0005-0000-0000-000032C90000}"/>
    <cellStyle name="Normal 6 2 3 7 2 2 2" xfId="57893" xr:uid="{00000000-0005-0000-0000-000033C90000}"/>
    <cellStyle name="Normal 6 2 3 7 2 3" xfId="44331" xr:uid="{00000000-0005-0000-0000-000034C90000}"/>
    <cellStyle name="Normal 6 2 3 7 3" xfId="23979" xr:uid="{00000000-0005-0000-0000-000035C90000}"/>
    <cellStyle name="Normal 6 2 3 7 3 2" xfId="51112" xr:uid="{00000000-0005-0000-0000-000036C90000}"/>
    <cellStyle name="Normal 6 2 3 7 4" xfId="37550" xr:uid="{00000000-0005-0000-0000-000037C90000}"/>
    <cellStyle name="Normal 6 2 3 8" xfId="13803" xr:uid="{00000000-0005-0000-0000-000038C90000}"/>
    <cellStyle name="Normal 6 2 3 8 2" xfId="27371" xr:uid="{00000000-0005-0000-0000-000039C90000}"/>
    <cellStyle name="Normal 6 2 3 8 2 2" xfId="54504" xr:uid="{00000000-0005-0000-0000-00003AC90000}"/>
    <cellStyle name="Normal 6 2 3 8 3" xfId="40942" xr:uid="{00000000-0005-0000-0000-00003BC90000}"/>
    <cellStyle name="Normal 6 2 3 9" xfId="20590" xr:uid="{00000000-0005-0000-0000-00003CC90000}"/>
    <cellStyle name="Normal 6 2 3 9 2" xfId="47723" xr:uid="{00000000-0005-0000-0000-00003DC90000}"/>
    <cellStyle name="Normal 6 2 4" xfId="6888" xr:uid="{00000000-0005-0000-0000-00003EC90000}"/>
    <cellStyle name="Normal 6 2 4 2" xfId="6889" xr:uid="{00000000-0005-0000-0000-00003FC90000}"/>
    <cellStyle name="Normal 6 2 4 2 2" xfId="6890" xr:uid="{00000000-0005-0000-0000-000040C90000}"/>
    <cellStyle name="Normal 6 2 4 2 2 2" xfId="10420" xr:uid="{00000000-0005-0000-0000-000041C90000}"/>
    <cellStyle name="Normal 6 2 4 2 2 2 2" xfId="17210" xr:uid="{00000000-0005-0000-0000-000042C90000}"/>
    <cellStyle name="Normal 6 2 4 2 2 2 2 2" xfId="30778" xr:uid="{00000000-0005-0000-0000-000043C90000}"/>
    <cellStyle name="Normal 6 2 4 2 2 2 2 2 2" xfId="57911" xr:uid="{00000000-0005-0000-0000-000044C90000}"/>
    <cellStyle name="Normal 6 2 4 2 2 2 2 3" xfId="44349" xr:uid="{00000000-0005-0000-0000-000045C90000}"/>
    <cellStyle name="Normal 6 2 4 2 2 2 3" xfId="23997" xr:uid="{00000000-0005-0000-0000-000046C90000}"/>
    <cellStyle name="Normal 6 2 4 2 2 2 3 2" xfId="51130" xr:uid="{00000000-0005-0000-0000-000047C90000}"/>
    <cellStyle name="Normal 6 2 4 2 2 2 4" xfId="37568" xr:uid="{00000000-0005-0000-0000-000048C90000}"/>
    <cellStyle name="Normal 6 2 4 2 2 3" xfId="13821" xr:uid="{00000000-0005-0000-0000-000049C90000}"/>
    <cellStyle name="Normal 6 2 4 2 2 3 2" xfId="27389" xr:uid="{00000000-0005-0000-0000-00004AC90000}"/>
    <cellStyle name="Normal 6 2 4 2 2 3 2 2" xfId="54522" xr:uid="{00000000-0005-0000-0000-00004BC90000}"/>
    <cellStyle name="Normal 6 2 4 2 2 3 3" xfId="40960" xr:uid="{00000000-0005-0000-0000-00004CC90000}"/>
    <cellStyle name="Normal 6 2 4 2 2 4" xfId="20608" xr:uid="{00000000-0005-0000-0000-00004DC90000}"/>
    <cellStyle name="Normal 6 2 4 2 2 4 2" xfId="47741" xr:uid="{00000000-0005-0000-0000-00004EC90000}"/>
    <cellStyle name="Normal 6 2 4 2 2 5" xfId="34179" xr:uid="{00000000-0005-0000-0000-00004FC90000}"/>
    <cellStyle name="Normal 6 2 4 2 3" xfId="6891" xr:uid="{00000000-0005-0000-0000-000050C90000}"/>
    <cellStyle name="Normal 6 2 4 2 3 2" xfId="10421" xr:uid="{00000000-0005-0000-0000-000051C90000}"/>
    <cellStyle name="Normal 6 2 4 2 3 2 2" xfId="17211" xr:uid="{00000000-0005-0000-0000-000052C90000}"/>
    <cellStyle name="Normal 6 2 4 2 3 2 2 2" xfId="30779" xr:uid="{00000000-0005-0000-0000-000053C90000}"/>
    <cellStyle name="Normal 6 2 4 2 3 2 2 2 2" xfId="57912" xr:uid="{00000000-0005-0000-0000-000054C90000}"/>
    <cellStyle name="Normal 6 2 4 2 3 2 2 3" xfId="44350" xr:uid="{00000000-0005-0000-0000-000055C90000}"/>
    <cellStyle name="Normal 6 2 4 2 3 2 3" xfId="23998" xr:uid="{00000000-0005-0000-0000-000056C90000}"/>
    <cellStyle name="Normal 6 2 4 2 3 2 3 2" xfId="51131" xr:uid="{00000000-0005-0000-0000-000057C90000}"/>
    <cellStyle name="Normal 6 2 4 2 3 2 4" xfId="37569" xr:uid="{00000000-0005-0000-0000-000058C90000}"/>
    <cellStyle name="Normal 6 2 4 2 3 3" xfId="13822" xr:uid="{00000000-0005-0000-0000-000059C90000}"/>
    <cellStyle name="Normal 6 2 4 2 3 3 2" xfId="27390" xr:uid="{00000000-0005-0000-0000-00005AC90000}"/>
    <cellStyle name="Normal 6 2 4 2 3 3 2 2" xfId="54523" xr:uid="{00000000-0005-0000-0000-00005BC90000}"/>
    <cellStyle name="Normal 6 2 4 2 3 3 3" xfId="40961" xr:uid="{00000000-0005-0000-0000-00005CC90000}"/>
    <cellStyle name="Normal 6 2 4 2 3 4" xfId="20609" xr:uid="{00000000-0005-0000-0000-00005DC90000}"/>
    <cellStyle name="Normal 6 2 4 2 3 4 2" xfId="47742" xr:uid="{00000000-0005-0000-0000-00005EC90000}"/>
    <cellStyle name="Normal 6 2 4 2 3 5" xfId="34180" xr:uid="{00000000-0005-0000-0000-00005FC90000}"/>
    <cellStyle name="Normal 6 2 4 2 4" xfId="10419" xr:uid="{00000000-0005-0000-0000-000060C90000}"/>
    <cellStyle name="Normal 6 2 4 2 4 2" xfId="17209" xr:uid="{00000000-0005-0000-0000-000061C90000}"/>
    <cellStyle name="Normal 6 2 4 2 4 2 2" xfId="30777" xr:uid="{00000000-0005-0000-0000-000062C90000}"/>
    <cellStyle name="Normal 6 2 4 2 4 2 2 2" xfId="57910" xr:uid="{00000000-0005-0000-0000-000063C90000}"/>
    <cellStyle name="Normal 6 2 4 2 4 2 3" xfId="44348" xr:uid="{00000000-0005-0000-0000-000064C90000}"/>
    <cellStyle name="Normal 6 2 4 2 4 3" xfId="23996" xr:uid="{00000000-0005-0000-0000-000065C90000}"/>
    <cellStyle name="Normal 6 2 4 2 4 3 2" xfId="51129" xr:uid="{00000000-0005-0000-0000-000066C90000}"/>
    <cellStyle name="Normal 6 2 4 2 4 4" xfId="37567" xr:uid="{00000000-0005-0000-0000-000067C90000}"/>
    <cellStyle name="Normal 6 2 4 2 5" xfId="13820" xr:uid="{00000000-0005-0000-0000-000068C90000}"/>
    <cellStyle name="Normal 6 2 4 2 5 2" xfId="27388" xr:uid="{00000000-0005-0000-0000-000069C90000}"/>
    <cellStyle name="Normal 6 2 4 2 5 2 2" xfId="54521" xr:uid="{00000000-0005-0000-0000-00006AC90000}"/>
    <cellStyle name="Normal 6 2 4 2 5 3" xfId="40959" xr:uid="{00000000-0005-0000-0000-00006BC90000}"/>
    <cellStyle name="Normal 6 2 4 2 6" xfId="20607" xr:uid="{00000000-0005-0000-0000-00006CC90000}"/>
    <cellStyle name="Normal 6 2 4 2 6 2" xfId="47740" xr:uid="{00000000-0005-0000-0000-00006DC90000}"/>
    <cellStyle name="Normal 6 2 4 2 7" xfId="34178" xr:uid="{00000000-0005-0000-0000-00006EC90000}"/>
    <cellStyle name="Normal 6 2 4 3" xfId="6892" xr:uid="{00000000-0005-0000-0000-00006FC90000}"/>
    <cellStyle name="Normal 6 2 4 3 2" xfId="6893" xr:uid="{00000000-0005-0000-0000-000070C90000}"/>
    <cellStyle name="Normal 6 2 4 3 2 2" xfId="10423" xr:uid="{00000000-0005-0000-0000-000071C90000}"/>
    <cellStyle name="Normal 6 2 4 3 2 2 2" xfId="17213" xr:uid="{00000000-0005-0000-0000-000072C90000}"/>
    <cellStyle name="Normal 6 2 4 3 2 2 2 2" xfId="30781" xr:uid="{00000000-0005-0000-0000-000073C90000}"/>
    <cellStyle name="Normal 6 2 4 3 2 2 2 2 2" xfId="57914" xr:uid="{00000000-0005-0000-0000-000074C90000}"/>
    <cellStyle name="Normal 6 2 4 3 2 2 2 3" xfId="44352" xr:uid="{00000000-0005-0000-0000-000075C90000}"/>
    <cellStyle name="Normal 6 2 4 3 2 2 3" xfId="24000" xr:uid="{00000000-0005-0000-0000-000076C90000}"/>
    <cellStyle name="Normal 6 2 4 3 2 2 3 2" xfId="51133" xr:uid="{00000000-0005-0000-0000-000077C90000}"/>
    <cellStyle name="Normal 6 2 4 3 2 2 4" xfId="37571" xr:uid="{00000000-0005-0000-0000-000078C90000}"/>
    <cellStyle name="Normal 6 2 4 3 2 3" xfId="13824" xr:uid="{00000000-0005-0000-0000-000079C90000}"/>
    <cellStyle name="Normal 6 2 4 3 2 3 2" xfId="27392" xr:uid="{00000000-0005-0000-0000-00007AC90000}"/>
    <cellStyle name="Normal 6 2 4 3 2 3 2 2" xfId="54525" xr:uid="{00000000-0005-0000-0000-00007BC90000}"/>
    <cellStyle name="Normal 6 2 4 3 2 3 3" xfId="40963" xr:uid="{00000000-0005-0000-0000-00007CC90000}"/>
    <cellStyle name="Normal 6 2 4 3 2 4" xfId="20611" xr:uid="{00000000-0005-0000-0000-00007DC90000}"/>
    <cellStyle name="Normal 6 2 4 3 2 4 2" xfId="47744" xr:uid="{00000000-0005-0000-0000-00007EC90000}"/>
    <cellStyle name="Normal 6 2 4 3 2 5" xfId="34182" xr:uid="{00000000-0005-0000-0000-00007FC90000}"/>
    <cellStyle name="Normal 6 2 4 3 3" xfId="10422" xr:uid="{00000000-0005-0000-0000-000080C90000}"/>
    <cellStyle name="Normal 6 2 4 3 3 2" xfId="17212" xr:uid="{00000000-0005-0000-0000-000081C90000}"/>
    <cellStyle name="Normal 6 2 4 3 3 2 2" xfId="30780" xr:uid="{00000000-0005-0000-0000-000082C90000}"/>
    <cellStyle name="Normal 6 2 4 3 3 2 2 2" xfId="57913" xr:uid="{00000000-0005-0000-0000-000083C90000}"/>
    <cellStyle name="Normal 6 2 4 3 3 2 3" xfId="44351" xr:uid="{00000000-0005-0000-0000-000084C90000}"/>
    <cellStyle name="Normal 6 2 4 3 3 3" xfId="23999" xr:uid="{00000000-0005-0000-0000-000085C90000}"/>
    <cellStyle name="Normal 6 2 4 3 3 3 2" xfId="51132" xr:uid="{00000000-0005-0000-0000-000086C90000}"/>
    <cellStyle name="Normal 6 2 4 3 3 4" xfId="37570" xr:uid="{00000000-0005-0000-0000-000087C90000}"/>
    <cellStyle name="Normal 6 2 4 3 4" xfId="13823" xr:uid="{00000000-0005-0000-0000-000088C90000}"/>
    <cellStyle name="Normal 6 2 4 3 4 2" xfId="27391" xr:uid="{00000000-0005-0000-0000-000089C90000}"/>
    <cellStyle name="Normal 6 2 4 3 4 2 2" xfId="54524" xr:uid="{00000000-0005-0000-0000-00008AC90000}"/>
    <cellStyle name="Normal 6 2 4 3 4 3" xfId="40962" xr:uid="{00000000-0005-0000-0000-00008BC90000}"/>
    <cellStyle name="Normal 6 2 4 3 5" xfId="20610" xr:uid="{00000000-0005-0000-0000-00008CC90000}"/>
    <cellStyle name="Normal 6 2 4 3 5 2" xfId="47743" xr:uid="{00000000-0005-0000-0000-00008DC90000}"/>
    <cellStyle name="Normal 6 2 4 3 6" xfId="34181" xr:uid="{00000000-0005-0000-0000-00008EC90000}"/>
    <cellStyle name="Normal 6 2 4 4" xfId="6894" xr:uid="{00000000-0005-0000-0000-00008FC90000}"/>
    <cellStyle name="Normal 6 2 4 4 2" xfId="10424" xr:uid="{00000000-0005-0000-0000-000090C90000}"/>
    <cellStyle name="Normal 6 2 4 4 2 2" xfId="17214" xr:uid="{00000000-0005-0000-0000-000091C90000}"/>
    <cellStyle name="Normal 6 2 4 4 2 2 2" xfId="30782" xr:uid="{00000000-0005-0000-0000-000092C90000}"/>
    <cellStyle name="Normal 6 2 4 4 2 2 2 2" xfId="57915" xr:uid="{00000000-0005-0000-0000-000093C90000}"/>
    <cellStyle name="Normal 6 2 4 4 2 2 3" xfId="44353" xr:uid="{00000000-0005-0000-0000-000094C90000}"/>
    <cellStyle name="Normal 6 2 4 4 2 3" xfId="24001" xr:uid="{00000000-0005-0000-0000-000095C90000}"/>
    <cellStyle name="Normal 6 2 4 4 2 3 2" xfId="51134" xr:uid="{00000000-0005-0000-0000-000096C90000}"/>
    <cellStyle name="Normal 6 2 4 4 2 4" xfId="37572" xr:uid="{00000000-0005-0000-0000-000097C90000}"/>
    <cellStyle name="Normal 6 2 4 4 3" xfId="13825" xr:uid="{00000000-0005-0000-0000-000098C90000}"/>
    <cellStyle name="Normal 6 2 4 4 3 2" xfId="27393" xr:uid="{00000000-0005-0000-0000-000099C90000}"/>
    <cellStyle name="Normal 6 2 4 4 3 2 2" xfId="54526" xr:uid="{00000000-0005-0000-0000-00009AC90000}"/>
    <cellStyle name="Normal 6 2 4 4 3 3" xfId="40964" xr:uid="{00000000-0005-0000-0000-00009BC90000}"/>
    <cellStyle name="Normal 6 2 4 4 4" xfId="20612" xr:uid="{00000000-0005-0000-0000-00009CC90000}"/>
    <cellStyle name="Normal 6 2 4 4 4 2" xfId="47745" xr:uid="{00000000-0005-0000-0000-00009DC90000}"/>
    <cellStyle name="Normal 6 2 4 4 5" xfId="34183" xr:uid="{00000000-0005-0000-0000-00009EC90000}"/>
    <cellStyle name="Normal 6 2 4 5" xfId="6895" xr:uid="{00000000-0005-0000-0000-00009FC90000}"/>
    <cellStyle name="Normal 6 2 4 5 2" xfId="10425" xr:uid="{00000000-0005-0000-0000-0000A0C90000}"/>
    <cellStyle name="Normal 6 2 4 5 2 2" xfId="17215" xr:uid="{00000000-0005-0000-0000-0000A1C90000}"/>
    <cellStyle name="Normal 6 2 4 5 2 2 2" xfId="30783" xr:uid="{00000000-0005-0000-0000-0000A2C90000}"/>
    <cellStyle name="Normal 6 2 4 5 2 2 2 2" xfId="57916" xr:uid="{00000000-0005-0000-0000-0000A3C90000}"/>
    <cellStyle name="Normal 6 2 4 5 2 2 3" xfId="44354" xr:uid="{00000000-0005-0000-0000-0000A4C90000}"/>
    <cellStyle name="Normal 6 2 4 5 2 3" xfId="24002" xr:uid="{00000000-0005-0000-0000-0000A5C90000}"/>
    <cellStyle name="Normal 6 2 4 5 2 3 2" xfId="51135" xr:uid="{00000000-0005-0000-0000-0000A6C90000}"/>
    <cellStyle name="Normal 6 2 4 5 2 4" xfId="37573" xr:uid="{00000000-0005-0000-0000-0000A7C90000}"/>
    <cellStyle name="Normal 6 2 4 5 3" xfId="13826" xr:uid="{00000000-0005-0000-0000-0000A8C90000}"/>
    <cellStyle name="Normal 6 2 4 5 3 2" xfId="27394" xr:uid="{00000000-0005-0000-0000-0000A9C90000}"/>
    <cellStyle name="Normal 6 2 4 5 3 2 2" xfId="54527" xr:uid="{00000000-0005-0000-0000-0000AAC90000}"/>
    <cellStyle name="Normal 6 2 4 5 3 3" xfId="40965" xr:uid="{00000000-0005-0000-0000-0000ABC90000}"/>
    <cellStyle name="Normal 6 2 4 5 4" xfId="20613" xr:uid="{00000000-0005-0000-0000-0000ACC90000}"/>
    <cellStyle name="Normal 6 2 4 5 4 2" xfId="47746" xr:uid="{00000000-0005-0000-0000-0000ADC90000}"/>
    <cellStyle name="Normal 6 2 4 5 5" xfId="34184" xr:uid="{00000000-0005-0000-0000-0000AEC90000}"/>
    <cellStyle name="Normal 6 2 4 6" xfId="10418" xr:uid="{00000000-0005-0000-0000-0000AFC90000}"/>
    <cellStyle name="Normal 6 2 4 6 2" xfId="17208" xr:uid="{00000000-0005-0000-0000-0000B0C90000}"/>
    <cellStyle name="Normal 6 2 4 6 2 2" xfId="30776" xr:uid="{00000000-0005-0000-0000-0000B1C90000}"/>
    <cellStyle name="Normal 6 2 4 6 2 2 2" xfId="57909" xr:uid="{00000000-0005-0000-0000-0000B2C90000}"/>
    <cellStyle name="Normal 6 2 4 6 2 3" xfId="44347" xr:uid="{00000000-0005-0000-0000-0000B3C90000}"/>
    <cellStyle name="Normal 6 2 4 6 3" xfId="23995" xr:uid="{00000000-0005-0000-0000-0000B4C90000}"/>
    <cellStyle name="Normal 6 2 4 6 3 2" xfId="51128" xr:uid="{00000000-0005-0000-0000-0000B5C90000}"/>
    <cellStyle name="Normal 6 2 4 6 4" xfId="37566" xr:uid="{00000000-0005-0000-0000-0000B6C90000}"/>
    <cellStyle name="Normal 6 2 4 7" xfId="13819" xr:uid="{00000000-0005-0000-0000-0000B7C90000}"/>
    <cellStyle name="Normal 6 2 4 7 2" xfId="27387" xr:uid="{00000000-0005-0000-0000-0000B8C90000}"/>
    <cellStyle name="Normal 6 2 4 7 2 2" xfId="54520" xr:uid="{00000000-0005-0000-0000-0000B9C90000}"/>
    <cellStyle name="Normal 6 2 4 7 3" xfId="40958" xr:uid="{00000000-0005-0000-0000-0000BAC90000}"/>
    <cellStyle name="Normal 6 2 4 8" xfId="20606" xr:uid="{00000000-0005-0000-0000-0000BBC90000}"/>
    <cellStyle name="Normal 6 2 4 8 2" xfId="47739" xr:uid="{00000000-0005-0000-0000-0000BCC90000}"/>
    <cellStyle name="Normal 6 2 4 9" xfId="34177" xr:uid="{00000000-0005-0000-0000-0000BDC90000}"/>
    <cellStyle name="Normal 6 2 5" xfId="6896" xr:uid="{00000000-0005-0000-0000-0000BEC90000}"/>
    <cellStyle name="Normal 6 2 5 2" xfId="6897" xr:uid="{00000000-0005-0000-0000-0000BFC90000}"/>
    <cellStyle name="Normal 6 2 5 2 2" xfId="6898" xr:uid="{00000000-0005-0000-0000-0000C0C90000}"/>
    <cellStyle name="Normal 6 2 5 2 2 2" xfId="10428" xr:uid="{00000000-0005-0000-0000-0000C1C90000}"/>
    <cellStyle name="Normal 6 2 5 2 2 2 2" xfId="17218" xr:uid="{00000000-0005-0000-0000-0000C2C90000}"/>
    <cellStyle name="Normal 6 2 5 2 2 2 2 2" xfId="30786" xr:uid="{00000000-0005-0000-0000-0000C3C90000}"/>
    <cellStyle name="Normal 6 2 5 2 2 2 2 2 2" xfId="57919" xr:uid="{00000000-0005-0000-0000-0000C4C90000}"/>
    <cellStyle name="Normal 6 2 5 2 2 2 2 3" xfId="44357" xr:uid="{00000000-0005-0000-0000-0000C5C90000}"/>
    <cellStyle name="Normal 6 2 5 2 2 2 3" xfId="24005" xr:uid="{00000000-0005-0000-0000-0000C6C90000}"/>
    <cellStyle name="Normal 6 2 5 2 2 2 3 2" xfId="51138" xr:uid="{00000000-0005-0000-0000-0000C7C90000}"/>
    <cellStyle name="Normal 6 2 5 2 2 2 4" xfId="37576" xr:uid="{00000000-0005-0000-0000-0000C8C90000}"/>
    <cellStyle name="Normal 6 2 5 2 2 3" xfId="13829" xr:uid="{00000000-0005-0000-0000-0000C9C90000}"/>
    <cellStyle name="Normal 6 2 5 2 2 3 2" xfId="27397" xr:uid="{00000000-0005-0000-0000-0000CAC90000}"/>
    <cellStyle name="Normal 6 2 5 2 2 3 2 2" xfId="54530" xr:uid="{00000000-0005-0000-0000-0000CBC90000}"/>
    <cellStyle name="Normal 6 2 5 2 2 3 3" xfId="40968" xr:uid="{00000000-0005-0000-0000-0000CCC90000}"/>
    <cellStyle name="Normal 6 2 5 2 2 4" xfId="20616" xr:uid="{00000000-0005-0000-0000-0000CDC90000}"/>
    <cellStyle name="Normal 6 2 5 2 2 4 2" xfId="47749" xr:uid="{00000000-0005-0000-0000-0000CEC90000}"/>
    <cellStyle name="Normal 6 2 5 2 2 5" xfId="34187" xr:uid="{00000000-0005-0000-0000-0000CFC90000}"/>
    <cellStyle name="Normal 6 2 5 2 3" xfId="6899" xr:uid="{00000000-0005-0000-0000-0000D0C90000}"/>
    <cellStyle name="Normal 6 2 5 2 3 2" xfId="10429" xr:uid="{00000000-0005-0000-0000-0000D1C90000}"/>
    <cellStyle name="Normal 6 2 5 2 3 2 2" xfId="17219" xr:uid="{00000000-0005-0000-0000-0000D2C90000}"/>
    <cellStyle name="Normal 6 2 5 2 3 2 2 2" xfId="30787" xr:uid="{00000000-0005-0000-0000-0000D3C90000}"/>
    <cellStyle name="Normal 6 2 5 2 3 2 2 2 2" xfId="57920" xr:uid="{00000000-0005-0000-0000-0000D4C90000}"/>
    <cellStyle name="Normal 6 2 5 2 3 2 2 3" xfId="44358" xr:uid="{00000000-0005-0000-0000-0000D5C90000}"/>
    <cellStyle name="Normal 6 2 5 2 3 2 3" xfId="24006" xr:uid="{00000000-0005-0000-0000-0000D6C90000}"/>
    <cellStyle name="Normal 6 2 5 2 3 2 3 2" xfId="51139" xr:uid="{00000000-0005-0000-0000-0000D7C90000}"/>
    <cellStyle name="Normal 6 2 5 2 3 2 4" xfId="37577" xr:uid="{00000000-0005-0000-0000-0000D8C90000}"/>
    <cellStyle name="Normal 6 2 5 2 3 3" xfId="13830" xr:uid="{00000000-0005-0000-0000-0000D9C90000}"/>
    <cellStyle name="Normal 6 2 5 2 3 3 2" xfId="27398" xr:uid="{00000000-0005-0000-0000-0000DAC90000}"/>
    <cellStyle name="Normal 6 2 5 2 3 3 2 2" xfId="54531" xr:uid="{00000000-0005-0000-0000-0000DBC90000}"/>
    <cellStyle name="Normal 6 2 5 2 3 3 3" xfId="40969" xr:uid="{00000000-0005-0000-0000-0000DCC90000}"/>
    <cellStyle name="Normal 6 2 5 2 3 4" xfId="20617" xr:uid="{00000000-0005-0000-0000-0000DDC90000}"/>
    <cellStyle name="Normal 6 2 5 2 3 4 2" xfId="47750" xr:uid="{00000000-0005-0000-0000-0000DEC90000}"/>
    <cellStyle name="Normal 6 2 5 2 3 5" xfId="34188" xr:uid="{00000000-0005-0000-0000-0000DFC90000}"/>
    <cellStyle name="Normal 6 2 5 2 4" xfId="10427" xr:uid="{00000000-0005-0000-0000-0000E0C90000}"/>
    <cellStyle name="Normal 6 2 5 2 4 2" xfId="17217" xr:uid="{00000000-0005-0000-0000-0000E1C90000}"/>
    <cellStyle name="Normal 6 2 5 2 4 2 2" xfId="30785" xr:uid="{00000000-0005-0000-0000-0000E2C90000}"/>
    <cellStyle name="Normal 6 2 5 2 4 2 2 2" xfId="57918" xr:uid="{00000000-0005-0000-0000-0000E3C90000}"/>
    <cellStyle name="Normal 6 2 5 2 4 2 3" xfId="44356" xr:uid="{00000000-0005-0000-0000-0000E4C90000}"/>
    <cellStyle name="Normal 6 2 5 2 4 3" xfId="24004" xr:uid="{00000000-0005-0000-0000-0000E5C90000}"/>
    <cellStyle name="Normal 6 2 5 2 4 3 2" xfId="51137" xr:uid="{00000000-0005-0000-0000-0000E6C90000}"/>
    <cellStyle name="Normal 6 2 5 2 4 4" xfId="37575" xr:uid="{00000000-0005-0000-0000-0000E7C90000}"/>
    <cellStyle name="Normal 6 2 5 2 5" xfId="13828" xr:uid="{00000000-0005-0000-0000-0000E8C90000}"/>
    <cellStyle name="Normal 6 2 5 2 5 2" xfId="27396" xr:uid="{00000000-0005-0000-0000-0000E9C90000}"/>
    <cellStyle name="Normal 6 2 5 2 5 2 2" xfId="54529" xr:uid="{00000000-0005-0000-0000-0000EAC90000}"/>
    <cellStyle name="Normal 6 2 5 2 5 3" xfId="40967" xr:uid="{00000000-0005-0000-0000-0000EBC90000}"/>
    <cellStyle name="Normal 6 2 5 2 6" xfId="20615" xr:uid="{00000000-0005-0000-0000-0000ECC90000}"/>
    <cellStyle name="Normal 6 2 5 2 6 2" xfId="47748" xr:uid="{00000000-0005-0000-0000-0000EDC90000}"/>
    <cellStyle name="Normal 6 2 5 2 7" xfId="34186" xr:uid="{00000000-0005-0000-0000-0000EEC90000}"/>
    <cellStyle name="Normal 6 2 5 3" xfId="6900" xr:uid="{00000000-0005-0000-0000-0000EFC90000}"/>
    <cellStyle name="Normal 6 2 5 3 2" xfId="10430" xr:uid="{00000000-0005-0000-0000-0000F0C90000}"/>
    <cellStyle name="Normal 6 2 5 3 2 2" xfId="17220" xr:uid="{00000000-0005-0000-0000-0000F1C90000}"/>
    <cellStyle name="Normal 6 2 5 3 2 2 2" xfId="30788" xr:uid="{00000000-0005-0000-0000-0000F2C90000}"/>
    <cellStyle name="Normal 6 2 5 3 2 2 2 2" xfId="57921" xr:uid="{00000000-0005-0000-0000-0000F3C90000}"/>
    <cellStyle name="Normal 6 2 5 3 2 2 3" xfId="44359" xr:uid="{00000000-0005-0000-0000-0000F4C90000}"/>
    <cellStyle name="Normal 6 2 5 3 2 3" xfId="24007" xr:uid="{00000000-0005-0000-0000-0000F5C90000}"/>
    <cellStyle name="Normal 6 2 5 3 2 3 2" xfId="51140" xr:uid="{00000000-0005-0000-0000-0000F6C90000}"/>
    <cellStyle name="Normal 6 2 5 3 2 4" xfId="37578" xr:uid="{00000000-0005-0000-0000-0000F7C90000}"/>
    <cellStyle name="Normal 6 2 5 3 3" xfId="13831" xr:uid="{00000000-0005-0000-0000-0000F8C90000}"/>
    <cellStyle name="Normal 6 2 5 3 3 2" xfId="27399" xr:uid="{00000000-0005-0000-0000-0000F9C90000}"/>
    <cellStyle name="Normal 6 2 5 3 3 2 2" xfId="54532" xr:uid="{00000000-0005-0000-0000-0000FAC90000}"/>
    <cellStyle name="Normal 6 2 5 3 3 3" xfId="40970" xr:uid="{00000000-0005-0000-0000-0000FBC90000}"/>
    <cellStyle name="Normal 6 2 5 3 4" xfId="20618" xr:uid="{00000000-0005-0000-0000-0000FCC90000}"/>
    <cellStyle name="Normal 6 2 5 3 4 2" xfId="47751" xr:uid="{00000000-0005-0000-0000-0000FDC90000}"/>
    <cellStyle name="Normal 6 2 5 3 5" xfId="34189" xr:uid="{00000000-0005-0000-0000-0000FEC90000}"/>
    <cellStyle name="Normal 6 2 5 4" xfId="6901" xr:uid="{00000000-0005-0000-0000-0000FFC90000}"/>
    <cellStyle name="Normal 6 2 5 4 2" xfId="10431" xr:uid="{00000000-0005-0000-0000-000000CA0000}"/>
    <cellStyle name="Normal 6 2 5 4 2 2" xfId="17221" xr:uid="{00000000-0005-0000-0000-000001CA0000}"/>
    <cellStyle name="Normal 6 2 5 4 2 2 2" xfId="30789" xr:uid="{00000000-0005-0000-0000-000002CA0000}"/>
    <cellStyle name="Normal 6 2 5 4 2 2 2 2" xfId="57922" xr:uid="{00000000-0005-0000-0000-000003CA0000}"/>
    <cellStyle name="Normal 6 2 5 4 2 2 3" xfId="44360" xr:uid="{00000000-0005-0000-0000-000004CA0000}"/>
    <cellStyle name="Normal 6 2 5 4 2 3" xfId="24008" xr:uid="{00000000-0005-0000-0000-000005CA0000}"/>
    <cellStyle name="Normal 6 2 5 4 2 3 2" xfId="51141" xr:uid="{00000000-0005-0000-0000-000006CA0000}"/>
    <cellStyle name="Normal 6 2 5 4 2 4" xfId="37579" xr:uid="{00000000-0005-0000-0000-000007CA0000}"/>
    <cellStyle name="Normal 6 2 5 4 3" xfId="13832" xr:uid="{00000000-0005-0000-0000-000008CA0000}"/>
    <cellStyle name="Normal 6 2 5 4 3 2" xfId="27400" xr:uid="{00000000-0005-0000-0000-000009CA0000}"/>
    <cellStyle name="Normal 6 2 5 4 3 2 2" xfId="54533" xr:uid="{00000000-0005-0000-0000-00000ACA0000}"/>
    <cellStyle name="Normal 6 2 5 4 3 3" xfId="40971" xr:uid="{00000000-0005-0000-0000-00000BCA0000}"/>
    <cellStyle name="Normal 6 2 5 4 4" xfId="20619" xr:uid="{00000000-0005-0000-0000-00000CCA0000}"/>
    <cellStyle name="Normal 6 2 5 4 4 2" xfId="47752" xr:uid="{00000000-0005-0000-0000-00000DCA0000}"/>
    <cellStyle name="Normal 6 2 5 4 5" xfId="34190" xr:uid="{00000000-0005-0000-0000-00000ECA0000}"/>
    <cellStyle name="Normal 6 2 5 5" xfId="10426" xr:uid="{00000000-0005-0000-0000-00000FCA0000}"/>
    <cellStyle name="Normal 6 2 5 5 2" xfId="17216" xr:uid="{00000000-0005-0000-0000-000010CA0000}"/>
    <cellStyle name="Normal 6 2 5 5 2 2" xfId="30784" xr:uid="{00000000-0005-0000-0000-000011CA0000}"/>
    <cellStyle name="Normal 6 2 5 5 2 2 2" xfId="57917" xr:uid="{00000000-0005-0000-0000-000012CA0000}"/>
    <cellStyle name="Normal 6 2 5 5 2 3" xfId="44355" xr:uid="{00000000-0005-0000-0000-000013CA0000}"/>
    <cellStyle name="Normal 6 2 5 5 3" xfId="24003" xr:uid="{00000000-0005-0000-0000-000014CA0000}"/>
    <cellStyle name="Normal 6 2 5 5 3 2" xfId="51136" xr:uid="{00000000-0005-0000-0000-000015CA0000}"/>
    <cellStyle name="Normal 6 2 5 5 4" xfId="37574" xr:uid="{00000000-0005-0000-0000-000016CA0000}"/>
    <cellStyle name="Normal 6 2 5 6" xfId="13827" xr:uid="{00000000-0005-0000-0000-000017CA0000}"/>
    <cellStyle name="Normal 6 2 5 6 2" xfId="27395" xr:uid="{00000000-0005-0000-0000-000018CA0000}"/>
    <cellStyle name="Normal 6 2 5 6 2 2" xfId="54528" xr:uid="{00000000-0005-0000-0000-000019CA0000}"/>
    <cellStyle name="Normal 6 2 5 6 3" xfId="40966" xr:uid="{00000000-0005-0000-0000-00001ACA0000}"/>
    <cellStyle name="Normal 6 2 5 7" xfId="20614" xr:uid="{00000000-0005-0000-0000-00001BCA0000}"/>
    <cellStyle name="Normal 6 2 5 7 2" xfId="47747" xr:uid="{00000000-0005-0000-0000-00001CCA0000}"/>
    <cellStyle name="Normal 6 2 5 8" xfId="34185" xr:uid="{00000000-0005-0000-0000-00001DCA0000}"/>
    <cellStyle name="Normal 6 2 6" xfId="6902" xr:uid="{00000000-0005-0000-0000-00001ECA0000}"/>
    <cellStyle name="Normal 6 2 6 2" xfId="6903" xr:uid="{00000000-0005-0000-0000-00001FCA0000}"/>
    <cellStyle name="Normal 6 2 6 2 2" xfId="6904" xr:uid="{00000000-0005-0000-0000-000020CA0000}"/>
    <cellStyle name="Normal 6 2 6 2 2 2" xfId="10434" xr:uid="{00000000-0005-0000-0000-000021CA0000}"/>
    <cellStyle name="Normal 6 2 6 2 2 2 2" xfId="17224" xr:uid="{00000000-0005-0000-0000-000022CA0000}"/>
    <cellStyle name="Normal 6 2 6 2 2 2 2 2" xfId="30792" xr:uid="{00000000-0005-0000-0000-000023CA0000}"/>
    <cellStyle name="Normal 6 2 6 2 2 2 2 2 2" xfId="57925" xr:uid="{00000000-0005-0000-0000-000024CA0000}"/>
    <cellStyle name="Normal 6 2 6 2 2 2 2 3" xfId="44363" xr:uid="{00000000-0005-0000-0000-000025CA0000}"/>
    <cellStyle name="Normal 6 2 6 2 2 2 3" xfId="24011" xr:uid="{00000000-0005-0000-0000-000026CA0000}"/>
    <cellStyle name="Normal 6 2 6 2 2 2 3 2" xfId="51144" xr:uid="{00000000-0005-0000-0000-000027CA0000}"/>
    <cellStyle name="Normal 6 2 6 2 2 2 4" xfId="37582" xr:uid="{00000000-0005-0000-0000-000028CA0000}"/>
    <cellStyle name="Normal 6 2 6 2 2 3" xfId="13835" xr:uid="{00000000-0005-0000-0000-000029CA0000}"/>
    <cellStyle name="Normal 6 2 6 2 2 3 2" xfId="27403" xr:uid="{00000000-0005-0000-0000-00002ACA0000}"/>
    <cellStyle name="Normal 6 2 6 2 2 3 2 2" xfId="54536" xr:uid="{00000000-0005-0000-0000-00002BCA0000}"/>
    <cellStyle name="Normal 6 2 6 2 2 3 3" xfId="40974" xr:uid="{00000000-0005-0000-0000-00002CCA0000}"/>
    <cellStyle name="Normal 6 2 6 2 2 4" xfId="20622" xr:uid="{00000000-0005-0000-0000-00002DCA0000}"/>
    <cellStyle name="Normal 6 2 6 2 2 4 2" xfId="47755" xr:uid="{00000000-0005-0000-0000-00002ECA0000}"/>
    <cellStyle name="Normal 6 2 6 2 2 5" xfId="34193" xr:uid="{00000000-0005-0000-0000-00002FCA0000}"/>
    <cellStyle name="Normal 6 2 6 2 3" xfId="6905" xr:uid="{00000000-0005-0000-0000-000030CA0000}"/>
    <cellStyle name="Normal 6 2 6 2 3 2" xfId="10435" xr:uid="{00000000-0005-0000-0000-000031CA0000}"/>
    <cellStyle name="Normal 6 2 6 2 3 2 2" xfId="17225" xr:uid="{00000000-0005-0000-0000-000032CA0000}"/>
    <cellStyle name="Normal 6 2 6 2 3 2 2 2" xfId="30793" xr:uid="{00000000-0005-0000-0000-000033CA0000}"/>
    <cellStyle name="Normal 6 2 6 2 3 2 2 2 2" xfId="57926" xr:uid="{00000000-0005-0000-0000-000034CA0000}"/>
    <cellStyle name="Normal 6 2 6 2 3 2 2 3" xfId="44364" xr:uid="{00000000-0005-0000-0000-000035CA0000}"/>
    <cellStyle name="Normal 6 2 6 2 3 2 3" xfId="24012" xr:uid="{00000000-0005-0000-0000-000036CA0000}"/>
    <cellStyle name="Normal 6 2 6 2 3 2 3 2" xfId="51145" xr:uid="{00000000-0005-0000-0000-000037CA0000}"/>
    <cellStyle name="Normal 6 2 6 2 3 2 4" xfId="37583" xr:uid="{00000000-0005-0000-0000-000038CA0000}"/>
    <cellStyle name="Normal 6 2 6 2 3 3" xfId="13836" xr:uid="{00000000-0005-0000-0000-000039CA0000}"/>
    <cellStyle name="Normal 6 2 6 2 3 3 2" xfId="27404" xr:uid="{00000000-0005-0000-0000-00003ACA0000}"/>
    <cellStyle name="Normal 6 2 6 2 3 3 2 2" xfId="54537" xr:uid="{00000000-0005-0000-0000-00003BCA0000}"/>
    <cellStyle name="Normal 6 2 6 2 3 3 3" xfId="40975" xr:uid="{00000000-0005-0000-0000-00003CCA0000}"/>
    <cellStyle name="Normal 6 2 6 2 3 4" xfId="20623" xr:uid="{00000000-0005-0000-0000-00003DCA0000}"/>
    <cellStyle name="Normal 6 2 6 2 3 4 2" xfId="47756" xr:uid="{00000000-0005-0000-0000-00003ECA0000}"/>
    <cellStyle name="Normal 6 2 6 2 3 5" xfId="34194" xr:uid="{00000000-0005-0000-0000-00003FCA0000}"/>
    <cellStyle name="Normal 6 2 6 2 4" xfId="10433" xr:uid="{00000000-0005-0000-0000-000040CA0000}"/>
    <cellStyle name="Normal 6 2 6 2 4 2" xfId="17223" xr:uid="{00000000-0005-0000-0000-000041CA0000}"/>
    <cellStyle name="Normal 6 2 6 2 4 2 2" xfId="30791" xr:uid="{00000000-0005-0000-0000-000042CA0000}"/>
    <cellStyle name="Normal 6 2 6 2 4 2 2 2" xfId="57924" xr:uid="{00000000-0005-0000-0000-000043CA0000}"/>
    <cellStyle name="Normal 6 2 6 2 4 2 3" xfId="44362" xr:uid="{00000000-0005-0000-0000-000044CA0000}"/>
    <cellStyle name="Normal 6 2 6 2 4 3" xfId="24010" xr:uid="{00000000-0005-0000-0000-000045CA0000}"/>
    <cellStyle name="Normal 6 2 6 2 4 3 2" xfId="51143" xr:uid="{00000000-0005-0000-0000-000046CA0000}"/>
    <cellStyle name="Normal 6 2 6 2 4 4" xfId="37581" xr:uid="{00000000-0005-0000-0000-000047CA0000}"/>
    <cellStyle name="Normal 6 2 6 2 5" xfId="13834" xr:uid="{00000000-0005-0000-0000-000048CA0000}"/>
    <cellStyle name="Normal 6 2 6 2 5 2" xfId="27402" xr:uid="{00000000-0005-0000-0000-000049CA0000}"/>
    <cellStyle name="Normal 6 2 6 2 5 2 2" xfId="54535" xr:uid="{00000000-0005-0000-0000-00004ACA0000}"/>
    <cellStyle name="Normal 6 2 6 2 5 3" xfId="40973" xr:uid="{00000000-0005-0000-0000-00004BCA0000}"/>
    <cellStyle name="Normal 6 2 6 2 6" xfId="20621" xr:uid="{00000000-0005-0000-0000-00004CCA0000}"/>
    <cellStyle name="Normal 6 2 6 2 6 2" xfId="47754" xr:uid="{00000000-0005-0000-0000-00004DCA0000}"/>
    <cellStyle name="Normal 6 2 6 2 7" xfId="34192" xr:uid="{00000000-0005-0000-0000-00004ECA0000}"/>
    <cellStyle name="Normal 6 2 6 3" xfId="6906" xr:uid="{00000000-0005-0000-0000-00004FCA0000}"/>
    <cellStyle name="Normal 6 2 6 3 2" xfId="10436" xr:uid="{00000000-0005-0000-0000-000050CA0000}"/>
    <cellStyle name="Normal 6 2 6 3 2 2" xfId="17226" xr:uid="{00000000-0005-0000-0000-000051CA0000}"/>
    <cellStyle name="Normal 6 2 6 3 2 2 2" xfId="30794" xr:uid="{00000000-0005-0000-0000-000052CA0000}"/>
    <cellStyle name="Normal 6 2 6 3 2 2 2 2" xfId="57927" xr:uid="{00000000-0005-0000-0000-000053CA0000}"/>
    <cellStyle name="Normal 6 2 6 3 2 2 3" xfId="44365" xr:uid="{00000000-0005-0000-0000-000054CA0000}"/>
    <cellStyle name="Normal 6 2 6 3 2 3" xfId="24013" xr:uid="{00000000-0005-0000-0000-000055CA0000}"/>
    <cellStyle name="Normal 6 2 6 3 2 3 2" xfId="51146" xr:uid="{00000000-0005-0000-0000-000056CA0000}"/>
    <cellStyle name="Normal 6 2 6 3 2 4" xfId="37584" xr:uid="{00000000-0005-0000-0000-000057CA0000}"/>
    <cellStyle name="Normal 6 2 6 3 3" xfId="13837" xr:uid="{00000000-0005-0000-0000-000058CA0000}"/>
    <cellStyle name="Normal 6 2 6 3 3 2" xfId="27405" xr:uid="{00000000-0005-0000-0000-000059CA0000}"/>
    <cellStyle name="Normal 6 2 6 3 3 2 2" xfId="54538" xr:uid="{00000000-0005-0000-0000-00005ACA0000}"/>
    <cellStyle name="Normal 6 2 6 3 3 3" xfId="40976" xr:uid="{00000000-0005-0000-0000-00005BCA0000}"/>
    <cellStyle name="Normal 6 2 6 3 4" xfId="20624" xr:uid="{00000000-0005-0000-0000-00005CCA0000}"/>
    <cellStyle name="Normal 6 2 6 3 4 2" xfId="47757" xr:uid="{00000000-0005-0000-0000-00005DCA0000}"/>
    <cellStyle name="Normal 6 2 6 3 5" xfId="34195" xr:uid="{00000000-0005-0000-0000-00005ECA0000}"/>
    <cellStyle name="Normal 6 2 6 4" xfId="6907" xr:uid="{00000000-0005-0000-0000-00005FCA0000}"/>
    <cellStyle name="Normal 6 2 6 4 2" xfId="10437" xr:uid="{00000000-0005-0000-0000-000060CA0000}"/>
    <cellStyle name="Normal 6 2 6 4 2 2" xfId="17227" xr:uid="{00000000-0005-0000-0000-000061CA0000}"/>
    <cellStyle name="Normal 6 2 6 4 2 2 2" xfId="30795" xr:uid="{00000000-0005-0000-0000-000062CA0000}"/>
    <cellStyle name="Normal 6 2 6 4 2 2 2 2" xfId="57928" xr:uid="{00000000-0005-0000-0000-000063CA0000}"/>
    <cellStyle name="Normal 6 2 6 4 2 2 3" xfId="44366" xr:uid="{00000000-0005-0000-0000-000064CA0000}"/>
    <cellStyle name="Normal 6 2 6 4 2 3" xfId="24014" xr:uid="{00000000-0005-0000-0000-000065CA0000}"/>
    <cellStyle name="Normal 6 2 6 4 2 3 2" xfId="51147" xr:uid="{00000000-0005-0000-0000-000066CA0000}"/>
    <cellStyle name="Normal 6 2 6 4 2 4" xfId="37585" xr:uid="{00000000-0005-0000-0000-000067CA0000}"/>
    <cellStyle name="Normal 6 2 6 4 3" xfId="13838" xr:uid="{00000000-0005-0000-0000-000068CA0000}"/>
    <cellStyle name="Normal 6 2 6 4 3 2" xfId="27406" xr:uid="{00000000-0005-0000-0000-000069CA0000}"/>
    <cellStyle name="Normal 6 2 6 4 3 2 2" xfId="54539" xr:uid="{00000000-0005-0000-0000-00006ACA0000}"/>
    <cellStyle name="Normal 6 2 6 4 3 3" xfId="40977" xr:uid="{00000000-0005-0000-0000-00006BCA0000}"/>
    <cellStyle name="Normal 6 2 6 4 4" xfId="20625" xr:uid="{00000000-0005-0000-0000-00006CCA0000}"/>
    <cellStyle name="Normal 6 2 6 4 4 2" xfId="47758" xr:uid="{00000000-0005-0000-0000-00006DCA0000}"/>
    <cellStyle name="Normal 6 2 6 4 5" xfId="34196" xr:uid="{00000000-0005-0000-0000-00006ECA0000}"/>
    <cellStyle name="Normal 6 2 6 5" xfId="10432" xr:uid="{00000000-0005-0000-0000-00006FCA0000}"/>
    <cellStyle name="Normal 6 2 6 5 2" xfId="17222" xr:uid="{00000000-0005-0000-0000-000070CA0000}"/>
    <cellStyle name="Normal 6 2 6 5 2 2" xfId="30790" xr:uid="{00000000-0005-0000-0000-000071CA0000}"/>
    <cellStyle name="Normal 6 2 6 5 2 2 2" xfId="57923" xr:uid="{00000000-0005-0000-0000-000072CA0000}"/>
    <cellStyle name="Normal 6 2 6 5 2 3" xfId="44361" xr:uid="{00000000-0005-0000-0000-000073CA0000}"/>
    <cellStyle name="Normal 6 2 6 5 3" xfId="24009" xr:uid="{00000000-0005-0000-0000-000074CA0000}"/>
    <cellStyle name="Normal 6 2 6 5 3 2" xfId="51142" xr:uid="{00000000-0005-0000-0000-000075CA0000}"/>
    <cellStyle name="Normal 6 2 6 5 4" xfId="37580" xr:uid="{00000000-0005-0000-0000-000076CA0000}"/>
    <cellStyle name="Normal 6 2 6 6" xfId="13833" xr:uid="{00000000-0005-0000-0000-000077CA0000}"/>
    <cellStyle name="Normal 6 2 6 6 2" xfId="27401" xr:uid="{00000000-0005-0000-0000-000078CA0000}"/>
    <cellStyle name="Normal 6 2 6 6 2 2" xfId="54534" xr:uid="{00000000-0005-0000-0000-000079CA0000}"/>
    <cellStyle name="Normal 6 2 6 6 3" xfId="40972" xr:uid="{00000000-0005-0000-0000-00007ACA0000}"/>
    <cellStyle name="Normal 6 2 6 7" xfId="20620" xr:uid="{00000000-0005-0000-0000-00007BCA0000}"/>
    <cellStyle name="Normal 6 2 6 7 2" xfId="47753" xr:uid="{00000000-0005-0000-0000-00007CCA0000}"/>
    <cellStyle name="Normal 6 2 6 8" xfId="34191" xr:uid="{00000000-0005-0000-0000-00007DCA0000}"/>
    <cellStyle name="Normal 6 2 7" xfId="6908" xr:uid="{00000000-0005-0000-0000-00007ECA0000}"/>
    <cellStyle name="Normal 6 2 7 2" xfId="6909" xr:uid="{00000000-0005-0000-0000-00007FCA0000}"/>
    <cellStyle name="Normal 6 2 7 2 2" xfId="10439" xr:uid="{00000000-0005-0000-0000-000080CA0000}"/>
    <cellStyle name="Normal 6 2 7 2 2 2" xfId="17229" xr:uid="{00000000-0005-0000-0000-000081CA0000}"/>
    <cellStyle name="Normal 6 2 7 2 2 2 2" xfId="30797" xr:uid="{00000000-0005-0000-0000-000082CA0000}"/>
    <cellStyle name="Normal 6 2 7 2 2 2 2 2" xfId="57930" xr:uid="{00000000-0005-0000-0000-000083CA0000}"/>
    <cellStyle name="Normal 6 2 7 2 2 2 3" xfId="44368" xr:uid="{00000000-0005-0000-0000-000084CA0000}"/>
    <cellStyle name="Normal 6 2 7 2 2 3" xfId="24016" xr:uid="{00000000-0005-0000-0000-000085CA0000}"/>
    <cellStyle name="Normal 6 2 7 2 2 3 2" xfId="51149" xr:uid="{00000000-0005-0000-0000-000086CA0000}"/>
    <cellStyle name="Normal 6 2 7 2 2 4" xfId="37587" xr:uid="{00000000-0005-0000-0000-000087CA0000}"/>
    <cellStyle name="Normal 6 2 7 2 3" xfId="13840" xr:uid="{00000000-0005-0000-0000-000088CA0000}"/>
    <cellStyle name="Normal 6 2 7 2 3 2" xfId="27408" xr:uid="{00000000-0005-0000-0000-000089CA0000}"/>
    <cellStyle name="Normal 6 2 7 2 3 2 2" xfId="54541" xr:uid="{00000000-0005-0000-0000-00008ACA0000}"/>
    <cellStyle name="Normal 6 2 7 2 3 3" xfId="40979" xr:uid="{00000000-0005-0000-0000-00008BCA0000}"/>
    <cellStyle name="Normal 6 2 7 2 4" xfId="20627" xr:uid="{00000000-0005-0000-0000-00008CCA0000}"/>
    <cellStyle name="Normal 6 2 7 2 4 2" xfId="47760" xr:uid="{00000000-0005-0000-0000-00008DCA0000}"/>
    <cellStyle name="Normal 6 2 7 2 5" xfId="34198" xr:uid="{00000000-0005-0000-0000-00008ECA0000}"/>
    <cellStyle name="Normal 6 2 7 3" xfId="6910" xr:uid="{00000000-0005-0000-0000-00008FCA0000}"/>
    <cellStyle name="Normal 6 2 7 3 2" xfId="10440" xr:uid="{00000000-0005-0000-0000-000090CA0000}"/>
    <cellStyle name="Normal 6 2 7 3 2 2" xfId="17230" xr:uid="{00000000-0005-0000-0000-000091CA0000}"/>
    <cellStyle name="Normal 6 2 7 3 2 2 2" xfId="30798" xr:uid="{00000000-0005-0000-0000-000092CA0000}"/>
    <cellStyle name="Normal 6 2 7 3 2 2 2 2" xfId="57931" xr:uid="{00000000-0005-0000-0000-000093CA0000}"/>
    <cellStyle name="Normal 6 2 7 3 2 2 3" xfId="44369" xr:uid="{00000000-0005-0000-0000-000094CA0000}"/>
    <cellStyle name="Normal 6 2 7 3 2 3" xfId="24017" xr:uid="{00000000-0005-0000-0000-000095CA0000}"/>
    <cellStyle name="Normal 6 2 7 3 2 3 2" xfId="51150" xr:uid="{00000000-0005-0000-0000-000096CA0000}"/>
    <cellStyle name="Normal 6 2 7 3 2 4" xfId="37588" xr:uid="{00000000-0005-0000-0000-000097CA0000}"/>
    <cellStyle name="Normal 6 2 7 3 3" xfId="13841" xr:uid="{00000000-0005-0000-0000-000098CA0000}"/>
    <cellStyle name="Normal 6 2 7 3 3 2" xfId="27409" xr:uid="{00000000-0005-0000-0000-000099CA0000}"/>
    <cellStyle name="Normal 6 2 7 3 3 2 2" xfId="54542" xr:uid="{00000000-0005-0000-0000-00009ACA0000}"/>
    <cellStyle name="Normal 6 2 7 3 3 3" xfId="40980" xr:uid="{00000000-0005-0000-0000-00009BCA0000}"/>
    <cellStyle name="Normal 6 2 7 3 4" xfId="20628" xr:uid="{00000000-0005-0000-0000-00009CCA0000}"/>
    <cellStyle name="Normal 6 2 7 3 4 2" xfId="47761" xr:uid="{00000000-0005-0000-0000-00009DCA0000}"/>
    <cellStyle name="Normal 6 2 7 3 5" xfId="34199" xr:uid="{00000000-0005-0000-0000-00009ECA0000}"/>
    <cellStyle name="Normal 6 2 7 4" xfId="10438" xr:uid="{00000000-0005-0000-0000-00009FCA0000}"/>
    <cellStyle name="Normal 6 2 7 4 2" xfId="17228" xr:uid="{00000000-0005-0000-0000-0000A0CA0000}"/>
    <cellStyle name="Normal 6 2 7 4 2 2" xfId="30796" xr:uid="{00000000-0005-0000-0000-0000A1CA0000}"/>
    <cellStyle name="Normal 6 2 7 4 2 2 2" xfId="57929" xr:uid="{00000000-0005-0000-0000-0000A2CA0000}"/>
    <cellStyle name="Normal 6 2 7 4 2 3" xfId="44367" xr:uid="{00000000-0005-0000-0000-0000A3CA0000}"/>
    <cellStyle name="Normal 6 2 7 4 3" xfId="24015" xr:uid="{00000000-0005-0000-0000-0000A4CA0000}"/>
    <cellStyle name="Normal 6 2 7 4 3 2" xfId="51148" xr:uid="{00000000-0005-0000-0000-0000A5CA0000}"/>
    <cellStyle name="Normal 6 2 7 4 4" xfId="37586" xr:uid="{00000000-0005-0000-0000-0000A6CA0000}"/>
    <cellStyle name="Normal 6 2 7 5" xfId="13839" xr:uid="{00000000-0005-0000-0000-0000A7CA0000}"/>
    <cellStyle name="Normal 6 2 7 5 2" xfId="27407" xr:uid="{00000000-0005-0000-0000-0000A8CA0000}"/>
    <cellStyle name="Normal 6 2 7 5 2 2" xfId="54540" xr:uid="{00000000-0005-0000-0000-0000A9CA0000}"/>
    <cellStyle name="Normal 6 2 7 5 3" xfId="40978" xr:uid="{00000000-0005-0000-0000-0000AACA0000}"/>
    <cellStyle name="Normal 6 2 7 6" xfId="20626" xr:uid="{00000000-0005-0000-0000-0000ABCA0000}"/>
    <cellStyle name="Normal 6 2 7 6 2" xfId="47759" xr:uid="{00000000-0005-0000-0000-0000ACCA0000}"/>
    <cellStyle name="Normal 6 2 7 7" xfId="34197" xr:uid="{00000000-0005-0000-0000-0000ADCA0000}"/>
    <cellStyle name="Normal 6 2 8" xfId="6911" xr:uid="{00000000-0005-0000-0000-0000AECA0000}"/>
    <cellStyle name="Normal 6 2 8 2" xfId="6912" xr:uid="{00000000-0005-0000-0000-0000AFCA0000}"/>
    <cellStyle name="Normal 6 2 8 2 2" xfId="10442" xr:uid="{00000000-0005-0000-0000-0000B0CA0000}"/>
    <cellStyle name="Normal 6 2 8 2 2 2" xfId="17232" xr:uid="{00000000-0005-0000-0000-0000B1CA0000}"/>
    <cellStyle name="Normal 6 2 8 2 2 2 2" xfId="30800" xr:uid="{00000000-0005-0000-0000-0000B2CA0000}"/>
    <cellStyle name="Normal 6 2 8 2 2 2 2 2" xfId="57933" xr:uid="{00000000-0005-0000-0000-0000B3CA0000}"/>
    <cellStyle name="Normal 6 2 8 2 2 2 3" xfId="44371" xr:uid="{00000000-0005-0000-0000-0000B4CA0000}"/>
    <cellStyle name="Normal 6 2 8 2 2 3" xfId="24019" xr:uid="{00000000-0005-0000-0000-0000B5CA0000}"/>
    <cellStyle name="Normal 6 2 8 2 2 3 2" xfId="51152" xr:uid="{00000000-0005-0000-0000-0000B6CA0000}"/>
    <cellStyle name="Normal 6 2 8 2 2 4" xfId="37590" xr:uid="{00000000-0005-0000-0000-0000B7CA0000}"/>
    <cellStyle name="Normal 6 2 8 2 3" xfId="13843" xr:uid="{00000000-0005-0000-0000-0000B8CA0000}"/>
    <cellStyle name="Normal 6 2 8 2 3 2" xfId="27411" xr:uid="{00000000-0005-0000-0000-0000B9CA0000}"/>
    <cellStyle name="Normal 6 2 8 2 3 2 2" xfId="54544" xr:uid="{00000000-0005-0000-0000-0000BACA0000}"/>
    <cellStyle name="Normal 6 2 8 2 3 3" xfId="40982" xr:uid="{00000000-0005-0000-0000-0000BBCA0000}"/>
    <cellStyle name="Normal 6 2 8 2 4" xfId="20630" xr:uid="{00000000-0005-0000-0000-0000BCCA0000}"/>
    <cellStyle name="Normal 6 2 8 2 4 2" xfId="47763" xr:uid="{00000000-0005-0000-0000-0000BDCA0000}"/>
    <cellStyle name="Normal 6 2 8 2 5" xfId="34201" xr:uid="{00000000-0005-0000-0000-0000BECA0000}"/>
    <cellStyle name="Normal 6 2 8 3" xfId="6913" xr:uid="{00000000-0005-0000-0000-0000BFCA0000}"/>
    <cellStyle name="Normal 6 2 8 3 2" xfId="10443" xr:uid="{00000000-0005-0000-0000-0000C0CA0000}"/>
    <cellStyle name="Normal 6 2 8 3 2 2" xfId="17233" xr:uid="{00000000-0005-0000-0000-0000C1CA0000}"/>
    <cellStyle name="Normal 6 2 8 3 2 2 2" xfId="30801" xr:uid="{00000000-0005-0000-0000-0000C2CA0000}"/>
    <cellStyle name="Normal 6 2 8 3 2 2 2 2" xfId="57934" xr:uid="{00000000-0005-0000-0000-0000C3CA0000}"/>
    <cellStyle name="Normal 6 2 8 3 2 2 3" xfId="44372" xr:uid="{00000000-0005-0000-0000-0000C4CA0000}"/>
    <cellStyle name="Normal 6 2 8 3 2 3" xfId="24020" xr:uid="{00000000-0005-0000-0000-0000C5CA0000}"/>
    <cellStyle name="Normal 6 2 8 3 2 3 2" xfId="51153" xr:uid="{00000000-0005-0000-0000-0000C6CA0000}"/>
    <cellStyle name="Normal 6 2 8 3 2 4" xfId="37591" xr:uid="{00000000-0005-0000-0000-0000C7CA0000}"/>
    <cellStyle name="Normal 6 2 8 3 3" xfId="13844" xr:uid="{00000000-0005-0000-0000-0000C8CA0000}"/>
    <cellStyle name="Normal 6 2 8 3 3 2" xfId="27412" xr:uid="{00000000-0005-0000-0000-0000C9CA0000}"/>
    <cellStyle name="Normal 6 2 8 3 3 2 2" xfId="54545" xr:uid="{00000000-0005-0000-0000-0000CACA0000}"/>
    <cellStyle name="Normal 6 2 8 3 3 3" xfId="40983" xr:uid="{00000000-0005-0000-0000-0000CBCA0000}"/>
    <cellStyle name="Normal 6 2 8 3 4" xfId="20631" xr:uid="{00000000-0005-0000-0000-0000CCCA0000}"/>
    <cellStyle name="Normal 6 2 8 3 4 2" xfId="47764" xr:uid="{00000000-0005-0000-0000-0000CDCA0000}"/>
    <cellStyle name="Normal 6 2 8 3 5" xfId="34202" xr:uid="{00000000-0005-0000-0000-0000CECA0000}"/>
    <cellStyle name="Normal 6 2 8 4" xfId="10441" xr:uid="{00000000-0005-0000-0000-0000CFCA0000}"/>
    <cellStyle name="Normal 6 2 8 4 2" xfId="17231" xr:uid="{00000000-0005-0000-0000-0000D0CA0000}"/>
    <cellStyle name="Normal 6 2 8 4 2 2" xfId="30799" xr:uid="{00000000-0005-0000-0000-0000D1CA0000}"/>
    <cellStyle name="Normal 6 2 8 4 2 2 2" xfId="57932" xr:uid="{00000000-0005-0000-0000-0000D2CA0000}"/>
    <cellStyle name="Normal 6 2 8 4 2 3" xfId="44370" xr:uid="{00000000-0005-0000-0000-0000D3CA0000}"/>
    <cellStyle name="Normal 6 2 8 4 3" xfId="24018" xr:uid="{00000000-0005-0000-0000-0000D4CA0000}"/>
    <cellStyle name="Normal 6 2 8 4 3 2" xfId="51151" xr:uid="{00000000-0005-0000-0000-0000D5CA0000}"/>
    <cellStyle name="Normal 6 2 8 4 4" xfId="37589" xr:uid="{00000000-0005-0000-0000-0000D6CA0000}"/>
    <cellStyle name="Normal 6 2 8 5" xfId="13842" xr:uid="{00000000-0005-0000-0000-0000D7CA0000}"/>
    <cellStyle name="Normal 6 2 8 5 2" xfId="27410" xr:uid="{00000000-0005-0000-0000-0000D8CA0000}"/>
    <cellStyle name="Normal 6 2 8 5 2 2" xfId="54543" xr:uid="{00000000-0005-0000-0000-0000D9CA0000}"/>
    <cellStyle name="Normal 6 2 8 5 3" xfId="40981" xr:uid="{00000000-0005-0000-0000-0000DACA0000}"/>
    <cellStyle name="Normal 6 2 8 6" xfId="20629" xr:uid="{00000000-0005-0000-0000-0000DBCA0000}"/>
    <cellStyle name="Normal 6 2 8 6 2" xfId="47762" xr:uid="{00000000-0005-0000-0000-0000DCCA0000}"/>
    <cellStyle name="Normal 6 2 8 7" xfId="34200" xr:uid="{00000000-0005-0000-0000-0000DDCA0000}"/>
    <cellStyle name="Normal 6 2 9" xfId="6914" xr:uid="{00000000-0005-0000-0000-0000DECA0000}"/>
    <cellStyle name="Normal 6 2 9 2" xfId="10444" xr:uid="{00000000-0005-0000-0000-0000DFCA0000}"/>
    <cellStyle name="Normal 6 2 9 2 2" xfId="17234" xr:uid="{00000000-0005-0000-0000-0000E0CA0000}"/>
    <cellStyle name="Normal 6 2 9 2 2 2" xfId="30802" xr:uid="{00000000-0005-0000-0000-0000E1CA0000}"/>
    <cellStyle name="Normal 6 2 9 2 2 2 2" xfId="57935" xr:uid="{00000000-0005-0000-0000-0000E2CA0000}"/>
    <cellStyle name="Normal 6 2 9 2 2 3" xfId="44373" xr:uid="{00000000-0005-0000-0000-0000E3CA0000}"/>
    <cellStyle name="Normal 6 2 9 2 3" xfId="24021" xr:uid="{00000000-0005-0000-0000-0000E4CA0000}"/>
    <cellStyle name="Normal 6 2 9 2 3 2" xfId="51154" xr:uid="{00000000-0005-0000-0000-0000E5CA0000}"/>
    <cellStyle name="Normal 6 2 9 2 4" xfId="37592" xr:uid="{00000000-0005-0000-0000-0000E6CA0000}"/>
    <cellStyle name="Normal 6 2 9 3" xfId="13845" xr:uid="{00000000-0005-0000-0000-0000E7CA0000}"/>
    <cellStyle name="Normal 6 2 9 3 2" xfId="27413" xr:uid="{00000000-0005-0000-0000-0000E8CA0000}"/>
    <cellStyle name="Normal 6 2 9 3 2 2" xfId="54546" xr:uid="{00000000-0005-0000-0000-0000E9CA0000}"/>
    <cellStyle name="Normal 6 2 9 3 3" xfId="40984" xr:uid="{00000000-0005-0000-0000-0000EACA0000}"/>
    <cellStyle name="Normal 6 2 9 4" xfId="20632" xr:uid="{00000000-0005-0000-0000-0000EBCA0000}"/>
    <cellStyle name="Normal 6 2 9 4 2" xfId="47765" xr:uid="{00000000-0005-0000-0000-0000ECCA0000}"/>
    <cellStyle name="Normal 6 2 9 5" xfId="34203" xr:uid="{00000000-0005-0000-0000-0000EDCA0000}"/>
    <cellStyle name="Normal 6 3" xfId="6915" xr:uid="{00000000-0005-0000-0000-0000EECA0000}"/>
    <cellStyle name="Normal 6 3 10" xfId="6916" xr:uid="{00000000-0005-0000-0000-0000EFCA0000}"/>
    <cellStyle name="Normal 6 3 10 2" xfId="10446" xr:uid="{00000000-0005-0000-0000-0000F0CA0000}"/>
    <cellStyle name="Normal 6 3 10 2 2" xfId="17236" xr:uid="{00000000-0005-0000-0000-0000F1CA0000}"/>
    <cellStyle name="Normal 6 3 10 2 2 2" xfId="30804" xr:uid="{00000000-0005-0000-0000-0000F2CA0000}"/>
    <cellStyle name="Normal 6 3 10 2 2 2 2" xfId="57937" xr:uid="{00000000-0005-0000-0000-0000F3CA0000}"/>
    <cellStyle name="Normal 6 3 10 2 2 3" xfId="44375" xr:uid="{00000000-0005-0000-0000-0000F4CA0000}"/>
    <cellStyle name="Normal 6 3 10 2 3" xfId="24023" xr:uid="{00000000-0005-0000-0000-0000F5CA0000}"/>
    <cellStyle name="Normal 6 3 10 2 3 2" xfId="51156" xr:uid="{00000000-0005-0000-0000-0000F6CA0000}"/>
    <cellStyle name="Normal 6 3 10 2 4" xfId="37594" xr:uid="{00000000-0005-0000-0000-0000F7CA0000}"/>
    <cellStyle name="Normal 6 3 10 3" xfId="13847" xr:uid="{00000000-0005-0000-0000-0000F8CA0000}"/>
    <cellStyle name="Normal 6 3 10 3 2" xfId="27415" xr:uid="{00000000-0005-0000-0000-0000F9CA0000}"/>
    <cellStyle name="Normal 6 3 10 3 2 2" xfId="54548" xr:uid="{00000000-0005-0000-0000-0000FACA0000}"/>
    <cellStyle name="Normal 6 3 10 3 3" xfId="40986" xr:uid="{00000000-0005-0000-0000-0000FBCA0000}"/>
    <cellStyle name="Normal 6 3 10 4" xfId="20634" xr:uid="{00000000-0005-0000-0000-0000FCCA0000}"/>
    <cellStyle name="Normal 6 3 10 4 2" xfId="47767" xr:uid="{00000000-0005-0000-0000-0000FDCA0000}"/>
    <cellStyle name="Normal 6 3 10 5" xfId="34205" xr:uid="{00000000-0005-0000-0000-0000FECA0000}"/>
    <cellStyle name="Normal 6 3 11" xfId="10445" xr:uid="{00000000-0005-0000-0000-0000FFCA0000}"/>
    <cellStyle name="Normal 6 3 11 2" xfId="17235" xr:uid="{00000000-0005-0000-0000-000000CB0000}"/>
    <cellStyle name="Normal 6 3 11 2 2" xfId="30803" xr:uid="{00000000-0005-0000-0000-000001CB0000}"/>
    <cellStyle name="Normal 6 3 11 2 2 2" xfId="57936" xr:uid="{00000000-0005-0000-0000-000002CB0000}"/>
    <cellStyle name="Normal 6 3 11 2 3" xfId="44374" xr:uid="{00000000-0005-0000-0000-000003CB0000}"/>
    <cellStyle name="Normal 6 3 11 3" xfId="24022" xr:uid="{00000000-0005-0000-0000-000004CB0000}"/>
    <cellStyle name="Normal 6 3 11 3 2" xfId="51155" xr:uid="{00000000-0005-0000-0000-000005CB0000}"/>
    <cellStyle name="Normal 6 3 11 4" xfId="37593" xr:uid="{00000000-0005-0000-0000-000006CB0000}"/>
    <cellStyle name="Normal 6 3 12" xfId="13846" xr:uid="{00000000-0005-0000-0000-000007CB0000}"/>
    <cellStyle name="Normal 6 3 12 2" xfId="27414" xr:uid="{00000000-0005-0000-0000-000008CB0000}"/>
    <cellStyle name="Normal 6 3 12 2 2" xfId="54547" xr:uid="{00000000-0005-0000-0000-000009CB0000}"/>
    <cellStyle name="Normal 6 3 12 3" xfId="40985" xr:uid="{00000000-0005-0000-0000-00000ACB0000}"/>
    <cellStyle name="Normal 6 3 13" xfId="20633" xr:uid="{00000000-0005-0000-0000-00000BCB0000}"/>
    <cellStyle name="Normal 6 3 13 2" xfId="47766" xr:uid="{00000000-0005-0000-0000-00000CCB0000}"/>
    <cellStyle name="Normal 6 3 14" xfId="34204" xr:uid="{00000000-0005-0000-0000-00000DCB0000}"/>
    <cellStyle name="Normal 6 3 2" xfId="6917" xr:uid="{00000000-0005-0000-0000-00000ECB0000}"/>
    <cellStyle name="Normal 6 3 2 10" xfId="13848" xr:uid="{00000000-0005-0000-0000-00000FCB0000}"/>
    <cellStyle name="Normal 6 3 2 10 2" xfId="27416" xr:uid="{00000000-0005-0000-0000-000010CB0000}"/>
    <cellStyle name="Normal 6 3 2 10 2 2" xfId="54549" xr:uid="{00000000-0005-0000-0000-000011CB0000}"/>
    <cellStyle name="Normal 6 3 2 10 3" xfId="40987" xr:uid="{00000000-0005-0000-0000-000012CB0000}"/>
    <cellStyle name="Normal 6 3 2 11" xfId="20635" xr:uid="{00000000-0005-0000-0000-000013CB0000}"/>
    <cellStyle name="Normal 6 3 2 11 2" xfId="47768" xr:uid="{00000000-0005-0000-0000-000014CB0000}"/>
    <cellStyle name="Normal 6 3 2 12" xfId="34206" xr:uid="{00000000-0005-0000-0000-000015CB0000}"/>
    <cellStyle name="Normal 6 3 2 2" xfId="6918" xr:uid="{00000000-0005-0000-0000-000016CB0000}"/>
    <cellStyle name="Normal 6 3 2 2 10" xfId="34207" xr:uid="{00000000-0005-0000-0000-000017CB0000}"/>
    <cellStyle name="Normal 6 3 2 2 2" xfId="6919" xr:uid="{00000000-0005-0000-0000-000018CB0000}"/>
    <cellStyle name="Normal 6 3 2 2 2 2" xfId="6920" xr:uid="{00000000-0005-0000-0000-000019CB0000}"/>
    <cellStyle name="Normal 6 3 2 2 2 2 2" xfId="6921" xr:uid="{00000000-0005-0000-0000-00001ACB0000}"/>
    <cellStyle name="Normal 6 3 2 2 2 2 2 2" xfId="10451" xr:uid="{00000000-0005-0000-0000-00001BCB0000}"/>
    <cellStyle name="Normal 6 3 2 2 2 2 2 2 2" xfId="17241" xr:uid="{00000000-0005-0000-0000-00001CCB0000}"/>
    <cellStyle name="Normal 6 3 2 2 2 2 2 2 2 2" xfId="30809" xr:uid="{00000000-0005-0000-0000-00001DCB0000}"/>
    <cellStyle name="Normal 6 3 2 2 2 2 2 2 2 2 2" xfId="57942" xr:uid="{00000000-0005-0000-0000-00001ECB0000}"/>
    <cellStyle name="Normal 6 3 2 2 2 2 2 2 2 3" xfId="44380" xr:uid="{00000000-0005-0000-0000-00001FCB0000}"/>
    <cellStyle name="Normal 6 3 2 2 2 2 2 2 3" xfId="24028" xr:uid="{00000000-0005-0000-0000-000020CB0000}"/>
    <cellStyle name="Normal 6 3 2 2 2 2 2 2 3 2" xfId="51161" xr:uid="{00000000-0005-0000-0000-000021CB0000}"/>
    <cellStyle name="Normal 6 3 2 2 2 2 2 2 4" xfId="37599" xr:uid="{00000000-0005-0000-0000-000022CB0000}"/>
    <cellStyle name="Normal 6 3 2 2 2 2 2 3" xfId="13852" xr:uid="{00000000-0005-0000-0000-000023CB0000}"/>
    <cellStyle name="Normal 6 3 2 2 2 2 2 3 2" xfId="27420" xr:uid="{00000000-0005-0000-0000-000024CB0000}"/>
    <cellStyle name="Normal 6 3 2 2 2 2 2 3 2 2" xfId="54553" xr:uid="{00000000-0005-0000-0000-000025CB0000}"/>
    <cellStyle name="Normal 6 3 2 2 2 2 2 3 3" xfId="40991" xr:uid="{00000000-0005-0000-0000-000026CB0000}"/>
    <cellStyle name="Normal 6 3 2 2 2 2 2 4" xfId="20639" xr:uid="{00000000-0005-0000-0000-000027CB0000}"/>
    <cellStyle name="Normal 6 3 2 2 2 2 2 4 2" xfId="47772" xr:uid="{00000000-0005-0000-0000-000028CB0000}"/>
    <cellStyle name="Normal 6 3 2 2 2 2 2 5" xfId="34210" xr:uid="{00000000-0005-0000-0000-000029CB0000}"/>
    <cellStyle name="Normal 6 3 2 2 2 2 3" xfId="6922" xr:uid="{00000000-0005-0000-0000-00002ACB0000}"/>
    <cellStyle name="Normal 6 3 2 2 2 2 3 2" xfId="10452" xr:uid="{00000000-0005-0000-0000-00002BCB0000}"/>
    <cellStyle name="Normal 6 3 2 2 2 2 3 2 2" xfId="17242" xr:uid="{00000000-0005-0000-0000-00002CCB0000}"/>
    <cellStyle name="Normal 6 3 2 2 2 2 3 2 2 2" xfId="30810" xr:uid="{00000000-0005-0000-0000-00002DCB0000}"/>
    <cellStyle name="Normal 6 3 2 2 2 2 3 2 2 2 2" xfId="57943" xr:uid="{00000000-0005-0000-0000-00002ECB0000}"/>
    <cellStyle name="Normal 6 3 2 2 2 2 3 2 2 3" xfId="44381" xr:uid="{00000000-0005-0000-0000-00002FCB0000}"/>
    <cellStyle name="Normal 6 3 2 2 2 2 3 2 3" xfId="24029" xr:uid="{00000000-0005-0000-0000-000030CB0000}"/>
    <cellStyle name="Normal 6 3 2 2 2 2 3 2 3 2" xfId="51162" xr:uid="{00000000-0005-0000-0000-000031CB0000}"/>
    <cellStyle name="Normal 6 3 2 2 2 2 3 2 4" xfId="37600" xr:uid="{00000000-0005-0000-0000-000032CB0000}"/>
    <cellStyle name="Normal 6 3 2 2 2 2 3 3" xfId="13853" xr:uid="{00000000-0005-0000-0000-000033CB0000}"/>
    <cellStyle name="Normal 6 3 2 2 2 2 3 3 2" xfId="27421" xr:uid="{00000000-0005-0000-0000-000034CB0000}"/>
    <cellStyle name="Normal 6 3 2 2 2 2 3 3 2 2" xfId="54554" xr:uid="{00000000-0005-0000-0000-000035CB0000}"/>
    <cellStyle name="Normal 6 3 2 2 2 2 3 3 3" xfId="40992" xr:uid="{00000000-0005-0000-0000-000036CB0000}"/>
    <cellStyle name="Normal 6 3 2 2 2 2 3 4" xfId="20640" xr:uid="{00000000-0005-0000-0000-000037CB0000}"/>
    <cellStyle name="Normal 6 3 2 2 2 2 3 4 2" xfId="47773" xr:uid="{00000000-0005-0000-0000-000038CB0000}"/>
    <cellStyle name="Normal 6 3 2 2 2 2 3 5" xfId="34211" xr:uid="{00000000-0005-0000-0000-000039CB0000}"/>
    <cellStyle name="Normal 6 3 2 2 2 2 4" xfId="10450" xr:uid="{00000000-0005-0000-0000-00003ACB0000}"/>
    <cellStyle name="Normal 6 3 2 2 2 2 4 2" xfId="17240" xr:uid="{00000000-0005-0000-0000-00003BCB0000}"/>
    <cellStyle name="Normal 6 3 2 2 2 2 4 2 2" xfId="30808" xr:uid="{00000000-0005-0000-0000-00003CCB0000}"/>
    <cellStyle name="Normal 6 3 2 2 2 2 4 2 2 2" xfId="57941" xr:uid="{00000000-0005-0000-0000-00003DCB0000}"/>
    <cellStyle name="Normal 6 3 2 2 2 2 4 2 3" xfId="44379" xr:uid="{00000000-0005-0000-0000-00003ECB0000}"/>
    <cellStyle name="Normal 6 3 2 2 2 2 4 3" xfId="24027" xr:uid="{00000000-0005-0000-0000-00003FCB0000}"/>
    <cellStyle name="Normal 6 3 2 2 2 2 4 3 2" xfId="51160" xr:uid="{00000000-0005-0000-0000-000040CB0000}"/>
    <cellStyle name="Normal 6 3 2 2 2 2 4 4" xfId="37598" xr:uid="{00000000-0005-0000-0000-000041CB0000}"/>
    <cellStyle name="Normal 6 3 2 2 2 2 5" xfId="13851" xr:uid="{00000000-0005-0000-0000-000042CB0000}"/>
    <cellStyle name="Normal 6 3 2 2 2 2 5 2" xfId="27419" xr:uid="{00000000-0005-0000-0000-000043CB0000}"/>
    <cellStyle name="Normal 6 3 2 2 2 2 5 2 2" xfId="54552" xr:uid="{00000000-0005-0000-0000-000044CB0000}"/>
    <cellStyle name="Normal 6 3 2 2 2 2 5 3" xfId="40990" xr:uid="{00000000-0005-0000-0000-000045CB0000}"/>
    <cellStyle name="Normal 6 3 2 2 2 2 6" xfId="20638" xr:uid="{00000000-0005-0000-0000-000046CB0000}"/>
    <cellStyle name="Normal 6 3 2 2 2 2 6 2" xfId="47771" xr:uid="{00000000-0005-0000-0000-000047CB0000}"/>
    <cellStyle name="Normal 6 3 2 2 2 2 7" xfId="34209" xr:uid="{00000000-0005-0000-0000-000048CB0000}"/>
    <cellStyle name="Normal 6 3 2 2 2 3" xfId="6923" xr:uid="{00000000-0005-0000-0000-000049CB0000}"/>
    <cellStyle name="Normal 6 3 2 2 2 3 2" xfId="6924" xr:uid="{00000000-0005-0000-0000-00004ACB0000}"/>
    <cellStyle name="Normal 6 3 2 2 2 3 2 2" xfId="10454" xr:uid="{00000000-0005-0000-0000-00004BCB0000}"/>
    <cellStyle name="Normal 6 3 2 2 2 3 2 2 2" xfId="17244" xr:uid="{00000000-0005-0000-0000-00004CCB0000}"/>
    <cellStyle name="Normal 6 3 2 2 2 3 2 2 2 2" xfId="30812" xr:uid="{00000000-0005-0000-0000-00004DCB0000}"/>
    <cellStyle name="Normal 6 3 2 2 2 3 2 2 2 2 2" xfId="57945" xr:uid="{00000000-0005-0000-0000-00004ECB0000}"/>
    <cellStyle name="Normal 6 3 2 2 2 3 2 2 2 3" xfId="44383" xr:uid="{00000000-0005-0000-0000-00004FCB0000}"/>
    <cellStyle name="Normal 6 3 2 2 2 3 2 2 3" xfId="24031" xr:uid="{00000000-0005-0000-0000-000050CB0000}"/>
    <cellStyle name="Normal 6 3 2 2 2 3 2 2 3 2" xfId="51164" xr:uid="{00000000-0005-0000-0000-000051CB0000}"/>
    <cellStyle name="Normal 6 3 2 2 2 3 2 2 4" xfId="37602" xr:uid="{00000000-0005-0000-0000-000052CB0000}"/>
    <cellStyle name="Normal 6 3 2 2 2 3 2 3" xfId="13855" xr:uid="{00000000-0005-0000-0000-000053CB0000}"/>
    <cellStyle name="Normal 6 3 2 2 2 3 2 3 2" xfId="27423" xr:uid="{00000000-0005-0000-0000-000054CB0000}"/>
    <cellStyle name="Normal 6 3 2 2 2 3 2 3 2 2" xfId="54556" xr:uid="{00000000-0005-0000-0000-000055CB0000}"/>
    <cellStyle name="Normal 6 3 2 2 2 3 2 3 3" xfId="40994" xr:uid="{00000000-0005-0000-0000-000056CB0000}"/>
    <cellStyle name="Normal 6 3 2 2 2 3 2 4" xfId="20642" xr:uid="{00000000-0005-0000-0000-000057CB0000}"/>
    <cellStyle name="Normal 6 3 2 2 2 3 2 4 2" xfId="47775" xr:uid="{00000000-0005-0000-0000-000058CB0000}"/>
    <cellStyle name="Normal 6 3 2 2 2 3 2 5" xfId="34213" xr:uid="{00000000-0005-0000-0000-000059CB0000}"/>
    <cellStyle name="Normal 6 3 2 2 2 3 3" xfId="10453" xr:uid="{00000000-0005-0000-0000-00005ACB0000}"/>
    <cellStyle name="Normal 6 3 2 2 2 3 3 2" xfId="17243" xr:uid="{00000000-0005-0000-0000-00005BCB0000}"/>
    <cellStyle name="Normal 6 3 2 2 2 3 3 2 2" xfId="30811" xr:uid="{00000000-0005-0000-0000-00005CCB0000}"/>
    <cellStyle name="Normal 6 3 2 2 2 3 3 2 2 2" xfId="57944" xr:uid="{00000000-0005-0000-0000-00005DCB0000}"/>
    <cellStyle name="Normal 6 3 2 2 2 3 3 2 3" xfId="44382" xr:uid="{00000000-0005-0000-0000-00005ECB0000}"/>
    <cellStyle name="Normal 6 3 2 2 2 3 3 3" xfId="24030" xr:uid="{00000000-0005-0000-0000-00005FCB0000}"/>
    <cellStyle name="Normal 6 3 2 2 2 3 3 3 2" xfId="51163" xr:uid="{00000000-0005-0000-0000-000060CB0000}"/>
    <cellStyle name="Normal 6 3 2 2 2 3 3 4" xfId="37601" xr:uid="{00000000-0005-0000-0000-000061CB0000}"/>
    <cellStyle name="Normal 6 3 2 2 2 3 4" xfId="13854" xr:uid="{00000000-0005-0000-0000-000062CB0000}"/>
    <cellStyle name="Normal 6 3 2 2 2 3 4 2" xfId="27422" xr:uid="{00000000-0005-0000-0000-000063CB0000}"/>
    <cellStyle name="Normal 6 3 2 2 2 3 4 2 2" xfId="54555" xr:uid="{00000000-0005-0000-0000-000064CB0000}"/>
    <cellStyle name="Normal 6 3 2 2 2 3 4 3" xfId="40993" xr:uid="{00000000-0005-0000-0000-000065CB0000}"/>
    <cellStyle name="Normal 6 3 2 2 2 3 5" xfId="20641" xr:uid="{00000000-0005-0000-0000-000066CB0000}"/>
    <cellStyle name="Normal 6 3 2 2 2 3 5 2" xfId="47774" xr:uid="{00000000-0005-0000-0000-000067CB0000}"/>
    <cellStyle name="Normal 6 3 2 2 2 3 6" xfId="34212" xr:uid="{00000000-0005-0000-0000-000068CB0000}"/>
    <cellStyle name="Normal 6 3 2 2 2 4" xfId="6925" xr:uid="{00000000-0005-0000-0000-000069CB0000}"/>
    <cellStyle name="Normal 6 3 2 2 2 4 2" xfId="10455" xr:uid="{00000000-0005-0000-0000-00006ACB0000}"/>
    <cellStyle name="Normal 6 3 2 2 2 4 2 2" xfId="17245" xr:uid="{00000000-0005-0000-0000-00006BCB0000}"/>
    <cellStyle name="Normal 6 3 2 2 2 4 2 2 2" xfId="30813" xr:uid="{00000000-0005-0000-0000-00006CCB0000}"/>
    <cellStyle name="Normal 6 3 2 2 2 4 2 2 2 2" xfId="57946" xr:uid="{00000000-0005-0000-0000-00006DCB0000}"/>
    <cellStyle name="Normal 6 3 2 2 2 4 2 2 3" xfId="44384" xr:uid="{00000000-0005-0000-0000-00006ECB0000}"/>
    <cellStyle name="Normal 6 3 2 2 2 4 2 3" xfId="24032" xr:uid="{00000000-0005-0000-0000-00006FCB0000}"/>
    <cellStyle name="Normal 6 3 2 2 2 4 2 3 2" xfId="51165" xr:uid="{00000000-0005-0000-0000-000070CB0000}"/>
    <cellStyle name="Normal 6 3 2 2 2 4 2 4" xfId="37603" xr:uid="{00000000-0005-0000-0000-000071CB0000}"/>
    <cellStyle name="Normal 6 3 2 2 2 4 3" xfId="13856" xr:uid="{00000000-0005-0000-0000-000072CB0000}"/>
    <cellStyle name="Normal 6 3 2 2 2 4 3 2" xfId="27424" xr:uid="{00000000-0005-0000-0000-000073CB0000}"/>
    <cellStyle name="Normal 6 3 2 2 2 4 3 2 2" xfId="54557" xr:uid="{00000000-0005-0000-0000-000074CB0000}"/>
    <cellStyle name="Normal 6 3 2 2 2 4 3 3" xfId="40995" xr:uid="{00000000-0005-0000-0000-000075CB0000}"/>
    <cellStyle name="Normal 6 3 2 2 2 4 4" xfId="20643" xr:uid="{00000000-0005-0000-0000-000076CB0000}"/>
    <cellStyle name="Normal 6 3 2 2 2 4 4 2" xfId="47776" xr:uid="{00000000-0005-0000-0000-000077CB0000}"/>
    <cellStyle name="Normal 6 3 2 2 2 4 5" xfId="34214" xr:uid="{00000000-0005-0000-0000-000078CB0000}"/>
    <cellStyle name="Normal 6 3 2 2 2 5" xfId="6926" xr:uid="{00000000-0005-0000-0000-000079CB0000}"/>
    <cellStyle name="Normal 6 3 2 2 2 5 2" xfId="10456" xr:uid="{00000000-0005-0000-0000-00007ACB0000}"/>
    <cellStyle name="Normal 6 3 2 2 2 5 2 2" xfId="17246" xr:uid="{00000000-0005-0000-0000-00007BCB0000}"/>
    <cellStyle name="Normal 6 3 2 2 2 5 2 2 2" xfId="30814" xr:uid="{00000000-0005-0000-0000-00007CCB0000}"/>
    <cellStyle name="Normal 6 3 2 2 2 5 2 2 2 2" xfId="57947" xr:uid="{00000000-0005-0000-0000-00007DCB0000}"/>
    <cellStyle name="Normal 6 3 2 2 2 5 2 2 3" xfId="44385" xr:uid="{00000000-0005-0000-0000-00007ECB0000}"/>
    <cellStyle name="Normal 6 3 2 2 2 5 2 3" xfId="24033" xr:uid="{00000000-0005-0000-0000-00007FCB0000}"/>
    <cellStyle name="Normal 6 3 2 2 2 5 2 3 2" xfId="51166" xr:uid="{00000000-0005-0000-0000-000080CB0000}"/>
    <cellStyle name="Normal 6 3 2 2 2 5 2 4" xfId="37604" xr:uid="{00000000-0005-0000-0000-000081CB0000}"/>
    <cellStyle name="Normal 6 3 2 2 2 5 3" xfId="13857" xr:uid="{00000000-0005-0000-0000-000082CB0000}"/>
    <cellStyle name="Normal 6 3 2 2 2 5 3 2" xfId="27425" xr:uid="{00000000-0005-0000-0000-000083CB0000}"/>
    <cellStyle name="Normal 6 3 2 2 2 5 3 2 2" xfId="54558" xr:uid="{00000000-0005-0000-0000-000084CB0000}"/>
    <cellStyle name="Normal 6 3 2 2 2 5 3 3" xfId="40996" xr:uid="{00000000-0005-0000-0000-000085CB0000}"/>
    <cellStyle name="Normal 6 3 2 2 2 5 4" xfId="20644" xr:uid="{00000000-0005-0000-0000-000086CB0000}"/>
    <cellStyle name="Normal 6 3 2 2 2 5 4 2" xfId="47777" xr:uid="{00000000-0005-0000-0000-000087CB0000}"/>
    <cellStyle name="Normal 6 3 2 2 2 5 5" xfId="34215" xr:uid="{00000000-0005-0000-0000-000088CB0000}"/>
    <cellStyle name="Normal 6 3 2 2 2 6" xfId="10449" xr:uid="{00000000-0005-0000-0000-000089CB0000}"/>
    <cellStyle name="Normal 6 3 2 2 2 6 2" xfId="17239" xr:uid="{00000000-0005-0000-0000-00008ACB0000}"/>
    <cellStyle name="Normal 6 3 2 2 2 6 2 2" xfId="30807" xr:uid="{00000000-0005-0000-0000-00008BCB0000}"/>
    <cellStyle name="Normal 6 3 2 2 2 6 2 2 2" xfId="57940" xr:uid="{00000000-0005-0000-0000-00008CCB0000}"/>
    <cellStyle name="Normal 6 3 2 2 2 6 2 3" xfId="44378" xr:uid="{00000000-0005-0000-0000-00008DCB0000}"/>
    <cellStyle name="Normal 6 3 2 2 2 6 3" xfId="24026" xr:uid="{00000000-0005-0000-0000-00008ECB0000}"/>
    <cellStyle name="Normal 6 3 2 2 2 6 3 2" xfId="51159" xr:uid="{00000000-0005-0000-0000-00008FCB0000}"/>
    <cellStyle name="Normal 6 3 2 2 2 6 4" xfId="37597" xr:uid="{00000000-0005-0000-0000-000090CB0000}"/>
    <cellStyle name="Normal 6 3 2 2 2 7" xfId="13850" xr:uid="{00000000-0005-0000-0000-000091CB0000}"/>
    <cellStyle name="Normal 6 3 2 2 2 7 2" xfId="27418" xr:uid="{00000000-0005-0000-0000-000092CB0000}"/>
    <cellStyle name="Normal 6 3 2 2 2 7 2 2" xfId="54551" xr:uid="{00000000-0005-0000-0000-000093CB0000}"/>
    <cellStyle name="Normal 6 3 2 2 2 7 3" xfId="40989" xr:uid="{00000000-0005-0000-0000-000094CB0000}"/>
    <cellStyle name="Normal 6 3 2 2 2 8" xfId="20637" xr:uid="{00000000-0005-0000-0000-000095CB0000}"/>
    <cellStyle name="Normal 6 3 2 2 2 8 2" xfId="47770" xr:uid="{00000000-0005-0000-0000-000096CB0000}"/>
    <cellStyle name="Normal 6 3 2 2 2 9" xfId="34208" xr:uid="{00000000-0005-0000-0000-000097CB0000}"/>
    <cellStyle name="Normal 6 3 2 2 3" xfId="6927" xr:uid="{00000000-0005-0000-0000-000098CB0000}"/>
    <cellStyle name="Normal 6 3 2 2 3 2" xfId="6928" xr:uid="{00000000-0005-0000-0000-000099CB0000}"/>
    <cellStyle name="Normal 6 3 2 2 3 2 2" xfId="10458" xr:uid="{00000000-0005-0000-0000-00009ACB0000}"/>
    <cellStyle name="Normal 6 3 2 2 3 2 2 2" xfId="17248" xr:uid="{00000000-0005-0000-0000-00009BCB0000}"/>
    <cellStyle name="Normal 6 3 2 2 3 2 2 2 2" xfId="30816" xr:uid="{00000000-0005-0000-0000-00009CCB0000}"/>
    <cellStyle name="Normal 6 3 2 2 3 2 2 2 2 2" xfId="57949" xr:uid="{00000000-0005-0000-0000-00009DCB0000}"/>
    <cellStyle name="Normal 6 3 2 2 3 2 2 2 3" xfId="44387" xr:uid="{00000000-0005-0000-0000-00009ECB0000}"/>
    <cellStyle name="Normal 6 3 2 2 3 2 2 3" xfId="24035" xr:uid="{00000000-0005-0000-0000-00009FCB0000}"/>
    <cellStyle name="Normal 6 3 2 2 3 2 2 3 2" xfId="51168" xr:uid="{00000000-0005-0000-0000-0000A0CB0000}"/>
    <cellStyle name="Normal 6 3 2 2 3 2 2 4" xfId="37606" xr:uid="{00000000-0005-0000-0000-0000A1CB0000}"/>
    <cellStyle name="Normal 6 3 2 2 3 2 3" xfId="13859" xr:uid="{00000000-0005-0000-0000-0000A2CB0000}"/>
    <cellStyle name="Normal 6 3 2 2 3 2 3 2" xfId="27427" xr:uid="{00000000-0005-0000-0000-0000A3CB0000}"/>
    <cellStyle name="Normal 6 3 2 2 3 2 3 2 2" xfId="54560" xr:uid="{00000000-0005-0000-0000-0000A4CB0000}"/>
    <cellStyle name="Normal 6 3 2 2 3 2 3 3" xfId="40998" xr:uid="{00000000-0005-0000-0000-0000A5CB0000}"/>
    <cellStyle name="Normal 6 3 2 2 3 2 4" xfId="20646" xr:uid="{00000000-0005-0000-0000-0000A6CB0000}"/>
    <cellStyle name="Normal 6 3 2 2 3 2 4 2" xfId="47779" xr:uid="{00000000-0005-0000-0000-0000A7CB0000}"/>
    <cellStyle name="Normal 6 3 2 2 3 2 5" xfId="34217" xr:uid="{00000000-0005-0000-0000-0000A8CB0000}"/>
    <cellStyle name="Normal 6 3 2 2 3 3" xfId="6929" xr:uid="{00000000-0005-0000-0000-0000A9CB0000}"/>
    <cellStyle name="Normal 6 3 2 2 3 3 2" xfId="10459" xr:uid="{00000000-0005-0000-0000-0000AACB0000}"/>
    <cellStyle name="Normal 6 3 2 2 3 3 2 2" xfId="17249" xr:uid="{00000000-0005-0000-0000-0000ABCB0000}"/>
    <cellStyle name="Normal 6 3 2 2 3 3 2 2 2" xfId="30817" xr:uid="{00000000-0005-0000-0000-0000ACCB0000}"/>
    <cellStyle name="Normal 6 3 2 2 3 3 2 2 2 2" xfId="57950" xr:uid="{00000000-0005-0000-0000-0000ADCB0000}"/>
    <cellStyle name="Normal 6 3 2 2 3 3 2 2 3" xfId="44388" xr:uid="{00000000-0005-0000-0000-0000AECB0000}"/>
    <cellStyle name="Normal 6 3 2 2 3 3 2 3" xfId="24036" xr:uid="{00000000-0005-0000-0000-0000AFCB0000}"/>
    <cellStyle name="Normal 6 3 2 2 3 3 2 3 2" xfId="51169" xr:uid="{00000000-0005-0000-0000-0000B0CB0000}"/>
    <cellStyle name="Normal 6 3 2 2 3 3 2 4" xfId="37607" xr:uid="{00000000-0005-0000-0000-0000B1CB0000}"/>
    <cellStyle name="Normal 6 3 2 2 3 3 3" xfId="13860" xr:uid="{00000000-0005-0000-0000-0000B2CB0000}"/>
    <cellStyle name="Normal 6 3 2 2 3 3 3 2" xfId="27428" xr:uid="{00000000-0005-0000-0000-0000B3CB0000}"/>
    <cellStyle name="Normal 6 3 2 2 3 3 3 2 2" xfId="54561" xr:uid="{00000000-0005-0000-0000-0000B4CB0000}"/>
    <cellStyle name="Normal 6 3 2 2 3 3 3 3" xfId="40999" xr:uid="{00000000-0005-0000-0000-0000B5CB0000}"/>
    <cellStyle name="Normal 6 3 2 2 3 3 4" xfId="20647" xr:uid="{00000000-0005-0000-0000-0000B6CB0000}"/>
    <cellStyle name="Normal 6 3 2 2 3 3 4 2" xfId="47780" xr:uid="{00000000-0005-0000-0000-0000B7CB0000}"/>
    <cellStyle name="Normal 6 3 2 2 3 3 5" xfId="34218" xr:uid="{00000000-0005-0000-0000-0000B8CB0000}"/>
    <cellStyle name="Normal 6 3 2 2 3 4" xfId="10457" xr:uid="{00000000-0005-0000-0000-0000B9CB0000}"/>
    <cellStyle name="Normal 6 3 2 2 3 4 2" xfId="17247" xr:uid="{00000000-0005-0000-0000-0000BACB0000}"/>
    <cellStyle name="Normal 6 3 2 2 3 4 2 2" xfId="30815" xr:uid="{00000000-0005-0000-0000-0000BBCB0000}"/>
    <cellStyle name="Normal 6 3 2 2 3 4 2 2 2" xfId="57948" xr:uid="{00000000-0005-0000-0000-0000BCCB0000}"/>
    <cellStyle name="Normal 6 3 2 2 3 4 2 3" xfId="44386" xr:uid="{00000000-0005-0000-0000-0000BDCB0000}"/>
    <cellStyle name="Normal 6 3 2 2 3 4 3" xfId="24034" xr:uid="{00000000-0005-0000-0000-0000BECB0000}"/>
    <cellStyle name="Normal 6 3 2 2 3 4 3 2" xfId="51167" xr:uid="{00000000-0005-0000-0000-0000BFCB0000}"/>
    <cellStyle name="Normal 6 3 2 2 3 4 4" xfId="37605" xr:uid="{00000000-0005-0000-0000-0000C0CB0000}"/>
    <cellStyle name="Normal 6 3 2 2 3 5" xfId="13858" xr:uid="{00000000-0005-0000-0000-0000C1CB0000}"/>
    <cellStyle name="Normal 6 3 2 2 3 5 2" xfId="27426" xr:uid="{00000000-0005-0000-0000-0000C2CB0000}"/>
    <cellStyle name="Normal 6 3 2 2 3 5 2 2" xfId="54559" xr:uid="{00000000-0005-0000-0000-0000C3CB0000}"/>
    <cellStyle name="Normal 6 3 2 2 3 5 3" xfId="40997" xr:uid="{00000000-0005-0000-0000-0000C4CB0000}"/>
    <cellStyle name="Normal 6 3 2 2 3 6" xfId="20645" xr:uid="{00000000-0005-0000-0000-0000C5CB0000}"/>
    <cellStyle name="Normal 6 3 2 2 3 6 2" xfId="47778" xr:uid="{00000000-0005-0000-0000-0000C6CB0000}"/>
    <cellStyle name="Normal 6 3 2 2 3 7" xfId="34216" xr:uid="{00000000-0005-0000-0000-0000C7CB0000}"/>
    <cellStyle name="Normal 6 3 2 2 4" xfId="6930" xr:uid="{00000000-0005-0000-0000-0000C8CB0000}"/>
    <cellStyle name="Normal 6 3 2 2 4 2" xfId="6931" xr:uid="{00000000-0005-0000-0000-0000C9CB0000}"/>
    <cellStyle name="Normal 6 3 2 2 4 2 2" xfId="10461" xr:uid="{00000000-0005-0000-0000-0000CACB0000}"/>
    <cellStyle name="Normal 6 3 2 2 4 2 2 2" xfId="17251" xr:uid="{00000000-0005-0000-0000-0000CBCB0000}"/>
    <cellStyle name="Normal 6 3 2 2 4 2 2 2 2" xfId="30819" xr:uid="{00000000-0005-0000-0000-0000CCCB0000}"/>
    <cellStyle name="Normal 6 3 2 2 4 2 2 2 2 2" xfId="57952" xr:uid="{00000000-0005-0000-0000-0000CDCB0000}"/>
    <cellStyle name="Normal 6 3 2 2 4 2 2 2 3" xfId="44390" xr:uid="{00000000-0005-0000-0000-0000CECB0000}"/>
    <cellStyle name="Normal 6 3 2 2 4 2 2 3" xfId="24038" xr:uid="{00000000-0005-0000-0000-0000CFCB0000}"/>
    <cellStyle name="Normal 6 3 2 2 4 2 2 3 2" xfId="51171" xr:uid="{00000000-0005-0000-0000-0000D0CB0000}"/>
    <cellStyle name="Normal 6 3 2 2 4 2 2 4" xfId="37609" xr:uid="{00000000-0005-0000-0000-0000D1CB0000}"/>
    <cellStyle name="Normal 6 3 2 2 4 2 3" xfId="13862" xr:uid="{00000000-0005-0000-0000-0000D2CB0000}"/>
    <cellStyle name="Normal 6 3 2 2 4 2 3 2" xfId="27430" xr:uid="{00000000-0005-0000-0000-0000D3CB0000}"/>
    <cellStyle name="Normal 6 3 2 2 4 2 3 2 2" xfId="54563" xr:uid="{00000000-0005-0000-0000-0000D4CB0000}"/>
    <cellStyle name="Normal 6 3 2 2 4 2 3 3" xfId="41001" xr:uid="{00000000-0005-0000-0000-0000D5CB0000}"/>
    <cellStyle name="Normal 6 3 2 2 4 2 4" xfId="20649" xr:uid="{00000000-0005-0000-0000-0000D6CB0000}"/>
    <cellStyle name="Normal 6 3 2 2 4 2 4 2" xfId="47782" xr:uid="{00000000-0005-0000-0000-0000D7CB0000}"/>
    <cellStyle name="Normal 6 3 2 2 4 2 5" xfId="34220" xr:uid="{00000000-0005-0000-0000-0000D8CB0000}"/>
    <cellStyle name="Normal 6 3 2 2 4 3" xfId="10460" xr:uid="{00000000-0005-0000-0000-0000D9CB0000}"/>
    <cellStyle name="Normal 6 3 2 2 4 3 2" xfId="17250" xr:uid="{00000000-0005-0000-0000-0000DACB0000}"/>
    <cellStyle name="Normal 6 3 2 2 4 3 2 2" xfId="30818" xr:uid="{00000000-0005-0000-0000-0000DBCB0000}"/>
    <cellStyle name="Normal 6 3 2 2 4 3 2 2 2" xfId="57951" xr:uid="{00000000-0005-0000-0000-0000DCCB0000}"/>
    <cellStyle name="Normal 6 3 2 2 4 3 2 3" xfId="44389" xr:uid="{00000000-0005-0000-0000-0000DDCB0000}"/>
    <cellStyle name="Normal 6 3 2 2 4 3 3" xfId="24037" xr:uid="{00000000-0005-0000-0000-0000DECB0000}"/>
    <cellStyle name="Normal 6 3 2 2 4 3 3 2" xfId="51170" xr:uid="{00000000-0005-0000-0000-0000DFCB0000}"/>
    <cellStyle name="Normal 6 3 2 2 4 3 4" xfId="37608" xr:uid="{00000000-0005-0000-0000-0000E0CB0000}"/>
    <cellStyle name="Normal 6 3 2 2 4 4" xfId="13861" xr:uid="{00000000-0005-0000-0000-0000E1CB0000}"/>
    <cellStyle name="Normal 6 3 2 2 4 4 2" xfId="27429" xr:uid="{00000000-0005-0000-0000-0000E2CB0000}"/>
    <cellStyle name="Normal 6 3 2 2 4 4 2 2" xfId="54562" xr:uid="{00000000-0005-0000-0000-0000E3CB0000}"/>
    <cellStyle name="Normal 6 3 2 2 4 4 3" xfId="41000" xr:uid="{00000000-0005-0000-0000-0000E4CB0000}"/>
    <cellStyle name="Normal 6 3 2 2 4 5" xfId="20648" xr:uid="{00000000-0005-0000-0000-0000E5CB0000}"/>
    <cellStyle name="Normal 6 3 2 2 4 5 2" xfId="47781" xr:uid="{00000000-0005-0000-0000-0000E6CB0000}"/>
    <cellStyle name="Normal 6 3 2 2 4 6" xfId="34219" xr:uid="{00000000-0005-0000-0000-0000E7CB0000}"/>
    <cellStyle name="Normal 6 3 2 2 5" xfId="6932" xr:uid="{00000000-0005-0000-0000-0000E8CB0000}"/>
    <cellStyle name="Normal 6 3 2 2 5 2" xfId="10462" xr:uid="{00000000-0005-0000-0000-0000E9CB0000}"/>
    <cellStyle name="Normal 6 3 2 2 5 2 2" xfId="17252" xr:uid="{00000000-0005-0000-0000-0000EACB0000}"/>
    <cellStyle name="Normal 6 3 2 2 5 2 2 2" xfId="30820" xr:uid="{00000000-0005-0000-0000-0000EBCB0000}"/>
    <cellStyle name="Normal 6 3 2 2 5 2 2 2 2" xfId="57953" xr:uid="{00000000-0005-0000-0000-0000ECCB0000}"/>
    <cellStyle name="Normal 6 3 2 2 5 2 2 3" xfId="44391" xr:uid="{00000000-0005-0000-0000-0000EDCB0000}"/>
    <cellStyle name="Normal 6 3 2 2 5 2 3" xfId="24039" xr:uid="{00000000-0005-0000-0000-0000EECB0000}"/>
    <cellStyle name="Normal 6 3 2 2 5 2 3 2" xfId="51172" xr:uid="{00000000-0005-0000-0000-0000EFCB0000}"/>
    <cellStyle name="Normal 6 3 2 2 5 2 4" xfId="37610" xr:uid="{00000000-0005-0000-0000-0000F0CB0000}"/>
    <cellStyle name="Normal 6 3 2 2 5 3" xfId="13863" xr:uid="{00000000-0005-0000-0000-0000F1CB0000}"/>
    <cellStyle name="Normal 6 3 2 2 5 3 2" xfId="27431" xr:uid="{00000000-0005-0000-0000-0000F2CB0000}"/>
    <cellStyle name="Normal 6 3 2 2 5 3 2 2" xfId="54564" xr:uid="{00000000-0005-0000-0000-0000F3CB0000}"/>
    <cellStyle name="Normal 6 3 2 2 5 3 3" xfId="41002" xr:uid="{00000000-0005-0000-0000-0000F4CB0000}"/>
    <cellStyle name="Normal 6 3 2 2 5 4" xfId="20650" xr:uid="{00000000-0005-0000-0000-0000F5CB0000}"/>
    <cellStyle name="Normal 6 3 2 2 5 4 2" xfId="47783" xr:uid="{00000000-0005-0000-0000-0000F6CB0000}"/>
    <cellStyle name="Normal 6 3 2 2 5 5" xfId="34221" xr:uid="{00000000-0005-0000-0000-0000F7CB0000}"/>
    <cellStyle name="Normal 6 3 2 2 6" xfId="6933" xr:uid="{00000000-0005-0000-0000-0000F8CB0000}"/>
    <cellStyle name="Normal 6 3 2 2 6 2" xfId="10463" xr:uid="{00000000-0005-0000-0000-0000F9CB0000}"/>
    <cellStyle name="Normal 6 3 2 2 6 2 2" xfId="17253" xr:uid="{00000000-0005-0000-0000-0000FACB0000}"/>
    <cellStyle name="Normal 6 3 2 2 6 2 2 2" xfId="30821" xr:uid="{00000000-0005-0000-0000-0000FBCB0000}"/>
    <cellStyle name="Normal 6 3 2 2 6 2 2 2 2" xfId="57954" xr:uid="{00000000-0005-0000-0000-0000FCCB0000}"/>
    <cellStyle name="Normal 6 3 2 2 6 2 2 3" xfId="44392" xr:uid="{00000000-0005-0000-0000-0000FDCB0000}"/>
    <cellStyle name="Normal 6 3 2 2 6 2 3" xfId="24040" xr:uid="{00000000-0005-0000-0000-0000FECB0000}"/>
    <cellStyle name="Normal 6 3 2 2 6 2 3 2" xfId="51173" xr:uid="{00000000-0005-0000-0000-0000FFCB0000}"/>
    <cellStyle name="Normal 6 3 2 2 6 2 4" xfId="37611" xr:uid="{00000000-0005-0000-0000-000000CC0000}"/>
    <cellStyle name="Normal 6 3 2 2 6 3" xfId="13864" xr:uid="{00000000-0005-0000-0000-000001CC0000}"/>
    <cellStyle name="Normal 6 3 2 2 6 3 2" xfId="27432" xr:uid="{00000000-0005-0000-0000-000002CC0000}"/>
    <cellStyle name="Normal 6 3 2 2 6 3 2 2" xfId="54565" xr:uid="{00000000-0005-0000-0000-000003CC0000}"/>
    <cellStyle name="Normal 6 3 2 2 6 3 3" xfId="41003" xr:uid="{00000000-0005-0000-0000-000004CC0000}"/>
    <cellStyle name="Normal 6 3 2 2 6 4" xfId="20651" xr:uid="{00000000-0005-0000-0000-000005CC0000}"/>
    <cellStyle name="Normal 6 3 2 2 6 4 2" xfId="47784" xr:uid="{00000000-0005-0000-0000-000006CC0000}"/>
    <cellStyle name="Normal 6 3 2 2 6 5" xfId="34222" xr:uid="{00000000-0005-0000-0000-000007CC0000}"/>
    <cellStyle name="Normal 6 3 2 2 7" xfId="10448" xr:uid="{00000000-0005-0000-0000-000008CC0000}"/>
    <cellStyle name="Normal 6 3 2 2 7 2" xfId="17238" xr:uid="{00000000-0005-0000-0000-000009CC0000}"/>
    <cellStyle name="Normal 6 3 2 2 7 2 2" xfId="30806" xr:uid="{00000000-0005-0000-0000-00000ACC0000}"/>
    <cellStyle name="Normal 6 3 2 2 7 2 2 2" xfId="57939" xr:uid="{00000000-0005-0000-0000-00000BCC0000}"/>
    <cellStyle name="Normal 6 3 2 2 7 2 3" xfId="44377" xr:uid="{00000000-0005-0000-0000-00000CCC0000}"/>
    <cellStyle name="Normal 6 3 2 2 7 3" xfId="24025" xr:uid="{00000000-0005-0000-0000-00000DCC0000}"/>
    <cellStyle name="Normal 6 3 2 2 7 3 2" xfId="51158" xr:uid="{00000000-0005-0000-0000-00000ECC0000}"/>
    <cellStyle name="Normal 6 3 2 2 7 4" xfId="37596" xr:uid="{00000000-0005-0000-0000-00000FCC0000}"/>
    <cellStyle name="Normal 6 3 2 2 8" xfId="13849" xr:uid="{00000000-0005-0000-0000-000010CC0000}"/>
    <cellStyle name="Normal 6 3 2 2 8 2" xfId="27417" xr:uid="{00000000-0005-0000-0000-000011CC0000}"/>
    <cellStyle name="Normal 6 3 2 2 8 2 2" xfId="54550" xr:uid="{00000000-0005-0000-0000-000012CC0000}"/>
    <cellStyle name="Normal 6 3 2 2 8 3" xfId="40988" xr:uid="{00000000-0005-0000-0000-000013CC0000}"/>
    <cellStyle name="Normal 6 3 2 2 9" xfId="20636" xr:uid="{00000000-0005-0000-0000-000014CC0000}"/>
    <cellStyle name="Normal 6 3 2 2 9 2" xfId="47769" xr:uid="{00000000-0005-0000-0000-000015CC0000}"/>
    <cellStyle name="Normal 6 3 2 3" xfId="6934" xr:uid="{00000000-0005-0000-0000-000016CC0000}"/>
    <cellStyle name="Normal 6 3 2 3 2" xfId="6935" xr:uid="{00000000-0005-0000-0000-000017CC0000}"/>
    <cellStyle name="Normal 6 3 2 3 2 2" xfId="6936" xr:uid="{00000000-0005-0000-0000-000018CC0000}"/>
    <cellStyle name="Normal 6 3 2 3 2 2 2" xfId="10466" xr:uid="{00000000-0005-0000-0000-000019CC0000}"/>
    <cellStyle name="Normal 6 3 2 3 2 2 2 2" xfId="17256" xr:uid="{00000000-0005-0000-0000-00001ACC0000}"/>
    <cellStyle name="Normal 6 3 2 3 2 2 2 2 2" xfId="30824" xr:uid="{00000000-0005-0000-0000-00001BCC0000}"/>
    <cellStyle name="Normal 6 3 2 3 2 2 2 2 2 2" xfId="57957" xr:uid="{00000000-0005-0000-0000-00001CCC0000}"/>
    <cellStyle name="Normal 6 3 2 3 2 2 2 2 3" xfId="44395" xr:uid="{00000000-0005-0000-0000-00001DCC0000}"/>
    <cellStyle name="Normal 6 3 2 3 2 2 2 3" xfId="24043" xr:uid="{00000000-0005-0000-0000-00001ECC0000}"/>
    <cellStyle name="Normal 6 3 2 3 2 2 2 3 2" xfId="51176" xr:uid="{00000000-0005-0000-0000-00001FCC0000}"/>
    <cellStyle name="Normal 6 3 2 3 2 2 2 4" xfId="37614" xr:uid="{00000000-0005-0000-0000-000020CC0000}"/>
    <cellStyle name="Normal 6 3 2 3 2 2 3" xfId="13867" xr:uid="{00000000-0005-0000-0000-000021CC0000}"/>
    <cellStyle name="Normal 6 3 2 3 2 2 3 2" xfId="27435" xr:uid="{00000000-0005-0000-0000-000022CC0000}"/>
    <cellStyle name="Normal 6 3 2 3 2 2 3 2 2" xfId="54568" xr:uid="{00000000-0005-0000-0000-000023CC0000}"/>
    <cellStyle name="Normal 6 3 2 3 2 2 3 3" xfId="41006" xr:uid="{00000000-0005-0000-0000-000024CC0000}"/>
    <cellStyle name="Normal 6 3 2 3 2 2 4" xfId="20654" xr:uid="{00000000-0005-0000-0000-000025CC0000}"/>
    <cellStyle name="Normal 6 3 2 3 2 2 4 2" xfId="47787" xr:uid="{00000000-0005-0000-0000-000026CC0000}"/>
    <cellStyle name="Normal 6 3 2 3 2 2 5" xfId="34225" xr:uid="{00000000-0005-0000-0000-000027CC0000}"/>
    <cellStyle name="Normal 6 3 2 3 2 3" xfId="6937" xr:uid="{00000000-0005-0000-0000-000028CC0000}"/>
    <cellStyle name="Normal 6 3 2 3 2 3 2" xfId="10467" xr:uid="{00000000-0005-0000-0000-000029CC0000}"/>
    <cellStyle name="Normal 6 3 2 3 2 3 2 2" xfId="17257" xr:uid="{00000000-0005-0000-0000-00002ACC0000}"/>
    <cellStyle name="Normal 6 3 2 3 2 3 2 2 2" xfId="30825" xr:uid="{00000000-0005-0000-0000-00002BCC0000}"/>
    <cellStyle name="Normal 6 3 2 3 2 3 2 2 2 2" xfId="57958" xr:uid="{00000000-0005-0000-0000-00002CCC0000}"/>
    <cellStyle name="Normal 6 3 2 3 2 3 2 2 3" xfId="44396" xr:uid="{00000000-0005-0000-0000-00002DCC0000}"/>
    <cellStyle name="Normal 6 3 2 3 2 3 2 3" xfId="24044" xr:uid="{00000000-0005-0000-0000-00002ECC0000}"/>
    <cellStyle name="Normal 6 3 2 3 2 3 2 3 2" xfId="51177" xr:uid="{00000000-0005-0000-0000-00002FCC0000}"/>
    <cellStyle name="Normal 6 3 2 3 2 3 2 4" xfId="37615" xr:uid="{00000000-0005-0000-0000-000030CC0000}"/>
    <cellStyle name="Normal 6 3 2 3 2 3 3" xfId="13868" xr:uid="{00000000-0005-0000-0000-000031CC0000}"/>
    <cellStyle name="Normal 6 3 2 3 2 3 3 2" xfId="27436" xr:uid="{00000000-0005-0000-0000-000032CC0000}"/>
    <cellStyle name="Normal 6 3 2 3 2 3 3 2 2" xfId="54569" xr:uid="{00000000-0005-0000-0000-000033CC0000}"/>
    <cellStyle name="Normal 6 3 2 3 2 3 3 3" xfId="41007" xr:uid="{00000000-0005-0000-0000-000034CC0000}"/>
    <cellStyle name="Normal 6 3 2 3 2 3 4" xfId="20655" xr:uid="{00000000-0005-0000-0000-000035CC0000}"/>
    <cellStyle name="Normal 6 3 2 3 2 3 4 2" xfId="47788" xr:uid="{00000000-0005-0000-0000-000036CC0000}"/>
    <cellStyle name="Normal 6 3 2 3 2 3 5" xfId="34226" xr:uid="{00000000-0005-0000-0000-000037CC0000}"/>
    <cellStyle name="Normal 6 3 2 3 2 4" xfId="10465" xr:uid="{00000000-0005-0000-0000-000038CC0000}"/>
    <cellStyle name="Normal 6 3 2 3 2 4 2" xfId="17255" xr:uid="{00000000-0005-0000-0000-000039CC0000}"/>
    <cellStyle name="Normal 6 3 2 3 2 4 2 2" xfId="30823" xr:uid="{00000000-0005-0000-0000-00003ACC0000}"/>
    <cellStyle name="Normal 6 3 2 3 2 4 2 2 2" xfId="57956" xr:uid="{00000000-0005-0000-0000-00003BCC0000}"/>
    <cellStyle name="Normal 6 3 2 3 2 4 2 3" xfId="44394" xr:uid="{00000000-0005-0000-0000-00003CCC0000}"/>
    <cellStyle name="Normal 6 3 2 3 2 4 3" xfId="24042" xr:uid="{00000000-0005-0000-0000-00003DCC0000}"/>
    <cellStyle name="Normal 6 3 2 3 2 4 3 2" xfId="51175" xr:uid="{00000000-0005-0000-0000-00003ECC0000}"/>
    <cellStyle name="Normal 6 3 2 3 2 4 4" xfId="37613" xr:uid="{00000000-0005-0000-0000-00003FCC0000}"/>
    <cellStyle name="Normal 6 3 2 3 2 5" xfId="13866" xr:uid="{00000000-0005-0000-0000-000040CC0000}"/>
    <cellStyle name="Normal 6 3 2 3 2 5 2" xfId="27434" xr:uid="{00000000-0005-0000-0000-000041CC0000}"/>
    <cellStyle name="Normal 6 3 2 3 2 5 2 2" xfId="54567" xr:uid="{00000000-0005-0000-0000-000042CC0000}"/>
    <cellStyle name="Normal 6 3 2 3 2 5 3" xfId="41005" xr:uid="{00000000-0005-0000-0000-000043CC0000}"/>
    <cellStyle name="Normal 6 3 2 3 2 6" xfId="20653" xr:uid="{00000000-0005-0000-0000-000044CC0000}"/>
    <cellStyle name="Normal 6 3 2 3 2 6 2" xfId="47786" xr:uid="{00000000-0005-0000-0000-000045CC0000}"/>
    <cellStyle name="Normal 6 3 2 3 2 7" xfId="34224" xr:uid="{00000000-0005-0000-0000-000046CC0000}"/>
    <cellStyle name="Normal 6 3 2 3 3" xfId="6938" xr:uid="{00000000-0005-0000-0000-000047CC0000}"/>
    <cellStyle name="Normal 6 3 2 3 3 2" xfId="6939" xr:uid="{00000000-0005-0000-0000-000048CC0000}"/>
    <cellStyle name="Normal 6 3 2 3 3 2 2" xfId="10469" xr:uid="{00000000-0005-0000-0000-000049CC0000}"/>
    <cellStyle name="Normal 6 3 2 3 3 2 2 2" xfId="17259" xr:uid="{00000000-0005-0000-0000-00004ACC0000}"/>
    <cellStyle name="Normal 6 3 2 3 3 2 2 2 2" xfId="30827" xr:uid="{00000000-0005-0000-0000-00004BCC0000}"/>
    <cellStyle name="Normal 6 3 2 3 3 2 2 2 2 2" xfId="57960" xr:uid="{00000000-0005-0000-0000-00004CCC0000}"/>
    <cellStyle name="Normal 6 3 2 3 3 2 2 2 3" xfId="44398" xr:uid="{00000000-0005-0000-0000-00004DCC0000}"/>
    <cellStyle name="Normal 6 3 2 3 3 2 2 3" xfId="24046" xr:uid="{00000000-0005-0000-0000-00004ECC0000}"/>
    <cellStyle name="Normal 6 3 2 3 3 2 2 3 2" xfId="51179" xr:uid="{00000000-0005-0000-0000-00004FCC0000}"/>
    <cellStyle name="Normal 6 3 2 3 3 2 2 4" xfId="37617" xr:uid="{00000000-0005-0000-0000-000050CC0000}"/>
    <cellStyle name="Normal 6 3 2 3 3 2 3" xfId="13870" xr:uid="{00000000-0005-0000-0000-000051CC0000}"/>
    <cellStyle name="Normal 6 3 2 3 3 2 3 2" xfId="27438" xr:uid="{00000000-0005-0000-0000-000052CC0000}"/>
    <cellStyle name="Normal 6 3 2 3 3 2 3 2 2" xfId="54571" xr:uid="{00000000-0005-0000-0000-000053CC0000}"/>
    <cellStyle name="Normal 6 3 2 3 3 2 3 3" xfId="41009" xr:uid="{00000000-0005-0000-0000-000054CC0000}"/>
    <cellStyle name="Normal 6 3 2 3 3 2 4" xfId="20657" xr:uid="{00000000-0005-0000-0000-000055CC0000}"/>
    <cellStyle name="Normal 6 3 2 3 3 2 4 2" xfId="47790" xr:uid="{00000000-0005-0000-0000-000056CC0000}"/>
    <cellStyle name="Normal 6 3 2 3 3 2 5" xfId="34228" xr:uid="{00000000-0005-0000-0000-000057CC0000}"/>
    <cellStyle name="Normal 6 3 2 3 3 3" xfId="10468" xr:uid="{00000000-0005-0000-0000-000058CC0000}"/>
    <cellStyle name="Normal 6 3 2 3 3 3 2" xfId="17258" xr:uid="{00000000-0005-0000-0000-000059CC0000}"/>
    <cellStyle name="Normal 6 3 2 3 3 3 2 2" xfId="30826" xr:uid="{00000000-0005-0000-0000-00005ACC0000}"/>
    <cellStyle name="Normal 6 3 2 3 3 3 2 2 2" xfId="57959" xr:uid="{00000000-0005-0000-0000-00005BCC0000}"/>
    <cellStyle name="Normal 6 3 2 3 3 3 2 3" xfId="44397" xr:uid="{00000000-0005-0000-0000-00005CCC0000}"/>
    <cellStyle name="Normal 6 3 2 3 3 3 3" xfId="24045" xr:uid="{00000000-0005-0000-0000-00005DCC0000}"/>
    <cellStyle name="Normal 6 3 2 3 3 3 3 2" xfId="51178" xr:uid="{00000000-0005-0000-0000-00005ECC0000}"/>
    <cellStyle name="Normal 6 3 2 3 3 3 4" xfId="37616" xr:uid="{00000000-0005-0000-0000-00005FCC0000}"/>
    <cellStyle name="Normal 6 3 2 3 3 4" xfId="13869" xr:uid="{00000000-0005-0000-0000-000060CC0000}"/>
    <cellStyle name="Normal 6 3 2 3 3 4 2" xfId="27437" xr:uid="{00000000-0005-0000-0000-000061CC0000}"/>
    <cellStyle name="Normal 6 3 2 3 3 4 2 2" xfId="54570" xr:uid="{00000000-0005-0000-0000-000062CC0000}"/>
    <cellStyle name="Normal 6 3 2 3 3 4 3" xfId="41008" xr:uid="{00000000-0005-0000-0000-000063CC0000}"/>
    <cellStyle name="Normal 6 3 2 3 3 5" xfId="20656" xr:uid="{00000000-0005-0000-0000-000064CC0000}"/>
    <cellStyle name="Normal 6 3 2 3 3 5 2" xfId="47789" xr:uid="{00000000-0005-0000-0000-000065CC0000}"/>
    <cellStyle name="Normal 6 3 2 3 3 6" xfId="34227" xr:uid="{00000000-0005-0000-0000-000066CC0000}"/>
    <cellStyle name="Normal 6 3 2 3 4" xfId="6940" xr:uid="{00000000-0005-0000-0000-000067CC0000}"/>
    <cellStyle name="Normal 6 3 2 3 4 2" xfId="10470" xr:uid="{00000000-0005-0000-0000-000068CC0000}"/>
    <cellStyle name="Normal 6 3 2 3 4 2 2" xfId="17260" xr:uid="{00000000-0005-0000-0000-000069CC0000}"/>
    <cellStyle name="Normal 6 3 2 3 4 2 2 2" xfId="30828" xr:uid="{00000000-0005-0000-0000-00006ACC0000}"/>
    <cellStyle name="Normal 6 3 2 3 4 2 2 2 2" xfId="57961" xr:uid="{00000000-0005-0000-0000-00006BCC0000}"/>
    <cellStyle name="Normal 6 3 2 3 4 2 2 3" xfId="44399" xr:uid="{00000000-0005-0000-0000-00006CCC0000}"/>
    <cellStyle name="Normal 6 3 2 3 4 2 3" xfId="24047" xr:uid="{00000000-0005-0000-0000-00006DCC0000}"/>
    <cellStyle name="Normal 6 3 2 3 4 2 3 2" xfId="51180" xr:uid="{00000000-0005-0000-0000-00006ECC0000}"/>
    <cellStyle name="Normal 6 3 2 3 4 2 4" xfId="37618" xr:uid="{00000000-0005-0000-0000-00006FCC0000}"/>
    <cellStyle name="Normal 6 3 2 3 4 3" xfId="13871" xr:uid="{00000000-0005-0000-0000-000070CC0000}"/>
    <cellStyle name="Normal 6 3 2 3 4 3 2" xfId="27439" xr:uid="{00000000-0005-0000-0000-000071CC0000}"/>
    <cellStyle name="Normal 6 3 2 3 4 3 2 2" xfId="54572" xr:uid="{00000000-0005-0000-0000-000072CC0000}"/>
    <cellStyle name="Normal 6 3 2 3 4 3 3" xfId="41010" xr:uid="{00000000-0005-0000-0000-000073CC0000}"/>
    <cellStyle name="Normal 6 3 2 3 4 4" xfId="20658" xr:uid="{00000000-0005-0000-0000-000074CC0000}"/>
    <cellStyle name="Normal 6 3 2 3 4 4 2" xfId="47791" xr:uid="{00000000-0005-0000-0000-000075CC0000}"/>
    <cellStyle name="Normal 6 3 2 3 4 5" xfId="34229" xr:uid="{00000000-0005-0000-0000-000076CC0000}"/>
    <cellStyle name="Normal 6 3 2 3 5" xfId="6941" xr:uid="{00000000-0005-0000-0000-000077CC0000}"/>
    <cellStyle name="Normal 6 3 2 3 5 2" xfId="10471" xr:uid="{00000000-0005-0000-0000-000078CC0000}"/>
    <cellStyle name="Normal 6 3 2 3 5 2 2" xfId="17261" xr:uid="{00000000-0005-0000-0000-000079CC0000}"/>
    <cellStyle name="Normal 6 3 2 3 5 2 2 2" xfId="30829" xr:uid="{00000000-0005-0000-0000-00007ACC0000}"/>
    <cellStyle name="Normal 6 3 2 3 5 2 2 2 2" xfId="57962" xr:uid="{00000000-0005-0000-0000-00007BCC0000}"/>
    <cellStyle name="Normal 6 3 2 3 5 2 2 3" xfId="44400" xr:uid="{00000000-0005-0000-0000-00007CCC0000}"/>
    <cellStyle name="Normal 6 3 2 3 5 2 3" xfId="24048" xr:uid="{00000000-0005-0000-0000-00007DCC0000}"/>
    <cellStyle name="Normal 6 3 2 3 5 2 3 2" xfId="51181" xr:uid="{00000000-0005-0000-0000-00007ECC0000}"/>
    <cellStyle name="Normal 6 3 2 3 5 2 4" xfId="37619" xr:uid="{00000000-0005-0000-0000-00007FCC0000}"/>
    <cellStyle name="Normal 6 3 2 3 5 3" xfId="13872" xr:uid="{00000000-0005-0000-0000-000080CC0000}"/>
    <cellStyle name="Normal 6 3 2 3 5 3 2" xfId="27440" xr:uid="{00000000-0005-0000-0000-000081CC0000}"/>
    <cellStyle name="Normal 6 3 2 3 5 3 2 2" xfId="54573" xr:uid="{00000000-0005-0000-0000-000082CC0000}"/>
    <cellStyle name="Normal 6 3 2 3 5 3 3" xfId="41011" xr:uid="{00000000-0005-0000-0000-000083CC0000}"/>
    <cellStyle name="Normal 6 3 2 3 5 4" xfId="20659" xr:uid="{00000000-0005-0000-0000-000084CC0000}"/>
    <cellStyle name="Normal 6 3 2 3 5 4 2" xfId="47792" xr:uid="{00000000-0005-0000-0000-000085CC0000}"/>
    <cellStyle name="Normal 6 3 2 3 5 5" xfId="34230" xr:uid="{00000000-0005-0000-0000-000086CC0000}"/>
    <cellStyle name="Normal 6 3 2 3 6" xfId="10464" xr:uid="{00000000-0005-0000-0000-000087CC0000}"/>
    <cellStyle name="Normal 6 3 2 3 6 2" xfId="17254" xr:uid="{00000000-0005-0000-0000-000088CC0000}"/>
    <cellStyle name="Normal 6 3 2 3 6 2 2" xfId="30822" xr:uid="{00000000-0005-0000-0000-000089CC0000}"/>
    <cellStyle name="Normal 6 3 2 3 6 2 2 2" xfId="57955" xr:uid="{00000000-0005-0000-0000-00008ACC0000}"/>
    <cellStyle name="Normal 6 3 2 3 6 2 3" xfId="44393" xr:uid="{00000000-0005-0000-0000-00008BCC0000}"/>
    <cellStyle name="Normal 6 3 2 3 6 3" xfId="24041" xr:uid="{00000000-0005-0000-0000-00008CCC0000}"/>
    <cellStyle name="Normal 6 3 2 3 6 3 2" xfId="51174" xr:uid="{00000000-0005-0000-0000-00008DCC0000}"/>
    <cellStyle name="Normal 6 3 2 3 6 4" xfId="37612" xr:uid="{00000000-0005-0000-0000-00008ECC0000}"/>
    <cellStyle name="Normal 6 3 2 3 7" xfId="13865" xr:uid="{00000000-0005-0000-0000-00008FCC0000}"/>
    <cellStyle name="Normal 6 3 2 3 7 2" xfId="27433" xr:uid="{00000000-0005-0000-0000-000090CC0000}"/>
    <cellStyle name="Normal 6 3 2 3 7 2 2" xfId="54566" xr:uid="{00000000-0005-0000-0000-000091CC0000}"/>
    <cellStyle name="Normal 6 3 2 3 7 3" xfId="41004" xr:uid="{00000000-0005-0000-0000-000092CC0000}"/>
    <cellStyle name="Normal 6 3 2 3 8" xfId="20652" xr:uid="{00000000-0005-0000-0000-000093CC0000}"/>
    <cellStyle name="Normal 6 3 2 3 8 2" xfId="47785" xr:uid="{00000000-0005-0000-0000-000094CC0000}"/>
    <cellStyle name="Normal 6 3 2 3 9" xfId="34223" xr:uid="{00000000-0005-0000-0000-000095CC0000}"/>
    <cellStyle name="Normal 6 3 2 4" xfId="6942" xr:uid="{00000000-0005-0000-0000-000096CC0000}"/>
    <cellStyle name="Normal 6 3 2 4 2" xfId="6943" xr:uid="{00000000-0005-0000-0000-000097CC0000}"/>
    <cellStyle name="Normal 6 3 2 4 2 2" xfId="6944" xr:uid="{00000000-0005-0000-0000-000098CC0000}"/>
    <cellStyle name="Normal 6 3 2 4 2 2 2" xfId="10474" xr:uid="{00000000-0005-0000-0000-000099CC0000}"/>
    <cellStyle name="Normal 6 3 2 4 2 2 2 2" xfId="17264" xr:uid="{00000000-0005-0000-0000-00009ACC0000}"/>
    <cellStyle name="Normal 6 3 2 4 2 2 2 2 2" xfId="30832" xr:uid="{00000000-0005-0000-0000-00009BCC0000}"/>
    <cellStyle name="Normal 6 3 2 4 2 2 2 2 2 2" xfId="57965" xr:uid="{00000000-0005-0000-0000-00009CCC0000}"/>
    <cellStyle name="Normal 6 3 2 4 2 2 2 2 3" xfId="44403" xr:uid="{00000000-0005-0000-0000-00009DCC0000}"/>
    <cellStyle name="Normal 6 3 2 4 2 2 2 3" xfId="24051" xr:uid="{00000000-0005-0000-0000-00009ECC0000}"/>
    <cellStyle name="Normal 6 3 2 4 2 2 2 3 2" xfId="51184" xr:uid="{00000000-0005-0000-0000-00009FCC0000}"/>
    <cellStyle name="Normal 6 3 2 4 2 2 2 4" xfId="37622" xr:uid="{00000000-0005-0000-0000-0000A0CC0000}"/>
    <cellStyle name="Normal 6 3 2 4 2 2 3" xfId="13875" xr:uid="{00000000-0005-0000-0000-0000A1CC0000}"/>
    <cellStyle name="Normal 6 3 2 4 2 2 3 2" xfId="27443" xr:uid="{00000000-0005-0000-0000-0000A2CC0000}"/>
    <cellStyle name="Normal 6 3 2 4 2 2 3 2 2" xfId="54576" xr:uid="{00000000-0005-0000-0000-0000A3CC0000}"/>
    <cellStyle name="Normal 6 3 2 4 2 2 3 3" xfId="41014" xr:uid="{00000000-0005-0000-0000-0000A4CC0000}"/>
    <cellStyle name="Normal 6 3 2 4 2 2 4" xfId="20662" xr:uid="{00000000-0005-0000-0000-0000A5CC0000}"/>
    <cellStyle name="Normal 6 3 2 4 2 2 4 2" xfId="47795" xr:uid="{00000000-0005-0000-0000-0000A6CC0000}"/>
    <cellStyle name="Normal 6 3 2 4 2 2 5" xfId="34233" xr:uid="{00000000-0005-0000-0000-0000A7CC0000}"/>
    <cellStyle name="Normal 6 3 2 4 2 3" xfId="6945" xr:uid="{00000000-0005-0000-0000-0000A8CC0000}"/>
    <cellStyle name="Normal 6 3 2 4 2 3 2" xfId="10475" xr:uid="{00000000-0005-0000-0000-0000A9CC0000}"/>
    <cellStyle name="Normal 6 3 2 4 2 3 2 2" xfId="17265" xr:uid="{00000000-0005-0000-0000-0000AACC0000}"/>
    <cellStyle name="Normal 6 3 2 4 2 3 2 2 2" xfId="30833" xr:uid="{00000000-0005-0000-0000-0000ABCC0000}"/>
    <cellStyle name="Normal 6 3 2 4 2 3 2 2 2 2" xfId="57966" xr:uid="{00000000-0005-0000-0000-0000ACCC0000}"/>
    <cellStyle name="Normal 6 3 2 4 2 3 2 2 3" xfId="44404" xr:uid="{00000000-0005-0000-0000-0000ADCC0000}"/>
    <cellStyle name="Normal 6 3 2 4 2 3 2 3" xfId="24052" xr:uid="{00000000-0005-0000-0000-0000AECC0000}"/>
    <cellStyle name="Normal 6 3 2 4 2 3 2 3 2" xfId="51185" xr:uid="{00000000-0005-0000-0000-0000AFCC0000}"/>
    <cellStyle name="Normal 6 3 2 4 2 3 2 4" xfId="37623" xr:uid="{00000000-0005-0000-0000-0000B0CC0000}"/>
    <cellStyle name="Normal 6 3 2 4 2 3 3" xfId="13876" xr:uid="{00000000-0005-0000-0000-0000B1CC0000}"/>
    <cellStyle name="Normal 6 3 2 4 2 3 3 2" xfId="27444" xr:uid="{00000000-0005-0000-0000-0000B2CC0000}"/>
    <cellStyle name="Normal 6 3 2 4 2 3 3 2 2" xfId="54577" xr:uid="{00000000-0005-0000-0000-0000B3CC0000}"/>
    <cellStyle name="Normal 6 3 2 4 2 3 3 3" xfId="41015" xr:uid="{00000000-0005-0000-0000-0000B4CC0000}"/>
    <cellStyle name="Normal 6 3 2 4 2 3 4" xfId="20663" xr:uid="{00000000-0005-0000-0000-0000B5CC0000}"/>
    <cellStyle name="Normal 6 3 2 4 2 3 4 2" xfId="47796" xr:uid="{00000000-0005-0000-0000-0000B6CC0000}"/>
    <cellStyle name="Normal 6 3 2 4 2 3 5" xfId="34234" xr:uid="{00000000-0005-0000-0000-0000B7CC0000}"/>
    <cellStyle name="Normal 6 3 2 4 2 4" xfId="10473" xr:uid="{00000000-0005-0000-0000-0000B8CC0000}"/>
    <cellStyle name="Normal 6 3 2 4 2 4 2" xfId="17263" xr:uid="{00000000-0005-0000-0000-0000B9CC0000}"/>
    <cellStyle name="Normal 6 3 2 4 2 4 2 2" xfId="30831" xr:uid="{00000000-0005-0000-0000-0000BACC0000}"/>
    <cellStyle name="Normal 6 3 2 4 2 4 2 2 2" xfId="57964" xr:uid="{00000000-0005-0000-0000-0000BBCC0000}"/>
    <cellStyle name="Normal 6 3 2 4 2 4 2 3" xfId="44402" xr:uid="{00000000-0005-0000-0000-0000BCCC0000}"/>
    <cellStyle name="Normal 6 3 2 4 2 4 3" xfId="24050" xr:uid="{00000000-0005-0000-0000-0000BDCC0000}"/>
    <cellStyle name="Normal 6 3 2 4 2 4 3 2" xfId="51183" xr:uid="{00000000-0005-0000-0000-0000BECC0000}"/>
    <cellStyle name="Normal 6 3 2 4 2 4 4" xfId="37621" xr:uid="{00000000-0005-0000-0000-0000BFCC0000}"/>
    <cellStyle name="Normal 6 3 2 4 2 5" xfId="13874" xr:uid="{00000000-0005-0000-0000-0000C0CC0000}"/>
    <cellStyle name="Normal 6 3 2 4 2 5 2" xfId="27442" xr:uid="{00000000-0005-0000-0000-0000C1CC0000}"/>
    <cellStyle name="Normal 6 3 2 4 2 5 2 2" xfId="54575" xr:uid="{00000000-0005-0000-0000-0000C2CC0000}"/>
    <cellStyle name="Normal 6 3 2 4 2 5 3" xfId="41013" xr:uid="{00000000-0005-0000-0000-0000C3CC0000}"/>
    <cellStyle name="Normal 6 3 2 4 2 6" xfId="20661" xr:uid="{00000000-0005-0000-0000-0000C4CC0000}"/>
    <cellStyle name="Normal 6 3 2 4 2 6 2" xfId="47794" xr:uid="{00000000-0005-0000-0000-0000C5CC0000}"/>
    <cellStyle name="Normal 6 3 2 4 2 7" xfId="34232" xr:uid="{00000000-0005-0000-0000-0000C6CC0000}"/>
    <cellStyle name="Normal 6 3 2 4 3" xfId="6946" xr:uid="{00000000-0005-0000-0000-0000C7CC0000}"/>
    <cellStyle name="Normal 6 3 2 4 3 2" xfId="10476" xr:uid="{00000000-0005-0000-0000-0000C8CC0000}"/>
    <cellStyle name="Normal 6 3 2 4 3 2 2" xfId="17266" xr:uid="{00000000-0005-0000-0000-0000C9CC0000}"/>
    <cellStyle name="Normal 6 3 2 4 3 2 2 2" xfId="30834" xr:uid="{00000000-0005-0000-0000-0000CACC0000}"/>
    <cellStyle name="Normal 6 3 2 4 3 2 2 2 2" xfId="57967" xr:uid="{00000000-0005-0000-0000-0000CBCC0000}"/>
    <cellStyle name="Normal 6 3 2 4 3 2 2 3" xfId="44405" xr:uid="{00000000-0005-0000-0000-0000CCCC0000}"/>
    <cellStyle name="Normal 6 3 2 4 3 2 3" xfId="24053" xr:uid="{00000000-0005-0000-0000-0000CDCC0000}"/>
    <cellStyle name="Normal 6 3 2 4 3 2 3 2" xfId="51186" xr:uid="{00000000-0005-0000-0000-0000CECC0000}"/>
    <cellStyle name="Normal 6 3 2 4 3 2 4" xfId="37624" xr:uid="{00000000-0005-0000-0000-0000CFCC0000}"/>
    <cellStyle name="Normal 6 3 2 4 3 3" xfId="13877" xr:uid="{00000000-0005-0000-0000-0000D0CC0000}"/>
    <cellStyle name="Normal 6 3 2 4 3 3 2" xfId="27445" xr:uid="{00000000-0005-0000-0000-0000D1CC0000}"/>
    <cellStyle name="Normal 6 3 2 4 3 3 2 2" xfId="54578" xr:uid="{00000000-0005-0000-0000-0000D2CC0000}"/>
    <cellStyle name="Normal 6 3 2 4 3 3 3" xfId="41016" xr:uid="{00000000-0005-0000-0000-0000D3CC0000}"/>
    <cellStyle name="Normal 6 3 2 4 3 4" xfId="20664" xr:uid="{00000000-0005-0000-0000-0000D4CC0000}"/>
    <cellStyle name="Normal 6 3 2 4 3 4 2" xfId="47797" xr:uid="{00000000-0005-0000-0000-0000D5CC0000}"/>
    <cellStyle name="Normal 6 3 2 4 3 5" xfId="34235" xr:uid="{00000000-0005-0000-0000-0000D6CC0000}"/>
    <cellStyle name="Normal 6 3 2 4 4" xfId="6947" xr:uid="{00000000-0005-0000-0000-0000D7CC0000}"/>
    <cellStyle name="Normal 6 3 2 4 4 2" xfId="10477" xr:uid="{00000000-0005-0000-0000-0000D8CC0000}"/>
    <cellStyle name="Normal 6 3 2 4 4 2 2" xfId="17267" xr:uid="{00000000-0005-0000-0000-0000D9CC0000}"/>
    <cellStyle name="Normal 6 3 2 4 4 2 2 2" xfId="30835" xr:uid="{00000000-0005-0000-0000-0000DACC0000}"/>
    <cellStyle name="Normal 6 3 2 4 4 2 2 2 2" xfId="57968" xr:uid="{00000000-0005-0000-0000-0000DBCC0000}"/>
    <cellStyle name="Normal 6 3 2 4 4 2 2 3" xfId="44406" xr:uid="{00000000-0005-0000-0000-0000DCCC0000}"/>
    <cellStyle name="Normal 6 3 2 4 4 2 3" xfId="24054" xr:uid="{00000000-0005-0000-0000-0000DDCC0000}"/>
    <cellStyle name="Normal 6 3 2 4 4 2 3 2" xfId="51187" xr:uid="{00000000-0005-0000-0000-0000DECC0000}"/>
    <cellStyle name="Normal 6 3 2 4 4 2 4" xfId="37625" xr:uid="{00000000-0005-0000-0000-0000DFCC0000}"/>
    <cellStyle name="Normal 6 3 2 4 4 3" xfId="13878" xr:uid="{00000000-0005-0000-0000-0000E0CC0000}"/>
    <cellStyle name="Normal 6 3 2 4 4 3 2" xfId="27446" xr:uid="{00000000-0005-0000-0000-0000E1CC0000}"/>
    <cellStyle name="Normal 6 3 2 4 4 3 2 2" xfId="54579" xr:uid="{00000000-0005-0000-0000-0000E2CC0000}"/>
    <cellStyle name="Normal 6 3 2 4 4 3 3" xfId="41017" xr:uid="{00000000-0005-0000-0000-0000E3CC0000}"/>
    <cellStyle name="Normal 6 3 2 4 4 4" xfId="20665" xr:uid="{00000000-0005-0000-0000-0000E4CC0000}"/>
    <cellStyle name="Normal 6 3 2 4 4 4 2" xfId="47798" xr:uid="{00000000-0005-0000-0000-0000E5CC0000}"/>
    <cellStyle name="Normal 6 3 2 4 4 5" xfId="34236" xr:uid="{00000000-0005-0000-0000-0000E6CC0000}"/>
    <cellStyle name="Normal 6 3 2 4 5" xfId="10472" xr:uid="{00000000-0005-0000-0000-0000E7CC0000}"/>
    <cellStyle name="Normal 6 3 2 4 5 2" xfId="17262" xr:uid="{00000000-0005-0000-0000-0000E8CC0000}"/>
    <cellStyle name="Normal 6 3 2 4 5 2 2" xfId="30830" xr:uid="{00000000-0005-0000-0000-0000E9CC0000}"/>
    <cellStyle name="Normal 6 3 2 4 5 2 2 2" xfId="57963" xr:uid="{00000000-0005-0000-0000-0000EACC0000}"/>
    <cellStyle name="Normal 6 3 2 4 5 2 3" xfId="44401" xr:uid="{00000000-0005-0000-0000-0000EBCC0000}"/>
    <cellStyle name="Normal 6 3 2 4 5 3" xfId="24049" xr:uid="{00000000-0005-0000-0000-0000ECCC0000}"/>
    <cellStyle name="Normal 6 3 2 4 5 3 2" xfId="51182" xr:uid="{00000000-0005-0000-0000-0000EDCC0000}"/>
    <cellStyle name="Normal 6 3 2 4 5 4" xfId="37620" xr:uid="{00000000-0005-0000-0000-0000EECC0000}"/>
    <cellStyle name="Normal 6 3 2 4 6" xfId="13873" xr:uid="{00000000-0005-0000-0000-0000EFCC0000}"/>
    <cellStyle name="Normal 6 3 2 4 6 2" xfId="27441" xr:uid="{00000000-0005-0000-0000-0000F0CC0000}"/>
    <cellStyle name="Normal 6 3 2 4 6 2 2" xfId="54574" xr:uid="{00000000-0005-0000-0000-0000F1CC0000}"/>
    <cellStyle name="Normal 6 3 2 4 6 3" xfId="41012" xr:uid="{00000000-0005-0000-0000-0000F2CC0000}"/>
    <cellStyle name="Normal 6 3 2 4 7" xfId="20660" xr:uid="{00000000-0005-0000-0000-0000F3CC0000}"/>
    <cellStyle name="Normal 6 3 2 4 7 2" xfId="47793" xr:uid="{00000000-0005-0000-0000-0000F4CC0000}"/>
    <cellStyle name="Normal 6 3 2 4 8" xfId="34231" xr:uid="{00000000-0005-0000-0000-0000F5CC0000}"/>
    <cellStyle name="Normal 6 3 2 5" xfId="6948" xr:uid="{00000000-0005-0000-0000-0000F6CC0000}"/>
    <cellStyle name="Normal 6 3 2 5 2" xfId="6949" xr:uid="{00000000-0005-0000-0000-0000F7CC0000}"/>
    <cellStyle name="Normal 6 3 2 5 2 2" xfId="10479" xr:uid="{00000000-0005-0000-0000-0000F8CC0000}"/>
    <cellStyle name="Normal 6 3 2 5 2 2 2" xfId="17269" xr:uid="{00000000-0005-0000-0000-0000F9CC0000}"/>
    <cellStyle name="Normal 6 3 2 5 2 2 2 2" xfId="30837" xr:uid="{00000000-0005-0000-0000-0000FACC0000}"/>
    <cellStyle name="Normal 6 3 2 5 2 2 2 2 2" xfId="57970" xr:uid="{00000000-0005-0000-0000-0000FBCC0000}"/>
    <cellStyle name="Normal 6 3 2 5 2 2 2 3" xfId="44408" xr:uid="{00000000-0005-0000-0000-0000FCCC0000}"/>
    <cellStyle name="Normal 6 3 2 5 2 2 3" xfId="24056" xr:uid="{00000000-0005-0000-0000-0000FDCC0000}"/>
    <cellStyle name="Normal 6 3 2 5 2 2 3 2" xfId="51189" xr:uid="{00000000-0005-0000-0000-0000FECC0000}"/>
    <cellStyle name="Normal 6 3 2 5 2 2 4" xfId="37627" xr:uid="{00000000-0005-0000-0000-0000FFCC0000}"/>
    <cellStyle name="Normal 6 3 2 5 2 3" xfId="13880" xr:uid="{00000000-0005-0000-0000-000000CD0000}"/>
    <cellStyle name="Normal 6 3 2 5 2 3 2" xfId="27448" xr:uid="{00000000-0005-0000-0000-000001CD0000}"/>
    <cellStyle name="Normal 6 3 2 5 2 3 2 2" xfId="54581" xr:uid="{00000000-0005-0000-0000-000002CD0000}"/>
    <cellStyle name="Normal 6 3 2 5 2 3 3" xfId="41019" xr:uid="{00000000-0005-0000-0000-000003CD0000}"/>
    <cellStyle name="Normal 6 3 2 5 2 4" xfId="20667" xr:uid="{00000000-0005-0000-0000-000004CD0000}"/>
    <cellStyle name="Normal 6 3 2 5 2 4 2" xfId="47800" xr:uid="{00000000-0005-0000-0000-000005CD0000}"/>
    <cellStyle name="Normal 6 3 2 5 2 5" xfId="34238" xr:uid="{00000000-0005-0000-0000-000006CD0000}"/>
    <cellStyle name="Normal 6 3 2 5 3" xfId="6950" xr:uid="{00000000-0005-0000-0000-000007CD0000}"/>
    <cellStyle name="Normal 6 3 2 5 3 2" xfId="10480" xr:uid="{00000000-0005-0000-0000-000008CD0000}"/>
    <cellStyle name="Normal 6 3 2 5 3 2 2" xfId="17270" xr:uid="{00000000-0005-0000-0000-000009CD0000}"/>
    <cellStyle name="Normal 6 3 2 5 3 2 2 2" xfId="30838" xr:uid="{00000000-0005-0000-0000-00000ACD0000}"/>
    <cellStyle name="Normal 6 3 2 5 3 2 2 2 2" xfId="57971" xr:uid="{00000000-0005-0000-0000-00000BCD0000}"/>
    <cellStyle name="Normal 6 3 2 5 3 2 2 3" xfId="44409" xr:uid="{00000000-0005-0000-0000-00000CCD0000}"/>
    <cellStyle name="Normal 6 3 2 5 3 2 3" xfId="24057" xr:uid="{00000000-0005-0000-0000-00000DCD0000}"/>
    <cellStyle name="Normal 6 3 2 5 3 2 3 2" xfId="51190" xr:uid="{00000000-0005-0000-0000-00000ECD0000}"/>
    <cellStyle name="Normal 6 3 2 5 3 2 4" xfId="37628" xr:uid="{00000000-0005-0000-0000-00000FCD0000}"/>
    <cellStyle name="Normal 6 3 2 5 3 3" xfId="13881" xr:uid="{00000000-0005-0000-0000-000010CD0000}"/>
    <cellStyle name="Normal 6 3 2 5 3 3 2" xfId="27449" xr:uid="{00000000-0005-0000-0000-000011CD0000}"/>
    <cellStyle name="Normal 6 3 2 5 3 3 2 2" xfId="54582" xr:uid="{00000000-0005-0000-0000-000012CD0000}"/>
    <cellStyle name="Normal 6 3 2 5 3 3 3" xfId="41020" xr:uid="{00000000-0005-0000-0000-000013CD0000}"/>
    <cellStyle name="Normal 6 3 2 5 3 4" xfId="20668" xr:uid="{00000000-0005-0000-0000-000014CD0000}"/>
    <cellStyle name="Normal 6 3 2 5 3 4 2" xfId="47801" xr:uid="{00000000-0005-0000-0000-000015CD0000}"/>
    <cellStyle name="Normal 6 3 2 5 3 5" xfId="34239" xr:uid="{00000000-0005-0000-0000-000016CD0000}"/>
    <cellStyle name="Normal 6 3 2 5 4" xfId="10478" xr:uid="{00000000-0005-0000-0000-000017CD0000}"/>
    <cellStyle name="Normal 6 3 2 5 4 2" xfId="17268" xr:uid="{00000000-0005-0000-0000-000018CD0000}"/>
    <cellStyle name="Normal 6 3 2 5 4 2 2" xfId="30836" xr:uid="{00000000-0005-0000-0000-000019CD0000}"/>
    <cellStyle name="Normal 6 3 2 5 4 2 2 2" xfId="57969" xr:uid="{00000000-0005-0000-0000-00001ACD0000}"/>
    <cellStyle name="Normal 6 3 2 5 4 2 3" xfId="44407" xr:uid="{00000000-0005-0000-0000-00001BCD0000}"/>
    <cellStyle name="Normal 6 3 2 5 4 3" xfId="24055" xr:uid="{00000000-0005-0000-0000-00001CCD0000}"/>
    <cellStyle name="Normal 6 3 2 5 4 3 2" xfId="51188" xr:uid="{00000000-0005-0000-0000-00001DCD0000}"/>
    <cellStyle name="Normal 6 3 2 5 4 4" xfId="37626" xr:uid="{00000000-0005-0000-0000-00001ECD0000}"/>
    <cellStyle name="Normal 6 3 2 5 5" xfId="13879" xr:uid="{00000000-0005-0000-0000-00001FCD0000}"/>
    <cellStyle name="Normal 6 3 2 5 5 2" xfId="27447" xr:uid="{00000000-0005-0000-0000-000020CD0000}"/>
    <cellStyle name="Normal 6 3 2 5 5 2 2" xfId="54580" xr:uid="{00000000-0005-0000-0000-000021CD0000}"/>
    <cellStyle name="Normal 6 3 2 5 5 3" xfId="41018" xr:uid="{00000000-0005-0000-0000-000022CD0000}"/>
    <cellStyle name="Normal 6 3 2 5 6" xfId="20666" xr:uid="{00000000-0005-0000-0000-000023CD0000}"/>
    <cellStyle name="Normal 6 3 2 5 6 2" xfId="47799" xr:uid="{00000000-0005-0000-0000-000024CD0000}"/>
    <cellStyle name="Normal 6 3 2 5 7" xfId="34237" xr:uid="{00000000-0005-0000-0000-000025CD0000}"/>
    <cellStyle name="Normal 6 3 2 6" xfId="6951" xr:uid="{00000000-0005-0000-0000-000026CD0000}"/>
    <cellStyle name="Normal 6 3 2 6 2" xfId="6952" xr:uid="{00000000-0005-0000-0000-000027CD0000}"/>
    <cellStyle name="Normal 6 3 2 6 2 2" xfId="10482" xr:uid="{00000000-0005-0000-0000-000028CD0000}"/>
    <cellStyle name="Normal 6 3 2 6 2 2 2" xfId="17272" xr:uid="{00000000-0005-0000-0000-000029CD0000}"/>
    <cellStyle name="Normal 6 3 2 6 2 2 2 2" xfId="30840" xr:uid="{00000000-0005-0000-0000-00002ACD0000}"/>
    <cellStyle name="Normal 6 3 2 6 2 2 2 2 2" xfId="57973" xr:uid="{00000000-0005-0000-0000-00002BCD0000}"/>
    <cellStyle name="Normal 6 3 2 6 2 2 2 3" xfId="44411" xr:uid="{00000000-0005-0000-0000-00002CCD0000}"/>
    <cellStyle name="Normal 6 3 2 6 2 2 3" xfId="24059" xr:uid="{00000000-0005-0000-0000-00002DCD0000}"/>
    <cellStyle name="Normal 6 3 2 6 2 2 3 2" xfId="51192" xr:uid="{00000000-0005-0000-0000-00002ECD0000}"/>
    <cellStyle name="Normal 6 3 2 6 2 2 4" xfId="37630" xr:uid="{00000000-0005-0000-0000-00002FCD0000}"/>
    <cellStyle name="Normal 6 3 2 6 2 3" xfId="13883" xr:uid="{00000000-0005-0000-0000-000030CD0000}"/>
    <cellStyle name="Normal 6 3 2 6 2 3 2" xfId="27451" xr:uid="{00000000-0005-0000-0000-000031CD0000}"/>
    <cellStyle name="Normal 6 3 2 6 2 3 2 2" xfId="54584" xr:uid="{00000000-0005-0000-0000-000032CD0000}"/>
    <cellStyle name="Normal 6 3 2 6 2 3 3" xfId="41022" xr:uid="{00000000-0005-0000-0000-000033CD0000}"/>
    <cellStyle name="Normal 6 3 2 6 2 4" xfId="20670" xr:uid="{00000000-0005-0000-0000-000034CD0000}"/>
    <cellStyle name="Normal 6 3 2 6 2 4 2" xfId="47803" xr:uid="{00000000-0005-0000-0000-000035CD0000}"/>
    <cellStyle name="Normal 6 3 2 6 2 5" xfId="34241" xr:uid="{00000000-0005-0000-0000-000036CD0000}"/>
    <cellStyle name="Normal 6 3 2 6 3" xfId="6953" xr:uid="{00000000-0005-0000-0000-000037CD0000}"/>
    <cellStyle name="Normal 6 3 2 6 3 2" xfId="10483" xr:uid="{00000000-0005-0000-0000-000038CD0000}"/>
    <cellStyle name="Normal 6 3 2 6 3 2 2" xfId="17273" xr:uid="{00000000-0005-0000-0000-000039CD0000}"/>
    <cellStyle name="Normal 6 3 2 6 3 2 2 2" xfId="30841" xr:uid="{00000000-0005-0000-0000-00003ACD0000}"/>
    <cellStyle name="Normal 6 3 2 6 3 2 2 2 2" xfId="57974" xr:uid="{00000000-0005-0000-0000-00003BCD0000}"/>
    <cellStyle name="Normal 6 3 2 6 3 2 2 3" xfId="44412" xr:uid="{00000000-0005-0000-0000-00003CCD0000}"/>
    <cellStyle name="Normal 6 3 2 6 3 2 3" xfId="24060" xr:uid="{00000000-0005-0000-0000-00003DCD0000}"/>
    <cellStyle name="Normal 6 3 2 6 3 2 3 2" xfId="51193" xr:uid="{00000000-0005-0000-0000-00003ECD0000}"/>
    <cellStyle name="Normal 6 3 2 6 3 2 4" xfId="37631" xr:uid="{00000000-0005-0000-0000-00003FCD0000}"/>
    <cellStyle name="Normal 6 3 2 6 3 3" xfId="13884" xr:uid="{00000000-0005-0000-0000-000040CD0000}"/>
    <cellStyle name="Normal 6 3 2 6 3 3 2" xfId="27452" xr:uid="{00000000-0005-0000-0000-000041CD0000}"/>
    <cellStyle name="Normal 6 3 2 6 3 3 2 2" xfId="54585" xr:uid="{00000000-0005-0000-0000-000042CD0000}"/>
    <cellStyle name="Normal 6 3 2 6 3 3 3" xfId="41023" xr:uid="{00000000-0005-0000-0000-000043CD0000}"/>
    <cellStyle name="Normal 6 3 2 6 3 4" xfId="20671" xr:uid="{00000000-0005-0000-0000-000044CD0000}"/>
    <cellStyle name="Normal 6 3 2 6 3 4 2" xfId="47804" xr:uid="{00000000-0005-0000-0000-000045CD0000}"/>
    <cellStyle name="Normal 6 3 2 6 3 5" xfId="34242" xr:uid="{00000000-0005-0000-0000-000046CD0000}"/>
    <cellStyle name="Normal 6 3 2 6 4" xfId="10481" xr:uid="{00000000-0005-0000-0000-000047CD0000}"/>
    <cellStyle name="Normal 6 3 2 6 4 2" xfId="17271" xr:uid="{00000000-0005-0000-0000-000048CD0000}"/>
    <cellStyle name="Normal 6 3 2 6 4 2 2" xfId="30839" xr:uid="{00000000-0005-0000-0000-000049CD0000}"/>
    <cellStyle name="Normal 6 3 2 6 4 2 2 2" xfId="57972" xr:uid="{00000000-0005-0000-0000-00004ACD0000}"/>
    <cellStyle name="Normal 6 3 2 6 4 2 3" xfId="44410" xr:uid="{00000000-0005-0000-0000-00004BCD0000}"/>
    <cellStyle name="Normal 6 3 2 6 4 3" xfId="24058" xr:uid="{00000000-0005-0000-0000-00004CCD0000}"/>
    <cellStyle name="Normal 6 3 2 6 4 3 2" xfId="51191" xr:uid="{00000000-0005-0000-0000-00004DCD0000}"/>
    <cellStyle name="Normal 6 3 2 6 4 4" xfId="37629" xr:uid="{00000000-0005-0000-0000-00004ECD0000}"/>
    <cellStyle name="Normal 6 3 2 6 5" xfId="13882" xr:uid="{00000000-0005-0000-0000-00004FCD0000}"/>
    <cellStyle name="Normal 6 3 2 6 5 2" xfId="27450" xr:uid="{00000000-0005-0000-0000-000050CD0000}"/>
    <cellStyle name="Normal 6 3 2 6 5 2 2" xfId="54583" xr:uid="{00000000-0005-0000-0000-000051CD0000}"/>
    <cellStyle name="Normal 6 3 2 6 5 3" xfId="41021" xr:uid="{00000000-0005-0000-0000-000052CD0000}"/>
    <cellStyle name="Normal 6 3 2 6 6" xfId="20669" xr:uid="{00000000-0005-0000-0000-000053CD0000}"/>
    <cellStyle name="Normal 6 3 2 6 6 2" xfId="47802" xr:uid="{00000000-0005-0000-0000-000054CD0000}"/>
    <cellStyle name="Normal 6 3 2 6 7" xfId="34240" xr:uid="{00000000-0005-0000-0000-000055CD0000}"/>
    <cellStyle name="Normal 6 3 2 7" xfId="6954" xr:uid="{00000000-0005-0000-0000-000056CD0000}"/>
    <cellStyle name="Normal 6 3 2 7 2" xfId="10484" xr:uid="{00000000-0005-0000-0000-000057CD0000}"/>
    <cellStyle name="Normal 6 3 2 7 2 2" xfId="17274" xr:uid="{00000000-0005-0000-0000-000058CD0000}"/>
    <cellStyle name="Normal 6 3 2 7 2 2 2" xfId="30842" xr:uid="{00000000-0005-0000-0000-000059CD0000}"/>
    <cellStyle name="Normal 6 3 2 7 2 2 2 2" xfId="57975" xr:uid="{00000000-0005-0000-0000-00005ACD0000}"/>
    <cellStyle name="Normal 6 3 2 7 2 2 3" xfId="44413" xr:uid="{00000000-0005-0000-0000-00005BCD0000}"/>
    <cellStyle name="Normal 6 3 2 7 2 3" xfId="24061" xr:uid="{00000000-0005-0000-0000-00005CCD0000}"/>
    <cellStyle name="Normal 6 3 2 7 2 3 2" xfId="51194" xr:uid="{00000000-0005-0000-0000-00005DCD0000}"/>
    <cellStyle name="Normal 6 3 2 7 2 4" xfId="37632" xr:uid="{00000000-0005-0000-0000-00005ECD0000}"/>
    <cellStyle name="Normal 6 3 2 7 3" xfId="13885" xr:uid="{00000000-0005-0000-0000-00005FCD0000}"/>
    <cellStyle name="Normal 6 3 2 7 3 2" xfId="27453" xr:uid="{00000000-0005-0000-0000-000060CD0000}"/>
    <cellStyle name="Normal 6 3 2 7 3 2 2" xfId="54586" xr:uid="{00000000-0005-0000-0000-000061CD0000}"/>
    <cellStyle name="Normal 6 3 2 7 3 3" xfId="41024" xr:uid="{00000000-0005-0000-0000-000062CD0000}"/>
    <cellStyle name="Normal 6 3 2 7 4" xfId="20672" xr:uid="{00000000-0005-0000-0000-000063CD0000}"/>
    <cellStyle name="Normal 6 3 2 7 4 2" xfId="47805" xr:uid="{00000000-0005-0000-0000-000064CD0000}"/>
    <cellStyle name="Normal 6 3 2 7 5" xfId="34243" xr:uid="{00000000-0005-0000-0000-000065CD0000}"/>
    <cellStyle name="Normal 6 3 2 8" xfId="6955" xr:uid="{00000000-0005-0000-0000-000066CD0000}"/>
    <cellStyle name="Normal 6 3 2 8 2" xfId="10485" xr:uid="{00000000-0005-0000-0000-000067CD0000}"/>
    <cellStyle name="Normal 6 3 2 8 2 2" xfId="17275" xr:uid="{00000000-0005-0000-0000-000068CD0000}"/>
    <cellStyle name="Normal 6 3 2 8 2 2 2" xfId="30843" xr:uid="{00000000-0005-0000-0000-000069CD0000}"/>
    <cellStyle name="Normal 6 3 2 8 2 2 2 2" xfId="57976" xr:uid="{00000000-0005-0000-0000-00006ACD0000}"/>
    <cellStyle name="Normal 6 3 2 8 2 2 3" xfId="44414" xr:uid="{00000000-0005-0000-0000-00006BCD0000}"/>
    <cellStyle name="Normal 6 3 2 8 2 3" xfId="24062" xr:uid="{00000000-0005-0000-0000-00006CCD0000}"/>
    <cellStyle name="Normal 6 3 2 8 2 3 2" xfId="51195" xr:uid="{00000000-0005-0000-0000-00006DCD0000}"/>
    <cellStyle name="Normal 6 3 2 8 2 4" xfId="37633" xr:uid="{00000000-0005-0000-0000-00006ECD0000}"/>
    <cellStyle name="Normal 6 3 2 8 3" xfId="13886" xr:uid="{00000000-0005-0000-0000-00006FCD0000}"/>
    <cellStyle name="Normal 6 3 2 8 3 2" xfId="27454" xr:uid="{00000000-0005-0000-0000-000070CD0000}"/>
    <cellStyle name="Normal 6 3 2 8 3 2 2" xfId="54587" xr:uid="{00000000-0005-0000-0000-000071CD0000}"/>
    <cellStyle name="Normal 6 3 2 8 3 3" xfId="41025" xr:uid="{00000000-0005-0000-0000-000072CD0000}"/>
    <cellStyle name="Normal 6 3 2 8 4" xfId="20673" xr:uid="{00000000-0005-0000-0000-000073CD0000}"/>
    <cellStyle name="Normal 6 3 2 8 4 2" xfId="47806" xr:uid="{00000000-0005-0000-0000-000074CD0000}"/>
    <cellStyle name="Normal 6 3 2 8 5" xfId="34244" xr:uid="{00000000-0005-0000-0000-000075CD0000}"/>
    <cellStyle name="Normal 6 3 2 9" xfId="10447" xr:uid="{00000000-0005-0000-0000-000076CD0000}"/>
    <cellStyle name="Normal 6 3 2 9 2" xfId="17237" xr:uid="{00000000-0005-0000-0000-000077CD0000}"/>
    <cellStyle name="Normal 6 3 2 9 2 2" xfId="30805" xr:uid="{00000000-0005-0000-0000-000078CD0000}"/>
    <cellStyle name="Normal 6 3 2 9 2 2 2" xfId="57938" xr:uid="{00000000-0005-0000-0000-000079CD0000}"/>
    <cellStyle name="Normal 6 3 2 9 2 3" xfId="44376" xr:uid="{00000000-0005-0000-0000-00007ACD0000}"/>
    <cellStyle name="Normal 6 3 2 9 3" xfId="24024" xr:uid="{00000000-0005-0000-0000-00007BCD0000}"/>
    <cellStyle name="Normal 6 3 2 9 3 2" xfId="51157" xr:uid="{00000000-0005-0000-0000-00007CCD0000}"/>
    <cellStyle name="Normal 6 3 2 9 4" xfId="37595" xr:uid="{00000000-0005-0000-0000-00007DCD0000}"/>
    <cellStyle name="Normal 6 3 3" xfId="6956" xr:uid="{00000000-0005-0000-0000-00007ECD0000}"/>
    <cellStyle name="Normal 6 3 3 10" xfId="34245" xr:uid="{00000000-0005-0000-0000-00007FCD0000}"/>
    <cellStyle name="Normal 6 3 3 2" xfId="6957" xr:uid="{00000000-0005-0000-0000-000080CD0000}"/>
    <cellStyle name="Normal 6 3 3 2 2" xfId="6958" xr:uid="{00000000-0005-0000-0000-000081CD0000}"/>
    <cellStyle name="Normal 6 3 3 2 2 2" xfId="6959" xr:uid="{00000000-0005-0000-0000-000082CD0000}"/>
    <cellStyle name="Normal 6 3 3 2 2 2 2" xfId="10489" xr:uid="{00000000-0005-0000-0000-000083CD0000}"/>
    <cellStyle name="Normal 6 3 3 2 2 2 2 2" xfId="17279" xr:uid="{00000000-0005-0000-0000-000084CD0000}"/>
    <cellStyle name="Normal 6 3 3 2 2 2 2 2 2" xfId="30847" xr:uid="{00000000-0005-0000-0000-000085CD0000}"/>
    <cellStyle name="Normal 6 3 3 2 2 2 2 2 2 2" xfId="57980" xr:uid="{00000000-0005-0000-0000-000086CD0000}"/>
    <cellStyle name="Normal 6 3 3 2 2 2 2 2 3" xfId="44418" xr:uid="{00000000-0005-0000-0000-000087CD0000}"/>
    <cellStyle name="Normal 6 3 3 2 2 2 2 3" xfId="24066" xr:uid="{00000000-0005-0000-0000-000088CD0000}"/>
    <cellStyle name="Normal 6 3 3 2 2 2 2 3 2" xfId="51199" xr:uid="{00000000-0005-0000-0000-000089CD0000}"/>
    <cellStyle name="Normal 6 3 3 2 2 2 2 4" xfId="37637" xr:uid="{00000000-0005-0000-0000-00008ACD0000}"/>
    <cellStyle name="Normal 6 3 3 2 2 2 3" xfId="13890" xr:uid="{00000000-0005-0000-0000-00008BCD0000}"/>
    <cellStyle name="Normal 6 3 3 2 2 2 3 2" xfId="27458" xr:uid="{00000000-0005-0000-0000-00008CCD0000}"/>
    <cellStyle name="Normal 6 3 3 2 2 2 3 2 2" xfId="54591" xr:uid="{00000000-0005-0000-0000-00008DCD0000}"/>
    <cellStyle name="Normal 6 3 3 2 2 2 3 3" xfId="41029" xr:uid="{00000000-0005-0000-0000-00008ECD0000}"/>
    <cellStyle name="Normal 6 3 3 2 2 2 4" xfId="20677" xr:uid="{00000000-0005-0000-0000-00008FCD0000}"/>
    <cellStyle name="Normal 6 3 3 2 2 2 4 2" xfId="47810" xr:uid="{00000000-0005-0000-0000-000090CD0000}"/>
    <cellStyle name="Normal 6 3 3 2 2 2 5" xfId="34248" xr:uid="{00000000-0005-0000-0000-000091CD0000}"/>
    <cellStyle name="Normal 6 3 3 2 2 3" xfId="6960" xr:uid="{00000000-0005-0000-0000-000092CD0000}"/>
    <cellStyle name="Normal 6 3 3 2 2 3 2" xfId="10490" xr:uid="{00000000-0005-0000-0000-000093CD0000}"/>
    <cellStyle name="Normal 6 3 3 2 2 3 2 2" xfId="17280" xr:uid="{00000000-0005-0000-0000-000094CD0000}"/>
    <cellStyle name="Normal 6 3 3 2 2 3 2 2 2" xfId="30848" xr:uid="{00000000-0005-0000-0000-000095CD0000}"/>
    <cellStyle name="Normal 6 3 3 2 2 3 2 2 2 2" xfId="57981" xr:uid="{00000000-0005-0000-0000-000096CD0000}"/>
    <cellStyle name="Normal 6 3 3 2 2 3 2 2 3" xfId="44419" xr:uid="{00000000-0005-0000-0000-000097CD0000}"/>
    <cellStyle name="Normal 6 3 3 2 2 3 2 3" xfId="24067" xr:uid="{00000000-0005-0000-0000-000098CD0000}"/>
    <cellStyle name="Normal 6 3 3 2 2 3 2 3 2" xfId="51200" xr:uid="{00000000-0005-0000-0000-000099CD0000}"/>
    <cellStyle name="Normal 6 3 3 2 2 3 2 4" xfId="37638" xr:uid="{00000000-0005-0000-0000-00009ACD0000}"/>
    <cellStyle name="Normal 6 3 3 2 2 3 3" xfId="13891" xr:uid="{00000000-0005-0000-0000-00009BCD0000}"/>
    <cellStyle name="Normal 6 3 3 2 2 3 3 2" xfId="27459" xr:uid="{00000000-0005-0000-0000-00009CCD0000}"/>
    <cellStyle name="Normal 6 3 3 2 2 3 3 2 2" xfId="54592" xr:uid="{00000000-0005-0000-0000-00009DCD0000}"/>
    <cellStyle name="Normal 6 3 3 2 2 3 3 3" xfId="41030" xr:uid="{00000000-0005-0000-0000-00009ECD0000}"/>
    <cellStyle name="Normal 6 3 3 2 2 3 4" xfId="20678" xr:uid="{00000000-0005-0000-0000-00009FCD0000}"/>
    <cellStyle name="Normal 6 3 3 2 2 3 4 2" xfId="47811" xr:uid="{00000000-0005-0000-0000-0000A0CD0000}"/>
    <cellStyle name="Normal 6 3 3 2 2 3 5" xfId="34249" xr:uid="{00000000-0005-0000-0000-0000A1CD0000}"/>
    <cellStyle name="Normal 6 3 3 2 2 4" xfId="10488" xr:uid="{00000000-0005-0000-0000-0000A2CD0000}"/>
    <cellStyle name="Normal 6 3 3 2 2 4 2" xfId="17278" xr:uid="{00000000-0005-0000-0000-0000A3CD0000}"/>
    <cellStyle name="Normal 6 3 3 2 2 4 2 2" xfId="30846" xr:uid="{00000000-0005-0000-0000-0000A4CD0000}"/>
    <cellStyle name="Normal 6 3 3 2 2 4 2 2 2" xfId="57979" xr:uid="{00000000-0005-0000-0000-0000A5CD0000}"/>
    <cellStyle name="Normal 6 3 3 2 2 4 2 3" xfId="44417" xr:uid="{00000000-0005-0000-0000-0000A6CD0000}"/>
    <cellStyle name="Normal 6 3 3 2 2 4 3" xfId="24065" xr:uid="{00000000-0005-0000-0000-0000A7CD0000}"/>
    <cellStyle name="Normal 6 3 3 2 2 4 3 2" xfId="51198" xr:uid="{00000000-0005-0000-0000-0000A8CD0000}"/>
    <cellStyle name="Normal 6 3 3 2 2 4 4" xfId="37636" xr:uid="{00000000-0005-0000-0000-0000A9CD0000}"/>
    <cellStyle name="Normal 6 3 3 2 2 5" xfId="13889" xr:uid="{00000000-0005-0000-0000-0000AACD0000}"/>
    <cellStyle name="Normal 6 3 3 2 2 5 2" xfId="27457" xr:uid="{00000000-0005-0000-0000-0000ABCD0000}"/>
    <cellStyle name="Normal 6 3 3 2 2 5 2 2" xfId="54590" xr:uid="{00000000-0005-0000-0000-0000ACCD0000}"/>
    <cellStyle name="Normal 6 3 3 2 2 5 3" xfId="41028" xr:uid="{00000000-0005-0000-0000-0000ADCD0000}"/>
    <cellStyle name="Normal 6 3 3 2 2 6" xfId="20676" xr:uid="{00000000-0005-0000-0000-0000AECD0000}"/>
    <cellStyle name="Normal 6 3 3 2 2 6 2" xfId="47809" xr:uid="{00000000-0005-0000-0000-0000AFCD0000}"/>
    <cellStyle name="Normal 6 3 3 2 2 7" xfId="34247" xr:uid="{00000000-0005-0000-0000-0000B0CD0000}"/>
    <cellStyle name="Normal 6 3 3 2 3" xfId="6961" xr:uid="{00000000-0005-0000-0000-0000B1CD0000}"/>
    <cellStyle name="Normal 6 3 3 2 3 2" xfId="6962" xr:uid="{00000000-0005-0000-0000-0000B2CD0000}"/>
    <cellStyle name="Normal 6 3 3 2 3 2 2" xfId="10492" xr:uid="{00000000-0005-0000-0000-0000B3CD0000}"/>
    <cellStyle name="Normal 6 3 3 2 3 2 2 2" xfId="17282" xr:uid="{00000000-0005-0000-0000-0000B4CD0000}"/>
    <cellStyle name="Normal 6 3 3 2 3 2 2 2 2" xfId="30850" xr:uid="{00000000-0005-0000-0000-0000B5CD0000}"/>
    <cellStyle name="Normal 6 3 3 2 3 2 2 2 2 2" xfId="57983" xr:uid="{00000000-0005-0000-0000-0000B6CD0000}"/>
    <cellStyle name="Normal 6 3 3 2 3 2 2 2 3" xfId="44421" xr:uid="{00000000-0005-0000-0000-0000B7CD0000}"/>
    <cellStyle name="Normal 6 3 3 2 3 2 2 3" xfId="24069" xr:uid="{00000000-0005-0000-0000-0000B8CD0000}"/>
    <cellStyle name="Normal 6 3 3 2 3 2 2 3 2" xfId="51202" xr:uid="{00000000-0005-0000-0000-0000B9CD0000}"/>
    <cellStyle name="Normal 6 3 3 2 3 2 2 4" xfId="37640" xr:uid="{00000000-0005-0000-0000-0000BACD0000}"/>
    <cellStyle name="Normal 6 3 3 2 3 2 3" xfId="13893" xr:uid="{00000000-0005-0000-0000-0000BBCD0000}"/>
    <cellStyle name="Normal 6 3 3 2 3 2 3 2" xfId="27461" xr:uid="{00000000-0005-0000-0000-0000BCCD0000}"/>
    <cellStyle name="Normal 6 3 3 2 3 2 3 2 2" xfId="54594" xr:uid="{00000000-0005-0000-0000-0000BDCD0000}"/>
    <cellStyle name="Normal 6 3 3 2 3 2 3 3" xfId="41032" xr:uid="{00000000-0005-0000-0000-0000BECD0000}"/>
    <cellStyle name="Normal 6 3 3 2 3 2 4" xfId="20680" xr:uid="{00000000-0005-0000-0000-0000BFCD0000}"/>
    <cellStyle name="Normal 6 3 3 2 3 2 4 2" xfId="47813" xr:uid="{00000000-0005-0000-0000-0000C0CD0000}"/>
    <cellStyle name="Normal 6 3 3 2 3 2 5" xfId="34251" xr:uid="{00000000-0005-0000-0000-0000C1CD0000}"/>
    <cellStyle name="Normal 6 3 3 2 3 3" xfId="10491" xr:uid="{00000000-0005-0000-0000-0000C2CD0000}"/>
    <cellStyle name="Normal 6 3 3 2 3 3 2" xfId="17281" xr:uid="{00000000-0005-0000-0000-0000C3CD0000}"/>
    <cellStyle name="Normal 6 3 3 2 3 3 2 2" xfId="30849" xr:uid="{00000000-0005-0000-0000-0000C4CD0000}"/>
    <cellStyle name="Normal 6 3 3 2 3 3 2 2 2" xfId="57982" xr:uid="{00000000-0005-0000-0000-0000C5CD0000}"/>
    <cellStyle name="Normal 6 3 3 2 3 3 2 3" xfId="44420" xr:uid="{00000000-0005-0000-0000-0000C6CD0000}"/>
    <cellStyle name="Normal 6 3 3 2 3 3 3" xfId="24068" xr:uid="{00000000-0005-0000-0000-0000C7CD0000}"/>
    <cellStyle name="Normal 6 3 3 2 3 3 3 2" xfId="51201" xr:uid="{00000000-0005-0000-0000-0000C8CD0000}"/>
    <cellStyle name="Normal 6 3 3 2 3 3 4" xfId="37639" xr:uid="{00000000-0005-0000-0000-0000C9CD0000}"/>
    <cellStyle name="Normal 6 3 3 2 3 4" xfId="13892" xr:uid="{00000000-0005-0000-0000-0000CACD0000}"/>
    <cellStyle name="Normal 6 3 3 2 3 4 2" xfId="27460" xr:uid="{00000000-0005-0000-0000-0000CBCD0000}"/>
    <cellStyle name="Normal 6 3 3 2 3 4 2 2" xfId="54593" xr:uid="{00000000-0005-0000-0000-0000CCCD0000}"/>
    <cellStyle name="Normal 6 3 3 2 3 4 3" xfId="41031" xr:uid="{00000000-0005-0000-0000-0000CDCD0000}"/>
    <cellStyle name="Normal 6 3 3 2 3 5" xfId="20679" xr:uid="{00000000-0005-0000-0000-0000CECD0000}"/>
    <cellStyle name="Normal 6 3 3 2 3 5 2" xfId="47812" xr:uid="{00000000-0005-0000-0000-0000CFCD0000}"/>
    <cellStyle name="Normal 6 3 3 2 3 6" xfId="34250" xr:uid="{00000000-0005-0000-0000-0000D0CD0000}"/>
    <cellStyle name="Normal 6 3 3 2 4" xfId="6963" xr:uid="{00000000-0005-0000-0000-0000D1CD0000}"/>
    <cellStyle name="Normal 6 3 3 2 4 2" xfId="10493" xr:uid="{00000000-0005-0000-0000-0000D2CD0000}"/>
    <cellStyle name="Normal 6 3 3 2 4 2 2" xfId="17283" xr:uid="{00000000-0005-0000-0000-0000D3CD0000}"/>
    <cellStyle name="Normal 6 3 3 2 4 2 2 2" xfId="30851" xr:uid="{00000000-0005-0000-0000-0000D4CD0000}"/>
    <cellStyle name="Normal 6 3 3 2 4 2 2 2 2" xfId="57984" xr:uid="{00000000-0005-0000-0000-0000D5CD0000}"/>
    <cellStyle name="Normal 6 3 3 2 4 2 2 3" xfId="44422" xr:uid="{00000000-0005-0000-0000-0000D6CD0000}"/>
    <cellStyle name="Normal 6 3 3 2 4 2 3" xfId="24070" xr:uid="{00000000-0005-0000-0000-0000D7CD0000}"/>
    <cellStyle name="Normal 6 3 3 2 4 2 3 2" xfId="51203" xr:uid="{00000000-0005-0000-0000-0000D8CD0000}"/>
    <cellStyle name="Normal 6 3 3 2 4 2 4" xfId="37641" xr:uid="{00000000-0005-0000-0000-0000D9CD0000}"/>
    <cellStyle name="Normal 6 3 3 2 4 3" xfId="13894" xr:uid="{00000000-0005-0000-0000-0000DACD0000}"/>
    <cellStyle name="Normal 6 3 3 2 4 3 2" xfId="27462" xr:uid="{00000000-0005-0000-0000-0000DBCD0000}"/>
    <cellStyle name="Normal 6 3 3 2 4 3 2 2" xfId="54595" xr:uid="{00000000-0005-0000-0000-0000DCCD0000}"/>
    <cellStyle name="Normal 6 3 3 2 4 3 3" xfId="41033" xr:uid="{00000000-0005-0000-0000-0000DDCD0000}"/>
    <cellStyle name="Normal 6 3 3 2 4 4" xfId="20681" xr:uid="{00000000-0005-0000-0000-0000DECD0000}"/>
    <cellStyle name="Normal 6 3 3 2 4 4 2" xfId="47814" xr:uid="{00000000-0005-0000-0000-0000DFCD0000}"/>
    <cellStyle name="Normal 6 3 3 2 4 5" xfId="34252" xr:uid="{00000000-0005-0000-0000-0000E0CD0000}"/>
    <cellStyle name="Normal 6 3 3 2 5" xfId="6964" xr:uid="{00000000-0005-0000-0000-0000E1CD0000}"/>
    <cellStyle name="Normal 6 3 3 2 5 2" xfId="10494" xr:uid="{00000000-0005-0000-0000-0000E2CD0000}"/>
    <cellStyle name="Normal 6 3 3 2 5 2 2" xfId="17284" xr:uid="{00000000-0005-0000-0000-0000E3CD0000}"/>
    <cellStyle name="Normal 6 3 3 2 5 2 2 2" xfId="30852" xr:uid="{00000000-0005-0000-0000-0000E4CD0000}"/>
    <cellStyle name="Normal 6 3 3 2 5 2 2 2 2" xfId="57985" xr:uid="{00000000-0005-0000-0000-0000E5CD0000}"/>
    <cellStyle name="Normal 6 3 3 2 5 2 2 3" xfId="44423" xr:uid="{00000000-0005-0000-0000-0000E6CD0000}"/>
    <cellStyle name="Normal 6 3 3 2 5 2 3" xfId="24071" xr:uid="{00000000-0005-0000-0000-0000E7CD0000}"/>
    <cellStyle name="Normal 6 3 3 2 5 2 3 2" xfId="51204" xr:uid="{00000000-0005-0000-0000-0000E8CD0000}"/>
    <cellStyle name="Normal 6 3 3 2 5 2 4" xfId="37642" xr:uid="{00000000-0005-0000-0000-0000E9CD0000}"/>
    <cellStyle name="Normal 6 3 3 2 5 3" xfId="13895" xr:uid="{00000000-0005-0000-0000-0000EACD0000}"/>
    <cellStyle name="Normal 6 3 3 2 5 3 2" xfId="27463" xr:uid="{00000000-0005-0000-0000-0000EBCD0000}"/>
    <cellStyle name="Normal 6 3 3 2 5 3 2 2" xfId="54596" xr:uid="{00000000-0005-0000-0000-0000ECCD0000}"/>
    <cellStyle name="Normal 6 3 3 2 5 3 3" xfId="41034" xr:uid="{00000000-0005-0000-0000-0000EDCD0000}"/>
    <cellStyle name="Normal 6 3 3 2 5 4" xfId="20682" xr:uid="{00000000-0005-0000-0000-0000EECD0000}"/>
    <cellStyle name="Normal 6 3 3 2 5 4 2" xfId="47815" xr:uid="{00000000-0005-0000-0000-0000EFCD0000}"/>
    <cellStyle name="Normal 6 3 3 2 5 5" xfId="34253" xr:uid="{00000000-0005-0000-0000-0000F0CD0000}"/>
    <cellStyle name="Normal 6 3 3 2 6" xfId="10487" xr:uid="{00000000-0005-0000-0000-0000F1CD0000}"/>
    <cellStyle name="Normal 6 3 3 2 6 2" xfId="17277" xr:uid="{00000000-0005-0000-0000-0000F2CD0000}"/>
    <cellStyle name="Normal 6 3 3 2 6 2 2" xfId="30845" xr:uid="{00000000-0005-0000-0000-0000F3CD0000}"/>
    <cellStyle name="Normal 6 3 3 2 6 2 2 2" xfId="57978" xr:uid="{00000000-0005-0000-0000-0000F4CD0000}"/>
    <cellStyle name="Normal 6 3 3 2 6 2 3" xfId="44416" xr:uid="{00000000-0005-0000-0000-0000F5CD0000}"/>
    <cellStyle name="Normal 6 3 3 2 6 3" xfId="24064" xr:uid="{00000000-0005-0000-0000-0000F6CD0000}"/>
    <cellStyle name="Normal 6 3 3 2 6 3 2" xfId="51197" xr:uid="{00000000-0005-0000-0000-0000F7CD0000}"/>
    <cellStyle name="Normal 6 3 3 2 6 4" xfId="37635" xr:uid="{00000000-0005-0000-0000-0000F8CD0000}"/>
    <cellStyle name="Normal 6 3 3 2 7" xfId="13888" xr:uid="{00000000-0005-0000-0000-0000F9CD0000}"/>
    <cellStyle name="Normal 6 3 3 2 7 2" xfId="27456" xr:uid="{00000000-0005-0000-0000-0000FACD0000}"/>
    <cellStyle name="Normal 6 3 3 2 7 2 2" xfId="54589" xr:uid="{00000000-0005-0000-0000-0000FBCD0000}"/>
    <cellStyle name="Normal 6 3 3 2 7 3" xfId="41027" xr:uid="{00000000-0005-0000-0000-0000FCCD0000}"/>
    <cellStyle name="Normal 6 3 3 2 8" xfId="20675" xr:uid="{00000000-0005-0000-0000-0000FDCD0000}"/>
    <cellStyle name="Normal 6 3 3 2 8 2" xfId="47808" xr:uid="{00000000-0005-0000-0000-0000FECD0000}"/>
    <cellStyle name="Normal 6 3 3 2 9" xfId="34246" xr:uid="{00000000-0005-0000-0000-0000FFCD0000}"/>
    <cellStyle name="Normal 6 3 3 3" xfId="6965" xr:uid="{00000000-0005-0000-0000-000000CE0000}"/>
    <cellStyle name="Normal 6 3 3 3 2" xfId="6966" xr:uid="{00000000-0005-0000-0000-000001CE0000}"/>
    <cellStyle name="Normal 6 3 3 3 2 2" xfId="10496" xr:uid="{00000000-0005-0000-0000-000002CE0000}"/>
    <cellStyle name="Normal 6 3 3 3 2 2 2" xfId="17286" xr:uid="{00000000-0005-0000-0000-000003CE0000}"/>
    <cellStyle name="Normal 6 3 3 3 2 2 2 2" xfId="30854" xr:uid="{00000000-0005-0000-0000-000004CE0000}"/>
    <cellStyle name="Normal 6 3 3 3 2 2 2 2 2" xfId="57987" xr:uid="{00000000-0005-0000-0000-000005CE0000}"/>
    <cellStyle name="Normal 6 3 3 3 2 2 2 3" xfId="44425" xr:uid="{00000000-0005-0000-0000-000006CE0000}"/>
    <cellStyle name="Normal 6 3 3 3 2 2 3" xfId="24073" xr:uid="{00000000-0005-0000-0000-000007CE0000}"/>
    <cellStyle name="Normal 6 3 3 3 2 2 3 2" xfId="51206" xr:uid="{00000000-0005-0000-0000-000008CE0000}"/>
    <cellStyle name="Normal 6 3 3 3 2 2 4" xfId="37644" xr:uid="{00000000-0005-0000-0000-000009CE0000}"/>
    <cellStyle name="Normal 6 3 3 3 2 3" xfId="13897" xr:uid="{00000000-0005-0000-0000-00000ACE0000}"/>
    <cellStyle name="Normal 6 3 3 3 2 3 2" xfId="27465" xr:uid="{00000000-0005-0000-0000-00000BCE0000}"/>
    <cellStyle name="Normal 6 3 3 3 2 3 2 2" xfId="54598" xr:uid="{00000000-0005-0000-0000-00000CCE0000}"/>
    <cellStyle name="Normal 6 3 3 3 2 3 3" xfId="41036" xr:uid="{00000000-0005-0000-0000-00000DCE0000}"/>
    <cellStyle name="Normal 6 3 3 3 2 4" xfId="20684" xr:uid="{00000000-0005-0000-0000-00000ECE0000}"/>
    <cellStyle name="Normal 6 3 3 3 2 4 2" xfId="47817" xr:uid="{00000000-0005-0000-0000-00000FCE0000}"/>
    <cellStyle name="Normal 6 3 3 3 2 5" xfId="34255" xr:uid="{00000000-0005-0000-0000-000010CE0000}"/>
    <cellStyle name="Normal 6 3 3 3 3" xfId="6967" xr:uid="{00000000-0005-0000-0000-000011CE0000}"/>
    <cellStyle name="Normal 6 3 3 3 3 2" xfId="10497" xr:uid="{00000000-0005-0000-0000-000012CE0000}"/>
    <cellStyle name="Normal 6 3 3 3 3 2 2" xfId="17287" xr:uid="{00000000-0005-0000-0000-000013CE0000}"/>
    <cellStyle name="Normal 6 3 3 3 3 2 2 2" xfId="30855" xr:uid="{00000000-0005-0000-0000-000014CE0000}"/>
    <cellStyle name="Normal 6 3 3 3 3 2 2 2 2" xfId="57988" xr:uid="{00000000-0005-0000-0000-000015CE0000}"/>
    <cellStyle name="Normal 6 3 3 3 3 2 2 3" xfId="44426" xr:uid="{00000000-0005-0000-0000-000016CE0000}"/>
    <cellStyle name="Normal 6 3 3 3 3 2 3" xfId="24074" xr:uid="{00000000-0005-0000-0000-000017CE0000}"/>
    <cellStyle name="Normal 6 3 3 3 3 2 3 2" xfId="51207" xr:uid="{00000000-0005-0000-0000-000018CE0000}"/>
    <cellStyle name="Normal 6 3 3 3 3 2 4" xfId="37645" xr:uid="{00000000-0005-0000-0000-000019CE0000}"/>
    <cellStyle name="Normal 6 3 3 3 3 3" xfId="13898" xr:uid="{00000000-0005-0000-0000-00001ACE0000}"/>
    <cellStyle name="Normal 6 3 3 3 3 3 2" xfId="27466" xr:uid="{00000000-0005-0000-0000-00001BCE0000}"/>
    <cellStyle name="Normal 6 3 3 3 3 3 2 2" xfId="54599" xr:uid="{00000000-0005-0000-0000-00001CCE0000}"/>
    <cellStyle name="Normal 6 3 3 3 3 3 3" xfId="41037" xr:uid="{00000000-0005-0000-0000-00001DCE0000}"/>
    <cellStyle name="Normal 6 3 3 3 3 4" xfId="20685" xr:uid="{00000000-0005-0000-0000-00001ECE0000}"/>
    <cellStyle name="Normal 6 3 3 3 3 4 2" xfId="47818" xr:uid="{00000000-0005-0000-0000-00001FCE0000}"/>
    <cellStyle name="Normal 6 3 3 3 3 5" xfId="34256" xr:uid="{00000000-0005-0000-0000-000020CE0000}"/>
    <cellStyle name="Normal 6 3 3 3 4" xfId="10495" xr:uid="{00000000-0005-0000-0000-000021CE0000}"/>
    <cellStyle name="Normal 6 3 3 3 4 2" xfId="17285" xr:uid="{00000000-0005-0000-0000-000022CE0000}"/>
    <cellStyle name="Normal 6 3 3 3 4 2 2" xfId="30853" xr:uid="{00000000-0005-0000-0000-000023CE0000}"/>
    <cellStyle name="Normal 6 3 3 3 4 2 2 2" xfId="57986" xr:uid="{00000000-0005-0000-0000-000024CE0000}"/>
    <cellStyle name="Normal 6 3 3 3 4 2 3" xfId="44424" xr:uid="{00000000-0005-0000-0000-000025CE0000}"/>
    <cellStyle name="Normal 6 3 3 3 4 3" xfId="24072" xr:uid="{00000000-0005-0000-0000-000026CE0000}"/>
    <cellStyle name="Normal 6 3 3 3 4 3 2" xfId="51205" xr:uid="{00000000-0005-0000-0000-000027CE0000}"/>
    <cellStyle name="Normal 6 3 3 3 4 4" xfId="37643" xr:uid="{00000000-0005-0000-0000-000028CE0000}"/>
    <cellStyle name="Normal 6 3 3 3 5" xfId="13896" xr:uid="{00000000-0005-0000-0000-000029CE0000}"/>
    <cellStyle name="Normal 6 3 3 3 5 2" xfId="27464" xr:uid="{00000000-0005-0000-0000-00002ACE0000}"/>
    <cellStyle name="Normal 6 3 3 3 5 2 2" xfId="54597" xr:uid="{00000000-0005-0000-0000-00002BCE0000}"/>
    <cellStyle name="Normal 6 3 3 3 5 3" xfId="41035" xr:uid="{00000000-0005-0000-0000-00002CCE0000}"/>
    <cellStyle name="Normal 6 3 3 3 6" xfId="20683" xr:uid="{00000000-0005-0000-0000-00002DCE0000}"/>
    <cellStyle name="Normal 6 3 3 3 6 2" xfId="47816" xr:uid="{00000000-0005-0000-0000-00002ECE0000}"/>
    <cellStyle name="Normal 6 3 3 3 7" xfId="34254" xr:uid="{00000000-0005-0000-0000-00002FCE0000}"/>
    <cellStyle name="Normal 6 3 3 4" xfId="6968" xr:uid="{00000000-0005-0000-0000-000030CE0000}"/>
    <cellStyle name="Normal 6 3 3 4 2" xfId="6969" xr:uid="{00000000-0005-0000-0000-000031CE0000}"/>
    <cellStyle name="Normal 6 3 3 4 2 2" xfId="10499" xr:uid="{00000000-0005-0000-0000-000032CE0000}"/>
    <cellStyle name="Normal 6 3 3 4 2 2 2" xfId="17289" xr:uid="{00000000-0005-0000-0000-000033CE0000}"/>
    <cellStyle name="Normal 6 3 3 4 2 2 2 2" xfId="30857" xr:uid="{00000000-0005-0000-0000-000034CE0000}"/>
    <cellStyle name="Normal 6 3 3 4 2 2 2 2 2" xfId="57990" xr:uid="{00000000-0005-0000-0000-000035CE0000}"/>
    <cellStyle name="Normal 6 3 3 4 2 2 2 3" xfId="44428" xr:uid="{00000000-0005-0000-0000-000036CE0000}"/>
    <cellStyle name="Normal 6 3 3 4 2 2 3" xfId="24076" xr:uid="{00000000-0005-0000-0000-000037CE0000}"/>
    <cellStyle name="Normal 6 3 3 4 2 2 3 2" xfId="51209" xr:uid="{00000000-0005-0000-0000-000038CE0000}"/>
    <cellStyle name="Normal 6 3 3 4 2 2 4" xfId="37647" xr:uid="{00000000-0005-0000-0000-000039CE0000}"/>
    <cellStyle name="Normal 6 3 3 4 2 3" xfId="13900" xr:uid="{00000000-0005-0000-0000-00003ACE0000}"/>
    <cellStyle name="Normal 6 3 3 4 2 3 2" xfId="27468" xr:uid="{00000000-0005-0000-0000-00003BCE0000}"/>
    <cellStyle name="Normal 6 3 3 4 2 3 2 2" xfId="54601" xr:uid="{00000000-0005-0000-0000-00003CCE0000}"/>
    <cellStyle name="Normal 6 3 3 4 2 3 3" xfId="41039" xr:uid="{00000000-0005-0000-0000-00003DCE0000}"/>
    <cellStyle name="Normal 6 3 3 4 2 4" xfId="20687" xr:uid="{00000000-0005-0000-0000-00003ECE0000}"/>
    <cellStyle name="Normal 6 3 3 4 2 4 2" xfId="47820" xr:uid="{00000000-0005-0000-0000-00003FCE0000}"/>
    <cellStyle name="Normal 6 3 3 4 2 5" xfId="34258" xr:uid="{00000000-0005-0000-0000-000040CE0000}"/>
    <cellStyle name="Normal 6 3 3 4 3" xfId="10498" xr:uid="{00000000-0005-0000-0000-000041CE0000}"/>
    <cellStyle name="Normal 6 3 3 4 3 2" xfId="17288" xr:uid="{00000000-0005-0000-0000-000042CE0000}"/>
    <cellStyle name="Normal 6 3 3 4 3 2 2" xfId="30856" xr:uid="{00000000-0005-0000-0000-000043CE0000}"/>
    <cellStyle name="Normal 6 3 3 4 3 2 2 2" xfId="57989" xr:uid="{00000000-0005-0000-0000-000044CE0000}"/>
    <cellStyle name="Normal 6 3 3 4 3 2 3" xfId="44427" xr:uid="{00000000-0005-0000-0000-000045CE0000}"/>
    <cellStyle name="Normal 6 3 3 4 3 3" xfId="24075" xr:uid="{00000000-0005-0000-0000-000046CE0000}"/>
    <cellStyle name="Normal 6 3 3 4 3 3 2" xfId="51208" xr:uid="{00000000-0005-0000-0000-000047CE0000}"/>
    <cellStyle name="Normal 6 3 3 4 3 4" xfId="37646" xr:uid="{00000000-0005-0000-0000-000048CE0000}"/>
    <cellStyle name="Normal 6 3 3 4 4" xfId="13899" xr:uid="{00000000-0005-0000-0000-000049CE0000}"/>
    <cellStyle name="Normal 6 3 3 4 4 2" xfId="27467" xr:uid="{00000000-0005-0000-0000-00004ACE0000}"/>
    <cellStyle name="Normal 6 3 3 4 4 2 2" xfId="54600" xr:uid="{00000000-0005-0000-0000-00004BCE0000}"/>
    <cellStyle name="Normal 6 3 3 4 4 3" xfId="41038" xr:uid="{00000000-0005-0000-0000-00004CCE0000}"/>
    <cellStyle name="Normal 6 3 3 4 5" xfId="20686" xr:uid="{00000000-0005-0000-0000-00004DCE0000}"/>
    <cellStyle name="Normal 6 3 3 4 5 2" xfId="47819" xr:uid="{00000000-0005-0000-0000-00004ECE0000}"/>
    <cellStyle name="Normal 6 3 3 4 6" xfId="34257" xr:uid="{00000000-0005-0000-0000-00004FCE0000}"/>
    <cellStyle name="Normal 6 3 3 5" xfId="6970" xr:uid="{00000000-0005-0000-0000-000050CE0000}"/>
    <cellStyle name="Normal 6 3 3 5 2" xfId="10500" xr:uid="{00000000-0005-0000-0000-000051CE0000}"/>
    <cellStyle name="Normal 6 3 3 5 2 2" xfId="17290" xr:uid="{00000000-0005-0000-0000-000052CE0000}"/>
    <cellStyle name="Normal 6 3 3 5 2 2 2" xfId="30858" xr:uid="{00000000-0005-0000-0000-000053CE0000}"/>
    <cellStyle name="Normal 6 3 3 5 2 2 2 2" xfId="57991" xr:uid="{00000000-0005-0000-0000-000054CE0000}"/>
    <cellStyle name="Normal 6 3 3 5 2 2 3" xfId="44429" xr:uid="{00000000-0005-0000-0000-000055CE0000}"/>
    <cellStyle name="Normal 6 3 3 5 2 3" xfId="24077" xr:uid="{00000000-0005-0000-0000-000056CE0000}"/>
    <cellStyle name="Normal 6 3 3 5 2 3 2" xfId="51210" xr:uid="{00000000-0005-0000-0000-000057CE0000}"/>
    <cellStyle name="Normal 6 3 3 5 2 4" xfId="37648" xr:uid="{00000000-0005-0000-0000-000058CE0000}"/>
    <cellStyle name="Normal 6 3 3 5 3" xfId="13901" xr:uid="{00000000-0005-0000-0000-000059CE0000}"/>
    <cellStyle name="Normal 6 3 3 5 3 2" xfId="27469" xr:uid="{00000000-0005-0000-0000-00005ACE0000}"/>
    <cellStyle name="Normal 6 3 3 5 3 2 2" xfId="54602" xr:uid="{00000000-0005-0000-0000-00005BCE0000}"/>
    <cellStyle name="Normal 6 3 3 5 3 3" xfId="41040" xr:uid="{00000000-0005-0000-0000-00005CCE0000}"/>
    <cellStyle name="Normal 6 3 3 5 4" xfId="20688" xr:uid="{00000000-0005-0000-0000-00005DCE0000}"/>
    <cellStyle name="Normal 6 3 3 5 4 2" xfId="47821" xr:uid="{00000000-0005-0000-0000-00005ECE0000}"/>
    <cellStyle name="Normal 6 3 3 5 5" xfId="34259" xr:uid="{00000000-0005-0000-0000-00005FCE0000}"/>
    <cellStyle name="Normal 6 3 3 6" xfId="6971" xr:uid="{00000000-0005-0000-0000-000060CE0000}"/>
    <cellStyle name="Normal 6 3 3 6 2" xfId="10501" xr:uid="{00000000-0005-0000-0000-000061CE0000}"/>
    <cellStyle name="Normal 6 3 3 6 2 2" xfId="17291" xr:uid="{00000000-0005-0000-0000-000062CE0000}"/>
    <cellStyle name="Normal 6 3 3 6 2 2 2" xfId="30859" xr:uid="{00000000-0005-0000-0000-000063CE0000}"/>
    <cellStyle name="Normal 6 3 3 6 2 2 2 2" xfId="57992" xr:uid="{00000000-0005-0000-0000-000064CE0000}"/>
    <cellStyle name="Normal 6 3 3 6 2 2 3" xfId="44430" xr:uid="{00000000-0005-0000-0000-000065CE0000}"/>
    <cellStyle name="Normal 6 3 3 6 2 3" xfId="24078" xr:uid="{00000000-0005-0000-0000-000066CE0000}"/>
    <cellStyle name="Normal 6 3 3 6 2 3 2" xfId="51211" xr:uid="{00000000-0005-0000-0000-000067CE0000}"/>
    <cellStyle name="Normal 6 3 3 6 2 4" xfId="37649" xr:uid="{00000000-0005-0000-0000-000068CE0000}"/>
    <cellStyle name="Normal 6 3 3 6 3" xfId="13902" xr:uid="{00000000-0005-0000-0000-000069CE0000}"/>
    <cellStyle name="Normal 6 3 3 6 3 2" xfId="27470" xr:uid="{00000000-0005-0000-0000-00006ACE0000}"/>
    <cellStyle name="Normal 6 3 3 6 3 2 2" xfId="54603" xr:uid="{00000000-0005-0000-0000-00006BCE0000}"/>
    <cellStyle name="Normal 6 3 3 6 3 3" xfId="41041" xr:uid="{00000000-0005-0000-0000-00006CCE0000}"/>
    <cellStyle name="Normal 6 3 3 6 4" xfId="20689" xr:uid="{00000000-0005-0000-0000-00006DCE0000}"/>
    <cellStyle name="Normal 6 3 3 6 4 2" xfId="47822" xr:uid="{00000000-0005-0000-0000-00006ECE0000}"/>
    <cellStyle name="Normal 6 3 3 6 5" xfId="34260" xr:uid="{00000000-0005-0000-0000-00006FCE0000}"/>
    <cellStyle name="Normal 6 3 3 7" xfId="10486" xr:uid="{00000000-0005-0000-0000-000070CE0000}"/>
    <cellStyle name="Normal 6 3 3 7 2" xfId="17276" xr:uid="{00000000-0005-0000-0000-000071CE0000}"/>
    <cellStyle name="Normal 6 3 3 7 2 2" xfId="30844" xr:uid="{00000000-0005-0000-0000-000072CE0000}"/>
    <cellStyle name="Normal 6 3 3 7 2 2 2" xfId="57977" xr:uid="{00000000-0005-0000-0000-000073CE0000}"/>
    <cellStyle name="Normal 6 3 3 7 2 3" xfId="44415" xr:uid="{00000000-0005-0000-0000-000074CE0000}"/>
    <cellStyle name="Normal 6 3 3 7 3" xfId="24063" xr:uid="{00000000-0005-0000-0000-000075CE0000}"/>
    <cellStyle name="Normal 6 3 3 7 3 2" xfId="51196" xr:uid="{00000000-0005-0000-0000-000076CE0000}"/>
    <cellStyle name="Normal 6 3 3 7 4" xfId="37634" xr:uid="{00000000-0005-0000-0000-000077CE0000}"/>
    <cellStyle name="Normal 6 3 3 8" xfId="13887" xr:uid="{00000000-0005-0000-0000-000078CE0000}"/>
    <cellStyle name="Normal 6 3 3 8 2" xfId="27455" xr:uid="{00000000-0005-0000-0000-000079CE0000}"/>
    <cellStyle name="Normal 6 3 3 8 2 2" xfId="54588" xr:uid="{00000000-0005-0000-0000-00007ACE0000}"/>
    <cellStyle name="Normal 6 3 3 8 3" xfId="41026" xr:uid="{00000000-0005-0000-0000-00007BCE0000}"/>
    <cellStyle name="Normal 6 3 3 9" xfId="20674" xr:uid="{00000000-0005-0000-0000-00007CCE0000}"/>
    <cellStyle name="Normal 6 3 3 9 2" xfId="47807" xr:uid="{00000000-0005-0000-0000-00007DCE0000}"/>
    <cellStyle name="Normal 6 3 4" xfId="6972" xr:uid="{00000000-0005-0000-0000-00007ECE0000}"/>
    <cellStyle name="Normal 6 3 4 2" xfId="6973" xr:uid="{00000000-0005-0000-0000-00007FCE0000}"/>
    <cellStyle name="Normal 6 3 4 2 2" xfId="6974" xr:uid="{00000000-0005-0000-0000-000080CE0000}"/>
    <cellStyle name="Normal 6 3 4 2 2 2" xfId="10504" xr:uid="{00000000-0005-0000-0000-000081CE0000}"/>
    <cellStyle name="Normal 6 3 4 2 2 2 2" xfId="17294" xr:uid="{00000000-0005-0000-0000-000082CE0000}"/>
    <cellStyle name="Normal 6 3 4 2 2 2 2 2" xfId="30862" xr:uid="{00000000-0005-0000-0000-000083CE0000}"/>
    <cellStyle name="Normal 6 3 4 2 2 2 2 2 2" xfId="57995" xr:uid="{00000000-0005-0000-0000-000084CE0000}"/>
    <cellStyle name="Normal 6 3 4 2 2 2 2 3" xfId="44433" xr:uid="{00000000-0005-0000-0000-000085CE0000}"/>
    <cellStyle name="Normal 6 3 4 2 2 2 3" xfId="24081" xr:uid="{00000000-0005-0000-0000-000086CE0000}"/>
    <cellStyle name="Normal 6 3 4 2 2 2 3 2" xfId="51214" xr:uid="{00000000-0005-0000-0000-000087CE0000}"/>
    <cellStyle name="Normal 6 3 4 2 2 2 4" xfId="37652" xr:uid="{00000000-0005-0000-0000-000088CE0000}"/>
    <cellStyle name="Normal 6 3 4 2 2 3" xfId="13905" xr:uid="{00000000-0005-0000-0000-000089CE0000}"/>
    <cellStyle name="Normal 6 3 4 2 2 3 2" xfId="27473" xr:uid="{00000000-0005-0000-0000-00008ACE0000}"/>
    <cellStyle name="Normal 6 3 4 2 2 3 2 2" xfId="54606" xr:uid="{00000000-0005-0000-0000-00008BCE0000}"/>
    <cellStyle name="Normal 6 3 4 2 2 3 3" xfId="41044" xr:uid="{00000000-0005-0000-0000-00008CCE0000}"/>
    <cellStyle name="Normal 6 3 4 2 2 4" xfId="20692" xr:uid="{00000000-0005-0000-0000-00008DCE0000}"/>
    <cellStyle name="Normal 6 3 4 2 2 4 2" xfId="47825" xr:uid="{00000000-0005-0000-0000-00008ECE0000}"/>
    <cellStyle name="Normal 6 3 4 2 2 5" xfId="34263" xr:uid="{00000000-0005-0000-0000-00008FCE0000}"/>
    <cellStyle name="Normal 6 3 4 2 3" xfId="6975" xr:uid="{00000000-0005-0000-0000-000090CE0000}"/>
    <cellStyle name="Normal 6 3 4 2 3 2" xfId="10505" xr:uid="{00000000-0005-0000-0000-000091CE0000}"/>
    <cellStyle name="Normal 6 3 4 2 3 2 2" xfId="17295" xr:uid="{00000000-0005-0000-0000-000092CE0000}"/>
    <cellStyle name="Normal 6 3 4 2 3 2 2 2" xfId="30863" xr:uid="{00000000-0005-0000-0000-000093CE0000}"/>
    <cellStyle name="Normal 6 3 4 2 3 2 2 2 2" xfId="57996" xr:uid="{00000000-0005-0000-0000-000094CE0000}"/>
    <cellStyle name="Normal 6 3 4 2 3 2 2 3" xfId="44434" xr:uid="{00000000-0005-0000-0000-000095CE0000}"/>
    <cellStyle name="Normal 6 3 4 2 3 2 3" xfId="24082" xr:uid="{00000000-0005-0000-0000-000096CE0000}"/>
    <cellStyle name="Normal 6 3 4 2 3 2 3 2" xfId="51215" xr:uid="{00000000-0005-0000-0000-000097CE0000}"/>
    <cellStyle name="Normal 6 3 4 2 3 2 4" xfId="37653" xr:uid="{00000000-0005-0000-0000-000098CE0000}"/>
    <cellStyle name="Normal 6 3 4 2 3 3" xfId="13906" xr:uid="{00000000-0005-0000-0000-000099CE0000}"/>
    <cellStyle name="Normal 6 3 4 2 3 3 2" xfId="27474" xr:uid="{00000000-0005-0000-0000-00009ACE0000}"/>
    <cellStyle name="Normal 6 3 4 2 3 3 2 2" xfId="54607" xr:uid="{00000000-0005-0000-0000-00009BCE0000}"/>
    <cellStyle name="Normal 6 3 4 2 3 3 3" xfId="41045" xr:uid="{00000000-0005-0000-0000-00009CCE0000}"/>
    <cellStyle name="Normal 6 3 4 2 3 4" xfId="20693" xr:uid="{00000000-0005-0000-0000-00009DCE0000}"/>
    <cellStyle name="Normal 6 3 4 2 3 4 2" xfId="47826" xr:uid="{00000000-0005-0000-0000-00009ECE0000}"/>
    <cellStyle name="Normal 6 3 4 2 3 5" xfId="34264" xr:uid="{00000000-0005-0000-0000-00009FCE0000}"/>
    <cellStyle name="Normal 6 3 4 2 4" xfId="10503" xr:uid="{00000000-0005-0000-0000-0000A0CE0000}"/>
    <cellStyle name="Normal 6 3 4 2 4 2" xfId="17293" xr:uid="{00000000-0005-0000-0000-0000A1CE0000}"/>
    <cellStyle name="Normal 6 3 4 2 4 2 2" xfId="30861" xr:uid="{00000000-0005-0000-0000-0000A2CE0000}"/>
    <cellStyle name="Normal 6 3 4 2 4 2 2 2" xfId="57994" xr:uid="{00000000-0005-0000-0000-0000A3CE0000}"/>
    <cellStyle name="Normal 6 3 4 2 4 2 3" xfId="44432" xr:uid="{00000000-0005-0000-0000-0000A4CE0000}"/>
    <cellStyle name="Normal 6 3 4 2 4 3" xfId="24080" xr:uid="{00000000-0005-0000-0000-0000A5CE0000}"/>
    <cellStyle name="Normal 6 3 4 2 4 3 2" xfId="51213" xr:uid="{00000000-0005-0000-0000-0000A6CE0000}"/>
    <cellStyle name="Normal 6 3 4 2 4 4" xfId="37651" xr:uid="{00000000-0005-0000-0000-0000A7CE0000}"/>
    <cellStyle name="Normal 6 3 4 2 5" xfId="13904" xr:uid="{00000000-0005-0000-0000-0000A8CE0000}"/>
    <cellStyle name="Normal 6 3 4 2 5 2" xfId="27472" xr:uid="{00000000-0005-0000-0000-0000A9CE0000}"/>
    <cellStyle name="Normal 6 3 4 2 5 2 2" xfId="54605" xr:uid="{00000000-0005-0000-0000-0000AACE0000}"/>
    <cellStyle name="Normal 6 3 4 2 5 3" xfId="41043" xr:uid="{00000000-0005-0000-0000-0000ABCE0000}"/>
    <cellStyle name="Normal 6 3 4 2 6" xfId="20691" xr:uid="{00000000-0005-0000-0000-0000ACCE0000}"/>
    <cellStyle name="Normal 6 3 4 2 6 2" xfId="47824" xr:uid="{00000000-0005-0000-0000-0000ADCE0000}"/>
    <cellStyle name="Normal 6 3 4 2 7" xfId="34262" xr:uid="{00000000-0005-0000-0000-0000AECE0000}"/>
    <cellStyle name="Normal 6 3 4 3" xfId="6976" xr:uid="{00000000-0005-0000-0000-0000AFCE0000}"/>
    <cellStyle name="Normal 6 3 4 3 2" xfId="6977" xr:uid="{00000000-0005-0000-0000-0000B0CE0000}"/>
    <cellStyle name="Normal 6 3 4 3 2 2" xfId="10507" xr:uid="{00000000-0005-0000-0000-0000B1CE0000}"/>
    <cellStyle name="Normal 6 3 4 3 2 2 2" xfId="17297" xr:uid="{00000000-0005-0000-0000-0000B2CE0000}"/>
    <cellStyle name="Normal 6 3 4 3 2 2 2 2" xfId="30865" xr:uid="{00000000-0005-0000-0000-0000B3CE0000}"/>
    <cellStyle name="Normal 6 3 4 3 2 2 2 2 2" xfId="57998" xr:uid="{00000000-0005-0000-0000-0000B4CE0000}"/>
    <cellStyle name="Normal 6 3 4 3 2 2 2 3" xfId="44436" xr:uid="{00000000-0005-0000-0000-0000B5CE0000}"/>
    <cellStyle name="Normal 6 3 4 3 2 2 3" xfId="24084" xr:uid="{00000000-0005-0000-0000-0000B6CE0000}"/>
    <cellStyle name="Normal 6 3 4 3 2 2 3 2" xfId="51217" xr:uid="{00000000-0005-0000-0000-0000B7CE0000}"/>
    <cellStyle name="Normal 6 3 4 3 2 2 4" xfId="37655" xr:uid="{00000000-0005-0000-0000-0000B8CE0000}"/>
    <cellStyle name="Normal 6 3 4 3 2 3" xfId="13908" xr:uid="{00000000-0005-0000-0000-0000B9CE0000}"/>
    <cellStyle name="Normal 6 3 4 3 2 3 2" xfId="27476" xr:uid="{00000000-0005-0000-0000-0000BACE0000}"/>
    <cellStyle name="Normal 6 3 4 3 2 3 2 2" xfId="54609" xr:uid="{00000000-0005-0000-0000-0000BBCE0000}"/>
    <cellStyle name="Normal 6 3 4 3 2 3 3" xfId="41047" xr:uid="{00000000-0005-0000-0000-0000BCCE0000}"/>
    <cellStyle name="Normal 6 3 4 3 2 4" xfId="20695" xr:uid="{00000000-0005-0000-0000-0000BDCE0000}"/>
    <cellStyle name="Normal 6 3 4 3 2 4 2" xfId="47828" xr:uid="{00000000-0005-0000-0000-0000BECE0000}"/>
    <cellStyle name="Normal 6 3 4 3 2 5" xfId="34266" xr:uid="{00000000-0005-0000-0000-0000BFCE0000}"/>
    <cellStyle name="Normal 6 3 4 3 3" xfId="10506" xr:uid="{00000000-0005-0000-0000-0000C0CE0000}"/>
    <cellStyle name="Normal 6 3 4 3 3 2" xfId="17296" xr:uid="{00000000-0005-0000-0000-0000C1CE0000}"/>
    <cellStyle name="Normal 6 3 4 3 3 2 2" xfId="30864" xr:uid="{00000000-0005-0000-0000-0000C2CE0000}"/>
    <cellStyle name="Normal 6 3 4 3 3 2 2 2" xfId="57997" xr:uid="{00000000-0005-0000-0000-0000C3CE0000}"/>
    <cellStyle name="Normal 6 3 4 3 3 2 3" xfId="44435" xr:uid="{00000000-0005-0000-0000-0000C4CE0000}"/>
    <cellStyle name="Normal 6 3 4 3 3 3" xfId="24083" xr:uid="{00000000-0005-0000-0000-0000C5CE0000}"/>
    <cellStyle name="Normal 6 3 4 3 3 3 2" xfId="51216" xr:uid="{00000000-0005-0000-0000-0000C6CE0000}"/>
    <cellStyle name="Normal 6 3 4 3 3 4" xfId="37654" xr:uid="{00000000-0005-0000-0000-0000C7CE0000}"/>
    <cellStyle name="Normal 6 3 4 3 4" xfId="13907" xr:uid="{00000000-0005-0000-0000-0000C8CE0000}"/>
    <cellStyle name="Normal 6 3 4 3 4 2" xfId="27475" xr:uid="{00000000-0005-0000-0000-0000C9CE0000}"/>
    <cellStyle name="Normal 6 3 4 3 4 2 2" xfId="54608" xr:uid="{00000000-0005-0000-0000-0000CACE0000}"/>
    <cellStyle name="Normal 6 3 4 3 4 3" xfId="41046" xr:uid="{00000000-0005-0000-0000-0000CBCE0000}"/>
    <cellStyle name="Normal 6 3 4 3 5" xfId="20694" xr:uid="{00000000-0005-0000-0000-0000CCCE0000}"/>
    <cellStyle name="Normal 6 3 4 3 5 2" xfId="47827" xr:uid="{00000000-0005-0000-0000-0000CDCE0000}"/>
    <cellStyle name="Normal 6 3 4 3 6" xfId="34265" xr:uid="{00000000-0005-0000-0000-0000CECE0000}"/>
    <cellStyle name="Normal 6 3 4 4" xfId="6978" xr:uid="{00000000-0005-0000-0000-0000CFCE0000}"/>
    <cellStyle name="Normal 6 3 4 4 2" xfId="10508" xr:uid="{00000000-0005-0000-0000-0000D0CE0000}"/>
    <cellStyle name="Normal 6 3 4 4 2 2" xfId="17298" xr:uid="{00000000-0005-0000-0000-0000D1CE0000}"/>
    <cellStyle name="Normal 6 3 4 4 2 2 2" xfId="30866" xr:uid="{00000000-0005-0000-0000-0000D2CE0000}"/>
    <cellStyle name="Normal 6 3 4 4 2 2 2 2" xfId="57999" xr:uid="{00000000-0005-0000-0000-0000D3CE0000}"/>
    <cellStyle name="Normal 6 3 4 4 2 2 3" xfId="44437" xr:uid="{00000000-0005-0000-0000-0000D4CE0000}"/>
    <cellStyle name="Normal 6 3 4 4 2 3" xfId="24085" xr:uid="{00000000-0005-0000-0000-0000D5CE0000}"/>
    <cellStyle name="Normal 6 3 4 4 2 3 2" xfId="51218" xr:uid="{00000000-0005-0000-0000-0000D6CE0000}"/>
    <cellStyle name="Normal 6 3 4 4 2 4" xfId="37656" xr:uid="{00000000-0005-0000-0000-0000D7CE0000}"/>
    <cellStyle name="Normal 6 3 4 4 3" xfId="13909" xr:uid="{00000000-0005-0000-0000-0000D8CE0000}"/>
    <cellStyle name="Normal 6 3 4 4 3 2" xfId="27477" xr:uid="{00000000-0005-0000-0000-0000D9CE0000}"/>
    <cellStyle name="Normal 6 3 4 4 3 2 2" xfId="54610" xr:uid="{00000000-0005-0000-0000-0000DACE0000}"/>
    <cellStyle name="Normal 6 3 4 4 3 3" xfId="41048" xr:uid="{00000000-0005-0000-0000-0000DBCE0000}"/>
    <cellStyle name="Normal 6 3 4 4 4" xfId="20696" xr:uid="{00000000-0005-0000-0000-0000DCCE0000}"/>
    <cellStyle name="Normal 6 3 4 4 4 2" xfId="47829" xr:uid="{00000000-0005-0000-0000-0000DDCE0000}"/>
    <cellStyle name="Normal 6 3 4 4 5" xfId="34267" xr:uid="{00000000-0005-0000-0000-0000DECE0000}"/>
    <cellStyle name="Normal 6 3 4 5" xfId="6979" xr:uid="{00000000-0005-0000-0000-0000DFCE0000}"/>
    <cellStyle name="Normal 6 3 4 5 2" xfId="10509" xr:uid="{00000000-0005-0000-0000-0000E0CE0000}"/>
    <cellStyle name="Normal 6 3 4 5 2 2" xfId="17299" xr:uid="{00000000-0005-0000-0000-0000E1CE0000}"/>
    <cellStyle name="Normal 6 3 4 5 2 2 2" xfId="30867" xr:uid="{00000000-0005-0000-0000-0000E2CE0000}"/>
    <cellStyle name="Normal 6 3 4 5 2 2 2 2" xfId="58000" xr:uid="{00000000-0005-0000-0000-0000E3CE0000}"/>
    <cellStyle name="Normal 6 3 4 5 2 2 3" xfId="44438" xr:uid="{00000000-0005-0000-0000-0000E4CE0000}"/>
    <cellStyle name="Normal 6 3 4 5 2 3" xfId="24086" xr:uid="{00000000-0005-0000-0000-0000E5CE0000}"/>
    <cellStyle name="Normal 6 3 4 5 2 3 2" xfId="51219" xr:uid="{00000000-0005-0000-0000-0000E6CE0000}"/>
    <cellStyle name="Normal 6 3 4 5 2 4" xfId="37657" xr:uid="{00000000-0005-0000-0000-0000E7CE0000}"/>
    <cellStyle name="Normal 6 3 4 5 3" xfId="13910" xr:uid="{00000000-0005-0000-0000-0000E8CE0000}"/>
    <cellStyle name="Normal 6 3 4 5 3 2" xfId="27478" xr:uid="{00000000-0005-0000-0000-0000E9CE0000}"/>
    <cellStyle name="Normal 6 3 4 5 3 2 2" xfId="54611" xr:uid="{00000000-0005-0000-0000-0000EACE0000}"/>
    <cellStyle name="Normal 6 3 4 5 3 3" xfId="41049" xr:uid="{00000000-0005-0000-0000-0000EBCE0000}"/>
    <cellStyle name="Normal 6 3 4 5 4" xfId="20697" xr:uid="{00000000-0005-0000-0000-0000ECCE0000}"/>
    <cellStyle name="Normal 6 3 4 5 4 2" xfId="47830" xr:uid="{00000000-0005-0000-0000-0000EDCE0000}"/>
    <cellStyle name="Normal 6 3 4 5 5" xfId="34268" xr:uid="{00000000-0005-0000-0000-0000EECE0000}"/>
    <cellStyle name="Normal 6 3 4 6" xfId="10502" xr:uid="{00000000-0005-0000-0000-0000EFCE0000}"/>
    <cellStyle name="Normal 6 3 4 6 2" xfId="17292" xr:uid="{00000000-0005-0000-0000-0000F0CE0000}"/>
    <cellStyle name="Normal 6 3 4 6 2 2" xfId="30860" xr:uid="{00000000-0005-0000-0000-0000F1CE0000}"/>
    <cellStyle name="Normal 6 3 4 6 2 2 2" xfId="57993" xr:uid="{00000000-0005-0000-0000-0000F2CE0000}"/>
    <cellStyle name="Normal 6 3 4 6 2 3" xfId="44431" xr:uid="{00000000-0005-0000-0000-0000F3CE0000}"/>
    <cellStyle name="Normal 6 3 4 6 3" xfId="24079" xr:uid="{00000000-0005-0000-0000-0000F4CE0000}"/>
    <cellStyle name="Normal 6 3 4 6 3 2" xfId="51212" xr:uid="{00000000-0005-0000-0000-0000F5CE0000}"/>
    <cellStyle name="Normal 6 3 4 6 4" xfId="37650" xr:uid="{00000000-0005-0000-0000-0000F6CE0000}"/>
    <cellStyle name="Normal 6 3 4 7" xfId="13903" xr:uid="{00000000-0005-0000-0000-0000F7CE0000}"/>
    <cellStyle name="Normal 6 3 4 7 2" xfId="27471" xr:uid="{00000000-0005-0000-0000-0000F8CE0000}"/>
    <cellStyle name="Normal 6 3 4 7 2 2" xfId="54604" xr:uid="{00000000-0005-0000-0000-0000F9CE0000}"/>
    <cellStyle name="Normal 6 3 4 7 3" xfId="41042" xr:uid="{00000000-0005-0000-0000-0000FACE0000}"/>
    <cellStyle name="Normal 6 3 4 8" xfId="20690" xr:uid="{00000000-0005-0000-0000-0000FBCE0000}"/>
    <cellStyle name="Normal 6 3 4 8 2" xfId="47823" xr:uid="{00000000-0005-0000-0000-0000FCCE0000}"/>
    <cellStyle name="Normal 6 3 4 9" xfId="34261" xr:uid="{00000000-0005-0000-0000-0000FDCE0000}"/>
    <cellStyle name="Normal 6 3 5" xfId="6980" xr:uid="{00000000-0005-0000-0000-0000FECE0000}"/>
    <cellStyle name="Normal 6 3 5 2" xfId="6981" xr:uid="{00000000-0005-0000-0000-0000FFCE0000}"/>
    <cellStyle name="Normal 6 3 5 2 2" xfId="6982" xr:uid="{00000000-0005-0000-0000-000000CF0000}"/>
    <cellStyle name="Normal 6 3 5 2 2 2" xfId="10512" xr:uid="{00000000-0005-0000-0000-000001CF0000}"/>
    <cellStyle name="Normal 6 3 5 2 2 2 2" xfId="17302" xr:uid="{00000000-0005-0000-0000-000002CF0000}"/>
    <cellStyle name="Normal 6 3 5 2 2 2 2 2" xfId="30870" xr:uid="{00000000-0005-0000-0000-000003CF0000}"/>
    <cellStyle name="Normal 6 3 5 2 2 2 2 2 2" xfId="58003" xr:uid="{00000000-0005-0000-0000-000004CF0000}"/>
    <cellStyle name="Normal 6 3 5 2 2 2 2 3" xfId="44441" xr:uid="{00000000-0005-0000-0000-000005CF0000}"/>
    <cellStyle name="Normal 6 3 5 2 2 2 3" xfId="24089" xr:uid="{00000000-0005-0000-0000-000006CF0000}"/>
    <cellStyle name="Normal 6 3 5 2 2 2 3 2" xfId="51222" xr:uid="{00000000-0005-0000-0000-000007CF0000}"/>
    <cellStyle name="Normal 6 3 5 2 2 2 4" xfId="37660" xr:uid="{00000000-0005-0000-0000-000008CF0000}"/>
    <cellStyle name="Normal 6 3 5 2 2 3" xfId="13913" xr:uid="{00000000-0005-0000-0000-000009CF0000}"/>
    <cellStyle name="Normal 6 3 5 2 2 3 2" xfId="27481" xr:uid="{00000000-0005-0000-0000-00000ACF0000}"/>
    <cellStyle name="Normal 6 3 5 2 2 3 2 2" xfId="54614" xr:uid="{00000000-0005-0000-0000-00000BCF0000}"/>
    <cellStyle name="Normal 6 3 5 2 2 3 3" xfId="41052" xr:uid="{00000000-0005-0000-0000-00000CCF0000}"/>
    <cellStyle name="Normal 6 3 5 2 2 4" xfId="20700" xr:uid="{00000000-0005-0000-0000-00000DCF0000}"/>
    <cellStyle name="Normal 6 3 5 2 2 4 2" xfId="47833" xr:uid="{00000000-0005-0000-0000-00000ECF0000}"/>
    <cellStyle name="Normal 6 3 5 2 2 5" xfId="34271" xr:uid="{00000000-0005-0000-0000-00000FCF0000}"/>
    <cellStyle name="Normal 6 3 5 2 3" xfId="6983" xr:uid="{00000000-0005-0000-0000-000010CF0000}"/>
    <cellStyle name="Normal 6 3 5 2 3 2" xfId="10513" xr:uid="{00000000-0005-0000-0000-000011CF0000}"/>
    <cellStyle name="Normal 6 3 5 2 3 2 2" xfId="17303" xr:uid="{00000000-0005-0000-0000-000012CF0000}"/>
    <cellStyle name="Normal 6 3 5 2 3 2 2 2" xfId="30871" xr:uid="{00000000-0005-0000-0000-000013CF0000}"/>
    <cellStyle name="Normal 6 3 5 2 3 2 2 2 2" xfId="58004" xr:uid="{00000000-0005-0000-0000-000014CF0000}"/>
    <cellStyle name="Normal 6 3 5 2 3 2 2 3" xfId="44442" xr:uid="{00000000-0005-0000-0000-000015CF0000}"/>
    <cellStyle name="Normal 6 3 5 2 3 2 3" xfId="24090" xr:uid="{00000000-0005-0000-0000-000016CF0000}"/>
    <cellStyle name="Normal 6 3 5 2 3 2 3 2" xfId="51223" xr:uid="{00000000-0005-0000-0000-000017CF0000}"/>
    <cellStyle name="Normal 6 3 5 2 3 2 4" xfId="37661" xr:uid="{00000000-0005-0000-0000-000018CF0000}"/>
    <cellStyle name="Normal 6 3 5 2 3 3" xfId="13914" xr:uid="{00000000-0005-0000-0000-000019CF0000}"/>
    <cellStyle name="Normal 6 3 5 2 3 3 2" xfId="27482" xr:uid="{00000000-0005-0000-0000-00001ACF0000}"/>
    <cellStyle name="Normal 6 3 5 2 3 3 2 2" xfId="54615" xr:uid="{00000000-0005-0000-0000-00001BCF0000}"/>
    <cellStyle name="Normal 6 3 5 2 3 3 3" xfId="41053" xr:uid="{00000000-0005-0000-0000-00001CCF0000}"/>
    <cellStyle name="Normal 6 3 5 2 3 4" xfId="20701" xr:uid="{00000000-0005-0000-0000-00001DCF0000}"/>
    <cellStyle name="Normal 6 3 5 2 3 4 2" xfId="47834" xr:uid="{00000000-0005-0000-0000-00001ECF0000}"/>
    <cellStyle name="Normal 6 3 5 2 3 5" xfId="34272" xr:uid="{00000000-0005-0000-0000-00001FCF0000}"/>
    <cellStyle name="Normal 6 3 5 2 4" xfId="10511" xr:uid="{00000000-0005-0000-0000-000020CF0000}"/>
    <cellStyle name="Normal 6 3 5 2 4 2" xfId="17301" xr:uid="{00000000-0005-0000-0000-000021CF0000}"/>
    <cellStyle name="Normal 6 3 5 2 4 2 2" xfId="30869" xr:uid="{00000000-0005-0000-0000-000022CF0000}"/>
    <cellStyle name="Normal 6 3 5 2 4 2 2 2" xfId="58002" xr:uid="{00000000-0005-0000-0000-000023CF0000}"/>
    <cellStyle name="Normal 6 3 5 2 4 2 3" xfId="44440" xr:uid="{00000000-0005-0000-0000-000024CF0000}"/>
    <cellStyle name="Normal 6 3 5 2 4 3" xfId="24088" xr:uid="{00000000-0005-0000-0000-000025CF0000}"/>
    <cellStyle name="Normal 6 3 5 2 4 3 2" xfId="51221" xr:uid="{00000000-0005-0000-0000-000026CF0000}"/>
    <cellStyle name="Normal 6 3 5 2 4 4" xfId="37659" xr:uid="{00000000-0005-0000-0000-000027CF0000}"/>
    <cellStyle name="Normal 6 3 5 2 5" xfId="13912" xr:uid="{00000000-0005-0000-0000-000028CF0000}"/>
    <cellStyle name="Normal 6 3 5 2 5 2" xfId="27480" xr:uid="{00000000-0005-0000-0000-000029CF0000}"/>
    <cellStyle name="Normal 6 3 5 2 5 2 2" xfId="54613" xr:uid="{00000000-0005-0000-0000-00002ACF0000}"/>
    <cellStyle name="Normal 6 3 5 2 5 3" xfId="41051" xr:uid="{00000000-0005-0000-0000-00002BCF0000}"/>
    <cellStyle name="Normal 6 3 5 2 6" xfId="20699" xr:uid="{00000000-0005-0000-0000-00002CCF0000}"/>
    <cellStyle name="Normal 6 3 5 2 6 2" xfId="47832" xr:uid="{00000000-0005-0000-0000-00002DCF0000}"/>
    <cellStyle name="Normal 6 3 5 2 7" xfId="34270" xr:uid="{00000000-0005-0000-0000-00002ECF0000}"/>
    <cellStyle name="Normal 6 3 5 3" xfId="6984" xr:uid="{00000000-0005-0000-0000-00002FCF0000}"/>
    <cellStyle name="Normal 6 3 5 3 2" xfId="10514" xr:uid="{00000000-0005-0000-0000-000030CF0000}"/>
    <cellStyle name="Normal 6 3 5 3 2 2" xfId="17304" xr:uid="{00000000-0005-0000-0000-000031CF0000}"/>
    <cellStyle name="Normal 6 3 5 3 2 2 2" xfId="30872" xr:uid="{00000000-0005-0000-0000-000032CF0000}"/>
    <cellStyle name="Normal 6 3 5 3 2 2 2 2" xfId="58005" xr:uid="{00000000-0005-0000-0000-000033CF0000}"/>
    <cellStyle name="Normal 6 3 5 3 2 2 3" xfId="44443" xr:uid="{00000000-0005-0000-0000-000034CF0000}"/>
    <cellStyle name="Normal 6 3 5 3 2 3" xfId="24091" xr:uid="{00000000-0005-0000-0000-000035CF0000}"/>
    <cellStyle name="Normal 6 3 5 3 2 3 2" xfId="51224" xr:uid="{00000000-0005-0000-0000-000036CF0000}"/>
    <cellStyle name="Normal 6 3 5 3 2 4" xfId="37662" xr:uid="{00000000-0005-0000-0000-000037CF0000}"/>
    <cellStyle name="Normal 6 3 5 3 3" xfId="13915" xr:uid="{00000000-0005-0000-0000-000038CF0000}"/>
    <cellStyle name="Normal 6 3 5 3 3 2" xfId="27483" xr:uid="{00000000-0005-0000-0000-000039CF0000}"/>
    <cellStyle name="Normal 6 3 5 3 3 2 2" xfId="54616" xr:uid="{00000000-0005-0000-0000-00003ACF0000}"/>
    <cellStyle name="Normal 6 3 5 3 3 3" xfId="41054" xr:uid="{00000000-0005-0000-0000-00003BCF0000}"/>
    <cellStyle name="Normal 6 3 5 3 4" xfId="20702" xr:uid="{00000000-0005-0000-0000-00003CCF0000}"/>
    <cellStyle name="Normal 6 3 5 3 4 2" xfId="47835" xr:uid="{00000000-0005-0000-0000-00003DCF0000}"/>
    <cellStyle name="Normal 6 3 5 3 5" xfId="34273" xr:uid="{00000000-0005-0000-0000-00003ECF0000}"/>
    <cellStyle name="Normal 6 3 5 4" xfId="6985" xr:uid="{00000000-0005-0000-0000-00003FCF0000}"/>
    <cellStyle name="Normal 6 3 5 4 2" xfId="10515" xr:uid="{00000000-0005-0000-0000-000040CF0000}"/>
    <cellStyle name="Normal 6 3 5 4 2 2" xfId="17305" xr:uid="{00000000-0005-0000-0000-000041CF0000}"/>
    <cellStyle name="Normal 6 3 5 4 2 2 2" xfId="30873" xr:uid="{00000000-0005-0000-0000-000042CF0000}"/>
    <cellStyle name="Normal 6 3 5 4 2 2 2 2" xfId="58006" xr:uid="{00000000-0005-0000-0000-000043CF0000}"/>
    <cellStyle name="Normal 6 3 5 4 2 2 3" xfId="44444" xr:uid="{00000000-0005-0000-0000-000044CF0000}"/>
    <cellStyle name="Normal 6 3 5 4 2 3" xfId="24092" xr:uid="{00000000-0005-0000-0000-000045CF0000}"/>
    <cellStyle name="Normal 6 3 5 4 2 3 2" xfId="51225" xr:uid="{00000000-0005-0000-0000-000046CF0000}"/>
    <cellStyle name="Normal 6 3 5 4 2 4" xfId="37663" xr:uid="{00000000-0005-0000-0000-000047CF0000}"/>
    <cellStyle name="Normal 6 3 5 4 3" xfId="13916" xr:uid="{00000000-0005-0000-0000-000048CF0000}"/>
    <cellStyle name="Normal 6 3 5 4 3 2" xfId="27484" xr:uid="{00000000-0005-0000-0000-000049CF0000}"/>
    <cellStyle name="Normal 6 3 5 4 3 2 2" xfId="54617" xr:uid="{00000000-0005-0000-0000-00004ACF0000}"/>
    <cellStyle name="Normal 6 3 5 4 3 3" xfId="41055" xr:uid="{00000000-0005-0000-0000-00004BCF0000}"/>
    <cellStyle name="Normal 6 3 5 4 4" xfId="20703" xr:uid="{00000000-0005-0000-0000-00004CCF0000}"/>
    <cellStyle name="Normal 6 3 5 4 4 2" xfId="47836" xr:uid="{00000000-0005-0000-0000-00004DCF0000}"/>
    <cellStyle name="Normal 6 3 5 4 5" xfId="34274" xr:uid="{00000000-0005-0000-0000-00004ECF0000}"/>
    <cellStyle name="Normal 6 3 5 5" xfId="10510" xr:uid="{00000000-0005-0000-0000-00004FCF0000}"/>
    <cellStyle name="Normal 6 3 5 5 2" xfId="17300" xr:uid="{00000000-0005-0000-0000-000050CF0000}"/>
    <cellStyle name="Normal 6 3 5 5 2 2" xfId="30868" xr:uid="{00000000-0005-0000-0000-000051CF0000}"/>
    <cellStyle name="Normal 6 3 5 5 2 2 2" xfId="58001" xr:uid="{00000000-0005-0000-0000-000052CF0000}"/>
    <cellStyle name="Normal 6 3 5 5 2 3" xfId="44439" xr:uid="{00000000-0005-0000-0000-000053CF0000}"/>
    <cellStyle name="Normal 6 3 5 5 3" xfId="24087" xr:uid="{00000000-0005-0000-0000-000054CF0000}"/>
    <cellStyle name="Normal 6 3 5 5 3 2" xfId="51220" xr:uid="{00000000-0005-0000-0000-000055CF0000}"/>
    <cellStyle name="Normal 6 3 5 5 4" xfId="37658" xr:uid="{00000000-0005-0000-0000-000056CF0000}"/>
    <cellStyle name="Normal 6 3 5 6" xfId="13911" xr:uid="{00000000-0005-0000-0000-000057CF0000}"/>
    <cellStyle name="Normal 6 3 5 6 2" xfId="27479" xr:uid="{00000000-0005-0000-0000-000058CF0000}"/>
    <cellStyle name="Normal 6 3 5 6 2 2" xfId="54612" xr:uid="{00000000-0005-0000-0000-000059CF0000}"/>
    <cellStyle name="Normal 6 3 5 6 3" xfId="41050" xr:uid="{00000000-0005-0000-0000-00005ACF0000}"/>
    <cellStyle name="Normal 6 3 5 7" xfId="20698" xr:uid="{00000000-0005-0000-0000-00005BCF0000}"/>
    <cellStyle name="Normal 6 3 5 7 2" xfId="47831" xr:uid="{00000000-0005-0000-0000-00005CCF0000}"/>
    <cellStyle name="Normal 6 3 5 8" xfId="34269" xr:uid="{00000000-0005-0000-0000-00005DCF0000}"/>
    <cellStyle name="Normal 6 3 6" xfId="6986" xr:uid="{00000000-0005-0000-0000-00005ECF0000}"/>
    <cellStyle name="Normal 6 3 6 2" xfId="6987" xr:uid="{00000000-0005-0000-0000-00005FCF0000}"/>
    <cellStyle name="Normal 6 3 6 2 2" xfId="6988" xr:uid="{00000000-0005-0000-0000-000060CF0000}"/>
    <cellStyle name="Normal 6 3 6 2 2 2" xfId="10518" xr:uid="{00000000-0005-0000-0000-000061CF0000}"/>
    <cellStyle name="Normal 6 3 6 2 2 2 2" xfId="17308" xr:uid="{00000000-0005-0000-0000-000062CF0000}"/>
    <cellStyle name="Normal 6 3 6 2 2 2 2 2" xfId="30876" xr:uid="{00000000-0005-0000-0000-000063CF0000}"/>
    <cellStyle name="Normal 6 3 6 2 2 2 2 2 2" xfId="58009" xr:uid="{00000000-0005-0000-0000-000064CF0000}"/>
    <cellStyle name="Normal 6 3 6 2 2 2 2 3" xfId="44447" xr:uid="{00000000-0005-0000-0000-000065CF0000}"/>
    <cellStyle name="Normal 6 3 6 2 2 2 3" xfId="24095" xr:uid="{00000000-0005-0000-0000-000066CF0000}"/>
    <cellStyle name="Normal 6 3 6 2 2 2 3 2" xfId="51228" xr:uid="{00000000-0005-0000-0000-000067CF0000}"/>
    <cellStyle name="Normal 6 3 6 2 2 2 4" xfId="37666" xr:uid="{00000000-0005-0000-0000-000068CF0000}"/>
    <cellStyle name="Normal 6 3 6 2 2 3" xfId="13919" xr:uid="{00000000-0005-0000-0000-000069CF0000}"/>
    <cellStyle name="Normal 6 3 6 2 2 3 2" xfId="27487" xr:uid="{00000000-0005-0000-0000-00006ACF0000}"/>
    <cellStyle name="Normal 6 3 6 2 2 3 2 2" xfId="54620" xr:uid="{00000000-0005-0000-0000-00006BCF0000}"/>
    <cellStyle name="Normal 6 3 6 2 2 3 3" xfId="41058" xr:uid="{00000000-0005-0000-0000-00006CCF0000}"/>
    <cellStyle name="Normal 6 3 6 2 2 4" xfId="20706" xr:uid="{00000000-0005-0000-0000-00006DCF0000}"/>
    <cellStyle name="Normal 6 3 6 2 2 4 2" xfId="47839" xr:uid="{00000000-0005-0000-0000-00006ECF0000}"/>
    <cellStyle name="Normal 6 3 6 2 2 5" xfId="34277" xr:uid="{00000000-0005-0000-0000-00006FCF0000}"/>
    <cellStyle name="Normal 6 3 6 2 3" xfId="6989" xr:uid="{00000000-0005-0000-0000-000070CF0000}"/>
    <cellStyle name="Normal 6 3 6 2 3 2" xfId="10519" xr:uid="{00000000-0005-0000-0000-000071CF0000}"/>
    <cellStyle name="Normal 6 3 6 2 3 2 2" xfId="17309" xr:uid="{00000000-0005-0000-0000-000072CF0000}"/>
    <cellStyle name="Normal 6 3 6 2 3 2 2 2" xfId="30877" xr:uid="{00000000-0005-0000-0000-000073CF0000}"/>
    <cellStyle name="Normal 6 3 6 2 3 2 2 2 2" xfId="58010" xr:uid="{00000000-0005-0000-0000-000074CF0000}"/>
    <cellStyle name="Normal 6 3 6 2 3 2 2 3" xfId="44448" xr:uid="{00000000-0005-0000-0000-000075CF0000}"/>
    <cellStyle name="Normal 6 3 6 2 3 2 3" xfId="24096" xr:uid="{00000000-0005-0000-0000-000076CF0000}"/>
    <cellStyle name="Normal 6 3 6 2 3 2 3 2" xfId="51229" xr:uid="{00000000-0005-0000-0000-000077CF0000}"/>
    <cellStyle name="Normal 6 3 6 2 3 2 4" xfId="37667" xr:uid="{00000000-0005-0000-0000-000078CF0000}"/>
    <cellStyle name="Normal 6 3 6 2 3 3" xfId="13920" xr:uid="{00000000-0005-0000-0000-000079CF0000}"/>
    <cellStyle name="Normal 6 3 6 2 3 3 2" xfId="27488" xr:uid="{00000000-0005-0000-0000-00007ACF0000}"/>
    <cellStyle name="Normal 6 3 6 2 3 3 2 2" xfId="54621" xr:uid="{00000000-0005-0000-0000-00007BCF0000}"/>
    <cellStyle name="Normal 6 3 6 2 3 3 3" xfId="41059" xr:uid="{00000000-0005-0000-0000-00007CCF0000}"/>
    <cellStyle name="Normal 6 3 6 2 3 4" xfId="20707" xr:uid="{00000000-0005-0000-0000-00007DCF0000}"/>
    <cellStyle name="Normal 6 3 6 2 3 4 2" xfId="47840" xr:uid="{00000000-0005-0000-0000-00007ECF0000}"/>
    <cellStyle name="Normal 6 3 6 2 3 5" xfId="34278" xr:uid="{00000000-0005-0000-0000-00007FCF0000}"/>
    <cellStyle name="Normal 6 3 6 2 4" xfId="10517" xr:uid="{00000000-0005-0000-0000-000080CF0000}"/>
    <cellStyle name="Normal 6 3 6 2 4 2" xfId="17307" xr:uid="{00000000-0005-0000-0000-000081CF0000}"/>
    <cellStyle name="Normal 6 3 6 2 4 2 2" xfId="30875" xr:uid="{00000000-0005-0000-0000-000082CF0000}"/>
    <cellStyle name="Normal 6 3 6 2 4 2 2 2" xfId="58008" xr:uid="{00000000-0005-0000-0000-000083CF0000}"/>
    <cellStyle name="Normal 6 3 6 2 4 2 3" xfId="44446" xr:uid="{00000000-0005-0000-0000-000084CF0000}"/>
    <cellStyle name="Normal 6 3 6 2 4 3" xfId="24094" xr:uid="{00000000-0005-0000-0000-000085CF0000}"/>
    <cellStyle name="Normal 6 3 6 2 4 3 2" xfId="51227" xr:uid="{00000000-0005-0000-0000-000086CF0000}"/>
    <cellStyle name="Normal 6 3 6 2 4 4" xfId="37665" xr:uid="{00000000-0005-0000-0000-000087CF0000}"/>
    <cellStyle name="Normal 6 3 6 2 5" xfId="13918" xr:uid="{00000000-0005-0000-0000-000088CF0000}"/>
    <cellStyle name="Normal 6 3 6 2 5 2" xfId="27486" xr:uid="{00000000-0005-0000-0000-000089CF0000}"/>
    <cellStyle name="Normal 6 3 6 2 5 2 2" xfId="54619" xr:uid="{00000000-0005-0000-0000-00008ACF0000}"/>
    <cellStyle name="Normal 6 3 6 2 5 3" xfId="41057" xr:uid="{00000000-0005-0000-0000-00008BCF0000}"/>
    <cellStyle name="Normal 6 3 6 2 6" xfId="20705" xr:uid="{00000000-0005-0000-0000-00008CCF0000}"/>
    <cellStyle name="Normal 6 3 6 2 6 2" xfId="47838" xr:uid="{00000000-0005-0000-0000-00008DCF0000}"/>
    <cellStyle name="Normal 6 3 6 2 7" xfId="34276" xr:uid="{00000000-0005-0000-0000-00008ECF0000}"/>
    <cellStyle name="Normal 6 3 6 3" xfId="6990" xr:uid="{00000000-0005-0000-0000-00008FCF0000}"/>
    <cellStyle name="Normal 6 3 6 3 2" xfId="10520" xr:uid="{00000000-0005-0000-0000-000090CF0000}"/>
    <cellStyle name="Normal 6 3 6 3 2 2" xfId="17310" xr:uid="{00000000-0005-0000-0000-000091CF0000}"/>
    <cellStyle name="Normal 6 3 6 3 2 2 2" xfId="30878" xr:uid="{00000000-0005-0000-0000-000092CF0000}"/>
    <cellStyle name="Normal 6 3 6 3 2 2 2 2" xfId="58011" xr:uid="{00000000-0005-0000-0000-000093CF0000}"/>
    <cellStyle name="Normal 6 3 6 3 2 2 3" xfId="44449" xr:uid="{00000000-0005-0000-0000-000094CF0000}"/>
    <cellStyle name="Normal 6 3 6 3 2 3" xfId="24097" xr:uid="{00000000-0005-0000-0000-000095CF0000}"/>
    <cellStyle name="Normal 6 3 6 3 2 3 2" xfId="51230" xr:uid="{00000000-0005-0000-0000-000096CF0000}"/>
    <cellStyle name="Normal 6 3 6 3 2 4" xfId="37668" xr:uid="{00000000-0005-0000-0000-000097CF0000}"/>
    <cellStyle name="Normal 6 3 6 3 3" xfId="13921" xr:uid="{00000000-0005-0000-0000-000098CF0000}"/>
    <cellStyle name="Normal 6 3 6 3 3 2" xfId="27489" xr:uid="{00000000-0005-0000-0000-000099CF0000}"/>
    <cellStyle name="Normal 6 3 6 3 3 2 2" xfId="54622" xr:uid="{00000000-0005-0000-0000-00009ACF0000}"/>
    <cellStyle name="Normal 6 3 6 3 3 3" xfId="41060" xr:uid="{00000000-0005-0000-0000-00009BCF0000}"/>
    <cellStyle name="Normal 6 3 6 3 4" xfId="20708" xr:uid="{00000000-0005-0000-0000-00009CCF0000}"/>
    <cellStyle name="Normal 6 3 6 3 4 2" xfId="47841" xr:uid="{00000000-0005-0000-0000-00009DCF0000}"/>
    <cellStyle name="Normal 6 3 6 3 5" xfId="34279" xr:uid="{00000000-0005-0000-0000-00009ECF0000}"/>
    <cellStyle name="Normal 6 3 6 4" xfId="6991" xr:uid="{00000000-0005-0000-0000-00009FCF0000}"/>
    <cellStyle name="Normal 6 3 6 4 2" xfId="10521" xr:uid="{00000000-0005-0000-0000-0000A0CF0000}"/>
    <cellStyle name="Normal 6 3 6 4 2 2" xfId="17311" xr:uid="{00000000-0005-0000-0000-0000A1CF0000}"/>
    <cellStyle name="Normal 6 3 6 4 2 2 2" xfId="30879" xr:uid="{00000000-0005-0000-0000-0000A2CF0000}"/>
    <cellStyle name="Normal 6 3 6 4 2 2 2 2" xfId="58012" xr:uid="{00000000-0005-0000-0000-0000A3CF0000}"/>
    <cellStyle name="Normal 6 3 6 4 2 2 3" xfId="44450" xr:uid="{00000000-0005-0000-0000-0000A4CF0000}"/>
    <cellStyle name="Normal 6 3 6 4 2 3" xfId="24098" xr:uid="{00000000-0005-0000-0000-0000A5CF0000}"/>
    <cellStyle name="Normal 6 3 6 4 2 3 2" xfId="51231" xr:uid="{00000000-0005-0000-0000-0000A6CF0000}"/>
    <cellStyle name="Normal 6 3 6 4 2 4" xfId="37669" xr:uid="{00000000-0005-0000-0000-0000A7CF0000}"/>
    <cellStyle name="Normal 6 3 6 4 3" xfId="13922" xr:uid="{00000000-0005-0000-0000-0000A8CF0000}"/>
    <cellStyle name="Normal 6 3 6 4 3 2" xfId="27490" xr:uid="{00000000-0005-0000-0000-0000A9CF0000}"/>
    <cellStyle name="Normal 6 3 6 4 3 2 2" xfId="54623" xr:uid="{00000000-0005-0000-0000-0000AACF0000}"/>
    <cellStyle name="Normal 6 3 6 4 3 3" xfId="41061" xr:uid="{00000000-0005-0000-0000-0000ABCF0000}"/>
    <cellStyle name="Normal 6 3 6 4 4" xfId="20709" xr:uid="{00000000-0005-0000-0000-0000ACCF0000}"/>
    <cellStyle name="Normal 6 3 6 4 4 2" xfId="47842" xr:uid="{00000000-0005-0000-0000-0000ADCF0000}"/>
    <cellStyle name="Normal 6 3 6 4 5" xfId="34280" xr:uid="{00000000-0005-0000-0000-0000AECF0000}"/>
    <cellStyle name="Normal 6 3 6 5" xfId="10516" xr:uid="{00000000-0005-0000-0000-0000AFCF0000}"/>
    <cellStyle name="Normal 6 3 6 5 2" xfId="17306" xr:uid="{00000000-0005-0000-0000-0000B0CF0000}"/>
    <cellStyle name="Normal 6 3 6 5 2 2" xfId="30874" xr:uid="{00000000-0005-0000-0000-0000B1CF0000}"/>
    <cellStyle name="Normal 6 3 6 5 2 2 2" xfId="58007" xr:uid="{00000000-0005-0000-0000-0000B2CF0000}"/>
    <cellStyle name="Normal 6 3 6 5 2 3" xfId="44445" xr:uid="{00000000-0005-0000-0000-0000B3CF0000}"/>
    <cellStyle name="Normal 6 3 6 5 3" xfId="24093" xr:uid="{00000000-0005-0000-0000-0000B4CF0000}"/>
    <cellStyle name="Normal 6 3 6 5 3 2" xfId="51226" xr:uid="{00000000-0005-0000-0000-0000B5CF0000}"/>
    <cellStyle name="Normal 6 3 6 5 4" xfId="37664" xr:uid="{00000000-0005-0000-0000-0000B6CF0000}"/>
    <cellStyle name="Normal 6 3 6 6" xfId="13917" xr:uid="{00000000-0005-0000-0000-0000B7CF0000}"/>
    <cellStyle name="Normal 6 3 6 6 2" xfId="27485" xr:uid="{00000000-0005-0000-0000-0000B8CF0000}"/>
    <cellStyle name="Normal 6 3 6 6 2 2" xfId="54618" xr:uid="{00000000-0005-0000-0000-0000B9CF0000}"/>
    <cellStyle name="Normal 6 3 6 6 3" xfId="41056" xr:uid="{00000000-0005-0000-0000-0000BACF0000}"/>
    <cellStyle name="Normal 6 3 6 7" xfId="20704" xr:uid="{00000000-0005-0000-0000-0000BBCF0000}"/>
    <cellStyle name="Normal 6 3 6 7 2" xfId="47837" xr:uid="{00000000-0005-0000-0000-0000BCCF0000}"/>
    <cellStyle name="Normal 6 3 6 8" xfId="34275" xr:uid="{00000000-0005-0000-0000-0000BDCF0000}"/>
    <cellStyle name="Normal 6 3 7" xfId="6992" xr:uid="{00000000-0005-0000-0000-0000BECF0000}"/>
    <cellStyle name="Normal 6 3 7 2" xfId="6993" xr:uid="{00000000-0005-0000-0000-0000BFCF0000}"/>
    <cellStyle name="Normal 6 3 7 2 2" xfId="10523" xr:uid="{00000000-0005-0000-0000-0000C0CF0000}"/>
    <cellStyle name="Normal 6 3 7 2 2 2" xfId="17313" xr:uid="{00000000-0005-0000-0000-0000C1CF0000}"/>
    <cellStyle name="Normal 6 3 7 2 2 2 2" xfId="30881" xr:uid="{00000000-0005-0000-0000-0000C2CF0000}"/>
    <cellStyle name="Normal 6 3 7 2 2 2 2 2" xfId="58014" xr:uid="{00000000-0005-0000-0000-0000C3CF0000}"/>
    <cellStyle name="Normal 6 3 7 2 2 2 3" xfId="44452" xr:uid="{00000000-0005-0000-0000-0000C4CF0000}"/>
    <cellStyle name="Normal 6 3 7 2 2 3" xfId="24100" xr:uid="{00000000-0005-0000-0000-0000C5CF0000}"/>
    <cellStyle name="Normal 6 3 7 2 2 3 2" xfId="51233" xr:uid="{00000000-0005-0000-0000-0000C6CF0000}"/>
    <cellStyle name="Normal 6 3 7 2 2 4" xfId="37671" xr:uid="{00000000-0005-0000-0000-0000C7CF0000}"/>
    <cellStyle name="Normal 6 3 7 2 3" xfId="13924" xr:uid="{00000000-0005-0000-0000-0000C8CF0000}"/>
    <cellStyle name="Normal 6 3 7 2 3 2" xfId="27492" xr:uid="{00000000-0005-0000-0000-0000C9CF0000}"/>
    <cellStyle name="Normal 6 3 7 2 3 2 2" xfId="54625" xr:uid="{00000000-0005-0000-0000-0000CACF0000}"/>
    <cellStyle name="Normal 6 3 7 2 3 3" xfId="41063" xr:uid="{00000000-0005-0000-0000-0000CBCF0000}"/>
    <cellStyle name="Normal 6 3 7 2 4" xfId="20711" xr:uid="{00000000-0005-0000-0000-0000CCCF0000}"/>
    <cellStyle name="Normal 6 3 7 2 4 2" xfId="47844" xr:uid="{00000000-0005-0000-0000-0000CDCF0000}"/>
    <cellStyle name="Normal 6 3 7 2 5" xfId="34282" xr:uid="{00000000-0005-0000-0000-0000CECF0000}"/>
    <cellStyle name="Normal 6 3 7 3" xfId="6994" xr:uid="{00000000-0005-0000-0000-0000CFCF0000}"/>
    <cellStyle name="Normal 6 3 7 3 2" xfId="10524" xr:uid="{00000000-0005-0000-0000-0000D0CF0000}"/>
    <cellStyle name="Normal 6 3 7 3 2 2" xfId="17314" xr:uid="{00000000-0005-0000-0000-0000D1CF0000}"/>
    <cellStyle name="Normal 6 3 7 3 2 2 2" xfId="30882" xr:uid="{00000000-0005-0000-0000-0000D2CF0000}"/>
    <cellStyle name="Normal 6 3 7 3 2 2 2 2" xfId="58015" xr:uid="{00000000-0005-0000-0000-0000D3CF0000}"/>
    <cellStyle name="Normal 6 3 7 3 2 2 3" xfId="44453" xr:uid="{00000000-0005-0000-0000-0000D4CF0000}"/>
    <cellStyle name="Normal 6 3 7 3 2 3" xfId="24101" xr:uid="{00000000-0005-0000-0000-0000D5CF0000}"/>
    <cellStyle name="Normal 6 3 7 3 2 3 2" xfId="51234" xr:uid="{00000000-0005-0000-0000-0000D6CF0000}"/>
    <cellStyle name="Normal 6 3 7 3 2 4" xfId="37672" xr:uid="{00000000-0005-0000-0000-0000D7CF0000}"/>
    <cellStyle name="Normal 6 3 7 3 3" xfId="13925" xr:uid="{00000000-0005-0000-0000-0000D8CF0000}"/>
    <cellStyle name="Normal 6 3 7 3 3 2" xfId="27493" xr:uid="{00000000-0005-0000-0000-0000D9CF0000}"/>
    <cellStyle name="Normal 6 3 7 3 3 2 2" xfId="54626" xr:uid="{00000000-0005-0000-0000-0000DACF0000}"/>
    <cellStyle name="Normal 6 3 7 3 3 3" xfId="41064" xr:uid="{00000000-0005-0000-0000-0000DBCF0000}"/>
    <cellStyle name="Normal 6 3 7 3 4" xfId="20712" xr:uid="{00000000-0005-0000-0000-0000DCCF0000}"/>
    <cellStyle name="Normal 6 3 7 3 4 2" xfId="47845" xr:uid="{00000000-0005-0000-0000-0000DDCF0000}"/>
    <cellStyle name="Normal 6 3 7 3 5" xfId="34283" xr:uid="{00000000-0005-0000-0000-0000DECF0000}"/>
    <cellStyle name="Normal 6 3 7 4" xfId="10522" xr:uid="{00000000-0005-0000-0000-0000DFCF0000}"/>
    <cellStyle name="Normal 6 3 7 4 2" xfId="17312" xr:uid="{00000000-0005-0000-0000-0000E0CF0000}"/>
    <cellStyle name="Normal 6 3 7 4 2 2" xfId="30880" xr:uid="{00000000-0005-0000-0000-0000E1CF0000}"/>
    <cellStyle name="Normal 6 3 7 4 2 2 2" xfId="58013" xr:uid="{00000000-0005-0000-0000-0000E2CF0000}"/>
    <cellStyle name="Normal 6 3 7 4 2 3" xfId="44451" xr:uid="{00000000-0005-0000-0000-0000E3CF0000}"/>
    <cellStyle name="Normal 6 3 7 4 3" xfId="24099" xr:uid="{00000000-0005-0000-0000-0000E4CF0000}"/>
    <cellStyle name="Normal 6 3 7 4 3 2" xfId="51232" xr:uid="{00000000-0005-0000-0000-0000E5CF0000}"/>
    <cellStyle name="Normal 6 3 7 4 4" xfId="37670" xr:uid="{00000000-0005-0000-0000-0000E6CF0000}"/>
    <cellStyle name="Normal 6 3 7 5" xfId="13923" xr:uid="{00000000-0005-0000-0000-0000E7CF0000}"/>
    <cellStyle name="Normal 6 3 7 5 2" xfId="27491" xr:uid="{00000000-0005-0000-0000-0000E8CF0000}"/>
    <cellStyle name="Normal 6 3 7 5 2 2" xfId="54624" xr:uid="{00000000-0005-0000-0000-0000E9CF0000}"/>
    <cellStyle name="Normal 6 3 7 5 3" xfId="41062" xr:uid="{00000000-0005-0000-0000-0000EACF0000}"/>
    <cellStyle name="Normal 6 3 7 6" xfId="20710" xr:uid="{00000000-0005-0000-0000-0000EBCF0000}"/>
    <cellStyle name="Normal 6 3 7 6 2" xfId="47843" xr:uid="{00000000-0005-0000-0000-0000ECCF0000}"/>
    <cellStyle name="Normal 6 3 7 7" xfId="34281" xr:uid="{00000000-0005-0000-0000-0000EDCF0000}"/>
    <cellStyle name="Normal 6 3 8" xfId="6995" xr:uid="{00000000-0005-0000-0000-0000EECF0000}"/>
    <cellStyle name="Normal 6 3 8 2" xfId="6996" xr:uid="{00000000-0005-0000-0000-0000EFCF0000}"/>
    <cellStyle name="Normal 6 3 8 2 2" xfId="10526" xr:uid="{00000000-0005-0000-0000-0000F0CF0000}"/>
    <cellStyle name="Normal 6 3 8 2 2 2" xfId="17316" xr:uid="{00000000-0005-0000-0000-0000F1CF0000}"/>
    <cellStyle name="Normal 6 3 8 2 2 2 2" xfId="30884" xr:uid="{00000000-0005-0000-0000-0000F2CF0000}"/>
    <cellStyle name="Normal 6 3 8 2 2 2 2 2" xfId="58017" xr:uid="{00000000-0005-0000-0000-0000F3CF0000}"/>
    <cellStyle name="Normal 6 3 8 2 2 2 3" xfId="44455" xr:uid="{00000000-0005-0000-0000-0000F4CF0000}"/>
    <cellStyle name="Normal 6 3 8 2 2 3" xfId="24103" xr:uid="{00000000-0005-0000-0000-0000F5CF0000}"/>
    <cellStyle name="Normal 6 3 8 2 2 3 2" xfId="51236" xr:uid="{00000000-0005-0000-0000-0000F6CF0000}"/>
    <cellStyle name="Normal 6 3 8 2 2 4" xfId="37674" xr:uid="{00000000-0005-0000-0000-0000F7CF0000}"/>
    <cellStyle name="Normal 6 3 8 2 3" xfId="13927" xr:uid="{00000000-0005-0000-0000-0000F8CF0000}"/>
    <cellStyle name="Normal 6 3 8 2 3 2" xfId="27495" xr:uid="{00000000-0005-0000-0000-0000F9CF0000}"/>
    <cellStyle name="Normal 6 3 8 2 3 2 2" xfId="54628" xr:uid="{00000000-0005-0000-0000-0000FACF0000}"/>
    <cellStyle name="Normal 6 3 8 2 3 3" xfId="41066" xr:uid="{00000000-0005-0000-0000-0000FBCF0000}"/>
    <cellStyle name="Normal 6 3 8 2 4" xfId="20714" xr:uid="{00000000-0005-0000-0000-0000FCCF0000}"/>
    <cellStyle name="Normal 6 3 8 2 4 2" xfId="47847" xr:uid="{00000000-0005-0000-0000-0000FDCF0000}"/>
    <cellStyle name="Normal 6 3 8 2 5" xfId="34285" xr:uid="{00000000-0005-0000-0000-0000FECF0000}"/>
    <cellStyle name="Normal 6 3 8 3" xfId="6997" xr:uid="{00000000-0005-0000-0000-0000FFCF0000}"/>
    <cellStyle name="Normal 6 3 8 3 2" xfId="10527" xr:uid="{00000000-0005-0000-0000-000000D00000}"/>
    <cellStyle name="Normal 6 3 8 3 2 2" xfId="17317" xr:uid="{00000000-0005-0000-0000-000001D00000}"/>
    <cellStyle name="Normal 6 3 8 3 2 2 2" xfId="30885" xr:uid="{00000000-0005-0000-0000-000002D00000}"/>
    <cellStyle name="Normal 6 3 8 3 2 2 2 2" xfId="58018" xr:uid="{00000000-0005-0000-0000-000003D00000}"/>
    <cellStyle name="Normal 6 3 8 3 2 2 3" xfId="44456" xr:uid="{00000000-0005-0000-0000-000004D00000}"/>
    <cellStyle name="Normal 6 3 8 3 2 3" xfId="24104" xr:uid="{00000000-0005-0000-0000-000005D00000}"/>
    <cellStyle name="Normal 6 3 8 3 2 3 2" xfId="51237" xr:uid="{00000000-0005-0000-0000-000006D00000}"/>
    <cellStyle name="Normal 6 3 8 3 2 4" xfId="37675" xr:uid="{00000000-0005-0000-0000-000007D00000}"/>
    <cellStyle name="Normal 6 3 8 3 3" xfId="13928" xr:uid="{00000000-0005-0000-0000-000008D00000}"/>
    <cellStyle name="Normal 6 3 8 3 3 2" xfId="27496" xr:uid="{00000000-0005-0000-0000-000009D00000}"/>
    <cellStyle name="Normal 6 3 8 3 3 2 2" xfId="54629" xr:uid="{00000000-0005-0000-0000-00000AD00000}"/>
    <cellStyle name="Normal 6 3 8 3 3 3" xfId="41067" xr:uid="{00000000-0005-0000-0000-00000BD00000}"/>
    <cellStyle name="Normal 6 3 8 3 4" xfId="20715" xr:uid="{00000000-0005-0000-0000-00000CD00000}"/>
    <cellStyle name="Normal 6 3 8 3 4 2" xfId="47848" xr:uid="{00000000-0005-0000-0000-00000DD00000}"/>
    <cellStyle name="Normal 6 3 8 3 5" xfId="34286" xr:uid="{00000000-0005-0000-0000-00000ED00000}"/>
    <cellStyle name="Normal 6 3 8 4" xfId="10525" xr:uid="{00000000-0005-0000-0000-00000FD00000}"/>
    <cellStyle name="Normal 6 3 8 4 2" xfId="17315" xr:uid="{00000000-0005-0000-0000-000010D00000}"/>
    <cellStyle name="Normal 6 3 8 4 2 2" xfId="30883" xr:uid="{00000000-0005-0000-0000-000011D00000}"/>
    <cellStyle name="Normal 6 3 8 4 2 2 2" xfId="58016" xr:uid="{00000000-0005-0000-0000-000012D00000}"/>
    <cellStyle name="Normal 6 3 8 4 2 3" xfId="44454" xr:uid="{00000000-0005-0000-0000-000013D00000}"/>
    <cellStyle name="Normal 6 3 8 4 3" xfId="24102" xr:uid="{00000000-0005-0000-0000-000014D00000}"/>
    <cellStyle name="Normal 6 3 8 4 3 2" xfId="51235" xr:uid="{00000000-0005-0000-0000-000015D00000}"/>
    <cellStyle name="Normal 6 3 8 4 4" xfId="37673" xr:uid="{00000000-0005-0000-0000-000016D00000}"/>
    <cellStyle name="Normal 6 3 8 5" xfId="13926" xr:uid="{00000000-0005-0000-0000-000017D00000}"/>
    <cellStyle name="Normal 6 3 8 5 2" xfId="27494" xr:uid="{00000000-0005-0000-0000-000018D00000}"/>
    <cellStyle name="Normal 6 3 8 5 2 2" xfId="54627" xr:uid="{00000000-0005-0000-0000-000019D00000}"/>
    <cellStyle name="Normal 6 3 8 5 3" xfId="41065" xr:uid="{00000000-0005-0000-0000-00001AD00000}"/>
    <cellStyle name="Normal 6 3 8 6" xfId="20713" xr:uid="{00000000-0005-0000-0000-00001BD00000}"/>
    <cellStyle name="Normal 6 3 8 6 2" xfId="47846" xr:uid="{00000000-0005-0000-0000-00001CD00000}"/>
    <cellStyle name="Normal 6 3 8 7" xfId="34284" xr:uid="{00000000-0005-0000-0000-00001DD00000}"/>
    <cellStyle name="Normal 6 3 9" xfId="6998" xr:uid="{00000000-0005-0000-0000-00001ED00000}"/>
    <cellStyle name="Normal 6 3 9 2" xfId="10528" xr:uid="{00000000-0005-0000-0000-00001FD00000}"/>
    <cellStyle name="Normal 6 3 9 2 2" xfId="17318" xr:uid="{00000000-0005-0000-0000-000020D00000}"/>
    <cellStyle name="Normal 6 3 9 2 2 2" xfId="30886" xr:uid="{00000000-0005-0000-0000-000021D00000}"/>
    <cellStyle name="Normal 6 3 9 2 2 2 2" xfId="58019" xr:uid="{00000000-0005-0000-0000-000022D00000}"/>
    <cellStyle name="Normal 6 3 9 2 2 3" xfId="44457" xr:uid="{00000000-0005-0000-0000-000023D00000}"/>
    <cellStyle name="Normal 6 3 9 2 3" xfId="24105" xr:uid="{00000000-0005-0000-0000-000024D00000}"/>
    <cellStyle name="Normal 6 3 9 2 3 2" xfId="51238" xr:uid="{00000000-0005-0000-0000-000025D00000}"/>
    <cellStyle name="Normal 6 3 9 2 4" xfId="37676" xr:uid="{00000000-0005-0000-0000-000026D00000}"/>
    <cellStyle name="Normal 6 3 9 3" xfId="13929" xr:uid="{00000000-0005-0000-0000-000027D00000}"/>
    <cellStyle name="Normal 6 3 9 3 2" xfId="27497" xr:uid="{00000000-0005-0000-0000-000028D00000}"/>
    <cellStyle name="Normal 6 3 9 3 2 2" xfId="54630" xr:uid="{00000000-0005-0000-0000-000029D00000}"/>
    <cellStyle name="Normal 6 3 9 3 3" xfId="41068" xr:uid="{00000000-0005-0000-0000-00002AD00000}"/>
    <cellStyle name="Normal 6 3 9 4" xfId="20716" xr:uid="{00000000-0005-0000-0000-00002BD00000}"/>
    <cellStyle name="Normal 6 3 9 4 2" xfId="47849" xr:uid="{00000000-0005-0000-0000-00002CD00000}"/>
    <cellStyle name="Normal 6 3 9 5" xfId="34287" xr:uid="{00000000-0005-0000-0000-00002DD00000}"/>
    <cellStyle name="Normal 6 4" xfId="6999" xr:uid="{00000000-0005-0000-0000-00002ED00000}"/>
    <cellStyle name="Normal 6 5" xfId="7000" xr:uid="{00000000-0005-0000-0000-00002FD00000}"/>
    <cellStyle name="Normal 6 5 2" xfId="7001" xr:uid="{00000000-0005-0000-0000-000030D00000}"/>
    <cellStyle name="Normal 6 5 2 2" xfId="10530" xr:uid="{00000000-0005-0000-0000-000031D00000}"/>
    <cellStyle name="Normal 6 5 2 2 2" xfId="17320" xr:uid="{00000000-0005-0000-0000-000032D00000}"/>
    <cellStyle name="Normal 6 5 2 2 2 2" xfId="30888" xr:uid="{00000000-0005-0000-0000-000033D00000}"/>
    <cellStyle name="Normal 6 5 2 2 2 2 2" xfId="58021" xr:uid="{00000000-0005-0000-0000-000034D00000}"/>
    <cellStyle name="Normal 6 5 2 2 2 3" xfId="44459" xr:uid="{00000000-0005-0000-0000-000035D00000}"/>
    <cellStyle name="Normal 6 5 2 2 3" xfId="24107" xr:uid="{00000000-0005-0000-0000-000036D00000}"/>
    <cellStyle name="Normal 6 5 2 2 3 2" xfId="51240" xr:uid="{00000000-0005-0000-0000-000037D00000}"/>
    <cellStyle name="Normal 6 5 2 2 4" xfId="37678" xr:uid="{00000000-0005-0000-0000-000038D00000}"/>
    <cellStyle name="Normal 6 5 2 3" xfId="13931" xr:uid="{00000000-0005-0000-0000-000039D00000}"/>
    <cellStyle name="Normal 6 5 2 3 2" xfId="27499" xr:uid="{00000000-0005-0000-0000-00003AD00000}"/>
    <cellStyle name="Normal 6 5 2 3 2 2" xfId="54632" xr:uid="{00000000-0005-0000-0000-00003BD00000}"/>
    <cellStyle name="Normal 6 5 2 3 3" xfId="41070" xr:uid="{00000000-0005-0000-0000-00003CD00000}"/>
    <cellStyle name="Normal 6 5 2 4" xfId="20718" xr:uid="{00000000-0005-0000-0000-00003DD00000}"/>
    <cellStyle name="Normal 6 5 2 4 2" xfId="47851" xr:uid="{00000000-0005-0000-0000-00003ED00000}"/>
    <cellStyle name="Normal 6 5 2 5" xfId="34289" xr:uid="{00000000-0005-0000-0000-00003FD00000}"/>
    <cellStyle name="Normal 6 5 3" xfId="7002" xr:uid="{00000000-0005-0000-0000-000040D00000}"/>
    <cellStyle name="Normal 6 5 3 2" xfId="10531" xr:uid="{00000000-0005-0000-0000-000041D00000}"/>
    <cellStyle name="Normal 6 5 3 2 2" xfId="17321" xr:uid="{00000000-0005-0000-0000-000042D00000}"/>
    <cellStyle name="Normal 6 5 3 2 2 2" xfId="30889" xr:uid="{00000000-0005-0000-0000-000043D00000}"/>
    <cellStyle name="Normal 6 5 3 2 2 2 2" xfId="58022" xr:uid="{00000000-0005-0000-0000-000044D00000}"/>
    <cellStyle name="Normal 6 5 3 2 2 3" xfId="44460" xr:uid="{00000000-0005-0000-0000-000045D00000}"/>
    <cellStyle name="Normal 6 5 3 2 3" xfId="24108" xr:uid="{00000000-0005-0000-0000-000046D00000}"/>
    <cellStyle name="Normal 6 5 3 2 3 2" xfId="51241" xr:uid="{00000000-0005-0000-0000-000047D00000}"/>
    <cellStyle name="Normal 6 5 3 2 4" xfId="37679" xr:uid="{00000000-0005-0000-0000-000048D00000}"/>
    <cellStyle name="Normal 6 5 3 3" xfId="13932" xr:uid="{00000000-0005-0000-0000-000049D00000}"/>
    <cellStyle name="Normal 6 5 3 3 2" xfId="27500" xr:uid="{00000000-0005-0000-0000-00004AD00000}"/>
    <cellStyle name="Normal 6 5 3 3 2 2" xfId="54633" xr:uid="{00000000-0005-0000-0000-00004BD00000}"/>
    <cellStyle name="Normal 6 5 3 3 3" xfId="41071" xr:uid="{00000000-0005-0000-0000-00004CD00000}"/>
    <cellStyle name="Normal 6 5 3 4" xfId="20719" xr:uid="{00000000-0005-0000-0000-00004DD00000}"/>
    <cellStyle name="Normal 6 5 3 4 2" xfId="47852" xr:uid="{00000000-0005-0000-0000-00004ED00000}"/>
    <cellStyle name="Normal 6 5 3 5" xfId="34290" xr:uid="{00000000-0005-0000-0000-00004FD00000}"/>
    <cellStyle name="Normal 6 5 4" xfId="10529" xr:uid="{00000000-0005-0000-0000-000050D00000}"/>
    <cellStyle name="Normal 6 5 4 2" xfId="17319" xr:uid="{00000000-0005-0000-0000-000051D00000}"/>
    <cellStyle name="Normal 6 5 4 2 2" xfId="30887" xr:uid="{00000000-0005-0000-0000-000052D00000}"/>
    <cellStyle name="Normal 6 5 4 2 2 2" xfId="58020" xr:uid="{00000000-0005-0000-0000-000053D00000}"/>
    <cellStyle name="Normal 6 5 4 2 3" xfId="44458" xr:uid="{00000000-0005-0000-0000-000054D00000}"/>
    <cellStyle name="Normal 6 5 4 3" xfId="24106" xr:uid="{00000000-0005-0000-0000-000055D00000}"/>
    <cellStyle name="Normal 6 5 4 3 2" xfId="51239" xr:uid="{00000000-0005-0000-0000-000056D00000}"/>
    <cellStyle name="Normal 6 5 4 4" xfId="37677" xr:uid="{00000000-0005-0000-0000-000057D00000}"/>
    <cellStyle name="Normal 6 5 5" xfId="13930" xr:uid="{00000000-0005-0000-0000-000058D00000}"/>
    <cellStyle name="Normal 6 5 5 2" xfId="27498" xr:uid="{00000000-0005-0000-0000-000059D00000}"/>
    <cellStyle name="Normal 6 5 5 2 2" xfId="54631" xr:uid="{00000000-0005-0000-0000-00005AD00000}"/>
    <cellStyle name="Normal 6 5 5 3" xfId="41069" xr:uid="{00000000-0005-0000-0000-00005BD00000}"/>
    <cellStyle name="Normal 6 5 6" xfId="20717" xr:uid="{00000000-0005-0000-0000-00005CD00000}"/>
    <cellStyle name="Normal 6 5 6 2" xfId="47850" xr:uid="{00000000-0005-0000-0000-00005DD00000}"/>
    <cellStyle name="Normal 6 5 7" xfId="34288" xr:uid="{00000000-0005-0000-0000-00005ED00000}"/>
    <cellStyle name="Normal 6 6" xfId="7003" xr:uid="{00000000-0005-0000-0000-00005FD00000}"/>
    <cellStyle name="Normal 6 6 2" xfId="10532" xr:uid="{00000000-0005-0000-0000-000060D00000}"/>
    <cellStyle name="Normal 6 6 2 2" xfId="17322" xr:uid="{00000000-0005-0000-0000-000061D00000}"/>
    <cellStyle name="Normal 6 6 2 2 2" xfId="30890" xr:uid="{00000000-0005-0000-0000-000062D00000}"/>
    <cellStyle name="Normal 6 6 2 2 2 2" xfId="58023" xr:uid="{00000000-0005-0000-0000-000063D00000}"/>
    <cellStyle name="Normal 6 6 2 2 3" xfId="44461" xr:uid="{00000000-0005-0000-0000-000064D00000}"/>
    <cellStyle name="Normal 6 6 2 3" xfId="24109" xr:uid="{00000000-0005-0000-0000-000065D00000}"/>
    <cellStyle name="Normal 6 6 2 3 2" xfId="51242" xr:uid="{00000000-0005-0000-0000-000066D00000}"/>
    <cellStyle name="Normal 6 6 2 4" xfId="37680" xr:uid="{00000000-0005-0000-0000-000067D00000}"/>
    <cellStyle name="Normal 6 6 3" xfId="13933" xr:uid="{00000000-0005-0000-0000-000068D00000}"/>
    <cellStyle name="Normal 6 6 3 2" xfId="27501" xr:uid="{00000000-0005-0000-0000-000069D00000}"/>
    <cellStyle name="Normal 6 6 3 2 2" xfId="54634" xr:uid="{00000000-0005-0000-0000-00006AD00000}"/>
    <cellStyle name="Normal 6 6 3 3" xfId="41072" xr:uid="{00000000-0005-0000-0000-00006BD00000}"/>
    <cellStyle name="Normal 6 6 4" xfId="20720" xr:uid="{00000000-0005-0000-0000-00006CD00000}"/>
    <cellStyle name="Normal 6 6 4 2" xfId="47853" xr:uid="{00000000-0005-0000-0000-00006DD00000}"/>
    <cellStyle name="Normal 6 6 5" xfId="34291" xr:uid="{00000000-0005-0000-0000-00006ED00000}"/>
    <cellStyle name="Normal 60" xfId="58369" xr:uid="{00000000-0005-0000-0000-00006FD00000}"/>
    <cellStyle name="Normal 61" xfId="58374" xr:uid="{00000000-0005-0000-0000-000070D00000}"/>
    <cellStyle name="Normal 62" xfId="2782" xr:uid="{00000000-0005-0000-0000-000071D00000}"/>
    <cellStyle name="Normal 63" xfId="58375" xr:uid="{00000000-0005-0000-0000-000072D00000}"/>
    <cellStyle name="Normal 64" xfId="58376" xr:uid="{00000000-0005-0000-0000-000073D00000}"/>
    <cellStyle name="Normal 65" xfId="42" xr:uid="{00000000-0005-0000-0000-000074D00000}"/>
    <cellStyle name="Normal 7" xfId="155" xr:uid="{00000000-0005-0000-0000-000075D00000}"/>
    <cellStyle name="Normal 7 2" xfId="7004" xr:uid="{00000000-0005-0000-0000-000076D00000}"/>
    <cellStyle name="Normal 7 3" xfId="7005" xr:uid="{00000000-0005-0000-0000-000077D00000}"/>
    <cellStyle name="Normal 74" xfId="58365" xr:uid="{00000000-0005-0000-0000-000078D00000}"/>
    <cellStyle name="Normal 8" xfId="156" xr:uid="{00000000-0005-0000-0000-000079D00000}"/>
    <cellStyle name="Normal 8 2" xfId="15" xr:uid="{00000000-0005-0000-0000-00007AD00000}"/>
    <cellStyle name="Normal 8 2 2" xfId="2784" xr:uid="{00000000-0005-0000-0000-00007BD00000}"/>
    <cellStyle name="Normal 8 2 3" xfId="2785" xr:uid="{00000000-0005-0000-0000-00007CD00000}"/>
    <cellStyle name="Normal 8 2 4" xfId="2786" xr:uid="{00000000-0005-0000-0000-00007DD00000}"/>
    <cellStyle name="Normal 8 2 4 2" xfId="33" xr:uid="{00000000-0005-0000-0000-00007ED00000}"/>
    <cellStyle name="Normal 8 2 4 3" xfId="22" xr:uid="{00000000-0005-0000-0000-00007FD00000}"/>
    <cellStyle name="Normal 8 2 5" xfId="2783" xr:uid="{00000000-0005-0000-0000-000080D00000}"/>
    <cellStyle name="Normal 8 2 6" xfId="19" xr:uid="{00000000-0005-0000-0000-000081D00000}"/>
    <cellStyle name="Normal 8 3" xfId="23" xr:uid="{00000000-0005-0000-0000-000082D00000}"/>
    <cellStyle name="Normal 8 4" xfId="58370" xr:uid="{00000000-0005-0000-0000-000083D00000}"/>
    <cellStyle name="Normal 8 4 3" xfId="24" xr:uid="{00000000-0005-0000-0000-000084D00000}"/>
    <cellStyle name="Normal 9" xfId="8" xr:uid="{00000000-0005-0000-0000-000085D00000}"/>
    <cellStyle name="Normal 9 2" xfId="7006" xr:uid="{00000000-0005-0000-0000-000086D00000}"/>
    <cellStyle name="Normal 9 2 10" xfId="7007" xr:uid="{00000000-0005-0000-0000-000087D00000}"/>
    <cellStyle name="Normal 9 2 10 2" xfId="10533" xr:uid="{00000000-0005-0000-0000-000088D00000}"/>
    <cellStyle name="Normal 9 2 10 2 2" xfId="17323" xr:uid="{00000000-0005-0000-0000-000089D00000}"/>
    <cellStyle name="Normal 9 2 10 2 2 2" xfId="30891" xr:uid="{00000000-0005-0000-0000-00008AD00000}"/>
    <cellStyle name="Normal 9 2 10 2 2 2 2" xfId="58024" xr:uid="{00000000-0005-0000-0000-00008BD00000}"/>
    <cellStyle name="Normal 9 2 10 2 2 3" xfId="44462" xr:uid="{00000000-0005-0000-0000-00008CD00000}"/>
    <cellStyle name="Normal 9 2 10 2 3" xfId="24110" xr:uid="{00000000-0005-0000-0000-00008DD00000}"/>
    <cellStyle name="Normal 9 2 10 2 3 2" xfId="51243" xr:uid="{00000000-0005-0000-0000-00008ED00000}"/>
    <cellStyle name="Normal 9 2 10 2 4" xfId="37681" xr:uid="{00000000-0005-0000-0000-00008FD00000}"/>
    <cellStyle name="Normal 9 2 10 3" xfId="13934" xr:uid="{00000000-0005-0000-0000-000090D00000}"/>
    <cellStyle name="Normal 9 2 10 3 2" xfId="27502" xr:uid="{00000000-0005-0000-0000-000091D00000}"/>
    <cellStyle name="Normal 9 2 10 3 2 2" xfId="54635" xr:uid="{00000000-0005-0000-0000-000092D00000}"/>
    <cellStyle name="Normal 9 2 10 3 3" xfId="41073" xr:uid="{00000000-0005-0000-0000-000093D00000}"/>
    <cellStyle name="Normal 9 2 10 4" xfId="20721" xr:uid="{00000000-0005-0000-0000-000094D00000}"/>
    <cellStyle name="Normal 9 2 10 4 2" xfId="47854" xr:uid="{00000000-0005-0000-0000-000095D00000}"/>
    <cellStyle name="Normal 9 2 10 5" xfId="34292" xr:uid="{00000000-0005-0000-0000-000096D00000}"/>
    <cellStyle name="Normal 9 2 11" xfId="7008" xr:uid="{00000000-0005-0000-0000-000097D00000}"/>
    <cellStyle name="Normal 9 2 11 2" xfId="10534" xr:uid="{00000000-0005-0000-0000-000098D00000}"/>
    <cellStyle name="Normal 9 2 11 2 2" xfId="17324" xr:uid="{00000000-0005-0000-0000-000099D00000}"/>
    <cellStyle name="Normal 9 2 11 2 2 2" xfId="30892" xr:uid="{00000000-0005-0000-0000-00009AD00000}"/>
    <cellStyle name="Normal 9 2 11 2 2 2 2" xfId="58025" xr:uid="{00000000-0005-0000-0000-00009BD00000}"/>
    <cellStyle name="Normal 9 2 11 2 2 3" xfId="44463" xr:uid="{00000000-0005-0000-0000-00009CD00000}"/>
    <cellStyle name="Normal 9 2 11 2 3" xfId="24111" xr:uid="{00000000-0005-0000-0000-00009DD00000}"/>
    <cellStyle name="Normal 9 2 11 2 3 2" xfId="51244" xr:uid="{00000000-0005-0000-0000-00009ED00000}"/>
    <cellStyle name="Normal 9 2 11 2 4" xfId="37682" xr:uid="{00000000-0005-0000-0000-00009FD00000}"/>
    <cellStyle name="Normal 9 2 11 3" xfId="13935" xr:uid="{00000000-0005-0000-0000-0000A0D00000}"/>
    <cellStyle name="Normal 9 2 11 3 2" xfId="27503" xr:uid="{00000000-0005-0000-0000-0000A1D00000}"/>
    <cellStyle name="Normal 9 2 11 3 2 2" xfId="54636" xr:uid="{00000000-0005-0000-0000-0000A2D00000}"/>
    <cellStyle name="Normal 9 2 11 3 3" xfId="41074" xr:uid="{00000000-0005-0000-0000-0000A3D00000}"/>
    <cellStyle name="Normal 9 2 11 4" xfId="20722" xr:uid="{00000000-0005-0000-0000-0000A4D00000}"/>
    <cellStyle name="Normal 9 2 11 4 2" xfId="47855" xr:uid="{00000000-0005-0000-0000-0000A5D00000}"/>
    <cellStyle name="Normal 9 2 11 5" xfId="34293" xr:uid="{00000000-0005-0000-0000-0000A6D00000}"/>
    <cellStyle name="Normal 9 2 12" xfId="10853" xr:uid="{00000000-0005-0000-0000-0000A7D00000}"/>
    <cellStyle name="Normal 9 2 12 2" xfId="17638" xr:uid="{00000000-0005-0000-0000-0000A8D00000}"/>
    <cellStyle name="Normal 9 2 12 2 2" xfId="31206" xr:uid="{00000000-0005-0000-0000-0000A9D00000}"/>
    <cellStyle name="Normal 9 2 12 2 2 2" xfId="58339" xr:uid="{00000000-0005-0000-0000-0000AAD00000}"/>
    <cellStyle name="Normal 9 2 12 2 3" xfId="44777" xr:uid="{00000000-0005-0000-0000-0000ABD00000}"/>
    <cellStyle name="Normal 9 2 12 3" xfId="24425" xr:uid="{00000000-0005-0000-0000-0000ACD00000}"/>
    <cellStyle name="Normal 9 2 12 3 2" xfId="51558" xr:uid="{00000000-0005-0000-0000-0000ADD00000}"/>
    <cellStyle name="Normal 9 2 12 4" xfId="37996" xr:uid="{00000000-0005-0000-0000-0000AED00000}"/>
    <cellStyle name="Normal 9 2 13" xfId="58347" xr:uid="{00000000-0005-0000-0000-0000AFD00000}"/>
    <cellStyle name="Normal 9 2 2" xfId="7009" xr:uid="{00000000-0005-0000-0000-0000B0D00000}"/>
    <cellStyle name="Normal 9 2 2 10" xfId="7010" xr:uid="{00000000-0005-0000-0000-0000B1D00000}"/>
    <cellStyle name="Normal 9 2 2 10 2" xfId="10536" xr:uid="{00000000-0005-0000-0000-0000B2D00000}"/>
    <cellStyle name="Normal 9 2 2 10 2 2" xfId="17326" xr:uid="{00000000-0005-0000-0000-0000B3D00000}"/>
    <cellStyle name="Normal 9 2 2 10 2 2 2" xfId="30894" xr:uid="{00000000-0005-0000-0000-0000B4D00000}"/>
    <cellStyle name="Normal 9 2 2 10 2 2 2 2" xfId="58027" xr:uid="{00000000-0005-0000-0000-0000B5D00000}"/>
    <cellStyle name="Normal 9 2 2 10 2 2 3" xfId="44465" xr:uid="{00000000-0005-0000-0000-0000B6D00000}"/>
    <cellStyle name="Normal 9 2 2 10 2 3" xfId="24113" xr:uid="{00000000-0005-0000-0000-0000B7D00000}"/>
    <cellStyle name="Normal 9 2 2 10 2 3 2" xfId="51246" xr:uid="{00000000-0005-0000-0000-0000B8D00000}"/>
    <cellStyle name="Normal 9 2 2 10 2 4" xfId="37684" xr:uid="{00000000-0005-0000-0000-0000B9D00000}"/>
    <cellStyle name="Normal 9 2 2 10 3" xfId="13937" xr:uid="{00000000-0005-0000-0000-0000BAD00000}"/>
    <cellStyle name="Normal 9 2 2 10 3 2" xfId="27505" xr:uid="{00000000-0005-0000-0000-0000BBD00000}"/>
    <cellStyle name="Normal 9 2 2 10 3 2 2" xfId="54638" xr:uid="{00000000-0005-0000-0000-0000BCD00000}"/>
    <cellStyle name="Normal 9 2 2 10 3 3" xfId="41076" xr:uid="{00000000-0005-0000-0000-0000BDD00000}"/>
    <cellStyle name="Normal 9 2 2 10 4" xfId="20724" xr:uid="{00000000-0005-0000-0000-0000BED00000}"/>
    <cellStyle name="Normal 9 2 2 10 4 2" xfId="47857" xr:uid="{00000000-0005-0000-0000-0000BFD00000}"/>
    <cellStyle name="Normal 9 2 2 10 5" xfId="34295" xr:uid="{00000000-0005-0000-0000-0000C0D00000}"/>
    <cellStyle name="Normal 9 2 2 11" xfId="10535" xr:uid="{00000000-0005-0000-0000-0000C1D00000}"/>
    <cellStyle name="Normal 9 2 2 11 2" xfId="17325" xr:uid="{00000000-0005-0000-0000-0000C2D00000}"/>
    <cellStyle name="Normal 9 2 2 11 2 2" xfId="30893" xr:uid="{00000000-0005-0000-0000-0000C3D00000}"/>
    <cellStyle name="Normal 9 2 2 11 2 2 2" xfId="58026" xr:uid="{00000000-0005-0000-0000-0000C4D00000}"/>
    <cellStyle name="Normal 9 2 2 11 2 3" xfId="44464" xr:uid="{00000000-0005-0000-0000-0000C5D00000}"/>
    <cellStyle name="Normal 9 2 2 11 3" xfId="24112" xr:uid="{00000000-0005-0000-0000-0000C6D00000}"/>
    <cellStyle name="Normal 9 2 2 11 3 2" xfId="51245" xr:uid="{00000000-0005-0000-0000-0000C7D00000}"/>
    <cellStyle name="Normal 9 2 2 11 4" xfId="37683" xr:uid="{00000000-0005-0000-0000-0000C8D00000}"/>
    <cellStyle name="Normal 9 2 2 12" xfId="13936" xr:uid="{00000000-0005-0000-0000-0000C9D00000}"/>
    <cellStyle name="Normal 9 2 2 12 2" xfId="27504" xr:uid="{00000000-0005-0000-0000-0000CAD00000}"/>
    <cellStyle name="Normal 9 2 2 12 2 2" xfId="54637" xr:uid="{00000000-0005-0000-0000-0000CBD00000}"/>
    <cellStyle name="Normal 9 2 2 12 3" xfId="41075" xr:uid="{00000000-0005-0000-0000-0000CCD00000}"/>
    <cellStyle name="Normal 9 2 2 13" xfId="20723" xr:uid="{00000000-0005-0000-0000-0000CDD00000}"/>
    <cellStyle name="Normal 9 2 2 13 2" xfId="47856" xr:uid="{00000000-0005-0000-0000-0000CED00000}"/>
    <cellStyle name="Normal 9 2 2 14" xfId="34294" xr:uid="{00000000-0005-0000-0000-0000CFD00000}"/>
    <cellStyle name="Normal 9 2 2 2" xfId="7011" xr:uid="{00000000-0005-0000-0000-0000D0D00000}"/>
    <cellStyle name="Normal 9 2 2 2 10" xfId="13938" xr:uid="{00000000-0005-0000-0000-0000D1D00000}"/>
    <cellStyle name="Normal 9 2 2 2 10 2" xfId="27506" xr:uid="{00000000-0005-0000-0000-0000D2D00000}"/>
    <cellStyle name="Normal 9 2 2 2 10 2 2" xfId="54639" xr:uid="{00000000-0005-0000-0000-0000D3D00000}"/>
    <cellStyle name="Normal 9 2 2 2 10 3" xfId="41077" xr:uid="{00000000-0005-0000-0000-0000D4D00000}"/>
    <cellStyle name="Normal 9 2 2 2 11" xfId="20725" xr:uid="{00000000-0005-0000-0000-0000D5D00000}"/>
    <cellStyle name="Normal 9 2 2 2 11 2" xfId="47858" xr:uid="{00000000-0005-0000-0000-0000D6D00000}"/>
    <cellStyle name="Normal 9 2 2 2 12" xfId="34296" xr:uid="{00000000-0005-0000-0000-0000D7D00000}"/>
    <cellStyle name="Normal 9 2 2 2 2" xfId="7012" xr:uid="{00000000-0005-0000-0000-0000D8D00000}"/>
    <cellStyle name="Normal 9 2 2 2 2 10" xfId="34297" xr:uid="{00000000-0005-0000-0000-0000D9D00000}"/>
    <cellStyle name="Normal 9 2 2 2 2 2" xfId="7013" xr:uid="{00000000-0005-0000-0000-0000DAD00000}"/>
    <cellStyle name="Normal 9 2 2 2 2 2 2" xfId="7014" xr:uid="{00000000-0005-0000-0000-0000DBD00000}"/>
    <cellStyle name="Normal 9 2 2 2 2 2 2 2" xfId="7015" xr:uid="{00000000-0005-0000-0000-0000DCD00000}"/>
    <cellStyle name="Normal 9 2 2 2 2 2 2 2 2" xfId="10541" xr:uid="{00000000-0005-0000-0000-0000DDD00000}"/>
    <cellStyle name="Normal 9 2 2 2 2 2 2 2 2 2" xfId="17331" xr:uid="{00000000-0005-0000-0000-0000DED00000}"/>
    <cellStyle name="Normal 9 2 2 2 2 2 2 2 2 2 2" xfId="30899" xr:uid="{00000000-0005-0000-0000-0000DFD00000}"/>
    <cellStyle name="Normal 9 2 2 2 2 2 2 2 2 2 2 2" xfId="58032" xr:uid="{00000000-0005-0000-0000-0000E0D00000}"/>
    <cellStyle name="Normal 9 2 2 2 2 2 2 2 2 2 3" xfId="44470" xr:uid="{00000000-0005-0000-0000-0000E1D00000}"/>
    <cellStyle name="Normal 9 2 2 2 2 2 2 2 2 3" xfId="24118" xr:uid="{00000000-0005-0000-0000-0000E2D00000}"/>
    <cellStyle name="Normal 9 2 2 2 2 2 2 2 2 3 2" xfId="51251" xr:uid="{00000000-0005-0000-0000-0000E3D00000}"/>
    <cellStyle name="Normal 9 2 2 2 2 2 2 2 2 4" xfId="37689" xr:uid="{00000000-0005-0000-0000-0000E4D00000}"/>
    <cellStyle name="Normal 9 2 2 2 2 2 2 2 3" xfId="13942" xr:uid="{00000000-0005-0000-0000-0000E5D00000}"/>
    <cellStyle name="Normal 9 2 2 2 2 2 2 2 3 2" xfId="27510" xr:uid="{00000000-0005-0000-0000-0000E6D00000}"/>
    <cellStyle name="Normal 9 2 2 2 2 2 2 2 3 2 2" xfId="54643" xr:uid="{00000000-0005-0000-0000-0000E7D00000}"/>
    <cellStyle name="Normal 9 2 2 2 2 2 2 2 3 3" xfId="41081" xr:uid="{00000000-0005-0000-0000-0000E8D00000}"/>
    <cellStyle name="Normal 9 2 2 2 2 2 2 2 4" xfId="20729" xr:uid="{00000000-0005-0000-0000-0000E9D00000}"/>
    <cellStyle name="Normal 9 2 2 2 2 2 2 2 4 2" xfId="47862" xr:uid="{00000000-0005-0000-0000-0000EAD00000}"/>
    <cellStyle name="Normal 9 2 2 2 2 2 2 2 5" xfId="34300" xr:uid="{00000000-0005-0000-0000-0000EBD00000}"/>
    <cellStyle name="Normal 9 2 2 2 2 2 2 3" xfId="7016" xr:uid="{00000000-0005-0000-0000-0000ECD00000}"/>
    <cellStyle name="Normal 9 2 2 2 2 2 2 3 2" xfId="10542" xr:uid="{00000000-0005-0000-0000-0000EDD00000}"/>
    <cellStyle name="Normal 9 2 2 2 2 2 2 3 2 2" xfId="17332" xr:uid="{00000000-0005-0000-0000-0000EED00000}"/>
    <cellStyle name="Normal 9 2 2 2 2 2 2 3 2 2 2" xfId="30900" xr:uid="{00000000-0005-0000-0000-0000EFD00000}"/>
    <cellStyle name="Normal 9 2 2 2 2 2 2 3 2 2 2 2" xfId="58033" xr:uid="{00000000-0005-0000-0000-0000F0D00000}"/>
    <cellStyle name="Normal 9 2 2 2 2 2 2 3 2 2 3" xfId="44471" xr:uid="{00000000-0005-0000-0000-0000F1D00000}"/>
    <cellStyle name="Normal 9 2 2 2 2 2 2 3 2 3" xfId="24119" xr:uid="{00000000-0005-0000-0000-0000F2D00000}"/>
    <cellStyle name="Normal 9 2 2 2 2 2 2 3 2 3 2" xfId="51252" xr:uid="{00000000-0005-0000-0000-0000F3D00000}"/>
    <cellStyle name="Normal 9 2 2 2 2 2 2 3 2 4" xfId="37690" xr:uid="{00000000-0005-0000-0000-0000F4D00000}"/>
    <cellStyle name="Normal 9 2 2 2 2 2 2 3 3" xfId="13943" xr:uid="{00000000-0005-0000-0000-0000F5D00000}"/>
    <cellStyle name="Normal 9 2 2 2 2 2 2 3 3 2" xfId="27511" xr:uid="{00000000-0005-0000-0000-0000F6D00000}"/>
    <cellStyle name="Normal 9 2 2 2 2 2 2 3 3 2 2" xfId="54644" xr:uid="{00000000-0005-0000-0000-0000F7D00000}"/>
    <cellStyle name="Normal 9 2 2 2 2 2 2 3 3 3" xfId="41082" xr:uid="{00000000-0005-0000-0000-0000F8D00000}"/>
    <cellStyle name="Normal 9 2 2 2 2 2 2 3 4" xfId="20730" xr:uid="{00000000-0005-0000-0000-0000F9D00000}"/>
    <cellStyle name="Normal 9 2 2 2 2 2 2 3 4 2" xfId="47863" xr:uid="{00000000-0005-0000-0000-0000FAD00000}"/>
    <cellStyle name="Normal 9 2 2 2 2 2 2 3 5" xfId="34301" xr:uid="{00000000-0005-0000-0000-0000FBD00000}"/>
    <cellStyle name="Normal 9 2 2 2 2 2 2 4" xfId="10540" xr:uid="{00000000-0005-0000-0000-0000FCD00000}"/>
    <cellStyle name="Normal 9 2 2 2 2 2 2 4 2" xfId="17330" xr:uid="{00000000-0005-0000-0000-0000FDD00000}"/>
    <cellStyle name="Normal 9 2 2 2 2 2 2 4 2 2" xfId="30898" xr:uid="{00000000-0005-0000-0000-0000FED00000}"/>
    <cellStyle name="Normal 9 2 2 2 2 2 2 4 2 2 2" xfId="58031" xr:uid="{00000000-0005-0000-0000-0000FFD00000}"/>
    <cellStyle name="Normal 9 2 2 2 2 2 2 4 2 3" xfId="44469" xr:uid="{00000000-0005-0000-0000-000000D10000}"/>
    <cellStyle name="Normal 9 2 2 2 2 2 2 4 3" xfId="24117" xr:uid="{00000000-0005-0000-0000-000001D10000}"/>
    <cellStyle name="Normal 9 2 2 2 2 2 2 4 3 2" xfId="51250" xr:uid="{00000000-0005-0000-0000-000002D10000}"/>
    <cellStyle name="Normal 9 2 2 2 2 2 2 4 4" xfId="37688" xr:uid="{00000000-0005-0000-0000-000003D10000}"/>
    <cellStyle name="Normal 9 2 2 2 2 2 2 5" xfId="13941" xr:uid="{00000000-0005-0000-0000-000004D10000}"/>
    <cellStyle name="Normal 9 2 2 2 2 2 2 5 2" xfId="27509" xr:uid="{00000000-0005-0000-0000-000005D10000}"/>
    <cellStyle name="Normal 9 2 2 2 2 2 2 5 2 2" xfId="54642" xr:uid="{00000000-0005-0000-0000-000006D10000}"/>
    <cellStyle name="Normal 9 2 2 2 2 2 2 5 3" xfId="41080" xr:uid="{00000000-0005-0000-0000-000007D10000}"/>
    <cellStyle name="Normal 9 2 2 2 2 2 2 6" xfId="20728" xr:uid="{00000000-0005-0000-0000-000008D10000}"/>
    <cellStyle name="Normal 9 2 2 2 2 2 2 6 2" xfId="47861" xr:uid="{00000000-0005-0000-0000-000009D10000}"/>
    <cellStyle name="Normal 9 2 2 2 2 2 2 7" xfId="34299" xr:uid="{00000000-0005-0000-0000-00000AD10000}"/>
    <cellStyle name="Normal 9 2 2 2 2 2 3" xfId="7017" xr:uid="{00000000-0005-0000-0000-00000BD10000}"/>
    <cellStyle name="Normal 9 2 2 2 2 2 3 2" xfId="7018" xr:uid="{00000000-0005-0000-0000-00000CD10000}"/>
    <cellStyle name="Normal 9 2 2 2 2 2 3 2 2" xfId="10544" xr:uid="{00000000-0005-0000-0000-00000DD10000}"/>
    <cellStyle name="Normal 9 2 2 2 2 2 3 2 2 2" xfId="17334" xr:uid="{00000000-0005-0000-0000-00000ED10000}"/>
    <cellStyle name="Normal 9 2 2 2 2 2 3 2 2 2 2" xfId="30902" xr:uid="{00000000-0005-0000-0000-00000FD10000}"/>
    <cellStyle name="Normal 9 2 2 2 2 2 3 2 2 2 2 2" xfId="58035" xr:uid="{00000000-0005-0000-0000-000010D10000}"/>
    <cellStyle name="Normal 9 2 2 2 2 2 3 2 2 2 3" xfId="44473" xr:uid="{00000000-0005-0000-0000-000011D10000}"/>
    <cellStyle name="Normal 9 2 2 2 2 2 3 2 2 3" xfId="24121" xr:uid="{00000000-0005-0000-0000-000012D10000}"/>
    <cellStyle name="Normal 9 2 2 2 2 2 3 2 2 3 2" xfId="51254" xr:uid="{00000000-0005-0000-0000-000013D10000}"/>
    <cellStyle name="Normal 9 2 2 2 2 2 3 2 2 4" xfId="37692" xr:uid="{00000000-0005-0000-0000-000014D10000}"/>
    <cellStyle name="Normal 9 2 2 2 2 2 3 2 3" xfId="13945" xr:uid="{00000000-0005-0000-0000-000015D10000}"/>
    <cellStyle name="Normal 9 2 2 2 2 2 3 2 3 2" xfId="27513" xr:uid="{00000000-0005-0000-0000-000016D10000}"/>
    <cellStyle name="Normal 9 2 2 2 2 2 3 2 3 2 2" xfId="54646" xr:uid="{00000000-0005-0000-0000-000017D10000}"/>
    <cellStyle name="Normal 9 2 2 2 2 2 3 2 3 3" xfId="41084" xr:uid="{00000000-0005-0000-0000-000018D10000}"/>
    <cellStyle name="Normal 9 2 2 2 2 2 3 2 4" xfId="20732" xr:uid="{00000000-0005-0000-0000-000019D10000}"/>
    <cellStyle name="Normal 9 2 2 2 2 2 3 2 4 2" xfId="47865" xr:uid="{00000000-0005-0000-0000-00001AD10000}"/>
    <cellStyle name="Normal 9 2 2 2 2 2 3 2 5" xfId="34303" xr:uid="{00000000-0005-0000-0000-00001BD10000}"/>
    <cellStyle name="Normal 9 2 2 2 2 2 3 3" xfId="10543" xr:uid="{00000000-0005-0000-0000-00001CD10000}"/>
    <cellStyle name="Normal 9 2 2 2 2 2 3 3 2" xfId="17333" xr:uid="{00000000-0005-0000-0000-00001DD10000}"/>
    <cellStyle name="Normal 9 2 2 2 2 2 3 3 2 2" xfId="30901" xr:uid="{00000000-0005-0000-0000-00001ED10000}"/>
    <cellStyle name="Normal 9 2 2 2 2 2 3 3 2 2 2" xfId="58034" xr:uid="{00000000-0005-0000-0000-00001FD10000}"/>
    <cellStyle name="Normal 9 2 2 2 2 2 3 3 2 3" xfId="44472" xr:uid="{00000000-0005-0000-0000-000020D10000}"/>
    <cellStyle name="Normal 9 2 2 2 2 2 3 3 3" xfId="24120" xr:uid="{00000000-0005-0000-0000-000021D10000}"/>
    <cellStyle name="Normal 9 2 2 2 2 2 3 3 3 2" xfId="51253" xr:uid="{00000000-0005-0000-0000-000022D10000}"/>
    <cellStyle name="Normal 9 2 2 2 2 2 3 3 4" xfId="37691" xr:uid="{00000000-0005-0000-0000-000023D10000}"/>
    <cellStyle name="Normal 9 2 2 2 2 2 3 4" xfId="13944" xr:uid="{00000000-0005-0000-0000-000024D10000}"/>
    <cellStyle name="Normal 9 2 2 2 2 2 3 4 2" xfId="27512" xr:uid="{00000000-0005-0000-0000-000025D10000}"/>
    <cellStyle name="Normal 9 2 2 2 2 2 3 4 2 2" xfId="54645" xr:uid="{00000000-0005-0000-0000-000026D10000}"/>
    <cellStyle name="Normal 9 2 2 2 2 2 3 4 3" xfId="41083" xr:uid="{00000000-0005-0000-0000-000027D10000}"/>
    <cellStyle name="Normal 9 2 2 2 2 2 3 5" xfId="20731" xr:uid="{00000000-0005-0000-0000-000028D10000}"/>
    <cellStyle name="Normal 9 2 2 2 2 2 3 5 2" xfId="47864" xr:uid="{00000000-0005-0000-0000-000029D10000}"/>
    <cellStyle name="Normal 9 2 2 2 2 2 3 6" xfId="34302" xr:uid="{00000000-0005-0000-0000-00002AD10000}"/>
    <cellStyle name="Normal 9 2 2 2 2 2 4" xfId="7019" xr:uid="{00000000-0005-0000-0000-00002BD10000}"/>
    <cellStyle name="Normal 9 2 2 2 2 2 4 2" xfId="10545" xr:uid="{00000000-0005-0000-0000-00002CD10000}"/>
    <cellStyle name="Normal 9 2 2 2 2 2 4 2 2" xfId="17335" xr:uid="{00000000-0005-0000-0000-00002DD10000}"/>
    <cellStyle name="Normal 9 2 2 2 2 2 4 2 2 2" xfId="30903" xr:uid="{00000000-0005-0000-0000-00002ED10000}"/>
    <cellStyle name="Normal 9 2 2 2 2 2 4 2 2 2 2" xfId="58036" xr:uid="{00000000-0005-0000-0000-00002FD10000}"/>
    <cellStyle name="Normal 9 2 2 2 2 2 4 2 2 3" xfId="44474" xr:uid="{00000000-0005-0000-0000-000030D10000}"/>
    <cellStyle name="Normal 9 2 2 2 2 2 4 2 3" xfId="24122" xr:uid="{00000000-0005-0000-0000-000031D10000}"/>
    <cellStyle name="Normal 9 2 2 2 2 2 4 2 3 2" xfId="51255" xr:uid="{00000000-0005-0000-0000-000032D10000}"/>
    <cellStyle name="Normal 9 2 2 2 2 2 4 2 4" xfId="37693" xr:uid="{00000000-0005-0000-0000-000033D10000}"/>
    <cellStyle name="Normal 9 2 2 2 2 2 4 3" xfId="13946" xr:uid="{00000000-0005-0000-0000-000034D10000}"/>
    <cellStyle name="Normal 9 2 2 2 2 2 4 3 2" xfId="27514" xr:uid="{00000000-0005-0000-0000-000035D10000}"/>
    <cellStyle name="Normal 9 2 2 2 2 2 4 3 2 2" xfId="54647" xr:uid="{00000000-0005-0000-0000-000036D10000}"/>
    <cellStyle name="Normal 9 2 2 2 2 2 4 3 3" xfId="41085" xr:uid="{00000000-0005-0000-0000-000037D10000}"/>
    <cellStyle name="Normal 9 2 2 2 2 2 4 4" xfId="20733" xr:uid="{00000000-0005-0000-0000-000038D10000}"/>
    <cellStyle name="Normal 9 2 2 2 2 2 4 4 2" xfId="47866" xr:uid="{00000000-0005-0000-0000-000039D10000}"/>
    <cellStyle name="Normal 9 2 2 2 2 2 4 5" xfId="34304" xr:uid="{00000000-0005-0000-0000-00003AD10000}"/>
    <cellStyle name="Normal 9 2 2 2 2 2 5" xfId="7020" xr:uid="{00000000-0005-0000-0000-00003BD10000}"/>
    <cellStyle name="Normal 9 2 2 2 2 2 5 2" xfId="10546" xr:uid="{00000000-0005-0000-0000-00003CD10000}"/>
    <cellStyle name="Normal 9 2 2 2 2 2 5 2 2" xfId="17336" xr:uid="{00000000-0005-0000-0000-00003DD10000}"/>
    <cellStyle name="Normal 9 2 2 2 2 2 5 2 2 2" xfId="30904" xr:uid="{00000000-0005-0000-0000-00003ED10000}"/>
    <cellStyle name="Normal 9 2 2 2 2 2 5 2 2 2 2" xfId="58037" xr:uid="{00000000-0005-0000-0000-00003FD10000}"/>
    <cellStyle name="Normal 9 2 2 2 2 2 5 2 2 3" xfId="44475" xr:uid="{00000000-0005-0000-0000-000040D10000}"/>
    <cellStyle name="Normal 9 2 2 2 2 2 5 2 3" xfId="24123" xr:uid="{00000000-0005-0000-0000-000041D10000}"/>
    <cellStyle name="Normal 9 2 2 2 2 2 5 2 3 2" xfId="51256" xr:uid="{00000000-0005-0000-0000-000042D10000}"/>
    <cellStyle name="Normal 9 2 2 2 2 2 5 2 4" xfId="37694" xr:uid="{00000000-0005-0000-0000-000043D10000}"/>
    <cellStyle name="Normal 9 2 2 2 2 2 5 3" xfId="13947" xr:uid="{00000000-0005-0000-0000-000044D10000}"/>
    <cellStyle name="Normal 9 2 2 2 2 2 5 3 2" xfId="27515" xr:uid="{00000000-0005-0000-0000-000045D10000}"/>
    <cellStyle name="Normal 9 2 2 2 2 2 5 3 2 2" xfId="54648" xr:uid="{00000000-0005-0000-0000-000046D10000}"/>
    <cellStyle name="Normal 9 2 2 2 2 2 5 3 3" xfId="41086" xr:uid="{00000000-0005-0000-0000-000047D10000}"/>
    <cellStyle name="Normal 9 2 2 2 2 2 5 4" xfId="20734" xr:uid="{00000000-0005-0000-0000-000048D10000}"/>
    <cellStyle name="Normal 9 2 2 2 2 2 5 4 2" xfId="47867" xr:uid="{00000000-0005-0000-0000-000049D10000}"/>
    <cellStyle name="Normal 9 2 2 2 2 2 5 5" xfId="34305" xr:uid="{00000000-0005-0000-0000-00004AD10000}"/>
    <cellStyle name="Normal 9 2 2 2 2 2 6" xfId="10539" xr:uid="{00000000-0005-0000-0000-00004BD10000}"/>
    <cellStyle name="Normal 9 2 2 2 2 2 6 2" xfId="17329" xr:uid="{00000000-0005-0000-0000-00004CD10000}"/>
    <cellStyle name="Normal 9 2 2 2 2 2 6 2 2" xfId="30897" xr:uid="{00000000-0005-0000-0000-00004DD10000}"/>
    <cellStyle name="Normal 9 2 2 2 2 2 6 2 2 2" xfId="58030" xr:uid="{00000000-0005-0000-0000-00004ED10000}"/>
    <cellStyle name="Normal 9 2 2 2 2 2 6 2 3" xfId="44468" xr:uid="{00000000-0005-0000-0000-00004FD10000}"/>
    <cellStyle name="Normal 9 2 2 2 2 2 6 3" xfId="24116" xr:uid="{00000000-0005-0000-0000-000050D10000}"/>
    <cellStyle name="Normal 9 2 2 2 2 2 6 3 2" xfId="51249" xr:uid="{00000000-0005-0000-0000-000051D10000}"/>
    <cellStyle name="Normal 9 2 2 2 2 2 6 4" xfId="37687" xr:uid="{00000000-0005-0000-0000-000052D10000}"/>
    <cellStyle name="Normal 9 2 2 2 2 2 7" xfId="13940" xr:uid="{00000000-0005-0000-0000-000053D10000}"/>
    <cellStyle name="Normal 9 2 2 2 2 2 7 2" xfId="27508" xr:uid="{00000000-0005-0000-0000-000054D10000}"/>
    <cellStyle name="Normal 9 2 2 2 2 2 7 2 2" xfId="54641" xr:uid="{00000000-0005-0000-0000-000055D10000}"/>
    <cellStyle name="Normal 9 2 2 2 2 2 7 3" xfId="41079" xr:uid="{00000000-0005-0000-0000-000056D10000}"/>
    <cellStyle name="Normal 9 2 2 2 2 2 8" xfId="20727" xr:uid="{00000000-0005-0000-0000-000057D10000}"/>
    <cellStyle name="Normal 9 2 2 2 2 2 8 2" xfId="47860" xr:uid="{00000000-0005-0000-0000-000058D10000}"/>
    <cellStyle name="Normal 9 2 2 2 2 2 9" xfId="34298" xr:uid="{00000000-0005-0000-0000-000059D10000}"/>
    <cellStyle name="Normal 9 2 2 2 2 3" xfId="7021" xr:uid="{00000000-0005-0000-0000-00005AD10000}"/>
    <cellStyle name="Normal 9 2 2 2 2 3 2" xfId="7022" xr:uid="{00000000-0005-0000-0000-00005BD10000}"/>
    <cellStyle name="Normal 9 2 2 2 2 3 2 2" xfId="10548" xr:uid="{00000000-0005-0000-0000-00005CD10000}"/>
    <cellStyle name="Normal 9 2 2 2 2 3 2 2 2" xfId="17338" xr:uid="{00000000-0005-0000-0000-00005DD10000}"/>
    <cellStyle name="Normal 9 2 2 2 2 3 2 2 2 2" xfId="30906" xr:uid="{00000000-0005-0000-0000-00005ED10000}"/>
    <cellStyle name="Normal 9 2 2 2 2 3 2 2 2 2 2" xfId="58039" xr:uid="{00000000-0005-0000-0000-00005FD10000}"/>
    <cellStyle name="Normal 9 2 2 2 2 3 2 2 2 3" xfId="44477" xr:uid="{00000000-0005-0000-0000-000060D10000}"/>
    <cellStyle name="Normal 9 2 2 2 2 3 2 2 3" xfId="24125" xr:uid="{00000000-0005-0000-0000-000061D10000}"/>
    <cellStyle name="Normal 9 2 2 2 2 3 2 2 3 2" xfId="51258" xr:uid="{00000000-0005-0000-0000-000062D10000}"/>
    <cellStyle name="Normal 9 2 2 2 2 3 2 2 4" xfId="37696" xr:uid="{00000000-0005-0000-0000-000063D10000}"/>
    <cellStyle name="Normal 9 2 2 2 2 3 2 3" xfId="13949" xr:uid="{00000000-0005-0000-0000-000064D10000}"/>
    <cellStyle name="Normal 9 2 2 2 2 3 2 3 2" xfId="27517" xr:uid="{00000000-0005-0000-0000-000065D10000}"/>
    <cellStyle name="Normal 9 2 2 2 2 3 2 3 2 2" xfId="54650" xr:uid="{00000000-0005-0000-0000-000066D10000}"/>
    <cellStyle name="Normal 9 2 2 2 2 3 2 3 3" xfId="41088" xr:uid="{00000000-0005-0000-0000-000067D10000}"/>
    <cellStyle name="Normal 9 2 2 2 2 3 2 4" xfId="20736" xr:uid="{00000000-0005-0000-0000-000068D10000}"/>
    <cellStyle name="Normal 9 2 2 2 2 3 2 4 2" xfId="47869" xr:uid="{00000000-0005-0000-0000-000069D10000}"/>
    <cellStyle name="Normal 9 2 2 2 2 3 2 5" xfId="34307" xr:uid="{00000000-0005-0000-0000-00006AD10000}"/>
    <cellStyle name="Normal 9 2 2 2 2 3 3" xfId="7023" xr:uid="{00000000-0005-0000-0000-00006BD10000}"/>
    <cellStyle name="Normal 9 2 2 2 2 3 3 2" xfId="10549" xr:uid="{00000000-0005-0000-0000-00006CD10000}"/>
    <cellStyle name="Normal 9 2 2 2 2 3 3 2 2" xfId="17339" xr:uid="{00000000-0005-0000-0000-00006DD10000}"/>
    <cellStyle name="Normal 9 2 2 2 2 3 3 2 2 2" xfId="30907" xr:uid="{00000000-0005-0000-0000-00006ED10000}"/>
    <cellStyle name="Normal 9 2 2 2 2 3 3 2 2 2 2" xfId="58040" xr:uid="{00000000-0005-0000-0000-00006FD10000}"/>
    <cellStyle name="Normal 9 2 2 2 2 3 3 2 2 3" xfId="44478" xr:uid="{00000000-0005-0000-0000-000070D10000}"/>
    <cellStyle name="Normal 9 2 2 2 2 3 3 2 3" xfId="24126" xr:uid="{00000000-0005-0000-0000-000071D10000}"/>
    <cellStyle name="Normal 9 2 2 2 2 3 3 2 3 2" xfId="51259" xr:uid="{00000000-0005-0000-0000-000072D10000}"/>
    <cellStyle name="Normal 9 2 2 2 2 3 3 2 4" xfId="37697" xr:uid="{00000000-0005-0000-0000-000073D10000}"/>
    <cellStyle name="Normal 9 2 2 2 2 3 3 3" xfId="13950" xr:uid="{00000000-0005-0000-0000-000074D10000}"/>
    <cellStyle name="Normal 9 2 2 2 2 3 3 3 2" xfId="27518" xr:uid="{00000000-0005-0000-0000-000075D10000}"/>
    <cellStyle name="Normal 9 2 2 2 2 3 3 3 2 2" xfId="54651" xr:uid="{00000000-0005-0000-0000-000076D10000}"/>
    <cellStyle name="Normal 9 2 2 2 2 3 3 3 3" xfId="41089" xr:uid="{00000000-0005-0000-0000-000077D10000}"/>
    <cellStyle name="Normal 9 2 2 2 2 3 3 4" xfId="20737" xr:uid="{00000000-0005-0000-0000-000078D10000}"/>
    <cellStyle name="Normal 9 2 2 2 2 3 3 4 2" xfId="47870" xr:uid="{00000000-0005-0000-0000-000079D10000}"/>
    <cellStyle name="Normal 9 2 2 2 2 3 3 5" xfId="34308" xr:uid="{00000000-0005-0000-0000-00007AD10000}"/>
    <cellStyle name="Normal 9 2 2 2 2 3 4" xfId="10547" xr:uid="{00000000-0005-0000-0000-00007BD10000}"/>
    <cellStyle name="Normal 9 2 2 2 2 3 4 2" xfId="17337" xr:uid="{00000000-0005-0000-0000-00007CD10000}"/>
    <cellStyle name="Normal 9 2 2 2 2 3 4 2 2" xfId="30905" xr:uid="{00000000-0005-0000-0000-00007DD10000}"/>
    <cellStyle name="Normal 9 2 2 2 2 3 4 2 2 2" xfId="58038" xr:uid="{00000000-0005-0000-0000-00007ED10000}"/>
    <cellStyle name="Normal 9 2 2 2 2 3 4 2 3" xfId="44476" xr:uid="{00000000-0005-0000-0000-00007FD10000}"/>
    <cellStyle name="Normal 9 2 2 2 2 3 4 3" xfId="24124" xr:uid="{00000000-0005-0000-0000-000080D10000}"/>
    <cellStyle name="Normal 9 2 2 2 2 3 4 3 2" xfId="51257" xr:uid="{00000000-0005-0000-0000-000081D10000}"/>
    <cellStyle name="Normal 9 2 2 2 2 3 4 4" xfId="37695" xr:uid="{00000000-0005-0000-0000-000082D10000}"/>
    <cellStyle name="Normal 9 2 2 2 2 3 5" xfId="13948" xr:uid="{00000000-0005-0000-0000-000083D10000}"/>
    <cellStyle name="Normal 9 2 2 2 2 3 5 2" xfId="27516" xr:uid="{00000000-0005-0000-0000-000084D10000}"/>
    <cellStyle name="Normal 9 2 2 2 2 3 5 2 2" xfId="54649" xr:uid="{00000000-0005-0000-0000-000085D10000}"/>
    <cellStyle name="Normal 9 2 2 2 2 3 5 3" xfId="41087" xr:uid="{00000000-0005-0000-0000-000086D10000}"/>
    <cellStyle name="Normal 9 2 2 2 2 3 6" xfId="20735" xr:uid="{00000000-0005-0000-0000-000087D10000}"/>
    <cellStyle name="Normal 9 2 2 2 2 3 6 2" xfId="47868" xr:uid="{00000000-0005-0000-0000-000088D10000}"/>
    <cellStyle name="Normal 9 2 2 2 2 3 7" xfId="34306" xr:uid="{00000000-0005-0000-0000-000089D10000}"/>
    <cellStyle name="Normal 9 2 2 2 2 4" xfId="7024" xr:uid="{00000000-0005-0000-0000-00008AD10000}"/>
    <cellStyle name="Normal 9 2 2 2 2 4 2" xfId="7025" xr:uid="{00000000-0005-0000-0000-00008BD10000}"/>
    <cellStyle name="Normal 9 2 2 2 2 4 2 2" xfId="10551" xr:uid="{00000000-0005-0000-0000-00008CD10000}"/>
    <cellStyle name="Normal 9 2 2 2 2 4 2 2 2" xfId="17341" xr:uid="{00000000-0005-0000-0000-00008DD10000}"/>
    <cellStyle name="Normal 9 2 2 2 2 4 2 2 2 2" xfId="30909" xr:uid="{00000000-0005-0000-0000-00008ED10000}"/>
    <cellStyle name="Normal 9 2 2 2 2 4 2 2 2 2 2" xfId="58042" xr:uid="{00000000-0005-0000-0000-00008FD10000}"/>
    <cellStyle name="Normal 9 2 2 2 2 4 2 2 2 3" xfId="44480" xr:uid="{00000000-0005-0000-0000-000090D10000}"/>
    <cellStyle name="Normal 9 2 2 2 2 4 2 2 3" xfId="24128" xr:uid="{00000000-0005-0000-0000-000091D10000}"/>
    <cellStyle name="Normal 9 2 2 2 2 4 2 2 3 2" xfId="51261" xr:uid="{00000000-0005-0000-0000-000092D10000}"/>
    <cellStyle name="Normal 9 2 2 2 2 4 2 2 4" xfId="37699" xr:uid="{00000000-0005-0000-0000-000093D10000}"/>
    <cellStyle name="Normal 9 2 2 2 2 4 2 3" xfId="13952" xr:uid="{00000000-0005-0000-0000-000094D10000}"/>
    <cellStyle name="Normal 9 2 2 2 2 4 2 3 2" xfId="27520" xr:uid="{00000000-0005-0000-0000-000095D10000}"/>
    <cellStyle name="Normal 9 2 2 2 2 4 2 3 2 2" xfId="54653" xr:uid="{00000000-0005-0000-0000-000096D10000}"/>
    <cellStyle name="Normal 9 2 2 2 2 4 2 3 3" xfId="41091" xr:uid="{00000000-0005-0000-0000-000097D10000}"/>
    <cellStyle name="Normal 9 2 2 2 2 4 2 4" xfId="20739" xr:uid="{00000000-0005-0000-0000-000098D10000}"/>
    <cellStyle name="Normal 9 2 2 2 2 4 2 4 2" xfId="47872" xr:uid="{00000000-0005-0000-0000-000099D10000}"/>
    <cellStyle name="Normal 9 2 2 2 2 4 2 5" xfId="34310" xr:uid="{00000000-0005-0000-0000-00009AD10000}"/>
    <cellStyle name="Normal 9 2 2 2 2 4 3" xfId="10550" xr:uid="{00000000-0005-0000-0000-00009BD10000}"/>
    <cellStyle name="Normal 9 2 2 2 2 4 3 2" xfId="17340" xr:uid="{00000000-0005-0000-0000-00009CD10000}"/>
    <cellStyle name="Normal 9 2 2 2 2 4 3 2 2" xfId="30908" xr:uid="{00000000-0005-0000-0000-00009DD10000}"/>
    <cellStyle name="Normal 9 2 2 2 2 4 3 2 2 2" xfId="58041" xr:uid="{00000000-0005-0000-0000-00009ED10000}"/>
    <cellStyle name="Normal 9 2 2 2 2 4 3 2 3" xfId="44479" xr:uid="{00000000-0005-0000-0000-00009FD10000}"/>
    <cellStyle name="Normal 9 2 2 2 2 4 3 3" xfId="24127" xr:uid="{00000000-0005-0000-0000-0000A0D10000}"/>
    <cellStyle name="Normal 9 2 2 2 2 4 3 3 2" xfId="51260" xr:uid="{00000000-0005-0000-0000-0000A1D10000}"/>
    <cellStyle name="Normal 9 2 2 2 2 4 3 4" xfId="37698" xr:uid="{00000000-0005-0000-0000-0000A2D10000}"/>
    <cellStyle name="Normal 9 2 2 2 2 4 4" xfId="13951" xr:uid="{00000000-0005-0000-0000-0000A3D10000}"/>
    <cellStyle name="Normal 9 2 2 2 2 4 4 2" xfId="27519" xr:uid="{00000000-0005-0000-0000-0000A4D10000}"/>
    <cellStyle name="Normal 9 2 2 2 2 4 4 2 2" xfId="54652" xr:uid="{00000000-0005-0000-0000-0000A5D10000}"/>
    <cellStyle name="Normal 9 2 2 2 2 4 4 3" xfId="41090" xr:uid="{00000000-0005-0000-0000-0000A6D10000}"/>
    <cellStyle name="Normal 9 2 2 2 2 4 5" xfId="20738" xr:uid="{00000000-0005-0000-0000-0000A7D10000}"/>
    <cellStyle name="Normal 9 2 2 2 2 4 5 2" xfId="47871" xr:uid="{00000000-0005-0000-0000-0000A8D10000}"/>
    <cellStyle name="Normal 9 2 2 2 2 4 6" xfId="34309" xr:uid="{00000000-0005-0000-0000-0000A9D10000}"/>
    <cellStyle name="Normal 9 2 2 2 2 5" xfId="7026" xr:uid="{00000000-0005-0000-0000-0000AAD10000}"/>
    <cellStyle name="Normal 9 2 2 2 2 5 2" xfId="10552" xr:uid="{00000000-0005-0000-0000-0000ABD10000}"/>
    <cellStyle name="Normal 9 2 2 2 2 5 2 2" xfId="17342" xr:uid="{00000000-0005-0000-0000-0000ACD10000}"/>
    <cellStyle name="Normal 9 2 2 2 2 5 2 2 2" xfId="30910" xr:uid="{00000000-0005-0000-0000-0000ADD10000}"/>
    <cellStyle name="Normal 9 2 2 2 2 5 2 2 2 2" xfId="58043" xr:uid="{00000000-0005-0000-0000-0000AED10000}"/>
    <cellStyle name="Normal 9 2 2 2 2 5 2 2 3" xfId="44481" xr:uid="{00000000-0005-0000-0000-0000AFD10000}"/>
    <cellStyle name="Normal 9 2 2 2 2 5 2 3" xfId="24129" xr:uid="{00000000-0005-0000-0000-0000B0D10000}"/>
    <cellStyle name="Normal 9 2 2 2 2 5 2 3 2" xfId="51262" xr:uid="{00000000-0005-0000-0000-0000B1D10000}"/>
    <cellStyle name="Normal 9 2 2 2 2 5 2 4" xfId="37700" xr:uid="{00000000-0005-0000-0000-0000B2D10000}"/>
    <cellStyle name="Normal 9 2 2 2 2 5 3" xfId="13953" xr:uid="{00000000-0005-0000-0000-0000B3D10000}"/>
    <cellStyle name="Normal 9 2 2 2 2 5 3 2" xfId="27521" xr:uid="{00000000-0005-0000-0000-0000B4D10000}"/>
    <cellStyle name="Normal 9 2 2 2 2 5 3 2 2" xfId="54654" xr:uid="{00000000-0005-0000-0000-0000B5D10000}"/>
    <cellStyle name="Normal 9 2 2 2 2 5 3 3" xfId="41092" xr:uid="{00000000-0005-0000-0000-0000B6D10000}"/>
    <cellStyle name="Normal 9 2 2 2 2 5 4" xfId="20740" xr:uid="{00000000-0005-0000-0000-0000B7D10000}"/>
    <cellStyle name="Normal 9 2 2 2 2 5 4 2" xfId="47873" xr:uid="{00000000-0005-0000-0000-0000B8D10000}"/>
    <cellStyle name="Normal 9 2 2 2 2 5 5" xfId="34311" xr:uid="{00000000-0005-0000-0000-0000B9D10000}"/>
    <cellStyle name="Normal 9 2 2 2 2 6" xfId="7027" xr:uid="{00000000-0005-0000-0000-0000BAD10000}"/>
    <cellStyle name="Normal 9 2 2 2 2 6 2" xfId="10553" xr:uid="{00000000-0005-0000-0000-0000BBD10000}"/>
    <cellStyle name="Normal 9 2 2 2 2 6 2 2" xfId="17343" xr:uid="{00000000-0005-0000-0000-0000BCD10000}"/>
    <cellStyle name="Normal 9 2 2 2 2 6 2 2 2" xfId="30911" xr:uid="{00000000-0005-0000-0000-0000BDD10000}"/>
    <cellStyle name="Normal 9 2 2 2 2 6 2 2 2 2" xfId="58044" xr:uid="{00000000-0005-0000-0000-0000BED10000}"/>
    <cellStyle name="Normal 9 2 2 2 2 6 2 2 3" xfId="44482" xr:uid="{00000000-0005-0000-0000-0000BFD10000}"/>
    <cellStyle name="Normal 9 2 2 2 2 6 2 3" xfId="24130" xr:uid="{00000000-0005-0000-0000-0000C0D10000}"/>
    <cellStyle name="Normal 9 2 2 2 2 6 2 3 2" xfId="51263" xr:uid="{00000000-0005-0000-0000-0000C1D10000}"/>
    <cellStyle name="Normal 9 2 2 2 2 6 2 4" xfId="37701" xr:uid="{00000000-0005-0000-0000-0000C2D10000}"/>
    <cellStyle name="Normal 9 2 2 2 2 6 3" xfId="13954" xr:uid="{00000000-0005-0000-0000-0000C3D10000}"/>
    <cellStyle name="Normal 9 2 2 2 2 6 3 2" xfId="27522" xr:uid="{00000000-0005-0000-0000-0000C4D10000}"/>
    <cellStyle name="Normal 9 2 2 2 2 6 3 2 2" xfId="54655" xr:uid="{00000000-0005-0000-0000-0000C5D10000}"/>
    <cellStyle name="Normal 9 2 2 2 2 6 3 3" xfId="41093" xr:uid="{00000000-0005-0000-0000-0000C6D10000}"/>
    <cellStyle name="Normal 9 2 2 2 2 6 4" xfId="20741" xr:uid="{00000000-0005-0000-0000-0000C7D10000}"/>
    <cellStyle name="Normal 9 2 2 2 2 6 4 2" xfId="47874" xr:uid="{00000000-0005-0000-0000-0000C8D10000}"/>
    <cellStyle name="Normal 9 2 2 2 2 6 5" xfId="34312" xr:uid="{00000000-0005-0000-0000-0000C9D10000}"/>
    <cellStyle name="Normal 9 2 2 2 2 7" xfId="10538" xr:uid="{00000000-0005-0000-0000-0000CAD10000}"/>
    <cellStyle name="Normal 9 2 2 2 2 7 2" xfId="17328" xr:uid="{00000000-0005-0000-0000-0000CBD10000}"/>
    <cellStyle name="Normal 9 2 2 2 2 7 2 2" xfId="30896" xr:uid="{00000000-0005-0000-0000-0000CCD10000}"/>
    <cellStyle name="Normal 9 2 2 2 2 7 2 2 2" xfId="58029" xr:uid="{00000000-0005-0000-0000-0000CDD10000}"/>
    <cellStyle name="Normal 9 2 2 2 2 7 2 3" xfId="44467" xr:uid="{00000000-0005-0000-0000-0000CED10000}"/>
    <cellStyle name="Normal 9 2 2 2 2 7 3" xfId="24115" xr:uid="{00000000-0005-0000-0000-0000CFD10000}"/>
    <cellStyle name="Normal 9 2 2 2 2 7 3 2" xfId="51248" xr:uid="{00000000-0005-0000-0000-0000D0D10000}"/>
    <cellStyle name="Normal 9 2 2 2 2 7 4" xfId="37686" xr:uid="{00000000-0005-0000-0000-0000D1D10000}"/>
    <cellStyle name="Normal 9 2 2 2 2 8" xfId="13939" xr:uid="{00000000-0005-0000-0000-0000D2D10000}"/>
    <cellStyle name="Normal 9 2 2 2 2 8 2" xfId="27507" xr:uid="{00000000-0005-0000-0000-0000D3D10000}"/>
    <cellStyle name="Normal 9 2 2 2 2 8 2 2" xfId="54640" xr:uid="{00000000-0005-0000-0000-0000D4D10000}"/>
    <cellStyle name="Normal 9 2 2 2 2 8 3" xfId="41078" xr:uid="{00000000-0005-0000-0000-0000D5D10000}"/>
    <cellStyle name="Normal 9 2 2 2 2 9" xfId="20726" xr:uid="{00000000-0005-0000-0000-0000D6D10000}"/>
    <cellStyle name="Normal 9 2 2 2 2 9 2" xfId="47859" xr:uid="{00000000-0005-0000-0000-0000D7D10000}"/>
    <cellStyle name="Normal 9 2 2 2 3" xfId="7028" xr:uid="{00000000-0005-0000-0000-0000D8D10000}"/>
    <cellStyle name="Normal 9 2 2 2 3 2" xfId="7029" xr:uid="{00000000-0005-0000-0000-0000D9D10000}"/>
    <cellStyle name="Normal 9 2 2 2 3 2 2" xfId="7030" xr:uid="{00000000-0005-0000-0000-0000DAD10000}"/>
    <cellStyle name="Normal 9 2 2 2 3 2 2 2" xfId="10556" xr:uid="{00000000-0005-0000-0000-0000DBD10000}"/>
    <cellStyle name="Normal 9 2 2 2 3 2 2 2 2" xfId="17346" xr:uid="{00000000-0005-0000-0000-0000DCD10000}"/>
    <cellStyle name="Normal 9 2 2 2 3 2 2 2 2 2" xfId="30914" xr:uid="{00000000-0005-0000-0000-0000DDD10000}"/>
    <cellStyle name="Normal 9 2 2 2 3 2 2 2 2 2 2" xfId="58047" xr:uid="{00000000-0005-0000-0000-0000DED10000}"/>
    <cellStyle name="Normal 9 2 2 2 3 2 2 2 2 3" xfId="44485" xr:uid="{00000000-0005-0000-0000-0000DFD10000}"/>
    <cellStyle name="Normal 9 2 2 2 3 2 2 2 3" xfId="24133" xr:uid="{00000000-0005-0000-0000-0000E0D10000}"/>
    <cellStyle name="Normal 9 2 2 2 3 2 2 2 3 2" xfId="51266" xr:uid="{00000000-0005-0000-0000-0000E1D10000}"/>
    <cellStyle name="Normal 9 2 2 2 3 2 2 2 4" xfId="37704" xr:uid="{00000000-0005-0000-0000-0000E2D10000}"/>
    <cellStyle name="Normal 9 2 2 2 3 2 2 3" xfId="13957" xr:uid="{00000000-0005-0000-0000-0000E3D10000}"/>
    <cellStyle name="Normal 9 2 2 2 3 2 2 3 2" xfId="27525" xr:uid="{00000000-0005-0000-0000-0000E4D10000}"/>
    <cellStyle name="Normal 9 2 2 2 3 2 2 3 2 2" xfId="54658" xr:uid="{00000000-0005-0000-0000-0000E5D10000}"/>
    <cellStyle name="Normal 9 2 2 2 3 2 2 3 3" xfId="41096" xr:uid="{00000000-0005-0000-0000-0000E6D10000}"/>
    <cellStyle name="Normal 9 2 2 2 3 2 2 4" xfId="20744" xr:uid="{00000000-0005-0000-0000-0000E7D10000}"/>
    <cellStyle name="Normal 9 2 2 2 3 2 2 4 2" xfId="47877" xr:uid="{00000000-0005-0000-0000-0000E8D10000}"/>
    <cellStyle name="Normal 9 2 2 2 3 2 2 5" xfId="34315" xr:uid="{00000000-0005-0000-0000-0000E9D10000}"/>
    <cellStyle name="Normal 9 2 2 2 3 2 3" xfId="7031" xr:uid="{00000000-0005-0000-0000-0000EAD10000}"/>
    <cellStyle name="Normal 9 2 2 2 3 2 3 2" xfId="10557" xr:uid="{00000000-0005-0000-0000-0000EBD10000}"/>
    <cellStyle name="Normal 9 2 2 2 3 2 3 2 2" xfId="17347" xr:uid="{00000000-0005-0000-0000-0000ECD10000}"/>
    <cellStyle name="Normal 9 2 2 2 3 2 3 2 2 2" xfId="30915" xr:uid="{00000000-0005-0000-0000-0000EDD10000}"/>
    <cellStyle name="Normal 9 2 2 2 3 2 3 2 2 2 2" xfId="58048" xr:uid="{00000000-0005-0000-0000-0000EED10000}"/>
    <cellStyle name="Normal 9 2 2 2 3 2 3 2 2 3" xfId="44486" xr:uid="{00000000-0005-0000-0000-0000EFD10000}"/>
    <cellStyle name="Normal 9 2 2 2 3 2 3 2 3" xfId="24134" xr:uid="{00000000-0005-0000-0000-0000F0D10000}"/>
    <cellStyle name="Normal 9 2 2 2 3 2 3 2 3 2" xfId="51267" xr:uid="{00000000-0005-0000-0000-0000F1D10000}"/>
    <cellStyle name="Normal 9 2 2 2 3 2 3 2 4" xfId="37705" xr:uid="{00000000-0005-0000-0000-0000F2D10000}"/>
    <cellStyle name="Normal 9 2 2 2 3 2 3 3" xfId="13958" xr:uid="{00000000-0005-0000-0000-0000F3D10000}"/>
    <cellStyle name="Normal 9 2 2 2 3 2 3 3 2" xfId="27526" xr:uid="{00000000-0005-0000-0000-0000F4D10000}"/>
    <cellStyle name="Normal 9 2 2 2 3 2 3 3 2 2" xfId="54659" xr:uid="{00000000-0005-0000-0000-0000F5D10000}"/>
    <cellStyle name="Normal 9 2 2 2 3 2 3 3 3" xfId="41097" xr:uid="{00000000-0005-0000-0000-0000F6D10000}"/>
    <cellStyle name="Normal 9 2 2 2 3 2 3 4" xfId="20745" xr:uid="{00000000-0005-0000-0000-0000F7D10000}"/>
    <cellStyle name="Normal 9 2 2 2 3 2 3 4 2" xfId="47878" xr:uid="{00000000-0005-0000-0000-0000F8D10000}"/>
    <cellStyle name="Normal 9 2 2 2 3 2 3 5" xfId="34316" xr:uid="{00000000-0005-0000-0000-0000F9D10000}"/>
    <cellStyle name="Normal 9 2 2 2 3 2 4" xfId="10555" xr:uid="{00000000-0005-0000-0000-0000FAD10000}"/>
    <cellStyle name="Normal 9 2 2 2 3 2 4 2" xfId="17345" xr:uid="{00000000-0005-0000-0000-0000FBD10000}"/>
    <cellStyle name="Normal 9 2 2 2 3 2 4 2 2" xfId="30913" xr:uid="{00000000-0005-0000-0000-0000FCD10000}"/>
    <cellStyle name="Normal 9 2 2 2 3 2 4 2 2 2" xfId="58046" xr:uid="{00000000-0005-0000-0000-0000FDD10000}"/>
    <cellStyle name="Normal 9 2 2 2 3 2 4 2 3" xfId="44484" xr:uid="{00000000-0005-0000-0000-0000FED10000}"/>
    <cellStyle name="Normal 9 2 2 2 3 2 4 3" xfId="24132" xr:uid="{00000000-0005-0000-0000-0000FFD10000}"/>
    <cellStyle name="Normal 9 2 2 2 3 2 4 3 2" xfId="51265" xr:uid="{00000000-0005-0000-0000-000000D20000}"/>
    <cellStyle name="Normal 9 2 2 2 3 2 4 4" xfId="37703" xr:uid="{00000000-0005-0000-0000-000001D20000}"/>
    <cellStyle name="Normal 9 2 2 2 3 2 5" xfId="13956" xr:uid="{00000000-0005-0000-0000-000002D20000}"/>
    <cellStyle name="Normal 9 2 2 2 3 2 5 2" xfId="27524" xr:uid="{00000000-0005-0000-0000-000003D20000}"/>
    <cellStyle name="Normal 9 2 2 2 3 2 5 2 2" xfId="54657" xr:uid="{00000000-0005-0000-0000-000004D20000}"/>
    <cellStyle name="Normal 9 2 2 2 3 2 5 3" xfId="41095" xr:uid="{00000000-0005-0000-0000-000005D20000}"/>
    <cellStyle name="Normal 9 2 2 2 3 2 6" xfId="20743" xr:uid="{00000000-0005-0000-0000-000006D20000}"/>
    <cellStyle name="Normal 9 2 2 2 3 2 6 2" xfId="47876" xr:uid="{00000000-0005-0000-0000-000007D20000}"/>
    <cellStyle name="Normal 9 2 2 2 3 2 7" xfId="34314" xr:uid="{00000000-0005-0000-0000-000008D20000}"/>
    <cellStyle name="Normal 9 2 2 2 3 3" xfId="7032" xr:uid="{00000000-0005-0000-0000-000009D20000}"/>
    <cellStyle name="Normal 9 2 2 2 3 3 2" xfId="7033" xr:uid="{00000000-0005-0000-0000-00000AD20000}"/>
    <cellStyle name="Normal 9 2 2 2 3 3 2 2" xfId="10559" xr:uid="{00000000-0005-0000-0000-00000BD20000}"/>
    <cellStyle name="Normal 9 2 2 2 3 3 2 2 2" xfId="17349" xr:uid="{00000000-0005-0000-0000-00000CD20000}"/>
    <cellStyle name="Normal 9 2 2 2 3 3 2 2 2 2" xfId="30917" xr:uid="{00000000-0005-0000-0000-00000DD20000}"/>
    <cellStyle name="Normal 9 2 2 2 3 3 2 2 2 2 2" xfId="58050" xr:uid="{00000000-0005-0000-0000-00000ED20000}"/>
    <cellStyle name="Normal 9 2 2 2 3 3 2 2 2 3" xfId="44488" xr:uid="{00000000-0005-0000-0000-00000FD20000}"/>
    <cellStyle name="Normal 9 2 2 2 3 3 2 2 3" xfId="24136" xr:uid="{00000000-0005-0000-0000-000010D20000}"/>
    <cellStyle name="Normal 9 2 2 2 3 3 2 2 3 2" xfId="51269" xr:uid="{00000000-0005-0000-0000-000011D20000}"/>
    <cellStyle name="Normal 9 2 2 2 3 3 2 2 4" xfId="37707" xr:uid="{00000000-0005-0000-0000-000012D20000}"/>
    <cellStyle name="Normal 9 2 2 2 3 3 2 3" xfId="13960" xr:uid="{00000000-0005-0000-0000-000013D20000}"/>
    <cellStyle name="Normal 9 2 2 2 3 3 2 3 2" xfId="27528" xr:uid="{00000000-0005-0000-0000-000014D20000}"/>
    <cellStyle name="Normal 9 2 2 2 3 3 2 3 2 2" xfId="54661" xr:uid="{00000000-0005-0000-0000-000015D20000}"/>
    <cellStyle name="Normal 9 2 2 2 3 3 2 3 3" xfId="41099" xr:uid="{00000000-0005-0000-0000-000016D20000}"/>
    <cellStyle name="Normal 9 2 2 2 3 3 2 4" xfId="20747" xr:uid="{00000000-0005-0000-0000-000017D20000}"/>
    <cellStyle name="Normal 9 2 2 2 3 3 2 4 2" xfId="47880" xr:uid="{00000000-0005-0000-0000-000018D20000}"/>
    <cellStyle name="Normal 9 2 2 2 3 3 2 5" xfId="34318" xr:uid="{00000000-0005-0000-0000-000019D20000}"/>
    <cellStyle name="Normal 9 2 2 2 3 3 3" xfId="10558" xr:uid="{00000000-0005-0000-0000-00001AD20000}"/>
    <cellStyle name="Normal 9 2 2 2 3 3 3 2" xfId="17348" xr:uid="{00000000-0005-0000-0000-00001BD20000}"/>
    <cellStyle name="Normal 9 2 2 2 3 3 3 2 2" xfId="30916" xr:uid="{00000000-0005-0000-0000-00001CD20000}"/>
    <cellStyle name="Normal 9 2 2 2 3 3 3 2 2 2" xfId="58049" xr:uid="{00000000-0005-0000-0000-00001DD20000}"/>
    <cellStyle name="Normal 9 2 2 2 3 3 3 2 3" xfId="44487" xr:uid="{00000000-0005-0000-0000-00001ED20000}"/>
    <cellStyle name="Normal 9 2 2 2 3 3 3 3" xfId="24135" xr:uid="{00000000-0005-0000-0000-00001FD20000}"/>
    <cellStyle name="Normal 9 2 2 2 3 3 3 3 2" xfId="51268" xr:uid="{00000000-0005-0000-0000-000020D20000}"/>
    <cellStyle name="Normal 9 2 2 2 3 3 3 4" xfId="37706" xr:uid="{00000000-0005-0000-0000-000021D20000}"/>
    <cellStyle name="Normal 9 2 2 2 3 3 4" xfId="13959" xr:uid="{00000000-0005-0000-0000-000022D20000}"/>
    <cellStyle name="Normal 9 2 2 2 3 3 4 2" xfId="27527" xr:uid="{00000000-0005-0000-0000-000023D20000}"/>
    <cellStyle name="Normal 9 2 2 2 3 3 4 2 2" xfId="54660" xr:uid="{00000000-0005-0000-0000-000024D20000}"/>
    <cellStyle name="Normal 9 2 2 2 3 3 4 3" xfId="41098" xr:uid="{00000000-0005-0000-0000-000025D20000}"/>
    <cellStyle name="Normal 9 2 2 2 3 3 5" xfId="20746" xr:uid="{00000000-0005-0000-0000-000026D20000}"/>
    <cellStyle name="Normal 9 2 2 2 3 3 5 2" xfId="47879" xr:uid="{00000000-0005-0000-0000-000027D20000}"/>
    <cellStyle name="Normal 9 2 2 2 3 3 6" xfId="34317" xr:uid="{00000000-0005-0000-0000-000028D20000}"/>
    <cellStyle name="Normal 9 2 2 2 3 4" xfId="7034" xr:uid="{00000000-0005-0000-0000-000029D20000}"/>
    <cellStyle name="Normal 9 2 2 2 3 4 2" xfId="10560" xr:uid="{00000000-0005-0000-0000-00002AD20000}"/>
    <cellStyle name="Normal 9 2 2 2 3 4 2 2" xfId="17350" xr:uid="{00000000-0005-0000-0000-00002BD20000}"/>
    <cellStyle name="Normal 9 2 2 2 3 4 2 2 2" xfId="30918" xr:uid="{00000000-0005-0000-0000-00002CD20000}"/>
    <cellStyle name="Normal 9 2 2 2 3 4 2 2 2 2" xfId="58051" xr:uid="{00000000-0005-0000-0000-00002DD20000}"/>
    <cellStyle name="Normal 9 2 2 2 3 4 2 2 3" xfId="44489" xr:uid="{00000000-0005-0000-0000-00002ED20000}"/>
    <cellStyle name="Normal 9 2 2 2 3 4 2 3" xfId="24137" xr:uid="{00000000-0005-0000-0000-00002FD20000}"/>
    <cellStyle name="Normal 9 2 2 2 3 4 2 3 2" xfId="51270" xr:uid="{00000000-0005-0000-0000-000030D20000}"/>
    <cellStyle name="Normal 9 2 2 2 3 4 2 4" xfId="37708" xr:uid="{00000000-0005-0000-0000-000031D20000}"/>
    <cellStyle name="Normal 9 2 2 2 3 4 3" xfId="13961" xr:uid="{00000000-0005-0000-0000-000032D20000}"/>
    <cellStyle name="Normal 9 2 2 2 3 4 3 2" xfId="27529" xr:uid="{00000000-0005-0000-0000-000033D20000}"/>
    <cellStyle name="Normal 9 2 2 2 3 4 3 2 2" xfId="54662" xr:uid="{00000000-0005-0000-0000-000034D20000}"/>
    <cellStyle name="Normal 9 2 2 2 3 4 3 3" xfId="41100" xr:uid="{00000000-0005-0000-0000-000035D20000}"/>
    <cellStyle name="Normal 9 2 2 2 3 4 4" xfId="20748" xr:uid="{00000000-0005-0000-0000-000036D20000}"/>
    <cellStyle name="Normal 9 2 2 2 3 4 4 2" xfId="47881" xr:uid="{00000000-0005-0000-0000-000037D20000}"/>
    <cellStyle name="Normal 9 2 2 2 3 4 5" xfId="34319" xr:uid="{00000000-0005-0000-0000-000038D20000}"/>
    <cellStyle name="Normal 9 2 2 2 3 5" xfId="7035" xr:uid="{00000000-0005-0000-0000-000039D20000}"/>
    <cellStyle name="Normal 9 2 2 2 3 5 2" xfId="10561" xr:uid="{00000000-0005-0000-0000-00003AD20000}"/>
    <cellStyle name="Normal 9 2 2 2 3 5 2 2" xfId="17351" xr:uid="{00000000-0005-0000-0000-00003BD20000}"/>
    <cellStyle name="Normal 9 2 2 2 3 5 2 2 2" xfId="30919" xr:uid="{00000000-0005-0000-0000-00003CD20000}"/>
    <cellStyle name="Normal 9 2 2 2 3 5 2 2 2 2" xfId="58052" xr:uid="{00000000-0005-0000-0000-00003DD20000}"/>
    <cellStyle name="Normal 9 2 2 2 3 5 2 2 3" xfId="44490" xr:uid="{00000000-0005-0000-0000-00003ED20000}"/>
    <cellStyle name="Normal 9 2 2 2 3 5 2 3" xfId="24138" xr:uid="{00000000-0005-0000-0000-00003FD20000}"/>
    <cellStyle name="Normal 9 2 2 2 3 5 2 3 2" xfId="51271" xr:uid="{00000000-0005-0000-0000-000040D20000}"/>
    <cellStyle name="Normal 9 2 2 2 3 5 2 4" xfId="37709" xr:uid="{00000000-0005-0000-0000-000041D20000}"/>
    <cellStyle name="Normal 9 2 2 2 3 5 3" xfId="13962" xr:uid="{00000000-0005-0000-0000-000042D20000}"/>
    <cellStyle name="Normal 9 2 2 2 3 5 3 2" xfId="27530" xr:uid="{00000000-0005-0000-0000-000043D20000}"/>
    <cellStyle name="Normal 9 2 2 2 3 5 3 2 2" xfId="54663" xr:uid="{00000000-0005-0000-0000-000044D20000}"/>
    <cellStyle name="Normal 9 2 2 2 3 5 3 3" xfId="41101" xr:uid="{00000000-0005-0000-0000-000045D20000}"/>
    <cellStyle name="Normal 9 2 2 2 3 5 4" xfId="20749" xr:uid="{00000000-0005-0000-0000-000046D20000}"/>
    <cellStyle name="Normal 9 2 2 2 3 5 4 2" xfId="47882" xr:uid="{00000000-0005-0000-0000-000047D20000}"/>
    <cellStyle name="Normal 9 2 2 2 3 5 5" xfId="34320" xr:uid="{00000000-0005-0000-0000-000048D20000}"/>
    <cellStyle name="Normal 9 2 2 2 3 6" xfId="10554" xr:uid="{00000000-0005-0000-0000-000049D20000}"/>
    <cellStyle name="Normal 9 2 2 2 3 6 2" xfId="17344" xr:uid="{00000000-0005-0000-0000-00004AD20000}"/>
    <cellStyle name="Normal 9 2 2 2 3 6 2 2" xfId="30912" xr:uid="{00000000-0005-0000-0000-00004BD20000}"/>
    <cellStyle name="Normal 9 2 2 2 3 6 2 2 2" xfId="58045" xr:uid="{00000000-0005-0000-0000-00004CD20000}"/>
    <cellStyle name="Normal 9 2 2 2 3 6 2 3" xfId="44483" xr:uid="{00000000-0005-0000-0000-00004DD20000}"/>
    <cellStyle name="Normal 9 2 2 2 3 6 3" xfId="24131" xr:uid="{00000000-0005-0000-0000-00004ED20000}"/>
    <cellStyle name="Normal 9 2 2 2 3 6 3 2" xfId="51264" xr:uid="{00000000-0005-0000-0000-00004FD20000}"/>
    <cellStyle name="Normal 9 2 2 2 3 6 4" xfId="37702" xr:uid="{00000000-0005-0000-0000-000050D20000}"/>
    <cellStyle name="Normal 9 2 2 2 3 7" xfId="13955" xr:uid="{00000000-0005-0000-0000-000051D20000}"/>
    <cellStyle name="Normal 9 2 2 2 3 7 2" xfId="27523" xr:uid="{00000000-0005-0000-0000-000052D20000}"/>
    <cellStyle name="Normal 9 2 2 2 3 7 2 2" xfId="54656" xr:uid="{00000000-0005-0000-0000-000053D20000}"/>
    <cellStyle name="Normal 9 2 2 2 3 7 3" xfId="41094" xr:uid="{00000000-0005-0000-0000-000054D20000}"/>
    <cellStyle name="Normal 9 2 2 2 3 8" xfId="20742" xr:uid="{00000000-0005-0000-0000-000055D20000}"/>
    <cellStyle name="Normal 9 2 2 2 3 8 2" xfId="47875" xr:uid="{00000000-0005-0000-0000-000056D20000}"/>
    <cellStyle name="Normal 9 2 2 2 3 9" xfId="34313" xr:uid="{00000000-0005-0000-0000-000057D20000}"/>
    <cellStyle name="Normal 9 2 2 2 4" xfId="7036" xr:uid="{00000000-0005-0000-0000-000058D20000}"/>
    <cellStyle name="Normal 9 2 2 2 4 2" xfId="7037" xr:uid="{00000000-0005-0000-0000-000059D20000}"/>
    <cellStyle name="Normal 9 2 2 2 4 2 2" xfId="7038" xr:uid="{00000000-0005-0000-0000-00005AD20000}"/>
    <cellStyle name="Normal 9 2 2 2 4 2 2 2" xfId="10564" xr:uid="{00000000-0005-0000-0000-00005BD20000}"/>
    <cellStyle name="Normal 9 2 2 2 4 2 2 2 2" xfId="17354" xr:uid="{00000000-0005-0000-0000-00005CD20000}"/>
    <cellStyle name="Normal 9 2 2 2 4 2 2 2 2 2" xfId="30922" xr:uid="{00000000-0005-0000-0000-00005DD20000}"/>
    <cellStyle name="Normal 9 2 2 2 4 2 2 2 2 2 2" xfId="58055" xr:uid="{00000000-0005-0000-0000-00005ED20000}"/>
    <cellStyle name="Normal 9 2 2 2 4 2 2 2 2 3" xfId="44493" xr:uid="{00000000-0005-0000-0000-00005FD20000}"/>
    <cellStyle name="Normal 9 2 2 2 4 2 2 2 3" xfId="24141" xr:uid="{00000000-0005-0000-0000-000060D20000}"/>
    <cellStyle name="Normal 9 2 2 2 4 2 2 2 3 2" xfId="51274" xr:uid="{00000000-0005-0000-0000-000061D20000}"/>
    <cellStyle name="Normal 9 2 2 2 4 2 2 2 4" xfId="37712" xr:uid="{00000000-0005-0000-0000-000062D20000}"/>
    <cellStyle name="Normal 9 2 2 2 4 2 2 3" xfId="13965" xr:uid="{00000000-0005-0000-0000-000063D20000}"/>
    <cellStyle name="Normal 9 2 2 2 4 2 2 3 2" xfId="27533" xr:uid="{00000000-0005-0000-0000-000064D20000}"/>
    <cellStyle name="Normal 9 2 2 2 4 2 2 3 2 2" xfId="54666" xr:uid="{00000000-0005-0000-0000-000065D20000}"/>
    <cellStyle name="Normal 9 2 2 2 4 2 2 3 3" xfId="41104" xr:uid="{00000000-0005-0000-0000-000066D20000}"/>
    <cellStyle name="Normal 9 2 2 2 4 2 2 4" xfId="20752" xr:uid="{00000000-0005-0000-0000-000067D20000}"/>
    <cellStyle name="Normal 9 2 2 2 4 2 2 4 2" xfId="47885" xr:uid="{00000000-0005-0000-0000-000068D20000}"/>
    <cellStyle name="Normal 9 2 2 2 4 2 2 5" xfId="34323" xr:uid="{00000000-0005-0000-0000-000069D20000}"/>
    <cellStyle name="Normal 9 2 2 2 4 2 3" xfId="7039" xr:uid="{00000000-0005-0000-0000-00006AD20000}"/>
    <cellStyle name="Normal 9 2 2 2 4 2 3 2" xfId="10565" xr:uid="{00000000-0005-0000-0000-00006BD20000}"/>
    <cellStyle name="Normal 9 2 2 2 4 2 3 2 2" xfId="17355" xr:uid="{00000000-0005-0000-0000-00006CD20000}"/>
    <cellStyle name="Normal 9 2 2 2 4 2 3 2 2 2" xfId="30923" xr:uid="{00000000-0005-0000-0000-00006DD20000}"/>
    <cellStyle name="Normal 9 2 2 2 4 2 3 2 2 2 2" xfId="58056" xr:uid="{00000000-0005-0000-0000-00006ED20000}"/>
    <cellStyle name="Normal 9 2 2 2 4 2 3 2 2 3" xfId="44494" xr:uid="{00000000-0005-0000-0000-00006FD20000}"/>
    <cellStyle name="Normal 9 2 2 2 4 2 3 2 3" xfId="24142" xr:uid="{00000000-0005-0000-0000-000070D20000}"/>
    <cellStyle name="Normal 9 2 2 2 4 2 3 2 3 2" xfId="51275" xr:uid="{00000000-0005-0000-0000-000071D20000}"/>
    <cellStyle name="Normal 9 2 2 2 4 2 3 2 4" xfId="37713" xr:uid="{00000000-0005-0000-0000-000072D20000}"/>
    <cellStyle name="Normal 9 2 2 2 4 2 3 3" xfId="13966" xr:uid="{00000000-0005-0000-0000-000073D20000}"/>
    <cellStyle name="Normal 9 2 2 2 4 2 3 3 2" xfId="27534" xr:uid="{00000000-0005-0000-0000-000074D20000}"/>
    <cellStyle name="Normal 9 2 2 2 4 2 3 3 2 2" xfId="54667" xr:uid="{00000000-0005-0000-0000-000075D20000}"/>
    <cellStyle name="Normal 9 2 2 2 4 2 3 3 3" xfId="41105" xr:uid="{00000000-0005-0000-0000-000076D20000}"/>
    <cellStyle name="Normal 9 2 2 2 4 2 3 4" xfId="20753" xr:uid="{00000000-0005-0000-0000-000077D20000}"/>
    <cellStyle name="Normal 9 2 2 2 4 2 3 4 2" xfId="47886" xr:uid="{00000000-0005-0000-0000-000078D20000}"/>
    <cellStyle name="Normal 9 2 2 2 4 2 3 5" xfId="34324" xr:uid="{00000000-0005-0000-0000-000079D20000}"/>
    <cellStyle name="Normal 9 2 2 2 4 2 4" xfId="10563" xr:uid="{00000000-0005-0000-0000-00007AD20000}"/>
    <cellStyle name="Normal 9 2 2 2 4 2 4 2" xfId="17353" xr:uid="{00000000-0005-0000-0000-00007BD20000}"/>
    <cellStyle name="Normal 9 2 2 2 4 2 4 2 2" xfId="30921" xr:uid="{00000000-0005-0000-0000-00007CD20000}"/>
    <cellStyle name="Normal 9 2 2 2 4 2 4 2 2 2" xfId="58054" xr:uid="{00000000-0005-0000-0000-00007DD20000}"/>
    <cellStyle name="Normal 9 2 2 2 4 2 4 2 3" xfId="44492" xr:uid="{00000000-0005-0000-0000-00007ED20000}"/>
    <cellStyle name="Normal 9 2 2 2 4 2 4 3" xfId="24140" xr:uid="{00000000-0005-0000-0000-00007FD20000}"/>
    <cellStyle name="Normal 9 2 2 2 4 2 4 3 2" xfId="51273" xr:uid="{00000000-0005-0000-0000-000080D20000}"/>
    <cellStyle name="Normal 9 2 2 2 4 2 4 4" xfId="37711" xr:uid="{00000000-0005-0000-0000-000081D20000}"/>
    <cellStyle name="Normal 9 2 2 2 4 2 5" xfId="13964" xr:uid="{00000000-0005-0000-0000-000082D20000}"/>
    <cellStyle name="Normal 9 2 2 2 4 2 5 2" xfId="27532" xr:uid="{00000000-0005-0000-0000-000083D20000}"/>
    <cellStyle name="Normal 9 2 2 2 4 2 5 2 2" xfId="54665" xr:uid="{00000000-0005-0000-0000-000084D20000}"/>
    <cellStyle name="Normal 9 2 2 2 4 2 5 3" xfId="41103" xr:uid="{00000000-0005-0000-0000-000085D20000}"/>
    <cellStyle name="Normal 9 2 2 2 4 2 6" xfId="20751" xr:uid="{00000000-0005-0000-0000-000086D20000}"/>
    <cellStyle name="Normal 9 2 2 2 4 2 6 2" xfId="47884" xr:uid="{00000000-0005-0000-0000-000087D20000}"/>
    <cellStyle name="Normal 9 2 2 2 4 2 7" xfId="34322" xr:uid="{00000000-0005-0000-0000-000088D20000}"/>
    <cellStyle name="Normal 9 2 2 2 4 3" xfId="7040" xr:uid="{00000000-0005-0000-0000-000089D20000}"/>
    <cellStyle name="Normal 9 2 2 2 4 3 2" xfId="10566" xr:uid="{00000000-0005-0000-0000-00008AD20000}"/>
    <cellStyle name="Normal 9 2 2 2 4 3 2 2" xfId="17356" xr:uid="{00000000-0005-0000-0000-00008BD20000}"/>
    <cellStyle name="Normal 9 2 2 2 4 3 2 2 2" xfId="30924" xr:uid="{00000000-0005-0000-0000-00008CD20000}"/>
    <cellStyle name="Normal 9 2 2 2 4 3 2 2 2 2" xfId="58057" xr:uid="{00000000-0005-0000-0000-00008DD20000}"/>
    <cellStyle name="Normal 9 2 2 2 4 3 2 2 3" xfId="44495" xr:uid="{00000000-0005-0000-0000-00008ED20000}"/>
    <cellStyle name="Normal 9 2 2 2 4 3 2 3" xfId="24143" xr:uid="{00000000-0005-0000-0000-00008FD20000}"/>
    <cellStyle name="Normal 9 2 2 2 4 3 2 3 2" xfId="51276" xr:uid="{00000000-0005-0000-0000-000090D20000}"/>
    <cellStyle name="Normal 9 2 2 2 4 3 2 4" xfId="37714" xr:uid="{00000000-0005-0000-0000-000091D20000}"/>
    <cellStyle name="Normal 9 2 2 2 4 3 3" xfId="13967" xr:uid="{00000000-0005-0000-0000-000092D20000}"/>
    <cellStyle name="Normal 9 2 2 2 4 3 3 2" xfId="27535" xr:uid="{00000000-0005-0000-0000-000093D20000}"/>
    <cellStyle name="Normal 9 2 2 2 4 3 3 2 2" xfId="54668" xr:uid="{00000000-0005-0000-0000-000094D20000}"/>
    <cellStyle name="Normal 9 2 2 2 4 3 3 3" xfId="41106" xr:uid="{00000000-0005-0000-0000-000095D20000}"/>
    <cellStyle name="Normal 9 2 2 2 4 3 4" xfId="20754" xr:uid="{00000000-0005-0000-0000-000096D20000}"/>
    <cellStyle name="Normal 9 2 2 2 4 3 4 2" xfId="47887" xr:uid="{00000000-0005-0000-0000-000097D20000}"/>
    <cellStyle name="Normal 9 2 2 2 4 3 5" xfId="34325" xr:uid="{00000000-0005-0000-0000-000098D20000}"/>
    <cellStyle name="Normal 9 2 2 2 4 4" xfId="7041" xr:uid="{00000000-0005-0000-0000-000099D20000}"/>
    <cellStyle name="Normal 9 2 2 2 4 4 2" xfId="10567" xr:uid="{00000000-0005-0000-0000-00009AD20000}"/>
    <cellStyle name="Normal 9 2 2 2 4 4 2 2" xfId="17357" xr:uid="{00000000-0005-0000-0000-00009BD20000}"/>
    <cellStyle name="Normal 9 2 2 2 4 4 2 2 2" xfId="30925" xr:uid="{00000000-0005-0000-0000-00009CD20000}"/>
    <cellStyle name="Normal 9 2 2 2 4 4 2 2 2 2" xfId="58058" xr:uid="{00000000-0005-0000-0000-00009DD20000}"/>
    <cellStyle name="Normal 9 2 2 2 4 4 2 2 3" xfId="44496" xr:uid="{00000000-0005-0000-0000-00009ED20000}"/>
    <cellStyle name="Normal 9 2 2 2 4 4 2 3" xfId="24144" xr:uid="{00000000-0005-0000-0000-00009FD20000}"/>
    <cellStyle name="Normal 9 2 2 2 4 4 2 3 2" xfId="51277" xr:uid="{00000000-0005-0000-0000-0000A0D20000}"/>
    <cellStyle name="Normal 9 2 2 2 4 4 2 4" xfId="37715" xr:uid="{00000000-0005-0000-0000-0000A1D20000}"/>
    <cellStyle name="Normal 9 2 2 2 4 4 3" xfId="13968" xr:uid="{00000000-0005-0000-0000-0000A2D20000}"/>
    <cellStyle name="Normal 9 2 2 2 4 4 3 2" xfId="27536" xr:uid="{00000000-0005-0000-0000-0000A3D20000}"/>
    <cellStyle name="Normal 9 2 2 2 4 4 3 2 2" xfId="54669" xr:uid="{00000000-0005-0000-0000-0000A4D20000}"/>
    <cellStyle name="Normal 9 2 2 2 4 4 3 3" xfId="41107" xr:uid="{00000000-0005-0000-0000-0000A5D20000}"/>
    <cellStyle name="Normal 9 2 2 2 4 4 4" xfId="20755" xr:uid="{00000000-0005-0000-0000-0000A6D20000}"/>
    <cellStyle name="Normal 9 2 2 2 4 4 4 2" xfId="47888" xr:uid="{00000000-0005-0000-0000-0000A7D20000}"/>
    <cellStyle name="Normal 9 2 2 2 4 4 5" xfId="34326" xr:uid="{00000000-0005-0000-0000-0000A8D20000}"/>
    <cellStyle name="Normal 9 2 2 2 4 5" xfId="10562" xr:uid="{00000000-0005-0000-0000-0000A9D20000}"/>
    <cellStyle name="Normal 9 2 2 2 4 5 2" xfId="17352" xr:uid="{00000000-0005-0000-0000-0000AAD20000}"/>
    <cellStyle name="Normal 9 2 2 2 4 5 2 2" xfId="30920" xr:uid="{00000000-0005-0000-0000-0000ABD20000}"/>
    <cellStyle name="Normal 9 2 2 2 4 5 2 2 2" xfId="58053" xr:uid="{00000000-0005-0000-0000-0000ACD20000}"/>
    <cellStyle name="Normal 9 2 2 2 4 5 2 3" xfId="44491" xr:uid="{00000000-0005-0000-0000-0000ADD20000}"/>
    <cellStyle name="Normal 9 2 2 2 4 5 3" xfId="24139" xr:uid="{00000000-0005-0000-0000-0000AED20000}"/>
    <cellStyle name="Normal 9 2 2 2 4 5 3 2" xfId="51272" xr:uid="{00000000-0005-0000-0000-0000AFD20000}"/>
    <cellStyle name="Normal 9 2 2 2 4 5 4" xfId="37710" xr:uid="{00000000-0005-0000-0000-0000B0D20000}"/>
    <cellStyle name="Normal 9 2 2 2 4 6" xfId="13963" xr:uid="{00000000-0005-0000-0000-0000B1D20000}"/>
    <cellStyle name="Normal 9 2 2 2 4 6 2" xfId="27531" xr:uid="{00000000-0005-0000-0000-0000B2D20000}"/>
    <cellStyle name="Normal 9 2 2 2 4 6 2 2" xfId="54664" xr:uid="{00000000-0005-0000-0000-0000B3D20000}"/>
    <cellStyle name="Normal 9 2 2 2 4 6 3" xfId="41102" xr:uid="{00000000-0005-0000-0000-0000B4D20000}"/>
    <cellStyle name="Normal 9 2 2 2 4 7" xfId="20750" xr:uid="{00000000-0005-0000-0000-0000B5D20000}"/>
    <cellStyle name="Normal 9 2 2 2 4 7 2" xfId="47883" xr:uid="{00000000-0005-0000-0000-0000B6D20000}"/>
    <cellStyle name="Normal 9 2 2 2 4 8" xfId="34321" xr:uid="{00000000-0005-0000-0000-0000B7D20000}"/>
    <cellStyle name="Normal 9 2 2 2 5" xfId="7042" xr:uid="{00000000-0005-0000-0000-0000B8D20000}"/>
    <cellStyle name="Normal 9 2 2 2 5 2" xfId="7043" xr:uid="{00000000-0005-0000-0000-0000B9D20000}"/>
    <cellStyle name="Normal 9 2 2 2 5 2 2" xfId="10569" xr:uid="{00000000-0005-0000-0000-0000BAD20000}"/>
    <cellStyle name="Normal 9 2 2 2 5 2 2 2" xfId="17359" xr:uid="{00000000-0005-0000-0000-0000BBD20000}"/>
    <cellStyle name="Normal 9 2 2 2 5 2 2 2 2" xfId="30927" xr:uid="{00000000-0005-0000-0000-0000BCD20000}"/>
    <cellStyle name="Normal 9 2 2 2 5 2 2 2 2 2" xfId="58060" xr:uid="{00000000-0005-0000-0000-0000BDD20000}"/>
    <cellStyle name="Normal 9 2 2 2 5 2 2 2 3" xfId="44498" xr:uid="{00000000-0005-0000-0000-0000BED20000}"/>
    <cellStyle name="Normal 9 2 2 2 5 2 2 3" xfId="24146" xr:uid="{00000000-0005-0000-0000-0000BFD20000}"/>
    <cellStyle name="Normal 9 2 2 2 5 2 2 3 2" xfId="51279" xr:uid="{00000000-0005-0000-0000-0000C0D20000}"/>
    <cellStyle name="Normal 9 2 2 2 5 2 2 4" xfId="37717" xr:uid="{00000000-0005-0000-0000-0000C1D20000}"/>
    <cellStyle name="Normal 9 2 2 2 5 2 3" xfId="13970" xr:uid="{00000000-0005-0000-0000-0000C2D20000}"/>
    <cellStyle name="Normal 9 2 2 2 5 2 3 2" xfId="27538" xr:uid="{00000000-0005-0000-0000-0000C3D20000}"/>
    <cellStyle name="Normal 9 2 2 2 5 2 3 2 2" xfId="54671" xr:uid="{00000000-0005-0000-0000-0000C4D20000}"/>
    <cellStyle name="Normal 9 2 2 2 5 2 3 3" xfId="41109" xr:uid="{00000000-0005-0000-0000-0000C5D20000}"/>
    <cellStyle name="Normal 9 2 2 2 5 2 4" xfId="20757" xr:uid="{00000000-0005-0000-0000-0000C6D20000}"/>
    <cellStyle name="Normal 9 2 2 2 5 2 4 2" xfId="47890" xr:uid="{00000000-0005-0000-0000-0000C7D20000}"/>
    <cellStyle name="Normal 9 2 2 2 5 2 5" xfId="34328" xr:uid="{00000000-0005-0000-0000-0000C8D20000}"/>
    <cellStyle name="Normal 9 2 2 2 5 3" xfId="7044" xr:uid="{00000000-0005-0000-0000-0000C9D20000}"/>
    <cellStyle name="Normal 9 2 2 2 5 3 2" xfId="10570" xr:uid="{00000000-0005-0000-0000-0000CAD20000}"/>
    <cellStyle name="Normal 9 2 2 2 5 3 2 2" xfId="17360" xr:uid="{00000000-0005-0000-0000-0000CBD20000}"/>
    <cellStyle name="Normal 9 2 2 2 5 3 2 2 2" xfId="30928" xr:uid="{00000000-0005-0000-0000-0000CCD20000}"/>
    <cellStyle name="Normal 9 2 2 2 5 3 2 2 2 2" xfId="58061" xr:uid="{00000000-0005-0000-0000-0000CDD20000}"/>
    <cellStyle name="Normal 9 2 2 2 5 3 2 2 3" xfId="44499" xr:uid="{00000000-0005-0000-0000-0000CED20000}"/>
    <cellStyle name="Normal 9 2 2 2 5 3 2 3" xfId="24147" xr:uid="{00000000-0005-0000-0000-0000CFD20000}"/>
    <cellStyle name="Normal 9 2 2 2 5 3 2 3 2" xfId="51280" xr:uid="{00000000-0005-0000-0000-0000D0D20000}"/>
    <cellStyle name="Normal 9 2 2 2 5 3 2 4" xfId="37718" xr:uid="{00000000-0005-0000-0000-0000D1D20000}"/>
    <cellStyle name="Normal 9 2 2 2 5 3 3" xfId="13971" xr:uid="{00000000-0005-0000-0000-0000D2D20000}"/>
    <cellStyle name="Normal 9 2 2 2 5 3 3 2" xfId="27539" xr:uid="{00000000-0005-0000-0000-0000D3D20000}"/>
    <cellStyle name="Normal 9 2 2 2 5 3 3 2 2" xfId="54672" xr:uid="{00000000-0005-0000-0000-0000D4D20000}"/>
    <cellStyle name="Normal 9 2 2 2 5 3 3 3" xfId="41110" xr:uid="{00000000-0005-0000-0000-0000D5D20000}"/>
    <cellStyle name="Normal 9 2 2 2 5 3 4" xfId="20758" xr:uid="{00000000-0005-0000-0000-0000D6D20000}"/>
    <cellStyle name="Normal 9 2 2 2 5 3 4 2" xfId="47891" xr:uid="{00000000-0005-0000-0000-0000D7D20000}"/>
    <cellStyle name="Normal 9 2 2 2 5 3 5" xfId="34329" xr:uid="{00000000-0005-0000-0000-0000D8D20000}"/>
    <cellStyle name="Normal 9 2 2 2 5 4" xfId="10568" xr:uid="{00000000-0005-0000-0000-0000D9D20000}"/>
    <cellStyle name="Normal 9 2 2 2 5 4 2" xfId="17358" xr:uid="{00000000-0005-0000-0000-0000DAD20000}"/>
    <cellStyle name="Normal 9 2 2 2 5 4 2 2" xfId="30926" xr:uid="{00000000-0005-0000-0000-0000DBD20000}"/>
    <cellStyle name="Normal 9 2 2 2 5 4 2 2 2" xfId="58059" xr:uid="{00000000-0005-0000-0000-0000DCD20000}"/>
    <cellStyle name="Normal 9 2 2 2 5 4 2 3" xfId="44497" xr:uid="{00000000-0005-0000-0000-0000DDD20000}"/>
    <cellStyle name="Normal 9 2 2 2 5 4 3" xfId="24145" xr:uid="{00000000-0005-0000-0000-0000DED20000}"/>
    <cellStyle name="Normal 9 2 2 2 5 4 3 2" xfId="51278" xr:uid="{00000000-0005-0000-0000-0000DFD20000}"/>
    <cellStyle name="Normal 9 2 2 2 5 4 4" xfId="37716" xr:uid="{00000000-0005-0000-0000-0000E0D20000}"/>
    <cellStyle name="Normal 9 2 2 2 5 5" xfId="13969" xr:uid="{00000000-0005-0000-0000-0000E1D20000}"/>
    <cellStyle name="Normal 9 2 2 2 5 5 2" xfId="27537" xr:uid="{00000000-0005-0000-0000-0000E2D20000}"/>
    <cellStyle name="Normal 9 2 2 2 5 5 2 2" xfId="54670" xr:uid="{00000000-0005-0000-0000-0000E3D20000}"/>
    <cellStyle name="Normal 9 2 2 2 5 5 3" xfId="41108" xr:uid="{00000000-0005-0000-0000-0000E4D20000}"/>
    <cellStyle name="Normal 9 2 2 2 5 6" xfId="20756" xr:uid="{00000000-0005-0000-0000-0000E5D20000}"/>
    <cellStyle name="Normal 9 2 2 2 5 6 2" xfId="47889" xr:uid="{00000000-0005-0000-0000-0000E6D20000}"/>
    <cellStyle name="Normal 9 2 2 2 5 7" xfId="34327" xr:uid="{00000000-0005-0000-0000-0000E7D20000}"/>
    <cellStyle name="Normal 9 2 2 2 6" xfId="7045" xr:uid="{00000000-0005-0000-0000-0000E8D20000}"/>
    <cellStyle name="Normal 9 2 2 2 6 2" xfId="7046" xr:uid="{00000000-0005-0000-0000-0000E9D20000}"/>
    <cellStyle name="Normal 9 2 2 2 6 2 2" xfId="10572" xr:uid="{00000000-0005-0000-0000-0000EAD20000}"/>
    <cellStyle name="Normal 9 2 2 2 6 2 2 2" xfId="17362" xr:uid="{00000000-0005-0000-0000-0000EBD20000}"/>
    <cellStyle name="Normal 9 2 2 2 6 2 2 2 2" xfId="30930" xr:uid="{00000000-0005-0000-0000-0000ECD20000}"/>
    <cellStyle name="Normal 9 2 2 2 6 2 2 2 2 2" xfId="58063" xr:uid="{00000000-0005-0000-0000-0000EDD20000}"/>
    <cellStyle name="Normal 9 2 2 2 6 2 2 2 3" xfId="44501" xr:uid="{00000000-0005-0000-0000-0000EED20000}"/>
    <cellStyle name="Normal 9 2 2 2 6 2 2 3" xfId="24149" xr:uid="{00000000-0005-0000-0000-0000EFD20000}"/>
    <cellStyle name="Normal 9 2 2 2 6 2 2 3 2" xfId="51282" xr:uid="{00000000-0005-0000-0000-0000F0D20000}"/>
    <cellStyle name="Normal 9 2 2 2 6 2 2 4" xfId="37720" xr:uid="{00000000-0005-0000-0000-0000F1D20000}"/>
    <cellStyle name="Normal 9 2 2 2 6 2 3" xfId="13973" xr:uid="{00000000-0005-0000-0000-0000F2D20000}"/>
    <cellStyle name="Normal 9 2 2 2 6 2 3 2" xfId="27541" xr:uid="{00000000-0005-0000-0000-0000F3D20000}"/>
    <cellStyle name="Normal 9 2 2 2 6 2 3 2 2" xfId="54674" xr:uid="{00000000-0005-0000-0000-0000F4D20000}"/>
    <cellStyle name="Normal 9 2 2 2 6 2 3 3" xfId="41112" xr:uid="{00000000-0005-0000-0000-0000F5D20000}"/>
    <cellStyle name="Normal 9 2 2 2 6 2 4" xfId="20760" xr:uid="{00000000-0005-0000-0000-0000F6D20000}"/>
    <cellStyle name="Normal 9 2 2 2 6 2 4 2" xfId="47893" xr:uid="{00000000-0005-0000-0000-0000F7D20000}"/>
    <cellStyle name="Normal 9 2 2 2 6 2 5" xfId="34331" xr:uid="{00000000-0005-0000-0000-0000F8D20000}"/>
    <cellStyle name="Normal 9 2 2 2 6 3" xfId="7047" xr:uid="{00000000-0005-0000-0000-0000F9D20000}"/>
    <cellStyle name="Normal 9 2 2 2 6 3 2" xfId="10573" xr:uid="{00000000-0005-0000-0000-0000FAD20000}"/>
    <cellStyle name="Normal 9 2 2 2 6 3 2 2" xfId="17363" xr:uid="{00000000-0005-0000-0000-0000FBD20000}"/>
    <cellStyle name="Normal 9 2 2 2 6 3 2 2 2" xfId="30931" xr:uid="{00000000-0005-0000-0000-0000FCD20000}"/>
    <cellStyle name="Normal 9 2 2 2 6 3 2 2 2 2" xfId="58064" xr:uid="{00000000-0005-0000-0000-0000FDD20000}"/>
    <cellStyle name="Normal 9 2 2 2 6 3 2 2 3" xfId="44502" xr:uid="{00000000-0005-0000-0000-0000FED20000}"/>
    <cellStyle name="Normal 9 2 2 2 6 3 2 3" xfId="24150" xr:uid="{00000000-0005-0000-0000-0000FFD20000}"/>
    <cellStyle name="Normal 9 2 2 2 6 3 2 3 2" xfId="51283" xr:uid="{00000000-0005-0000-0000-000000D30000}"/>
    <cellStyle name="Normal 9 2 2 2 6 3 2 4" xfId="37721" xr:uid="{00000000-0005-0000-0000-000001D30000}"/>
    <cellStyle name="Normal 9 2 2 2 6 3 3" xfId="13974" xr:uid="{00000000-0005-0000-0000-000002D30000}"/>
    <cellStyle name="Normal 9 2 2 2 6 3 3 2" xfId="27542" xr:uid="{00000000-0005-0000-0000-000003D30000}"/>
    <cellStyle name="Normal 9 2 2 2 6 3 3 2 2" xfId="54675" xr:uid="{00000000-0005-0000-0000-000004D30000}"/>
    <cellStyle name="Normal 9 2 2 2 6 3 3 3" xfId="41113" xr:uid="{00000000-0005-0000-0000-000005D30000}"/>
    <cellStyle name="Normal 9 2 2 2 6 3 4" xfId="20761" xr:uid="{00000000-0005-0000-0000-000006D30000}"/>
    <cellStyle name="Normal 9 2 2 2 6 3 4 2" xfId="47894" xr:uid="{00000000-0005-0000-0000-000007D30000}"/>
    <cellStyle name="Normal 9 2 2 2 6 3 5" xfId="34332" xr:uid="{00000000-0005-0000-0000-000008D30000}"/>
    <cellStyle name="Normal 9 2 2 2 6 4" xfId="10571" xr:uid="{00000000-0005-0000-0000-000009D30000}"/>
    <cellStyle name="Normal 9 2 2 2 6 4 2" xfId="17361" xr:uid="{00000000-0005-0000-0000-00000AD30000}"/>
    <cellStyle name="Normal 9 2 2 2 6 4 2 2" xfId="30929" xr:uid="{00000000-0005-0000-0000-00000BD30000}"/>
    <cellStyle name="Normal 9 2 2 2 6 4 2 2 2" xfId="58062" xr:uid="{00000000-0005-0000-0000-00000CD30000}"/>
    <cellStyle name="Normal 9 2 2 2 6 4 2 3" xfId="44500" xr:uid="{00000000-0005-0000-0000-00000DD30000}"/>
    <cellStyle name="Normal 9 2 2 2 6 4 3" xfId="24148" xr:uid="{00000000-0005-0000-0000-00000ED30000}"/>
    <cellStyle name="Normal 9 2 2 2 6 4 3 2" xfId="51281" xr:uid="{00000000-0005-0000-0000-00000FD30000}"/>
    <cellStyle name="Normal 9 2 2 2 6 4 4" xfId="37719" xr:uid="{00000000-0005-0000-0000-000010D30000}"/>
    <cellStyle name="Normal 9 2 2 2 6 5" xfId="13972" xr:uid="{00000000-0005-0000-0000-000011D30000}"/>
    <cellStyle name="Normal 9 2 2 2 6 5 2" xfId="27540" xr:uid="{00000000-0005-0000-0000-000012D30000}"/>
    <cellStyle name="Normal 9 2 2 2 6 5 2 2" xfId="54673" xr:uid="{00000000-0005-0000-0000-000013D30000}"/>
    <cellStyle name="Normal 9 2 2 2 6 5 3" xfId="41111" xr:uid="{00000000-0005-0000-0000-000014D30000}"/>
    <cellStyle name="Normal 9 2 2 2 6 6" xfId="20759" xr:uid="{00000000-0005-0000-0000-000015D30000}"/>
    <cellStyle name="Normal 9 2 2 2 6 6 2" xfId="47892" xr:uid="{00000000-0005-0000-0000-000016D30000}"/>
    <cellStyle name="Normal 9 2 2 2 6 7" xfId="34330" xr:uid="{00000000-0005-0000-0000-000017D30000}"/>
    <cellStyle name="Normal 9 2 2 2 7" xfId="7048" xr:uid="{00000000-0005-0000-0000-000018D30000}"/>
    <cellStyle name="Normal 9 2 2 2 7 2" xfId="10574" xr:uid="{00000000-0005-0000-0000-000019D30000}"/>
    <cellStyle name="Normal 9 2 2 2 7 2 2" xfId="17364" xr:uid="{00000000-0005-0000-0000-00001AD30000}"/>
    <cellStyle name="Normal 9 2 2 2 7 2 2 2" xfId="30932" xr:uid="{00000000-0005-0000-0000-00001BD30000}"/>
    <cellStyle name="Normal 9 2 2 2 7 2 2 2 2" xfId="58065" xr:uid="{00000000-0005-0000-0000-00001CD30000}"/>
    <cellStyle name="Normal 9 2 2 2 7 2 2 3" xfId="44503" xr:uid="{00000000-0005-0000-0000-00001DD30000}"/>
    <cellStyle name="Normal 9 2 2 2 7 2 3" xfId="24151" xr:uid="{00000000-0005-0000-0000-00001ED30000}"/>
    <cellStyle name="Normal 9 2 2 2 7 2 3 2" xfId="51284" xr:uid="{00000000-0005-0000-0000-00001FD30000}"/>
    <cellStyle name="Normal 9 2 2 2 7 2 4" xfId="37722" xr:uid="{00000000-0005-0000-0000-000020D30000}"/>
    <cellStyle name="Normal 9 2 2 2 7 3" xfId="13975" xr:uid="{00000000-0005-0000-0000-000021D30000}"/>
    <cellStyle name="Normal 9 2 2 2 7 3 2" xfId="27543" xr:uid="{00000000-0005-0000-0000-000022D30000}"/>
    <cellStyle name="Normal 9 2 2 2 7 3 2 2" xfId="54676" xr:uid="{00000000-0005-0000-0000-000023D30000}"/>
    <cellStyle name="Normal 9 2 2 2 7 3 3" xfId="41114" xr:uid="{00000000-0005-0000-0000-000024D30000}"/>
    <cellStyle name="Normal 9 2 2 2 7 4" xfId="20762" xr:uid="{00000000-0005-0000-0000-000025D30000}"/>
    <cellStyle name="Normal 9 2 2 2 7 4 2" xfId="47895" xr:uid="{00000000-0005-0000-0000-000026D30000}"/>
    <cellStyle name="Normal 9 2 2 2 7 5" xfId="34333" xr:uid="{00000000-0005-0000-0000-000027D30000}"/>
    <cellStyle name="Normal 9 2 2 2 8" xfId="7049" xr:uid="{00000000-0005-0000-0000-000028D30000}"/>
    <cellStyle name="Normal 9 2 2 2 8 2" xfId="10575" xr:uid="{00000000-0005-0000-0000-000029D30000}"/>
    <cellStyle name="Normal 9 2 2 2 8 2 2" xfId="17365" xr:uid="{00000000-0005-0000-0000-00002AD30000}"/>
    <cellStyle name="Normal 9 2 2 2 8 2 2 2" xfId="30933" xr:uid="{00000000-0005-0000-0000-00002BD30000}"/>
    <cellStyle name="Normal 9 2 2 2 8 2 2 2 2" xfId="58066" xr:uid="{00000000-0005-0000-0000-00002CD30000}"/>
    <cellStyle name="Normal 9 2 2 2 8 2 2 3" xfId="44504" xr:uid="{00000000-0005-0000-0000-00002DD30000}"/>
    <cellStyle name="Normal 9 2 2 2 8 2 3" xfId="24152" xr:uid="{00000000-0005-0000-0000-00002ED30000}"/>
    <cellStyle name="Normal 9 2 2 2 8 2 3 2" xfId="51285" xr:uid="{00000000-0005-0000-0000-00002FD30000}"/>
    <cellStyle name="Normal 9 2 2 2 8 2 4" xfId="37723" xr:uid="{00000000-0005-0000-0000-000030D30000}"/>
    <cellStyle name="Normal 9 2 2 2 8 3" xfId="13976" xr:uid="{00000000-0005-0000-0000-000031D30000}"/>
    <cellStyle name="Normal 9 2 2 2 8 3 2" xfId="27544" xr:uid="{00000000-0005-0000-0000-000032D30000}"/>
    <cellStyle name="Normal 9 2 2 2 8 3 2 2" xfId="54677" xr:uid="{00000000-0005-0000-0000-000033D30000}"/>
    <cellStyle name="Normal 9 2 2 2 8 3 3" xfId="41115" xr:uid="{00000000-0005-0000-0000-000034D30000}"/>
    <cellStyle name="Normal 9 2 2 2 8 4" xfId="20763" xr:uid="{00000000-0005-0000-0000-000035D30000}"/>
    <cellStyle name="Normal 9 2 2 2 8 4 2" xfId="47896" xr:uid="{00000000-0005-0000-0000-000036D30000}"/>
    <cellStyle name="Normal 9 2 2 2 8 5" xfId="34334" xr:uid="{00000000-0005-0000-0000-000037D30000}"/>
    <cellStyle name="Normal 9 2 2 2 9" xfId="10537" xr:uid="{00000000-0005-0000-0000-000038D30000}"/>
    <cellStyle name="Normal 9 2 2 2 9 2" xfId="17327" xr:uid="{00000000-0005-0000-0000-000039D30000}"/>
    <cellStyle name="Normal 9 2 2 2 9 2 2" xfId="30895" xr:uid="{00000000-0005-0000-0000-00003AD30000}"/>
    <cellStyle name="Normal 9 2 2 2 9 2 2 2" xfId="58028" xr:uid="{00000000-0005-0000-0000-00003BD30000}"/>
    <cellStyle name="Normal 9 2 2 2 9 2 3" xfId="44466" xr:uid="{00000000-0005-0000-0000-00003CD30000}"/>
    <cellStyle name="Normal 9 2 2 2 9 3" xfId="24114" xr:uid="{00000000-0005-0000-0000-00003DD30000}"/>
    <cellStyle name="Normal 9 2 2 2 9 3 2" xfId="51247" xr:uid="{00000000-0005-0000-0000-00003ED30000}"/>
    <cellStyle name="Normal 9 2 2 2 9 4" xfId="37685" xr:uid="{00000000-0005-0000-0000-00003FD30000}"/>
    <cellStyle name="Normal 9 2 2 3" xfId="7050" xr:uid="{00000000-0005-0000-0000-000040D30000}"/>
    <cellStyle name="Normal 9 2 2 3 10" xfId="34335" xr:uid="{00000000-0005-0000-0000-000041D30000}"/>
    <cellStyle name="Normal 9 2 2 3 2" xfId="7051" xr:uid="{00000000-0005-0000-0000-000042D30000}"/>
    <cellStyle name="Normal 9 2 2 3 2 2" xfId="7052" xr:uid="{00000000-0005-0000-0000-000043D30000}"/>
    <cellStyle name="Normal 9 2 2 3 2 2 2" xfId="7053" xr:uid="{00000000-0005-0000-0000-000044D30000}"/>
    <cellStyle name="Normal 9 2 2 3 2 2 2 2" xfId="10579" xr:uid="{00000000-0005-0000-0000-000045D30000}"/>
    <cellStyle name="Normal 9 2 2 3 2 2 2 2 2" xfId="17369" xr:uid="{00000000-0005-0000-0000-000046D30000}"/>
    <cellStyle name="Normal 9 2 2 3 2 2 2 2 2 2" xfId="30937" xr:uid="{00000000-0005-0000-0000-000047D30000}"/>
    <cellStyle name="Normal 9 2 2 3 2 2 2 2 2 2 2" xfId="58070" xr:uid="{00000000-0005-0000-0000-000048D30000}"/>
    <cellStyle name="Normal 9 2 2 3 2 2 2 2 2 3" xfId="44508" xr:uid="{00000000-0005-0000-0000-000049D30000}"/>
    <cellStyle name="Normal 9 2 2 3 2 2 2 2 3" xfId="24156" xr:uid="{00000000-0005-0000-0000-00004AD30000}"/>
    <cellStyle name="Normal 9 2 2 3 2 2 2 2 3 2" xfId="51289" xr:uid="{00000000-0005-0000-0000-00004BD30000}"/>
    <cellStyle name="Normal 9 2 2 3 2 2 2 2 4" xfId="37727" xr:uid="{00000000-0005-0000-0000-00004CD30000}"/>
    <cellStyle name="Normal 9 2 2 3 2 2 2 3" xfId="13980" xr:uid="{00000000-0005-0000-0000-00004DD30000}"/>
    <cellStyle name="Normal 9 2 2 3 2 2 2 3 2" xfId="27548" xr:uid="{00000000-0005-0000-0000-00004ED30000}"/>
    <cellStyle name="Normal 9 2 2 3 2 2 2 3 2 2" xfId="54681" xr:uid="{00000000-0005-0000-0000-00004FD30000}"/>
    <cellStyle name="Normal 9 2 2 3 2 2 2 3 3" xfId="41119" xr:uid="{00000000-0005-0000-0000-000050D30000}"/>
    <cellStyle name="Normal 9 2 2 3 2 2 2 4" xfId="20767" xr:uid="{00000000-0005-0000-0000-000051D30000}"/>
    <cellStyle name="Normal 9 2 2 3 2 2 2 4 2" xfId="47900" xr:uid="{00000000-0005-0000-0000-000052D30000}"/>
    <cellStyle name="Normal 9 2 2 3 2 2 2 5" xfId="34338" xr:uid="{00000000-0005-0000-0000-000053D30000}"/>
    <cellStyle name="Normal 9 2 2 3 2 2 3" xfId="7054" xr:uid="{00000000-0005-0000-0000-000054D30000}"/>
    <cellStyle name="Normal 9 2 2 3 2 2 3 2" xfId="10580" xr:uid="{00000000-0005-0000-0000-000055D30000}"/>
    <cellStyle name="Normal 9 2 2 3 2 2 3 2 2" xfId="17370" xr:uid="{00000000-0005-0000-0000-000056D30000}"/>
    <cellStyle name="Normal 9 2 2 3 2 2 3 2 2 2" xfId="30938" xr:uid="{00000000-0005-0000-0000-000057D30000}"/>
    <cellStyle name="Normal 9 2 2 3 2 2 3 2 2 2 2" xfId="58071" xr:uid="{00000000-0005-0000-0000-000058D30000}"/>
    <cellStyle name="Normal 9 2 2 3 2 2 3 2 2 3" xfId="44509" xr:uid="{00000000-0005-0000-0000-000059D30000}"/>
    <cellStyle name="Normal 9 2 2 3 2 2 3 2 3" xfId="24157" xr:uid="{00000000-0005-0000-0000-00005AD30000}"/>
    <cellStyle name="Normal 9 2 2 3 2 2 3 2 3 2" xfId="51290" xr:uid="{00000000-0005-0000-0000-00005BD30000}"/>
    <cellStyle name="Normal 9 2 2 3 2 2 3 2 4" xfId="37728" xr:uid="{00000000-0005-0000-0000-00005CD30000}"/>
    <cellStyle name="Normal 9 2 2 3 2 2 3 3" xfId="13981" xr:uid="{00000000-0005-0000-0000-00005DD30000}"/>
    <cellStyle name="Normal 9 2 2 3 2 2 3 3 2" xfId="27549" xr:uid="{00000000-0005-0000-0000-00005ED30000}"/>
    <cellStyle name="Normal 9 2 2 3 2 2 3 3 2 2" xfId="54682" xr:uid="{00000000-0005-0000-0000-00005FD30000}"/>
    <cellStyle name="Normal 9 2 2 3 2 2 3 3 3" xfId="41120" xr:uid="{00000000-0005-0000-0000-000060D30000}"/>
    <cellStyle name="Normal 9 2 2 3 2 2 3 4" xfId="20768" xr:uid="{00000000-0005-0000-0000-000061D30000}"/>
    <cellStyle name="Normal 9 2 2 3 2 2 3 4 2" xfId="47901" xr:uid="{00000000-0005-0000-0000-000062D30000}"/>
    <cellStyle name="Normal 9 2 2 3 2 2 3 5" xfId="34339" xr:uid="{00000000-0005-0000-0000-000063D30000}"/>
    <cellStyle name="Normal 9 2 2 3 2 2 4" xfId="10578" xr:uid="{00000000-0005-0000-0000-000064D30000}"/>
    <cellStyle name="Normal 9 2 2 3 2 2 4 2" xfId="17368" xr:uid="{00000000-0005-0000-0000-000065D30000}"/>
    <cellStyle name="Normal 9 2 2 3 2 2 4 2 2" xfId="30936" xr:uid="{00000000-0005-0000-0000-000066D30000}"/>
    <cellStyle name="Normal 9 2 2 3 2 2 4 2 2 2" xfId="58069" xr:uid="{00000000-0005-0000-0000-000067D30000}"/>
    <cellStyle name="Normal 9 2 2 3 2 2 4 2 3" xfId="44507" xr:uid="{00000000-0005-0000-0000-000068D30000}"/>
    <cellStyle name="Normal 9 2 2 3 2 2 4 3" xfId="24155" xr:uid="{00000000-0005-0000-0000-000069D30000}"/>
    <cellStyle name="Normal 9 2 2 3 2 2 4 3 2" xfId="51288" xr:uid="{00000000-0005-0000-0000-00006AD30000}"/>
    <cellStyle name="Normal 9 2 2 3 2 2 4 4" xfId="37726" xr:uid="{00000000-0005-0000-0000-00006BD30000}"/>
    <cellStyle name="Normal 9 2 2 3 2 2 5" xfId="13979" xr:uid="{00000000-0005-0000-0000-00006CD30000}"/>
    <cellStyle name="Normal 9 2 2 3 2 2 5 2" xfId="27547" xr:uid="{00000000-0005-0000-0000-00006DD30000}"/>
    <cellStyle name="Normal 9 2 2 3 2 2 5 2 2" xfId="54680" xr:uid="{00000000-0005-0000-0000-00006ED30000}"/>
    <cellStyle name="Normal 9 2 2 3 2 2 5 3" xfId="41118" xr:uid="{00000000-0005-0000-0000-00006FD30000}"/>
    <cellStyle name="Normal 9 2 2 3 2 2 6" xfId="20766" xr:uid="{00000000-0005-0000-0000-000070D30000}"/>
    <cellStyle name="Normal 9 2 2 3 2 2 6 2" xfId="47899" xr:uid="{00000000-0005-0000-0000-000071D30000}"/>
    <cellStyle name="Normal 9 2 2 3 2 2 7" xfId="34337" xr:uid="{00000000-0005-0000-0000-000072D30000}"/>
    <cellStyle name="Normal 9 2 2 3 2 3" xfId="7055" xr:uid="{00000000-0005-0000-0000-000073D30000}"/>
    <cellStyle name="Normal 9 2 2 3 2 3 2" xfId="7056" xr:uid="{00000000-0005-0000-0000-000074D30000}"/>
    <cellStyle name="Normal 9 2 2 3 2 3 2 2" xfId="10582" xr:uid="{00000000-0005-0000-0000-000075D30000}"/>
    <cellStyle name="Normal 9 2 2 3 2 3 2 2 2" xfId="17372" xr:uid="{00000000-0005-0000-0000-000076D30000}"/>
    <cellStyle name="Normal 9 2 2 3 2 3 2 2 2 2" xfId="30940" xr:uid="{00000000-0005-0000-0000-000077D30000}"/>
    <cellStyle name="Normal 9 2 2 3 2 3 2 2 2 2 2" xfId="58073" xr:uid="{00000000-0005-0000-0000-000078D30000}"/>
    <cellStyle name="Normal 9 2 2 3 2 3 2 2 2 3" xfId="44511" xr:uid="{00000000-0005-0000-0000-000079D30000}"/>
    <cellStyle name="Normal 9 2 2 3 2 3 2 2 3" xfId="24159" xr:uid="{00000000-0005-0000-0000-00007AD30000}"/>
    <cellStyle name="Normal 9 2 2 3 2 3 2 2 3 2" xfId="51292" xr:uid="{00000000-0005-0000-0000-00007BD30000}"/>
    <cellStyle name="Normal 9 2 2 3 2 3 2 2 4" xfId="37730" xr:uid="{00000000-0005-0000-0000-00007CD30000}"/>
    <cellStyle name="Normal 9 2 2 3 2 3 2 3" xfId="13983" xr:uid="{00000000-0005-0000-0000-00007DD30000}"/>
    <cellStyle name="Normal 9 2 2 3 2 3 2 3 2" xfId="27551" xr:uid="{00000000-0005-0000-0000-00007ED30000}"/>
    <cellStyle name="Normal 9 2 2 3 2 3 2 3 2 2" xfId="54684" xr:uid="{00000000-0005-0000-0000-00007FD30000}"/>
    <cellStyle name="Normal 9 2 2 3 2 3 2 3 3" xfId="41122" xr:uid="{00000000-0005-0000-0000-000080D30000}"/>
    <cellStyle name="Normal 9 2 2 3 2 3 2 4" xfId="20770" xr:uid="{00000000-0005-0000-0000-000081D30000}"/>
    <cellStyle name="Normal 9 2 2 3 2 3 2 4 2" xfId="47903" xr:uid="{00000000-0005-0000-0000-000082D30000}"/>
    <cellStyle name="Normal 9 2 2 3 2 3 2 5" xfId="34341" xr:uid="{00000000-0005-0000-0000-000083D30000}"/>
    <cellStyle name="Normal 9 2 2 3 2 3 3" xfId="10581" xr:uid="{00000000-0005-0000-0000-000084D30000}"/>
    <cellStyle name="Normal 9 2 2 3 2 3 3 2" xfId="17371" xr:uid="{00000000-0005-0000-0000-000085D30000}"/>
    <cellStyle name="Normal 9 2 2 3 2 3 3 2 2" xfId="30939" xr:uid="{00000000-0005-0000-0000-000086D30000}"/>
    <cellStyle name="Normal 9 2 2 3 2 3 3 2 2 2" xfId="58072" xr:uid="{00000000-0005-0000-0000-000087D30000}"/>
    <cellStyle name="Normal 9 2 2 3 2 3 3 2 3" xfId="44510" xr:uid="{00000000-0005-0000-0000-000088D30000}"/>
    <cellStyle name="Normal 9 2 2 3 2 3 3 3" xfId="24158" xr:uid="{00000000-0005-0000-0000-000089D30000}"/>
    <cellStyle name="Normal 9 2 2 3 2 3 3 3 2" xfId="51291" xr:uid="{00000000-0005-0000-0000-00008AD30000}"/>
    <cellStyle name="Normal 9 2 2 3 2 3 3 4" xfId="37729" xr:uid="{00000000-0005-0000-0000-00008BD30000}"/>
    <cellStyle name="Normal 9 2 2 3 2 3 4" xfId="13982" xr:uid="{00000000-0005-0000-0000-00008CD30000}"/>
    <cellStyle name="Normal 9 2 2 3 2 3 4 2" xfId="27550" xr:uid="{00000000-0005-0000-0000-00008DD30000}"/>
    <cellStyle name="Normal 9 2 2 3 2 3 4 2 2" xfId="54683" xr:uid="{00000000-0005-0000-0000-00008ED30000}"/>
    <cellStyle name="Normal 9 2 2 3 2 3 4 3" xfId="41121" xr:uid="{00000000-0005-0000-0000-00008FD30000}"/>
    <cellStyle name="Normal 9 2 2 3 2 3 5" xfId="20769" xr:uid="{00000000-0005-0000-0000-000090D30000}"/>
    <cellStyle name="Normal 9 2 2 3 2 3 5 2" xfId="47902" xr:uid="{00000000-0005-0000-0000-000091D30000}"/>
    <cellStyle name="Normal 9 2 2 3 2 3 6" xfId="34340" xr:uid="{00000000-0005-0000-0000-000092D30000}"/>
    <cellStyle name="Normal 9 2 2 3 2 4" xfId="7057" xr:uid="{00000000-0005-0000-0000-000093D30000}"/>
    <cellStyle name="Normal 9 2 2 3 2 4 2" xfId="10583" xr:uid="{00000000-0005-0000-0000-000094D30000}"/>
    <cellStyle name="Normal 9 2 2 3 2 4 2 2" xfId="17373" xr:uid="{00000000-0005-0000-0000-000095D30000}"/>
    <cellStyle name="Normal 9 2 2 3 2 4 2 2 2" xfId="30941" xr:uid="{00000000-0005-0000-0000-000096D30000}"/>
    <cellStyle name="Normal 9 2 2 3 2 4 2 2 2 2" xfId="58074" xr:uid="{00000000-0005-0000-0000-000097D30000}"/>
    <cellStyle name="Normal 9 2 2 3 2 4 2 2 3" xfId="44512" xr:uid="{00000000-0005-0000-0000-000098D30000}"/>
    <cellStyle name="Normal 9 2 2 3 2 4 2 3" xfId="24160" xr:uid="{00000000-0005-0000-0000-000099D30000}"/>
    <cellStyle name="Normal 9 2 2 3 2 4 2 3 2" xfId="51293" xr:uid="{00000000-0005-0000-0000-00009AD30000}"/>
    <cellStyle name="Normal 9 2 2 3 2 4 2 4" xfId="37731" xr:uid="{00000000-0005-0000-0000-00009BD30000}"/>
    <cellStyle name="Normal 9 2 2 3 2 4 3" xfId="13984" xr:uid="{00000000-0005-0000-0000-00009CD30000}"/>
    <cellStyle name="Normal 9 2 2 3 2 4 3 2" xfId="27552" xr:uid="{00000000-0005-0000-0000-00009DD30000}"/>
    <cellStyle name="Normal 9 2 2 3 2 4 3 2 2" xfId="54685" xr:uid="{00000000-0005-0000-0000-00009ED30000}"/>
    <cellStyle name="Normal 9 2 2 3 2 4 3 3" xfId="41123" xr:uid="{00000000-0005-0000-0000-00009FD30000}"/>
    <cellStyle name="Normal 9 2 2 3 2 4 4" xfId="20771" xr:uid="{00000000-0005-0000-0000-0000A0D30000}"/>
    <cellStyle name="Normal 9 2 2 3 2 4 4 2" xfId="47904" xr:uid="{00000000-0005-0000-0000-0000A1D30000}"/>
    <cellStyle name="Normal 9 2 2 3 2 4 5" xfId="34342" xr:uid="{00000000-0005-0000-0000-0000A2D30000}"/>
    <cellStyle name="Normal 9 2 2 3 2 5" xfId="7058" xr:uid="{00000000-0005-0000-0000-0000A3D30000}"/>
    <cellStyle name="Normal 9 2 2 3 2 5 2" xfId="10584" xr:uid="{00000000-0005-0000-0000-0000A4D30000}"/>
    <cellStyle name="Normal 9 2 2 3 2 5 2 2" xfId="17374" xr:uid="{00000000-0005-0000-0000-0000A5D30000}"/>
    <cellStyle name="Normal 9 2 2 3 2 5 2 2 2" xfId="30942" xr:uid="{00000000-0005-0000-0000-0000A6D30000}"/>
    <cellStyle name="Normal 9 2 2 3 2 5 2 2 2 2" xfId="58075" xr:uid="{00000000-0005-0000-0000-0000A7D30000}"/>
    <cellStyle name="Normal 9 2 2 3 2 5 2 2 3" xfId="44513" xr:uid="{00000000-0005-0000-0000-0000A8D30000}"/>
    <cellStyle name="Normal 9 2 2 3 2 5 2 3" xfId="24161" xr:uid="{00000000-0005-0000-0000-0000A9D30000}"/>
    <cellStyle name="Normal 9 2 2 3 2 5 2 3 2" xfId="51294" xr:uid="{00000000-0005-0000-0000-0000AAD30000}"/>
    <cellStyle name="Normal 9 2 2 3 2 5 2 4" xfId="37732" xr:uid="{00000000-0005-0000-0000-0000ABD30000}"/>
    <cellStyle name="Normal 9 2 2 3 2 5 3" xfId="13985" xr:uid="{00000000-0005-0000-0000-0000ACD30000}"/>
    <cellStyle name="Normal 9 2 2 3 2 5 3 2" xfId="27553" xr:uid="{00000000-0005-0000-0000-0000ADD30000}"/>
    <cellStyle name="Normal 9 2 2 3 2 5 3 2 2" xfId="54686" xr:uid="{00000000-0005-0000-0000-0000AED30000}"/>
    <cellStyle name="Normal 9 2 2 3 2 5 3 3" xfId="41124" xr:uid="{00000000-0005-0000-0000-0000AFD30000}"/>
    <cellStyle name="Normal 9 2 2 3 2 5 4" xfId="20772" xr:uid="{00000000-0005-0000-0000-0000B0D30000}"/>
    <cellStyle name="Normal 9 2 2 3 2 5 4 2" xfId="47905" xr:uid="{00000000-0005-0000-0000-0000B1D30000}"/>
    <cellStyle name="Normal 9 2 2 3 2 5 5" xfId="34343" xr:uid="{00000000-0005-0000-0000-0000B2D30000}"/>
    <cellStyle name="Normal 9 2 2 3 2 6" xfId="10577" xr:uid="{00000000-0005-0000-0000-0000B3D30000}"/>
    <cellStyle name="Normal 9 2 2 3 2 6 2" xfId="17367" xr:uid="{00000000-0005-0000-0000-0000B4D30000}"/>
    <cellStyle name="Normal 9 2 2 3 2 6 2 2" xfId="30935" xr:uid="{00000000-0005-0000-0000-0000B5D30000}"/>
    <cellStyle name="Normal 9 2 2 3 2 6 2 2 2" xfId="58068" xr:uid="{00000000-0005-0000-0000-0000B6D30000}"/>
    <cellStyle name="Normal 9 2 2 3 2 6 2 3" xfId="44506" xr:uid="{00000000-0005-0000-0000-0000B7D30000}"/>
    <cellStyle name="Normal 9 2 2 3 2 6 3" xfId="24154" xr:uid="{00000000-0005-0000-0000-0000B8D30000}"/>
    <cellStyle name="Normal 9 2 2 3 2 6 3 2" xfId="51287" xr:uid="{00000000-0005-0000-0000-0000B9D30000}"/>
    <cellStyle name="Normal 9 2 2 3 2 6 4" xfId="37725" xr:uid="{00000000-0005-0000-0000-0000BAD30000}"/>
    <cellStyle name="Normal 9 2 2 3 2 7" xfId="13978" xr:uid="{00000000-0005-0000-0000-0000BBD30000}"/>
    <cellStyle name="Normal 9 2 2 3 2 7 2" xfId="27546" xr:uid="{00000000-0005-0000-0000-0000BCD30000}"/>
    <cellStyle name="Normal 9 2 2 3 2 7 2 2" xfId="54679" xr:uid="{00000000-0005-0000-0000-0000BDD30000}"/>
    <cellStyle name="Normal 9 2 2 3 2 7 3" xfId="41117" xr:uid="{00000000-0005-0000-0000-0000BED30000}"/>
    <cellStyle name="Normal 9 2 2 3 2 8" xfId="20765" xr:uid="{00000000-0005-0000-0000-0000BFD30000}"/>
    <cellStyle name="Normal 9 2 2 3 2 8 2" xfId="47898" xr:uid="{00000000-0005-0000-0000-0000C0D30000}"/>
    <cellStyle name="Normal 9 2 2 3 2 9" xfId="34336" xr:uid="{00000000-0005-0000-0000-0000C1D30000}"/>
    <cellStyle name="Normal 9 2 2 3 3" xfId="7059" xr:uid="{00000000-0005-0000-0000-0000C2D30000}"/>
    <cellStyle name="Normal 9 2 2 3 3 2" xfId="7060" xr:uid="{00000000-0005-0000-0000-0000C3D30000}"/>
    <cellStyle name="Normal 9 2 2 3 3 2 2" xfId="10586" xr:uid="{00000000-0005-0000-0000-0000C4D30000}"/>
    <cellStyle name="Normal 9 2 2 3 3 2 2 2" xfId="17376" xr:uid="{00000000-0005-0000-0000-0000C5D30000}"/>
    <cellStyle name="Normal 9 2 2 3 3 2 2 2 2" xfId="30944" xr:uid="{00000000-0005-0000-0000-0000C6D30000}"/>
    <cellStyle name="Normal 9 2 2 3 3 2 2 2 2 2" xfId="58077" xr:uid="{00000000-0005-0000-0000-0000C7D30000}"/>
    <cellStyle name="Normal 9 2 2 3 3 2 2 2 3" xfId="44515" xr:uid="{00000000-0005-0000-0000-0000C8D30000}"/>
    <cellStyle name="Normal 9 2 2 3 3 2 2 3" xfId="24163" xr:uid="{00000000-0005-0000-0000-0000C9D30000}"/>
    <cellStyle name="Normal 9 2 2 3 3 2 2 3 2" xfId="51296" xr:uid="{00000000-0005-0000-0000-0000CAD30000}"/>
    <cellStyle name="Normal 9 2 2 3 3 2 2 4" xfId="37734" xr:uid="{00000000-0005-0000-0000-0000CBD30000}"/>
    <cellStyle name="Normal 9 2 2 3 3 2 3" xfId="13987" xr:uid="{00000000-0005-0000-0000-0000CCD30000}"/>
    <cellStyle name="Normal 9 2 2 3 3 2 3 2" xfId="27555" xr:uid="{00000000-0005-0000-0000-0000CDD30000}"/>
    <cellStyle name="Normal 9 2 2 3 3 2 3 2 2" xfId="54688" xr:uid="{00000000-0005-0000-0000-0000CED30000}"/>
    <cellStyle name="Normal 9 2 2 3 3 2 3 3" xfId="41126" xr:uid="{00000000-0005-0000-0000-0000CFD30000}"/>
    <cellStyle name="Normal 9 2 2 3 3 2 4" xfId="20774" xr:uid="{00000000-0005-0000-0000-0000D0D30000}"/>
    <cellStyle name="Normal 9 2 2 3 3 2 4 2" xfId="47907" xr:uid="{00000000-0005-0000-0000-0000D1D30000}"/>
    <cellStyle name="Normal 9 2 2 3 3 2 5" xfId="34345" xr:uid="{00000000-0005-0000-0000-0000D2D30000}"/>
    <cellStyle name="Normal 9 2 2 3 3 3" xfId="7061" xr:uid="{00000000-0005-0000-0000-0000D3D30000}"/>
    <cellStyle name="Normal 9 2 2 3 3 3 2" xfId="10587" xr:uid="{00000000-0005-0000-0000-0000D4D30000}"/>
    <cellStyle name="Normal 9 2 2 3 3 3 2 2" xfId="17377" xr:uid="{00000000-0005-0000-0000-0000D5D30000}"/>
    <cellStyle name="Normal 9 2 2 3 3 3 2 2 2" xfId="30945" xr:uid="{00000000-0005-0000-0000-0000D6D30000}"/>
    <cellStyle name="Normal 9 2 2 3 3 3 2 2 2 2" xfId="58078" xr:uid="{00000000-0005-0000-0000-0000D7D30000}"/>
    <cellStyle name="Normal 9 2 2 3 3 3 2 2 3" xfId="44516" xr:uid="{00000000-0005-0000-0000-0000D8D30000}"/>
    <cellStyle name="Normal 9 2 2 3 3 3 2 3" xfId="24164" xr:uid="{00000000-0005-0000-0000-0000D9D30000}"/>
    <cellStyle name="Normal 9 2 2 3 3 3 2 3 2" xfId="51297" xr:uid="{00000000-0005-0000-0000-0000DAD30000}"/>
    <cellStyle name="Normal 9 2 2 3 3 3 2 4" xfId="37735" xr:uid="{00000000-0005-0000-0000-0000DBD30000}"/>
    <cellStyle name="Normal 9 2 2 3 3 3 3" xfId="13988" xr:uid="{00000000-0005-0000-0000-0000DCD30000}"/>
    <cellStyle name="Normal 9 2 2 3 3 3 3 2" xfId="27556" xr:uid="{00000000-0005-0000-0000-0000DDD30000}"/>
    <cellStyle name="Normal 9 2 2 3 3 3 3 2 2" xfId="54689" xr:uid="{00000000-0005-0000-0000-0000DED30000}"/>
    <cellStyle name="Normal 9 2 2 3 3 3 3 3" xfId="41127" xr:uid="{00000000-0005-0000-0000-0000DFD30000}"/>
    <cellStyle name="Normal 9 2 2 3 3 3 4" xfId="20775" xr:uid="{00000000-0005-0000-0000-0000E0D30000}"/>
    <cellStyle name="Normal 9 2 2 3 3 3 4 2" xfId="47908" xr:uid="{00000000-0005-0000-0000-0000E1D30000}"/>
    <cellStyle name="Normal 9 2 2 3 3 3 5" xfId="34346" xr:uid="{00000000-0005-0000-0000-0000E2D30000}"/>
    <cellStyle name="Normal 9 2 2 3 3 4" xfId="10585" xr:uid="{00000000-0005-0000-0000-0000E3D30000}"/>
    <cellStyle name="Normal 9 2 2 3 3 4 2" xfId="17375" xr:uid="{00000000-0005-0000-0000-0000E4D30000}"/>
    <cellStyle name="Normal 9 2 2 3 3 4 2 2" xfId="30943" xr:uid="{00000000-0005-0000-0000-0000E5D30000}"/>
    <cellStyle name="Normal 9 2 2 3 3 4 2 2 2" xfId="58076" xr:uid="{00000000-0005-0000-0000-0000E6D30000}"/>
    <cellStyle name="Normal 9 2 2 3 3 4 2 3" xfId="44514" xr:uid="{00000000-0005-0000-0000-0000E7D30000}"/>
    <cellStyle name="Normal 9 2 2 3 3 4 3" xfId="24162" xr:uid="{00000000-0005-0000-0000-0000E8D30000}"/>
    <cellStyle name="Normal 9 2 2 3 3 4 3 2" xfId="51295" xr:uid="{00000000-0005-0000-0000-0000E9D30000}"/>
    <cellStyle name="Normal 9 2 2 3 3 4 4" xfId="37733" xr:uid="{00000000-0005-0000-0000-0000EAD30000}"/>
    <cellStyle name="Normal 9 2 2 3 3 5" xfId="13986" xr:uid="{00000000-0005-0000-0000-0000EBD30000}"/>
    <cellStyle name="Normal 9 2 2 3 3 5 2" xfId="27554" xr:uid="{00000000-0005-0000-0000-0000ECD30000}"/>
    <cellStyle name="Normal 9 2 2 3 3 5 2 2" xfId="54687" xr:uid="{00000000-0005-0000-0000-0000EDD30000}"/>
    <cellStyle name="Normal 9 2 2 3 3 5 3" xfId="41125" xr:uid="{00000000-0005-0000-0000-0000EED30000}"/>
    <cellStyle name="Normal 9 2 2 3 3 6" xfId="20773" xr:uid="{00000000-0005-0000-0000-0000EFD30000}"/>
    <cellStyle name="Normal 9 2 2 3 3 6 2" xfId="47906" xr:uid="{00000000-0005-0000-0000-0000F0D30000}"/>
    <cellStyle name="Normal 9 2 2 3 3 7" xfId="34344" xr:uid="{00000000-0005-0000-0000-0000F1D30000}"/>
    <cellStyle name="Normal 9 2 2 3 4" xfId="7062" xr:uid="{00000000-0005-0000-0000-0000F2D30000}"/>
    <cellStyle name="Normal 9 2 2 3 4 2" xfId="7063" xr:uid="{00000000-0005-0000-0000-0000F3D30000}"/>
    <cellStyle name="Normal 9 2 2 3 4 2 2" xfId="10589" xr:uid="{00000000-0005-0000-0000-0000F4D30000}"/>
    <cellStyle name="Normal 9 2 2 3 4 2 2 2" xfId="17379" xr:uid="{00000000-0005-0000-0000-0000F5D30000}"/>
    <cellStyle name="Normal 9 2 2 3 4 2 2 2 2" xfId="30947" xr:uid="{00000000-0005-0000-0000-0000F6D30000}"/>
    <cellStyle name="Normal 9 2 2 3 4 2 2 2 2 2" xfId="58080" xr:uid="{00000000-0005-0000-0000-0000F7D30000}"/>
    <cellStyle name="Normal 9 2 2 3 4 2 2 2 3" xfId="44518" xr:uid="{00000000-0005-0000-0000-0000F8D30000}"/>
    <cellStyle name="Normal 9 2 2 3 4 2 2 3" xfId="24166" xr:uid="{00000000-0005-0000-0000-0000F9D30000}"/>
    <cellStyle name="Normal 9 2 2 3 4 2 2 3 2" xfId="51299" xr:uid="{00000000-0005-0000-0000-0000FAD30000}"/>
    <cellStyle name="Normal 9 2 2 3 4 2 2 4" xfId="37737" xr:uid="{00000000-0005-0000-0000-0000FBD30000}"/>
    <cellStyle name="Normal 9 2 2 3 4 2 3" xfId="13990" xr:uid="{00000000-0005-0000-0000-0000FCD30000}"/>
    <cellStyle name="Normal 9 2 2 3 4 2 3 2" xfId="27558" xr:uid="{00000000-0005-0000-0000-0000FDD30000}"/>
    <cellStyle name="Normal 9 2 2 3 4 2 3 2 2" xfId="54691" xr:uid="{00000000-0005-0000-0000-0000FED30000}"/>
    <cellStyle name="Normal 9 2 2 3 4 2 3 3" xfId="41129" xr:uid="{00000000-0005-0000-0000-0000FFD30000}"/>
    <cellStyle name="Normal 9 2 2 3 4 2 4" xfId="20777" xr:uid="{00000000-0005-0000-0000-000000D40000}"/>
    <cellStyle name="Normal 9 2 2 3 4 2 4 2" xfId="47910" xr:uid="{00000000-0005-0000-0000-000001D40000}"/>
    <cellStyle name="Normal 9 2 2 3 4 2 5" xfId="34348" xr:uid="{00000000-0005-0000-0000-000002D40000}"/>
    <cellStyle name="Normal 9 2 2 3 4 3" xfId="10588" xr:uid="{00000000-0005-0000-0000-000003D40000}"/>
    <cellStyle name="Normal 9 2 2 3 4 3 2" xfId="17378" xr:uid="{00000000-0005-0000-0000-000004D40000}"/>
    <cellStyle name="Normal 9 2 2 3 4 3 2 2" xfId="30946" xr:uid="{00000000-0005-0000-0000-000005D40000}"/>
    <cellStyle name="Normal 9 2 2 3 4 3 2 2 2" xfId="58079" xr:uid="{00000000-0005-0000-0000-000006D40000}"/>
    <cellStyle name="Normal 9 2 2 3 4 3 2 3" xfId="44517" xr:uid="{00000000-0005-0000-0000-000007D40000}"/>
    <cellStyle name="Normal 9 2 2 3 4 3 3" xfId="24165" xr:uid="{00000000-0005-0000-0000-000008D40000}"/>
    <cellStyle name="Normal 9 2 2 3 4 3 3 2" xfId="51298" xr:uid="{00000000-0005-0000-0000-000009D40000}"/>
    <cellStyle name="Normal 9 2 2 3 4 3 4" xfId="37736" xr:uid="{00000000-0005-0000-0000-00000AD40000}"/>
    <cellStyle name="Normal 9 2 2 3 4 4" xfId="13989" xr:uid="{00000000-0005-0000-0000-00000BD40000}"/>
    <cellStyle name="Normal 9 2 2 3 4 4 2" xfId="27557" xr:uid="{00000000-0005-0000-0000-00000CD40000}"/>
    <cellStyle name="Normal 9 2 2 3 4 4 2 2" xfId="54690" xr:uid="{00000000-0005-0000-0000-00000DD40000}"/>
    <cellStyle name="Normal 9 2 2 3 4 4 3" xfId="41128" xr:uid="{00000000-0005-0000-0000-00000ED40000}"/>
    <cellStyle name="Normal 9 2 2 3 4 5" xfId="20776" xr:uid="{00000000-0005-0000-0000-00000FD40000}"/>
    <cellStyle name="Normal 9 2 2 3 4 5 2" xfId="47909" xr:uid="{00000000-0005-0000-0000-000010D40000}"/>
    <cellStyle name="Normal 9 2 2 3 4 6" xfId="34347" xr:uid="{00000000-0005-0000-0000-000011D40000}"/>
    <cellStyle name="Normal 9 2 2 3 5" xfId="7064" xr:uid="{00000000-0005-0000-0000-000012D40000}"/>
    <cellStyle name="Normal 9 2 2 3 5 2" xfId="10590" xr:uid="{00000000-0005-0000-0000-000013D40000}"/>
    <cellStyle name="Normal 9 2 2 3 5 2 2" xfId="17380" xr:uid="{00000000-0005-0000-0000-000014D40000}"/>
    <cellStyle name="Normal 9 2 2 3 5 2 2 2" xfId="30948" xr:uid="{00000000-0005-0000-0000-000015D40000}"/>
    <cellStyle name="Normal 9 2 2 3 5 2 2 2 2" xfId="58081" xr:uid="{00000000-0005-0000-0000-000016D40000}"/>
    <cellStyle name="Normal 9 2 2 3 5 2 2 3" xfId="44519" xr:uid="{00000000-0005-0000-0000-000017D40000}"/>
    <cellStyle name="Normal 9 2 2 3 5 2 3" xfId="24167" xr:uid="{00000000-0005-0000-0000-000018D40000}"/>
    <cellStyle name="Normal 9 2 2 3 5 2 3 2" xfId="51300" xr:uid="{00000000-0005-0000-0000-000019D40000}"/>
    <cellStyle name="Normal 9 2 2 3 5 2 4" xfId="37738" xr:uid="{00000000-0005-0000-0000-00001AD40000}"/>
    <cellStyle name="Normal 9 2 2 3 5 3" xfId="13991" xr:uid="{00000000-0005-0000-0000-00001BD40000}"/>
    <cellStyle name="Normal 9 2 2 3 5 3 2" xfId="27559" xr:uid="{00000000-0005-0000-0000-00001CD40000}"/>
    <cellStyle name="Normal 9 2 2 3 5 3 2 2" xfId="54692" xr:uid="{00000000-0005-0000-0000-00001DD40000}"/>
    <cellStyle name="Normal 9 2 2 3 5 3 3" xfId="41130" xr:uid="{00000000-0005-0000-0000-00001ED40000}"/>
    <cellStyle name="Normal 9 2 2 3 5 4" xfId="20778" xr:uid="{00000000-0005-0000-0000-00001FD40000}"/>
    <cellStyle name="Normal 9 2 2 3 5 4 2" xfId="47911" xr:uid="{00000000-0005-0000-0000-000020D40000}"/>
    <cellStyle name="Normal 9 2 2 3 5 5" xfId="34349" xr:uid="{00000000-0005-0000-0000-000021D40000}"/>
    <cellStyle name="Normal 9 2 2 3 6" xfId="7065" xr:uid="{00000000-0005-0000-0000-000022D40000}"/>
    <cellStyle name="Normal 9 2 2 3 6 2" xfId="10591" xr:uid="{00000000-0005-0000-0000-000023D40000}"/>
    <cellStyle name="Normal 9 2 2 3 6 2 2" xfId="17381" xr:uid="{00000000-0005-0000-0000-000024D40000}"/>
    <cellStyle name="Normal 9 2 2 3 6 2 2 2" xfId="30949" xr:uid="{00000000-0005-0000-0000-000025D40000}"/>
    <cellStyle name="Normal 9 2 2 3 6 2 2 2 2" xfId="58082" xr:uid="{00000000-0005-0000-0000-000026D40000}"/>
    <cellStyle name="Normal 9 2 2 3 6 2 2 3" xfId="44520" xr:uid="{00000000-0005-0000-0000-000027D40000}"/>
    <cellStyle name="Normal 9 2 2 3 6 2 3" xfId="24168" xr:uid="{00000000-0005-0000-0000-000028D40000}"/>
    <cellStyle name="Normal 9 2 2 3 6 2 3 2" xfId="51301" xr:uid="{00000000-0005-0000-0000-000029D40000}"/>
    <cellStyle name="Normal 9 2 2 3 6 2 4" xfId="37739" xr:uid="{00000000-0005-0000-0000-00002AD40000}"/>
    <cellStyle name="Normal 9 2 2 3 6 3" xfId="13992" xr:uid="{00000000-0005-0000-0000-00002BD40000}"/>
    <cellStyle name="Normal 9 2 2 3 6 3 2" xfId="27560" xr:uid="{00000000-0005-0000-0000-00002CD40000}"/>
    <cellStyle name="Normal 9 2 2 3 6 3 2 2" xfId="54693" xr:uid="{00000000-0005-0000-0000-00002DD40000}"/>
    <cellStyle name="Normal 9 2 2 3 6 3 3" xfId="41131" xr:uid="{00000000-0005-0000-0000-00002ED40000}"/>
    <cellStyle name="Normal 9 2 2 3 6 4" xfId="20779" xr:uid="{00000000-0005-0000-0000-00002FD40000}"/>
    <cellStyle name="Normal 9 2 2 3 6 4 2" xfId="47912" xr:uid="{00000000-0005-0000-0000-000030D40000}"/>
    <cellStyle name="Normal 9 2 2 3 6 5" xfId="34350" xr:uid="{00000000-0005-0000-0000-000031D40000}"/>
    <cellStyle name="Normal 9 2 2 3 7" xfId="10576" xr:uid="{00000000-0005-0000-0000-000032D40000}"/>
    <cellStyle name="Normal 9 2 2 3 7 2" xfId="17366" xr:uid="{00000000-0005-0000-0000-000033D40000}"/>
    <cellStyle name="Normal 9 2 2 3 7 2 2" xfId="30934" xr:uid="{00000000-0005-0000-0000-000034D40000}"/>
    <cellStyle name="Normal 9 2 2 3 7 2 2 2" xfId="58067" xr:uid="{00000000-0005-0000-0000-000035D40000}"/>
    <cellStyle name="Normal 9 2 2 3 7 2 3" xfId="44505" xr:uid="{00000000-0005-0000-0000-000036D40000}"/>
    <cellStyle name="Normal 9 2 2 3 7 3" xfId="24153" xr:uid="{00000000-0005-0000-0000-000037D40000}"/>
    <cellStyle name="Normal 9 2 2 3 7 3 2" xfId="51286" xr:uid="{00000000-0005-0000-0000-000038D40000}"/>
    <cellStyle name="Normal 9 2 2 3 7 4" xfId="37724" xr:uid="{00000000-0005-0000-0000-000039D40000}"/>
    <cellStyle name="Normal 9 2 2 3 8" xfId="13977" xr:uid="{00000000-0005-0000-0000-00003AD40000}"/>
    <cellStyle name="Normal 9 2 2 3 8 2" xfId="27545" xr:uid="{00000000-0005-0000-0000-00003BD40000}"/>
    <cellStyle name="Normal 9 2 2 3 8 2 2" xfId="54678" xr:uid="{00000000-0005-0000-0000-00003CD40000}"/>
    <cellStyle name="Normal 9 2 2 3 8 3" xfId="41116" xr:uid="{00000000-0005-0000-0000-00003DD40000}"/>
    <cellStyle name="Normal 9 2 2 3 9" xfId="20764" xr:uid="{00000000-0005-0000-0000-00003ED40000}"/>
    <cellStyle name="Normal 9 2 2 3 9 2" xfId="47897" xr:uid="{00000000-0005-0000-0000-00003FD40000}"/>
    <cellStyle name="Normal 9 2 2 4" xfId="7066" xr:uid="{00000000-0005-0000-0000-000040D40000}"/>
    <cellStyle name="Normal 9 2 2 4 2" xfId="7067" xr:uid="{00000000-0005-0000-0000-000041D40000}"/>
    <cellStyle name="Normal 9 2 2 4 2 2" xfId="7068" xr:uid="{00000000-0005-0000-0000-000042D40000}"/>
    <cellStyle name="Normal 9 2 2 4 2 2 2" xfId="10594" xr:uid="{00000000-0005-0000-0000-000043D40000}"/>
    <cellStyle name="Normal 9 2 2 4 2 2 2 2" xfId="17384" xr:uid="{00000000-0005-0000-0000-000044D40000}"/>
    <cellStyle name="Normal 9 2 2 4 2 2 2 2 2" xfId="30952" xr:uid="{00000000-0005-0000-0000-000045D40000}"/>
    <cellStyle name="Normal 9 2 2 4 2 2 2 2 2 2" xfId="58085" xr:uid="{00000000-0005-0000-0000-000046D40000}"/>
    <cellStyle name="Normal 9 2 2 4 2 2 2 2 3" xfId="44523" xr:uid="{00000000-0005-0000-0000-000047D40000}"/>
    <cellStyle name="Normal 9 2 2 4 2 2 2 3" xfId="24171" xr:uid="{00000000-0005-0000-0000-000048D40000}"/>
    <cellStyle name="Normal 9 2 2 4 2 2 2 3 2" xfId="51304" xr:uid="{00000000-0005-0000-0000-000049D40000}"/>
    <cellStyle name="Normal 9 2 2 4 2 2 2 4" xfId="37742" xr:uid="{00000000-0005-0000-0000-00004AD40000}"/>
    <cellStyle name="Normal 9 2 2 4 2 2 3" xfId="13995" xr:uid="{00000000-0005-0000-0000-00004BD40000}"/>
    <cellStyle name="Normal 9 2 2 4 2 2 3 2" xfId="27563" xr:uid="{00000000-0005-0000-0000-00004CD40000}"/>
    <cellStyle name="Normal 9 2 2 4 2 2 3 2 2" xfId="54696" xr:uid="{00000000-0005-0000-0000-00004DD40000}"/>
    <cellStyle name="Normal 9 2 2 4 2 2 3 3" xfId="41134" xr:uid="{00000000-0005-0000-0000-00004ED40000}"/>
    <cellStyle name="Normal 9 2 2 4 2 2 4" xfId="20782" xr:uid="{00000000-0005-0000-0000-00004FD40000}"/>
    <cellStyle name="Normal 9 2 2 4 2 2 4 2" xfId="47915" xr:uid="{00000000-0005-0000-0000-000050D40000}"/>
    <cellStyle name="Normal 9 2 2 4 2 2 5" xfId="34353" xr:uid="{00000000-0005-0000-0000-000051D40000}"/>
    <cellStyle name="Normal 9 2 2 4 2 3" xfId="7069" xr:uid="{00000000-0005-0000-0000-000052D40000}"/>
    <cellStyle name="Normal 9 2 2 4 2 3 2" xfId="10595" xr:uid="{00000000-0005-0000-0000-000053D40000}"/>
    <cellStyle name="Normal 9 2 2 4 2 3 2 2" xfId="17385" xr:uid="{00000000-0005-0000-0000-000054D40000}"/>
    <cellStyle name="Normal 9 2 2 4 2 3 2 2 2" xfId="30953" xr:uid="{00000000-0005-0000-0000-000055D40000}"/>
    <cellStyle name="Normal 9 2 2 4 2 3 2 2 2 2" xfId="58086" xr:uid="{00000000-0005-0000-0000-000056D40000}"/>
    <cellStyle name="Normal 9 2 2 4 2 3 2 2 3" xfId="44524" xr:uid="{00000000-0005-0000-0000-000057D40000}"/>
    <cellStyle name="Normal 9 2 2 4 2 3 2 3" xfId="24172" xr:uid="{00000000-0005-0000-0000-000058D40000}"/>
    <cellStyle name="Normal 9 2 2 4 2 3 2 3 2" xfId="51305" xr:uid="{00000000-0005-0000-0000-000059D40000}"/>
    <cellStyle name="Normal 9 2 2 4 2 3 2 4" xfId="37743" xr:uid="{00000000-0005-0000-0000-00005AD40000}"/>
    <cellStyle name="Normal 9 2 2 4 2 3 3" xfId="13996" xr:uid="{00000000-0005-0000-0000-00005BD40000}"/>
    <cellStyle name="Normal 9 2 2 4 2 3 3 2" xfId="27564" xr:uid="{00000000-0005-0000-0000-00005CD40000}"/>
    <cellStyle name="Normal 9 2 2 4 2 3 3 2 2" xfId="54697" xr:uid="{00000000-0005-0000-0000-00005DD40000}"/>
    <cellStyle name="Normal 9 2 2 4 2 3 3 3" xfId="41135" xr:uid="{00000000-0005-0000-0000-00005ED40000}"/>
    <cellStyle name="Normal 9 2 2 4 2 3 4" xfId="20783" xr:uid="{00000000-0005-0000-0000-00005FD40000}"/>
    <cellStyle name="Normal 9 2 2 4 2 3 4 2" xfId="47916" xr:uid="{00000000-0005-0000-0000-000060D40000}"/>
    <cellStyle name="Normal 9 2 2 4 2 3 5" xfId="34354" xr:uid="{00000000-0005-0000-0000-000061D40000}"/>
    <cellStyle name="Normal 9 2 2 4 2 4" xfId="10593" xr:uid="{00000000-0005-0000-0000-000062D40000}"/>
    <cellStyle name="Normal 9 2 2 4 2 4 2" xfId="17383" xr:uid="{00000000-0005-0000-0000-000063D40000}"/>
    <cellStyle name="Normal 9 2 2 4 2 4 2 2" xfId="30951" xr:uid="{00000000-0005-0000-0000-000064D40000}"/>
    <cellStyle name="Normal 9 2 2 4 2 4 2 2 2" xfId="58084" xr:uid="{00000000-0005-0000-0000-000065D40000}"/>
    <cellStyle name="Normal 9 2 2 4 2 4 2 3" xfId="44522" xr:uid="{00000000-0005-0000-0000-000066D40000}"/>
    <cellStyle name="Normal 9 2 2 4 2 4 3" xfId="24170" xr:uid="{00000000-0005-0000-0000-000067D40000}"/>
    <cellStyle name="Normal 9 2 2 4 2 4 3 2" xfId="51303" xr:uid="{00000000-0005-0000-0000-000068D40000}"/>
    <cellStyle name="Normal 9 2 2 4 2 4 4" xfId="37741" xr:uid="{00000000-0005-0000-0000-000069D40000}"/>
    <cellStyle name="Normal 9 2 2 4 2 5" xfId="13994" xr:uid="{00000000-0005-0000-0000-00006AD40000}"/>
    <cellStyle name="Normal 9 2 2 4 2 5 2" xfId="27562" xr:uid="{00000000-0005-0000-0000-00006BD40000}"/>
    <cellStyle name="Normal 9 2 2 4 2 5 2 2" xfId="54695" xr:uid="{00000000-0005-0000-0000-00006CD40000}"/>
    <cellStyle name="Normal 9 2 2 4 2 5 3" xfId="41133" xr:uid="{00000000-0005-0000-0000-00006DD40000}"/>
    <cellStyle name="Normal 9 2 2 4 2 6" xfId="20781" xr:uid="{00000000-0005-0000-0000-00006ED40000}"/>
    <cellStyle name="Normal 9 2 2 4 2 6 2" xfId="47914" xr:uid="{00000000-0005-0000-0000-00006FD40000}"/>
    <cellStyle name="Normal 9 2 2 4 2 7" xfId="34352" xr:uid="{00000000-0005-0000-0000-000070D40000}"/>
    <cellStyle name="Normal 9 2 2 4 3" xfId="7070" xr:uid="{00000000-0005-0000-0000-000071D40000}"/>
    <cellStyle name="Normal 9 2 2 4 3 2" xfId="7071" xr:uid="{00000000-0005-0000-0000-000072D40000}"/>
    <cellStyle name="Normal 9 2 2 4 3 2 2" xfId="10597" xr:uid="{00000000-0005-0000-0000-000073D40000}"/>
    <cellStyle name="Normal 9 2 2 4 3 2 2 2" xfId="17387" xr:uid="{00000000-0005-0000-0000-000074D40000}"/>
    <cellStyle name="Normal 9 2 2 4 3 2 2 2 2" xfId="30955" xr:uid="{00000000-0005-0000-0000-000075D40000}"/>
    <cellStyle name="Normal 9 2 2 4 3 2 2 2 2 2" xfId="58088" xr:uid="{00000000-0005-0000-0000-000076D40000}"/>
    <cellStyle name="Normal 9 2 2 4 3 2 2 2 3" xfId="44526" xr:uid="{00000000-0005-0000-0000-000077D40000}"/>
    <cellStyle name="Normal 9 2 2 4 3 2 2 3" xfId="24174" xr:uid="{00000000-0005-0000-0000-000078D40000}"/>
    <cellStyle name="Normal 9 2 2 4 3 2 2 3 2" xfId="51307" xr:uid="{00000000-0005-0000-0000-000079D40000}"/>
    <cellStyle name="Normal 9 2 2 4 3 2 2 4" xfId="37745" xr:uid="{00000000-0005-0000-0000-00007AD40000}"/>
    <cellStyle name="Normal 9 2 2 4 3 2 3" xfId="13998" xr:uid="{00000000-0005-0000-0000-00007BD40000}"/>
    <cellStyle name="Normal 9 2 2 4 3 2 3 2" xfId="27566" xr:uid="{00000000-0005-0000-0000-00007CD40000}"/>
    <cellStyle name="Normal 9 2 2 4 3 2 3 2 2" xfId="54699" xr:uid="{00000000-0005-0000-0000-00007DD40000}"/>
    <cellStyle name="Normal 9 2 2 4 3 2 3 3" xfId="41137" xr:uid="{00000000-0005-0000-0000-00007ED40000}"/>
    <cellStyle name="Normal 9 2 2 4 3 2 4" xfId="20785" xr:uid="{00000000-0005-0000-0000-00007FD40000}"/>
    <cellStyle name="Normal 9 2 2 4 3 2 4 2" xfId="47918" xr:uid="{00000000-0005-0000-0000-000080D40000}"/>
    <cellStyle name="Normal 9 2 2 4 3 2 5" xfId="34356" xr:uid="{00000000-0005-0000-0000-000081D40000}"/>
    <cellStyle name="Normal 9 2 2 4 3 3" xfId="10596" xr:uid="{00000000-0005-0000-0000-000082D40000}"/>
    <cellStyle name="Normal 9 2 2 4 3 3 2" xfId="17386" xr:uid="{00000000-0005-0000-0000-000083D40000}"/>
    <cellStyle name="Normal 9 2 2 4 3 3 2 2" xfId="30954" xr:uid="{00000000-0005-0000-0000-000084D40000}"/>
    <cellStyle name="Normal 9 2 2 4 3 3 2 2 2" xfId="58087" xr:uid="{00000000-0005-0000-0000-000085D40000}"/>
    <cellStyle name="Normal 9 2 2 4 3 3 2 3" xfId="44525" xr:uid="{00000000-0005-0000-0000-000086D40000}"/>
    <cellStyle name="Normal 9 2 2 4 3 3 3" xfId="24173" xr:uid="{00000000-0005-0000-0000-000087D40000}"/>
    <cellStyle name="Normal 9 2 2 4 3 3 3 2" xfId="51306" xr:uid="{00000000-0005-0000-0000-000088D40000}"/>
    <cellStyle name="Normal 9 2 2 4 3 3 4" xfId="37744" xr:uid="{00000000-0005-0000-0000-000089D40000}"/>
    <cellStyle name="Normal 9 2 2 4 3 4" xfId="13997" xr:uid="{00000000-0005-0000-0000-00008AD40000}"/>
    <cellStyle name="Normal 9 2 2 4 3 4 2" xfId="27565" xr:uid="{00000000-0005-0000-0000-00008BD40000}"/>
    <cellStyle name="Normal 9 2 2 4 3 4 2 2" xfId="54698" xr:uid="{00000000-0005-0000-0000-00008CD40000}"/>
    <cellStyle name="Normal 9 2 2 4 3 4 3" xfId="41136" xr:uid="{00000000-0005-0000-0000-00008DD40000}"/>
    <cellStyle name="Normal 9 2 2 4 3 5" xfId="20784" xr:uid="{00000000-0005-0000-0000-00008ED40000}"/>
    <cellStyle name="Normal 9 2 2 4 3 5 2" xfId="47917" xr:uid="{00000000-0005-0000-0000-00008FD40000}"/>
    <cellStyle name="Normal 9 2 2 4 3 6" xfId="34355" xr:uid="{00000000-0005-0000-0000-000090D40000}"/>
    <cellStyle name="Normal 9 2 2 4 4" xfId="7072" xr:uid="{00000000-0005-0000-0000-000091D40000}"/>
    <cellStyle name="Normal 9 2 2 4 4 2" xfId="10598" xr:uid="{00000000-0005-0000-0000-000092D40000}"/>
    <cellStyle name="Normal 9 2 2 4 4 2 2" xfId="17388" xr:uid="{00000000-0005-0000-0000-000093D40000}"/>
    <cellStyle name="Normal 9 2 2 4 4 2 2 2" xfId="30956" xr:uid="{00000000-0005-0000-0000-000094D40000}"/>
    <cellStyle name="Normal 9 2 2 4 4 2 2 2 2" xfId="58089" xr:uid="{00000000-0005-0000-0000-000095D40000}"/>
    <cellStyle name="Normal 9 2 2 4 4 2 2 3" xfId="44527" xr:uid="{00000000-0005-0000-0000-000096D40000}"/>
    <cellStyle name="Normal 9 2 2 4 4 2 3" xfId="24175" xr:uid="{00000000-0005-0000-0000-000097D40000}"/>
    <cellStyle name="Normal 9 2 2 4 4 2 3 2" xfId="51308" xr:uid="{00000000-0005-0000-0000-000098D40000}"/>
    <cellStyle name="Normal 9 2 2 4 4 2 4" xfId="37746" xr:uid="{00000000-0005-0000-0000-000099D40000}"/>
    <cellStyle name="Normal 9 2 2 4 4 3" xfId="13999" xr:uid="{00000000-0005-0000-0000-00009AD40000}"/>
    <cellStyle name="Normal 9 2 2 4 4 3 2" xfId="27567" xr:uid="{00000000-0005-0000-0000-00009BD40000}"/>
    <cellStyle name="Normal 9 2 2 4 4 3 2 2" xfId="54700" xr:uid="{00000000-0005-0000-0000-00009CD40000}"/>
    <cellStyle name="Normal 9 2 2 4 4 3 3" xfId="41138" xr:uid="{00000000-0005-0000-0000-00009DD40000}"/>
    <cellStyle name="Normal 9 2 2 4 4 4" xfId="20786" xr:uid="{00000000-0005-0000-0000-00009ED40000}"/>
    <cellStyle name="Normal 9 2 2 4 4 4 2" xfId="47919" xr:uid="{00000000-0005-0000-0000-00009FD40000}"/>
    <cellStyle name="Normal 9 2 2 4 4 5" xfId="34357" xr:uid="{00000000-0005-0000-0000-0000A0D40000}"/>
    <cellStyle name="Normal 9 2 2 4 5" xfId="7073" xr:uid="{00000000-0005-0000-0000-0000A1D40000}"/>
    <cellStyle name="Normal 9 2 2 4 5 2" xfId="10599" xr:uid="{00000000-0005-0000-0000-0000A2D40000}"/>
    <cellStyle name="Normal 9 2 2 4 5 2 2" xfId="17389" xr:uid="{00000000-0005-0000-0000-0000A3D40000}"/>
    <cellStyle name="Normal 9 2 2 4 5 2 2 2" xfId="30957" xr:uid="{00000000-0005-0000-0000-0000A4D40000}"/>
    <cellStyle name="Normal 9 2 2 4 5 2 2 2 2" xfId="58090" xr:uid="{00000000-0005-0000-0000-0000A5D40000}"/>
    <cellStyle name="Normal 9 2 2 4 5 2 2 3" xfId="44528" xr:uid="{00000000-0005-0000-0000-0000A6D40000}"/>
    <cellStyle name="Normal 9 2 2 4 5 2 3" xfId="24176" xr:uid="{00000000-0005-0000-0000-0000A7D40000}"/>
    <cellStyle name="Normal 9 2 2 4 5 2 3 2" xfId="51309" xr:uid="{00000000-0005-0000-0000-0000A8D40000}"/>
    <cellStyle name="Normal 9 2 2 4 5 2 4" xfId="37747" xr:uid="{00000000-0005-0000-0000-0000A9D40000}"/>
    <cellStyle name="Normal 9 2 2 4 5 3" xfId="14000" xr:uid="{00000000-0005-0000-0000-0000AAD40000}"/>
    <cellStyle name="Normal 9 2 2 4 5 3 2" xfId="27568" xr:uid="{00000000-0005-0000-0000-0000ABD40000}"/>
    <cellStyle name="Normal 9 2 2 4 5 3 2 2" xfId="54701" xr:uid="{00000000-0005-0000-0000-0000ACD40000}"/>
    <cellStyle name="Normal 9 2 2 4 5 3 3" xfId="41139" xr:uid="{00000000-0005-0000-0000-0000ADD40000}"/>
    <cellStyle name="Normal 9 2 2 4 5 4" xfId="20787" xr:uid="{00000000-0005-0000-0000-0000AED40000}"/>
    <cellStyle name="Normal 9 2 2 4 5 4 2" xfId="47920" xr:uid="{00000000-0005-0000-0000-0000AFD40000}"/>
    <cellStyle name="Normal 9 2 2 4 5 5" xfId="34358" xr:uid="{00000000-0005-0000-0000-0000B0D40000}"/>
    <cellStyle name="Normal 9 2 2 4 6" xfId="10592" xr:uid="{00000000-0005-0000-0000-0000B1D40000}"/>
    <cellStyle name="Normal 9 2 2 4 6 2" xfId="17382" xr:uid="{00000000-0005-0000-0000-0000B2D40000}"/>
    <cellStyle name="Normal 9 2 2 4 6 2 2" xfId="30950" xr:uid="{00000000-0005-0000-0000-0000B3D40000}"/>
    <cellStyle name="Normal 9 2 2 4 6 2 2 2" xfId="58083" xr:uid="{00000000-0005-0000-0000-0000B4D40000}"/>
    <cellStyle name="Normal 9 2 2 4 6 2 3" xfId="44521" xr:uid="{00000000-0005-0000-0000-0000B5D40000}"/>
    <cellStyle name="Normal 9 2 2 4 6 3" xfId="24169" xr:uid="{00000000-0005-0000-0000-0000B6D40000}"/>
    <cellStyle name="Normal 9 2 2 4 6 3 2" xfId="51302" xr:uid="{00000000-0005-0000-0000-0000B7D40000}"/>
    <cellStyle name="Normal 9 2 2 4 6 4" xfId="37740" xr:uid="{00000000-0005-0000-0000-0000B8D40000}"/>
    <cellStyle name="Normal 9 2 2 4 7" xfId="13993" xr:uid="{00000000-0005-0000-0000-0000B9D40000}"/>
    <cellStyle name="Normal 9 2 2 4 7 2" xfId="27561" xr:uid="{00000000-0005-0000-0000-0000BAD40000}"/>
    <cellStyle name="Normal 9 2 2 4 7 2 2" xfId="54694" xr:uid="{00000000-0005-0000-0000-0000BBD40000}"/>
    <cellStyle name="Normal 9 2 2 4 7 3" xfId="41132" xr:uid="{00000000-0005-0000-0000-0000BCD40000}"/>
    <cellStyle name="Normal 9 2 2 4 8" xfId="20780" xr:uid="{00000000-0005-0000-0000-0000BDD40000}"/>
    <cellStyle name="Normal 9 2 2 4 8 2" xfId="47913" xr:uid="{00000000-0005-0000-0000-0000BED40000}"/>
    <cellStyle name="Normal 9 2 2 4 9" xfId="34351" xr:uid="{00000000-0005-0000-0000-0000BFD40000}"/>
    <cellStyle name="Normal 9 2 2 5" xfId="7074" xr:uid="{00000000-0005-0000-0000-0000C0D40000}"/>
    <cellStyle name="Normal 9 2 2 5 2" xfId="7075" xr:uid="{00000000-0005-0000-0000-0000C1D40000}"/>
    <cellStyle name="Normal 9 2 2 5 2 2" xfId="7076" xr:uid="{00000000-0005-0000-0000-0000C2D40000}"/>
    <cellStyle name="Normal 9 2 2 5 2 2 2" xfId="10602" xr:uid="{00000000-0005-0000-0000-0000C3D40000}"/>
    <cellStyle name="Normal 9 2 2 5 2 2 2 2" xfId="17392" xr:uid="{00000000-0005-0000-0000-0000C4D40000}"/>
    <cellStyle name="Normal 9 2 2 5 2 2 2 2 2" xfId="30960" xr:uid="{00000000-0005-0000-0000-0000C5D40000}"/>
    <cellStyle name="Normal 9 2 2 5 2 2 2 2 2 2" xfId="58093" xr:uid="{00000000-0005-0000-0000-0000C6D40000}"/>
    <cellStyle name="Normal 9 2 2 5 2 2 2 2 3" xfId="44531" xr:uid="{00000000-0005-0000-0000-0000C7D40000}"/>
    <cellStyle name="Normal 9 2 2 5 2 2 2 3" xfId="24179" xr:uid="{00000000-0005-0000-0000-0000C8D40000}"/>
    <cellStyle name="Normal 9 2 2 5 2 2 2 3 2" xfId="51312" xr:uid="{00000000-0005-0000-0000-0000C9D40000}"/>
    <cellStyle name="Normal 9 2 2 5 2 2 2 4" xfId="37750" xr:uid="{00000000-0005-0000-0000-0000CAD40000}"/>
    <cellStyle name="Normal 9 2 2 5 2 2 3" xfId="14003" xr:uid="{00000000-0005-0000-0000-0000CBD40000}"/>
    <cellStyle name="Normal 9 2 2 5 2 2 3 2" xfId="27571" xr:uid="{00000000-0005-0000-0000-0000CCD40000}"/>
    <cellStyle name="Normal 9 2 2 5 2 2 3 2 2" xfId="54704" xr:uid="{00000000-0005-0000-0000-0000CDD40000}"/>
    <cellStyle name="Normal 9 2 2 5 2 2 3 3" xfId="41142" xr:uid="{00000000-0005-0000-0000-0000CED40000}"/>
    <cellStyle name="Normal 9 2 2 5 2 2 4" xfId="20790" xr:uid="{00000000-0005-0000-0000-0000CFD40000}"/>
    <cellStyle name="Normal 9 2 2 5 2 2 4 2" xfId="47923" xr:uid="{00000000-0005-0000-0000-0000D0D40000}"/>
    <cellStyle name="Normal 9 2 2 5 2 2 5" xfId="34361" xr:uid="{00000000-0005-0000-0000-0000D1D40000}"/>
    <cellStyle name="Normal 9 2 2 5 2 3" xfId="7077" xr:uid="{00000000-0005-0000-0000-0000D2D40000}"/>
    <cellStyle name="Normal 9 2 2 5 2 3 2" xfId="10603" xr:uid="{00000000-0005-0000-0000-0000D3D40000}"/>
    <cellStyle name="Normal 9 2 2 5 2 3 2 2" xfId="17393" xr:uid="{00000000-0005-0000-0000-0000D4D40000}"/>
    <cellStyle name="Normal 9 2 2 5 2 3 2 2 2" xfId="30961" xr:uid="{00000000-0005-0000-0000-0000D5D40000}"/>
    <cellStyle name="Normal 9 2 2 5 2 3 2 2 2 2" xfId="58094" xr:uid="{00000000-0005-0000-0000-0000D6D40000}"/>
    <cellStyle name="Normal 9 2 2 5 2 3 2 2 3" xfId="44532" xr:uid="{00000000-0005-0000-0000-0000D7D40000}"/>
    <cellStyle name="Normal 9 2 2 5 2 3 2 3" xfId="24180" xr:uid="{00000000-0005-0000-0000-0000D8D40000}"/>
    <cellStyle name="Normal 9 2 2 5 2 3 2 3 2" xfId="51313" xr:uid="{00000000-0005-0000-0000-0000D9D40000}"/>
    <cellStyle name="Normal 9 2 2 5 2 3 2 4" xfId="37751" xr:uid="{00000000-0005-0000-0000-0000DAD40000}"/>
    <cellStyle name="Normal 9 2 2 5 2 3 3" xfId="14004" xr:uid="{00000000-0005-0000-0000-0000DBD40000}"/>
    <cellStyle name="Normal 9 2 2 5 2 3 3 2" xfId="27572" xr:uid="{00000000-0005-0000-0000-0000DCD40000}"/>
    <cellStyle name="Normal 9 2 2 5 2 3 3 2 2" xfId="54705" xr:uid="{00000000-0005-0000-0000-0000DDD40000}"/>
    <cellStyle name="Normal 9 2 2 5 2 3 3 3" xfId="41143" xr:uid="{00000000-0005-0000-0000-0000DED40000}"/>
    <cellStyle name="Normal 9 2 2 5 2 3 4" xfId="20791" xr:uid="{00000000-0005-0000-0000-0000DFD40000}"/>
    <cellStyle name="Normal 9 2 2 5 2 3 4 2" xfId="47924" xr:uid="{00000000-0005-0000-0000-0000E0D40000}"/>
    <cellStyle name="Normal 9 2 2 5 2 3 5" xfId="34362" xr:uid="{00000000-0005-0000-0000-0000E1D40000}"/>
    <cellStyle name="Normal 9 2 2 5 2 4" xfId="10601" xr:uid="{00000000-0005-0000-0000-0000E2D40000}"/>
    <cellStyle name="Normal 9 2 2 5 2 4 2" xfId="17391" xr:uid="{00000000-0005-0000-0000-0000E3D40000}"/>
    <cellStyle name="Normal 9 2 2 5 2 4 2 2" xfId="30959" xr:uid="{00000000-0005-0000-0000-0000E4D40000}"/>
    <cellStyle name="Normal 9 2 2 5 2 4 2 2 2" xfId="58092" xr:uid="{00000000-0005-0000-0000-0000E5D40000}"/>
    <cellStyle name="Normal 9 2 2 5 2 4 2 3" xfId="44530" xr:uid="{00000000-0005-0000-0000-0000E6D40000}"/>
    <cellStyle name="Normal 9 2 2 5 2 4 3" xfId="24178" xr:uid="{00000000-0005-0000-0000-0000E7D40000}"/>
    <cellStyle name="Normal 9 2 2 5 2 4 3 2" xfId="51311" xr:uid="{00000000-0005-0000-0000-0000E8D40000}"/>
    <cellStyle name="Normal 9 2 2 5 2 4 4" xfId="37749" xr:uid="{00000000-0005-0000-0000-0000E9D40000}"/>
    <cellStyle name="Normal 9 2 2 5 2 5" xfId="14002" xr:uid="{00000000-0005-0000-0000-0000EAD40000}"/>
    <cellStyle name="Normal 9 2 2 5 2 5 2" xfId="27570" xr:uid="{00000000-0005-0000-0000-0000EBD40000}"/>
    <cellStyle name="Normal 9 2 2 5 2 5 2 2" xfId="54703" xr:uid="{00000000-0005-0000-0000-0000ECD40000}"/>
    <cellStyle name="Normal 9 2 2 5 2 5 3" xfId="41141" xr:uid="{00000000-0005-0000-0000-0000EDD40000}"/>
    <cellStyle name="Normal 9 2 2 5 2 6" xfId="20789" xr:uid="{00000000-0005-0000-0000-0000EED40000}"/>
    <cellStyle name="Normal 9 2 2 5 2 6 2" xfId="47922" xr:uid="{00000000-0005-0000-0000-0000EFD40000}"/>
    <cellStyle name="Normal 9 2 2 5 2 7" xfId="34360" xr:uid="{00000000-0005-0000-0000-0000F0D40000}"/>
    <cellStyle name="Normal 9 2 2 5 3" xfId="7078" xr:uid="{00000000-0005-0000-0000-0000F1D40000}"/>
    <cellStyle name="Normal 9 2 2 5 3 2" xfId="10604" xr:uid="{00000000-0005-0000-0000-0000F2D40000}"/>
    <cellStyle name="Normal 9 2 2 5 3 2 2" xfId="17394" xr:uid="{00000000-0005-0000-0000-0000F3D40000}"/>
    <cellStyle name="Normal 9 2 2 5 3 2 2 2" xfId="30962" xr:uid="{00000000-0005-0000-0000-0000F4D40000}"/>
    <cellStyle name="Normal 9 2 2 5 3 2 2 2 2" xfId="58095" xr:uid="{00000000-0005-0000-0000-0000F5D40000}"/>
    <cellStyle name="Normal 9 2 2 5 3 2 2 3" xfId="44533" xr:uid="{00000000-0005-0000-0000-0000F6D40000}"/>
    <cellStyle name="Normal 9 2 2 5 3 2 3" xfId="24181" xr:uid="{00000000-0005-0000-0000-0000F7D40000}"/>
    <cellStyle name="Normal 9 2 2 5 3 2 3 2" xfId="51314" xr:uid="{00000000-0005-0000-0000-0000F8D40000}"/>
    <cellStyle name="Normal 9 2 2 5 3 2 4" xfId="37752" xr:uid="{00000000-0005-0000-0000-0000F9D40000}"/>
    <cellStyle name="Normal 9 2 2 5 3 3" xfId="14005" xr:uid="{00000000-0005-0000-0000-0000FAD40000}"/>
    <cellStyle name="Normal 9 2 2 5 3 3 2" xfId="27573" xr:uid="{00000000-0005-0000-0000-0000FBD40000}"/>
    <cellStyle name="Normal 9 2 2 5 3 3 2 2" xfId="54706" xr:uid="{00000000-0005-0000-0000-0000FCD40000}"/>
    <cellStyle name="Normal 9 2 2 5 3 3 3" xfId="41144" xr:uid="{00000000-0005-0000-0000-0000FDD40000}"/>
    <cellStyle name="Normal 9 2 2 5 3 4" xfId="20792" xr:uid="{00000000-0005-0000-0000-0000FED40000}"/>
    <cellStyle name="Normal 9 2 2 5 3 4 2" xfId="47925" xr:uid="{00000000-0005-0000-0000-0000FFD40000}"/>
    <cellStyle name="Normal 9 2 2 5 3 5" xfId="34363" xr:uid="{00000000-0005-0000-0000-000000D50000}"/>
    <cellStyle name="Normal 9 2 2 5 4" xfId="7079" xr:uid="{00000000-0005-0000-0000-000001D50000}"/>
    <cellStyle name="Normal 9 2 2 5 4 2" xfId="10605" xr:uid="{00000000-0005-0000-0000-000002D50000}"/>
    <cellStyle name="Normal 9 2 2 5 4 2 2" xfId="17395" xr:uid="{00000000-0005-0000-0000-000003D50000}"/>
    <cellStyle name="Normal 9 2 2 5 4 2 2 2" xfId="30963" xr:uid="{00000000-0005-0000-0000-000004D50000}"/>
    <cellStyle name="Normal 9 2 2 5 4 2 2 2 2" xfId="58096" xr:uid="{00000000-0005-0000-0000-000005D50000}"/>
    <cellStyle name="Normal 9 2 2 5 4 2 2 3" xfId="44534" xr:uid="{00000000-0005-0000-0000-000006D50000}"/>
    <cellStyle name="Normal 9 2 2 5 4 2 3" xfId="24182" xr:uid="{00000000-0005-0000-0000-000007D50000}"/>
    <cellStyle name="Normal 9 2 2 5 4 2 3 2" xfId="51315" xr:uid="{00000000-0005-0000-0000-000008D50000}"/>
    <cellStyle name="Normal 9 2 2 5 4 2 4" xfId="37753" xr:uid="{00000000-0005-0000-0000-000009D50000}"/>
    <cellStyle name="Normal 9 2 2 5 4 3" xfId="14006" xr:uid="{00000000-0005-0000-0000-00000AD50000}"/>
    <cellStyle name="Normal 9 2 2 5 4 3 2" xfId="27574" xr:uid="{00000000-0005-0000-0000-00000BD50000}"/>
    <cellStyle name="Normal 9 2 2 5 4 3 2 2" xfId="54707" xr:uid="{00000000-0005-0000-0000-00000CD50000}"/>
    <cellStyle name="Normal 9 2 2 5 4 3 3" xfId="41145" xr:uid="{00000000-0005-0000-0000-00000DD50000}"/>
    <cellStyle name="Normal 9 2 2 5 4 4" xfId="20793" xr:uid="{00000000-0005-0000-0000-00000ED50000}"/>
    <cellStyle name="Normal 9 2 2 5 4 4 2" xfId="47926" xr:uid="{00000000-0005-0000-0000-00000FD50000}"/>
    <cellStyle name="Normal 9 2 2 5 4 5" xfId="34364" xr:uid="{00000000-0005-0000-0000-000010D50000}"/>
    <cellStyle name="Normal 9 2 2 5 5" xfId="10600" xr:uid="{00000000-0005-0000-0000-000011D50000}"/>
    <cellStyle name="Normal 9 2 2 5 5 2" xfId="17390" xr:uid="{00000000-0005-0000-0000-000012D50000}"/>
    <cellStyle name="Normal 9 2 2 5 5 2 2" xfId="30958" xr:uid="{00000000-0005-0000-0000-000013D50000}"/>
    <cellStyle name="Normal 9 2 2 5 5 2 2 2" xfId="58091" xr:uid="{00000000-0005-0000-0000-000014D50000}"/>
    <cellStyle name="Normal 9 2 2 5 5 2 3" xfId="44529" xr:uid="{00000000-0005-0000-0000-000015D50000}"/>
    <cellStyle name="Normal 9 2 2 5 5 3" xfId="24177" xr:uid="{00000000-0005-0000-0000-000016D50000}"/>
    <cellStyle name="Normal 9 2 2 5 5 3 2" xfId="51310" xr:uid="{00000000-0005-0000-0000-000017D50000}"/>
    <cellStyle name="Normal 9 2 2 5 5 4" xfId="37748" xr:uid="{00000000-0005-0000-0000-000018D50000}"/>
    <cellStyle name="Normal 9 2 2 5 6" xfId="14001" xr:uid="{00000000-0005-0000-0000-000019D50000}"/>
    <cellStyle name="Normal 9 2 2 5 6 2" xfId="27569" xr:uid="{00000000-0005-0000-0000-00001AD50000}"/>
    <cellStyle name="Normal 9 2 2 5 6 2 2" xfId="54702" xr:uid="{00000000-0005-0000-0000-00001BD50000}"/>
    <cellStyle name="Normal 9 2 2 5 6 3" xfId="41140" xr:uid="{00000000-0005-0000-0000-00001CD50000}"/>
    <cellStyle name="Normal 9 2 2 5 7" xfId="20788" xr:uid="{00000000-0005-0000-0000-00001DD50000}"/>
    <cellStyle name="Normal 9 2 2 5 7 2" xfId="47921" xr:uid="{00000000-0005-0000-0000-00001ED50000}"/>
    <cellStyle name="Normal 9 2 2 5 8" xfId="34359" xr:uid="{00000000-0005-0000-0000-00001FD50000}"/>
    <cellStyle name="Normal 9 2 2 6" xfId="7080" xr:uid="{00000000-0005-0000-0000-000020D50000}"/>
    <cellStyle name="Normal 9 2 2 6 2" xfId="7081" xr:uid="{00000000-0005-0000-0000-000021D50000}"/>
    <cellStyle name="Normal 9 2 2 6 2 2" xfId="7082" xr:uid="{00000000-0005-0000-0000-000022D50000}"/>
    <cellStyle name="Normal 9 2 2 6 2 2 2" xfId="10608" xr:uid="{00000000-0005-0000-0000-000023D50000}"/>
    <cellStyle name="Normal 9 2 2 6 2 2 2 2" xfId="17398" xr:uid="{00000000-0005-0000-0000-000024D50000}"/>
    <cellStyle name="Normal 9 2 2 6 2 2 2 2 2" xfId="30966" xr:uid="{00000000-0005-0000-0000-000025D50000}"/>
    <cellStyle name="Normal 9 2 2 6 2 2 2 2 2 2" xfId="58099" xr:uid="{00000000-0005-0000-0000-000026D50000}"/>
    <cellStyle name="Normal 9 2 2 6 2 2 2 2 3" xfId="44537" xr:uid="{00000000-0005-0000-0000-000027D50000}"/>
    <cellStyle name="Normal 9 2 2 6 2 2 2 3" xfId="24185" xr:uid="{00000000-0005-0000-0000-000028D50000}"/>
    <cellStyle name="Normal 9 2 2 6 2 2 2 3 2" xfId="51318" xr:uid="{00000000-0005-0000-0000-000029D50000}"/>
    <cellStyle name="Normal 9 2 2 6 2 2 2 4" xfId="37756" xr:uid="{00000000-0005-0000-0000-00002AD50000}"/>
    <cellStyle name="Normal 9 2 2 6 2 2 3" xfId="14009" xr:uid="{00000000-0005-0000-0000-00002BD50000}"/>
    <cellStyle name="Normal 9 2 2 6 2 2 3 2" xfId="27577" xr:uid="{00000000-0005-0000-0000-00002CD50000}"/>
    <cellStyle name="Normal 9 2 2 6 2 2 3 2 2" xfId="54710" xr:uid="{00000000-0005-0000-0000-00002DD50000}"/>
    <cellStyle name="Normal 9 2 2 6 2 2 3 3" xfId="41148" xr:uid="{00000000-0005-0000-0000-00002ED50000}"/>
    <cellStyle name="Normal 9 2 2 6 2 2 4" xfId="20796" xr:uid="{00000000-0005-0000-0000-00002FD50000}"/>
    <cellStyle name="Normal 9 2 2 6 2 2 4 2" xfId="47929" xr:uid="{00000000-0005-0000-0000-000030D50000}"/>
    <cellStyle name="Normal 9 2 2 6 2 2 5" xfId="34367" xr:uid="{00000000-0005-0000-0000-000031D50000}"/>
    <cellStyle name="Normal 9 2 2 6 2 3" xfId="7083" xr:uid="{00000000-0005-0000-0000-000032D50000}"/>
    <cellStyle name="Normal 9 2 2 6 2 3 2" xfId="10609" xr:uid="{00000000-0005-0000-0000-000033D50000}"/>
    <cellStyle name="Normal 9 2 2 6 2 3 2 2" xfId="17399" xr:uid="{00000000-0005-0000-0000-000034D50000}"/>
    <cellStyle name="Normal 9 2 2 6 2 3 2 2 2" xfId="30967" xr:uid="{00000000-0005-0000-0000-000035D50000}"/>
    <cellStyle name="Normal 9 2 2 6 2 3 2 2 2 2" xfId="58100" xr:uid="{00000000-0005-0000-0000-000036D50000}"/>
    <cellStyle name="Normal 9 2 2 6 2 3 2 2 3" xfId="44538" xr:uid="{00000000-0005-0000-0000-000037D50000}"/>
    <cellStyle name="Normal 9 2 2 6 2 3 2 3" xfId="24186" xr:uid="{00000000-0005-0000-0000-000038D50000}"/>
    <cellStyle name="Normal 9 2 2 6 2 3 2 3 2" xfId="51319" xr:uid="{00000000-0005-0000-0000-000039D50000}"/>
    <cellStyle name="Normal 9 2 2 6 2 3 2 4" xfId="37757" xr:uid="{00000000-0005-0000-0000-00003AD50000}"/>
    <cellStyle name="Normal 9 2 2 6 2 3 3" xfId="14010" xr:uid="{00000000-0005-0000-0000-00003BD50000}"/>
    <cellStyle name="Normal 9 2 2 6 2 3 3 2" xfId="27578" xr:uid="{00000000-0005-0000-0000-00003CD50000}"/>
    <cellStyle name="Normal 9 2 2 6 2 3 3 2 2" xfId="54711" xr:uid="{00000000-0005-0000-0000-00003DD50000}"/>
    <cellStyle name="Normal 9 2 2 6 2 3 3 3" xfId="41149" xr:uid="{00000000-0005-0000-0000-00003ED50000}"/>
    <cellStyle name="Normal 9 2 2 6 2 3 4" xfId="20797" xr:uid="{00000000-0005-0000-0000-00003FD50000}"/>
    <cellStyle name="Normal 9 2 2 6 2 3 4 2" xfId="47930" xr:uid="{00000000-0005-0000-0000-000040D50000}"/>
    <cellStyle name="Normal 9 2 2 6 2 3 5" xfId="34368" xr:uid="{00000000-0005-0000-0000-000041D50000}"/>
    <cellStyle name="Normal 9 2 2 6 2 4" xfId="10607" xr:uid="{00000000-0005-0000-0000-000042D50000}"/>
    <cellStyle name="Normal 9 2 2 6 2 4 2" xfId="17397" xr:uid="{00000000-0005-0000-0000-000043D50000}"/>
    <cellStyle name="Normal 9 2 2 6 2 4 2 2" xfId="30965" xr:uid="{00000000-0005-0000-0000-000044D50000}"/>
    <cellStyle name="Normal 9 2 2 6 2 4 2 2 2" xfId="58098" xr:uid="{00000000-0005-0000-0000-000045D50000}"/>
    <cellStyle name="Normal 9 2 2 6 2 4 2 3" xfId="44536" xr:uid="{00000000-0005-0000-0000-000046D50000}"/>
    <cellStyle name="Normal 9 2 2 6 2 4 3" xfId="24184" xr:uid="{00000000-0005-0000-0000-000047D50000}"/>
    <cellStyle name="Normal 9 2 2 6 2 4 3 2" xfId="51317" xr:uid="{00000000-0005-0000-0000-000048D50000}"/>
    <cellStyle name="Normal 9 2 2 6 2 4 4" xfId="37755" xr:uid="{00000000-0005-0000-0000-000049D50000}"/>
    <cellStyle name="Normal 9 2 2 6 2 5" xfId="14008" xr:uid="{00000000-0005-0000-0000-00004AD50000}"/>
    <cellStyle name="Normal 9 2 2 6 2 5 2" xfId="27576" xr:uid="{00000000-0005-0000-0000-00004BD50000}"/>
    <cellStyle name="Normal 9 2 2 6 2 5 2 2" xfId="54709" xr:uid="{00000000-0005-0000-0000-00004CD50000}"/>
    <cellStyle name="Normal 9 2 2 6 2 5 3" xfId="41147" xr:uid="{00000000-0005-0000-0000-00004DD50000}"/>
    <cellStyle name="Normal 9 2 2 6 2 6" xfId="20795" xr:uid="{00000000-0005-0000-0000-00004ED50000}"/>
    <cellStyle name="Normal 9 2 2 6 2 6 2" xfId="47928" xr:uid="{00000000-0005-0000-0000-00004FD50000}"/>
    <cellStyle name="Normal 9 2 2 6 2 7" xfId="34366" xr:uid="{00000000-0005-0000-0000-000050D50000}"/>
    <cellStyle name="Normal 9 2 2 6 3" xfId="7084" xr:uid="{00000000-0005-0000-0000-000051D50000}"/>
    <cellStyle name="Normal 9 2 2 6 3 2" xfId="10610" xr:uid="{00000000-0005-0000-0000-000052D50000}"/>
    <cellStyle name="Normal 9 2 2 6 3 2 2" xfId="17400" xr:uid="{00000000-0005-0000-0000-000053D50000}"/>
    <cellStyle name="Normal 9 2 2 6 3 2 2 2" xfId="30968" xr:uid="{00000000-0005-0000-0000-000054D50000}"/>
    <cellStyle name="Normal 9 2 2 6 3 2 2 2 2" xfId="58101" xr:uid="{00000000-0005-0000-0000-000055D50000}"/>
    <cellStyle name="Normal 9 2 2 6 3 2 2 3" xfId="44539" xr:uid="{00000000-0005-0000-0000-000056D50000}"/>
    <cellStyle name="Normal 9 2 2 6 3 2 3" xfId="24187" xr:uid="{00000000-0005-0000-0000-000057D50000}"/>
    <cellStyle name="Normal 9 2 2 6 3 2 3 2" xfId="51320" xr:uid="{00000000-0005-0000-0000-000058D50000}"/>
    <cellStyle name="Normal 9 2 2 6 3 2 4" xfId="37758" xr:uid="{00000000-0005-0000-0000-000059D50000}"/>
    <cellStyle name="Normal 9 2 2 6 3 3" xfId="14011" xr:uid="{00000000-0005-0000-0000-00005AD50000}"/>
    <cellStyle name="Normal 9 2 2 6 3 3 2" xfId="27579" xr:uid="{00000000-0005-0000-0000-00005BD50000}"/>
    <cellStyle name="Normal 9 2 2 6 3 3 2 2" xfId="54712" xr:uid="{00000000-0005-0000-0000-00005CD50000}"/>
    <cellStyle name="Normal 9 2 2 6 3 3 3" xfId="41150" xr:uid="{00000000-0005-0000-0000-00005DD50000}"/>
    <cellStyle name="Normal 9 2 2 6 3 4" xfId="20798" xr:uid="{00000000-0005-0000-0000-00005ED50000}"/>
    <cellStyle name="Normal 9 2 2 6 3 4 2" xfId="47931" xr:uid="{00000000-0005-0000-0000-00005FD50000}"/>
    <cellStyle name="Normal 9 2 2 6 3 5" xfId="34369" xr:uid="{00000000-0005-0000-0000-000060D50000}"/>
    <cellStyle name="Normal 9 2 2 6 4" xfId="7085" xr:uid="{00000000-0005-0000-0000-000061D50000}"/>
    <cellStyle name="Normal 9 2 2 6 4 2" xfId="10611" xr:uid="{00000000-0005-0000-0000-000062D50000}"/>
    <cellStyle name="Normal 9 2 2 6 4 2 2" xfId="17401" xr:uid="{00000000-0005-0000-0000-000063D50000}"/>
    <cellStyle name="Normal 9 2 2 6 4 2 2 2" xfId="30969" xr:uid="{00000000-0005-0000-0000-000064D50000}"/>
    <cellStyle name="Normal 9 2 2 6 4 2 2 2 2" xfId="58102" xr:uid="{00000000-0005-0000-0000-000065D50000}"/>
    <cellStyle name="Normal 9 2 2 6 4 2 2 3" xfId="44540" xr:uid="{00000000-0005-0000-0000-000066D50000}"/>
    <cellStyle name="Normal 9 2 2 6 4 2 3" xfId="24188" xr:uid="{00000000-0005-0000-0000-000067D50000}"/>
    <cellStyle name="Normal 9 2 2 6 4 2 3 2" xfId="51321" xr:uid="{00000000-0005-0000-0000-000068D50000}"/>
    <cellStyle name="Normal 9 2 2 6 4 2 4" xfId="37759" xr:uid="{00000000-0005-0000-0000-000069D50000}"/>
    <cellStyle name="Normal 9 2 2 6 4 3" xfId="14012" xr:uid="{00000000-0005-0000-0000-00006AD50000}"/>
    <cellStyle name="Normal 9 2 2 6 4 3 2" xfId="27580" xr:uid="{00000000-0005-0000-0000-00006BD50000}"/>
    <cellStyle name="Normal 9 2 2 6 4 3 2 2" xfId="54713" xr:uid="{00000000-0005-0000-0000-00006CD50000}"/>
    <cellStyle name="Normal 9 2 2 6 4 3 3" xfId="41151" xr:uid="{00000000-0005-0000-0000-00006DD50000}"/>
    <cellStyle name="Normal 9 2 2 6 4 4" xfId="20799" xr:uid="{00000000-0005-0000-0000-00006ED50000}"/>
    <cellStyle name="Normal 9 2 2 6 4 4 2" xfId="47932" xr:uid="{00000000-0005-0000-0000-00006FD50000}"/>
    <cellStyle name="Normal 9 2 2 6 4 5" xfId="34370" xr:uid="{00000000-0005-0000-0000-000070D50000}"/>
    <cellStyle name="Normal 9 2 2 6 5" xfId="10606" xr:uid="{00000000-0005-0000-0000-000071D50000}"/>
    <cellStyle name="Normal 9 2 2 6 5 2" xfId="17396" xr:uid="{00000000-0005-0000-0000-000072D50000}"/>
    <cellStyle name="Normal 9 2 2 6 5 2 2" xfId="30964" xr:uid="{00000000-0005-0000-0000-000073D50000}"/>
    <cellStyle name="Normal 9 2 2 6 5 2 2 2" xfId="58097" xr:uid="{00000000-0005-0000-0000-000074D50000}"/>
    <cellStyle name="Normal 9 2 2 6 5 2 3" xfId="44535" xr:uid="{00000000-0005-0000-0000-000075D50000}"/>
    <cellStyle name="Normal 9 2 2 6 5 3" xfId="24183" xr:uid="{00000000-0005-0000-0000-000076D50000}"/>
    <cellStyle name="Normal 9 2 2 6 5 3 2" xfId="51316" xr:uid="{00000000-0005-0000-0000-000077D50000}"/>
    <cellStyle name="Normal 9 2 2 6 5 4" xfId="37754" xr:uid="{00000000-0005-0000-0000-000078D50000}"/>
    <cellStyle name="Normal 9 2 2 6 6" xfId="14007" xr:uid="{00000000-0005-0000-0000-000079D50000}"/>
    <cellStyle name="Normal 9 2 2 6 6 2" xfId="27575" xr:uid="{00000000-0005-0000-0000-00007AD50000}"/>
    <cellStyle name="Normal 9 2 2 6 6 2 2" xfId="54708" xr:uid="{00000000-0005-0000-0000-00007BD50000}"/>
    <cellStyle name="Normal 9 2 2 6 6 3" xfId="41146" xr:uid="{00000000-0005-0000-0000-00007CD50000}"/>
    <cellStyle name="Normal 9 2 2 6 7" xfId="20794" xr:uid="{00000000-0005-0000-0000-00007DD50000}"/>
    <cellStyle name="Normal 9 2 2 6 7 2" xfId="47927" xr:uid="{00000000-0005-0000-0000-00007ED50000}"/>
    <cellStyle name="Normal 9 2 2 6 8" xfId="34365" xr:uid="{00000000-0005-0000-0000-00007FD50000}"/>
    <cellStyle name="Normal 9 2 2 7" xfId="7086" xr:uid="{00000000-0005-0000-0000-000080D50000}"/>
    <cellStyle name="Normal 9 2 2 7 2" xfId="7087" xr:uid="{00000000-0005-0000-0000-000081D50000}"/>
    <cellStyle name="Normal 9 2 2 7 2 2" xfId="10613" xr:uid="{00000000-0005-0000-0000-000082D50000}"/>
    <cellStyle name="Normal 9 2 2 7 2 2 2" xfId="17403" xr:uid="{00000000-0005-0000-0000-000083D50000}"/>
    <cellStyle name="Normal 9 2 2 7 2 2 2 2" xfId="30971" xr:uid="{00000000-0005-0000-0000-000084D50000}"/>
    <cellStyle name="Normal 9 2 2 7 2 2 2 2 2" xfId="58104" xr:uid="{00000000-0005-0000-0000-000085D50000}"/>
    <cellStyle name="Normal 9 2 2 7 2 2 2 3" xfId="44542" xr:uid="{00000000-0005-0000-0000-000086D50000}"/>
    <cellStyle name="Normal 9 2 2 7 2 2 3" xfId="24190" xr:uid="{00000000-0005-0000-0000-000087D50000}"/>
    <cellStyle name="Normal 9 2 2 7 2 2 3 2" xfId="51323" xr:uid="{00000000-0005-0000-0000-000088D50000}"/>
    <cellStyle name="Normal 9 2 2 7 2 2 4" xfId="37761" xr:uid="{00000000-0005-0000-0000-000089D50000}"/>
    <cellStyle name="Normal 9 2 2 7 2 3" xfId="14014" xr:uid="{00000000-0005-0000-0000-00008AD50000}"/>
    <cellStyle name="Normal 9 2 2 7 2 3 2" xfId="27582" xr:uid="{00000000-0005-0000-0000-00008BD50000}"/>
    <cellStyle name="Normal 9 2 2 7 2 3 2 2" xfId="54715" xr:uid="{00000000-0005-0000-0000-00008CD50000}"/>
    <cellStyle name="Normal 9 2 2 7 2 3 3" xfId="41153" xr:uid="{00000000-0005-0000-0000-00008DD50000}"/>
    <cellStyle name="Normal 9 2 2 7 2 4" xfId="20801" xr:uid="{00000000-0005-0000-0000-00008ED50000}"/>
    <cellStyle name="Normal 9 2 2 7 2 4 2" xfId="47934" xr:uid="{00000000-0005-0000-0000-00008FD50000}"/>
    <cellStyle name="Normal 9 2 2 7 2 5" xfId="34372" xr:uid="{00000000-0005-0000-0000-000090D50000}"/>
    <cellStyle name="Normal 9 2 2 7 3" xfId="7088" xr:uid="{00000000-0005-0000-0000-000091D50000}"/>
    <cellStyle name="Normal 9 2 2 7 3 2" xfId="10614" xr:uid="{00000000-0005-0000-0000-000092D50000}"/>
    <cellStyle name="Normal 9 2 2 7 3 2 2" xfId="17404" xr:uid="{00000000-0005-0000-0000-000093D50000}"/>
    <cellStyle name="Normal 9 2 2 7 3 2 2 2" xfId="30972" xr:uid="{00000000-0005-0000-0000-000094D50000}"/>
    <cellStyle name="Normal 9 2 2 7 3 2 2 2 2" xfId="58105" xr:uid="{00000000-0005-0000-0000-000095D50000}"/>
    <cellStyle name="Normal 9 2 2 7 3 2 2 3" xfId="44543" xr:uid="{00000000-0005-0000-0000-000096D50000}"/>
    <cellStyle name="Normal 9 2 2 7 3 2 3" xfId="24191" xr:uid="{00000000-0005-0000-0000-000097D50000}"/>
    <cellStyle name="Normal 9 2 2 7 3 2 3 2" xfId="51324" xr:uid="{00000000-0005-0000-0000-000098D50000}"/>
    <cellStyle name="Normal 9 2 2 7 3 2 4" xfId="37762" xr:uid="{00000000-0005-0000-0000-000099D50000}"/>
    <cellStyle name="Normal 9 2 2 7 3 3" xfId="14015" xr:uid="{00000000-0005-0000-0000-00009AD50000}"/>
    <cellStyle name="Normal 9 2 2 7 3 3 2" xfId="27583" xr:uid="{00000000-0005-0000-0000-00009BD50000}"/>
    <cellStyle name="Normal 9 2 2 7 3 3 2 2" xfId="54716" xr:uid="{00000000-0005-0000-0000-00009CD50000}"/>
    <cellStyle name="Normal 9 2 2 7 3 3 3" xfId="41154" xr:uid="{00000000-0005-0000-0000-00009DD50000}"/>
    <cellStyle name="Normal 9 2 2 7 3 4" xfId="20802" xr:uid="{00000000-0005-0000-0000-00009ED50000}"/>
    <cellStyle name="Normal 9 2 2 7 3 4 2" xfId="47935" xr:uid="{00000000-0005-0000-0000-00009FD50000}"/>
    <cellStyle name="Normal 9 2 2 7 3 5" xfId="34373" xr:uid="{00000000-0005-0000-0000-0000A0D50000}"/>
    <cellStyle name="Normal 9 2 2 7 4" xfId="10612" xr:uid="{00000000-0005-0000-0000-0000A1D50000}"/>
    <cellStyle name="Normal 9 2 2 7 4 2" xfId="17402" xr:uid="{00000000-0005-0000-0000-0000A2D50000}"/>
    <cellStyle name="Normal 9 2 2 7 4 2 2" xfId="30970" xr:uid="{00000000-0005-0000-0000-0000A3D50000}"/>
    <cellStyle name="Normal 9 2 2 7 4 2 2 2" xfId="58103" xr:uid="{00000000-0005-0000-0000-0000A4D50000}"/>
    <cellStyle name="Normal 9 2 2 7 4 2 3" xfId="44541" xr:uid="{00000000-0005-0000-0000-0000A5D50000}"/>
    <cellStyle name="Normal 9 2 2 7 4 3" xfId="24189" xr:uid="{00000000-0005-0000-0000-0000A6D50000}"/>
    <cellStyle name="Normal 9 2 2 7 4 3 2" xfId="51322" xr:uid="{00000000-0005-0000-0000-0000A7D50000}"/>
    <cellStyle name="Normal 9 2 2 7 4 4" xfId="37760" xr:uid="{00000000-0005-0000-0000-0000A8D50000}"/>
    <cellStyle name="Normal 9 2 2 7 5" xfId="14013" xr:uid="{00000000-0005-0000-0000-0000A9D50000}"/>
    <cellStyle name="Normal 9 2 2 7 5 2" xfId="27581" xr:uid="{00000000-0005-0000-0000-0000AAD50000}"/>
    <cellStyle name="Normal 9 2 2 7 5 2 2" xfId="54714" xr:uid="{00000000-0005-0000-0000-0000ABD50000}"/>
    <cellStyle name="Normal 9 2 2 7 5 3" xfId="41152" xr:uid="{00000000-0005-0000-0000-0000ACD50000}"/>
    <cellStyle name="Normal 9 2 2 7 6" xfId="20800" xr:uid="{00000000-0005-0000-0000-0000ADD50000}"/>
    <cellStyle name="Normal 9 2 2 7 6 2" xfId="47933" xr:uid="{00000000-0005-0000-0000-0000AED50000}"/>
    <cellStyle name="Normal 9 2 2 7 7" xfId="34371" xr:uid="{00000000-0005-0000-0000-0000AFD50000}"/>
    <cellStyle name="Normal 9 2 2 8" xfId="7089" xr:uid="{00000000-0005-0000-0000-0000B0D50000}"/>
    <cellStyle name="Normal 9 2 2 8 2" xfId="7090" xr:uid="{00000000-0005-0000-0000-0000B1D50000}"/>
    <cellStyle name="Normal 9 2 2 8 2 2" xfId="10616" xr:uid="{00000000-0005-0000-0000-0000B2D50000}"/>
    <cellStyle name="Normal 9 2 2 8 2 2 2" xfId="17406" xr:uid="{00000000-0005-0000-0000-0000B3D50000}"/>
    <cellStyle name="Normal 9 2 2 8 2 2 2 2" xfId="30974" xr:uid="{00000000-0005-0000-0000-0000B4D50000}"/>
    <cellStyle name="Normal 9 2 2 8 2 2 2 2 2" xfId="58107" xr:uid="{00000000-0005-0000-0000-0000B5D50000}"/>
    <cellStyle name="Normal 9 2 2 8 2 2 2 3" xfId="44545" xr:uid="{00000000-0005-0000-0000-0000B6D50000}"/>
    <cellStyle name="Normal 9 2 2 8 2 2 3" xfId="24193" xr:uid="{00000000-0005-0000-0000-0000B7D50000}"/>
    <cellStyle name="Normal 9 2 2 8 2 2 3 2" xfId="51326" xr:uid="{00000000-0005-0000-0000-0000B8D50000}"/>
    <cellStyle name="Normal 9 2 2 8 2 2 4" xfId="37764" xr:uid="{00000000-0005-0000-0000-0000B9D50000}"/>
    <cellStyle name="Normal 9 2 2 8 2 3" xfId="14017" xr:uid="{00000000-0005-0000-0000-0000BAD50000}"/>
    <cellStyle name="Normal 9 2 2 8 2 3 2" xfId="27585" xr:uid="{00000000-0005-0000-0000-0000BBD50000}"/>
    <cellStyle name="Normal 9 2 2 8 2 3 2 2" xfId="54718" xr:uid="{00000000-0005-0000-0000-0000BCD50000}"/>
    <cellStyle name="Normal 9 2 2 8 2 3 3" xfId="41156" xr:uid="{00000000-0005-0000-0000-0000BDD50000}"/>
    <cellStyle name="Normal 9 2 2 8 2 4" xfId="20804" xr:uid="{00000000-0005-0000-0000-0000BED50000}"/>
    <cellStyle name="Normal 9 2 2 8 2 4 2" xfId="47937" xr:uid="{00000000-0005-0000-0000-0000BFD50000}"/>
    <cellStyle name="Normal 9 2 2 8 2 5" xfId="34375" xr:uid="{00000000-0005-0000-0000-0000C0D50000}"/>
    <cellStyle name="Normal 9 2 2 8 3" xfId="7091" xr:uid="{00000000-0005-0000-0000-0000C1D50000}"/>
    <cellStyle name="Normal 9 2 2 8 3 2" xfId="10617" xr:uid="{00000000-0005-0000-0000-0000C2D50000}"/>
    <cellStyle name="Normal 9 2 2 8 3 2 2" xfId="17407" xr:uid="{00000000-0005-0000-0000-0000C3D50000}"/>
    <cellStyle name="Normal 9 2 2 8 3 2 2 2" xfId="30975" xr:uid="{00000000-0005-0000-0000-0000C4D50000}"/>
    <cellStyle name="Normal 9 2 2 8 3 2 2 2 2" xfId="58108" xr:uid="{00000000-0005-0000-0000-0000C5D50000}"/>
    <cellStyle name="Normal 9 2 2 8 3 2 2 3" xfId="44546" xr:uid="{00000000-0005-0000-0000-0000C6D50000}"/>
    <cellStyle name="Normal 9 2 2 8 3 2 3" xfId="24194" xr:uid="{00000000-0005-0000-0000-0000C7D50000}"/>
    <cellStyle name="Normal 9 2 2 8 3 2 3 2" xfId="51327" xr:uid="{00000000-0005-0000-0000-0000C8D50000}"/>
    <cellStyle name="Normal 9 2 2 8 3 2 4" xfId="37765" xr:uid="{00000000-0005-0000-0000-0000C9D50000}"/>
    <cellStyle name="Normal 9 2 2 8 3 3" xfId="14018" xr:uid="{00000000-0005-0000-0000-0000CAD50000}"/>
    <cellStyle name="Normal 9 2 2 8 3 3 2" xfId="27586" xr:uid="{00000000-0005-0000-0000-0000CBD50000}"/>
    <cellStyle name="Normal 9 2 2 8 3 3 2 2" xfId="54719" xr:uid="{00000000-0005-0000-0000-0000CCD50000}"/>
    <cellStyle name="Normal 9 2 2 8 3 3 3" xfId="41157" xr:uid="{00000000-0005-0000-0000-0000CDD50000}"/>
    <cellStyle name="Normal 9 2 2 8 3 4" xfId="20805" xr:uid="{00000000-0005-0000-0000-0000CED50000}"/>
    <cellStyle name="Normal 9 2 2 8 3 4 2" xfId="47938" xr:uid="{00000000-0005-0000-0000-0000CFD50000}"/>
    <cellStyle name="Normal 9 2 2 8 3 5" xfId="34376" xr:uid="{00000000-0005-0000-0000-0000D0D50000}"/>
    <cellStyle name="Normal 9 2 2 8 4" xfId="10615" xr:uid="{00000000-0005-0000-0000-0000D1D50000}"/>
    <cellStyle name="Normal 9 2 2 8 4 2" xfId="17405" xr:uid="{00000000-0005-0000-0000-0000D2D50000}"/>
    <cellStyle name="Normal 9 2 2 8 4 2 2" xfId="30973" xr:uid="{00000000-0005-0000-0000-0000D3D50000}"/>
    <cellStyle name="Normal 9 2 2 8 4 2 2 2" xfId="58106" xr:uid="{00000000-0005-0000-0000-0000D4D50000}"/>
    <cellStyle name="Normal 9 2 2 8 4 2 3" xfId="44544" xr:uid="{00000000-0005-0000-0000-0000D5D50000}"/>
    <cellStyle name="Normal 9 2 2 8 4 3" xfId="24192" xr:uid="{00000000-0005-0000-0000-0000D6D50000}"/>
    <cellStyle name="Normal 9 2 2 8 4 3 2" xfId="51325" xr:uid="{00000000-0005-0000-0000-0000D7D50000}"/>
    <cellStyle name="Normal 9 2 2 8 4 4" xfId="37763" xr:uid="{00000000-0005-0000-0000-0000D8D50000}"/>
    <cellStyle name="Normal 9 2 2 8 5" xfId="14016" xr:uid="{00000000-0005-0000-0000-0000D9D50000}"/>
    <cellStyle name="Normal 9 2 2 8 5 2" xfId="27584" xr:uid="{00000000-0005-0000-0000-0000DAD50000}"/>
    <cellStyle name="Normal 9 2 2 8 5 2 2" xfId="54717" xr:uid="{00000000-0005-0000-0000-0000DBD50000}"/>
    <cellStyle name="Normal 9 2 2 8 5 3" xfId="41155" xr:uid="{00000000-0005-0000-0000-0000DCD50000}"/>
    <cellStyle name="Normal 9 2 2 8 6" xfId="20803" xr:uid="{00000000-0005-0000-0000-0000DDD50000}"/>
    <cellStyle name="Normal 9 2 2 8 6 2" xfId="47936" xr:uid="{00000000-0005-0000-0000-0000DED50000}"/>
    <cellStyle name="Normal 9 2 2 8 7" xfId="34374" xr:uid="{00000000-0005-0000-0000-0000DFD50000}"/>
    <cellStyle name="Normal 9 2 2 9" xfId="7092" xr:uid="{00000000-0005-0000-0000-0000E0D50000}"/>
    <cellStyle name="Normal 9 2 2 9 2" xfId="10618" xr:uid="{00000000-0005-0000-0000-0000E1D50000}"/>
    <cellStyle name="Normal 9 2 2 9 2 2" xfId="17408" xr:uid="{00000000-0005-0000-0000-0000E2D50000}"/>
    <cellStyle name="Normal 9 2 2 9 2 2 2" xfId="30976" xr:uid="{00000000-0005-0000-0000-0000E3D50000}"/>
    <cellStyle name="Normal 9 2 2 9 2 2 2 2" xfId="58109" xr:uid="{00000000-0005-0000-0000-0000E4D50000}"/>
    <cellStyle name="Normal 9 2 2 9 2 2 3" xfId="44547" xr:uid="{00000000-0005-0000-0000-0000E5D50000}"/>
    <cellStyle name="Normal 9 2 2 9 2 3" xfId="24195" xr:uid="{00000000-0005-0000-0000-0000E6D50000}"/>
    <cellStyle name="Normal 9 2 2 9 2 3 2" xfId="51328" xr:uid="{00000000-0005-0000-0000-0000E7D50000}"/>
    <cellStyle name="Normal 9 2 2 9 2 4" xfId="37766" xr:uid="{00000000-0005-0000-0000-0000E8D50000}"/>
    <cellStyle name="Normal 9 2 2 9 3" xfId="14019" xr:uid="{00000000-0005-0000-0000-0000E9D50000}"/>
    <cellStyle name="Normal 9 2 2 9 3 2" xfId="27587" xr:uid="{00000000-0005-0000-0000-0000EAD50000}"/>
    <cellStyle name="Normal 9 2 2 9 3 2 2" xfId="54720" xr:uid="{00000000-0005-0000-0000-0000EBD50000}"/>
    <cellStyle name="Normal 9 2 2 9 3 3" xfId="41158" xr:uid="{00000000-0005-0000-0000-0000ECD50000}"/>
    <cellStyle name="Normal 9 2 2 9 4" xfId="20806" xr:uid="{00000000-0005-0000-0000-0000EDD50000}"/>
    <cellStyle name="Normal 9 2 2 9 4 2" xfId="47939" xr:uid="{00000000-0005-0000-0000-0000EED50000}"/>
    <cellStyle name="Normal 9 2 2 9 5" xfId="34377" xr:uid="{00000000-0005-0000-0000-0000EFD50000}"/>
    <cellStyle name="Normal 9 2 28" xfId="7093" xr:uid="{00000000-0005-0000-0000-0000F0D50000}"/>
    <cellStyle name="Normal 9 2 3" xfId="7094" xr:uid="{00000000-0005-0000-0000-0000F1D50000}"/>
    <cellStyle name="Normal 9 2 3 10" xfId="10619" xr:uid="{00000000-0005-0000-0000-0000F2D50000}"/>
    <cellStyle name="Normal 9 2 3 10 2" xfId="17409" xr:uid="{00000000-0005-0000-0000-0000F3D50000}"/>
    <cellStyle name="Normal 9 2 3 10 2 2" xfId="30977" xr:uid="{00000000-0005-0000-0000-0000F4D50000}"/>
    <cellStyle name="Normal 9 2 3 10 2 2 2" xfId="58110" xr:uid="{00000000-0005-0000-0000-0000F5D50000}"/>
    <cellStyle name="Normal 9 2 3 10 2 3" xfId="44548" xr:uid="{00000000-0005-0000-0000-0000F6D50000}"/>
    <cellStyle name="Normal 9 2 3 10 3" xfId="24196" xr:uid="{00000000-0005-0000-0000-0000F7D50000}"/>
    <cellStyle name="Normal 9 2 3 10 3 2" xfId="51329" xr:uid="{00000000-0005-0000-0000-0000F8D50000}"/>
    <cellStyle name="Normal 9 2 3 10 4" xfId="37767" xr:uid="{00000000-0005-0000-0000-0000F9D50000}"/>
    <cellStyle name="Normal 9 2 3 11" xfId="14020" xr:uid="{00000000-0005-0000-0000-0000FAD50000}"/>
    <cellStyle name="Normal 9 2 3 11 2" xfId="27588" xr:uid="{00000000-0005-0000-0000-0000FBD50000}"/>
    <cellStyle name="Normal 9 2 3 11 2 2" xfId="54721" xr:uid="{00000000-0005-0000-0000-0000FCD50000}"/>
    <cellStyle name="Normal 9 2 3 11 3" xfId="41159" xr:uid="{00000000-0005-0000-0000-0000FDD50000}"/>
    <cellStyle name="Normal 9 2 3 12" xfId="20807" xr:uid="{00000000-0005-0000-0000-0000FED50000}"/>
    <cellStyle name="Normal 9 2 3 12 2" xfId="47940" xr:uid="{00000000-0005-0000-0000-0000FFD50000}"/>
    <cellStyle name="Normal 9 2 3 13" xfId="34378" xr:uid="{00000000-0005-0000-0000-000000D60000}"/>
    <cellStyle name="Normal 9 2 3 2" xfId="7095" xr:uid="{00000000-0005-0000-0000-000001D60000}"/>
    <cellStyle name="Normal 9 2 3 2 10" xfId="34379" xr:uid="{00000000-0005-0000-0000-000002D60000}"/>
    <cellStyle name="Normal 9 2 3 2 2" xfId="7096" xr:uid="{00000000-0005-0000-0000-000003D60000}"/>
    <cellStyle name="Normal 9 2 3 2 2 2" xfId="7097" xr:uid="{00000000-0005-0000-0000-000004D60000}"/>
    <cellStyle name="Normal 9 2 3 2 2 2 2" xfId="7098" xr:uid="{00000000-0005-0000-0000-000005D60000}"/>
    <cellStyle name="Normal 9 2 3 2 2 2 2 2" xfId="10623" xr:uid="{00000000-0005-0000-0000-000006D60000}"/>
    <cellStyle name="Normal 9 2 3 2 2 2 2 2 2" xfId="17413" xr:uid="{00000000-0005-0000-0000-000007D60000}"/>
    <cellStyle name="Normal 9 2 3 2 2 2 2 2 2 2" xfId="30981" xr:uid="{00000000-0005-0000-0000-000008D60000}"/>
    <cellStyle name="Normal 9 2 3 2 2 2 2 2 2 2 2" xfId="58114" xr:uid="{00000000-0005-0000-0000-000009D60000}"/>
    <cellStyle name="Normal 9 2 3 2 2 2 2 2 2 3" xfId="44552" xr:uid="{00000000-0005-0000-0000-00000AD60000}"/>
    <cellStyle name="Normal 9 2 3 2 2 2 2 2 3" xfId="24200" xr:uid="{00000000-0005-0000-0000-00000BD60000}"/>
    <cellStyle name="Normal 9 2 3 2 2 2 2 2 3 2" xfId="51333" xr:uid="{00000000-0005-0000-0000-00000CD60000}"/>
    <cellStyle name="Normal 9 2 3 2 2 2 2 2 4" xfId="37771" xr:uid="{00000000-0005-0000-0000-00000DD60000}"/>
    <cellStyle name="Normal 9 2 3 2 2 2 2 3" xfId="14024" xr:uid="{00000000-0005-0000-0000-00000ED60000}"/>
    <cellStyle name="Normal 9 2 3 2 2 2 2 3 2" xfId="27592" xr:uid="{00000000-0005-0000-0000-00000FD60000}"/>
    <cellStyle name="Normal 9 2 3 2 2 2 2 3 2 2" xfId="54725" xr:uid="{00000000-0005-0000-0000-000010D60000}"/>
    <cellStyle name="Normal 9 2 3 2 2 2 2 3 3" xfId="41163" xr:uid="{00000000-0005-0000-0000-000011D60000}"/>
    <cellStyle name="Normal 9 2 3 2 2 2 2 4" xfId="20811" xr:uid="{00000000-0005-0000-0000-000012D60000}"/>
    <cellStyle name="Normal 9 2 3 2 2 2 2 4 2" xfId="47944" xr:uid="{00000000-0005-0000-0000-000013D60000}"/>
    <cellStyle name="Normal 9 2 3 2 2 2 2 5" xfId="34382" xr:uid="{00000000-0005-0000-0000-000014D60000}"/>
    <cellStyle name="Normal 9 2 3 2 2 2 3" xfId="7099" xr:uid="{00000000-0005-0000-0000-000015D60000}"/>
    <cellStyle name="Normal 9 2 3 2 2 2 3 2" xfId="10624" xr:uid="{00000000-0005-0000-0000-000016D60000}"/>
    <cellStyle name="Normal 9 2 3 2 2 2 3 2 2" xfId="17414" xr:uid="{00000000-0005-0000-0000-000017D60000}"/>
    <cellStyle name="Normal 9 2 3 2 2 2 3 2 2 2" xfId="30982" xr:uid="{00000000-0005-0000-0000-000018D60000}"/>
    <cellStyle name="Normal 9 2 3 2 2 2 3 2 2 2 2" xfId="58115" xr:uid="{00000000-0005-0000-0000-000019D60000}"/>
    <cellStyle name="Normal 9 2 3 2 2 2 3 2 2 3" xfId="44553" xr:uid="{00000000-0005-0000-0000-00001AD60000}"/>
    <cellStyle name="Normal 9 2 3 2 2 2 3 2 3" xfId="24201" xr:uid="{00000000-0005-0000-0000-00001BD60000}"/>
    <cellStyle name="Normal 9 2 3 2 2 2 3 2 3 2" xfId="51334" xr:uid="{00000000-0005-0000-0000-00001CD60000}"/>
    <cellStyle name="Normal 9 2 3 2 2 2 3 2 4" xfId="37772" xr:uid="{00000000-0005-0000-0000-00001DD60000}"/>
    <cellStyle name="Normal 9 2 3 2 2 2 3 3" xfId="14025" xr:uid="{00000000-0005-0000-0000-00001ED60000}"/>
    <cellStyle name="Normal 9 2 3 2 2 2 3 3 2" xfId="27593" xr:uid="{00000000-0005-0000-0000-00001FD60000}"/>
    <cellStyle name="Normal 9 2 3 2 2 2 3 3 2 2" xfId="54726" xr:uid="{00000000-0005-0000-0000-000020D60000}"/>
    <cellStyle name="Normal 9 2 3 2 2 2 3 3 3" xfId="41164" xr:uid="{00000000-0005-0000-0000-000021D60000}"/>
    <cellStyle name="Normal 9 2 3 2 2 2 3 4" xfId="20812" xr:uid="{00000000-0005-0000-0000-000022D60000}"/>
    <cellStyle name="Normal 9 2 3 2 2 2 3 4 2" xfId="47945" xr:uid="{00000000-0005-0000-0000-000023D60000}"/>
    <cellStyle name="Normal 9 2 3 2 2 2 3 5" xfId="34383" xr:uid="{00000000-0005-0000-0000-000024D60000}"/>
    <cellStyle name="Normal 9 2 3 2 2 2 4" xfId="10622" xr:uid="{00000000-0005-0000-0000-000025D60000}"/>
    <cellStyle name="Normal 9 2 3 2 2 2 4 2" xfId="17412" xr:uid="{00000000-0005-0000-0000-000026D60000}"/>
    <cellStyle name="Normal 9 2 3 2 2 2 4 2 2" xfId="30980" xr:uid="{00000000-0005-0000-0000-000027D60000}"/>
    <cellStyle name="Normal 9 2 3 2 2 2 4 2 2 2" xfId="58113" xr:uid="{00000000-0005-0000-0000-000028D60000}"/>
    <cellStyle name="Normal 9 2 3 2 2 2 4 2 3" xfId="44551" xr:uid="{00000000-0005-0000-0000-000029D60000}"/>
    <cellStyle name="Normal 9 2 3 2 2 2 4 3" xfId="24199" xr:uid="{00000000-0005-0000-0000-00002AD60000}"/>
    <cellStyle name="Normal 9 2 3 2 2 2 4 3 2" xfId="51332" xr:uid="{00000000-0005-0000-0000-00002BD60000}"/>
    <cellStyle name="Normal 9 2 3 2 2 2 4 4" xfId="37770" xr:uid="{00000000-0005-0000-0000-00002CD60000}"/>
    <cellStyle name="Normal 9 2 3 2 2 2 5" xfId="14023" xr:uid="{00000000-0005-0000-0000-00002DD60000}"/>
    <cellStyle name="Normal 9 2 3 2 2 2 5 2" xfId="27591" xr:uid="{00000000-0005-0000-0000-00002ED60000}"/>
    <cellStyle name="Normal 9 2 3 2 2 2 5 2 2" xfId="54724" xr:uid="{00000000-0005-0000-0000-00002FD60000}"/>
    <cellStyle name="Normal 9 2 3 2 2 2 5 3" xfId="41162" xr:uid="{00000000-0005-0000-0000-000030D60000}"/>
    <cellStyle name="Normal 9 2 3 2 2 2 6" xfId="20810" xr:uid="{00000000-0005-0000-0000-000031D60000}"/>
    <cellStyle name="Normal 9 2 3 2 2 2 6 2" xfId="47943" xr:uid="{00000000-0005-0000-0000-000032D60000}"/>
    <cellStyle name="Normal 9 2 3 2 2 2 7" xfId="34381" xr:uid="{00000000-0005-0000-0000-000033D60000}"/>
    <cellStyle name="Normal 9 2 3 2 2 3" xfId="7100" xr:uid="{00000000-0005-0000-0000-000034D60000}"/>
    <cellStyle name="Normal 9 2 3 2 2 3 2" xfId="7101" xr:uid="{00000000-0005-0000-0000-000035D60000}"/>
    <cellStyle name="Normal 9 2 3 2 2 3 2 2" xfId="10626" xr:uid="{00000000-0005-0000-0000-000036D60000}"/>
    <cellStyle name="Normal 9 2 3 2 2 3 2 2 2" xfId="17416" xr:uid="{00000000-0005-0000-0000-000037D60000}"/>
    <cellStyle name="Normal 9 2 3 2 2 3 2 2 2 2" xfId="30984" xr:uid="{00000000-0005-0000-0000-000038D60000}"/>
    <cellStyle name="Normal 9 2 3 2 2 3 2 2 2 2 2" xfId="58117" xr:uid="{00000000-0005-0000-0000-000039D60000}"/>
    <cellStyle name="Normal 9 2 3 2 2 3 2 2 2 3" xfId="44555" xr:uid="{00000000-0005-0000-0000-00003AD60000}"/>
    <cellStyle name="Normal 9 2 3 2 2 3 2 2 3" xfId="24203" xr:uid="{00000000-0005-0000-0000-00003BD60000}"/>
    <cellStyle name="Normal 9 2 3 2 2 3 2 2 3 2" xfId="51336" xr:uid="{00000000-0005-0000-0000-00003CD60000}"/>
    <cellStyle name="Normal 9 2 3 2 2 3 2 2 4" xfId="37774" xr:uid="{00000000-0005-0000-0000-00003DD60000}"/>
    <cellStyle name="Normal 9 2 3 2 2 3 2 3" xfId="14027" xr:uid="{00000000-0005-0000-0000-00003ED60000}"/>
    <cellStyle name="Normal 9 2 3 2 2 3 2 3 2" xfId="27595" xr:uid="{00000000-0005-0000-0000-00003FD60000}"/>
    <cellStyle name="Normal 9 2 3 2 2 3 2 3 2 2" xfId="54728" xr:uid="{00000000-0005-0000-0000-000040D60000}"/>
    <cellStyle name="Normal 9 2 3 2 2 3 2 3 3" xfId="41166" xr:uid="{00000000-0005-0000-0000-000041D60000}"/>
    <cellStyle name="Normal 9 2 3 2 2 3 2 4" xfId="20814" xr:uid="{00000000-0005-0000-0000-000042D60000}"/>
    <cellStyle name="Normal 9 2 3 2 2 3 2 4 2" xfId="47947" xr:uid="{00000000-0005-0000-0000-000043D60000}"/>
    <cellStyle name="Normal 9 2 3 2 2 3 2 5" xfId="34385" xr:uid="{00000000-0005-0000-0000-000044D60000}"/>
    <cellStyle name="Normal 9 2 3 2 2 3 3" xfId="10625" xr:uid="{00000000-0005-0000-0000-000045D60000}"/>
    <cellStyle name="Normal 9 2 3 2 2 3 3 2" xfId="17415" xr:uid="{00000000-0005-0000-0000-000046D60000}"/>
    <cellStyle name="Normal 9 2 3 2 2 3 3 2 2" xfId="30983" xr:uid="{00000000-0005-0000-0000-000047D60000}"/>
    <cellStyle name="Normal 9 2 3 2 2 3 3 2 2 2" xfId="58116" xr:uid="{00000000-0005-0000-0000-000048D60000}"/>
    <cellStyle name="Normal 9 2 3 2 2 3 3 2 3" xfId="44554" xr:uid="{00000000-0005-0000-0000-000049D60000}"/>
    <cellStyle name="Normal 9 2 3 2 2 3 3 3" xfId="24202" xr:uid="{00000000-0005-0000-0000-00004AD60000}"/>
    <cellStyle name="Normal 9 2 3 2 2 3 3 3 2" xfId="51335" xr:uid="{00000000-0005-0000-0000-00004BD60000}"/>
    <cellStyle name="Normal 9 2 3 2 2 3 3 4" xfId="37773" xr:uid="{00000000-0005-0000-0000-00004CD60000}"/>
    <cellStyle name="Normal 9 2 3 2 2 3 4" xfId="14026" xr:uid="{00000000-0005-0000-0000-00004DD60000}"/>
    <cellStyle name="Normal 9 2 3 2 2 3 4 2" xfId="27594" xr:uid="{00000000-0005-0000-0000-00004ED60000}"/>
    <cellStyle name="Normal 9 2 3 2 2 3 4 2 2" xfId="54727" xr:uid="{00000000-0005-0000-0000-00004FD60000}"/>
    <cellStyle name="Normal 9 2 3 2 2 3 4 3" xfId="41165" xr:uid="{00000000-0005-0000-0000-000050D60000}"/>
    <cellStyle name="Normal 9 2 3 2 2 3 5" xfId="20813" xr:uid="{00000000-0005-0000-0000-000051D60000}"/>
    <cellStyle name="Normal 9 2 3 2 2 3 5 2" xfId="47946" xr:uid="{00000000-0005-0000-0000-000052D60000}"/>
    <cellStyle name="Normal 9 2 3 2 2 3 6" xfId="34384" xr:uid="{00000000-0005-0000-0000-000053D60000}"/>
    <cellStyle name="Normal 9 2 3 2 2 4" xfId="7102" xr:uid="{00000000-0005-0000-0000-000054D60000}"/>
    <cellStyle name="Normal 9 2 3 2 2 4 2" xfId="10627" xr:uid="{00000000-0005-0000-0000-000055D60000}"/>
    <cellStyle name="Normal 9 2 3 2 2 4 2 2" xfId="17417" xr:uid="{00000000-0005-0000-0000-000056D60000}"/>
    <cellStyle name="Normal 9 2 3 2 2 4 2 2 2" xfId="30985" xr:uid="{00000000-0005-0000-0000-000057D60000}"/>
    <cellStyle name="Normal 9 2 3 2 2 4 2 2 2 2" xfId="58118" xr:uid="{00000000-0005-0000-0000-000058D60000}"/>
    <cellStyle name="Normal 9 2 3 2 2 4 2 2 3" xfId="44556" xr:uid="{00000000-0005-0000-0000-000059D60000}"/>
    <cellStyle name="Normal 9 2 3 2 2 4 2 3" xfId="24204" xr:uid="{00000000-0005-0000-0000-00005AD60000}"/>
    <cellStyle name="Normal 9 2 3 2 2 4 2 3 2" xfId="51337" xr:uid="{00000000-0005-0000-0000-00005BD60000}"/>
    <cellStyle name="Normal 9 2 3 2 2 4 2 4" xfId="37775" xr:uid="{00000000-0005-0000-0000-00005CD60000}"/>
    <cellStyle name="Normal 9 2 3 2 2 4 3" xfId="14028" xr:uid="{00000000-0005-0000-0000-00005DD60000}"/>
    <cellStyle name="Normal 9 2 3 2 2 4 3 2" xfId="27596" xr:uid="{00000000-0005-0000-0000-00005ED60000}"/>
    <cellStyle name="Normal 9 2 3 2 2 4 3 2 2" xfId="54729" xr:uid="{00000000-0005-0000-0000-00005FD60000}"/>
    <cellStyle name="Normal 9 2 3 2 2 4 3 3" xfId="41167" xr:uid="{00000000-0005-0000-0000-000060D60000}"/>
    <cellStyle name="Normal 9 2 3 2 2 4 4" xfId="20815" xr:uid="{00000000-0005-0000-0000-000061D60000}"/>
    <cellStyle name="Normal 9 2 3 2 2 4 4 2" xfId="47948" xr:uid="{00000000-0005-0000-0000-000062D60000}"/>
    <cellStyle name="Normal 9 2 3 2 2 4 5" xfId="34386" xr:uid="{00000000-0005-0000-0000-000063D60000}"/>
    <cellStyle name="Normal 9 2 3 2 2 5" xfId="7103" xr:uid="{00000000-0005-0000-0000-000064D60000}"/>
    <cellStyle name="Normal 9 2 3 2 2 5 2" xfId="10628" xr:uid="{00000000-0005-0000-0000-000065D60000}"/>
    <cellStyle name="Normal 9 2 3 2 2 5 2 2" xfId="17418" xr:uid="{00000000-0005-0000-0000-000066D60000}"/>
    <cellStyle name="Normal 9 2 3 2 2 5 2 2 2" xfId="30986" xr:uid="{00000000-0005-0000-0000-000067D60000}"/>
    <cellStyle name="Normal 9 2 3 2 2 5 2 2 2 2" xfId="58119" xr:uid="{00000000-0005-0000-0000-000068D60000}"/>
    <cellStyle name="Normal 9 2 3 2 2 5 2 2 3" xfId="44557" xr:uid="{00000000-0005-0000-0000-000069D60000}"/>
    <cellStyle name="Normal 9 2 3 2 2 5 2 3" xfId="24205" xr:uid="{00000000-0005-0000-0000-00006AD60000}"/>
    <cellStyle name="Normal 9 2 3 2 2 5 2 3 2" xfId="51338" xr:uid="{00000000-0005-0000-0000-00006BD60000}"/>
    <cellStyle name="Normal 9 2 3 2 2 5 2 4" xfId="37776" xr:uid="{00000000-0005-0000-0000-00006CD60000}"/>
    <cellStyle name="Normal 9 2 3 2 2 5 3" xfId="14029" xr:uid="{00000000-0005-0000-0000-00006DD60000}"/>
    <cellStyle name="Normal 9 2 3 2 2 5 3 2" xfId="27597" xr:uid="{00000000-0005-0000-0000-00006ED60000}"/>
    <cellStyle name="Normal 9 2 3 2 2 5 3 2 2" xfId="54730" xr:uid="{00000000-0005-0000-0000-00006FD60000}"/>
    <cellStyle name="Normal 9 2 3 2 2 5 3 3" xfId="41168" xr:uid="{00000000-0005-0000-0000-000070D60000}"/>
    <cellStyle name="Normal 9 2 3 2 2 5 4" xfId="20816" xr:uid="{00000000-0005-0000-0000-000071D60000}"/>
    <cellStyle name="Normal 9 2 3 2 2 5 4 2" xfId="47949" xr:uid="{00000000-0005-0000-0000-000072D60000}"/>
    <cellStyle name="Normal 9 2 3 2 2 5 5" xfId="34387" xr:uid="{00000000-0005-0000-0000-000073D60000}"/>
    <cellStyle name="Normal 9 2 3 2 2 6" xfId="10621" xr:uid="{00000000-0005-0000-0000-000074D60000}"/>
    <cellStyle name="Normal 9 2 3 2 2 6 2" xfId="17411" xr:uid="{00000000-0005-0000-0000-000075D60000}"/>
    <cellStyle name="Normal 9 2 3 2 2 6 2 2" xfId="30979" xr:uid="{00000000-0005-0000-0000-000076D60000}"/>
    <cellStyle name="Normal 9 2 3 2 2 6 2 2 2" xfId="58112" xr:uid="{00000000-0005-0000-0000-000077D60000}"/>
    <cellStyle name="Normal 9 2 3 2 2 6 2 3" xfId="44550" xr:uid="{00000000-0005-0000-0000-000078D60000}"/>
    <cellStyle name="Normal 9 2 3 2 2 6 3" xfId="24198" xr:uid="{00000000-0005-0000-0000-000079D60000}"/>
    <cellStyle name="Normal 9 2 3 2 2 6 3 2" xfId="51331" xr:uid="{00000000-0005-0000-0000-00007AD60000}"/>
    <cellStyle name="Normal 9 2 3 2 2 6 4" xfId="37769" xr:uid="{00000000-0005-0000-0000-00007BD60000}"/>
    <cellStyle name="Normal 9 2 3 2 2 7" xfId="14022" xr:uid="{00000000-0005-0000-0000-00007CD60000}"/>
    <cellStyle name="Normal 9 2 3 2 2 7 2" xfId="27590" xr:uid="{00000000-0005-0000-0000-00007DD60000}"/>
    <cellStyle name="Normal 9 2 3 2 2 7 2 2" xfId="54723" xr:uid="{00000000-0005-0000-0000-00007ED60000}"/>
    <cellStyle name="Normal 9 2 3 2 2 7 3" xfId="41161" xr:uid="{00000000-0005-0000-0000-00007FD60000}"/>
    <cellStyle name="Normal 9 2 3 2 2 8" xfId="20809" xr:uid="{00000000-0005-0000-0000-000080D60000}"/>
    <cellStyle name="Normal 9 2 3 2 2 8 2" xfId="47942" xr:uid="{00000000-0005-0000-0000-000081D60000}"/>
    <cellStyle name="Normal 9 2 3 2 2 9" xfId="34380" xr:uid="{00000000-0005-0000-0000-000082D60000}"/>
    <cellStyle name="Normal 9 2 3 2 3" xfId="7104" xr:uid="{00000000-0005-0000-0000-000083D60000}"/>
    <cellStyle name="Normal 9 2 3 2 3 2" xfId="7105" xr:uid="{00000000-0005-0000-0000-000084D60000}"/>
    <cellStyle name="Normal 9 2 3 2 3 2 2" xfId="10630" xr:uid="{00000000-0005-0000-0000-000085D60000}"/>
    <cellStyle name="Normal 9 2 3 2 3 2 2 2" xfId="17420" xr:uid="{00000000-0005-0000-0000-000086D60000}"/>
    <cellStyle name="Normal 9 2 3 2 3 2 2 2 2" xfId="30988" xr:uid="{00000000-0005-0000-0000-000087D60000}"/>
    <cellStyle name="Normal 9 2 3 2 3 2 2 2 2 2" xfId="58121" xr:uid="{00000000-0005-0000-0000-000088D60000}"/>
    <cellStyle name="Normal 9 2 3 2 3 2 2 2 3" xfId="44559" xr:uid="{00000000-0005-0000-0000-000089D60000}"/>
    <cellStyle name="Normal 9 2 3 2 3 2 2 3" xfId="24207" xr:uid="{00000000-0005-0000-0000-00008AD60000}"/>
    <cellStyle name="Normal 9 2 3 2 3 2 2 3 2" xfId="51340" xr:uid="{00000000-0005-0000-0000-00008BD60000}"/>
    <cellStyle name="Normal 9 2 3 2 3 2 2 4" xfId="37778" xr:uid="{00000000-0005-0000-0000-00008CD60000}"/>
    <cellStyle name="Normal 9 2 3 2 3 2 3" xfId="14031" xr:uid="{00000000-0005-0000-0000-00008DD60000}"/>
    <cellStyle name="Normal 9 2 3 2 3 2 3 2" xfId="27599" xr:uid="{00000000-0005-0000-0000-00008ED60000}"/>
    <cellStyle name="Normal 9 2 3 2 3 2 3 2 2" xfId="54732" xr:uid="{00000000-0005-0000-0000-00008FD60000}"/>
    <cellStyle name="Normal 9 2 3 2 3 2 3 3" xfId="41170" xr:uid="{00000000-0005-0000-0000-000090D60000}"/>
    <cellStyle name="Normal 9 2 3 2 3 2 4" xfId="20818" xr:uid="{00000000-0005-0000-0000-000091D60000}"/>
    <cellStyle name="Normal 9 2 3 2 3 2 4 2" xfId="47951" xr:uid="{00000000-0005-0000-0000-000092D60000}"/>
    <cellStyle name="Normal 9 2 3 2 3 2 5" xfId="34389" xr:uid="{00000000-0005-0000-0000-000093D60000}"/>
    <cellStyle name="Normal 9 2 3 2 3 3" xfId="7106" xr:uid="{00000000-0005-0000-0000-000094D60000}"/>
    <cellStyle name="Normal 9 2 3 2 3 3 2" xfId="10631" xr:uid="{00000000-0005-0000-0000-000095D60000}"/>
    <cellStyle name="Normal 9 2 3 2 3 3 2 2" xfId="17421" xr:uid="{00000000-0005-0000-0000-000096D60000}"/>
    <cellStyle name="Normal 9 2 3 2 3 3 2 2 2" xfId="30989" xr:uid="{00000000-0005-0000-0000-000097D60000}"/>
    <cellStyle name="Normal 9 2 3 2 3 3 2 2 2 2" xfId="58122" xr:uid="{00000000-0005-0000-0000-000098D60000}"/>
    <cellStyle name="Normal 9 2 3 2 3 3 2 2 3" xfId="44560" xr:uid="{00000000-0005-0000-0000-000099D60000}"/>
    <cellStyle name="Normal 9 2 3 2 3 3 2 3" xfId="24208" xr:uid="{00000000-0005-0000-0000-00009AD60000}"/>
    <cellStyle name="Normal 9 2 3 2 3 3 2 3 2" xfId="51341" xr:uid="{00000000-0005-0000-0000-00009BD60000}"/>
    <cellStyle name="Normal 9 2 3 2 3 3 2 4" xfId="37779" xr:uid="{00000000-0005-0000-0000-00009CD60000}"/>
    <cellStyle name="Normal 9 2 3 2 3 3 3" xfId="14032" xr:uid="{00000000-0005-0000-0000-00009DD60000}"/>
    <cellStyle name="Normal 9 2 3 2 3 3 3 2" xfId="27600" xr:uid="{00000000-0005-0000-0000-00009ED60000}"/>
    <cellStyle name="Normal 9 2 3 2 3 3 3 2 2" xfId="54733" xr:uid="{00000000-0005-0000-0000-00009FD60000}"/>
    <cellStyle name="Normal 9 2 3 2 3 3 3 3" xfId="41171" xr:uid="{00000000-0005-0000-0000-0000A0D60000}"/>
    <cellStyle name="Normal 9 2 3 2 3 3 4" xfId="20819" xr:uid="{00000000-0005-0000-0000-0000A1D60000}"/>
    <cellStyle name="Normal 9 2 3 2 3 3 4 2" xfId="47952" xr:uid="{00000000-0005-0000-0000-0000A2D60000}"/>
    <cellStyle name="Normal 9 2 3 2 3 3 5" xfId="34390" xr:uid="{00000000-0005-0000-0000-0000A3D60000}"/>
    <cellStyle name="Normal 9 2 3 2 3 4" xfId="10629" xr:uid="{00000000-0005-0000-0000-0000A4D60000}"/>
    <cellStyle name="Normal 9 2 3 2 3 4 2" xfId="17419" xr:uid="{00000000-0005-0000-0000-0000A5D60000}"/>
    <cellStyle name="Normal 9 2 3 2 3 4 2 2" xfId="30987" xr:uid="{00000000-0005-0000-0000-0000A6D60000}"/>
    <cellStyle name="Normal 9 2 3 2 3 4 2 2 2" xfId="58120" xr:uid="{00000000-0005-0000-0000-0000A7D60000}"/>
    <cellStyle name="Normal 9 2 3 2 3 4 2 3" xfId="44558" xr:uid="{00000000-0005-0000-0000-0000A8D60000}"/>
    <cellStyle name="Normal 9 2 3 2 3 4 3" xfId="24206" xr:uid="{00000000-0005-0000-0000-0000A9D60000}"/>
    <cellStyle name="Normal 9 2 3 2 3 4 3 2" xfId="51339" xr:uid="{00000000-0005-0000-0000-0000AAD60000}"/>
    <cellStyle name="Normal 9 2 3 2 3 4 4" xfId="37777" xr:uid="{00000000-0005-0000-0000-0000ABD60000}"/>
    <cellStyle name="Normal 9 2 3 2 3 5" xfId="14030" xr:uid="{00000000-0005-0000-0000-0000ACD60000}"/>
    <cellStyle name="Normal 9 2 3 2 3 5 2" xfId="27598" xr:uid="{00000000-0005-0000-0000-0000ADD60000}"/>
    <cellStyle name="Normal 9 2 3 2 3 5 2 2" xfId="54731" xr:uid="{00000000-0005-0000-0000-0000AED60000}"/>
    <cellStyle name="Normal 9 2 3 2 3 5 3" xfId="41169" xr:uid="{00000000-0005-0000-0000-0000AFD60000}"/>
    <cellStyle name="Normal 9 2 3 2 3 6" xfId="20817" xr:uid="{00000000-0005-0000-0000-0000B0D60000}"/>
    <cellStyle name="Normal 9 2 3 2 3 6 2" xfId="47950" xr:uid="{00000000-0005-0000-0000-0000B1D60000}"/>
    <cellStyle name="Normal 9 2 3 2 3 7" xfId="34388" xr:uid="{00000000-0005-0000-0000-0000B2D60000}"/>
    <cellStyle name="Normal 9 2 3 2 4" xfId="7107" xr:uid="{00000000-0005-0000-0000-0000B3D60000}"/>
    <cellStyle name="Normal 9 2 3 2 4 2" xfId="7108" xr:uid="{00000000-0005-0000-0000-0000B4D60000}"/>
    <cellStyle name="Normal 9 2 3 2 4 2 2" xfId="10633" xr:uid="{00000000-0005-0000-0000-0000B5D60000}"/>
    <cellStyle name="Normal 9 2 3 2 4 2 2 2" xfId="17423" xr:uid="{00000000-0005-0000-0000-0000B6D60000}"/>
    <cellStyle name="Normal 9 2 3 2 4 2 2 2 2" xfId="30991" xr:uid="{00000000-0005-0000-0000-0000B7D60000}"/>
    <cellStyle name="Normal 9 2 3 2 4 2 2 2 2 2" xfId="58124" xr:uid="{00000000-0005-0000-0000-0000B8D60000}"/>
    <cellStyle name="Normal 9 2 3 2 4 2 2 2 3" xfId="44562" xr:uid="{00000000-0005-0000-0000-0000B9D60000}"/>
    <cellStyle name="Normal 9 2 3 2 4 2 2 3" xfId="24210" xr:uid="{00000000-0005-0000-0000-0000BAD60000}"/>
    <cellStyle name="Normal 9 2 3 2 4 2 2 3 2" xfId="51343" xr:uid="{00000000-0005-0000-0000-0000BBD60000}"/>
    <cellStyle name="Normal 9 2 3 2 4 2 2 4" xfId="37781" xr:uid="{00000000-0005-0000-0000-0000BCD60000}"/>
    <cellStyle name="Normal 9 2 3 2 4 2 3" xfId="14034" xr:uid="{00000000-0005-0000-0000-0000BDD60000}"/>
    <cellStyle name="Normal 9 2 3 2 4 2 3 2" xfId="27602" xr:uid="{00000000-0005-0000-0000-0000BED60000}"/>
    <cellStyle name="Normal 9 2 3 2 4 2 3 2 2" xfId="54735" xr:uid="{00000000-0005-0000-0000-0000BFD60000}"/>
    <cellStyle name="Normal 9 2 3 2 4 2 3 3" xfId="41173" xr:uid="{00000000-0005-0000-0000-0000C0D60000}"/>
    <cellStyle name="Normal 9 2 3 2 4 2 4" xfId="20821" xr:uid="{00000000-0005-0000-0000-0000C1D60000}"/>
    <cellStyle name="Normal 9 2 3 2 4 2 4 2" xfId="47954" xr:uid="{00000000-0005-0000-0000-0000C2D60000}"/>
    <cellStyle name="Normal 9 2 3 2 4 2 5" xfId="34392" xr:uid="{00000000-0005-0000-0000-0000C3D60000}"/>
    <cellStyle name="Normal 9 2 3 2 4 3" xfId="10632" xr:uid="{00000000-0005-0000-0000-0000C4D60000}"/>
    <cellStyle name="Normal 9 2 3 2 4 3 2" xfId="17422" xr:uid="{00000000-0005-0000-0000-0000C5D60000}"/>
    <cellStyle name="Normal 9 2 3 2 4 3 2 2" xfId="30990" xr:uid="{00000000-0005-0000-0000-0000C6D60000}"/>
    <cellStyle name="Normal 9 2 3 2 4 3 2 2 2" xfId="58123" xr:uid="{00000000-0005-0000-0000-0000C7D60000}"/>
    <cellStyle name="Normal 9 2 3 2 4 3 2 3" xfId="44561" xr:uid="{00000000-0005-0000-0000-0000C8D60000}"/>
    <cellStyle name="Normal 9 2 3 2 4 3 3" xfId="24209" xr:uid="{00000000-0005-0000-0000-0000C9D60000}"/>
    <cellStyle name="Normal 9 2 3 2 4 3 3 2" xfId="51342" xr:uid="{00000000-0005-0000-0000-0000CAD60000}"/>
    <cellStyle name="Normal 9 2 3 2 4 3 4" xfId="37780" xr:uid="{00000000-0005-0000-0000-0000CBD60000}"/>
    <cellStyle name="Normal 9 2 3 2 4 4" xfId="14033" xr:uid="{00000000-0005-0000-0000-0000CCD60000}"/>
    <cellStyle name="Normal 9 2 3 2 4 4 2" xfId="27601" xr:uid="{00000000-0005-0000-0000-0000CDD60000}"/>
    <cellStyle name="Normal 9 2 3 2 4 4 2 2" xfId="54734" xr:uid="{00000000-0005-0000-0000-0000CED60000}"/>
    <cellStyle name="Normal 9 2 3 2 4 4 3" xfId="41172" xr:uid="{00000000-0005-0000-0000-0000CFD60000}"/>
    <cellStyle name="Normal 9 2 3 2 4 5" xfId="20820" xr:uid="{00000000-0005-0000-0000-0000D0D60000}"/>
    <cellStyle name="Normal 9 2 3 2 4 5 2" xfId="47953" xr:uid="{00000000-0005-0000-0000-0000D1D60000}"/>
    <cellStyle name="Normal 9 2 3 2 4 6" xfId="34391" xr:uid="{00000000-0005-0000-0000-0000D2D60000}"/>
    <cellStyle name="Normal 9 2 3 2 5" xfId="7109" xr:uid="{00000000-0005-0000-0000-0000D3D60000}"/>
    <cellStyle name="Normal 9 2 3 2 5 2" xfId="10634" xr:uid="{00000000-0005-0000-0000-0000D4D60000}"/>
    <cellStyle name="Normal 9 2 3 2 5 2 2" xfId="17424" xr:uid="{00000000-0005-0000-0000-0000D5D60000}"/>
    <cellStyle name="Normal 9 2 3 2 5 2 2 2" xfId="30992" xr:uid="{00000000-0005-0000-0000-0000D6D60000}"/>
    <cellStyle name="Normal 9 2 3 2 5 2 2 2 2" xfId="58125" xr:uid="{00000000-0005-0000-0000-0000D7D60000}"/>
    <cellStyle name="Normal 9 2 3 2 5 2 2 3" xfId="44563" xr:uid="{00000000-0005-0000-0000-0000D8D60000}"/>
    <cellStyle name="Normal 9 2 3 2 5 2 3" xfId="24211" xr:uid="{00000000-0005-0000-0000-0000D9D60000}"/>
    <cellStyle name="Normal 9 2 3 2 5 2 3 2" xfId="51344" xr:uid="{00000000-0005-0000-0000-0000DAD60000}"/>
    <cellStyle name="Normal 9 2 3 2 5 2 4" xfId="37782" xr:uid="{00000000-0005-0000-0000-0000DBD60000}"/>
    <cellStyle name="Normal 9 2 3 2 5 3" xfId="14035" xr:uid="{00000000-0005-0000-0000-0000DCD60000}"/>
    <cellStyle name="Normal 9 2 3 2 5 3 2" xfId="27603" xr:uid="{00000000-0005-0000-0000-0000DDD60000}"/>
    <cellStyle name="Normal 9 2 3 2 5 3 2 2" xfId="54736" xr:uid="{00000000-0005-0000-0000-0000DED60000}"/>
    <cellStyle name="Normal 9 2 3 2 5 3 3" xfId="41174" xr:uid="{00000000-0005-0000-0000-0000DFD60000}"/>
    <cellStyle name="Normal 9 2 3 2 5 4" xfId="20822" xr:uid="{00000000-0005-0000-0000-0000E0D60000}"/>
    <cellStyle name="Normal 9 2 3 2 5 4 2" xfId="47955" xr:uid="{00000000-0005-0000-0000-0000E1D60000}"/>
    <cellStyle name="Normal 9 2 3 2 5 5" xfId="34393" xr:uid="{00000000-0005-0000-0000-0000E2D60000}"/>
    <cellStyle name="Normal 9 2 3 2 6" xfId="7110" xr:uid="{00000000-0005-0000-0000-0000E3D60000}"/>
    <cellStyle name="Normal 9 2 3 2 6 2" xfId="10635" xr:uid="{00000000-0005-0000-0000-0000E4D60000}"/>
    <cellStyle name="Normal 9 2 3 2 6 2 2" xfId="17425" xr:uid="{00000000-0005-0000-0000-0000E5D60000}"/>
    <cellStyle name="Normal 9 2 3 2 6 2 2 2" xfId="30993" xr:uid="{00000000-0005-0000-0000-0000E6D60000}"/>
    <cellStyle name="Normal 9 2 3 2 6 2 2 2 2" xfId="58126" xr:uid="{00000000-0005-0000-0000-0000E7D60000}"/>
    <cellStyle name="Normal 9 2 3 2 6 2 2 3" xfId="44564" xr:uid="{00000000-0005-0000-0000-0000E8D60000}"/>
    <cellStyle name="Normal 9 2 3 2 6 2 3" xfId="24212" xr:uid="{00000000-0005-0000-0000-0000E9D60000}"/>
    <cellStyle name="Normal 9 2 3 2 6 2 3 2" xfId="51345" xr:uid="{00000000-0005-0000-0000-0000EAD60000}"/>
    <cellStyle name="Normal 9 2 3 2 6 2 4" xfId="37783" xr:uid="{00000000-0005-0000-0000-0000EBD60000}"/>
    <cellStyle name="Normal 9 2 3 2 6 3" xfId="14036" xr:uid="{00000000-0005-0000-0000-0000ECD60000}"/>
    <cellStyle name="Normal 9 2 3 2 6 3 2" xfId="27604" xr:uid="{00000000-0005-0000-0000-0000EDD60000}"/>
    <cellStyle name="Normal 9 2 3 2 6 3 2 2" xfId="54737" xr:uid="{00000000-0005-0000-0000-0000EED60000}"/>
    <cellStyle name="Normal 9 2 3 2 6 3 3" xfId="41175" xr:uid="{00000000-0005-0000-0000-0000EFD60000}"/>
    <cellStyle name="Normal 9 2 3 2 6 4" xfId="20823" xr:uid="{00000000-0005-0000-0000-0000F0D60000}"/>
    <cellStyle name="Normal 9 2 3 2 6 4 2" xfId="47956" xr:uid="{00000000-0005-0000-0000-0000F1D60000}"/>
    <cellStyle name="Normal 9 2 3 2 6 5" xfId="34394" xr:uid="{00000000-0005-0000-0000-0000F2D60000}"/>
    <cellStyle name="Normal 9 2 3 2 7" xfId="10620" xr:uid="{00000000-0005-0000-0000-0000F3D60000}"/>
    <cellStyle name="Normal 9 2 3 2 7 2" xfId="17410" xr:uid="{00000000-0005-0000-0000-0000F4D60000}"/>
    <cellStyle name="Normal 9 2 3 2 7 2 2" xfId="30978" xr:uid="{00000000-0005-0000-0000-0000F5D60000}"/>
    <cellStyle name="Normal 9 2 3 2 7 2 2 2" xfId="58111" xr:uid="{00000000-0005-0000-0000-0000F6D60000}"/>
    <cellStyle name="Normal 9 2 3 2 7 2 3" xfId="44549" xr:uid="{00000000-0005-0000-0000-0000F7D60000}"/>
    <cellStyle name="Normal 9 2 3 2 7 3" xfId="24197" xr:uid="{00000000-0005-0000-0000-0000F8D60000}"/>
    <cellStyle name="Normal 9 2 3 2 7 3 2" xfId="51330" xr:uid="{00000000-0005-0000-0000-0000F9D60000}"/>
    <cellStyle name="Normal 9 2 3 2 7 4" xfId="37768" xr:uid="{00000000-0005-0000-0000-0000FAD60000}"/>
    <cellStyle name="Normal 9 2 3 2 8" xfId="14021" xr:uid="{00000000-0005-0000-0000-0000FBD60000}"/>
    <cellStyle name="Normal 9 2 3 2 8 2" xfId="27589" xr:uid="{00000000-0005-0000-0000-0000FCD60000}"/>
    <cellStyle name="Normal 9 2 3 2 8 2 2" xfId="54722" xr:uid="{00000000-0005-0000-0000-0000FDD60000}"/>
    <cellStyle name="Normal 9 2 3 2 8 3" xfId="41160" xr:uid="{00000000-0005-0000-0000-0000FED60000}"/>
    <cellStyle name="Normal 9 2 3 2 9" xfId="20808" xr:uid="{00000000-0005-0000-0000-0000FFD60000}"/>
    <cellStyle name="Normal 9 2 3 2 9 2" xfId="47941" xr:uid="{00000000-0005-0000-0000-000000D70000}"/>
    <cellStyle name="Normal 9 2 3 3" xfId="7111" xr:uid="{00000000-0005-0000-0000-000001D70000}"/>
    <cellStyle name="Normal 9 2 3 3 2" xfId="7112" xr:uid="{00000000-0005-0000-0000-000002D70000}"/>
    <cellStyle name="Normal 9 2 3 3 2 2" xfId="7113" xr:uid="{00000000-0005-0000-0000-000003D70000}"/>
    <cellStyle name="Normal 9 2 3 3 2 2 2" xfId="10638" xr:uid="{00000000-0005-0000-0000-000004D70000}"/>
    <cellStyle name="Normal 9 2 3 3 2 2 2 2" xfId="17428" xr:uid="{00000000-0005-0000-0000-000005D70000}"/>
    <cellStyle name="Normal 9 2 3 3 2 2 2 2 2" xfId="30996" xr:uid="{00000000-0005-0000-0000-000006D70000}"/>
    <cellStyle name="Normal 9 2 3 3 2 2 2 2 2 2" xfId="58129" xr:uid="{00000000-0005-0000-0000-000007D70000}"/>
    <cellStyle name="Normal 9 2 3 3 2 2 2 2 3" xfId="44567" xr:uid="{00000000-0005-0000-0000-000008D70000}"/>
    <cellStyle name="Normal 9 2 3 3 2 2 2 3" xfId="24215" xr:uid="{00000000-0005-0000-0000-000009D70000}"/>
    <cellStyle name="Normal 9 2 3 3 2 2 2 3 2" xfId="51348" xr:uid="{00000000-0005-0000-0000-00000AD70000}"/>
    <cellStyle name="Normal 9 2 3 3 2 2 2 4" xfId="37786" xr:uid="{00000000-0005-0000-0000-00000BD70000}"/>
    <cellStyle name="Normal 9 2 3 3 2 2 3" xfId="14039" xr:uid="{00000000-0005-0000-0000-00000CD70000}"/>
    <cellStyle name="Normal 9 2 3 3 2 2 3 2" xfId="27607" xr:uid="{00000000-0005-0000-0000-00000DD70000}"/>
    <cellStyle name="Normal 9 2 3 3 2 2 3 2 2" xfId="54740" xr:uid="{00000000-0005-0000-0000-00000ED70000}"/>
    <cellStyle name="Normal 9 2 3 3 2 2 3 3" xfId="41178" xr:uid="{00000000-0005-0000-0000-00000FD70000}"/>
    <cellStyle name="Normal 9 2 3 3 2 2 4" xfId="20826" xr:uid="{00000000-0005-0000-0000-000010D70000}"/>
    <cellStyle name="Normal 9 2 3 3 2 2 4 2" xfId="47959" xr:uid="{00000000-0005-0000-0000-000011D70000}"/>
    <cellStyle name="Normal 9 2 3 3 2 2 5" xfId="34397" xr:uid="{00000000-0005-0000-0000-000012D70000}"/>
    <cellStyle name="Normal 9 2 3 3 2 3" xfId="7114" xr:uid="{00000000-0005-0000-0000-000013D70000}"/>
    <cellStyle name="Normal 9 2 3 3 2 3 2" xfId="10639" xr:uid="{00000000-0005-0000-0000-000014D70000}"/>
    <cellStyle name="Normal 9 2 3 3 2 3 2 2" xfId="17429" xr:uid="{00000000-0005-0000-0000-000015D70000}"/>
    <cellStyle name="Normal 9 2 3 3 2 3 2 2 2" xfId="30997" xr:uid="{00000000-0005-0000-0000-000016D70000}"/>
    <cellStyle name="Normal 9 2 3 3 2 3 2 2 2 2" xfId="58130" xr:uid="{00000000-0005-0000-0000-000017D70000}"/>
    <cellStyle name="Normal 9 2 3 3 2 3 2 2 3" xfId="44568" xr:uid="{00000000-0005-0000-0000-000018D70000}"/>
    <cellStyle name="Normal 9 2 3 3 2 3 2 3" xfId="24216" xr:uid="{00000000-0005-0000-0000-000019D70000}"/>
    <cellStyle name="Normal 9 2 3 3 2 3 2 3 2" xfId="51349" xr:uid="{00000000-0005-0000-0000-00001AD70000}"/>
    <cellStyle name="Normal 9 2 3 3 2 3 2 4" xfId="37787" xr:uid="{00000000-0005-0000-0000-00001BD70000}"/>
    <cellStyle name="Normal 9 2 3 3 2 3 3" xfId="14040" xr:uid="{00000000-0005-0000-0000-00001CD70000}"/>
    <cellStyle name="Normal 9 2 3 3 2 3 3 2" xfId="27608" xr:uid="{00000000-0005-0000-0000-00001DD70000}"/>
    <cellStyle name="Normal 9 2 3 3 2 3 3 2 2" xfId="54741" xr:uid="{00000000-0005-0000-0000-00001ED70000}"/>
    <cellStyle name="Normal 9 2 3 3 2 3 3 3" xfId="41179" xr:uid="{00000000-0005-0000-0000-00001FD70000}"/>
    <cellStyle name="Normal 9 2 3 3 2 3 4" xfId="20827" xr:uid="{00000000-0005-0000-0000-000020D70000}"/>
    <cellStyle name="Normal 9 2 3 3 2 3 4 2" xfId="47960" xr:uid="{00000000-0005-0000-0000-000021D70000}"/>
    <cellStyle name="Normal 9 2 3 3 2 3 5" xfId="34398" xr:uid="{00000000-0005-0000-0000-000022D70000}"/>
    <cellStyle name="Normal 9 2 3 3 2 4" xfId="10637" xr:uid="{00000000-0005-0000-0000-000023D70000}"/>
    <cellStyle name="Normal 9 2 3 3 2 4 2" xfId="17427" xr:uid="{00000000-0005-0000-0000-000024D70000}"/>
    <cellStyle name="Normal 9 2 3 3 2 4 2 2" xfId="30995" xr:uid="{00000000-0005-0000-0000-000025D70000}"/>
    <cellStyle name="Normal 9 2 3 3 2 4 2 2 2" xfId="58128" xr:uid="{00000000-0005-0000-0000-000026D70000}"/>
    <cellStyle name="Normal 9 2 3 3 2 4 2 3" xfId="44566" xr:uid="{00000000-0005-0000-0000-000027D70000}"/>
    <cellStyle name="Normal 9 2 3 3 2 4 3" xfId="24214" xr:uid="{00000000-0005-0000-0000-000028D70000}"/>
    <cellStyle name="Normal 9 2 3 3 2 4 3 2" xfId="51347" xr:uid="{00000000-0005-0000-0000-000029D70000}"/>
    <cellStyle name="Normal 9 2 3 3 2 4 4" xfId="37785" xr:uid="{00000000-0005-0000-0000-00002AD70000}"/>
    <cellStyle name="Normal 9 2 3 3 2 5" xfId="14038" xr:uid="{00000000-0005-0000-0000-00002BD70000}"/>
    <cellStyle name="Normal 9 2 3 3 2 5 2" xfId="27606" xr:uid="{00000000-0005-0000-0000-00002CD70000}"/>
    <cellStyle name="Normal 9 2 3 3 2 5 2 2" xfId="54739" xr:uid="{00000000-0005-0000-0000-00002DD70000}"/>
    <cellStyle name="Normal 9 2 3 3 2 5 3" xfId="41177" xr:uid="{00000000-0005-0000-0000-00002ED70000}"/>
    <cellStyle name="Normal 9 2 3 3 2 6" xfId="20825" xr:uid="{00000000-0005-0000-0000-00002FD70000}"/>
    <cellStyle name="Normal 9 2 3 3 2 6 2" xfId="47958" xr:uid="{00000000-0005-0000-0000-000030D70000}"/>
    <cellStyle name="Normal 9 2 3 3 2 7" xfId="34396" xr:uid="{00000000-0005-0000-0000-000031D70000}"/>
    <cellStyle name="Normal 9 2 3 3 3" xfId="7115" xr:uid="{00000000-0005-0000-0000-000032D70000}"/>
    <cellStyle name="Normal 9 2 3 3 3 2" xfId="7116" xr:uid="{00000000-0005-0000-0000-000033D70000}"/>
    <cellStyle name="Normal 9 2 3 3 3 2 2" xfId="10641" xr:uid="{00000000-0005-0000-0000-000034D70000}"/>
    <cellStyle name="Normal 9 2 3 3 3 2 2 2" xfId="17431" xr:uid="{00000000-0005-0000-0000-000035D70000}"/>
    <cellStyle name="Normal 9 2 3 3 3 2 2 2 2" xfId="30999" xr:uid="{00000000-0005-0000-0000-000036D70000}"/>
    <cellStyle name="Normal 9 2 3 3 3 2 2 2 2 2" xfId="58132" xr:uid="{00000000-0005-0000-0000-000037D70000}"/>
    <cellStyle name="Normal 9 2 3 3 3 2 2 2 3" xfId="44570" xr:uid="{00000000-0005-0000-0000-000038D70000}"/>
    <cellStyle name="Normal 9 2 3 3 3 2 2 3" xfId="24218" xr:uid="{00000000-0005-0000-0000-000039D70000}"/>
    <cellStyle name="Normal 9 2 3 3 3 2 2 3 2" xfId="51351" xr:uid="{00000000-0005-0000-0000-00003AD70000}"/>
    <cellStyle name="Normal 9 2 3 3 3 2 2 4" xfId="37789" xr:uid="{00000000-0005-0000-0000-00003BD70000}"/>
    <cellStyle name="Normal 9 2 3 3 3 2 3" xfId="14042" xr:uid="{00000000-0005-0000-0000-00003CD70000}"/>
    <cellStyle name="Normal 9 2 3 3 3 2 3 2" xfId="27610" xr:uid="{00000000-0005-0000-0000-00003DD70000}"/>
    <cellStyle name="Normal 9 2 3 3 3 2 3 2 2" xfId="54743" xr:uid="{00000000-0005-0000-0000-00003ED70000}"/>
    <cellStyle name="Normal 9 2 3 3 3 2 3 3" xfId="41181" xr:uid="{00000000-0005-0000-0000-00003FD70000}"/>
    <cellStyle name="Normal 9 2 3 3 3 2 4" xfId="20829" xr:uid="{00000000-0005-0000-0000-000040D70000}"/>
    <cellStyle name="Normal 9 2 3 3 3 2 4 2" xfId="47962" xr:uid="{00000000-0005-0000-0000-000041D70000}"/>
    <cellStyle name="Normal 9 2 3 3 3 2 5" xfId="34400" xr:uid="{00000000-0005-0000-0000-000042D70000}"/>
    <cellStyle name="Normal 9 2 3 3 3 3" xfId="10640" xr:uid="{00000000-0005-0000-0000-000043D70000}"/>
    <cellStyle name="Normal 9 2 3 3 3 3 2" xfId="17430" xr:uid="{00000000-0005-0000-0000-000044D70000}"/>
    <cellStyle name="Normal 9 2 3 3 3 3 2 2" xfId="30998" xr:uid="{00000000-0005-0000-0000-000045D70000}"/>
    <cellStyle name="Normal 9 2 3 3 3 3 2 2 2" xfId="58131" xr:uid="{00000000-0005-0000-0000-000046D70000}"/>
    <cellStyle name="Normal 9 2 3 3 3 3 2 3" xfId="44569" xr:uid="{00000000-0005-0000-0000-000047D70000}"/>
    <cellStyle name="Normal 9 2 3 3 3 3 3" xfId="24217" xr:uid="{00000000-0005-0000-0000-000048D70000}"/>
    <cellStyle name="Normal 9 2 3 3 3 3 3 2" xfId="51350" xr:uid="{00000000-0005-0000-0000-000049D70000}"/>
    <cellStyle name="Normal 9 2 3 3 3 3 4" xfId="37788" xr:uid="{00000000-0005-0000-0000-00004AD70000}"/>
    <cellStyle name="Normal 9 2 3 3 3 4" xfId="14041" xr:uid="{00000000-0005-0000-0000-00004BD70000}"/>
    <cellStyle name="Normal 9 2 3 3 3 4 2" xfId="27609" xr:uid="{00000000-0005-0000-0000-00004CD70000}"/>
    <cellStyle name="Normal 9 2 3 3 3 4 2 2" xfId="54742" xr:uid="{00000000-0005-0000-0000-00004DD70000}"/>
    <cellStyle name="Normal 9 2 3 3 3 4 3" xfId="41180" xr:uid="{00000000-0005-0000-0000-00004ED70000}"/>
    <cellStyle name="Normal 9 2 3 3 3 5" xfId="20828" xr:uid="{00000000-0005-0000-0000-00004FD70000}"/>
    <cellStyle name="Normal 9 2 3 3 3 5 2" xfId="47961" xr:uid="{00000000-0005-0000-0000-000050D70000}"/>
    <cellStyle name="Normal 9 2 3 3 3 6" xfId="34399" xr:uid="{00000000-0005-0000-0000-000051D70000}"/>
    <cellStyle name="Normal 9 2 3 3 4" xfId="7117" xr:uid="{00000000-0005-0000-0000-000052D70000}"/>
    <cellStyle name="Normal 9 2 3 3 4 2" xfId="10642" xr:uid="{00000000-0005-0000-0000-000053D70000}"/>
    <cellStyle name="Normal 9 2 3 3 4 2 2" xfId="17432" xr:uid="{00000000-0005-0000-0000-000054D70000}"/>
    <cellStyle name="Normal 9 2 3 3 4 2 2 2" xfId="31000" xr:uid="{00000000-0005-0000-0000-000055D70000}"/>
    <cellStyle name="Normal 9 2 3 3 4 2 2 2 2" xfId="58133" xr:uid="{00000000-0005-0000-0000-000056D70000}"/>
    <cellStyle name="Normal 9 2 3 3 4 2 2 3" xfId="44571" xr:uid="{00000000-0005-0000-0000-000057D70000}"/>
    <cellStyle name="Normal 9 2 3 3 4 2 3" xfId="24219" xr:uid="{00000000-0005-0000-0000-000058D70000}"/>
    <cellStyle name="Normal 9 2 3 3 4 2 3 2" xfId="51352" xr:uid="{00000000-0005-0000-0000-000059D70000}"/>
    <cellStyle name="Normal 9 2 3 3 4 2 4" xfId="37790" xr:uid="{00000000-0005-0000-0000-00005AD70000}"/>
    <cellStyle name="Normal 9 2 3 3 4 3" xfId="14043" xr:uid="{00000000-0005-0000-0000-00005BD70000}"/>
    <cellStyle name="Normal 9 2 3 3 4 3 2" xfId="27611" xr:uid="{00000000-0005-0000-0000-00005CD70000}"/>
    <cellStyle name="Normal 9 2 3 3 4 3 2 2" xfId="54744" xr:uid="{00000000-0005-0000-0000-00005DD70000}"/>
    <cellStyle name="Normal 9 2 3 3 4 3 3" xfId="41182" xr:uid="{00000000-0005-0000-0000-00005ED70000}"/>
    <cellStyle name="Normal 9 2 3 3 4 4" xfId="20830" xr:uid="{00000000-0005-0000-0000-00005FD70000}"/>
    <cellStyle name="Normal 9 2 3 3 4 4 2" xfId="47963" xr:uid="{00000000-0005-0000-0000-000060D70000}"/>
    <cellStyle name="Normal 9 2 3 3 4 5" xfId="34401" xr:uid="{00000000-0005-0000-0000-000061D70000}"/>
    <cellStyle name="Normal 9 2 3 3 5" xfId="7118" xr:uid="{00000000-0005-0000-0000-000062D70000}"/>
    <cellStyle name="Normal 9 2 3 3 5 2" xfId="10643" xr:uid="{00000000-0005-0000-0000-000063D70000}"/>
    <cellStyle name="Normal 9 2 3 3 5 2 2" xfId="17433" xr:uid="{00000000-0005-0000-0000-000064D70000}"/>
    <cellStyle name="Normal 9 2 3 3 5 2 2 2" xfId="31001" xr:uid="{00000000-0005-0000-0000-000065D70000}"/>
    <cellStyle name="Normal 9 2 3 3 5 2 2 2 2" xfId="58134" xr:uid="{00000000-0005-0000-0000-000066D70000}"/>
    <cellStyle name="Normal 9 2 3 3 5 2 2 3" xfId="44572" xr:uid="{00000000-0005-0000-0000-000067D70000}"/>
    <cellStyle name="Normal 9 2 3 3 5 2 3" xfId="24220" xr:uid="{00000000-0005-0000-0000-000068D70000}"/>
    <cellStyle name="Normal 9 2 3 3 5 2 3 2" xfId="51353" xr:uid="{00000000-0005-0000-0000-000069D70000}"/>
    <cellStyle name="Normal 9 2 3 3 5 2 4" xfId="37791" xr:uid="{00000000-0005-0000-0000-00006AD70000}"/>
    <cellStyle name="Normal 9 2 3 3 5 3" xfId="14044" xr:uid="{00000000-0005-0000-0000-00006BD70000}"/>
    <cellStyle name="Normal 9 2 3 3 5 3 2" xfId="27612" xr:uid="{00000000-0005-0000-0000-00006CD70000}"/>
    <cellStyle name="Normal 9 2 3 3 5 3 2 2" xfId="54745" xr:uid="{00000000-0005-0000-0000-00006DD70000}"/>
    <cellStyle name="Normal 9 2 3 3 5 3 3" xfId="41183" xr:uid="{00000000-0005-0000-0000-00006ED70000}"/>
    <cellStyle name="Normal 9 2 3 3 5 4" xfId="20831" xr:uid="{00000000-0005-0000-0000-00006FD70000}"/>
    <cellStyle name="Normal 9 2 3 3 5 4 2" xfId="47964" xr:uid="{00000000-0005-0000-0000-000070D70000}"/>
    <cellStyle name="Normal 9 2 3 3 5 5" xfId="34402" xr:uid="{00000000-0005-0000-0000-000071D70000}"/>
    <cellStyle name="Normal 9 2 3 3 6" xfId="10636" xr:uid="{00000000-0005-0000-0000-000072D70000}"/>
    <cellStyle name="Normal 9 2 3 3 6 2" xfId="17426" xr:uid="{00000000-0005-0000-0000-000073D70000}"/>
    <cellStyle name="Normal 9 2 3 3 6 2 2" xfId="30994" xr:uid="{00000000-0005-0000-0000-000074D70000}"/>
    <cellStyle name="Normal 9 2 3 3 6 2 2 2" xfId="58127" xr:uid="{00000000-0005-0000-0000-000075D70000}"/>
    <cellStyle name="Normal 9 2 3 3 6 2 3" xfId="44565" xr:uid="{00000000-0005-0000-0000-000076D70000}"/>
    <cellStyle name="Normal 9 2 3 3 6 3" xfId="24213" xr:uid="{00000000-0005-0000-0000-000077D70000}"/>
    <cellStyle name="Normal 9 2 3 3 6 3 2" xfId="51346" xr:uid="{00000000-0005-0000-0000-000078D70000}"/>
    <cellStyle name="Normal 9 2 3 3 6 4" xfId="37784" xr:uid="{00000000-0005-0000-0000-000079D70000}"/>
    <cellStyle name="Normal 9 2 3 3 7" xfId="14037" xr:uid="{00000000-0005-0000-0000-00007AD70000}"/>
    <cellStyle name="Normal 9 2 3 3 7 2" xfId="27605" xr:uid="{00000000-0005-0000-0000-00007BD70000}"/>
    <cellStyle name="Normal 9 2 3 3 7 2 2" xfId="54738" xr:uid="{00000000-0005-0000-0000-00007CD70000}"/>
    <cellStyle name="Normal 9 2 3 3 7 3" xfId="41176" xr:uid="{00000000-0005-0000-0000-00007DD70000}"/>
    <cellStyle name="Normal 9 2 3 3 8" xfId="20824" xr:uid="{00000000-0005-0000-0000-00007ED70000}"/>
    <cellStyle name="Normal 9 2 3 3 8 2" xfId="47957" xr:uid="{00000000-0005-0000-0000-00007FD70000}"/>
    <cellStyle name="Normal 9 2 3 3 9" xfId="34395" xr:uid="{00000000-0005-0000-0000-000080D70000}"/>
    <cellStyle name="Normal 9 2 3 4" xfId="7119" xr:uid="{00000000-0005-0000-0000-000081D70000}"/>
    <cellStyle name="Normal 9 2 3 4 2" xfId="7120" xr:uid="{00000000-0005-0000-0000-000082D70000}"/>
    <cellStyle name="Normal 9 2 3 4 2 2" xfId="7121" xr:uid="{00000000-0005-0000-0000-000083D70000}"/>
    <cellStyle name="Normal 9 2 3 4 2 2 2" xfId="10646" xr:uid="{00000000-0005-0000-0000-000084D70000}"/>
    <cellStyle name="Normal 9 2 3 4 2 2 2 2" xfId="17436" xr:uid="{00000000-0005-0000-0000-000085D70000}"/>
    <cellStyle name="Normal 9 2 3 4 2 2 2 2 2" xfId="31004" xr:uid="{00000000-0005-0000-0000-000086D70000}"/>
    <cellStyle name="Normal 9 2 3 4 2 2 2 2 2 2" xfId="58137" xr:uid="{00000000-0005-0000-0000-000087D70000}"/>
    <cellStyle name="Normal 9 2 3 4 2 2 2 2 3" xfId="44575" xr:uid="{00000000-0005-0000-0000-000088D70000}"/>
    <cellStyle name="Normal 9 2 3 4 2 2 2 3" xfId="24223" xr:uid="{00000000-0005-0000-0000-000089D70000}"/>
    <cellStyle name="Normal 9 2 3 4 2 2 2 3 2" xfId="51356" xr:uid="{00000000-0005-0000-0000-00008AD70000}"/>
    <cellStyle name="Normal 9 2 3 4 2 2 2 4" xfId="37794" xr:uid="{00000000-0005-0000-0000-00008BD70000}"/>
    <cellStyle name="Normal 9 2 3 4 2 2 3" xfId="14047" xr:uid="{00000000-0005-0000-0000-00008CD70000}"/>
    <cellStyle name="Normal 9 2 3 4 2 2 3 2" xfId="27615" xr:uid="{00000000-0005-0000-0000-00008DD70000}"/>
    <cellStyle name="Normal 9 2 3 4 2 2 3 2 2" xfId="54748" xr:uid="{00000000-0005-0000-0000-00008ED70000}"/>
    <cellStyle name="Normal 9 2 3 4 2 2 3 3" xfId="41186" xr:uid="{00000000-0005-0000-0000-00008FD70000}"/>
    <cellStyle name="Normal 9 2 3 4 2 2 4" xfId="20834" xr:uid="{00000000-0005-0000-0000-000090D70000}"/>
    <cellStyle name="Normal 9 2 3 4 2 2 4 2" xfId="47967" xr:uid="{00000000-0005-0000-0000-000091D70000}"/>
    <cellStyle name="Normal 9 2 3 4 2 2 5" xfId="34405" xr:uid="{00000000-0005-0000-0000-000092D70000}"/>
    <cellStyle name="Normal 9 2 3 4 2 3" xfId="7122" xr:uid="{00000000-0005-0000-0000-000093D70000}"/>
    <cellStyle name="Normal 9 2 3 4 2 3 2" xfId="10647" xr:uid="{00000000-0005-0000-0000-000094D70000}"/>
    <cellStyle name="Normal 9 2 3 4 2 3 2 2" xfId="17437" xr:uid="{00000000-0005-0000-0000-000095D70000}"/>
    <cellStyle name="Normal 9 2 3 4 2 3 2 2 2" xfId="31005" xr:uid="{00000000-0005-0000-0000-000096D70000}"/>
    <cellStyle name="Normal 9 2 3 4 2 3 2 2 2 2" xfId="58138" xr:uid="{00000000-0005-0000-0000-000097D70000}"/>
    <cellStyle name="Normal 9 2 3 4 2 3 2 2 3" xfId="44576" xr:uid="{00000000-0005-0000-0000-000098D70000}"/>
    <cellStyle name="Normal 9 2 3 4 2 3 2 3" xfId="24224" xr:uid="{00000000-0005-0000-0000-000099D70000}"/>
    <cellStyle name="Normal 9 2 3 4 2 3 2 3 2" xfId="51357" xr:uid="{00000000-0005-0000-0000-00009AD70000}"/>
    <cellStyle name="Normal 9 2 3 4 2 3 2 4" xfId="37795" xr:uid="{00000000-0005-0000-0000-00009BD70000}"/>
    <cellStyle name="Normal 9 2 3 4 2 3 3" xfId="14048" xr:uid="{00000000-0005-0000-0000-00009CD70000}"/>
    <cellStyle name="Normal 9 2 3 4 2 3 3 2" xfId="27616" xr:uid="{00000000-0005-0000-0000-00009DD70000}"/>
    <cellStyle name="Normal 9 2 3 4 2 3 3 2 2" xfId="54749" xr:uid="{00000000-0005-0000-0000-00009ED70000}"/>
    <cellStyle name="Normal 9 2 3 4 2 3 3 3" xfId="41187" xr:uid="{00000000-0005-0000-0000-00009FD70000}"/>
    <cellStyle name="Normal 9 2 3 4 2 3 4" xfId="20835" xr:uid="{00000000-0005-0000-0000-0000A0D70000}"/>
    <cellStyle name="Normal 9 2 3 4 2 3 4 2" xfId="47968" xr:uid="{00000000-0005-0000-0000-0000A1D70000}"/>
    <cellStyle name="Normal 9 2 3 4 2 3 5" xfId="34406" xr:uid="{00000000-0005-0000-0000-0000A2D70000}"/>
    <cellStyle name="Normal 9 2 3 4 2 4" xfId="10645" xr:uid="{00000000-0005-0000-0000-0000A3D70000}"/>
    <cellStyle name="Normal 9 2 3 4 2 4 2" xfId="17435" xr:uid="{00000000-0005-0000-0000-0000A4D70000}"/>
    <cellStyle name="Normal 9 2 3 4 2 4 2 2" xfId="31003" xr:uid="{00000000-0005-0000-0000-0000A5D70000}"/>
    <cellStyle name="Normal 9 2 3 4 2 4 2 2 2" xfId="58136" xr:uid="{00000000-0005-0000-0000-0000A6D70000}"/>
    <cellStyle name="Normal 9 2 3 4 2 4 2 3" xfId="44574" xr:uid="{00000000-0005-0000-0000-0000A7D70000}"/>
    <cellStyle name="Normal 9 2 3 4 2 4 3" xfId="24222" xr:uid="{00000000-0005-0000-0000-0000A8D70000}"/>
    <cellStyle name="Normal 9 2 3 4 2 4 3 2" xfId="51355" xr:uid="{00000000-0005-0000-0000-0000A9D70000}"/>
    <cellStyle name="Normal 9 2 3 4 2 4 4" xfId="37793" xr:uid="{00000000-0005-0000-0000-0000AAD70000}"/>
    <cellStyle name="Normal 9 2 3 4 2 5" xfId="14046" xr:uid="{00000000-0005-0000-0000-0000ABD70000}"/>
    <cellStyle name="Normal 9 2 3 4 2 5 2" xfId="27614" xr:uid="{00000000-0005-0000-0000-0000ACD70000}"/>
    <cellStyle name="Normal 9 2 3 4 2 5 2 2" xfId="54747" xr:uid="{00000000-0005-0000-0000-0000ADD70000}"/>
    <cellStyle name="Normal 9 2 3 4 2 5 3" xfId="41185" xr:uid="{00000000-0005-0000-0000-0000AED70000}"/>
    <cellStyle name="Normal 9 2 3 4 2 6" xfId="20833" xr:uid="{00000000-0005-0000-0000-0000AFD70000}"/>
    <cellStyle name="Normal 9 2 3 4 2 6 2" xfId="47966" xr:uid="{00000000-0005-0000-0000-0000B0D70000}"/>
    <cellStyle name="Normal 9 2 3 4 2 7" xfId="34404" xr:uid="{00000000-0005-0000-0000-0000B1D70000}"/>
    <cellStyle name="Normal 9 2 3 4 3" xfId="7123" xr:uid="{00000000-0005-0000-0000-0000B2D70000}"/>
    <cellStyle name="Normal 9 2 3 4 3 2" xfId="10648" xr:uid="{00000000-0005-0000-0000-0000B3D70000}"/>
    <cellStyle name="Normal 9 2 3 4 3 2 2" xfId="17438" xr:uid="{00000000-0005-0000-0000-0000B4D70000}"/>
    <cellStyle name="Normal 9 2 3 4 3 2 2 2" xfId="31006" xr:uid="{00000000-0005-0000-0000-0000B5D70000}"/>
    <cellStyle name="Normal 9 2 3 4 3 2 2 2 2" xfId="58139" xr:uid="{00000000-0005-0000-0000-0000B6D70000}"/>
    <cellStyle name="Normal 9 2 3 4 3 2 2 3" xfId="44577" xr:uid="{00000000-0005-0000-0000-0000B7D70000}"/>
    <cellStyle name="Normal 9 2 3 4 3 2 3" xfId="24225" xr:uid="{00000000-0005-0000-0000-0000B8D70000}"/>
    <cellStyle name="Normal 9 2 3 4 3 2 3 2" xfId="51358" xr:uid="{00000000-0005-0000-0000-0000B9D70000}"/>
    <cellStyle name="Normal 9 2 3 4 3 2 4" xfId="37796" xr:uid="{00000000-0005-0000-0000-0000BAD70000}"/>
    <cellStyle name="Normal 9 2 3 4 3 3" xfId="14049" xr:uid="{00000000-0005-0000-0000-0000BBD70000}"/>
    <cellStyle name="Normal 9 2 3 4 3 3 2" xfId="27617" xr:uid="{00000000-0005-0000-0000-0000BCD70000}"/>
    <cellStyle name="Normal 9 2 3 4 3 3 2 2" xfId="54750" xr:uid="{00000000-0005-0000-0000-0000BDD70000}"/>
    <cellStyle name="Normal 9 2 3 4 3 3 3" xfId="41188" xr:uid="{00000000-0005-0000-0000-0000BED70000}"/>
    <cellStyle name="Normal 9 2 3 4 3 4" xfId="20836" xr:uid="{00000000-0005-0000-0000-0000BFD70000}"/>
    <cellStyle name="Normal 9 2 3 4 3 4 2" xfId="47969" xr:uid="{00000000-0005-0000-0000-0000C0D70000}"/>
    <cellStyle name="Normal 9 2 3 4 3 5" xfId="34407" xr:uid="{00000000-0005-0000-0000-0000C1D70000}"/>
    <cellStyle name="Normal 9 2 3 4 4" xfId="7124" xr:uid="{00000000-0005-0000-0000-0000C2D70000}"/>
    <cellStyle name="Normal 9 2 3 4 4 2" xfId="10649" xr:uid="{00000000-0005-0000-0000-0000C3D70000}"/>
    <cellStyle name="Normal 9 2 3 4 4 2 2" xfId="17439" xr:uid="{00000000-0005-0000-0000-0000C4D70000}"/>
    <cellStyle name="Normal 9 2 3 4 4 2 2 2" xfId="31007" xr:uid="{00000000-0005-0000-0000-0000C5D70000}"/>
    <cellStyle name="Normal 9 2 3 4 4 2 2 2 2" xfId="58140" xr:uid="{00000000-0005-0000-0000-0000C6D70000}"/>
    <cellStyle name="Normal 9 2 3 4 4 2 2 3" xfId="44578" xr:uid="{00000000-0005-0000-0000-0000C7D70000}"/>
    <cellStyle name="Normal 9 2 3 4 4 2 3" xfId="24226" xr:uid="{00000000-0005-0000-0000-0000C8D70000}"/>
    <cellStyle name="Normal 9 2 3 4 4 2 3 2" xfId="51359" xr:uid="{00000000-0005-0000-0000-0000C9D70000}"/>
    <cellStyle name="Normal 9 2 3 4 4 2 4" xfId="37797" xr:uid="{00000000-0005-0000-0000-0000CAD70000}"/>
    <cellStyle name="Normal 9 2 3 4 4 3" xfId="14050" xr:uid="{00000000-0005-0000-0000-0000CBD70000}"/>
    <cellStyle name="Normal 9 2 3 4 4 3 2" xfId="27618" xr:uid="{00000000-0005-0000-0000-0000CCD70000}"/>
    <cellStyle name="Normal 9 2 3 4 4 3 2 2" xfId="54751" xr:uid="{00000000-0005-0000-0000-0000CDD70000}"/>
    <cellStyle name="Normal 9 2 3 4 4 3 3" xfId="41189" xr:uid="{00000000-0005-0000-0000-0000CED70000}"/>
    <cellStyle name="Normal 9 2 3 4 4 4" xfId="20837" xr:uid="{00000000-0005-0000-0000-0000CFD70000}"/>
    <cellStyle name="Normal 9 2 3 4 4 4 2" xfId="47970" xr:uid="{00000000-0005-0000-0000-0000D0D70000}"/>
    <cellStyle name="Normal 9 2 3 4 4 5" xfId="34408" xr:uid="{00000000-0005-0000-0000-0000D1D70000}"/>
    <cellStyle name="Normal 9 2 3 4 5" xfId="10644" xr:uid="{00000000-0005-0000-0000-0000D2D70000}"/>
    <cellStyle name="Normal 9 2 3 4 5 2" xfId="17434" xr:uid="{00000000-0005-0000-0000-0000D3D70000}"/>
    <cellStyle name="Normal 9 2 3 4 5 2 2" xfId="31002" xr:uid="{00000000-0005-0000-0000-0000D4D70000}"/>
    <cellStyle name="Normal 9 2 3 4 5 2 2 2" xfId="58135" xr:uid="{00000000-0005-0000-0000-0000D5D70000}"/>
    <cellStyle name="Normal 9 2 3 4 5 2 3" xfId="44573" xr:uid="{00000000-0005-0000-0000-0000D6D70000}"/>
    <cellStyle name="Normal 9 2 3 4 5 3" xfId="24221" xr:uid="{00000000-0005-0000-0000-0000D7D70000}"/>
    <cellStyle name="Normal 9 2 3 4 5 3 2" xfId="51354" xr:uid="{00000000-0005-0000-0000-0000D8D70000}"/>
    <cellStyle name="Normal 9 2 3 4 5 4" xfId="37792" xr:uid="{00000000-0005-0000-0000-0000D9D70000}"/>
    <cellStyle name="Normal 9 2 3 4 6" xfId="14045" xr:uid="{00000000-0005-0000-0000-0000DAD70000}"/>
    <cellStyle name="Normal 9 2 3 4 6 2" xfId="27613" xr:uid="{00000000-0005-0000-0000-0000DBD70000}"/>
    <cellStyle name="Normal 9 2 3 4 6 2 2" xfId="54746" xr:uid="{00000000-0005-0000-0000-0000DCD70000}"/>
    <cellStyle name="Normal 9 2 3 4 6 3" xfId="41184" xr:uid="{00000000-0005-0000-0000-0000DDD70000}"/>
    <cellStyle name="Normal 9 2 3 4 7" xfId="20832" xr:uid="{00000000-0005-0000-0000-0000DED70000}"/>
    <cellStyle name="Normal 9 2 3 4 7 2" xfId="47965" xr:uid="{00000000-0005-0000-0000-0000DFD70000}"/>
    <cellStyle name="Normal 9 2 3 4 8" xfId="34403" xr:uid="{00000000-0005-0000-0000-0000E0D70000}"/>
    <cellStyle name="Normal 9 2 3 5" xfId="7125" xr:uid="{00000000-0005-0000-0000-0000E1D70000}"/>
    <cellStyle name="Normal 9 2 3 5 2" xfId="7126" xr:uid="{00000000-0005-0000-0000-0000E2D70000}"/>
    <cellStyle name="Normal 9 2 3 5 2 2" xfId="7127" xr:uid="{00000000-0005-0000-0000-0000E3D70000}"/>
    <cellStyle name="Normal 9 2 3 5 2 2 2" xfId="10652" xr:uid="{00000000-0005-0000-0000-0000E4D70000}"/>
    <cellStyle name="Normal 9 2 3 5 2 2 2 2" xfId="17442" xr:uid="{00000000-0005-0000-0000-0000E5D70000}"/>
    <cellStyle name="Normal 9 2 3 5 2 2 2 2 2" xfId="31010" xr:uid="{00000000-0005-0000-0000-0000E6D70000}"/>
    <cellStyle name="Normal 9 2 3 5 2 2 2 2 2 2" xfId="58143" xr:uid="{00000000-0005-0000-0000-0000E7D70000}"/>
    <cellStyle name="Normal 9 2 3 5 2 2 2 2 3" xfId="44581" xr:uid="{00000000-0005-0000-0000-0000E8D70000}"/>
    <cellStyle name="Normal 9 2 3 5 2 2 2 3" xfId="24229" xr:uid="{00000000-0005-0000-0000-0000E9D70000}"/>
    <cellStyle name="Normal 9 2 3 5 2 2 2 3 2" xfId="51362" xr:uid="{00000000-0005-0000-0000-0000EAD70000}"/>
    <cellStyle name="Normal 9 2 3 5 2 2 2 4" xfId="37800" xr:uid="{00000000-0005-0000-0000-0000EBD70000}"/>
    <cellStyle name="Normal 9 2 3 5 2 2 3" xfId="14053" xr:uid="{00000000-0005-0000-0000-0000ECD70000}"/>
    <cellStyle name="Normal 9 2 3 5 2 2 3 2" xfId="27621" xr:uid="{00000000-0005-0000-0000-0000EDD70000}"/>
    <cellStyle name="Normal 9 2 3 5 2 2 3 2 2" xfId="54754" xr:uid="{00000000-0005-0000-0000-0000EED70000}"/>
    <cellStyle name="Normal 9 2 3 5 2 2 3 3" xfId="41192" xr:uid="{00000000-0005-0000-0000-0000EFD70000}"/>
    <cellStyle name="Normal 9 2 3 5 2 2 4" xfId="20840" xr:uid="{00000000-0005-0000-0000-0000F0D70000}"/>
    <cellStyle name="Normal 9 2 3 5 2 2 4 2" xfId="47973" xr:uid="{00000000-0005-0000-0000-0000F1D70000}"/>
    <cellStyle name="Normal 9 2 3 5 2 2 5" xfId="34411" xr:uid="{00000000-0005-0000-0000-0000F2D70000}"/>
    <cellStyle name="Normal 9 2 3 5 2 3" xfId="7128" xr:uid="{00000000-0005-0000-0000-0000F3D70000}"/>
    <cellStyle name="Normal 9 2 3 5 2 3 2" xfId="10653" xr:uid="{00000000-0005-0000-0000-0000F4D70000}"/>
    <cellStyle name="Normal 9 2 3 5 2 3 2 2" xfId="17443" xr:uid="{00000000-0005-0000-0000-0000F5D70000}"/>
    <cellStyle name="Normal 9 2 3 5 2 3 2 2 2" xfId="31011" xr:uid="{00000000-0005-0000-0000-0000F6D70000}"/>
    <cellStyle name="Normal 9 2 3 5 2 3 2 2 2 2" xfId="58144" xr:uid="{00000000-0005-0000-0000-0000F7D70000}"/>
    <cellStyle name="Normal 9 2 3 5 2 3 2 2 3" xfId="44582" xr:uid="{00000000-0005-0000-0000-0000F8D70000}"/>
    <cellStyle name="Normal 9 2 3 5 2 3 2 3" xfId="24230" xr:uid="{00000000-0005-0000-0000-0000F9D70000}"/>
    <cellStyle name="Normal 9 2 3 5 2 3 2 3 2" xfId="51363" xr:uid="{00000000-0005-0000-0000-0000FAD70000}"/>
    <cellStyle name="Normal 9 2 3 5 2 3 2 4" xfId="37801" xr:uid="{00000000-0005-0000-0000-0000FBD70000}"/>
    <cellStyle name="Normal 9 2 3 5 2 3 3" xfId="14054" xr:uid="{00000000-0005-0000-0000-0000FCD70000}"/>
    <cellStyle name="Normal 9 2 3 5 2 3 3 2" xfId="27622" xr:uid="{00000000-0005-0000-0000-0000FDD70000}"/>
    <cellStyle name="Normal 9 2 3 5 2 3 3 2 2" xfId="54755" xr:uid="{00000000-0005-0000-0000-0000FED70000}"/>
    <cellStyle name="Normal 9 2 3 5 2 3 3 3" xfId="41193" xr:uid="{00000000-0005-0000-0000-0000FFD70000}"/>
    <cellStyle name="Normal 9 2 3 5 2 3 4" xfId="20841" xr:uid="{00000000-0005-0000-0000-000000D80000}"/>
    <cellStyle name="Normal 9 2 3 5 2 3 4 2" xfId="47974" xr:uid="{00000000-0005-0000-0000-000001D80000}"/>
    <cellStyle name="Normal 9 2 3 5 2 3 5" xfId="34412" xr:uid="{00000000-0005-0000-0000-000002D80000}"/>
    <cellStyle name="Normal 9 2 3 5 2 4" xfId="10651" xr:uid="{00000000-0005-0000-0000-000003D80000}"/>
    <cellStyle name="Normal 9 2 3 5 2 4 2" xfId="17441" xr:uid="{00000000-0005-0000-0000-000004D80000}"/>
    <cellStyle name="Normal 9 2 3 5 2 4 2 2" xfId="31009" xr:uid="{00000000-0005-0000-0000-000005D80000}"/>
    <cellStyle name="Normal 9 2 3 5 2 4 2 2 2" xfId="58142" xr:uid="{00000000-0005-0000-0000-000006D80000}"/>
    <cellStyle name="Normal 9 2 3 5 2 4 2 3" xfId="44580" xr:uid="{00000000-0005-0000-0000-000007D80000}"/>
    <cellStyle name="Normal 9 2 3 5 2 4 3" xfId="24228" xr:uid="{00000000-0005-0000-0000-000008D80000}"/>
    <cellStyle name="Normal 9 2 3 5 2 4 3 2" xfId="51361" xr:uid="{00000000-0005-0000-0000-000009D80000}"/>
    <cellStyle name="Normal 9 2 3 5 2 4 4" xfId="37799" xr:uid="{00000000-0005-0000-0000-00000AD80000}"/>
    <cellStyle name="Normal 9 2 3 5 2 5" xfId="14052" xr:uid="{00000000-0005-0000-0000-00000BD80000}"/>
    <cellStyle name="Normal 9 2 3 5 2 5 2" xfId="27620" xr:uid="{00000000-0005-0000-0000-00000CD80000}"/>
    <cellStyle name="Normal 9 2 3 5 2 5 2 2" xfId="54753" xr:uid="{00000000-0005-0000-0000-00000DD80000}"/>
    <cellStyle name="Normal 9 2 3 5 2 5 3" xfId="41191" xr:uid="{00000000-0005-0000-0000-00000ED80000}"/>
    <cellStyle name="Normal 9 2 3 5 2 6" xfId="20839" xr:uid="{00000000-0005-0000-0000-00000FD80000}"/>
    <cellStyle name="Normal 9 2 3 5 2 6 2" xfId="47972" xr:uid="{00000000-0005-0000-0000-000010D80000}"/>
    <cellStyle name="Normal 9 2 3 5 2 7" xfId="34410" xr:uid="{00000000-0005-0000-0000-000011D80000}"/>
    <cellStyle name="Normal 9 2 3 5 3" xfId="7129" xr:uid="{00000000-0005-0000-0000-000012D80000}"/>
    <cellStyle name="Normal 9 2 3 5 3 2" xfId="10654" xr:uid="{00000000-0005-0000-0000-000013D80000}"/>
    <cellStyle name="Normal 9 2 3 5 3 2 2" xfId="17444" xr:uid="{00000000-0005-0000-0000-000014D80000}"/>
    <cellStyle name="Normal 9 2 3 5 3 2 2 2" xfId="31012" xr:uid="{00000000-0005-0000-0000-000015D80000}"/>
    <cellStyle name="Normal 9 2 3 5 3 2 2 2 2" xfId="58145" xr:uid="{00000000-0005-0000-0000-000016D80000}"/>
    <cellStyle name="Normal 9 2 3 5 3 2 2 3" xfId="44583" xr:uid="{00000000-0005-0000-0000-000017D80000}"/>
    <cellStyle name="Normal 9 2 3 5 3 2 3" xfId="24231" xr:uid="{00000000-0005-0000-0000-000018D80000}"/>
    <cellStyle name="Normal 9 2 3 5 3 2 3 2" xfId="51364" xr:uid="{00000000-0005-0000-0000-000019D80000}"/>
    <cellStyle name="Normal 9 2 3 5 3 2 4" xfId="37802" xr:uid="{00000000-0005-0000-0000-00001AD80000}"/>
    <cellStyle name="Normal 9 2 3 5 3 3" xfId="14055" xr:uid="{00000000-0005-0000-0000-00001BD80000}"/>
    <cellStyle name="Normal 9 2 3 5 3 3 2" xfId="27623" xr:uid="{00000000-0005-0000-0000-00001CD80000}"/>
    <cellStyle name="Normal 9 2 3 5 3 3 2 2" xfId="54756" xr:uid="{00000000-0005-0000-0000-00001DD80000}"/>
    <cellStyle name="Normal 9 2 3 5 3 3 3" xfId="41194" xr:uid="{00000000-0005-0000-0000-00001ED80000}"/>
    <cellStyle name="Normal 9 2 3 5 3 4" xfId="20842" xr:uid="{00000000-0005-0000-0000-00001FD80000}"/>
    <cellStyle name="Normal 9 2 3 5 3 4 2" xfId="47975" xr:uid="{00000000-0005-0000-0000-000020D80000}"/>
    <cellStyle name="Normal 9 2 3 5 3 5" xfId="34413" xr:uid="{00000000-0005-0000-0000-000021D80000}"/>
    <cellStyle name="Normal 9 2 3 5 4" xfId="7130" xr:uid="{00000000-0005-0000-0000-000022D80000}"/>
    <cellStyle name="Normal 9 2 3 5 4 2" xfId="10655" xr:uid="{00000000-0005-0000-0000-000023D80000}"/>
    <cellStyle name="Normal 9 2 3 5 4 2 2" xfId="17445" xr:uid="{00000000-0005-0000-0000-000024D80000}"/>
    <cellStyle name="Normal 9 2 3 5 4 2 2 2" xfId="31013" xr:uid="{00000000-0005-0000-0000-000025D80000}"/>
    <cellStyle name="Normal 9 2 3 5 4 2 2 2 2" xfId="58146" xr:uid="{00000000-0005-0000-0000-000026D80000}"/>
    <cellStyle name="Normal 9 2 3 5 4 2 2 3" xfId="44584" xr:uid="{00000000-0005-0000-0000-000027D80000}"/>
    <cellStyle name="Normal 9 2 3 5 4 2 3" xfId="24232" xr:uid="{00000000-0005-0000-0000-000028D80000}"/>
    <cellStyle name="Normal 9 2 3 5 4 2 3 2" xfId="51365" xr:uid="{00000000-0005-0000-0000-000029D80000}"/>
    <cellStyle name="Normal 9 2 3 5 4 2 4" xfId="37803" xr:uid="{00000000-0005-0000-0000-00002AD80000}"/>
    <cellStyle name="Normal 9 2 3 5 4 3" xfId="14056" xr:uid="{00000000-0005-0000-0000-00002BD80000}"/>
    <cellStyle name="Normal 9 2 3 5 4 3 2" xfId="27624" xr:uid="{00000000-0005-0000-0000-00002CD80000}"/>
    <cellStyle name="Normal 9 2 3 5 4 3 2 2" xfId="54757" xr:uid="{00000000-0005-0000-0000-00002DD80000}"/>
    <cellStyle name="Normal 9 2 3 5 4 3 3" xfId="41195" xr:uid="{00000000-0005-0000-0000-00002ED80000}"/>
    <cellStyle name="Normal 9 2 3 5 4 4" xfId="20843" xr:uid="{00000000-0005-0000-0000-00002FD80000}"/>
    <cellStyle name="Normal 9 2 3 5 4 4 2" xfId="47976" xr:uid="{00000000-0005-0000-0000-000030D80000}"/>
    <cellStyle name="Normal 9 2 3 5 4 5" xfId="34414" xr:uid="{00000000-0005-0000-0000-000031D80000}"/>
    <cellStyle name="Normal 9 2 3 5 5" xfId="10650" xr:uid="{00000000-0005-0000-0000-000032D80000}"/>
    <cellStyle name="Normal 9 2 3 5 5 2" xfId="17440" xr:uid="{00000000-0005-0000-0000-000033D80000}"/>
    <cellStyle name="Normal 9 2 3 5 5 2 2" xfId="31008" xr:uid="{00000000-0005-0000-0000-000034D80000}"/>
    <cellStyle name="Normal 9 2 3 5 5 2 2 2" xfId="58141" xr:uid="{00000000-0005-0000-0000-000035D80000}"/>
    <cellStyle name="Normal 9 2 3 5 5 2 3" xfId="44579" xr:uid="{00000000-0005-0000-0000-000036D80000}"/>
    <cellStyle name="Normal 9 2 3 5 5 3" xfId="24227" xr:uid="{00000000-0005-0000-0000-000037D80000}"/>
    <cellStyle name="Normal 9 2 3 5 5 3 2" xfId="51360" xr:uid="{00000000-0005-0000-0000-000038D80000}"/>
    <cellStyle name="Normal 9 2 3 5 5 4" xfId="37798" xr:uid="{00000000-0005-0000-0000-000039D80000}"/>
    <cellStyle name="Normal 9 2 3 5 6" xfId="14051" xr:uid="{00000000-0005-0000-0000-00003AD80000}"/>
    <cellStyle name="Normal 9 2 3 5 6 2" xfId="27619" xr:uid="{00000000-0005-0000-0000-00003BD80000}"/>
    <cellStyle name="Normal 9 2 3 5 6 2 2" xfId="54752" xr:uid="{00000000-0005-0000-0000-00003CD80000}"/>
    <cellStyle name="Normal 9 2 3 5 6 3" xfId="41190" xr:uid="{00000000-0005-0000-0000-00003DD80000}"/>
    <cellStyle name="Normal 9 2 3 5 7" xfId="20838" xr:uid="{00000000-0005-0000-0000-00003ED80000}"/>
    <cellStyle name="Normal 9 2 3 5 7 2" xfId="47971" xr:uid="{00000000-0005-0000-0000-00003FD80000}"/>
    <cellStyle name="Normal 9 2 3 5 8" xfId="34409" xr:uid="{00000000-0005-0000-0000-000040D80000}"/>
    <cellStyle name="Normal 9 2 3 6" xfId="7131" xr:uid="{00000000-0005-0000-0000-000041D80000}"/>
    <cellStyle name="Normal 9 2 3 6 2" xfId="7132" xr:uid="{00000000-0005-0000-0000-000042D80000}"/>
    <cellStyle name="Normal 9 2 3 6 2 2" xfId="10657" xr:uid="{00000000-0005-0000-0000-000043D80000}"/>
    <cellStyle name="Normal 9 2 3 6 2 2 2" xfId="17447" xr:uid="{00000000-0005-0000-0000-000044D80000}"/>
    <cellStyle name="Normal 9 2 3 6 2 2 2 2" xfId="31015" xr:uid="{00000000-0005-0000-0000-000045D80000}"/>
    <cellStyle name="Normal 9 2 3 6 2 2 2 2 2" xfId="58148" xr:uid="{00000000-0005-0000-0000-000046D80000}"/>
    <cellStyle name="Normal 9 2 3 6 2 2 2 3" xfId="44586" xr:uid="{00000000-0005-0000-0000-000047D80000}"/>
    <cellStyle name="Normal 9 2 3 6 2 2 3" xfId="24234" xr:uid="{00000000-0005-0000-0000-000048D80000}"/>
    <cellStyle name="Normal 9 2 3 6 2 2 3 2" xfId="51367" xr:uid="{00000000-0005-0000-0000-000049D80000}"/>
    <cellStyle name="Normal 9 2 3 6 2 2 4" xfId="37805" xr:uid="{00000000-0005-0000-0000-00004AD80000}"/>
    <cellStyle name="Normal 9 2 3 6 2 3" xfId="14058" xr:uid="{00000000-0005-0000-0000-00004BD80000}"/>
    <cellStyle name="Normal 9 2 3 6 2 3 2" xfId="27626" xr:uid="{00000000-0005-0000-0000-00004CD80000}"/>
    <cellStyle name="Normal 9 2 3 6 2 3 2 2" xfId="54759" xr:uid="{00000000-0005-0000-0000-00004DD80000}"/>
    <cellStyle name="Normal 9 2 3 6 2 3 3" xfId="41197" xr:uid="{00000000-0005-0000-0000-00004ED80000}"/>
    <cellStyle name="Normal 9 2 3 6 2 4" xfId="20845" xr:uid="{00000000-0005-0000-0000-00004FD80000}"/>
    <cellStyle name="Normal 9 2 3 6 2 4 2" xfId="47978" xr:uid="{00000000-0005-0000-0000-000050D80000}"/>
    <cellStyle name="Normal 9 2 3 6 2 5" xfId="34416" xr:uid="{00000000-0005-0000-0000-000051D80000}"/>
    <cellStyle name="Normal 9 2 3 6 3" xfId="7133" xr:uid="{00000000-0005-0000-0000-000052D80000}"/>
    <cellStyle name="Normal 9 2 3 6 3 2" xfId="10658" xr:uid="{00000000-0005-0000-0000-000053D80000}"/>
    <cellStyle name="Normal 9 2 3 6 3 2 2" xfId="17448" xr:uid="{00000000-0005-0000-0000-000054D80000}"/>
    <cellStyle name="Normal 9 2 3 6 3 2 2 2" xfId="31016" xr:uid="{00000000-0005-0000-0000-000055D80000}"/>
    <cellStyle name="Normal 9 2 3 6 3 2 2 2 2" xfId="58149" xr:uid="{00000000-0005-0000-0000-000056D80000}"/>
    <cellStyle name="Normal 9 2 3 6 3 2 2 3" xfId="44587" xr:uid="{00000000-0005-0000-0000-000057D80000}"/>
    <cellStyle name="Normal 9 2 3 6 3 2 3" xfId="24235" xr:uid="{00000000-0005-0000-0000-000058D80000}"/>
    <cellStyle name="Normal 9 2 3 6 3 2 3 2" xfId="51368" xr:uid="{00000000-0005-0000-0000-000059D80000}"/>
    <cellStyle name="Normal 9 2 3 6 3 2 4" xfId="37806" xr:uid="{00000000-0005-0000-0000-00005AD80000}"/>
    <cellStyle name="Normal 9 2 3 6 3 3" xfId="14059" xr:uid="{00000000-0005-0000-0000-00005BD80000}"/>
    <cellStyle name="Normal 9 2 3 6 3 3 2" xfId="27627" xr:uid="{00000000-0005-0000-0000-00005CD80000}"/>
    <cellStyle name="Normal 9 2 3 6 3 3 2 2" xfId="54760" xr:uid="{00000000-0005-0000-0000-00005DD80000}"/>
    <cellStyle name="Normal 9 2 3 6 3 3 3" xfId="41198" xr:uid="{00000000-0005-0000-0000-00005ED80000}"/>
    <cellStyle name="Normal 9 2 3 6 3 4" xfId="20846" xr:uid="{00000000-0005-0000-0000-00005FD80000}"/>
    <cellStyle name="Normal 9 2 3 6 3 4 2" xfId="47979" xr:uid="{00000000-0005-0000-0000-000060D80000}"/>
    <cellStyle name="Normal 9 2 3 6 3 5" xfId="34417" xr:uid="{00000000-0005-0000-0000-000061D80000}"/>
    <cellStyle name="Normal 9 2 3 6 4" xfId="10656" xr:uid="{00000000-0005-0000-0000-000062D80000}"/>
    <cellStyle name="Normal 9 2 3 6 4 2" xfId="17446" xr:uid="{00000000-0005-0000-0000-000063D80000}"/>
    <cellStyle name="Normal 9 2 3 6 4 2 2" xfId="31014" xr:uid="{00000000-0005-0000-0000-000064D80000}"/>
    <cellStyle name="Normal 9 2 3 6 4 2 2 2" xfId="58147" xr:uid="{00000000-0005-0000-0000-000065D80000}"/>
    <cellStyle name="Normal 9 2 3 6 4 2 3" xfId="44585" xr:uid="{00000000-0005-0000-0000-000066D80000}"/>
    <cellStyle name="Normal 9 2 3 6 4 3" xfId="24233" xr:uid="{00000000-0005-0000-0000-000067D80000}"/>
    <cellStyle name="Normal 9 2 3 6 4 3 2" xfId="51366" xr:uid="{00000000-0005-0000-0000-000068D80000}"/>
    <cellStyle name="Normal 9 2 3 6 4 4" xfId="37804" xr:uid="{00000000-0005-0000-0000-000069D80000}"/>
    <cellStyle name="Normal 9 2 3 6 5" xfId="14057" xr:uid="{00000000-0005-0000-0000-00006AD80000}"/>
    <cellStyle name="Normal 9 2 3 6 5 2" xfId="27625" xr:uid="{00000000-0005-0000-0000-00006BD80000}"/>
    <cellStyle name="Normal 9 2 3 6 5 2 2" xfId="54758" xr:uid="{00000000-0005-0000-0000-00006CD80000}"/>
    <cellStyle name="Normal 9 2 3 6 5 3" xfId="41196" xr:uid="{00000000-0005-0000-0000-00006DD80000}"/>
    <cellStyle name="Normal 9 2 3 6 6" xfId="20844" xr:uid="{00000000-0005-0000-0000-00006ED80000}"/>
    <cellStyle name="Normal 9 2 3 6 6 2" xfId="47977" xr:uid="{00000000-0005-0000-0000-00006FD80000}"/>
    <cellStyle name="Normal 9 2 3 6 7" xfId="34415" xr:uid="{00000000-0005-0000-0000-000070D80000}"/>
    <cellStyle name="Normal 9 2 3 7" xfId="7134" xr:uid="{00000000-0005-0000-0000-000071D80000}"/>
    <cellStyle name="Normal 9 2 3 7 2" xfId="7135" xr:uid="{00000000-0005-0000-0000-000072D80000}"/>
    <cellStyle name="Normal 9 2 3 7 2 2" xfId="10660" xr:uid="{00000000-0005-0000-0000-000073D80000}"/>
    <cellStyle name="Normal 9 2 3 7 2 2 2" xfId="17450" xr:uid="{00000000-0005-0000-0000-000074D80000}"/>
    <cellStyle name="Normal 9 2 3 7 2 2 2 2" xfId="31018" xr:uid="{00000000-0005-0000-0000-000075D80000}"/>
    <cellStyle name="Normal 9 2 3 7 2 2 2 2 2" xfId="58151" xr:uid="{00000000-0005-0000-0000-000076D80000}"/>
    <cellStyle name="Normal 9 2 3 7 2 2 2 3" xfId="44589" xr:uid="{00000000-0005-0000-0000-000077D80000}"/>
    <cellStyle name="Normal 9 2 3 7 2 2 3" xfId="24237" xr:uid="{00000000-0005-0000-0000-000078D80000}"/>
    <cellStyle name="Normal 9 2 3 7 2 2 3 2" xfId="51370" xr:uid="{00000000-0005-0000-0000-000079D80000}"/>
    <cellStyle name="Normal 9 2 3 7 2 2 4" xfId="37808" xr:uid="{00000000-0005-0000-0000-00007AD80000}"/>
    <cellStyle name="Normal 9 2 3 7 2 3" xfId="14061" xr:uid="{00000000-0005-0000-0000-00007BD80000}"/>
    <cellStyle name="Normal 9 2 3 7 2 3 2" xfId="27629" xr:uid="{00000000-0005-0000-0000-00007CD80000}"/>
    <cellStyle name="Normal 9 2 3 7 2 3 2 2" xfId="54762" xr:uid="{00000000-0005-0000-0000-00007DD80000}"/>
    <cellStyle name="Normal 9 2 3 7 2 3 3" xfId="41200" xr:uid="{00000000-0005-0000-0000-00007ED80000}"/>
    <cellStyle name="Normal 9 2 3 7 2 4" xfId="20848" xr:uid="{00000000-0005-0000-0000-00007FD80000}"/>
    <cellStyle name="Normal 9 2 3 7 2 4 2" xfId="47981" xr:uid="{00000000-0005-0000-0000-000080D80000}"/>
    <cellStyle name="Normal 9 2 3 7 2 5" xfId="34419" xr:uid="{00000000-0005-0000-0000-000081D80000}"/>
    <cellStyle name="Normal 9 2 3 7 3" xfId="7136" xr:uid="{00000000-0005-0000-0000-000082D80000}"/>
    <cellStyle name="Normal 9 2 3 7 3 2" xfId="10661" xr:uid="{00000000-0005-0000-0000-000083D80000}"/>
    <cellStyle name="Normal 9 2 3 7 3 2 2" xfId="17451" xr:uid="{00000000-0005-0000-0000-000084D80000}"/>
    <cellStyle name="Normal 9 2 3 7 3 2 2 2" xfId="31019" xr:uid="{00000000-0005-0000-0000-000085D80000}"/>
    <cellStyle name="Normal 9 2 3 7 3 2 2 2 2" xfId="58152" xr:uid="{00000000-0005-0000-0000-000086D80000}"/>
    <cellStyle name="Normal 9 2 3 7 3 2 2 3" xfId="44590" xr:uid="{00000000-0005-0000-0000-000087D80000}"/>
    <cellStyle name="Normal 9 2 3 7 3 2 3" xfId="24238" xr:uid="{00000000-0005-0000-0000-000088D80000}"/>
    <cellStyle name="Normal 9 2 3 7 3 2 3 2" xfId="51371" xr:uid="{00000000-0005-0000-0000-000089D80000}"/>
    <cellStyle name="Normal 9 2 3 7 3 2 4" xfId="37809" xr:uid="{00000000-0005-0000-0000-00008AD80000}"/>
    <cellStyle name="Normal 9 2 3 7 3 3" xfId="14062" xr:uid="{00000000-0005-0000-0000-00008BD80000}"/>
    <cellStyle name="Normal 9 2 3 7 3 3 2" xfId="27630" xr:uid="{00000000-0005-0000-0000-00008CD80000}"/>
    <cellStyle name="Normal 9 2 3 7 3 3 2 2" xfId="54763" xr:uid="{00000000-0005-0000-0000-00008DD80000}"/>
    <cellStyle name="Normal 9 2 3 7 3 3 3" xfId="41201" xr:uid="{00000000-0005-0000-0000-00008ED80000}"/>
    <cellStyle name="Normal 9 2 3 7 3 4" xfId="20849" xr:uid="{00000000-0005-0000-0000-00008FD80000}"/>
    <cellStyle name="Normal 9 2 3 7 3 4 2" xfId="47982" xr:uid="{00000000-0005-0000-0000-000090D80000}"/>
    <cellStyle name="Normal 9 2 3 7 3 5" xfId="34420" xr:uid="{00000000-0005-0000-0000-000091D80000}"/>
    <cellStyle name="Normal 9 2 3 7 4" xfId="10659" xr:uid="{00000000-0005-0000-0000-000092D80000}"/>
    <cellStyle name="Normal 9 2 3 7 4 2" xfId="17449" xr:uid="{00000000-0005-0000-0000-000093D80000}"/>
    <cellStyle name="Normal 9 2 3 7 4 2 2" xfId="31017" xr:uid="{00000000-0005-0000-0000-000094D80000}"/>
    <cellStyle name="Normal 9 2 3 7 4 2 2 2" xfId="58150" xr:uid="{00000000-0005-0000-0000-000095D80000}"/>
    <cellStyle name="Normal 9 2 3 7 4 2 3" xfId="44588" xr:uid="{00000000-0005-0000-0000-000096D80000}"/>
    <cellStyle name="Normal 9 2 3 7 4 3" xfId="24236" xr:uid="{00000000-0005-0000-0000-000097D80000}"/>
    <cellStyle name="Normal 9 2 3 7 4 3 2" xfId="51369" xr:uid="{00000000-0005-0000-0000-000098D80000}"/>
    <cellStyle name="Normal 9 2 3 7 4 4" xfId="37807" xr:uid="{00000000-0005-0000-0000-000099D80000}"/>
    <cellStyle name="Normal 9 2 3 7 5" xfId="14060" xr:uid="{00000000-0005-0000-0000-00009AD80000}"/>
    <cellStyle name="Normal 9 2 3 7 5 2" xfId="27628" xr:uid="{00000000-0005-0000-0000-00009BD80000}"/>
    <cellStyle name="Normal 9 2 3 7 5 2 2" xfId="54761" xr:uid="{00000000-0005-0000-0000-00009CD80000}"/>
    <cellStyle name="Normal 9 2 3 7 5 3" xfId="41199" xr:uid="{00000000-0005-0000-0000-00009DD80000}"/>
    <cellStyle name="Normal 9 2 3 7 6" xfId="20847" xr:uid="{00000000-0005-0000-0000-00009ED80000}"/>
    <cellStyle name="Normal 9 2 3 7 6 2" xfId="47980" xr:uid="{00000000-0005-0000-0000-00009FD80000}"/>
    <cellStyle name="Normal 9 2 3 7 7" xfId="34418" xr:uid="{00000000-0005-0000-0000-0000A0D80000}"/>
    <cellStyle name="Normal 9 2 3 8" xfId="7137" xr:uid="{00000000-0005-0000-0000-0000A1D80000}"/>
    <cellStyle name="Normal 9 2 3 8 2" xfId="10662" xr:uid="{00000000-0005-0000-0000-0000A2D80000}"/>
    <cellStyle name="Normal 9 2 3 8 2 2" xfId="17452" xr:uid="{00000000-0005-0000-0000-0000A3D80000}"/>
    <cellStyle name="Normal 9 2 3 8 2 2 2" xfId="31020" xr:uid="{00000000-0005-0000-0000-0000A4D80000}"/>
    <cellStyle name="Normal 9 2 3 8 2 2 2 2" xfId="58153" xr:uid="{00000000-0005-0000-0000-0000A5D80000}"/>
    <cellStyle name="Normal 9 2 3 8 2 2 3" xfId="44591" xr:uid="{00000000-0005-0000-0000-0000A6D80000}"/>
    <cellStyle name="Normal 9 2 3 8 2 3" xfId="24239" xr:uid="{00000000-0005-0000-0000-0000A7D80000}"/>
    <cellStyle name="Normal 9 2 3 8 2 3 2" xfId="51372" xr:uid="{00000000-0005-0000-0000-0000A8D80000}"/>
    <cellStyle name="Normal 9 2 3 8 2 4" xfId="37810" xr:uid="{00000000-0005-0000-0000-0000A9D80000}"/>
    <cellStyle name="Normal 9 2 3 8 3" xfId="14063" xr:uid="{00000000-0005-0000-0000-0000AAD80000}"/>
    <cellStyle name="Normal 9 2 3 8 3 2" xfId="27631" xr:uid="{00000000-0005-0000-0000-0000ABD80000}"/>
    <cellStyle name="Normal 9 2 3 8 3 2 2" xfId="54764" xr:uid="{00000000-0005-0000-0000-0000ACD80000}"/>
    <cellStyle name="Normal 9 2 3 8 3 3" xfId="41202" xr:uid="{00000000-0005-0000-0000-0000ADD80000}"/>
    <cellStyle name="Normal 9 2 3 8 4" xfId="20850" xr:uid="{00000000-0005-0000-0000-0000AED80000}"/>
    <cellStyle name="Normal 9 2 3 8 4 2" xfId="47983" xr:uid="{00000000-0005-0000-0000-0000AFD80000}"/>
    <cellStyle name="Normal 9 2 3 8 5" xfId="34421" xr:uid="{00000000-0005-0000-0000-0000B0D80000}"/>
    <cellStyle name="Normal 9 2 3 9" xfId="7138" xr:uid="{00000000-0005-0000-0000-0000B1D80000}"/>
    <cellStyle name="Normal 9 2 3 9 2" xfId="10663" xr:uid="{00000000-0005-0000-0000-0000B2D80000}"/>
    <cellStyle name="Normal 9 2 3 9 2 2" xfId="17453" xr:uid="{00000000-0005-0000-0000-0000B3D80000}"/>
    <cellStyle name="Normal 9 2 3 9 2 2 2" xfId="31021" xr:uid="{00000000-0005-0000-0000-0000B4D80000}"/>
    <cellStyle name="Normal 9 2 3 9 2 2 2 2" xfId="58154" xr:uid="{00000000-0005-0000-0000-0000B5D80000}"/>
    <cellStyle name="Normal 9 2 3 9 2 2 3" xfId="44592" xr:uid="{00000000-0005-0000-0000-0000B6D80000}"/>
    <cellStyle name="Normal 9 2 3 9 2 3" xfId="24240" xr:uid="{00000000-0005-0000-0000-0000B7D80000}"/>
    <cellStyle name="Normal 9 2 3 9 2 3 2" xfId="51373" xr:uid="{00000000-0005-0000-0000-0000B8D80000}"/>
    <cellStyle name="Normal 9 2 3 9 2 4" xfId="37811" xr:uid="{00000000-0005-0000-0000-0000B9D80000}"/>
    <cellStyle name="Normal 9 2 3 9 3" xfId="14064" xr:uid="{00000000-0005-0000-0000-0000BAD80000}"/>
    <cellStyle name="Normal 9 2 3 9 3 2" xfId="27632" xr:uid="{00000000-0005-0000-0000-0000BBD80000}"/>
    <cellStyle name="Normal 9 2 3 9 3 2 2" xfId="54765" xr:uid="{00000000-0005-0000-0000-0000BCD80000}"/>
    <cellStyle name="Normal 9 2 3 9 3 3" xfId="41203" xr:uid="{00000000-0005-0000-0000-0000BDD80000}"/>
    <cellStyle name="Normal 9 2 3 9 4" xfId="20851" xr:uid="{00000000-0005-0000-0000-0000BED80000}"/>
    <cellStyle name="Normal 9 2 3 9 4 2" xfId="47984" xr:uid="{00000000-0005-0000-0000-0000BFD80000}"/>
    <cellStyle name="Normal 9 2 3 9 5" xfId="34422" xr:uid="{00000000-0005-0000-0000-0000C0D80000}"/>
    <cellStyle name="Normal 9 2 4" xfId="7139" xr:uid="{00000000-0005-0000-0000-0000C1D80000}"/>
    <cellStyle name="Normal 9 2 4 10" xfId="34423" xr:uid="{00000000-0005-0000-0000-0000C2D80000}"/>
    <cellStyle name="Normal 9 2 4 2" xfId="7140" xr:uid="{00000000-0005-0000-0000-0000C3D80000}"/>
    <cellStyle name="Normal 9 2 4 2 2" xfId="7141" xr:uid="{00000000-0005-0000-0000-0000C4D80000}"/>
    <cellStyle name="Normal 9 2 4 2 2 2" xfId="7142" xr:uid="{00000000-0005-0000-0000-0000C5D80000}"/>
    <cellStyle name="Normal 9 2 4 2 2 2 2" xfId="10667" xr:uid="{00000000-0005-0000-0000-0000C6D80000}"/>
    <cellStyle name="Normal 9 2 4 2 2 2 2 2" xfId="17457" xr:uid="{00000000-0005-0000-0000-0000C7D80000}"/>
    <cellStyle name="Normal 9 2 4 2 2 2 2 2 2" xfId="31025" xr:uid="{00000000-0005-0000-0000-0000C8D80000}"/>
    <cellStyle name="Normal 9 2 4 2 2 2 2 2 2 2" xfId="58158" xr:uid="{00000000-0005-0000-0000-0000C9D80000}"/>
    <cellStyle name="Normal 9 2 4 2 2 2 2 2 3" xfId="44596" xr:uid="{00000000-0005-0000-0000-0000CAD80000}"/>
    <cellStyle name="Normal 9 2 4 2 2 2 2 3" xfId="24244" xr:uid="{00000000-0005-0000-0000-0000CBD80000}"/>
    <cellStyle name="Normal 9 2 4 2 2 2 2 3 2" xfId="51377" xr:uid="{00000000-0005-0000-0000-0000CCD80000}"/>
    <cellStyle name="Normal 9 2 4 2 2 2 2 4" xfId="37815" xr:uid="{00000000-0005-0000-0000-0000CDD80000}"/>
    <cellStyle name="Normal 9 2 4 2 2 2 3" xfId="14068" xr:uid="{00000000-0005-0000-0000-0000CED80000}"/>
    <cellStyle name="Normal 9 2 4 2 2 2 3 2" xfId="27636" xr:uid="{00000000-0005-0000-0000-0000CFD80000}"/>
    <cellStyle name="Normal 9 2 4 2 2 2 3 2 2" xfId="54769" xr:uid="{00000000-0005-0000-0000-0000D0D80000}"/>
    <cellStyle name="Normal 9 2 4 2 2 2 3 3" xfId="41207" xr:uid="{00000000-0005-0000-0000-0000D1D80000}"/>
    <cellStyle name="Normal 9 2 4 2 2 2 4" xfId="20855" xr:uid="{00000000-0005-0000-0000-0000D2D80000}"/>
    <cellStyle name="Normal 9 2 4 2 2 2 4 2" xfId="47988" xr:uid="{00000000-0005-0000-0000-0000D3D80000}"/>
    <cellStyle name="Normal 9 2 4 2 2 2 5" xfId="34426" xr:uid="{00000000-0005-0000-0000-0000D4D80000}"/>
    <cellStyle name="Normal 9 2 4 2 2 3" xfId="7143" xr:uid="{00000000-0005-0000-0000-0000D5D80000}"/>
    <cellStyle name="Normal 9 2 4 2 2 3 2" xfId="10668" xr:uid="{00000000-0005-0000-0000-0000D6D80000}"/>
    <cellStyle name="Normal 9 2 4 2 2 3 2 2" xfId="17458" xr:uid="{00000000-0005-0000-0000-0000D7D80000}"/>
    <cellStyle name="Normal 9 2 4 2 2 3 2 2 2" xfId="31026" xr:uid="{00000000-0005-0000-0000-0000D8D80000}"/>
    <cellStyle name="Normal 9 2 4 2 2 3 2 2 2 2" xfId="58159" xr:uid="{00000000-0005-0000-0000-0000D9D80000}"/>
    <cellStyle name="Normal 9 2 4 2 2 3 2 2 3" xfId="44597" xr:uid="{00000000-0005-0000-0000-0000DAD80000}"/>
    <cellStyle name="Normal 9 2 4 2 2 3 2 3" xfId="24245" xr:uid="{00000000-0005-0000-0000-0000DBD80000}"/>
    <cellStyle name="Normal 9 2 4 2 2 3 2 3 2" xfId="51378" xr:uid="{00000000-0005-0000-0000-0000DCD80000}"/>
    <cellStyle name="Normal 9 2 4 2 2 3 2 4" xfId="37816" xr:uid="{00000000-0005-0000-0000-0000DDD80000}"/>
    <cellStyle name="Normal 9 2 4 2 2 3 3" xfId="14069" xr:uid="{00000000-0005-0000-0000-0000DED80000}"/>
    <cellStyle name="Normal 9 2 4 2 2 3 3 2" xfId="27637" xr:uid="{00000000-0005-0000-0000-0000DFD80000}"/>
    <cellStyle name="Normal 9 2 4 2 2 3 3 2 2" xfId="54770" xr:uid="{00000000-0005-0000-0000-0000E0D80000}"/>
    <cellStyle name="Normal 9 2 4 2 2 3 3 3" xfId="41208" xr:uid="{00000000-0005-0000-0000-0000E1D80000}"/>
    <cellStyle name="Normal 9 2 4 2 2 3 4" xfId="20856" xr:uid="{00000000-0005-0000-0000-0000E2D80000}"/>
    <cellStyle name="Normal 9 2 4 2 2 3 4 2" xfId="47989" xr:uid="{00000000-0005-0000-0000-0000E3D80000}"/>
    <cellStyle name="Normal 9 2 4 2 2 3 5" xfId="34427" xr:uid="{00000000-0005-0000-0000-0000E4D80000}"/>
    <cellStyle name="Normal 9 2 4 2 2 4" xfId="10666" xr:uid="{00000000-0005-0000-0000-0000E5D80000}"/>
    <cellStyle name="Normal 9 2 4 2 2 4 2" xfId="17456" xr:uid="{00000000-0005-0000-0000-0000E6D80000}"/>
    <cellStyle name="Normal 9 2 4 2 2 4 2 2" xfId="31024" xr:uid="{00000000-0005-0000-0000-0000E7D80000}"/>
    <cellStyle name="Normal 9 2 4 2 2 4 2 2 2" xfId="58157" xr:uid="{00000000-0005-0000-0000-0000E8D80000}"/>
    <cellStyle name="Normal 9 2 4 2 2 4 2 3" xfId="44595" xr:uid="{00000000-0005-0000-0000-0000E9D80000}"/>
    <cellStyle name="Normal 9 2 4 2 2 4 3" xfId="24243" xr:uid="{00000000-0005-0000-0000-0000EAD80000}"/>
    <cellStyle name="Normal 9 2 4 2 2 4 3 2" xfId="51376" xr:uid="{00000000-0005-0000-0000-0000EBD80000}"/>
    <cellStyle name="Normal 9 2 4 2 2 4 4" xfId="37814" xr:uid="{00000000-0005-0000-0000-0000ECD80000}"/>
    <cellStyle name="Normal 9 2 4 2 2 5" xfId="14067" xr:uid="{00000000-0005-0000-0000-0000EDD80000}"/>
    <cellStyle name="Normal 9 2 4 2 2 5 2" xfId="27635" xr:uid="{00000000-0005-0000-0000-0000EED80000}"/>
    <cellStyle name="Normal 9 2 4 2 2 5 2 2" xfId="54768" xr:uid="{00000000-0005-0000-0000-0000EFD80000}"/>
    <cellStyle name="Normal 9 2 4 2 2 5 3" xfId="41206" xr:uid="{00000000-0005-0000-0000-0000F0D80000}"/>
    <cellStyle name="Normal 9 2 4 2 2 6" xfId="20854" xr:uid="{00000000-0005-0000-0000-0000F1D80000}"/>
    <cellStyle name="Normal 9 2 4 2 2 6 2" xfId="47987" xr:uid="{00000000-0005-0000-0000-0000F2D80000}"/>
    <cellStyle name="Normal 9 2 4 2 2 7" xfId="34425" xr:uid="{00000000-0005-0000-0000-0000F3D80000}"/>
    <cellStyle name="Normal 9 2 4 2 3" xfId="7144" xr:uid="{00000000-0005-0000-0000-0000F4D80000}"/>
    <cellStyle name="Normal 9 2 4 2 3 2" xfId="7145" xr:uid="{00000000-0005-0000-0000-0000F5D80000}"/>
    <cellStyle name="Normal 9 2 4 2 3 2 2" xfId="10670" xr:uid="{00000000-0005-0000-0000-0000F6D80000}"/>
    <cellStyle name="Normal 9 2 4 2 3 2 2 2" xfId="17460" xr:uid="{00000000-0005-0000-0000-0000F7D80000}"/>
    <cellStyle name="Normal 9 2 4 2 3 2 2 2 2" xfId="31028" xr:uid="{00000000-0005-0000-0000-0000F8D80000}"/>
    <cellStyle name="Normal 9 2 4 2 3 2 2 2 2 2" xfId="58161" xr:uid="{00000000-0005-0000-0000-0000F9D80000}"/>
    <cellStyle name="Normal 9 2 4 2 3 2 2 2 3" xfId="44599" xr:uid="{00000000-0005-0000-0000-0000FAD80000}"/>
    <cellStyle name="Normal 9 2 4 2 3 2 2 3" xfId="24247" xr:uid="{00000000-0005-0000-0000-0000FBD80000}"/>
    <cellStyle name="Normal 9 2 4 2 3 2 2 3 2" xfId="51380" xr:uid="{00000000-0005-0000-0000-0000FCD80000}"/>
    <cellStyle name="Normal 9 2 4 2 3 2 2 4" xfId="37818" xr:uid="{00000000-0005-0000-0000-0000FDD80000}"/>
    <cellStyle name="Normal 9 2 4 2 3 2 3" xfId="14071" xr:uid="{00000000-0005-0000-0000-0000FED80000}"/>
    <cellStyle name="Normal 9 2 4 2 3 2 3 2" xfId="27639" xr:uid="{00000000-0005-0000-0000-0000FFD80000}"/>
    <cellStyle name="Normal 9 2 4 2 3 2 3 2 2" xfId="54772" xr:uid="{00000000-0005-0000-0000-000000D90000}"/>
    <cellStyle name="Normal 9 2 4 2 3 2 3 3" xfId="41210" xr:uid="{00000000-0005-0000-0000-000001D90000}"/>
    <cellStyle name="Normal 9 2 4 2 3 2 4" xfId="20858" xr:uid="{00000000-0005-0000-0000-000002D90000}"/>
    <cellStyle name="Normal 9 2 4 2 3 2 4 2" xfId="47991" xr:uid="{00000000-0005-0000-0000-000003D90000}"/>
    <cellStyle name="Normal 9 2 4 2 3 2 5" xfId="34429" xr:uid="{00000000-0005-0000-0000-000004D90000}"/>
    <cellStyle name="Normal 9 2 4 2 3 3" xfId="10669" xr:uid="{00000000-0005-0000-0000-000005D90000}"/>
    <cellStyle name="Normal 9 2 4 2 3 3 2" xfId="17459" xr:uid="{00000000-0005-0000-0000-000006D90000}"/>
    <cellStyle name="Normal 9 2 4 2 3 3 2 2" xfId="31027" xr:uid="{00000000-0005-0000-0000-000007D90000}"/>
    <cellStyle name="Normal 9 2 4 2 3 3 2 2 2" xfId="58160" xr:uid="{00000000-0005-0000-0000-000008D90000}"/>
    <cellStyle name="Normal 9 2 4 2 3 3 2 3" xfId="44598" xr:uid="{00000000-0005-0000-0000-000009D90000}"/>
    <cellStyle name="Normal 9 2 4 2 3 3 3" xfId="24246" xr:uid="{00000000-0005-0000-0000-00000AD90000}"/>
    <cellStyle name="Normal 9 2 4 2 3 3 3 2" xfId="51379" xr:uid="{00000000-0005-0000-0000-00000BD90000}"/>
    <cellStyle name="Normal 9 2 4 2 3 3 4" xfId="37817" xr:uid="{00000000-0005-0000-0000-00000CD90000}"/>
    <cellStyle name="Normal 9 2 4 2 3 4" xfId="14070" xr:uid="{00000000-0005-0000-0000-00000DD90000}"/>
    <cellStyle name="Normal 9 2 4 2 3 4 2" xfId="27638" xr:uid="{00000000-0005-0000-0000-00000ED90000}"/>
    <cellStyle name="Normal 9 2 4 2 3 4 2 2" xfId="54771" xr:uid="{00000000-0005-0000-0000-00000FD90000}"/>
    <cellStyle name="Normal 9 2 4 2 3 4 3" xfId="41209" xr:uid="{00000000-0005-0000-0000-000010D90000}"/>
    <cellStyle name="Normal 9 2 4 2 3 5" xfId="20857" xr:uid="{00000000-0005-0000-0000-000011D90000}"/>
    <cellStyle name="Normal 9 2 4 2 3 5 2" xfId="47990" xr:uid="{00000000-0005-0000-0000-000012D90000}"/>
    <cellStyle name="Normal 9 2 4 2 3 6" xfId="34428" xr:uid="{00000000-0005-0000-0000-000013D90000}"/>
    <cellStyle name="Normal 9 2 4 2 4" xfId="7146" xr:uid="{00000000-0005-0000-0000-000014D90000}"/>
    <cellStyle name="Normal 9 2 4 2 4 2" xfId="10671" xr:uid="{00000000-0005-0000-0000-000015D90000}"/>
    <cellStyle name="Normal 9 2 4 2 4 2 2" xfId="17461" xr:uid="{00000000-0005-0000-0000-000016D90000}"/>
    <cellStyle name="Normal 9 2 4 2 4 2 2 2" xfId="31029" xr:uid="{00000000-0005-0000-0000-000017D90000}"/>
    <cellStyle name="Normal 9 2 4 2 4 2 2 2 2" xfId="58162" xr:uid="{00000000-0005-0000-0000-000018D90000}"/>
    <cellStyle name="Normal 9 2 4 2 4 2 2 3" xfId="44600" xr:uid="{00000000-0005-0000-0000-000019D90000}"/>
    <cellStyle name="Normal 9 2 4 2 4 2 3" xfId="24248" xr:uid="{00000000-0005-0000-0000-00001AD90000}"/>
    <cellStyle name="Normal 9 2 4 2 4 2 3 2" xfId="51381" xr:uid="{00000000-0005-0000-0000-00001BD90000}"/>
    <cellStyle name="Normal 9 2 4 2 4 2 4" xfId="37819" xr:uid="{00000000-0005-0000-0000-00001CD90000}"/>
    <cellStyle name="Normal 9 2 4 2 4 3" xfId="14072" xr:uid="{00000000-0005-0000-0000-00001DD90000}"/>
    <cellStyle name="Normal 9 2 4 2 4 3 2" xfId="27640" xr:uid="{00000000-0005-0000-0000-00001ED90000}"/>
    <cellStyle name="Normal 9 2 4 2 4 3 2 2" xfId="54773" xr:uid="{00000000-0005-0000-0000-00001FD90000}"/>
    <cellStyle name="Normal 9 2 4 2 4 3 3" xfId="41211" xr:uid="{00000000-0005-0000-0000-000020D90000}"/>
    <cellStyle name="Normal 9 2 4 2 4 4" xfId="20859" xr:uid="{00000000-0005-0000-0000-000021D90000}"/>
    <cellStyle name="Normal 9 2 4 2 4 4 2" xfId="47992" xr:uid="{00000000-0005-0000-0000-000022D90000}"/>
    <cellStyle name="Normal 9 2 4 2 4 5" xfId="34430" xr:uid="{00000000-0005-0000-0000-000023D90000}"/>
    <cellStyle name="Normal 9 2 4 2 5" xfId="7147" xr:uid="{00000000-0005-0000-0000-000024D90000}"/>
    <cellStyle name="Normal 9 2 4 2 5 2" xfId="10672" xr:uid="{00000000-0005-0000-0000-000025D90000}"/>
    <cellStyle name="Normal 9 2 4 2 5 2 2" xfId="17462" xr:uid="{00000000-0005-0000-0000-000026D90000}"/>
    <cellStyle name="Normal 9 2 4 2 5 2 2 2" xfId="31030" xr:uid="{00000000-0005-0000-0000-000027D90000}"/>
    <cellStyle name="Normal 9 2 4 2 5 2 2 2 2" xfId="58163" xr:uid="{00000000-0005-0000-0000-000028D90000}"/>
    <cellStyle name="Normal 9 2 4 2 5 2 2 3" xfId="44601" xr:uid="{00000000-0005-0000-0000-000029D90000}"/>
    <cellStyle name="Normal 9 2 4 2 5 2 3" xfId="24249" xr:uid="{00000000-0005-0000-0000-00002AD90000}"/>
    <cellStyle name="Normal 9 2 4 2 5 2 3 2" xfId="51382" xr:uid="{00000000-0005-0000-0000-00002BD90000}"/>
    <cellStyle name="Normal 9 2 4 2 5 2 4" xfId="37820" xr:uid="{00000000-0005-0000-0000-00002CD90000}"/>
    <cellStyle name="Normal 9 2 4 2 5 3" xfId="14073" xr:uid="{00000000-0005-0000-0000-00002DD90000}"/>
    <cellStyle name="Normal 9 2 4 2 5 3 2" xfId="27641" xr:uid="{00000000-0005-0000-0000-00002ED90000}"/>
    <cellStyle name="Normal 9 2 4 2 5 3 2 2" xfId="54774" xr:uid="{00000000-0005-0000-0000-00002FD90000}"/>
    <cellStyle name="Normal 9 2 4 2 5 3 3" xfId="41212" xr:uid="{00000000-0005-0000-0000-000030D90000}"/>
    <cellStyle name="Normal 9 2 4 2 5 4" xfId="20860" xr:uid="{00000000-0005-0000-0000-000031D90000}"/>
    <cellStyle name="Normal 9 2 4 2 5 4 2" xfId="47993" xr:uid="{00000000-0005-0000-0000-000032D90000}"/>
    <cellStyle name="Normal 9 2 4 2 5 5" xfId="34431" xr:uid="{00000000-0005-0000-0000-000033D90000}"/>
    <cellStyle name="Normal 9 2 4 2 6" xfId="10665" xr:uid="{00000000-0005-0000-0000-000034D90000}"/>
    <cellStyle name="Normal 9 2 4 2 6 2" xfId="17455" xr:uid="{00000000-0005-0000-0000-000035D90000}"/>
    <cellStyle name="Normal 9 2 4 2 6 2 2" xfId="31023" xr:uid="{00000000-0005-0000-0000-000036D90000}"/>
    <cellStyle name="Normal 9 2 4 2 6 2 2 2" xfId="58156" xr:uid="{00000000-0005-0000-0000-000037D90000}"/>
    <cellStyle name="Normal 9 2 4 2 6 2 3" xfId="44594" xr:uid="{00000000-0005-0000-0000-000038D90000}"/>
    <cellStyle name="Normal 9 2 4 2 6 3" xfId="24242" xr:uid="{00000000-0005-0000-0000-000039D90000}"/>
    <cellStyle name="Normal 9 2 4 2 6 3 2" xfId="51375" xr:uid="{00000000-0005-0000-0000-00003AD90000}"/>
    <cellStyle name="Normal 9 2 4 2 6 4" xfId="37813" xr:uid="{00000000-0005-0000-0000-00003BD90000}"/>
    <cellStyle name="Normal 9 2 4 2 7" xfId="14066" xr:uid="{00000000-0005-0000-0000-00003CD90000}"/>
    <cellStyle name="Normal 9 2 4 2 7 2" xfId="27634" xr:uid="{00000000-0005-0000-0000-00003DD90000}"/>
    <cellStyle name="Normal 9 2 4 2 7 2 2" xfId="54767" xr:uid="{00000000-0005-0000-0000-00003ED90000}"/>
    <cellStyle name="Normal 9 2 4 2 7 3" xfId="41205" xr:uid="{00000000-0005-0000-0000-00003FD90000}"/>
    <cellStyle name="Normal 9 2 4 2 8" xfId="20853" xr:uid="{00000000-0005-0000-0000-000040D90000}"/>
    <cellStyle name="Normal 9 2 4 2 8 2" xfId="47986" xr:uid="{00000000-0005-0000-0000-000041D90000}"/>
    <cellStyle name="Normal 9 2 4 2 9" xfId="34424" xr:uid="{00000000-0005-0000-0000-000042D90000}"/>
    <cellStyle name="Normal 9 2 4 3" xfId="7148" xr:uid="{00000000-0005-0000-0000-000043D90000}"/>
    <cellStyle name="Normal 9 2 4 3 2" xfId="7149" xr:uid="{00000000-0005-0000-0000-000044D90000}"/>
    <cellStyle name="Normal 9 2 4 3 2 2" xfId="10674" xr:uid="{00000000-0005-0000-0000-000045D90000}"/>
    <cellStyle name="Normal 9 2 4 3 2 2 2" xfId="17464" xr:uid="{00000000-0005-0000-0000-000046D90000}"/>
    <cellStyle name="Normal 9 2 4 3 2 2 2 2" xfId="31032" xr:uid="{00000000-0005-0000-0000-000047D90000}"/>
    <cellStyle name="Normal 9 2 4 3 2 2 2 2 2" xfId="58165" xr:uid="{00000000-0005-0000-0000-000048D90000}"/>
    <cellStyle name="Normal 9 2 4 3 2 2 2 3" xfId="44603" xr:uid="{00000000-0005-0000-0000-000049D90000}"/>
    <cellStyle name="Normal 9 2 4 3 2 2 3" xfId="24251" xr:uid="{00000000-0005-0000-0000-00004AD90000}"/>
    <cellStyle name="Normal 9 2 4 3 2 2 3 2" xfId="51384" xr:uid="{00000000-0005-0000-0000-00004BD90000}"/>
    <cellStyle name="Normal 9 2 4 3 2 2 4" xfId="37822" xr:uid="{00000000-0005-0000-0000-00004CD90000}"/>
    <cellStyle name="Normal 9 2 4 3 2 3" xfId="14075" xr:uid="{00000000-0005-0000-0000-00004DD90000}"/>
    <cellStyle name="Normal 9 2 4 3 2 3 2" xfId="27643" xr:uid="{00000000-0005-0000-0000-00004ED90000}"/>
    <cellStyle name="Normal 9 2 4 3 2 3 2 2" xfId="54776" xr:uid="{00000000-0005-0000-0000-00004FD90000}"/>
    <cellStyle name="Normal 9 2 4 3 2 3 3" xfId="41214" xr:uid="{00000000-0005-0000-0000-000050D90000}"/>
    <cellStyle name="Normal 9 2 4 3 2 4" xfId="20862" xr:uid="{00000000-0005-0000-0000-000051D90000}"/>
    <cellStyle name="Normal 9 2 4 3 2 4 2" xfId="47995" xr:uid="{00000000-0005-0000-0000-000052D90000}"/>
    <cellStyle name="Normal 9 2 4 3 2 5" xfId="34433" xr:uid="{00000000-0005-0000-0000-000053D90000}"/>
    <cellStyle name="Normal 9 2 4 3 3" xfId="7150" xr:uid="{00000000-0005-0000-0000-000054D90000}"/>
    <cellStyle name="Normal 9 2 4 3 3 2" xfId="10675" xr:uid="{00000000-0005-0000-0000-000055D90000}"/>
    <cellStyle name="Normal 9 2 4 3 3 2 2" xfId="17465" xr:uid="{00000000-0005-0000-0000-000056D90000}"/>
    <cellStyle name="Normal 9 2 4 3 3 2 2 2" xfId="31033" xr:uid="{00000000-0005-0000-0000-000057D90000}"/>
    <cellStyle name="Normal 9 2 4 3 3 2 2 2 2" xfId="58166" xr:uid="{00000000-0005-0000-0000-000058D90000}"/>
    <cellStyle name="Normal 9 2 4 3 3 2 2 3" xfId="44604" xr:uid="{00000000-0005-0000-0000-000059D90000}"/>
    <cellStyle name="Normal 9 2 4 3 3 2 3" xfId="24252" xr:uid="{00000000-0005-0000-0000-00005AD90000}"/>
    <cellStyle name="Normal 9 2 4 3 3 2 3 2" xfId="51385" xr:uid="{00000000-0005-0000-0000-00005BD90000}"/>
    <cellStyle name="Normal 9 2 4 3 3 2 4" xfId="37823" xr:uid="{00000000-0005-0000-0000-00005CD90000}"/>
    <cellStyle name="Normal 9 2 4 3 3 3" xfId="14076" xr:uid="{00000000-0005-0000-0000-00005DD90000}"/>
    <cellStyle name="Normal 9 2 4 3 3 3 2" xfId="27644" xr:uid="{00000000-0005-0000-0000-00005ED90000}"/>
    <cellStyle name="Normal 9 2 4 3 3 3 2 2" xfId="54777" xr:uid="{00000000-0005-0000-0000-00005FD90000}"/>
    <cellStyle name="Normal 9 2 4 3 3 3 3" xfId="41215" xr:uid="{00000000-0005-0000-0000-000060D90000}"/>
    <cellStyle name="Normal 9 2 4 3 3 4" xfId="20863" xr:uid="{00000000-0005-0000-0000-000061D90000}"/>
    <cellStyle name="Normal 9 2 4 3 3 4 2" xfId="47996" xr:uid="{00000000-0005-0000-0000-000062D90000}"/>
    <cellStyle name="Normal 9 2 4 3 3 5" xfId="34434" xr:uid="{00000000-0005-0000-0000-000063D90000}"/>
    <cellStyle name="Normal 9 2 4 3 4" xfId="10673" xr:uid="{00000000-0005-0000-0000-000064D90000}"/>
    <cellStyle name="Normal 9 2 4 3 4 2" xfId="17463" xr:uid="{00000000-0005-0000-0000-000065D90000}"/>
    <cellStyle name="Normal 9 2 4 3 4 2 2" xfId="31031" xr:uid="{00000000-0005-0000-0000-000066D90000}"/>
    <cellStyle name="Normal 9 2 4 3 4 2 2 2" xfId="58164" xr:uid="{00000000-0005-0000-0000-000067D90000}"/>
    <cellStyle name="Normal 9 2 4 3 4 2 3" xfId="44602" xr:uid="{00000000-0005-0000-0000-000068D90000}"/>
    <cellStyle name="Normal 9 2 4 3 4 3" xfId="24250" xr:uid="{00000000-0005-0000-0000-000069D90000}"/>
    <cellStyle name="Normal 9 2 4 3 4 3 2" xfId="51383" xr:uid="{00000000-0005-0000-0000-00006AD90000}"/>
    <cellStyle name="Normal 9 2 4 3 4 4" xfId="37821" xr:uid="{00000000-0005-0000-0000-00006BD90000}"/>
    <cellStyle name="Normal 9 2 4 3 5" xfId="14074" xr:uid="{00000000-0005-0000-0000-00006CD90000}"/>
    <cellStyle name="Normal 9 2 4 3 5 2" xfId="27642" xr:uid="{00000000-0005-0000-0000-00006DD90000}"/>
    <cellStyle name="Normal 9 2 4 3 5 2 2" xfId="54775" xr:uid="{00000000-0005-0000-0000-00006ED90000}"/>
    <cellStyle name="Normal 9 2 4 3 5 3" xfId="41213" xr:uid="{00000000-0005-0000-0000-00006FD90000}"/>
    <cellStyle name="Normal 9 2 4 3 6" xfId="20861" xr:uid="{00000000-0005-0000-0000-000070D90000}"/>
    <cellStyle name="Normal 9 2 4 3 6 2" xfId="47994" xr:uid="{00000000-0005-0000-0000-000071D90000}"/>
    <cellStyle name="Normal 9 2 4 3 7" xfId="34432" xr:uid="{00000000-0005-0000-0000-000072D90000}"/>
    <cellStyle name="Normal 9 2 4 4" xfId="7151" xr:uid="{00000000-0005-0000-0000-000073D90000}"/>
    <cellStyle name="Normal 9 2 4 4 2" xfId="7152" xr:uid="{00000000-0005-0000-0000-000074D90000}"/>
    <cellStyle name="Normal 9 2 4 4 2 2" xfId="10677" xr:uid="{00000000-0005-0000-0000-000075D90000}"/>
    <cellStyle name="Normal 9 2 4 4 2 2 2" xfId="17467" xr:uid="{00000000-0005-0000-0000-000076D90000}"/>
    <cellStyle name="Normal 9 2 4 4 2 2 2 2" xfId="31035" xr:uid="{00000000-0005-0000-0000-000077D90000}"/>
    <cellStyle name="Normal 9 2 4 4 2 2 2 2 2" xfId="58168" xr:uid="{00000000-0005-0000-0000-000078D90000}"/>
    <cellStyle name="Normal 9 2 4 4 2 2 2 3" xfId="44606" xr:uid="{00000000-0005-0000-0000-000079D90000}"/>
    <cellStyle name="Normal 9 2 4 4 2 2 3" xfId="24254" xr:uid="{00000000-0005-0000-0000-00007AD90000}"/>
    <cellStyle name="Normal 9 2 4 4 2 2 3 2" xfId="51387" xr:uid="{00000000-0005-0000-0000-00007BD90000}"/>
    <cellStyle name="Normal 9 2 4 4 2 2 4" xfId="37825" xr:uid="{00000000-0005-0000-0000-00007CD90000}"/>
    <cellStyle name="Normal 9 2 4 4 2 3" xfId="14078" xr:uid="{00000000-0005-0000-0000-00007DD90000}"/>
    <cellStyle name="Normal 9 2 4 4 2 3 2" xfId="27646" xr:uid="{00000000-0005-0000-0000-00007ED90000}"/>
    <cellStyle name="Normal 9 2 4 4 2 3 2 2" xfId="54779" xr:uid="{00000000-0005-0000-0000-00007FD90000}"/>
    <cellStyle name="Normal 9 2 4 4 2 3 3" xfId="41217" xr:uid="{00000000-0005-0000-0000-000080D90000}"/>
    <cellStyle name="Normal 9 2 4 4 2 4" xfId="20865" xr:uid="{00000000-0005-0000-0000-000081D90000}"/>
    <cellStyle name="Normal 9 2 4 4 2 4 2" xfId="47998" xr:uid="{00000000-0005-0000-0000-000082D90000}"/>
    <cellStyle name="Normal 9 2 4 4 2 5" xfId="34436" xr:uid="{00000000-0005-0000-0000-000083D90000}"/>
    <cellStyle name="Normal 9 2 4 4 3" xfId="10676" xr:uid="{00000000-0005-0000-0000-000084D90000}"/>
    <cellStyle name="Normal 9 2 4 4 3 2" xfId="17466" xr:uid="{00000000-0005-0000-0000-000085D90000}"/>
    <cellStyle name="Normal 9 2 4 4 3 2 2" xfId="31034" xr:uid="{00000000-0005-0000-0000-000086D90000}"/>
    <cellStyle name="Normal 9 2 4 4 3 2 2 2" xfId="58167" xr:uid="{00000000-0005-0000-0000-000087D90000}"/>
    <cellStyle name="Normal 9 2 4 4 3 2 3" xfId="44605" xr:uid="{00000000-0005-0000-0000-000088D90000}"/>
    <cellStyle name="Normal 9 2 4 4 3 3" xfId="24253" xr:uid="{00000000-0005-0000-0000-000089D90000}"/>
    <cellStyle name="Normal 9 2 4 4 3 3 2" xfId="51386" xr:uid="{00000000-0005-0000-0000-00008AD90000}"/>
    <cellStyle name="Normal 9 2 4 4 3 4" xfId="37824" xr:uid="{00000000-0005-0000-0000-00008BD90000}"/>
    <cellStyle name="Normal 9 2 4 4 4" xfId="14077" xr:uid="{00000000-0005-0000-0000-00008CD90000}"/>
    <cellStyle name="Normal 9 2 4 4 4 2" xfId="27645" xr:uid="{00000000-0005-0000-0000-00008DD90000}"/>
    <cellStyle name="Normal 9 2 4 4 4 2 2" xfId="54778" xr:uid="{00000000-0005-0000-0000-00008ED90000}"/>
    <cellStyle name="Normal 9 2 4 4 4 3" xfId="41216" xr:uid="{00000000-0005-0000-0000-00008FD90000}"/>
    <cellStyle name="Normal 9 2 4 4 5" xfId="20864" xr:uid="{00000000-0005-0000-0000-000090D90000}"/>
    <cellStyle name="Normal 9 2 4 4 5 2" xfId="47997" xr:uid="{00000000-0005-0000-0000-000091D90000}"/>
    <cellStyle name="Normal 9 2 4 4 6" xfId="34435" xr:uid="{00000000-0005-0000-0000-000092D90000}"/>
    <cellStyle name="Normal 9 2 4 5" xfId="7153" xr:uid="{00000000-0005-0000-0000-000093D90000}"/>
    <cellStyle name="Normal 9 2 4 5 2" xfId="10678" xr:uid="{00000000-0005-0000-0000-000094D90000}"/>
    <cellStyle name="Normal 9 2 4 5 2 2" xfId="17468" xr:uid="{00000000-0005-0000-0000-000095D90000}"/>
    <cellStyle name="Normal 9 2 4 5 2 2 2" xfId="31036" xr:uid="{00000000-0005-0000-0000-000096D90000}"/>
    <cellStyle name="Normal 9 2 4 5 2 2 2 2" xfId="58169" xr:uid="{00000000-0005-0000-0000-000097D90000}"/>
    <cellStyle name="Normal 9 2 4 5 2 2 3" xfId="44607" xr:uid="{00000000-0005-0000-0000-000098D90000}"/>
    <cellStyle name="Normal 9 2 4 5 2 3" xfId="24255" xr:uid="{00000000-0005-0000-0000-000099D90000}"/>
    <cellStyle name="Normal 9 2 4 5 2 3 2" xfId="51388" xr:uid="{00000000-0005-0000-0000-00009AD90000}"/>
    <cellStyle name="Normal 9 2 4 5 2 4" xfId="37826" xr:uid="{00000000-0005-0000-0000-00009BD90000}"/>
    <cellStyle name="Normal 9 2 4 5 3" xfId="14079" xr:uid="{00000000-0005-0000-0000-00009CD90000}"/>
    <cellStyle name="Normal 9 2 4 5 3 2" xfId="27647" xr:uid="{00000000-0005-0000-0000-00009DD90000}"/>
    <cellStyle name="Normal 9 2 4 5 3 2 2" xfId="54780" xr:uid="{00000000-0005-0000-0000-00009ED90000}"/>
    <cellStyle name="Normal 9 2 4 5 3 3" xfId="41218" xr:uid="{00000000-0005-0000-0000-00009FD90000}"/>
    <cellStyle name="Normal 9 2 4 5 4" xfId="20866" xr:uid="{00000000-0005-0000-0000-0000A0D90000}"/>
    <cellStyle name="Normal 9 2 4 5 4 2" xfId="47999" xr:uid="{00000000-0005-0000-0000-0000A1D90000}"/>
    <cellStyle name="Normal 9 2 4 5 5" xfId="34437" xr:uid="{00000000-0005-0000-0000-0000A2D90000}"/>
    <cellStyle name="Normal 9 2 4 6" xfId="7154" xr:uid="{00000000-0005-0000-0000-0000A3D90000}"/>
    <cellStyle name="Normal 9 2 4 6 2" xfId="10679" xr:uid="{00000000-0005-0000-0000-0000A4D90000}"/>
    <cellStyle name="Normal 9 2 4 6 2 2" xfId="17469" xr:uid="{00000000-0005-0000-0000-0000A5D90000}"/>
    <cellStyle name="Normal 9 2 4 6 2 2 2" xfId="31037" xr:uid="{00000000-0005-0000-0000-0000A6D90000}"/>
    <cellStyle name="Normal 9 2 4 6 2 2 2 2" xfId="58170" xr:uid="{00000000-0005-0000-0000-0000A7D90000}"/>
    <cellStyle name="Normal 9 2 4 6 2 2 3" xfId="44608" xr:uid="{00000000-0005-0000-0000-0000A8D90000}"/>
    <cellStyle name="Normal 9 2 4 6 2 3" xfId="24256" xr:uid="{00000000-0005-0000-0000-0000A9D90000}"/>
    <cellStyle name="Normal 9 2 4 6 2 3 2" xfId="51389" xr:uid="{00000000-0005-0000-0000-0000AAD90000}"/>
    <cellStyle name="Normal 9 2 4 6 2 4" xfId="37827" xr:uid="{00000000-0005-0000-0000-0000ABD90000}"/>
    <cellStyle name="Normal 9 2 4 6 3" xfId="14080" xr:uid="{00000000-0005-0000-0000-0000ACD90000}"/>
    <cellStyle name="Normal 9 2 4 6 3 2" xfId="27648" xr:uid="{00000000-0005-0000-0000-0000ADD90000}"/>
    <cellStyle name="Normal 9 2 4 6 3 2 2" xfId="54781" xr:uid="{00000000-0005-0000-0000-0000AED90000}"/>
    <cellStyle name="Normal 9 2 4 6 3 3" xfId="41219" xr:uid="{00000000-0005-0000-0000-0000AFD90000}"/>
    <cellStyle name="Normal 9 2 4 6 4" xfId="20867" xr:uid="{00000000-0005-0000-0000-0000B0D90000}"/>
    <cellStyle name="Normal 9 2 4 6 4 2" xfId="48000" xr:uid="{00000000-0005-0000-0000-0000B1D90000}"/>
    <cellStyle name="Normal 9 2 4 6 5" xfId="34438" xr:uid="{00000000-0005-0000-0000-0000B2D90000}"/>
    <cellStyle name="Normal 9 2 4 7" xfId="10664" xr:uid="{00000000-0005-0000-0000-0000B3D90000}"/>
    <cellStyle name="Normal 9 2 4 7 2" xfId="17454" xr:uid="{00000000-0005-0000-0000-0000B4D90000}"/>
    <cellStyle name="Normal 9 2 4 7 2 2" xfId="31022" xr:uid="{00000000-0005-0000-0000-0000B5D90000}"/>
    <cellStyle name="Normal 9 2 4 7 2 2 2" xfId="58155" xr:uid="{00000000-0005-0000-0000-0000B6D90000}"/>
    <cellStyle name="Normal 9 2 4 7 2 3" xfId="44593" xr:uid="{00000000-0005-0000-0000-0000B7D90000}"/>
    <cellStyle name="Normal 9 2 4 7 3" xfId="24241" xr:uid="{00000000-0005-0000-0000-0000B8D90000}"/>
    <cellStyle name="Normal 9 2 4 7 3 2" xfId="51374" xr:uid="{00000000-0005-0000-0000-0000B9D90000}"/>
    <cellStyle name="Normal 9 2 4 7 4" xfId="37812" xr:uid="{00000000-0005-0000-0000-0000BAD90000}"/>
    <cellStyle name="Normal 9 2 4 8" xfId="14065" xr:uid="{00000000-0005-0000-0000-0000BBD90000}"/>
    <cellStyle name="Normal 9 2 4 8 2" xfId="27633" xr:uid="{00000000-0005-0000-0000-0000BCD90000}"/>
    <cellStyle name="Normal 9 2 4 8 2 2" xfId="54766" xr:uid="{00000000-0005-0000-0000-0000BDD90000}"/>
    <cellStyle name="Normal 9 2 4 8 3" xfId="41204" xr:uid="{00000000-0005-0000-0000-0000BED90000}"/>
    <cellStyle name="Normal 9 2 4 9" xfId="20852" xr:uid="{00000000-0005-0000-0000-0000BFD90000}"/>
    <cellStyle name="Normal 9 2 4 9 2" xfId="47985" xr:uid="{00000000-0005-0000-0000-0000C0D90000}"/>
    <cellStyle name="Normal 9 2 5" xfId="7155" xr:uid="{00000000-0005-0000-0000-0000C1D90000}"/>
    <cellStyle name="Normal 9 2 5 2" xfId="7156" xr:uid="{00000000-0005-0000-0000-0000C2D90000}"/>
    <cellStyle name="Normal 9 2 5 2 2" xfId="7157" xr:uid="{00000000-0005-0000-0000-0000C3D90000}"/>
    <cellStyle name="Normal 9 2 5 2 2 2" xfId="10682" xr:uid="{00000000-0005-0000-0000-0000C4D90000}"/>
    <cellStyle name="Normal 9 2 5 2 2 2 2" xfId="17472" xr:uid="{00000000-0005-0000-0000-0000C5D90000}"/>
    <cellStyle name="Normal 9 2 5 2 2 2 2 2" xfId="31040" xr:uid="{00000000-0005-0000-0000-0000C6D90000}"/>
    <cellStyle name="Normal 9 2 5 2 2 2 2 2 2" xfId="58173" xr:uid="{00000000-0005-0000-0000-0000C7D90000}"/>
    <cellStyle name="Normal 9 2 5 2 2 2 2 3" xfId="44611" xr:uid="{00000000-0005-0000-0000-0000C8D90000}"/>
    <cellStyle name="Normal 9 2 5 2 2 2 3" xfId="24259" xr:uid="{00000000-0005-0000-0000-0000C9D90000}"/>
    <cellStyle name="Normal 9 2 5 2 2 2 3 2" xfId="51392" xr:uid="{00000000-0005-0000-0000-0000CAD90000}"/>
    <cellStyle name="Normal 9 2 5 2 2 2 4" xfId="37830" xr:uid="{00000000-0005-0000-0000-0000CBD90000}"/>
    <cellStyle name="Normal 9 2 5 2 2 3" xfId="14083" xr:uid="{00000000-0005-0000-0000-0000CCD90000}"/>
    <cellStyle name="Normal 9 2 5 2 2 3 2" xfId="27651" xr:uid="{00000000-0005-0000-0000-0000CDD90000}"/>
    <cellStyle name="Normal 9 2 5 2 2 3 2 2" xfId="54784" xr:uid="{00000000-0005-0000-0000-0000CED90000}"/>
    <cellStyle name="Normal 9 2 5 2 2 3 3" xfId="41222" xr:uid="{00000000-0005-0000-0000-0000CFD90000}"/>
    <cellStyle name="Normal 9 2 5 2 2 4" xfId="20870" xr:uid="{00000000-0005-0000-0000-0000D0D90000}"/>
    <cellStyle name="Normal 9 2 5 2 2 4 2" xfId="48003" xr:uid="{00000000-0005-0000-0000-0000D1D90000}"/>
    <cellStyle name="Normal 9 2 5 2 2 5" xfId="34441" xr:uid="{00000000-0005-0000-0000-0000D2D90000}"/>
    <cellStyle name="Normal 9 2 5 2 3" xfId="7158" xr:uid="{00000000-0005-0000-0000-0000D3D90000}"/>
    <cellStyle name="Normal 9 2 5 2 3 2" xfId="10683" xr:uid="{00000000-0005-0000-0000-0000D4D90000}"/>
    <cellStyle name="Normal 9 2 5 2 3 2 2" xfId="17473" xr:uid="{00000000-0005-0000-0000-0000D5D90000}"/>
    <cellStyle name="Normal 9 2 5 2 3 2 2 2" xfId="31041" xr:uid="{00000000-0005-0000-0000-0000D6D90000}"/>
    <cellStyle name="Normal 9 2 5 2 3 2 2 2 2" xfId="58174" xr:uid="{00000000-0005-0000-0000-0000D7D90000}"/>
    <cellStyle name="Normal 9 2 5 2 3 2 2 3" xfId="44612" xr:uid="{00000000-0005-0000-0000-0000D8D90000}"/>
    <cellStyle name="Normal 9 2 5 2 3 2 3" xfId="24260" xr:uid="{00000000-0005-0000-0000-0000D9D90000}"/>
    <cellStyle name="Normal 9 2 5 2 3 2 3 2" xfId="51393" xr:uid="{00000000-0005-0000-0000-0000DAD90000}"/>
    <cellStyle name="Normal 9 2 5 2 3 2 4" xfId="37831" xr:uid="{00000000-0005-0000-0000-0000DBD90000}"/>
    <cellStyle name="Normal 9 2 5 2 3 3" xfId="14084" xr:uid="{00000000-0005-0000-0000-0000DCD90000}"/>
    <cellStyle name="Normal 9 2 5 2 3 3 2" xfId="27652" xr:uid="{00000000-0005-0000-0000-0000DDD90000}"/>
    <cellStyle name="Normal 9 2 5 2 3 3 2 2" xfId="54785" xr:uid="{00000000-0005-0000-0000-0000DED90000}"/>
    <cellStyle name="Normal 9 2 5 2 3 3 3" xfId="41223" xr:uid="{00000000-0005-0000-0000-0000DFD90000}"/>
    <cellStyle name="Normal 9 2 5 2 3 4" xfId="20871" xr:uid="{00000000-0005-0000-0000-0000E0D90000}"/>
    <cellStyle name="Normal 9 2 5 2 3 4 2" xfId="48004" xr:uid="{00000000-0005-0000-0000-0000E1D90000}"/>
    <cellStyle name="Normal 9 2 5 2 3 5" xfId="34442" xr:uid="{00000000-0005-0000-0000-0000E2D90000}"/>
    <cellStyle name="Normal 9 2 5 2 4" xfId="10681" xr:uid="{00000000-0005-0000-0000-0000E3D90000}"/>
    <cellStyle name="Normal 9 2 5 2 4 2" xfId="17471" xr:uid="{00000000-0005-0000-0000-0000E4D90000}"/>
    <cellStyle name="Normal 9 2 5 2 4 2 2" xfId="31039" xr:uid="{00000000-0005-0000-0000-0000E5D90000}"/>
    <cellStyle name="Normal 9 2 5 2 4 2 2 2" xfId="58172" xr:uid="{00000000-0005-0000-0000-0000E6D90000}"/>
    <cellStyle name="Normal 9 2 5 2 4 2 3" xfId="44610" xr:uid="{00000000-0005-0000-0000-0000E7D90000}"/>
    <cellStyle name="Normal 9 2 5 2 4 3" xfId="24258" xr:uid="{00000000-0005-0000-0000-0000E8D90000}"/>
    <cellStyle name="Normal 9 2 5 2 4 3 2" xfId="51391" xr:uid="{00000000-0005-0000-0000-0000E9D90000}"/>
    <cellStyle name="Normal 9 2 5 2 4 4" xfId="37829" xr:uid="{00000000-0005-0000-0000-0000EAD90000}"/>
    <cellStyle name="Normal 9 2 5 2 5" xfId="14082" xr:uid="{00000000-0005-0000-0000-0000EBD90000}"/>
    <cellStyle name="Normal 9 2 5 2 5 2" xfId="27650" xr:uid="{00000000-0005-0000-0000-0000ECD90000}"/>
    <cellStyle name="Normal 9 2 5 2 5 2 2" xfId="54783" xr:uid="{00000000-0005-0000-0000-0000EDD90000}"/>
    <cellStyle name="Normal 9 2 5 2 5 3" xfId="41221" xr:uid="{00000000-0005-0000-0000-0000EED90000}"/>
    <cellStyle name="Normal 9 2 5 2 6" xfId="20869" xr:uid="{00000000-0005-0000-0000-0000EFD90000}"/>
    <cellStyle name="Normal 9 2 5 2 6 2" xfId="48002" xr:uid="{00000000-0005-0000-0000-0000F0D90000}"/>
    <cellStyle name="Normal 9 2 5 2 7" xfId="34440" xr:uid="{00000000-0005-0000-0000-0000F1D90000}"/>
    <cellStyle name="Normal 9 2 5 3" xfId="7159" xr:uid="{00000000-0005-0000-0000-0000F2D90000}"/>
    <cellStyle name="Normal 9 2 5 3 2" xfId="7160" xr:uid="{00000000-0005-0000-0000-0000F3D90000}"/>
    <cellStyle name="Normal 9 2 5 3 2 2" xfId="10685" xr:uid="{00000000-0005-0000-0000-0000F4D90000}"/>
    <cellStyle name="Normal 9 2 5 3 2 2 2" xfId="17475" xr:uid="{00000000-0005-0000-0000-0000F5D90000}"/>
    <cellStyle name="Normal 9 2 5 3 2 2 2 2" xfId="31043" xr:uid="{00000000-0005-0000-0000-0000F6D90000}"/>
    <cellStyle name="Normal 9 2 5 3 2 2 2 2 2" xfId="58176" xr:uid="{00000000-0005-0000-0000-0000F7D90000}"/>
    <cellStyle name="Normal 9 2 5 3 2 2 2 3" xfId="44614" xr:uid="{00000000-0005-0000-0000-0000F8D90000}"/>
    <cellStyle name="Normal 9 2 5 3 2 2 3" xfId="24262" xr:uid="{00000000-0005-0000-0000-0000F9D90000}"/>
    <cellStyle name="Normal 9 2 5 3 2 2 3 2" xfId="51395" xr:uid="{00000000-0005-0000-0000-0000FAD90000}"/>
    <cellStyle name="Normal 9 2 5 3 2 2 4" xfId="37833" xr:uid="{00000000-0005-0000-0000-0000FBD90000}"/>
    <cellStyle name="Normal 9 2 5 3 2 3" xfId="14086" xr:uid="{00000000-0005-0000-0000-0000FCD90000}"/>
    <cellStyle name="Normal 9 2 5 3 2 3 2" xfId="27654" xr:uid="{00000000-0005-0000-0000-0000FDD90000}"/>
    <cellStyle name="Normal 9 2 5 3 2 3 2 2" xfId="54787" xr:uid="{00000000-0005-0000-0000-0000FED90000}"/>
    <cellStyle name="Normal 9 2 5 3 2 3 3" xfId="41225" xr:uid="{00000000-0005-0000-0000-0000FFD90000}"/>
    <cellStyle name="Normal 9 2 5 3 2 4" xfId="20873" xr:uid="{00000000-0005-0000-0000-000000DA0000}"/>
    <cellStyle name="Normal 9 2 5 3 2 4 2" xfId="48006" xr:uid="{00000000-0005-0000-0000-000001DA0000}"/>
    <cellStyle name="Normal 9 2 5 3 2 5" xfId="34444" xr:uid="{00000000-0005-0000-0000-000002DA0000}"/>
    <cellStyle name="Normal 9 2 5 3 3" xfId="10684" xr:uid="{00000000-0005-0000-0000-000003DA0000}"/>
    <cellStyle name="Normal 9 2 5 3 3 2" xfId="17474" xr:uid="{00000000-0005-0000-0000-000004DA0000}"/>
    <cellStyle name="Normal 9 2 5 3 3 2 2" xfId="31042" xr:uid="{00000000-0005-0000-0000-000005DA0000}"/>
    <cellStyle name="Normal 9 2 5 3 3 2 2 2" xfId="58175" xr:uid="{00000000-0005-0000-0000-000006DA0000}"/>
    <cellStyle name="Normal 9 2 5 3 3 2 3" xfId="44613" xr:uid="{00000000-0005-0000-0000-000007DA0000}"/>
    <cellStyle name="Normal 9 2 5 3 3 3" xfId="24261" xr:uid="{00000000-0005-0000-0000-000008DA0000}"/>
    <cellStyle name="Normal 9 2 5 3 3 3 2" xfId="51394" xr:uid="{00000000-0005-0000-0000-000009DA0000}"/>
    <cellStyle name="Normal 9 2 5 3 3 4" xfId="37832" xr:uid="{00000000-0005-0000-0000-00000ADA0000}"/>
    <cellStyle name="Normal 9 2 5 3 4" xfId="14085" xr:uid="{00000000-0005-0000-0000-00000BDA0000}"/>
    <cellStyle name="Normal 9 2 5 3 4 2" xfId="27653" xr:uid="{00000000-0005-0000-0000-00000CDA0000}"/>
    <cellStyle name="Normal 9 2 5 3 4 2 2" xfId="54786" xr:uid="{00000000-0005-0000-0000-00000DDA0000}"/>
    <cellStyle name="Normal 9 2 5 3 4 3" xfId="41224" xr:uid="{00000000-0005-0000-0000-00000EDA0000}"/>
    <cellStyle name="Normal 9 2 5 3 5" xfId="20872" xr:uid="{00000000-0005-0000-0000-00000FDA0000}"/>
    <cellStyle name="Normal 9 2 5 3 5 2" xfId="48005" xr:uid="{00000000-0005-0000-0000-000010DA0000}"/>
    <cellStyle name="Normal 9 2 5 3 6" xfId="34443" xr:uid="{00000000-0005-0000-0000-000011DA0000}"/>
    <cellStyle name="Normal 9 2 5 4" xfId="7161" xr:uid="{00000000-0005-0000-0000-000012DA0000}"/>
    <cellStyle name="Normal 9 2 5 4 2" xfId="10686" xr:uid="{00000000-0005-0000-0000-000013DA0000}"/>
    <cellStyle name="Normal 9 2 5 4 2 2" xfId="17476" xr:uid="{00000000-0005-0000-0000-000014DA0000}"/>
    <cellStyle name="Normal 9 2 5 4 2 2 2" xfId="31044" xr:uid="{00000000-0005-0000-0000-000015DA0000}"/>
    <cellStyle name="Normal 9 2 5 4 2 2 2 2" xfId="58177" xr:uid="{00000000-0005-0000-0000-000016DA0000}"/>
    <cellStyle name="Normal 9 2 5 4 2 2 3" xfId="44615" xr:uid="{00000000-0005-0000-0000-000017DA0000}"/>
    <cellStyle name="Normal 9 2 5 4 2 3" xfId="24263" xr:uid="{00000000-0005-0000-0000-000018DA0000}"/>
    <cellStyle name="Normal 9 2 5 4 2 3 2" xfId="51396" xr:uid="{00000000-0005-0000-0000-000019DA0000}"/>
    <cellStyle name="Normal 9 2 5 4 2 4" xfId="37834" xr:uid="{00000000-0005-0000-0000-00001ADA0000}"/>
    <cellStyle name="Normal 9 2 5 4 3" xfId="14087" xr:uid="{00000000-0005-0000-0000-00001BDA0000}"/>
    <cellStyle name="Normal 9 2 5 4 3 2" xfId="27655" xr:uid="{00000000-0005-0000-0000-00001CDA0000}"/>
    <cellStyle name="Normal 9 2 5 4 3 2 2" xfId="54788" xr:uid="{00000000-0005-0000-0000-00001DDA0000}"/>
    <cellStyle name="Normal 9 2 5 4 3 3" xfId="41226" xr:uid="{00000000-0005-0000-0000-00001EDA0000}"/>
    <cellStyle name="Normal 9 2 5 4 4" xfId="20874" xr:uid="{00000000-0005-0000-0000-00001FDA0000}"/>
    <cellStyle name="Normal 9 2 5 4 4 2" xfId="48007" xr:uid="{00000000-0005-0000-0000-000020DA0000}"/>
    <cellStyle name="Normal 9 2 5 4 5" xfId="34445" xr:uid="{00000000-0005-0000-0000-000021DA0000}"/>
    <cellStyle name="Normal 9 2 5 5" xfId="7162" xr:uid="{00000000-0005-0000-0000-000022DA0000}"/>
    <cellStyle name="Normal 9 2 5 5 2" xfId="10687" xr:uid="{00000000-0005-0000-0000-000023DA0000}"/>
    <cellStyle name="Normal 9 2 5 5 2 2" xfId="17477" xr:uid="{00000000-0005-0000-0000-000024DA0000}"/>
    <cellStyle name="Normal 9 2 5 5 2 2 2" xfId="31045" xr:uid="{00000000-0005-0000-0000-000025DA0000}"/>
    <cellStyle name="Normal 9 2 5 5 2 2 2 2" xfId="58178" xr:uid="{00000000-0005-0000-0000-000026DA0000}"/>
    <cellStyle name="Normal 9 2 5 5 2 2 3" xfId="44616" xr:uid="{00000000-0005-0000-0000-000027DA0000}"/>
    <cellStyle name="Normal 9 2 5 5 2 3" xfId="24264" xr:uid="{00000000-0005-0000-0000-000028DA0000}"/>
    <cellStyle name="Normal 9 2 5 5 2 3 2" xfId="51397" xr:uid="{00000000-0005-0000-0000-000029DA0000}"/>
    <cellStyle name="Normal 9 2 5 5 2 4" xfId="37835" xr:uid="{00000000-0005-0000-0000-00002ADA0000}"/>
    <cellStyle name="Normal 9 2 5 5 3" xfId="14088" xr:uid="{00000000-0005-0000-0000-00002BDA0000}"/>
    <cellStyle name="Normal 9 2 5 5 3 2" xfId="27656" xr:uid="{00000000-0005-0000-0000-00002CDA0000}"/>
    <cellStyle name="Normal 9 2 5 5 3 2 2" xfId="54789" xr:uid="{00000000-0005-0000-0000-00002DDA0000}"/>
    <cellStyle name="Normal 9 2 5 5 3 3" xfId="41227" xr:uid="{00000000-0005-0000-0000-00002EDA0000}"/>
    <cellStyle name="Normal 9 2 5 5 4" xfId="20875" xr:uid="{00000000-0005-0000-0000-00002FDA0000}"/>
    <cellStyle name="Normal 9 2 5 5 4 2" xfId="48008" xr:uid="{00000000-0005-0000-0000-000030DA0000}"/>
    <cellStyle name="Normal 9 2 5 5 5" xfId="34446" xr:uid="{00000000-0005-0000-0000-000031DA0000}"/>
    <cellStyle name="Normal 9 2 5 6" xfId="10680" xr:uid="{00000000-0005-0000-0000-000032DA0000}"/>
    <cellStyle name="Normal 9 2 5 6 2" xfId="17470" xr:uid="{00000000-0005-0000-0000-000033DA0000}"/>
    <cellStyle name="Normal 9 2 5 6 2 2" xfId="31038" xr:uid="{00000000-0005-0000-0000-000034DA0000}"/>
    <cellStyle name="Normal 9 2 5 6 2 2 2" xfId="58171" xr:uid="{00000000-0005-0000-0000-000035DA0000}"/>
    <cellStyle name="Normal 9 2 5 6 2 3" xfId="44609" xr:uid="{00000000-0005-0000-0000-000036DA0000}"/>
    <cellStyle name="Normal 9 2 5 6 3" xfId="24257" xr:uid="{00000000-0005-0000-0000-000037DA0000}"/>
    <cellStyle name="Normal 9 2 5 6 3 2" xfId="51390" xr:uid="{00000000-0005-0000-0000-000038DA0000}"/>
    <cellStyle name="Normal 9 2 5 6 4" xfId="37828" xr:uid="{00000000-0005-0000-0000-000039DA0000}"/>
    <cellStyle name="Normal 9 2 5 7" xfId="14081" xr:uid="{00000000-0005-0000-0000-00003ADA0000}"/>
    <cellStyle name="Normal 9 2 5 7 2" xfId="27649" xr:uid="{00000000-0005-0000-0000-00003BDA0000}"/>
    <cellStyle name="Normal 9 2 5 7 2 2" xfId="54782" xr:uid="{00000000-0005-0000-0000-00003CDA0000}"/>
    <cellStyle name="Normal 9 2 5 7 3" xfId="41220" xr:uid="{00000000-0005-0000-0000-00003DDA0000}"/>
    <cellStyle name="Normal 9 2 5 8" xfId="20868" xr:uid="{00000000-0005-0000-0000-00003EDA0000}"/>
    <cellStyle name="Normal 9 2 5 8 2" xfId="48001" xr:uid="{00000000-0005-0000-0000-00003FDA0000}"/>
    <cellStyle name="Normal 9 2 5 9" xfId="34439" xr:uid="{00000000-0005-0000-0000-000040DA0000}"/>
    <cellStyle name="Normal 9 2 6" xfId="7163" xr:uid="{00000000-0005-0000-0000-000041DA0000}"/>
    <cellStyle name="Normal 9 2 6 2" xfId="7164" xr:uid="{00000000-0005-0000-0000-000042DA0000}"/>
    <cellStyle name="Normal 9 2 6 2 2" xfId="7165" xr:uid="{00000000-0005-0000-0000-000043DA0000}"/>
    <cellStyle name="Normal 9 2 6 2 2 2" xfId="10690" xr:uid="{00000000-0005-0000-0000-000044DA0000}"/>
    <cellStyle name="Normal 9 2 6 2 2 2 2" xfId="17480" xr:uid="{00000000-0005-0000-0000-000045DA0000}"/>
    <cellStyle name="Normal 9 2 6 2 2 2 2 2" xfId="31048" xr:uid="{00000000-0005-0000-0000-000046DA0000}"/>
    <cellStyle name="Normal 9 2 6 2 2 2 2 2 2" xfId="58181" xr:uid="{00000000-0005-0000-0000-000047DA0000}"/>
    <cellStyle name="Normal 9 2 6 2 2 2 2 3" xfId="44619" xr:uid="{00000000-0005-0000-0000-000048DA0000}"/>
    <cellStyle name="Normal 9 2 6 2 2 2 3" xfId="24267" xr:uid="{00000000-0005-0000-0000-000049DA0000}"/>
    <cellStyle name="Normal 9 2 6 2 2 2 3 2" xfId="51400" xr:uid="{00000000-0005-0000-0000-00004ADA0000}"/>
    <cellStyle name="Normal 9 2 6 2 2 2 4" xfId="37838" xr:uid="{00000000-0005-0000-0000-00004BDA0000}"/>
    <cellStyle name="Normal 9 2 6 2 2 3" xfId="14091" xr:uid="{00000000-0005-0000-0000-00004CDA0000}"/>
    <cellStyle name="Normal 9 2 6 2 2 3 2" xfId="27659" xr:uid="{00000000-0005-0000-0000-00004DDA0000}"/>
    <cellStyle name="Normal 9 2 6 2 2 3 2 2" xfId="54792" xr:uid="{00000000-0005-0000-0000-00004EDA0000}"/>
    <cellStyle name="Normal 9 2 6 2 2 3 3" xfId="41230" xr:uid="{00000000-0005-0000-0000-00004FDA0000}"/>
    <cellStyle name="Normal 9 2 6 2 2 4" xfId="20878" xr:uid="{00000000-0005-0000-0000-000050DA0000}"/>
    <cellStyle name="Normal 9 2 6 2 2 4 2" xfId="48011" xr:uid="{00000000-0005-0000-0000-000051DA0000}"/>
    <cellStyle name="Normal 9 2 6 2 2 5" xfId="34449" xr:uid="{00000000-0005-0000-0000-000052DA0000}"/>
    <cellStyle name="Normal 9 2 6 2 3" xfId="7166" xr:uid="{00000000-0005-0000-0000-000053DA0000}"/>
    <cellStyle name="Normal 9 2 6 2 3 2" xfId="10691" xr:uid="{00000000-0005-0000-0000-000054DA0000}"/>
    <cellStyle name="Normal 9 2 6 2 3 2 2" xfId="17481" xr:uid="{00000000-0005-0000-0000-000055DA0000}"/>
    <cellStyle name="Normal 9 2 6 2 3 2 2 2" xfId="31049" xr:uid="{00000000-0005-0000-0000-000056DA0000}"/>
    <cellStyle name="Normal 9 2 6 2 3 2 2 2 2" xfId="58182" xr:uid="{00000000-0005-0000-0000-000057DA0000}"/>
    <cellStyle name="Normal 9 2 6 2 3 2 2 3" xfId="44620" xr:uid="{00000000-0005-0000-0000-000058DA0000}"/>
    <cellStyle name="Normal 9 2 6 2 3 2 3" xfId="24268" xr:uid="{00000000-0005-0000-0000-000059DA0000}"/>
    <cellStyle name="Normal 9 2 6 2 3 2 3 2" xfId="51401" xr:uid="{00000000-0005-0000-0000-00005ADA0000}"/>
    <cellStyle name="Normal 9 2 6 2 3 2 4" xfId="37839" xr:uid="{00000000-0005-0000-0000-00005BDA0000}"/>
    <cellStyle name="Normal 9 2 6 2 3 3" xfId="14092" xr:uid="{00000000-0005-0000-0000-00005CDA0000}"/>
    <cellStyle name="Normal 9 2 6 2 3 3 2" xfId="27660" xr:uid="{00000000-0005-0000-0000-00005DDA0000}"/>
    <cellStyle name="Normal 9 2 6 2 3 3 2 2" xfId="54793" xr:uid="{00000000-0005-0000-0000-00005EDA0000}"/>
    <cellStyle name="Normal 9 2 6 2 3 3 3" xfId="41231" xr:uid="{00000000-0005-0000-0000-00005FDA0000}"/>
    <cellStyle name="Normal 9 2 6 2 3 4" xfId="20879" xr:uid="{00000000-0005-0000-0000-000060DA0000}"/>
    <cellStyle name="Normal 9 2 6 2 3 4 2" xfId="48012" xr:uid="{00000000-0005-0000-0000-000061DA0000}"/>
    <cellStyle name="Normal 9 2 6 2 3 5" xfId="34450" xr:uid="{00000000-0005-0000-0000-000062DA0000}"/>
    <cellStyle name="Normal 9 2 6 2 4" xfId="10689" xr:uid="{00000000-0005-0000-0000-000063DA0000}"/>
    <cellStyle name="Normal 9 2 6 2 4 2" xfId="17479" xr:uid="{00000000-0005-0000-0000-000064DA0000}"/>
    <cellStyle name="Normal 9 2 6 2 4 2 2" xfId="31047" xr:uid="{00000000-0005-0000-0000-000065DA0000}"/>
    <cellStyle name="Normal 9 2 6 2 4 2 2 2" xfId="58180" xr:uid="{00000000-0005-0000-0000-000066DA0000}"/>
    <cellStyle name="Normal 9 2 6 2 4 2 3" xfId="44618" xr:uid="{00000000-0005-0000-0000-000067DA0000}"/>
    <cellStyle name="Normal 9 2 6 2 4 3" xfId="24266" xr:uid="{00000000-0005-0000-0000-000068DA0000}"/>
    <cellStyle name="Normal 9 2 6 2 4 3 2" xfId="51399" xr:uid="{00000000-0005-0000-0000-000069DA0000}"/>
    <cellStyle name="Normal 9 2 6 2 4 4" xfId="37837" xr:uid="{00000000-0005-0000-0000-00006ADA0000}"/>
    <cellStyle name="Normal 9 2 6 2 5" xfId="14090" xr:uid="{00000000-0005-0000-0000-00006BDA0000}"/>
    <cellStyle name="Normal 9 2 6 2 5 2" xfId="27658" xr:uid="{00000000-0005-0000-0000-00006CDA0000}"/>
    <cellStyle name="Normal 9 2 6 2 5 2 2" xfId="54791" xr:uid="{00000000-0005-0000-0000-00006DDA0000}"/>
    <cellStyle name="Normal 9 2 6 2 5 3" xfId="41229" xr:uid="{00000000-0005-0000-0000-00006EDA0000}"/>
    <cellStyle name="Normal 9 2 6 2 6" xfId="20877" xr:uid="{00000000-0005-0000-0000-00006FDA0000}"/>
    <cellStyle name="Normal 9 2 6 2 6 2" xfId="48010" xr:uid="{00000000-0005-0000-0000-000070DA0000}"/>
    <cellStyle name="Normal 9 2 6 2 7" xfId="34448" xr:uid="{00000000-0005-0000-0000-000071DA0000}"/>
    <cellStyle name="Normal 9 2 6 3" xfId="7167" xr:uid="{00000000-0005-0000-0000-000072DA0000}"/>
    <cellStyle name="Normal 9 2 6 3 2" xfId="10692" xr:uid="{00000000-0005-0000-0000-000073DA0000}"/>
    <cellStyle name="Normal 9 2 6 3 2 2" xfId="17482" xr:uid="{00000000-0005-0000-0000-000074DA0000}"/>
    <cellStyle name="Normal 9 2 6 3 2 2 2" xfId="31050" xr:uid="{00000000-0005-0000-0000-000075DA0000}"/>
    <cellStyle name="Normal 9 2 6 3 2 2 2 2" xfId="58183" xr:uid="{00000000-0005-0000-0000-000076DA0000}"/>
    <cellStyle name="Normal 9 2 6 3 2 2 3" xfId="44621" xr:uid="{00000000-0005-0000-0000-000077DA0000}"/>
    <cellStyle name="Normal 9 2 6 3 2 3" xfId="24269" xr:uid="{00000000-0005-0000-0000-000078DA0000}"/>
    <cellStyle name="Normal 9 2 6 3 2 3 2" xfId="51402" xr:uid="{00000000-0005-0000-0000-000079DA0000}"/>
    <cellStyle name="Normal 9 2 6 3 2 4" xfId="37840" xr:uid="{00000000-0005-0000-0000-00007ADA0000}"/>
    <cellStyle name="Normal 9 2 6 3 3" xfId="14093" xr:uid="{00000000-0005-0000-0000-00007BDA0000}"/>
    <cellStyle name="Normal 9 2 6 3 3 2" xfId="27661" xr:uid="{00000000-0005-0000-0000-00007CDA0000}"/>
    <cellStyle name="Normal 9 2 6 3 3 2 2" xfId="54794" xr:uid="{00000000-0005-0000-0000-00007DDA0000}"/>
    <cellStyle name="Normal 9 2 6 3 3 3" xfId="41232" xr:uid="{00000000-0005-0000-0000-00007EDA0000}"/>
    <cellStyle name="Normal 9 2 6 3 4" xfId="20880" xr:uid="{00000000-0005-0000-0000-00007FDA0000}"/>
    <cellStyle name="Normal 9 2 6 3 4 2" xfId="48013" xr:uid="{00000000-0005-0000-0000-000080DA0000}"/>
    <cellStyle name="Normal 9 2 6 3 5" xfId="34451" xr:uid="{00000000-0005-0000-0000-000081DA0000}"/>
    <cellStyle name="Normal 9 2 6 4" xfId="7168" xr:uid="{00000000-0005-0000-0000-000082DA0000}"/>
    <cellStyle name="Normal 9 2 6 4 2" xfId="10693" xr:uid="{00000000-0005-0000-0000-000083DA0000}"/>
    <cellStyle name="Normal 9 2 6 4 2 2" xfId="17483" xr:uid="{00000000-0005-0000-0000-000084DA0000}"/>
    <cellStyle name="Normal 9 2 6 4 2 2 2" xfId="31051" xr:uid="{00000000-0005-0000-0000-000085DA0000}"/>
    <cellStyle name="Normal 9 2 6 4 2 2 2 2" xfId="58184" xr:uid="{00000000-0005-0000-0000-000086DA0000}"/>
    <cellStyle name="Normal 9 2 6 4 2 2 3" xfId="44622" xr:uid="{00000000-0005-0000-0000-000087DA0000}"/>
    <cellStyle name="Normal 9 2 6 4 2 3" xfId="24270" xr:uid="{00000000-0005-0000-0000-000088DA0000}"/>
    <cellStyle name="Normal 9 2 6 4 2 3 2" xfId="51403" xr:uid="{00000000-0005-0000-0000-000089DA0000}"/>
    <cellStyle name="Normal 9 2 6 4 2 4" xfId="37841" xr:uid="{00000000-0005-0000-0000-00008ADA0000}"/>
    <cellStyle name="Normal 9 2 6 4 3" xfId="14094" xr:uid="{00000000-0005-0000-0000-00008BDA0000}"/>
    <cellStyle name="Normal 9 2 6 4 3 2" xfId="27662" xr:uid="{00000000-0005-0000-0000-00008CDA0000}"/>
    <cellStyle name="Normal 9 2 6 4 3 2 2" xfId="54795" xr:uid="{00000000-0005-0000-0000-00008DDA0000}"/>
    <cellStyle name="Normal 9 2 6 4 3 3" xfId="41233" xr:uid="{00000000-0005-0000-0000-00008EDA0000}"/>
    <cellStyle name="Normal 9 2 6 4 4" xfId="20881" xr:uid="{00000000-0005-0000-0000-00008FDA0000}"/>
    <cellStyle name="Normal 9 2 6 4 4 2" xfId="48014" xr:uid="{00000000-0005-0000-0000-000090DA0000}"/>
    <cellStyle name="Normal 9 2 6 4 5" xfId="34452" xr:uid="{00000000-0005-0000-0000-000091DA0000}"/>
    <cellStyle name="Normal 9 2 6 5" xfId="10688" xr:uid="{00000000-0005-0000-0000-000092DA0000}"/>
    <cellStyle name="Normal 9 2 6 5 2" xfId="17478" xr:uid="{00000000-0005-0000-0000-000093DA0000}"/>
    <cellStyle name="Normal 9 2 6 5 2 2" xfId="31046" xr:uid="{00000000-0005-0000-0000-000094DA0000}"/>
    <cellStyle name="Normal 9 2 6 5 2 2 2" xfId="58179" xr:uid="{00000000-0005-0000-0000-000095DA0000}"/>
    <cellStyle name="Normal 9 2 6 5 2 3" xfId="44617" xr:uid="{00000000-0005-0000-0000-000096DA0000}"/>
    <cellStyle name="Normal 9 2 6 5 3" xfId="24265" xr:uid="{00000000-0005-0000-0000-000097DA0000}"/>
    <cellStyle name="Normal 9 2 6 5 3 2" xfId="51398" xr:uid="{00000000-0005-0000-0000-000098DA0000}"/>
    <cellStyle name="Normal 9 2 6 5 4" xfId="37836" xr:uid="{00000000-0005-0000-0000-000099DA0000}"/>
    <cellStyle name="Normal 9 2 6 6" xfId="14089" xr:uid="{00000000-0005-0000-0000-00009ADA0000}"/>
    <cellStyle name="Normal 9 2 6 6 2" xfId="27657" xr:uid="{00000000-0005-0000-0000-00009BDA0000}"/>
    <cellStyle name="Normal 9 2 6 6 2 2" xfId="54790" xr:uid="{00000000-0005-0000-0000-00009CDA0000}"/>
    <cellStyle name="Normal 9 2 6 6 3" xfId="41228" xr:uid="{00000000-0005-0000-0000-00009DDA0000}"/>
    <cellStyle name="Normal 9 2 6 7" xfId="20876" xr:uid="{00000000-0005-0000-0000-00009EDA0000}"/>
    <cellStyle name="Normal 9 2 6 7 2" xfId="48009" xr:uid="{00000000-0005-0000-0000-00009FDA0000}"/>
    <cellStyle name="Normal 9 2 6 8" xfId="34447" xr:uid="{00000000-0005-0000-0000-0000A0DA0000}"/>
    <cellStyle name="Normal 9 2 7" xfId="7169" xr:uid="{00000000-0005-0000-0000-0000A1DA0000}"/>
    <cellStyle name="Normal 9 2 7 2" xfId="7170" xr:uid="{00000000-0005-0000-0000-0000A2DA0000}"/>
    <cellStyle name="Normal 9 2 7 2 2" xfId="7171" xr:uid="{00000000-0005-0000-0000-0000A3DA0000}"/>
    <cellStyle name="Normal 9 2 7 2 2 2" xfId="10696" xr:uid="{00000000-0005-0000-0000-0000A4DA0000}"/>
    <cellStyle name="Normal 9 2 7 2 2 2 2" xfId="17486" xr:uid="{00000000-0005-0000-0000-0000A5DA0000}"/>
    <cellStyle name="Normal 9 2 7 2 2 2 2 2" xfId="31054" xr:uid="{00000000-0005-0000-0000-0000A6DA0000}"/>
    <cellStyle name="Normal 9 2 7 2 2 2 2 2 2" xfId="58187" xr:uid="{00000000-0005-0000-0000-0000A7DA0000}"/>
    <cellStyle name="Normal 9 2 7 2 2 2 2 3" xfId="44625" xr:uid="{00000000-0005-0000-0000-0000A8DA0000}"/>
    <cellStyle name="Normal 9 2 7 2 2 2 3" xfId="24273" xr:uid="{00000000-0005-0000-0000-0000A9DA0000}"/>
    <cellStyle name="Normal 9 2 7 2 2 2 3 2" xfId="51406" xr:uid="{00000000-0005-0000-0000-0000AADA0000}"/>
    <cellStyle name="Normal 9 2 7 2 2 2 4" xfId="37844" xr:uid="{00000000-0005-0000-0000-0000ABDA0000}"/>
    <cellStyle name="Normal 9 2 7 2 2 3" xfId="14097" xr:uid="{00000000-0005-0000-0000-0000ACDA0000}"/>
    <cellStyle name="Normal 9 2 7 2 2 3 2" xfId="27665" xr:uid="{00000000-0005-0000-0000-0000ADDA0000}"/>
    <cellStyle name="Normal 9 2 7 2 2 3 2 2" xfId="54798" xr:uid="{00000000-0005-0000-0000-0000AEDA0000}"/>
    <cellStyle name="Normal 9 2 7 2 2 3 3" xfId="41236" xr:uid="{00000000-0005-0000-0000-0000AFDA0000}"/>
    <cellStyle name="Normal 9 2 7 2 2 4" xfId="20884" xr:uid="{00000000-0005-0000-0000-0000B0DA0000}"/>
    <cellStyle name="Normal 9 2 7 2 2 4 2" xfId="48017" xr:uid="{00000000-0005-0000-0000-0000B1DA0000}"/>
    <cellStyle name="Normal 9 2 7 2 2 5" xfId="34455" xr:uid="{00000000-0005-0000-0000-0000B2DA0000}"/>
    <cellStyle name="Normal 9 2 7 2 3" xfId="7172" xr:uid="{00000000-0005-0000-0000-0000B3DA0000}"/>
    <cellStyle name="Normal 9 2 7 2 3 2" xfId="10697" xr:uid="{00000000-0005-0000-0000-0000B4DA0000}"/>
    <cellStyle name="Normal 9 2 7 2 3 2 2" xfId="17487" xr:uid="{00000000-0005-0000-0000-0000B5DA0000}"/>
    <cellStyle name="Normal 9 2 7 2 3 2 2 2" xfId="31055" xr:uid="{00000000-0005-0000-0000-0000B6DA0000}"/>
    <cellStyle name="Normal 9 2 7 2 3 2 2 2 2" xfId="58188" xr:uid="{00000000-0005-0000-0000-0000B7DA0000}"/>
    <cellStyle name="Normal 9 2 7 2 3 2 2 3" xfId="44626" xr:uid="{00000000-0005-0000-0000-0000B8DA0000}"/>
    <cellStyle name="Normal 9 2 7 2 3 2 3" xfId="24274" xr:uid="{00000000-0005-0000-0000-0000B9DA0000}"/>
    <cellStyle name="Normal 9 2 7 2 3 2 3 2" xfId="51407" xr:uid="{00000000-0005-0000-0000-0000BADA0000}"/>
    <cellStyle name="Normal 9 2 7 2 3 2 4" xfId="37845" xr:uid="{00000000-0005-0000-0000-0000BBDA0000}"/>
    <cellStyle name="Normal 9 2 7 2 3 3" xfId="14098" xr:uid="{00000000-0005-0000-0000-0000BCDA0000}"/>
    <cellStyle name="Normal 9 2 7 2 3 3 2" xfId="27666" xr:uid="{00000000-0005-0000-0000-0000BDDA0000}"/>
    <cellStyle name="Normal 9 2 7 2 3 3 2 2" xfId="54799" xr:uid="{00000000-0005-0000-0000-0000BEDA0000}"/>
    <cellStyle name="Normal 9 2 7 2 3 3 3" xfId="41237" xr:uid="{00000000-0005-0000-0000-0000BFDA0000}"/>
    <cellStyle name="Normal 9 2 7 2 3 4" xfId="20885" xr:uid="{00000000-0005-0000-0000-0000C0DA0000}"/>
    <cellStyle name="Normal 9 2 7 2 3 4 2" xfId="48018" xr:uid="{00000000-0005-0000-0000-0000C1DA0000}"/>
    <cellStyle name="Normal 9 2 7 2 3 5" xfId="34456" xr:uid="{00000000-0005-0000-0000-0000C2DA0000}"/>
    <cellStyle name="Normal 9 2 7 2 4" xfId="10695" xr:uid="{00000000-0005-0000-0000-0000C3DA0000}"/>
    <cellStyle name="Normal 9 2 7 2 4 2" xfId="17485" xr:uid="{00000000-0005-0000-0000-0000C4DA0000}"/>
    <cellStyle name="Normal 9 2 7 2 4 2 2" xfId="31053" xr:uid="{00000000-0005-0000-0000-0000C5DA0000}"/>
    <cellStyle name="Normal 9 2 7 2 4 2 2 2" xfId="58186" xr:uid="{00000000-0005-0000-0000-0000C6DA0000}"/>
    <cellStyle name="Normal 9 2 7 2 4 2 3" xfId="44624" xr:uid="{00000000-0005-0000-0000-0000C7DA0000}"/>
    <cellStyle name="Normal 9 2 7 2 4 3" xfId="24272" xr:uid="{00000000-0005-0000-0000-0000C8DA0000}"/>
    <cellStyle name="Normal 9 2 7 2 4 3 2" xfId="51405" xr:uid="{00000000-0005-0000-0000-0000C9DA0000}"/>
    <cellStyle name="Normal 9 2 7 2 4 4" xfId="37843" xr:uid="{00000000-0005-0000-0000-0000CADA0000}"/>
    <cellStyle name="Normal 9 2 7 2 5" xfId="14096" xr:uid="{00000000-0005-0000-0000-0000CBDA0000}"/>
    <cellStyle name="Normal 9 2 7 2 5 2" xfId="27664" xr:uid="{00000000-0005-0000-0000-0000CCDA0000}"/>
    <cellStyle name="Normal 9 2 7 2 5 2 2" xfId="54797" xr:uid="{00000000-0005-0000-0000-0000CDDA0000}"/>
    <cellStyle name="Normal 9 2 7 2 5 3" xfId="41235" xr:uid="{00000000-0005-0000-0000-0000CEDA0000}"/>
    <cellStyle name="Normal 9 2 7 2 6" xfId="20883" xr:uid="{00000000-0005-0000-0000-0000CFDA0000}"/>
    <cellStyle name="Normal 9 2 7 2 6 2" xfId="48016" xr:uid="{00000000-0005-0000-0000-0000D0DA0000}"/>
    <cellStyle name="Normal 9 2 7 2 7" xfId="34454" xr:uid="{00000000-0005-0000-0000-0000D1DA0000}"/>
    <cellStyle name="Normal 9 2 7 3" xfId="7173" xr:uid="{00000000-0005-0000-0000-0000D2DA0000}"/>
    <cellStyle name="Normal 9 2 7 3 2" xfId="10698" xr:uid="{00000000-0005-0000-0000-0000D3DA0000}"/>
    <cellStyle name="Normal 9 2 7 3 2 2" xfId="17488" xr:uid="{00000000-0005-0000-0000-0000D4DA0000}"/>
    <cellStyle name="Normal 9 2 7 3 2 2 2" xfId="31056" xr:uid="{00000000-0005-0000-0000-0000D5DA0000}"/>
    <cellStyle name="Normal 9 2 7 3 2 2 2 2" xfId="58189" xr:uid="{00000000-0005-0000-0000-0000D6DA0000}"/>
    <cellStyle name="Normal 9 2 7 3 2 2 3" xfId="44627" xr:uid="{00000000-0005-0000-0000-0000D7DA0000}"/>
    <cellStyle name="Normal 9 2 7 3 2 3" xfId="24275" xr:uid="{00000000-0005-0000-0000-0000D8DA0000}"/>
    <cellStyle name="Normal 9 2 7 3 2 3 2" xfId="51408" xr:uid="{00000000-0005-0000-0000-0000D9DA0000}"/>
    <cellStyle name="Normal 9 2 7 3 2 4" xfId="37846" xr:uid="{00000000-0005-0000-0000-0000DADA0000}"/>
    <cellStyle name="Normal 9 2 7 3 3" xfId="14099" xr:uid="{00000000-0005-0000-0000-0000DBDA0000}"/>
    <cellStyle name="Normal 9 2 7 3 3 2" xfId="27667" xr:uid="{00000000-0005-0000-0000-0000DCDA0000}"/>
    <cellStyle name="Normal 9 2 7 3 3 2 2" xfId="54800" xr:uid="{00000000-0005-0000-0000-0000DDDA0000}"/>
    <cellStyle name="Normal 9 2 7 3 3 3" xfId="41238" xr:uid="{00000000-0005-0000-0000-0000DEDA0000}"/>
    <cellStyle name="Normal 9 2 7 3 4" xfId="20886" xr:uid="{00000000-0005-0000-0000-0000DFDA0000}"/>
    <cellStyle name="Normal 9 2 7 3 4 2" xfId="48019" xr:uid="{00000000-0005-0000-0000-0000E0DA0000}"/>
    <cellStyle name="Normal 9 2 7 3 5" xfId="34457" xr:uid="{00000000-0005-0000-0000-0000E1DA0000}"/>
    <cellStyle name="Normal 9 2 7 4" xfId="7174" xr:uid="{00000000-0005-0000-0000-0000E2DA0000}"/>
    <cellStyle name="Normal 9 2 7 4 2" xfId="10699" xr:uid="{00000000-0005-0000-0000-0000E3DA0000}"/>
    <cellStyle name="Normal 9 2 7 4 2 2" xfId="17489" xr:uid="{00000000-0005-0000-0000-0000E4DA0000}"/>
    <cellStyle name="Normal 9 2 7 4 2 2 2" xfId="31057" xr:uid="{00000000-0005-0000-0000-0000E5DA0000}"/>
    <cellStyle name="Normal 9 2 7 4 2 2 2 2" xfId="58190" xr:uid="{00000000-0005-0000-0000-0000E6DA0000}"/>
    <cellStyle name="Normal 9 2 7 4 2 2 3" xfId="44628" xr:uid="{00000000-0005-0000-0000-0000E7DA0000}"/>
    <cellStyle name="Normal 9 2 7 4 2 3" xfId="24276" xr:uid="{00000000-0005-0000-0000-0000E8DA0000}"/>
    <cellStyle name="Normal 9 2 7 4 2 3 2" xfId="51409" xr:uid="{00000000-0005-0000-0000-0000E9DA0000}"/>
    <cellStyle name="Normal 9 2 7 4 2 4" xfId="37847" xr:uid="{00000000-0005-0000-0000-0000EADA0000}"/>
    <cellStyle name="Normal 9 2 7 4 3" xfId="14100" xr:uid="{00000000-0005-0000-0000-0000EBDA0000}"/>
    <cellStyle name="Normal 9 2 7 4 3 2" xfId="27668" xr:uid="{00000000-0005-0000-0000-0000ECDA0000}"/>
    <cellStyle name="Normal 9 2 7 4 3 2 2" xfId="54801" xr:uid="{00000000-0005-0000-0000-0000EDDA0000}"/>
    <cellStyle name="Normal 9 2 7 4 3 3" xfId="41239" xr:uid="{00000000-0005-0000-0000-0000EEDA0000}"/>
    <cellStyle name="Normal 9 2 7 4 4" xfId="20887" xr:uid="{00000000-0005-0000-0000-0000EFDA0000}"/>
    <cellStyle name="Normal 9 2 7 4 4 2" xfId="48020" xr:uid="{00000000-0005-0000-0000-0000F0DA0000}"/>
    <cellStyle name="Normal 9 2 7 4 5" xfId="34458" xr:uid="{00000000-0005-0000-0000-0000F1DA0000}"/>
    <cellStyle name="Normal 9 2 7 5" xfId="10694" xr:uid="{00000000-0005-0000-0000-0000F2DA0000}"/>
    <cellStyle name="Normal 9 2 7 5 2" xfId="17484" xr:uid="{00000000-0005-0000-0000-0000F3DA0000}"/>
    <cellStyle name="Normal 9 2 7 5 2 2" xfId="31052" xr:uid="{00000000-0005-0000-0000-0000F4DA0000}"/>
    <cellStyle name="Normal 9 2 7 5 2 2 2" xfId="58185" xr:uid="{00000000-0005-0000-0000-0000F5DA0000}"/>
    <cellStyle name="Normal 9 2 7 5 2 3" xfId="44623" xr:uid="{00000000-0005-0000-0000-0000F6DA0000}"/>
    <cellStyle name="Normal 9 2 7 5 3" xfId="24271" xr:uid="{00000000-0005-0000-0000-0000F7DA0000}"/>
    <cellStyle name="Normal 9 2 7 5 3 2" xfId="51404" xr:uid="{00000000-0005-0000-0000-0000F8DA0000}"/>
    <cellStyle name="Normal 9 2 7 5 4" xfId="37842" xr:uid="{00000000-0005-0000-0000-0000F9DA0000}"/>
    <cellStyle name="Normal 9 2 7 6" xfId="14095" xr:uid="{00000000-0005-0000-0000-0000FADA0000}"/>
    <cellStyle name="Normal 9 2 7 6 2" xfId="27663" xr:uid="{00000000-0005-0000-0000-0000FBDA0000}"/>
    <cellStyle name="Normal 9 2 7 6 2 2" xfId="54796" xr:uid="{00000000-0005-0000-0000-0000FCDA0000}"/>
    <cellStyle name="Normal 9 2 7 6 3" xfId="41234" xr:uid="{00000000-0005-0000-0000-0000FDDA0000}"/>
    <cellStyle name="Normal 9 2 7 7" xfId="20882" xr:uid="{00000000-0005-0000-0000-0000FEDA0000}"/>
    <cellStyle name="Normal 9 2 7 7 2" xfId="48015" xr:uid="{00000000-0005-0000-0000-0000FFDA0000}"/>
    <cellStyle name="Normal 9 2 7 8" xfId="34453" xr:uid="{00000000-0005-0000-0000-000000DB0000}"/>
    <cellStyle name="Normal 9 2 8" xfId="7175" xr:uid="{00000000-0005-0000-0000-000001DB0000}"/>
    <cellStyle name="Normal 9 2 8 2" xfId="7176" xr:uid="{00000000-0005-0000-0000-000002DB0000}"/>
    <cellStyle name="Normal 9 2 8 2 2" xfId="10701" xr:uid="{00000000-0005-0000-0000-000003DB0000}"/>
    <cellStyle name="Normal 9 2 8 2 2 2" xfId="17491" xr:uid="{00000000-0005-0000-0000-000004DB0000}"/>
    <cellStyle name="Normal 9 2 8 2 2 2 2" xfId="31059" xr:uid="{00000000-0005-0000-0000-000005DB0000}"/>
    <cellStyle name="Normal 9 2 8 2 2 2 2 2" xfId="58192" xr:uid="{00000000-0005-0000-0000-000006DB0000}"/>
    <cellStyle name="Normal 9 2 8 2 2 2 3" xfId="44630" xr:uid="{00000000-0005-0000-0000-000007DB0000}"/>
    <cellStyle name="Normal 9 2 8 2 2 3" xfId="24278" xr:uid="{00000000-0005-0000-0000-000008DB0000}"/>
    <cellStyle name="Normal 9 2 8 2 2 3 2" xfId="51411" xr:uid="{00000000-0005-0000-0000-000009DB0000}"/>
    <cellStyle name="Normal 9 2 8 2 2 4" xfId="37849" xr:uid="{00000000-0005-0000-0000-00000ADB0000}"/>
    <cellStyle name="Normal 9 2 8 2 3" xfId="14102" xr:uid="{00000000-0005-0000-0000-00000BDB0000}"/>
    <cellStyle name="Normal 9 2 8 2 3 2" xfId="27670" xr:uid="{00000000-0005-0000-0000-00000CDB0000}"/>
    <cellStyle name="Normal 9 2 8 2 3 2 2" xfId="54803" xr:uid="{00000000-0005-0000-0000-00000DDB0000}"/>
    <cellStyle name="Normal 9 2 8 2 3 3" xfId="41241" xr:uid="{00000000-0005-0000-0000-00000EDB0000}"/>
    <cellStyle name="Normal 9 2 8 2 4" xfId="20889" xr:uid="{00000000-0005-0000-0000-00000FDB0000}"/>
    <cellStyle name="Normal 9 2 8 2 4 2" xfId="48022" xr:uid="{00000000-0005-0000-0000-000010DB0000}"/>
    <cellStyle name="Normal 9 2 8 2 5" xfId="34460" xr:uid="{00000000-0005-0000-0000-000011DB0000}"/>
    <cellStyle name="Normal 9 2 8 3" xfId="7177" xr:uid="{00000000-0005-0000-0000-000012DB0000}"/>
    <cellStyle name="Normal 9 2 8 3 2" xfId="10702" xr:uid="{00000000-0005-0000-0000-000013DB0000}"/>
    <cellStyle name="Normal 9 2 8 3 2 2" xfId="17492" xr:uid="{00000000-0005-0000-0000-000014DB0000}"/>
    <cellStyle name="Normal 9 2 8 3 2 2 2" xfId="31060" xr:uid="{00000000-0005-0000-0000-000015DB0000}"/>
    <cellStyle name="Normal 9 2 8 3 2 2 2 2" xfId="58193" xr:uid="{00000000-0005-0000-0000-000016DB0000}"/>
    <cellStyle name="Normal 9 2 8 3 2 2 3" xfId="44631" xr:uid="{00000000-0005-0000-0000-000017DB0000}"/>
    <cellStyle name="Normal 9 2 8 3 2 3" xfId="24279" xr:uid="{00000000-0005-0000-0000-000018DB0000}"/>
    <cellStyle name="Normal 9 2 8 3 2 3 2" xfId="51412" xr:uid="{00000000-0005-0000-0000-000019DB0000}"/>
    <cellStyle name="Normal 9 2 8 3 2 4" xfId="37850" xr:uid="{00000000-0005-0000-0000-00001ADB0000}"/>
    <cellStyle name="Normal 9 2 8 3 3" xfId="14103" xr:uid="{00000000-0005-0000-0000-00001BDB0000}"/>
    <cellStyle name="Normal 9 2 8 3 3 2" xfId="27671" xr:uid="{00000000-0005-0000-0000-00001CDB0000}"/>
    <cellStyle name="Normal 9 2 8 3 3 2 2" xfId="54804" xr:uid="{00000000-0005-0000-0000-00001DDB0000}"/>
    <cellStyle name="Normal 9 2 8 3 3 3" xfId="41242" xr:uid="{00000000-0005-0000-0000-00001EDB0000}"/>
    <cellStyle name="Normal 9 2 8 3 4" xfId="20890" xr:uid="{00000000-0005-0000-0000-00001FDB0000}"/>
    <cellStyle name="Normal 9 2 8 3 4 2" xfId="48023" xr:uid="{00000000-0005-0000-0000-000020DB0000}"/>
    <cellStyle name="Normal 9 2 8 3 5" xfId="34461" xr:uid="{00000000-0005-0000-0000-000021DB0000}"/>
    <cellStyle name="Normal 9 2 8 4" xfId="10700" xr:uid="{00000000-0005-0000-0000-000022DB0000}"/>
    <cellStyle name="Normal 9 2 8 4 2" xfId="17490" xr:uid="{00000000-0005-0000-0000-000023DB0000}"/>
    <cellStyle name="Normal 9 2 8 4 2 2" xfId="31058" xr:uid="{00000000-0005-0000-0000-000024DB0000}"/>
    <cellStyle name="Normal 9 2 8 4 2 2 2" xfId="58191" xr:uid="{00000000-0005-0000-0000-000025DB0000}"/>
    <cellStyle name="Normal 9 2 8 4 2 3" xfId="44629" xr:uid="{00000000-0005-0000-0000-000026DB0000}"/>
    <cellStyle name="Normal 9 2 8 4 3" xfId="24277" xr:uid="{00000000-0005-0000-0000-000027DB0000}"/>
    <cellStyle name="Normal 9 2 8 4 3 2" xfId="51410" xr:uid="{00000000-0005-0000-0000-000028DB0000}"/>
    <cellStyle name="Normal 9 2 8 4 4" xfId="37848" xr:uid="{00000000-0005-0000-0000-000029DB0000}"/>
    <cellStyle name="Normal 9 2 8 5" xfId="14101" xr:uid="{00000000-0005-0000-0000-00002ADB0000}"/>
    <cellStyle name="Normal 9 2 8 5 2" xfId="27669" xr:uid="{00000000-0005-0000-0000-00002BDB0000}"/>
    <cellStyle name="Normal 9 2 8 5 2 2" xfId="54802" xr:uid="{00000000-0005-0000-0000-00002CDB0000}"/>
    <cellStyle name="Normal 9 2 8 5 3" xfId="41240" xr:uid="{00000000-0005-0000-0000-00002DDB0000}"/>
    <cellStyle name="Normal 9 2 8 6" xfId="20888" xr:uid="{00000000-0005-0000-0000-00002EDB0000}"/>
    <cellStyle name="Normal 9 2 8 6 2" xfId="48021" xr:uid="{00000000-0005-0000-0000-00002FDB0000}"/>
    <cellStyle name="Normal 9 2 8 7" xfId="34459" xr:uid="{00000000-0005-0000-0000-000030DB0000}"/>
    <cellStyle name="Normal 9 2 9" xfId="7178" xr:uid="{00000000-0005-0000-0000-000031DB0000}"/>
    <cellStyle name="Normal 9 2 9 2" xfId="7179" xr:uid="{00000000-0005-0000-0000-000032DB0000}"/>
    <cellStyle name="Normal 9 2 9 2 2" xfId="10704" xr:uid="{00000000-0005-0000-0000-000033DB0000}"/>
    <cellStyle name="Normal 9 2 9 2 2 2" xfId="17494" xr:uid="{00000000-0005-0000-0000-000034DB0000}"/>
    <cellStyle name="Normal 9 2 9 2 2 2 2" xfId="31062" xr:uid="{00000000-0005-0000-0000-000035DB0000}"/>
    <cellStyle name="Normal 9 2 9 2 2 2 2 2" xfId="58195" xr:uid="{00000000-0005-0000-0000-000036DB0000}"/>
    <cellStyle name="Normal 9 2 9 2 2 2 3" xfId="44633" xr:uid="{00000000-0005-0000-0000-000037DB0000}"/>
    <cellStyle name="Normal 9 2 9 2 2 3" xfId="24281" xr:uid="{00000000-0005-0000-0000-000038DB0000}"/>
    <cellStyle name="Normal 9 2 9 2 2 3 2" xfId="51414" xr:uid="{00000000-0005-0000-0000-000039DB0000}"/>
    <cellStyle name="Normal 9 2 9 2 2 4" xfId="37852" xr:uid="{00000000-0005-0000-0000-00003ADB0000}"/>
    <cellStyle name="Normal 9 2 9 2 3" xfId="14105" xr:uid="{00000000-0005-0000-0000-00003BDB0000}"/>
    <cellStyle name="Normal 9 2 9 2 3 2" xfId="27673" xr:uid="{00000000-0005-0000-0000-00003CDB0000}"/>
    <cellStyle name="Normal 9 2 9 2 3 2 2" xfId="54806" xr:uid="{00000000-0005-0000-0000-00003DDB0000}"/>
    <cellStyle name="Normal 9 2 9 2 3 3" xfId="41244" xr:uid="{00000000-0005-0000-0000-00003EDB0000}"/>
    <cellStyle name="Normal 9 2 9 2 4" xfId="20892" xr:uid="{00000000-0005-0000-0000-00003FDB0000}"/>
    <cellStyle name="Normal 9 2 9 2 4 2" xfId="48025" xr:uid="{00000000-0005-0000-0000-000040DB0000}"/>
    <cellStyle name="Normal 9 2 9 2 5" xfId="34463" xr:uid="{00000000-0005-0000-0000-000041DB0000}"/>
    <cellStyle name="Normal 9 2 9 3" xfId="7180" xr:uid="{00000000-0005-0000-0000-000042DB0000}"/>
    <cellStyle name="Normal 9 2 9 3 2" xfId="10705" xr:uid="{00000000-0005-0000-0000-000043DB0000}"/>
    <cellStyle name="Normal 9 2 9 3 2 2" xfId="17495" xr:uid="{00000000-0005-0000-0000-000044DB0000}"/>
    <cellStyle name="Normal 9 2 9 3 2 2 2" xfId="31063" xr:uid="{00000000-0005-0000-0000-000045DB0000}"/>
    <cellStyle name="Normal 9 2 9 3 2 2 2 2" xfId="58196" xr:uid="{00000000-0005-0000-0000-000046DB0000}"/>
    <cellStyle name="Normal 9 2 9 3 2 2 3" xfId="44634" xr:uid="{00000000-0005-0000-0000-000047DB0000}"/>
    <cellStyle name="Normal 9 2 9 3 2 3" xfId="24282" xr:uid="{00000000-0005-0000-0000-000048DB0000}"/>
    <cellStyle name="Normal 9 2 9 3 2 3 2" xfId="51415" xr:uid="{00000000-0005-0000-0000-000049DB0000}"/>
    <cellStyle name="Normal 9 2 9 3 2 4" xfId="37853" xr:uid="{00000000-0005-0000-0000-00004ADB0000}"/>
    <cellStyle name="Normal 9 2 9 3 3" xfId="14106" xr:uid="{00000000-0005-0000-0000-00004BDB0000}"/>
    <cellStyle name="Normal 9 2 9 3 3 2" xfId="27674" xr:uid="{00000000-0005-0000-0000-00004CDB0000}"/>
    <cellStyle name="Normal 9 2 9 3 3 2 2" xfId="54807" xr:uid="{00000000-0005-0000-0000-00004DDB0000}"/>
    <cellStyle name="Normal 9 2 9 3 3 3" xfId="41245" xr:uid="{00000000-0005-0000-0000-00004EDB0000}"/>
    <cellStyle name="Normal 9 2 9 3 4" xfId="20893" xr:uid="{00000000-0005-0000-0000-00004FDB0000}"/>
    <cellStyle name="Normal 9 2 9 3 4 2" xfId="48026" xr:uid="{00000000-0005-0000-0000-000050DB0000}"/>
    <cellStyle name="Normal 9 2 9 3 5" xfId="34464" xr:uid="{00000000-0005-0000-0000-000051DB0000}"/>
    <cellStyle name="Normal 9 2 9 4" xfId="10703" xr:uid="{00000000-0005-0000-0000-000052DB0000}"/>
    <cellStyle name="Normal 9 2 9 4 2" xfId="17493" xr:uid="{00000000-0005-0000-0000-000053DB0000}"/>
    <cellStyle name="Normal 9 2 9 4 2 2" xfId="31061" xr:uid="{00000000-0005-0000-0000-000054DB0000}"/>
    <cellStyle name="Normal 9 2 9 4 2 2 2" xfId="58194" xr:uid="{00000000-0005-0000-0000-000055DB0000}"/>
    <cellStyle name="Normal 9 2 9 4 2 3" xfId="44632" xr:uid="{00000000-0005-0000-0000-000056DB0000}"/>
    <cellStyle name="Normal 9 2 9 4 3" xfId="24280" xr:uid="{00000000-0005-0000-0000-000057DB0000}"/>
    <cellStyle name="Normal 9 2 9 4 3 2" xfId="51413" xr:uid="{00000000-0005-0000-0000-000058DB0000}"/>
    <cellStyle name="Normal 9 2 9 4 4" xfId="37851" xr:uid="{00000000-0005-0000-0000-000059DB0000}"/>
    <cellStyle name="Normal 9 2 9 5" xfId="14104" xr:uid="{00000000-0005-0000-0000-00005ADB0000}"/>
    <cellStyle name="Normal 9 2 9 5 2" xfId="27672" xr:uid="{00000000-0005-0000-0000-00005BDB0000}"/>
    <cellStyle name="Normal 9 2 9 5 2 2" xfId="54805" xr:uid="{00000000-0005-0000-0000-00005CDB0000}"/>
    <cellStyle name="Normal 9 2 9 5 3" xfId="41243" xr:uid="{00000000-0005-0000-0000-00005DDB0000}"/>
    <cellStyle name="Normal 9 2 9 6" xfId="20891" xr:uid="{00000000-0005-0000-0000-00005EDB0000}"/>
    <cellStyle name="Normal 9 2 9 6 2" xfId="48024" xr:uid="{00000000-0005-0000-0000-00005FDB0000}"/>
    <cellStyle name="Normal 9 2 9 7" xfId="34462" xr:uid="{00000000-0005-0000-0000-000060DB0000}"/>
    <cellStyle name="Normal 9 3" xfId="7181" xr:uid="{00000000-0005-0000-0000-000061DB0000}"/>
    <cellStyle name="Normal 9 3 2" xfId="7182" xr:uid="{00000000-0005-0000-0000-000062DB0000}"/>
    <cellStyle name="Normal 9 3 2 2" xfId="7183" xr:uid="{00000000-0005-0000-0000-000063DB0000}"/>
    <cellStyle name="Normal 9 4" xfId="7184" xr:uid="{00000000-0005-0000-0000-000064DB0000}"/>
    <cellStyle name="Normal 9 5" xfId="7185" xr:uid="{00000000-0005-0000-0000-000065DB0000}"/>
    <cellStyle name="Normal 9 5 2" xfId="7186" xr:uid="{00000000-0005-0000-0000-000066DB0000}"/>
    <cellStyle name="Normal 9 5 2 2" xfId="10707" xr:uid="{00000000-0005-0000-0000-000067DB0000}"/>
    <cellStyle name="Normal 9 5 2 2 2" xfId="17497" xr:uid="{00000000-0005-0000-0000-000068DB0000}"/>
    <cellStyle name="Normal 9 5 2 2 2 2" xfId="31065" xr:uid="{00000000-0005-0000-0000-000069DB0000}"/>
    <cellStyle name="Normal 9 5 2 2 2 2 2" xfId="58198" xr:uid="{00000000-0005-0000-0000-00006ADB0000}"/>
    <cellStyle name="Normal 9 5 2 2 2 3" xfId="44636" xr:uid="{00000000-0005-0000-0000-00006BDB0000}"/>
    <cellStyle name="Normal 9 5 2 2 3" xfId="24284" xr:uid="{00000000-0005-0000-0000-00006CDB0000}"/>
    <cellStyle name="Normal 9 5 2 2 3 2" xfId="51417" xr:uid="{00000000-0005-0000-0000-00006DDB0000}"/>
    <cellStyle name="Normal 9 5 2 2 4" xfId="37855" xr:uid="{00000000-0005-0000-0000-00006EDB0000}"/>
    <cellStyle name="Normal 9 5 2 3" xfId="14108" xr:uid="{00000000-0005-0000-0000-00006FDB0000}"/>
    <cellStyle name="Normal 9 5 2 3 2" xfId="27676" xr:uid="{00000000-0005-0000-0000-000070DB0000}"/>
    <cellStyle name="Normal 9 5 2 3 2 2" xfId="54809" xr:uid="{00000000-0005-0000-0000-000071DB0000}"/>
    <cellStyle name="Normal 9 5 2 3 3" xfId="41247" xr:uid="{00000000-0005-0000-0000-000072DB0000}"/>
    <cellStyle name="Normal 9 5 2 4" xfId="20895" xr:uid="{00000000-0005-0000-0000-000073DB0000}"/>
    <cellStyle name="Normal 9 5 2 4 2" xfId="48028" xr:uid="{00000000-0005-0000-0000-000074DB0000}"/>
    <cellStyle name="Normal 9 5 2 5" xfId="34466" xr:uid="{00000000-0005-0000-0000-000075DB0000}"/>
    <cellStyle name="Normal 9 5 3" xfId="7187" xr:uid="{00000000-0005-0000-0000-000076DB0000}"/>
    <cellStyle name="Normal 9 5 3 2" xfId="10708" xr:uid="{00000000-0005-0000-0000-000077DB0000}"/>
    <cellStyle name="Normal 9 5 3 2 2" xfId="17498" xr:uid="{00000000-0005-0000-0000-000078DB0000}"/>
    <cellStyle name="Normal 9 5 3 2 2 2" xfId="31066" xr:uid="{00000000-0005-0000-0000-000079DB0000}"/>
    <cellStyle name="Normal 9 5 3 2 2 2 2" xfId="58199" xr:uid="{00000000-0005-0000-0000-00007ADB0000}"/>
    <cellStyle name="Normal 9 5 3 2 2 3" xfId="44637" xr:uid="{00000000-0005-0000-0000-00007BDB0000}"/>
    <cellStyle name="Normal 9 5 3 2 3" xfId="24285" xr:uid="{00000000-0005-0000-0000-00007CDB0000}"/>
    <cellStyle name="Normal 9 5 3 2 3 2" xfId="51418" xr:uid="{00000000-0005-0000-0000-00007DDB0000}"/>
    <cellStyle name="Normal 9 5 3 2 4" xfId="37856" xr:uid="{00000000-0005-0000-0000-00007EDB0000}"/>
    <cellStyle name="Normal 9 5 3 3" xfId="14109" xr:uid="{00000000-0005-0000-0000-00007FDB0000}"/>
    <cellStyle name="Normal 9 5 3 3 2" xfId="27677" xr:uid="{00000000-0005-0000-0000-000080DB0000}"/>
    <cellStyle name="Normal 9 5 3 3 2 2" xfId="54810" xr:uid="{00000000-0005-0000-0000-000081DB0000}"/>
    <cellStyle name="Normal 9 5 3 3 3" xfId="41248" xr:uid="{00000000-0005-0000-0000-000082DB0000}"/>
    <cellStyle name="Normal 9 5 3 4" xfId="20896" xr:uid="{00000000-0005-0000-0000-000083DB0000}"/>
    <cellStyle name="Normal 9 5 3 4 2" xfId="48029" xr:uid="{00000000-0005-0000-0000-000084DB0000}"/>
    <cellStyle name="Normal 9 5 3 5" xfId="34467" xr:uid="{00000000-0005-0000-0000-000085DB0000}"/>
    <cellStyle name="Normal 9 5 4" xfId="10706" xr:uid="{00000000-0005-0000-0000-000086DB0000}"/>
    <cellStyle name="Normal 9 5 4 2" xfId="17496" xr:uid="{00000000-0005-0000-0000-000087DB0000}"/>
    <cellStyle name="Normal 9 5 4 2 2" xfId="31064" xr:uid="{00000000-0005-0000-0000-000088DB0000}"/>
    <cellStyle name="Normal 9 5 4 2 2 2" xfId="58197" xr:uid="{00000000-0005-0000-0000-000089DB0000}"/>
    <cellStyle name="Normal 9 5 4 2 3" xfId="44635" xr:uid="{00000000-0005-0000-0000-00008ADB0000}"/>
    <cellStyle name="Normal 9 5 4 3" xfId="24283" xr:uid="{00000000-0005-0000-0000-00008BDB0000}"/>
    <cellStyle name="Normal 9 5 4 3 2" xfId="51416" xr:uid="{00000000-0005-0000-0000-00008CDB0000}"/>
    <cellStyle name="Normal 9 5 4 4" xfId="37854" xr:uid="{00000000-0005-0000-0000-00008DDB0000}"/>
    <cellStyle name="Normal 9 5 5" xfId="14107" xr:uid="{00000000-0005-0000-0000-00008EDB0000}"/>
    <cellStyle name="Normal 9 5 5 2" xfId="27675" xr:uid="{00000000-0005-0000-0000-00008FDB0000}"/>
    <cellStyle name="Normal 9 5 5 2 2" xfId="54808" xr:uid="{00000000-0005-0000-0000-000090DB0000}"/>
    <cellStyle name="Normal 9 5 5 3" xfId="41246" xr:uid="{00000000-0005-0000-0000-000091DB0000}"/>
    <cellStyle name="Normal 9 5 6" xfId="20894" xr:uid="{00000000-0005-0000-0000-000092DB0000}"/>
    <cellStyle name="Normal 9 5 6 2" xfId="48027" xr:uid="{00000000-0005-0000-0000-000093DB0000}"/>
    <cellStyle name="Normal 9 5 7" xfId="34465" xr:uid="{00000000-0005-0000-0000-000094DB0000}"/>
    <cellStyle name="Normal 9 6" xfId="7188" xr:uid="{00000000-0005-0000-0000-000095DB0000}"/>
    <cellStyle name="Normal 9 6 2" xfId="10709" xr:uid="{00000000-0005-0000-0000-000096DB0000}"/>
    <cellStyle name="Normal 9 6 2 2" xfId="17499" xr:uid="{00000000-0005-0000-0000-000097DB0000}"/>
    <cellStyle name="Normal 9 6 2 2 2" xfId="31067" xr:uid="{00000000-0005-0000-0000-000098DB0000}"/>
    <cellStyle name="Normal 9 6 2 2 2 2" xfId="58200" xr:uid="{00000000-0005-0000-0000-000099DB0000}"/>
    <cellStyle name="Normal 9 6 2 2 3" xfId="44638" xr:uid="{00000000-0005-0000-0000-00009ADB0000}"/>
    <cellStyle name="Normal 9 6 2 3" xfId="24286" xr:uid="{00000000-0005-0000-0000-00009BDB0000}"/>
    <cellStyle name="Normal 9 6 2 3 2" xfId="51419" xr:uid="{00000000-0005-0000-0000-00009CDB0000}"/>
    <cellStyle name="Normal 9 6 2 4" xfId="37857" xr:uid="{00000000-0005-0000-0000-00009DDB0000}"/>
    <cellStyle name="Normal 9 6 3" xfId="14110" xr:uid="{00000000-0005-0000-0000-00009EDB0000}"/>
    <cellStyle name="Normal 9 6 3 2" xfId="27678" xr:uid="{00000000-0005-0000-0000-00009FDB0000}"/>
    <cellStyle name="Normal 9 6 3 2 2" xfId="54811" xr:uid="{00000000-0005-0000-0000-0000A0DB0000}"/>
    <cellStyle name="Normal 9 6 3 3" xfId="41249" xr:uid="{00000000-0005-0000-0000-0000A1DB0000}"/>
    <cellStyle name="Normal 9 6 4" xfId="20897" xr:uid="{00000000-0005-0000-0000-0000A2DB0000}"/>
    <cellStyle name="Normal 9 6 4 2" xfId="48030" xr:uid="{00000000-0005-0000-0000-0000A3DB0000}"/>
    <cellStyle name="Normal 9 6 5" xfId="34468" xr:uid="{00000000-0005-0000-0000-0000A4DB0000}"/>
    <cellStyle name="Normal 9 7" xfId="7189" xr:uid="{00000000-0005-0000-0000-0000A5DB0000}"/>
    <cellStyle name="Normal 9 8" xfId="2787" xr:uid="{00000000-0005-0000-0000-0000A6DB0000}"/>
    <cellStyle name="Notas 10" xfId="2788" xr:uid="{00000000-0005-0000-0000-0000A8DB0000}"/>
    <cellStyle name="Notas 11" xfId="2789" xr:uid="{00000000-0005-0000-0000-0000A9DB0000}"/>
    <cellStyle name="Notas 12" xfId="2790" xr:uid="{00000000-0005-0000-0000-0000AADB0000}"/>
    <cellStyle name="Notas 13" xfId="2791" xr:uid="{00000000-0005-0000-0000-0000ABDB0000}"/>
    <cellStyle name="Notas 14" xfId="2792" xr:uid="{00000000-0005-0000-0000-0000ACDB0000}"/>
    <cellStyle name="Notas 15" xfId="2793" xr:uid="{00000000-0005-0000-0000-0000ADDB0000}"/>
    <cellStyle name="Notas 16" xfId="2794" xr:uid="{00000000-0005-0000-0000-0000AEDB0000}"/>
    <cellStyle name="Notas 17" xfId="2795" xr:uid="{00000000-0005-0000-0000-0000AFDB0000}"/>
    <cellStyle name="Notas 18" xfId="2796" xr:uid="{00000000-0005-0000-0000-0000B0DB0000}"/>
    <cellStyle name="Notas 19" xfId="2797" xr:uid="{00000000-0005-0000-0000-0000B1DB0000}"/>
    <cellStyle name="Notas 2" xfId="71" xr:uid="{00000000-0005-0000-0000-0000B2DB0000}"/>
    <cellStyle name="Notas 2 2" xfId="197" xr:uid="{00000000-0005-0000-0000-0000B3DB0000}"/>
    <cellStyle name="Notas 2 3" xfId="190" xr:uid="{00000000-0005-0000-0000-0000B4DB0000}"/>
    <cellStyle name="Notas 2 4" xfId="2798" xr:uid="{00000000-0005-0000-0000-0000B5DB0000}"/>
    <cellStyle name="Notas 2 5" xfId="2799" xr:uid="{00000000-0005-0000-0000-0000B6DB0000}"/>
    <cellStyle name="Notas 20" xfId="2800" xr:uid="{00000000-0005-0000-0000-0000B7DB0000}"/>
    <cellStyle name="Notas 21" xfId="2801" xr:uid="{00000000-0005-0000-0000-0000B8DB0000}"/>
    <cellStyle name="Notas 22" xfId="2802" xr:uid="{00000000-0005-0000-0000-0000B9DB0000}"/>
    <cellStyle name="Notas 23" xfId="2803" xr:uid="{00000000-0005-0000-0000-0000BADB0000}"/>
    <cellStyle name="Notas 24" xfId="2804" xr:uid="{00000000-0005-0000-0000-0000BBDB0000}"/>
    <cellStyle name="Notas 25" xfId="2805" xr:uid="{00000000-0005-0000-0000-0000BCDB0000}"/>
    <cellStyle name="Notas 26" xfId="2806" xr:uid="{00000000-0005-0000-0000-0000BDDB0000}"/>
    <cellStyle name="Notas 27" xfId="2807" xr:uid="{00000000-0005-0000-0000-0000BEDB0000}"/>
    <cellStyle name="Notas 28" xfId="2808" xr:uid="{00000000-0005-0000-0000-0000BFDB0000}"/>
    <cellStyle name="Notas 29" xfId="2809" xr:uid="{00000000-0005-0000-0000-0000C0DB0000}"/>
    <cellStyle name="Notas 3" xfId="72" xr:uid="{00000000-0005-0000-0000-0000C1DB0000}"/>
    <cellStyle name="Notas 30" xfId="2810" xr:uid="{00000000-0005-0000-0000-0000C2DB0000}"/>
    <cellStyle name="Notas 31" xfId="2811" xr:uid="{00000000-0005-0000-0000-0000C3DB0000}"/>
    <cellStyle name="Notas 32" xfId="2812" xr:uid="{00000000-0005-0000-0000-0000C4DB0000}"/>
    <cellStyle name="Notas 33" xfId="2813" xr:uid="{00000000-0005-0000-0000-0000C5DB0000}"/>
    <cellStyle name="Notas 34" xfId="2814" xr:uid="{00000000-0005-0000-0000-0000C6DB0000}"/>
    <cellStyle name="Notas 35" xfId="2815" xr:uid="{00000000-0005-0000-0000-0000C7DB0000}"/>
    <cellStyle name="Notas 36" xfId="2816" xr:uid="{00000000-0005-0000-0000-0000C8DB0000}"/>
    <cellStyle name="Notas 37" xfId="2817" xr:uid="{00000000-0005-0000-0000-0000C9DB0000}"/>
    <cellStyle name="Notas 38" xfId="2818" xr:uid="{00000000-0005-0000-0000-0000CADB0000}"/>
    <cellStyle name="Notas 39" xfId="2819" xr:uid="{00000000-0005-0000-0000-0000CBDB0000}"/>
    <cellStyle name="Notas 4" xfId="2820" xr:uid="{00000000-0005-0000-0000-0000CCDB0000}"/>
    <cellStyle name="Notas 40" xfId="2821" xr:uid="{00000000-0005-0000-0000-0000CDDB0000}"/>
    <cellStyle name="Notas 41" xfId="2822" xr:uid="{00000000-0005-0000-0000-0000CEDB0000}"/>
    <cellStyle name="Notas 42" xfId="2823" xr:uid="{00000000-0005-0000-0000-0000CFDB0000}"/>
    <cellStyle name="Notas 43" xfId="2824" xr:uid="{00000000-0005-0000-0000-0000D0DB0000}"/>
    <cellStyle name="Notas 44" xfId="2825" xr:uid="{00000000-0005-0000-0000-0000D1DB0000}"/>
    <cellStyle name="Notas 45" xfId="2826" xr:uid="{00000000-0005-0000-0000-0000D2DB0000}"/>
    <cellStyle name="Notas 46" xfId="2827" xr:uid="{00000000-0005-0000-0000-0000D3DB0000}"/>
    <cellStyle name="Notas 47" xfId="2828" xr:uid="{00000000-0005-0000-0000-0000D4DB0000}"/>
    <cellStyle name="Notas 48" xfId="2829" xr:uid="{00000000-0005-0000-0000-0000D5DB0000}"/>
    <cellStyle name="Notas 49" xfId="2830" xr:uid="{00000000-0005-0000-0000-0000D6DB0000}"/>
    <cellStyle name="Notas 5" xfId="2831" xr:uid="{00000000-0005-0000-0000-0000D7DB0000}"/>
    <cellStyle name="Notas 50" xfId="2832" xr:uid="{00000000-0005-0000-0000-0000D8DB0000}"/>
    <cellStyle name="Notas 51" xfId="2833" xr:uid="{00000000-0005-0000-0000-0000D9DB0000}"/>
    <cellStyle name="Notas 52" xfId="2834" xr:uid="{00000000-0005-0000-0000-0000DADB0000}"/>
    <cellStyle name="Notas 53" xfId="2835" xr:uid="{00000000-0005-0000-0000-0000DBDB0000}"/>
    <cellStyle name="Notas 54" xfId="2836" xr:uid="{00000000-0005-0000-0000-0000DCDB0000}"/>
    <cellStyle name="Notas 55" xfId="2837" xr:uid="{00000000-0005-0000-0000-0000DDDB0000}"/>
    <cellStyle name="Notas 56" xfId="2838" xr:uid="{00000000-0005-0000-0000-0000DEDB0000}"/>
    <cellStyle name="Notas 57" xfId="2839" xr:uid="{00000000-0005-0000-0000-0000DFDB0000}"/>
    <cellStyle name="Notas 58" xfId="2840" xr:uid="{00000000-0005-0000-0000-0000E0DB0000}"/>
    <cellStyle name="Notas 59" xfId="2841" xr:uid="{00000000-0005-0000-0000-0000E1DB0000}"/>
    <cellStyle name="Notas 6" xfId="2842" xr:uid="{00000000-0005-0000-0000-0000E2DB0000}"/>
    <cellStyle name="Notas 60" xfId="2843" xr:uid="{00000000-0005-0000-0000-0000E3DB0000}"/>
    <cellStyle name="Notas 61" xfId="2844" xr:uid="{00000000-0005-0000-0000-0000E4DB0000}"/>
    <cellStyle name="Notas 62" xfId="2845" xr:uid="{00000000-0005-0000-0000-0000E5DB0000}"/>
    <cellStyle name="Notas 63" xfId="2846" xr:uid="{00000000-0005-0000-0000-0000E6DB0000}"/>
    <cellStyle name="Notas 64" xfId="2847" xr:uid="{00000000-0005-0000-0000-0000E7DB0000}"/>
    <cellStyle name="Notas 65" xfId="2848" xr:uid="{00000000-0005-0000-0000-0000E8DB0000}"/>
    <cellStyle name="Notas 66" xfId="2849" xr:uid="{00000000-0005-0000-0000-0000E9DB0000}"/>
    <cellStyle name="Notas 67" xfId="2850" xr:uid="{00000000-0005-0000-0000-0000EADB0000}"/>
    <cellStyle name="Notas 68" xfId="2851" xr:uid="{00000000-0005-0000-0000-0000EBDB0000}"/>
    <cellStyle name="Notas 69" xfId="2852" xr:uid="{00000000-0005-0000-0000-0000ECDB0000}"/>
    <cellStyle name="Notas 7" xfId="2853" xr:uid="{00000000-0005-0000-0000-0000EDDB0000}"/>
    <cellStyle name="Notas 70" xfId="2854" xr:uid="{00000000-0005-0000-0000-0000EEDB0000}"/>
    <cellStyle name="Notas 71" xfId="2855" xr:uid="{00000000-0005-0000-0000-0000EFDB0000}"/>
    <cellStyle name="Notas 72" xfId="2856" xr:uid="{00000000-0005-0000-0000-0000F0DB0000}"/>
    <cellStyle name="Notas 73" xfId="2857" xr:uid="{00000000-0005-0000-0000-0000F1DB0000}"/>
    <cellStyle name="Notas 74" xfId="2858" xr:uid="{00000000-0005-0000-0000-0000F2DB0000}"/>
    <cellStyle name="Notas 75" xfId="2859" xr:uid="{00000000-0005-0000-0000-0000F3DB0000}"/>
    <cellStyle name="Notas 76" xfId="2860" xr:uid="{00000000-0005-0000-0000-0000F4DB0000}"/>
    <cellStyle name="Notas 76 2" xfId="2861" xr:uid="{00000000-0005-0000-0000-0000F5DB0000}"/>
    <cellStyle name="Notas 77" xfId="2862" xr:uid="{00000000-0005-0000-0000-0000F6DB0000}"/>
    <cellStyle name="Notas 78" xfId="2863" xr:uid="{00000000-0005-0000-0000-0000F7DB0000}"/>
    <cellStyle name="Notas 8" xfId="2864" xr:uid="{00000000-0005-0000-0000-0000F8DB0000}"/>
    <cellStyle name="Notas 9" xfId="2865" xr:uid="{00000000-0005-0000-0000-0000F9DB0000}"/>
    <cellStyle name="Note" xfId="7449" xr:uid="{00000000-0005-0000-0000-0000FADB0000}"/>
    <cellStyle name="Output" xfId="7450" xr:uid="{00000000-0005-0000-0000-0000FBDB0000}"/>
    <cellStyle name="Percent" xfId="58377" xr:uid="{00000000-0005-0000-0000-0000FCDB0000}"/>
    <cellStyle name="Percent 2" xfId="157" xr:uid="{00000000-0005-0000-0000-0000FDDB0000}"/>
    <cellStyle name="Percent 2 2" xfId="158" xr:uid="{00000000-0005-0000-0000-0000FEDB0000}"/>
    <cellStyle name="Percent 3" xfId="159" xr:uid="{00000000-0005-0000-0000-0000FFDB0000}"/>
    <cellStyle name="Percent_3.- Metrado SAN ANDRES (Ricardo Villavicencio)_ Rev.02" xfId="160" xr:uid="{00000000-0005-0000-0000-000000DC0000}"/>
    <cellStyle name="Porcentaje 2" xfId="28" xr:uid="{00000000-0005-0000-0000-000002DC0000}"/>
    <cellStyle name="Porcentaje 2 10" xfId="7190" xr:uid="{00000000-0005-0000-0000-000003DC0000}"/>
    <cellStyle name="Porcentaje 2 10 2" xfId="7191" xr:uid="{00000000-0005-0000-0000-000004DC0000}"/>
    <cellStyle name="Porcentaje 2 10 2 2" xfId="10711" xr:uid="{00000000-0005-0000-0000-000005DC0000}"/>
    <cellStyle name="Porcentaje 2 10 2 2 2" xfId="17501" xr:uid="{00000000-0005-0000-0000-000006DC0000}"/>
    <cellStyle name="Porcentaje 2 10 2 2 2 2" xfId="31069" xr:uid="{00000000-0005-0000-0000-000007DC0000}"/>
    <cellStyle name="Porcentaje 2 10 2 2 2 2 2" xfId="58202" xr:uid="{00000000-0005-0000-0000-000008DC0000}"/>
    <cellStyle name="Porcentaje 2 10 2 2 2 3" xfId="44640" xr:uid="{00000000-0005-0000-0000-000009DC0000}"/>
    <cellStyle name="Porcentaje 2 10 2 2 3" xfId="24288" xr:uid="{00000000-0005-0000-0000-00000ADC0000}"/>
    <cellStyle name="Porcentaje 2 10 2 2 3 2" xfId="51421" xr:uid="{00000000-0005-0000-0000-00000BDC0000}"/>
    <cellStyle name="Porcentaje 2 10 2 2 4" xfId="37859" xr:uid="{00000000-0005-0000-0000-00000CDC0000}"/>
    <cellStyle name="Porcentaje 2 10 2 3" xfId="14112" xr:uid="{00000000-0005-0000-0000-00000DDC0000}"/>
    <cellStyle name="Porcentaje 2 10 2 3 2" xfId="27680" xr:uid="{00000000-0005-0000-0000-00000EDC0000}"/>
    <cellStyle name="Porcentaje 2 10 2 3 2 2" xfId="54813" xr:uid="{00000000-0005-0000-0000-00000FDC0000}"/>
    <cellStyle name="Porcentaje 2 10 2 3 3" xfId="41251" xr:uid="{00000000-0005-0000-0000-000010DC0000}"/>
    <cellStyle name="Porcentaje 2 10 2 4" xfId="20899" xr:uid="{00000000-0005-0000-0000-000011DC0000}"/>
    <cellStyle name="Porcentaje 2 10 2 4 2" xfId="48032" xr:uid="{00000000-0005-0000-0000-000012DC0000}"/>
    <cellStyle name="Porcentaje 2 10 2 5" xfId="34470" xr:uid="{00000000-0005-0000-0000-000013DC0000}"/>
    <cellStyle name="Porcentaje 2 10 3" xfId="7192" xr:uid="{00000000-0005-0000-0000-000014DC0000}"/>
    <cellStyle name="Porcentaje 2 10 3 2" xfId="10712" xr:uid="{00000000-0005-0000-0000-000015DC0000}"/>
    <cellStyle name="Porcentaje 2 10 3 2 2" xfId="17502" xr:uid="{00000000-0005-0000-0000-000016DC0000}"/>
    <cellStyle name="Porcentaje 2 10 3 2 2 2" xfId="31070" xr:uid="{00000000-0005-0000-0000-000017DC0000}"/>
    <cellStyle name="Porcentaje 2 10 3 2 2 2 2" xfId="58203" xr:uid="{00000000-0005-0000-0000-000018DC0000}"/>
    <cellStyle name="Porcentaje 2 10 3 2 2 3" xfId="44641" xr:uid="{00000000-0005-0000-0000-000019DC0000}"/>
    <cellStyle name="Porcentaje 2 10 3 2 3" xfId="24289" xr:uid="{00000000-0005-0000-0000-00001ADC0000}"/>
    <cellStyle name="Porcentaje 2 10 3 2 3 2" xfId="51422" xr:uid="{00000000-0005-0000-0000-00001BDC0000}"/>
    <cellStyle name="Porcentaje 2 10 3 2 4" xfId="37860" xr:uid="{00000000-0005-0000-0000-00001CDC0000}"/>
    <cellStyle name="Porcentaje 2 10 3 3" xfId="14113" xr:uid="{00000000-0005-0000-0000-00001DDC0000}"/>
    <cellStyle name="Porcentaje 2 10 3 3 2" xfId="27681" xr:uid="{00000000-0005-0000-0000-00001EDC0000}"/>
    <cellStyle name="Porcentaje 2 10 3 3 2 2" xfId="54814" xr:uid="{00000000-0005-0000-0000-00001FDC0000}"/>
    <cellStyle name="Porcentaje 2 10 3 3 3" xfId="41252" xr:uid="{00000000-0005-0000-0000-000020DC0000}"/>
    <cellStyle name="Porcentaje 2 10 3 4" xfId="20900" xr:uid="{00000000-0005-0000-0000-000021DC0000}"/>
    <cellStyle name="Porcentaje 2 10 3 4 2" xfId="48033" xr:uid="{00000000-0005-0000-0000-000022DC0000}"/>
    <cellStyle name="Porcentaje 2 10 3 5" xfId="34471" xr:uid="{00000000-0005-0000-0000-000023DC0000}"/>
    <cellStyle name="Porcentaje 2 10 4" xfId="10710" xr:uid="{00000000-0005-0000-0000-000024DC0000}"/>
    <cellStyle name="Porcentaje 2 10 4 2" xfId="17500" xr:uid="{00000000-0005-0000-0000-000025DC0000}"/>
    <cellStyle name="Porcentaje 2 10 4 2 2" xfId="31068" xr:uid="{00000000-0005-0000-0000-000026DC0000}"/>
    <cellStyle name="Porcentaje 2 10 4 2 2 2" xfId="58201" xr:uid="{00000000-0005-0000-0000-000027DC0000}"/>
    <cellStyle name="Porcentaje 2 10 4 2 3" xfId="44639" xr:uid="{00000000-0005-0000-0000-000028DC0000}"/>
    <cellStyle name="Porcentaje 2 10 4 3" xfId="24287" xr:uid="{00000000-0005-0000-0000-000029DC0000}"/>
    <cellStyle name="Porcentaje 2 10 4 3 2" xfId="51420" xr:uid="{00000000-0005-0000-0000-00002ADC0000}"/>
    <cellStyle name="Porcentaje 2 10 4 4" xfId="37858" xr:uid="{00000000-0005-0000-0000-00002BDC0000}"/>
    <cellStyle name="Porcentaje 2 10 5" xfId="14111" xr:uid="{00000000-0005-0000-0000-00002CDC0000}"/>
    <cellStyle name="Porcentaje 2 10 5 2" xfId="27679" xr:uid="{00000000-0005-0000-0000-00002DDC0000}"/>
    <cellStyle name="Porcentaje 2 10 5 2 2" xfId="54812" xr:uid="{00000000-0005-0000-0000-00002EDC0000}"/>
    <cellStyle name="Porcentaje 2 10 5 3" xfId="41250" xr:uid="{00000000-0005-0000-0000-00002FDC0000}"/>
    <cellStyle name="Porcentaje 2 10 6" xfId="20898" xr:uid="{00000000-0005-0000-0000-000030DC0000}"/>
    <cellStyle name="Porcentaje 2 10 6 2" xfId="48031" xr:uid="{00000000-0005-0000-0000-000031DC0000}"/>
    <cellStyle name="Porcentaje 2 10 7" xfId="34469" xr:uid="{00000000-0005-0000-0000-000032DC0000}"/>
    <cellStyle name="Porcentaje 2 11" xfId="7193" xr:uid="{00000000-0005-0000-0000-000033DC0000}"/>
    <cellStyle name="Porcentaje 2 11 2" xfId="10713" xr:uid="{00000000-0005-0000-0000-000034DC0000}"/>
    <cellStyle name="Porcentaje 2 11 2 2" xfId="17503" xr:uid="{00000000-0005-0000-0000-000035DC0000}"/>
    <cellStyle name="Porcentaje 2 11 2 2 2" xfId="31071" xr:uid="{00000000-0005-0000-0000-000036DC0000}"/>
    <cellStyle name="Porcentaje 2 11 2 2 2 2" xfId="58204" xr:uid="{00000000-0005-0000-0000-000037DC0000}"/>
    <cellStyle name="Porcentaje 2 11 2 2 3" xfId="44642" xr:uid="{00000000-0005-0000-0000-000038DC0000}"/>
    <cellStyle name="Porcentaje 2 11 2 3" xfId="24290" xr:uid="{00000000-0005-0000-0000-000039DC0000}"/>
    <cellStyle name="Porcentaje 2 11 2 3 2" xfId="51423" xr:uid="{00000000-0005-0000-0000-00003ADC0000}"/>
    <cellStyle name="Porcentaje 2 11 2 4" xfId="37861" xr:uid="{00000000-0005-0000-0000-00003BDC0000}"/>
    <cellStyle name="Porcentaje 2 11 3" xfId="14114" xr:uid="{00000000-0005-0000-0000-00003CDC0000}"/>
    <cellStyle name="Porcentaje 2 11 3 2" xfId="27682" xr:uid="{00000000-0005-0000-0000-00003DDC0000}"/>
    <cellStyle name="Porcentaje 2 11 3 2 2" xfId="54815" xr:uid="{00000000-0005-0000-0000-00003EDC0000}"/>
    <cellStyle name="Porcentaje 2 11 3 3" xfId="41253" xr:uid="{00000000-0005-0000-0000-00003FDC0000}"/>
    <cellStyle name="Porcentaje 2 11 4" xfId="20901" xr:uid="{00000000-0005-0000-0000-000040DC0000}"/>
    <cellStyle name="Porcentaje 2 11 4 2" xfId="48034" xr:uid="{00000000-0005-0000-0000-000041DC0000}"/>
    <cellStyle name="Porcentaje 2 11 5" xfId="34472" xr:uid="{00000000-0005-0000-0000-000042DC0000}"/>
    <cellStyle name="Porcentaje 2 2" xfId="161" xr:uid="{00000000-0005-0000-0000-000043DC0000}"/>
    <cellStyle name="Porcentaje 2 2 2" xfId="7194" xr:uid="{00000000-0005-0000-0000-000044DC0000}"/>
    <cellStyle name="Porcentaje 2 2 3" xfId="7195" xr:uid="{00000000-0005-0000-0000-000045DC0000}"/>
    <cellStyle name="Porcentaje 2 2 3 2" xfId="7196" xr:uid="{00000000-0005-0000-0000-000046DC0000}"/>
    <cellStyle name="Porcentaje 2 2 3 3" xfId="7197" xr:uid="{00000000-0005-0000-0000-000047DC0000}"/>
    <cellStyle name="Porcentaje 2 2 4" xfId="58352" xr:uid="{00000000-0005-0000-0000-000048DC0000}"/>
    <cellStyle name="Porcentaje 2 3" xfId="7198" xr:uid="{00000000-0005-0000-0000-000049DC0000}"/>
    <cellStyle name="Porcentaje 2 3 2" xfId="7199" xr:uid="{00000000-0005-0000-0000-00004ADC0000}"/>
    <cellStyle name="Porcentaje 2 3 3" xfId="7200" xr:uid="{00000000-0005-0000-0000-00004BDC0000}"/>
    <cellStyle name="Porcentaje 2 3 4" xfId="7201" xr:uid="{00000000-0005-0000-0000-00004CDC0000}"/>
    <cellStyle name="Porcentaje 2 3 4 2" xfId="7202" xr:uid="{00000000-0005-0000-0000-00004DDC0000}"/>
    <cellStyle name="Porcentaje 2 4" xfId="7203" xr:uid="{00000000-0005-0000-0000-00004EDC0000}"/>
    <cellStyle name="Porcentaje 2 5" xfId="7204" xr:uid="{00000000-0005-0000-0000-00004FDC0000}"/>
    <cellStyle name="Porcentaje 2 5 2" xfId="7205" xr:uid="{00000000-0005-0000-0000-000050DC0000}"/>
    <cellStyle name="Porcentaje 2 6" xfId="7206" xr:uid="{00000000-0005-0000-0000-000051DC0000}"/>
    <cellStyle name="Porcentaje 2 7" xfId="7207" xr:uid="{00000000-0005-0000-0000-000052DC0000}"/>
    <cellStyle name="Porcentaje 2 7 10" xfId="7208" xr:uid="{00000000-0005-0000-0000-000053DC0000}"/>
    <cellStyle name="Porcentaje 2 7 10 2" xfId="10715" xr:uid="{00000000-0005-0000-0000-000054DC0000}"/>
    <cellStyle name="Porcentaje 2 7 10 2 2" xfId="17505" xr:uid="{00000000-0005-0000-0000-000055DC0000}"/>
    <cellStyle name="Porcentaje 2 7 10 2 2 2" xfId="31073" xr:uid="{00000000-0005-0000-0000-000056DC0000}"/>
    <cellStyle name="Porcentaje 2 7 10 2 2 2 2" xfId="58206" xr:uid="{00000000-0005-0000-0000-000057DC0000}"/>
    <cellStyle name="Porcentaje 2 7 10 2 2 3" xfId="44644" xr:uid="{00000000-0005-0000-0000-000058DC0000}"/>
    <cellStyle name="Porcentaje 2 7 10 2 3" xfId="24292" xr:uid="{00000000-0005-0000-0000-000059DC0000}"/>
    <cellStyle name="Porcentaje 2 7 10 2 3 2" xfId="51425" xr:uid="{00000000-0005-0000-0000-00005ADC0000}"/>
    <cellStyle name="Porcentaje 2 7 10 2 4" xfId="37863" xr:uid="{00000000-0005-0000-0000-00005BDC0000}"/>
    <cellStyle name="Porcentaje 2 7 10 3" xfId="14116" xr:uid="{00000000-0005-0000-0000-00005CDC0000}"/>
    <cellStyle name="Porcentaje 2 7 10 3 2" xfId="27684" xr:uid="{00000000-0005-0000-0000-00005DDC0000}"/>
    <cellStyle name="Porcentaje 2 7 10 3 2 2" xfId="54817" xr:uid="{00000000-0005-0000-0000-00005EDC0000}"/>
    <cellStyle name="Porcentaje 2 7 10 3 3" xfId="41255" xr:uid="{00000000-0005-0000-0000-00005FDC0000}"/>
    <cellStyle name="Porcentaje 2 7 10 4" xfId="20903" xr:uid="{00000000-0005-0000-0000-000060DC0000}"/>
    <cellStyle name="Porcentaje 2 7 10 4 2" xfId="48036" xr:uid="{00000000-0005-0000-0000-000061DC0000}"/>
    <cellStyle name="Porcentaje 2 7 10 5" xfId="34474" xr:uid="{00000000-0005-0000-0000-000062DC0000}"/>
    <cellStyle name="Porcentaje 2 7 11" xfId="10714" xr:uid="{00000000-0005-0000-0000-000063DC0000}"/>
    <cellStyle name="Porcentaje 2 7 11 2" xfId="17504" xr:uid="{00000000-0005-0000-0000-000064DC0000}"/>
    <cellStyle name="Porcentaje 2 7 11 2 2" xfId="31072" xr:uid="{00000000-0005-0000-0000-000065DC0000}"/>
    <cellStyle name="Porcentaje 2 7 11 2 2 2" xfId="58205" xr:uid="{00000000-0005-0000-0000-000066DC0000}"/>
    <cellStyle name="Porcentaje 2 7 11 2 3" xfId="44643" xr:uid="{00000000-0005-0000-0000-000067DC0000}"/>
    <cellStyle name="Porcentaje 2 7 11 3" xfId="24291" xr:uid="{00000000-0005-0000-0000-000068DC0000}"/>
    <cellStyle name="Porcentaje 2 7 11 3 2" xfId="51424" xr:uid="{00000000-0005-0000-0000-000069DC0000}"/>
    <cellStyle name="Porcentaje 2 7 11 4" xfId="37862" xr:uid="{00000000-0005-0000-0000-00006ADC0000}"/>
    <cellStyle name="Porcentaje 2 7 12" xfId="14115" xr:uid="{00000000-0005-0000-0000-00006BDC0000}"/>
    <cellStyle name="Porcentaje 2 7 12 2" xfId="27683" xr:uid="{00000000-0005-0000-0000-00006CDC0000}"/>
    <cellStyle name="Porcentaje 2 7 12 2 2" xfId="54816" xr:uid="{00000000-0005-0000-0000-00006DDC0000}"/>
    <cellStyle name="Porcentaje 2 7 12 3" xfId="41254" xr:uid="{00000000-0005-0000-0000-00006EDC0000}"/>
    <cellStyle name="Porcentaje 2 7 13" xfId="20902" xr:uid="{00000000-0005-0000-0000-00006FDC0000}"/>
    <cellStyle name="Porcentaje 2 7 13 2" xfId="48035" xr:uid="{00000000-0005-0000-0000-000070DC0000}"/>
    <cellStyle name="Porcentaje 2 7 14" xfId="34473" xr:uid="{00000000-0005-0000-0000-000071DC0000}"/>
    <cellStyle name="Porcentaje 2 7 2" xfId="7209" xr:uid="{00000000-0005-0000-0000-000072DC0000}"/>
    <cellStyle name="Porcentaje 2 7 2 10" xfId="14117" xr:uid="{00000000-0005-0000-0000-000073DC0000}"/>
    <cellStyle name="Porcentaje 2 7 2 10 2" xfId="27685" xr:uid="{00000000-0005-0000-0000-000074DC0000}"/>
    <cellStyle name="Porcentaje 2 7 2 10 2 2" xfId="54818" xr:uid="{00000000-0005-0000-0000-000075DC0000}"/>
    <cellStyle name="Porcentaje 2 7 2 10 3" xfId="41256" xr:uid="{00000000-0005-0000-0000-000076DC0000}"/>
    <cellStyle name="Porcentaje 2 7 2 11" xfId="20904" xr:uid="{00000000-0005-0000-0000-000077DC0000}"/>
    <cellStyle name="Porcentaje 2 7 2 11 2" xfId="48037" xr:uid="{00000000-0005-0000-0000-000078DC0000}"/>
    <cellStyle name="Porcentaje 2 7 2 12" xfId="34475" xr:uid="{00000000-0005-0000-0000-000079DC0000}"/>
    <cellStyle name="Porcentaje 2 7 2 2" xfId="7210" xr:uid="{00000000-0005-0000-0000-00007ADC0000}"/>
    <cellStyle name="Porcentaje 2 7 2 2 10" xfId="34476" xr:uid="{00000000-0005-0000-0000-00007BDC0000}"/>
    <cellStyle name="Porcentaje 2 7 2 2 2" xfId="7211" xr:uid="{00000000-0005-0000-0000-00007CDC0000}"/>
    <cellStyle name="Porcentaje 2 7 2 2 2 2" xfId="7212" xr:uid="{00000000-0005-0000-0000-00007DDC0000}"/>
    <cellStyle name="Porcentaje 2 7 2 2 2 2 2" xfId="7213" xr:uid="{00000000-0005-0000-0000-00007EDC0000}"/>
    <cellStyle name="Porcentaje 2 7 2 2 2 2 2 2" xfId="10720" xr:uid="{00000000-0005-0000-0000-00007FDC0000}"/>
    <cellStyle name="Porcentaje 2 7 2 2 2 2 2 2 2" xfId="17510" xr:uid="{00000000-0005-0000-0000-000080DC0000}"/>
    <cellStyle name="Porcentaje 2 7 2 2 2 2 2 2 2 2" xfId="31078" xr:uid="{00000000-0005-0000-0000-000081DC0000}"/>
    <cellStyle name="Porcentaje 2 7 2 2 2 2 2 2 2 2 2" xfId="58211" xr:uid="{00000000-0005-0000-0000-000082DC0000}"/>
    <cellStyle name="Porcentaje 2 7 2 2 2 2 2 2 2 3" xfId="44649" xr:uid="{00000000-0005-0000-0000-000083DC0000}"/>
    <cellStyle name="Porcentaje 2 7 2 2 2 2 2 2 3" xfId="24297" xr:uid="{00000000-0005-0000-0000-000084DC0000}"/>
    <cellStyle name="Porcentaje 2 7 2 2 2 2 2 2 3 2" xfId="51430" xr:uid="{00000000-0005-0000-0000-000085DC0000}"/>
    <cellStyle name="Porcentaje 2 7 2 2 2 2 2 2 4" xfId="37868" xr:uid="{00000000-0005-0000-0000-000086DC0000}"/>
    <cellStyle name="Porcentaje 2 7 2 2 2 2 2 3" xfId="14121" xr:uid="{00000000-0005-0000-0000-000087DC0000}"/>
    <cellStyle name="Porcentaje 2 7 2 2 2 2 2 3 2" xfId="27689" xr:uid="{00000000-0005-0000-0000-000088DC0000}"/>
    <cellStyle name="Porcentaje 2 7 2 2 2 2 2 3 2 2" xfId="54822" xr:uid="{00000000-0005-0000-0000-000089DC0000}"/>
    <cellStyle name="Porcentaje 2 7 2 2 2 2 2 3 3" xfId="41260" xr:uid="{00000000-0005-0000-0000-00008ADC0000}"/>
    <cellStyle name="Porcentaje 2 7 2 2 2 2 2 4" xfId="20908" xr:uid="{00000000-0005-0000-0000-00008BDC0000}"/>
    <cellStyle name="Porcentaje 2 7 2 2 2 2 2 4 2" xfId="48041" xr:uid="{00000000-0005-0000-0000-00008CDC0000}"/>
    <cellStyle name="Porcentaje 2 7 2 2 2 2 2 5" xfId="34479" xr:uid="{00000000-0005-0000-0000-00008DDC0000}"/>
    <cellStyle name="Porcentaje 2 7 2 2 2 2 3" xfId="7214" xr:uid="{00000000-0005-0000-0000-00008EDC0000}"/>
    <cellStyle name="Porcentaje 2 7 2 2 2 2 3 2" xfId="10721" xr:uid="{00000000-0005-0000-0000-00008FDC0000}"/>
    <cellStyle name="Porcentaje 2 7 2 2 2 2 3 2 2" xfId="17511" xr:uid="{00000000-0005-0000-0000-000090DC0000}"/>
    <cellStyle name="Porcentaje 2 7 2 2 2 2 3 2 2 2" xfId="31079" xr:uid="{00000000-0005-0000-0000-000091DC0000}"/>
    <cellStyle name="Porcentaje 2 7 2 2 2 2 3 2 2 2 2" xfId="58212" xr:uid="{00000000-0005-0000-0000-000092DC0000}"/>
    <cellStyle name="Porcentaje 2 7 2 2 2 2 3 2 2 3" xfId="44650" xr:uid="{00000000-0005-0000-0000-000093DC0000}"/>
    <cellStyle name="Porcentaje 2 7 2 2 2 2 3 2 3" xfId="24298" xr:uid="{00000000-0005-0000-0000-000094DC0000}"/>
    <cellStyle name="Porcentaje 2 7 2 2 2 2 3 2 3 2" xfId="51431" xr:uid="{00000000-0005-0000-0000-000095DC0000}"/>
    <cellStyle name="Porcentaje 2 7 2 2 2 2 3 2 4" xfId="37869" xr:uid="{00000000-0005-0000-0000-000096DC0000}"/>
    <cellStyle name="Porcentaje 2 7 2 2 2 2 3 3" xfId="14122" xr:uid="{00000000-0005-0000-0000-000097DC0000}"/>
    <cellStyle name="Porcentaje 2 7 2 2 2 2 3 3 2" xfId="27690" xr:uid="{00000000-0005-0000-0000-000098DC0000}"/>
    <cellStyle name="Porcentaje 2 7 2 2 2 2 3 3 2 2" xfId="54823" xr:uid="{00000000-0005-0000-0000-000099DC0000}"/>
    <cellStyle name="Porcentaje 2 7 2 2 2 2 3 3 3" xfId="41261" xr:uid="{00000000-0005-0000-0000-00009ADC0000}"/>
    <cellStyle name="Porcentaje 2 7 2 2 2 2 3 4" xfId="20909" xr:uid="{00000000-0005-0000-0000-00009BDC0000}"/>
    <cellStyle name="Porcentaje 2 7 2 2 2 2 3 4 2" xfId="48042" xr:uid="{00000000-0005-0000-0000-00009CDC0000}"/>
    <cellStyle name="Porcentaje 2 7 2 2 2 2 3 5" xfId="34480" xr:uid="{00000000-0005-0000-0000-00009DDC0000}"/>
    <cellStyle name="Porcentaje 2 7 2 2 2 2 4" xfId="10719" xr:uid="{00000000-0005-0000-0000-00009EDC0000}"/>
    <cellStyle name="Porcentaje 2 7 2 2 2 2 4 2" xfId="17509" xr:uid="{00000000-0005-0000-0000-00009FDC0000}"/>
    <cellStyle name="Porcentaje 2 7 2 2 2 2 4 2 2" xfId="31077" xr:uid="{00000000-0005-0000-0000-0000A0DC0000}"/>
    <cellStyle name="Porcentaje 2 7 2 2 2 2 4 2 2 2" xfId="58210" xr:uid="{00000000-0005-0000-0000-0000A1DC0000}"/>
    <cellStyle name="Porcentaje 2 7 2 2 2 2 4 2 3" xfId="44648" xr:uid="{00000000-0005-0000-0000-0000A2DC0000}"/>
    <cellStyle name="Porcentaje 2 7 2 2 2 2 4 3" xfId="24296" xr:uid="{00000000-0005-0000-0000-0000A3DC0000}"/>
    <cellStyle name="Porcentaje 2 7 2 2 2 2 4 3 2" xfId="51429" xr:uid="{00000000-0005-0000-0000-0000A4DC0000}"/>
    <cellStyle name="Porcentaje 2 7 2 2 2 2 4 4" xfId="37867" xr:uid="{00000000-0005-0000-0000-0000A5DC0000}"/>
    <cellStyle name="Porcentaje 2 7 2 2 2 2 5" xfId="14120" xr:uid="{00000000-0005-0000-0000-0000A6DC0000}"/>
    <cellStyle name="Porcentaje 2 7 2 2 2 2 5 2" xfId="27688" xr:uid="{00000000-0005-0000-0000-0000A7DC0000}"/>
    <cellStyle name="Porcentaje 2 7 2 2 2 2 5 2 2" xfId="54821" xr:uid="{00000000-0005-0000-0000-0000A8DC0000}"/>
    <cellStyle name="Porcentaje 2 7 2 2 2 2 5 3" xfId="41259" xr:uid="{00000000-0005-0000-0000-0000A9DC0000}"/>
    <cellStyle name="Porcentaje 2 7 2 2 2 2 6" xfId="20907" xr:uid="{00000000-0005-0000-0000-0000AADC0000}"/>
    <cellStyle name="Porcentaje 2 7 2 2 2 2 6 2" xfId="48040" xr:uid="{00000000-0005-0000-0000-0000ABDC0000}"/>
    <cellStyle name="Porcentaje 2 7 2 2 2 2 7" xfId="34478" xr:uid="{00000000-0005-0000-0000-0000ACDC0000}"/>
    <cellStyle name="Porcentaje 2 7 2 2 2 3" xfId="7215" xr:uid="{00000000-0005-0000-0000-0000ADDC0000}"/>
    <cellStyle name="Porcentaje 2 7 2 2 2 3 2" xfId="7216" xr:uid="{00000000-0005-0000-0000-0000AEDC0000}"/>
    <cellStyle name="Porcentaje 2 7 2 2 2 3 2 2" xfId="10723" xr:uid="{00000000-0005-0000-0000-0000AFDC0000}"/>
    <cellStyle name="Porcentaje 2 7 2 2 2 3 2 2 2" xfId="17513" xr:uid="{00000000-0005-0000-0000-0000B0DC0000}"/>
    <cellStyle name="Porcentaje 2 7 2 2 2 3 2 2 2 2" xfId="31081" xr:uid="{00000000-0005-0000-0000-0000B1DC0000}"/>
    <cellStyle name="Porcentaje 2 7 2 2 2 3 2 2 2 2 2" xfId="58214" xr:uid="{00000000-0005-0000-0000-0000B2DC0000}"/>
    <cellStyle name="Porcentaje 2 7 2 2 2 3 2 2 2 3" xfId="44652" xr:uid="{00000000-0005-0000-0000-0000B3DC0000}"/>
    <cellStyle name="Porcentaje 2 7 2 2 2 3 2 2 3" xfId="24300" xr:uid="{00000000-0005-0000-0000-0000B4DC0000}"/>
    <cellStyle name="Porcentaje 2 7 2 2 2 3 2 2 3 2" xfId="51433" xr:uid="{00000000-0005-0000-0000-0000B5DC0000}"/>
    <cellStyle name="Porcentaje 2 7 2 2 2 3 2 2 4" xfId="37871" xr:uid="{00000000-0005-0000-0000-0000B6DC0000}"/>
    <cellStyle name="Porcentaje 2 7 2 2 2 3 2 3" xfId="14124" xr:uid="{00000000-0005-0000-0000-0000B7DC0000}"/>
    <cellStyle name="Porcentaje 2 7 2 2 2 3 2 3 2" xfId="27692" xr:uid="{00000000-0005-0000-0000-0000B8DC0000}"/>
    <cellStyle name="Porcentaje 2 7 2 2 2 3 2 3 2 2" xfId="54825" xr:uid="{00000000-0005-0000-0000-0000B9DC0000}"/>
    <cellStyle name="Porcentaje 2 7 2 2 2 3 2 3 3" xfId="41263" xr:uid="{00000000-0005-0000-0000-0000BADC0000}"/>
    <cellStyle name="Porcentaje 2 7 2 2 2 3 2 4" xfId="20911" xr:uid="{00000000-0005-0000-0000-0000BBDC0000}"/>
    <cellStyle name="Porcentaje 2 7 2 2 2 3 2 4 2" xfId="48044" xr:uid="{00000000-0005-0000-0000-0000BCDC0000}"/>
    <cellStyle name="Porcentaje 2 7 2 2 2 3 2 5" xfId="34482" xr:uid="{00000000-0005-0000-0000-0000BDDC0000}"/>
    <cellStyle name="Porcentaje 2 7 2 2 2 3 3" xfId="10722" xr:uid="{00000000-0005-0000-0000-0000BEDC0000}"/>
    <cellStyle name="Porcentaje 2 7 2 2 2 3 3 2" xfId="17512" xr:uid="{00000000-0005-0000-0000-0000BFDC0000}"/>
    <cellStyle name="Porcentaje 2 7 2 2 2 3 3 2 2" xfId="31080" xr:uid="{00000000-0005-0000-0000-0000C0DC0000}"/>
    <cellStyle name="Porcentaje 2 7 2 2 2 3 3 2 2 2" xfId="58213" xr:uid="{00000000-0005-0000-0000-0000C1DC0000}"/>
    <cellStyle name="Porcentaje 2 7 2 2 2 3 3 2 3" xfId="44651" xr:uid="{00000000-0005-0000-0000-0000C2DC0000}"/>
    <cellStyle name="Porcentaje 2 7 2 2 2 3 3 3" xfId="24299" xr:uid="{00000000-0005-0000-0000-0000C3DC0000}"/>
    <cellStyle name="Porcentaje 2 7 2 2 2 3 3 3 2" xfId="51432" xr:uid="{00000000-0005-0000-0000-0000C4DC0000}"/>
    <cellStyle name="Porcentaje 2 7 2 2 2 3 3 4" xfId="37870" xr:uid="{00000000-0005-0000-0000-0000C5DC0000}"/>
    <cellStyle name="Porcentaje 2 7 2 2 2 3 4" xfId="14123" xr:uid="{00000000-0005-0000-0000-0000C6DC0000}"/>
    <cellStyle name="Porcentaje 2 7 2 2 2 3 4 2" xfId="27691" xr:uid="{00000000-0005-0000-0000-0000C7DC0000}"/>
    <cellStyle name="Porcentaje 2 7 2 2 2 3 4 2 2" xfId="54824" xr:uid="{00000000-0005-0000-0000-0000C8DC0000}"/>
    <cellStyle name="Porcentaje 2 7 2 2 2 3 4 3" xfId="41262" xr:uid="{00000000-0005-0000-0000-0000C9DC0000}"/>
    <cellStyle name="Porcentaje 2 7 2 2 2 3 5" xfId="20910" xr:uid="{00000000-0005-0000-0000-0000CADC0000}"/>
    <cellStyle name="Porcentaje 2 7 2 2 2 3 5 2" xfId="48043" xr:uid="{00000000-0005-0000-0000-0000CBDC0000}"/>
    <cellStyle name="Porcentaje 2 7 2 2 2 3 6" xfId="34481" xr:uid="{00000000-0005-0000-0000-0000CCDC0000}"/>
    <cellStyle name="Porcentaje 2 7 2 2 2 4" xfId="7217" xr:uid="{00000000-0005-0000-0000-0000CDDC0000}"/>
    <cellStyle name="Porcentaje 2 7 2 2 2 4 2" xfId="10724" xr:uid="{00000000-0005-0000-0000-0000CEDC0000}"/>
    <cellStyle name="Porcentaje 2 7 2 2 2 4 2 2" xfId="17514" xr:uid="{00000000-0005-0000-0000-0000CFDC0000}"/>
    <cellStyle name="Porcentaje 2 7 2 2 2 4 2 2 2" xfId="31082" xr:uid="{00000000-0005-0000-0000-0000D0DC0000}"/>
    <cellStyle name="Porcentaje 2 7 2 2 2 4 2 2 2 2" xfId="58215" xr:uid="{00000000-0005-0000-0000-0000D1DC0000}"/>
    <cellStyle name="Porcentaje 2 7 2 2 2 4 2 2 3" xfId="44653" xr:uid="{00000000-0005-0000-0000-0000D2DC0000}"/>
    <cellStyle name="Porcentaje 2 7 2 2 2 4 2 3" xfId="24301" xr:uid="{00000000-0005-0000-0000-0000D3DC0000}"/>
    <cellStyle name="Porcentaje 2 7 2 2 2 4 2 3 2" xfId="51434" xr:uid="{00000000-0005-0000-0000-0000D4DC0000}"/>
    <cellStyle name="Porcentaje 2 7 2 2 2 4 2 4" xfId="37872" xr:uid="{00000000-0005-0000-0000-0000D5DC0000}"/>
    <cellStyle name="Porcentaje 2 7 2 2 2 4 3" xfId="14125" xr:uid="{00000000-0005-0000-0000-0000D6DC0000}"/>
    <cellStyle name="Porcentaje 2 7 2 2 2 4 3 2" xfId="27693" xr:uid="{00000000-0005-0000-0000-0000D7DC0000}"/>
    <cellStyle name="Porcentaje 2 7 2 2 2 4 3 2 2" xfId="54826" xr:uid="{00000000-0005-0000-0000-0000D8DC0000}"/>
    <cellStyle name="Porcentaje 2 7 2 2 2 4 3 3" xfId="41264" xr:uid="{00000000-0005-0000-0000-0000D9DC0000}"/>
    <cellStyle name="Porcentaje 2 7 2 2 2 4 4" xfId="20912" xr:uid="{00000000-0005-0000-0000-0000DADC0000}"/>
    <cellStyle name="Porcentaje 2 7 2 2 2 4 4 2" xfId="48045" xr:uid="{00000000-0005-0000-0000-0000DBDC0000}"/>
    <cellStyle name="Porcentaje 2 7 2 2 2 4 5" xfId="34483" xr:uid="{00000000-0005-0000-0000-0000DCDC0000}"/>
    <cellStyle name="Porcentaje 2 7 2 2 2 5" xfId="7218" xr:uid="{00000000-0005-0000-0000-0000DDDC0000}"/>
    <cellStyle name="Porcentaje 2 7 2 2 2 5 2" xfId="10725" xr:uid="{00000000-0005-0000-0000-0000DEDC0000}"/>
    <cellStyle name="Porcentaje 2 7 2 2 2 5 2 2" xfId="17515" xr:uid="{00000000-0005-0000-0000-0000DFDC0000}"/>
    <cellStyle name="Porcentaje 2 7 2 2 2 5 2 2 2" xfId="31083" xr:uid="{00000000-0005-0000-0000-0000E0DC0000}"/>
    <cellStyle name="Porcentaje 2 7 2 2 2 5 2 2 2 2" xfId="58216" xr:uid="{00000000-0005-0000-0000-0000E1DC0000}"/>
    <cellStyle name="Porcentaje 2 7 2 2 2 5 2 2 3" xfId="44654" xr:uid="{00000000-0005-0000-0000-0000E2DC0000}"/>
    <cellStyle name="Porcentaje 2 7 2 2 2 5 2 3" xfId="24302" xr:uid="{00000000-0005-0000-0000-0000E3DC0000}"/>
    <cellStyle name="Porcentaje 2 7 2 2 2 5 2 3 2" xfId="51435" xr:uid="{00000000-0005-0000-0000-0000E4DC0000}"/>
    <cellStyle name="Porcentaje 2 7 2 2 2 5 2 4" xfId="37873" xr:uid="{00000000-0005-0000-0000-0000E5DC0000}"/>
    <cellStyle name="Porcentaje 2 7 2 2 2 5 3" xfId="14126" xr:uid="{00000000-0005-0000-0000-0000E6DC0000}"/>
    <cellStyle name="Porcentaje 2 7 2 2 2 5 3 2" xfId="27694" xr:uid="{00000000-0005-0000-0000-0000E7DC0000}"/>
    <cellStyle name="Porcentaje 2 7 2 2 2 5 3 2 2" xfId="54827" xr:uid="{00000000-0005-0000-0000-0000E8DC0000}"/>
    <cellStyle name="Porcentaje 2 7 2 2 2 5 3 3" xfId="41265" xr:uid="{00000000-0005-0000-0000-0000E9DC0000}"/>
    <cellStyle name="Porcentaje 2 7 2 2 2 5 4" xfId="20913" xr:uid="{00000000-0005-0000-0000-0000EADC0000}"/>
    <cellStyle name="Porcentaje 2 7 2 2 2 5 4 2" xfId="48046" xr:uid="{00000000-0005-0000-0000-0000EBDC0000}"/>
    <cellStyle name="Porcentaje 2 7 2 2 2 5 5" xfId="34484" xr:uid="{00000000-0005-0000-0000-0000ECDC0000}"/>
    <cellStyle name="Porcentaje 2 7 2 2 2 6" xfId="10718" xr:uid="{00000000-0005-0000-0000-0000EDDC0000}"/>
    <cellStyle name="Porcentaje 2 7 2 2 2 6 2" xfId="17508" xr:uid="{00000000-0005-0000-0000-0000EEDC0000}"/>
    <cellStyle name="Porcentaje 2 7 2 2 2 6 2 2" xfId="31076" xr:uid="{00000000-0005-0000-0000-0000EFDC0000}"/>
    <cellStyle name="Porcentaje 2 7 2 2 2 6 2 2 2" xfId="58209" xr:uid="{00000000-0005-0000-0000-0000F0DC0000}"/>
    <cellStyle name="Porcentaje 2 7 2 2 2 6 2 3" xfId="44647" xr:uid="{00000000-0005-0000-0000-0000F1DC0000}"/>
    <cellStyle name="Porcentaje 2 7 2 2 2 6 3" xfId="24295" xr:uid="{00000000-0005-0000-0000-0000F2DC0000}"/>
    <cellStyle name="Porcentaje 2 7 2 2 2 6 3 2" xfId="51428" xr:uid="{00000000-0005-0000-0000-0000F3DC0000}"/>
    <cellStyle name="Porcentaje 2 7 2 2 2 6 4" xfId="37866" xr:uid="{00000000-0005-0000-0000-0000F4DC0000}"/>
    <cellStyle name="Porcentaje 2 7 2 2 2 7" xfId="14119" xr:uid="{00000000-0005-0000-0000-0000F5DC0000}"/>
    <cellStyle name="Porcentaje 2 7 2 2 2 7 2" xfId="27687" xr:uid="{00000000-0005-0000-0000-0000F6DC0000}"/>
    <cellStyle name="Porcentaje 2 7 2 2 2 7 2 2" xfId="54820" xr:uid="{00000000-0005-0000-0000-0000F7DC0000}"/>
    <cellStyle name="Porcentaje 2 7 2 2 2 7 3" xfId="41258" xr:uid="{00000000-0005-0000-0000-0000F8DC0000}"/>
    <cellStyle name="Porcentaje 2 7 2 2 2 8" xfId="20906" xr:uid="{00000000-0005-0000-0000-0000F9DC0000}"/>
    <cellStyle name="Porcentaje 2 7 2 2 2 8 2" xfId="48039" xr:uid="{00000000-0005-0000-0000-0000FADC0000}"/>
    <cellStyle name="Porcentaje 2 7 2 2 2 9" xfId="34477" xr:uid="{00000000-0005-0000-0000-0000FBDC0000}"/>
    <cellStyle name="Porcentaje 2 7 2 2 3" xfId="7219" xr:uid="{00000000-0005-0000-0000-0000FCDC0000}"/>
    <cellStyle name="Porcentaje 2 7 2 2 3 2" xfId="7220" xr:uid="{00000000-0005-0000-0000-0000FDDC0000}"/>
    <cellStyle name="Porcentaje 2 7 2 2 3 2 2" xfId="10727" xr:uid="{00000000-0005-0000-0000-0000FEDC0000}"/>
    <cellStyle name="Porcentaje 2 7 2 2 3 2 2 2" xfId="17517" xr:uid="{00000000-0005-0000-0000-0000FFDC0000}"/>
    <cellStyle name="Porcentaje 2 7 2 2 3 2 2 2 2" xfId="31085" xr:uid="{00000000-0005-0000-0000-000000DD0000}"/>
    <cellStyle name="Porcentaje 2 7 2 2 3 2 2 2 2 2" xfId="58218" xr:uid="{00000000-0005-0000-0000-000001DD0000}"/>
    <cellStyle name="Porcentaje 2 7 2 2 3 2 2 2 3" xfId="44656" xr:uid="{00000000-0005-0000-0000-000002DD0000}"/>
    <cellStyle name="Porcentaje 2 7 2 2 3 2 2 3" xfId="24304" xr:uid="{00000000-0005-0000-0000-000003DD0000}"/>
    <cellStyle name="Porcentaje 2 7 2 2 3 2 2 3 2" xfId="51437" xr:uid="{00000000-0005-0000-0000-000004DD0000}"/>
    <cellStyle name="Porcentaje 2 7 2 2 3 2 2 4" xfId="37875" xr:uid="{00000000-0005-0000-0000-000005DD0000}"/>
    <cellStyle name="Porcentaje 2 7 2 2 3 2 3" xfId="14128" xr:uid="{00000000-0005-0000-0000-000006DD0000}"/>
    <cellStyle name="Porcentaje 2 7 2 2 3 2 3 2" xfId="27696" xr:uid="{00000000-0005-0000-0000-000007DD0000}"/>
    <cellStyle name="Porcentaje 2 7 2 2 3 2 3 2 2" xfId="54829" xr:uid="{00000000-0005-0000-0000-000008DD0000}"/>
    <cellStyle name="Porcentaje 2 7 2 2 3 2 3 3" xfId="41267" xr:uid="{00000000-0005-0000-0000-000009DD0000}"/>
    <cellStyle name="Porcentaje 2 7 2 2 3 2 4" xfId="20915" xr:uid="{00000000-0005-0000-0000-00000ADD0000}"/>
    <cellStyle name="Porcentaje 2 7 2 2 3 2 4 2" xfId="48048" xr:uid="{00000000-0005-0000-0000-00000BDD0000}"/>
    <cellStyle name="Porcentaje 2 7 2 2 3 2 5" xfId="34486" xr:uid="{00000000-0005-0000-0000-00000CDD0000}"/>
    <cellStyle name="Porcentaje 2 7 2 2 3 3" xfId="7221" xr:uid="{00000000-0005-0000-0000-00000DDD0000}"/>
    <cellStyle name="Porcentaje 2 7 2 2 3 3 2" xfId="10728" xr:uid="{00000000-0005-0000-0000-00000EDD0000}"/>
    <cellStyle name="Porcentaje 2 7 2 2 3 3 2 2" xfId="17518" xr:uid="{00000000-0005-0000-0000-00000FDD0000}"/>
    <cellStyle name="Porcentaje 2 7 2 2 3 3 2 2 2" xfId="31086" xr:uid="{00000000-0005-0000-0000-000010DD0000}"/>
    <cellStyle name="Porcentaje 2 7 2 2 3 3 2 2 2 2" xfId="58219" xr:uid="{00000000-0005-0000-0000-000011DD0000}"/>
    <cellStyle name="Porcentaje 2 7 2 2 3 3 2 2 3" xfId="44657" xr:uid="{00000000-0005-0000-0000-000012DD0000}"/>
    <cellStyle name="Porcentaje 2 7 2 2 3 3 2 3" xfId="24305" xr:uid="{00000000-0005-0000-0000-000013DD0000}"/>
    <cellStyle name="Porcentaje 2 7 2 2 3 3 2 3 2" xfId="51438" xr:uid="{00000000-0005-0000-0000-000014DD0000}"/>
    <cellStyle name="Porcentaje 2 7 2 2 3 3 2 4" xfId="37876" xr:uid="{00000000-0005-0000-0000-000015DD0000}"/>
    <cellStyle name="Porcentaje 2 7 2 2 3 3 3" xfId="14129" xr:uid="{00000000-0005-0000-0000-000016DD0000}"/>
    <cellStyle name="Porcentaje 2 7 2 2 3 3 3 2" xfId="27697" xr:uid="{00000000-0005-0000-0000-000017DD0000}"/>
    <cellStyle name="Porcentaje 2 7 2 2 3 3 3 2 2" xfId="54830" xr:uid="{00000000-0005-0000-0000-000018DD0000}"/>
    <cellStyle name="Porcentaje 2 7 2 2 3 3 3 3" xfId="41268" xr:uid="{00000000-0005-0000-0000-000019DD0000}"/>
    <cellStyle name="Porcentaje 2 7 2 2 3 3 4" xfId="20916" xr:uid="{00000000-0005-0000-0000-00001ADD0000}"/>
    <cellStyle name="Porcentaje 2 7 2 2 3 3 4 2" xfId="48049" xr:uid="{00000000-0005-0000-0000-00001BDD0000}"/>
    <cellStyle name="Porcentaje 2 7 2 2 3 3 5" xfId="34487" xr:uid="{00000000-0005-0000-0000-00001CDD0000}"/>
    <cellStyle name="Porcentaje 2 7 2 2 3 4" xfId="10726" xr:uid="{00000000-0005-0000-0000-00001DDD0000}"/>
    <cellStyle name="Porcentaje 2 7 2 2 3 4 2" xfId="17516" xr:uid="{00000000-0005-0000-0000-00001EDD0000}"/>
    <cellStyle name="Porcentaje 2 7 2 2 3 4 2 2" xfId="31084" xr:uid="{00000000-0005-0000-0000-00001FDD0000}"/>
    <cellStyle name="Porcentaje 2 7 2 2 3 4 2 2 2" xfId="58217" xr:uid="{00000000-0005-0000-0000-000020DD0000}"/>
    <cellStyle name="Porcentaje 2 7 2 2 3 4 2 3" xfId="44655" xr:uid="{00000000-0005-0000-0000-000021DD0000}"/>
    <cellStyle name="Porcentaje 2 7 2 2 3 4 3" xfId="24303" xr:uid="{00000000-0005-0000-0000-000022DD0000}"/>
    <cellStyle name="Porcentaje 2 7 2 2 3 4 3 2" xfId="51436" xr:uid="{00000000-0005-0000-0000-000023DD0000}"/>
    <cellStyle name="Porcentaje 2 7 2 2 3 4 4" xfId="37874" xr:uid="{00000000-0005-0000-0000-000024DD0000}"/>
    <cellStyle name="Porcentaje 2 7 2 2 3 5" xfId="14127" xr:uid="{00000000-0005-0000-0000-000025DD0000}"/>
    <cellStyle name="Porcentaje 2 7 2 2 3 5 2" xfId="27695" xr:uid="{00000000-0005-0000-0000-000026DD0000}"/>
    <cellStyle name="Porcentaje 2 7 2 2 3 5 2 2" xfId="54828" xr:uid="{00000000-0005-0000-0000-000027DD0000}"/>
    <cellStyle name="Porcentaje 2 7 2 2 3 5 3" xfId="41266" xr:uid="{00000000-0005-0000-0000-000028DD0000}"/>
    <cellStyle name="Porcentaje 2 7 2 2 3 6" xfId="20914" xr:uid="{00000000-0005-0000-0000-000029DD0000}"/>
    <cellStyle name="Porcentaje 2 7 2 2 3 6 2" xfId="48047" xr:uid="{00000000-0005-0000-0000-00002ADD0000}"/>
    <cellStyle name="Porcentaje 2 7 2 2 3 7" xfId="34485" xr:uid="{00000000-0005-0000-0000-00002BDD0000}"/>
    <cellStyle name="Porcentaje 2 7 2 2 4" xfId="7222" xr:uid="{00000000-0005-0000-0000-00002CDD0000}"/>
    <cellStyle name="Porcentaje 2 7 2 2 4 2" xfId="7223" xr:uid="{00000000-0005-0000-0000-00002DDD0000}"/>
    <cellStyle name="Porcentaje 2 7 2 2 4 2 2" xfId="10730" xr:uid="{00000000-0005-0000-0000-00002EDD0000}"/>
    <cellStyle name="Porcentaje 2 7 2 2 4 2 2 2" xfId="17520" xr:uid="{00000000-0005-0000-0000-00002FDD0000}"/>
    <cellStyle name="Porcentaje 2 7 2 2 4 2 2 2 2" xfId="31088" xr:uid="{00000000-0005-0000-0000-000030DD0000}"/>
    <cellStyle name="Porcentaje 2 7 2 2 4 2 2 2 2 2" xfId="58221" xr:uid="{00000000-0005-0000-0000-000031DD0000}"/>
    <cellStyle name="Porcentaje 2 7 2 2 4 2 2 2 3" xfId="44659" xr:uid="{00000000-0005-0000-0000-000032DD0000}"/>
    <cellStyle name="Porcentaje 2 7 2 2 4 2 2 3" xfId="24307" xr:uid="{00000000-0005-0000-0000-000033DD0000}"/>
    <cellStyle name="Porcentaje 2 7 2 2 4 2 2 3 2" xfId="51440" xr:uid="{00000000-0005-0000-0000-000034DD0000}"/>
    <cellStyle name="Porcentaje 2 7 2 2 4 2 2 4" xfId="37878" xr:uid="{00000000-0005-0000-0000-000035DD0000}"/>
    <cellStyle name="Porcentaje 2 7 2 2 4 2 3" xfId="14131" xr:uid="{00000000-0005-0000-0000-000036DD0000}"/>
    <cellStyle name="Porcentaje 2 7 2 2 4 2 3 2" xfId="27699" xr:uid="{00000000-0005-0000-0000-000037DD0000}"/>
    <cellStyle name="Porcentaje 2 7 2 2 4 2 3 2 2" xfId="54832" xr:uid="{00000000-0005-0000-0000-000038DD0000}"/>
    <cellStyle name="Porcentaje 2 7 2 2 4 2 3 3" xfId="41270" xr:uid="{00000000-0005-0000-0000-000039DD0000}"/>
    <cellStyle name="Porcentaje 2 7 2 2 4 2 4" xfId="20918" xr:uid="{00000000-0005-0000-0000-00003ADD0000}"/>
    <cellStyle name="Porcentaje 2 7 2 2 4 2 4 2" xfId="48051" xr:uid="{00000000-0005-0000-0000-00003BDD0000}"/>
    <cellStyle name="Porcentaje 2 7 2 2 4 2 5" xfId="34489" xr:uid="{00000000-0005-0000-0000-00003CDD0000}"/>
    <cellStyle name="Porcentaje 2 7 2 2 4 3" xfId="10729" xr:uid="{00000000-0005-0000-0000-00003DDD0000}"/>
    <cellStyle name="Porcentaje 2 7 2 2 4 3 2" xfId="17519" xr:uid="{00000000-0005-0000-0000-00003EDD0000}"/>
    <cellStyle name="Porcentaje 2 7 2 2 4 3 2 2" xfId="31087" xr:uid="{00000000-0005-0000-0000-00003FDD0000}"/>
    <cellStyle name="Porcentaje 2 7 2 2 4 3 2 2 2" xfId="58220" xr:uid="{00000000-0005-0000-0000-000040DD0000}"/>
    <cellStyle name="Porcentaje 2 7 2 2 4 3 2 3" xfId="44658" xr:uid="{00000000-0005-0000-0000-000041DD0000}"/>
    <cellStyle name="Porcentaje 2 7 2 2 4 3 3" xfId="24306" xr:uid="{00000000-0005-0000-0000-000042DD0000}"/>
    <cellStyle name="Porcentaje 2 7 2 2 4 3 3 2" xfId="51439" xr:uid="{00000000-0005-0000-0000-000043DD0000}"/>
    <cellStyle name="Porcentaje 2 7 2 2 4 3 4" xfId="37877" xr:uid="{00000000-0005-0000-0000-000044DD0000}"/>
    <cellStyle name="Porcentaje 2 7 2 2 4 4" xfId="14130" xr:uid="{00000000-0005-0000-0000-000045DD0000}"/>
    <cellStyle name="Porcentaje 2 7 2 2 4 4 2" xfId="27698" xr:uid="{00000000-0005-0000-0000-000046DD0000}"/>
    <cellStyle name="Porcentaje 2 7 2 2 4 4 2 2" xfId="54831" xr:uid="{00000000-0005-0000-0000-000047DD0000}"/>
    <cellStyle name="Porcentaje 2 7 2 2 4 4 3" xfId="41269" xr:uid="{00000000-0005-0000-0000-000048DD0000}"/>
    <cellStyle name="Porcentaje 2 7 2 2 4 5" xfId="20917" xr:uid="{00000000-0005-0000-0000-000049DD0000}"/>
    <cellStyle name="Porcentaje 2 7 2 2 4 5 2" xfId="48050" xr:uid="{00000000-0005-0000-0000-00004ADD0000}"/>
    <cellStyle name="Porcentaje 2 7 2 2 4 6" xfId="34488" xr:uid="{00000000-0005-0000-0000-00004BDD0000}"/>
    <cellStyle name="Porcentaje 2 7 2 2 5" xfId="7224" xr:uid="{00000000-0005-0000-0000-00004CDD0000}"/>
    <cellStyle name="Porcentaje 2 7 2 2 5 2" xfId="10731" xr:uid="{00000000-0005-0000-0000-00004DDD0000}"/>
    <cellStyle name="Porcentaje 2 7 2 2 5 2 2" xfId="17521" xr:uid="{00000000-0005-0000-0000-00004EDD0000}"/>
    <cellStyle name="Porcentaje 2 7 2 2 5 2 2 2" xfId="31089" xr:uid="{00000000-0005-0000-0000-00004FDD0000}"/>
    <cellStyle name="Porcentaje 2 7 2 2 5 2 2 2 2" xfId="58222" xr:uid="{00000000-0005-0000-0000-000050DD0000}"/>
    <cellStyle name="Porcentaje 2 7 2 2 5 2 2 3" xfId="44660" xr:uid="{00000000-0005-0000-0000-000051DD0000}"/>
    <cellStyle name="Porcentaje 2 7 2 2 5 2 3" xfId="24308" xr:uid="{00000000-0005-0000-0000-000052DD0000}"/>
    <cellStyle name="Porcentaje 2 7 2 2 5 2 3 2" xfId="51441" xr:uid="{00000000-0005-0000-0000-000053DD0000}"/>
    <cellStyle name="Porcentaje 2 7 2 2 5 2 4" xfId="37879" xr:uid="{00000000-0005-0000-0000-000054DD0000}"/>
    <cellStyle name="Porcentaje 2 7 2 2 5 3" xfId="14132" xr:uid="{00000000-0005-0000-0000-000055DD0000}"/>
    <cellStyle name="Porcentaje 2 7 2 2 5 3 2" xfId="27700" xr:uid="{00000000-0005-0000-0000-000056DD0000}"/>
    <cellStyle name="Porcentaje 2 7 2 2 5 3 2 2" xfId="54833" xr:uid="{00000000-0005-0000-0000-000057DD0000}"/>
    <cellStyle name="Porcentaje 2 7 2 2 5 3 3" xfId="41271" xr:uid="{00000000-0005-0000-0000-000058DD0000}"/>
    <cellStyle name="Porcentaje 2 7 2 2 5 4" xfId="20919" xr:uid="{00000000-0005-0000-0000-000059DD0000}"/>
    <cellStyle name="Porcentaje 2 7 2 2 5 4 2" xfId="48052" xr:uid="{00000000-0005-0000-0000-00005ADD0000}"/>
    <cellStyle name="Porcentaje 2 7 2 2 5 5" xfId="34490" xr:uid="{00000000-0005-0000-0000-00005BDD0000}"/>
    <cellStyle name="Porcentaje 2 7 2 2 6" xfId="7225" xr:uid="{00000000-0005-0000-0000-00005CDD0000}"/>
    <cellStyle name="Porcentaje 2 7 2 2 6 2" xfId="10732" xr:uid="{00000000-0005-0000-0000-00005DDD0000}"/>
    <cellStyle name="Porcentaje 2 7 2 2 6 2 2" xfId="17522" xr:uid="{00000000-0005-0000-0000-00005EDD0000}"/>
    <cellStyle name="Porcentaje 2 7 2 2 6 2 2 2" xfId="31090" xr:uid="{00000000-0005-0000-0000-00005FDD0000}"/>
    <cellStyle name="Porcentaje 2 7 2 2 6 2 2 2 2" xfId="58223" xr:uid="{00000000-0005-0000-0000-000060DD0000}"/>
    <cellStyle name="Porcentaje 2 7 2 2 6 2 2 3" xfId="44661" xr:uid="{00000000-0005-0000-0000-000061DD0000}"/>
    <cellStyle name="Porcentaje 2 7 2 2 6 2 3" xfId="24309" xr:uid="{00000000-0005-0000-0000-000062DD0000}"/>
    <cellStyle name="Porcentaje 2 7 2 2 6 2 3 2" xfId="51442" xr:uid="{00000000-0005-0000-0000-000063DD0000}"/>
    <cellStyle name="Porcentaje 2 7 2 2 6 2 4" xfId="37880" xr:uid="{00000000-0005-0000-0000-000064DD0000}"/>
    <cellStyle name="Porcentaje 2 7 2 2 6 3" xfId="14133" xr:uid="{00000000-0005-0000-0000-000065DD0000}"/>
    <cellStyle name="Porcentaje 2 7 2 2 6 3 2" xfId="27701" xr:uid="{00000000-0005-0000-0000-000066DD0000}"/>
    <cellStyle name="Porcentaje 2 7 2 2 6 3 2 2" xfId="54834" xr:uid="{00000000-0005-0000-0000-000067DD0000}"/>
    <cellStyle name="Porcentaje 2 7 2 2 6 3 3" xfId="41272" xr:uid="{00000000-0005-0000-0000-000068DD0000}"/>
    <cellStyle name="Porcentaje 2 7 2 2 6 4" xfId="20920" xr:uid="{00000000-0005-0000-0000-000069DD0000}"/>
    <cellStyle name="Porcentaje 2 7 2 2 6 4 2" xfId="48053" xr:uid="{00000000-0005-0000-0000-00006ADD0000}"/>
    <cellStyle name="Porcentaje 2 7 2 2 6 5" xfId="34491" xr:uid="{00000000-0005-0000-0000-00006BDD0000}"/>
    <cellStyle name="Porcentaje 2 7 2 2 7" xfId="10717" xr:uid="{00000000-0005-0000-0000-00006CDD0000}"/>
    <cellStyle name="Porcentaje 2 7 2 2 7 2" xfId="17507" xr:uid="{00000000-0005-0000-0000-00006DDD0000}"/>
    <cellStyle name="Porcentaje 2 7 2 2 7 2 2" xfId="31075" xr:uid="{00000000-0005-0000-0000-00006EDD0000}"/>
    <cellStyle name="Porcentaje 2 7 2 2 7 2 2 2" xfId="58208" xr:uid="{00000000-0005-0000-0000-00006FDD0000}"/>
    <cellStyle name="Porcentaje 2 7 2 2 7 2 3" xfId="44646" xr:uid="{00000000-0005-0000-0000-000070DD0000}"/>
    <cellStyle name="Porcentaje 2 7 2 2 7 3" xfId="24294" xr:uid="{00000000-0005-0000-0000-000071DD0000}"/>
    <cellStyle name="Porcentaje 2 7 2 2 7 3 2" xfId="51427" xr:uid="{00000000-0005-0000-0000-000072DD0000}"/>
    <cellStyle name="Porcentaje 2 7 2 2 7 4" xfId="37865" xr:uid="{00000000-0005-0000-0000-000073DD0000}"/>
    <cellStyle name="Porcentaje 2 7 2 2 8" xfId="14118" xr:uid="{00000000-0005-0000-0000-000074DD0000}"/>
    <cellStyle name="Porcentaje 2 7 2 2 8 2" xfId="27686" xr:uid="{00000000-0005-0000-0000-000075DD0000}"/>
    <cellStyle name="Porcentaje 2 7 2 2 8 2 2" xfId="54819" xr:uid="{00000000-0005-0000-0000-000076DD0000}"/>
    <cellStyle name="Porcentaje 2 7 2 2 8 3" xfId="41257" xr:uid="{00000000-0005-0000-0000-000077DD0000}"/>
    <cellStyle name="Porcentaje 2 7 2 2 9" xfId="20905" xr:uid="{00000000-0005-0000-0000-000078DD0000}"/>
    <cellStyle name="Porcentaje 2 7 2 2 9 2" xfId="48038" xr:uid="{00000000-0005-0000-0000-000079DD0000}"/>
    <cellStyle name="Porcentaje 2 7 2 3" xfId="7226" xr:uid="{00000000-0005-0000-0000-00007ADD0000}"/>
    <cellStyle name="Porcentaje 2 7 2 3 2" xfId="7227" xr:uid="{00000000-0005-0000-0000-00007BDD0000}"/>
    <cellStyle name="Porcentaje 2 7 2 3 2 2" xfId="7228" xr:uid="{00000000-0005-0000-0000-00007CDD0000}"/>
    <cellStyle name="Porcentaje 2 7 2 3 2 2 2" xfId="10735" xr:uid="{00000000-0005-0000-0000-00007DDD0000}"/>
    <cellStyle name="Porcentaje 2 7 2 3 2 2 2 2" xfId="17525" xr:uid="{00000000-0005-0000-0000-00007EDD0000}"/>
    <cellStyle name="Porcentaje 2 7 2 3 2 2 2 2 2" xfId="31093" xr:uid="{00000000-0005-0000-0000-00007FDD0000}"/>
    <cellStyle name="Porcentaje 2 7 2 3 2 2 2 2 2 2" xfId="58226" xr:uid="{00000000-0005-0000-0000-000080DD0000}"/>
    <cellStyle name="Porcentaje 2 7 2 3 2 2 2 2 3" xfId="44664" xr:uid="{00000000-0005-0000-0000-000081DD0000}"/>
    <cellStyle name="Porcentaje 2 7 2 3 2 2 2 3" xfId="24312" xr:uid="{00000000-0005-0000-0000-000082DD0000}"/>
    <cellStyle name="Porcentaje 2 7 2 3 2 2 2 3 2" xfId="51445" xr:uid="{00000000-0005-0000-0000-000083DD0000}"/>
    <cellStyle name="Porcentaje 2 7 2 3 2 2 2 4" xfId="37883" xr:uid="{00000000-0005-0000-0000-000084DD0000}"/>
    <cellStyle name="Porcentaje 2 7 2 3 2 2 3" xfId="14136" xr:uid="{00000000-0005-0000-0000-000085DD0000}"/>
    <cellStyle name="Porcentaje 2 7 2 3 2 2 3 2" xfId="27704" xr:uid="{00000000-0005-0000-0000-000086DD0000}"/>
    <cellStyle name="Porcentaje 2 7 2 3 2 2 3 2 2" xfId="54837" xr:uid="{00000000-0005-0000-0000-000087DD0000}"/>
    <cellStyle name="Porcentaje 2 7 2 3 2 2 3 3" xfId="41275" xr:uid="{00000000-0005-0000-0000-000088DD0000}"/>
    <cellStyle name="Porcentaje 2 7 2 3 2 2 4" xfId="20923" xr:uid="{00000000-0005-0000-0000-000089DD0000}"/>
    <cellStyle name="Porcentaje 2 7 2 3 2 2 4 2" xfId="48056" xr:uid="{00000000-0005-0000-0000-00008ADD0000}"/>
    <cellStyle name="Porcentaje 2 7 2 3 2 2 5" xfId="34494" xr:uid="{00000000-0005-0000-0000-00008BDD0000}"/>
    <cellStyle name="Porcentaje 2 7 2 3 2 3" xfId="7229" xr:uid="{00000000-0005-0000-0000-00008CDD0000}"/>
    <cellStyle name="Porcentaje 2 7 2 3 2 3 2" xfId="10736" xr:uid="{00000000-0005-0000-0000-00008DDD0000}"/>
    <cellStyle name="Porcentaje 2 7 2 3 2 3 2 2" xfId="17526" xr:uid="{00000000-0005-0000-0000-00008EDD0000}"/>
    <cellStyle name="Porcentaje 2 7 2 3 2 3 2 2 2" xfId="31094" xr:uid="{00000000-0005-0000-0000-00008FDD0000}"/>
    <cellStyle name="Porcentaje 2 7 2 3 2 3 2 2 2 2" xfId="58227" xr:uid="{00000000-0005-0000-0000-000090DD0000}"/>
    <cellStyle name="Porcentaje 2 7 2 3 2 3 2 2 3" xfId="44665" xr:uid="{00000000-0005-0000-0000-000091DD0000}"/>
    <cellStyle name="Porcentaje 2 7 2 3 2 3 2 3" xfId="24313" xr:uid="{00000000-0005-0000-0000-000092DD0000}"/>
    <cellStyle name="Porcentaje 2 7 2 3 2 3 2 3 2" xfId="51446" xr:uid="{00000000-0005-0000-0000-000093DD0000}"/>
    <cellStyle name="Porcentaje 2 7 2 3 2 3 2 4" xfId="37884" xr:uid="{00000000-0005-0000-0000-000094DD0000}"/>
    <cellStyle name="Porcentaje 2 7 2 3 2 3 3" xfId="14137" xr:uid="{00000000-0005-0000-0000-000095DD0000}"/>
    <cellStyle name="Porcentaje 2 7 2 3 2 3 3 2" xfId="27705" xr:uid="{00000000-0005-0000-0000-000096DD0000}"/>
    <cellStyle name="Porcentaje 2 7 2 3 2 3 3 2 2" xfId="54838" xr:uid="{00000000-0005-0000-0000-000097DD0000}"/>
    <cellStyle name="Porcentaje 2 7 2 3 2 3 3 3" xfId="41276" xr:uid="{00000000-0005-0000-0000-000098DD0000}"/>
    <cellStyle name="Porcentaje 2 7 2 3 2 3 4" xfId="20924" xr:uid="{00000000-0005-0000-0000-000099DD0000}"/>
    <cellStyle name="Porcentaje 2 7 2 3 2 3 4 2" xfId="48057" xr:uid="{00000000-0005-0000-0000-00009ADD0000}"/>
    <cellStyle name="Porcentaje 2 7 2 3 2 3 5" xfId="34495" xr:uid="{00000000-0005-0000-0000-00009BDD0000}"/>
    <cellStyle name="Porcentaje 2 7 2 3 2 4" xfId="10734" xr:uid="{00000000-0005-0000-0000-00009CDD0000}"/>
    <cellStyle name="Porcentaje 2 7 2 3 2 4 2" xfId="17524" xr:uid="{00000000-0005-0000-0000-00009DDD0000}"/>
    <cellStyle name="Porcentaje 2 7 2 3 2 4 2 2" xfId="31092" xr:uid="{00000000-0005-0000-0000-00009EDD0000}"/>
    <cellStyle name="Porcentaje 2 7 2 3 2 4 2 2 2" xfId="58225" xr:uid="{00000000-0005-0000-0000-00009FDD0000}"/>
    <cellStyle name="Porcentaje 2 7 2 3 2 4 2 3" xfId="44663" xr:uid="{00000000-0005-0000-0000-0000A0DD0000}"/>
    <cellStyle name="Porcentaje 2 7 2 3 2 4 3" xfId="24311" xr:uid="{00000000-0005-0000-0000-0000A1DD0000}"/>
    <cellStyle name="Porcentaje 2 7 2 3 2 4 3 2" xfId="51444" xr:uid="{00000000-0005-0000-0000-0000A2DD0000}"/>
    <cellStyle name="Porcentaje 2 7 2 3 2 4 4" xfId="37882" xr:uid="{00000000-0005-0000-0000-0000A3DD0000}"/>
    <cellStyle name="Porcentaje 2 7 2 3 2 5" xfId="14135" xr:uid="{00000000-0005-0000-0000-0000A4DD0000}"/>
    <cellStyle name="Porcentaje 2 7 2 3 2 5 2" xfId="27703" xr:uid="{00000000-0005-0000-0000-0000A5DD0000}"/>
    <cellStyle name="Porcentaje 2 7 2 3 2 5 2 2" xfId="54836" xr:uid="{00000000-0005-0000-0000-0000A6DD0000}"/>
    <cellStyle name="Porcentaje 2 7 2 3 2 5 3" xfId="41274" xr:uid="{00000000-0005-0000-0000-0000A7DD0000}"/>
    <cellStyle name="Porcentaje 2 7 2 3 2 6" xfId="20922" xr:uid="{00000000-0005-0000-0000-0000A8DD0000}"/>
    <cellStyle name="Porcentaje 2 7 2 3 2 6 2" xfId="48055" xr:uid="{00000000-0005-0000-0000-0000A9DD0000}"/>
    <cellStyle name="Porcentaje 2 7 2 3 2 7" xfId="34493" xr:uid="{00000000-0005-0000-0000-0000AADD0000}"/>
    <cellStyle name="Porcentaje 2 7 2 3 3" xfId="7230" xr:uid="{00000000-0005-0000-0000-0000ABDD0000}"/>
    <cellStyle name="Porcentaje 2 7 2 3 3 2" xfId="7231" xr:uid="{00000000-0005-0000-0000-0000ACDD0000}"/>
    <cellStyle name="Porcentaje 2 7 2 3 3 2 2" xfId="10738" xr:uid="{00000000-0005-0000-0000-0000ADDD0000}"/>
    <cellStyle name="Porcentaje 2 7 2 3 3 2 2 2" xfId="17528" xr:uid="{00000000-0005-0000-0000-0000AEDD0000}"/>
    <cellStyle name="Porcentaje 2 7 2 3 3 2 2 2 2" xfId="31096" xr:uid="{00000000-0005-0000-0000-0000AFDD0000}"/>
    <cellStyle name="Porcentaje 2 7 2 3 3 2 2 2 2 2" xfId="58229" xr:uid="{00000000-0005-0000-0000-0000B0DD0000}"/>
    <cellStyle name="Porcentaje 2 7 2 3 3 2 2 2 3" xfId="44667" xr:uid="{00000000-0005-0000-0000-0000B1DD0000}"/>
    <cellStyle name="Porcentaje 2 7 2 3 3 2 2 3" xfId="24315" xr:uid="{00000000-0005-0000-0000-0000B2DD0000}"/>
    <cellStyle name="Porcentaje 2 7 2 3 3 2 2 3 2" xfId="51448" xr:uid="{00000000-0005-0000-0000-0000B3DD0000}"/>
    <cellStyle name="Porcentaje 2 7 2 3 3 2 2 4" xfId="37886" xr:uid="{00000000-0005-0000-0000-0000B4DD0000}"/>
    <cellStyle name="Porcentaje 2 7 2 3 3 2 3" xfId="14139" xr:uid="{00000000-0005-0000-0000-0000B5DD0000}"/>
    <cellStyle name="Porcentaje 2 7 2 3 3 2 3 2" xfId="27707" xr:uid="{00000000-0005-0000-0000-0000B6DD0000}"/>
    <cellStyle name="Porcentaje 2 7 2 3 3 2 3 2 2" xfId="54840" xr:uid="{00000000-0005-0000-0000-0000B7DD0000}"/>
    <cellStyle name="Porcentaje 2 7 2 3 3 2 3 3" xfId="41278" xr:uid="{00000000-0005-0000-0000-0000B8DD0000}"/>
    <cellStyle name="Porcentaje 2 7 2 3 3 2 4" xfId="20926" xr:uid="{00000000-0005-0000-0000-0000B9DD0000}"/>
    <cellStyle name="Porcentaje 2 7 2 3 3 2 4 2" xfId="48059" xr:uid="{00000000-0005-0000-0000-0000BADD0000}"/>
    <cellStyle name="Porcentaje 2 7 2 3 3 2 5" xfId="34497" xr:uid="{00000000-0005-0000-0000-0000BBDD0000}"/>
    <cellStyle name="Porcentaje 2 7 2 3 3 3" xfId="10737" xr:uid="{00000000-0005-0000-0000-0000BCDD0000}"/>
    <cellStyle name="Porcentaje 2 7 2 3 3 3 2" xfId="17527" xr:uid="{00000000-0005-0000-0000-0000BDDD0000}"/>
    <cellStyle name="Porcentaje 2 7 2 3 3 3 2 2" xfId="31095" xr:uid="{00000000-0005-0000-0000-0000BEDD0000}"/>
    <cellStyle name="Porcentaje 2 7 2 3 3 3 2 2 2" xfId="58228" xr:uid="{00000000-0005-0000-0000-0000BFDD0000}"/>
    <cellStyle name="Porcentaje 2 7 2 3 3 3 2 3" xfId="44666" xr:uid="{00000000-0005-0000-0000-0000C0DD0000}"/>
    <cellStyle name="Porcentaje 2 7 2 3 3 3 3" xfId="24314" xr:uid="{00000000-0005-0000-0000-0000C1DD0000}"/>
    <cellStyle name="Porcentaje 2 7 2 3 3 3 3 2" xfId="51447" xr:uid="{00000000-0005-0000-0000-0000C2DD0000}"/>
    <cellStyle name="Porcentaje 2 7 2 3 3 3 4" xfId="37885" xr:uid="{00000000-0005-0000-0000-0000C3DD0000}"/>
    <cellStyle name="Porcentaje 2 7 2 3 3 4" xfId="14138" xr:uid="{00000000-0005-0000-0000-0000C4DD0000}"/>
    <cellStyle name="Porcentaje 2 7 2 3 3 4 2" xfId="27706" xr:uid="{00000000-0005-0000-0000-0000C5DD0000}"/>
    <cellStyle name="Porcentaje 2 7 2 3 3 4 2 2" xfId="54839" xr:uid="{00000000-0005-0000-0000-0000C6DD0000}"/>
    <cellStyle name="Porcentaje 2 7 2 3 3 4 3" xfId="41277" xr:uid="{00000000-0005-0000-0000-0000C7DD0000}"/>
    <cellStyle name="Porcentaje 2 7 2 3 3 5" xfId="20925" xr:uid="{00000000-0005-0000-0000-0000C8DD0000}"/>
    <cellStyle name="Porcentaje 2 7 2 3 3 5 2" xfId="48058" xr:uid="{00000000-0005-0000-0000-0000C9DD0000}"/>
    <cellStyle name="Porcentaje 2 7 2 3 3 6" xfId="34496" xr:uid="{00000000-0005-0000-0000-0000CADD0000}"/>
    <cellStyle name="Porcentaje 2 7 2 3 4" xfId="7232" xr:uid="{00000000-0005-0000-0000-0000CBDD0000}"/>
    <cellStyle name="Porcentaje 2 7 2 3 4 2" xfId="10739" xr:uid="{00000000-0005-0000-0000-0000CCDD0000}"/>
    <cellStyle name="Porcentaje 2 7 2 3 4 2 2" xfId="17529" xr:uid="{00000000-0005-0000-0000-0000CDDD0000}"/>
    <cellStyle name="Porcentaje 2 7 2 3 4 2 2 2" xfId="31097" xr:uid="{00000000-0005-0000-0000-0000CEDD0000}"/>
    <cellStyle name="Porcentaje 2 7 2 3 4 2 2 2 2" xfId="58230" xr:uid="{00000000-0005-0000-0000-0000CFDD0000}"/>
    <cellStyle name="Porcentaje 2 7 2 3 4 2 2 3" xfId="44668" xr:uid="{00000000-0005-0000-0000-0000D0DD0000}"/>
    <cellStyle name="Porcentaje 2 7 2 3 4 2 3" xfId="24316" xr:uid="{00000000-0005-0000-0000-0000D1DD0000}"/>
    <cellStyle name="Porcentaje 2 7 2 3 4 2 3 2" xfId="51449" xr:uid="{00000000-0005-0000-0000-0000D2DD0000}"/>
    <cellStyle name="Porcentaje 2 7 2 3 4 2 4" xfId="37887" xr:uid="{00000000-0005-0000-0000-0000D3DD0000}"/>
    <cellStyle name="Porcentaje 2 7 2 3 4 3" xfId="14140" xr:uid="{00000000-0005-0000-0000-0000D4DD0000}"/>
    <cellStyle name="Porcentaje 2 7 2 3 4 3 2" xfId="27708" xr:uid="{00000000-0005-0000-0000-0000D5DD0000}"/>
    <cellStyle name="Porcentaje 2 7 2 3 4 3 2 2" xfId="54841" xr:uid="{00000000-0005-0000-0000-0000D6DD0000}"/>
    <cellStyle name="Porcentaje 2 7 2 3 4 3 3" xfId="41279" xr:uid="{00000000-0005-0000-0000-0000D7DD0000}"/>
    <cellStyle name="Porcentaje 2 7 2 3 4 4" xfId="20927" xr:uid="{00000000-0005-0000-0000-0000D8DD0000}"/>
    <cellStyle name="Porcentaje 2 7 2 3 4 4 2" xfId="48060" xr:uid="{00000000-0005-0000-0000-0000D9DD0000}"/>
    <cellStyle name="Porcentaje 2 7 2 3 4 5" xfId="34498" xr:uid="{00000000-0005-0000-0000-0000DADD0000}"/>
    <cellStyle name="Porcentaje 2 7 2 3 5" xfId="7233" xr:uid="{00000000-0005-0000-0000-0000DBDD0000}"/>
    <cellStyle name="Porcentaje 2 7 2 3 5 2" xfId="10740" xr:uid="{00000000-0005-0000-0000-0000DCDD0000}"/>
    <cellStyle name="Porcentaje 2 7 2 3 5 2 2" xfId="17530" xr:uid="{00000000-0005-0000-0000-0000DDDD0000}"/>
    <cellStyle name="Porcentaje 2 7 2 3 5 2 2 2" xfId="31098" xr:uid="{00000000-0005-0000-0000-0000DEDD0000}"/>
    <cellStyle name="Porcentaje 2 7 2 3 5 2 2 2 2" xfId="58231" xr:uid="{00000000-0005-0000-0000-0000DFDD0000}"/>
    <cellStyle name="Porcentaje 2 7 2 3 5 2 2 3" xfId="44669" xr:uid="{00000000-0005-0000-0000-0000E0DD0000}"/>
    <cellStyle name="Porcentaje 2 7 2 3 5 2 3" xfId="24317" xr:uid="{00000000-0005-0000-0000-0000E1DD0000}"/>
    <cellStyle name="Porcentaje 2 7 2 3 5 2 3 2" xfId="51450" xr:uid="{00000000-0005-0000-0000-0000E2DD0000}"/>
    <cellStyle name="Porcentaje 2 7 2 3 5 2 4" xfId="37888" xr:uid="{00000000-0005-0000-0000-0000E3DD0000}"/>
    <cellStyle name="Porcentaje 2 7 2 3 5 3" xfId="14141" xr:uid="{00000000-0005-0000-0000-0000E4DD0000}"/>
    <cellStyle name="Porcentaje 2 7 2 3 5 3 2" xfId="27709" xr:uid="{00000000-0005-0000-0000-0000E5DD0000}"/>
    <cellStyle name="Porcentaje 2 7 2 3 5 3 2 2" xfId="54842" xr:uid="{00000000-0005-0000-0000-0000E6DD0000}"/>
    <cellStyle name="Porcentaje 2 7 2 3 5 3 3" xfId="41280" xr:uid="{00000000-0005-0000-0000-0000E7DD0000}"/>
    <cellStyle name="Porcentaje 2 7 2 3 5 4" xfId="20928" xr:uid="{00000000-0005-0000-0000-0000E8DD0000}"/>
    <cellStyle name="Porcentaje 2 7 2 3 5 4 2" xfId="48061" xr:uid="{00000000-0005-0000-0000-0000E9DD0000}"/>
    <cellStyle name="Porcentaje 2 7 2 3 5 5" xfId="34499" xr:uid="{00000000-0005-0000-0000-0000EADD0000}"/>
    <cellStyle name="Porcentaje 2 7 2 3 6" xfId="10733" xr:uid="{00000000-0005-0000-0000-0000EBDD0000}"/>
    <cellStyle name="Porcentaje 2 7 2 3 6 2" xfId="17523" xr:uid="{00000000-0005-0000-0000-0000ECDD0000}"/>
    <cellStyle name="Porcentaje 2 7 2 3 6 2 2" xfId="31091" xr:uid="{00000000-0005-0000-0000-0000EDDD0000}"/>
    <cellStyle name="Porcentaje 2 7 2 3 6 2 2 2" xfId="58224" xr:uid="{00000000-0005-0000-0000-0000EEDD0000}"/>
    <cellStyle name="Porcentaje 2 7 2 3 6 2 3" xfId="44662" xr:uid="{00000000-0005-0000-0000-0000EFDD0000}"/>
    <cellStyle name="Porcentaje 2 7 2 3 6 3" xfId="24310" xr:uid="{00000000-0005-0000-0000-0000F0DD0000}"/>
    <cellStyle name="Porcentaje 2 7 2 3 6 3 2" xfId="51443" xr:uid="{00000000-0005-0000-0000-0000F1DD0000}"/>
    <cellStyle name="Porcentaje 2 7 2 3 6 4" xfId="37881" xr:uid="{00000000-0005-0000-0000-0000F2DD0000}"/>
    <cellStyle name="Porcentaje 2 7 2 3 7" xfId="14134" xr:uid="{00000000-0005-0000-0000-0000F3DD0000}"/>
    <cellStyle name="Porcentaje 2 7 2 3 7 2" xfId="27702" xr:uid="{00000000-0005-0000-0000-0000F4DD0000}"/>
    <cellStyle name="Porcentaje 2 7 2 3 7 2 2" xfId="54835" xr:uid="{00000000-0005-0000-0000-0000F5DD0000}"/>
    <cellStyle name="Porcentaje 2 7 2 3 7 3" xfId="41273" xr:uid="{00000000-0005-0000-0000-0000F6DD0000}"/>
    <cellStyle name="Porcentaje 2 7 2 3 8" xfId="20921" xr:uid="{00000000-0005-0000-0000-0000F7DD0000}"/>
    <cellStyle name="Porcentaje 2 7 2 3 8 2" xfId="48054" xr:uid="{00000000-0005-0000-0000-0000F8DD0000}"/>
    <cellStyle name="Porcentaje 2 7 2 3 9" xfId="34492" xr:uid="{00000000-0005-0000-0000-0000F9DD0000}"/>
    <cellStyle name="Porcentaje 2 7 2 4" xfId="7234" xr:uid="{00000000-0005-0000-0000-0000FADD0000}"/>
    <cellStyle name="Porcentaje 2 7 2 4 2" xfId="7235" xr:uid="{00000000-0005-0000-0000-0000FBDD0000}"/>
    <cellStyle name="Porcentaje 2 7 2 4 2 2" xfId="7236" xr:uid="{00000000-0005-0000-0000-0000FCDD0000}"/>
    <cellStyle name="Porcentaje 2 7 2 4 2 2 2" xfId="10743" xr:uid="{00000000-0005-0000-0000-0000FDDD0000}"/>
    <cellStyle name="Porcentaje 2 7 2 4 2 2 2 2" xfId="17533" xr:uid="{00000000-0005-0000-0000-0000FEDD0000}"/>
    <cellStyle name="Porcentaje 2 7 2 4 2 2 2 2 2" xfId="31101" xr:uid="{00000000-0005-0000-0000-0000FFDD0000}"/>
    <cellStyle name="Porcentaje 2 7 2 4 2 2 2 2 2 2" xfId="58234" xr:uid="{00000000-0005-0000-0000-000000DE0000}"/>
    <cellStyle name="Porcentaje 2 7 2 4 2 2 2 2 3" xfId="44672" xr:uid="{00000000-0005-0000-0000-000001DE0000}"/>
    <cellStyle name="Porcentaje 2 7 2 4 2 2 2 3" xfId="24320" xr:uid="{00000000-0005-0000-0000-000002DE0000}"/>
    <cellStyle name="Porcentaje 2 7 2 4 2 2 2 3 2" xfId="51453" xr:uid="{00000000-0005-0000-0000-000003DE0000}"/>
    <cellStyle name="Porcentaje 2 7 2 4 2 2 2 4" xfId="37891" xr:uid="{00000000-0005-0000-0000-000004DE0000}"/>
    <cellStyle name="Porcentaje 2 7 2 4 2 2 3" xfId="14144" xr:uid="{00000000-0005-0000-0000-000005DE0000}"/>
    <cellStyle name="Porcentaje 2 7 2 4 2 2 3 2" xfId="27712" xr:uid="{00000000-0005-0000-0000-000006DE0000}"/>
    <cellStyle name="Porcentaje 2 7 2 4 2 2 3 2 2" xfId="54845" xr:uid="{00000000-0005-0000-0000-000007DE0000}"/>
    <cellStyle name="Porcentaje 2 7 2 4 2 2 3 3" xfId="41283" xr:uid="{00000000-0005-0000-0000-000008DE0000}"/>
    <cellStyle name="Porcentaje 2 7 2 4 2 2 4" xfId="20931" xr:uid="{00000000-0005-0000-0000-000009DE0000}"/>
    <cellStyle name="Porcentaje 2 7 2 4 2 2 4 2" xfId="48064" xr:uid="{00000000-0005-0000-0000-00000ADE0000}"/>
    <cellStyle name="Porcentaje 2 7 2 4 2 2 5" xfId="34502" xr:uid="{00000000-0005-0000-0000-00000BDE0000}"/>
    <cellStyle name="Porcentaje 2 7 2 4 2 3" xfId="7237" xr:uid="{00000000-0005-0000-0000-00000CDE0000}"/>
    <cellStyle name="Porcentaje 2 7 2 4 2 3 2" xfId="10744" xr:uid="{00000000-0005-0000-0000-00000DDE0000}"/>
    <cellStyle name="Porcentaje 2 7 2 4 2 3 2 2" xfId="17534" xr:uid="{00000000-0005-0000-0000-00000EDE0000}"/>
    <cellStyle name="Porcentaje 2 7 2 4 2 3 2 2 2" xfId="31102" xr:uid="{00000000-0005-0000-0000-00000FDE0000}"/>
    <cellStyle name="Porcentaje 2 7 2 4 2 3 2 2 2 2" xfId="58235" xr:uid="{00000000-0005-0000-0000-000010DE0000}"/>
    <cellStyle name="Porcentaje 2 7 2 4 2 3 2 2 3" xfId="44673" xr:uid="{00000000-0005-0000-0000-000011DE0000}"/>
    <cellStyle name="Porcentaje 2 7 2 4 2 3 2 3" xfId="24321" xr:uid="{00000000-0005-0000-0000-000012DE0000}"/>
    <cellStyle name="Porcentaje 2 7 2 4 2 3 2 3 2" xfId="51454" xr:uid="{00000000-0005-0000-0000-000013DE0000}"/>
    <cellStyle name="Porcentaje 2 7 2 4 2 3 2 4" xfId="37892" xr:uid="{00000000-0005-0000-0000-000014DE0000}"/>
    <cellStyle name="Porcentaje 2 7 2 4 2 3 3" xfId="14145" xr:uid="{00000000-0005-0000-0000-000015DE0000}"/>
    <cellStyle name="Porcentaje 2 7 2 4 2 3 3 2" xfId="27713" xr:uid="{00000000-0005-0000-0000-000016DE0000}"/>
    <cellStyle name="Porcentaje 2 7 2 4 2 3 3 2 2" xfId="54846" xr:uid="{00000000-0005-0000-0000-000017DE0000}"/>
    <cellStyle name="Porcentaje 2 7 2 4 2 3 3 3" xfId="41284" xr:uid="{00000000-0005-0000-0000-000018DE0000}"/>
    <cellStyle name="Porcentaje 2 7 2 4 2 3 4" xfId="20932" xr:uid="{00000000-0005-0000-0000-000019DE0000}"/>
    <cellStyle name="Porcentaje 2 7 2 4 2 3 4 2" xfId="48065" xr:uid="{00000000-0005-0000-0000-00001ADE0000}"/>
    <cellStyle name="Porcentaje 2 7 2 4 2 3 5" xfId="34503" xr:uid="{00000000-0005-0000-0000-00001BDE0000}"/>
    <cellStyle name="Porcentaje 2 7 2 4 2 4" xfId="10742" xr:uid="{00000000-0005-0000-0000-00001CDE0000}"/>
    <cellStyle name="Porcentaje 2 7 2 4 2 4 2" xfId="17532" xr:uid="{00000000-0005-0000-0000-00001DDE0000}"/>
    <cellStyle name="Porcentaje 2 7 2 4 2 4 2 2" xfId="31100" xr:uid="{00000000-0005-0000-0000-00001EDE0000}"/>
    <cellStyle name="Porcentaje 2 7 2 4 2 4 2 2 2" xfId="58233" xr:uid="{00000000-0005-0000-0000-00001FDE0000}"/>
    <cellStyle name="Porcentaje 2 7 2 4 2 4 2 3" xfId="44671" xr:uid="{00000000-0005-0000-0000-000020DE0000}"/>
    <cellStyle name="Porcentaje 2 7 2 4 2 4 3" xfId="24319" xr:uid="{00000000-0005-0000-0000-000021DE0000}"/>
    <cellStyle name="Porcentaje 2 7 2 4 2 4 3 2" xfId="51452" xr:uid="{00000000-0005-0000-0000-000022DE0000}"/>
    <cellStyle name="Porcentaje 2 7 2 4 2 4 4" xfId="37890" xr:uid="{00000000-0005-0000-0000-000023DE0000}"/>
    <cellStyle name="Porcentaje 2 7 2 4 2 5" xfId="14143" xr:uid="{00000000-0005-0000-0000-000024DE0000}"/>
    <cellStyle name="Porcentaje 2 7 2 4 2 5 2" xfId="27711" xr:uid="{00000000-0005-0000-0000-000025DE0000}"/>
    <cellStyle name="Porcentaje 2 7 2 4 2 5 2 2" xfId="54844" xr:uid="{00000000-0005-0000-0000-000026DE0000}"/>
    <cellStyle name="Porcentaje 2 7 2 4 2 5 3" xfId="41282" xr:uid="{00000000-0005-0000-0000-000027DE0000}"/>
    <cellStyle name="Porcentaje 2 7 2 4 2 6" xfId="20930" xr:uid="{00000000-0005-0000-0000-000028DE0000}"/>
    <cellStyle name="Porcentaje 2 7 2 4 2 6 2" xfId="48063" xr:uid="{00000000-0005-0000-0000-000029DE0000}"/>
    <cellStyle name="Porcentaje 2 7 2 4 2 7" xfId="34501" xr:uid="{00000000-0005-0000-0000-00002ADE0000}"/>
    <cellStyle name="Porcentaje 2 7 2 4 3" xfId="7238" xr:uid="{00000000-0005-0000-0000-00002BDE0000}"/>
    <cellStyle name="Porcentaje 2 7 2 4 3 2" xfId="10745" xr:uid="{00000000-0005-0000-0000-00002CDE0000}"/>
    <cellStyle name="Porcentaje 2 7 2 4 3 2 2" xfId="17535" xr:uid="{00000000-0005-0000-0000-00002DDE0000}"/>
    <cellStyle name="Porcentaje 2 7 2 4 3 2 2 2" xfId="31103" xr:uid="{00000000-0005-0000-0000-00002EDE0000}"/>
    <cellStyle name="Porcentaje 2 7 2 4 3 2 2 2 2" xfId="58236" xr:uid="{00000000-0005-0000-0000-00002FDE0000}"/>
    <cellStyle name="Porcentaje 2 7 2 4 3 2 2 3" xfId="44674" xr:uid="{00000000-0005-0000-0000-000030DE0000}"/>
    <cellStyle name="Porcentaje 2 7 2 4 3 2 3" xfId="24322" xr:uid="{00000000-0005-0000-0000-000031DE0000}"/>
    <cellStyle name="Porcentaje 2 7 2 4 3 2 3 2" xfId="51455" xr:uid="{00000000-0005-0000-0000-000032DE0000}"/>
    <cellStyle name="Porcentaje 2 7 2 4 3 2 4" xfId="37893" xr:uid="{00000000-0005-0000-0000-000033DE0000}"/>
    <cellStyle name="Porcentaje 2 7 2 4 3 3" xfId="14146" xr:uid="{00000000-0005-0000-0000-000034DE0000}"/>
    <cellStyle name="Porcentaje 2 7 2 4 3 3 2" xfId="27714" xr:uid="{00000000-0005-0000-0000-000035DE0000}"/>
    <cellStyle name="Porcentaje 2 7 2 4 3 3 2 2" xfId="54847" xr:uid="{00000000-0005-0000-0000-000036DE0000}"/>
    <cellStyle name="Porcentaje 2 7 2 4 3 3 3" xfId="41285" xr:uid="{00000000-0005-0000-0000-000037DE0000}"/>
    <cellStyle name="Porcentaje 2 7 2 4 3 4" xfId="20933" xr:uid="{00000000-0005-0000-0000-000038DE0000}"/>
    <cellStyle name="Porcentaje 2 7 2 4 3 4 2" xfId="48066" xr:uid="{00000000-0005-0000-0000-000039DE0000}"/>
    <cellStyle name="Porcentaje 2 7 2 4 3 5" xfId="34504" xr:uid="{00000000-0005-0000-0000-00003ADE0000}"/>
    <cellStyle name="Porcentaje 2 7 2 4 4" xfId="7239" xr:uid="{00000000-0005-0000-0000-00003BDE0000}"/>
    <cellStyle name="Porcentaje 2 7 2 4 4 2" xfId="10746" xr:uid="{00000000-0005-0000-0000-00003CDE0000}"/>
    <cellStyle name="Porcentaje 2 7 2 4 4 2 2" xfId="17536" xr:uid="{00000000-0005-0000-0000-00003DDE0000}"/>
    <cellStyle name="Porcentaje 2 7 2 4 4 2 2 2" xfId="31104" xr:uid="{00000000-0005-0000-0000-00003EDE0000}"/>
    <cellStyle name="Porcentaje 2 7 2 4 4 2 2 2 2" xfId="58237" xr:uid="{00000000-0005-0000-0000-00003FDE0000}"/>
    <cellStyle name="Porcentaje 2 7 2 4 4 2 2 3" xfId="44675" xr:uid="{00000000-0005-0000-0000-000040DE0000}"/>
    <cellStyle name="Porcentaje 2 7 2 4 4 2 3" xfId="24323" xr:uid="{00000000-0005-0000-0000-000041DE0000}"/>
    <cellStyle name="Porcentaje 2 7 2 4 4 2 3 2" xfId="51456" xr:uid="{00000000-0005-0000-0000-000042DE0000}"/>
    <cellStyle name="Porcentaje 2 7 2 4 4 2 4" xfId="37894" xr:uid="{00000000-0005-0000-0000-000043DE0000}"/>
    <cellStyle name="Porcentaje 2 7 2 4 4 3" xfId="14147" xr:uid="{00000000-0005-0000-0000-000044DE0000}"/>
    <cellStyle name="Porcentaje 2 7 2 4 4 3 2" xfId="27715" xr:uid="{00000000-0005-0000-0000-000045DE0000}"/>
    <cellStyle name="Porcentaje 2 7 2 4 4 3 2 2" xfId="54848" xr:uid="{00000000-0005-0000-0000-000046DE0000}"/>
    <cellStyle name="Porcentaje 2 7 2 4 4 3 3" xfId="41286" xr:uid="{00000000-0005-0000-0000-000047DE0000}"/>
    <cellStyle name="Porcentaje 2 7 2 4 4 4" xfId="20934" xr:uid="{00000000-0005-0000-0000-000048DE0000}"/>
    <cellStyle name="Porcentaje 2 7 2 4 4 4 2" xfId="48067" xr:uid="{00000000-0005-0000-0000-000049DE0000}"/>
    <cellStyle name="Porcentaje 2 7 2 4 4 5" xfId="34505" xr:uid="{00000000-0005-0000-0000-00004ADE0000}"/>
    <cellStyle name="Porcentaje 2 7 2 4 5" xfId="10741" xr:uid="{00000000-0005-0000-0000-00004BDE0000}"/>
    <cellStyle name="Porcentaje 2 7 2 4 5 2" xfId="17531" xr:uid="{00000000-0005-0000-0000-00004CDE0000}"/>
    <cellStyle name="Porcentaje 2 7 2 4 5 2 2" xfId="31099" xr:uid="{00000000-0005-0000-0000-00004DDE0000}"/>
    <cellStyle name="Porcentaje 2 7 2 4 5 2 2 2" xfId="58232" xr:uid="{00000000-0005-0000-0000-00004EDE0000}"/>
    <cellStyle name="Porcentaje 2 7 2 4 5 2 3" xfId="44670" xr:uid="{00000000-0005-0000-0000-00004FDE0000}"/>
    <cellStyle name="Porcentaje 2 7 2 4 5 3" xfId="24318" xr:uid="{00000000-0005-0000-0000-000050DE0000}"/>
    <cellStyle name="Porcentaje 2 7 2 4 5 3 2" xfId="51451" xr:uid="{00000000-0005-0000-0000-000051DE0000}"/>
    <cellStyle name="Porcentaje 2 7 2 4 5 4" xfId="37889" xr:uid="{00000000-0005-0000-0000-000052DE0000}"/>
    <cellStyle name="Porcentaje 2 7 2 4 6" xfId="14142" xr:uid="{00000000-0005-0000-0000-000053DE0000}"/>
    <cellStyle name="Porcentaje 2 7 2 4 6 2" xfId="27710" xr:uid="{00000000-0005-0000-0000-000054DE0000}"/>
    <cellStyle name="Porcentaje 2 7 2 4 6 2 2" xfId="54843" xr:uid="{00000000-0005-0000-0000-000055DE0000}"/>
    <cellStyle name="Porcentaje 2 7 2 4 6 3" xfId="41281" xr:uid="{00000000-0005-0000-0000-000056DE0000}"/>
    <cellStyle name="Porcentaje 2 7 2 4 7" xfId="20929" xr:uid="{00000000-0005-0000-0000-000057DE0000}"/>
    <cellStyle name="Porcentaje 2 7 2 4 7 2" xfId="48062" xr:uid="{00000000-0005-0000-0000-000058DE0000}"/>
    <cellStyle name="Porcentaje 2 7 2 4 8" xfId="34500" xr:uid="{00000000-0005-0000-0000-000059DE0000}"/>
    <cellStyle name="Porcentaje 2 7 2 5" xfId="7240" xr:uid="{00000000-0005-0000-0000-00005ADE0000}"/>
    <cellStyle name="Porcentaje 2 7 2 5 2" xfId="7241" xr:uid="{00000000-0005-0000-0000-00005BDE0000}"/>
    <cellStyle name="Porcentaje 2 7 2 5 2 2" xfId="10748" xr:uid="{00000000-0005-0000-0000-00005CDE0000}"/>
    <cellStyle name="Porcentaje 2 7 2 5 2 2 2" xfId="17538" xr:uid="{00000000-0005-0000-0000-00005DDE0000}"/>
    <cellStyle name="Porcentaje 2 7 2 5 2 2 2 2" xfId="31106" xr:uid="{00000000-0005-0000-0000-00005EDE0000}"/>
    <cellStyle name="Porcentaje 2 7 2 5 2 2 2 2 2" xfId="58239" xr:uid="{00000000-0005-0000-0000-00005FDE0000}"/>
    <cellStyle name="Porcentaje 2 7 2 5 2 2 2 3" xfId="44677" xr:uid="{00000000-0005-0000-0000-000060DE0000}"/>
    <cellStyle name="Porcentaje 2 7 2 5 2 2 3" xfId="24325" xr:uid="{00000000-0005-0000-0000-000061DE0000}"/>
    <cellStyle name="Porcentaje 2 7 2 5 2 2 3 2" xfId="51458" xr:uid="{00000000-0005-0000-0000-000062DE0000}"/>
    <cellStyle name="Porcentaje 2 7 2 5 2 2 4" xfId="37896" xr:uid="{00000000-0005-0000-0000-000063DE0000}"/>
    <cellStyle name="Porcentaje 2 7 2 5 2 3" xfId="14149" xr:uid="{00000000-0005-0000-0000-000064DE0000}"/>
    <cellStyle name="Porcentaje 2 7 2 5 2 3 2" xfId="27717" xr:uid="{00000000-0005-0000-0000-000065DE0000}"/>
    <cellStyle name="Porcentaje 2 7 2 5 2 3 2 2" xfId="54850" xr:uid="{00000000-0005-0000-0000-000066DE0000}"/>
    <cellStyle name="Porcentaje 2 7 2 5 2 3 3" xfId="41288" xr:uid="{00000000-0005-0000-0000-000067DE0000}"/>
    <cellStyle name="Porcentaje 2 7 2 5 2 4" xfId="20936" xr:uid="{00000000-0005-0000-0000-000068DE0000}"/>
    <cellStyle name="Porcentaje 2 7 2 5 2 4 2" xfId="48069" xr:uid="{00000000-0005-0000-0000-000069DE0000}"/>
    <cellStyle name="Porcentaje 2 7 2 5 2 5" xfId="34507" xr:uid="{00000000-0005-0000-0000-00006ADE0000}"/>
    <cellStyle name="Porcentaje 2 7 2 5 3" xfId="7242" xr:uid="{00000000-0005-0000-0000-00006BDE0000}"/>
    <cellStyle name="Porcentaje 2 7 2 5 3 2" xfId="10749" xr:uid="{00000000-0005-0000-0000-00006CDE0000}"/>
    <cellStyle name="Porcentaje 2 7 2 5 3 2 2" xfId="17539" xr:uid="{00000000-0005-0000-0000-00006DDE0000}"/>
    <cellStyle name="Porcentaje 2 7 2 5 3 2 2 2" xfId="31107" xr:uid="{00000000-0005-0000-0000-00006EDE0000}"/>
    <cellStyle name="Porcentaje 2 7 2 5 3 2 2 2 2" xfId="58240" xr:uid="{00000000-0005-0000-0000-00006FDE0000}"/>
    <cellStyle name="Porcentaje 2 7 2 5 3 2 2 3" xfId="44678" xr:uid="{00000000-0005-0000-0000-000070DE0000}"/>
    <cellStyle name="Porcentaje 2 7 2 5 3 2 3" xfId="24326" xr:uid="{00000000-0005-0000-0000-000071DE0000}"/>
    <cellStyle name="Porcentaje 2 7 2 5 3 2 3 2" xfId="51459" xr:uid="{00000000-0005-0000-0000-000072DE0000}"/>
    <cellStyle name="Porcentaje 2 7 2 5 3 2 4" xfId="37897" xr:uid="{00000000-0005-0000-0000-000073DE0000}"/>
    <cellStyle name="Porcentaje 2 7 2 5 3 3" xfId="14150" xr:uid="{00000000-0005-0000-0000-000074DE0000}"/>
    <cellStyle name="Porcentaje 2 7 2 5 3 3 2" xfId="27718" xr:uid="{00000000-0005-0000-0000-000075DE0000}"/>
    <cellStyle name="Porcentaje 2 7 2 5 3 3 2 2" xfId="54851" xr:uid="{00000000-0005-0000-0000-000076DE0000}"/>
    <cellStyle name="Porcentaje 2 7 2 5 3 3 3" xfId="41289" xr:uid="{00000000-0005-0000-0000-000077DE0000}"/>
    <cellStyle name="Porcentaje 2 7 2 5 3 4" xfId="20937" xr:uid="{00000000-0005-0000-0000-000078DE0000}"/>
    <cellStyle name="Porcentaje 2 7 2 5 3 4 2" xfId="48070" xr:uid="{00000000-0005-0000-0000-000079DE0000}"/>
    <cellStyle name="Porcentaje 2 7 2 5 3 5" xfId="34508" xr:uid="{00000000-0005-0000-0000-00007ADE0000}"/>
    <cellStyle name="Porcentaje 2 7 2 5 4" xfId="10747" xr:uid="{00000000-0005-0000-0000-00007BDE0000}"/>
    <cellStyle name="Porcentaje 2 7 2 5 4 2" xfId="17537" xr:uid="{00000000-0005-0000-0000-00007CDE0000}"/>
    <cellStyle name="Porcentaje 2 7 2 5 4 2 2" xfId="31105" xr:uid="{00000000-0005-0000-0000-00007DDE0000}"/>
    <cellStyle name="Porcentaje 2 7 2 5 4 2 2 2" xfId="58238" xr:uid="{00000000-0005-0000-0000-00007EDE0000}"/>
    <cellStyle name="Porcentaje 2 7 2 5 4 2 3" xfId="44676" xr:uid="{00000000-0005-0000-0000-00007FDE0000}"/>
    <cellStyle name="Porcentaje 2 7 2 5 4 3" xfId="24324" xr:uid="{00000000-0005-0000-0000-000080DE0000}"/>
    <cellStyle name="Porcentaje 2 7 2 5 4 3 2" xfId="51457" xr:uid="{00000000-0005-0000-0000-000081DE0000}"/>
    <cellStyle name="Porcentaje 2 7 2 5 4 4" xfId="37895" xr:uid="{00000000-0005-0000-0000-000082DE0000}"/>
    <cellStyle name="Porcentaje 2 7 2 5 5" xfId="14148" xr:uid="{00000000-0005-0000-0000-000083DE0000}"/>
    <cellStyle name="Porcentaje 2 7 2 5 5 2" xfId="27716" xr:uid="{00000000-0005-0000-0000-000084DE0000}"/>
    <cellStyle name="Porcentaje 2 7 2 5 5 2 2" xfId="54849" xr:uid="{00000000-0005-0000-0000-000085DE0000}"/>
    <cellStyle name="Porcentaje 2 7 2 5 5 3" xfId="41287" xr:uid="{00000000-0005-0000-0000-000086DE0000}"/>
    <cellStyle name="Porcentaje 2 7 2 5 6" xfId="20935" xr:uid="{00000000-0005-0000-0000-000087DE0000}"/>
    <cellStyle name="Porcentaje 2 7 2 5 6 2" xfId="48068" xr:uid="{00000000-0005-0000-0000-000088DE0000}"/>
    <cellStyle name="Porcentaje 2 7 2 5 7" xfId="34506" xr:uid="{00000000-0005-0000-0000-000089DE0000}"/>
    <cellStyle name="Porcentaje 2 7 2 6" xfId="7243" xr:uid="{00000000-0005-0000-0000-00008ADE0000}"/>
    <cellStyle name="Porcentaje 2 7 2 6 2" xfId="7244" xr:uid="{00000000-0005-0000-0000-00008BDE0000}"/>
    <cellStyle name="Porcentaje 2 7 2 6 2 2" xfId="10751" xr:uid="{00000000-0005-0000-0000-00008CDE0000}"/>
    <cellStyle name="Porcentaje 2 7 2 6 2 2 2" xfId="17541" xr:uid="{00000000-0005-0000-0000-00008DDE0000}"/>
    <cellStyle name="Porcentaje 2 7 2 6 2 2 2 2" xfId="31109" xr:uid="{00000000-0005-0000-0000-00008EDE0000}"/>
    <cellStyle name="Porcentaje 2 7 2 6 2 2 2 2 2" xfId="58242" xr:uid="{00000000-0005-0000-0000-00008FDE0000}"/>
    <cellStyle name="Porcentaje 2 7 2 6 2 2 2 3" xfId="44680" xr:uid="{00000000-0005-0000-0000-000090DE0000}"/>
    <cellStyle name="Porcentaje 2 7 2 6 2 2 3" xfId="24328" xr:uid="{00000000-0005-0000-0000-000091DE0000}"/>
    <cellStyle name="Porcentaje 2 7 2 6 2 2 3 2" xfId="51461" xr:uid="{00000000-0005-0000-0000-000092DE0000}"/>
    <cellStyle name="Porcentaje 2 7 2 6 2 2 4" xfId="37899" xr:uid="{00000000-0005-0000-0000-000093DE0000}"/>
    <cellStyle name="Porcentaje 2 7 2 6 2 3" xfId="14152" xr:uid="{00000000-0005-0000-0000-000094DE0000}"/>
    <cellStyle name="Porcentaje 2 7 2 6 2 3 2" xfId="27720" xr:uid="{00000000-0005-0000-0000-000095DE0000}"/>
    <cellStyle name="Porcentaje 2 7 2 6 2 3 2 2" xfId="54853" xr:uid="{00000000-0005-0000-0000-000096DE0000}"/>
    <cellStyle name="Porcentaje 2 7 2 6 2 3 3" xfId="41291" xr:uid="{00000000-0005-0000-0000-000097DE0000}"/>
    <cellStyle name="Porcentaje 2 7 2 6 2 4" xfId="20939" xr:uid="{00000000-0005-0000-0000-000098DE0000}"/>
    <cellStyle name="Porcentaje 2 7 2 6 2 4 2" xfId="48072" xr:uid="{00000000-0005-0000-0000-000099DE0000}"/>
    <cellStyle name="Porcentaje 2 7 2 6 2 5" xfId="34510" xr:uid="{00000000-0005-0000-0000-00009ADE0000}"/>
    <cellStyle name="Porcentaje 2 7 2 6 3" xfId="7245" xr:uid="{00000000-0005-0000-0000-00009BDE0000}"/>
    <cellStyle name="Porcentaje 2 7 2 6 3 2" xfId="10752" xr:uid="{00000000-0005-0000-0000-00009CDE0000}"/>
    <cellStyle name="Porcentaje 2 7 2 6 3 2 2" xfId="17542" xr:uid="{00000000-0005-0000-0000-00009DDE0000}"/>
    <cellStyle name="Porcentaje 2 7 2 6 3 2 2 2" xfId="31110" xr:uid="{00000000-0005-0000-0000-00009EDE0000}"/>
    <cellStyle name="Porcentaje 2 7 2 6 3 2 2 2 2" xfId="58243" xr:uid="{00000000-0005-0000-0000-00009FDE0000}"/>
    <cellStyle name="Porcentaje 2 7 2 6 3 2 2 3" xfId="44681" xr:uid="{00000000-0005-0000-0000-0000A0DE0000}"/>
    <cellStyle name="Porcentaje 2 7 2 6 3 2 3" xfId="24329" xr:uid="{00000000-0005-0000-0000-0000A1DE0000}"/>
    <cellStyle name="Porcentaje 2 7 2 6 3 2 3 2" xfId="51462" xr:uid="{00000000-0005-0000-0000-0000A2DE0000}"/>
    <cellStyle name="Porcentaje 2 7 2 6 3 2 4" xfId="37900" xr:uid="{00000000-0005-0000-0000-0000A3DE0000}"/>
    <cellStyle name="Porcentaje 2 7 2 6 3 3" xfId="14153" xr:uid="{00000000-0005-0000-0000-0000A4DE0000}"/>
    <cellStyle name="Porcentaje 2 7 2 6 3 3 2" xfId="27721" xr:uid="{00000000-0005-0000-0000-0000A5DE0000}"/>
    <cellStyle name="Porcentaje 2 7 2 6 3 3 2 2" xfId="54854" xr:uid="{00000000-0005-0000-0000-0000A6DE0000}"/>
    <cellStyle name="Porcentaje 2 7 2 6 3 3 3" xfId="41292" xr:uid="{00000000-0005-0000-0000-0000A7DE0000}"/>
    <cellStyle name="Porcentaje 2 7 2 6 3 4" xfId="20940" xr:uid="{00000000-0005-0000-0000-0000A8DE0000}"/>
    <cellStyle name="Porcentaje 2 7 2 6 3 4 2" xfId="48073" xr:uid="{00000000-0005-0000-0000-0000A9DE0000}"/>
    <cellStyle name="Porcentaje 2 7 2 6 3 5" xfId="34511" xr:uid="{00000000-0005-0000-0000-0000AADE0000}"/>
    <cellStyle name="Porcentaje 2 7 2 6 4" xfId="10750" xr:uid="{00000000-0005-0000-0000-0000ABDE0000}"/>
    <cellStyle name="Porcentaje 2 7 2 6 4 2" xfId="17540" xr:uid="{00000000-0005-0000-0000-0000ACDE0000}"/>
    <cellStyle name="Porcentaje 2 7 2 6 4 2 2" xfId="31108" xr:uid="{00000000-0005-0000-0000-0000ADDE0000}"/>
    <cellStyle name="Porcentaje 2 7 2 6 4 2 2 2" xfId="58241" xr:uid="{00000000-0005-0000-0000-0000AEDE0000}"/>
    <cellStyle name="Porcentaje 2 7 2 6 4 2 3" xfId="44679" xr:uid="{00000000-0005-0000-0000-0000AFDE0000}"/>
    <cellStyle name="Porcentaje 2 7 2 6 4 3" xfId="24327" xr:uid="{00000000-0005-0000-0000-0000B0DE0000}"/>
    <cellStyle name="Porcentaje 2 7 2 6 4 3 2" xfId="51460" xr:uid="{00000000-0005-0000-0000-0000B1DE0000}"/>
    <cellStyle name="Porcentaje 2 7 2 6 4 4" xfId="37898" xr:uid="{00000000-0005-0000-0000-0000B2DE0000}"/>
    <cellStyle name="Porcentaje 2 7 2 6 5" xfId="14151" xr:uid="{00000000-0005-0000-0000-0000B3DE0000}"/>
    <cellStyle name="Porcentaje 2 7 2 6 5 2" xfId="27719" xr:uid="{00000000-0005-0000-0000-0000B4DE0000}"/>
    <cellStyle name="Porcentaje 2 7 2 6 5 2 2" xfId="54852" xr:uid="{00000000-0005-0000-0000-0000B5DE0000}"/>
    <cellStyle name="Porcentaje 2 7 2 6 5 3" xfId="41290" xr:uid="{00000000-0005-0000-0000-0000B6DE0000}"/>
    <cellStyle name="Porcentaje 2 7 2 6 6" xfId="20938" xr:uid="{00000000-0005-0000-0000-0000B7DE0000}"/>
    <cellStyle name="Porcentaje 2 7 2 6 6 2" xfId="48071" xr:uid="{00000000-0005-0000-0000-0000B8DE0000}"/>
    <cellStyle name="Porcentaje 2 7 2 6 7" xfId="34509" xr:uid="{00000000-0005-0000-0000-0000B9DE0000}"/>
    <cellStyle name="Porcentaje 2 7 2 7" xfId="7246" xr:uid="{00000000-0005-0000-0000-0000BADE0000}"/>
    <cellStyle name="Porcentaje 2 7 2 7 2" xfId="10753" xr:uid="{00000000-0005-0000-0000-0000BBDE0000}"/>
    <cellStyle name="Porcentaje 2 7 2 7 2 2" xfId="17543" xr:uid="{00000000-0005-0000-0000-0000BCDE0000}"/>
    <cellStyle name="Porcentaje 2 7 2 7 2 2 2" xfId="31111" xr:uid="{00000000-0005-0000-0000-0000BDDE0000}"/>
    <cellStyle name="Porcentaje 2 7 2 7 2 2 2 2" xfId="58244" xr:uid="{00000000-0005-0000-0000-0000BEDE0000}"/>
    <cellStyle name="Porcentaje 2 7 2 7 2 2 3" xfId="44682" xr:uid="{00000000-0005-0000-0000-0000BFDE0000}"/>
    <cellStyle name="Porcentaje 2 7 2 7 2 3" xfId="24330" xr:uid="{00000000-0005-0000-0000-0000C0DE0000}"/>
    <cellStyle name="Porcentaje 2 7 2 7 2 3 2" xfId="51463" xr:uid="{00000000-0005-0000-0000-0000C1DE0000}"/>
    <cellStyle name="Porcentaje 2 7 2 7 2 4" xfId="37901" xr:uid="{00000000-0005-0000-0000-0000C2DE0000}"/>
    <cellStyle name="Porcentaje 2 7 2 7 3" xfId="14154" xr:uid="{00000000-0005-0000-0000-0000C3DE0000}"/>
    <cellStyle name="Porcentaje 2 7 2 7 3 2" xfId="27722" xr:uid="{00000000-0005-0000-0000-0000C4DE0000}"/>
    <cellStyle name="Porcentaje 2 7 2 7 3 2 2" xfId="54855" xr:uid="{00000000-0005-0000-0000-0000C5DE0000}"/>
    <cellStyle name="Porcentaje 2 7 2 7 3 3" xfId="41293" xr:uid="{00000000-0005-0000-0000-0000C6DE0000}"/>
    <cellStyle name="Porcentaje 2 7 2 7 4" xfId="20941" xr:uid="{00000000-0005-0000-0000-0000C7DE0000}"/>
    <cellStyle name="Porcentaje 2 7 2 7 4 2" xfId="48074" xr:uid="{00000000-0005-0000-0000-0000C8DE0000}"/>
    <cellStyle name="Porcentaje 2 7 2 7 5" xfId="34512" xr:uid="{00000000-0005-0000-0000-0000C9DE0000}"/>
    <cellStyle name="Porcentaje 2 7 2 8" xfId="7247" xr:uid="{00000000-0005-0000-0000-0000CADE0000}"/>
    <cellStyle name="Porcentaje 2 7 2 8 2" xfId="10754" xr:uid="{00000000-0005-0000-0000-0000CBDE0000}"/>
    <cellStyle name="Porcentaje 2 7 2 8 2 2" xfId="17544" xr:uid="{00000000-0005-0000-0000-0000CCDE0000}"/>
    <cellStyle name="Porcentaje 2 7 2 8 2 2 2" xfId="31112" xr:uid="{00000000-0005-0000-0000-0000CDDE0000}"/>
    <cellStyle name="Porcentaje 2 7 2 8 2 2 2 2" xfId="58245" xr:uid="{00000000-0005-0000-0000-0000CEDE0000}"/>
    <cellStyle name="Porcentaje 2 7 2 8 2 2 3" xfId="44683" xr:uid="{00000000-0005-0000-0000-0000CFDE0000}"/>
    <cellStyle name="Porcentaje 2 7 2 8 2 3" xfId="24331" xr:uid="{00000000-0005-0000-0000-0000D0DE0000}"/>
    <cellStyle name="Porcentaje 2 7 2 8 2 3 2" xfId="51464" xr:uid="{00000000-0005-0000-0000-0000D1DE0000}"/>
    <cellStyle name="Porcentaje 2 7 2 8 2 4" xfId="37902" xr:uid="{00000000-0005-0000-0000-0000D2DE0000}"/>
    <cellStyle name="Porcentaje 2 7 2 8 3" xfId="14155" xr:uid="{00000000-0005-0000-0000-0000D3DE0000}"/>
    <cellStyle name="Porcentaje 2 7 2 8 3 2" xfId="27723" xr:uid="{00000000-0005-0000-0000-0000D4DE0000}"/>
    <cellStyle name="Porcentaje 2 7 2 8 3 2 2" xfId="54856" xr:uid="{00000000-0005-0000-0000-0000D5DE0000}"/>
    <cellStyle name="Porcentaje 2 7 2 8 3 3" xfId="41294" xr:uid="{00000000-0005-0000-0000-0000D6DE0000}"/>
    <cellStyle name="Porcentaje 2 7 2 8 4" xfId="20942" xr:uid="{00000000-0005-0000-0000-0000D7DE0000}"/>
    <cellStyle name="Porcentaje 2 7 2 8 4 2" xfId="48075" xr:uid="{00000000-0005-0000-0000-0000D8DE0000}"/>
    <cellStyle name="Porcentaje 2 7 2 8 5" xfId="34513" xr:uid="{00000000-0005-0000-0000-0000D9DE0000}"/>
    <cellStyle name="Porcentaje 2 7 2 9" xfId="10716" xr:uid="{00000000-0005-0000-0000-0000DADE0000}"/>
    <cellStyle name="Porcentaje 2 7 2 9 2" xfId="17506" xr:uid="{00000000-0005-0000-0000-0000DBDE0000}"/>
    <cellStyle name="Porcentaje 2 7 2 9 2 2" xfId="31074" xr:uid="{00000000-0005-0000-0000-0000DCDE0000}"/>
    <cellStyle name="Porcentaje 2 7 2 9 2 2 2" xfId="58207" xr:uid="{00000000-0005-0000-0000-0000DDDE0000}"/>
    <cellStyle name="Porcentaje 2 7 2 9 2 3" xfId="44645" xr:uid="{00000000-0005-0000-0000-0000DEDE0000}"/>
    <cellStyle name="Porcentaje 2 7 2 9 3" xfId="24293" xr:uid="{00000000-0005-0000-0000-0000DFDE0000}"/>
    <cellStyle name="Porcentaje 2 7 2 9 3 2" xfId="51426" xr:uid="{00000000-0005-0000-0000-0000E0DE0000}"/>
    <cellStyle name="Porcentaje 2 7 2 9 4" xfId="37864" xr:uid="{00000000-0005-0000-0000-0000E1DE0000}"/>
    <cellStyle name="Porcentaje 2 7 3" xfId="7248" xr:uid="{00000000-0005-0000-0000-0000E2DE0000}"/>
    <cellStyle name="Porcentaje 2 7 3 10" xfId="34514" xr:uid="{00000000-0005-0000-0000-0000E3DE0000}"/>
    <cellStyle name="Porcentaje 2 7 3 2" xfId="7249" xr:uid="{00000000-0005-0000-0000-0000E4DE0000}"/>
    <cellStyle name="Porcentaje 2 7 3 2 2" xfId="7250" xr:uid="{00000000-0005-0000-0000-0000E5DE0000}"/>
    <cellStyle name="Porcentaje 2 7 3 2 2 2" xfId="7251" xr:uid="{00000000-0005-0000-0000-0000E6DE0000}"/>
    <cellStyle name="Porcentaje 2 7 3 2 2 2 2" xfId="10758" xr:uid="{00000000-0005-0000-0000-0000E7DE0000}"/>
    <cellStyle name="Porcentaje 2 7 3 2 2 2 2 2" xfId="17548" xr:uid="{00000000-0005-0000-0000-0000E8DE0000}"/>
    <cellStyle name="Porcentaje 2 7 3 2 2 2 2 2 2" xfId="31116" xr:uid="{00000000-0005-0000-0000-0000E9DE0000}"/>
    <cellStyle name="Porcentaje 2 7 3 2 2 2 2 2 2 2" xfId="58249" xr:uid="{00000000-0005-0000-0000-0000EADE0000}"/>
    <cellStyle name="Porcentaje 2 7 3 2 2 2 2 2 3" xfId="44687" xr:uid="{00000000-0005-0000-0000-0000EBDE0000}"/>
    <cellStyle name="Porcentaje 2 7 3 2 2 2 2 3" xfId="24335" xr:uid="{00000000-0005-0000-0000-0000ECDE0000}"/>
    <cellStyle name="Porcentaje 2 7 3 2 2 2 2 3 2" xfId="51468" xr:uid="{00000000-0005-0000-0000-0000EDDE0000}"/>
    <cellStyle name="Porcentaje 2 7 3 2 2 2 2 4" xfId="37906" xr:uid="{00000000-0005-0000-0000-0000EEDE0000}"/>
    <cellStyle name="Porcentaje 2 7 3 2 2 2 3" xfId="14159" xr:uid="{00000000-0005-0000-0000-0000EFDE0000}"/>
    <cellStyle name="Porcentaje 2 7 3 2 2 2 3 2" xfId="27727" xr:uid="{00000000-0005-0000-0000-0000F0DE0000}"/>
    <cellStyle name="Porcentaje 2 7 3 2 2 2 3 2 2" xfId="54860" xr:uid="{00000000-0005-0000-0000-0000F1DE0000}"/>
    <cellStyle name="Porcentaje 2 7 3 2 2 2 3 3" xfId="41298" xr:uid="{00000000-0005-0000-0000-0000F2DE0000}"/>
    <cellStyle name="Porcentaje 2 7 3 2 2 2 4" xfId="20946" xr:uid="{00000000-0005-0000-0000-0000F3DE0000}"/>
    <cellStyle name="Porcentaje 2 7 3 2 2 2 4 2" xfId="48079" xr:uid="{00000000-0005-0000-0000-0000F4DE0000}"/>
    <cellStyle name="Porcentaje 2 7 3 2 2 2 5" xfId="34517" xr:uid="{00000000-0005-0000-0000-0000F5DE0000}"/>
    <cellStyle name="Porcentaje 2 7 3 2 2 3" xfId="7252" xr:uid="{00000000-0005-0000-0000-0000F6DE0000}"/>
    <cellStyle name="Porcentaje 2 7 3 2 2 3 2" xfId="10759" xr:uid="{00000000-0005-0000-0000-0000F7DE0000}"/>
    <cellStyle name="Porcentaje 2 7 3 2 2 3 2 2" xfId="17549" xr:uid="{00000000-0005-0000-0000-0000F8DE0000}"/>
    <cellStyle name="Porcentaje 2 7 3 2 2 3 2 2 2" xfId="31117" xr:uid="{00000000-0005-0000-0000-0000F9DE0000}"/>
    <cellStyle name="Porcentaje 2 7 3 2 2 3 2 2 2 2" xfId="58250" xr:uid="{00000000-0005-0000-0000-0000FADE0000}"/>
    <cellStyle name="Porcentaje 2 7 3 2 2 3 2 2 3" xfId="44688" xr:uid="{00000000-0005-0000-0000-0000FBDE0000}"/>
    <cellStyle name="Porcentaje 2 7 3 2 2 3 2 3" xfId="24336" xr:uid="{00000000-0005-0000-0000-0000FCDE0000}"/>
    <cellStyle name="Porcentaje 2 7 3 2 2 3 2 3 2" xfId="51469" xr:uid="{00000000-0005-0000-0000-0000FDDE0000}"/>
    <cellStyle name="Porcentaje 2 7 3 2 2 3 2 4" xfId="37907" xr:uid="{00000000-0005-0000-0000-0000FEDE0000}"/>
    <cellStyle name="Porcentaje 2 7 3 2 2 3 3" xfId="14160" xr:uid="{00000000-0005-0000-0000-0000FFDE0000}"/>
    <cellStyle name="Porcentaje 2 7 3 2 2 3 3 2" xfId="27728" xr:uid="{00000000-0005-0000-0000-000000DF0000}"/>
    <cellStyle name="Porcentaje 2 7 3 2 2 3 3 2 2" xfId="54861" xr:uid="{00000000-0005-0000-0000-000001DF0000}"/>
    <cellStyle name="Porcentaje 2 7 3 2 2 3 3 3" xfId="41299" xr:uid="{00000000-0005-0000-0000-000002DF0000}"/>
    <cellStyle name="Porcentaje 2 7 3 2 2 3 4" xfId="20947" xr:uid="{00000000-0005-0000-0000-000003DF0000}"/>
    <cellStyle name="Porcentaje 2 7 3 2 2 3 4 2" xfId="48080" xr:uid="{00000000-0005-0000-0000-000004DF0000}"/>
    <cellStyle name="Porcentaje 2 7 3 2 2 3 5" xfId="34518" xr:uid="{00000000-0005-0000-0000-000005DF0000}"/>
    <cellStyle name="Porcentaje 2 7 3 2 2 4" xfId="10757" xr:uid="{00000000-0005-0000-0000-000006DF0000}"/>
    <cellStyle name="Porcentaje 2 7 3 2 2 4 2" xfId="17547" xr:uid="{00000000-0005-0000-0000-000007DF0000}"/>
    <cellStyle name="Porcentaje 2 7 3 2 2 4 2 2" xfId="31115" xr:uid="{00000000-0005-0000-0000-000008DF0000}"/>
    <cellStyle name="Porcentaje 2 7 3 2 2 4 2 2 2" xfId="58248" xr:uid="{00000000-0005-0000-0000-000009DF0000}"/>
    <cellStyle name="Porcentaje 2 7 3 2 2 4 2 3" xfId="44686" xr:uid="{00000000-0005-0000-0000-00000ADF0000}"/>
    <cellStyle name="Porcentaje 2 7 3 2 2 4 3" xfId="24334" xr:uid="{00000000-0005-0000-0000-00000BDF0000}"/>
    <cellStyle name="Porcentaje 2 7 3 2 2 4 3 2" xfId="51467" xr:uid="{00000000-0005-0000-0000-00000CDF0000}"/>
    <cellStyle name="Porcentaje 2 7 3 2 2 4 4" xfId="37905" xr:uid="{00000000-0005-0000-0000-00000DDF0000}"/>
    <cellStyle name="Porcentaje 2 7 3 2 2 5" xfId="14158" xr:uid="{00000000-0005-0000-0000-00000EDF0000}"/>
    <cellStyle name="Porcentaje 2 7 3 2 2 5 2" xfId="27726" xr:uid="{00000000-0005-0000-0000-00000FDF0000}"/>
    <cellStyle name="Porcentaje 2 7 3 2 2 5 2 2" xfId="54859" xr:uid="{00000000-0005-0000-0000-000010DF0000}"/>
    <cellStyle name="Porcentaje 2 7 3 2 2 5 3" xfId="41297" xr:uid="{00000000-0005-0000-0000-000011DF0000}"/>
    <cellStyle name="Porcentaje 2 7 3 2 2 6" xfId="20945" xr:uid="{00000000-0005-0000-0000-000012DF0000}"/>
    <cellStyle name="Porcentaje 2 7 3 2 2 6 2" xfId="48078" xr:uid="{00000000-0005-0000-0000-000013DF0000}"/>
    <cellStyle name="Porcentaje 2 7 3 2 2 7" xfId="34516" xr:uid="{00000000-0005-0000-0000-000014DF0000}"/>
    <cellStyle name="Porcentaje 2 7 3 2 3" xfId="7253" xr:uid="{00000000-0005-0000-0000-000015DF0000}"/>
    <cellStyle name="Porcentaje 2 7 3 2 3 2" xfId="7254" xr:uid="{00000000-0005-0000-0000-000016DF0000}"/>
    <cellStyle name="Porcentaje 2 7 3 2 3 2 2" xfId="10761" xr:uid="{00000000-0005-0000-0000-000017DF0000}"/>
    <cellStyle name="Porcentaje 2 7 3 2 3 2 2 2" xfId="17551" xr:uid="{00000000-0005-0000-0000-000018DF0000}"/>
    <cellStyle name="Porcentaje 2 7 3 2 3 2 2 2 2" xfId="31119" xr:uid="{00000000-0005-0000-0000-000019DF0000}"/>
    <cellStyle name="Porcentaje 2 7 3 2 3 2 2 2 2 2" xfId="58252" xr:uid="{00000000-0005-0000-0000-00001ADF0000}"/>
    <cellStyle name="Porcentaje 2 7 3 2 3 2 2 2 3" xfId="44690" xr:uid="{00000000-0005-0000-0000-00001BDF0000}"/>
    <cellStyle name="Porcentaje 2 7 3 2 3 2 2 3" xfId="24338" xr:uid="{00000000-0005-0000-0000-00001CDF0000}"/>
    <cellStyle name="Porcentaje 2 7 3 2 3 2 2 3 2" xfId="51471" xr:uid="{00000000-0005-0000-0000-00001DDF0000}"/>
    <cellStyle name="Porcentaje 2 7 3 2 3 2 2 4" xfId="37909" xr:uid="{00000000-0005-0000-0000-00001EDF0000}"/>
    <cellStyle name="Porcentaje 2 7 3 2 3 2 3" xfId="14162" xr:uid="{00000000-0005-0000-0000-00001FDF0000}"/>
    <cellStyle name="Porcentaje 2 7 3 2 3 2 3 2" xfId="27730" xr:uid="{00000000-0005-0000-0000-000020DF0000}"/>
    <cellStyle name="Porcentaje 2 7 3 2 3 2 3 2 2" xfId="54863" xr:uid="{00000000-0005-0000-0000-000021DF0000}"/>
    <cellStyle name="Porcentaje 2 7 3 2 3 2 3 3" xfId="41301" xr:uid="{00000000-0005-0000-0000-000022DF0000}"/>
    <cellStyle name="Porcentaje 2 7 3 2 3 2 4" xfId="20949" xr:uid="{00000000-0005-0000-0000-000023DF0000}"/>
    <cellStyle name="Porcentaje 2 7 3 2 3 2 4 2" xfId="48082" xr:uid="{00000000-0005-0000-0000-000024DF0000}"/>
    <cellStyle name="Porcentaje 2 7 3 2 3 2 5" xfId="34520" xr:uid="{00000000-0005-0000-0000-000025DF0000}"/>
    <cellStyle name="Porcentaje 2 7 3 2 3 3" xfId="10760" xr:uid="{00000000-0005-0000-0000-000026DF0000}"/>
    <cellStyle name="Porcentaje 2 7 3 2 3 3 2" xfId="17550" xr:uid="{00000000-0005-0000-0000-000027DF0000}"/>
    <cellStyle name="Porcentaje 2 7 3 2 3 3 2 2" xfId="31118" xr:uid="{00000000-0005-0000-0000-000028DF0000}"/>
    <cellStyle name="Porcentaje 2 7 3 2 3 3 2 2 2" xfId="58251" xr:uid="{00000000-0005-0000-0000-000029DF0000}"/>
    <cellStyle name="Porcentaje 2 7 3 2 3 3 2 3" xfId="44689" xr:uid="{00000000-0005-0000-0000-00002ADF0000}"/>
    <cellStyle name="Porcentaje 2 7 3 2 3 3 3" xfId="24337" xr:uid="{00000000-0005-0000-0000-00002BDF0000}"/>
    <cellStyle name="Porcentaje 2 7 3 2 3 3 3 2" xfId="51470" xr:uid="{00000000-0005-0000-0000-00002CDF0000}"/>
    <cellStyle name="Porcentaje 2 7 3 2 3 3 4" xfId="37908" xr:uid="{00000000-0005-0000-0000-00002DDF0000}"/>
    <cellStyle name="Porcentaje 2 7 3 2 3 4" xfId="14161" xr:uid="{00000000-0005-0000-0000-00002EDF0000}"/>
    <cellStyle name="Porcentaje 2 7 3 2 3 4 2" xfId="27729" xr:uid="{00000000-0005-0000-0000-00002FDF0000}"/>
    <cellStyle name="Porcentaje 2 7 3 2 3 4 2 2" xfId="54862" xr:uid="{00000000-0005-0000-0000-000030DF0000}"/>
    <cellStyle name="Porcentaje 2 7 3 2 3 4 3" xfId="41300" xr:uid="{00000000-0005-0000-0000-000031DF0000}"/>
    <cellStyle name="Porcentaje 2 7 3 2 3 5" xfId="20948" xr:uid="{00000000-0005-0000-0000-000032DF0000}"/>
    <cellStyle name="Porcentaje 2 7 3 2 3 5 2" xfId="48081" xr:uid="{00000000-0005-0000-0000-000033DF0000}"/>
    <cellStyle name="Porcentaje 2 7 3 2 3 6" xfId="34519" xr:uid="{00000000-0005-0000-0000-000034DF0000}"/>
    <cellStyle name="Porcentaje 2 7 3 2 4" xfId="7255" xr:uid="{00000000-0005-0000-0000-000035DF0000}"/>
    <cellStyle name="Porcentaje 2 7 3 2 4 2" xfId="10762" xr:uid="{00000000-0005-0000-0000-000036DF0000}"/>
    <cellStyle name="Porcentaje 2 7 3 2 4 2 2" xfId="17552" xr:uid="{00000000-0005-0000-0000-000037DF0000}"/>
    <cellStyle name="Porcentaje 2 7 3 2 4 2 2 2" xfId="31120" xr:uid="{00000000-0005-0000-0000-000038DF0000}"/>
    <cellStyle name="Porcentaje 2 7 3 2 4 2 2 2 2" xfId="58253" xr:uid="{00000000-0005-0000-0000-000039DF0000}"/>
    <cellStyle name="Porcentaje 2 7 3 2 4 2 2 3" xfId="44691" xr:uid="{00000000-0005-0000-0000-00003ADF0000}"/>
    <cellStyle name="Porcentaje 2 7 3 2 4 2 3" xfId="24339" xr:uid="{00000000-0005-0000-0000-00003BDF0000}"/>
    <cellStyle name="Porcentaje 2 7 3 2 4 2 3 2" xfId="51472" xr:uid="{00000000-0005-0000-0000-00003CDF0000}"/>
    <cellStyle name="Porcentaje 2 7 3 2 4 2 4" xfId="37910" xr:uid="{00000000-0005-0000-0000-00003DDF0000}"/>
    <cellStyle name="Porcentaje 2 7 3 2 4 3" xfId="14163" xr:uid="{00000000-0005-0000-0000-00003EDF0000}"/>
    <cellStyle name="Porcentaje 2 7 3 2 4 3 2" xfId="27731" xr:uid="{00000000-0005-0000-0000-00003FDF0000}"/>
    <cellStyle name="Porcentaje 2 7 3 2 4 3 2 2" xfId="54864" xr:uid="{00000000-0005-0000-0000-000040DF0000}"/>
    <cellStyle name="Porcentaje 2 7 3 2 4 3 3" xfId="41302" xr:uid="{00000000-0005-0000-0000-000041DF0000}"/>
    <cellStyle name="Porcentaje 2 7 3 2 4 4" xfId="20950" xr:uid="{00000000-0005-0000-0000-000042DF0000}"/>
    <cellStyle name="Porcentaje 2 7 3 2 4 4 2" xfId="48083" xr:uid="{00000000-0005-0000-0000-000043DF0000}"/>
    <cellStyle name="Porcentaje 2 7 3 2 4 5" xfId="34521" xr:uid="{00000000-0005-0000-0000-000044DF0000}"/>
    <cellStyle name="Porcentaje 2 7 3 2 5" xfId="7256" xr:uid="{00000000-0005-0000-0000-000045DF0000}"/>
    <cellStyle name="Porcentaje 2 7 3 2 5 2" xfId="10763" xr:uid="{00000000-0005-0000-0000-000046DF0000}"/>
    <cellStyle name="Porcentaje 2 7 3 2 5 2 2" xfId="17553" xr:uid="{00000000-0005-0000-0000-000047DF0000}"/>
    <cellStyle name="Porcentaje 2 7 3 2 5 2 2 2" xfId="31121" xr:uid="{00000000-0005-0000-0000-000048DF0000}"/>
    <cellStyle name="Porcentaje 2 7 3 2 5 2 2 2 2" xfId="58254" xr:uid="{00000000-0005-0000-0000-000049DF0000}"/>
    <cellStyle name="Porcentaje 2 7 3 2 5 2 2 3" xfId="44692" xr:uid="{00000000-0005-0000-0000-00004ADF0000}"/>
    <cellStyle name="Porcentaje 2 7 3 2 5 2 3" xfId="24340" xr:uid="{00000000-0005-0000-0000-00004BDF0000}"/>
    <cellStyle name="Porcentaje 2 7 3 2 5 2 3 2" xfId="51473" xr:uid="{00000000-0005-0000-0000-00004CDF0000}"/>
    <cellStyle name="Porcentaje 2 7 3 2 5 2 4" xfId="37911" xr:uid="{00000000-0005-0000-0000-00004DDF0000}"/>
    <cellStyle name="Porcentaje 2 7 3 2 5 3" xfId="14164" xr:uid="{00000000-0005-0000-0000-00004EDF0000}"/>
    <cellStyle name="Porcentaje 2 7 3 2 5 3 2" xfId="27732" xr:uid="{00000000-0005-0000-0000-00004FDF0000}"/>
    <cellStyle name="Porcentaje 2 7 3 2 5 3 2 2" xfId="54865" xr:uid="{00000000-0005-0000-0000-000050DF0000}"/>
    <cellStyle name="Porcentaje 2 7 3 2 5 3 3" xfId="41303" xr:uid="{00000000-0005-0000-0000-000051DF0000}"/>
    <cellStyle name="Porcentaje 2 7 3 2 5 4" xfId="20951" xr:uid="{00000000-0005-0000-0000-000052DF0000}"/>
    <cellStyle name="Porcentaje 2 7 3 2 5 4 2" xfId="48084" xr:uid="{00000000-0005-0000-0000-000053DF0000}"/>
    <cellStyle name="Porcentaje 2 7 3 2 5 5" xfId="34522" xr:uid="{00000000-0005-0000-0000-000054DF0000}"/>
    <cellStyle name="Porcentaje 2 7 3 2 6" xfId="10756" xr:uid="{00000000-0005-0000-0000-000055DF0000}"/>
    <cellStyle name="Porcentaje 2 7 3 2 6 2" xfId="17546" xr:uid="{00000000-0005-0000-0000-000056DF0000}"/>
    <cellStyle name="Porcentaje 2 7 3 2 6 2 2" xfId="31114" xr:uid="{00000000-0005-0000-0000-000057DF0000}"/>
    <cellStyle name="Porcentaje 2 7 3 2 6 2 2 2" xfId="58247" xr:uid="{00000000-0005-0000-0000-000058DF0000}"/>
    <cellStyle name="Porcentaje 2 7 3 2 6 2 3" xfId="44685" xr:uid="{00000000-0005-0000-0000-000059DF0000}"/>
    <cellStyle name="Porcentaje 2 7 3 2 6 3" xfId="24333" xr:uid="{00000000-0005-0000-0000-00005ADF0000}"/>
    <cellStyle name="Porcentaje 2 7 3 2 6 3 2" xfId="51466" xr:uid="{00000000-0005-0000-0000-00005BDF0000}"/>
    <cellStyle name="Porcentaje 2 7 3 2 6 4" xfId="37904" xr:uid="{00000000-0005-0000-0000-00005CDF0000}"/>
    <cellStyle name="Porcentaje 2 7 3 2 7" xfId="14157" xr:uid="{00000000-0005-0000-0000-00005DDF0000}"/>
    <cellStyle name="Porcentaje 2 7 3 2 7 2" xfId="27725" xr:uid="{00000000-0005-0000-0000-00005EDF0000}"/>
    <cellStyle name="Porcentaje 2 7 3 2 7 2 2" xfId="54858" xr:uid="{00000000-0005-0000-0000-00005FDF0000}"/>
    <cellStyle name="Porcentaje 2 7 3 2 7 3" xfId="41296" xr:uid="{00000000-0005-0000-0000-000060DF0000}"/>
    <cellStyle name="Porcentaje 2 7 3 2 8" xfId="20944" xr:uid="{00000000-0005-0000-0000-000061DF0000}"/>
    <cellStyle name="Porcentaje 2 7 3 2 8 2" xfId="48077" xr:uid="{00000000-0005-0000-0000-000062DF0000}"/>
    <cellStyle name="Porcentaje 2 7 3 2 9" xfId="34515" xr:uid="{00000000-0005-0000-0000-000063DF0000}"/>
    <cellStyle name="Porcentaje 2 7 3 3" xfId="7257" xr:uid="{00000000-0005-0000-0000-000064DF0000}"/>
    <cellStyle name="Porcentaje 2 7 3 3 2" xfId="7258" xr:uid="{00000000-0005-0000-0000-000065DF0000}"/>
    <cellStyle name="Porcentaje 2 7 3 3 2 2" xfId="10765" xr:uid="{00000000-0005-0000-0000-000066DF0000}"/>
    <cellStyle name="Porcentaje 2 7 3 3 2 2 2" xfId="17555" xr:uid="{00000000-0005-0000-0000-000067DF0000}"/>
    <cellStyle name="Porcentaje 2 7 3 3 2 2 2 2" xfId="31123" xr:uid="{00000000-0005-0000-0000-000068DF0000}"/>
    <cellStyle name="Porcentaje 2 7 3 3 2 2 2 2 2" xfId="58256" xr:uid="{00000000-0005-0000-0000-000069DF0000}"/>
    <cellStyle name="Porcentaje 2 7 3 3 2 2 2 3" xfId="44694" xr:uid="{00000000-0005-0000-0000-00006ADF0000}"/>
    <cellStyle name="Porcentaje 2 7 3 3 2 2 3" xfId="24342" xr:uid="{00000000-0005-0000-0000-00006BDF0000}"/>
    <cellStyle name="Porcentaje 2 7 3 3 2 2 3 2" xfId="51475" xr:uid="{00000000-0005-0000-0000-00006CDF0000}"/>
    <cellStyle name="Porcentaje 2 7 3 3 2 2 4" xfId="37913" xr:uid="{00000000-0005-0000-0000-00006DDF0000}"/>
    <cellStyle name="Porcentaje 2 7 3 3 2 3" xfId="14166" xr:uid="{00000000-0005-0000-0000-00006EDF0000}"/>
    <cellStyle name="Porcentaje 2 7 3 3 2 3 2" xfId="27734" xr:uid="{00000000-0005-0000-0000-00006FDF0000}"/>
    <cellStyle name="Porcentaje 2 7 3 3 2 3 2 2" xfId="54867" xr:uid="{00000000-0005-0000-0000-000070DF0000}"/>
    <cellStyle name="Porcentaje 2 7 3 3 2 3 3" xfId="41305" xr:uid="{00000000-0005-0000-0000-000071DF0000}"/>
    <cellStyle name="Porcentaje 2 7 3 3 2 4" xfId="20953" xr:uid="{00000000-0005-0000-0000-000072DF0000}"/>
    <cellStyle name="Porcentaje 2 7 3 3 2 4 2" xfId="48086" xr:uid="{00000000-0005-0000-0000-000073DF0000}"/>
    <cellStyle name="Porcentaje 2 7 3 3 2 5" xfId="34524" xr:uid="{00000000-0005-0000-0000-000074DF0000}"/>
    <cellStyle name="Porcentaje 2 7 3 3 3" xfId="7259" xr:uid="{00000000-0005-0000-0000-000075DF0000}"/>
    <cellStyle name="Porcentaje 2 7 3 3 3 2" xfId="10766" xr:uid="{00000000-0005-0000-0000-000076DF0000}"/>
    <cellStyle name="Porcentaje 2 7 3 3 3 2 2" xfId="17556" xr:uid="{00000000-0005-0000-0000-000077DF0000}"/>
    <cellStyle name="Porcentaje 2 7 3 3 3 2 2 2" xfId="31124" xr:uid="{00000000-0005-0000-0000-000078DF0000}"/>
    <cellStyle name="Porcentaje 2 7 3 3 3 2 2 2 2" xfId="58257" xr:uid="{00000000-0005-0000-0000-000079DF0000}"/>
    <cellStyle name="Porcentaje 2 7 3 3 3 2 2 3" xfId="44695" xr:uid="{00000000-0005-0000-0000-00007ADF0000}"/>
    <cellStyle name="Porcentaje 2 7 3 3 3 2 3" xfId="24343" xr:uid="{00000000-0005-0000-0000-00007BDF0000}"/>
    <cellStyle name="Porcentaje 2 7 3 3 3 2 3 2" xfId="51476" xr:uid="{00000000-0005-0000-0000-00007CDF0000}"/>
    <cellStyle name="Porcentaje 2 7 3 3 3 2 4" xfId="37914" xr:uid="{00000000-0005-0000-0000-00007DDF0000}"/>
    <cellStyle name="Porcentaje 2 7 3 3 3 3" xfId="14167" xr:uid="{00000000-0005-0000-0000-00007EDF0000}"/>
    <cellStyle name="Porcentaje 2 7 3 3 3 3 2" xfId="27735" xr:uid="{00000000-0005-0000-0000-00007FDF0000}"/>
    <cellStyle name="Porcentaje 2 7 3 3 3 3 2 2" xfId="54868" xr:uid="{00000000-0005-0000-0000-000080DF0000}"/>
    <cellStyle name="Porcentaje 2 7 3 3 3 3 3" xfId="41306" xr:uid="{00000000-0005-0000-0000-000081DF0000}"/>
    <cellStyle name="Porcentaje 2 7 3 3 3 4" xfId="20954" xr:uid="{00000000-0005-0000-0000-000082DF0000}"/>
    <cellStyle name="Porcentaje 2 7 3 3 3 4 2" xfId="48087" xr:uid="{00000000-0005-0000-0000-000083DF0000}"/>
    <cellStyle name="Porcentaje 2 7 3 3 3 5" xfId="34525" xr:uid="{00000000-0005-0000-0000-000084DF0000}"/>
    <cellStyle name="Porcentaje 2 7 3 3 4" xfId="10764" xr:uid="{00000000-0005-0000-0000-000085DF0000}"/>
    <cellStyle name="Porcentaje 2 7 3 3 4 2" xfId="17554" xr:uid="{00000000-0005-0000-0000-000086DF0000}"/>
    <cellStyle name="Porcentaje 2 7 3 3 4 2 2" xfId="31122" xr:uid="{00000000-0005-0000-0000-000087DF0000}"/>
    <cellStyle name="Porcentaje 2 7 3 3 4 2 2 2" xfId="58255" xr:uid="{00000000-0005-0000-0000-000088DF0000}"/>
    <cellStyle name="Porcentaje 2 7 3 3 4 2 3" xfId="44693" xr:uid="{00000000-0005-0000-0000-000089DF0000}"/>
    <cellStyle name="Porcentaje 2 7 3 3 4 3" xfId="24341" xr:uid="{00000000-0005-0000-0000-00008ADF0000}"/>
    <cellStyle name="Porcentaje 2 7 3 3 4 3 2" xfId="51474" xr:uid="{00000000-0005-0000-0000-00008BDF0000}"/>
    <cellStyle name="Porcentaje 2 7 3 3 4 4" xfId="37912" xr:uid="{00000000-0005-0000-0000-00008CDF0000}"/>
    <cellStyle name="Porcentaje 2 7 3 3 5" xfId="14165" xr:uid="{00000000-0005-0000-0000-00008DDF0000}"/>
    <cellStyle name="Porcentaje 2 7 3 3 5 2" xfId="27733" xr:uid="{00000000-0005-0000-0000-00008EDF0000}"/>
    <cellStyle name="Porcentaje 2 7 3 3 5 2 2" xfId="54866" xr:uid="{00000000-0005-0000-0000-00008FDF0000}"/>
    <cellStyle name="Porcentaje 2 7 3 3 5 3" xfId="41304" xr:uid="{00000000-0005-0000-0000-000090DF0000}"/>
    <cellStyle name="Porcentaje 2 7 3 3 6" xfId="20952" xr:uid="{00000000-0005-0000-0000-000091DF0000}"/>
    <cellStyle name="Porcentaje 2 7 3 3 6 2" xfId="48085" xr:uid="{00000000-0005-0000-0000-000092DF0000}"/>
    <cellStyle name="Porcentaje 2 7 3 3 7" xfId="34523" xr:uid="{00000000-0005-0000-0000-000093DF0000}"/>
    <cellStyle name="Porcentaje 2 7 3 4" xfId="7260" xr:uid="{00000000-0005-0000-0000-000094DF0000}"/>
    <cellStyle name="Porcentaje 2 7 3 4 2" xfId="7261" xr:uid="{00000000-0005-0000-0000-000095DF0000}"/>
    <cellStyle name="Porcentaje 2 7 3 4 2 2" xfId="10768" xr:uid="{00000000-0005-0000-0000-000096DF0000}"/>
    <cellStyle name="Porcentaje 2 7 3 4 2 2 2" xfId="17558" xr:uid="{00000000-0005-0000-0000-000097DF0000}"/>
    <cellStyle name="Porcentaje 2 7 3 4 2 2 2 2" xfId="31126" xr:uid="{00000000-0005-0000-0000-000098DF0000}"/>
    <cellStyle name="Porcentaje 2 7 3 4 2 2 2 2 2" xfId="58259" xr:uid="{00000000-0005-0000-0000-000099DF0000}"/>
    <cellStyle name="Porcentaje 2 7 3 4 2 2 2 3" xfId="44697" xr:uid="{00000000-0005-0000-0000-00009ADF0000}"/>
    <cellStyle name="Porcentaje 2 7 3 4 2 2 3" xfId="24345" xr:uid="{00000000-0005-0000-0000-00009BDF0000}"/>
    <cellStyle name="Porcentaje 2 7 3 4 2 2 3 2" xfId="51478" xr:uid="{00000000-0005-0000-0000-00009CDF0000}"/>
    <cellStyle name="Porcentaje 2 7 3 4 2 2 4" xfId="37916" xr:uid="{00000000-0005-0000-0000-00009DDF0000}"/>
    <cellStyle name="Porcentaje 2 7 3 4 2 3" xfId="14169" xr:uid="{00000000-0005-0000-0000-00009EDF0000}"/>
    <cellStyle name="Porcentaje 2 7 3 4 2 3 2" xfId="27737" xr:uid="{00000000-0005-0000-0000-00009FDF0000}"/>
    <cellStyle name="Porcentaje 2 7 3 4 2 3 2 2" xfId="54870" xr:uid="{00000000-0005-0000-0000-0000A0DF0000}"/>
    <cellStyle name="Porcentaje 2 7 3 4 2 3 3" xfId="41308" xr:uid="{00000000-0005-0000-0000-0000A1DF0000}"/>
    <cellStyle name="Porcentaje 2 7 3 4 2 4" xfId="20956" xr:uid="{00000000-0005-0000-0000-0000A2DF0000}"/>
    <cellStyle name="Porcentaje 2 7 3 4 2 4 2" xfId="48089" xr:uid="{00000000-0005-0000-0000-0000A3DF0000}"/>
    <cellStyle name="Porcentaje 2 7 3 4 2 5" xfId="34527" xr:uid="{00000000-0005-0000-0000-0000A4DF0000}"/>
    <cellStyle name="Porcentaje 2 7 3 4 3" xfId="10767" xr:uid="{00000000-0005-0000-0000-0000A5DF0000}"/>
    <cellStyle name="Porcentaje 2 7 3 4 3 2" xfId="17557" xr:uid="{00000000-0005-0000-0000-0000A6DF0000}"/>
    <cellStyle name="Porcentaje 2 7 3 4 3 2 2" xfId="31125" xr:uid="{00000000-0005-0000-0000-0000A7DF0000}"/>
    <cellStyle name="Porcentaje 2 7 3 4 3 2 2 2" xfId="58258" xr:uid="{00000000-0005-0000-0000-0000A8DF0000}"/>
    <cellStyle name="Porcentaje 2 7 3 4 3 2 3" xfId="44696" xr:uid="{00000000-0005-0000-0000-0000A9DF0000}"/>
    <cellStyle name="Porcentaje 2 7 3 4 3 3" xfId="24344" xr:uid="{00000000-0005-0000-0000-0000AADF0000}"/>
    <cellStyle name="Porcentaje 2 7 3 4 3 3 2" xfId="51477" xr:uid="{00000000-0005-0000-0000-0000ABDF0000}"/>
    <cellStyle name="Porcentaje 2 7 3 4 3 4" xfId="37915" xr:uid="{00000000-0005-0000-0000-0000ACDF0000}"/>
    <cellStyle name="Porcentaje 2 7 3 4 4" xfId="14168" xr:uid="{00000000-0005-0000-0000-0000ADDF0000}"/>
    <cellStyle name="Porcentaje 2 7 3 4 4 2" xfId="27736" xr:uid="{00000000-0005-0000-0000-0000AEDF0000}"/>
    <cellStyle name="Porcentaje 2 7 3 4 4 2 2" xfId="54869" xr:uid="{00000000-0005-0000-0000-0000AFDF0000}"/>
    <cellStyle name="Porcentaje 2 7 3 4 4 3" xfId="41307" xr:uid="{00000000-0005-0000-0000-0000B0DF0000}"/>
    <cellStyle name="Porcentaje 2 7 3 4 5" xfId="20955" xr:uid="{00000000-0005-0000-0000-0000B1DF0000}"/>
    <cellStyle name="Porcentaje 2 7 3 4 5 2" xfId="48088" xr:uid="{00000000-0005-0000-0000-0000B2DF0000}"/>
    <cellStyle name="Porcentaje 2 7 3 4 6" xfId="34526" xr:uid="{00000000-0005-0000-0000-0000B3DF0000}"/>
    <cellStyle name="Porcentaje 2 7 3 5" xfId="7262" xr:uid="{00000000-0005-0000-0000-0000B4DF0000}"/>
    <cellStyle name="Porcentaje 2 7 3 5 2" xfId="10769" xr:uid="{00000000-0005-0000-0000-0000B5DF0000}"/>
    <cellStyle name="Porcentaje 2 7 3 5 2 2" xfId="17559" xr:uid="{00000000-0005-0000-0000-0000B6DF0000}"/>
    <cellStyle name="Porcentaje 2 7 3 5 2 2 2" xfId="31127" xr:uid="{00000000-0005-0000-0000-0000B7DF0000}"/>
    <cellStyle name="Porcentaje 2 7 3 5 2 2 2 2" xfId="58260" xr:uid="{00000000-0005-0000-0000-0000B8DF0000}"/>
    <cellStyle name="Porcentaje 2 7 3 5 2 2 3" xfId="44698" xr:uid="{00000000-0005-0000-0000-0000B9DF0000}"/>
    <cellStyle name="Porcentaje 2 7 3 5 2 3" xfId="24346" xr:uid="{00000000-0005-0000-0000-0000BADF0000}"/>
    <cellStyle name="Porcentaje 2 7 3 5 2 3 2" xfId="51479" xr:uid="{00000000-0005-0000-0000-0000BBDF0000}"/>
    <cellStyle name="Porcentaje 2 7 3 5 2 4" xfId="37917" xr:uid="{00000000-0005-0000-0000-0000BCDF0000}"/>
    <cellStyle name="Porcentaje 2 7 3 5 3" xfId="14170" xr:uid="{00000000-0005-0000-0000-0000BDDF0000}"/>
    <cellStyle name="Porcentaje 2 7 3 5 3 2" xfId="27738" xr:uid="{00000000-0005-0000-0000-0000BEDF0000}"/>
    <cellStyle name="Porcentaje 2 7 3 5 3 2 2" xfId="54871" xr:uid="{00000000-0005-0000-0000-0000BFDF0000}"/>
    <cellStyle name="Porcentaje 2 7 3 5 3 3" xfId="41309" xr:uid="{00000000-0005-0000-0000-0000C0DF0000}"/>
    <cellStyle name="Porcentaje 2 7 3 5 4" xfId="20957" xr:uid="{00000000-0005-0000-0000-0000C1DF0000}"/>
    <cellStyle name="Porcentaje 2 7 3 5 4 2" xfId="48090" xr:uid="{00000000-0005-0000-0000-0000C2DF0000}"/>
    <cellStyle name="Porcentaje 2 7 3 5 5" xfId="34528" xr:uid="{00000000-0005-0000-0000-0000C3DF0000}"/>
    <cellStyle name="Porcentaje 2 7 3 6" xfId="7263" xr:uid="{00000000-0005-0000-0000-0000C4DF0000}"/>
    <cellStyle name="Porcentaje 2 7 3 6 2" xfId="10770" xr:uid="{00000000-0005-0000-0000-0000C5DF0000}"/>
    <cellStyle name="Porcentaje 2 7 3 6 2 2" xfId="17560" xr:uid="{00000000-0005-0000-0000-0000C6DF0000}"/>
    <cellStyle name="Porcentaje 2 7 3 6 2 2 2" xfId="31128" xr:uid="{00000000-0005-0000-0000-0000C7DF0000}"/>
    <cellStyle name="Porcentaje 2 7 3 6 2 2 2 2" xfId="58261" xr:uid="{00000000-0005-0000-0000-0000C8DF0000}"/>
    <cellStyle name="Porcentaje 2 7 3 6 2 2 3" xfId="44699" xr:uid="{00000000-0005-0000-0000-0000C9DF0000}"/>
    <cellStyle name="Porcentaje 2 7 3 6 2 3" xfId="24347" xr:uid="{00000000-0005-0000-0000-0000CADF0000}"/>
    <cellStyle name="Porcentaje 2 7 3 6 2 3 2" xfId="51480" xr:uid="{00000000-0005-0000-0000-0000CBDF0000}"/>
    <cellStyle name="Porcentaje 2 7 3 6 2 4" xfId="37918" xr:uid="{00000000-0005-0000-0000-0000CCDF0000}"/>
    <cellStyle name="Porcentaje 2 7 3 6 3" xfId="14171" xr:uid="{00000000-0005-0000-0000-0000CDDF0000}"/>
    <cellStyle name="Porcentaje 2 7 3 6 3 2" xfId="27739" xr:uid="{00000000-0005-0000-0000-0000CEDF0000}"/>
    <cellStyle name="Porcentaje 2 7 3 6 3 2 2" xfId="54872" xr:uid="{00000000-0005-0000-0000-0000CFDF0000}"/>
    <cellStyle name="Porcentaje 2 7 3 6 3 3" xfId="41310" xr:uid="{00000000-0005-0000-0000-0000D0DF0000}"/>
    <cellStyle name="Porcentaje 2 7 3 6 4" xfId="20958" xr:uid="{00000000-0005-0000-0000-0000D1DF0000}"/>
    <cellStyle name="Porcentaje 2 7 3 6 4 2" xfId="48091" xr:uid="{00000000-0005-0000-0000-0000D2DF0000}"/>
    <cellStyle name="Porcentaje 2 7 3 6 5" xfId="34529" xr:uid="{00000000-0005-0000-0000-0000D3DF0000}"/>
    <cellStyle name="Porcentaje 2 7 3 7" xfId="10755" xr:uid="{00000000-0005-0000-0000-0000D4DF0000}"/>
    <cellStyle name="Porcentaje 2 7 3 7 2" xfId="17545" xr:uid="{00000000-0005-0000-0000-0000D5DF0000}"/>
    <cellStyle name="Porcentaje 2 7 3 7 2 2" xfId="31113" xr:uid="{00000000-0005-0000-0000-0000D6DF0000}"/>
    <cellStyle name="Porcentaje 2 7 3 7 2 2 2" xfId="58246" xr:uid="{00000000-0005-0000-0000-0000D7DF0000}"/>
    <cellStyle name="Porcentaje 2 7 3 7 2 3" xfId="44684" xr:uid="{00000000-0005-0000-0000-0000D8DF0000}"/>
    <cellStyle name="Porcentaje 2 7 3 7 3" xfId="24332" xr:uid="{00000000-0005-0000-0000-0000D9DF0000}"/>
    <cellStyle name="Porcentaje 2 7 3 7 3 2" xfId="51465" xr:uid="{00000000-0005-0000-0000-0000DADF0000}"/>
    <cellStyle name="Porcentaje 2 7 3 7 4" xfId="37903" xr:uid="{00000000-0005-0000-0000-0000DBDF0000}"/>
    <cellStyle name="Porcentaje 2 7 3 8" xfId="14156" xr:uid="{00000000-0005-0000-0000-0000DCDF0000}"/>
    <cellStyle name="Porcentaje 2 7 3 8 2" xfId="27724" xr:uid="{00000000-0005-0000-0000-0000DDDF0000}"/>
    <cellStyle name="Porcentaje 2 7 3 8 2 2" xfId="54857" xr:uid="{00000000-0005-0000-0000-0000DEDF0000}"/>
    <cellStyle name="Porcentaje 2 7 3 8 3" xfId="41295" xr:uid="{00000000-0005-0000-0000-0000DFDF0000}"/>
    <cellStyle name="Porcentaje 2 7 3 9" xfId="20943" xr:uid="{00000000-0005-0000-0000-0000E0DF0000}"/>
    <cellStyle name="Porcentaje 2 7 3 9 2" xfId="48076" xr:uid="{00000000-0005-0000-0000-0000E1DF0000}"/>
    <cellStyle name="Porcentaje 2 7 4" xfId="7264" xr:uid="{00000000-0005-0000-0000-0000E2DF0000}"/>
    <cellStyle name="Porcentaje 2 7 4 2" xfId="7265" xr:uid="{00000000-0005-0000-0000-0000E3DF0000}"/>
    <cellStyle name="Porcentaje 2 7 4 2 2" xfId="7266" xr:uid="{00000000-0005-0000-0000-0000E4DF0000}"/>
    <cellStyle name="Porcentaje 2 7 4 2 2 2" xfId="10773" xr:uid="{00000000-0005-0000-0000-0000E5DF0000}"/>
    <cellStyle name="Porcentaje 2 7 4 2 2 2 2" xfId="17563" xr:uid="{00000000-0005-0000-0000-0000E6DF0000}"/>
    <cellStyle name="Porcentaje 2 7 4 2 2 2 2 2" xfId="31131" xr:uid="{00000000-0005-0000-0000-0000E7DF0000}"/>
    <cellStyle name="Porcentaje 2 7 4 2 2 2 2 2 2" xfId="58264" xr:uid="{00000000-0005-0000-0000-0000E8DF0000}"/>
    <cellStyle name="Porcentaje 2 7 4 2 2 2 2 3" xfId="44702" xr:uid="{00000000-0005-0000-0000-0000E9DF0000}"/>
    <cellStyle name="Porcentaje 2 7 4 2 2 2 3" xfId="24350" xr:uid="{00000000-0005-0000-0000-0000EADF0000}"/>
    <cellStyle name="Porcentaje 2 7 4 2 2 2 3 2" xfId="51483" xr:uid="{00000000-0005-0000-0000-0000EBDF0000}"/>
    <cellStyle name="Porcentaje 2 7 4 2 2 2 4" xfId="37921" xr:uid="{00000000-0005-0000-0000-0000ECDF0000}"/>
    <cellStyle name="Porcentaje 2 7 4 2 2 3" xfId="14174" xr:uid="{00000000-0005-0000-0000-0000EDDF0000}"/>
    <cellStyle name="Porcentaje 2 7 4 2 2 3 2" xfId="27742" xr:uid="{00000000-0005-0000-0000-0000EEDF0000}"/>
    <cellStyle name="Porcentaje 2 7 4 2 2 3 2 2" xfId="54875" xr:uid="{00000000-0005-0000-0000-0000EFDF0000}"/>
    <cellStyle name="Porcentaje 2 7 4 2 2 3 3" xfId="41313" xr:uid="{00000000-0005-0000-0000-0000F0DF0000}"/>
    <cellStyle name="Porcentaje 2 7 4 2 2 4" xfId="20961" xr:uid="{00000000-0005-0000-0000-0000F1DF0000}"/>
    <cellStyle name="Porcentaje 2 7 4 2 2 4 2" xfId="48094" xr:uid="{00000000-0005-0000-0000-0000F2DF0000}"/>
    <cellStyle name="Porcentaje 2 7 4 2 2 5" xfId="34532" xr:uid="{00000000-0005-0000-0000-0000F3DF0000}"/>
    <cellStyle name="Porcentaje 2 7 4 2 3" xfId="7267" xr:uid="{00000000-0005-0000-0000-0000F4DF0000}"/>
    <cellStyle name="Porcentaje 2 7 4 2 3 2" xfId="10774" xr:uid="{00000000-0005-0000-0000-0000F5DF0000}"/>
    <cellStyle name="Porcentaje 2 7 4 2 3 2 2" xfId="17564" xr:uid="{00000000-0005-0000-0000-0000F6DF0000}"/>
    <cellStyle name="Porcentaje 2 7 4 2 3 2 2 2" xfId="31132" xr:uid="{00000000-0005-0000-0000-0000F7DF0000}"/>
    <cellStyle name="Porcentaje 2 7 4 2 3 2 2 2 2" xfId="58265" xr:uid="{00000000-0005-0000-0000-0000F8DF0000}"/>
    <cellStyle name="Porcentaje 2 7 4 2 3 2 2 3" xfId="44703" xr:uid="{00000000-0005-0000-0000-0000F9DF0000}"/>
    <cellStyle name="Porcentaje 2 7 4 2 3 2 3" xfId="24351" xr:uid="{00000000-0005-0000-0000-0000FADF0000}"/>
    <cellStyle name="Porcentaje 2 7 4 2 3 2 3 2" xfId="51484" xr:uid="{00000000-0005-0000-0000-0000FBDF0000}"/>
    <cellStyle name="Porcentaje 2 7 4 2 3 2 4" xfId="37922" xr:uid="{00000000-0005-0000-0000-0000FCDF0000}"/>
    <cellStyle name="Porcentaje 2 7 4 2 3 3" xfId="14175" xr:uid="{00000000-0005-0000-0000-0000FDDF0000}"/>
    <cellStyle name="Porcentaje 2 7 4 2 3 3 2" xfId="27743" xr:uid="{00000000-0005-0000-0000-0000FEDF0000}"/>
    <cellStyle name="Porcentaje 2 7 4 2 3 3 2 2" xfId="54876" xr:uid="{00000000-0005-0000-0000-0000FFDF0000}"/>
    <cellStyle name="Porcentaje 2 7 4 2 3 3 3" xfId="41314" xr:uid="{00000000-0005-0000-0000-000000E00000}"/>
    <cellStyle name="Porcentaje 2 7 4 2 3 4" xfId="20962" xr:uid="{00000000-0005-0000-0000-000001E00000}"/>
    <cellStyle name="Porcentaje 2 7 4 2 3 4 2" xfId="48095" xr:uid="{00000000-0005-0000-0000-000002E00000}"/>
    <cellStyle name="Porcentaje 2 7 4 2 3 5" xfId="34533" xr:uid="{00000000-0005-0000-0000-000003E00000}"/>
    <cellStyle name="Porcentaje 2 7 4 2 4" xfId="10772" xr:uid="{00000000-0005-0000-0000-000004E00000}"/>
    <cellStyle name="Porcentaje 2 7 4 2 4 2" xfId="17562" xr:uid="{00000000-0005-0000-0000-000005E00000}"/>
    <cellStyle name="Porcentaje 2 7 4 2 4 2 2" xfId="31130" xr:uid="{00000000-0005-0000-0000-000006E00000}"/>
    <cellStyle name="Porcentaje 2 7 4 2 4 2 2 2" xfId="58263" xr:uid="{00000000-0005-0000-0000-000007E00000}"/>
    <cellStyle name="Porcentaje 2 7 4 2 4 2 3" xfId="44701" xr:uid="{00000000-0005-0000-0000-000008E00000}"/>
    <cellStyle name="Porcentaje 2 7 4 2 4 3" xfId="24349" xr:uid="{00000000-0005-0000-0000-000009E00000}"/>
    <cellStyle name="Porcentaje 2 7 4 2 4 3 2" xfId="51482" xr:uid="{00000000-0005-0000-0000-00000AE00000}"/>
    <cellStyle name="Porcentaje 2 7 4 2 4 4" xfId="37920" xr:uid="{00000000-0005-0000-0000-00000BE00000}"/>
    <cellStyle name="Porcentaje 2 7 4 2 5" xfId="14173" xr:uid="{00000000-0005-0000-0000-00000CE00000}"/>
    <cellStyle name="Porcentaje 2 7 4 2 5 2" xfId="27741" xr:uid="{00000000-0005-0000-0000-00000DE00000}"/>
    <cellStyle name="Porcentaje 2 7 4 2 5 2 2" xfId="54874" xr:uid="{00000000-0005-0000-0000-00000EE00000}"/>
    <cellStyle name="Porcentaje 2 7 4 2 5 3" xfId="41312" xr:uid="{00000000-0005-0000-0000-00000FE00000}"/>
    <cellStyle name="Porcentaje 2 7 4 2 6" xfId="20960" xr:uid="{00000000-0005-0000-0000-000010E00000}"/>
    <cellStyle name="Porcentaje 2 7 4 2 6 2" xfId="48093" xr:uid="{00000000-0005-0000-0000-000011E00000}"/>
    <cellStyle name="Porcentaje 2 7 4 2 7" xfId="34531" xr:uid="{00000000-0005-0000-0000-000012E00000}"/>
    <cellStyle name="Porcentaje 2 7 4 3" xfId="7268" xr:uid="{00000000-0005-0000-0000-000013E00000}"/>
    <cellStyle name="Porcentaje 2 7 4 3 2" xfId="7269" xr:uid="{00000000-0005-0000-0000-000014E00000}"/>
    <cellStyle name="Porcentaje 2 7 4 3 2 2" xfId="10776" xr:uid="{00000000-0005-0000-0000-000015E00000}"/>
    <cellStyle name="Porcentaje 2 7 4 3 2 2 2" xfId="17566" xr:uid="{00000000-0005-0000-0000-000016E00000}"/>
    <cellStyle name="Porcentaje 2 7 4 3 2 2 2 2" xfId="31134" xr:uid="{00000000-0005-0000-0000-000017E00000}"/>
    <cellStyle name="Porcentaje 2 7 4 3 2 2 2 2 2" xfId="58267" xr:uid="{00000000-0005-0000-0000-000018E00000}"/>
    <cellStyle name="Porcentaje 2 7 4 3 2 2 2 3" xfId="44705" xr:uid="{00000000-0005-0000-0000-000019E00000}"/>
    <cellStyle name="Porcentaje 2 7 4 3 2 2 3" xfId="24353" xr:uid="{00000000-0005-0000-0000-00001AE00000}"/>
    <cellStyle name="Porcentaje 2 7 4 3 2 2 3 2" xfId="51486" xr:uid="{00000000-0005-0000-0000-00001BE00000}"/>
    <cellStyle name="Porcentaje 2 7 4 3 2 2 4" xfId="37924" xr:uid="{00000000-0005-0000-0000-00001CE00000}"/>
    <cellStyle name="Porcentaje 2 7 4 3 2 3" xfId="14177" xr:uid="{00000000-0005-0000-0000-00001DE00000}"/>
    <cellStyle name="Porcentaje 2 7 4 3 2 3 2" xfId="27745" xr:uid="{00000000-0005-0000-0000-00001EE00000}"/>
    <cellStyle name="Porcentaje 2 7 4 3 2 3 2 2" xfId="54878" xr:uid="{00000000-0005-0000-0000-00001FE00000}"/>
    <cellStyle name="Porcentaje 2 7 4 3 2 3 3" xfId="41316" xr:uid="{00000000-0005-0000-0000-000020E00000}"/>
    <cellStyle name="Porcentaje 2 7 4 3 2 4" xfId="20964" xr:uid="{00000000-0005-0000-0000-000021E00000}"/>
    <cellStyle name="Porcentaje 2 7 4 3 2 4 2" xfId="48097" xr:uid="{00000000-0005-0000-0000-000022E00000}"/>
    <cellStyle name="Porcentaje 2 7 4 3 2 5" xfId="34535" xr:uid="{00000000-0005-0000-0000-000023E00000}"/>
    <cellStyle name="Porcentaje 2 7 4 3 3" xfId="10775" xr:uid="{00000000-0005-0000-0000-000024E00000}"/>
    <cellStyle name="Porcentaje 2 7 4 3 3 2" xfId="17565" xr:uid="{00000000-0005-0000-0000-000025E00000}"/>
    <cellStyle name="Porcentaje 2 7 4 3 3 2 2" xfId="31133" xr:uid="{00000000-0005-0000-0000-000026E00000}"/>
    <cellStyle name="Porcentaje 2 7 4 3 3 2 2 2" xfId="58266" xr:uid="{00000000-0005-0000-0000-000027E00000}"/>
    <cellStyle name="Porcentaje 2 7 4 3 3 2 3" xfId="44704" xr:uid="{00000000-0005-0000-0000-000028E00000}"/>
    <cellStyle name="Porcentaje 2 7 4 3 3 3" xfId="24352" xr:uid="{00000000-0005-0000-0000-000029E00000}"/>
    <cellStyle name="Porcentaje 2 7 4 3 3 3 2" xfId="51485" xr:uid="{00000000-0005-0000-0000-00002AE00000}"/>
    <cellStyle name="Porcentaje 2 7 4 3 3 4" xfId="37923" xr:uid="{00000000-0005-0000-0000-00002BE00000}"/>
    <cellStyle name="Porcentaje 2 7 4 3 4" xfId="14176" xr:uid="{00000000-0005-0000-0000-00002CE00000}"/>
    <cellStyle name="Porcentaje 2 7 4 3 4 2" xfId="27744" xr:uid="{00000000-0005-0000-0000-00002DE00000}"/>
    <cellStyle name="Porcentaje 2 7 4 3 4 2 2" xfId="54877" xr:uid="{00000000-0005-0000-0000-00002EE00000}"/>
    <cellStyle name="Porcentaje 2 7 4 3 4 3" xfId="41315" xr:uid="{00000000-0005-0000-0000-00002FE00000}"/>
    <cellStyle name="Porcentaje 2 7 4 3 5" xfId="20963" xr:uid="{00000000-0005-0000-0000-000030E00000}"/>
    <cellStyle name="Porcentaje 2 7 4 3 5 2" xfId="48096" xr:uid="{00000000-0005-0000-0000-000031E00000}"/>
    <cellStyle name="Porcentaje 2 7 4 3 6" xfId="34534" xr:uid="{00000000-0005-0000-0000-000032E00000}"/>
    <cellStyle name="Porcentaje 2 7 4 4" xfId="7270" xr:uid="{00000000-0005-0000-0000-000033E00000}"/>
    <cellStyle name="Porcentaje 2 7 4 4 2" xfId="10777" xr:uid="{00000000-0005-0000-0000-000034E00000}"/>
    <cellStyle name="Porcentaje 2 7 4 4 2 2" xfId="17567" xr:uid="{00000000-0005-0000-0000-000035E00000}"/>
    <cellStyle name="Porcentaje 2 7 4 4 2 2 2" xfId="31135" xr:uid="{00000000-0005-0000-0000-000036E00000}"/>
    <cellStyle name="Porcentaje 2 7 4 4 2 2 2 2" xfId="58268" xr:uid="{00000000-0005-0000-0000-000037E00000}"/>
    <cellStyle name="Porcentaje 2 7 4 4 2 2 3" xfId="44706" xr:uid="{00000000-0005-0000-0000-000038E00000}"/>
    <cellStyle name="Porcentaje 2 7 4 4 2 3" xfId="24354" xr:uid="{00000000-0005-0000-0000-000039E00000}"/>
    <cellStyle name="Porcentaje 2 7 4 4 2 3 2" xfId="51487" xr:uid="{00000000-0005-0000-0000-00003AE00000}"/>
    <cellStyle name="Porcentaje 2 7 4 4 2 4" xfId="37925" xr:uid="{00000000-0005-0000-0000-00003BE00000}"/>
    <cellStyle name="Porcentaje 2 7 4 4 3" xfId="14178" xr:uid="{00000000-0005-0000-0000-00003CE00000}"/>
    <cellStyle name="Porcentaje 2 7 4 4 3 2" xfId="27746" xr:uid="{00000000-0005-0000-0000-00003DE00000}"/>
    <cellStyle name="Porcentaje 2 7 4 4 3 2 2" xfId="54879" xr:uid="{00000000-0005-0000-0000-00003EE00000}"/>
    <cellStyle name="Porcentaje 2 7 4 4 3 3" xfId="41317" xr:uid="{00000000-0005-0000-0000-00003FE00000}"/>
    <cellStyle name="Porcentaje 2 7 4 4 4" xfId="20965" xr:uid="{00000000-0005-0000-0000-000040E00000}"/>
    <cellStyle name="Porcentaje 2 7 4 4 4 2" xfId="48098" xr:uid="{00000000-0005-0000-0000-000041E00000}"/>
    <cellStyle name="Porcentaje 2 7 4 4 5" xfId="34536" xr:uid="{00000000-0005-0000-0000-000042E00000}"/>
    <cellStyle name="Porcentaje 2 7 4 5" xfId="7271" xr:uid="{00000000-0005-0000-0000-000043E00000}"/>
    <cellStyle name="Porcentaje 2 7 4 5 2" xfId="10778" xr:uid="{00000000-0005-0000-0000-000044E00000}"/>
    <cellStyle name="Porcentaje 2 7 4 5 2 2" xfId="17568" xr:uid="{00000000-0005-0000-0000-000045E00000}"/>
    <cellStyle name="Porcentaje 2 7 4 5 2 2 2" xfId="31136" xr:uid="{00000000-0005-0000-0000-000046E00000}"/>
    <cellStyle name="Porcentaje 2 7 4 5 2 2 2 2" xfId="58269" xr:uid="{00000000-0005-0000-0000-000047E00000}"/>
    <cellStyle name="Porcentaje 2 7 4 5 2 2 3" xfId="44707" xr:uid="{00000000-0005-0000-0000-000048E00000}"/>
    <cellStyle name="Porcentaje 2 7 4 5 2 3" xfId="24355" xr:uid="{00000000-0005-0000-0000-000049E00000}"/>
    <cellStyle name="Porcentaje 2 7 4 5 2 3 2" xfId="51488" xr:uid="{00000000-0005-0000-0000-00004AE00000}"/>
    <cellStyle name="Porcentaje 2 7 4 5 2 4" xfId="37926" xr:uid="{00000000-0005-0000-0000-00004BE00000}"/>
    <cellStyle name="Porcentaje 2 7 4 5 3" xfId="14179" xr:uid="{00000000-0005-0000-0000-00004CE00000}"/>
    <cellStyle name="Porcentaje 2 7 4 5 3 2" xfId="27747" xr:uid="{00000000-0005-0000-0000-00004DE00000}"/>
    <cellStyle name="Porcentaje 2 7 4 5 3 2 2" xfId="54880" xr:uid="{00000000-0005-0000-0000-00004EE00000}"/>
    <cellStyle name="Porcentaje 2 7 4 5 3 3" xfId="41318" xr:uid="{00000000-0005-0000-0000-00004FE00000}"/>
    <cellStyle name="Porcentaje 2 7 4 5 4" xfId="20966" xr:uid="{00000000-0005-0000-0000-000050E00000}"/>
    <cellStyle name="Porcentaje 2 7 4 5 4 2" xfId="48099" xr:uid="{00000000-0005-0000-0000-000051E00000}"/>
    <cellStyle name="Porcentaje 2 7 4 5 5" xfId="34537" xr:uid="{00000000-0005-0000-0000-000052E00000}"/>
    <cellStyle name="Porcentaje 2 7 4 6" xfId="10771" xr:uid="{00000000-0005-0000-0000-000053E00000}"/>
    <cellStyle name="Porcentaje 2 7 4 6 2" xfId="17561" xr:uid="{00000000-0005-0000-0000-000054E00000}"/>
    <cellStyle name="Porcentaje 2 7 4 6 2 2" xfId="31129" xr:uid="{00000000-0005-0000-0000-000055E00000}"/>
    <cellStyle name="Porcentaje 2 7 4 6 2 2 2" xfId="58262" xr:uid="{00000000-0005-0000-0000-000056E00000}"/>
    <cellStyle name="Porcentaje 2 7 4 6 2 3" xfId="44700" xr:uid="{00000000-0005-0000-0000-000057E00000}"/>
    <cellStyle name="Porcentaje 2 7 4 6 3" xfId="24348" xr:uid="{00000000-0005-0000-0000-000058E00000}"/>
    <cellStyle name="Porcentaje 2 7 4 6 3 2" xfId="51481" xr:uid="{00000000-0005-0000-0000-000059E00000}"/>
    <cellStyle name="Porcentaje 2 7 4 6 4" xfId="37919" xr:uid="{00000000-0005-0000-0000-00005AE00000}"/>
    <cellStyle name="Porcentaje 2 7 4 7" xfId="14172" xr:uid="{00000000-0005-0000-0000-00005BE00000}"/>
    <cellStyle name="Porcentaje 2 7 4 7 2" xfId="27740" xr:uid="{00000000-0005-0000-0000-00005CE00000}"/>
    <cellStyle name="Porcentaje 2 7 4 7 2 2" xfId="54873" xr:uid="{00000000-0005-0000-0000-00005DE00000}"/>
    <cellStyle name="Porcentaje 2 7 4 7 3" xfId="41311" xr:uid="{00000000-0005-0000-0000-00005EE00000}"/>
    <cellStyle name="Porcentaje 2 7 4 8" xfId="20959" xr:uid="{00000000-0005-0000-0000-00005FE00000}"/>
    <cellStyle name="Porcentaje 2 7 4 8 2" xfId="48092" xr:uid="{00000000-0005-0000-0000-000060E00000}"/>
    <cellStyle name="Porcentaje 2 7 4 9" xfId="34530" xr:uid="{00000000-0005-0000-0000-000061E00000}"/>
    <cellStyle name="Porcentaje 2 7 5" xfId="7272" xr:uid="{00000000-0005-0000-0000-000062E00000}"/>
    <cellStyle name="Porcentaje 2 7 5 2" xfId="7273" xr:uid="{00000000-0005-0000-0000-000063E00000}"/>
    <cellStyle name="Porcentaje 2 7 5 2 2" xfId="7274" xr:uid="{00000000-0005-0000-0000-000064E00000}"/>
    <cellStyle name="Porcentaje 2 7 5 2 2 2" xfId="10781" xr:uid="{00000000-0005-0000-0000-000065E00000}"/>
    <cellStyle name="Porcentaje 2 7 5 2 2 2 2" xfId="17571" xr:uid="{00000000-0005-0000-0000-000066E00000}"/>
    <cellStyle name="Porcentaje 2 7 5 2 2 2 2 2" xfId="31139" xr:uid="{00000000-0005-0000-0000-000067E00000}"/>
    <cellStyle name="Porcentaje 2 7 5 2 2 2 2 2 2" xfId="58272" xr:uid="{00000000-0005-0000-0000-000068E00000}"/>
    <cellStyle name="Porcentaje 2 7 5 2 2 2 2 3" xfId="44710" xr:uid="{00000000-0005-0000-0000-000069E00000}"/>
    <cellStyle name="Porcentaje 2 7 5 2 2 2 3" xfId="24358" xr:uid="{00000000-0005-0000-0000-00006AE00000}"/>
    <cellStyle name="Porcentaje 2 7 5 2 2 2 3 2" xfId="51491" xr:uid="{00000000-0005-0000-0000-00006BE00000}"/>
    <cellStyle name="Porcentaje 2 7 5 2 2 2 4" xfId="37929" xr:uid="{00000000-0005-0000-0000-00006CE00000}"/>
    <cellStyle name="Porcentaje 2 7 5 2 2 3" xfId="14182" xr:uid="{00000000-0005-0000-0000-00006DE00000}"/>
    <cellStyle name="Porcentaje 2 7 5 2 2 3 2" xfId="27750" xr:uid="{00000000-0005-0000-0000-00006EE00000}"/>
    <cellStyle name="Porcentaje 2 7 5 2 2 3 2 2" xfId="54883" xr:uid="{00000000-0005-0000-0000-00006FE00000}"/>
    <cellStyle name="Porcentaje 2 7 5 2 2 3 3" xfId="41321" xr:uid="{00000000-0005-0000-0000-000070E00000}"/>
    <cellStyle name="Porcentaje 2 7 5 2 2 4" xfId="20969" xr:uid="{00000000-0005-0000-0000-000071E00000}"/>
    <cellStyle name="Porcentaje 2 7 5 2 2 4 2" xfId="48102" xr:uid="{00000000-0005-0000-0000-000072E00000}"/>
    <cellStyle name="Porcentaje 2 7 5 2 2 5" xfId="34540" xr:uid="{00000000-0005-0000-0000-000073E00000}"/>
    <cellStyle name="Porcentaje 2 7 5 2 3" xfId="7275" xr:uid="{00000000-0005-0000-0000-000074E00000}"/>
    <cellStyle name="Porcentaje 2 7 5 2 3 2" xfId="10782" xr:uid="{00000000-0005-0000-0000-000075E00000}"/>
    <cellStyle name="Porcentaje 2 7 5 2 3 2 2" xfId="17572" xr:uid="{00000000-0005-0000-0000-000076E00000}"/>
    <cellStyle name="Porcentaje 2 7 5 2 3 2 2 2" xfId="31140" xr:uid="{00000000-0005-0000-0000-000077E00000}"/>
    <cellStyle name="Porcentaje 2 7 5 2 3 2 2 2 2" xfId="58273" xr:uid="{00000000-0005-0000-0000-000078E00000}"/>
    <cellStyle name="Porcentaje 2 7 5 2 3 2 2 3" xfId="44711" xr:uid="{00000000-0005-0000-0000-000079E00000}"/>
    <cellStyle name="Porcentaje 2 7 5 2 3 2 3" xfId="24359" xr:uid="{00000000-0005-0000-0000-00007AE00000}"/>
    <cellStyle name="Porcentaje 2 7 5 2 3 2 3 2" xfId="51492" xr:uid="{00000000-0005-0000-0000-00007BE00000}"/>
    <cellStyle name="Porcentaje 2 7 5 2 3 2 4" xfId="37930" xr:uid="{00000000-0005-0000-0000-00007CE00000}"/>
    <cellStyle name="Porcentaje 2 7 5 2 3 3" xfId="14183" xr:uid="{00000000-0005-0000-0000-00007DE00000}"/>
    <cellStyle name="Porcentaje 2 7 5 2 3 3 2" xfId="27751" xr:uid="{00000000-0005-0000-0000-00007EE00000}"/>
    <cellStyle name="Porcentaje 2 7 5 2 3 3 2 2" xfId="54884" xr:uid="{00000000-0005-0000-0000-00007FE00000}"/>
    <cellStyle name="Porcentaje 2 7 5 2 3 3 3" xfId="41322" xr:uid="{00000000-0005-0000-0000-000080E00000}"/>
    <cellStyle name="Porcentaje 2 7 5 2 3 4" xfId="20970" xr:uid="{00000000-0005-0000-0000-000081E00000}"/>
    <cellStyle name="Porcentaje 2 7 5 2 3 4 2" xfId="48103" xr:uid="{00000000-0005-0000-0000-000082E00000}"/>
    <cellStyle name="Porcentaje 2 7 5 2 3 5" xfId="34541" xr:uid="{00000000-0005-0000-0000-000083E00000}"/>
    <cellStyle name="Porcentaje 2 7 5 2 4" xfId="10780" xr:uid="{00000000-0005-0000-0000-000084E00000}"/>
    <cellStyle name="Porcentaje 2 7 5 2 4 2" xfId="17570" xr:uid="{00000000-0005-0000-0000-000085E00000}"/>
    <cellStyle name="Porcentaje 2 7 5 2 4 2 2" xfId="31138" xr:uid="{00000000-0005-0000-0000-000086E00000}"/>
    <cellStyle name="Porcentaje 2 7 5 2 4 2 2 2" xfId="58271" xr:uid="{00000000-0005-0000-0000-000087E00000}"/>
    <cellStyle name="Porcentaje 2 7 5 2 4 2 3" xfId="44709" xr:uid="{00000000-0005-0000-0000-000088E00000}"/>
    <cellStyle name="Porcentaje 2 7 5 2 4 3" xfId="24357" xr:uid="{00000000-0005-0000-0000-000089E00000}"/>
    <cellStyle name="Porcentaje 2 7 5 2 4 3 2" xfId="51490" xr:uid="{00000000-0005-0000-0000-00008AE00000}"/>
    <cellStyle name="Porcentaje 2 7 5 2 4 4" xfId="37928" xr:uid="{00000000-0005-0000-0000-00008BE00000}"/>
    <cellStyle name="Porcentaje 2 7 5 2 5" xfId="14181" xr:uid="{00000000-0005-0000-0000-00008CE00000}"/>
    <cellStyle name="Porcentaje 2 7 5 2 5 2" xfId="27749" xr:uid="{00000000-0005-0000-0000-00008DE00000}"/>
    <cellStyle name="Porcentaje 2 7 5 2 5 2 2" xfId="54882" xr:uid="{00000000-0005-0000-0000-00008EE00000}"/>
    <cellStyle name="Porcentaje 2 7 5 2 5 3" xfId="41320" xr:uid="{00000000-0005-0000-0000-00008FE00000}"/>
    <cellStyle name="Porcentaje 2 7 5 2 6" xfId="20968" xr:uid="{00000000-0005-0000-0000-000090E00000}"/>
    <cellStyle name="Porcentaje 2 7 5 2 6 2" xfId="48101" xr:uid="{00000000-0005-0000-0000-000091E00000}"/>
    <cellStyle name="Porcentaje 2 7 5 2 7" xfId="34539" xr:uid="{00000000-0005-0000-0000-000092E00000}"/>
    <cellStyle name="Porcentaje 2 7 5 3" xfId="7276" xr:uid="{00000000-0005-0000-0000-000093E00000}"/>
    <cellStyle name="Porcentaje 2 7 5 3 2" xfId="10783" xr:uid="{00000000-0005-0000-0000-000094E00000}"/>
    <cellStyle name="Porcentaje 2 7 5 3 2 2" xfId="17573" xr:uid="{00000000-0005-0000-0000-000095E00000}"/>
    <cellStyle name="Porcentaje 2 7 5 3 2 2 2" xfId="31141" xr:uid="{00000000-0005-0000-0000-000096E00000}"/>
    <cellStyle name="Porcentaje 2 7 5 3 2 2 2 2" xfId="58274" xr:uid="{00000000-0005-0000-0000-000097E00000}"/>
    <cellStyle name="Porcentaje 2 7 5 3 2 2 3" xfId="44712" xr:uid="{00000000-0005-0000-0000-000098E00000}"/>
    <cellStyle name="Porcentaje 2 7 5 3 2 3" xfId="24360" xr:uid="{00000000-0005-0000-0000-000099E00000}"/>
    <cellStyle name="Porcentaje 2 7 5 3 2 3 2" xfId="51493" xr:uid="{00000000-0005-0000-0000-00009AE00000}"/>
    <cellStyle name="Porcentaje 2 7 5 3 2 4" xfId="37931" xr:uid="{00000000-0005-0000-0000-00009BE00000}"/>
    <cellStyle name="Porcentaje 2 7 5 3 3" xfId="14184" xr:uid="{00000000-0005-0000-0000-00009CE00000}"/>
    <cellStyle name="Porcentaje 2 7 5 3 3 2" xfId="27752" xr:uid="{00000000-0005-0000-0000-00009DE00000}"/>
    <cellStyle name="Porcentaje 2 7 5 3 3 2 2" xfId="54885" xr:uid="{00000000-0005-0000-0000-00009EE00000}"/>
    <cellStyle name="Porcentaje 2 7 5 3 3 3" xfId="41323" xr:uid="{00000000-0005-0000-0000-00009FE00000}"/>
    <cellStyle name="Porcentaje 2 7 5 3 4" xfId="20971" xr:uid="{00000000-0005-0000-0000-0000A0E00000}"/>
    <cellStyle name="Porcentaje 2 7 5 3 4 2" xfId="48104" xr:uid="{00000000-0005-0000-0000-0000A1E00000}"/>
    <cellStyle name="Porcentaje 2 7 5 3 5" xfId="34542" xr:uid="{00000000-0005-0000-0000-0000A2E00000}"/>
    <cellStyle name="Porcentaje 2 7 5 4" xfId="7277" xr:uid="{00000000-0005-0000-0000-0000A3E00000}"/>
    <cellStyle name="Porcentaje 2 7 5 4 2" xfId="10784" xr:uid="{00000000-0005-0000-0000-0000A4E00000}"/>
    <cellStyle name="Porcentaje 2 7 5 4 2 2" xfId="17574" xr:uid="{00000000-0005-0000-0000-0000A5E00000}"/>
    <cellStyle name="Porcentaje 2 7 5 4 2 2 2" xfId="31142" xr:uid="{00000000-0005-0000-0000-0000A6E00000}"/>
    <cellStyle name="Porcentaje 2 7 5 4 2 2 2 2" xfId="58275" xr:uid="{00000000-0005-0000-0000-0000A7E00000}"/>
    <cellStyle name="Porcentaje 2 7 5 4 2 2 3" xfId="44713" xr:uid="{00000000-0005-0000-0000-0000A8E00000}"/>
    <cellStyle name="Porcentaje 2 7 5 4 2 3" xfId="24361" xr:uid="{00000000-0005-0000-0000-0000A9E00000}"/>
    <cellStyle name="Porcentaje 2 7 5 4 2 3 2" xfId="51494" xr:uid="{00000000-0005-0000-0000-0000AAE00000}"/>
    <cellStyle name="Porcentaje 2 7 5 4 2 4" xfId="37932" xr:uid="{00000000-0005-0000-0000-0000ABE00000}"/>
    <cellStyle name="Porcentaje 2 7 5 4 3" xfId="14185" xr:uid="{00000000-0005-0000-0000-0000ACE00000}"/>
    <cellStyle name="Porcentaje 2 7 5 4 3 2" xfId="27753" xr:uid="{00000000-0005-0000-0000-0000ADE00000}"/>
    <cellStyle name="Porcentaje 2 7 5 4 3 2 2" xfId="54886" xr:uid="{00000000-0005-0000-0000-0000AEE00000}"/>
    <cellStyle name="Porcentaje 2 7 5 4 3 3" xfId="41324" xr:uid="{00000000-0005-0000-0000-0000AFE00000}"/>
    <cellStyle name="Porcentaje 2 7 5 4 4" xfId="20972" xr:uid="{00000000-0005-0000-0000-0000B0E00000}"/>
    <cellStyle name="Porcentaje 2 7 5 4 4 2" xfId="48105" xr:uid="{00000000-0005-0000-0000-0000B1E00000}"/>
    <cellStyle name="Porcentaje 2 7 5 4 5" xfId="34543" xr:uid="{00000000-0005-0000-0000-0000B2E00000}"/>
    <cellStyle name="Porcentaje 2 7 5 5" xfId="10779" xr:uid="{00000000-0005-0000-0000-0000B3E00000}"/>
    <cellStyle name="Porcentaje 2 7 5 5 2" xfId="17569" xr:uid="{00000000-0005-0000-0000-0000B4E00000}"/>
    <cellStyle name="Porcentaje 2 7 5 5 2 2" xfId="31137" xr:uid="{00000000-0005-0000-0000-0000B5E00000}"/>
    <cellStyle name="Porcentaje 2 7 5 5 2 2 2" xfId="58270" xr:uid="{00000000-0005-0000-0000-0000B6E00000}"/>
    <cellStyle name="Porcentaje 2 7 5 5 2 3" xfId="44708" xr:uid="{00000000-0005-0000-0000-0000B7E00000}"/>
    <cellStyle name="Porcentaje 2 7 5 5 3" xfId="24356" xr:uid="{00000000-0005-0000-0000-0000B8E00000}"/>
    <cellStyle name="Porcentaje 2 7 5 5 3 2" xfId="51489" xr:uid="{00000000-0005-0000-0000-0000B9E00000}"/>
    <cellStyle name="Porcentaje 2 7 5 5 4" xfId="37927" xr:uid="{00000000-0005-0000-0000-0000BAE00000}"/>
    <cellStyle name="Porcentaje 2 7 5 6" xfId="14180" xr:uid="{00000000-0005-0000-0000-0000BBE00000}"/>
    <cellStyle name="Porcentaje 2 7 5 6 2" xfId="27748" xr:uid="{00000000-0005-0000-0000-0000BCE00000}"/>
    <cellStyle name="Porcentaje 2 7 5 6 2 2" xfId="54881" xr:uid="{00000000-0005-0000-0000-0000BDE00000}"/>
    <cellStyle name="Porcentaje 2 7 5 6 3" xfId="41319" xr:uid="{00000000-0005-0000-0000-0000BEE00000}"/>
    <cellStyle name="Porcentaje 2 7 5 7" xfId="20967" xr:uid="{00000000-0005-0000-0000-0000BFE00000}"/>
    <cellStyle name="Porcentaje 2 7 5 7 2" xfId="48100" xr:uid="{00000000-0005-0000-0000-0000C0E00000}"/>
    <cellStyle name="Porcentaje 2 7 5 8" xfId="34538" xr:uid="{00000000-0005-0000-0000-0000C1E00000}"/>
    <cellStyle name="Porcentaje 2 7 6" xfId="7278" xr:uid="{00000000-0005-0000-0000-0000C2E00000}"/>
    <cellStyle name="Porcentaje 2 7 6 2" xfId="7279" xr:uid="{00000000-0005-0000-0000-0000C3E00000}"/>
    <cellStyle name="Porcentaje 2 7 6 2 2" xfId="7280" xr:uid="{00000000-0005-0000-0000-0000C4E00000}"/>
    <cellStyle name="Porcentaje 2 7 6 2 2 2" xfId="10787" xr:uid="{00000000-0005-0000-0000-0000C5E00000}"/>
    <cellStyle name="Porcentaje 2 7 6 2 2 2 2" xfId="17577" xr:uid="{00000000-0005-0000-0000-0000C6E00000}"/>
    <cellStyle name="Porcentaje 2 7 6 2 2 2 2 2" xfId="31145" xr:uid="{00000000-0005-0000-0000-0000C7E00000}"/>
    <cellStyle name="Porcentaje 2 7 6 2 2 2 2 2 2" xfId="58278" xr:uid="{00000000-0005-0000-0000-0000C8E00000}"/>
    <cellStyle name="Porcentaje 2 7 6 2 2 2 2 3" xfId="44716" xr:uid="{00000000-0005-0000-0000-0000C9E00000}"/>
    <cellStyle name="Porcentaje 2 7 6 2 2 2 3" xfId="24364" xr:uid="{00000000-0005-0000-0000-0000CAE00000}"/>
    <cellStyle name="Porcentaje 2 7 6 2 2 2 3 2" xfId="51497" xr:uid="{00000000-0005-0000-0000-0000CBE00000}"/>
    <cellStyle name="Porcentaje 2 7 6 2 2 2 4" xfId="37935" xr:uid="{00000000-0005-0000-0000-0000CCE00000}"/>
    <cellStyle name="Porcentaje 2 7 6 2 2 3" xfId="14188" xr:uid="{00000000-0005-0000-0000-0000CDE00000}"/>
    <cellStyle name="Porcentaje 2 7 6 2 2 3 2" xfId="27756" xr:uid="{00000000-0005-0000-0000-0000CEE00000}"/>
    <cellStyle name="Porcentaje 2 7 6 2 2 3 2 2" xfId="54889" xr:uid="{00000000-0005-0000-0000-0000CFE00000}"/>
    <cellStyle name="Porcentaje 2 7 6 2 2 3 3" xfId="41327" xr:uid="{00000000-0005-0000-0000-0000D0E00000}"/>
    <cellStyle name="Porcentaje 2 7 6 2 2 4" xfId="20975" xr:uid="{00000000-0005-0000-0000-0000D1E00000}"/>
    <cellStyle name="Porcentaje 2 7 6 2 2 4 2" xfId="48108" xr:uid="{00000000-0005-0000-0000-0000D2E00000}"/>
    <cellStyle name="Porcentaje 2 7 6 2 2 5" xfId="34546" xr:uid="{00000000-0005-0000-0000-0000D3E00000}"/>
    <cellStyle name="Porcentaje 2 7 6 2 3" xfId="7281" xr:uid="{00000000-0005-0000-0000-0000D4E00000}"/>
    <cellStyle name="Porcentaje 2 7 6 2 3 2" xfId="10788" xr:uid="{00000000-0005-0000-0000-0000D5E00000}"/>
    <cellStyle name="Porcentaje 2 7 6 2 3 2 2" xfId="17578" xr:uid="{00000000-0005-0000-0000-0000D6E00000}"/>
    <cellStyle name="Porcentaje 2 7 6 2 3 2 2 2" xfId="31146" xr:uid="{00000000-0005-0000-0000-0000D7E00000}"/>
    <cellStyle name="Porcentaje 2 7 6 2 3 2 2 2 2" xfId="58279" xr:uid="{00000000-0005-0000-0000-0000D8E00000}"/>
    <cellStyle name="Porcentaje 2 7 6 2 3 2 2 3" xfId="44717" xr:uid="{00000000-0005-0000-0000-0000D9E00000}"/>
    <cellStyle name="Porcentaje 2 7 6 2 3 2 3" xfId="24365" xr:uid="{00000000-0005-0000-0000-0000DAE00000}"/>
    <cellStyle name="Porcentaje 2 7 6 2 3 2 3 2" xfId="51498" xr:uid="{00000000-0005-0000-0000-0000DBE00000}"/>
    <cellStyle name="Porcentaje 2 7 6 2 3 2 4" xfId="37936" xr:uid="{00000000-0005-0000-0000-0000DCE00000}"/>
    <cellStyle name="Porcentaje 2 7 6 2 3 3" xfId="14189" xr:uid="{00000000-0005-0000-0000-0000DDE00000}"/>
    <cellStyle name="Porcentaje 2 7 6 2 3 3 2" xfId="27757" xr:uid="{00000000-0005-0000-0000-0000DEE00000}"/>
    <cellStyle name="Porcentaje 2 7 6 2 3 3 2 2" xfId="54890" xr:uid="{00000000-0005-0000-0000-0000DFE00000}"/>
    <cellStyle name="Porcentaje 2 7 6 2 3 3 3" xfId="41328" xr:uid="{00000000-0005-0000-0000-0000E0E00000}"/>
    <cellStyle name="Porcentaje 2 7 6 2 3 4" xfId="20976" xr:uid="{00000000-0005-0000-0000-0000E1E00000}"/>
    <cellStyle name="Porcentaje 2 7 6 2 3 4 2" xfId="48109" xr:uid="{00000000-0005-0000-0000-0000E2E00000}"/>
    <cellStyle name="Porcentaje 2 7 6 2 3 5" xfId="34547" xr:uid="{00000000-0005-0000-0000-0000E3E00000}"/>
    <cellStyle name="Porcentaje 2 7 6 2 4" xfId="10786" xr:uid="{00000000-0005-0000-0000-0000E4E00000}"/>
    <cellStyle name="Porcentaje 2 7 6 2 4 2" xfId="17576" xr:uid="{00000000-0005-0000-0000-0000E5E00000}"/>
    <cellStyle name="Porcentaje 2 7 6 2 4 2 2" xfId="31144" xr:uid="{00000000-0005-0000-0000-0000E6E00000}"/>
    <cellStyle name="Porcentaje 2 7 6 2 4 2 2 2" xfId="58277" xr:uid="{00000000-0005-0000-0000-0000E7E00000}"/>
    <cellStyle name="Porcentaje 2 7 6 2 4 2 3" xfId="44715" xr:uid="{00000000-0005-0000-0000-0000E8E00000}"/>
    <cellStyle name="Porcentaje 2 7 6 2 4 3" xfId="24363" xr:uid="{00000000-0005-0000-0000-0000E9E00000}"/>
    <cellStyle name="Porcentaje 2 7 6 2 4 3 2" xfId="51496" xr:uid="{00000000-0005-0000-0000-0000EAE00000}"/>
    <cellStyle name="Porcentaje 2 7 6 2 4 4" xfId="37934" xr:uid="{00000000-0005-0000-0000-0000EBE00000}"/>
    <cellStyle name="Porcentaje 2 7 6 2 5" xfId="14187" xr:uid="{00000000-0005-0000-0000-0000ECE00000}"/>
    <cellStyle name="Porcentaje 2 7 6 2 5 2" xfId="27755" xr:uid="{00000000-0005-0000-0000-0000EDE00000}"/>
    <cellStyle name="Porcentaje 2 7 6 2 5 2 2" xfId="54888" xr:uid="{00000000-0005-0000-0000-0000EEE00000}"/>
    <cellStyle name="Porcentaje 2 7 6 2 5 3" xfId="41326" xr:uid="{00000000-0005-0000-0000-0000EFE00000}"/>
    <cellStyle name="Porcentaje 2 7 6 2 6" xfId="20974" xr:uid="{00000000-0005-0000-0000-0000F0E00000}"/>
    <cellStyle name="Porcentaje 2 7 6 2 6 2" xfId="48107" xr:uid="{00000000-0005-0000-0000-0000F1E00000}"/>
    <cellStyle name="Porcentaje 2 7 6 2 7" xfId="34545" xr:uid="{00000000-0005-0000-0000-0000F2E00000}"/>
    <cellStyle name="Porcentaje 2 7 6 3" xfId="7282" xr:uid="{00000000-0005-0000-0000-0000F3E00000}"/>
    <cellStyle name="Porcentaje 2 7 6 3 2" xfId="10789" xr:uid="{00000000-0005-0000-0000-0000F4E00000}"/>
    <cellStyle name="Porcentaje 2 7 6 3 2 2" xfId="17579" xr:uid="{00000000-0005-0000-0000-0000F5E00000}"/>
    <cellStyle name="Porcentaje 2 7 6 3 2 2 2" xfId="31147" xr:uid="{00000000-0005-0000-0000-0000F6E00000}"/>
    <cellStyle name="Porcentaje 2 7 6 3 2 2 2 2" xfId="58280" xr:uid="{00000000-0005-0000-0000-0000F7E00000}"/>
    <cellStyle name="Porcentaje 2 7 6 3 2 2 3" xfId="44718" xr:uid="{00000000-0005-0000-0000-0000F8E00000}"/>
    <cellStyle name="Porcentaje 2 7 6 3 2 3" xfId="24366" xr:uid="{00000000-0005-0000-0000-0000F9E00000}"/>
    <cellStyle name="Porcentaje 2 7 6 3 2 3 2" xfId="51499" xr:uid="{00000000-0005-0000-0000-0000FAE00000}"/>
    <cellStyle name="Porcentaje 2 7 6 3 2 4" xfId="37937" xr:uid="{00000000-0005-0000-0000-0000FBE00000}"/>
    <cellStyle name="Porcentaje 2 7 6 3 3" xfId="14190" xr:uid="{00000000-0005-0000-0000-0000FCE00000}"/>
    <cellStyle name="Porcentaje 2 7 6 3 3 2" xfId="27758" xr:uid="{00000000-0005-0000-0000-0000FDE00000}"/>
    <cellStyle name="Porcentaje 2 7 6 3 3 2 2" xfId="54891" xr:uid="{00000000-0005-0000-0000-0000FEE00000}"/>
    <cellStyle name="Porcentaje 2 7 6 3 3 3" xfId="41329" xr:uid="{00000000-0005-0000-0000-0000FFE00000}"/>
    <cellStyle name="Porcentaje 2 7 6 3 4" xfId="20977" xr:uid="{00000000-0005-0000-0000-000000E10000}"/>
    <cellStyle name="Porcentaje 2 7 6 3 4 2" xfId="48110" xr:uid="{00000000-0005-0000-0000-000001E10000}"/>
    <cellStyle name="Porcentaje 2 7 6 3 5" xfId="34548" xr:uid="{00000000-0005-0000-0000-000002E10000}"/>
    <cellStyle name="Porcentaje 2 7 6 4" xfId="7283" xr:uid="{00000000-0005-0000-0000-000003E10000}"/>
    <cellStyle name="Porcentaje 2 7 6 4 2" xfId="10790" xr:uid="{00000000-0005-0000-0000-000004E10000}"/>
    <cellStyle name="Porcentaje 2 7 6 4 2 2" xfId="17580" xr:uid="{00000000-0005-0000-0000-000005E10000}"/>
    <cellStyle name="Porcentaje 2 7 6 4 2 2 2" xfId="31148" xr:uid="{00000000-0005-0000-0000-000006E10000}"/>
    <cellStyle name="Porcentaje 2 7 6 4 2 2 2 2" xfId="58281" xr:uid="{00000000-0005-0000-0000-000007E10000}"/>
    <cellStyle name="Porcentaje 2 7 6 4 2 2 3" xfId="44719" xr:uid="{00000000-0005-0000-0000-000008E10000}"/>
    <cellStyle name="Porcentaje 2 7 6 4 2 3" xfId="24367" xr:uid="{00000000-0005-0000-0000-000009E10000}"/>
    <cellStyle name="Porcentaje 2 7 6 4 2 3 2" xfId="51500" xr:uid="{00000000-0005-0000-0000-00000AE10000}"/>
    <cellStyle name="Porcentaje 2 7 6 4 2 4" xfId="37938" xr:uid="{00000000-0005-0000-0000-00000BE10000}"/>
    <cellStyle name="Porcentaje 2 7 6 4 3" xfId="14191" xr:uid="{00000000-0005-0000-0000-00000CE10000}"/>
    <cellStyle name="Porcentaje 2 7 6 4 3 2" xfId="27759" xr:uid="{00000000-0005-0000-0000-00000DE10000}"/>
    <cellStyle name="Porcentaje 2 7 6 4 3 2 2" xfId="54892" xr:uid="{00000000-0005-0000-0000-00000EE10000}"/>
    <cellStyle name="Porcentaje 2 7 6 4 3 3" xfId="41330" xr:uid="{00000000-0005-0000-0000-00000FE10000}"/>
    <cellStyle name="Porcentaje 2 7 6 4 4" xfId="20978" xr:uid="{00000000-0005-0000-0000-000010E10000}"/>
    <cellStyle name="Porcentaje 2 7 6 4 4 2" xfId="48111" xr:uid="{00000000-0005-0000-0000-000011E10000}"/>
    <cellStyle name="Porcentaje 2 7 6 4 5" xfId="34549" xr:uid="{00000000-0005-0000-0000-000012E10000}"/>
    <cellStyle name="Porcentaje 2 7 6 5" xfId="10785" xr:uid="{00000000-0005-0000-0000-000013E10000}"/>
    <cellStyle name="Porcentaje 2 7 6 5 2" xfId="17575" xr:uid="{00000000-0005-0000-0000-000014E10000}"/>
    <cellStyle name="Porcentaje 2 7 6 5 2 2" xfId="31143" xr:uid="{00000000-0005-0000-0000-000015E10000}"/>
    <cellStyle name="Porcentaje 2 7 6 5 2 2 2" xfId="58276" xr:uid="{00000000-0005-0000-0000-000016E10000}"/>
    <cellStyle name="Porcentaje 2 7 6 5 2 3" xfId="44714" xr:uid="{00000000-0005-0000-0000-000017E10000}"/>
    <cellStyle name="Porcentaje 2 7 6 5 3" xfId="24362" xr:uid="{00000000-0005-0000-0000-000018E10000}"/>
    <cellStyle name="Porcentaje 2 7 6 5 3 2" xfId="51495" xr:uid="{00000000-0005-0000-0000-000019E10000}"/>
    <cellStyle name="Porcentaje 2 7 6 5 4" xfId="37933" xr:uid="{00000000-0005-0000-0000-00001AE10000}"/>
    <cellStyle name="Porcentaje 2 7 6 6" xfId="14186" xr:uid="{00000000-0005-0000-0000-00001BE10000}"/>
    <cellStyle name="Porcentaje 2 7 6 6 2" xfId="27754" xr:uid="{00000000-0005-0000-0000-00001CE10000}"/>
    <cellStyle name="Porcentaje 2 7 6 6 2 2" xfId="54887" xr:uid="{00000000-0005-0000-0000-00001DE10000}"/>
    <cellStyle name="Porcentaje 2 7 6 6 3" xfId="41325" xr:uid="{00000000-0005-0000-0000-00001EE10000}"/>
    <cellStyle name="Porcentaje 2 7 6 7" xfId="20973" xr:uid="{00000000-0005-0000-0000-00001FE10000}"/>
    <cellStyle name="Porcentaje 2 7 6 7 2" xfId="48106" xr:uid="{00000000-0005-0000-0000-000020E10000}"/>
    <cellStyle name="Porcentaje 2 7 6 8" xfId="34544" xr:uid="{00000000-0005-0000-0000-000021E10000}"/>
    <cellStyle name="Porcentaje 2 7 7" xfId="7284" xr:uid="{00000000-0005-0000-0000-000022E10000}"/>
    <cellStyle name="Porcentaje 2 7 7 2" xfId="7285" xr:uid="{00000000-0005-0000-0000-000023E10000}"/>
    <cellStyle name="Porcentaje 2 7 7 2 2" xfId="10792" xr:uid="{00000000-0005-0000-0000-000024E10000}"/>
    <cellStyle name="Porcentaje 2 7 7 2 2 2" xfId="17582" xr:uid="{00000000-0005-0000-0000-000025E10000}"/>
    <cellStyle name="Porcentaje 2 7 7 2 2 2 2" xfId="31150" xr:uid="{00000000-0005-0000-0000-000026E10000}"/>
    <cellStyle name="Porcentaje 2 7 7 2 2 2 2 2" xfId="58283" xr:uid="{00000000-0005-0000-0000-000027E10000}"/>
    <cellStyle name="Porcentaje 2 7 7 2 2 2 3" xfId="44721" xr:uid="{00000000-0005-0000-0000-000028E10000}"/>
    <cellStyle name="Porcentaje 2 7 7 2 2 3" xfId="24369" xr:uid="{00000000-0005-0000-0000-000029E10000}"/>
    <cellStyle name="Porcentaje 2 7 7 2 2 3 2" xfId="51502" xr:uid="{00000000-0005-0000-0000-00002AE10000}"/>
    <cellStyle name="Porcentaje 2 7 7 2 2 4" xfId="37940" xr:uid="{00000000-0005-0000-0000-00002BE10000}"/>
    <cellStyle name="Porcentaje 2 7 7 2 3" xfId="14193" xr:uid="{00000000-0005-0000-0000-00002CE10000}"/>
    <cellStyle name="Porcentaje 2 7 7 2 3 2" xfId="27761" xr:uid="{00000000-0005-0000-0000-00002DE10000}"/>
    <cellStyle name="Porcentaje 2 7 7 2 3 2 2" xfId="54894" xr:uid="{00000000-0005-0000-0000-00002EE10000}"/>
    <cellStyle name="Porcentaje 2 7 7 2 3 3" xfId="41332" xr:uid="{00000000-0005-0000-0000-00002FE10000}"/>
    <cellStyle name="Porcentaje 2 7 7 2 4" xfId="20980" xr:uid="{00000000-0005-0000-0000-000030E10000}"/>
    <cellStyle name="Porcentaje 2 7 7 2 4 2" xfId="48113" xr:uid="{00000000-0005-0000-0000-000031E10000}"/>
    <cellStyle name="Porcentaje 2 7 7 2 5" xfId="34551" xr:uid="{00000000-0005-0000-0000-000032E10000}"/>
    <cellStyle name="Porcentaje 2 7 7 3" xfId="7286" xr:uid="{00000000-0005-0000-0000-000033E10000}"/>
    <cellStyle name="Porcentaje 2 7 7 3 2" xfId="10793" xr:uid="{00000000-0005-0000-0000-000034E10000}"/>
    <cellStyle name="Porcentaje 2 7 7 3 2 2" xfId="17583" xr:uid="{00000000-0005-0000-0000-000035E10000}"/>
    <cellStyle name="Porcentaje 2 7 7 3 2 2 2" xfId="31151" xr:uid="{00000000-0005-0000-0000-000036E10000}"/>
    <cellStyle name="Porcentaje 2 7 7 3 2 2 2 2" xfId="58284" xr:uid="{00000000-0005-0000-0000-000037E10000}"/>
    <cellStyle name="Porcentaje 2 7 7 3 2 2 3" xfId="44722" xr:uid="{00000000-0005-0000-0000-000038E10000}"/>
    <cellStyle name="Porcentaje 2 7 7 3 2 3" xfId="24370" xr:uid="{00000000-0005-0000-0000-000039E10000}"/>
    <cellStyle name="Porcentaje 2 7 7 3 2 3 2" xfId="51503" xr:uid="{00000000-0005-0000-0000-00003AE10000}"/>
    <cellStyle name="Porcentaje 2 7 7 3 2 4" xfId="37941" xr:uid="{00000000-0005-0000-0000-00003BE10000}"/>
    <cellStyle name="Porcentaje 2 7 7 3 3" xfId="14194" xr:uid="{00000000-0005-0000-0000-00003CE10000}"/>
    <cellStyle name="Porcentaje 2 7 7 3 3 2" xfId="27762" xr:uid="{00000000-0005-0000-0000-00003DE10000}"/>
    <cellStyle name="Porcentaje 2 7 7 3 3 2 2" xfId="54895" xr:uid="{00000000-0005-0000-0000-00003EE10000}"/>
    <cellStyle name="Porcentaje 2 7 7 3 3 3" xfId="41333" xr:uid="{00000000-0005-0000-0000-00003FE10000}"/>
    <cellStyle name="Porcentaje 2 7 7 3 4" xfId="20981" xr:uid="{00000000-0005-0000-0000-000040E10000}"/>
    <cellStyle name="Porcentaje 2 7 7 3 4 2" xfId="48114" xr:uid="{00000000-0005-0000-0000-000041E10000}"/>
    <cellStyle name="Porcentaje 2 7 7 3 5" xfId="34552" xr:uid="{00000000-0005-0000-0000-000042E10000}"/>
    <cellStyle name="Porcentaje 2 7 7 4" xfId="10791" xr:uid="{00000000-0005-0000-0000-000043E10000}"/>
    <cellStyle name="Porcentaje 2 7 7 4 2" xfId="17581" xr:uid="{00000000-0005-0000-0000-000044E10000}"/>
    <cellStyle name="Porcentaje 2 7 7 4 2 2" xfId="31149" xr:uid="{00000000-0005-0000-0000-000045E10000}"/>
    <cellStyle name="Porcentaje 2 7 7 4 2 2 2" xfId="58282" xr:uid="{00000000-0005-0000-0000-000046E10000}"/>
    <cellStyle name="Porcentaje 2 7 7 4 2 3" xfId="44720" xr:uid="{00000000-0005-0000-0000-000047E10000}"/>
    <cellStyle name="Porcentaje 2 7 7 4 3" xfId="24368" xr:uid="{00000000-0005-0000-0000-000048E10000}"/>
    <cellStyle name="Porcentaje 2 7 7 4 3 2" xfId="51501" xr:uid="{00000000-0005-0000-0000-000049E10000}"/>
    <cellStyle name="Porcentaje 2 7 7 4 4" xfId="37939" xr:uid="{00000000-0005-0000-0000-00004AE10000}"/>
    <cellStyle name="Porcentaje 2 7 7 5" xfId="14192" xr:uid="{00000000-0005-0000-0000-00004BE10000}"/>
    <cellStyle name="Porcentaje 2 7 7 5 2" xfId="27760" xr:uid="{00000000-0005-0000-0000-00004CE10000}"/>
    <cellStyle name="Porcentaje 2 7 7 5 2 2" xfId="54893" xr:uid="{00000000-0005-0000-0000-00004DE10000}"/>
    <cellStyle name="Porcentaje 2 7 7 5 3" xfId="41331" xr:uid="{00000000-0005-0000-0000-00004EE10000}"/>
    <cellStyle name="Porcentaje 2 7 7 6" xfId="20979" xr:uid="{00000000-0005-0000-0000-00004FE10000}"/>
    <cellStyle name="Porcentaje 2 7 7 6 2" xfId="48112" xr:uid="{00000000-0005-0000-0000-000050E10000}"/>
    <cellStyle name="Porcentaje 2 7 7 7" xfId="34550" xr:uid="{00000000-0005-0000-0000-000051E10000}"/>
    <cellStyle name="Porcentaje 2 7 8" xfId="7287" xr:uid="{00000000-0005-0000-0000-000052E10000}"/>
    <cellStyle name="Porcentaje 2 7 8 2" xfId="7288" xr:uid="{00000000-0005-0000-0000-000053E10000}"/>
    <cellStyle name="Porcentaje 2 7 8 2 2" xfId="10795" xr:uid="{00000000-0005-0000-0000-000054E10000}"/>
    <cellStyle name="Porcentaje 2 7 8 2 2 2" xfId="17585" xr:uid="{00000000-0005-0000-0000-000055E10000}"/>
    <cellStyle name="Porcentaje 2 7 8 2 2 2 2" xfId="31153" xr:uid="{00000000-0005-0000-0000-000056E10000}"/>
    <cellStyle name="Porcentaje 2 7 8 2 2 2 2 2" xfId="58286" xr:uid="{00000000-0005-0000-0000-000057E10000}"/>
    <cellStyle name="Porcentaje 2 7 8 2 2 2 3" xfId="44724" xr:uid="{00000000-0005-0000-0000-000058E10000}"/>
    <cellStyle name="Porcentaje 2 7 8 2 2 3" xfId="24372" xr:uid="{00000000-0005-0000-0000-000059E10000}"/>
    <cellStyle name="Porcentaje 2 7 8 2 2 3 2" xfId="51505" xr:uid="{00000000-0005-0000-0000-00005AE10000}"/>
    <cellStyle name="Porcentaje 2 7 8 2 2 4" xfId="37943" xr:uid="{00000000-0005-0000-0000-00005BE10000}"/>
    <cellStyle name="Porcentaje 2 7 8 2 3" xfId="14196" xr:uid="{00000000-0005-0000-0000-00005CE10000}"/>
    <cellStyle name="Porcentaje 2 7 8 2 3 2" xfId="27764" xr:uid="{00000000-0005-0000-0000-00005DE10000}"/>
    <cellStyle name="Porcentaje 2 7 8 2 3 2 2" xfId="54897" xr:uid="{00000000-0005-0000-0000-00005EE10000}"/>
    <cellStyle name="Porcentaje 2 7 8 2 3 3" xfId="41335" xr:uid="{00000000-0005-0000-0000-00005FE10000}"/>
    <cellStyle name="Porcentaje 2 7 8 2 4" xfId="20983" xr:uid="{00000000-0005-0000-0000-000060E10000}"/>
    <cellStyle name="Porcentaje 2 7 8 2 4 2" xfId="48116" xr:uid="{00000000-0005-0000-0000-000061E10000}"/>
    <cellStyle name="Porcentaje 2 7 8 2 5" xfId="34554" xr:uid="{00000000-0005-0000-0000-000062E10000}"/>
    <cellStyle name="Porcentaje 2 7 8 3" xfId="7289" xr:uid="{00000000-0005-0000-0000-000063E10000}"/>
    <cellStyle name="Porcentaje 2 7 8 3 2" xfId="10796" xr:uid="{00000000-0005-0000-0000-000064E10000}"/>
    <cellStyle name="Porcentaje 2 7 8 3 2 2" xfId="17586" xr:uid="{00000000-0005-0000-0000-000065E10000}"/>
    <cellStyle name="Porcentaje 2 7 8 3 2 2 2" xfId="31154" xr:uid="{00000000-0005-0000-0000-000066E10000}"/>
    <cellStyle name="Porcentaje 2 7 8 3 2 2 2 2" xfId="58287" xr:uid="{00000000-0005-0000-0000-000067E10000}"/>
    <cellStyle name="Porcentaje 2 7 8 3 2 2 3" xfId="44725" xr:uid="{00000000-0005-0000-0000-000068E10000}"/>
    <cellStyle name="Porcentaje 2 7 8 3 2 3" xfId="24373" xr:uid="{00000000-0005-0000-0000-000069E10000}"/>
    <cellStyle name="Porcentaje 2 7 8 3 2 3 2" xfId="51506" xr:uid="{00000000-0005-0000-0000-00006AE10000}"/>
    <cellStyle name="Porcentaje 2 7 8 3 2 4" xfId="37944" xr:uid="{00000000-0005-0000-0000-00006BE10000}"/>
    <cellStyle name="Porcentaje 2 7 8 3 3" xfId="14197" xr:uid="{00000000-0005-0000-0000-00006CE10000}"/>
    <cellStyle name="Porcentaje 2 7 8 3 3 2" xfId="27765" xr:uid="{00000000-0005-0000-0000-00006DE10000}"/>
    <cellStyle name="Porcentaje 2 7 8 3 3 2 2" xfId="54898" xr:uid="{00000000-0005-0000-0000-00006EE10000}"/>
    <cellStyle name="Porcentaje 2 7 8 3 3 3" xfId="41336" xr:uid="{00000000-0005-0000-0000-00006FE10000}"/>
    <cellStyle name="Porcentaje 2 7 8 3 4" xfId="20984" xr:uid="{00000000-0005-0000-0000-000070E10000}"/>
    <cellStyle name="Porcentaje 2 7 8 3 4 2" xfId="48117" xr:uid="{00000000-0005-0000-0000-000071E10000}"/>
    <cellStyle name="Porcentaje 2 7 8 3 5" xfId="34555" xr:uid="{00000000-0005-0000-0000-000072E10000}"/>
    <cellStyle name="Porcentaje 2 7 8 4" xfId="10794" xr:uid="{00000000-0005-0000-0000-000073E10000}"/>
    <cellStyle name="Porcentaje 2 7 8 4 2" xfId="17584" xr:uid="{00000000-0005-0000-0000-000074E10000}"/>
    <cellStyle name="Porcentaje 2 7 8 4 2 2" xfId="31152" xr:uid="{00000000-0005-0000-0000-000075E10000}"/>
    <cellStyle name="Porcentaje 2 7 8 4 2 2 2" xfId="58285" xr:uid="{00000000-0005-0000-0000-000076E10000}"/>
    <cellStyle name="Porcentaje 2 7 8 4 2 3" xfId="44723" xr:uid="{00000000-0005-0000-0000-000077E10000}"/>
    <cellStyle name="Porcentaje 2 7 8 4 3" xfId="24371" xr:uid="{00000000-0005-0000-0000-000078E10000}"/>
    <cellStyle name="Porcentaje 2 7 8 4 3 2" xfId="51504" xr:uid="{00000000-0005-0000-0000-000079E10000}"/>
    <cellStyle name="Porcentaje 2 7 8 4 4" xfId="37942" xr:uid="{00000000-0005-0000-0000-00007AE10000}"/>
    <cellStyle name="Porcentaje 2 7 8 5" xfId="14195" xr:uid="{00000000-0005-0000-0000-00007BE10000}"/>
    <cellStyle name="Porcentaje 2 7 8 5 2" xfId="27763" xr:uid="{00000000-0005-0000-0000-00007CE10000}"/>
    <cellStyle name="Porcentaje 2 7 8 5 2 2" xfId="54896" xr:uid="{00000000-0005-0000-0000-00007DE10000}"/>
    <cellStyle name="Porcentaje 2 7 8 5 3" xfId="41334" xr:uid="{00000000-0005-0000-0000-00007EE10000}"/>
    <cellStyle name="Porcentaje 2 7 8 6" xfId="20982" xr:uid="{00000000-0005-0000-0000-00007FE10000}"/>
    <cellStyle name="Porcentaje 2 7 8 6 2" xfId="48115" xr:uid="{00000000-0005-0000-0000-000080E10000}"/>
    <cellStyle name="Porcentaje 2 7 8 7" xfId="34553" xr:uid="{00000000-0005-0000-0000-000081E10000}"/>
    <cellStyle name="Porcentaje 2 7 9" xfId="7290" xr:uid="{00000000-0005-0000-0000-000082E10000}"/>
    <cellStyle name="Porcentaje 2 7 9 2" xfId="10797" xr:uid="{00000000-0005-0000-0000-000083E10000}"/>
    <cellStyle name="Porcentaje 2 7 9 2 2" xfId="17587" xr:uid="{00000000-0005-0000-0000-000084E10000}"/>
    <cellStyle name="Porcentaje 2 7 9 2 2 2" xfId="31155" xr:uid="{00000000-0005-0000-0000-000085E10000}"/>
    <cellStyle name="Porcentaje 2 7 9 2 2 2 2" xfId="58288" xr:uid="{00000000-0005-0000-0000-000086E10000}"/>
    <cellStyle name="Porcentaje 2 7 9 2 2 3" xfId="44726" xr:uid="{00000000-0005-0000-0000-000087E10000}"/>
    <cellStyle name="Porcentaje 2 7 9 2 3" xfId="24374" xr:uid="{00000000-0005-0000-0000-000088E10000}"/>
    <cellStyle name="Porcentaje 2 7 9 2 3 2" xfId="51507" xr:uid="{00000000-0005-0000-0000-000089E10000}"/>
    <cellStyle name="Porcentaje 2 7 9 2 4" xfId="37945" xr:uid="{00000000-0005-0000-0000-00008AE10000}"/>
    <cellStyle name="Porcentaje 2 7 9 3" xfId="14198" xr:uid="{00000000-0005-0000-0000-00008BE10000}"/>
    <cellStyle name="Porcentaje 2 7 9 3 2" xfId="27766" xr:uid="{00000000-0005-0000-0000-00008CE10000}"/>
    <cellStyle name="Porcentaje 2 7 9 3 2 2" xfId="54899" xr:uid="{00000000-0005-0000-0000-00008DE10000}"/>
    <cellStyle name="Porcentaje 2 7 9 3 3" xfId="41337" xr:uid="{00000000-0005-0000-0000-00008EE10000}"/>
    <cellStyle name="Porcentaje 2 7 9 4" xfId="20985" xr:uid="{00000000-0005-0000-0000-00008FE10000}"/>
    <cellStyle name="Porcentaje 2 7 9 4 2" xfId="48118" xr:uid="{00000000-0005-0000-0000-000090E10000}"/>
    <cellStyle name="Porcentaje 2 7 9 5" xfId="34556" xr:uid="{00000000-0005-0000-0000-000091E10000}"/>
    <cellStyle name="Porcentaje 2 8" xfId="7291" xr:uid="{00000000-0005-0000-0000-000092E10000}"/>
    <cellStyle name="Porcentaje 2 9" xfId="7292" xr:uid="{00000000-0005-0000-0000-000093E10000}"/>
    <cellStyle name="Porcentaje 3" xfId="6" xr:uid="{00000000-0005-0000-0000-000094E10000}"/>
    <cellStyle name="Porcentaje 3 2" xfId="7314" xr:uid="{00000000-0005-0000-0000-000095E10000}"/>
    <cellStyle name="Porcentaje 3 2 2" xfId="58363" xr:uid="{00000000-0005-0000-0000-000096E10000}"/>
    <cellStyle name="Porcentaje 3 3" xfId="7315" xr:uid="{00000000-0005-0000-0000-000097E10000}"/>
    <cellStyle name="Porcentaje 3 4" xfId="10800" xr:uid="{00000000-0005-0000-0000-000098E10000}"/>
    <cellStyle name="Porcentaje 3 4 2" xfId="17590" xr:uid="{00000000-0005-0000-0000-000099E10000}"/>
    <cellStyle name="Porcentaje 3 4 2 2" xfId="31158" xr:uid="{00000000-0005-0000-0000-00009AE10000}"/>
    <cellStyle name="Porcentaje 3 4 2 2 2" xfId="58291" xr:uid="{00000000-0005-0000-0000-00009BE10000}"/>
    <cellStyle name="Porcentaje 3 4 2 3" xfId="44729" xr:uid="{00000000-0005-0000-0000-00009CE10000}"/>
    <cellStyle name="Porcentaje 3 4 3" xfId="24377" xr:uid="{00000000-0005-0000-0000-00009DE10000}"/>
    <cellStyle name="Porcentaje 3 4 3 2" xfId="51510" xr:uid="{00000000-0005-0000-0000-00009EE10000}"/>
    <cellStyle name="Porcentaje 3 4 4" xfId="37948" xr:uid="{00000000-0005-0000-0000-00009FE10000}"/>
    <cellStyle name="Porcentaje 3 5" xfId="14201" xr:uid="{00000000-0005-0000-0000-0000A0E10000}"/>
    <cellStyle name="Porcentaje 3 5 2" xfId="27769" xr:uid="{00000000-0005-0000-0000-0000A1E10000}"/>
    <cellStyle name="Porcentaje 3 5 2 2" xfId="54902" xr:uid="{00000000-0005-0000-0000-0000A2E10000}"/>
    <cellStyle name="Porcentaje 3 5 3" xfId="41340" xr:uid="{00000000-0005-0000-0000-0000A3E10000}"/>
    <cellStyle name="Porcentaje 3 6" xfId="20988" xr:uid="{00000000-0005-0000-0000-0000A4E10000}"/>
    <cellStyle name="Porcentaje 3 6 2" xfId="48121" xr:uid="{00000000-0005-0000-0000-0000A5E10000}"/>
    <cellStyle name="Porcentaje 3 7" xfId="34559" xr:uid="{00000000-0005-0000-0000-0000A6E10000}"/>
    <cellStyle name="Porcentaje 4" xfId="7303" xr:uid="{00000000-0005-0000-0000-0000A7E10000}"/>
    <cellStyle name="Porcentaje 4 2" xfId="58364" xr:uid="{00000000-0005-0000-0000-0000A8E10000}"/>
    <cellStyle name="Porcentaje 5" xfId="10847" xr:uid="{00000000-0005-0000-0000-0000A9E10000}"/>
    <cellStyle name="Porcentaje 5 2" xfId="7316" xr:uid="{00000000-0005-0000-0000-0000AAE10000}"/>
    <cellStyle name="Porcentual 2" xfId="73" xr:uid="{00000000-0005-0000-0000-0000ABE10000}"/>
    <cellStyle name="Porcentual 2 2" xfId="162" xr:uid="{00000000-0005-0000-0000-0000ACE10000}"/>
    <cellStyle name="Porcentual 2 2 2" xfId="7293" xr:uid="{00000000-0005-0000-0000-0000ADE10000}"/>
    <cellStyle name="Porcentual 2 3" xfId="198" xr:uid="{00000000-0005-0000-0000-0000AEE10000}"/>
    <cellStyle name="Porcentual 3" xfId="74" xr:uid="{00000000-0005-0000-0000-0000AFE10000}"/>
    <cellStyle name="Porcentual 4" xfId="2866" xr:uid="{00000000-0005-0000-0000-0000B0E10000}"/>
    <cellStyle name="Porcentual 4 2" xfId="2867" xr:uid="{00000000-0005-0000-0000-0000B1E10000}"/>
    <cellStyle name="Porcentual 5" xfId="2868" xr:uid="{00000000-0005-0000-0000-0000B2E10000}"/>
    <cellStyle name="Porcentual 6" xfId="7451" xr:uid="{00000000-0005-0000-0000-0000B3E10000}"/>
    <cellStyle name="Porcentual 6 2" xfId="7452" xr:uid="{00000000-0005-0000-0000-0000B4E10000}"/>
    <cellStyle name="Porcentual 6 2 2" xfId="10845" xr:uid="{00000000-0005-0000-0000-0000B5E10000}"/>
    <cellStyle name="Porcentual 6 2 2 2" xfId="17635" xr:uid="{00000000-0005-0000-0000-0000B6E10000}"/>
    <cellStyle name="Porcentual 6 2 2 2 2" xfId="31203" xr:uid="{00000000-0005-0000-0000-0000B7E10000}"/>
    <cellStyle name="Porcentual 6 2 2 2 2 2" xfId="58336" xr:uid="{00000000-0005-0000-0000-0000B8E10000}"/>
    <cellStyle name="Porcentual 6 2 2 2 3" xfId="44774" xr:uid="{00000000-0005-0000-0000-0000B9E10000}"/>
    <cellStyle name="Porcentual 6 2 2 3" xfId="24422" xr:uid="{00000000-0005-0000-0000-0000BAE10000}"/>
    <cellStyle name="Porcentual 6 2 2 3 2" xfId="51555" xr:uid="{00000000-0005-0000-0000-0000BBE10000}"/>
    <cellStyle name="Porcentual 6 2 2 4" xfId="37993" xr:uid="{00000000-0005-0000-0000-0000BCE10000}"/>
    <cellStyle name="Porcentual 6 2 3" xfId="14246" xr:uid="{00000000-0005-0000-0000-0000BDE10000}"/>
    <cellStyle name="Porcentual 6 2 3 2" xfId="27814" xr:uid="{00000000-0005-0000-0000-0000BEE10000}"/>
    <cellStyle name="Porcentual 6 2 3 2 2" xfId="54947" xr:uid="{00000000-0005-0000-0000-0000BFE10000}"/>
    <cellStyle name="Porcentual 6 2 3 3" xfId="41385" xr:uid="{00000000-0005-0000-0000-0000C0E10000}"/>
    <cellStyle name="Porcentual 6 2 4" xfId="21033" xr:uid="{00000000-0005-0000-0000-0000C1E10000}"/>
    <cellStyle name="Porcentual 6 2 4 2" xfId="48166" xr:uid="{00000000-0005-0000-0000-0000C2E10000}"/>
    <cellStyle name="Porcentual 6 2 5" xfId="34604" xr:uid="{00000000-0005-0000-0000-0000C3E10000}"/>
    <cellStyle name="Porcentual 6 3" xfId="10844" xr:uid="{00000000-0005-0000-0000-0000C4E10000}"/>
    <cellStyle name="Porcentual 6 3 2" xfId="17634" xr:uid="{00000000-0005-0000-0000-0000C5E10000}"/>
    <cellStyle name="Porcentual 6 3 2 2" xfId="31202" xr:uid="{00000000-0005-0000-0000-0000C6E10000}"/>
    <cellStyle name="Porcentual 6 3 2 2 2" xfId="58335" xr:uid="{00000000-0005-0000-0000-0000C7E10000}"/>
    <cellStyle name="Porcentual 6 3 2 3" xfId="44773" xr:uid="{00000000-0005-0000-0000-0000C8E10000}"/>
    <cellStyle name="Porcentual 6 3 3" xfId="24421" xr:uid="{00000000-0005-0000-0000-0000C9E10000}"/>
    <cellStyle name="Porcentual 6 3 3 2" xfId="51554" xr:uid="{00000000-0005-0000-0000-0000CAE10000}"/>
    <cellStyle name="Porcentual 6 3 4" xfId="37992" xr:uid="{00000000-0005-0000-0000-0000CBE10000}"/>
    <cellStyle name="Porcentual 6 4" xfId="14245" xr:uid="{00000000-0005-0000-0000-0000CCE10000}"/>
    <cellStyle name="Porcentual 6 4 2" xfId="27813" xr:uid="{00000000-0005-0000-0000-0000CDE10000}"/>
    <cellStyle name="Porcentual 6 4 2 2" xfId="54946" xr:uid="{00000000-0005-0000-0000-0000CEE10000}"/>
    <cellStyle name="Porcentual 6 4 3" xfId="41384" xr:uid="{00000000-0005-0000-0000-0000CFE10000}"/>
    <cellStyle name="Porcentual 6 5" xfId="21032" xr:uid="{00000000-0005-0000-0000-0000D0E10000}"/>
    <cellStyle name="Porcentual 6 5 2" xfId="48165" xr:uid="{00000000-0005-0000-0000-0000D1E10000}"/>
    <cellStyle name="Porcentual 6 6" xfId="34603" xr:uid="{00000000-0005-0000-0000-0000D2E10000}"/>
    <cellStyle name="Punto0" xfId="75" xr:uid="{00000000-0005-0000-0000-0000D3E10000}"/>
    <cellStyle name="Punto0 2" xfId="163" xr:uid="{00000000-0005-0000-0000-0000D4E10000}"/>
    <cellStyle name="Punto0 2 2" xfId="164" xr:uid="{00000000-0005-0000-0000-0000D5E10000}"/>
    <cellStyle name="Punto0 3" xfId="165" xr:uid="{00000000-0005-0000-0000-0000D6E10000}"/>
    <cellStyle name="RM" xfId="7294" xr:uid="{00000000-0005-0000-0000-0000D7E10000}"/>
    <cellStyle name="Salida 10" xfId="2869" xr:uid="{00000000-0005-0000-0000-0000D8E10000}"/>
    <cellStyle name="Salida 11" xfId="2870" xr:uid="{00000000-0005-0000-0000-0000D9E10000}"/>
    <cellStyle name="Salida 12" xfId="2871" xr:uid="{00000000-0005-0000-0000-0000DAE10000}"/>
    <cellStyle name="Salida 13" xfId="2872" xr:uid="{00000000-0005-0000-0000-0000DBE10000}"/>
    <cellStyle name="Salida 14" xfId="2873" xr:uid="{00000000-0005-0000-0000-0000DCE10000}"/>
    <cellStyle name="Salida 15" xfId="2874" xr:uid="{00000000-0005-0000-0000-0000DDE10000}"/>
    <cellStyle name="Salida 16" xfId="2875" xr:uid="{00000000-0005-0000-0000-0000DEE10000}"/>
    <cellStyle name="Salida 17" xfId="2876" xr:uid="{00000000-0005-0000-0000-0000DFE10000}"/>
    <cellStyle name="Salida 18" xfId="2877" xr:uid="{00000000-0005-0000-0000-0000E0E10000}"/>
    <cellStyle name="Salida 19" xfId="2878" xr:uid="{00000000-0005-0000-0000-0000E1E10000}"/>
    <cellStyle name="Salida 2" xfId="166" xr:uid="{00000000-0005-0000-0000-0000E2E10000}"/>
    <cellStyle name="Salida 2 2" xfId="2879" xr:uid="{00000000-0005-0000-0000-0000E3E10000}"/>
    <cellStyle name="Salida 2 3" xfId="2880" xr:uid="{00000000-0005-0000-0000-0000E4E10000}"/>
    <cellStyle name="Salida 2 4" xfId="2881" xr:uid="{00000000-0005-0000-0000-0000E5E10000}"/>
    <cellStyle name="Salida 2 5" xfId="2882" xr:uid="{00000000-0005-0000-0000-0000E6E10000}"/>
    <cellStyle name="Salida 20" xfId="2883" xr:uid="{00000000-0005-0000-0000-0000E7E10000}"/>
    <cellStyle name="Salida 21" xfId="2884" xr:uid="{00000000-0005-0000-0000-0000E8E10000}"/>
    <cellStyle name="Salida 22" xfId="2885" xr:uid="{00000000-0005-0000-0000-0000E9E10000}"/>
    <cellStyle name="Salida 23" xfId="2886" xr:uid="{00000000-0005-0000-0000-0000EAE10000}"/>
    <cellStyle name="Salida 24" xfId="2887" xr:uid="{00000000-0005-0000-0000-0000EBE10000}"/>
    <cellStyle name="Salida 25" xfId="2888" xr:uid="{00000000-0005-0000-0000-0000ECE10000}"/>
    <cellStyle name="Salida 26" xfId="2889" xr:uid="{00000000-0005-0000-0000-0000EDE10000}"/>
    <cellStyle name="Salida 27" xfId="2890" xr:uid="{00000000-0005-0000-0000-0000EEE10000}"/>
    <cellStyle name="Salida 28" xfId="2891" xr:uid="{00000000-0005-0000-0000-0000EFE10000}"/>
    <cellStyle name="Salida 29" xfId="2892" xr:uid="{00000000-0005-0000-0000-0000F0E10000}"/>
    <cellStyle name="Salida 3" xfId="2893" xr:uid="{00000000-0005-0000-0000-0000F1E10000}"/>
    <cellStyle name="Salida 30" xfId="2894" xr:uid="{00000000-0005-0000-0000-0000F2E10000}"/>
    <cellStyle name="Salida 31" xfId="2895" xr:uid="{00000000-0005-0000-0000-0000F3E10000}"/>
    <cellStyle name="Salida 32" xfId="2896" xr:uid="{00000000-0005-0000-0000-0000F4E10000}"/>
    <cellStyle name="Salida 33" xfId="2897" xr:uid="{00000000-0005-0000-0000-0000F5E10000}"/>
    <cellStyle name="Salida 34" xfId="2898" xr:uid="{00000000-0005-0000-0000-0000F6E10000}"/>
    <cellStyle name="Salida 35" xfId="2899" xr:uid="{00000000-0005-0000-0000-0000F7E10000}"/>
    <cellStyle name="Salida 36" xfId="2900" xr:uid="{00000000-0005-0000-0000-0000F8E10000}"/>
    <cellStyle name="Salida 37" xfId="2901" xr:uid="{00000000-0005-0000-0000-0000F9E10000}"/>
    <cellStyle name="Salida 38" xfId="2902" xr:uid="{00000000-0005-0000-0000-0000FAE10000}"/>
    <cellStyle name="Salida 39" xfId="2903" xr:uid="{00000000-0005-0000-0000-0000FBE10000}"/>
    <cellStyle name="Salida 4" xfId="2904" xr:uid="{00000000-0005-0000-0000-0000FCE10000}"/>
    <cellStyle name="Salida 40" xfId="2905" xr:uid="{00000000-0005-0000-0000-0000FDE10000}"/>
    <cellStyle name="Salida 41" xfId="2906" xr:uid="{00000000-0005-0000-0000-0000FEE10000}"/>
    <cellStyle name="Salida 42" xfId="2907" xr:uid="{00000000-0005-0000-0000-0000FFE10000}"/>
    <cellStyle name="Salida 43" xfId="2908" xr:uid="{00000000-0005-0000-0000-000000E20000}"/>
    <cellStyle name="Salida 44" xfId="2909" xr:uid="{00000000-0005-0000-0000-000001E20000}"/>
    <cellStyle name="Salida 45" xfId="2910" xr:uid="{00000000-0005-0000-0000-000002E20000}"/>
    <cellStyle name="Salida 46" xfId="2911" xr:uid="{00000000-0005-0000-0000-000003E20000}"/>
    <cellStyle name="Salida 47" xfId="2912" xr:uid="{00000000-0005-0000-0000-000004E20000}"/>
    <cellStyle name="Salida 48" xfId="2913" xr:uid="{00000000-0005-0000-0000-000005E20000}"/>
    <cellStyle name="Salida 49" xfId="2914" xr:uid="{00000000-0005-0000-0000-000006E20000}"/>
    <cellStyle name="Salida 5" xfId="2915" xr:uid="{00000000-0005-0000-0000-000007E20000}"/>
    <cellStyle name="Salida 50" xfId="2916" xr:uid="{00000000-0005-0000-0000-000008E20000}"/>
    <cellStyle name="Salida 51" xfId="2917" xr:uid="{00000000-0005-0000-0000-000009E20000}"/>
    <cellStyle name="Salida 52" xfId="2918" xr:uid="{00000000-0005-0000-0000-00000AE20000}"/>
    <cellStyle name="Salida 53" xfId="2919" xr:uid="{00000000-0005-0000-0000-00000BE20000}"/>
    <cellStyle name="Salida 54" xfId="2920" xr:uid="{00000000-0005-0000-0000-00000CE20000}"/>
    <cellStyle name="Salida 55" xfId="2921" xr:uid="{00000000-0005-0000-0000-00000DE20000}"/>
    <cellStyle name="Salida 56" xfId="2922" xr:uid="{00000000-0005-0000-0000-00000EE20000}"/>
    <cellStyle name="Salida 57" xfId="2923" xr:uid="{00000000-0005-0000-0000-00000FE20000}"/>
    <cellStyle name="Salida 58" xfId="2924" xr:uid="{00000000-0005-0000-0000-000010E20000}"/>
    <cellStyle name="Salida 59" xfId="2925" xr:uid="{00000000-0005-0000-0000-000011E20000}"/>
    <cellStyle name="Salida 6" xfId="2926" xr:uid="{00000000-0005-0000-0000-000012E20000}"/>
    <cellStyle name="Salida 60" xfId="2927" xr:uid="{00000000-0005-0000-0000-000013E20000}"/>
    <cellStyle name="Salida 61" xfId="2928" xr:uid="{00000000-0005-0000-0000-000014E20000}"/>
    <cellStyle name="Salida 62" xfId="2929" xr:uid="{00000000-0005-0000-0000-000015E20000}"/>
    <cellStyle name="Salida 63" xfId="2930" xr:uid="{00000000-0005-0000-0000-000016E20000}"/>
    <cellStyle name="Salida 64" xfId="2931" xr:uid="{00000000-0005-0000-0000-000017E20000}"/>
    <cellStyle name="Salida 65" xfId="2932" xr:uid="{00000000-0005-0000-0000-000018E20000}"/>
    <cellStyle name="Salida 66" xfId="2933" xr:uid="{00000000-0005-0000-0000-000019E20000}"/>
    <cellStyle name="Salida 67" xfId="2934" xr:uid="{00000000-0005-0000-0000-00001AE20000}"/>
    <cellStyle name="Salida 7" xfId="2935" xr:uid="{00000000-0005-0000-0000-00001BE20000}"/>
    <cellStyle name="Salida 8" xfId="2936" xr:uid="{00000000-0005-0000-0000-00001CE20000}"/>
    <cellStyle name="Salida 9" xfId="2937" xr:uid="{00000000-0005-0000-0000-00001DE20000}"/>
    <cellStyle name="Style 1" xfId="184" xr:uid="{00000000-0005-0000-0000-00001EE20000}"/>
    <cellStyle name="Texto de advertencia 10" xfId="2938" xr:uid="{00000000-0005-0000-0000-00001FE20000}"/>
    <cellStyle name="Texto de advertencia 11" xfId="2939" xr:uid="{00000000-0005-0000-0000-000020E20000}"/>
    <cellStyle name="Texto de advertencia 12" xfId="2940" xr:uid="{00000000-0005-0000-0000-000021E20000}"/>
    <cellStyle name="Texto de advertencia 13" xfId="2941" xr:uid="{00000000-0005-0000-0000-000022E20000}"/>
    <cellStyle name="Texto de advertencia 14" xfId="2942" xr:uid="{00000000-0005-0000-0000-000023E20000}"/>
    <cellStyle name="Texto de advertencia 15" xfId="2943" xr:uid="{00000000-0005-0000-0000-000024E20000}"/>
    <cellStyle name="Texto de advertencia 16" xfId="2944" xr:uid="{00000000-0005-0000-0000-000025E20000}"/>
    <cellStyle name="Texto de advertencia 17" xfId="2945" xr:uid="{00000000-0005-0000-0000-000026E20000}"/>
    <cellStyle name="Texto de advertencia 18" xfId="2946" xr:uid="{00000000-0005-0000-0000-000027E20000}"/>
    <cellStyle name="Texto de advertencia 19" xfId="2947" xr:uid="{00000000-0005-0000-0000-000028E20000}"/>
    <cellStyle name="Texto de advertencia 2" xfId="167" xr:uid="{00000000-0005-0000-0000-000029E20000}"/>
    <cellStyle name="Texto de advertencia 2 2" xfId="2948" xr:uid="{00000000-0005-0000-0000-00002AE20000}"/>
    <cellStyle name="Texto de advertencia 2 3" xfId="2949" xr:uid="{00000000-0005-0000-0000-00002BE20000}"/>
    <cellStyle name="Texto de advertencia 2 4" xfId="2950" xr:uid="{00000000-0005-0000-0000-00002CE20000}"/>
    <cellStyle name="Texto de advertencia 2 5" xfId="2951" xr:uid="{00000000-0005-0000-0000-00002DE20000}"/>
    <cellStyle name="Texto de advertencia 20" xfId="2952" xr:uid="{00000000-0005-0000-0000-00002EE20000}"/>
    <cellStyle name="Texto de advertencia 21" xfId="2953" xr:uid="{00000000-0005-0000-0000-00002FE20000}"/>
    <cellStyle name="Texto de advertencia 22" xfId="2954" xr:uid="{00000000-0005-0000-0000-000030E20000}"/>
    <cellStyle name="Texto de advertencia 23" xfId="2955" xr:uid="{00000000-0005-0000-0000-000031E20000}"/>
    <cellStyle name="Texto de advertencia 24" xfId="2956" xr:uid="{00000000-0005-0000-0000-000032E20000}"/>
    <cellStyle name="Texto de advertencia 25" xfId="2957" xr:uid="{00000000-0005-0000-0000-000033E20000}"/>
    <cellStyle name="Texto de advertencia 26" xfId="2958" xr:uid="{00000000-0005-0000-0000-000034E20000}"/>
    <cellStyle name="Texto de advertencia 27" xfId="2959" xr:uid="{00000000-0005-0000-0000-000035E20000}"/>
    <cellStyle name="Texto de advertencia 28" xfId="2960" xr:uid="{00000000-0005-0000-0000-000036E20000}"/>
    <cellStyle name="Texto de advertencia 29" xfId="2961" xr:uid="{00000000-0005-0000-0000-000037E20000}"/>
    <cellStyle name="Texto de advertencia 3" xfId="2962" xr:uid="{00000000-0005-0000-0000-000038E20000}"/>
    <cellStyle name="Texto de advertencia 30" xfId="2963" xr:uid="{00000000-0005-0000-0000-000039E20000}"/>
    <cellStyle name="Texto de advertencia 31" xfId="2964" xr:uid="{00000000-0005-0000-0000-00003AE20000}"/>
    <cellStyle name="Texto de advertencia 32" xfId="2965" xr:uid="{00000000-0005-0000-0000-00003BE20000}"/>
    <cellStyle name="Texto de advertencia 33" xfId="2966" xr:uid="{00000000-0005-0000-0000-00003CE20000}"/>
    <cellStyle name="Texto de advertencia 34" xfId="2967" xr:uid="{00000000-0005-0000-0000-00003DE20000}"/>
    <cellStyle name="Texto de advertencia 35" xfId="2968" xr:uid="{00000000-0005-0000-0000-00003EE20000}"/>
    <cellStyle name="Texto de advertencia 36" xfId="2969" xr:uid="{00000000-0005-0000-0000-00003FE20000}"/>
    <cellStyle name="Texto de advertencia 37" xfId="2970" xr:uid="{00000000-0005-0000-0000-000040E20000}"/>
    <cellStyle name="Texto de advertencia 38" xfId="2971" xr:uid="{00000000-0005-0000-0000-000041E20000}"/>
    <cellStyle name="Texto de advertencia 39" xfId="2972" xr:uid="{00000000-0005-0000-0000-000042E20000}"/>
    <cellStyle name="Texto de advertencia 4" xfId="2973" xr:uid="{00000000-0005-0000-0000-000043E20000}"/>
    <cellStyle name="Texto de advertencia 40" xfId="2974" xr:uid="{00000000-0005-0000-0000-000044E20000}"/>
    <cellStyle name="Texto de advertencia 41" xfId="2975" xr:uid="{00000000-0005-0000-0000-000045E20000}"/>
    <cellStyle name="Texto de advertencia 42" xfId="2976" xr:uid="{00000000-0005-0000-0000-000046E20000}"/>
    <cellStyle name="Texto de advertencia 43" xfId="2977" xr:uid="{00000000-0005-0000-0000-000047E20000}"/>
    <cellStyle name="Texto de advertencia 44" xfId="2978" xr:uid="{00000000-0005-0000-0000-000048E20000}"/>
    <cellStyle name="Texto de advertencia 45" xfId="2979" xr:uid="{00000000-0005-0000-0000-000049E20000}"/>
    <cellStyle name="Texto de advertencia 46" xfId="2980" xr:uid="{00000000-0005-0000-0000-00004AE20000}"/>
    <cellStyle name="Texto de advertencia 47" xfId="2981" xr:uid="{00000000-0005-0000-0000-00004BE20000}"/>
    <cellStyle name="Texto de advertencia 48" xfId="2982" xr:uid="{00000000-0005-0000-0000-00004CE20000}"/>
    <cellStyle name="Texto de advertencia 49" xfId="2983" xr:uid="{00000000-0005-0000-0000-00004DE20000}"/>
    <cellStyle name="Texto de advertencia 5" xfId="2984" xr:uid="{00000000-0005-0000-0000-00004EE20000}"/>
    <cellStyle name="Texto de advertencia 50" xfId="2985" xr:uid="{00000000-0005-0000-0000-00004FE20000}"/>
    <cellStyle name="Texto de advertencia 51" xfId="2986" xr:uid="{00000000-0005-0000-0000-000050E20000}"/>
    <cellStyle name="Texto de advertencia 52" xfId="2987" xr:uid="{00000000-0005-0000-0000-000051E20000}"/>
    <cellStyle name="Texto de advertencia 53" xfId="2988" xr:uid="{00000000-0005-0000-0000-000052E20000}"/>
    <cellStyle name="Texto de advertencia 54" xfId="2989" xr:uid="{00000000-0005-0000-0000-000053E20000}"/>
    <cellStyle name="Texto de advertencia 55" xfId="2990" xr:uid="{00000000-0005-0000-0000-000054E20000}"/>
    <cellStyle name="Texto de advertencia 56" xfId="2991" xr:uid="{00000000-0005-0000-0000-000055E20000}"/>
    <cellStyle name="Texto de advertencia 57" xfId="2992" xr:uid="{00000000-0005-0000-0000-000056E20000}"/>
    <cellStyle name="Texto de advertencia 58" xfId="2993" xr:uid="{00000000-0005-0000-0000-000057E20000}"/>
    <cellStyle name="Texto de advertencia 59" xfId="2994" xr:uid="{00000000-0005-0000-0000-000058E20000}"/>
    <cellStyle name="Texto de advertencia 6" xfId="2995" xr:uid="{00000000-0005-0000-0000-000059E20000}"/>
    <cellStyle name="Texto de advertencia 60" xfId="2996" xr:uid="{00000000-0005-0000-0000-00005AE20000}"/>
    <cellStyle name="Texto de advertencia 61" xfId="2997" xr:uid="{00000000-0005-0000-0000-00005BE20000}"/>
    <cellStyle name="Texto de advertencia 62" xfId="2998" xr:uid="{00000000-0005-0000-0000-00005CE20000}"/>
    <cellStyle name="Texto de advertencia 63" xfId="2999" xr:uid="{00000000-0005-0000-0000-00005DE20000}"/>
    <cellStyle name="Texto de advertencia 64" xfId="3000" xr:uid="{00000000-0005-0000-0000-00005EE20000}"/>
    <cellStyle name="Texto de advertencia 65" xfId="3001" xr:uid="{00000000-0005-0000-0000-00005FE20000}"/>
    <cellStyle name="Texto de advertencia 66" xfId="3002" xr:uid="{00000000-0005-0000-0000-000060E20000}"/>
    <cellStyle name="Texto de advertencia 67" xfId="3003" xr:uid="{00000000-0005-0000-0000-000061E20000}"/>
    <cellStyle name="Texto de advertencia 7" xfId="3004" xr:uid="{00000000-0005-0000-0000-000062E20000}"/>
    <cellStyle name="Texto de advertencia 8" xfId="3005" xr:uid="{00000000-0005-0000-0000-000063E20000}"/>
    <cellStyle name="Texto de advertencia 9" xfId="3006" xr:uid="{00000000-0005-0000-0000-000064E20000}"/>
    <cellStyle name="Texto explicativo 10" xfId="3007" xr:uid="{00000000-0005-0000-0000-000065E20000}"/>
    <cellStyle name="Texto explicativo 11" xfId="3008" xr:uid="{00000000-0005-0000-0000-000066E20000}"/>
    <cellStyle name="Texto explicativo 12" xfId="3009" xr:uid="{00000000-0005-0000-0000-000067E20000}"/>
    <cellStyle name="Texto explicativo 13" xfId="3010" xr:uid="{00000000-0005-0000-0000-000068E20000}"/>
    <cellStyle name="Texto explicativo 14" xfId="3011" xr:uid="{00000000-0005-0000-0000-000069E20000}"/>
    <cellStyle name="Texto explicativo 15" xfId="3012" xr:uid="{00000000-0005-0000-0000-00006AE20000}"/>
    <cellStyle name="Texto explicativo 16" xfId="3013" xr:uid="{00000000-0005-0000-0000-00006BE20000}"/>
    <cellStyle name="Texto explicativo 17" xfId="3014" xr:uid="{00000000-0005-0000-0000-00006CE20000}"/>
    <cellStyle name="Texto explicativo 18" xfId="3015" xr:uid="{00000000-0005-0000-0000-00006DE20000}"/>
    <cellStyle name="Texto explicativo 19" xfId="3016" xr:uid="{00000000-0005-0000-0000-00006EE20000}"/>
    <cellStyle name="Texto explicativo 2" xfId="168" xr:uid="{00000000-0005-0000-0000-00006FE20000}"/>
    <cellStyle name="Texto explicativo 2 2" xfId="3017" xr:uid="{00000000-0005-0000-0000-000070E20000}"/>
    <cellStyle name="Texto explicativo 2 3" xfId="3018" xr:uid="{00000000-0005-0000-0000-000071E20000}"/>
    <cellStyle name="Texto explicativo 2 4" xfId="3019" xr:uid="{00000000-0005-0000-0000-000072E20000}"/>
    <cellStyle name="Texto explicativo 2 5" xfId="3020" xr:uid="{00000000-0005-0000-0000-000073E20000}"/>
    <cellStyle name="Texto explicativo 20" xfId="3021" xr:uid="{00000000-0005-0000-0000-000074E20000}"/>
    <cellStyle name="Texto explicativo 21" xfId="3022" xr:uid="{00000000-0005-0000-0000-000075E20000}"/>
    <cellStyle name="Texto explicativo 22" xfId="3023" xr:uid="{00000000-0005-0000-0000-000076E20000}"/>
    <cellStyle name="Texto explicativo 23" xfId="3024" xr:uid="{00000000-0005-0000-0000-000077E20000}"/>
    <cellStyle name="Texto explicativo 24" xfId="3025" xr:uid="{00000000-0005-0000-0000-000078E20000}"/>
    <cellStyle name="Texto explicativo 25" xfId="3026" xr:uid="{00000000-0005-0000-0000-000079E20000}"/>
    <cellStyle name="Texto explicativo 26" xfId="3027" xr:uid="{00000000-0005-0000-0000-00007AE20000}"/>
    <cellStyle name="Texto explicativo 27" xfId="3028" xr:uid="{00000000-0005-0000-0000-00007BE20000}"/>
    <cellStyle name="Texto explicativo 28" xfId="3029" xr:uid="{00000000-0005-0000-0000-00007CE20000}"/>
    <cellStyle name="Texto explicativo 29" xfId="3030" xr:uid="{00000000-0005-0000-0000-00007DE20000}"/>
    <cellStyle name="Texto explicativo 3" xfId="3031" xr:uid="{00000000-0005-0000-0000-00007EE20000}"/>
    <cellStyle name="Texto explicativo 30" xfId="3032" xr:uid="{00000000-0005-0000-0000-00007FE20000}"/>
    <cellStyle name="Texto explicativo 31" xfId="3033" xr:uid="{00000000-0005-0000-0000-000080E20000}"/>
    <cellStyle name="Texto explicativo 32" xfId="3034" xr:uid="{00000000-0005-0000-0000-000081E20000}"/>
    <cellStyle name="Texto explicativo 33" xfId="3035" xr:uid="{00000000-0005-0000-0000-000082E20000}"/>
    <cellStyle name="Texto explicativo 34" xfId="3036" xr:uid="{00000000-0005-0000-0000-000083E20000}"/>
    <cellStyle name="Texto explicativo 35" xfId="3037" xr:uid="{00000000-0005-0000-0000-000084E20000}"/>
    <cellStyle name="Texto explicativo 36" xfId="3038" xr:uid="{00000000-0005-0000-0000-000085E20000}"/>
    <cellStyle name="Texto explicativo 37" xfId="3039" xr:uid="{00000000-0005-0000-0000-000086E20000}"/>
    <cellStyle name="Texto explicativo 38" xfId="3040" xr:uid="{00000000-0005-0000-0000-000087E20000}"/>
    <cellStyle name="Texto explicativo 39" xfId="3041" xr:uid="{00000000-0005-0000-0000-000088E20000}"/>
    <cellStyle name="Texto explicativo 4" xfId="3042" xr:uid="{00000000-0005-0000-0000-000089E20000}"/>
    <cellStyle name="Texto explicativo 40" xfId="3043" xr:uid="{00000000-0005-0000-0000-00008AE20000}"/>
    <cellStyle name="Texto explicativo 41" xfId="3044" xr:uid="{00000000-0005-0000-0000-00008BE20000}"/>
    <cellStyle name="Texto explicativo 42" xfId="3045" xr:uid="{00000000-0005-0000-0000-00008CE20000}"/>
    <cellStyle name="Texto explicativo 43" xfId="3046" xr:uid="{00000000-0005-0000-0000-00008DE20000}"/>
    <cellStyle name="Texto explicativo 44" xfId="3047" xr:uid="{00000000-0005-0000-0000-00008EE20000}"/>
    <cellStyle name="Texto explicativo 45" xfId="3048" xr:uid="{00000000-0005-0000-0000-00008FE20000}"/>
    <cellStyle name="Texto explicativo 46" xfId="3049" xr:uid="{00000000-0005-0000-0000-000090E20000}"/>
    <cellStyle name="Texto explicativo 47" xfId="3050" xr:uid="{00000000-0005-0000-0000-000091E20000}"/>
    <cellStyle name="Texto explicativo 48" xfId="3051" xr:uid="{00000000-0005-0000-0000-000092E20000}"/>
    <cellStyle name="Texto explicativo 49" xfId="3052" xr:uid="{00000000-0005-0000-0000-000093E20000}"/>
    <cellStyle name="Texto explicativo 5" xfId="3053" xr:uid="{00000000-0005-0000-0000-000094E20000}"/>
    <cellStyle name="Texto explicativo 50" xfId="3054" xr:uid="{00000000-0005-0000-0000-000095E20000}"/>
    <cellStyle name="Texto explicativo 51" xfId="3055" xr:uid="{00000000-0005-0000-0000-000096E20000}"/>
    <cellStyle name="Texto explicativo 52" xfId="3056" xr:uid="{00000000-0005-0000-0000-000097E20000}"/>
    <cellStyle name="Texto explicativo 53" xfId="3057" xr:uid="{00000000-0005-0000-0000-000098E20000}"/>
    <cellStyle name="Texto explicativo 54" xfId="3058" xr:uid="{00000000-0005-0000-0000-000099E20000}"/>
    <cellStyle name="Texto explicativo 55" xfId="3059" xr:uid="{00000000-0005-0000-0000-00009AE20000}"/>
    <cellStyle name="Texto explicativo 56" xfId="3060" xr:uid="{00000000-0005-0000-0000-00009BE20000}"/>
    <cellStyle name="Texto explicativo 57" xfId="3061" xr:uid="{00000000-0005-0000-0000-00009CE20000}"/>
    <cellStyle name="Texto explicativo 58" xfId="3062" xr:uid="{00000000-0005-0000-0000-00009DE20000}"/>
    <cellStyle name="Texto explicativo 59" xfId="3063" xr:uid="{00000000-0005-0000-0000-00009EE20000}"/>
    <cellStyle name="Texto explicativo 6" xfId="3064" xr:uid="{00000000-0005-0000-0000-00009FE20000}"/>
    <cellStyle name="Texto explicativo 60" xfId="3065" xr:uid="{00000000-0005-0000-0000-0000A0E20000}"/>
    <cellStyle name="Texto explicativo 61" xfId="3066" xr:uid="{00000000-0005-0000-0000-0000A1E20000}"/>
    <cellStyle name="Texto explicativo 62" xfId="3067" xr:uid="{00000000-0005-0000-0000-0000A2E20000}"/>
    <cellStyle name="Texto explicativo 63" xfId="3068" xr:uid="{00000000-0005-0000-0000-0000A3E20000}"/>
    <cellStyle name="Texto explicativo 64" xfId="3069" xr:uid="{00000000-0005-0000-0000-0000A4E20000}"/>
    <cellStyle name="Texto explicativo 65" xfId="3070" xr:uid="{00000000-0005-0000-0000-0000A5E20000}"/>
    <cellStyle name="Texto explicativo 66" xfId="3071" xr:uid="{00000000-0005-0000-0000-0000A6E20000}"/>
    <cellStyle name="Texto explicativo 67" xfId="3072" xr:uid="{00000000-0005-0000-0000-0000A7E20000}"/>
    <cellStyle name="Texto explicativo 7" xfId="3073" xr:uid="{00000000-0005-0000-0000-0000A8E20000}"/>
    <cellStyle name="Texto explicativo 8" xfId="3074" xr:uid="{00000000-0005-0000-0000-0000A9E20000}"/>
    <cellStyle name="Texto explicativo 9" xfId="3075" xr:uid="{00000000-0005-0000-0000-0000AAE20000}"/>
    <cellStyle name="Title" xfId="7295" xr:uid="{00000000-0005-0000-0000-0000ABE20000}"/>
    <cellStyle name="Título 1 10" xfId="3076" xr:uid="{00000000-0005-0000-0000-0000ACE20000}"/>
    <cellStyle name="Título 1 11" xfId="3077" xr:uid="{00000000-0005-0000-0000-0000ADE20000}"/>
    <cellStyle name="Título 1 12" xfId="3078" xr:uid="{00000000-0005-0000-0000-0000AEE20000}"/>
    <cellStyle name="Título 1 13" xfId="3079" xr:uid="{00000000-0005-0000-0000-0000AFE20000}"/>
    <cellStyle name="Título 1 14" xfId="3080" xr:uid="{00000000-0005-0000-0000-0000B0E20000}"/>
    <cellStyle name="Título 1 15" xfId="3081" xr:uid="{00000000-0005-0000-0000-0000B1E20000}"/>
    <cellStyle name="Título 1 16" xfId="3082" xr:uid="{00000000-0005-0000-0000-0000B2E20000}"/>
    <cellStyle name="Título 1 17" xfId="3083" xr:uid="{00000000-0005-0000-0000-0000B3E20000}"/>
    <cellStyle name="Título 1 18" xfId="3084" xr:uid="{00000000-0005-0000-0000-0000B4E20000}"/>
    <cellStyle name="Título 1 19" xfId="3085" xr:uid="{00000000-0005-0000-0000-0000B5E20000}"/>
    <cellStyle name="Título 1 2" xfId="169" xr:uid="{00000000-0005-0000-0000-0000B6E20000}"/>
    <cellStyle name="Título 1 2 2" xfId="3086" xr:uid="{00000000-0005-0000-0000-0000B7E20000}"/>
    <cellStyle name="Título 1 2 3" xfId="3087" xr:uid="{00000000-0005-0000-0000-0000B8E20000}"/>
    <cellStyle name="Título 1 2 4" xfId="3088" xr:uid="{00000000-0005-0000-0000-0000B9E20000}"/>
    <cellStyle name="Título 1 2 5" xfId="3089" xr:uid="{00000000-0005-0000-0000-0000BAE20000}"/>
    <cellStyle name="Título 1 20" xfId="3090" xr:uid="{00000000-0005-0000-0000-0000BBE20000}"/>
    <cellStyle name="Título 1 21" xfId="3091" xr:uid="{00000000-0005-0000-0000-0000BCE20000}"/>
    <cellStyle name="Título 1 22" xfId="3092" xr:uid="{00000000-0005-0000-0000-0000BDE20000}"/>
    <cellStyle name="Título 1 23" xfId="3093" xr:uid="{00000000-0005-0000-0000-0000BEE20000}"/>
    <cellStyle name="Título 1 24" xfId="3094" xr:uid="{00000000-0005-0000-0000-0000BFE20000}"/>
    <cellStyle name="Título 1 25" xfId="3095" xr:uid="{00000000-0005-0000-0000-0000C0E20000}"/>
    <cellStyle name="Título 1 26" xfId="3096" xr:uid="{00000000-0005-0000-0000-0000C1E20000}"/>
    <cellStyle name="Título 1 27" xfId="3097" xr:uid="{00000000-0005-0000-0000-0000C2E20000}"/>
    <cellStyle name="Título 1 28" xfId="3098" xr:uid="{00000000-0005-0000-0000-0000C3E20000}"/>
    <cellStyle name="Título 1 29" xfId="3099" xr:uid="{00000000-0005-0000-0000-0000C4E20000}"/>
    <cellStyle name="Título 1 3" xfId="3100" xr:uid="{00000000-0005-0000-0000-0000C5E20000}"/>
    <cellStyle name="Título 1 30" xfId="3101" xr:uid="{00000000-0005-0000-0000-0000C6E20000}"/>
    <cellStyle name="Título 1 31" xfId="3102" xr:uid="{00000000-0005-0000-0000-0000C7E20000}"/>
    <cellStyle name="Título 1 32" xfId="3103" xr:uid="{00000000-0005-0000-0000-0000C8E20000}"/>
    <cellStyle name="Título 1 33" xfId="3104" xr:uid="{00000000-0005-0000-0000-0000C9E20000}"/>
    <cellStyle name="Título 1 34" xfId="3105" xr:uid="{00000000-0005-0000-0000-0000CAE20000}"/>
    <cellStyle name="Título 1 35" xfId="3106" xr:uid="{00000000-0005-0000-0000-0000CBE20000}"/>
    <cellStyle name="Título 1 36" xfId="3107" xr:uid="{00000000-0005-0000-0000-0000CCE20000}"/>
    <cellStyle name="Título 1 37" xfId="3108" xr:uid="{00000000-0005-0000-0000-0000CDE20000}"/>
    <cellStyle name="Título 1 38" xfId="3109" xr:uid="{00000000-0005-0000-0000-0000CEE20000}"/>
    <cellStyle name="Título 1 39" xfId="3110" xr:uid="{00000000-0005-0000-0000-0000CFE20000}"/>
    <cellStyle name="Título 1 4" xfId="3111" xr:uid="{00000000-0005-0000-0000-0000D0E20000}"/>
    <cellStyle name="Título 1 40" xfId="3112" xr:uid="{00000000-0005-0000-0000-0000D1E20000}"/>
    <cellStyle name="Título 1 41" xfId="3113" xr:uid="{00000000-0005-0000-0000-0000D2E20000}"/>
    <cellStyle name="Título 1 42" xfId="3114" xr:uid="{00000000-0005-0000-0000-0000D3E20000}"/>
    <cellStyle name="Título 1 43" xfId="3115" xr:uid="{00000000-0005-0000-0000-0000D4E20000}"/>
    <cellStyle name="Título 1 44" xfId="3116" xr:uid="{00000000-0005-0000-0000-0000D5E20000}"/>
    <cellStyle name="Título 1 45" xfId="3117" xr:uid="{00000000-0005-0000-0000-0000D6E20000}"/>
    <cellStyle name="Título 1 46" xfId="3118" xr:uid="{00000000-0005-0000-0000-0000D7E20000}"/>
    <cellStyle name="Título 1 47" xfId="3119" xr:uid="{00000000-0005-0000-0000-0000D8E20000}"/>
    <cellStyle name="Título 1 48" xfId="3120" xr:uid="{00000000-0005-0000-0000-0000D9E20000}"/>
    <cellStyle name="Título 1 49" xfId="3121" xr:uid="{00000000-0005-0000-0000-0000DAE20000}"/>
    <cellStyle name="Título 1 5" xfId="3122" xr:uid="{00000000-0005-0000-0000-0000DBE20000}"/>
    <cellStyle name="Título 1 50" xfId="3123" xr:uid="{00000000-0005-0000-0000-0000DCE20000}"/>
    <cellStyle name="Título 1 51" xfId="3124" xr:uid="{00000000-0005-0000-0000-0000DDE20000}"/>
    <cellStyle name="Título 1 52" xfId="3125" xr:uid="{00000000-0005-0000-0000-0000DEE20000}"/>
    <cellStyle name="Título 1 53" xfId="3126" xr:uid="{00000000-0005-0000-0000-0000DFE20000}"/>
    <cellStyle name="Título 1 54" xfId="3127" xr:uid="{00000000-0005-0000-0000-0000E0E20000}"/>
    <cellStyle name="Título 1 55" xfId="3128" xr:uid="{00000000-0005-0000-0000-0000E1E20000}"/>
    <cellStyle name="Título 1 56" xfId="3129" xr:uid="{00000000-0005-0000-0000-0000E2E20000}"/>
    <cellStyle name="Título 1 57" xfId="3130" xr:uid="{00000000-0005-0000-0000-0000E3E20000}"/>
    <cellStyle name="Título 1 58" xfId="3131" xr:uid="{00000000-0005-0000-0000-0000E4E20000}"/>
    <cellStyle name="Título 1 59" xfId="3132" xr:uid="{00000000-0005-0000-0000-0000E5E20000}"/>
    <cellStyle name="Título 1 6" xfId="3133" xr:uid="{00000000-0005-0000-0000-0000E6E20000}"/>
    <cellStyle name="Título 1 60" xfId="3134" xr:uid="{00000000-0005-0000-0000-0000E7E20000}"/>
    <cellStyle name="Título 1 61" xfId="3135" xr:uid="{00000000-0005-0000-0000-0000E8E20000}"/>
    <cellStyle name="Título 1 62" xfId="3136" xr:uid="{00000000-0005-0000-0000-0000E9E20000}"/>
    <cellStyle name="Título 1 63" xfId="3137" xr:uid="{00000000-0005-0000-0000-0000EAE20000}"/>
    <cellStyle name="Título 1 64" xfId="3138" xr:uid="{00000000-0005-0000-0000-0000EBE20000}"/>
    <cellStyle name="Título 1 65" xfId="3139" xr:uid="{00000000-0005-0000-0000-0000ECE20000}"/>
    <cellStyle name="Título 1 66" xfId="3140" xr:uid="{00000000-0005-0000-0000-0000EDE20000}"/>
    <cellStyle name="Título 1 67" xfId="3141" xr:uid="{00000000-0005-0000-0000-0000EEE20000}"/>
    <cellStyle name="Título 1 7" xfId="3142" xr:uid="{00000000-0005-0000-0000-0000EFE20000}"/>
    <cellStyle name="Título 1 8" xfId="3143" xr:uid="{00000000-0005-0000-0000-0000F0E20000}"/>
    <cellStyle name="Título 1 9" xfId="3144" xr:uid="{00000000-0005-0000-0000-0000F1E20000}"/>
    <cellStyle name="Título 10" xfId="3145" xr:uid="{00000000-0005-0000-0000-0000F2E20000}"/>
    <cellStyle name="Título 11" xfId="3146" xr:uid="{00000000-0005-0000-0000-0000F3E20000}"/>
    <cellStyle name="Título 12" xfId="3147" xr:uid="{00000000-0005-0000-0000-0000F4E20000}"/>
    <cellStyle name="Título 13" xfId="3148" xr:uid="{00000000-0005-0000-0000-0000F5E20000}"/>
    <cellStyle name="Título 14" xfId="3149" xr:uid="{00000000-0005-0000-0000-0000F6E20000}"/>
    <cellStyle name="Título 15" xfId="3150" xr:uid="{00000000-0005-0000-0000-0000F7E20000}"/>
    <cellStyle name="Título 16" xfId="3151" xr:uid="{00000000-0005-0000-0000-0000F8E20000}"/>
    <cellStyle name="Título 17" xfId="3152" xr:uid="{00000000-0005-0000-0000-0000F9E20000}"/>
    <cellStyle name="Título 18" xfId="3153" xr:uid="{00000000-0005-0000-0000-0000FAE20000}"/>
    <cellStyle name="Título 19" xfId="3154" xr:uid="{00000000-0005-0000-0000-0000FBE20000}"/>
    <cellStyle name="Título 2 10" xfId="3155" xr:uid="{00000000-0005-0000-0000-0000FCE20000}"/>
    <cellStyle name="Título 2 11" xfId="3156" xr:uid="{00000000-0005-0000-0000-0000FDE20000}"/>
    <cellStyle name="Título 2 12" xfId="3157" xr:uid="{00000000-0005-0000-0000-0000FEE20000}"/>
    <cellStyle name="Título 2 13" xfId="3158" xr:uid="{00000000-0005-0000-0000-0000FFE20000}"/>
    <cellStyle name="Título 2 14" xfId="3159" xr:uid="{00000000-0005-0000-0000-000000E30000}"/>
    <cellStyle name="Título 2 15" xfId="3160" xr:uid="{00000000-0005-0000-0000-000001E30000}"/>
    <cellStyle name="Título 2 16" xfId="3161" xr:uid="{00000000-0005-0000-0000-000002E30000}"/>
    <cellStyle name="Título 2 17" xfId="3162" xr:uid="{00000000-0005-0000-0000-000003E30000}"/>
    <cellStyle name="Título 2 18" xfId="3163" xr:uid="{00000000-0005-0000-0000-000004E30000}"/>
    <cellStyle name="Título 2 19" xfId="3164" xr:uid="{00000000-0005-0000-0000-000005E30000}"/>
    <cellStyle name="Título 2 2" xfId="170" xr:uid="{00000000-0005-0000-0000-000006E30000}"/>
    <cellStyle name="Título 2 2 2" xfId="3165" xr:uid="{00000000-0005-0000-0000-000007E30000}"/>
    <cellStyle name="Título 2 2 3" xfId="3166" xr:uid="{00000000-0005-0000-0000-000008E30000}"/>
    <cellStyle name="Título 2 2 4" xfId="3167" xr:uid="{00000000-0005-0000-0000-000009E30000}"/>
    <cellStyle name="Título 2 2 5" xfId="3168" xr:uid="{00000000-0005-0000-0000-00000AE30000}"/>
    <cellStyle name="Título 2 20" xfId="3169" xr:uid="{00000000-0005-0000-0000-00000BE30000}"/>
    <cellStyle name="Título 2 21" xfId="3170" xr:uid="{00000000-0005-0000-0000-00000CE30000}"/>
    <cellStyle name="Título 2 22" xfId="3171" xr:uid="{00000000-0005-0000-0000-00000DE30000}"/>
    <cellStyle name="Título 2 23" xfId="3172" xr:uid="{00000000-0005-0000-0000-00000EE30000}"/>
    <cellStyle name="Título 2 24" xfId="3173" xr:uid="{00000000-0005-0000-0000-00000FE30000}"/>
    <cellStyle name="Título 2 25" xfId="3174" xr:uid="{00000000-0005-0000-0000-000010E30000}"/>
    <cellStyle name="Título 2 26" xfId="3175" xr:uid="{00000000-0005-0000-0000-000011E30000}"/>
    <cellStyle name="Título 2 27" xfId="3176" xr:uid="{00000000-0005-0000-0000-000012E30000}"/>
    <cellStyle name="Título 2 28" xfId="3177" xr:uid="{00000000-0005-0000-0000-000013E30000}"/>
    <cellStyle name="Título 2 29" xfId="3178" xr:uid="{00000000-0005-0000-0000-000014E30000}"/>
    <cellStyle name="Título 2 3" xfId="3179" xr:uid="{00000000-0005-0000-0000-000015E30000}"/>
    <cellStyle name="Título 2 30" xfId="3180" xr:uid="{00000000-0005-0000-0000-000016E30000}"/>
    <cellStyle name="Título 2 31" xfId="3181" xr:uid="{00000000-0005-0000-0000-000017E30000}"/>
    <cellStyle name="Título 2 32" xfId="3182" xr:uid="{00000000-0005-0000-0000-000018E30000}"/>
    <cellStyle name="Título 2 33" xfId="3183" xr:uid="{00000000-0005-0000-0000-000019E30000}"/>
    <cellStyle name="Título 2 34" xfId="3184" xr:uid="{00000000-0005-0000-0000-00001AE30000}"/>
    <cellStyle name="Título 2 35" xfId="3185" xr:uid="{00000000-0005-0000-0000-00001BE30000}"/>
    <cellStyle name="Título 2 36" xfId="3186" xr:uid="{00000000-0005-0000-0000-00001CE30000}"/>
    <cellStyle name="Título 2 37" xfId="3187" xr:uid="{00000000-0005-0000-0000-00001DE30000}"/>
    <cellStyle name="Título 2 38" xfId="3188" xr:uid="{00000000-0005-0000-0000-00001EE30000}"/>
    <cellStyle name="Título 2 39" xfId="3189" xr:uid="{00000000-0005-0000-0000-00001FE30000}"/>
    <cellStyle name="Título 2 4" xfId="3190" xr:uid="{00000000-0005-0000-0000-000020E30000}"/>
    <cellStyle name="Título 2 40" xfId="3191" xr:uid="{00000000-0005-0000-0000-000021E30000}"/>
    <cellStyle name="Título 2 41" xfId="3192" xr:uid="{00000000-0005-0000-0000-000022E30000}"/>
    <cellStyle name="Título 2 42" xfId="3193" xr:uid="{00000000-0005-0000-0000-000023E30000}"/>
    <cellStyle name="Título 2 43" xfId="3194" xr:uid="{00000000-0005-0000-0000-000024E30000}"/>
    <cellStyle name="Título 2 44" xfId="3195" xr:uid="{00000000-0005-0000-0000-000025E30000}"/>
    <cellStyle name="Título 2 45" xfId="3196" xr:uid="{00000000-0005-0000-0000-000026E30000}"/>
    <cellStyle name="Título 2 46" xfId="3197" xr:uid="{00000000-0005-0000-0000-000027E30000}"/>
    <cellStyle name="Título 2 47" xfId="3198" xr:uid="{00000000-0005-0000-0000-000028E30000}"/>
    <cellStyle name="Título 2 48" xfId="3199" xr:uid="{00000000-0005-0000-0000-000029E30000}"/>
    <cellStyle name="Título 2 49" xfId="3200" xr:uid="{00000000-0005-0000-0000-00002AE30000}"/>
    <cellStyle name="Título 2 5" xfId="3201" xr:uid="{00000000-0005-0000-0000-00002BE30000}"/>
    <cellStyle name="Título 2 50" xfId="3202" xr:uid="{00000000-0005-0000-0000-00002CE30000}"/>
    <cellStyle name="Título 2 51" xfId="3203" xr:uid="{00000000-0005-0000-0000-00002DE30000}"/>
    <cellStyle name="Título 2 52" xfId="3204" xr:uid="{00000000-0005-0000-0000-00002EE30000}"/>
    <cellStyle name="Título 2 53" xfId="3205" xr:uid="{00000000-0005-0000-0000-00002FE30000}"/>
    <cellStyle name="Título 2 54" xfId="3206" xr:uid="{00000000-0005-0000-0000-000030E30000}"/>
    <cellStyle name="Título 2 55" xfId="3207" xr:uid="{00000000-0005-0000-0000-000031E30000}"/>
    <cellStyle name="Título 2 56" xfId="3208" xr:uid="{00000000-0005-0000-0000-000032E30000}"/>
    <cellStyle name="Título 2 57" xfId="3209" xr:uid="{00000000-0005-0000-0000-000033E30000}"/>
    <cellStyle name="Título 2 58" xfId="3210" xr:uid="{00000000-0005-0000-0000-000034E30000}"/>
    <cellStyle name="Título 2 59" xfId="3211" xr:uid="{00000000-0005-0000-0000-000035E30000}"/>
    <cellStyle name="Título 2 6" xfId="3212" xr:uid="{00000000-0005-0000-0000-000036E30000}"/>
    <cellStyle name="Título 2 60" xfId="3213" xr:uid="{00000000-0005-0000-0000-000037E30000}"/>
    <cellStyle name="Título 2 61" xfId="3214" xr:uid="{00000000-0005-0000-0000-000038E30000}"/>
    <cellStyle name="Título 2 62" xfId="3215" xr:uid="{00000000-0005-0000-0000-000039E30000}"/>
    <cellStyle name="Título 2 63" xfId="3216" xr:uid="{00000000-0005-0000-0000-00003AE30000}"/>
    <cellStyle name="Título 2 64" xfId="3217" xr:uid="{00000000-0005-0000-0000-00003BE30000}"/>
    <cellStyle name="Título 2 65" xfId="3218" xr:uid="{00000000-0005-0000-0000-00003CE30000}"/>
    <cellStyle name="Título 2 66" xfId="3219" xr:uid="{00000000-0005-0000-0000-00003DE30000}"/>
    <cellStyle name="Título 2 67" xfId="3220" xr:uid="{00000000-0005-0000-0000-00003EE30000}"/>
    <cellStyle name="Título 2 7" xfId="3221" xr:uid="{00000000-0005-0000-0000-00003FE30000}"/>
    <cellStyle name="Título 2 8" xfId="3222" xr:uid="{00000000-0005-0000-0000-000040E30000}"/>
    <cellStyle name="Título 2 9" xfId="3223" xr:uid="{00000000-0005-0000-0000-000041E30000}"/>
    <cellStyle name="Título 20" xfId="3224" xr:uid="{00000000-0005-0000-0000-000042E30000}"/>
    <cellStyle name="Título 21" xfId="3225" xr:uid="{00000000-0005-0000-0000-000043E30000}"/>
    <cellStyle name="Título 22" xfId="3226" xr:uid="{00000000-0005-0000-0000-000044E30000}"/>
    <cellStyle name="Título 23" xfId="3227" xr:uid="{00000000-0005-0000-0000-000045E30000}"/>
    <cellStyle name="Título 24" xfId="3228" xr:uid="{00000000-0005-0000-0000-000046E30000}"/>
    <cellStyle name="Título 25" xfId="3229" xr:uid="{00000000-0005-0000-0000-000047E30000}"/>
    <cellStyle name="Título 26" xfId="3230" xr:uid="{00000000-0005-0000-0000-000048E30000}"/>
    <cellStyle name="Título 27" xfId="3231" xr:uid="{00000000-0005-0000-0000-000049E30000}"/>
    <cellStyle name="Título 28" xfId="3232" xr:uid="{00000000-0005-0000-0000-00004AE30000}"/>
    <cellStyle name="Título 29" xfId="3233" xr:uid="{00000000-0005-0000-0000-00004BE30000}"/>
    <cellStyle name="Título 3 10" xfId="3234" xr:uid="{00000000-0005-0000-0000-00004CE30000}"/>
    <cellStyle name="Título 3 11" xfId="3235" xr:uid="{00000000-0005-0000-0000-00004DE30000}"/>
    <cellStyle name="Título 3 12" xfId="3236" xr:uid="{00000000-0005-0000-0000-00004EE30000}"/>
    <cellStyle name="Título 3 13" xfId="3237" xr:uid="{00000000-0005-0000-0000-00004FE30000}"/>
    <cellStyle name="Título 3 14" xfId="3238" xr:uid="{00000000-0005-0000-0000-000050E30000}"/>
    <cellStyle name="Título 3 15" xfId="3239" xr:uid="{00000000-0005-0000-0000-000051E30000}"/>
    <cellStyle name="Título 3 16" xfId="3240" xr:uid="{00000000-0005-0000-0000-000052E30000}"/>
    <cellStyle name="Título 3 17" xfId="3241" xr:uid="{00000000-0005-0000-0000-000053E30000}"/>
    <cellStyle name="Título 3 18" xfId="3242" xr:uid="{00000000-0005-0000-0000-000054E30000}"/>
    <cellStyle name="Título 3 19" xfId="3243" xr:uid="{00000000-0005-0000-0000-000055E30000}"/>
    <cellStyle name="Título 3 2" xfId="171" xr:uid="{00000000-0005-0000-0000-000056E30000}"/>
    <cellStyle name="Título 3 2 2" xfId="3244" xr:uid="{00000000-0005-0000-0000-000057E30000}"/>
    <cellStyle name="Título 3 2 3" xfId="3245" xr:uid="{00000000-0005-0000-0000-000058E30000}"/>
    <cellStyle name="Título 3 2 4" xfId="3246" xr:uid="{00000000-0005-0000-0000-000059E30000}"/>
    <cellStyle name="Título 3 2 5" xfId="3247" xr:uid="{00000000-0005-0000-0000-00005AE30000}"/>
    <cellStyle name="Título 3 20" xfId="3248" xr:uid="{00000000-0005-0000-0000-00005BE30000}"/>
    <cellStyle name="Título 3 21" xfId="3249" xr:uid="{00000000-0005-0000-0000-00005CE30000}"/>
    <cellStyle name="Título 3 22" xfId="3250" xr:uid="{00000000-0005-0000-0000-00005DE30000}"/>
    <cellStyle name="Título 3 23" xfId="3251" xr:uid="{00000000-0005-0000-0000-00005EE30000}"/>
    <cellStyle name="Título 3 24" xfId="3252" xr:uid="{00000000-0005-0000-0000-00005FE30000}"/>
    <cellStyle name="Título 3 25" xfId="3253" xr:uid="{00000000-0005-0000-0000-000060E30000}"/>
    <cellStyle name="Título 3 26" xfId="3254" xr:uid="{00000000-0005-0000-0000-000061E30000}"/>
    <cellStyle name="Título 3 27" xfId="3255" xr:uid="{00000000-0005-0000-0000-000062E30000}"/>
    <cellStyle name="Título 3 28" xfId="3256" xr:uid="{00000000-0005-0000-0000-000063E30000}"/>
    <cellStyle name="Título 3 29" xfId="3257" xr:uid="{00000000-0005-0000-0000-000064E30000}"/>
    <cellStyle name="Título 3 3" xfId="3258" xr:uid="{00000000-0005-0000-0000-000065E30000}"/>
    <cellStyle name="Título 3 30" xfId="3259" xr:uid="{00000000-0005-0000-0000-000066E30000}"/>
    <cellStyle name="Título 3 31" xfId="3260" xr:uid="{00000000-0005-0000-0000-000067E30000}"/>
    <cellStyle name="Título 3 32" xfId="3261" xr:uid="{00000000-0005-0000-0000-000068E30000}"/>
    <cellStyle name="Título 3 33" xfId="3262" xr:uid="{00000000-0005-0000-0000-000069E30000}"/>
    <cellStyle name="Título 3 34" xfId="3263" xr:uid="{00000000-0005-0000-0000-00006AE30000}"/>
    <cellStyle name="Título 3 35" xfId="3264" xr:uid="{00000000-0005-0000-0000-00006BE30000}"/>
    <cellStyle name="Título 3 36" xfId="3265" xr:uid="{00000000-0005-0000-0000-00006CE30000}"/>
    <cellStyle name="Título 3 37" xfId="3266" xr:uid="{00000000-0005-0000-0000-00006DE30000}"/>
    <cellStyle name="Título 3 38" xfId="3267" xr:uid="{00000000-0005-0000-0000-00006EE30000}"/>
    <cellStyle name="Título 3 39" xfId="3268" xr:uid="{00000000-0005-0000-0000-00006FE30000}"/>
    <cellStyle name="Título 3 4" xfId="3269" xr:uid="{00000000-0005-0000-0000-000070E30000}"/>
    <cellStyle name="Título 3 40" xfId="3270" xr:uid="{00000000-0005-0000-0000-000071E30000}"/>
    <cellStyle name="Título 3 41" xfId="3271" xr:uid="{00000000-0005-0000-0000-000072E30000}"/>
    <cellStyle name="Título 3 42" xfId="3272" xr:uid="{00000000-0005-0000-0000-000073E30000}"/>
    <cellStyle name="Título 3 43" xfId="3273" xr:uid="{00000000-0005-0000-0000-000074E30000}"/>
    <cellStyle name="Título 3 44" xfId="3274" xr:uid="{00000000-0005-0000-0000-000075E30000}"/>
    <cellStyle name="Título 3 45" xfId="3275" xr:uid="{00000000-0005-0000-0000-000076E30000}"/>
    <cellStyle name="Título 3 46" xfId="3276" xr:uid="{00000000-0005-0000-0000-000077E30000}"/>
    <cellStyle name="Título 3 47" xfId="3277" xr:uid="{00000000-0005-0000-0000-000078E30000}"/>
    <cellStyle name="Título 3 48" xfId="3278" xr:uid="{00000000-0005-0000-0000-000079E30000}"/>
    <cellStyle name="Título 3 49" xfId="3279" xr:uid="{00000000-0005-0000-0000-00007AE30000}"/>
    <cellStyle name="Título 3 5" xfId="3280" xr:uid="{00000000-0005-0000-0000-00007BE30000}"/>
    <cellStyle name="Título 3 50" xfId="3281" xr:uid="{00000000-0005-0000-0000-00007CE30000}"/>
    <cellStyle name="Título 3 51" xfId="3282" xr:uid="{00000000-0005-0000-0000-00007DE30000}"/>
    <cellStyle name="Título 3 52" xfId="3283" xr:uid="{00000000-0005-0000-0000-00007EE30000}"/>
    <cellStyle name="Título 3 53" xfId="3284" xr:uid="{00000000-0005-0000-0000-00007FE30000}"/>
    <cellStyle name="Título 3 54" xfId="3285" xr:uid="{00000000-0005-0000-0000-000080E30000}"/>
    <cellStyle name="Título 3 55" xfId="3286" xr:uid="{00000000-0005-0000-0000-000081E30000}"/>
    <cellStyle name="Título 3 56" xfId="3287" xr:uid="{00000000-0005-0000-0000-000082E30000}"/>
    <cellStyle name="Título 3 57" xfId="3288" xr:uid="{00000000-0005-0000-0000-000083E30000}"/>
    <cellStyle name="Título 3 58" xfId="3289" xr:uid="{00000000-0005-0000-0000-000084E30000}"/>
    <cellStyle name="Título 3 59" xfId="3290" xr:uid="{00000000-0005-0000-0000-000085E30000}"/>
    <cellStyle name="Título 3 6" xfId="3291" xr:uid="{00000000-0005-0000-0000-000086E30000}"/>
    <cellStyle name="Título 3 60" xfId="3292" xr:uid="{00000000-0005-0000-0000-000087E30000}"/>
    <cellStyle name="Título 3 61" xfId="3293" xr:uid="{00000000-0005-0000-0000-000088E30000}"/>
    <cellStyle name="Título 3 62" xfId="3294" xr:uid="{00000000-0005-0000-0000-000089E30000}"/>
    <cellStyle name="Título 3 63" xfId="3295" xr:uid="{00000000-0005-0000-0000-00008AE30000}"/>
    <cellStyle name="Título 3 64" xfId="3296" xr:uid="{00000000-0005-0000-0000-00008BE30000}"/>
    <cellStyle name="Título 3 65" xfId="3297" xr:uid="{00000000-0005-0000-0000-00008CE30000}"/>
    <cellStyle name="Título 3 66" xfId="3298" xr:uid="{00000000-0005-0000-0000-00008DE30000}"/>
    <cellStyle name="Título 3 67" xfId="3299" xr:uid="{00000000-0005-0000-0000-00008EE30000}"/>
    <cellStyle name="Título 3 7" xfId="3300" xr:uid="{00000000-0005-0000-0000-00008FE30000}"/>
    <cellStyle name="Título 3 8" xfId="3301" xr:uid="{00000000-0005-0000-0000-000090E30000}"/>
    <cellStyle name="Título 3 9" xfId="3302" xr:uid="{00000000-0005-0000-0000-000091E30000}"/>
    <cellStyle name="Título 30" xfId="3303" xr:uid="{00000000-0005-0000-0000-000092E30000}"/>
    <cellStyle name="Título 31" xfId="3304" xr:uid="{00000000-0005-0000-0000-000093E30000}"/>
    <cellStyle name="Título 32" xfId="3305" xr:uid="{00000000-0005-0000-0000-000094E30000}"/>
    <cellStyle name="Título 33" xfId="3306" xr:uid="{00000000-0005-0000-0000-000095E30000}"/>
    <cellStyle name="Título 34" xfId="3307" xr:uid="{00000000-0005-0000-0000-000096E30000}"/>
    <cellStyle name="Título 35" xfId="3308" xr:uid="{00000000-0005-0000-0000-000097E30000}"/>
    <cellStyle name="Título 36" xfId="3309" xr:uid="{00000000-0005-0000-0000-000098E30000}"/>
    <cellStyle name="Título 37" xfId="3310" xr:uid="{00000000-0005-0000-0000-000099E30000}"/>
    <cellStyle name="Título 38" xfId="3311" xr:uid="{00000000-0005-0000-0000-00009AE30000}"/>
    <cellStyle name="Título 39" xfId="3312" xr:uid="{00000000-0005-0000-0000-00009BE30000}"/>
    <cellStyle name="Título 4" xfId="172" xr:uid="{00000000-0005-0000-0000-00009CE30000}"/>
    <cellStyle name="Título 4 2" xfId="3313" xr:uid="{00000000-0005-0000-0000-00009DE30000}"/>
    <cellStyle name="Título 4 3" xfId="3314" xr:uid="{00000000-0005-0000-0000-00009EE30000}"/>
    <cellStyle name="Título 4 4" xfId="3315" xr:uid="{00000000-0005-0000-0000-00009FE30000}"/>
    <cellStyle name="Título 4 5" xfId="3316" xr:uid="{00000000-0005-0000-0000-0000A0E30000}"/>
    <cellStyle name="Título 40" xfId="3317" xr:uid="{00000000-0005-0000-0000-0000A1E30000}"/>
    <cellStyle name="Título 41" xfId="3318" xr:uid="{00000000-0005-0000-0000-0000A2E30000}"/>
    <cellStyle name="Título 42" xfId="3319" xr:uid="{00000000-0005-0000-0000-0000A3E30000}"/>
    <cellStyle name="Título 43" xfId="3320" xr:uid="{00000000-0005-0000-0000-0000A4E30000}"/>
    <cellStyle name="Título 44" xfId="3321" xr:uid="{00000000-0005-0000-0000-0000A5E30000}"/>
    <cellStyle name="Título 45" xfId="3322" xr:uid="{00000000-0005-0000-0000-0000A6E30000}"/>
    <cellStyle name="Título 46" xfId="3323" xr:uid="{00000000-0005-0000-0000-0000A7E30000}"/>
    <cellStyle name="Título 47" xfId="3324" xr:uid="{00000000-0005-0000-0000-0000A8E30000}"/>
    <cellStyle name="Título 48" xfId="3325" xr:uid="{00000000-0005-0000-0000-0000A9E30000}"/>
    <cellStyle name="Título 49" xfId="3326" xr:uid="{00000000-0005-0000-0000-0000AAE30000}"/>
    <cellStyle name="Título 5" xfId="3327" xr:uid="{00000000-0005-0000-0000-0000ABE30000}"/>
    <cellStyle name="Título 50" xfId="3328" xr:uid="{00000000-0005-0000-0000-0000ACE30000}"/>
    <cellStyle name="Título 51" xfId="3329" xr:uid="{00000000-0005-0000-0000-0000ADE30000}"/>
    <cellStyle name="Título 52" xfId="3330" xr:uid="{00000000-0005-0000-0000-0000AEE30000}"/>
    <cellStyle name="Título 53" xfId="3331" xr:uid="{00000000-0005-0000-0000-0000AFE30000}"/>
    <cellStyle name="Título 54" xfId="3332" xr:uid="{00000000-0005-0000-0000-0000B0E30000}"/>
    <cellStyle name="Título 55" xfId="3333" xr:uid="{00000000-0005-0000-0000-0000B1E30000}"/>
    <cellStyle name="Título 56" xfId="3334" xr:uid="{00000000-0005-0000-0000-0000B2E30000}"/>
    <cellStyle name="Título 57" xfId="3335" xr:uid="{00000000-0005-0000-0000-0000B3E30000}"/>
    <cellStyle name="Título 58" xfId="3336" xr:uid="{00000000-0005-0000-0000-0000B4E30000}"/>
    <cellStyle name="Título 59" xfId="3337" xr:uid="{00000000-0005-0000-0000-0000B5E30000}"/>
    <cellStyle name="Título 6" xfId="3338" xr:uid="{00000000-0005-0000-0000-0000B6E30000}"/>
    <cellStyle name="Título 60" xfId="3339" xr:uid="{00000000-0005-0000-0000-0000B7E30000}"/>
    <cellStyle name="Título 61" xfId="3340" xr:uid="{00000000-0005-0000-0000-0000B8E30000}"/>
    <cellStyle name="Título 62" xfId="3341" xr:uid="{00000000-0005-0000-0000-0000B9E30000}"/>
    <cellStyle name="Título 63" xfId="3342" xr:uid="{00000000-0005-0000-0000-0000BAE30000}"/>
    <cellStyle name="Título 64" xfId="3343" xr:uid="{00000000-0005-0000-0000-0000BBE30000}"/>
    <cellStyle name="Título 65" xfId="3344" xr:uid="{00000000-0005-0000-0000-0000BCE30000}"/>
    <cellStyle name="Título 66" xfId="3345" xr:uid="{00000000-0005-0000-0000-0000BDE30000}"/>
    <cellStyle name="Título 67" xfId="3346" xr:uid="{00000000-0005-0000-0000-0000BEE30000}"/>
    <cellStyle name="Título 68" xfId="3347" xr:uid="{00000000-0005-0000-0000-0000BFE30000}"/>
    <cellStyle name="Título 69" xfId="3348" xr:uid="{00000000-0005-0000-0000-0000C0E30000}"/>
    <cellStyle name="Título 7" xfId="3349" xr:uid="{00000000-0005-0000-0000-0000C1E30000}"/>
    <cellStyle name="Título 8" xfId="3350" xr:uid="{00000000-0005-0000-0000-0000C2E30000}"/>
    <cellStyle name="Título 9" xfId="3351" xr:uid="{00000000-0005-0000-0000-0000C3E30000}"/>
    <cellStyle name="Total 10" xfId="3352" xr:uid="{00000000-0005-0000-0000-0000C4E30000}"/>
    <cellStyle name="Total 11" xfId="3353" xr:uid="{00000000-0005-0000-0000-0000C5E30000}"/>
    <cellStyle name="Total 12" xfId="3354" xr:uid="{00000000-0005-0000-0000-0000C6E30000}"/>
    <cellStyle name="Total 13" xfId="3355" xr:uid="{00000000-0005-0000-0000-0000C7E30000}"/>
    <cellStyle name="Total 14" xfId="3356" xr:uid="{00000000-0005-0000-0000-0000C8E30000}"/>
    <cellStyle name="Total 15" xfId="3357" xr:uid="{00000000-0005-0000-0000-0000C9E30000}"/>
    <cellStyle name="Total 16" xfId="3358" xr:uid="{00000000-0005-0000-0000-0000CAE30000}"/>
    <cellStyle name="Total 17" xfId="3359" xr:uid="{00000000-0005-0000-0000-0000CBE30000}"/>
    <cellStyle name="Total 18" xfId="3360" xr:uid="{00000000-0005-0000-0000-0000CCE30000}"/>
    <cellStyle name="Total 19" xfId="3361" xr:uid="{00000000-0005-0000-0000-0000CDE30000}"/>
    <cellStyle name="Total 2" xfId="173" xr:uid="{00000000-0005-0000-0000-0000CEE30000}"/>
    <cellStyle name="Total 2 2" xfId="3362" xr:uid="{00000000-0005-0000-0000-0000CFE30000}"/>
    <cellStyle name="Total 2 2 2" xfId="7308" xr:uid="{00000000-0005-0000-0000-0000D0E30000}"/>
    <cellStyle name="Total 2 3" xfId="3363" xr:uid="{00000000-0005-0000-0000-0000D1E30000}"/>
    <cellStyle name="Total 2 4" xfId="3364" xr:uid="{00000000-0005-0000-0000-0000D2E30000}"/>
    <cellStyle name="Total 2 5" xfId="3365" xr:uid="{00000000-0005-0000-0000-0000D3E30000}"/>
    <cellStyle name="Total 20" xfId="3366" xr:uid="{00000000-0005-0000-0000-0000D4E30000}"/>
    <cellStyle name="Total 21" xfId="3367" xr:uid="{00000000-0005-0000-0000-0000D5E30000}"/>
    <cellStyle name="Total 22" xfId="3368" xr:uid="{00000000-0005-0000-0000-0000D6E30000}"/>
    <cellStyle name="Total 23" xfId="3369" xr:uid="{00000000-0005-0000-0000-0000D7E30000}"/>
    <cellStyle name="Total 24" xfId="3370" xr:uid="{00000000-0005-0000-0000-0000D8E30000}"/>
    <cellStyle name="Total 25" xfId="3371" xr:uid="{00000000-0005-0000-0000-0000D9E30000}"/>
    <cellStyle name="Total 26" xfId="3372" xr:uid="{00000000-0005-0000-0000-0000DAE30000}"/>
    <cellStyle name="Total 27" xfId="3373" xr:uid="{00000000-0005-0000-0000-0000DBE30000}"/>
    <cellStyle name="Total 28" xfId="3374" xr:uid="{00000000-0005-0000-0000-0000DCE30000}"/>
    <cellStyle name="Total 29" xfId="3375" xr:uid="{00000000-0005-0000-0000-0000DDE30000}"/>
    <cellStyle name="Total 3" xfId="174" xr:uid="{00000000-0005-0000-0000-0000DEE30000}"/>
    <cellStyle name="Total 30" xfId="3376" xr:uid="{00000000-0005-0000-0000-0000DFE30000}"/>
    <cellStyle name="Total 31" xfId="3377" xr:uid="{00000000-0005-0000-0000-0000E0E30000}"/>
    <cellStyle name="Total 32" xfId="3378" xr:uid="{00000000-0005-0000-0000-0000E1E30000}"/>
    <cellStyle name="Total 33" xfId="3379" xr:uid="{00000000-0005-0000-0000-0000E2E30000}"/>
    <cellStyle name="Total 34" xfId="3380" xr:uid="{00000000-0005-0000-0000-0000E3E30000}"/>
    <cellStyle name="Total 35" xfId="3381" xr:uid="{00000000-0005-0000-0000-0000E4E30000}"/>
    <cellStyle name="Total 36" xfId="3382" xr:uid="{00000000-0005-0000-0000-0000E5E30000}"/>
    <cellStyle name="Total 37" xfId="3383" xr:uid="{00000000-0005-0000-0000-0000E6E30000}"/>
    <cellStyle name="Total 38" xfId="3384" xr:uid="{00000000-0005-0000-0000-0000E7E30000}"/>
    <cellStyle name="Total 39" xfId="3385" xr:uid="{00000000-0005-0000-0000-0000E8E30000}"/>
    <cellStyle name="Total 4" xfId="3386" xr:uid="{00000000-0005-0000-0000-0000E9E30000}"/>
    <cellStyle name="Total 40" xfId="3387" xr:uid="{00000000-0005-0000-0000-0000EAE30000}"/>
    <cellStyle name="Total 41" xfId="3388" xr:uid="{00000000-0005-0000-0000-0000EBE30000}"/>
    <cellStyle name="Total 42" xfId="3389" xr:uid="{00000000-0005-0000-0000-0000ECE30000}"/>
    <cellStyle name="Total 43" xfId="3390" xr:uid="{00000000-0005-0000-0000-0000EDE30000}"/>
    <cellStyle name="Total 44" xfId="3391" xr:uid="{00000000-0005-0000-0000-0000EEE30000}"/>
    <cellStyle name="Total 45" xfId="3392" xr:uid="{00000000-0005-0000-0000-0000EFE30000}"/>
    <cellStyle name="Total 46" xfId="3393" xr:uid="{00000000-0005-0000-0000-0000F0E30000}"/>
    <cellStyle name="Total 47" xfId="3394" xr:uid="{00000000-0005-0000-0000-0000F1E30000}"/>
    <cellStyle name="Total 48" xfId="3395" xr:uid="{00000000-0005-0000-0000-0000F2E30000}"/>
    <cellStyle name="Total 49" xfId="3396" xr:uid="{00000000-0005-0000-0000-0000F3E30000}"/>
    <cellStyle name="Total 5" xfId="3397" xr:uid="{00000000-0005-0000-0000-0000F4E30000}"/>
    <cellStyle name="Total 50" xfId="3398" xr:uid="{00000000-0005-0000-0000-0000F5E30000}"/>
    <cellStyle name="Total 51" xfId="3399" xr:uid="{00000000-0005-0000-0000-0000F6E30000}"/>
    <cellStyle name="Total 52" xfId="3400" xr:uid="{00000000-0005-0000-0000-0000F7E30000}"/>
    <cellStyle name="Total 53" xfId="3401" xr:uid="{00000000-0005-0000-0000-0000F8E30000}"/>
    <cellStyle name="Total 54" xfId="3402" xr:uid="{00000000-0005-0000-0000-0000F9E30000}"/>
    <cellStyle name="Total 55" xfId="3403" xr:uid="{00000000-0005-0000-0000-0000FAE30000}"/>
    <cellStyle name="Total 56" xfId="3404" xr:uid="{00000000-0005-0000-0000-0000FBE30000}"/>
    <cellStyle name="Total 57" xfId="3405" xr:uid="{00000000-0005-0000-0000-0000FCE30000}"/>
    <cellStyle name="Total 58" xfId="3406" xr:uid="{00000000-0005-0000-0000-0000FDE30000}"/>
    <cellStyle name="Total 59" xfId="3407" xr:uid="{00000000-0005-0000-0000-0000FEE30000}"/>
    <cellStyle name="Total 6" xfId="3408" xr:uid="{00000000-0005-0000-0000-0000FFE30000}"/>
    <cellStyle name="Total 60" xfId="3409" xr:uid="{00000000-0005-0000-0000-000000E40000}"/>
    <cellStyle name="Total 61" xfId="3410" xr:uid="{00000000-0005-0000-0000-000001E40000}"/>
    <cellStyle name="Total 62" xfId="3411" xr:uid="{00000000-0005-0000-0000-000002E40000}"/>
    <cellStyle name="Total 63" xfId="3412" xr:uid="{00000000-0005-0000-0000-000003E40000}"/>
    <cellStyle name="Total 64" xfId="3413" xr:uid="{00000000-0005-0000-0000-000004E40000}"/>
    <cellStyle name="Total 65" xfId="3414" xr:uid="{00000000-0005-0000-0000-000005E40000}"/>
    <cellStyle name="Total 66" xfId="3415" xr:uid="{00000000-0005-0000-0000-000006E40000}"/>
    <cellStyle name="Total 67" xfId="3416" xr:uid="{00000000-0005-0000-0000-000007E40000}"/>
    <cellStyle name="Total 68" xfId="7459" xr:uid="{00000000-0005-0000-0000-000008E40000}"/>
    <cellStyle name="Total 69" xfId="10860" xr:uid="{00000000-0005-0000-0000-000009E40000}"/>
    <cellStyle name="Total 7" xfId="3417" xr:uid="{00000000-0005-0000-0000-00000AE40000}"/>
    <cellStyle name="Total 70" xfId="17644" xr:uid="{00000000-0005-0000-0000-00000BE40000}"/>
    <cellStyle name="Total 71" xfId="17649" xr:uid="{00000000-0005-0000-0000-00000CE40000}"/>
    <cellStyle name="Total 72" xfId="31218" xr:uid="{00000000-0005-0000-0000-00000DE40000}"/>
    <cellStyle name="Total 73" xfId="76" xr:uid="{00000000-0005-0000-0000-00000EE40000}"/>
    <cellStyle name="Total 8" xfId="3418" xr:uid="{00000000-0005-0000-0000-00000FE40000}"/>
    <cellStyle name="Total 9" xfId="3419" xr:uid="{00000000-0005-0000-0000-000010E40000}"/>
    <cellStyle name="Warning Text" xfId="7453" xr:uid="{00000000-0005-0000-0000-000011E40000}"/>
    <cellStyle name="常规_BQ" xfId="7296" xr:uid="{00000000-0005-0000-0000-000012E40000}"/>
  </cellStyles>
  <dxfs count="13">
    <dxf>
      <font>
        <condense val="0"/>
        <extend val="0"/>
        <color indexed="9"/>
      </font>
    </dxf>
    <dxf>
      <fill>
        <patternFill>
          <bgColor rgb="FFFFFF00"/>
        </patternFill>
      </fill>
    </dxf>
    <dxf>
      <fill>
        <patternFill>
          <bgColor rgb="FFFFFF00"/>
        </patternFill>
      </fill>
    </dxf>
    <dxf>
      <fill>
        <patternFill>
          <bgColor rgb="FFFFFF00"/>
        </patternFill>
      </fill>
    </dxf>
    <dxf>
      <fill>
        <patternFill>
          <bgColor rgb="FFFFFF00"/>
        </patternFill>
      </fill>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colors>
    <mruColors>
      <color rgb="FF0000CC"/>
      <color rgb="FF0066FF"/>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419515</xdr:colOff>
      <xdr:row>0</xdr:row>
      <xdr:rowOff>1</xdr:rowOff>
    </xdr:from>
    <xdr:to>
      <xdr:col>5</xdr:col>
      <xdr:colOff>590551</xdr:colOff>
      <xdr:row>3</xdr:row>
      <xdr:rowOff>171451</xdr:rowOff>
    </xdr:to>
    <xdr:pic>
      <xdr:nvPicPr>
        <xdr:cNvPr id="2" name="Imagen 1">
          <a:extLst>
            <a:ext uri="{FF2B5EF4-FFF2-40B4-BE49-F238E27FC236}">
              <a16:creationId xmlns:a16="http://schemas.microsoft.com/office/drawing/2014/main" id="{8B56B808-1313-40C1-B940-B52F2E2D97DD}"/>
            </a:ext>
          </a:extLst>
        </xdr:cNvPr>
        <xdr:cNvPicPr>
          <a:picLocks noChangeAspect="1"/>
        </xdr:cNvPicPr>
      </xdr:nvPicPr>
      <xdr:blipFill>
        <a:blip xmlns:r="http://schemas.openxmlformats.org/officeDocument/2006/relationships" r:embed="rId1"/>
        <a:stretch>
          <a:fillRect/>
        </a:stretch>
      </xdr:blipFill>
      <xdr:spPr>
        <a:xfrm>
          <a:off x="5898295" y="1"/>
          <a:ext cx="1117821" cy="7010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381414</xdr:colOff>
      <xdr:row>0</xdr:row>
      <xdr:rowOff>152401</xdr:rowOff>
    </xdr:from>
    <xdr:to>
      <xdr:col>6</xdr:col>
      <xdr:colOff>20955</xdr:colOff>
      <xdr:row>4</xdr:row>
      <xdr:rowOff>57151</xdr:rowOff>
    </xdr:to>
    <xdr:pic>
      <xdr:nvPicPr>
        <xdr:cNvPr id="2" name="Imagen 1">
          <a:extLst>
            <a:ext uri="{FF2B5EF4-FFF2-40B4-BE49-F238E27FC236}">
              <a16:creationId xmlns:a16="http://schemas.microsoft.com/office/drawing/2014/main" id="{C55A421E-ED4D-4FD2-AC7E-B788A7F44C8B}"/>
            </a:ext>
          </a:extLst>
        </xdr:cNvPr>
        <xdr:cNvPicPr>
          <a:picLocks noChangeAspect="1"/>
        </xdr:cNvPicPr>
      </xdr:nvPicPr>
      <xdr:blipFill>
        <a:blip xmlns:r="http://schemas.openxmlformats.org/officeDocument/2006/relationships" r:embed="rId1"/>
        <a:stretch>
          <a:fillRect/>
        </a:stretch>
      </xdr:blipFill>
      <xdr:spPr>
        <a:xfrm>
          <a:off x="6972714" y="152401"/>
          <a:ext cx="1293081" cy="6172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657639</xdr:colOff>
      <xdr:row>0</xdr:row>
      <xdr:rowOff>114301</xdr:rowOff>
    </xdr:from>
    <xdr:to>
      <xdr:col>6</xdr:col>
      <xdr:colOff>358140</xdr:colOff>
      <xdr:row>3</xdr:row>
      <xdr:rowOff>169546</xdr:rowOff>
    </xdr:to>
    <xdr:pic>
      <xdr:nvPicPr>
        <xdr:cNvPr id="2" name="Imagen 1">
          <a:extLst>
            <a:ext uri="{FF2B5EF4-FFF2-40B4-BE49-F238E27FC236}">
              <a16:creationId xmlns:a16="http://schemas.microsoft.com/office/drawing/2014/main" id="{7D1C5F8B-BC32-478F-8306-DC2E2A3BFADB}"/>
            </a:ext>
          </a:extLst>
        </xdr:cNvPr>
        <xdr:cNvPicPr>
          <a:picLocks noChangeAspect="1"/>
        </xdr:cNvPicPr>
      </xdr:nvPicPr>
      <xdr:blipFill>
        <a:blip xmlns:r="http://schemas.openxmlformats.org/officeDocument/2006/relationships" r:embed="rId1"/>
        <a:stretch>
          <a:fillRect/>
        </a:stretch>
      </xdr:blipFill>
      <xdr:spPr>
        <a:xfrm>
          <a:off x="6578379" y="114301"/>
          <a:ext cx="1254981" cy="605790"/>
        </a:xfrm>
        <a:prstGeom prst="rect">
          <a:avLst/>
        </a:prstGeom>
      </xdr:spPr>
    </xdr:pic>
    <xdr:clientData/>
  </xdr:twoCellAnchor>
  <xdr:twoCellAnchor editAs="oneCell">
    <xdr:from>
      <xdr:col>4</xdr:col>
      <xdr:colOff>657639</xdr:colOff>
      <xdr:row>0</xdr:row>
      <xdr:rowOff>114301</xdr:rowOff>
    </xdr:from>
    <xdr:to>
      <xdr:col>6</xdr:col>
      <xdr:colOff>321945</xdr:colOff>
      <xdr:row>3</xdr:row>
      <xdr:rowOff>169546</xdr:rowOff>
    </xdr:to>
    <xdr:pic>
      <xdr:nvPicPr>
        <xdr:cNvPr id="3" name="Imagen 2">
          <a:extLst>
            <a:ext uri="{FF2B5EF4-FFF2-40B4-BE49-F238E27FC236}">
              <a16:creationId xmlns:a16="http://schemas.microsoft.com/office/drawing/2014/main" id="{9925BEB9-852A-40CA-9E43-804D678755DA}"/>
            </a:ext>
          </a:extLst>
        </xdr:cNvPr>
        <xdr:cNvPicPr>
          <a:picLocks noChangeAspect="1"/>
        </xdr:cNvPicPr>
      </xdr:nvPicPr>
      <xdr:blipFill>
        <a:blip xmlns:r="http://schemas.openxmlformats.org/officeDocument/2006/relationships" r:embed="rId1"/>
        <a:stretch>
          <a:fillRect/>
        </a:stretch>
      </xdr:blipFill>
      <xdr:spPr>
        <a:xfrm>
          <a:off x="6578379" y="114301"/>
          <a:ext cx="1232121" cy="6057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200439</xdr:colOff>
      <xdr:row>0</xdr:row>
      <xdr:rowOff>180976</xdr:rowOff>
    </xdr:from>
    <xdr:to>
      <xdr:col>6</xdr:col>
      <xdr:colOff>628650</xdr:colOff>
      <xdr:row>4</xdr:row>
      <xdr:rowOff>59056</xdr:rowOff>
    </xdr:to>
    <xdr:pic>
      <xdr:nvPicPr>
        <xdr:cNvPr id="2" name="Imagen 1">
          <a:extLst>
            <a:ext uri="{FF2B5EF4-FFF2-40B4-BE49-F238E27FC236}">
              <a16:creationId xmlns:a16="http://schemas.microsoft.com/office/drawing/2014/main" id="{E801F28D-F6F0-4667-B69B-31FAC6C46EC8}"/>
            </a:ext>
          </a:extLst>
        </xdr:cNvPr>
        <xdr:cNvPicPr>
          <a:picLocks noChangeAspect="1"/>
        </xdr:cNvPicPr>
      </xdr:nvPicPr>
      <xdr:blipFill>
        <a:blip xmlns:r="http://schemas.openxmlformats.org/officeDocument/2006/relationships" r:embed="rId1"/>
        <a:stretch>
          <a:fillRect/>
        </a:stretch>
      </xdr:blipFill>
      <xdr:spPr>
        <a:xfrm>
          <a:off x="8003319" y="180976"/>
          <a:ext cx="1195926" cy="603885"/>
        </a:xfrm>
        <a:prstGeom prst="rect">
          <a:avLst/>
        </a:prstGeom>
      </xdr:spPr>
    </xdr:pic>
    <xdr:clientData/>
  </xdr:twoCellAnchor>
  <xdr:twoCellAnchor editAs="oneCell">
    <xdr:from>
      <xdr:col>5</xdr:col>
      <xdr:colOff>200439</xdr:colOff>
      <xdr:row>0</xdr:row>
      <xdr:rowOff>180976</xdr:rowOff>
    </xdr:from>
    <xdr:to>
      <xdr:col>6</xdr:col>
      <xdr:colOff>586740</xdr:colOff>
      <xdr:row>4</xdr:row>
      <xdr:rowOff>59056</xdr:rowOff>
    </xdr:to>
    <xdr:pic>
      <xdr:nvPicPr>
        <xdr:cNvPr id="3" name="Imagen 2">
          <a:extLst>
            <a:ext uri="{FF2B5EF4-FFF2-40B4-BE49-F238E27FC236}">
              <a16:creationId xmlns:a16="http://schemas.microsoft.com/office/drawing/2014/main" id="{928D4498-F59F-4BAC-97E1-D32C4F0BBE1F}"/>
            </a:ext>
          </a:extLst>
        </xdr:cNvPr>
        <xdr:cNvPicPr>
          <a:picLocks noChangeAspect="1"/>
        </xdr:cNvPicPr>
      </xdr:nvPicPr>
      <xdr:blipFill>
        <a:blip xmlns:r="http://schemas.openxmlformats.org/officeDocument/2006/relationships" r:embed="rId1"/>
        <a:stretch>
          <a:fillRect/>
        </a:stretch>
      </xdr:blipFill>
      <xdr:spPr>
        <a:xfrm>
          <a:off x="8003319" y="180976"/>
          <a:ext cx="1173066" cy="6096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167"/>
  <sheetViews>
    <sheetView tabSelected="1" topLeftCell="A146" zoomScale="86" zoomScaleNormal="86" workbookViewId="0">
      <selection activeCell="A167" sqref="A167:XFD762"/>
    </sheetView>
  </sheetViews>
  <sheetFormatPr defaultColWidth="11.42578125" defaultRowHeight="15" outlineLevelRow="2" outlineLevelCol="1"/>
  <cols>
    <col min="1" max="1" width="12.42578125" style="26" bestFit="1" customWidth="1"/>
    <col min="2" max="2" width="82.140625" style="26" customWidth="1"/>
    <col min="3" max="3" width="7.5703125" style="32" customWidth="1"/>
    <col min="4" max="4" width="13.7109375" style="33" customWidth="1"/>
    <col min="5" max="5" width="16.28515625" style="27" customWidth="1"/>
    <col min="6" max="6" width="15.140625" style="27" customWidth="1"/>
    <col min="7" max="7" width="15.140625" style="27" customWidth="1" outlineLevel="1"/>
    <col min="8" max="9" width="16.42578125" style="27" customWidth="1" outlineLevel="1"/>
    <col min="10" max="10" width="18.140625" style="27" customWidth="1" outlineLevel="1"/>
    <col min="11" max="11" width="16" style="27" customWidth="1" outlineLevel="1"/>
  </cols>
  <sheetData>
    <row r="1" spans="1:11" s="2" customFormat="1" ht="11.25">
      <c r="C1" s="3"/>
    </row>
    <row r="2" spans="1:11" s="2" customFormat="1" ht="15" customHeight="1">
      <c r="A2" s="1" t="s">
        <v>6</v>
      </c>
      <c r="B2" s="1"/>
      <c r="C2" s="1"/>
      <c r="D2" s="1"/>
      <c r="E2" s="1"/>
      <c r="F2" s="1"/>
      <c r="G2" s="1"/>
      <c r="H2" s="1"/>
      <c r="I2" s="1"/>
      <c r="J2" s="1"/>
      <c r="K2" s="1"/>
    </row>
    <row r="3" spans="1:11" s="2" customFormat="1" ht="11.25">
      <c r="C3" s="3"/>
      <c r="F3" s="107"/>
      <c r="G3" s="107"/>
      <c r="K3" s="142"/>
    </row>
    <row r="4" spans="1:11" s="2" customFormat="1" ht="12.75">
      <c r="A4" s="108" t="s">
        <v>0</v>
      </c>
      <c r="B4" s="58" t="e">
        <f>#REF!</f>
        <v>#REF!</v>
      </c>
      <c r="C4" s="3"/>
      <c r="F4" s="107"/>
      <c r="G4" s="107"/>
      <c r="H4" s="130"/>
      <c r="K4" s="142"/>
    </row>
    <row r="5" spans="1:11" s="2" customFormat="1" ht="12.75">
      <c r="A5" s="108" t="s">
        <v>13</v>
      </c>
      <c r="B5" s="58" t="str">
        <f>$A$2</f>
        <v>OBRAS PROVISIONALES</v>
      </c>
      <c r="F5" s="107"/>
      <c r="G5" s="107"/>
      <c r="H5" s="130"/>
      <c r="K5" s="21"/>
    </row>
    <row r="6" spans="1:11" s="2" customFormat="1" ht="12.75">
      <c r="A6" s="108" t="s">
        <v>1</v>
      </c>
      <c r="B6" s="59" t="e">
        <f>#REF!</f>
        <v>#REF!</v>
      </c>
      <c r="F6" s="107"/>
      <c r="G6" s="107"/>
      <c r="H6" s="130"/>
      <c r="K6" s="21"/>
    </row>
    <row r="7" spans="1:11" s="2" customFormat="1" ht="12.75">
      <c r="A7" s="108" t="s">
        <v>2</v>
      </c>
      <c r="B7" s="59" t="e">
        <f>#REF!</f>
        <v>#REF!</v>
      </c>
      <c r="F7" s="107"/>
      <c r="G7" s="107"/>
      <c r="H7" s="130"/>
      <c r="K7" s="21"/>
    </row>
    <row r="8" spans="1:11" s="2" customFormat="1" ht="12.75">
      <c r="A8" s="46" t="s">
        <v>14</v>
      </c>
      <c r="B8" s="8" t="e">
        <f>#REF!</f>
        <v>#REF!</v>
      </c>
      <c r="F8" s="107"/>
      <c r="G8" s="107"/>
      <c r="H8" s="130"/>
      <c r="K8" s="21"/>
    </row>
    <row r="9" spans="1:11" s="2" customFormat="1" ht="12.75">
      <c r="A9" s="46"/>
      <c r="B9" s="8"/>
      <c r="F9" s="107"/>
      <c r="G9" s="107"/>
      <c r="H9" s="130"/>
    </row>
    <row r="10" spans="1:11" s="2" customFormat="1" ht="12.75">
      <c r="B10" s="8"/>
      <c r="C10" s="3"/>
      <c r="F10" s="107"/>
    </row>
    <row r="11" spans="1:11" s="2" customFormat="1" ht="16.5" customHeight="1" thickBot="1">
      <c r="C11" s="3"/>
    </row>
    <row r="12" spans="1:11" s="2" customFormat="1" ht="31.5" customHeight="1" thickTop="1" thickBot="1">
      <c r="A12" s="10" t="s">
        <v>4</v>
      </c>
      <c r="B12" s="11" t="s">
        <v>15</v>
      </c>
      <c r="C12" s="11" t="s">
        <v>16</v>
      </c>
      <c r="D12" s="12" t="s">
        <v>17</v>
      </c>
      <c r="E12" s="12" t="s">
        <v>18</v>
      </c>
      <c r="F12" s="12" t="s">
        <v>19</v>
      </c>
      <c r="G12" s="12" t="s">
        <v>20</v>
      </c>
      <c r="H12" s="56" t="s">
        <v>21</v>
      </c>
      <c r="I12" s="56" t="s">
        <v>22</v>
      </c>
      <c r="J12" s="56" t="s">
        <v>23</v>
      </c>
      <c r="K12" s="13" t="s">
        <v>12</v>
      </c>
    </row>
    <row r="13" spans="1:11" s="2" customFormat="1" ht="14.1" customHeight="1" thickTop="1" thickBot="1">
      <c r="A13" s="49" t="s">
        <v>24</v>
      </c>
      <c r="B13" s="15" t="s">
        <v>25</v>
      </c>
      <c r="C13" s="16"/>
      <c r="D13" s="17"/>
      <c r="E13" s="17"/>
      <c r="F13" s="17"/>
      <c r="G13" s="17"/>
      <c r="H13" s="17"/>
      <c r="I13" s="17"/>
      <c r="J13" s="17"/>
      <c r="K13" s="18"/>
    </row>
    <row r="14" spans="1:11" ht="15.75" thickTop="1">
      <c r="A14" s="166">
        <f>A13+0.01</f>
        <v>1.01</v>
      </c>
      <c r="B14" s="132" t="s">
        <v>26</v>
      </c>
      <c r="C14" s="133"/>
      <c r="D14" s="134"/>
      <c r="E14" s="171"/>
      <c r="F14" s="152"/>
      <c r="G14" s="160" t="s">
        <v>27</v>
      </c>
      <c r="H14" s="159" t="str">
        <f>IFERROR(IF(D14=0,"",$D14*E14),"")</f>
        <v/>
      </c>
      <c r="I14" s="149" t="str">
        <f>IFERROR(IF(D14=0,"",$D14*F14),"")</f>
        <v/>
      </c>
      <c r="J14" s="73" t="s">
        <v>7</v>
      </c>
      <c r="K14" s="154">
        <v>375184.22000000003</v>
      </c>
    </row>
    <row r="15" spans="1:11" outlineLevel="1">
      <c r="A15" s="167">
        <f>GG!A13+0.0001</f>
        <v>12.0101</v>
      </c>
      <c r="B15" s="135" t="s">
        <v>28</v>
      </c>
      <c r="C15" s="34" t="s">
        <v>29</v>
      </c>
      <c r="D15" s="35">
        <v>1</v>
      </c>
      <c r="E15" s="74">
        <v>8532.17</v>
      </c>
      <c r="F15" s="80"/>
      <c r="G15" s="160">
        <v>8532.17</v>
      </c>
      <c r="H15" s="160">
        <f>+ROUND(D15*E15,2)</f>
        <v>8532.17</v>
      </c>
      <c r="I15" s="150">
        <f>+ROUND(D15*F15,2)</f>
        <v>0</v>
      </c>
      <c r="J15" s="73">
        <v>8532.17</v>
      </c>
      <c r="K15" s="155"/>
    </row>
    <row r="16" spans="1:11" outlineLevel="1">
      <c r="A16" s="167">
        <f t="shared" ref="A16:A45" si="0">A15+0.0001</f>
        <v>12.010199999999999</v>
      </c>
      <c r="B16" s="136" t="s">
        <v>30</v>
      </c>
      <c r="C16" s="36" t="s">
        <v>29</v>
      </c>
      <c r="D16" s="37">
        <v>1</v>
      </c>
      <c r="E16" s="75">
        <v>3318.85</v>
      </c>
      <c r="F16" s="88"/>
      <c r="G16" s="251">
        <v>3318.85</v>
      </c>
      <c r="H16" s="251">
        <f t="shared" ref="H16:H71" si="1">+ROUND(D16*E16,2)</f>
        <v>3318.85</v>
      </c>
      <c r="I16" s="252">
        <f t="shared" ref="I16:I71" si="2">+ROUND(D16*F16,2)</f>
        <v>0</v>
      </c>
      <c r="J16" s="73">
        <v>3318.85</v>
      </c>
      <c r="K16" s="155"/>
    </row>
    <row r="17" spans="1:11" outlineLevel="1">
      <c r="A17" s="167">
        <f t="shared" si="0"/>
        <v>12.010299999999999</v>
      </c>
      <c r="B17" s="135" t="s">
        <v>31</v>
      </c>
      <c r="C17" s="34" t="s">
        <v>29</v>
      </c>
      <c r="D17" s="35">
        <v>1</v>
      </c>
      <c r="E17" s="74">
        <v>3318.85</v>
      </c>
      <c r="F17" s="80"/>
      <c r="G17" s="160">
        <v>3318.85</v>
      </c>
      <c r="H17" s="160">
        <f t="shared" si="1"/>
        <v>3318.85</v>
      </c>
      <c r="I17" s="150">
        <f t="shared" si="2"/>
        <v>0</v>
      </c>
      <c r="J17" s="73">
        <v>3318.85</v>
      </c>
      <c r="K17" s="155"/>
    </row>
    <row r="18" spans="1:11" outlineLevel="1">
      <c r="A18" s="167">
        <f t="shared" si="0"/>
        <v>12.010399999999999</v>
      </c>
      <c r="B18" s="135" t="s">
        <v>32</v>
      </c>
      <c r="C18" s="34" t="s">
        <v>29</v>
      </c>
      <c r="D18" s="35">
        <v>1</v>
      </c>
      <c r="E18" s="235">
        <v>10767.51</v>
      </c>
      <c r="F18" s="80"/>
      <c r="G18" s="160">
        <v>10767.51</v>
      </c>
      <c r="H18" s="160">
        <f t="shared" si="1"/>
        <v>10767.51</v>
      </c>
      <c r="I18" s="150">
        <f t="shared" si="2"/>
        <v>0</v>
      </c>
      <c r="J18" s="73">
        <v>10767.51</v>
      </c>
      <c r="K18" s="155"/>
    </row>
    <row r="19" spans="1:11" outlineLevel="1">
      <c r="A19" s="167">
        <f t="shared" si="0"/>
        <v>12.010499999999999</v>
      </c>
      <c r="B19" s="135" t="s">
        <v>33</v>
      </c>
      <c r="C19" s="34" t="s">
        <v>29</v>
      </c>
      <c r="D19" s="35">
        <v>1</v>
      </c>
      <c r="E19" s="74">
        <v>6265.24</v>
      </c>
      <c r="F19" s="80"/>
      <c r="G19" s="160">
        <v>6265.24</v>
      </c>
      <c r="H19" s="160">
        <f t="shared" si="1"/>
        <v>6265.24</v>
      </c>
      <c r="I19" s="150">
        <f t="shared" si="2"/>
        <v>0</v>
      </c>
      <c r="J19" s="73">
        <v>6265.24</v>
      </c>
      <c r="K19" s="155"/>
    </row>
    <row r="20" spans="1:11" outlineLevel="1">
      <c r="A20" s="167">
        <f t="shared" si="0"/>
        <v>12.010599999999998</v>
      </c>
      <c r="B20" s="136" t="s">
        <v>34</v>
      </c>
      <c r="C20" s="36" t="s">
        <v>29</v>
      </c>
      <c r="D20" s="37">
        <v>1</v>
      </c>
      <c r="E20" s="74">
        <v>6960.37</v>
      </c>
      <c r="F20" s="80"/>
      <c r="G20" s="160">
        <v>6960.37</v>
      </c>
      <c r="H20" s="160">
        <f t="shared" si="1"/>
        <v>6960.37</v>
      </c>
      <c r="I20" s="150">
        <f t="shared" si="2"/>
        <v>0</v>
      </c>
      <c r="J20" s="73">
        <v>6960.37</v>
      </c>
      <c r="K20" s="155"/>
    </row>
    <row r="21" spans="1:11" outlineLevel="1">
      <c r="A21" s="167">
        <f t="shared" si="0"/>
        <v>12.010699999999998</v>
      </c>
      <c r="B21" s="136" t="s">
        <v>35</v>
      </c>
      <c r="C21" s="36" t="s">
        <v>36</v>
      </c>
      <c r="D21" s="37">
        <v>1</v>
      </c>
      <c r="E21" s="74">
        <v>5553.24</v>
      </c>
      <c r="F21" s="80"/>
      <c r="G21" s="160">
        <v>5553.24</v>
      </c>
      <c r="H21" s="160">
        <f t="shared" si="1"/>
        <v>5553.24</v>
      </c>
      <c r="I21" s="150">
        <f t="shared" si="2"/>
        <v>0</v>
      </c>
      <c r="J21" s="73">
        <v>5553.24</v>
      </c>
      <c r="K21" s="155"/>
    </row>
    <row r="22" spans="1:11" outlineLevel="1">
      <c r="A22" s="167">
        <f t="shared" si="0"/>
        <v>12.010799999999998</v>
      </c>
      <c r="B22" s="136" t="s">
        <v>37</v>
      </c>
      <c r="C22" s="36" t="s">
        <v>29</v>
      </c>
      <c r="D22" s="37">
        <v>1</v>
      </c>
      <c r="E22" s="75">
        <v>850</v>
      </c>
      <c r="F22" s="80"/>
      <c r="G22" s="160">
        <v>850</v>
      </c>
      <c r="H22" s="160">
        <f t="shared" si="1"/>
        <v>850</v>
      </c>
      <c r="I22" s="150">
        <f t="shared" si="2"/>
        <v>0</v>
      </c>
      <c r="J22" s="73">
        <v>850</v>
      </c>
      <c r="K22" s="155"/>
    </row>
    <row r="23" spans="1:11" ht="24.6" customHeight="1" outlineLevel="1">
      <c r="A23" s="167">
        <f t="shared" si="0"/>
        <v>12.010899999999998</v>
      </c>
      <c r="B23" s="38" t="s">
        <v>38</v>
      </c>
      <c r="C23" s="36" t="s">
        <v>39</v>
      </c>
      <c r="D23" s="37">
        <v>9.5</v>
      </c>
      <c r="E23" s="75">
        <v>780</v>
      </c>
      <c r="F23" s="80"/>
      <c r="G23" s="160">
        <v>780</v>
      </c>
      <c r="H23" s="160">
        <f t="shared" si="1"/>
        <v>7410</v>
      </c>
      <c r="I23" s="150">
        <f t="shared" si="2"/>
        <v>0</v>
      </c>
      <c r="J23" s="73">
        <v>7410</v>
      </c>
      <c r="K23" s="155"/>
    </row>
    <row r="24" spans="1:11" outlineLevel="1">
      <c r="A24" s="167">
        <f t="shared" si="0"/>
        <v>12.010999999999997</v>
      </c>
      <c r="B24" s="136" t="s">
        <v>40</v>
      </c>
      <c r="C24" s="36" t="s">
        <v>29</v>
      </c>
      <c r="D24" s="37">
        <v>1</v>
      </c>
      <c r="E24" s="75">
        <v>10044.5</v>
      </c>
      <c r="F24" s="80"/>
      <c r="G24" s="160">
        <v>10044.5</v>
      </c>
      <c r="H24" s="160">
        <f t="shared" si="1"/>
        <v>10044.5</v>
      </c>
      <c r="I24" s="150">
        <f t="shared" si="2"/>
        <v>0</v>
      </c>
      <c r="J24" s="73">
        <v>10044.5</v>
      </c>
      <c r="K24" s="155"/>
    </row>
    <row r="25" spans="1:11" outlineLevel="1">
      <c r="A25" s="167">
        <f t="shared" si="0"/>
        <v>12.011099999999997</v>
      </c>
      <c r="B25" s="136" t="s">
        <v>41</v>
      </c>
      <c r="C25" s="36" t="s">
        <v>39</v>
      </c>
      <c r="D25" s="37">
        <v>22</v>
      </c>
      <c r="E25" s="74">
        <v>330</v>
      </c>
      <c r="F25" s="80"/>
      <c r="G25" s="160">
        <v>330</v>
      </c>
      <c r="H25" s="160">
        <f>+ROUND(D25*E25,2)</f>
        <v>7260</v>
      </c>
      <c r="I25" s="150">
        <f t="shared" si="2"/>
        <v>0</v>
      </c>
      <c r="J25" s="73">
        <v>7260</v>
      </c>
      <c r="K25" s="155"/>
    </row>
    <row r="26" spans="1:11" outlineLevel="1">
      <c r="A26" s="167">
        <f t="shared" si="0"/>
        <v>12.011199999999997</v>
      </c>
      <c r="B26" s="136" t="s">
        <v>42</v>
      </c>
      <c r="C26" s="36" t="s">
        <v>39</v>
      </c>
      <c r="D26" s="37">
        <v>9.5</v>
      </c>
      <c r="E26" s="75">
        <v>560</v>
      </c>
      <c r="F26" s="80"/>
      <c r="G26" s="160">
        <v>560</v>
      </c>
      <c r="H26" s="160">
        <f t="shared" si="1"/>
        <v>5320</v>
      </c>
      <c r="I26" s="150">
        <f t="shared" si="2"/>
        <v>0</v>
      </c>
      <c r="J26" s="73">
        <v>5320</v>
      </c>
      <c r="K26" s="155"/>
    </row>
    <row r="27" spans="1:11" outlineLevel="1">
      <c r="A27" s="167">
        <f t="shared" si="0"/>
        <v>12.011299999999997</v>
      </c>
      <c r="B27" s="136" t="s">
        <v>43</v>
      </c>
      <c r="C27" s="36" t="s">
        <v>39</v>
      </c>
      <c r="D27" s="37">
        <v>17</v>
      </c>
      <c r="E27" s="75">
        <v>660</v>
      </c>
      <c r="F27" s="80"/>
      <c r="G27" s="160">
        <v>660</v>
      </c>
      <c r="H27" s="160">
        <f t="shared" si="1"/>
        <v>11220</v>
      </c>
      <c r="I27" s="150">
        <f t="shared" si="2"/>
        <v>0</v>
      </c>
      <c r="J27" s="73">
        <v>11220</v>
      </c>
      <c r="K27" s="155"/>
    </row>
    <row r="28" spans="1:11" outlineLevel="1">
      <c r="A28" s="167">
        <f t="shared" si="0"/>
        <v>12.011399999999997</v>
      </c>
      <c r="B28" s="137" t="s">
        <v>44</v>
      </c>
      <c r="C28" s="36"/>
      <c r="D28" s="37"/>
      <c r="E28" s="75"/>
      <c r="F28" s="80">
        <v>0</v>
      </c>
      <c r="G28" s="160" t="s">
        <v>27</v>
      </c>
      <c r="H28" s="160">
        <f t="shared" si="1"/>
        <v>0</v>
      </c>
      <c r="I28" s="150">
        <f t="shared" si="2"/>
        <v>0</v>
      </c>
      <c r="J28" s="73">
        <v>0</v>
      </c>
      <c r="K28" s="155"/>
    </row>
    <row r="29" spans="1:11" outlineLevel="2">
      <c r="A29" s="167">
        <f t="shared" si="0"/>
        <v>12.011499999999996</v>
      </c>
      <c r="B29" s="138" t="s">
        <v>45</v>
      </c>
      <c r="C29" s="36" t="s">
        <v>46</v>
      </c>
      <c r="D29" s="37">
        <v>65</v>
      </c>
      <c r="E29" s="75">
        <v>760</v>
      </c>
      <c r="F29" s="80"/>
      <c r="G29" s="160">
        <v>760</v>
      </c>
      <c r="H29" s="160">
        <f t="shared" si="1"/>
        <v>49400</v>
      </c>
      <c r="I29" s="150">
        <f t="shared" si="2"/>
        <v>0</v>
      </c>
      <c r="J29" s="73">
        <v>49400</v>
      </c>
      <c r="K29" s="155"/>
    </row>
    <row r="30" spans="1:11" outlineLevel="2">
      <c r="A30" s="167">
        <f t="shared" si="0"/>
        <v>12.011599999999996</v>
      </c>
      <c r="B30" s="138" t="s">
        <v>47</v>
      </c>
      <c r="C30" s="36" t="s">
        <v>46</v>
      </c>
      <c r="D30" s="37">
        <v>65</v>
      </c>
      <c r="E30" s="75">
        <v>124.59</v>
      </c>
      <c r="F30" s="80"/>
      <c r="G30" s="160">
        <v>124.59</v>
      </c>
      <c r="H30" s="160">
        <f t="shared" si="1"/>
        <v>8098.35</v>
      </c>
      <c r="I30" s="150">
        <f t="shared" si="2"/>
        <v>0</v>
      </c>
      <c r="J30" s="73">
        <v>8098.35</v>
      </c>
      <c r="K30" s="155"/>
    </row>
    <row r="31" spans="1:11" outlineLevel="2">
      <c r="A31" s="167">
        <f t="shared" si="0"/>
        <v>12.011699999999996</v>
      </c>
      <c r="B31" s="138" t="s">
        <v>48</v>
      </c>
      <c r="C31" s="36" t="s">
        <v>36</v>
      </c>
      <c r="D31" s="37">
        <v>520</v>
      </c>
      <c r="E31" s="75"/>
      <c r="F31" s="80">
        <v>8.6999999999999993</v>
      </c>
      <c r="G31" s="160">
        <v>32.625</v>
      </c>
      <c r="H31" s="160">
        <f t="shared" si="1"/>
        <v>0</v>
      </c>
      <c r="I31" s="150">
        <f t="shared" si="2"/>
        <v>4524</v>
      </c>
      <c r="J31" s="73">
        <v>16965</v>
      </c>
      <c r="K31" s="155"/>
    </row>
    <row r="32" spans="1:11" outlineLevel="2">
      <c r="A32" s="167">
        <f t="shared" si="0"/>
        <v>12.011799999999996</v>
      </c>
      <c r="B32" s="138" t="s">
        <v>49</v>
      </c>
      <c r="C32" s="36" t="s">
        <v>46</v>
      </c>
      <c r="D32" s="37">
        <v>65</v>
      </c>
      <c r="E32" s="75">
        <v>49.06</v>
      </c>
      <c r="F32" s="80"/>
      <c r="G32" s="160">
        <v>49.06</v>
      </c>
      <c r="H32" s="160">
        <f t="shared" si="1"/>
        <v>3188.9</v>
      </c>
      <c r="I32" s="150">
        <f t="shared" si="2"/>
        <v>0</v>
      </c>
      <c r="J32" s="73">
        <v>3188.9</v>
      </c>
      <c r="K32" s="155"/>
    </row>
    <row r="33" spans="1:11" outlineLevel="2">
      <c r="A33" s="167">
        <f t="shared" si="0"/>
        <v>12.011899999999995</v>
      </c>
      <c r="B33" s="143" t="s">
        <v>50</v>
      </c>
      <c r="C33" s="36" t="s">
        <v>36</v>
      </c>
      <c r="D33" s="35">
        <v>140</v>
      </c>
      <c r="E33" s="74">
        <v>127.5</v>
      </c>
      <c r="F33" s="80"/>
      <c r="G33" s="160">
        <v>127.5</v>
      </c>
      <c r="H33" s="160">
        <f t="shared" si="1"/>
        <v>17850</v>
      </c>
      <c r="I33" s="150">
        <f t="shared" si="2"/>
        <v>0</v>
      </c>
      <c r="J33" s="73">
        <v>17850</v>
      </c>
      <c r="K33" s="155"/>
    </row>
    <row r="34" spans="1:11" outlineLevel="2">
      <c r="A34" s="167">
        <f t="shared" si="0"/>
        <v>12.011999999999995</v>
      </c>
      <c r="B34" s="143" t="s">
        <v>51</v>
      </c>
      <c r="C34" s="36" t="s">
        <v>46</v>
      </c>
      <c r="D34" s="37">
        <v>65</v>
      </c>
      <c r="E34" s="75">
        <v>92.13</v>
      </c>
      <c r="F34" s="80"/>
      <c r="G34" s="160">
        <v>92.13</v>
      </c>
      <c r="H34" s="160">
        <f t="shared" si="1"/>
        <v>5988.45</v>
      </c>
      <c r="I34" s="150">
        <f t="shared" si="2"/>
        <v>0</v>
      </c>
      <c r="J34" s="73">
        <v>5988.45</v>
      </c>
      <c r="K34" s="155"/>
    </row>
    <row r="35" spans="1:11" outlineLevel="1">
      <c r="A35" s="167">
        <f t="shared" si="0"/>
        <v>12.012099999999995</v>
      </c>
      <c r="B35" s="136" t="s">
        <v>52</v>
      </c>
      <c r="C35" s="36" t="s">
        <v>29</v>
      </c>
      <c r="D35" s="37">
        <v>1</v>
      </c>
      <c r="E35" s="75">
        <v>5250</v>
      </c>
      <c r="F35" s="80"/>
      <c r="G35" s="160">
        <v>5250</v>
      </c>
      <c r="H35" s="160">
        <f t="shared" si="1"/>
        <v>5250</v>
      </c>
      <c r="I35" s="150">
        <f t="shared" si="2"/>
        <v>0</v>
      </c>
      <c r="J35" s="73">
        <v>5250</v>
      </c>
      <c r="K35" s="155"/>
    </row>
    <row r="36" spans="1:11" outlineLevel="1">
      <c r="A36" s="167">
        <f t="shared" si="0"/>
        <v>12.012199999999995</v>
      </c>
      <c r="B36" s="136" t="s">
        <v>53</v>
      </c>
      <c r="C36" s="36" t="s">
        <v>29</v>
      </c>
      <c r="D36" s="37">
        <v>1</v>
      </c>
      <c r="E36" s="75">
        <v>104538.67</v>
      </c>
      <c r="F36" s="80"/>
      <c r="G36" s="160">
        <v>104538.67</v>
      </c>
      <c r="H36" s="160">
        <f t="shared" si="1"/>
        <v>104538.67</v>
      </c>
      <c r="I36" s="150">
        <f t="shared" si="2"/>
        <v>0</v>
      </c>
      <c r="J36" s="73">
        <v>104538.67</v>
      </c>
      <c r="K36" s="155"/>
    </row>
    <row r="37" spans="1:11" outlineLevel="1">
      <c r="A37" s="167">
        <f t="shared" si="0"/>
        <v>12.012299999999994</v>
      </c>
      <c r="B37" s="38" t="s">
        <v>54</v>
      </c>
      <c r="C37" s="36" t="s">
        <v>29</v>
      </c>
      <c r="D37" s="37">
        <v>1</v>
      </c>
      <c r="E37" s="75">
        <v>11741.72</v>
      </c>
      <c r="F37" s="80"/>
      <c r="G37" s="160">
        <v>11741.72</v>
      </c>
      <c r="H37" s="160">
        <f t="shared" si="1"/>
        <v>11741.72</v>
      </c>
      <c r="I37" s="150">
        <f t="shared" si="2"/>
        <v>0</v>
      </c>
      <c r="J37" s="73">
        <v>11741.72</v>
      </c>
      <c r="K37" s="155"/>
    </row>
    <row r="38" spans="1:11" s="234" customFormat="1" ht="15" customHeight="1" outlineLevel="1">
      <c r="A38" s="167">
        <f t="shared" si="0"/>
        <v>12.012399999999994</v>
      </c>
      <c r="B38" s="249" t="s">
        <v>55</v>
      </c>
      <c r="C38" s="153" t="s">
        <v>46</v>
      </c>
      <c r="D38" s="39">
        <v>60</v>
      </c>
      <c r="E38" s="172">
        <v>475</v>
      </c>
      <c r="F38" s="250"/>
      <c r="G38" s="251">
        <v>475</v>
      </c>
      <c r="H38" s="160">
        <f t="shared" si="1"/>
        <v>28500</v>
      </c>
      <c r="I38" s="150">
        <f t="shared" si="2"/>
        <v>0</v>
      </c>
      <c r="J38" s="73">
        <v>28500</v>
      </c>
      <c r="K38" s="253"/>
    </row>
    <row r="39" spans="1:11" s="234" customFormat="1" ht="12.75" outlineLevel="1">
      <c r="A39" s="167">
        <f t="shared" si="0"/>
        <v>12.012499999999994</v>
      </c>
      <c r="B39" s="254" t="s">
        <v>56</v>
      </c>
      <c r="C39" s="153" t="s">
        <v>46</v>
      </c>
      <c r="D39" s="39">
        <v>100</v>
      </c>
      <c r="E39" s="172">
        <v>100.8</v>
      </c>
      <c r="F39" s="250"/>
      <c r="G39" s="251">
        <v>100.8</v>
      </c>
      <c r="H39" s="160">
        <f t="shared" si="1"/>
        <v>10080</v>
      </c>
      <c r="I39" s="150">
        <f t="shared" si="2"/>
        <v>0</v>
      </c>
      <c r="J39" s="73">
        <v>10080</v>
      </c>
      <c r="K39" s="253"/>
    </row>
    <row r="40" spans="1:11" outlineLevel="1">
      <c r="A40" s="167">
        <f t="shared" si="0"/>
        <v>12.012599999999994</v>
      </c>
      <c r="B40" s="136" t="s">
        <v>57</v>
      </c>
      <c r="C40" s="36" t="s">
        <v>46</v>
      </c>
      <c r="D40" s="37">
        <v>100</v>
      </c>
      <c r="E40" s="75">
        <v>74.400000000000006</v>
      </c>
      <c r="F40" s="80"/>
      <c r="G40" s="160">
        <v>74.400000000000006</v>
      </c>
      <c r="H40" s="160">
        <f t="shared" si="1"/>
        <v>7440</v>
      </c>
      <c r="I40" s="150">
        <f t="shared" si="2"/>
        <v>0</v>
      </c>
      <c r="J40" s="73">
        <v>7440</v>
      </c>
      <c r="K40" s="155"/>
    </row>
    <row r="41" spans="1:11" outlineLevel="1">
      <c r="A41" s="167">
        <f>A40+0.0001</f>
        <v>12.012699999999993</v>
      </c>
      <c r="B41" s="136" t="s">
        <v>58</v>
      </c>
      <c r="C41" s="36" t="s">
        <v>46</v>
      </c>
      <c r="D41" s="37">
        <v>40</v>
      </c>
      <c r="E41" s="75">
        <v>97.21</v>
      </c>
      <c r="F41" s="80"/>
      <c r="G41" s="160">
        <v>97.21</v>
      </c>
      <c r="H41" s="160">
        <f>+ROUND(D41*E41,2)</f>
        <v>3888.4</v>
      </c>
      <c r="I41" s="150">
        <f>+ROUND(D41*F41,2)</f>
        <v>0</v>
      </c>
      <c r="J41" s="73">
        <v>3888.4</v>
      </c>
      <c r="K41" s="155"/>
    </row>
    <row r="42" spans="1:11" outlineLevel="1">
      <c r="A42" s="167">
        <f>A40+0.0001</f>
        <v>12.012699999999993</v>
      </c>
      <c r="B42" s="136" t="s">
        <v>59</v>
      </c>
      <c r="C42" s="36" t="s">
        <v>46</v>
      </c>
      <c r="D42" s="37">
        <v>100</v>
      </c>
      <c r="E42" s="75">
        <v>84.84</v>
      </c>
      <c r="F42" s="80"/>
      <c r="G42" s="160">
        <v>84.84</v>
      </c>
      <c r="H42" s="160">
        <f t="shared" si="1"/>
        <v>8484</v>
      </c>
      <c r="I42" s="150">
        <f t="shared" si="2"/>
        <v>0</v>
      </c>
      <c r="J42" s="73">
        <v>8484</v>
      </c>
      <c r="K42" s="155"/>
    </row>
    <row r="43" spans="1:11" outlineLevel="1">
      <c r="A43" s="167">
        <f t="shared" si="0"/>
        <v>12.012799999999993</v>
      </c>
      <c r="B43" s="136" t="s">
        <v>60</v>
      </c>
      <c r="C43" s="36" t="s">
        <v>29</v>
      </c>
      <c r="D43" s="37">
        <v>1</v>
      </c>
      <c r="E43" s="75">
        <v>3250</v>
      </c>
      <c r="F43" s="88"/>
      <c r="G43" s="160">
        <v>3250</v>
      </c>
      <c r="H43" s="160">
        <f t="shared" si="1"/>
        <v>3250</v>
      </c>
      <c r="I43" s="150">
        <f t="shared" si="2"/>
        <v>0</v>
      </c>
      <c r="J43" s="73">
        <v>3250</v>
      </c>
      <c r="K43" s="155"/>
    </row>
    <row r="44" spans="1:11" outlineLevel="1">
      <c r="A44" s="167">
        <f t="shared" si="0"/>
        <v>12.012899999999993</v>
      </c>
      <c r="B44" s="38" t="s">
        <v>61</v>
      </c>
      <c r="C44" s="36" t="s">
        <v>29</v>
      </c>
      <c r="D44" s="37">
        <v>1</v>
      </c>
      <c r="E44" s="75">
        <v>3000</v>
      </c>
      <c r="F44" s="88"/>
      <c r="G44" s="160">
        <v>3000</v>
      </c>
      <c r="H44" s="160">
        <f t="shared" si="1"/>
        <v>3000</v>
      </c>
      <c r="I44" s="150">
        <f t="shared" si="2"/>
        <v>0</v>
      </c>
      <c r="J44" s="73">
        <v>3000</v>
      </c>
      <c r="K44" s="155"/>
    </row>
    <row r="45" spans="1:11" outlineLevel="1">
      <c r="A45" s="167">
        <f t="shared" si="0"/>
        <v>12.012999999999993</v>
      </c>
      <c r="B45" s="139" t="s">
        <v>62</v>
      </c>
      <c r="C45" s="36" t="s">
        <v>29</v>
      </c>
      <c r="D45" s="37">
        <v>1</v>
      </c>
      <c r="E45" s="75">
        <v>700</v>
      </c>
      <c r="F45" s="80"/>
      <c r="G45" s="160">
        <v>700</v>
      </c>
      <c r="H45" s="160">
        <f t="shared" si="1"/>
        <v>700</v>
      </c>
      <c r="I45" s="150">
        <f t="shared" si="2"/>
        <v>0</v>
      </c>
      <c r="J45" s="73">
        <v>700</v>
      </c>
      <c r="K45" s="156"/>
    </row>
    <row r="46" spans="1:11">
      <c r="A46" s="166">
        <f>A14+0.01</f>
        <v>1.02</v>
      </c>
      <c r="B46" s="145" t="s">
        <v>63</v>
      </c>
      <c r="C46" s="140"/>
      <c r="D46" s="141"/>
      <c r="E46" s="173"/>
      <c r="F46" s="80">
        <v>0</v>
      </c>
      <c r="G46" s="160"/>
      <c r="H46" s="160"/>
      <c r="I46" s="150"/>
      <c r="J46" s="73"/>
      <c r="K46" s="157">
        <v>0</v>
      </c>
    </row>
    <row r="47" spans="1:11" outlineLevel="1">
      <c r="A47" s="175">
        <f t="shared" ref="A47:A71" si="3">A46+0.0001</f>
        <v>1.0201</v>
      </c>
      <c r="B47" s="195" t="s">
        <v>64</v>
      </c>
      <c r="C47" s="184" t="s">
        <v>46</v>
      </c>
      <c r="D47" s="144">
        <v>0</v>
      </c>
      <c r="E47" s="192">
        <v>1341.3425000000002</v>
      </c>
      <c r="F47" s="185">
        <v>0</v>
      </c>
      <c r="G47" s="186" t="s">
        <v>27</v>
      </c>
      <c r="H47" s="160">
        <f t="shared" si="1"/>
        <v>0</v>
      </c>
      <c r="I47" s="150">
        <f t="shared" si="2"/>
        <v>0</v>
      </c>
      <c r="J47" s="73">
        <v>0</v>
      </c>
      <c r="K47" s="187"/>
    </row>
    <row r="48" spans="1:11" outlineLevel="1">
      <c r="A48" s="175">
        <f t="shared" si="3"/>
        <v>1.0202</v>
      </c>
      <c r="B48" s="183" t="s">
        <v>65</v>
      </c>
      <c r="C48" s="184" t="s">
        <v>36</v>
      </c>
      <c r="D48" s="144">
        <v>0</v>
      </c>
      <c r="E48" s="192">
        <v>1695.26</v>
      </c>
      <c r="F48" s="185">
        <v>0</v>
      </c>
      <c r="G48" s="186" t="s">
        <v>27</v>
      </c>
      <c r="H48" s="160">
        <f t="shared" si="1"/>
        <v>0</v>
      </c>
      <c r="I48" s="150">
        <f t="shared" si="2"/>
        <v>0</v>
      </c>
      <c r="J48" s="73">
        <v>0</v>
      </c>
      <c r="K48" s="187"/>
    </row>
    <row r="49" spans="1:11" outlineLevel="1">
      <c r="A49" s="175">
        <f t="shared" si="3"/>
        <v>1.0203</v>
      </c>
      <c r="B49" s="195" t="s">
        <v>66</v>
      </c>
      <c r="C49" s="184" t="s">
        <v>29</v>
      </c>
      <c r="D49" s="144">
        <v>0</v>
      </c>
      <c r="E49" s="192">
        <v>2400</v>
      </c>
      <c r="F49" s="185">
        <v>0</v>
      </c>
      <c r="G49" s="186" t="s">
        <v>27</v>
      </c>
      <c r="H49" s="160">
        <f t="shared" si="1"/>
        <v>0</v>
      </c>
      <c r="I49" s="150">
        <f t="shared" si="2"/>
        <v>0</v>
      </c>
      <c r="J49" s="73">
        <v>0</v>
      </c>
      <c r="K49" s="187"/>
    </row>
    <row r="50" spans="1:11" outlineLevel="1">
      <c r="A50" s="175">
        <f t="shared" si="3"/>
        <v>1.0204</v>
      </c>
      <c r="B50" s="195" t="s">
        <v>67</v>
      </c>
      <c r="C50" s="184" t="s">
        <v>29</v>
      </c>
      <c r="D50" s="144">
        <v>0</v>
      </c>
      <c r="E50" s="192">
        <v>1500</v>
      </c>
      <c r="F50" s="185">
        <v>0</v>
      </c>
      <c r="G50" s="186" t="s">
        <v>27</v>
      </c>
      <c r="H50" s="160">
        <f t="shared" si="1"/>
        <v>0</v>
      </c>
      <c r="I50" s="150">
        <f t="shared" si="2"/>
        <v>0</v>
      </c>
      <c r="J50" s="73">
        <v>0</v>
      </c>
      <c r="K50" s="187"/>
    </row>
    <row r="51" spans="1:11">
      <c r="A51" s="166">
        <f>A46+0.01</f>
        <v>1.03</v>
      </c>
      <c r="B51" s="145" t="s">
        <v>68</v>
      </c>
      <c r="C51" s="140"/>
      <c r="D51" s="141"/>
      <c r="E51" s="173"/>
      <c r="F51" s="80"/>
      <c r="G51" s="160"/>
      <c r="H51" s="160"/>
      <c r="I51" s="150"/>
      <c r="J51" s="73"/>
      <c r="K51" s="157">
        <v>41100</v>
      </c>
    </row>
    <row r="52" spans="1:11" outlineLevel="1">
      <c r="A52" s="167">
        <f t="shared" si="3"/>
        <v>1.0301</v>
      </c>
      <c r="B52" s="136" t="s">
        <v>69</v>
      </c>
      <c r="C52" s="36" t="s">
        <v>39</v>
      </c>
      <c r="D52" s="37">
        <v>22</v>
      </c>
      <c r="E52" s="75">
        <v>1250</v>
      </c>
      <c r="F52" s="80"/>
      <c r="G52" s="160">
        <v>1250</v>
      </c>
      <c r="H52" s="160">
        <f t="shared" si="1"/>
        <v>27500</v>
      </c>
      <c r="I52" s="150">
        <f t="shared" si="2"/>
        <v>0</v>
      </c>
      <c r="J52" s="73">
        <v>27500</v>
      </c>
      <c r="K52" s="155"/>
    </row>
    <row r="53" spans="1:11" outlineLevel="1">
      <c r="A53" s="175">
        <f t="shared" si="3"/>
        <v>1.0302</v>
      </c>
      <c r="B53" s="195" t="s">
        <v>70</v>
      </c>
      <c r="C53" s="184" t="s">
        <v>71</v>
      </c>
      <c r="D53" s="144">
        <v>0</v>
      </c>
      <c r="E53" s="192">
        <v>0</v>
      </c>
      <c r="F53" s="185">
        <v>120</v>
      </c>
      <c r="G53" s="186" t="s">
        <v>27</v>
      </c>
      <c r="H53" s="160">
        <f t="shared" si="1"/>
        <v>0</v>
      </c>
      <c r="I53" s="150">
        <f t="shared" si="2"/>
        <v>0</v>
      </c>
      <c r="J53" s="73">
        <v>0</v>
      </c>
      <c r="K53" s="187"/>
    </row>
    <row r="54" spans="1:11" outlineLevel="1">
      <c r="A54" s="167">
        <f t="shared" si="3"/>
        <v>1.0303</v>
      </c>
      <c r="B54" s="136" t="s">
        <v>72</v>
      </c>
      <c r="C54" s="36" t="s">
        <v>29</v>
      </c>
      <c r="D54" s="37">
        <v>1</v>
      </c>
      <c r="E54" s="75">
        <v>2550</v>
      </c>
      <c r="F54" s="80"/>
      <c r="G54" s="160">
        <v>2550</v>
      </c>
      <c r="H54" s="160">
        <f t="shared" si="1"/>
        <v>2550</v>
      </c>
      <c r="I54" s="150">
        <f t="shared" si="2"/>
        <v>0</v>
      </c>
      <c r="J54" s="73">
        <v>2550</v>
      </c>
      <c r="K54" s="155"/>
    </row>
    <row r="55" spans="1:11" outlineLevel="1">
      <c r="A55" s="167">
        <f t="shared" si="3"/>
        <v>1.0304</v>
      </c>
      <c r="B55" s="136" t="s">
        <v>73</v>
      </c>
      <c r="C55" s="36" t="s">
        <v>74</v>
      </c>
      <c r="D55" s="37">
        <v>10</v>
      </c>
      <c r="E55" s="75">
        <v>850</v>
      </c>
      <c r="F55" s="80"/>
      <c r="G55" s="160">
        <v>850</v>
      </c>
      <c r="H55" s="160">
        <f t="shared" si="1"/>
        <v>8500</v>
      </c>
      <c r="I55" s="150">
        <f t="shared" si="2"/>
        <v>0</v>
      </c>
      <c r="J55" s="73">
        <v>8500</v>
      </c>
      <c r="K55" s="155"/>
    </row>
    <row r="56" spans="1:11" outlineLevel="1">
      <c r="A56" s="175">
        <f t="shared" si="3"/>
        <v>1.0305</v>
      </c>
      <c r="B56" s="195" t="s">
        <v>75</v>
      </c>
      <c r="C56" s="184" t="s">
        <v>74</v>
      </c>
      <c r="D56" s="144">
        <v>0</v>
      </c>
      <c r="E56" s="192">
        <v>800</v>
      </c>
      <c r="F56" s="185"/>
      <c r="G56" s="186" t="s">
        <v>27</v>
      </c>
      <c r="H56" s="160">
        <f t="shared" si="1"/>
        <v>0</v>
      </c>
      <c r="I56" s="150">
        <f t="shared" si="2"/>
        <v>0</v>
      </c>
      <c r="J56" s="73">
        <v>0</v>
      </c>
      <c r="K56" s="187"/>
    </row>
    <row r="57" spans="1:11" outlineLevel="1">
      <c r="A57" s="175">
        <f t="shared" si="3"/>
        <v>1.0306</v>
      </c>
      <c r="B57" s="195" t="s">
        <v>76</v>
      </c>
      <c r="C57" s="184" t="s">
        <v>74</v>
      </c>
      <c r="D57" s="144">
        <v>0</v>
      </c>
      <c r="E57" s="192">
        <v>850</v>
      </c>
      <c r="F57" s="185"/>
      <c r="G57" s="186" t="s">
        <v>27</v>
      </c>
      <c r="H57" s="160">
        <f t="shared" si="1"/>
        <v>0</v>
      </c>
      <c r="I57" s="150">
        <f t="shared" si="2"/>
        <v>0</v>
      </c>
      <c r="J57" s="73">
        <v>0</v>
      </c>
      <c r="K57" s="187"/>
    </row>
    <row r="58" spans="1:11" outlineLevel="1">
      <c r="A58" s="175">
        <f t="shared" si="3"/>
        <v>1.0306999999999999</v>
      </c>
      <c r="B58" s="195" t="s">
        <v>77</v>
      </c>
      <c r="C58" s="184" t="s">
        <v>74</v>
      </c>
      <c r="D58" s="144">
        <v>0</v>
      </c>
      <c r="E58" s="192">
        <v>850</v>
      </c>
      <c r="F58" s="185">
        <v>0</v>
      </c>
      <c r="G58" s="186" t="s">
        <v>27</v>
      </c>
      <c r="H58" s="160">
        <f t="shared" si="1"/>
        <v>0</v>
      </c>
      <c r="I58" s="150">
        <f t="shared" si="2"/>
        <v>0</v>
      </c>
      <c r="J58" s="73">
        <v>0</v>
      </c>
      <c r="K58" s="187"/>
    </row>
    <row r="59" spans="1:11" outlineLevel="1">
      <c r="A59" s="175">
        <f t="shared" si="3"/>
        <v>1.0307999999999999</v>
      </c>
      <c r="B59" s="195" t="s">
        <v>78</v>
      </c>
      <c r="C59" s="184" t="s">
        <v>74</v>
      </c>
      <c r="D59" s="144">
        <v>0</v>
      </c>
      <c r="E59" s="192">
        <v>800</v>
      </c>
      <c r="F59" s="185">
        <v>0</v>
      </c>
      <c r="G59" s="186" t="s">
        <v>27</v>
      </c>
      <c r="H59" s="160">
        <f t="shared" si="1"/>
        <v>0</v>
      </c>
      <c r="I59" s="150">
        <f t="shared" si="2"/>
        <v>0</v>
      </c>
      <c r="J59" s="73">
        <v>0</v>
      </c>
      <c r="K59" s="187"/>
    </row>
    <row r="60" spans="1:11" outlineLevel="1">
      <c r="A60" s="167">
        <f t="shared" si="3"/>
        <v>1.0308999999999999</v>
      </c>
      <c r="B60" s="136" t="s">
        <v>79</v>
      </c>
      <c r="C60" s="36" t="s">
        <v>29</v>
      </c>
      <c r="D60" s="37">
        <v>1</v>
      </c>
      <c r="E60" s="75">
        <v>2550</v>
      </c>
      <c r="F60" s="80"/>
      <c r="G60" s="160">
        <v>2550</v>
      </c>
      <c r="H60" s="160">
        <f t="shared" si="1"/>
        <v>2550</v>
      </c>
      <c r="I60" s="150">
        <f t="shared" si="2"/>
        <v>0</v>
      </c>
      <c r="J60" s="73">
        <v>2550</v>
      </c>
      <c r="K60" s="155"/>
    </row>
    <row r="61" spans="1:11" outlineLevel="1">
      <c r="A61" s="175">
        <f t="shared" si="3"/>
        <v>1.0309999999999999</v>
      </c>
      <c r="B61" s="195" t="s">
        <v>80</v>
      </c>
      <c r="C61" s="184" t="s">
        <v>71</v>
      </c>
      <c r="D61" s="144">
        <v>0</v>
      </c>
      <c r="E61" s="192">
        <v>0</v>
      </c>
      <c r="F61" s="185">
        <v>120</v>
      </c>
      <c r="G61" s="186" t="s">
        <v>27</v>
      </c>
      <c r="H61" s="160">
        <f t="shared" si="1"/>
        <v>0</v>
      </c>
      <c r="I61" s="150">
        <f t="shared" si="2"/>
        <v>0</v>
      </c>
      <c r="J61" s="73">
        <v>0</v>
      </c>
      <c r="K61" s="187"/>
    </row>
    <row r="62" spans="1:11">
      <c r="A62" s="166">
        <f>A51+0.01</f>
        <v>1.04</v>
      </c>
      <c r="B62" s="145" t="s">
        <v>81</v>
      </c>
      <c r="C62" s="140"/>
      <c r="D62" s="141"/>
      <c r="E62" s="173"/>
      <c r="F62" s="80">
        <v>0</v>
      </c>
      <c r="G62" s="160" t="s">
        <v>27</v>
      </c>
      <c r="H62" s="160">
        <f t="shared" si="1"/>
        <v>0</v>
      </c>
      <c r="I62" s="150">
        <f t="shared" si="2"/>
        <v>0</v>
      </c>
      <c r="J62" s="73">
        <v>0</v>
      </c>
      <c r="K62" s="157">
        <v>33250</v>
      </c>
    </row>
    <row r="63" spans="1:11" s="234" customFormat="1" ht="15" customHeight="1" outlineLevel="1">
      <c r="A63" s="181">
        <f t="shared" si="3"/>
        <v>1.0401</v>
      </c>
      <c r="B63" s="176" t="s">
        <v>82</v>
      </c>
      <c r="C63" s="177" t="s">
        <v>29</v>
      </c>
      <c r="D63" s="178">
        <v>0</v>
      </c>
      <c r="E63" s="193"/>
      <c r="F63" s="179"/>
      <c r="G63" s="186" t="s">
        <v>27</v>
      </c>
      <c r="H63" s="160">
        <f t="shared" si="1"/>
        <v>0</v>
      </c>
      <c r="I63" s="150">
        <f t="shared" si="2"/>
        <v>0</v>
      </c>
      <c r="J63" s="73">
        <v>0</v>
      </c>
      <c r="K63" s="180"/>
    </row>
    <row r="64" spans="1:11" s="234" customFormat="1" ht="15.75" customHeight="1" outlineLevel="1">
      <c r="A64" s="181">
        <f t="shared" si="3"/>
        <v>1.0402</v>
      </c>
      <c r="B64" s="182" t="s">
        <v>83</v>
      </c>
      <c r="C64" s="177" t="s">
        <v>29</v>
      </c>
      <c r="D64" s="178">
        <v>0</v>
      </c>
      <c r="E64" s="193"/>
      <c r="F64" s="179"/>
      <c r="G64" s="186" t="s">
        <v>27</v>
      </c>
      <c r="H64" s="160">
        <f t="shared" si="1"/>
        <v>0</v>
      </c>
      <c r="I64" s="150">
        <f t="shared" si="2"/>
        <v>0</v>
      </c>
      <c r="J64" s="73">
        <v>0</v>
      </c>
      <c r="K64" s="180"/>
    </row>
    <row r="65" spans="1:11" outlineLevel="1">
      <c r="A65" s="167">
        <f t="shared" si="3"/>
        <v>1.0403</v>
      </c>
      <c r="B65" s="195" t="s">
        <v>84</v>
      </c>
      <c r="C65" s="184" t="s">
        <v>29</v>
      </c>
      <c r="D65" s="144">
        <v>0</v>
      </c>
      <c r="E65" s="193"/>
      <c r="F65" s="185"/>
      <c r="G65" s="186" t="s">
        <v>27</v>
      </c>
      <c r="H65" s="160">
        <f t="shared" si="1"/>
        <v>0</v>
      </c>
      <c r="I65" s="150">
        <f t="shared" si="2"/>
        <v>0</v>
      </c>
      <c r="J65" s="73">
        <v>0</v>
      </c>
      <c r="K65" s="187"/>
    </row>
    <row r="66" spans="1:11" outlineLevel="1">
      <c r="A66" s="167">
        <f t="shared" si="3"/>
        <v>1.0404</v>
      </c>
      <c r="B66" s="136" t="s">
        <v>85</v>
      </c>
      <c r="C66" s="34" t="s">
        <v>29</v>
      </c>
      <c r="D66" s="37">
        <v>0</v>
      </c>
      <c r="E66" s="235"/>
      <c r="F66" s="88"/>
      <c r="G66" s="251" t="s">
        <v>27</v>
      </c>
      <c r="H66" s="160">
        <f t="shared" si="1"/>
        <v>0</v>
      </c>
      <c r="I66" s="150">
        <f t="shared" si="2"/>
        <v>0</v>
      </c>
      <c r="J66" s="73">
        <v>0</v>
      </c>
      <c r="K66" s="155"/>
    </row>
    <row r="67" spans="1:11" outlineLevel="1">
      <c r="A67" s="167">
        <f t="shared" si="3"/>
        <v>1.0405</v>
      </c>
      <c r="B67" s="136" t="s">
        <v>86</v>
      </c>
      <c r="C67" s="34" t="s">
        <v>29</v>
      </c>
      <c r="D67" s="37">
        <v>0</v>
      </c>
      <c r="E67" s="235"/>
      <c r="F67" s="88"/>
      <c r="G67" s="251" t="s">
        <v>27</v>
      </c>
      <c r="H67" s="160">
        <f t="shared" si="1"/>
        <v>0</v>
      </c>
      <c r="I67" s="150">
        <f t="shared" si="2"/>
        <v>0</v>
      </c>
      <c r="J67" s="73">
        <v>0</v>
      </c>
      <c r="K67" s="155"/>
    </row>
    <row r="68" spans="1:11" outlineLevel="1">
      <c r="A68" s="167">
        <f>A66+0.0001</f>
        <v>1.0405</v>
      </c>
      <c r="B68" s="136" t="s">
        <v>87</v>
      </c>
      <c r="C68" s="34" t="s">
        <v>29</v>
      </c>
      <c r="D68" s="37">
        <v>4</v>
      </c>
      <c r="E68" s="74">
        <v>4600</v>
      </c>
      <c r="F68" s="80"/>
      <c r="G68" s="160">
        <v>4600</v>
      </c>
      <c r="H68" s="160">
        <f t="shared" si="1"/>
        <v>18400</v>
      </c>
      <c r="I68" s="150">
        <f t="shared" si="2"/>
        <v>0</v>
      </c>
      <c r="J68" s="73">
        <v>18400</v>
      </c>
      <c r="K68" s="155"/>
    </row>
    <row r="69" spans="1:11" outlineLevel="1">
      <c r="A69" s="167">
        <f t="shared" si="3"/>
        <v>1.0406</v>
      </c>
      <c r="B69" s="136" t="s">
        <v>88</v>
      </c>
      <c r="C69" s="34" t="s">
        <v>29</v>
      </c>
      <c r="D69" s="37">
        <v>10</v>
      </c>
      <c r="E69" s="74">
        <v>675</v>
      </c>
      <c r="F69" s="80"/>
      <c r="G69" s="160">
        <v>675</v>
      </c>
      <c r="H69" s="160">
        <f t="shared" si="1"/>
        <v>6750</v>
      </c>
      <c r="I69" s="150">
        <f t="shared" si="2"/>
        <v>0</v>
      </c>
      <c r="J69" s="73">
        <v>6750</v>
      </c>
      <c r="K69" s="155"/>
    </row>
    <row r="70" spans="1:11" outlineLevel="1">
      <c r="A70" s="167">
        <f t="shared" si="3"/>
        <v>1.0407</v>
      </c>
      <c r="B70" s="136" t="s">
        <v>89</v>
      </c>
      <c r="C70" s="34" t="s">
        <v>29</v>
      </c>
      <c r="D70" s="37">
        <v>3</v>
      </c>
      <c r="E70" s="74">
        <v>2250</v>
      </c>
      <c r="F70" s="80"/>
      <c r="G70" s="160">
        <v>2250</v>
      </c>
      <c r="H70" s="160">
        <f t="shared" si="1"/>
        <v>6750</v>
      </c>
      <c r="I70" s="150">
        <f t="shared" si="2"/>
        <v>0</v>
      </c>
      <c r="J70" s="73">
        <v>6750</v>
      </c>
      <c r="K70" s="155"/>
    </row>
    <row r="71" spans="1:11" outlineLevel="1">
      <c r="A71" s="167">
        <f t="shared" si="3"/>
        <v>1.0407999999999999</v>
      </c>
      <c r="B71" s="136" t="s">
        <v>90</v>
      </c>
      <c r="C71" s="34" t="s">
        <v>29</v>
      </c>
      <c r="D71" s="37">
        <v>1</v>
      </c>
      <c r="E71" s="74">
        <v>1350</v>
      </c>
      <c r="F71" s="80"/>
      <c r="G71" s="160">
        <v>1350</v>
      </c>
      <c r="H71" s="160">
        <f t="shared" si="1"/>
        <v>1350</v>
      </c>
      <c r="I71" s="150">
        <f t="shared" si="2"/>
        <v>0</v>
      </c>
      <c r="J71" s="73">
        <v>1350</v>
      </c>
      <c r="K71" s="155"/>
    </row>
    <row r="72" spans="1:11">
      <c r="A72" s="166">
        <f>A62+0.01</f>
        <v>1.05</v>
      </c>
      <c r="B72" s="145" t="s">
        <v>91</v>
      </c>
      <c r="C72" s="140"/>
      <c r="D72" s="141"/>
      <c r="E72" s="173"/>
      <c r="F72" s="80">
        <v>0</v>
      </c>
      <c r="G72" s="160" t="s">
        <v>27</v>
      </c>
      <c r="H72" s="160"/>
      <c r="I72" s="150"/>
      <c r="J72" s="73"/>
      <c r="K72" s="157">
        <v>1200488.1399999999</v>
      </c>
    </row>
    <row r="73" spans="1:11" outlineLevel="1">
      <c r="A73" s="169">
        <f>A72+0.0001</f>
        <v>1.0501</v>
      </c>
      <c r="B73" s="146" t="s">
        <v>92</v>
      </c>
      <c r="C73" s="36"/>
      <c r="D73" s="37"/>
      <c r="E73" s="75"/>
      <c r="F73" s="80"/>
      <c r="G73" s="160" t="s">
        <v>27</v>
      </c>
      <c r="H73" s="160"/>
      <c r="I73" s="150"/>
      <c r="J73" s="73"/>
      <c r="K73" s="155"/>
    </row>
    <row r="74" spans="1:11" outlineLevel="2">
      <c r="A74" s="168">
        <f t="shared" ref="A74:A81" si="4">A73+0.000001</f>
        <v>1.050101</v>
      </c>
      <c r="B74" s="147" t="s">
        <v>93</v>
      </c>
      <c r="C74" s="153" t="s">
        <v>39</v>
      </c>
      <c r="D74" s="37">
        <v>11</v>
      </c>
      <c r="E74" s="75">
        <v>0</v>
      </c>
      <c r="F74" s="88">
        <v>2218</v>
      </c>
      <c r="G74" s="251">
        <v>8317.5</v>
      </c>
      <c r="H74" s="251">
        <f t="shared" ref="H74:H80" si="5">+ROUND(D74*E74,2)</f>
        <v>0</v>
      </c>
      <c r="I74" s="252">
        <f t="shared" ref="I74:I80" si="6">+ROUND(D74*F74,2)</f>
        <v>24398</v>
      </c>
      <c r="J74" s="73">
        <v>91492.5</v>
      </c>
      <c r="K74" s="155"/>
    </row>
    <row r="75" spans="1:11" outlineLevel="2">
      <c r="A75" s="168">
        <f t="shared" si="4"/>
        <v>1.0501019999999999</v>
      </c>
      <c r="B75" s="136" t="s">
        <v>94</v>
      </c>
      <c r="C75" s="36" t="s">
        <v>39</v>
      </c>
      <c r="D75" s="37">
        <v>11</v>
      </c>
      <c r="E75" s="75">
        <v>11369.279999999999</v>
      </c>
      <c r="F75" s="80"/>
      <c r="G75" s="160">
        <v>11369.279999999999</v>
      </c>
      <c r="H75" s="160">
        <f t="shared" si="5"/>
        <v>125062.08</v>
      </c>
      <c r="I75" s="150">
        <f t="shared" si="6"/>
        <v>0</v>
      </c>
      <c r="J75" s="73">
        <v>125062.08</v>
      </c>
      <c r="K75" s="155"/>
    </row>
    <row r="76" spans="1:11" outlineLevel="2">
      <c r="A76" s="168">
        <f t="shared" si="4"/>
        <v>1.0501029999999998</v>
      </c>
      <c r="B76" s="136" t="s">
        <v>95</v>
      </c>
      <c r="C76" s="36" t="s">
        <v>29</v>
      </c>
      <c r="D76" s="37">
        <v>1</v>
      </c>
      <c r="E76" s="75">
        <v>22692.38</v>
      </c>
      <c r="F76" s="88">
        <v>7563.44</v>
      </c>
      <c r="G76" s="251">
        <v>51055.28</v>
      </c>
      <c r="H76" s="251">
        <f t="shared" si="5"/>
        <v>22692.38</v>
      </c>
      <c r="I76" s="252">
        <f t="shared" si="6"/>
        <v>7563.44</v>
      </c>
      <c r="J76" s="73">
        <v>51055.28</v>
      </c>
      <c r="K76" s="155"/>
    </row>
    <row r="77" spans="1:11" outlineLevel="2">
      <c r="A77" s="168">
        <f t="shared" si="4"/>
        <v>1.0501039999999997</v>
      </c>
      <c r="B77" s="147" t="s">
        <v>96</v>
      </c>
      <c r="C77" s="153" t="s">
        <v>29</v>
      </c>
      <c r="D77" s="37">
        <v>1</v>
      </c>
      <c r="E77" s="75">
        <v>0</v>
      </c>
      <c r="F77" s="88">
        <v>7775</v>
      </c>
      <c r="G77" s="160">
        <v>29156.25</v>
      </c>
      <c r="H77" s="160">
        <f t="shared" si="5"/>
        <v>0</v>
      </c>
      <c r="I77" s="150">
        <f t="shared" si="6"/>
        <v>7775</v>
      </c>
      <c r="J77" s="73">
        <v>29156.25</v>
      </c>
      <c r="K77" s="155"/>
    </row>
    <row r="78" spans="1:11" outlineLevel="2">
      <c r="A78" s="168">
        <f t="shared" si="4"/>
        <v>1.0501049999999996</v>
      </c>
      <c r="B78" s="147" t="s">
        <v>97</v>
      </c>
      <c r="C78" s="153" t="s">
        <v>29</v>
      </c>
      <c r="D78" s="37">
        <v>1</v>
      </c>
      <c r="E78" s="75">
        <v>0</v>
      </c>
      <c r="F78" s="88">
        <v>7250</v>
      </c>
      <c r="G78" s="160">
        <v>27187.5</v>
      </c>
      <c r="H78" s="160">
        <f t="shared" si="5"/>
        <v>0</v>
      </c>
      <c r="I78" s="150">
        <f t="shared" si="6"/>
        <v>7250</v>
      </c>
      <c r="J78" s="73">
        <v>27187.5</v>
      </c>
      <c r="K78" s="155"/>
    </row>
    <row r="79" spans="1:11" outlineLevel="2">
      <c r="A79" s="168">
        <f t="shared" si="4"/>
        <v>1.0501059999999995</v>
      </c>
      <c r="B79" s="147" t="s">
        <v>98</v>
      </c>
      <c r="C79" s="153" t="s">
        <v>29</v>
      </c>
      <c r="D79" s="37">
        <v>1</v>
      </c>
      <c r="E79" s="75">
        <v>0</v>
      </c>
      <c r="F79" s="88">
        <v>18200</v>
      </c>
      <c r="G79" s="160">
        <v>68250</v>
      </c>
      <c r="H79" s="160">
        <f t="shared" si="5"/>
        <v>0</v>
      </c>
      <c r="I79" s="150">
        <f t="shared" si="6"/>
        <v>18200</v>
      </c>
      <c r="J79" s="73">
        <v>68250</v>
      </c>
      <c r="K79" s="155"/>
    </row>
    <row r="80" spans="1:11" outlineLevel="2">
      <c r="A80" s="168">
        <f t="shared" si="4"/>
        <v>1.0501069999999995</v>
      </c>
      <c r="B80" s="147" t="s">
        <v>99</v>
      </c>
      <c r="C80" s="153" t="s">
        <v>29</v>
      </c>
      <c r="D80" s="37">
        <v>1</v>
      </c>
      <c r="E80" s="75">
        <v>0</v>
      </c>
      <c r="F80" s="88">
        <v>14350</v>
      </c>
      <c r="G80" s="160">
        <v>53812.5</v>
      </c>
      <c r="H80" s="160">
        <f t="shared" si="5"/>
        <v>0</v>
      </c>
      <c r="I80" s="150">
        <f t="shared" si="6"/>
        <v>14350</v>
      </c>
      <c r="J80" s="73">
        <v>53812.5</v>
      </c>
      <c r="K80" s="155"/>
    </row>
    <row r="81" spans="1:11" outlineLevel="2">
      <c r="A81" s="168">
        <f t="shared" si="4"/>
        <v>1.0501079999999994</v>
      </c>
      <c r="B81" s="408" t="s">
        <v>100</v>
      </c>
      <c r="C81" s="153" t="s">
        <v>39</v>
      </c>
      <c r="D81" s="37">
        <v>11</v>
      </c>
      <c r="E81" s="75">
        <v>0</v>
      </c>
      <c r="F81" s="88">
        <v>6425</v>
      </c>
      <c r="G81" s="251">
        <v>24093.75</v>
      </c>
      <c r="H81" s="251">
        <f>+ROUND(D81*E81,2)</f>
        <v>0</v>
      </c>
      <c r="I81" s="252">
        <f>+ROUND(D81*F81,2)</f>
        <v>70675</v>
      </c>
      <c r="J81" s="73">
        <v>265031.25</v>
      </c>
      <c r="K81" s="155"/>
    </row>
    <row r="82" spans="1:11" outlineLevel="1">
      <c r="A82" s="169">
        <f>A73+0.0001</f>
        <v>1.0502</v>
      </c>
      <c r="B82" s="148" t="s">
        <v>101</v>
      </c>
      <c r="C82" s="36"/>
      <c r="D82" s="37"/>
      <c r="E82" s="172"/>
      <c r="F82" s="80"/>
      <c r="G82" s="160" t="s">
        <v>27</v>
      </c>
      <c r="H82" s="160">
        <f t="shared" ref="H82:H131" si="7">+ROUND(D82*E82,2)</f>
        <v>0</v>
      </c>
      <c r="I82" s="150">
        <f t="shared" ref="I82:I131" si="8">+ROUND(D82*F82,2)</f>
        <v>0</v>
      </c>
      <c r="J82" s="73">
        <v>0</v>
      </c>
      <c r="K82" s="155"/>
    </row>
    <row r="83" spans="1:11" outlineLevel="2">
      <c r="A83" s="168">
        <f t="shared" ref="A83:A101" si="9">A82+0.000001</f>
        <v>1.0502009999999999</v>
      </c>
      <c r="B83" s="136" t="s">
        <v>102</v>
      </c>
      <c r="C83" s="36" t="s">
        <v>39</v>
      </c>
      <c r="D83" s="37">
        <v>10</v>
      </c>
      <c r="E83" s="75">
        <v>8900</v>
      </c>
      <c r="F83" s="88"/>
      <c r="G83" s="160">
        <v>8900</v>
      </c>
      <c r="H83" s="160">
        <f t="shared" si="7"/>
        <v>89000</v>
      </c>
      <c r="I83" s="150">
        <f t="shared" si="8"/>
        <v>0</v>
      </c>
      <c r="J83" s="73">
        <v>89000</v>
      </c>
      <c r="K83" s="155"/>
    </row>
    <row r="84" spans="1:11" outlineLevel="2">
      <c r="A84" s="168">
        <f t="shared" si="9"/>
        <v>1.0502019999999999</v>
      </c>
      <c r="B84" s="136" t="s">
        <v>103</v>
      </c>
      <c r="C84" s="36" t="s">
        <v>39</v>
      </c>
      <c r="D84" s="37">
        <v>10</v>
      </c>
      <c r="E84" s="75">
        <v>0</v>
      </c>
      <c r="F84" s="88"/>
      <c r="G84" s="160">
        <v>0</v>
      </c>
      <c r="H84" s="160">
        <f t="shared" si="7"/>
        <v>0</v>
      </c>
      <c r="I84" s="150">
        <f t="shared" si="8"/>
        <v>0</v>
      </c>
      <c r="J84" s="73">
        <v>0</v>
      </c>
      <c r="K84" s="155"/>
    </row>
    <row r="85" spans="1:11" outlineLevel="2">
      <c r="A85" s="168">
        <f t="shared" si="9"/>
        <v>1.0502029999999998</v>
      </c>
      <c r="B85" s="38" t="s">
        <v>104</v>
      </c>
      <c r="C85" s="36" t="s">
        <v>39</v>
      </c>
      <c r="D85" s="37">
        <v>10</v>
      </c>
      <c r="E85" s="75">
        <v>0</v>
      </c>
      <c r="F85" s="88"/>
      <c r="G85" s="160">
        <v>0</v>
      </c>
      <c r="H85" s="160">
        <f t="shared" si="7"/>
        <v>0</v>
      </c>
      <c r="I85" s="150">
        <f t="shared" si="8"/>
        <v>0</v>
      </c>
      <c r="J85" s="73">
        <v>0</v>
      </c>
      <c r="K85" s="155"/>
    </row>
    <row r="86" spans="1:11" outlineLevel="2">
      <c r="A86" s="168">
        <f t="shared" si="9"/>
        <v>1.0502039999999997</v>
      </c>
      <c r="B86" s="136" t="s">
        <v>105</v>
      </c>
      <c r="C86" s="36" t="s">
        <v>39</v>
      </c>
      <c r="D86" s="37">
        <v>10</v>
      </c>
      <c r="E86" s="75">
        <v>5684.6399999999994</v>
      </c>
      <c r="F86" s="88"/>
      <c r="G86" s="160">
        <v>5684.6399999999994</v>
      </c>
      <c r="H86" s="160">
        <f t="shared" si="7"/>
        <v>56846.400000000001</v>
      </c>
      <c r="I86" s="150">
        <f t="shared" si="8"/>
        <v>0</v>
      </c>
      <c r="J86" s="73">
        <v>56846.400000000001</v>
      </c>
      <c r="K86" s="155"/>
    </row>
    <row r="87" spans="1:11" outlineLevel="2">
      <c r="A87" s="168">
        <f t="shared" si="9"/>
        <v>1.0502049999999996</v>
      </c>
      <c r="B87" s="136" t="s">
        <v>106</v>
      </c>
      <c r="C87" s="36" t="s">
        <v>29</v>
      </c>
      <c r="D87" s="37">
        <v>1</v>
      </c>
      <c r="E87" s="75">
        <v>34700</v>
      </c>
      <c r="F87" s="88"/>
      <c r="G87" s="160">
        <v>34700</v>
      </c>
      <c r="H87" s="160">
        <f t="shared" si="7"/>
        <v>34700</v>
      </c>
      <c r="I87" s="150">
        <f t="shared" si="8"/>
        <v>0</v>
      </c>
      <c r="J87" s="73">
        <v>34700</v>
      </c>
      <c r="K87" s="155"/>
    </row>
    <row r="88" spans="1:11" outlineLevel="2">
      <c r="A88" s="168">
        <f t="shared" si="9"/>
        <v>1.0502059999999995</v>
      </c>
      <c r="B88" s="136" t="s">
        <v>107</v>
      </c>
      <c r="C88" s="36" t="s">
        <v>29</v>
      </c>
      <c r="D88" s="37">
        <v>1</v>
      </c>
      <c r="E88" s="75">
        <v>15500</v>
      </c>
      <c r="F88" s="88"/>
      <c r="G88" s="160">
        <v>15500</v>
      </c>
      <c r="H88" s="160">
        <f t="shared" si="7"/>
        <v>15500</v>
      </c>
      <c r="I88" s="150">
        <f t="shared" si="8"/>
        <v>0</v>
      </c>
      <c r="J88" s="73">
        <v>15500</v>
      </c>
      <c r="K88" s="155"/>
    </row>
    <row r="89" spans="1:11" outlineLevel="2">
      <c r="A89" s="168">
        <f t="shared" si="9"/>
        <v>1.0502069999999994</v>
      </c>
      <c r="B89" s="408" t="s">
        <v>108</v>
      </c>
      <c r="C89" s="36" t="s">
        <v>29</v>
      </c>
      <c r="D89" s="37">
        <v>1</v>
      </c>
      <c r="E89" s="75">
        <v>25500</v>
      </c>
      <c r="F89" s="88"/>
      <c r="G89" s="160">
        <v>25500</v>
      </c>
      <c r="H89" s="160">
        <f t="shared" si="7"/>
        <v>25500</v>
      </c>
      <c r="I89" s="150">
        <f t="shared" ref="I89" si="10">+ROUND(D89*F89,2)</f>
        <v>0</v>
      </c>
      <c r="J89" s="73">
        <v>25500</v>
      </c>
      <c r="K89" s="155"/>
    </row>
    <row r="90" spans="1:11" outlineLevel="1">
      <c r="A90" s="169">
        <f>A82+0.0001</f>
        <v>1.0503</v>
      </c>
      <c r="B90" s="148" t="s">
        <v>109</v>
      </c>
      <c r="C90" s="36"/>
      <c r="D90" s="37"/>
      <c r="E90" s="75"/>
      <c r="F90" s="80"/>
      <c r="G90" s="160" t="s">
        <v>27</v>
      </c>
      <c r="H90" s="160">
        <f t="shared" si="7"/>
        <v>0</v>
      </c>
      <c r="I90" s="150">
        <f t="shared" si="8"/>
        <v>0</v>
      </c>
      <c r="J90" s="73">
        <v>0</v>
      </c>
      <c r="K90" s="155"/>
    </row>
    <row r="91" spans="1:11" outlineLevel="2">
      <c r="A91" s="168">
        <f>A90+0.000001</f>
        <v>1.0503009999999999</v>
      </c>
      <c r="B91" s="136" t="s">
        <v>110</v>
      </c>
      <c r="C91" s="36" t="s">
        <v>29</v>
      </c>
      <c r="D91" s="37">
        <v>1</v>
      </c>
      <c r="E91" s="172">
        <v>3967.6</v>
      </c>
      <c r="F91" s="80"/>
      <c r="G91" s="160">
        <v>3967.6</v>
      </c>
      <c r="H91" s="160">
        <f t="shared" si="7"/>
        <v>3967.6</v>
      </c>
      <c r="I91" s="150">
        <f t="shared" si="8"/>
        <v>0</v>
      </c>
      <c r="J91" s="73">
        <v>3967.6</v>
      </c>
      <c r="K91" s="155"/>
    </row>
    <row r="92" spans="1:11" outlineLevel="2">
      <c r="A92" s="168">
        <f>A91+0.000001</f>
        <v>1.0503019999999998</v>
      </c>
      <c r="B92" s="136" t="s">
        <v>111</v>
      </c>
      <c r="C92" s="34" t="s">
        <v>36</v>
      </c>
      <c r="D92" s="37">
        <v>2</v>
      </c>
      <c r="E92" s="75">
        <v>4940</v>
      </c>
      <c r="F92" s="80"/>
      <c r="G92" s="160">
        <v>4940</v>
      </c>
      <c r="H92" s="160">
        <f t="shared" si="7"/>
        <v>9880</v>
      </c>
      <c r="I92" s="150">
        <f t="shared" si="8"/>
        <v>0</v>
      </c>
      <c r="J92" s="73">
        <v>9880</v>
      </c>
      <c r="K92" s="155"/>
    </row>
    <row r="93" spans="1:11" outlineLevel="2">
      <c r="A93" s="168">
        <f>A92+0.000001</f>
        <v>1.0503029999999998</v>
      </c>
      <c r="B93" s="136" t="s">
        <v>112</v>
      </c>
      <c r="C93" s="34" t="s">
        <v>36</v>
      </c>
      <c r="D93" s="37">
        <v>2</v>
      </c>
      <c r="E93" s="75"/>
      <c r="F93" s="80">
        <v>459</v>
      </c>
      <c r="G93" s="160">
        <v>1721.25</v>
      </c>
      <c r="H93" s="160">
        <f t="shared" si="7"/>
        <v>0</v>
      </c>
      <c r="I93" s="150">
        <f t="shared" si="8"/>
        <v>918</v>
      </c>
      <c r="J93" s="73">
        <v>3442.5</v>
      </c>
      <c r="K93" s="155"/>
    </row>
    <row r="94" spans="1:11" outlineLevel="2">
      <c r="A94" s="168">
        <f>A93+0.000001</f>
        <v>1.0503039999999997</v>
      </c>
      <c r="B94" s="38" t="s">
        <v>113</v>
      </c>
      <c r="C94" s="36" t="s">
        <v>36</v>
      </c>
      <c r="D94" s="37">
        <v>24</v>
      </c>
      <c r="E94" s="172">
        <v>211.56</v>
      </c>
      <c r="F94" s="80"/>
      <c r="G94" s="160">
        <v>211.56</v>
      </c>
      <c r="H94" s="160">
        <f t="shared" si="7"/>
        <v>5077.4399999999996</v>
      </c>
      <c r="I94" s="150">
        <f t="shared" si="8"/>
        <v>0</v>
      </c>
      <c r="J94" s="73">
        <v>5077.4399999999996</v>
      </c>
      <c r="K94" s="155"/>
    </row>
    <row r="95" spans="1:11" ht="22.5" outlineLevel="2">
      <c r="A95" s="191">
        <f>A94+0.000001</f>
        <v>1.0503049999999996</v>
      </c>
      <c r="B95" s="183" t="s">
        <v>114</v>
      </c>
      <c r="C95" s="184" t="s">
        <v>115</v>
      </c>
      <c r="D95" s="144">
        <v>0</v>
      </c>
      <c r="E95" s="193">
        <v>3450</v>
      </c>
      <c r="F95" s="185"/>
      <c r="G95" s="186" t="s">
        <v>27</v>
      </c>
      <c r="H95" s="160">
        <f t="shared" si="7"/>
        <v>0</v>
      </c>
      <c r="I95" s="150">
        <f t="shared" si="8"/>
        <v>0</v>
      </c>
      <c r="J95" s="73">
        <v>0</v>
      </c>
      <c r="K95" s="187"/>
    </row>
    <row r="96" spans="1:11" outlineLevel="1">
      <c r="A96" s="169">
        <f>A90+0.0001</f>
        <v>1.0504</v>
      </c>
      <c r="B96" s="148" t="s">
        <v>116</v>
      </c>
      <c r="C96" s="36"/>
      <c r="D96" s="37"/>
      <c r="E96" s="75"/>
      <c r="F96" s="80"/>
      <c r="G96" s="160" t="s">
        <v>27</v>
      </c>
      <c r="H96" s="160">
        <f t="shared" si="7"/>
        <v>0</v>
      </c>
      <c r="I96" s="150">
        <f t="shared" si="8"/>
        <v>0</v>
      </c>
      <c r="J96" s="73">
        <v>0</v>
      </c>
      <c r="K96" s="155"/>
    </row>
    <row r="97" spans="1:11" outlineLevel="2">
      <c r="A97" s="168">
        <f>A96+0.000001</f>
        <v>1.0504009999999999</v>
      </c>
      <c r="B97" s="136" t="s">
        <v>117</v>
      </c>
      <c r="C97" s="36" t="s">
        <v>39</v>
      </c>
      <c r="D97" s="37">
        <v>10</v>
      </c>
      <c r="E97" s="75">
        <v>2016.56</v>
      </c>
      <c r="F97" s="80"/>
      <c r="G97" s="160">
        <v>2016.56</v>
      </c>
      <c r="H97" s="160">
        <f t="shared" si="7"/>
        <v>20165.599999999999</v>
      </c>
      <c r="I97" s="150">
        <f t="shared" si="8"/>
        <v>0</v>
      </c>
      <c r="J97" s="73">
        <v>20165.599999999999</v>
      </c>
      <c r="K97" s="155"/>
    </row>
    <row r="98" spans="1:11" outlineLevel="2">
      <c r="A98" s="168">
        <f>A97+0.000001</f>
        <v>1.0504019999999998</v>
      </c>
      <c r="B98" s="136" t="s">
        <v>118</v>
      </c>
      <c r="C98" s="36" t="s">
        <v>39</v>
      </c>
      <c r="D98" s="401">
        <v>3</v>
      </c>
      <c r="E98" s="402">
        <v>2016.56</v>
      </c>
      <c r="F98" s="403"/>
      <c r="G98" s="404">
        <v>2016.56</v>
      </c>
      <c r="H98" s="160">
        <f t="shared" si="7"/>
        <v>6049.68</v>
      </c>
      <c r="I98" s="150">
        <f t="shared" si="8"/>
        <v>0</v>
      </c>
      <c r="J98" s="73">
        <v>6049.68</v>
      </c>
      <c r="K98" s="155"/>
    </row>
    <row r="99" spans="1:11" outlineLevel="2">
      <c r="A99" s="168">
        <f>A98+0.000001</f>
        <v>1.0504029999999998</v>
      </c>
      <c r="B99" s="136" t="s">
        <v>119</v>
      </c>
      <c r="C99" s="36" t="s">
        <v>39</v>
      </c>
      <c r="D99" s="37">
        <v>10</v>
      </c>
      <c r="E99" s="75">
        <v>4033.12</v>
      </c>
      <c r="F99" s="80"/>
      <c r="G99" s="160">
        <v>4033.12</v>
      </c>
      <c r="H99" s="160">
        <f t="shared" si="7"/>
        <v>40331.199999999997</v>
      </c>
      <c r="I99" s="150">
        <f t="shared" si="8"/>
        <v>0</v>
      </c>
      <c r="J99" s="73">
        <v>40331.199999999997</v>
      </c>
      <c r="K99" s="155"/>
    </row>
    <row r="100" spans="1:11" outlineLevel="2">
      <c r="A100" s="168">
        <f>A99+0.000001</f>
        <v>1.0504039999999997</v>
      </c>
      <c r="B100" s="38" t="s">
        <v>120</v>
      </c>
      <c r="C100" s="36" t="s">
        <v>39</v>
      </c>
      <c r="D100" s="37">
        <v>14.5</v>
      </c>
      <c r="E100" s="75">
        <v>6049.68</v>
      </c>
      <c r="F100" s="80"/>
      <c r="G100" s="160">
        <v>6049.68</v>
      </c>
      <c r="H100" s="160">
        <f t="shared" si="7"/>
        <v>87720.36</v>
      </c>
      <c r="I100" s="150">
        <f t="shared" si="8"/>
        <v>0</v>
      </c>
      <c r="J100" s="73">
        <v>87720.36</v>
      </c>
      <c r="K100" s="155"/>
    </row>
    <row r="101" spans="1:11" outlineLevel="2">
      <c r="A101" s="168">
        <f t="shared" si="9"/>
        <v>1.0504049999999996</v>
      </c>
      <c r="B101" s="190" t="s">
        <v>121</v>
      </c>
      <c r="C101" s="36" t="s">
        <v>39</v>
      </c>
      <c r="D101" s="37">
        <v>10</v>
      </c>
      <c r="E101" s="75">
        <v>9126</v>
      </c>
      <c r="F101" s="80"/>
      <c r="G101" s="160">
        <v>9126</v>
      </c>
      <c r="H101" s="160">
        <f t="shared" si="7"/>
        <v>91260</v>
      </c>
      <c r="I101" s="150">
        <f t="shared" si="8"/>
        <v>0</v>
      </c>
      <c r="J101" s="73">
        <v>91260</v>
      </c>
      <c r="K101" s="155"/>
    </row>
    <row r="102" spans="1:11">
      <c r="A102" s="166">
        <f>A72+0.01</f>
        <v>1.06</v>
      </c>
      <c r="B102" s="145" t="s">
        <v>122</v>
      </c>
      <c r="C102" s="140"/>
      <c r="D102" s="141"/>
      <c r="E102" s="173"/>
      <c r="F102" s="80">
        <v>0</v>
      </c>
      <c r="G102" s="160" t="s">
        <v>27</v>
      </c>
      <c r="H102" s="160"/>
      <c r="I102" s="150"/>
      <c r="J102" s="73"/>
      <c r="K102" s="157">
        <v>541260.96</v>
      </c>
    </row>
    <row r="103" spans="1:11" outlineLevel="1">
      <c r="A103" s="189">
        <f>A102+0.0001</f>
        <v>1.0601</v>
      </c>
      <c r="B103" s="188" t="s">
        <v>123</v>
      </c>
      <c r="C103" s="140"/>
      <c r="D103" s="141"/>
      <c r="E103" s="173"/>
      <c r="F103" s="80"/>
      <c r="G103" s="160" t="s">
        <v>27</v>
      </c>
      <c r="H103" s="160"/>
      <c r="I103" s="150"/>
      <c r="J103" s="73"/>
      <c r="K103" s="157"/>
    </row>
    <row r="104" spans="1:11" outlineLevel="2">
      <c r="A104" s="168">
        <f>A103+0.000001</f>
        <v>1.060101</v>
      </c>
      <c r="B104" s="136" t="s">
        <v>124</v>
      </c>
      <c r="C104" s="36" t="s">
        <v>29</v>
      </c>
      <c r="D104" s="37">
        <v>1</v>
      </c>
      <c r="E104" s="75">
        <v>14063.6</v>
      </c>
      <c r="F104" s="88"/>
      <c r="G104" s="251">
        <v>14063.6</v>
      </c>
      <c r="H104" s="251">
        <f t="shared" si="7"/>
        <v>14063.6</v>
      </c>
      <c r="I104" s="252">
        <f t="shared" si="8"/>
        <v>0</v>
      </c>
      <c r="J104" s="73">
        <v>14063.6</v>
      </c>
      <c r="K104" s="155"/>
    </row>
    <row r="105" spans="1:11" outlineLevel="2">
      <c r="A105" s="168">
        <f t="shared" ref="A105:A113" si="11">A104+0.000001</f>
        <v>1.0601019999999999</v>
      </c>
      <c r="B105" s="38" t="s">
        <v>125</v>
      </c>
      <c r="C105" s="36" t="s">
        <v>29</v>
      </c>
      <c r="D105" s="37">
        <v>1</v>
      </c>
      <c r="E105" s="75">
        <v>57535.92</v>
      </c>
      <c r="F105" s="88"/>
      <c r="G105" s="251">
        <v>57535.92</v>
      </c>
      <c r="H105" s="251">
        <f t="shared" si="7"/>
        <v>57535.92</v>
      </c>
      <c r="I105" s="252">
        <f t="shared" si="8"/>
        <v>0</v>
      </c>
      <c r="J105" s="73">
        <v>57535.92</v>
      </c>
      <c r="K105" s="155"/>
    </row>
    <row r="106" spans="1:11" outlineLevel="2">
      <c r="A106" s="168">
        <f t="shared" si="11"/>
        <v>1.0601029999999998</v>
      </c>
      <c r="B106" s="38" t="s">
        <v>126</v>
      </c>
      <c r="C106" s="36" t="s">
        <v>39</v>
      </c>
      <c r="D106" s="37">
        <v>19</v>
      </c>
      <c r="E106" s="75">
        <v>4455.3599999999997</v>
      </c>
      <c r="F106" s="88"/>
      <c r="G106" s="251">
        <v>4455.3599999999997</v>
      </c>
      <c r="H106" s="251">
        <f t="shared" si="7"/>
        <v>84651.839999999997</v>
      </c>
      <c r="I106" s="252">
        <f t="shared" si="8"/>
        <v>0</v>
      </c>
      <c r="J106" s="73">
        <v>84651.839999999997</v>
      </c>
      <c r="K106" s="155"/>
    </row>
    <row r="107" spans="1:11" outlineLevel="2">
      <c r="A107" s="191">
        <f t="shared" si="11"/>
        <v>1.0601039999999997</v>
      </c>
      <c r="B107" s="183" t="s">
        <v>127</v>
      </c>
      <c r="C107" s="184" t="s">
        <v>29</v>
      </c>
      <c r="D107" s="144">
        <v>0</v>
      </c>
      <c r="E107" s="192">
        <v>950</v>
      </c>
      <c r="F107" s="185"/>
      <c r="G107" s="186" t="s">
        <v>27</v>
      </c>
      <c r="H107" s="186">
        <f t="shared" si="7"/>
        <v>0</v>
      </c>
      <c r="I107" s="415">
        <f t="shared" si="8"/>
        <v>0</v>
      </c>
      <c r="J107" s="231">
        <v>0</v>
      </c>
      <c r="K107" s="187"/>
    </row>
    <row r="108" spans="1:11" outlineLevel="2">
      <c r="A108" s="168">
        <f t="shared" si="11"/>
        <v>1.0601049999999996</v>
      </c>
      <c r="B108" s="136" t="s">
        <v>128</v>
      </c>
      <c r="C108" s="34" t="s">
        <v>29</v>
      </c>
      <c r="D108" s="35">
        <v>2</v>
      </c>
      <c r="E108" s="75">
        <v>1300</v>
      </c>
      <c r="F108" s="80"/>
      <c r="G108" s="160">
        <v>1300</v>
      </c>
      <c r="H108" s="160">
        <f t="shared" si="7"/>
        <v>2600</v>
      </c>
      <c r="I108" s="150">
        <f t="shared" si="8"/>
        <v>0</v>
      </c>
      <c r="J108" s="73">
        <v>2600</v>
      </c>
      <c r="K108" s="155"/>
    </row>
    <row r="109" spans="1:11" outlineLevel="2">
      <c r="A109" s="168">
        <f t="shared" si="11"/>
        <v>1.0601059999999995</v>
      </c>
      <c r="B109" s="195" t="s">
        <v>129</v>
      </c>
      <c r="C109" s="184" t="s">
        <v>29</v>
      </c>
      <c r="D109" s="144">
        <v>0</v>
      </c>
      <c r="E109" s="192">
        <v>13000</v>
      </c>
      <c r="F109" s="185"/>
      <c r="G109" s="186" t="s">
        <v>27</v>
      </c>
      <c r="H109" s="160">
        <f t="shared" si="7"/>
        <v>0</v>
      </c>
      <c r="I109" s="150">
        <f t="shared" si="8"/>
        <v>0</v>
      </c>
      <c r="J109" s="73">
        <v>0</v>
      </c>
      <c r="K109" s="187"/>
    </row>
    <row r="110" spans="1:11" outlineLevel="2">
      <c r="A110" s="168">
        <f t="shared" si="11"/>
        <v>1.0601069999999995</v>
      </c>
      <c r="B110" s="136" t="s">
        <v>130</v>
      </c>
      <c r="C110" s="36" t="s">
        <v>39</v>
      </c>
      <c r="D110" s="37">
        <v>22</v>
      </c>
      <c r="E110" s="75">
        <v>1500</v>
      </c>
      <c r="F110" s="88"/>
      <c r="G110" s="251">
        <v>1500</v>
      </c>
      <c r="H110" s="251">
        <f t="shared" si="7"/>
        <v>33000</v>
      </c>
      <c r="I110" s="252">
        <f t="shared" si="8"/>
        <v>0</v>
      </c>
      <c r="J110" s="73">
        <v>33000</v>
      </c>
      <c r="K110" s="155"/>
    </row>
    <row r="111" spans="1:11" outlineLevel="2">
      <c r="A111" s="168">
        <f t="shared" si="11"/>
        <v>1.0601079999999994</v>
      </c>
      <c r="B111" s="136" t="s">
        <v>131</v>
      </c>
      <c r="C111" s="36" t="s">
        <v>74</v>
      </c>
      <c r="D111" s="37">
        <v>9</v>
      </c>
      <c r="E111" s="75">
        <v>340</v>
      </c>
      <c r="F111" s="88"/>
      <c r="G111" s="251">
        <v>340</v>
      </c>
      <c r="H111" s="251">
        <f t="shared" si="7"/>
        <v>3060</v>
      </c>
      <c r="I111" s="252">
        <f t="shared" si="8"/>
        <v>0</v>
      </c>
      <c r="J111" s="73">
        <v>3060</v>
      </c>
      <c r="K111" s="155"/>
    </row>
    <row r="112" spans="1:11" outlineLevel="2">
      <c r="A112" s="168">
        <f t="shared" si="11"/>
        <v>1.0601089999999993</v>
      </c>
      <c r="B112" s="139" t="s">
        <v>132</v>
      </c>
      <c r="C112" s="36" t="s">
        <v>39</v>
      </c>
      <c r="D112" s="37">
        <v>5</v>
      </c>
      <c r="E112" s="75">
        <v>900</v>
      </c>
      <c r="F112" s="88"/>
      <c r="G112" s="251">
        <v>900</v>
      </c>
      <c r="H112" s="251">
        <f t="shared" si="7"/>
        <v>4500</v>
      </c>
      <c r="I112" s="252">
        <f t="shared" si="8"/>
        <v>0</v>
      </c>
      <c r="J112" s="73">
        <v>4500</v>
      </c>
      <c r="K112" s="155"/>
    </row>
    <row r="113" spans="1:11" outlineLevel="2">
      <c r="A113" s="168">
        <f t="shared" si="11"/>
        <v>1.0601099999999992</v>
      </c>
      <c r="B113" s="139" t="s">
        <v>133</v>
      </c>
      <c r="C113" s="36" t="s">
        <v>39</v>
      </c>
      <c r="D113" s="37">
        <v>17</v>
      </c>
      <c r="E113" s="75">
        <v>4000</v>
      </c>
      <c r="F113" s="88"/>
      <c r="G113" s="251">
        <v>4000</v>
      </c>
      <c r="H113" s="251">
        <f t="shared" si="7"/>
        <v>68000</v>
      </c>
      <c r="I113" s="252">
        <f t="shared" si="8"/>
        <v>0</v>
      </c>
      <c r="J113" s="73">
        <v>68000</v>
      </c>
      <c r="K113" s="155"/>
    </row>
    <row r="114" spans="1:11" outlineLevel="1">
      <c r="A114" s="169">
        <f>A103+0.0001</f>
        <v>1.0602</v>
      </c>
      <c r="B114" s="628" t="s">
        <v>134</v>
      </c>
      <c r="C114" s="36"/>
      <c r="D114" s="37"/>
      <c r="E114" s="75"/>
      <c r="F114" s="88"/>
      <c r="G114" s="251" t="s">
        <v>27</v>
      </c>
      <c r="H114" s="251">
        <f t="shared" si="7"/>
        <v>0</v>
      </c>
      <c r="I114" s="252">
        <f t="shared" si="8"/>
        <v>0</v>
      </c>
      <c r="J114" s="73">
        <v>0</v>
      </c>
      <c r="K114" s="155"/>
    </row>
    <row r="115" spans="1:11" outlineLevel="2">
      <c r="A115" s="168">
        <f>A114+0.000001</f>
        <v>1.0602009999999999</v>
      </c>
      <c r="B115" s="136" t="s">
        <v>135</v>
      </c>
      <c r="C115" s="36" t="s">
        <v>136</v>
      </c>
      <c r="D115" s="37">
        <v>1</v>
      </c>
      <c r="E115" s="172">
        <v>1000</v>
      </c>
      <c r="F115" s="88"/>
      <c r="G115" s="251">
        <v>1000</v>
      </c>
      <c r="H115" s="251">
        <f t="shared" si="7"/>
        <v>1000</v>
      </c>
      <c r="I115" s="252">
        <f t="shared" si="8"/>
        <v>0</v>
      </c>
      <c r="J115" s="73">
        <v>1000</v>
      </c>
      <c r="K115" s="155"/>
    </row>
    <row r="116" spans="1:11" outlineLevel="2">
      <c r="A116" s="168">
        <f>A115+0.000001</f>
        <v>1.0602019999999999</v>
      </c>
      <c r="B116" s="136" t="s">
        <v>137</v>
      </c>
      <c r="C116" s="36" t="s">
        <v>39</v>
      </c>
      <c r="D116" s="37">
        <v>11</v>
      </c>
      <c r="E116" s="172">
        <v>6200</v>
      </c>
      <c r="F116" s="88"/>
      <c r="G116" s="251">
        <v>6200</v>
      </c>
      <c r="H116" s="251">
        <f t="shared" si="7"/>
        <v>68200</v>
      </c>
      <c r="I116" s="252">
        <f t="shared" si="8"/>
        <v>0</v>
      </c>
      <c r="J116" s="73">
        <v>68200</v>
      </c>
      <c r="K116" s="155"/>
    </row>
    <row r="117" spans="1:11" outlineLevel="2">
      <c r="A117" s="168">
        <f>A116+0.000001</f>
        <v>1.0602029999999998</v>
      </c>
      <c r="B117" s="136" t="s">
        <v>138</v>
      </c>
      <c r="C117" s="36" t="s">
        <v>39</v>
      </c>
      <c r="D117" s="37">
        <v>0</v>
      </c>
      <c r="E117" s="172"/>
      <c r="F117" s="88"/>
      <c r="G117" s="251" t="s">
        <v>27</v>
      </c>
      <c r="H117" s="251">
        <f t="shared" si="7"/>
        <v>0</v>
      </c>
      <c r="I117" s="252">
        <f t="shared" si="8"/>
        <v>0</v>
      </c>
      <c r="J117" s="73">
        <v>0</v>
      </c>
      <c r="K117" s="155"/>
    </row>
    <row r="118" spans="1:11" outlineLevel="2">
      <c r="A118" s="168">
        <f>A117+0.000001</f>
        <v>1.0602039999999997</v>
      </c>
      <c r="B118" s="136" t="s">
        <v>139</v>
      </c>
      <c r="C118" s="36" t="s">
        <v>39</v>
      </c>
      <c r="D118" s="37">
        <v>11</v>
      </c>
      <c r="E118" s="172">
        <v>6697.6</v>
      </c>
      <c r="F118" s="88"/>
      <c r="G118" s="251">
        <v>6697.6</v>
      </c>
      <c r="H118" s="251">
        <f t="shared" si="7"/>
        <v>73673.600000000006</v>
      </c>
      <c r="I118" s="252">
        <f t="shared" si="8"/>
        <v>0</v>
      </c>
      <c r="J118" s="73">
        <v>73673.600000000006</v>
      </c>
      <c r="K118" s="155"/>
    </row>
    <row r="119" spans="1:11" outlineLevel="1">
      <c r="A119" s="169">
        <f>A114+0.0001</f>
        <v>1.0603</v>
      </c>
      <c r="B119" s="146" t="s">
        <v>140</v>
      </c>
      <c r="C119" s="36"/>
      <c r="D119" s="37"/>
      <c r="E119" s="75"/>
      <c r="F119" s="88"/>
      <c r="G119" s="251" t="s">
        <v>27</v>
      </c>
      <c r="H119" s="251">
        <f t="shared" si="7"/>
        <v>0</v>
      </c>
      <c r="I119" s="252">
        <f t="shared" si="8"/>
        <v>0</v>
      </c>
      <c r="J119" s="73">
        <v>0</v>
      </c>
      <c r="K119" s="155"/>
    </row>
    <row r="120" spans="1:11" outlineLevel="2">
      <c r="A120" s="168">
        <f>A119+0.000001</f>
        <v>1.0603009999999999</v>
      </c>
      <c r="B120" s="136" t="s">
        <v>141</v>
      </c>
      <c r="C120" s="36" t="s">
        <v>136</v>
      </c>
      <c r="D120" s="37">
        <v>2</v>
      </c>
      <c r="E120" s="172">
        <v>1000</v>
      </c>
      <c r="F120" s="88"/>
      <c r="G120" s="251">
        <v>1000</v>
      </c>
      <c r="H120" s="251">
        <f t="shared" si="7"/>
        <v>2000</v>
      </c>
      <c r="I120" s="252">
        <f t="shared" si="8"/>
        <v>0</v>
      </c>
      <c r="J120" s="73">
        <v>2000</v>
      </c>
      <c r="K120" s="155"/>
    </row>
    <row r="121" spans="1:11" outlineLevel="2">
      <c r="A121" s="168">
        <f>A120+0.000001</f>
        <v>1.0603019999999999</v>
      </c>
      <c r="B121" s="136" t="s">
        <v>142</v>
      </c>
      <c r="C121" s="36" t="s">
        <v>39</v>
      </c>
      <c r="D121" s="37">
        <v>10</v>
      </c>
      <c r="E121" s="172">
        <v>6200</v>
      </c>
      <c r="F121" s="88"/>
      <c r="G121" s="251">
        <v>6200</v>
      </c>
      <c r="H121" s="251">
        <f t="shared" si="7"/>
        <v>62000</v>
      </c>
      <c r="I121" s="252">
        <f t="shared" si="8"/>
        <v>0</v>
      </c>
      <c r="J121" s="73">
        <v>62000</v>
      </c>
      <c r="K121" s="155"/>
    </row>
    <row r="122" spans="1:11" outlineLevel="2">
      <c r="A122" s="168">
        <f>A121+0.000001</f>
        <v>1.0603029999999998</v>
      </c>
      <c r="B122" s="136" t="s">
        <v>143</v>
      </c>
      <c r="C122" s="36" t="s">
        <v>39</v>
      </c>
      <c r="D122" s="37">
        <v>10</v>
      </c>
      <c r="E122" s="172">
        <v>6697.6</v>
      </c>
      <c r="F122" s="88"/>
      <c r="G122" s="251">
        <v>6697.6</v>
      </c>
      <c r="H122" s="251">
        <f t="shared" si="7"/>
        <v>66976</v>
      </c>
      <c r="I122" s="252">
        <f t="shared" si="8"/>
        <v>0</v>
      </c>
      <c r="J122" s="73">
        <v>66976</v>
      </c>
      <c r="K122" s="155"/>
    </row>
    <row r="123" spans="1:11" outlineLevel="1">
      <c r="A123" s="169">
        <f>A119+0.0001</f>
        <v>1.0604</v>
      </c>
      <c r="B123" s="629" t="s">
        <v>144</v>
      </c>
      <c r="C123" s="36"/>
      <c r="D123" s="37"/>
      <c r="E123" s="75"/>
      <c r="F123" s="88"/>
      <c r="G123" s="251" t="s">
        <v>27</v>
      </c>
      <c r="H123" s="251">
        <f t="shared" si="7"/>
        <v>0</v>
      </c>
      <c r="I123" s="252">
        <f t="shared" si="8"/>
        <v>0</v>
      </c>
      <c r="J123" s="73">
        <v>0</v>
      </c>
      <c r="K123" s="155"/>
    </row>
    <row r="124" spans="1:11" outlineLevel="2">
      <c r="A124" s="168">
        <f>A123+0.000001</f>
        <v>1.0604009999999999</v>
      </c>
      <c r="B124" s="38" t="s">
        <v>145</v>
      </c>
      <c r="C124" s="36" t="s">
        <v>29</v>
      </c>
      <c r="D124" s="37">
        <v>0</v>
      </c>
      <c r="E124" s="172"/>
      <c r="F124" s="88"/>
      <c r="G124" s="251" t="s">
        <v>27</v>
      </c>
      <c r="H124" s="251">
        <f t="shared" si="7"/>
        <v>0</v>
      </c>
      <c r="I124" s="252">
        <f t="shared" si="8"/>
        <v>0</v>
      </c>
      <c r="J124" s="73">
        <v>0</v>
      </c>
      <c r="K124" s="155"/>
    </row>
    <row r="125" spans="1:11" outlineLevel="2">
      <c r="A125" s="168">
        <f>A124+0.000001</f>
        <v>1.0604019999999998</v>
      </c>
      <c r="B125" s="38" t="s">
        <v>146</v>
      </c>
      <c r="C125" s="36" t="s">
        <v>39</v>
      </c>
      <c r="D125" s="37">
        <v>0</v>
      </c>
      <c r="E125" s="172"/>
      <c r="F125" s="88"/>
      <c r="G125" s="251" t="s">
        <v>27</v>
      </c>
      <c r="H125" s="251">
        <f t="shared" si="7"/>
        <v>0</v>
      </c>
      <c r="I125" s="252">
        <f t="shared" si="8"/>
        <v>0</v>
      </c>
      <c r="J125" s="73">
        <v>0</v>
      </c>
      <c r="K125" s="155"/>
    </row>
    <row r="126" spans="1:11" outlineLevel="2">
      <c r="A126" s="168">
        <f>A125+0.000001</f>
        <v>1.0604029999999998</v>
      </c>
      <c r="B126" s="38" t="s">
        <v>147</v>
      </c>
      <c r="C126" s="36" t="s">
        <v>39</v>
      </c>
      <c r="D126" s="37">
        <v>0</v>
      </c>
      <c r="E126" s="172"/>
      <c r="F126" s="88"/>
      <c r="G126" s="251" t="s">
        <v>27</v>
      </c>
      <c r="H126" s="251">
        <f t="shared" si="7"/>
        <v>0</v>
      </c>
      <c r="I126" s="252">
        <f t="shared" si="8"/>
        <v>0</v>
      </c>
      <c r="J126" s="73">
        <v>0</v>
      </c>
      <c r="K126" s="155"/>
    </row>
    <row r="127" spans="1:11" outlineLevel="2">
      <c r="A127" s="168">
        <f>A126+0.000001</f>
        <v>1.0604039999999997</v>
      </c>
      <c r="B127" s="38" t="s">
        <v>148</v>
      </c>
      <c r="C127" s="36" t="s">
        <v>39</v>
      </c>
      <c r="D127" s="37">
        <v>0</v>
      </c>
      <c r="E127" s="172"/>
      <c r="F127" s="88"/>
      <c r="G127" s="251" t="s">
        <v>27</v>
      </c>
      <c r="H127" s="251">
        <f t="shared" si="7"/>
        <v>0</v>
      </c>
      <c r="I127" s="252">
        <f t="shared" si="8"/>
        <v>0</v>
      </c>
      <c r="J127" s="73">
        <v>0</v>
      </c>
      <c r="K127" s="155"/>
    </row>
    <row r="128" spans="1:11">
      <c r="A128" s="166">
        <f>A102+0.01</f>
        <v>1.07</v>
      </c>
      <c r="B128" s="145" t="s">
        <v>149</v>
      </c>
      <c r="C128" s="140"/>
      <c r="D128" s="141"/>
      <c r="E128" s="173"/>
      <c r="F128" s="88"/>
      <c r="G128" s="251"/>
      <c r="H128" s="251"/>
      <c r="I128" s="252"/>
      <c r="J128" s="73"/>
      <c r="K128" s="157">
        <v>402518.6</v>
      </c>
    </row>
    <row r="129" spans="1:11" outlineLevel="1">
      <c r="A129" s="167">
        <f t="shared" ref="A129:A165" si="12">A128+0.0001</f>
        <v>1.0701000000000001</v>
      </c>
      <c r="B129" s="38" t="s">
        <v>150</v>
      </c>
      <c r="C129" s="36" t="s">
        <v>39</v>
      </c>
      <c r="D129" s="37">
        <v>22</v>
      </c>
      <c r="E129" s="172">
        <v>18296.3</v>
      </c>
      <c r="F129" s="88">
        <v>0</v>
      </c>
      <c r="G129" s="251">
        <v>18296.3</v>
      </c>
      <c r="H129" s="251">
        <f t="shared" si="7"/>
        <v>402518.6</v>
      </c>
      <c r="I129" s="252">
        <f t="shared" si="8"/>
        <v>0</v>
      </c>
      <c r="J129" s="73">
        <v>402518.6</v>
      </c>
      <c r="K129" s="155"/>
    </row>
    <row r="130" spans="1:11">
      <c r="A130" s="166">
        <f>A128+0.01</f>
        <v>1.08</v>
      </c>
      <c r="B130" s="145" t="s">
        <v>151</v>
      </c>
      <c r="C130" s="140"/>
      <c r="D130" s="141"/>
      <c r="E130" s="173"/>
      <c r="F130" s="88">
        <v>0</v>
      </c>
      <c r="G130" s="251"/>
      <c r="H130" s="251"/>
      <c r="I130" s="252"/>
      <c r="J130" s="73"/>
      <c r="K130" s="157">
        <v>461051.77999999997</v>
      </c>
    </row>
    <row r="131" spans="1:11" outlineLevel="1">
      <c r="A131" s="167">
        <f t="shared" si="12"/>
        <v>1.0801000000000001</v>
      </c>
      <c r="B131" s="136" t="s">
        <v>152</v>
      </c>
      <c r="C131" s="36" t="s">
        <v>39</v>
      </c>
      <c r="D131" s="37">
        <v>0</v>
      </c>
      <c r="E131" s="75">
        <v>2016.56</v>
      </c>
      <c r="F131" s="88"/>
      <c r="G131" s="251" t="s">
        <v>27</v>
      </c>
      <c r="H131" s="251">
        <f t="shared" si="7"/>
        <v>0</v>
      </c>
      <c r="I131" s="252">
        <f t="shared" si="8"/>
        <v>0</v>
      </c>
      <c r="J131" s="73">
        <v>0</v>
      </c>
      <c r="K131" s="155"/>
    </row>
    <row r="132" spans="1:11" outlineLevel="1">
      <c r="A132" s="167">
        <f t="shared" si="12"/>
        <v>1.0802</v>
      </c>
      <c r="B132" s="136" t="s">
        <v>153</v>
      </c>
      <c r="C132" s="36" t="s">
        <v>39</v>
      </c>
      <c r="D132" s="37">
        <v>16.5</v>
      </c>
      <c r="E132" s="75">
        <v>6049.68</v>
      </c>
      <c r="F132" s="88"/>
      <c r="G132" s="251">
        <v>6049.68</v>
      </c>
      <c r="H132" s="251">
        <f t="shared" ref="H132:H165" si="13">+ROUND(D132*E132,2)</f>
        <v>99819.72</v>
      </c>
      <c r="I132" s="252">
        <f t="shared" ref="I132:I165" si="14">+ROUND(D132*F132,2)</f>
        <v>0</v>
      </c>
      <c r="J132" s="73">
        <v>99819.72</v>
      </c>
      <c r="K132" s="155"/>
    </row>
    <row r="133" spans="1:11" outlineLevel="1">
      <c r="A133" s="167">
        <f t="shared" si="12"/>
        <v>1.0803</v>
      </c>
      <c r="B133" s="38" t="s">
        <v>154</v>
      </c>
      <c r="C133" s="36" t="s">
        <v>155</v>
      </c>
      <c r="D133" s="37">
        <v>3782</v>
      </c>
      <c r="E133" s="75">
        <v>39</v>
      </c>
      <c r="F133" s="88"/>
      <c r="G133" s="251">
        <v>39</v>
      </c>
      <c r="H133" s="251">
        <f t="shared" si="13"/>
        <v>147498</v>
      </c>
      <c r="I133" s="252">
        <f t="shared" si="14"/>
        <v>0</v>
      </c>
      <c r="J133" s="73">
        <v>147498</v>
      </c>
      <c r="K133" s="155"/>
    </row>
    <row r="134" spans="1:11" outlineLevel="1">
      <c r="A134" s="167">
        <f t="shared" si="12"/>
        <v>1.0804</v>
      </c>
      <c r="B134" s="38" t="s">
        <v>156</v>
      </c>
      <c r="C134" s="36" t="s">
        <v>74</v>
      </c>
      <c r="D134" s="37">
        <v>119</v>
      </c>
      <c r="E134" s="75">
        <v>470</v>
      </c>
      <c r="F134" s="88"/>
      <c r="G134" s="251">
        <v>470</v>
      </c>
      <c r="H134" s="251">
        <f t="shared" si="13"/>
        <v>55930</v>
      </c>
      <c r="I134" s="252">
        <f t="shared" si="14"/>
        <v>0</v>
      </c>
      <c r="J134" s="73">
        <v>55930</v>
      </c>
      <c r="K134" s="155"/>
    </row>
    <row r="135" spans="1:11" outlineLevel="1">
      <c r="A135" s="167">
        <f t="shared" si="12"/>
        <v>1.0805</v>
      </c>
      <c r="B135" s="136" t="s">
        <v>157</v>
      </c>
      <c r="C135" s="36" t="s">
        <v>29</v>
      </c>
      <c r="D135" s="37">
        <v>1</v>
      </c>
      <c r="E135" s="75">
        <v>20056.27</v>
      </c>
      <c r="F135" s="88"/>
      <c r="G135" s="251">
        <v>20056.27</v>
      </c>
      <c r="H135" s="251">
        <f t="shared" si="13"/>
        <v>20056.27</v>
      </c>
      <c r="I135" s="252">
        <f t="shared" si="14"/>
        <v>0</v>
      </c>
      <c r="J135" s="73">
        <v>20056.27</v>
      </c>
      <c r="K135" s="155"/>
    </row>
    <row r="136" spans="1:11" outlineLevel="1">
      <c r="A136" s="167">
        <f t="shared" si="12"/>
        <v>1.0806</v>
      </c>
      <c r="B136" s="38" t="s">
        <v>158</v>
      </c>
      <c r="C136" s="36" t="s">
        <v>39</v>
      </c>
      <c r="D136" s="37">
        <v>9</v>
      </c>
      <c r="E136" s="75">
        <v>10960.31</v>
      </c>
      <c r="F136" s="88"/>
      <c r="G136" s="251">
        <v>10960.31</v>
      </c>
      <c r="H136" s="251">
        <f t="shared" si="13"/>
        <v>98642.79</v>
      </c>
      <c r="I136" s="252">
        <f t="shared" si="14"/>
        <v>0</v>
      </c>
      <c r="J136" s="73">
        <v>98642.79</v>
      </c>
      <c r="K136" s="155"/>
    </row>
    <row r="137" spans="1:11" outlineLevel="1">
      <c r="A137" s="167">
        <f t="shared" si="12"/>
        <v>1.0807</v>
      </c>
      <c r="B137" s="136" t="s">
        <v>159</v>
      </c>
      <c r="C137" s="36" t="s">
        <v>29</v>
      </c>
      <c r="D137" s="37">
        <v>1</v>
      </c>
      <c r="E137" s="75">
        <v>39105</v>
      </c>
      <c r="F137" s="88"/>
      <c r="G137" s="251">
        <v>39105</v>
      </c>
      <c r="H137" s="251">
        <f t="shared" si="13"/>
        <v>39105</v>
      </c>
      <c r="I137" s="252">
        <f t="shared" si="14"/>
        <v>0</v>
      </c>
      <c r="J137" s="73">
        <v>39105</v>
      </c>
      <c r="K137" s="155"/>
    </row>
    <row r="138" spans="1:11" outlineLevel="1">
      <c r="A138" s="167">
        <f t="shared" si="12"/>
        <v>1.0808</v>
      </c>
      <c r="B138" s="136" t="s">
        <v>160</v>
      </c>
      <c r="C138" s="36" t="s">
        <v>161</v>
      </c>
      <c r="D138" s="630"/>
      <c r="E138" s="75"/>
      <c r="F138" s="88"/>
      <c r="G138" s="251" t="s">
        <v>27</v>
      </c>
      <c r="H138" s="251">
        <f t="shared" si="13"/>
        <v>0</v>
      </c>
      <c r="I138" s="252">
        <f t="shared" si="14"/>
        <v>0</v>
      </c>
      <c r="J138" s="73">
        <v>0</v>
      </c>
      <c r="K138" s="155"/>
    </row>
    <row r="139" spans="1:11">
      <c r="A139" s="166">
        <f>A130+0.01</f>
        <v>1.0900000000000001</v>
      </c>
      <c r="B139" s="145" t="s">
        <v>162</v>
      </c>
      <c r="C139" s="140"/>
      <c r="D139" s="141"/>
      <c r="E139" s="173"/>
      <c r="F139" s="88">
        <v>0</v>
      </c>
      <c r="G139" s="251" t="s">
        <v>27</v>
      </c>
      <c r="H139" s="251"/>
      <c r="I139" s="252"/>
      <c r="J139" s="73"/>
      <c r="K139" s="157">
        <v>115999.83</v>
      </c>
    </row>
    <row r="140" spans="1:11" outlineLevel="1">
      <c r="A140" s="167">
        <f t="shared" si="12"/>
        <v>1.0901000000000001</v>
      </c>
      <c r="B140" s="136" t="s">
        <v>163</v>
      </c>
      <c r="C140" s="36" t="s">
        <v>161</v>
      </c>
      <c r="D140" s="37">
        <v>18709.649999999998</v>
      </c>
      <c r="E140" s="75">
        <v>6.2</v>
      </c>
      <c r="F140" s="88"/>
      <c r="G140" s="251">
        <v>6.2</v>
      </c>
      <c r="H140" s="251">
        <f t="shared" si="13"/>
        <v>115999.83</v>
      </c>
      <c r="I140" s="252">
        <f t="shared" si="14"/>
        <v>0</v>
      </c>
      <c r="J140" s="73">
        <v>115999.83</v>
      </c>
      <c r="K140" s="155"/>
    </row>
    <row r="141" spans="1:11" outlineLevel="1">
      <c r="A141" s="167" t="e">
        <f>#REF!+0.0001</f>
        <v>#REF!</v>
      </c>
      <c r="B141" s="631" t="s">
        <v>164</v>
      </c>
      <c r="C141" s="36" t="s">
        <v>161</v>
      </c>
      <c r="D141" s="37">
        <v>0</v>
      </c>
      <c r="E141" s="75"/>
      <c r="F141" s="88"/>
      <c r="G141" s="251" t="s">
        <v>27</v>
      </c>
      <c r="H141" s="251">
        <f t="shared" si="13"/>
        <v>0</v>
      </c>
      <c r="I141" s="252">
        <f t="shared" si="14"/>
        <v>0</v>
      </c>
      <c r="J141" s="73">
        <v>0</v>
      </c>
      <c r="K141" s="155"/>
    </row>
    <row r="142" spans="1:11" ht="22.5" outlineLevel="1">
      <c r="A142" s="167" t="e">
        <f>A141+0.0001</f>
        <v>#REF!</v>
      </c>
      <c r="B142" s="631" t="s">
        <v>165</v>
      </c>
      <c r="C142" s="36" t="s">
        <v>161</v>
      </c>
      <c r="D142" s="37">
        <v>0</v>
      </c>
      <c r="E142" s="75"/>
      <c r="F142" s="88"/>
      <c r="G142" s="251" t="s">
        <v>27</v>
      </c>
      <c r="H142" s="251">
        <f t="shared" si="13"/>
        <v>0</v>
      </c>
      <c r="I142" s="252">
        <f t="shared" si="14"/>
        <v>0</v>
      </c>
      <c r="J142" s="73">
        <v>0</v>
      </c>
      <c r="K142" s="155"/>
    </row>
    <row r="143" spans="1:11" outlineLevel="1">
      <c r="A143" s="167" t="e">
        <f t="shared" si="12"/>
        <v>#REF!</v>
      </c>
      <c r="B143" s="44" t="s">
        <v>166</v>
      </c>
      <c r="C143" s="36" t="s">
        <v>46</v>
      </c>
      <c r="D143" s="37">
        <v>0</v>
      </c>
      <c r="E143" s="75">
        <v>6.67</v>
      </c>
      <c r="F143" s="88"/>
      <c r="G143" s="251" t="s">
        <v>27</v>
      </c>
      <c r="H143" s="251">
        <f t="shared" si="13"/>
        <v>0</v>
      </c>
      <c r="I143" s="252">
        <f t="shared" si="14"/>
        <v>0</v>
      </c>
      <c r="J143" s="73">
        <v>0</v>
      </c>
      <c r="K143" s="155"/>
    </row>
    <row r="144" spans="1:11">
      <c r="A144" s="166">
        <f>A139+0.01</f>
        <v>1.1000000000000001</v>
      </c>
      <c r="B144" s="145" t="s">
        <v>167</v>
      </c>
      <c r="C144" s="140"/>
      <c r="D144" s="632"/>
      <c r="E144" s="173"/>
      <c r="F144" s="88">
        <v>0</v>
      </c>
      <c r="G144" s="251"/>
      <c r="H144" s="251"/>
      <c r="I144" s="252"/>
      <c r="J144" s="73"/>
      <c r="K144" s="157">
        <v>102393</v>
      </c>
    </row>
    <row r="145" spans="1:11" outlineLevel="1">
      <c r="A145" s="167">
        <f t="shared" si="12"/>
        <v>1.1001000000000001</v>
      </c>
      <c r="B145" s="139" t="s">
        <v>168</v>
      </c>
      <c r="C145" s="36" t="s">
        <v>39</v>
      </c>
      <c r="D145" s="37">
        <v>8</v>
      </c>
      <c r="E145" s="75">
        <v>3833.5</v>
      </c>
      <c r="F145" s="88"/>
      <c r="G145" s="251">
        <v>3833.5</v>
      </c>
      <c r="H145" s="251">
        <f t="shared" si="13"/>
        <v>30668</v>
      </c>
      <c r="I145" s="252">
        <f t="shared" si="14"/>
        <v>0</v>
      </c>
      <c r="J145" s="73">
        <v>30668</v>
      </c>
      <c r="K145" s="155"/>
    </row>
    <row r="146" spans="1:11" outlineLevel="1">
      <c r="A146" s="167">
        <f t="shared" si="12"/>
        <v>1.1002000000000001</v>
      </c>
      <c r="B146" s="136" t="s">
        <v>169</v>
      </c>
      <c r="C146" s="36" t="s">
        <v>39</v>
      </c>
      <c r="D146" s="37">
        <v>5</v>
      </c>
      <c r="E146" s="75">
        <v>1650</v>
      </c>
      <c r="F146" s="88"/>
      <c r="G146" s="251">
        <v>1650</v>
      </c>
      <c r="H146" s="251">
        <f t="shared" si="13"/>
        <v>8250</v>
      </c>
      <c r="I146" s="252">
        <f t="shared" si="14"/>
        <v>0</v>
      </c>
      <c r="J146" s="73">
        <v>8250</v>
      </c>
      <c r="K146" s="155"/>
    </row>
    <row r="147" spans="1:11" outlineLevel="1">
      <c r="A147" s="167">
        <f t="shared" si="12"/>
        <v>1.1003000000000001</v>
      </c>
      <c r="B147" s="139" t="s">
        <v>170</v>
      </c>
      <c r="C147" s="36" t="s">
        <v>39</v>
      </c>
      <c r="D147" s="37">
        <v>10</v>
      </c>
      <c r="E147" s="75">
        <v>960</v>
      </c>
      <c r="F147" s="88"/>
      <c r="G147" s="251">
        <v>960</v>
      </c>
      <c r="H147" s="251">
        <f t="shared" si="13"/>
        <v>9600</v>
      </c>
      <c r="I147" s="252">
        <f t="shared" si="14"/>
        <v>0</v>
      </c>
      <c r="J147" s="73">
        <v>9600</v>
      </c>
      <c r="K147" s="155"/>
    </row>
    <row r="148" spans="1:11" ht="22.5" outlineLevel="1">
      <c r="A148" s="167">
        <f t="shared" si="12"/>
        <v>1.1004</v>
      </c>
      <c r="B148" s="631" t="s">
        <v>171</v>
      </c>
      <c r="C148" s="36" t="s">
        <v>39</v>
      </c>
      <c r="D148" s="37">
        <v>12.5</v>
      </c>
      <c r="E148" s="75">
        <v>4310</v>
      </c>
      <c r="F148" s="88"/>
      <c r="G148" s="251">
        <v>4310</v>
      </c>
      <c r="H148" s="251">
        <f t="shared" si="13"/>
        <v>53875</v>
      </c>
      <c r="I148" s="252">
        <f t="shared" si="14"/>
        <v>0</v>
      </c>
      <c r="J148" s="73">
        <v>53875</v>
      </c>
      <c r="K148" s="155"/>
    </row>
    <row r="149" spans="1:11" ht="22.5" outlineLevel="1">
      <c r="A149" s="167">
        <f t="shared" si="12"/>
        <v>1.1005</v>
      </c>
      <c r="B149" s="631" t="s">
        <v>172</v>
      </c>
      <c r="C149" s="36" t="s">
        <v>39</v>
      </c>
      <c r="D149" s="37"/>
      <c r="E149" s="75">
        <v>0</v>
      </c>
      <c r="F149" s="88"/>
      <c r="G149" s="251" t="s">
        <v>27</v>
      </c>
      <c r="H149" s="251">
        <f t="shared" si="13"/>
        <v>0</v>
      </c>
      <c r="I149" s="252">
        <f t="shared" si="14"/>
        <v>0</v>
      </c>
      <c r="J149" s="73">
        <v>0</v>
      </c>
      <c r="K149" s="155"/>
    </row>
    <row r="150" spans="1:11">
      <c r="A150" s="166">
        <f>A144+0.01</f>
        <v>1.1100000000000001</v>
      </c>
      <c r="B150" s="145" t="s">
        <v>173</v>
      </c>
      <c r="C150" s="140"/>
      <c r="D150" s="632"/>
      <c r="E150" s="173"/>
      <c r="F150" s="88">
        <v>0</v>
      </c>
      <c r="G150" s="251"/>
      <c r="H150" s="251"/>
      <c r="I150" s="252"/>
      <c r="J150" s="73"/>
      <c r="K150" s="157">
        <v>0</v>
      </c>
    </row>
    <row r="151" spans="1:11" outlineLevel="1">
      <c r="A151" s="167">
        <f t="shared" si="12"/>
        <v>1.1101000000000001</v>
      </c>
      <c r="B151" s="139" t="s">
        <v>174</v>
      </c>
      <c r="C151" s="36" t="s">
        <v>36</v>
      </c>
      <c r="D151" s="37">
        <v>0</v>
      </c>
      <c r="E151" s="75">
        <v>23.4</v>
      </c>
      <c r="F151" s="88"/>
      <c r="G151" s="251" t="s">
        <v>27</v>
      </c>
      <c r="H151" s="251">
        <f t="shared" si="13"/>
        <v>0</v>
      </c>
      <c r="I151" s="252">
        <f t="shared" si="14"/>
        <v>0</v>
      </c>
      <c r="J151" s="73">
        <v>0</v>
      </c>
      <c r="K151" s="155"/>
    </row>
    <row r="152" spans="1:11" outlineLevel="1">
      <c r="A152" s="167">
        <f t="shared" si="12"/>
        <v>1.1102000000000001</v>
      </c>
      <c r="B152" s="139" t="s">
        <v>175</v>
      </c>
      <c r="C152" s="36" t="s">
        <v>36</v>
      </c>
      <c r="D152" s="37">
        <v>0</v>
      </c>
      <c r="E152" s="75">
        <v>2.46</v>
      </c>
      <c r="F152" s="88"/>
      <c r="G152" s="251" t="s">
        <v>27</v>
      </c>
      <c r="H152" s="251">
        <f t="shared" si="13"/>
        <v>0</v>
      </c>
      <c r="I152" s="252">
        <f t="shared" si="14"/>
        <v>0</v>
      </c>
      <c r="J152" s="73">
        <v>0</v>
      </c>
      <c r="K152" s="155"/>
    </row>
    <row r="153" spans="1:11" outlineLevel="1">
      <c r="A153" s="167">
        <f t="shared" si="12"/>
        <v>1.1103000000000001</v>
      </c>
      <c r="B153" s="139" t="s">
        <v>176</v>
      </c>
      <c r="C153" s="36" t="s">
        <v>177</v>
      </c>
      <c r="D153" s="37">
        <v>0</v>
      </c>
      <c r="E153" s="75">
        <v>4.55</v>
      </c>
      <c r="F153" s="88"/>
      <c r="G153" s="251" t="s">
        <v>27</v>
      </c>
      <c r="H153" s="251">
        <f t="shared" si="13"/>
        <v>0</v>
      </c>
      <c r="I153" s="252">
        <f t="shared" si="14"/>
        <v>0</v>
      </c>
      <c r="J153" s="73">
        <v>0</v>
      </c>
      <c r="K153" s="155"/>
    </row>
    <row r="154" spans="1:11" outlineLevel="1">
      <c r="A154" s="167">
        <f t="shared" si="12"/>
        <v>1.1104000000000001</v>
      </c>
      <c r="B154" s="139" t="s">
        <v>178</v>
      </c>
      <c r="C154" s="36" t="s">
        <v>36</v>
      </c>
      <c r="D154" s="37">
        <v>0</v>
      </c>
      <c r="E154" s="75">
        <v>0.49444500000000002</v>
      </c>
      <c r="F154" s="88"/>
      <c r="G154" s="251" t="s">
        <v>27</v>
      </c>
      <c r="H154" s="251">
        <f t="shared" si="13"/>
        <v>0</v>
      </c>
      <c r="I154" s="252">
        <f t="shared" si="14"/>
        <v>0</v>
      </c>
      <c r="J154" s="73">
        <v>0</v>
      </c>
      <c r="K154" s="155"/>
    </row>
    <row r="155" spans="1:11">
      <c r="A155" s="166">
        <f>A150+0.01</f>
        <v>1.1200000000000001</v>
      </c>
      <c r="B155" s="145" t="s">
        <v>179</v>
      </c>
      <c r="C155" s="140"/>
      <c r="D155" s="141"/>
      <c r="E155" s="173"/>
      <c r="F155" s="88">
        <v>0</v>
      </c>
      <c r="G155" s="251" t="s">
        <v>27</v>
      </c>
      <c r="H155" s="251"/>
      <c r="I155" s="252"/>
      <c r="J155" s="73"/>
      <c r="K155" s="157">
        <v>48655.5</v>
      </c>
    </row>
    <row r="156" spans="1:11" outlineLevel="1">
      <c r="A156" s="167">
        <f t="shared" si="12"/>
        <v>1.1201000000000001</v>
      </c>
      <c r="B156" s="136" t="s">
        <v>180</v>
      </c>
      <c r="C156" s="36" t="s">
        <v>181</v>
      </c>
      <c r="D156" s="37">
        <v>499</v>
      </c>
      <c r="E156" s="75">
        <v>90</v>
      </c>
      <c r="F156" s="88"/>
      <c r="G156" s="251">
        <v>90</v>
      </c>
      <c r="H156" s="251">
        <f t="shared" si="13"/>
        <v>44910</v>
      </c>
      <c r="I156" s="252">
        <f t="shared" si="14"/>
        <v>0</v>
      </c>
      <c r="J156" s="73">
        <v>44910</v>
      </c>
      <c r="K156" s="155"/>
    </row>
    <row r="157" spans="1:11" outlineLevel="1">
      <c r="A157" s="167">
        <f t="shared" si="12"/>
        <v>1.1202000000000001</v>
      </c>
      <c r="B157" s="136" t="s">
        <v>182</v>
      </c>
      <c r="C157" s="36" t="s">
        <v>181</v>
      </c>
      <c r="D157" s="37">
        <v>3</v>
      </c>
      <c r="E157" s="75">
        <v>229.99999999999997</v>
      </c>
      <c r="F157" s="88"/>
      <c r="G157" s="251">
        <v>229.99999999999997</v>
      </c>
      <c r="H157" s="251">
        <f t="shared" si="13"/>
        <v>690</v>
      </c>
      <c r="I157" s="252">
        <f t="shared" si="14"/>
        <v>0</v>
      </c>
      <c r="J157" s="73">
        <v>690</v>
      </c>
      <c r="K157" s="155"/>
    </row>
    <row r="158" spans="1:11" outlineLevel="1">
      <c r="A158" s="167">
        <f t="shared" si="12"/>
        <v>1.1203000000000001</v>
      </c>
      <c r="B158" s="136" t="s">
        <v>183</v>
      </c>
      <c r="C158" s="36" t="s">
        <v>181</v>
      </c>
      <c r="D158" s="37">
        <v>3</v>
      </c>
      <c r="E158" s="75">
        <v>172.5</v>
      </c>
      <c r="F158" s="88"/>
      <c r="G158" s="251">
        <v>172.5</v>
      </c>
      <c r="H158" s="251">
        <f t="shared" si="13"/>
        <v>517.5</v>
      </c>
      <c r="I158" s="252">
        <f t="shared" si="14"/>
        <v>0</v>
      </c>
      <c r="J158" s="73">
        <v>517.5</v>
      </c>
      <c r="K158" s="155"/>
    </row>
    <row r="159" spans="1:11" outlineLevel="1">
      <c r="A159" s="167">
        <f t="shared" si="12"/>
        <v>1.1204000000000001</v>
      </c>
      <c r="B159" s="136" t="s">
        <v>184</v>
      </c>
      <c r="C159" s="36" t="s">
        <v>181</v>
      </c>
      <c r="D159" s="37">
        <v>12</v>
      </c>
      <c r="E159" s="75">
        <v>57.499999999999993</v>
      </c>
      <c r="F159" s="88"/>
      <c r="G159" s="251">
        <v>57.499999999999993</v>
      </c>
      <c r="H159" s="251">
        <f t="shared" si="13"/>
        <v>690</v>
      </c>
      <c r="I159" s="252">
        <f t="shared" si="14"/>
        <v>0</v>
      </c>
      <c r="J159" s="73">
        <v>690</v>
      </c>
      <c r="K159" s="155"/>
    </row>
    <row r="160" spans="1:11" outlineLevel="1">
      <c r="A160" s="167">
        <f t="shared" si="12"/>
        <v>1.1205000000000001</v>
      </c>
      <c r="B160" s="136" t="s">
        <v>185</v>
      </c>
      <c r="C160" s="36" t="s">
        <v>29</v>
      </c>
      <c r="D160" s="37">
        <v>3</v>
      </c>
      <c r="E160" s="75">
        <v>276</v>
      </c>
      <c r="F160" s="88"/>
      <c r="G160" s="251">
        <v>276</v>
      </c>
      <c r="H160" s="251">
        <f t="shared" si="13"/>
        <v>828</v>
      </c>
      <c r="I160" s="252">
        <f t="shared" si="14"/>
        <v>0</v>
      </c>
      <c r="J160" s="73">
        <v>828</v>
      </c>
      <c r="K160" s="155"/>
    </row>
    <row r="161" spans="1:11" outlineLevel="1">
      <c r="A161" s="167">
        <f t="shared" si="12"/>
        <v>1.1206</v>
      </c>
      <c r="B161" s="136" t="s">
        <v>186</v>
      </c>
      <c r="C161" s="36" t="s">
        <v>181</v>
      </c>
      <c r="D161" s="37">
        <v>12</v>
      </c>
      <c r="E161" s="75">
        <v>85</v>
      </c>
      <c r="F161" s="88"/>
      <c r="G161" s="251">
        <v>85</v>
      </c>
      <c r="H161" s="251">
        <f t="shared" si="13"/>
        <v>1020</v>
      </c>
      <c r="I161" s="252">
        <f t="shared" si="14"/>
        <v>0</v>
      </c>
      <c r="J161" s="73">
        <v>1020</v>
      </c>
      <c r="K161" s="155"/>
    </row>
    <row r="162" spans="1:11">
      <c r="A162" s="166">
        <f>A155+0.01</f>
        <v>1.1300000000000001</v>
      </c>
      <c r="B162" s="145" t="s">
        <v>187</v>
      </c>
      <c r="C162" s="140"/>
      <c r="D162" s="141"/>
      <c r="E162" s="173"/>
      <c r="F162" s="88"/>
      <c r="G162" s="251"/>
      <c r="H162" s="251"/>
      <c r="I162" s="252"/>
      <c r="J162" s="73"/>
      <c r="K162" s="157">
        <v>140731.28</v>
      </c>
    </row>
    <row r="163" spans="1:11" outlineLevel="1">
      <c r="A163" s="167">
        <f t="shared" si="12"/>
        <v>1.1301000000000001</v>
      </c>
      <c r="B163" s="136" t="s">
        <v>188</v>
      </c>
      <c r="C163" s="36" t="s">
        <v>161</v>
      </c>
      <c r="D163" s="37">
        <v>226.2</v>
      </c>
      <c r="E163" s="75">
        <v>200</v>
      </c>
      <c r="F163" s="37"/>
      <c r="G163" s="251">
        <v>200</v>
      </c>
      <c r="H163" s="251">
        <f t="shared" si="13"/>
        <v>45240</v>
      </c>
      <c r="I163" s="252">
        <f t="shared" si="14"/>
        <v>0</v>
      </c>
      <c r="J163" s="73">
        <v>45240</v>
      </c>
      <c r="K163" s="155"/>
    </row>
    <row r="164" spans="1:11" outlineLevel="1">
      <c r="A164" s="167">
        <f t="shared" si="12"/>
        <v>1.1302000000000001</v>
      </c>
      <c r="B164" s="135" t="s">
        <v>189</v>
      </c>
      <c r="C164" s="34" t="s">
        <v>161</v>
      </c>
      <c r="D164" s="37">
        <v>210.96</v>
      </c>
      <c r="E164" s="74">
        <v>185</v>
      </c>
      <c r="F164" s="35"/>
      <c r="G164" s="160">
        <v>185</v>
      </c>
      <c r="H164" s="160">
        <f t="shared" si="13"/>
        <v>39027.599999999999</v>
      </c>
      <c r="I164" s="150">
        <f t="shared" si="14"/>
        <v>0</v>
      </c>
      <c r="J164" s="73">
        <v>39027.599999999999</v>
      </c>
      <c r="K164" s="155"/>
    </row>
    <row r="165" spans="1:11" ht="15.75" outlineLevel="1" thickBot="1">
      <c r="A165" s="167">
        <f t="shared" si="12"/>
        <v>1.1303000000000001</v>
      </c>
      <c r="B165" s="135" t="s">
        <v>190</v>
      </c>
      <c r="C165" s="34" t="s">
        <v>39</v>
      </c>
      <c r="D165" s="35">
        <v>4</v>
      </c>
      <c r="E165" s="74">
        <v>14115.92</v>
      </c>
      <c r="F165" s="35"/>
      <c r="G165" s="160">
        <v>14115.92</v>
      </c>
      <c r="H165" s="160">
        <f t="shared" si="13"/>
        <v>56463.68</v>
      </c>
      <c r="I165" s="150">
        <f t="shared" si="14"/>
        <v>0</v>
      </c>
      <c r="J165" s="73">
        <v>56463.68</v>
      </c>
      <c r="K165" s="155"/>
    </row>
    <row r="166" spans="1:11" ht="16.5" thickTop="1" thickBot="1">
      <c r="A166" s="28"/>
      <c r="B166" s="28"/>
      <c r="C166" s="29"/>
      <c r="D166" s="76" t="s">
        <v>11</v>
      </c>
      <c r="E166" s="30"/>
      <c r="F166" s="131"/>
      <c r="G166" s="131"/>
      <c r="H166" s="161">
        <f>SUM(H14:H165)</f>
        <v>2878932.9100000006</v>
      </c>
      <c r="I166" s="151">
        <f>SUM(I14:I165)</f>
        <v>155653.44</v>
      </c>
      <c r="J166" s="161">
        <v>3462633.310000001</v>
      </c>
      <c r="K166" s="158">
        <v>3462633.3099999996</v>
      </c>
    </row>
    <row r="167" spans="1:11" ht="15.75" thickTop="1"/>
  </sheetData>
  <mergeCells count="1">
    <mergeCell ref="A2:K2"/>
  </mergeCells>
  <phoneticPr fontId="13" type="noConversion"/>
  <conditionalFormatting sqref="K15:K36 F15:F165 K40:K45 K73:K101 K129 K163:K165">
    <cfRule type="cellIs" dxfId="12" priority="46" stopIfTrue="1" operator="equal">
      <formula>0</formula>
    </cfRule>
  </conditionalFormatting>
  <conditionalFormatting sqref="K47:K50 K104:K127 K131:K135">
    <cfRule type="cellIs" dxfId="11" priority="36" stopIfTrue="1" operator="equal">
      <formula>0</formula>
    </cfRule>
  </conditionalFormatting>
  <conditionalFormatting sqref="K52:K61">
    <cfRule type="cellIs" dxfId="10" priority="29" stopIfTrue="1" operator="equal">
      <formula>0</formula>
    </cfRule>
  </conditionalFormatting>
  <pageMargins left="0.7" right="0.7" top="0.75" bottom="0.75" header="0.3" footer="0.3"/>
  <pageSetup orientation="portrait" r:id="rId1"/>
  <ignoredErrors>
    <ignoredError sqref="A73 A103:A104 B114:C114 A121 A115:A118 A163:A165 A14:A17 H14:I14 C115:C118" unlockedFormula="1"/>
    <ignoredError sqref="A68:A72 A119:A120 A83 A114 A92:A102 A90:A91 A123:A132 A139:A162 A46:A66" formula="1" unlockedFormula="1"/>
    <ignoredError sqref="B119:C119 C120 C121:C122 L119:QEW122" formula="1"/>
    <ignoredError sqref="A1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29"/>
  <sheetViews>
    <sheetView topLeftCell="B1" workbookViewId="0">
      <selection activeCell="H1" sqref="H1:BC1048576"/>
    </sheetView>
  </sheetViews>
  <sheetFormatPr defaultColWidth="11.42578125" defaultRowHeight="15" outlineLevelRow="1"/>
  <cols>
    <col min="1" max="1" width="12.42578125" style="26" bestFit="1" customWidth="1"/>
    <col min="2" max="2" width="60.85546875" style="26" customWidth="1"/>
    <col min="3" max="3" width="9.7109375" style="32" customWidth="1"/>
    <col min="4" max="4" width="11.42578125" style="33" customWidth="1"/>
    <col min="5" max="5" width="14.7109375" style="33" customWidth="1"/>
    <col min="6" max="6" width="13.7109375" style="27" customWidth="1"/>
    <col min="7" max="7" width="14.7109375" style="33" customWidth="1"/>
  </cols>
  <sheetData>
    <row r="1" spans="1:7" s="2" customFormat="1" ht="11.25">
      <c r="C1" s="3"/>
    </row>
    <row r="2" spans="1:7" s="2" customFormat="1" ht="15" customHeight="1">
      <c r="A2" s="1" t="s">
        <v>191</v>
      </c>
      <c r="B2" s="1"/>
      <c r="C2" s="1"/>
      <c r="D2" s="1"/>
      <c r="E2" s="1"/>
      <c r="F2" s="1"/>
      <c r="G2" s="1"/>
    </row>
    <row r="3" spans="1:7" s="2" customFormat="1" ht="11.25">
      <c r="C3" s="3"/>
      <c r="F3" s="107"/>
    </row>
    <row r="4" spans="1:7" s="2" customFormat="1" ht="12.75">
      <c r="A4" s="108" t="s">
        <v>0</v>
      </c>
      <c r="B4" s="58" t="e">
        <f>#REF!</f>
        <v>#REF!</v>
      </c>
      <c r="C4" s="3"/>
      <c r="F4" s="107"/>
    </row>
    <row r="5" spans="1:7" s="2" customFormat="1" ht="12.75">
      <c r="A5" s="108" t="s">
        <v>13</v>
      </c>
      <c r="B5" s="58" t="str">
        <f>$A$2</f>
        <v>SEGURIDAD Y SALUD</v>
      </c>
      <c r="C5" s="3"/>
      <c r="F5" s="107"/>
    </row>
    <row r="6" spans="1:7" s="2" customFormat="1" ht="12.75">
      <c r="A6" s="108" t="s">
        <v>1</v>
      </c>
      <c r="B6" s="59" t="e">
        <f>#REF!</f>
        <v>#REF!</v>
      </c>
      <c r="C6" s="3"/>
      <c r="F6" s="107"/>
    </row>
    <row r="7" spans="1:7" s="2" customFormat="1" ht="12.75">
      <c r="A7" s="108" t="s">
        <v>2</v>
      </c>
      <c r="B7" s="59" t="e">
        <f>#REF!</f>
        <v>#REF!</v>
      </c>
      <c r="C7" s="3"/>
      <c r="F7" s="107"/>
    </row>
    <row r="8" spans="1:7" s="2" customFormat="1" ht="12.75">
      <c r="A8" s="46" t="s">
        <v>14</v>
      </c>
      <c r="B8" s="8" t="e">
        <f>#REF!</f>
        <v>#REF!</v>
      </c>
      <c r="C8" s="3"/>
      <c r="F8" s="107"/>
    </row>
    <row r="9" spans="1:7" ht="15.75" thickBot="1">
      <c r="A9" s="2"/>
      <c r="B9" s="2"/>
      <c r="C9" s="3"/>
      <c r="D9" s="2"/>
      <c r="E9" s="2"/>
      <c r="F9" s="2"/>
      <c r="G9" s="2"/>
    </row>
    <row r="10" spans="1:7" ht="16.5" thickTop="1" thickBot="1">
      <c r="A10" s="10" t="s">
        <v>4</v>
      </c>
      <c r="B10" s="11" t="s">
        <v>15</v>
      </c>
      <c r="C10" s="11" t="s">
        <v>16</v>
      </c>
      <c r="D10" s="12" t="s">
        <v>17</v>
      </c>
      <c r="E10" s="12" t="s">
        <v>18</v>
      </c>
      <c r="F10" s="13" t="s">
        <v>192</v>
      </c>
      <c r="G10" s="13" t="s">
        <v>12</v>
      </c>
    </row>
    <row r="11" spans="1:7" ht="16.5" thickTop="1" thickBot="1">
      <c r="A11" s="49" t="s">
        <v>193</v>
      </c>
      <c r="B11" s="15" t="s">
        <v>191</v>
      </c>
      <c r="C11" s="16"/>
      <c r="D11" s="17"/>
      <c r="E11" s="17"/>
      <c r="F11" s="17"/>
      <c r="G11" s="18"/>
    </row>
    <row r="12" spans="1:7" ht="23.25" thickTop="1">
      <c r="A12" s="165">
        <f>A11+0.01</f>
        <v>2.0099999999999998</v>
      </c>
      <c r="B12" s="170" t="s">
        <v>194</v>
      </c>
      <c r="C12" s="133"/>
      <c r="D12" s="134"/>
      <c r="E12" s="171"/>
      <c r="F12" s="171"/>
      <c r="G12" s="154">
        <f>SUM(F13:F20)</f>
        <v>768718.83953304531</v>
      </c>
    </row>
    <row r="13" spans="1:7" outlineLevel="1">
      <c r="A13" s="167">
        <f>A12+0.0001</f>
        <v>2.0101</v>
      </c>
      <c r="B13" s="212" t="s">
        <v>195</v>
      </c>
      <c r="C13" s="36" t="s">
        <v>29</v>
      </c>
      <c r="D13" s="37">
        <v>1</v>
      </c>
      <c r="E13" s="172">
        <v>153265.83709604523</v>
      </c>
      <c r="F13" s="172">
        <f>+D13*E13</f>
        <v>153265.83709604523</v>
      </c>
      <c r="G13" s="155"/>
    </row>
    <row r="14" spans="1:7" outlineLevel="1">
      <c r="A14" s="167">
        <f t="shared" ref="A14:A20" si="0">A13+0.0001</f>
        <v>2.0102000000000002</v>
      </c>
      <c r="B14" s="212" t="s">
        <v>196</v>
      </c>
      <c r="C14" s="36" t="s">
        <v>29</v>
      </c>
      <c r="D14" s="37">
        <v>1</v>
      </c>
      <c r="E14" s="172">
        <v>182518.00243700005</v>
      </c>
      <c r="F14" s="172">
        <f t="shared" ref="F14:F24" si="1">+D14*E14</f>
        <v>182518.00243700005</v>
      </c>
      <c r="G14" s="155"/>
    </row>
    <row r="15" spans="1:7" outlineLevel="1">
      <c r="A15" s="167">
        <f t="shared" si="0"/>
        <v>2.0103000000000004</v>
      </c>
      <c r="B15" s="212" t="s">
        <v>197</v>
      </c>
      <c r="C15" s="36" t="s">
        <v>36</v>
      </c>
      <c r="D15" s="37">
        <v>4</v>
      </c>
      <c r="E15" s="172">
        <v>900</v>
      </c>
      <c r="F15" s="172">
        <f t="shared" si="1"/>
        <v>3600</v>
      </c>
      <c r="G15" s="155"/>
    </row>
    <row r="16" spans="1:7" outlineLevel="1">
      <c r="A16" s="167">
        <f t="shared" si="0"/>
        <v>2.0104000000000006</v>
      </c>
      <c r="B16" s="212" t="s">
        <v>198</v>
      </c>
      <c r="C16" s="36" t="s">
        <v>39</v>
      </c>
      <c r="D16" s="37">
        <v>0</v>
      </c>
      <c r="E16" s="172">
        <v>1505</v>
      </c>
      <c r="F16" s="172">
        <f t="shared" si="1"/>
        <v>0</v>
      </c>
      <c r="G16" s="155"/>
    </row>
    <row r="17" spans="1:7" outlineLevel="1">
      <c r="A17" s="167">
        <f t="shared" si="0"/>
        <v>2.0105000000000008</v>
      </c>
      <c r="B17" s="212" t="s">
        <v>199</v>
      </c>
      <c r="C17" s="36" t="s">
        <v>36</v>
      </c>
      <c r="D17" s="37">
        <v>190</v>
      </c>
      <c r="E17" s="75">
        <v>130</v>
      </c>
      <c r="F17" s="172">
        <f t="shared" si="1"/>
        <v>24700</v>
      </c>
      <c r="G17" s="155"/>
    </row>
    <row r="18" spans="1:7" outlineLevel="1">
      <c r="A18" s="167">
        <f t="shared" si="0"/>
        <v>2.0106000000000011</v>
      </c>
      <c r="B18" s="212" t="s">
        <v>200</v>
      </c>
      <c r="C18" s="36" t="s">
        <v>29</v>
      </c>
      <c r="D18" s="37">
        <v>1</v>
      </c>
      <c r="E18" s="75">
        <v>92334</v>
      </c>
      <c r="F18" s="172">
        <f t="shared" si="1"/>
        <v>92334</v>
      </c>
      <c r="G18" s="155"/>
    </row>
    <row r="19" spans="1:7" outlineLevel="1">
      <c r="A19" s="167">
        <f t="shared" si="0"/>
        <v>2.0107000000000013</v>
      </c>
      <c r="B19" s="212" t="s">
        <v>201</v>
      </c>
      <c r="C19" s="36" t="s">
        <v>29</v>
      </c>
      <c r="D19" s="37">
        <v>1</v>
      </c>
      <c r="E19" s="75">
        <v>13850.1</v>
      </c>
      <c r="F19" s="172">
        <f>+D19*E19</f>
        <v>13850.1</v>
      </c>
      <c r="G19" s="155"/>
    </row>
    <row r="20" spans="1:7" outlineLevel="1">
      <c r="A20" s="167">
        <f t="shared" si="0"/>
        <v>2.0108000000000015</v>
      </c>
      <c r="B20" s="136" t="s">
        <v>202</v>
      </c>
      <c r="C20" s="36" t="s">
        <v>39</v>
      </c>
      <c r="D20" s="37">
        <v>22</v>
      </c>
      <c r="E20" s="75">
        <v>13565.95</v>
      </c>
      <c r="F20" s="512">
        <f t="shared" si="1"/>
        <v>298450.90000000002</v>
      </c>
      <c r="G20" s="155"/>
    </row>
    <row r="21" spans="1:7">
      <c r="A21" s="166">
        <f>A12+0.01</f>
        <v>2.0199999999999996</v>
      </c>
      <c r="B21" s="145" t="s">
        <v>203</v>
      </c>
      <c r="C21" s="140"/>
      <c r="D21" s="141"/>
      <c r="E21" s="173"/>
      <c r="F21" s="235"/>
      <c r="G21" s="157">
        <f>SUM(F22:F24)</f>
        <v>222950</v>
      </c>
    </row>
    <row r="22" spans="1:7" outlineLevel="1">
      <c r="A22" s="167">
        <f>A21+0.0001</f>
        <v>2.0200999999999998</v>
      </c>
      <c r="B22" s="212" t="s">
        <v>204</v>
      </c>
      <c r="C22" s="36" t="s">
        <v>39</v>
      </c>
      <c r="D22" s="37">
        <v>17</v>
      </c>
      <c r="E22" s="172">
        <v>4455.3600000000006</v>
      </c>
      <c r="F22" s="172">
        <f t="shared" si="1"/>
        <v>75741.12000000001</v>
      </c>
      <c r="G22" s="155"/>
    </row>
    <row r="23" spans="1:7" outlineLevel="1">
      <c r="A23" s="167">
        <f>A22+0.0001</f>
        <v>2.0202</v>
      </c>
      <c r="B23" s="212" t="s">
        <v>205</v>
      </c>
      <c r="C23" s="36" t="s">
        <v>39</v>
      </c>
      <c r="D23" s="37">
        <v>22</v>
      </c>
      <c r="E23" s="172">
        <v>4033.12</v>
      </c>
      <c r="F23" s="172">
        <f t="shared" si="1"/>
        <v>88728.639999999999</v>
      </c>
      <c r="G23" s="155"/>
    </row>
    <row r="24" spans="1:7" outlineLevel="1">
      <c r="A24" s="167">
        <f>A23+0.0001</f>
        <v>2.0203000000000002</v>
      </c>
      <c r="B24" s="212" t="s">
        <v>206</v>
      </c>
      <c r="C24" s="36" t="s">
        <v>39</v>
      </c>
      <c r="D24" s="37">
        <v>14.5</v>
      </c>
      <c r="E24" s="172">
        <v>4033.12</v>
      </c>
      <c r="F24" s="172">
        <f t="shared" si="1"/>
        <v>58480.24</v>
      </c>
      <c r="G24" s="155"/>
    </row>
    <row r="25" spans="1:7">
      <c r="A25" s="166">
        <f>A21+0.01</f>
        <v>2.0299999999999994</v>
      </c>
      <c r="B25" s="145" t="s">
        <v>207</v>
      </c>
      <c r="C25" s="140"/>
      <c r="D25" s="141"/>
      <c r="E25" s="173"/>
      <c r="F25" s="172"/>
      <c r="G25" s="157">
        <f>SUM(F26:F27)</f>
        <v>8030</v>
      </c>
    </row>
    <row r="26" spans="1:7" outlineLevel="1">
      <c r="A26" s="167">
        <f>A25+0.0001</f>
        <v>2.0300999999999996</v>
      </c>
      <c r="B26" s="212" t="s">
        <v>208</v>
      </c>
      <c r="C26" s="36" t="s">
        <v>29</v>
      </c>
      <c r="D26" s="37">
        <v>1</v>
      </c>
      <c r="E26" s="75">
        <v>5500</v>
      </c>
      <c r="F26" s="172">
        <f>+D26*E26</f>
        <v>5500</v>
      </c>
      <c r="G26" s="155"/>
    </row>
    <row r="27" spans="1:7" ht="15.75" outlineLevel="1" thickBot="1">
      <c r="A27" s="167">
        <f>A26+0.0001</f>
        <v>2.0301999999999998</v>
      </c>
      <c r="B27" s="409" t="s">
        <v>209</v>
      </c>
      <c r="C27" s="410" t="s">
        <v>39</v>
      </c>
      <c r="D27" s="411">
        <v>22</v>
      </c>
      <c r="E27" s="412">
        <v>115</v>
      </c>
      <c r="F27" s="413">
        <f>+D27*E27</f>
        <v>2530</v>
      </c>
      <c r="G27" s="414"/>
    </row>
    <row r="28" spans="1:7" ht="16.5" thickTop="1" thickBot="1">
      <c r="A28" s="28"/>
      <c r="B28" s="28"/>
      <c r="C28" s="29"/>
      <c r="D28" s="76" t="s">
        <v>11</v>
      </c>
      <c r="E28" s="162"/>
      <c r="F28" s="30"/>
      <c r="G28" s="158">
        <f>SUM(G12:G27)</f>
        <v>999698.83953304531</v>
      </c>
    </row>
    <row r="29" spans="1:7" ht="15.75" thickTop="1"/>
  </sheetData>
  <mergeCells count="1">
    <mergeCell ref="A2:G2"/>
  </mergeCells>
  <conditionalFormatting sqref="G20">
    <cfRule type="cellIs" dxfId="9" priority="10" stopIfTrue="1" operator="equal">
      <formula>0</formula>
    </cfRule>
  </conditionalFormatting>
  <conditionalFormatting sqref="G22:G24">
    <cfRule type="cellIs" dxfId="8" priority="8" stopIfTrue="1" operator="equal">
      <formula>0</formula>
    </cfRule>
  </conditionalFormatting>
  <pageMargins left="0.7" right="0.7" top="0.75" bottom="0.75" header="0.3" footer="0.3"/>
  <ignoredErrors>
    <ignoredError sqref="G12 F13:G14 F21:G26 A26:A27 A12:A14 F16:G17 F15:G15 F18:G18 F20:G20 F27:G27" unlockedFormula="1"/>
    <ignoredError sqref="A21:A25" formula="1"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169"/>
  <sheetViews>
    <sheetView workbookViewId="0">
      <selection activeCell="A19" sqref="A19"/>
    </sheetView>
  </sheetViews>
  <sheetFormatPr defaultColWidth="11.42578125" defaultRowHeight="11.25" outlineLevelRow="2"/>
  <cols>
    <col min="1" max="1" width="12.42578125" style="4" customWidth="1"/>
    <col min="2" max="2" width="49.7109375" style="4" customWidth="1"/>
    <col min="3" max="3" width="5.42578125" style="9" customWidth="1"/>
    <col min="4" max="4" width="10" style="107" customWidth="1"/>
    <col min="5" max="5" width="10" style="6" customWidth="1"/>
    <col min="6" max="6" width="19.140625" style="6" customWidth="1"/>
    <col min="7" max="7" width="10" style="4" bestFit="1" customWidth="1"/>
    <col min="8" max="8" width="14.28515625" style="6" customWidth="1"/>
    <col min="9" max="9" width="14" style="4" customWidth="1"/>
    <col min="10" max="243" width="11.42578125" style="2"/>
    <col min="244" max="244" width="12.28515625" style="2" customWidth="1"/>
    <col min="245" max="245" width="50.7109375" style="2" customWidth="1"/>
    <col min="246" max="246" width="5.42578125" style="2" customWidth="1"/>
    <col min="247" max="247" width="8.85546875" style="2" bestFit="1" customWidth="1"/>
    <col min="248" max="250" width="12.7109375" style="2" customWidth="1"/>
    <col min="251" max="252" width="14" style="2" customWidth="1"/>
    <col min="253" max="253" width="15.85546875" style="2" customWidth="1"/>
    <col min="254" max="254" width="11.5703125" style="2" customWidth="1"/>
    <col min="255" max="499" width="11.42578125" style="2"/>
    <col min="500" max="500" width="12.28515625" style="2" customWidth="1"/>
    <col min="501" max="501" width="50.7109375" style="2" customWidth="1"/>
    <col min="502" max="502" width="5.42578125" style="2" customWidth="1"/>
    <col min="503" max="503" width="8.85546875" style="2" bestFit="1" customWidth="1"/>
    <col min="504" max="506" width="12.7109375" style="2" customWidth="1"/>
    <col min="507" max="508" width="14" style="2" customWidth="1"/>
    <col min="509" max="509" width="15.85546875" style="2" customWidth="1"/>
    <col min="510" max="510" width="11.5703125" style="2" customWidth="1"/>
    <col min="511" max="755" width="11.42578125" style="2"/>
    <col min="756" max="756" width="12.28515625" style="2" customWidth="1"/>
    <col min="757" max="757" width="50.7109375" style="2" customWidth="1"/>
    <col min="758" max="758" width="5.42578125" style="2" customWidth="1"/>
    <col min="759" max="759" width="8.85546875" style="2" bestFit="1" customWidth="1"/>
    <col min="760" max="762" width="12.7109375" style="2" customWidth="1"/>
    <col min="763" max="764" width="14" style="2" customWidth="1"/>
    <col min="765" max="765" width="15.85546875" style="2" customWidth="1"/>
    <col min="766" max="766" width="11.5703125" style="2" customWidth="1"/>
    <col min="767" max="1011" width="11.42578125" style="2"/>
    <col min="1012" max="1012" width="12.28515625" style="2" customWidth="1"/>
    <col min="1013" max="1013" width="50.7109375" style="2" customWidth="1"/>
    <col min="1014" max="1014" width="5.42578125" style="2" customWidth="1"/>
    <col min="1015" max="1015" width="8.85546875" style="2" bestFit="1" customWidth="1"/>
    <col min="1016" max="1018" width="12.7109375" style="2" customWidth="1"/>
    <col min="1019" max="1020" width="14" style="2" customWidth="1"/>
    <col min="1021" max="1021" width="15.85546875" style="2" customWidth="1"/>
    <col min="1022" max="1022" width="11.5703125" style="2" customWidth="1"/>
    <col min="1023" max="1267" width="11.42578125" style="2"/>
    <col min="1268" max="1268" width="12.28515625" style="2" customWidth="1"/>
    <col min="1269" max="1269" width="50.7109375" style="2" customWidth="1"/>
    <col min="1270" max="1270" width="5.42578125" style="2" customWidth="1"/>
    <col min="1271" max="1271" width="8.85546875" style="2" bestFit="1" customWidth="1"/>
    <col min="1272" max="1274" width="12.7109375" style="2" customWidth="1"/>
    <col min="1275" max="1276" width="14" style="2" customWidth="1"/>
    <col min="1277" max="1277" width="15.85546875" style="2" customWidth="1"/>
    <col min="1278" max="1278" width="11.5703125" style="2" customWidth="1"/>
    <col min="1279" max="1523" width="11.42578125" style="2"/>
    <col min="1524" max="1524" width="12.28515625" style="2" customWidth="1"/>
    <col min="1525" max="1525" width="50.7109375" style="2" customWidth="1"/>
    <col min="1526" max="1526" width="5.42578125" style="2" customWidth="1"/>
    <col min="1527" max="1527" width="8.85546875" style="2" bestFit="1" customWidth="1"/>
    <col min="1528" max="1530" width="12.7109375" style="2" customWidth="1"/>
    <col min="1531" max="1532" width="14" style="2" customWidth="1"/>
    <col min="1533" max="1533" width="15.85546875" style="2" customWidth="1"/>
    <col min="1534" max="1534" width="11.5703125" style="2" customWidth="1"/>
    <col min="1535" max="1779" width="11.42578125" style="2"/>
    <col min="1780" max="1780" width="12.28515625" style="2" customWidth="1"/>
    <col min="1781" max="1781" width="50.7109375" style="2" customWidth="1"/>
    <col min="1782" max="1782" width="5.42578125" style="2" customWidth="1"/>
    <col min="1783" max="1783" width="8.85546875" style="2" bestFit="1" customWidth="1"/>
    <col min="1784" max="1786" width="12.7109375" style="2" customWidth="1"/>
    <col min="1787" max="1788" width="14" style="2" customWidth="1"/>
    <col min="1789" max="1789" width="15.85546875" style="2" customWidth="1"/>
    <col min="1790" max="1790" width="11.5703125" style="2" customWidth="1"/>
    <col min="1791" max="2035" width="11.42578125" style="2"/>
    <col min="2036" max="2036" width="12.28515625" style="2" customWidth="1"/>
    <col min="2037" max="2037" width="50.7109375" style="2" customWidth="1"/>
    <col min="2038" max="2038" width="5.42578125" style="2" customWidth="1"/>
    <col min="2039" max="2039" width="8.85546875" style="2" bestFit="1" customWidth="1"/>
    <col min="2040" max="2042" width="12.7109375" style="2" customWidth="1"/>
    <col min="2043" max="2044" width="14" style="2" customWidth="1"/>
    <col min="2045" max="2045" width="15.85546875" style="2" customWidth="1"/>
    <col min="2046" max="2046" width="11.5703125" style="2" customWidth="1"/>
    <col min="2047" max="2291" width="11.42578125" style="2"/>
    <col min="2292" max="2292" width="12.28515625" style="2" customWidth="1"/>
    <col min="2293" max="2293" width="50.7109375" style="2" customWidth="1"/>
    <col min="2294" max="2294" width="5.42578125" style="2" customWidth="1"/>
    <col min="2295" max="2295" width="8.85546875" style="2" bestFit="1" customWidth="1"/>
    <col min="2296" max="2298" width="12.7109375" style="2" customWidth="1"/>
    <col min="2299" max="2300" width="14" style="2" customWidth="1"/>
    <col min="2301" max="2301" width="15.85546875" style="2" customWidth="1"/>
    <col min="2302" max="2302" width="11.5703125" style="2" customWidth="1"/>
    <col min="2303" max="2547" width="11.42578125" style="2"/>
    <col min="2548" max="2548" width="12.28515625" style="2" customWidth="1"/>
    <col min="2549" max="2549" width="50.7109375" style="2" customWidth="1"/>
    <col min="2550" max="2550" width="5.42578125" style="2" customWidth="1"/>
    <col min="2551" max="2551" width="8.85546875" style="2" bestFit="1" customWidth="1"/>
    <col min="2552" max="2554" width="12.7109375" style="2" customWidth="1"/>
    <col min="2555" max="2556" width="14" style="2" customWidth="1"/>
    <col min="2557" max="2557" width="15.85546875" style="2" customWidth="1"/>
    <col min="2558" max="2558" width="11.5703125" style="2" customWidth="1"/>
    <col min="2559" max="2803" width="11.42578125" style="2"/>
    <col min="2804" max="2804" width="12.28515625" style="2" customWidth="1"/>
    <col min="2805" max="2805" width="50.7109375" style="2" customWidth="1"/>
    <col min="2806" max="2806" width="5.42578125" style="2" customWidth="1"/>
    <col min="2807" max="2807" width="8.85546875" style="2" bestFit="1" customWidth="1"/>
    <col min="2808" max="2810" width="12.7109375" style="2" customWidth="1"/>
    <col min="2811" max="2812" width="14" style="2" customWidth="1"/>
    <col min="2813" max="2813" width="15.85546875" style="2" customWidth="1"/>
    <col min="2814" max="2814" width="11.5703125" style="2" customWidth="1"/>
    <col min="2815" max="3059" width="11.42578125" style="2"/>
    <col min="3060" max="3060" width="12.28515625" style="2" customWidth="1"/>
    <col min="3061" max="3061" width="50.7109375" style="2" customWidth="1"/>
    <col min="3062" max="3062" width="5.42578125" style="2" customWidth="1"/>
    <col min="3063" max="3063" width="8.85546875" style="2" bestFit="1" customWidth="1"/>
    <col min="3064" max="3066" width="12.7109375" style="2" customWidth="1"/>
    <col min="3067" max="3068" width="14" style="2" customWidth="1"/>
    <col min="3069" max="3069" width="15.85546875" style="2" customWidth="1"/>
    <col min="3070" max="3070" width="11.5703125" style="2" customWidth="1"/>
    <col min="3071" max="3315" width="11.42578125" style="2"/>
    <col min="3316" max="3316" width="12.28515625" style="2" customWidth="1"/>
    <col min="3317" max="3317" width="50.7109375" style="2" customWidth="1"/>
    <col min="3318" max="3318" width="5.42578125" style="2" customWidth="1"/>
    <col min="3319" max="3319" width="8.85546875" style="2" bestFit="1" customWidth="1"/>
    <col min="3320" max="3322" width="12.7109375" style="2" customWidth="1"/>
    <col min="3323" max="3324" width="14" style="2" customWidth="1"/>
    <col min="3325" max="3325" width="15.85546875" style="2" customWidth="1"/>
    <col min="3326" max="3326" width="11.5703125" style="2" customWidth="1"/>
    <col min="3327" max="3571" width="11.42578125" style="2"/>
    <col min="3572" max="3572" width="12.28515625" style="2" customWidth="1"/>
    <col min="3573" max="3573" width="50.7109375" style="2" customWidth="1"/>
    <col min="3574" max="3574" width="5.42578125" style="2" customWidth="1"/>
    <col min="3575" max="3575" width="8.85546875" style="2" bestFit="1" customWidth="1"/>
    <col min="3576" max="3578" width="12.7109375" style="2" customWidth="1"/>
    <col min="3579" max="3580" width="14" style="2" customWidth="1"/>
    <col min="3581" max="3581" width="15.85546875" style="2" customWidth="1"/>
    <col min="3582" max="3582" width="11.5703125" style="2" customWidth="1"/>
    <col min="3583" max="3827" width="11.42578125" style="2"/>
    <col min="3828" max="3828" width="12.28515625" style="2" customWidth="1"/>
    <col min="3829" max="3829" width="50.7109375" style="2" customWidth="1"/>
    <col min="3830" max="3830" width="5.42578125" style="2" customWidth="1"/>
    <col min="3831" max="3831" width="8.85546875" style="2" bestFit="1" customWidth="1"/>
    <col min="3832" max="3834" width="12.7109375" style="2" customWidth="1"/>
    <col min="3835" max="3836" width="14" style="2" customWidth="1"/>
    <col min="3837" max="3837" width="15.85546875" style="2" customWidth="1"/>
    <col min="3838" max="3838" width="11.5703125" style="2" customWidth="1"/>
    <col min="3839" max="4083" width="11.42578125" style="2"/>
    <col min="4084" max="4084" width="12.28515625" style="2" customWidth="1"/>
    <col min="4085" max="4085" width="50.7109375" style="2" customWidth="1"/>
    <col min="4086" max="4086" width="5.42578125" style="2" customWidth="1"/>
    <col min="4087" max="4087" width="8.85546875" style="2" bestFit="1" customWidth="1"/>
    <col min="4088" max="4090" width="12.7109375" style="2" customWidth="1"/>
    <col min="4091" max="4092" width="14" style="2" customWidth="1"/>
    <col min="4093" max="4093" width="15.85546875" style="2" customWidth="1"/>
    <col min="4094" max="4094" width="11.5703125" style="2" customWidth="1"/>
    <col min="4095" max="4339" width="11.42578125" style="2"/>
    <col min="4340" max="4340" width="12.28515625" style="2" customWidth="1"/>
    <col min="4341" max="4341" width="50.7109375" style="2" customWidth="1"/>
    <col min="4342" max="4342" width="5.42578125" style="2" customWidth="1"/>
    <col min="4343" max="4343" width="8.85546875" style="2" bestFit="1" customWidth="1"/>
    <col min="4344" max="4346" width="12.7109375" style="2" customWidth="1"/>
    <col min="4347" max="4348" width="14" style="2" customWidth="1"/>
    <col min="4349" max="4349" width="15.85546875" style="2" customWidth="1"/>
    <col min="4350" max="4350" width="11.5703125" style="2" customWidth="1"/>
    <col min="4351" max="4595" width="11.42578125" style="2"/>
    <col min="4596" max="4596" width="12.28515625" style="2" customWidth="1"/>
    <col min="4597" max="4597" width="50.7109375" style="2" customWidth="1"/>
    <col min="4598" max="4598" width="5.42578125" style="2" customWidth="1"/>
    <col min="4599" max="4599" width="8.85546875" style="2" bestFit="1" customWidth="1"/>
    <col min="4600" max="4602" width="12.7109375" style="2" customWidth="1"/>
    <col min="4603" max="4604" width="14" style="2" customWidth="1"/>
    <col min="4605" max="4605" width="15.85546875" style="2" customWidth="1"/>
    <col min="4606" max="4606" width="11.5703125" style="2" customWidth="1"/>
    <col min="4607" max="4851" width="11.42578125" style="2"/>
    <col min="4852" max="4852" width="12.28515625" style="2" customWidth="1"/>
    <col min="4853" max="4853" width="50.7109375" style="2" customWidth="1"/>
    <col min="4854" max="4854" width="5.42578125" style="2" customWidth="1"/>
    <col min="4855" max="4855" width="8.85546875" style="2" bestFit="1" customWidth="1"/>
    <col min="4856" max="4858" width="12.7109375" style="2" customWidth="1"/>
    <col min="4859" max="4860" width="14" style="2" customWidth="1"/>
    <col min="4861" max="4861" width="15.85546875" style="2" customWidth="1"/>
    <col min="4862" max="4862" width="11.5703125" style="2" customWidth="1"/>
    <col min="4863" max="5107" width="11.42578125" style="2"/>
    <col min="5108" max="5108" width="12.28515625" style="2" customWidth="1"/>
    <col min="5109" max="5109" width="50.7109375" style="2" customWidth="1"/>
    <col min="5110" max="5110" width="5.42578125" style="2" customWidth="1"/>
    <col min="5111" max="5111" width="8.85546875" style="2" bestFit="1" customWidth="1"/>
    <col min="5112" max="5114" width="12.7109375" style="2" customWidth="1"/>
    <col min="5115" max="5116" width="14" style="2" customWidth="1"/>
    <col min="5117" max="5117" width="15.85546875" style="2" customWidth="1"/>
    <col min="5118" max="5118" width="11.5703125" style="2" customWidth="1"/>
    <col min="5119" max="5363" width="11.42578125" style="2"/>
    <col min="5364" max="5364" width="12.28515625" style="2" customWidth="1"/>
    <col min="5365" max="5365" width="50.7109375" style="2" customWidth="1"/>
    <col min="5366" max="5366" width="5.42578125" style="2" customWidth="1"/>
    <col min="5367" max="5367" width="8.85546875" style="2" bestFit="1" customWidth="1"/>
    <col min="5368" max="5370" width="12.7109375" style="2" customWidth="1"/>
    <col min="5371" max="5372" width="14" style="2" customWidth="1"/>
    <col min="5373" max="5373" width="15.85546875" style="2" customWidth="1"/>
    <col min="5374" max="5374" width="11.5703125" style="2" customWidth="1"/>
    <col min="5375" max="5619" width="11.42578125" style="2"/>
    <col min="5620" max="5620" width="12.28515625" style="2" customWidth="1"/>
    <col min="5621" max="5621" width="50.7109375" style="2" customWidth="1"/>
    <col min="5622" max="5622" width="5.42578125" style="2" customWidth="1"/>
    <col min="5623" max="5623" width="8.85546875" style="2" bestFit="1" customWidth="1"/>
    <col min="5624" max="5626" width="12.7109375" style="2" customWidth="1"/>
    <col min="5627" max="5628" width="14" style="2" customWidth="1"/>
    <col min="5629" max="5629" width="15.85546875" style="2" customWidth="1"/>
    <col min="5630" max="5630" width="11.5703125" style="2" customWidth="1"/>
    <col min="5631" max="5875" width="11.42578125" style="2"/>
    <col min="5876" max="5876" width="12.28515625" style="2" customWidth="1"/>
    <col min="5877" max="5877" width="50.7109375" style="2" customWidth="1"/>
    <col min="5878" max="5878" width="5.42578125" style="2" customWidth="1"/>
    <col min="5879" max="5879" width="8.85546875" style="2" bestFit="1" customWidth="1"/>
    <col min="5880" max="5882" width="12.7109375" style="2" customWidth="1"/>
    <col min="5883" max="5884" width="14" style="2" customWidth="1"/>
    <col min="5885" max="5885" width="15.85546875" style="2" customWidth="1"/>
    <col min="5886" max="5886" width="11.5703125" style="2" customWidth="1"/>
    <col min="5887" max="6131" width="11.42578125" style="2"/>
    <col min="6132" max="6132" width="12.28515625" style="2" customWidth="1"/>
    <col min="6133" max="6133" width="50.7109375" style="2" customWidth="1"/>
    <col min="6134" max="6134" width="5.42578125" style="2" customWidth="1"/>
    <col min="6135" max="6135" width="8.85546875" style="2" bestFit="1" customWidth="1"/>
    <col min="6136" max="6138" width="12.7109375" style="2" customWidth="1"/>
    <col min="6139" max="6140" width="14" style="2" customWidth="1"/>
    <col min="6141" max="6141" width="15.85546875" style="2" customWidth="1"/>
    <col min="6142" max="6142" width="11.5703125" style="2" customWidth="1"/>
    <col min="6143" max="6387" width="11.42578125" style="2"/>
    <col min="6388" max="6388" width="12.28515625" style="2" customWidth="1"/>
    <col min="6389" max="6389" width="50.7109375" style="2" customWidth="1"/>
    <col min="6390" max="6390" width="5.42578125" style="2" customWidth="1"/>
    <col min="6391" max="6391" width="8.85546875" style="2" bestFit="1" customWidth="1"/>
    <col min="6392" max="6394" width="12.7109375" style="2" customWidth="1"/>
    <col min="6395" max="6396" width="14" style="2" customWidth="1"/>
    <col min="6397" max="6397" width="15.85546875" style="2" customWidth="1"/>
    <col min="6398" max="6398" width="11.5703125" style="2" customWidth="1"/>
    <col min="6399" max="6643" width="11.42578125" style="2"/>
    <col min="6644" max="6644" width="12.28515625" style="2" customWidth="1"/>
    <col min="6645" max="6645" width="50.7109375" style="2" customWidth="1"/>
    <col min="6646" max="6646" width="5.42578125" style="2" customWidth="1"/>
    <col min="6647" max="6647" width="8.85546875" style="2" bestFit="1" customWidth="1"/>
    <col min="6648" max="6650" width="12.7109375" style="2" customWidth="1"/>
    <col min="6651" max="6652" width="14" style="2" customWidth="1"/>
    <col min="6653" max="6653" width="15.85546875" style="2" customWidth="1"/>
    <col min="6654" max="6654" width="11.5703125" style="2" customWidth="1"/>
    <col min="6655" max="6899" width="11.42578125" style="2"/>
    <col min="6900" max="6900" width="12.28515625" style="2" customWidth="1"/>
    <col min="6901" max="6901" width="50.7109375" style="2" customWidth="1"/>
    <col min="6902" max="6902" width="5.42578125" style="2" customWidth="1"/>
    <col min="6903" max="6903" width="8.85546875" style="2" bestFit="1" customWidth="1"/>
    <col min="6904" max="6906" width="12.7109375" style="2" customWidth="1"/>
    <col min="6907" max="6908" width="14" style="2" customWidth="1"/>
    <col min="6909" max="6909" width="15.85546875" style="2" customWidth="1"/>
    <col min="6910" max="6910" width="11.5703125" style="2" customWidth="1"/>
    <col min="6911" max="7155" width="11.42578125" style="2"/>
    <col min="7156" max="7156" width="12.28515625" style="2" customWidth="1"/>
    <col min="7157" max="7157" width="50.7109375" style="2" customWidth="1"/>
    <col min="7158" max="7158" width="5.42578125" style="2" customWidth="1"/>
    <col min="7159" max="7159" width="8.85546875" style="2" bestFit="1" customWidth="1"/>
    <col min="7160" max="7162" width="12.7109375" style="2" customWidth="1"/>
    <col min="7163" max="7164" width="14" style="2" customWidth="1"/>
    <col min="7165" max="7165" width="15.85546875" style="2" customWidth="1"/>
    <col min="7166" max="7166" width="11.5703125" style="2" customWidth="1"/>
    <col min="7167" max="7411" width="11.42578125" style="2"/>
    <col min="7412" max="7412" width="12.28515625" style="2" customWidth="1"/>
    <col min="7413" max="7413" width="50.7109375" style="2" customWidth="1"/>
    <col min="7414" max="7414" width="5.42578125" style="2" customWidth="1"/>
    <col min="7415" max="7415" width="8.85546875" style="2" bestFit="1" customWidth="1"/>
    <col min="7416" max="7418" width="12.7109375" style="2" customWidth="1"/>
    <col min="7419" max="7420" width="14" style="2" customWidth="1"/>
    <col min="7421" max="7421" width="15.85546875" style="2" customWidth="1"/>
    <col min="7422" max="7422" width="11.5703125" style="2" customWidth="1"/>
    <col min="7423" max="7667" width="11.42578125" style="2"/>
    <col min="7668" max="7668" width="12.28515625" style="2" customWidth="1"/>
    <col min="7669" max="7669" width="50.7109375" style="2" customWidth="1"/>
    <col min="7670" max="7670" width="5.42578125" style="2" customWidth="1"/>
    <col min="7671" max="7671" width="8.85546875" style="2" bestFit="1" customWidth="1"/>
    <col min="7672" max="7674" width="12.7109375" style="2" customWidth="1"/>
    <col min="7675" max="7676" width="14" style="2" customWidth="1"/>
    <col min="7677" max="7677" width="15.85546875" style="2" customWidth="1"/>
    <col min="7678" max="7678" width="11.5703125" style="2" customWidth="1"/>
    <col min="7679" max="7923" width="11.42578125" style="2"/>
    <col min="7924" max="7924" width="12.28515625" style="2" customWidth="1"/>
    <col min="7925" max="7925" width="50.7109375" style="2" customWidth="1"/>
    <col min="7926" max="7926" width="5.42578125" style="2" customWidth="1"/>
    <col min="7927" max="7927" width="8.85546875" style="2" bestFit="1" customWidth="1"/>
    <col min="7928" max="7930" width="12.7109375" style="2" customWidth="1"/>
    <col min="7931" max="7932" width="14" style="2" customWidth="1"/>
    <col min="7933" max="7933" width="15.85546875" style="2" customWidth="1"/>
    <col min="7934" max="7934" width="11.5703125" style="2" customWidth="1"/>
    <col min="7935" max="8179" width="11.42578125" style="2"/>
    <col min="8180" max="8180" width="12.28515625" style="2" customWidth="1"/>
    <col min="8181" max="8181" width="50.7109375" style="2" customWidth="1"/>
    <col min="8182" max="8182" width="5.42578125" style="2" customWidth="1"/>
    <col min="8183" max="8183" width="8.85546875" style="2" bestFit="1" customWidth="1"/>
    <col min="8184" max="8186" width="12.7109375" style="2" customWidth="1"/>
    <col min="8187" max="8188" width="14" style="2" customWidth="1"/>
    <col min="8189" max="8189" width="15.85546875" style="2" customWidth="1"/>
    <col min="8190" max="8190" width="11.5703125" style="2" customWidth="1"/>
    <col min="8191" max="8435" width="11.42578125" style="2"/>
    <col min="8436" max="8436" width="12.28515625" style="2" customWidth="1"/>
    <col min="8437" max="8437" width="50.7109375" style="2" customWidth="1"/>
    <col min="8438" max="8438" width="5.42578125" style="2" customWidth="1"/>
    <col min="8439" max="8439" width="8.85546875" style="2" bestFit="1" customWidth="1"/>
    <col min="8440" max="8442" width="12.7109375" style="2" customWidth="1"/>
    <col min="8443" max="8444" width="14" style="2" customWidth="1"/>
    <col min="8445" max="8445" width="15.85546875" style="2" customWidth="1"/>
    <col min="8446" max="8446" width="11.5703125" style="2" customWidth="1"/>
    <col min="8447" max="8691" width="11.42578125" style="2"/>
    <col min="8692" max="8692" width="12.28515625" style="2" customWidth="1"/>
    <col min="8693" max="8693" width="50.7109375" style="2" customWidth="1"/>
    <col min="8694" max="8694" width="5.42578125" style="2" customWidth="1"/>
    <col min="8695" max="8695" width="8.85546875" style="2" bestFit="1" customWidth="1"/>
    <col min="8696" max="8698" width="12.7109375" style="2" customWidth="1"/>
    <col min="8699" max="8700" width="14" style="2" customWidth="1"/>
    <col min="8701" max="8701" width="15.85546875" style="2" customWidth="1"/>
    <col min="8702" max="8702" width="11.5703125" style="2" customWidth="1"/>
    <col min="8703" max="8947" width="11.42578125" style="2"/>
    <col min="8948" max="8948" width="12.28515625" style="2" customWidth="1"/>
    <col min="8949" max="8949" width="50.7109375" style="2" customWidth="1"/>
    <col min="8950" max="8950" width="5.42578125" style="2" customWidth="1"/>
    <col min="8951" max="8951" width="8.85546875" style="2" bestFit="1" customWidth="1"/>
    <col min="8952" max="8954" width="12.7109375" style="2" customWidth="1"/>
    <col min="8955" max="8956" width="14" style="2" customWidth="1"/>
    <col min="8957" max="8957" width="15.85546875" style="2" customWidth="1"/>
    <col min="8958" max="8958" width="11.5703125" style="2" customWidth="1"/>
    <col min="8959" max="9203" width="11.42578125" style="2"/>
    <col min="9204" max="9204" width="12.28515625" style="2" customWidth="1"/>
    <col min="9205" max="9205" width="50.7109375" style="2" customWidth="1"/>
    <col min="9206" max="9206" width="5.42578125" style="2" customWidth="1"/>
    <col min="9207" max="9207" width="8.85546875" style="2" bestFit="1" customWidth="1"/>
    <col min="9208" max="9210" width="12.7109375" style="2" customWidth="1"/>
    <col min="9211" max="9212" width="14" style="2" customWidth="1"/>
    <col min="9213" max="9213" width="15.85546875" style="2" customWidth="1"/>
    <col min="9214" max="9214" width="11.5703125" style="2" customWidth="1"/>
    <col min="9215" max="9459" width="11.42578125" style="2"/>
    <col min="9460" max="9460" width="12.28515625" style="2" customWidth="1"/>
    <col min="9461" max="9461" width="50.7109375" style="2" customWidth="1"/>
    <col min="9462" max="9462" width="5.42578125" style="2" customWidth="1"/>
    <col min="9463" max="9463" width="8.85546875" style="2" bestFit="1" customWidth="1"/>
    <col min="9464" max="9466" width="12.7109375" style="2" customWidth="1"/>
    <col min="9467" max="9468" width="14" style="2" customWidth="1"/>
    <col min="9469" max="9469" width="15.85546875" style="2" customWidth="1"/>
    <col min="9470" max="9470" width="11.5703125" style="2" customWidth="1"/>
    <col min="9471" max="9715" width="11.42578125" style="2"/>
    <col min="9716" max="9716" width="12.28515625" style="2" customWidth="1"/>
    <col min="9717" max="9717" width="50.7109375" style="2" customWidth="1"/>
    <col min="9718" max="9718" width="5.42578125" style="2" customWidth="1"/>
    <col min="9719" max="9719" width="8.85546875" style="2" bestFit="1" customWidth="1"/>
    <col min="9720" max="9722" width="12.7109375" style="2" customWidth="1"/>
    <col min="9723" max="9724" width="14" style="2" customWidth="1"/>
    <col min="9725" max="9725" width="15.85546875" style="2" customWidth="1"/>
    <col min="9726" max="9726" width="11.5703125" style="2" customWidth="1"/>
    <col min="9727" max="9971" width="11.42578125" style="2"/>
    <col min="9972" max="9972" width="12.28515625" style="2" customWidth="1"/>
    <col min="9973" max="9973" width="50.7109375" style="2" customWidth="1"/>
    <col min="9974" max="9974" width="5.42578125" style="2" customWidth="1"/>
    <col min="9975" max="9975" width="8.85546875" style="2" bestFit="1" customWidth="1"/>
    <col min="9976" max="9978" width="12.7109375" style="2" customWidth="1"/>
    <col min="9979" max="9980" width="14" style="2" customWidth="1"/>
    <col min="9981" max="9981" width="15.85546875" style="2" customWidth="1"/>
    <col min="9982" max="9982" width="11.5703125" style="2" customWidth="1"/>
    <col min="9983" max="10227" width="11.42578125" style="2"/>
    <col min="10228" max="10228" width="12.28515625" style="2" customWidth="1"/>
    <col min="10229" max="10229" width="50.7109375" style="2" customWidth="1"/>
    <col min="10230" max="10230" width="5.42578125" style="2" customWidth="1"/>
    <col min="10231" max="10231" width="8.85546875" style="2" bestFit="1" customWidth="1"/>
    <col min="10232" max="10234" width="12.7109375" style="2" customWidth="1"/>
    <col min="10235" max="10236" width="14" style="2" customWidth="1"/>
    <col min="10237" max="10237" width="15.85546875" style="2" customWidth="1"/>
    <col min="10238" max="10238" width="11.5703125" style="2" customWidth="1"/>
    <col min="10239" max="10483" width="11.42578125" style="2"/>
    <col min="10484" max="10484" width="12.28515625" style="2" customWidth="1"/>
    <col min="10485" max="10485" width="50.7109375" style="2" customWidth="1"/>
    <col min="10486" max="10486" width="5.42578125" style="2" customWidth="1"/>
    <col min="10487" max="10487" width="8.85546875" style="2" bestFit="1" customWidth="1"/>
    <col min="10488" max="10490" width="12.7109375" style="2" customWidth="1"/>
    <col min="10491" max="10492" width="14" style="2" customWidth="1"/>
    <col min="10493" max="10493" width="15.85546875" style="2" customWidth="1"/>
    <col min="10494" max="10494" width="11.5703125" style="2" customWidth="1"/>
    <col min="10495" max="10739" width="11.42578125" style="2"/>
    <col min="10740" max="10740" width="12.28515625" style="2" customWidth="1"/>
    <col min="10741" max="10741" width="50.7109375" style="2" customWidth="1"/>
    <col min="10742" max="10742" width="5.42578125" style="2" customWidth="1"/>
    <col min="10743" max="10743" width="8.85546875" style="2" bestFit="1" customWidth="1"/>
    <col min="10744" max="10746" width="12.7109375" style="2" customWidth="1"/>
    <col min="10747" max="10748" width="14" style="2" customWidth="1"/>
    <col min="10749" max="10749" width="15.85546875" style="2" customWidth="1"/>
    <col min="10750" max="10750" width="11.5703125" style="2" customWidth="1"/>
    <col min="10751" max="10995" width="11.42578125" style="2"/>
    <col min="10996" max="10996" width="12.28515625" style="2" customWidth="1"/>
    <col min="10997" max="10997" width="50.7109375" style="2" customWidth="1"/>
    <col min="10998" max="10998" width="5.42578125" style="2" customWidth="1"/>
    <col min="10999" max="10999" width="8.85546875" style="2" bestFit="1" customWidth="1"/>
    <col min="11000" max="11002" width="12.7109375" style="2" customWidth="1"/>
    <col min="11003" max="11004" width="14" style="2" customWidth="1"/>
    <col min="11005" max="11005" width="15.85546875" style="2" customWidth="1"/>
    <col min="11006" max="11006" width="11.5703125" style="2" customWidth="1"/>
    <col min="11007" max="11251" width="11.42578125" style="2"/>
    <col min="11252" max="11252" width="12.28515625" style="2" customWidth="1"/>
    <col min="11253" max="11253" width="50.7109375" style="2" customWidth="1"/>
    <col min="11254" max="11254" width="5.42578125" style="2" customWidth="1"/>
    <col min="11255" max="11255" width="8.85546875" style="2" bestFit="1" customWidth="1"/>
    <col min="11256" max="11258" width="12.7109375" style="2" customWidth="1"/>
    <col min="11259" max="11260" width="14" style="2" customWidth="1"/>
    <col min="11261" max="11261" width="15.85546875" style="2" customWidth="1"/>
    <col min="11262" max="11262" width="11.5703125" style="2" customWidth="1"/>
    <col min="11263" max="11507" width="11.42578125" style="2"/>
    <col min="11508" max="11508" width="12.28515625" style="2" customWidth="1"/>
    <col min="11509" max="11509" width="50.7109375" style="2" customWidth="1"/>
    <col min="11510" max="11510" width="5.42578125" style="2" customWidth="1"/>
    <col min="11511" max="11511" width="8.85546875" style="2" bestFit="1" customWidth="1"/>
    <col min="11512" max="11514" width="12.7109375" style="2" customWidth="1"/>
    <col min="11515" max="11516" width="14" style="2" customWidth="1"/>
    <col min="11517" max="11517" width="15.85546875" style="2" customWidth="1"/>
    <col min="11518" max="11518" width="11.5703125" style="2" customWidth="1"/>
    <col min="11519" max="11763" width="11.42578125" style="2"/>
    <col min="11764" max="11764" width="12.28515625" style="2" customWidth="1"/>
    <col min="11765" max="11765" width="50.7109375" style="2" customWidth="1"/>
    <col min="11766" max="11766" width="5.42578125" style="2" customWidth="1"/>
    <col min="11767" max="11767" width="8.85546875" style="2" bestFit="1" customWidth="1"/>
    <col min="11768" max="11770" width="12.7109375" style="2" customWidth="1"/>
    <col min="11771" max="11772" width="14" style="2" customWidth="1"/>
    <col min="11773" max="11773" width="15.85546875" style="2" customWidth="1"/>
    <col min="11774" max="11774" width="11.5703125" style="2" customWidth="1"/>
    <col min="11775" max="12019" width="11.42578125" style="2"/>
    <col min="12020" max="12020" width="12.28515625" style="2" customWidth="1"/>
    <col min="12021" max="12021" width="50.7109375" style="2" customWidth="1"/>
    <col min="12022" max="12022" width="5.42578125" style="2" customWidth="1"/>
    <col min="12023" max="12023" width="8.85546875" style="2" bestFit="1" customWidth="1"/>
    <col min="12024" max="12026" width="12.7109375" style="2" customWidth="1"/>
    <col min="12027" max="12028" width="14" style="2" customWidth="1"/>
    <col min="12029" max="12029" width="15.85546875" style="2" customWidth="1"/>
    <col min="12030" max="12030" width="11.5703125" style="2" customWidth="1"/>
    <col min="12031" max="12275" width="11.42578125" style="2"/>
    <col min="12276" max="12276" width="12.28515625" style="2" customWidth="1"/>
    <col min="12277" max="12277" width="50.7109375" style="2" customWidth="1"/>
    <col min="12278" max="12278" width="5.42578125" style="2" customWidth="1"/>
    <col min="12279" max="12279" width="8.85546875" style="2" bestFit="1" customWidth="1"/>
    <col min="12280" max="12282" width="12.7109375" style="2" customWidth="1"/>
    <col min="12283" max="12284" width="14" style="2" customWidth="1"/>
    <col min="12285" max="12285" width="15.85546875" style="2" customWidth="1"/>
    <col min="12286" max="12286" width="11.5703125" style="2" customWidth="1"/>
    <col min="12287" max="12531" width="11.42578125" style="2"/>
    <col min="12532" max="12532" width="12.28515625" style="2" customWidth="1"/>
    <col min="12533" max="12533" width="50.7109375" style="2" customWidth="1"/>
    <col min="12534" max="12534" width="5.42578125" style="2" customWidth="1"/>
    <col min="12535" max="12535" width="8.85546875" style="2" bestFit="1" customWidth="1"/>
    <col min="12536" max="12538" width="12.7109375" style="2" customWidth="1"/>
    <col min="12539" max="12540" width="14" style="2" customWidth="1"/>
    <col min="12541" max="12541" width="15.85546875" style="2" customWidth="1"/>
    <col min="12542" max="12542" width="11.5703125" style="2" customWidth="1"/>
    <col min="12543" max="12787" width="11.42578125" style="2"/>
    <col min="12788" max="12788" width="12.28515625" style="2" customWidth="1"/>
    <col min="12789" max="12789" width="50.7109375" style="2" customWidth="1"/>
    <col min="12790" max="12790" width="5.42578125" style="2" customWidth="1"/>
    <col min="12791" max="12791" width="8.85546875" style="2" bestFit="1" customWidth="1"/>
    <col min="12792" max="12794" width="12.7109375" style="2" customWidth="1"/>
    <col min="12795" max="12796" width="14" style="2" customWidth="1"/>
    <col min="12797" max="12797" width="15.85546875" style="2" customWidth="1"/>
    <col min="12798" max="12798" width="11.5703125" style="2" customWidth="1"/>
    <col min="12799" max="13043" width="11.42578125" style="2"/>
    <col min="13044" max="13044" width="12.28515625" style="2" customWidth="1"/>
    <col min="13045" max="13045" width="50.7109375" style="2" customWidth="1"/>
    <col min="13046" max="13046" width="5.42578125" style="2" customWidth="1"/>
    <col min="13047" max="13047" width="8.85546875" style="2" bestFit="1" customWidth="1"/>
    <col min="13048" max="13050" width="12.7109375" style="2" customWidth="1"/>
    <col min="13051" max="13052" width="14" style="2" customWidth="1"/>
    <col min="13053" max="13053" width="15.85546875" style="2" customWidth="1"/>
    <col min="13054" max="13054" width="11.5703125" style="2" customWidth="1"/>
    <col min="13055" max="13299" width="11.42578125" style="2"/>
    <col min="13300" max="13300" width="12.28515625" style="2" customWidth="1"/>
    <col min="13301" max="13301" width="50.7109375" style="2" customWidth="1"/>
    <col min="13302" max="13302" width="5.42578125" style="2" customWidth="1"/>
    <col min="13303" max="13303" width="8.85546875" style="2" bestFit="1" customWidth="1"/>
    <col min="13304" max="13306" width="12.7109375" style="2" customWidth="1"/>
    <col min="13307" max="13308" width="14" style="2" customWidth="1"/>
    <col min="13309" max="13309" width="15.85546875" style="2" customWidth="1"/>
    <col min="13310" max="13310" width="11.5703125" style="2" customWidth="1"/>
    <col min="13311" max="13555" width="11.42578125" style="2"/>
    <col min="13556" max="13556" width="12.28515625" style="2" customWidth="1"/>
    <col min="13557" max="13557" width="50.7109375" style="2" customWidth="1"/>
    <col min="13558" max="13558" width="5.42578125" style="2" customWidth="1"/>
    <col min="13559" max="13559" width="8.85546875" style="2" bestFit="1" customWidth="1"/>
    <col min="13560" max="13562" width="12.7109375" style="2" customWidth="1"/>
    <col min="13563" max="13564" width="14" style="2" customWidth="1"/>
    <col min="13565" max="13565" width="15.85546875" style="2" customWidth="1"/>
    <col min="13566" max="13566" width="11.5703125" style="2" customWidth="1"/>
    <col min="13567" max="13811" width="11.42578125" style="2"/>
    <col min="13812" max="13812" width="12.28515625" style="2" customWidth="1"/>
    <col min="13813" max="13813" width="50.7109375" style="2" customWidth="1"/>
    <col min="13814" max="13814" width="5.42578125" style="2" customWidth="1"/>
    <col min="13815" max="13815" width="8.85546875" style="2" bestFit="1" customWidth="1"/>
    <col min="13816" max="13818" width="12.7109375" style="2" customWidth="1"/>
    <col min="13819" max="13820" width="14" style="2" customWidth="1"/>
    <col min="13821" max="13821" width="15.85546875" style="2" customWidth="1"/>
    <col min="13822" max="13822" width="11.5703125" style="2" customWidth="1"/>
    <col min="13823" max="14067" width="11.42578125" style="2"/>
    <col min="14068" max="14068" width="12.28515625" style="2" customWidth="1"/>
    <col min="14069" max="14069" width="50.7109375" style="2" customWidth="1"/>
    <col min="14070" max="14070" width="5.42578125" style="2" customWidth="1"/>
    <col min="14071" max="14071" width="8.85546875" style="2" bestFit="1" customWidth="1"/>
    <col min="14072" max="14074" width="12.7109375" style="2" customWidth="1"/>
    <col min="14075" max="14076" width="14" style="2" customWidth="1"/>
    <col min="14077" max="14077" width="15.85546875" style="2" customWidth="1"/>
    <col min="14078" max="14078" width="11.5703125" style="2" customWidth="1"/>
    <col min="14079" max="14323" width="11.42578125" style="2"/>
    <col min="14324" max="14324" width="12.28515625" style="2" customWidth="1"/>
    <col min="14325" max="14325" width="50.7109375" style="2" customWidth="1"/>
    <col min="14326" max="14326" width="5.42578125" style="2" customWidth="1"/>
    <col min="14327" max="14327" width="8.85546875" style="2" bestFit="1" customWidth="1"/>
    <col min="14328" max="14330" width="12.7109375" style="2" customWidth="1"/>
    <col min="14331" max="14332" width="14" style="2" customWidth="1"/>
    <col min="14333" max="14333" width="15.85546875" style="2" customWidth="1"/>
    <col min="14334" max="14334" width="11.5703125" style="2" customWidth="1"/>
    <col min="14335" max="14579" width="11.42578125" style="2"/>
    <col min="14580" max="14580" width="12.28515625" style="2" customWidth="1"/>
    <col min="14581" max="14581" width="50.7109375" style="2" customWidth="1"/>
    <col min="14582" max="14582" width="5.42578125" style="2" customWidth="1"/>
    <col min="14583" max="14583" width="8.85546875" style="2" bestFit="1" customWidth="1"/>
    <col min="14584" max="14586" width="12.7109375" style="2" customWidth="1"/>
    <col min="14587" max="14588" width="14" style="2" customWidth="1"/>
    <col min="14589" max="14589" width="15.85546875" style="2" customWidth="1"/>
    <col min="14590" max="14590" width="11.5703125" style="2" customWidth="1"/>
    <col min="14591" max="14835" width="11.42578125" style="2"/>
    <col min="14836" max="14836" width="12.28515625" style="2" customWidth="1"/>
    <col min="14837" max="14837" width="50.7109375" style="2" customWidth="1"/>
    <col min="14838" max="14838" width="5.42578125" style="2" customWidth="1"/>
    <col min="14839" max="14839" width="8.85546875" style="2" bestFit="1" customWidth="1"/>
    <col min="14840" max="14842" width="12.7109375" style="2" customWidth="1"/>
    <col min="14843" max="14844" width="14" style="2" customWidth="1"/>
    <col min="14845" max="14845" width="15.85546875" style="2" customWidth="1"/>
    <col min="14846" max="14846" width="11.5703125" style="2" customWidth="1"/>
    <col min="14847" max="15091" width="11.42578125" style="2"/>
    <col min="15092" max="15092" width="12.28515625" style="2" customWidth="1"/>
    <col min="15093" max="15093" width="50.7109375" style="2" customWidth="1"/>
    <col min="15094" max="15094" width="5.42578125" style="2" customWidth="1"/>
    <col min="15095" max="15095" width="8.85546875" style="2" bestFit="1" customWidth="1"/>
    <col min="15096" max="15098" width="12.7109375" style="2" customWidth="1"/>
    <col min="15099" max="15100" width="14" style="2" customWidth="1"/>
    <col min="15101" max="15101" width="15.85546875" style="2" customWidth="1"/>
    <col min="15102" max="15102" width="11.5703125" style="2" customWidth="1"/>
    <col min="15103" max="15347" width="11.42578125" style="2"/>
    <col min="15348" max="15348" width="12.28515625" style="2" customWidth="1"/>
    <col min="15349" max="15349" width="50.7109375" style="2" customWidth="1"/>
    <col min="15350" max="15350" width="5.42578125" style="2" customWidth="1"/>
    <col min="15351" max="15351" width="8.85546875" style="2" bestFit="1" customWidth="1"/>
    <col min="15352" max="15354" width="12.7109375" style="2" customWidth="1"/>
    <col min="15355" max="15356" width="14" style="2" customWidth="1"/>
    <col min="15357" max="15357" width="15.85546875" style="2" customWidth="1"/>
    <col min="15358" max="15358" width="11.5703125" style="2" customWidth="1"/>
    <col min="15359" max="16384" width="11.42578125" style="2"/>
  </cols>
  <sheetData>
    <row r="1" spans="1:9">
      <c r="A1" s="2"/>
      <c r="B1" s="2"/>
      <c r="C1" s="3"/>
      <c r="G1" s="2"/>
      <c r="I1" s="2"/>
    </row>
    <row r="2" spans="1:9" ht="15">
      <c r="A2" s="1" t="s">
        <v>210</v>
      </c>
      <c r="B2" s="1"/>
      <c r="C2" s="1"/>
      <c r="D2" s="1"/>
      <c r="E2" s="1"/>
      <c r="F2" s="1"/>
      <c r="G2" s="1"/>
      <c r="H2" s="1"/>
      <c r="I2" s="1"/>
    </row>
    <row r="3" spans="1:9">
      <c r="A3" s="2"/>
      <c r="B3" s="2"/>
      <c r="C3" s="3"/>
      <c r="G3" s="2"/>
      <c r="H3" s="107"/>
      <c r="I3" s="2"/>
    </row>
    <row r="4" spans="1:9" ht="12.75">
      <c r="A4" s="108" t="s">
        <v>0</v>
      </c>
      <c r="B4" s="58" t="e">
        <f>#REF!</f>
        <v>#REF!</v>
      </c>
      <c r="C4" s="3"/>
      <c r="G4" s="2"/>
      <c r="H4" s="107"/>
      <c r="I4" s="2"/>
    </row>
    <row r="5" spans="1:9" ht="12.75">
      <c r="A5" s="108" t="s">
        <v>13</v>
      </c>
      <c r="B5" s="58" t="str">
        <f>A2</f>
        <v>GASTOS GENERALES</v>
      </c>
      <c r="C5" s="3"/>
      <c r="G5" s="2"/>
      <c r="H5" s="107"/>
    </row>
    <row r="6" spans="1:9" ht="12.75">
      <c r="A6" s="108" t="s">
        <v>1</v>
      </c>
      <c r="B6" s="59" t="e">
        <f>#REF!</f>
        <v>#REF!</v>
      </c>
      <c r="C6" s="3"/>
      <c r="G6" s="2"/>
      <c r="H6" s="107"/>
      <c r="I6" s="7"/>
    </row>
    <row r="7" spans="1:9" ht="12.75">
      <c r="A7" s="108" t="s">
        <v>2</v>
      </c>
      <c r="B7" s="59" t="e">
        <f>#REF!</f>
        <v>#REF!</v>
      </c>
      <c r="C7" s="3"/>
      <c r="G7" s="2"/>
      <c r="H7" s="107"/>
      <c r="I7" s="2"/>
    </row>
    <row r="8" spans="1:9" ht="12.75">
      <c r="A8" s="2" t="s">
        <v>14</v>
      </c>
      <c r="B8" s="8" t="e">
        <f>#REF!</f>
        <v>#REF!</v>
      </c>
      <c r="C8" s="3"/>
      <c r="G8" s="2"/>
      <c r="H8" s="107"/>
      <c r="I8" s="2"/>
    </row>
    <row r="9" spans="1:9">
      <c r="A9" s="2"/>
      <c r="B9" s="2"/>
    </row>
    <row r="10" spans="1:9" ht="12" thickBot="1">
      <c r="B10" s="109"/>
    </row>
    <row r="11" spans="1:9" ht="25.9" customHeight="1" thickTop="1" thickBot="1">
      <c r="A11" s="10" t="s">
        <v>4</v>
      </c>
      <c r="B11" s="11" t="s">
        <v>15</v>
      </c>
      <c r="C11" s="11" t="s">
        <v>16</v>
      </c>
      <c r="D11" s="110" t="s">
        <v>17</v>
      </c>
      <c r="E11" s="110" t="s">
        <v>211</v>
      </c>
      <c r="F11" s="12" t="s">
        <v>212</v>
      </c>
      <c r="G11" s="12"/>
      <c r="H11" s="111" t="s">
        <v>192</v>
      </c>
      <c r="I11" s="13" t="s">
        <v>12</v>
      </c>
    </row>
    <row r="12" spans="1:9" ht="12.75" thickTop="1" thickBot="1">
      <c r="A12" s="14" t="s">
        <v>213</v>
      </c>
      <c r="B12" s="15" t="s">
        <v>210</v>
      </c>
      <c r="C12" s="16"/>
      <c r="D12" s="112"/>
      <c r="E12" s="113"/>
      <c r="F12" s="113"/>
      <c r="G12" s="17"/>
      <c r="H12" s="114"/>
      <c r="I12" s="18"/>
    </row>
    <row r="13" spans="1:9" ht="12" thickTop="1">
      <c r="A13" s="393">
        <f>A12+0.01</f>
        <v>12.01</v>
      </c>
      <c r="B13" s="19" t="s">
        <v>214</v>
      </c>
      <c r="C13" s="20"/>
      <c r="D13" s="116"/>
      <c r="E13" s="117"/>
      <c r="F13" s="236"/>
      <c r="G13" s="237"/>
      <c r="H13" s="238"/>
      <c r="I13" s="239">
        <f>SUM(H14:H28)</f>
        <v>1962075</v>
      </c>
    </row>
    <row r="14" spans="1:9" outlineLevel="1">
      <c r="A14" s="670">
        <f>A13+0.0001</f>
        <v>12.0101</v>
      </c>
      <c r="B14" s="671" t="s">
        <v>215</v>
      </c>
      <c r="C14" s="23" t="s">
        <v>39</v>
      </c>
      <c r="D14" s="119">
        <v>1</v>
      </c>
      <c r="E14" s="106">
        <v>22</v>
      </c>
      <c r="F14" s="240">
        <v>6000</v>
      </c>
      <c r="G14" s="241"/>
      <c r="H14" s="242">
        <f t="shared" ref="H14:H28" si="0">+ROUND(D14*E14*F14,2)</f>
        <v>132000</v>
      </c>
      <c r="I14" s="241"/>
    </row>
    <row r="15" spans="1:9" outlineLevel="1">
      <c r="A15" s="670">
        <f t="shared" ref="A15:A28" si="1">A14+0.0001</f>
        <v>12.010199999999999</v>
      </c>
      <c r="B15" s="22" t="s">
        <v>216</v>
      </c>
      <c r="C15" s="23" t="s">
        <v>39</v>
      </c>
      <c r="D15" s="118">
        <v>1</v>
      </c>
      <c r="E15" s="106">
        <v>23</v>
      </c>
      <c r="F15" s="240">
        <v>19500</v>
      </c>
      <c r="G15" s="241"/>
      <c r="H15" s="242">
        <f t="shared" si="0"/>
        <v>448500</v>
      </c>
      <c r="I15" s="241"/>
    </row>
    <row r="16" spans="1:9" outlineLevel="1">
      <c r="A16" s="670">
        <f t="shared" si="1"/>
        <v>12.010299999999999</v>
      </c>
      <c r="B16" s="22" t="s">
        <v>217</v>
      </c>
      <c r="C16" s="23" t="s">
        <v>39</v>
      </c>
      <c r="D16" s="118">
        <v>1</v>
      </c>
      <c r="E16" s="106">
        <v>23</v>
      </c>
      <c r="F16" s="240">
        <v>10500</v>
      </c>
      <c r="G16" s="241"/>
      <c r="H16" s="242">
        <f t="shared" si="0"/>
        <v>241500</v>
      </c>
      <c r="I16" s="241"/>
    </row>
    <row r="17" spans="1:9" outlineLevel="1">
      <c r="A17" s="670">
        <f t="shared" si="1"/>
        <v>12.010399999999999</v>
      </c>
      <c r="B17" s="22" t="s">
        <v>218</v>
      </c>
      <c r="C17" s="23" t="s">
        <v>39</v>
      </c>
      <c r="D17" s="118">
        <v>1</v>
      </c>
      <c r="E17" s="106">
        <v>19</v>
      </c>
      <c r="F17" s="240">
        <v>10500</v>
      </c>
      <c r="G17" s="241"/>
      <c r="H17" s="242">
        <f t="shared" si="0"/>
        <v>199500</v>
      </c>
      <c r="I17" s="241"/>
    </row>
    <row r="18" spans="1:9" outlineLevel="1">
      <c r="A18" s="670">
        <f t="shared" si="1"/>
        <v>12.010499999999999</v>
      </c>
      <c r="B18" s="22" t="s">
        <v>219</v>
      </c>
      <c r="C18" s="23" t="s">
        <v>39</v>
      </c>
      <c r="D18" s="118">
        <v>0</v>
      </c>
      <c r="E18" s="106">
        <v>22</v>
      </c>
      <c r="F18" s="240">
        <v>15000</v>
      </c>
      <c r="G18" s="241"/>
      <c r="H18" s="242">
        <f t="shared" si="0"/>
        <v>0</v>
      </c>
      <c r="I18" s="241"/>
    </row>
    <row r="19" spans="1:9" outlineLevel="1">
      <c r="A19" s="670">
        <f t="shared" si="1"/>
        <v>12.010599999999998</v>
      </c>
      <c r="B19" s="22" t="s">
        <v>220</v>
      </c>
      <c r="C19" s="23" t="s">
        <v>39</v>
      </c>
      <c r="D19" s="118">
        <v>1</v>
      </c>
      <c r="E19" s="106">
        <v>17</v>
      </c>
      <c r="F19" s="240">
        <v>8550</v>
      </c>
      <c r="G19" s="241"/>
      <c r="H19" s="242">
        <f t="shared" si="0"/>
        <v>145350</v>
      </c>
      <c r="I19" s="241"/>
    </row>
    <row r="20" spans="1:9" outlineLevel="1">
      <c r="A20" s="670"/>
      <c r="B20" s="22" t="s">
        <v>221</v>
      </c>
      <c r="C20" s="23" t="s">
        <v>39</v>
      </c>
      <c r="D20" s="118">
        <v>1</v>
      </c>
      <c r="E20" s="106">
        <v>6</v>
      </c>
      <c r="F20" s="240">
        <v>5250</v>
      </c>
      <c r="G20" s="241"/>
      <c r="H20" s="242">
        <f t="shared" si="0"/>
        <v>31500</v>
      </c>
      <c r="I20" s="241"/>
    </row>
    <row r="21" spans="1:9" outlineLevel="1">
      <c r="A21" s="670">
        <f>A19+0.0001</f>
        <v>12.010699999999998</v>
      </c>
      <c r="B21" s="22" t="s">
        <v>222</v>
      </c>
      <c r="C21" s="23" t="s">
        <v>39</v>
      </c>
      <c r="D21" s="118">
        <v>0.5</v>
      </c>
      <c r="E21" s="106">
        <v>17</v>
      </c>
      <c r="F21" s="240">
        <v>10500</v>
      </c>
      <c r="G21" s="241"/>
      <c r="H21" s="242">
        <f t="shared" si="0"/>
        <v>89250</v>
      </c>
      <c r="I21" s="241"/>
    </row>
    <row r="22" spans="1:9" outlineLevel="1">
      <c r="A22" s="670">
        <f t="shared" si="1"/>
        <v>12.010799999999998</v>
      </c>
      <c r="B22" s="671" t="s">
        <v>223</v>
      </c>
      <c r="C22" s="23" t="s">
        <v>39</v>
      </c>
      <c r="D22" s="119">
        <v>1</v>
      </c>
      <c r="E22" s="106">
        <v>17</v>
      </c>
      <c r="F22" s="240">
        <v>10500</v>
      </c>
      <c r="G22" s="241"/>
      <c r="H22" s="242">
        <f t="shared" si="0"/>
        <v>178500</v>
      </c>
      <c r="I22" s="241"/>
    </row>
    <row r="23" spans="1:9" outlineLevel="1">
      <c r="A23" s="670"/>
      <c r="B23" s="671" t="s">
        <v>224</v>
      </c>
      <c r="C23" s="23" t="s">
        <v>39</v>
      </c>
      <c r="D23" s="119">
        <v>1</v>
      </c>
      <c r="E23" s="106">
        <v>13.5</v>
      </c>
      <c r="F23" s="240">
        <v>5250</v>
      </c>
      <c r="G23" s="241"/>
      <c r="H23" s="242">
        <f t="shared" si="0"/>
        <v>70875</v>
      </c>
      <c r="I23" s="241"/>
    </row>
    <row r="24" spans="1:9" outlineLevel="1">
      <c r="A24" s="670">
        <f>A22+0.0001</f>
        <v>12.010899999999998</v>
      </c>
      <c r="B24" s="672" t="s">
        <v>225</v>
      </c>
      <c r="C24" s="673" t="s">
        <v>39</v>
      </c>
      <c r="D24" s="118">
        <v>1</v>
      </c>
      <c r="E24" s="106">
        <v>22</v>
      </c>
      <c r="F24" s="240">
        <v>6750</v>
      </c>
      <c r="G24" s="241"/>
      <c r="H24" s="242">
        <f t="shared" si="0"/>
        <v>148500</v>
      </c>
      <c r="I24" s="241"/>
    </row>
    <row r="25" spans="1:9" outlineLevel="1">
      <c r="A25" s="670"/>
      <c r="B25" s="674" t="s">
        <v>226</v>
      </c>
      <c r="C25" s="675" t="s">
        <v>39</v>
      </c>
      <c r="D25" s="126">
        <v>0</v>
      </c>
      <c r="E25" s="127">
        <v>17</v>
      </c>
      <c r="F25" s="243">
        <v>4455.3600000000006</v>
      </c>
      <c r="G25" s="241"/>
      <c r="H25" s="242">
        <f t="shared" si="0"/>
        <v>0</v>
      </c>
      <c r="I25" s="241"/>
    </row>
    <row r="26" spans="1:9" outlineLevel="1">
      <c r="A26" s="670"/>
      <c r="B26" s="674" t="s">
        <v>227</v>
      </c>
      <c r="C26" s="675" t="s">
        <v>39</v>
      </c>
      <c r="D26" s="126">
        <v>0</v>
      </c>
      <c r="E26" s="127">
        <v>22</v>
      </c>
      <c r="F26" s="243">
        <v>4033.12</v>
      </c>
      <c r="G26" s="241"/>
      <c r="H26" s="242">
        <f t="shared" si="0"/>
        <v>0</v>
      </c>
      <c r="I26" s="241"/>
    </row>
    <row r="27" spans="1:9" outlineLevel="1">
      <c r="A27" s="670">
        <f>A24+0.0001</f>
        <v>12.010999999999997</v>
      </c>
      <c r="B27" s="22" t="s">
        <v>228</v>
      </c>
      <c r="C27" s="23" t="s">
        <v>39</v>
      </c>
      <c r="D27" s="118">
        <v>1</v>
      </c>
      <c r="E27" s="106">
        <v>23</v>
      </c>
      <c r="F27" s="240">
        <v>6450</v>
      </c>
      <c r="G27" s="241"/>
      <c r="H27" s="242">
        <f t="shared" si="0"/>
        <v>148350</v>
      </c>
      <c r="I27" s="241"/>
    </row>
    <row r="28" spans="1:9" outlineLevel="1">
      <c r="A28" s="670">
        <f t="shared" si="1"/>
        <v>12.011099999999997</v>
      </c>
      <c r="B28" s="22" t="s">
        <v>229</v>
      </c>
      <c r="C28" s="23" t="s">
        <v>39</v>
      </c>
      <c r="D28" s="118">
        <v>1</v>
      </c>
      <c r="E28" s="106">
        <v>19</v>
      </c>
      <c r="F28" s="240">
        <v>6750</v>
      </c>
      <c r="G28" s="241"/>
      <c r="H28" s="242">
        <f t="shared" si="0"/>
        <v>128250</v>
      </c>
      <c r="I28" s="241"/>
    </row>
    <row r="29" spans="1:9">
      <c r="A29" s="676">
        <f>A13+0.01</f>
        <v>12.02</v>
      </c>
      <c r="B29" s="677" t="s">
        <v>230</v>
      </c>
      <c r="C29" s="678"/>
      <c r="D29" s="119"/>
      <c r="E29" s="120"/>
      <c r="F29" s="244"/>
      <c r="G29" s="679"/>
      <c r="H29" s="242"/>
      <c r="I29" s="679">
        <f>SUM(H30:H40)</f>
        <v>694399.6</v>
      </c>
    </row>
    <row r="30" spans="1:9" outlineLevel="1">
      <c r="A30" s="670">
        <f>A29+0.0001</f>
        <v>12.020099999999999</v>
      </c>
      <c r="B30" s="22" t="s">
        <v>231</v>
      </c>
      <c r="C30" s="23" t="s">
        <v>39</v>
      </c>
      <c r="D30" s="119">
        <v>2</v>
      </c>
      <c r="E30" s="106">
        <v>12</v>
      </c>
      <c r="F30" s="240">
        <v>4200</v>
      </c>
      <c r="G30" s="241"/>
      <c r="H30" s="242">
        <f t="shared" ref="H30:H39" si="2">+ROUND(D30*E30*F30,2)</f>
        <v>100800</v>
      </c>
      <c r="I30" s="241"/>
    </row>
    <row r="31" spans="1:9" outlineLevel="1">
      <c r="A31" s="670">
        <f>A30+0.0001</f>
        <v>12.020199999999999</v>
      </c>
      <c r="B31" s="22" t="s">
        <v>232</v>
      </c>
      <c r="C31" s="23" t="s">
        <v>39</v>
      </c>
      <c r="D31" s="119">
        <v>1</v>
      </c>
      <c r="E31" s="106">
        <v>15</v>
      </c>
      <c r="F31" s="240">
        <v>8010.5</v>
      </c>
      <c r="G31" s="241"/>
      <c r="H31" s="242">
        <f t="shared" si="2"/>
        <v>120157.5</v>
      </c>
      <c r="I31" s="241"/>
    </row>
    <row r="32" spans="1:9" outlineLevel="1">
      <c r="A32" s="670">
        <f>A31+0.0001</f>
        <v>12.020299999999999</v>
      </c>
      <c r="B32" s="22" t="s">
        <v>233</v>
      </c>
      <c r="C32" s="23" t="s">
        <v>39</v>
      </c>
      <c r="D32" s="119">
        <v>1</v>
      </c>
      <c r="E32" s="106">
        <v>10</v>
      </c>
      <c r="F32" s="240">
        <v>7105.8</v>
      </c>
      <c r="G32" s="241"/>
      <c r="H32" s="242">
        <f t="shared" si="2"/>
        <v>71058</v>
      </c>
      <c r="I32" s="241"/>
    </row>
    <row r="33" spans="1:9" outlineLevel="1">
      <c r="A33" s="670"/>
      <c r="B33" s="680" t="s">
        <v>234</v>
      </c>
      <c r="C33" s="681" t="s">
        <v>39</v>
      </c>
      <c r="D33" s="121">
        <v>0</v>
      </c>
      <c r="E33" s="122">
        <v>6.5</v>
      </c>
      <c r="F33" s="245">
        <v>7105.8</v>
      </c>
      <c r="G33" s="682"/>
      <c r="H33" s="242">
        <f t="shared" si="2"/>
        <v>0</v>
      </c>
      <c r="I33" s="241"/>
    </row>
    <row r="34" spans="1:9" outlineLevel="1">
      <c r="A34" s="670">
        <f>A32+0.0001</f>
        <v>12.020399999999999</v>
      </c>
      <c r="B34" s="22" t="s">
        <v>235</v>
      </c>
      <c r="C34" s="23" t="s">
        <v>39</v>
      </c>
      <c r="D34" s="119">
        <v>1</v>
      </c>
      <c r="E34" s="106">
        <v>14.5</v>
      </c>
      <c r="F34" s="240">
        <v>7105.8</v>
      </c>
      <c r="G34" s="241"/>
      <c r="H34" s="242">
        <f t="shared" si="2"/>
        <v>103034.1</v>
      </c>
      <c r="I34" s="241"/>
    </row>
    <row r="35" spans="1:9" outlineLevel="1">
      <c r="A35" s="670"/>
      <c r="B35" s="680" t="s">
        <v>236</v>
      </c>
      <c r="C35" s="23" t="s">
        <v>39</v>
      </c>
      <c r="D35" s="119">
        <v>0</v>
      </c>
      <c r="E35" s="106">
        <v>14.5</v>
      </c>
      <c r="F35" s="240">
        <v>7105.8</v>
      </c>
      <c r="G35" s="241"/>
      <c r="H35" s="242">
        <f t="shared" si="2"/>
        <v>0</v>
      </c>
      <c r="I35" s="241"/>
    </row>
    <row r="36" spans="1:9" outlineLevel="1">
      <c r="A36" s="670"/>
      <c r="B36" s="680" t="s">
        <v>237</v>
      </c>
      <c r="C36" s="23" t="s">
        <v>39</v>
      </c>
      <c r="D36" s="119">
        <v>0</v>
      </c>
      <c r="E36" s="106">
        <v>17</v>
      </c>
      <c r="F36" s="240">
        <v>3100</v>
      </c>
      <c r="G36" s="241"/>
      <c r="H36" s="242">
        <f t="shared" si="2"/>
        <v>0</v>
      </c>
      <c r="I36" s="241"/>
    </row>
    <row r="37" spans="1:9" outlineLevel="1">
      <c r="A37" s="670">
        <f>A34+0.0001</f>
        <v>12.020499999999998</v>
      </c>
      <c r="B37" s="22" t="s">
        <v>238</v>
      </c>
      <c r="C37" s="23" t="s">
        <v>39</v>
      </c>
      <c r="D37" s="119">
        <v>1</v>
      </c>
      <c r="E37" s="106">
        <v>23</v>
      </c>
      <c r="F37" s="240">
        <v>5550</v>
      </c>
      <c r="G37" s="241"/>
      <c r="H37" s="242">
        <f t="shared" si="2"/>
        <v>127650</v>
      </c>
      <c r="I37" s="241"/>
    </row>
    <row r="38" spans="1:9" outlineLevel="1">
      <c r="A38" s="670"/>
      <c r="B38" s="22" t="s">
        <v>239</v>
      </c>
      <c r="C38" s="23" t="s">
        <v>39</v>
      </c>
      <c r="D38" s="119">
        <v>1</v>
      </c>
      <c r="E38" s="106">
        <v>8</v>
      </c>
      <c r="F38" s="240">
        <v>4500</v>
      </c>
      <c r="G38" s="241"/>
      <c r="H38" s="242">
        <f t="shared" si="2"/>
        <v>36000</v>
      </c>
      <c r="I38" s="241"/>
    </row>
    <row r="39" spans="1:9" outlineLevel="1">
      <c r="A39" s="670">
        <f>A37+0.0001</f>
        <v>12.020599999999998</v>
      </c>
      <c r="B39" s="22" t="s">
        <v>240</v>
      </c>
      <c r="C39" s="23" t="s">
        <v>39</v>
      </c>
      <c r="D39" s="119">
        <v>1</v>
      </c>
      <c r="E39" s="106">
        <v>23</v>
      </c>
      <c r="F39" s="240">
        <v>5900</v>
      </c>
      <c r="G39" s="241"/>
      <c r="H39" s="242">
        <f t="shared" si="2"/>
        <v>135700</v>
      </c>
      <c r="I39" s="241"/>
    </row>
    <row r="40" spans="1:9" ht="22.5" outlineLevel="1">
      <c r="A40" s="670"/>
      <c r="B40" s="683" t="s">
        <v>241</v>
      </c>
      <c r="C40" s="681" t="s">
        <v>39</v>
      </c>
      <c r="D40" s="121">
        <v>0</v>
      </c>
      <c r="E40" s="122">
        <v>13.5</v>
      </c>
      <c r="F40" s="245">
        <v>6880</v>
      </c>
      <c r="G40" s="241"/>
      <c r="H40" s="242">
        <f>+D40*E40*F40</f>
        <v>0</v>
      </c>
      <c r="I40" s="241"/>
    </row>
    <row r="41" spans="1:9">
      <c r="A41" s="676">
        <f>A29+0.01</f>
        <v>12.03</v>
      </c>
      <c r="B41" s="677" t="s">
        <v>242</v>
      </c>
      <c r="C41" s="678"/>
      <c r="D41" s="123"/>
      <c r="E41" s="120"/>
      <c r="F41" s="244"/>
      <c r="G41" s="679"/>
      <c r="H41" s="242"/>
      <c r="I41" s="679">
        <f>SUM(H42:H100)</f>
        <v>71560.929999999993</v>
      </c>
    </row>
    <row r="42" spans="1:9" outlineLevel="1">
      <c r="A42" s="670">
        <f>A41+0.0001</f>
        <v>12.030099999999999</v>
      </c>
      <c r="B42" s="22" t="s">
        <v>243</v>
      </c>
      <c r="C42" s="23" t="s">
        <v>39</v>
      </c>
      <c r="D42" s="119"/>
      <c r="E42" s="106"/>
      <c r="F42" s="240"/>
      <c r="G42" s="241"/>
      <c r="H42" s="242">
        <f>ROUND(SUM(G44:G67),2)</f>
        <v>24185.22</v>
      </c>
      <c r="I42" s="241"/>
    </row>
    <row r="43" spans="1:9" outlineLevel="2">
      <c r="A43" s="670">
        <f>A42+0.0001</f>
        <v>12.030199999999999</v>
      </c>
      <c r="B43" s="684" t="s">
        <v>244</v>
      </c>
      <c r="C43" s="23"/>
      <c r="D43" s="119"/>
      <c r="E43" s="106"/>
      <c r="F43" s="240"/>
      <c r="G43" s="241"/>
      <c r="H43" s="242"/>
      <c r="I43" s="241"/>
    </row>
    <row r="44" spans="1:9" outlineLevel="2">
      <c r="A44" s="685" t="s">
        <v>245</v>
      </c>
      <c r="B44" s="22" t="str">
        <f>+B15</f>
        <v xml:space="preserve">INGENIERO RESIDENTE </v>
      </c>
      <c r="C44" s="23" t="s">
        <v>36</v>
      </c>
      <c r="D44" s="119">
        <v>1</v>
      </c>
      <c r="E44" s="106">
        <v>23</v>
      </c>
      <c r="F44" s="240">
        <v>92.31</v>
      </c>
      <c r="G44" s="241">
        <v>2123.13</v>
      </c>
      <c r="H44" s="242"/>
      <c r="I44" s="241"/>
    </row>
    <row r="45" spans="1:9" outlineLevel="2">
      <c r="A45" s="685" t="s">
        <v>246</v>
      </c>
      <c r="B45" s="22" t="str">
        <f>+B16</f>
        <v xml:space="preserve">INGENIERO DE OFICINA TECNICA </v>
      </c>
      <c r="C45" s="23" t="s">
        <v>36</v>
      </c>
      <c r="D45" s="119">
        <v>1</v>
      </c>
      <c r="E45" s="106">
        <v>23</v>
      </c>
      <c r="F45" s="240">
        <v>92.31</v>
      </c>
      <c r="G45" s="241">
        <v>2123.13</v>
      </c>
      <c r="H45" s="246"/>
      <c r="I45" s="241"/>
    </row>
    <row r="46" spans="1:9" outlineLevel="2">
      <c r="A46" s="685" t="s">
        <v>247</v>
      </c>
      <c r="B46" s="22" t="str">
        <f>+B17</f>
        <v>INGENIERO DE CAMPO</v>
      </c>
      <c r="C46" s="23" t="s">
        <v>36</v>
      </c>
      <c r="D46" s="119">
        <v>1</v>
      </c>
      <c r="E46" s="106">
        <v>19</v>
      </c>
      <c r="F46" s="240">
        <v>92.31</v>
      </c>
      <c r="G46" s="241">
        <v>1753.89</v>
      </c>
      <c r="H46" s="246"/>
      <c r="I46" s="241"/>
    </row>
    <row r="47" spans="1:9" outlineLevel="2">
      <c r="A47" s="685" t="s">
        <v>248</v>
      </c>
      <c r="B47" s="22" t="str">
        <f>+B19</f>
        <v>INGENIERO DE CALIDAD</v>
      </c>
      <c r="C47" s="23" t="s">
        <v>36</v>
      </c>
      <c r="D47" s="119">
        <v>1</v>
      </c>
      <c r="E47" s="106">
        <v>17</v>
      </c>
      <c r="F47" s="240">
        <v>92.31</v>
      </c>
      <c r="G47" s="241">
        <v>1569.27</v>
      </c>
      <c r="H47" s="246"/>
      <c r="I47" s="241"/>
    </row>
    <row r="48" spans="1:9" outlineLevel="2">
      <c r="A48" s="685" t="s">
        <v>249</v>
      </c>
      <c r="B48" s="680" t="str">
        <f>B20</f>
        <v>INGENIERO DE CALIDAD JUNIOR</v>
      </c>
      <c r="C48" s="23" t="s">
        <v>36</v>
      </c>
      <c r="D48" s="119">
        <v>1</v>
      </c>
      <c r="E48" s="106">
        <v>6</v>
      </c>
      <c r="F48" s="240">
        <v>92.31</v>
      </c>
      <c r="G48" s="241">
        <v>553.86</v>
      </c>
      <c r="H48" s="246"/>
      <c r="I48" s="241"/>
    </row>
    <row r="49" spans="1:9" outlineLevel="2">
      <c r="A49" s="685" t="s">
        <v>250</v>
      </c>
      <c r="B49" s="22" t="str">
        <f t="shared" ref="B49:B55" si="3">+B21</f>
        <v>INGENIERO ELECTROMECANICO</v>
      </c>
      <c r="C49" s="23" t="s">
        <v>36</v>
      </c>
      <c r="D49" s="119">
        <v>0.5</v>
      </c>
      <c r="E49" s="106">
        <v>17</v>
      </c>
      <c r="F49" s="240">
        <v>92.31</v>
      </c>
      <c r="G49" s="241">
        <v>784.63499999999999</v>
      </c>
      <c r="H49" s="246"/>
      <c r="I49" s="241"/>
    </row>
    <row r="50" spans="1:9" outlineLevel="2">
      <c r="A50" s="685" t="s">
        <v>251</v>
      </c>
      <c r="B50" s="671" t="str">
        <f t="shared" si="3"/>
        <v xml:space="preserve">ARQUITECTO DE ACABADOS </v>
      </c>
      <c r="C50" s="23" t="s">
        <v>36</v>
      </c>
      <c r="D50" s="119">
        <v>1</v>
      </c>
      <c r="E50" s="106">
        <v>17</v>
      </c>
      <c r="F50" s="240">
        <v>92.31</v>
      </c>
      <c r="G50" s="241">
        <v>1569.27</v>
      </c>
      <c r="H50" s="246"/>
      <c r="I50" s="241"/>
    </row>
    <row r="51" spans="1:9" outlineLevel="2">
      <c r="A51" s="685" t="s">
        <v>252</v>
      </c>
      <c r="B51" s="683" t="str">
        <f t="shared" si="3"/>
        <v xml:space="preserve">ARQUITECTO DE ACABADOS JUNIOR </v>
      </c>
      <c r="C51" s="23" t="s">
        <v>36</v>
      </c>
      <c r="D51" s="119">
        <v>1</v>
      </c>
      <c r="E51" s="106">
        <v>13.5</v>
      </c>
      <c r="F51" s="240">
        <v>92.31</v>
      </c>
      <c r="G51" s="241">
        <v>1246.1849999999999</v>
      </c>
      <c r="H51" s="246"/>
      <c r="I51" s="241"/>
    </row>
    <row r="52" spans="1:9" outlineLevel="2">
      <c r="A52" s="685" t="s">
        <v>253</v>
      </c>
      <c r="B52" s="22" t="str">
        <f t="shared" si="3"/>
        <v xml:space="preserve">PREVENCIONISTA DE RIEGOS - SUBJEFE DE PDR </v>
      </c>
      <c r="C52" s="23" t="s">
        <v>36</v>
      </c>
      <c r="D52" s="119">
        <v>1</v>
      </c>
      <c r="E52" s="106">
        <v>22</v>
      </c>
      <c r="F52" s="240">
        <v>92.31</v>
      </c>
      <c r="G52" s="241">
        <v>2030.8200000000002</v>
      </c>
      <c r="H52" s="246"/>
      <c r="I52" s="241"/>
    </row>
    <row r="53" spans="1:9" outlineLevel="2">
      <c r="A53" s="685" t="s">
        <v>254</v>
      </c>
      <c r="B53" s="680" t="str">
        <f t="shared" si="3"/>
        <v xml:space="preserve">      ASISTENTES DE PDR (01)</v>
      </c>
      <c r="C53" s="23"/>
      <c r="D53" s="119">
        <v>0</v>
      </c>
      <c r="E53" s="106">
        <v>17</v>
      </c>
      <c r="F53" s="240">
        <v>92.31</v>
      </c>
      <c r="G53" s="241">
        <v>0</v>
      </c>
      <c r="H53" s="246"/>
      <c r="I53" s="241"/>
    </row>
    <row r="54" spans="1:9" outlineLevel="2">
      <c r="A54" s="685" t="s">
        <v>255</v>
      </c>
      <c r="B54" s="680" t="str">
        <f t="shared" si="3"/>
        <v xml:space="preserve">      AYUDANTE DE PDR N°1 (01)</v>
      </c>
      <c r="C54" s="23"/>
      <c r="D54" s="119">
        <v>0</v>
      </c>
      <c r="E54" s="106">
        <v>22</v>
      </c>
      <c r="F54" s="240">
        <v>92.31</v>
      </c>
      <c r="G54" s="241">
        <v>0</v>
      </c>
      <c r="H54" s="246"/>
      <c r="I54" s="241"/>
    </row>
    <row r="55" spans="1:9" outlineLevel="2">
      <c r="A55" s="685" t="s">
        <v>256</v>
      </c>
      <c r="B55" s="22" t="str">
        <f t="shared" si="3"/>
        <v xml:space="preserve">ADMINISTRADOR DE OBRA </v>
      </c>
      <c r="C55" s="23" t="s">
        <v>36</v>
      </c>
      <c r="D55" s="119">
        <v>1</v>
      </c>
      <c r="E55" s="106">
        <v>23</v>
      </c>
      <c r="F55" s="240">
        <v>92.31</v>
      </c>
      <c r="G55" s="241">
        <v>2123.13</v>
      </c>
      <c r="H55" s="246"/>
      <c r="I55" s="241"/>
    </row>
    <row r="56" spans="1:9" outlineLevel="2">
      <c r="A56" s="685" t="s">
        <v>257</v>
      </c>
      <c r="B56" s="22" t="s">
        <v>229</v>
      </c>
      <c r="C56" s="23" t="s">
        <v>36</v>
      </c>
      <c r="D56" s="119">
        <v>1</v>
      </c>
      <c r="E56" s="106">
        <v>19</v>
      </c>
      <c r="F56" s="240">
        <v>92.31</v>
      </c>
      <c r="G56" s="241">
        <v>1753.89</v>
      </c>
      <c r="H56" s="246"/>
      <c r="I56" s="241"/>
    </row>
    <row r="57" spans="1:9" outlineLevel="2">
      <c r="A57" s="685" t="s">
        <v>258</v>
      </c>
      <c r="B57" s="22" t="str">
        <f t="shared" ref="B57:B65" si="4">+B30</f>
        <v>ASISTENTE (CAMPO/CALIDAD/ARQ)</v>
      </c>
      <c r="C57" s="23" t="s">
        <v>36</v>
      </c>
      <c r="D57" s="119">
        <v>2</v>
      </c>
      <c r="E57" s="106">
        <v>12</v>
      </c>
      <c r="F57" s="240">
        <v>92.31</v>
      </c>
      <c r="G57" s="241">
        <v>2215.44</v>
      </c>
      <c r="H57" s="246"/>
      <c r="I57" s="241"/>
    </row>
    <row r="58" spans="1:9" outlineLevel="2">
      <c r="A58" s="685" t="s">
        <v>259</v>
      </c>
      <c r="B58" s="680" t="str">
        <f t="shared" si="4"/>
        <v xml:space="preserve">MAESTRO DE OBRA </v>
      </c>
      <c r="C58" s="23"/>
      <c r="D58" s="119">
        <v>0</v>
      </c>
      <c r="E58" s="106">
        <v>15</v>
      </c>
      <c r="F58" s="240">
        <v>92.31</v>
      </c>
      <c r="G58" s="241">
        <v>0</v>
      </c>
      <c r="H58" s="246"/>
      <c r="I58" s="241"/>
    </row>
    <row r="59" spans="1:9" outlineLevel="2">
      <c r="A59" s="685" t="s">
        <v>260</v>
      </c>
      <c r="B59" s="680" t="str">
        <f t="shared" si="4"/>
        <v>CAPATAZ DE OBRA ESTRUCTURAS</v>
      </c>
      <c r="C59" s="23"/>
      <c r="D59" s="119">
        <v>0</v>
      </c>
      <c r="E59" s="106">
        <v>10</v>
      </c>
      <c r="F59" s="240">
        <v>92.31</v>
      </c>
      <c r="G59" s="241">
        <v>0</v>
      </c>
      <c r="H59" s="246"/>
      <c r="I59" s="241"/>
    </row>
    <row r="60" spans="1:9" outlineLevel="2">
      <c r="A60" s="685" t="s">
        <v>261</v>
      </c>
      <c r="B60" s="680" t="str">
        <f t="shared" si="4"/>
        <v>CAPATAZ N°2 EST CASCO</v>
      </c>
      <c r="C60" s="23"/>
      <c r="D60" s="119">
        <v>0</v>
      </c>
      <c r="E60" s="106">
        <v>6.5</v>
      </c>
      <c r="F60" s="240">
        <v>92.31</v>
      </c>
      <c r="G60" s="241">
        <v>0</v>
      </c>
      <c r="H60" s="246"/>
      <c r="I60" s="241"/>
    </row>
    <row r="61" spans="1:9" outlineLevel="2">
      <c r="A61" s="685" t="s">
        <v>262</v>
      </c>
      <c r="B61" s="680" t="str">
        <f t="shared" si="4"/>
        <v>CAPATAZ DE OBRA ARQUITECTURA N°1</v>
      </c>
      <c r="C61" s="23"/>
      <c r="D61" s="119">
        <v>0</v>
      </c>
      <c r="E61" s="106">
        <v>14.5</v>
      </c>
      <c r="F61" s="240">
        <v>92.31</v>
      </c>
      <c r="G61" s="241">
        <v>0</v>
      </c>
      <c r="H61" s="246"/>
      <c r="I61" s="241"/>
    </row>
    <row r="62" spans="1:9" outlineLevel="2">
      <c r="A62" s="685" t="s">
        <v>263</v>
      </c>
      <c r="B62" s="680" t="str">
        <f t="shared" si="4"/>
        <v>CAPATAZ DE OBRA ARQUITECTURA N°2</v>
      </c>
      <c r="C62" s="23"/>
      <c r="D62" s="119">
        <v>0</v>
      </c>
      <c r="E62" s="106">
        <v>14.5</v>
      </c>
      <c r="F62" s="240">
        <v>92.31</v>
      </c>
      <c r="G62" s="241">
        <v>0</v>
      </c>
      <c r="H62" s="246"/>
      <c r="I62" s="241"/>
    </row>
    <row r="63" spans="1:9" outlineLevel="2">
      <c r="A63" s="685" t="s">
        <v>264</v>
      </c>
      <c r="B63" s="680" t="str">
        <f t="shared" si="4"/>
        <v>ASISTENTE DE INSTALACIONES</v>
      </c>
      <c r="C63" s="23"/>
      <c r="D63" s="119">
        <v>0</v>
      </c>
      <c r="E63" s="106">
        <v>17</v>
      </c>
      <c r="F63" s="240">
        <v>92.31</v>
      </c>
      <c r="G63" s="241">
        <v>0</v>
      </c>
      <c r="H63" s="246"/>
      <c r="I63" s="241"/>
    </row>
    <row r="64" spans="1:9" outlineLevel="2">
      <c r="A64" s="685" t="s">
        <v>265</v>
      </c>
      <c r="B64" s="22" t="str">
        <f t="shared" si="4"/>
        <v>JEFE DE ALMACEN</v>
      </c>
      <c r="C64" s="23" t="s">
        <v>36</v>
      </c>
      <c r="D64" s="119">
        <v>1</v>
      </c>
      <c r="E64" s="106">
        <v>23</v>
      </c>
      <c r="F64" s="240">
        <v>92.31</v>
      </c>
      <c r="G64" s="241">
        <v>2123.13</v>
      </c>
      <c r="H64" s="246"/>
      <c r="I64" s="241"/>
    </row>
    <row r="65" spans="1:9" outlineLevel="2">
      <c r="A65" s="685" t="s">
        <v>266</v>
      </c>
      <c r="B65" s="680" t="str">
        <f t="shared" si="4"/>
        <v>ASISTENTE DE ALMACEN</v>
      </c>
      <c r="C65" s="23" t="s">
        <v>36</v>
      </c>
      <c r="D65" s="119">
        <v>1</v>
      </c>
      <c r="E65" s="106">
        <v>8</v>
      </c>
      <c r="F65" s="240">
        <v>92.31</v>
      </c>
      <c r="G65" s="241">
        <v>738.48</v>
      </c>
      <c r="H65" s="246"/>
      <c r="I65" s="241"/>
    </row>
    <row r="66" spans="1:9" outlineLevel="2">
      <c r="A66" s="685" t="s">
        <v>267</v>
      </c>
      <c r="B66" s="22" t="s">
        <v>268</v>
      </c>
      <c r="C66" s="23" t="s">
        <v>36</v>
      </c>
      <c r="D66" s="119">
        <v>1</v>
      </c>
      <c r="E66" s="106">
        <v>12</v>
      </c>
      <c r="F66" s="240">
        <v>92.31</v>
      </c>
      <c r="G66" s="241">
        <v>1107.72</v>
      </c>
      <c r="H66" s="246"/>
      <c r="I66" s="241"/>
    </row>
    <row r="67" spans="1:9" outlineLevel="2">
      <c r="A67" s="685" t="s">
        <v>269</v>
      </c>
      <c r="B67" s="22" t="s">
        <v>270</v>
      </c>
      <c r="C67" s="23" t="s">
        <v>36</v>
      </c>
      <c r="D67" s="119">
        <v>1</v>
      </c>
      <c r="E67" s="106">
        <v>4</v>
      </c>
      <c r="F67" s="240">
        <v>92.31</v>
      </c>
      <c r="G67" s="241">
        <v>369.24</v>
      </c>
      <c r="H67" s="246"/>
      <c r="I67" s="241"/>
    </row>
    <row r="68" spans="1:9" outlineLevel="1">
      <c r="A68" s="685" t="s">
        <v>271</v>
      </c>
      <c r="B68" s="22" t="s">
        <v>272</v>
      </c>
      <c r="C68" s="23" t="s">
        <v>39</v>
      </c>
      <c r="D68" s="119">
        <v>1</v>
      </c>
      <c r="E68" s="106">
        <v>22</v>
      </c>
      <c r="F68" s="240">
        <v>135</v>
      </c>
      <c r="G68" s="241"/>
      <c r="H68" s="246">
        <f>+D68*E68*F68</f>
        <v>2970</v>
      </c>
      <c r="I68" s="241"/>
    </row>
    <row r="69" spans="1:9" outlineLevel="1">
      <c r="A69" s="685" t="s">
        <v>273</v>
      </c>
      <c r="B69" s="22" t="s">
        <v>274</v>
      </c>
      <c r="C69" s="23" t="s">
        <v>39</v>
      </c>
      <c r="D69" s="119"/>
      <c r="E69" s="106"/>
      <c r="F69" s="240"/>
      <c r="G69" s="241"/>
      <c r="H69" s="246">
        <f>ROUND(SUM(G71:G95),2)</f>
        <v>17160</v>
      </c>
      <c r="I69" s="241"/>
    </row>
    <row r="70" spans="1:9" outlineLevel="2">
      <c r="A70" s="685" t="s">
        <v>275</v>
      </c>
      <c r="B70" s="684" t="s">
        <v>276</v>
      </c>
      <c r="C70" s="23"/>
      <c r="D70" s="119"/>
      <c r="E70" s="106"/>
      <c r="F70" s="240"/>
      <c r="G70" s="241"/>
      <c r="H70" s="246"/>
      <c r="I70" s="241"/>
    </row>
    <row r="71" spans="1:9" outlineLevel="2">
      <c r="A71" s="685" t="s">
        <v>277</v>
      </c>
      <c r="B71" s="22" t="str">
        <f>+B15</f>
        <v xml:space="preserve">INGENIERO RESIDENTE </v>
      </c>
      <c r="C71" s="23"/>
      <c r="D71" s="119">
        <v>1</v>
      </c>
      <c r="E71" s="119">
        <v>23</v>
      </c>
      <c r="F71" s="240">
        <v>65</v>
      </c>
      <c r="G71" s="241">
        <v>1495</v>
      </c>
      <c r="H71" s="246"/>
      <c r="I71" s="241"/>
    </row>
    <row r="72" spans="1:9" outlineLevel="2">
      <c r="A72" s="685" t="s">
        <v>278</v>
      </c>
      <c r="B72" s="22" t="str">
        <f>+B16</f>
        <v xml:space="preserve">INGENIERO DE OFICINA TECNICA </v>
      </c>
      <c r="C72" s="23"/>
      <c r="D72" s="119">
        <v>1</v>
      </c>
      <c r="E72" s="119">
        <v>23</v>
      </c>
      <c r="F72" s="240">
        <v>65</v>
      </c>
      <c r="G72" s="241">
        <v>1495</v>
      </c>
      <c r="H72" s="246"/>
      <c r="I72" s="241"/>
    </row>
    <row r="73" spans="1:9" outlineLevel="2">
      <c r="A73" s="685" t="s">
        <v>279</v>
      </c>
      <c r="B73" s="22" t="str">
        <f>+B17</f>
        <v>INGENIERO DE CAMPO</v>
      </c>
      <c r="C73" s="23"/>
      <c r="D73" s="119">
        <v>1</v>
      </c>
      <c r="E73" s="119">
        <v>19</v>
      </c>
      <c r="F73" s="240">
        <v>65</v>
      </c>
      <c r="G73" s="241">
        <v>1235</v>
      </c>
      <c r="H73" s="246"/>
      <c r="I73" s="241"/>
    </row>
    <row r="74" spans="1:9" outlineLevel="2">
      <c r="A74" s="685" t="s">
        <v>280</v>
      </c>
      <c r="B74" s="22" t="str">
        <f>+B19</f>
        <v>INGENIERO DE CALIDAD</v>
      </c>
      <c r="C74" s="23"/>
      <c r="D74" s="119">
        <v>1</v>
      </c>
      <c r="E74" s="119">
        <v>17</v>
      </c>
      <c r="F74" s="240">
        <v>65</v>
      </c>
      <c r="G74" s="241">
        <v>1105</v>
      </c>
      <c r="H74" s="246"/>
      <c r="I74" s="241"/>
    </row>
    <row r="75" spans="1:9" outlineLevel="2">
      <c r="A75" s="685" t="s">
        <v>281</v>
      </c>
      <c r="B75" s="680" t="str">
        <f>B20</f>
        <v>INGENIERO DE CALIDAD JUNIOR</v>
      </c>
      <c r="C75" s="23"/>
      <c r="D75" s="119">
        <v>1</v>
      </c>
      <c r="E75" s="119">
        <v>6</v>
      </c>
      <c r="F75" s="240">
        <v>65</v>
      </c>
      <c r="G75" s="241">
        <v>390</v>
      </c>
      <c r="H75" s="246"/>
      <c r="I75" s="241"/>
    </row>
    <row r="76" spans="1:9" outlineLevel="2">
      <c r="A76" s="685" t="s">
        <v>282</v>
      </c>
      <c r="B76" s="22" t="str">
        <f t="shared" ref="B76:B82" si="5">+B21</f>
        <v>INGENIERO ELECTROMECANICO</v>
      </c>
      <c r="C76" s="23"/>
      <c r="D76" s="119">
        <v>0.5</v>
      </c>
      <c r="E76" s="119">
        <v>17</v>
      </c>
      <c r="F76" s="240">
        <v>65</v>
      </c>
      <c r="G76" s="241">
        <v>552.5</v>
      </c>
      <c r="H76" s="246"/>
      <c r="I76" s="241"/>
    </row>
    <row r="77" spans="1:9" outlineLevel="2">
      <c r="A77" s="685" t="s">
        <v>283</v>
      </c>
      <c r="B77" s="671" t="str">
        <f t="shared" si="5"/>
        <v xml:space="preserve">ARQUITECTO DE ACABADOS </v>
      </c>
      <c r="C77" s="23"/>
      <c r="D77" s="119">
        <v>1</v>
      </c>
      <c r="E77" s="119">
        <v>17</v>
      </c>
      <c r="F77" s="240">
        <v>65</v>
      </c>
      <c r="G77" s="241">
        <v>1105</v>
      </c>
      <c r="H77" s="246"/>
      <c r="I77" s="241"/>
    </row>
    <row r="78" spans="1:9" outlineLevel="2">
      <c r="A78" s="685" t="s">
        <v>284</v>
      </c>
      <c r="B78" s="683" t="str">
        <f t="shared" si="5"/>
        <v xml:space="preserve">ARQUITECTO DE ACABADOS JUNIOR </v>
      </c>
      <c r="C78" s="23"/>
      <c r="D78" s="119">
        <v>1</v>
      </c>
      <c r="E78" s="119">
        <v>13.5</v>
      </c>
      <c r="F78" s="240">
        <v>65</v>
      </c>
      <c r="G78" s="241">
        <v>877.5</v>
      </c>
      <c r="H78" s="246"/>
      <c r="I78" s="241"/>
    </row>
    <row r="79" spans="1:9" outlineLevel="2">
      <c r="A79" s="685" t="s">
        <v>285</v>
      </c>
      <c r="B79" s="22" t="str">
        <f t="shared" si="5"/>
        <v xml:space="preserve">PREVENCIONISTA DE RIEGOS - SUBJEFE DE PDR </v>
      </c>
      <c r="C79" s="23"/>
      <c r="D79" s="119">
        <v>1</v>
      </c>
      <c r="E79" s="119">
        <v>22</v>
      </c>
      <c r="F79" s="240">
        <v>65</v>
      </c>
      <c r="G79" s="241">
        <v>1430</v>
      </c>
      <c r="H79" s="246"/>
      <c r="I79" s="241"/>
    </row>
    <row r="80" spans="1:9" outlineLevel="2">
      <c r="A80" s="685" t="s">
        <v>286</v>
      </c>
      <c r="B80" s="680" t="str">
        <f t="shared" si="5"/>
        <v xml:space="preserve">      ASISTENTES DE PDR (01)</v>
      </c>
      <c r="C80" s="23"/>
      <c r="D80" s="119">
        <v>0</v>
      </c>
      <c r="E80" s="119">
        <v>17</v>
      </c>
      <c r="F80" s="240">
        <v>65</v>
      </c>
      <c r="G80" s="241">
        <v>0</v>
      </c>
      <c r="H80" s="246"/>
      <c r="I80" s="241"/>
    </row>
    <row r="81" spans="1:9" outlineLevel="2">
      <c r="A81" s="685" t="s">
        <v>287</v>
      </c>
      <c r="B81" s="680" t="str">
        <f t="shared" si="5"/>
        <v xml:space="preserve">      AYUDANTE DE PDR N°1 (01)</v>
      </c>
      <c r="C81" s="23"/>
      <c r="D81" s="119">
        <v>0</v>
      </c>
      <c r="E81" s="119">
        <v>22</v>
      </c>
      <c r="F81" s="240">
        <v>65</v>
      </c>
      <c r="G81" s="241">
        <v>0</v>
      </c>
      <c r="H81" s="246"/>
      <c r="I81" s="241"/>
    </row>
    <row r="82" spans="1:9" outlineLevel="2">
      <c r="A82" s="685" t="s">
        <v>288</v>
      </c>
      <c r="B82" s="22" t="str">
        <f t="shared" si="5"/>
        <v xml:space="preserve">ADMINISTRADOR DE OBRA </v>
      </c>
      <c r="C82" s="23"/>
      <c r="D82" s="119">
        <v>1</v>
      </c>
      <c r="E82" s="119">
        <v>23</v>
      </c>
      <c r="F82" s="240">
        <v>65</v>
      </c>
      <c r="G82" s="241">
        <v>1495</v>
      </c>
      <c r="H82" s="246"/>
      <c r="I82" s="241"/>
    </row>
    <row r="83" spans="1:9" outlineLevel="2">
      <c r="A83" s="685" t="s">
        <v>289</v>
      </c>
      <c r="B83" s="680" t="str">
        <f t="shared" ref="B83:B92" si="6">+B29</f>
        <v>PERSONAL TECNICO</v>
      </c>
      <c r="C83" s="23"/>
      <c r="D83" s="119">
        <v>0</v>
      </c>
      <c r="E83" s="119">
        <v>0</v>
      </c>
      <c r="F83" s="240">
        <v>65</v>
      </c>
      <c r="G83" s="241">
        <v>0</v>
      </c>
      <c r="H83" s="246"/>
      <c r="I83" s="241"/>
    </row>
    <row r="84" spans="1:9" outlineLevel="2">
      <c r="A84" s="685" t="s">
        <v>290</v>
      </c>
      <c r="B84" s="22" t="str">
        <f t="shared" si="6"/>
        <v>ASISTENTE (CAMPO/CALIDAD/ARQ)</v>
      </c>
      <c r="C84" s="23"/>
      <c r="D84" s="119">
        <v>2</v>
      </c>
      <c r="E84" s="119">
        <v>12</v>
      </c>
      <c r="F84" s="240">
        <v>65</v>
      </c>
      <c r="G84" s="241">
        <v>1560</v>
      </c>
      <c r="H84" s="246"/>
      <c r="I84" s="241"/>
    </row>
    <row r="85" spans="1:9" outlineLevel="2">
      <c r="A85" s="685" t="s">
        <v>291</v>
      </c>
      <c r="B85" s="680" t="str">
        <f t="shared" si="6"/>
        <v xml:space="preserve">MAESTRO DE OBRA </v>
      </c>
      <c r="C85" s="23"/>
      <c r="D85" s="119">
        <v>0</v>
      </c>
      <c r="E85" s="119">
        <v>15</v>
      </c>
      <c r="F85" s="240">
        <v>65</v>
      </c>
      <c r="G85" s="241">
        <v>0</v>
      </c>
      <c r="H85" s="246"/>
      <c r="I85" s="241"/>
    </row>
    <row r="86" spans="1:9" outlineLevel="2">
      <c r="A86" s="685" t="s">
        <v>292</v>
      </c>
      <c r="B86" s="680" t="str">
        <f t="shared" si="6"/>
        <v>CAPATAZ DE OBRA ESTRUCTURAS</v>
      </c>
      <c r="C86" s="23"/>
      <c r="D86" s="119">
        <v>0</v>
      </c>
      <c r="E86" s="119">
        <v>10</v>
      </c>
      <c r="F86" s="240">
        <v>65</v>
      </c>
      <c r="G86" s="241">
        <v>0</v>
      </c>
      <c r="H86" s="246"/>
      <c r="I86" s="241"/>
    </row>
    <row r="87" spans="1:9" outlineLevel="2">
      <c r="A87" s="685" t="s">
        <v>293</v>
      </c>
      <c r="B87" s="680" t="str">
        <f t="shared" si="6"/>
        <v>CAPATAZ N°2 EST CASCO</v>
      </c>
      <c r="C87" s="23"/>
      <c r="D87" s="119">
        <v>0</v>
      </c>
      <c r="E87" s="119">
        <v>6.5</v>
      </c>
      <c r="F87" s="240">
        <v>65</v>
      </c>
      <c r="G87" s="241">
        <v>0</v>
      </c>
      <c r="H87" s="246"/>
      <c r="I87" s="241"/>
    </row>
    <row r="88" spans="1:9" outlineLevel="2">
      <c r="A88" s="685" t="s">
        <v>294</v>
      </c>
      <c r="B88" s="680" t="str">
        <f t="shared" si="6"/>
        <v>CAPATAZ DE OBRA ARQUITECTURA N°1</v>
      </c>
      <c r="C88" s="23"/>
      <c r="D88" s="119">
        <v>0</v>
      </c>
      <c r="E88" s="119">
        <v>14.5</v>
      </c>
      <c r="F88" s="240">
        <v>65</v>
      </c>
      <c r="G88" s="241">
        <v>0</v>
      </c>
      <c r="H88" s="246"/>
      <c r="I88" s="241"/>
    </row>
    <row r="89" spans="1:9" outlineLevel="2">
      <c r="A89" s="685" t="s">
        <v>295</v>
      </c>
      <c r="B89" s="680" t="str">
        <f t="shared" si="6"/>
        <v>CAPATAZ DE OBRA ARQUITECTURA N°2</v>
      </c>
      <c r="C89" s="23"/>
      <c r="D89" s="119">
        <v>0</v>
      </c>
      <c r="E89" s="119">
        <v>14.5</v>
      </c>
      <c r="F89" s="240">
        <v>65</v>
      </c>
      <c r="G89" s="241">
        <v>0</v>
      </c>
      <c r="H89" s="246"/>
      <c r="I89" s="241"/>
    </row>
    <row r="90" spans="1:9" outlineLevel="2">
      <c r="A90" s="685" t="s">
        <v>296</v>
      </c>
      <c r="B90" s="680" t="str">
        <f t="shared" si="6"/>
        <v>ASISTENTE DE INSTALACIONES</v>
      </c>
      <c r="C90" s="23"/>
      <c r="D90" s="119">
        <v>0</v>
      </c>
      <c r="E90" s="119">
        <v>17</v>
      </c>
      <c r="F90" s="240">
        <v>65</v>
      </c>
      <c r="G90" s="241">
        <v>0</v>
      </c>
      <c r="H90" s="246"/>
      <c r="I90" s="241"/>
    </row>
    <row r="91" spans="1:9" outlineLevel="2">
      <c r="A91" s="685" t="s">
        <v>297</v>
      </c>
      <c r="B91" s="22" t="str">
        <f t="shared" si="6"/>
        <v>JEFE DE ALMACEN</v>
      </c>
      <c r="C91" s="23"/>
      <c r="D91" s="119">
        <v>1</v>
      </c>
      <c r="E91" s="119">
        <v>23</v>
      </c>
      <c r="F91" s="240">
        <v>65</v>
      </c>
      <c r="G91" s="241">
        <v>1495</v>
      </c>
      <c r="H91" s="246"/>
      <c r="I91" s="241"/>
    </row>
    <row r="92" spans="1:9" outlineLevel="2">
      <c r="A92" s="685" t="s">
        <v>298</v>
      </c>
      <c r="B92" s="680" t="str">
        <f t="shared" si="6"/>
        <v>ASISTENTE DE ALMACEN</v>
      </c>
      <c r="C92" s="23"/>
      <c r="D92" s="119">
        <v>1</v>
      </c>
      <c r="E92" s="119">
        <v>8</v>
      </c>
      <c r="F92" s="240">
        <v>65</v>
      </c>
      <c r="G92" s="241">
        <v>520</v>
      </c>
      <c r="H92" s="246"/>
      <c r="I92" s="241"/>
    </row>
    <row r="93" spans="1:9" ht="22.5" outlineLevel="2">
      <c r="A93" s="685" t="s">
        <v>299</v>
      </c>
      <c r="B93" s="686" t="s">
        <v>300</v>
      </c>
      <c r="C93" s="23"/>
      <c r="D93" s="119">
        <v>1</v>
      </c>
      <c r="E93" s="119">
        <v>19</v>
      </c>
      <c r="F93" s="240">
        <v>65</v>
      </c>
      <c r="G93" s="241">
        <v>1235</v>
      </c>
      <c r="H93" s="246"/>
      <c r="I93" s="241"/>
    </row>
    <row r="94" spans="1:9" outlineLevel="2">
      <c r="A94" s="685" t="s">
        <v>301</v>
      </c>
      <c r="B94" s="687" t="s">
        <v>227</v>
      </c>
      <c r="C94" s="23"/>
      <c r="D94" s="119">
        <v>1</v>
      </c>
      <c r="E94" s="119">
        <v>10</v>
      </c>
      <c r="F94" s="240">
        <v>65</v>
      </c>
      <c r="G94" s="241">
        <v>650</v>
      </c>
      <c r="H94" s="246"/>
      <c r="I94" s="241"/>
    </row>
    <row r="95" spans="1:9" outlineLevel="2">
      <c r="A95" s="685" t="s">
        <v>302</v>
      </c>
      <c r="B95" s="687" t="s">
        <v>303</v>
      </c>
      <c r="C95" s="23"/>
      <c r="D95" s="119">
        <v>1</v>
      </c>
      <c r="E95" s="119">
        <v>8</v>
      </c>
      <c r="F95" s="240">
        <v>65</v>
      </c>
      <c r="G95" s="241">
        <v>520</v>
      </c>
      <c r="H95" s="246"/>
      <c r="I95" s="241"/>
    </row>
    <row r="96" spans="1:9" outlineLevel="1">
      <c r="A96" s="685" t="s">
        <v>304</v>
      </c>
      <c r="B96" s="22" t="s">
        <v>305</v>
      </c>
      <c r="C96" s="23" t="s">
        <v>36</v>
      </c>
      <c r="D96" s="119">
        <v>17</v>
      </c>
      <c r="E96" s="106">
        <v>1</v>
      </c>
      <c r="F96" s="240">
        <v>515.63</v>
      </c>
      <c r="G96" s="241"/>
      <c r="H96" s="246">
        <f>+ROUND(D96*E96*F96,2)</f>
        <v>8765.7099999999991</v>
      </c>
      <c r="I96" s="241"/>
    </row>
    <row r="97" spans="1:9" outlineLevel="1">
      <c r="A97" s="685" t="s">
        <v>306</v>
      </c>
      <c r="B97" s="22" t="s">
        <v>307</v>
      </c>
      <c r="C97" s="23" t="s">
        <v>36</v>
      </c>
      <c r="D97" s="119">
        <v>1</v>
      </c>
      <c r="E97" s="106">
        <v>22</v>
      </c>
      <c r="F97" s="240">
        <v>240</v>
      </c>
      <c r="G97" s="241"/>
      <c r="H97" s="246">
        <f>+ROUND(D97*E97*F97,2)</f>
        <v>5280</v>
      </c>
      <c r="I97" s="241"/>
    </row>
    <row r="98" spans="1:9" outlineLevel="1">
      <c r="A98" s="685" t="s">
        <v>308</v>
      </c>
      <c r="B98" s="22" t="s">
        <v>309</v>
      </c>
      <c r="C98" s="23" t="s">
        <v>36</v>
      </c>
      <c r="D98" s="119">
        <v>18</v>
      </c>
      <c r="E98" s="106">
        <v>1</v>
      </c>
      <c r="F98" s="240">
        <v>250</v>
      </c>
      <c r="G98" s="241"/>
      <c r="H98" s="246">
        <f>+ROUND(D98*E98*F98,2)</f>
        <v>4500</v>
      </c>
      <c r="I98" s="241"/>
    </row>
    <row r="99" spans="1:9" outlineLevel="1">
      <c r="A99" s="685" t="s">
        <v>310</v>
      </c>
      <c r="B99" s="22" t="s">
        <v>311</v>
      </c>
      <c r="C99" s="23" t="s">
        <v>36</v>
      </c>
      <c r="D99" s="119">
        <v>1</v>
      </c>
      <c r="E99" s="106">
        <v>2</v>
      </c>
      <c r="F99" s="240">
        <v>500</v>
      </c>
      <c r="G99" s="241"/>
      <c r="H99" s="246">
        <f>+ROUND(D99*E99*F99,2)</f>
        <v>1000</v>
      </c>
      <c r="I99" s="241"/>
    </row>
    <row r="100" spans="1:9" outlineLevel="1">
      <c r="A100" s="685" t="s">
        <v>312</v>
      </c>
      <c r="B100" s="22" t="s">
        <v>313</v>
      </c>
      <c r="C100" s="23" t="s">
        <v>29</v>
      </c>
      <c r="D100" s="119">
        <v>1</v>
      </c>
      <c r="E100" s="106">
        <v>22</v>
      </c>
      <c r="F100" s="240">
        <v>350</v>
      </c>
      <c r="G100" s="241"/>
      <c r="H100" s="246">
        <f>+ROUND(D100*E100*F100,2)</f>
        <v>7700</v>
      </c>
      <c r="I100" s="241"/>
    </row>
    <row r="101" spans="1:9">
      <c r="A101" s="688" t="s">
        <v>314</v>
      </c>
      <c r="B101" s="677" t="s">
        <v>315</v>
      </c>
      <c r="C101" s="678"/>
      <c r="D101" s="123"/>
      <c r="E101" s="120"/>
      <c r="F101" s="244"/>
      <c r="G101" s="241"/>
      <c r="H101" s="246"/>
      <c r="I101" s="679">
        <f>SUM(H102:H118)</f>
        <v>799910.97</v>
      </c>
    </row>
    <row r="102" spans="1:9" outlineLevel="1">
      <c r="A102" s="685" t="s">
        <v>316</v>
      </c>
      <c r="B102" s="22" t="s">
        <v>317</v>
      </c>
      <c r="C102" s="23" t="s">
        <v>39</v>
      </c>
      <c r="D102" s="119">
        <v>1</v>
      </c>
      <c r="E102" s="106">
        <v>22</v>
      </c>
      <c r="F102" s="240">
        <v>250</v>
      </c>
      <c r="G102" s="241"/>
      <c r="H102" s="246">
        <f t="shared" ref="H102:H115" si="7">+ROUND(D102*E102*F102,2)</f>
        <v>5500</v>
      </c>
      <c r="I102" s="241"/>
    </row>
    <row r="103" spans="1:9" outlineLevel="1">
      <c r="A103" s="685" t="s">
        <v>318</v>
      </c>
      <c r="B103" s="22" t="s">
        <v>319</v>
      </c>
      <c r="C103" s="23" t="s">
        <v>39</v>
      </c>
      <c r="D103" s="119">
        <v>0.5</v>
      </c>
      <c r="E103" s="106">
        <v>22</v>
      </c>
      <c r="F103" s="240">
        <v>1950</v>
      </c>
      <c r="G103" s="241"/>
      <c r="H103" s="246">
        <f t="shared" si="7"/>
        <v>21450</v>
      </c>
      <c r="I103" s="241"/>
    </row>
    <row r="104" spans="1:9" outlineLevel="1">
      <c r="A104" s="685" t="s">
        <v>320</v>
      </c>
      <c r="B104" s="22" t="s">
        <v>321</v>
      </c>
      <c r="C104" s="23" t="s">
        <v>39</v>
      </c>
      <c r="D104" s="119">
        <v>1</v>
      </c>
      <c r="E104" s="106">
        <v>22</v>
      </c>
      <c r="F104" s="240">
        <v>300</v>
      </c>
      <c r="G104" s="241"/>
      <c r="H104" s="246">
        <f t="shared" si="7"/>
        <v>6600</v>
      </c>
      <c r="I104" s="241"/>
    </row>
    <row r="105" spans="1:9" outlineLevel="1">
      <c r="A105" s="685" t="s">
        <v>322</v>
      </c>
      <c r="B105" s="22" t="s">
        <v>323</v>
      </c>
      <c r="C105" s="23" t="s">
        <v>39</v>
      </c>
      <c r="D105" s="119">
        <v>1</v>
      </c>
      <c r="E105" s="106">
        <v>22</v>
      </c>
      <c r="F105" s="240">
        <v>450</v>
      </c>
      <c r="G105" s="241"/>
      <c r="H105" s="246">
        <f t="shared" si="7"/>
        <v>9900</v>
      </c>
      <c r="I105" s="241"/>
    </row>
    <row r="106" spans="1:9" outlineLevel="1">
      <c r="A106" s="685" t="s">
        <v>324</v>
      </c>
      <c r="B106" s="22" t="s">
        <v>325</v>
      </c>
      <c r="C106" s="23" t="s">
        <v>39</v>
      </c>
      <c r="D106" s="119">
        <v>1</v>
      </c>
      <c r="E106" s="106">
        <v>3</v>
      </c>
      <c r="F106" s="240">
        <v>1200</v>
      </c>
      <c r="G106" s="241"/>
      <c r="H106" s="246">
        <f t="shared" si="7"/>
        <v>3600</v>
      </c>
      <c r="I106" s="241"/>
    </row>
    <row r="107" spans="1:9" outlineLevel="1">
      <c r="A107" s="685" t="s">
        <v>326</v>
      </c>
      <c r="B107" s="22" t="s">
        <v>327</v>
      </c>
      <c r="C107" s="23" t="s">
        <v>29</v>
      </c>
      <c r="D107" s="119">
        <v>1</v>
      </c>
      <c r="E107" s="106">
        <v>1</v>
      </c>
      <c r="F107" s="240">
        <v>2400</v>
      </c>
      <c r="G107" s="241"/>
      <c r="H107" s="246">
        <f t="shared" si="7"/>
        <v>2400</v>
      </c>
      <c r="I107" s="241"/>
    </row>
    <row r="108" spans="1:9" outlineLevel="1">
      <c r="A108" s="685" t="s">
        <v>328</v>
      </c>
      <c r="B108" s="22" t="s">
        <v>329</v>
      </c>
      <c r="C108" s="23" t="s">
        <v>39</v>
      </c>
      <c r="D108" s="119">
        <v>1</v>
      </c>
      <c r="E108" s="106">
        <v>22</v>
      </c>
      <c r="F108" s="240">
        <v>500</v>
      </c>
      <c r="G108" s="241"/>
      <c r="H108" s="246">
        <f t="shared" si="7"/>
        <v>11000</v>
      </c>
      <c r="I108" s="241"/>
    </row>
    <row r="109" spans="1:9" outlineLevel="1">
      <c r="A109" s="685" t="s">
        <v>330</v>
      </c>
      <c r="B109" s="22" t="s">
        <v>331</v>
      </c>
      <c r="C109" s="23" t="s">
        <v>39</v>
      </c>
      <c r="D109" s="119">
        <v>1</v>
      </c>
      <c r="E109" s="106">
        <v>22</v>
      </c>
      <c r="F109" s="240">
        <v>784</v>
      </c>
      <c r="G109" s="241"/>
      <c r="H109" s="246">
        <f t="shared" si="7"/>
        <v>17248</v>
      </c>
      <c r="I109" s="241"/>
    </row>
    <row r="110" spans="1:9" outlineLevel="1">
      <c r="A110" s="685" t="s">
        <v>332</v>
      </c>
      <c r="B110" s="22" t="s">
        <v>333</v>
      </c>
      <c r="C110" s="23" t="s">
        <v>39</v>
      </c>
      <c r="D110" s="119">
        <v>1</v>
      </c>
      <c r="E110" s="106">
        <v>2</v>
      </c>
      <c r="F110" s="240">
        <v>300</v>
      </c>
      <c r="G110" s="241"/>
      <c r="H110" s="246">
        <f t="shared" si="7"/>
        <v>600</v>
      </c>
      <c r="I110" s="241"/>
    </row>
    <row r="111" spans="1:9" outlineLevel="1">
      <c r="A111" s="685" t="s">
        <v>334</v>
      </c>
      <c r="B111" s="22" t="s">
        <v>335</v>
      </c>
      <c r="C111" s="23" t="s">
        <v>29</v>
      </c>
      <c r="D111" s="119">
        <v>1</v>
      </c>
      <c r="E111" s="106">
        <v>1</v>
      </c>
      <c r="F111" s="240">
        <v>3000</v>
      </c>
      <c r="G111" s="241"/>
      <c r="H111" s="246">
        <f t="shared" si="7"/>
        <v>3000</v>
      </c>
      <c r="I111" s="241"/>
    </row>
    <row r="112" spans="1:9" outlineLevel="1">
      <c r="A112" s="685" t="s">
        <v>336</v>
      </c>
      <c r="B112" s="22" t="s">
        <v>337</v>
      </c>
      <c r="C112" s="23" t="s">
        <v>39</v>
      </c>
      <c r="D112" s="119">
        <v>1</v>
      </c>
      <c r="E112" s="106">
        <v>22</v>
      </c>
      <c r="F112" s="240">
        <v>500</v>
      </c>
      <c r="G112" s="241"/>
      <c r="H112" s="246">
        <f t="shared" si="7"/>
        <v>11000</v>
      </c>
      <c r="I112" s="241"/>
    </row>
    <row r="113" spans="1:9" outlineLevel="1">
      <c r="A113" s="685" t="s">
        <v>338</v>
      </c>
      <c r="B113" s="22" t="s">
        <v>339</v>
      </c>
      <c r="C113" s="23" t="s">
        <v>39</v>
      </c>
      <c r="D113" s="119">
        <v>1</v>
      </c>
      <c r="E113" s="106">
        <v>22</v>
      </c>
      <c r="F113" s="240">
        <v>20000</v>
      </c>
      <c r="G113" s="241"/>
      <c r="H113" s="246">
        <f t="shared" si="7"/>
        <v>440000</v>
      </c>
      <c r="I113" s="241"/>
    </row>
    <row r="114" spans="1:9" outlineLevel="1">
      <c r="A114" s="685" t="s">
        <v>338</v>
      </c>
      <c r="B114" s="689" t="s">
        <v>340</v>
      </c>
      <c r="C114" s="690" t="s">
        <v>39</v>
      </c>
      <c r="D114" s="119">
        <v>1</v>
      </c>
      <c r="E114" s="691">
        <v>5.0000000000000001E-3</v>
      </c>
      <c r="F114" s="240">
        <v>50432593.25999999</v>
      </c>
      <c r="G114" s="241"/>
      <c r="H114" s="246">
        <f t="shared" si="7"/>
        <v>252162.97</v>
      </c>
      <c r="I114" s="241"/>
    </row>
    <row r="115" spans="1:9" outlineLevel="1">
      <c r="A115" s="685" t="s">
        <v>341</v>
      </c>
      <c r="B115" s="22" t="s">
        <v>342</v>
      </c>
      <c r="C115" s="23" t="s">
        <v>29</v>
      </c>
      <c r="D115" s="119">
        <v>1</v>
      </c>
      <c r="E115" s="106">
        <v>1</v>
      </c>
      <c r="F115" s="240">
        <v>6250</v>
      </c>
      <c r="G115" s="241"/>
      <c r="H115" s="246">
        <f t="shared" si="7"/>
        <v>6250</v>
      </c>
      <c r="I115" s="241"/>
    </row>
    <row r="116" spans="1:9" outlineLevel="1">
      <c r="A116" s="685" t="s">
        <v>343</v>
      </c>
      <c r="B116" s="22" t="s">
        <v>344</v>
      </c>
      <c r="C116" s="23" t="s">
        <v>29</v>
      </c>
      <c r="D116" s="119">
        <v>0</v>
      </c>
      <c r="E116" s="106">
        <v>1</v>
      </c>
      <c r="F116" s="240">
        <v>0</v>
      </c>
      <c r="G116" s="241"/>
      <c r="H116" s="246">
        <f t="shared" ref="H116:H118" si="8">+D116*E116*F116</f>
        <v>0</v>
      </c>
      <c r="I116" s="241"/>
    </row>
    <row r="117" spans="1:9" ht="22.5" outlineLevel="1">
      <c r="A117" s="685" t="s">
        <v>345</v>
      </c>
      <c r="B117" s="671" t="s">
        <v>346</v>
      </c>
      <c r="C117" s="23" t="s">
        <v>29</v>
      </c>
      <c r="D117" s="119">
        <v>1</v>
      </c>
      <c r="E117" s="106">
        <v>2</v>
      </c>
      <c r="F117" s="240">
        <v>4600</v>
      </c>
      <c r="G117" s="241"/>
      <c r="H117" s="246">
        <f>+ROUND(D117*E117*F117,2)</f>
        <v>9200</v>
      </c>
      <c r="I117" s="241"/>
    </row>
    <row r="118" spans="1:9" outlineLevel="1">
      <c r="A118" s="685" t="s">
        <v>347</v>
      </c>
      <c r="B118" s="22" t="s">
        <v>348</v>
      </c>
      <c r="C118" s="23" t="s">
        <v>29</v>
      </c>
      <c r="D118" s="119">
        <v>0</v>
      </c>
      <c r="E118" s="106">
        <v>1</v>
      </c>
      <c r="F118" s="240">
        <v>4500</v>
      </c>
      <c r="G118" s="241"/>
      <c r="H118" s="246">
        <f t="shared" si="8"/>
        <v>0</v>
      </c>
      <c r="I118" s="241"/>
    </row>
    <row r="119" spans="1:9">
      <c r="A119" s="688" t="s">
        <v>349</v>
      </c>
      <c r="B119" s="677" t="s">
        <v>350</v>
      </c>
      <c r="C119" s="678"/>
      <c r="D119" s="123"/>
      <c r="E119" s="120"/>
      <c r="F119" s="244"/>
      <c r="G119" s="241"/>
      <c r="H119" s="246"/>
      <c r="I119" s="679">
        <f>SUM(H120)</f>
        <v>0</v>
      </c>
    </row>
    <row r="120" spans="1:9" outlineLevel="1">
      <c r="A120" s="685" t="s">
        <v>351</v>
      </c>
      <c r="B120" s="22" t="s">
        <v>352</v>
      </c>
      <c r="C120" s="23" t="s">
        <v>39</v>
      </c>
      <c r="D120" s="119">
        <v>0</v>
      </c>
      <c r="E120" s="106">
        <v>12</v>
      </c>
      <c r="F120" s="240">
        <v>2800</v>
      </c>
      <c r="G120" s="241"/>
      <c r="H120" s="246">
        <f>+D120*E120*F120</f>
        <v>0</v>
      </c>
      <c r="I120" s="241"/>
    </row>
    <row r="121" spans="1:9">
      <c r="A121" s="688" t="s">
        <v>353</v>
      </c>
      <c r="B121" s="677" t="s">
        <v>354</v>
      </c>
      <c r="C121" s="678"/>
      <c r="D121" s="123"/>
      <c r="E121" s="120"/>
      <c r="F121" s="244"/>
      <c r="G121" s="241"/>
      <c r="H121" s="246"/>
      <c r="I121" s="679">
        <f>SUM(H122:H167)</f>
        <v>401252.74999999994</v>
      </c>
    </row>
    <row r="122" spans="1:9" outlineLevel="1">
      <c r="A122" s="685" t="s">
        <v>355</v>
      </c>
      <c r="B122" s="22" t="s">
        <v>356</v>
      </c>
      <c r="C122" s="23" t="s">
        <v>29</v>
      </c>
      <c r="D122" s="119">
        <v>1</v>
      </c>
      <c r="E122" s="106">
        <v>1</v>
      </c>
      <c r="F122" s="240">
        <v>107682.72</v>
      </c>
      <c r="G122" s="241"/>
      <c r="H122" s="246">
        <f t="shared" ref="H122:H128" si="9">+D122*E122*F122</f>
        <v>107682.72</v>
      </c>
      <c r="I122" s="241"/>
    </row>
    <row r="123" spans="1:9" outlineLevel="1">
      <c r="A123" s="685" t="s">
        <v>357</v>
      </c>
      <c r="B123" s="22" t="s">
        <v>358</v>
      </c>
      <c r="C123" s="23" t="s">
        <v>29</v>
      </c>
      <c r="D123" s="119">
        <v>1</v>
      </c>
      <c r="E123" s="106">
        <v>1</v>
      </c>
      <c r="F123" s="240">
        <v>2000</v>
      </c>
      <c r="G123" s="241"/>
      <c r="H123" s="246">
        <f t="shared" si="9"/>
        <v>2000</v>
      </c>
      <c r="I123" s="241"/>
    </row>
    <row r="124" spans="1:9" outlineLevel="1">
      <c r="A124" s="685" t="s">
        <v>359</v>
      </c>
      <c r="B124" s="22" t="s">
        <v>360</v>
      </c>
      <c r="C124" s="23" t="s">
        <v>39</v>
      </c>
      <c r="D124" s="119">
        <v>0</v>
      </c>
      <c r="E124" s="106">
        <v>23</v>
      </c>
      <c r="F124" s="240">
        <v>24547.820412839996</v>
      </c>
      <c r="G124" s="241"/>
      <c r="H124" s="246">
        <f t="shared" si="9"/>
        <v>0</v>
      </c>
      <c r="I124" s="241"/>
    </row>
    <row r="125" spans="1:9" outlineLevel="1">
      <c r="A125" s="685" t="s">
        <v>361</v>
      </c>
      <c r="B125" s="22" t="s">
        <v>362</v>
      </c>
      <c r="C125" s="23" t="s">
        <v>39</v>
      </c>
      <c r="D125" s="119">
        <v>0</v>
      </c>
      <c r="E125" s="106">
        <v>23</v>
      </c>
      <c r="F125" s="240">
        <v>16929.531319199999</v>
      </c>
      <c r="G125" s="241"/>
      <c r="H125" s="246">
        <f t="shared" si="9"/>
        <v>0</v>
      </c>
      <c r="I125" s="241"/>
    </row>
    <row r="126" spans="1:9" outlineLevel="1">
      <c r="A126" s="685" t="s">
        <v>363</v>
      </c>
      <c r="B126" s="22" t="s">
        <v>364</v>
      </c>
      <c r="C126" s="23" t="s">
        <v>39</v>
      </c>
      <c r="D126" s="119">
        <v>0</v>
      </c>
      <c r="E126" s="106">
        <v>12</v>
      </c>
      <c r="F126" s="240">
        <v>8464.7656595999997</v>
      </c>
      <c r="G126" s="241"/>
      <c r="H126" s="246">
        <f t="shared" si="9"/>
        <v>0</v>
      </c>
      <c r="I126" s="241"/>
    </row>
    <row r="127" spans="1:9" outlineLevel="1">
      <c r="A127" s="685" t="s">
        <v>365</v>
      </c>
      <c r="B127" s="22" t="s">
        <v>366</v>
      </c>
      <c r="C127" s="23" t="s">
        <v>39</v>
      </c>
      <c r="D127" s="119">
        <v>0</v>
      </c>
      <c r="E127" s="106">
        <v>23</v>
      </c>
      <c r="F127" s="240">
        <v>8464.7656595999997</v>
      </c>
      <c r="G127" s="241"/>
      <c r="H127" s="246">
        <f t="shared" si="9"/>
        <v>0</v>
      </c>
      <c r="I127" s="241"/>
    </row>
    <row r="128" spans="1:9" ht="10.5" customHeight="1" outlineLevel="1">
      <c r="A128" s="685" t="s">
        <v>367</v>
      </c>
      <c r="B128" s="22" t="s">
        <v>368</v>
      </c>
      <c r="C128" s="23" t="s">
        <v>29</v>
      </c>
      <c r="D128" s="119">
        <v>0</v>
      </c>
      <c r="E128" s="106">
        <v>1</v>
      </c>
      <c r="F128" s="240">
        <v>16500</v>
      </c>
      <c r="G128" s="241"/>
      <c r="H128" s="246">
        <f t="shared" si="9"/>
        <v>0</v>
      </c>
      <c r="I128" s="241"/>
    </row>
    <row r="129" spans="1:9" outlineLevel="1">
      <c r="A129" s="685" t="s">
        <v>369</v>
      </c>
      <c r="B129" s="22" t="s">
        <v>370</v>
      </c>
      <c r="C129" s="23" t="s">
        <v>39</v>
      </c>
      <c r="D129" s="119"/>
      <c r="E129" s="106"/>
      <c r="F129" s="240"/>
      <c r="G129" s="241"/>
      <c r="H129" s="246">
        <f>ROUND(SUM(G131:G161),2)</f>
        <v>24892.74</v>
      </c>
      <c r="I129" s="241"/>
    </row>
    <row r="130" spans="1:9" outlineLevel="2">
      <c r="A130" s="685" t="s">
        <v>371</v>
      </c>
      <c r="B130" s="684" t="s">
        <v>372</v>
      </c>
      <c r="C130" s="23"/>
      <c r="D130" s="119"/>
      <c r="E130" s="106"/>
      <c r="F130" s="240"/>
      <c r="G130" s="241"/>
      <c r="H130" s="246"/>
      <c r="I130" s="241"/>
    </row>
    <row r="131" spans="1:9" outlineLevel="2">
      <c r="A131" s="685" t="s">
        <v>373</v>
      </c>
      <c r="B131" s="671" t="str">
        <f>+B14</f>
        <v>SUPERINTENDENCIA</v>
      </c>
      <c r="C131" s="23"/>
      <c r="D131" s="119">
        <v>1</v>
      </c>
      <c r="E131" s="119">
        <v>22</v>
      </c>
      <c r="F131" s="247">
        <v>6000</v>
      </c>
      <c r="G131" s="241">
        <v>1056</v>
      </c>
      <c r="H131" s="246"/>
      <c r="I131" s="241"/>
    </row>
    <row r="132" spans="1:9" outlineLevel="2">
      <c r="A132" s="685" t="s">
        <v>374</v>
      </c>
      <c r="B132" s="22" t="str">
        <f>+B15</f>
        <v xml:space="preserve">INGENIERO RESIDENTE </v>
      </c>
      <c r="C132" s="23"/>
      <c r="D132" s="119">
        <v>1</v>
      </c>
      <c r="E132" s="119">
        <v>23</v>
      </c>
      <c r="F132" s="247">
        <v>19500</v>
      </c>
      <c r="G132" s="241">
        <v>3588</v>
      </c>
      <c r="H132" s="246"/>
      <c r="I132" s="241"/>
    </row>
    <row r="133" spans="1:9" outlineLevel="2">
      <c r="A133" s="685" t="s">
        <v>375</v>
      </c>
      <c r="B133" s="22" t="str">
        <f>+B16</f>
        <v xml:space="preserve">INGENIERO DE OFICINA TECNICA </v>
      </c>
      <c r="C133" s="23"/>
      <c r="D133" s="119">
        <v>1</v>
      </c>
      <c r="E133" s="119">
        <v>23</v>
      </c>
      <c r="F133" s="247">
        <v>10500</v>
      </c>
      <c r="G133" s="241">
        <v>1932</v>
      </c>
      <c r="H133" s="246"/>
      <c r="I133" s="241"/>
    </row>
    <row r="134" spans="1:9" outlineLevel="2">
      <c r="A134" s="685" t="s">
        <v>376</v>
      </c>
      <c r="B134" s="22" t="str">
        <f>+B17</f>
        <v>INGENIERO DE CAMPO</v>
      </c>
      <c r="C134" s="23"/>
      <c r="D134" s="119">
        <v>1</v>
      </c>
      <c r="E134" s="119">
        <v>19</v>
      </c>
      <c r="F134" s="247">
        <v>10500</v>
      </c>
      <c r="G134" s="241">
        <v>1596</v>
      </c>
      <c r="H134" s="246"/>
      <c r="I134" s="241"/>
    </row>
    <row r="135" spans="1:9" outlineLevel="2">
      <c r="A135" s="685" t="s">
        <v>377</v>
      </c>
      <c r="B135" s="22" t="str">
        <f>+B19</f>
        <v>INGENIERO DE CALIDAD</v>
      </c>
      <c r="C135" s="23"/>
      <c r="D135" s="119">
        <v>1</v>
      </c>
      <c r="E135" s="119">
        <v>17</v>
      </c>
      <c r="F135" s="247">
        <v>8550</v>
      </c>
      <c r="G135" s="241">
        <v>1162.8</v>
      </c>
      <c r="H135" s="246"/>
      <c r="I135" s="241"/>
    </row>
    <row r="136" spans="1:9" outlineLevel="2">
      <c r="A136" s="685" t="s">
        <v>378</v>
      </c>
      <c r="B136" s="22" t="str">
        <f>B20</f>
        <v>INGENIERO DE CALIDAD JUNIOR</v>
      </c>
      <c r="C136" s="23"/>
      <c r="D136" s="119">
        <v>1</v>
      </c>
      <c r="E136" s="119">
        <v>6</v>
      </c>
      <c r="F136" s="247">
        <v>5250</v>
      </c>
      <c r="G136" s="241">
        <v>252</v>
      </c>
      <c r="H136" s="246"/>
      <c r="I136" s="241"/>
    </row>
    <row r="137" spans="1:9" outlineLevel="2">
      <c r="A137" s="685" t="s">
        <v>379</v>
      </c>
      <c r="B137" s="22" t="str">
        <f t="shared" ref="B137:B143" si="10">+B21</f>
        <v>INGENIERO ELECTROMECANICO</v>
      </c>
      <c r="C137" s="23"/>
      <c r="D137" s="119">
        <v>0.5</v>
      </c>
      <c r="E137" s="119">
        <v>17</v>
      </c>
      <c r="F137" s="247">
        <v>10500</v>
      </c>
      <c r="G137" s="241">
        <v>714</v>
      </c>
      <c r="H137" s="246"/>
      <c r="I137" s="241"/>
    </row>
    <row r="138" spans="1:9" outlineLevel="2">
      <c r="A138" s="685" t="s">
        <v>380</v>
      </c>
      <c r="B138" s="671" t="str">
        <f t="shared" si="10"/>
        <v xml:space="preserve">ARQUITECTO DE ACABADOS </v>
      </c>
      <c r="C138" s="23"/>
      <c r="D138" s="119">
        <v>1</v>
      </c>
      <c r="E138" s="119">
        <v>17</v>
      </c>
      <c r="F138" s="247">
        <v>10500</v>
      </c>
      <c r="G138" s="241">
        <v>1428</v>
      </c>
      <c r="H138" s="246"/>
      <c r="I138" s="241"/>
    </row>
    <row r="139" spans="1:9" outlineLevel="2">
      <c r="A139" s="685" t="s">
        <v>381</v>
      </c>
      <c r="B139" s="671" t="str">
        <f t="shared" si="10"/>
        <v xml:space="preserve">ARQUITECTO DE ACABADOS JUNIOR </v>
      </c>
      <c r="C139" s="23"/>
      <c r="D139" s="119">
        <v>1</v>
      </c>
      <c r="E139" s="119">
        <v>13.5</v>
      </c>
      <c r="F139" s="247">
        <v>5250</v>
      </c>
      <c r="G139" s="241">
        <v>567</v>
      </c>
      <c r="H139" s="246"/>
      <c r="I139" s="241"/>
    </row>
    <row r="140" spans="1:9" outlineLevel="2">
      <c r="A140" s="685" t="s">
        <v>382</v>
      </c>
      <c r="B140" s="22" t="str">
        <f t="shared" si="10"/>
        <v xml:space="preserve">PREVENCIONISTA DE RIEGOS - SUBJEFE DE PDR </v>
      </c>
      <c r="C140" s="23"/>
      <c r="D140" s="119">
        <v>1</v>
      </c>
      <c r="E140" s="119">
        <v>22</v>
      </c>
      <c r="F140" s="247">
        <v>6750</v>
      </c>
      <c r="G140" s="241">
        <v>1188</v>
      </c>
      <c r="H140" s="246"/>
      <c r="I140" s="241"/>
    </row>
    <row r="141" spans="1:9" outlineLevel="2">
      <c r="A141" s="685" t="s">
        <v>383</v>
      </c>
      <c r="B141" s="22" t="str">
        <f t="shared" si="10"/>
        <v xml:space="preserve">      ASISTENTES DE PDR (01)</v>
      </c>
      <c r="C141" s="23"/>
      <c r="D141" s="119">
        <v>0</v>
      </c>
      <c r="E141" s="119">
        <v>17</v>
      </c>
      <c r="F141" s="247">
        <v>4455.3600000000006</v>
      </c>
      <c r="G141" s="241">
        <v>0</v>
      </c>
      <c r="H141" s="246"/>
      <c r="I141" s="241"/>
    </row>
    <row r="142" spans="1:9" outlineLevel="2">
      <c r="A142" s="685" t="s">
        <v>384</v>
      </c>
      <c r="B142" s="22" t="str">
        <f t="shared" si="10"/>
        <v xml:space="preserve">      AYUDANTE DE PDR N°1 (01)</v>
      </c>
      <c r="C142" s="23"/>
      <c r="D142" s="119">
        <v>0</v>
      </c>
      <c r="E142" s="119">
        <v>22</v>
      </c>
      <c r="F142" s="247">
        <v>4033.12</v>
      </c>
      <c r="G142" s="241">
        <v>0</v>
      </c>
      <c r="H142" s="246"/>
      <c r="I142" s="241"/>
    </row>
    <row r="143" spans="1:9" outlineLevel="2">
      <c r="A143" s="685" t="s">
        <v>385</v>
      </c>
      <c r="B143" s="22" t="str">
        <f t="shared" si="10"/>
        <v xml:space="preserve">ADMINISTRADOR DE OBRA </v>
      </c>
      <c r="C143" s="23"/>
      <c r="D143" s="119">
        <v>1</v>
      </c>
      <c r="E143" s="119">
        <v>23</v>
      </c>
      <c r="F143" s="247">
        <v>6450</v>
      </c>
      <c r="G143" s="241">
        <v>1186.8</v>
      </c>
      <c r="H143" s="246"/>
      <c r="I143" s="241"/>
    </row>
    <row r="144" spans="1:9" outlineLevel="2">
      <c r="A144" s="685" t="s">
        <v>386</v>
      </c>
      <c r="B144" s="22" t="s">
        <v>229</v>
      </c>
      <c r="C144" s="23"/>
      <c r="D144" s="119">
        <v>1</v>
      </c>
      <c r="E144" s="119">
        <v>19</v>
      </c>
      <c r="F144" s="247">
        <v>6750</v>
      </c>
      <c r="G144" s="241">
        <v>1026</v>
      </c>
      <c r="H144" s="246"/>
      <c r="I144" s="241"/>
    </row>
    <row r="145" spans="1:9" outlineLevel="2">
      <c r="A145" s="685" t="s">
        <v>387</v>
      </c>
      <c r="B145" s="22" t="str">
        <f t="shared" ref="B145:B155" si="11">+B30</f>
        <v>ASISTENTE (CAMPO/CALIDAD/ARQ)</v>
      </c>
      <c r="C145" s="23"/>
      <c r="D145" s="119">
        <v>2</v>
      </c>
      <c r="E145" s="119">
        <v>12</v>
      </c>
      <c r="F145" s="247">
        <v>4200</v>
      </c>
      <c r="G145" s="241">
        <v>806.40000000000009</v>
      </c>
      <c r="H145" s="246"/>
      <c r="I145" s="241"/>
    </row>
    <row r="146" spans="1:9" outlineLevel="2">
      <c r="A146" s="685" t="s">
        <v>388</v>
      </c>
      <c r="B146" s="22" t="str">
        <f t="shared" si="11"/>
        <v xml:space="preserve">MAESTRO DE OBRA </v>
      </c>
      <c r="C146" s="23"/>
      <c r="D146" s="119">
        <v>1</v>
      </c>
      <c r="E146" s="119">
        <v>15</v>
      </c>
      <c r="F146" s="247">
        <v>8010.5</v>
      </c>
      <c r="G146" s="241">
        <v>961.2600000000001</v>
      </c>
      <c r="H146" s="246"/>
      <c r="I146" s="241"/>
    </row>
    <row r="147" spans="1:9" outlineLevel="2">
      <c r="A147" s="685" t="s">
        <v>389</v>
      </c>
      <c r="B147" s="22" t="str">
        <f t="shared" si="11"/>
        <v>CAPATAZ DE OBRA ESTRUCTURAS</v>
      </c>
      <c r="C147" s="23"/>
      <c r="D147" s="119">
        <v>1</v>
      </c>
      <c r="E147" s="119">
        <v>10</v>
      </c>
      <c r="F147" s="247">
        <v>7105.8</v>
      </c>
      <c r="G147" s="241">
        <v>568.46400000000006</v>
      </c>
      <c r="H147" s="246"/>
      <c r="I147" s="241"/>
    </row>
    <row r="148" spans="1:9" outlineLevel="2">
      <c r="A148" s="685" t="s">
        <v>390</v>
      </c>
      <c r="B148" s="22" t="str">
        <f t="shared" si="11"/>
        <v>CAPATAZ N°2 EST CASCO</v>
      </c>
      <c r="C148" s="23"/>
      <c r="D148" s="119">
        <v>0</v>
      </c>
      <c r="E148" s="119">
        <v>6.5</v>
      </c>
      <c r="F148" s="247">
        <v>7105.8</v>
      </c>
      <c r="G148" s="241">
        <v>0</v>
      </c>
      <c r="H148" s="246"/>
      <c r="I148" s="241"/>
    </row>
    <row r="149" spans="1:9" outlineLevel="2">
      <c r="A149" s="685" t="s">
        <v>391</v>
      </c>
      <c r="B149" s="22" t="str">
        <f t="shared" si="11"/>
        <v>CAPATAZ DE OBRA ARQUITECTURA N°1</v>
      </c>
      <c r="C149" s="23"/>
      <c r="D149" s="119">
        <v>1</v>
      </c>
      <c r="E149" s="119">
        <v>14.5</v>
      </c>
      <c r="F149" s="247">
        <v>7105.8</v>
      </c>
      <c r="G149" s="241">
        <v>824.27280000000007</v>
      </c>
      <c r="H149" s="246"/>
      <c r="I149" s="241"/>
    </row>
    <row r="150" spans="1:9" outlineLevel="2">
      <c r="A150" s="685" t="s">
        <v>392</v>
      </c>
      <c r="B150" s="22" t="str">
        <f t="shared" si="11"/>
        <v>CAPATAZ DE OBRA ARQUITECTURA N°2</v>
      </c>
      <c r="C150" s="23"/>
      <c r="D150" s="119">
        <v>0</v>
      </c>
      <c r="E150" s="119">
        <v>14.5</v>
      </c>
      <c r="F150" s="247">
        <v>7105.8</v>
      </c>
      <c r="G150" s="241">
        <v>0</v>
      </c>
      <c r="H150" s="246"/>
      <c r="I150" s="241"/>
    </row>
    <row r="151" spans="1:9" outlineLevel="2">
      <c r="A151" s="685" t="s">
        <v>393</v>
      </c>
      <c r="B151" s="22" t="str">
        <f t="shared" si="11"/>
        <v>ASISTENTE DE INSTALACIONES</v>
      </c>
      <c r="C151" s="23"/>
      <c r="D151" s="119">
        <v>0</v>
      </c>
      <c r="E151" s="119">
        <v>17</v>
      </c>
      <c r="F151" s="247">
        <v>3100</v>
      </c>
      <c r="G151" s="241">
        <v>0</v>
      </c>
      <c r="H151" s="246"/>
      <c r="I151" s="241"/>
    </row>
    <row r="152" spans="1:9" outlineLevel="2">
      <c r="A152" s="685" t="s">
        <v>394</v>
      </c>
      <c r="B152" s="22" t="str">
        <f t="shared" si="11"/>
        <v>JEFE DE ALMACEN</v>
      </c>
      <c r="C152" s="23"/>
      <c r="D152" s="119">
        <v>1</v>
      </c>
      <c r="E152" s="119">
        <v>23</v>
      </c>
      <c r="F152" s="247">
        <v>5550</v>
      </c>
      <c r="G152" s="241">
        <v>1021.1999999999999</v>
      </c>
      <c r="H152" s="246"/>
      <c r="I152" s="241"/>
    </row>
    <row r="153" spans="1:9" outlineLevel="2">
      <c r="A153" s="685" t="s">
        <v>395</v>
      </c>
      <c r="B153" s="22" t="str">
        <f t="shared" si="11"/>
        <v>ASISTENTE DE ALMACEN</v>
      </c>
      <c r="C153" s="23"/>
      <c r="D153" s="119">
        <v>1</v>
      </c>
      <c r="E153" s="119">
        <v>8</v>
      </c>
      <c r="F153" s="247">
        <v>4500</v>
      </c>
      <c r="G153" s="241">
        <v>288</v>
      </c>
      <c r="H153" s="246"/>
      <c r="I153" s="241"/>
    </row>
    <row r="154" spans="1:9" outlineLevel="2">
      <c r="A154" s="685" t="s">
        <v>396</v>
      </c>
      <c r="B154" s="22" t="str">
        <f t="shared" si="11"/>
        <v>GUARDIAN DE OBRA Y PORTERIA</v>
      </c>
      <c r="C154" s="23"/>
      <c r="D154" s="119">
        <v>1</v>
      </c>
      <c r="E154" s="119">
        <v>23</v>
      </c>
      <c r="F154" s="247">
        <v>5900</v>
      </c>
      <c r="G154" s="241">
        <v>1085.6000000000001</v>
      </c>
      <c r="H154" s="246"/>
      <c r="I154" s="241"/>
    </row>
    <row r="155" spans="1:9" ht="22.5" outlineLevel="2">
      <c r="A155" s="685" t="s">
        <v>397</v>
      </c>
      <c r="B155" s="671" t="str">
        <f t="shared" si="11"/>
        <v>VIGILANTE POLICIAL DE CIVIL (TURNO NOCHE) - SERA COBRADO COMO ADICIONAL</v>
      </c>
      <c r="C155" s="23"/>
      <c r="D155" s="119">
        <v>0</v>
      </c>
      <c r="E155" s="119">
        <v>13.5</v>
      </c>
      <c r="F155" s="247">
        <v>6880</v>
      </c>
      <c r="G155" s="241">
        <v>0</v>
      </c>
      <c r="H155" s="246"/>
      <c r="I155" s="241"/>
    </row>
    <row r="156" spans="1:9" ht="22.5" outlineLevel="2">
      <c r="A156" s="685" t="s">
        <v>398</v>
      </c>
      <c r="B156" s="671" t="s">
        <v>399</v>
      </c>
      <c r="C156" s="23"/>
      <c r="D156" s="119">
        <v>1</v>
      </c>
      <c r="E156" s="119">
        <v>13.5</v>
      </c>
      <c r="F156" s="247">
        <v>3989.44</v>
      </c>
      <c r="G156" s="241">
        <v>430.85952000000003</v>
      </c>
      <c r="H156" s="246"/>
      <c r="I156" s="241"/>
    </row>
    <row r="157" spans="1:9" outlineLevel="2">
      <c r="A157" s="685" t="s">
        <v>400</v>
      </c>
      <c r="B157" s="22" t="s">
        <v>227</v>
      </c>
      <c r="C157" s="23"/>
      <c r="D157" s="119">
        <v>1</v>
      </c>
      <c r="E157" s="119">
        <v>17</v>
      </c>
      <c r="F157" s="247">
        <v>3602.56</v>
      </c>
      <c r="G157" s="241">
        <v>489.94815999999997</v>
      </c>
      <c r="H157" s="246"/>
      <c r="I157" s="241"/>
    </row>
    <row r="158" spans="1:9" outlineLevel="2">
      <c r="A158" s="685" t="s">
        <v>401</v>
      </c>
      <c r="B158" s="22" t="s">
        <v>303</v>
      </c>
      <c r="C158" s="23"/>
      <c r="D158" s="119">
        <v>1</v>
      </c>
      <c r="E158" s="119">
        <v>5</v>
      </c>
      <c r="F158" s="247">
        <v>3602.56</v>
      </c>
      <c r="G158" s="241">
        <v>144.10239999999999</v>
      </c>
      <c r="H158" s="246"/>
      <c r="I158" s="241"/>
    </row>
    <row r="159" spans="1:9" outlineLevel="2">
      <c r="A159" s="685" t="s">
        <v>402</v>
      </c>
      <c r="B159" s="22" t="s">
        <v>268</v>
      </c>
      <c r="C159" s="23"/>
      <c r="D159" s="119">
        <v>1</v>
      </c>
      <c r="E159" s="119">
        <v>11</v>
      </c>
      <c r="F159" s="248">
        <v>11930.06</v>
      </c>
      <c r="G159" s="241">
        <v>1049.84528</v>
      </c>
      <c r="H159" s="246"/>
      <c r="I159" s="241"/>
    </row>
    <row r="160" spans="1:9" outlineLevel="2">
      <c r="A160" s="685" t="s">
        <v>403</v>
      </c>
      <c r="B160" s="22" t="s">
        <v>270</v>
      </c>
      <c r="C160" s="23"/>
      <c r="D160" s="119">
        <v>1</v>
      </c>
      <c r="E160" s="119">
        <v>11</v>
      </c>
      <c r="F160" s="248">
        <v>9256</v>
      </c>
      <c r="G160" s="241">
        <v>814.52799999999991</v>
      </c>
      <c r="H160" s="246"/>
      <c r="I160" s="241"/>
    </row>
    <row r="161" spans="1:9" outlineLevel="2">
      <c r="A161" s="685" t="s">
        <v>404</v>
      </c>
      <c r="B161" s="22" t="s">
        <v>405</v>
      </c>
      <c r="C161" s="23"/>
      <c r="D161" s="119">
        <v>1</v>
      </c>
      <c r="E161" s="119">
        <v>11</v>
      </c>
      <c r="F161" s="248">
        <v>8087.0399999999991</v>
      </c>
      <c r="G161" s="241">
        <v>711.65951999999982</v>
      </c>
      <c r="H161" s="246"/>
      <c r="I161" s="241"/>
    </row>
    <row r="162" spans="1:9" outlineLevel="1">
      <c r="A162" s="685" t="s">
        <v>406</v>
      </c>
      <c r="B162" s="22" t="s">
        <v>407</v>
      </c>
      <c r="C162" s="23" t="s">
        <v>39</v>
      </c>
      <c r="D162" s="119">
        <v>22</v>
      </c>
      <c r="E162" s="106">
        <v>80</v>
      </c>
      <c r="F162" s="240">
        <v>56.4</v>
      </c>
      <c r="G162" s="241"/>
      <c r="H162" s="246">
        <f t="shared" ref="H162:H167" si="12">+ROUND(D162*E162*F162,2)</f>
        <v>99264</v>
      </c>
      <c r="I162" s="241"/>
    </row>
    <row r="163" spans="1:9" outlineLevel="1">
      <c r="A163" s="685" t="s">
        <v>408</v>
      </c>
      <c r="B163" s="22" t="s">
        <v>409</v>
      </c>
      <c r="C163" s="23" t="s">
        <v>39</v>
      </c>
      <c r="D163" s="119">
        <v>22</v>
      </c>
      <c r="E163" s="106">
        <v>18.5</v>
      </c>
      <c r="F163" s="240">
        <v>20.299999999999997</v>
      </c>
      <c r="G163" s="241"/>
      <c r="H163" s="246">
        <f t="shared" si="12"/>
        <v>8262.1</v>
      </c>
      <c r="I163" s="241"/>
    </row>
    <row r="164" spans="1:9" outlineLevel="1">
      <c r="A164" s="685" t="s">
        <v>410</v>
      </c>
      <c r="B164" s="22" t="s">
        <v>411</v>
      </c>
      <c r="C164" s="23" t="s">
        <v>39</v>
      </c>
      <c r="D164" s="119">
        <v>22</v>
      </c>
      <c r="E164" s="106">
        <v>80</v>
      </c>
      <c r="F164" s="240">
        <v>13.629999999999999</v>
      </c>
      <c r="G164" s="241"/>
      <c r="H164" s="246">
        <f t="shared" si="12"/>
        <v>23988.799999999999</v>
      </c>
      <c r="I164" s="241"/>
    </row>
    <row r="165" spans="1:9" outlineLevel="1">
      <c r="A165" s="685" t="s">
        <v>412</v>
      </c>
      <c r="B165" s="22" t="s">
        <v>413</v>
      </c>
      <c r="C165" s="23" t="s">
        <v>29</v>
      </c>
      <c r="D165" s="119">
        <v>1</v>
      </c>
      <c r="E165" s="106">
        <v>1</v>
      </c>
      <c r="F165" s="240">
        <v>3385.9062638399996</v>
      </c>
      <c r="G165" s="241"/>
      <c r="H165" s="246">
        <f t="shared" si="12"/>
        <v>3385.91</v>
      </c>
      <c r="I165" s="241"/>
    </row>
    <row r="166" spans="1:9" outlineLevel="1">
      <c r="A166" s="685" t="s">
        <v>414</v>
      </c>
      <c r="B166" s="22" t="s">
        <v>415</v>
      </c>
      <c r="C166" s="23" t="s">
        <v>29</v>
      </c>
      <c r="D166" s="119">
        <v>1</v>
      </c>
      <c r="E166" s="106">
        <v>1</v>
      </c>
      <c r="F166" s="240">
        <v>114776.48</v>
      </c>
      <c r="G166" s="241"/>
      <c r="H166" s="246">
        <f t="shared" si="12"/>
        <v>114776.48</v>
      </c>
      <c r="I166" s="241"/>
    </row>
    <row r="167" spans="1:9" ht="12" outlineLevel="1" thickBot="1">
      <c r="A167" s="124" t="s">
        <v>416</v>
      </c>
      <c r="B167" s="22" t="s">
        <v>417</v>
      </c>
      <c r="C167" s="23" t="s">
        <v>29</v>
      </c>
      <c r="D167" s="119">
        <v>1</v>
      </c>
      <c r="E167" s="125">
        <v>1</v>
      </c>
      <c r="F167" s="240">
        <v>17000</v>
      </c>
      <c r="G167" s="241"/>
      <c r="H167" s="246">
        <f t="shared" si="12"/>
        <v>17000</v>
      </c>
      <c r="I167" s="241"/>
    </row>
    <row r="168" spans="1:9" ht="12.75" thickTop="1" thickBot="1">
      <c r="A168" s="128"/>
      <c r="B168" s="29"/>
      <c r="C168" s="29"/>
      <c r="D168" s="129"/>
      <c r="E168" s="129"/>
      <c r="F168" s="76" t="s">
        <v>11</v>
      </c>
      <c r="G168" s="174"/>
      <c r="H168" s="131">
        <f>SUM(H14:H167)</f>
        <v>3929199.2500000009</v>
      </c>
      <c r="I168" s="31">
        <f>SUM(I13:I167)</f>
        <v>3929199.25</v>
      </c>
    </row>
    <row r="169" spans="1:9" ht="12" thickTop="1"/>
  </sheetData>
  <mergeCells count="1">
    <mergeCell ref="A2:I2"/>
  </mergeCells>
  <phoneticPr fontId="13" type="noConversion"/>
  <pageMargins left="0.7" right="0.7" top="0.75" bottom="0.75" header="0.3" footer="0.3"/>
  <pageSetup orientation="portrait" r:id="rId1"/>
  <ignoredErrors>
    <ignoredError sqref="I19 H40:I41 H68 H118:I128 B131:B135 H94:H95 B71:B74 B44:B47 I101 H130:I130 H146:H161 I13:I17 H101 I21:I29 B49:B65 B76:B92 B137:B155 A13:A19 A27:A28 A21:A24 A41:A43 H116 I42 I39 I96 I97 I98 I129" unlockedFormula="1"/>
    <ignoredError sqref="B48:C48 B75:C75 B136 A29:A39" formula="1" unlockedFormula="1"/>
    <ignoredError sqref="A115:A121 A44:A113" numberStoredAsText="1"/>
    <ignoredError sqref="A40"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Q266"/>
  <sheetViews>
    <sheetView workbookViewId="0">
      <selection activeCell="B94" sqref="B94:I94"/>
    </sheetView>
  </sheetViews>
  <sheetFormatPr defaultColWidth="7.85546875" defaultRowHeight="11.25" customHeight="1" outlineLevelRow="2" outlineLevelCol="1"/>
  <cols>
    <col min="1" max="1" width="12.42578125" style="46" bestFit="1" customWidth="1"/>
    <col min="2" max="2" width="62.140625" style="47" customWidth="1"/>
    <col min="3" max="3" width="5.28515625" style="9" customWidth="1"/>
    <col min="4" max="4" width="17.5703125" style="9" customWidth="1"/>
    <col min="5" max="5" width="17.140625" style="398" customWidth="1" outlineLevel="1"/>
    <col min="6" max="7" width="17.140625" style="4" customWidth="1" outlineLevel="1"/>
    <col min="8" max="8" width="17.28515625" style="4" customWidth="1" outlineLevel="1"/>
    <col min="9" max="9" width="16.42578125" style="4" customWidth="1" outlineLevel="1"/>
    <col min="10" max="10" width="15.7109375" style="4" customWidth="1" outlineLevel="1"/>
    <col min="11" max="11" width="19.7109375" style="4" customWidth="1" outlineLevel="1"/>
    <col min="12" max="12" width="7.85546875" style="4"/>
    <col min="13" max="13" width="12.5703125" style="4" customWidth="1"/>
    <col min="14" max="14" width="7.85546875" style="4"/>
    <col min="15" max="15" width="13.28515625" style="4" customWidth="1"/>
    <col min="16" max="16" width="7.85546875" style="4"/>
    <col min="17" max="17" width="9.7109375" style="4" customWidth="1"/>
    <col min="18" max="16384" width="7.85546875" style="4"/>
  </cols>
  <sheetData>
    <row r="1" spans="1:17" ht="14.25" customHeight="1">
      <c r="A1" s="25"/>
      <c r="B1" s="45"/>
      <c r="C1" s="3"/>
      <c r="D1" s="3"/>
      <c r="E1" s="397"/>
      <c r="F1" s="2"/>
      <c r="G1" s="2"/>
      <c r="H1" s="2"/>
    </row>
    <row r="2" spans="1:17" ht="14.25" customHeight="1">
      <c r="A2" s="1" t="s">
        <v>418</v>
      </c>
      <c r="B2" s="1"/>
      <c r="C2" s="1"/>
      <c r="D2" s="1"/>
      <c r="E2" s="1"/>
      <c r="F2" s="1"/>
      <c r="G2" s="1"/>
      <c r="H2" s="1"/>
      <c r="I2" s="1"/>
      <c r="J2" s="1"/>
      <c r="K2" s="1"/>
    </row>
    <row r="3" spans="1:17" ht="14.25" customHeight="1">
      <c r="A3" s="25"/>
      <c r="B3" s="45"/>
      <c r="C3" s="3"/>
      <c r="D3" s="3"/>
      <c r="E3" s="397"/>
      <c r="F3" s="2"/>
      <c r="G3" s="2"/>
      <c r="H3" s="2"/>
    </row>
    <row r="4" spans="1:17" ht="14.25" customHeight="1">
      <c r="A4" s="5" t="s">
        <v>0</v>
      </c>
      <c r="B4" s="58" t="e">
        <f>OP!$B$4</f>
        <v>#REF!</v>
      </c>
      <c r="C4" s="3"/>
      <c r="D4" s="3"/>
      <c r="E4" s="397"/>
      <c r="F4" s="2"/>
      <c r="G4" s="2"/>
      <c r="H4" s="2"/>
    </row>
    <row r="5" spans="1:17" ht="14.25" customHeight="1">
      <c r="A5" s="5" t="s">
        <v>13</v>
      </c>
      <c r="B5" s="58" t="str">
        <f>+$A$2</f>
        <v>ESTRUCTURAS SÓTANOS</v>
      </c>
      <c r="C5" s="3"/>
      <c r="D5" s="3"/>
      <c r="E5" s="397"/>
      <c r="F5" s="2"/>
      <c r="G5" s="2"/>
      <c r="H5" s="2"/>
    </row>
    <row r="6" spans="1:17" ht="14.25" customHeight="1">
      <c r="A6" s="5" t="s">
        <v>1</v>
      </c>
      <c r="B6" s="59" t="e">
        <f>OP!$B$6</f>
        <v>#REF!</v>
      </c>
      <c r="C6" s="3"/>
      <c r="D6" s="3"/>
    </row>
    <row r="7" spans="1:17" ht="14.25" customHeight="1">
      <c r="A7" s="5" t="s">
        <v>2</v>
      </c>
      <c r="B7" s="59" t="e">
        <f>OP!$B$7</f>
        <v>#REF!</v>
      </c>
      <c r="C7" s="3"/>
      <c r="D7" s="3"/>
      <c r="E7" s="397"/>
      <c r="F7" s="2"/>
      <c r="G7" s="2"/>
      <c r="H7" s="2"/>
    </row>
    <row r="8" spans="1:17" ht="14.25" customHeight="1" thickBot="1">
      <c r="A8" s="2" t="s">
        <v>14</v>
      </c>
      <c r="B8" s="8" t="e">
        <f>#REF!</f>
        <v>#REF!</v>
      </c>
      <c r="C8" s="3"/>
      <c r="D8" s="3"/>
      <c r="E8" s="397"/>
      <c r="F8" s="2"/>
      <c r="G8" s="2"/>
      <c r="H8" s="2"/>
    </row>
    <row r="9" spans="1:17" ht="14.25" customHeight="1" thickBot="1">
      <c r="A9" s="2"/>
      <c r="B9" s="60"/>
      <c r="C9" s="227"/>
      <c r="D9" s="223"/>
      <c r="E9" s="399"/>
      <c r="F9" s="229"/>
      <c r="G9" s="2"/>
      <c r="H9" s="2"/>
      <c r="L9" s="692" t="s">
        <v>3</v>
      </c>
      <c r="M9" s="693"/>
      <c r="N9" s="693"/>
      <c r="O9" s="693"/>
      <c r="P9" s="693"/>
      <c r="Q9" s="694"/>
    </row>
    <row r="10" spans="1:17" ht="35.25" thickTop="1" thickBot="1">
      <c r="A10" s="10" t="s">
        <v>4</v>
      </c>
      <c r="B10" s="48" t="s">
        <v>15</v>
      </c>
      <c r="C10" s="11" t="s">
        <v>16</v>
      </c>
      <c r="D10" s="56" t="s">
        <v>419</v>
      </c>
      <c r="E10" s="12" t="s">
        <v>18</v>
      </c>
      <c r="F10" s="12" t="s">
        <v>19</v>
      </c>
      <c r="G10" s="12" t="s">
        <v>420</v>
      </c>
      <c r="H10" s="56" t="s">
        <v>21</v>
      </c>
      <c r="I10" s="56" t="s">
        <v>22</v>
      </c>
      <c r="J10" s="56" t="s">
        <v>23</v>
      </c>
      <c r="K10" s="53" t="s">
        <v>12</v>
      </c>
      <c r="L10" s="539" t="s">
        <v>18</v>
      </c>
      <c r="M10" s="540" t="s">
        <v>21</v>
      </c>
      <c r="N10" s="541" t="s">
        <v>18</v>
      </c>
      <c r="O10" s="540" t="s">
        <v>21</v>
      </c>
      <c r="P10" s="541" t="s">
        <v>19</v>
      </c>
      <c r="Q10" s="548" t="s">
        <v>22</v>
      </c>
    </row>
    <row r="11" spans="1:17" ht="12.75" thickTop="1" thickBot="1">
      <c r="A11" s="49" t="s">
        <v>421</v>
      </c>
      <c r="B11" s="61" t="str">
        <f>$A$2</f>
        <v>ESTRUCTURAS SÓTANOS</v>
      </c>
      <c r="C11" s="16"/>
      <c r="D11" s="16"/>
      <c r="E11" s="17"/>
      <c r="F11" s="17"/>
      <c r="G11" s="17"/>
      <c r="H11" s="54"/>
      <c r="I11" s="55"/>
      <c r="J11" s="232"/>
      <c r="K11" s="232"/>
      <c r="L11" s="542"/>
      <c r="M11" s="543"/>
      <c r="N11" s="543"/>
      <c r="O11" s="543"/>
      <c r="P11" s="543"/>
      <c r="Q11" s="544"/>
    </row>
    <row r="12" spans="1:17" ht="12" thickTop="1">
      <c r="A12" s="163">
        <f>A11+0.01</f>
        <v>3.01</v>
      </c>
      <c r="B12" s="97" t="s">
        <v>422</v>
      </c>
      <c r="C12" s="62"/>
      <c r="D12" s="62"/>
      <c r="E12" s="63"/>
      <c r="F12" s="63"/>
      <c r="G12" s="63" t="s">
        <v>7</v>
      </c>
      <c r="H12" s="63" t="str">
        <f>IFERROR(IF($D12=0,"",$D12*E12),"")</f>
        <v/>
      </c>
      <c r="I12" s="63" t="str">
        <f>IFERROR(IF($D12=0,"",$D12*F12),"")</f>
        <v/>
      </c>
      <c r="J12" s="63" t="s">
        <v>7</v>
      </c>
      <c r="K12" s="535">
        <v>47280</v>
      </c>
      <c r="L12" s="51"/>
      <c r="Q12" s="545"/>
    </row>
    <row r="13" spans="1:17" ht="14.1" customHeight="1" outlineLevel="2">
      <c r="A13" s="299">
        <f>A12+0.0001</f>
        <v>3.0101</v>
      </c>
      <c r="B13" s="70" t="s">
        <v>423</v>
      </c>
      <c r="C13" s="64" t="s">
        <v>29</v>
      </c>
      <c r="D13" s="87">
        <v>1</v>
      </c>
      <c r="E13" s="303">
        <v>6000</v>
      </c>
      <c r="F13" s="65"/>
      <c r="G13" s="160">
        <v>6000</v>
      </c>
      <c r="H13" s="160">
        <f>+ROUND(D13*E13,2)</f>
        <v>6000</v>
      </c>
      <c r="I13" s="150">
        <f>+ROUND(D13*F13,2)</f>
        <v>0</v>
      </c>
      <c r="J13" s="73">
        <v>6000</v>
      </c>
      <c r="K13" s="536"/>
      <c r="L13" s="51"/>
      <c r="Q13" s="545"/>
    </row>
    <row r="14" spans="1:17" ht="14.1" customHeight="1" outlineLevel="2">
      <c r="A14" s="299">
        <f>A13+0.0001</f>
        <v>3.0102000000000002</v>
      </c>
      <c r="B14" s="70" t="s">
        <v>424</v>
      </c>
      <c r="C14" s="64" t="s">
        <v>29</v>
      </c>
      <c r="D14" s="87">
        <v>2</v>
      </c>
      <c r="E14" s="303">
        <v>6000</v>
      </c>
      <c r="F14" s="65"/>
      <c r="G14" s="160">
        <v>6000</v>
      </c>
      <c r="H14" s="160">
        <f t="shared" ref="H14:H87" si="0">+ROUND(D14*E14,2)</f>
        <v>12000</v>
      </c>
      <c r="I14" s="150">
        <f>+ROUND(D14*F14,2)</f>
        <v>0</v>
      </c>
      <c r="J14" s="73">
        <v>12000</v>
      </c>
      <c r="K14" s="536"/>
      <c r="L14" s="51"/>
      <c r="Q14" s="545"/>
    </row>
    <row r="15" spans="1:17" ht="14.1" customHeight="1" outlineLevel="2">
      <c r="A15" s="299">
        <f>A14+0.0001</f>
        <v>3.0103000000000004</v>
      </c>
      <c r="B15" s="70" t="s">
        <v>425</v>
      </c>
      <c r="C15" s="64" t="s">
        <v>29</v>
      </c>
      <c r="D15" s="87">
        <v>1</v>
      </c>
      <c r="E15" s="303">
        <v>11000</v>
      </c>
      <c r="F15" s="65"/>
      <c r="G15" s="160">
        <v>11000</v>
      </c>
      <c r="H15" s="160">
        <f t="shared" si="0"/>
        <v>11000</v>
      </c>
      <c r="I15" s="150">
        <f>+ROUND(D15*F15,2)</f>
        <v>0</v>
      </c>
      <c r="J15" s="73">
        <v>11000</v>
      </c>
      <c r="K15" s="536"/>
      <c r="L15" s="51"/>
      <c r="Q15" s="545"/>
    </row>
    <row r="16" spans="1:17" ht="14.1" customHeight="1" outlineLevel="2">
      <c r="A16" s="299">
        <f>A15+0.0001</f>
        <v>3.0104000000000006</v>
      </c>
      <c r="B16" s="70" t="s">
        <v>426</v>
      </c>
      <c r="C16" s="64" t="s">
        <v>29</v>
      </c>
      <c r="D16" s="87">
        <v>4</v>
      </c>
      <c r="E16" s="303"/>
      <c r="F16" s="65">
        <v>720</v>
      </c>
      <c r="G16" s="160">
        <v>2700</v>
      </c>
      <c r="H16" s="160">
        <f t="shared" si="0"/>
        <v>0</v>
      </c>
      <c r="I16" s="150">
        <f>+ROUND(D16*F16,2)</f>
        <v>2880</v>
      </c>
      <c r="J16" s="73">
        <v>10800</v>
      </c>
      <c r="K16" s="536"/>
      <c r="L16" s="51"/>
      <c r="Q16" s="545"/>
    </row>
    <row r="17" spans="1:17" ht="14.1" customHeight="1" outlineLevel="2">
      <c r="A17" s="299">
        <f>A16+0.0001</f>
        <v>3.0105000000000008</v>
      </c>
      <c r="B17" s="70" t="s">
        <v>427</v>
      </c>
      <c r="C17" s="64" t="s">
        <v>74</v>
      </c>
      <c r="D17" s="87">
        <v>22</v>
      </c>
      <c r="E17" s="303">
        <v>340</v>
      </c>
      <c r="F17" s="65"/>
      <c r="G17" s="160">
        <v>340</v>
      </c>
      <c r="H17" s="160">
        <f t="shared" si="0"/>
        <v>7480</v>
      </c>
      <c r="I17" s="150">
        <f>+ROUND(D17*F17,2)</f>
        <v>0</v>
      </c>
      <c r="J17" s="73">
        <v>7480</v>
      </c>
      <c r="K17" s="536"/>
      <c r="L17" s="51"/>
      <c r="Q17" s="545"/>
    </row>
    <row r="18" spans="1:17">
      <c r="A18" s="164">
        <f>A12+0.01</f>
        <v>3.0199999999999996</v>
      </c>
      <c r="B18" s="633" t="s">
        <v>428</v>
      </c>
      <c r="C18" s="634"/>
      <c r="D18" s="635"/>
      <c r="E18" s="636"/>
      <c r="F18" s="67"/>
      <c r="G18" s="67"/>
      <c r="H18" s="67"/>
      <c r="I18" s="67"/>
      <c r="J18" s="67"/>
      <c r="K18" s="537">
        <v>937375.07</v>
      </c>
      <c r="L18" s="51"/>
      <c r="Q18" s="545"/>
    </row>
    <row r="19" spans="1:17" ht="12.75" customHeight="1" outlineLevel="1">
      <c r="A19" s="101">
        <f>A18+0.0001</f>
        <v>3.0200999999999998</v>
      </c>
      <c r="B19" s="99" t="s">
        <v>429</v>
      </c>
      <c r="C19" s="68"/>
      <c r="D19" s="87"/>
      <c r="E19" s="65"/>
      <c r="F19" s="65"/>
      <c r="G19" s="160"/>
      <c r="H19" s="160"/>
      <c r="I19" s="150"/>
      <c r="J19" s="73"/>
      <c r="K19" s="538"/>
      <c r="L19" s="51"/>
      <c r="Q19" s="545"/>
    </row>
    <row r="20" spans="1:17" ht="14.1" customHeight="1" outlineLevel="2">
      <c r="A20" s="103">
        <f t="shared" ref="A20:A25" si="1">A19+0.000001</f>
        <v>3.0201009999999999</v>
      </c>
      <c r="B20" s="70" t="s">
        <v>430</v>
      </c>
      <c r="C20" s="64" t="s">
        <v>155</v>
      </c>
      <c r="D20" s="87">
        <v>5291.24</v>
      </c>
      <c r="E20" s="303">
        <v>23</v>
      </c>
      <c r="F20" s="65"/>
      <c r="G20" s="160">
        <v>23</v>
      </c>
      <c r="H20" s="160">
        <f>+ROUND(D20*E20,2)</f>
        <v>121698.52</v>
      </c>
      <c r="I20" s="150">
        <f t="shared" ref="I20:I33" si="2">+ROUND(D20*F20,2)</f>
        <v>0</v>
      </c>
      <c r="J20" s="73">
        <v>121698.52</v>
      </c>
      <c r="K20" s="536"/>
      <c r="L20" s="51"/>
      <c r="Q20" s="545"/>
    </row>
    <row r="21" spans="1:17" ht="14.1" customHeight="1" outlineLevel="2">
      <c r="A21" s="103">
        <f t="shared" si="1"/>
        <v>3.0201020000000001</v>
      </c>
      <c r="B21" s="70" t="s">
        <v>431</v>
      </c>
      <c r="C21" s="64" t="s">
        <v>155</v>
      </c>
      <c r="D21" s="87">
        <v>3823.35</v>
      </c>
      <c r="E21" s="303">
        <v>24</v>
      </c>
      <c r="F21" s="65"/>
      <c r="G21" s="160">
        <v>24</v>
      </c>
      <c r="H21" s="160">
        <f t="shared" si="0"/>
        <v>91760.4</v>
      </c>
      <c r="I21" s="150">
        <f t="shared" si="2"/>
        <v>0</v>
      </c>
      <c r="J21" s="73">
        <v>91760.4</v>
      </c>
      <c r="K21" s="536"/>
      <c r="L21" s="51"/>
      <c r="Q21" s="545"/>
    </row>
    <row r="22" spans="1:17" ht="14.1" customHeight="1" outlineLevel="2">
      <c r="A22" s="103">
        <f t="shared" si="1"/>
        <v>3.0201030000000002</v>
      </c>
      <c r="B22" s="70" t="s">
        <v>432</v>
      </c>
      <c r="C22" s="64" t="s">
        <v>155</v>
      </c>
      <c r="D22" s="87">
        <v>3823.35</v>
      </c>
      <c r="E22" s="303">
        <v>25</v>
      </c>
      <c r="F22" s="65"/>
      <c r="G22" s="160">
        <v>25</v>
      </c>
      <c r="H22" s="160">
        <f t="shared" si="0"/>
        <v>95583.75</v>
      </c>
      <c r="I22" s="150">
        <f t="shared" si="2"/>
        <v>0</v>
      </c>
      <c r="J22" s="73">
        <v>95583.75</v>
      </c>
      <c r="K22" s="536"/>
      <c r="L22" s="51"/>
      <c r="Q22" s="545"/>
    </row>
    <row r="23" spans="1:17" ht="14.1" customHeight="1" outlineLevel="2">
      <c r="A23" s="103">
        <f t="shared" si="1"/>
        <v>3.0201040000000003</v>
      </c>
      <c r="B23" s="70" t="s">
        <v>433</v>
      </c>
      <c r="C23" s="64" t="s">
        <v>155</v>
      </c>
      <c r="D23" s="87">
        <v>3823.35</v>
      </c>
      <c r="E23" s="303">
        <v>28</v>
      </c>
      <c r="F23" s="65"/>
      <c r="G23" s="160">
        <v>28</v>
      </c>
      <c r="H23" s="160">
        <f t="shared" si="0"/>
        <v>107053.8</v>
      </c>
      <c r="I23" s="150">
        <f t="shared" si="2"/>
        <v>0</v>
      </c>
      <c r="J23" s="73">
        <v>107053.8</v>
      </c>
      <c r="K23" s="536"/>
      <c r="L23" s="51"/>
      <c r="Q23" s="545"/>
    </row>
    <row r="24" spans="1:17" ht="14.1" customHeight="1" outlineLevel="2">
      <c r="A24" s="103">
        <f t="shared" si="1"/>
        <v>3.0201050000000005</v>
      </c>
      <c r="B24" s="70" t="s">
        <v>434</v>
      </c>
      <c r="C24" s="64" t="s">
        <v>155</v>
      </c>
      <c r="D24" s="87">
        <v>3823.35</v>
      </c>
      <c r="E24" s="303">
        <v>28</v>
      </c>
      <c r="F24" s="65"/>
      <c r="G24" s="160">
        <v>28</v>
      </c>
      <c r="H24" s="160">
        <f t="shared" si="0"/>
        <v>107053.8</v>
      </c>
      <c r="I24" s="150">
        <f t="shared" si="2"/>
        <v>0</v>
      </c>
      <c r="J24" s="73">
        <v>107053.8</v>
      </c>
      <c r="K24" s="536"/>
      <c r="L24" s="51"/>
      <c r="Q24" s="545"/>
    </row>
    <row r="25" spans="1:17" ht="14.1" customHeight="1" outlineLevel="2">
      <c r="A25" s="419">
        <f t="shared" si="1"/>
        <v>3.0201060000000006</v>
      </c>
      <c r="B25" s="70" t="s">
        <v>435</v>
      </c>
      <c r="C25" s="64" t="s">
        <v>155</v>
      </c>
      <c r="D25" s="87">
        <v>2847.93</v>
      </c>
      <c r="E25" s="303">
        <v>38</v>
      </c>
      <c r="F25" s="65"/>
      <c r="G25" s="160">
        <v>38</v>
      </c>
      <c r="H25" s="160">
        <f>+ROUND(D25*E25,2)</f>
        <v>108221.34</v>
      </c>
      <c r="I25" s="150">
        <f t="shared" si="2"/>
        <v>0</v>
      </c>
      <c r="J25" s="73">
        <v>108221.34</v>
      </c>
      <c r="K25" s="536"/>
      <c r="L25" s="51"/>
      <c r="Q25" s="545"/>
    </row>
    <row r="26" spans="1:17" ht="12.75" customHeight="1" outlineLevel="1">
      <c r="A26" s="101">
        <f>A19+0.0001</f>
        <v>3.0202</v>
      </c>
      <c r="B26" s="99" t="s">
        <v>436</v>
      </c>
      <c r="C26" s="68"/>
      <c r="D26" s="87"/>
      <c r="E26" s="65"/>
      <c r="F26" s="65"/>
      <c r="G26" s="160">
        <v>0</v>
      </c>
      <c r="H26" s="160">
        <f t="shared" si="0"/>
        <v>0</v>
      </c>
      <c r="I26" s="150">
        <f t="shared" si="2"/>
        <v>0</v>
      </c>
      <c r="J26" s="73">
        <v>0</v>
      </c>
      <c r="K26" s="538"/>
      <c r="L26" s="51"/>
      <c r="Q26" s="545"/>
    </row>
    <row r="27" spans="1:17" ht="14.1" customHeight="1" outlineLevel="2">
      <c r="A27" s="103">
        <f t="shared" ref="A27:A31" si="3">A26+0.000001</f>
        <v>3.0202010000000001</v>
      </c>
      <c r="B27" s="70" t="s">
        <v>437</v>
      </c>
      <c r="C27" s="64" t="s">
        <v>155</v>
      </c>
      <c r="D27" s="87">
        <v>568.11</v>
      </c>
      <c r="E27" s="303">
        <v>38</v>
      </c>
      <c r="F27" s="65"/>
      <c r="G27" s="160">
        <v>38</v>
      </c>
      <c r="H27" s="160">
        <f t="shared" si="0"/>
        <v>21588.18</v>
      </c>
      <c r="I27" s="150">
        <f t="shared" si="2"/>
        <v>0</v>
      </c>
      <c r="J27" s="73">
        <v>21588.18</v>
      </c>
      <c r="K27" s="536"/>
      <c r="L27" s="51"/>
      <c r="Q27" s="545"/>
    </row>
    <row r="28" spans="1:17" ht="14.1" customHeight="1" outlineLevel="2">
      <c r="A28" s="103">
        <f t="shared" si="3"/>
        <v>3.0202020000000003</v>
      </c>
      <c r="B28" s="70" t="s">
        <v>438</v>
      </c>
      <c r="C28" s="64" t="s">
        <v>155</v>
      </c>
      <c r="D28" s="87">
        <v>1298.68</v>
      </c>
      <c r="E28" s="303">
        <v>38</v>
      </c>
      <c r="F28" s="65"/>
      <c r="G28" s="160">
        <v>38</v>
      </c>
      <c r="H28" s="160">
        <f t="shared" si="0"/>
        <v>49349.84</v>
      </c>
      <c r="I28" s="150">
        <f t="shared" si="2"/>
        <v>0</v>
      </c>
      <c r="J28" s="73">
        <v>49349.84</v>
      </c>
      <c r="K28" s="536"/>
      <c r="L28" s="51"/>
      <c r="Q28" s="545"/>
    </row>
    <row r="29" spans="1:17" ht="14.1" customHeight="1" outlineLevel="2">
      <c r="A29" s="419">
        <f t="shared" si="3"/>
        <v>3.0202030000000004</v>
      </c>
      <c r="B29" s="70" t="s">
        <v>439</v>
      </c>
      <c r="C29" s="64" t="s">
        <v>155</v>
      </c>
      <c r="D29" s="87">
        <v>2.6</v>
      </c>
      <c r="E29" s="303">
        <v>40.72</v>
      </c>
      <c r="F29" s="65"/>
      <c r="G29" s="160">
        <v>40.72</v>
      </c>
      <c r="H29" s="160">
        <f>+ROUND(D29*E29,2)</f>
        <v>105.87</v>
      </c>
      <c r="I29" s="150">
        <f t="shared" si="2"/>
        <v>0</v>
      </c>
      <c r="J29" s="73">
        <v>105.87</v>
      </c>
      <c r="K29" s="536"/>
      <c r="L29" s="51"/>
      <c r="Q29" s="545"/>
    </row>
    <row r="30" spans="1:17" ht="14.1" customHeight="1" outlineLevel="2">
      <c r="A30" s="419">
        <f t="shared" si="3"/>
        <v>3.0202040000000006</v>
      </c>
      <c r="B30" s="70" t="s">
        <v>440</v>
      </c>
      <c r="C30" s="64" t="s">
        <v>155</v>
      </c>
      <c r="D30" s="87">
        <v>3.49</v>
      </c>
      <c r="E30" s="303">
        <v>40.72</v>
      </c>
      <c r="F30" s="65"/>
      <c r="G30" s="160">
        <v>40.72</v>
      </c>
      <c r="H30" s="160">
        <f>+ROUND(D30*E30,2)</f>
        <v>142.11000000000001</v>
      </c>
      <c r="I30" s="150">
        <f t="shared" si="2"/>
        <v>0</v>
      </c>
      <c r="J30" s="73">
        <v>142.11000000000001</v>
      </c>
      <c r="K30" s="536"/>
      <c r="L30" s="51"/>
      <c r="Q30" s="545"/>
    </row>
    <row r="31" spans="1:17" ht="14.1" customHeight="1" outlineLevel="2">
      <c r="A31" s="419">
        <f t="shared" si="3"/>
        <v>3.0202050000000007</v>
      </c>
      <c r="B31" s="70" t="s">
        <v>441</v>
      </c>
      <c r="C31" s="64" t="s">
        <v>155</v>
      </c>
      <c r="D31" s="87">
        <v>3.74</v>
      </c>
      <c r="E31" s="303">
        <v>40.72</v>
      </c>
      <c r="F31" s="65"/>
      <c r="G31" s="160">
        <v>40.72</v>
      </c>
      <c r="H31" s="160">
        <f>+ROUND(D31*E31,2)</f>
        <v>152.29</v>
      </c>
      <c r="I31" s="150">
        <f t="shared" si="2"/>
        <v>0</v>
      </c>
      <c r="J31" s="73">
        <v>152.29</v>
      </c>
      <c r="K31" s="536"/>
      <c r="L31" s="51"/>
      <c r="Q31" s="545"/>
    </row>
    <row r="32" spans="1:17" ht="14.1" customHeight="1" outlineLevel="2">
      <c r="A32" s="419">
        <f>A31+0.000001</f>
        <v>3.0202060000000008</v>
      </c>
      <c r="B32" s="70" t="s">
        <v>442</v>
      </c>
      <c r="C32" s="64" t="s">
        <v>155</v>
      </c>
      <c r="D32" s="87">
        <v>87.16</v>
      </c>
      <c r="E32" s="303">
        <v>40.72</v>
      </c>
      <c r="F32" s="65"/>
      <c r="G32" s="160">
        <v>40.72</v>
      </c>
      <c r="H32" s="160">
        <f>+ROUND(D32*E32,2)</f>
        <v>3549.16</v>
      </c>
      <c r="I32" s="150">
        <f t="shared" si="2"/>
        <v>0</v>
      </c>
      <c r="J32" s="73">
        <v>3549.16</v>
      </c>
      <c r="K32" s="536"/>
      <c r="L32" s="51"/>
      <c r="Q32" s="545"/>
    </row>
    <row r="33" spans="1:17" ht="14.1" customHeight="1" outlineLevel="2">
      <c r="A33" s="419">
        <f>A31+0.000001</f>
        <v>3.0202060000000008</v>
      </c>
      <c r="B33" s="70" t="s">
        <v>443</v>
      </c>
      <c r="C33" s="64" t="s">
        <v>155</v>
      </c>
      <c r="D33" s="87">
        <v>126.09</v>
      </c>
      <c r="E33" s="303">
        <v>38.520000000000003</v>
      </c>
      <c r="F33" s="65"/>
      <c r="G33" s="160">
        <v>38.520000000000003</v>
      </c>
      <c r="H33" s="160">
        <f>+ROUND(D33*E33,2)</f>
        <v>4856.99</v>
      </c>
      <c r="I33" s="150">
        <f t="shared" si="2"/>
        <v>0</v>
      </c>
      <c r="J33" s="73">
        <v>4856.99</v>
      </c>
      <c r="K33" s="536"/>
      <c r="L33" s="51"/>
      <c r="Q33" s="545"/>
    </row>
    <row r="34" spans="1:17" ht="14.25" customHeight="1" outlineLevel="1">
      <c r="A34" s="101">
        <f>A26+0.0001</f>
        <v>3.0203000000000002</v>
      </c>
      <c r="B34" s="99" t="s">
        <v>444</v>
      </c>
      <c r="C34" s="68"/>
      <c r="D34" s="87"/>
      <c r="E34" s="65"/>
      <c r="F34" s="65"/>
      <c r="G34" s="160"/>
      <c r="H34" s="160"/>
      <c r="I34" s="150"/>
      <c r="J34" s="73"/>
      <c r="K34" s="536"/>
      <c r="L34" s="51"/>
      <c r="Q34" s="545"/>
    </row>
    <row r="35" spans="1:17" ht="14.1" customHeight="1" outlineLevel="2">
      <c r="A35" s="103">
        <f>A34+0.000001</f>
        <v>3.0203010000000003</v>
      </c>
      <c r="B35" s="70" t="s">
        <v>445</v>
      </c>
      <c r="C35" s="64" t="s">
        <v>46</v>
      </c>
      <c r="D35" s="87">
        <v>0</v>
      </c>
      <c r="E35" s="303">
        <v>75</v>
      </c>
      <c r="F35" s="65"/>
      <c r="G35" s="160">
        <v>75</v>
      </c>
      <c r="H35" s="160">
        <f t="shared" si="0"/>
        <v>0</v>
      </c>
      <c r="I35" s="150">
        <f>+ROUND(D35*F35,2)</f>
        <v>0</v>
      </c>
      <c r="J35" s="73">
        <v>0</v>
      </c>
      <c r="K35" s="536"/>
      <c r="L35" s="51"/>
      <c r="Q35" s="545"/>
    </row>
    <row r="36" spans="1:17" ht="14.1" customHeight="1" outlineLevel="2">
      <c r="A36" s="103">
        <f>A35+0.000001</f>
        <v>3.0203020000000005</v>
      </c>
      <c r="B36" s="70" t="s">
        <v>446</v>
      </c>
      <c r="C36" s="64" t="s">
        <v>155</v>
      </c>
      <c r="D36" s="87">
        <v>0</v>
      </c>
      <c r="E36" s="303">
        <v>35</v>
      </c>
      <c r="F36" s="65"/>
      <c r="G36" s="160">
        <v>35</v>
      </c>
      <c r="H36" s="160">
        <f t="shared" si="0"/>
        <v>0</v>
      </c>
      <c r="I36" s="150">
        <f>+ROUND(D36*F36,2)</f>
        <v>0</v>
      </c>
      <c r="J36" s="73">
        <v>0</v>
      </c>
      <c r="K36" s="536"/>
      <c r="L36" s="51"/>
      <c r="Q36" s="545"/>
    </row>
    <row r="37" spans="1:17" ht="12.75" customHeight="1" outlineLevel="1">
      <c r="A37" s="101">
        <f>A34+0.0001</f>
        <v>3.0204000000000004</v>
      </c>
      <c r="B37" s="99" t="s">
        <v>447</v>
      </c>
      <c r="C37" s="68"/>
      <c r="D37" s="87"/>
      <c r="E37" s="65"/>
      <c r="F37" s="65"/>
      <c r="G37" s="160"/>
      <c r="H37" s="160"/>
      <c r="I37" s="150"/>
      <c r="J37" s="73"/>
      <c r="K37" s="536"/>
      <c r="L37" s="51"/>
      <c r="Q37" s="545"/>
    </row>
    <row r="38" spans="1:17" ht="14.1" customHeight="1" outlineLevel="2">
      <c r="A38" s="103">
        <f>A37+0.000001</f>
        <v>3.0204010000000006</v>
      </c>
      <c r="B38" s="70" t="s">
        <v>448</v>
      </c>
      <c r="C38" s="64" t="s">
        <v>155</v>
      </c>
      <c r="D38" s="87">
        <v>106.37</v>
      </c>
      <c r="E38" s="303">
        <v>54.02</v>
      </c>
      <c r="F38" s="65"/>
      <c r="G38" s="160">
        <v>54.02</v>
      </c>
      <c r="H38" s="160">
        <f t="shared" si="0"/>
        <v>5746.11</v>
      </c>
      <c r="I38" s="150">
        <f t="shared" ref="I38:I45" si="4">+ROUND(D38*F38,2)</f>
        <v>0</v>
      </c>
      <c r="J38" s="73">
        <v>5746.11</v>
      </c>
      <c r="K38" s="536"/>
      <c r="L38" s="51"/>
      <c r="Q38" s="545"/>
    </row>
    <row r="39" spans="1:17" ht="14.1" customHeight="1" outlineLevel="2">
      <c r="A39" s="103">
        <f>A38+0.000001</f>
        <v>3.0204020000000007</v>
      </c>
      <c r="B39" s="70" t="s">
        <v>449</v>
      </c>
      <c r="C39" s="64" t="s">
        <v>155</v>
      </c>
      <c r="D39" s="87">
        <v>238.86</v>
      </c>
      <c r="E39" s="303">
        <v>54.02</v>
      </c>
      <c r="F39" s="65"/>
      <c r="G39" s="160">
        <v>54.02</v>
      </c>
      <c r="H39" s="160">
        <f t="shared" si="0"/>
        <v>12903.22</v>
      </c>
      <c r="I39" s="150">
        <f t="shared" si="4"/>
        <v>0</v>
      </c>
      <c r="J39" s="73">
        <v>12903.22</v>
      </c>
      <c r="K39" s="536"/>
      <c r="L39" s="51"/>
      <c r="Q39" s="545"/>
    </row>
    <row r="40" spans="1:17" ht="12" customHeight="1" outlineLevel="1">
      <c r="A40" s="101">
        <f>A37+0.0001</f>
        <v>3.0205000000000006</v>
      </c>
      <c r="B40" s="99" t="s">
        <v>450</v>
      </c>
      <c r="C40" s="68"/>
      <c r="D40" s="87"/>
      <c r="E40" s="65"/>
      <c r="F40" s="65"/>
      <c r="G40" s="160">
        <v>0</v>
      </c>
      <c r="H40" s="160">
        <f t="shared" si="0"/>
        <v>0</v>
      </c>
      <c r="I40" s="150">
        <f t="shared" si="4"/>
        <v>0</v>
      </c>
      <c r="J40" s="73">
        <v>0</v>
      </c>
      <c r="K40" s="538"/>
      <c r="L40" s="51"/>
      <c r="Q40" s="545"/>
    </row>
    <row r="41" spans="1:17" ht="14.1" customHeight="1" outlineLevel="2">
      <c r="A41" s="103">
        <f>A40+0.000001</f>
        <v>3.0205010000000008</v>
      </c>
      <c r="B41" s="70" t="s">
        <v>451</v>
      </c>
      <c r="C41" s="64" t="s">
        <v>161</v>
      </c>
      <c r="D41" s="87">
        <v>1313.23</v>
      </c>
      <c r="E41" s="303">
        <v>6.6</v>
      </c>
      <c r="F41" s="65"/>
      <c r="G41" s="160">
        <v>6.6</v>
      </c>
      <c r="H41" s="160">
        <f t="shared" si="0"/>
        <v>8667.32</v>
      </c>
      <c r="I41" s="150">
        <f t="shared" si="4"/>
        <v>0</v>
      </c>
      <c r="J41" s="73">
        <v>8667.32</v>
      </c>
      <c r="K41" s="536"/>
      <c r="L41" s="51"/>
      <c r="Q41" s="545"/>
    </row>
    <row r="42" spans="1:17" ht="14.1" customHeight="1" outlineLevel="2">
      <c r="A42" s="103">
        <f>A41+0.000001</f>
        <v>3.0205020000000009</v>
      </c>
      <c r="B42" s="44" t="s">
        <v>452</v>
      </c>
      <c r="C42" s="64" t="s">
        <v>161</v>
      </c>
      <c r="D42" s="87">
        <v>1313.23</v>
      </c>
      <c r="E42" s="303">
        <v>40.950000000000003</v>
      </c>
      <c r="F42" s="65"/>
      <c r="G42" s="160">
        <v>40.950000000000003</v>
      </c>
      <c r="H42" s="160">
        <f t="shared" si="0"/>
        <v>53776.77</v>
      </c>
      <c r="I42" s="150">
        <f t="shared" si="4"/>
        <v>0</v>
      </c>
      <c r="J42" s="73">
        <v>53776.77</v>
      </c>
      <c r="K42" s="536"/>
      <c r="L42" s="51"/>
      <c r="Q42" s="545"/>
    </row>
    <row r="43" spans="1:17" ht="13.5" customHeight="1" outlineLevel="1">
      <c r="A43" s="101">
        <f>A40+0.0001</f>
        <v>3.0206000000000008</v>
      </c>
      <c r="B43" s="99" t="s">
        <v>187</v>
      </c>
      <c r="C43" s="68"/>
      <c r="D43" s="87"/>
      <c r="E43" s="65"/>
      <c r="F43" s="65"/>
      <c r="G43" s="160">
        <v>0</v>
      </c>
      <c r="H43" s="160">
        <f t="shared" si="0"/>
        <v>0</v>
      </c>
      <c r="I43" s="150">
        <f t="shared" si="4"/>
        <v>0</v>
      </c>
      <c r="J43" s="73">
        <v>0</v>
      </c>
      <c r="K43" s="538"/>
      <c r="L43" s="51"/>
      <c r="Q43" s="545"/>
    </row>
    <row r="44" spans="1:17" ht="14.1" customHeight="1" outlineLevel="2">
      <c r="A44" s="103">
        <f>A43+0.000001</f>
        <v>3.020601000000001</v>
      </c>
      <c r="B44" s="70" t="s">
        <v>453</v>
      </c>
      <c r="C44" s="64" t="s">
        <v>71</v>
      </c>
      <c r="D44" s="87">
        <v>500</v>
      </c>
      <c r="E44" s="303">
        <v>250</v>
      </c>
      <c r="F44" s="65"/>
      <c r="G44" s="160">
        <v>250</v>
      </c>
      <c r="H44" s="160">
        <f t="shared" si="0"/>
        <v>125000</v>
      </c>
      <c r="I44" s="150">
        <f t="shared" si="4"/>
        <v>0</v>
      </c>
      <c r="J44" s="73">
        <v>125000</v>
      </c>
      <c r="K44" s="536"/>
      <c r="L44" s="51"/>
      <c r="Q44" s="545"/>
    </row>
    <row r="45" spans="1:17" ht="14.1" customHeight="1" outlineLevel="2">
      <c r="A45" s="103">
        <f>A44+0.000001</f>
        <v>3.0206020000000011</v>
      </c>
      <c r="B45" s="70" t="s">
        <v>454</v>
      </c>
      <c r="C45" s="64" t="s">
        <v>39</v>
      </c>
      <c r="D45" s="87">
        <v>5</v>
      </c>
      <c r="E45" s="303">
        <v>4033.12</v>
      </c>
      <c r="F45" s="65"/>
      <c r="G45" s="160">
        <v>4033.12</v>
      </c>
      <c r="H45" s="160">
        <f t="shared" si="0"/>
        <v>20165.599999999999</v>
      </c>
      <c r="I45" s="150">
        <f t="shared" si="4"/>
        <v>0</v>
      </c>
      <c r="J45" s="73">
        <v>20165.599999999999</v>
      </c>
      <c r="K45" s="536"/>
      <c r="L45" s="51"/>
      <c r="Q45" s="545"/>
    </row>
    <row r="46" spans="1:17">
      <c r="A46" s="164">
        <f>A18+0.01</f>
        <v>3.0299999999999994</v>
      </c>
      <c r="B46" s="98" t="s">
        <v>455</v>
      </c>
      <c r="C46" s="66"/>
      <c r="D46" s="394"/>
      <c r="E46" s="67"/>
      <c r="F46" s="67"/>
      <c r="G46" s="160"/>
      <c r="H46" s="160"/>
      <c r="I46" s="150"/>
      <c r="J46" s="73"/>
      <c r="K46" s="537">
        <v>56656.429999999993</v>
      </c>
      <c r="L46" s="51"/>
      <c r="Q46" s="545"/>
    </row>
    <row r="47" spans="1:17" ht="14.1" customHeight="1" outlineLevel="1">
      <c r="A47" s="285">
        <f>A46+0.0001</f>
        <v>3.0300999999999996</v>
      </c>
      <c r="B47" s="99" t="s">
        <v>456</v>
      </c>
      <c r="C47" s="68"/>
      <c r="D47" s="87"/>
      <c r="E47" s="65"/>
      <c r="F47" s="65"/>
      <c r="G47" s="251"/>
      <c r="H47" s="251"/>
      <c r="I47" s="252"/>
      <c r="J47" s="73"/>
      <c r="K47" s="538"/>
      <c r="L47" s="51"/>
      <c r="Q47" s="545"/>
    </row>
    <row r="48" spans="1:17" ht="14.1" customHeight="1" outlineLevel="2">
      <c r="A48" s="104">
        <f>A47+0.000001</f>
        <v>3.0301009999999997</v>
      </c>
      <c r="B48" s="70" t="s">
        <v>457</v>
      </c>
      <c r="C48" s="64" t="s">
        <v>161</v>
      </c>
      <c r="D48" s="87">
        <v>891.39</v>
      </c>
      <c r="E48" s="65">
        <v>29.14</v>
      </c>
      <c r="F48" s="65"/>
      <c r="G48" s="251">
        <v>29.14</v>
      </c>
      <c r="H48" s="251">
        <f t="shared" si="0"/>
        <v>25975.1</v>
      </c>
      <c r="I48" s="252">
        <f>+ROUND(D48*F48,2)</f>
        <v>0</v>
      </c>
      <c r="J48" s="73">
        <v>25975.1</v>
      </c>
      <c r="K48" s="536"/>
      <c r="L48" s="51"/>
      <c r="Q48" s="545"/>
    </row>
    <row r="49" spans="1:17" ht="14.1" customHeight="1" outlineLevel="1">
      <c r="A49" s="285">
        <f>A47+0.0001</f>
        <v>3.0301999999999998</v>
      </c>
      <c r="B49" s="99" t="s">
        <v>458</v>
      </c>
      <c r="C49" s="68"/>
      <c r="D49" s="87"/>
      <c r="E49" s="65"/>
      <c r="F49" s="65"/>
      <c r="G49" s="251"/>
      <c r="H49" s="251"/>
      <c r="I49" s="252"/>
      <c r="J49" s="73"/>
      <c r="K49" s="538"/>
      <c r="L49" s="51"/>
      <c r="Q49" s="545"/>
    </row>
    <row r="50" spans="1:17" ht="14.1" customHeight="1" outlineLevel="2">
      <c r="A50" s="104">
        <f>A49+0.000001</f>
        <v>3.0302009999999999</v>
      </c>
      <c r="B50" s="70" t="s">
        <v>459</v>
      </c>
      <c r="C50" s="64" t="s">
        <v>155</v>
      </c>
      <c r="D50" s="87">
        <v>87.16</v>
      </c>
      <c r="E50" s="65">
        <v>298.75</v>
      </c>
      <c r="F50" s="65"/>
      <c r="G50" s="251">
        <v>298.75</v>
      </c>
      <c r="H50" s="251">
        <f t="shared" si="0"/>
        <v>26039.05</v>
      </c>
      <c r="I50" s="252">
        <f>+ROUND(D50*F50,2)</f>
        <v>0</v>
      </c>
      <c r="J50" s="73">
        <v>26039.05</v>
      </c>
      <c r="K50" s="538"/>
      <c r="L50" s="51"/>
      <c r="Q50" s="545"/>
    </row>
    <row r="51" spans="1:17" ht="14.1" customHeight="1" outlineLevel="2">
      <c r="A51" s="104">
        <f>A50+0.000001</f>
        <v>3.0302020000000001</v>
      </c>
      <c r="B51" s="70" t="s">
        <v>460</v>
      </c>
      <c r="C51" s="64" t="s">
        <v>161</v>
      </c>
      <c r="D51" s="87">
        <v>107.96</v>
      </c>
      <c r="E51" s="65">
        <v>43</v>
      </c>
      <c r="F51" s="65"/>
      <c r="G51" s="251">
        <v>43</v>
      </c>
      <c r="H51" s="251">
        <f t="shared" si="0"/>
        <v>4642.28</v>
      </c>
      <c r="I51" s="252">
        <f>+ROUND(D51*F51,2)</f>
        <v>0</v>
      </c>
      <c r="J51" s="73">
        <v>4642.28</v>
      </c>
      <c r="K51" s="536"/>
      <c r="L51" s="51"/>
      <c r="Q51" s="545"/>
    </row>
    <row r="52" spans="1:17">
      <c r="A52" s="418">
        <f>A46+0.01</f>
        <v>3.0399999999999991</v>
      </c>
      <c r="B52" s="633" t="s">
        <v>461</v>
      </c>
      <c r="C52" s="634"/>
      <c r="D52" s="637"/>
      <c r="E52" s="636"/>
      <c r="F52" s="636"/>
      <c r="G52" s="251"/>
      <c r="H52" s="251"/>
      <c r="I52" s="252"/>
      <c r="J52" s="73"/>
      <c r="K52" s="575">
        <v>5795976.0825000014</v>
      </c>
      <c r="L52" s="51"/>
      <c r="Q52" s="545"/>
    </row>
    <row r="53" spans="1:17" ht="14.1" customHeight="1" outlineLevel="1">
      <c r="A53" s="285">
        <f>A52+0.0001</f>
        <v>3.0400999999999994</v>
      </c>
      <c r="B53" s="99" t="s">
        <v>462</v>
      </c>
      <c r="C53" s="68"/>
      <c r="D53" s="87"/>
      <c r="E53" s="65"/>
      <c r="F53" s="65"/>
      <c r="G53" s="251"/>
      <c r="H53" s="251"/>
      <c r="I53" s="252"/>
      <c r="J53" s="73"/>
      <c r="K53" s="538"/>
      <c r="L53" s="51"/>
      <c r="Q53" s="545"/>
    </row>
    <row r="54" spans="1:17" ht="23.25" customHeight="1" outlineLevel="2">
      <c r="A54" s="104">
        <f t="shared" ref="A54:A59" si="5">A53+0.000001</f>
        <v>3.0401009999999995</v>
      </c>
      <c r="B54" s="70" t="s">
        <v>463</v>
      </c>
      <c r="C54" s="64" t="s">
        <v>155</v>
      </c>
      <c r="D54" s="87">
        <v>0</v>
      </c>
      <c r="E54" s="65">
        <v>475.42</v>
      </c>
      <c r="F54" s="65"/>
      <c r="G54" s="251">
        <v>475.42</v>
      </c>
      <c r="H54" s="251">
        <f t="shared" si="0"/>
        <v>0</v>
      </c>
      <c r="I54" s="252">
        <f t="shared" ref="I54:I59" si="6">+ROUND(D54*F54,2)</f>
        <v>0</v>
      </c>
      <c r="J54" s="73">
        <v>0</v>
      </c>
      <c r="K54" s="538"/>
      <c r="L54" s="51"/>
      <c r="Q54" s="545"/>
    </row>
    <row r="55" spans="1:17" ht="23.25" customHeight="1" outlineLevel="2">
      <c r="A55" s="104">
        <f t="shared" si="5"/>
        <v>3.0401019999999996</v>
      </c>
      <c r="B55" s="70" t="s">
        <v>464</v>
      </c>
      <c r="C55" s="64" t="s">
        <v>155</v>
      </c>
      <c r="D55" s="87">
        <v>108.41</v>
      </c>
      <c r="E55" s="65">
        <v>521.98</v>
      </c>
      <c r="F55" s="65"/>
      <c r="G55" s="251">
        <v>521.98</v>
      </c>
      <c r="H55" s="251">
        <f t="shared" si="0"/>
        <v>56587.85</v>
      </c>
      <c r="I55" s="252">
        <f t="shared" si="6"/>
        <v>0</v>
      </c>
      <c r="J55" s="73">
        <v>56587.85</v>
      </c>
      <c r="K55" s="538"/>
      <c r="L55" s="51"/>
      <c r="M55" s="233"/>
      <c r="N55" s="4">
        <v>427.58</v>
      </c>
      <c r="O55" s="233">
        <f>+N55*D55</f>
        <v>46353.947799999994</v>
      </c>
      <c r="Q55" s="545"/>
    </row>
    <row r="56" spans="1:17" ht="14.1" customHeight="1" outlineLevel="2">
      <c r="A56" s="104">
        <f t="shared" si="5"/>
        <v>3.0401029999999998</v>
      </c>
      <c r="B56" s="70" t="s">
        <v>465</v>
      </c>
      <c r="C56" s="64" t="s">
        <v>161</v>
      </c>
      <c r="D56" s="87">
        <v>112.88</v>
      </c>
      <c r="E56" s="65">
        <v>45</v>
      </c>
      <c r="F56" s="65"/>
      <c r="G56" s="251">
        <v>45</v>
      </c>
      <c r="H56" s="251">
        <f t="shared" si="0"/>
        <v>5079.6000000000004</v>
      </c>
      <c r="I56" s="252">
        <f t="shared" si="6"/>
        <v>0</v>
      </c>
      <c r="J56" s="73">
        <v>5079.6000000000004</v>
      </c>
      <c r="K56" s="538"/>
      <c r="L56" s="51"/>
      <c r="Q56" s="545"/>
    </row>
    <row r="57" spans="1:17" ht="14.1" customHeight="1" outlineLevel="2">
      <c r="A57" s="104">
        <f t="shared" si="5"/>
        <v>3.0401039999999999</v>
      </c>
      <c r="B57" s="70" t="s">
        <v>466</v>
      </c>
      <c r="C57" s="64" t="s">
        <v>177</v>
      </c>
      <c r="D57" s="87">
        <v>8826.94</v>
      </c>
      <c r="E57" s="65">
        <v>1.1499999999999999</v>
      </c>
      <c r="F57" s="65">
        <v>0.94</v>
      </c>
      <c r="G57" s="251">
        <v>4.68</v>
      </c>
      <c r="H57" s="251">
        <f t="shared" si="0"/>
        <v>10150.98</v>
      </c>
      <c r="I57" s="252">
        <f t="shared" si="6"/>
        <v>8297.32</v>
      </c>
      <c r="J57" s="73">
        <v>41265.93</v>
      </c>
      <c r="K57" s="538"/>
      <c r="L57" s="51"/>
      <c r="P57" s="398">
        <v>0.94</v>
      </c>
      <c r="Q57" s="549">
        <f>+P57*D57</f>
        <v>8297.3235999999997</v>
      </c>
    </row>
    <row r="58" spans="1:17" ht="14.1" customHeight="1" outlineLevel="2">
      <c r="A58" s="104">
        <f t="shared" si="5"/>
        <v>3.0401050000000001</v>
      </c>
      <c r="B58" s="70" t="s">
        <v>467</v>
      </c>
      <c r="C58" s="64" t="s">
        <v>161</v>
      </c>
      <c r="D58" s="87">
        <v>281.92</v>
      </c>
      <c r="E58" s="65">
        <v>1.5</v>
      </c>
      <c r="F58" s="65"/>
      <c r="G58" s="251">
        <v>1.5</v>
      </c>
      <c r="H58" s="251">
        <f t="shared" si="0"/>
        <v>422.88</v>
      </c>
      <c r="I58" s="252">
        <f t="shared" si="6"/>
        <v>0</v>
      </c>
      <c r="J58" s="73">
        <v>422.88</v>
      </c>
      <c r="K58" s="538"/>
      <c r="L58" s="51"/>
      <c r="Q58" s="545"/>
    </row>
    <row r="59" spans="1:17" ht="14.1" customHeight="1" outlineLevel="2">
      <c r="A59" s="104">
        <f t="shared" si="5"/>
        <v>3.0401060000000002</v>
      </c>
      <c r="B59" s="70" t="s">
        <v>468</v>
      </c>
      <c r="C59" s="64" t="s">
        <v>161</v>
      </c>
      <c r="D59" s="87">
        <v>281.92</v>
      </c>
      <c r="E59" s="65">
        <v>20.27</v>
      </c>
      <c r="F59" s="65"/>
      <c r="G59" s="251">
        <v>20.27</v>
      </c>
      <c r="H59" s="251">
        <f t="shared" si="0"/>
        <v>5714.52</v>
      </c>
      <c r="I59" s="252">
        <f t="shared" si="6"/>
        <v>0</v>
      </c>
      <c r="J59" s="73">
        <v>5714.52</v>
      </c>
      <c r="K59" s="538"/>
      <c r="L59" s="51"/>
      <c r="Q59" s="545"/>
    </row>
    <row r="60" spans="1:17" ht="14.1" customHeight="1" outlineLevel="1">
      <c r="A60" s="285">
        <f>A53+0.0001</f>
        <v>3.0401999999999996</v>
      </c>
      <c r="B60" s="99" t="s">
        <v>469</v>
      </c>
      <c r="C60" s="64"/>
      <c r="D60" s="87"/>
      <c r="E60" s="638"/>
      <c r="F60" s="638"/>
      <c r="G60" s="251"/>
      <c r="H60" s="251"/>
      <c r="I60" s="252"/>
      <c r="J60" s="73"/>
      <c r="K60" s="538"/>
      <c r="L60" s="51"/>
      <c r="Q60" s="545"/>
    </row>
    <row r="61" spans="1:17" ht="14.1" customHeight="1" outlineLevel="2">
      <c r="A61" s="104">
        <f>A60+0.000001</f>
        <v>3.0402009999999997</v>
      </c>
      <c r="B61" s="44" t="s">
        <v>470</v>
      </c>
      <c r="C61" s="64" t="s">
        <v>155</v>
      </c>
      <c r="D61" s="87">
        <v>1079.6400000000001</v>
      </c>
      <c r="E61" s="65">
        <v>637.69000000000005</v>
      </c>
      <c r="F61" s="65"/>
      <c r="G61" s="251">
        <v>637.69000000000005</v>
      </c>
      <c r="H61" s="251">
        <f t="shared" si="0"/>
        <v>688475.63</v>
      </c>
      <c r="I61" s="252">
        <f t="shared" ref="I61:I83" si="7">+ROUND(D61*F61,2)</f>
        <v>0</v>
      </c>
      <c r="J61" s="73">
        <v>688475.63</v>
      </c>
      <c r="K61" s="538"/>
      <c r="L61" s="51"/>
      <c r="N61" s="4">
        <v>572.6</v>
      </c>
      <c r="O61" s="233">
        <f t="shared" ref="O61:O65" si="8">+N61*D61</f>
        <v>618201.86400000006</v>
      </c>
      <c r="Q61" s="545"/>
    </row>
    <row r="62" spans="1:17" ht="14.1" customHeight="1" outlineLevel="2">
      <c r="A62" s="639">
        <f>A61+0.000001</f>
        <v>3.0402019999999998</v>
      </c>
      <c r="B62" s="44" t="s">
        <v>471</v>
      </c>
      <c r="C62" s="64" t="s">
        <v>155</v>
      </c>
      <c r="D62" s="87">
        <v>31.07</v>
      </c>
      <c r="E62" s="65">
        <v>637.69000000000005</v>
      </c>
      <c r="F62" s="65"/>
      <c r="G62" s="251">
        <v>637.69000000000005</v>
      </c>
      <c r="H62" s="251">
        <f>+ROUND(D62*E62,2)</f>
        <v>19813.03</v>
      </c>
      <c r="I62" s="252">
        <f t="shared" si="7"/>
        <v>0</v>
      </c>
      <c r="J62" s="73">
        <v>19813.03</v>
      </c>
      <c r="K62" s="538"/>
      <c r="L62" s="51"/>
      <c r="N62" s="4">
        <v>572.6</v>
      </c>
      <c r="O62" s="233">
        <f t="shared" si="8"/>
        <v>17790.682000000001</v>
      </c>
      <c r="Q62" s="545"/>
    </row>
    <row r="63" spans="1:17" ht="14.1" customHeight="1" outlineLevel="2">
      <c r="A63" s="639">
        <f>A62+0.000001</f>
        <v>3.040203</v>
      </c>
      <c r="B63" s="44" t="s">
        <v>472</v>
      </c>
      <c r="C63" s="64" t="s">
        <v>155</v>
      </c>
      <c r="D63" s="87">
        <v>126.29</v>
      </c>
      <c r="E63" s="65">
        <v>637.69000000000005</v>
      </c>
      <c r="F63" s="65"/>
      <c r="G63" s="251">
        <v>637.69000000000005</v>
      </c>
      <c r="H63" s="251">
        <f>+ROUND(D63*E63,2)</f>
        <v>80533.87</v>
      </c>
      <c r="I63" s="252">
        <f t="shared" si="7"/>
        <v>0</v>
      </c>
      <c r="J63" s="73">
        <v>80533.87</v>
      </c>
      <c r="K63" s="538"/>
      <c r="L63" s="51"/>
      <c r="N63" s="4">
        <v>572.6</v>
      </c>
      <c r="O63" s="233">
        <f t="shared" si="8"/>
        <v>72313.65400000001</v>
      </c>
      <c r="Q63" s="545"/>
    </row>
    <row r="64" spans="1:17" ht="14.1" customHeight="1" outlineLevel="2">
      <c r="A64" s="639">
        <f>A63+0.000001</f>
        <v>3.0402040000000001</v>
      </c>
      <c r="B64" s="44" t="s">
        <v>473</v>
      </c>
      <c r="C64" s="64" t="s">
        <v>155</v>
      </c>
      <c r="D64" s="87">
        <v>12.42</v>
      </c>
      <c r="E64" s="65">
        <v>637.69000000000005</v>
      </c>
      <c r="F64" s="65"/>
      <c r="G64" s="251">
        <v>637.69000000000005</v>
      </c>
      <c r="H64" s="251">
        <f>+ROUND(D64*E64,2)</f>
        <v>7920.11</v>
      </c>
      <c r="I64" s="252">
        <f t="shared" si="7"/>
        <v>0</v>
      </c>
      <c r="J64" s="73">
        <v>7920.11</v>
      </c>
      <c r="K64" s="538"/>
      <c r="L64" s="51"/>
      <c r="N64" s="4">
        <v>572.6</v>
      </c>
      <c r="O64" s="233">
        <f t="shared" si="8"/>
        <v>7111.692</v>
      </c>
      <c r="Q64" s="545"/>
    </row>
    <row r="65" spans="1:17" ht="14.1" customHeight="1" outlineLevel="2">
      <c r="A65" s="639">
        <f>A61+0.000001</f>
        <v>3.0402019999999998</v>
      </c>
      <c r="B65" s="44" t="s">
        <v>474</v>
      </c>
      <c r="C65" s="64" t="s">
        <v>155</v>
      </c>
      <c r="D65" s="87">
        <v>17.05</v>
      </c>
      <c r="E65" s="65">
        <v>637.62</v>
      </c>
      <c r="F65" s="65"/>
      <c r="G65" s="251">
        <v>637.62</v>
      </c>
      <c r="H65" s="251">
        <f>+ROUND(D65*E65,2)</f>
        <v>10871.42</v>
      </c>
      <c r="I65" s="252">
        <f t="shared" si="7"/>
        <v>0</v>
      </c>
      <c r="J65" s="73">
        <v>10871.42</v>
      </c>
      <c r="K65" s="538"/>
      <c r="L65" s="51"/>
      <c r="N65" s="4">
        <v>572.53</v>
      </c>
      <c r="O65" s="233">
        <f t="shared" si="8"/>
        <v>9761.6365000000005</v>
      </c>
      <c r="Q65" s="545"/>
    </row>
    <row r="66" spans="1:17" ht="14.1" customHeight="1" outlineLevel="2">
      <c r="A66" s="104">
        <f>A61+0.000001</f>
        <v>3.0402019999999998</v>
      </c>
      <c r="B66" s="70" t="s">
        <v>475</v>
      </c>
      <c r="C66" s="64" t="s">
        <v>161</v>
      </c>
      <c r="D66" s="87">
        <v>3151.2</v>
      </c>
      <c r="E66" s="65">
        <v>58</v>
      </c>
      <c r="F66" s="65"/>
      <c r="G66" s="251">
        <v>58</v>
      </c>
      <c r="H66" s="251">
        <f t="shared" si="0"/>
        <v>182769.6</v>
      </c>
      <c r="I66" s="252">
        <f t="shared" si="7"/>
        <v>0</v>
      </c>
      <c r="J66" s="73">
        <v>182769.6</v>
      </c>
      <c r="K66" s="538"/>
      <c r="L66" s="51"/>
      <c r="Q66" s="545"/>
    </row>
    <row r="67" spans="1:17" ht="14.1" customHeight="1" outlineLevel="2">
      <c r="A67" s="104">
        <f>A66+0.000001</f>
        <v>3.040203</v>
      </c>
      <c r="B67" s="70" t="s">
        <v>476</v>
      </c>
      <c r="C67" s="64" t="s">
        <v>161</v>
      </c>
      <c r="D67" s="87">
        <v>268.39999999999998</v>
      </c>
      <c r="E67" s="65">
        <v>50.5</v>
      </c>
      <c r="F67" s="65"/>
      <c r="G67" s="251">
        <v>50.5</v>
      </c>
      <c r="H67" s="251">
        <f t="shared" si="0"/>
        <v>13554.2</v>
      </c>
      <c r="I67" s="252">
        <f t="shared" si="7"/>
        <v>0</v>
      </c>
      <c r="J67" s="73">
        <v>13554.2</v>
      </c>
      <c r="K67" s="538"/>
      <c r="L67" s="51"/>
      <c r="Q67" s="545"/>
    </row>
    <row r="68" spans="1:17" ht="14.1" customHeight="1" outlineLevel="2">
      <c r="A68" s="104">
        <f t="shared" ref="A68:A83" si="9">A67+0.000001</f>
        <v>3.0402040000000001</v>
      </c>
      <c r="B68" s="70" t="s">
        <v>466</v>
      </c>
      <c r="C68" s="64" t="s">
        <v>177</v>
      </c>
      <c r="D68" s="87">
        <v>156740.89000000001</v>
      </c>
      <c r="E68" s="65">
        <v>1.1499999999999999</v>
      </c>
      <c r="F68" s="65">
        <v>0.94</v>
      </c>
      <c r="G68" s="251">
        <v>4.68</v>
      </c>
      <c r="H68" s="251">
        <f t="shared" si="0"/>
        <v>180252.02</v>
      </c>
      <c r="I68" s="252">
        <f t="shared" si="7"/>
        <v>147336.44</v>
      </c>
      <c r="J68" s="73">
        <v>732763.67</v>
      </c>
      <c r="K68" s="538"/>
      <c r="L68" s="51"/>
      <c r="P68" s="398">
        <v>0.94</v>
      </c>
      <c r="Q68" s="549">
        <f>+P68*D68</f>
        <v>147336.43660000002</v>
      </c>
    </row>
    <row r="69" spans="1:17" ht="14.1" customHeight="1" outlineLevel="2">
      <c r="A69" s="104">
        <f t="shared" si="9"/>
        <v>3.0402050000000003</v>
      </c>
      <c r="B69" s="70" t="s">
        <v>477</v>
      </c>
      <c r="C69" s="64" t="s">
        <v>155</v>
      </c>
      <c r="D69" s="87">
        <v>246</v>
      </c>
      <c r="E69" s="65">
        <v>37.5</v>
      </c>
      <c r="F69" s="65"/>
      <c r="G69" s="251">
        <v>37.5</v>
      </c>
      <c r="H69" s="251">
        <f t="shared" si="0"/>
        <v>9225</v>
      </c>
      <c r="I69" s="252">
        <f t="shared" si="7"/>
        <v>0</v>
      </c>
      <c r="J69" s="73">
        <v>9225</v>
      </c>
      <c r="K69" s="538"/>
      <c r="L69" s="51"/>
      <c r="Q69" s="545"/>
    </row>
    <row r="70" spans="1:17" ht="23.25" customHeight="1" outlineLevel="2">
      <c r="A70" s="104">
        <f t="shared" si="9"/>
        <v>3.0402060000000004</v>
      </c>
      <c r="B70" s="44" t="s">
        <v>478</v>
      </c>
      <c r="C70" s="64" t="s">
        <v>155</v>
      </c>
      <c r="D70" s="87">
        <v>71.040000000000006</v>
      </c>
      <c r="E70" s="65">
        <v>507.56</v>
      </c>
      <c r="F70" s="65"/>
      <c r="G70" s="251">
        <v>507.56</v>
      </c>
      <c r="H70" s="251">
        <f t="shared" si="0"/>
        <v>36057.06</v>
      </c>
      <c r="I70" s="252">
        <f t="shared" si="7"/>
        <v>0</v>
      </c>
      <c r="J70" s="73">
        <v>36057.06</v>
      </c>
      <c r="K70" s="538"/>
      <c r="L70" s="51"/>
      <c r="N70" s="4">
        <v>429.46</v>
      </c>
      <c r="O70" s="233">
        <f>+N70*D70</f>
        <v>30508.838400000001</v>
      </c>
      <c r="Q70" s="545"/>
    </row>
    <row r="71" spans="1:17" ht="14.1" customHeight="1" outlineLevel="2">
      <c r="A71" s="104">
        <f t="shared" si="9"/>
        <v>3.0402070000000005</v>
      </c>
      <c r="B71" s="70" t="s">
        <v>479</v>
      </c>
      <c r="C71" s="64" t="s">
        <v>161</v>
      </c>
      <c r="D71" s="87">
        <v>284.16000000000003</v>
      </c>
      <c r="E71" s="65">
        <v>50</v>
      </c>
      <c r="F71" s="65"/>
      <c r="G71" s="251">
        <v>50</v>
      </c>
      <c r="H71" s="251">
        <f t="shared" si="0"/>
        <v>14208</v>
      </c>
      <c r="I71" s="252">
        <f t="shared" si="7"/>
        <v>0</v>
      </c>
      <c r="J71" s="73">
        <v>14208</v>
      </c>
      <c r="K71" s="538"/>
      <c r="L71" s="51"/>
      <c r="Q71" s="545"/>
    </row>
    <row r="72" spans="1:17" ht="14.1" customHeight="1" outlineLevel="2">
      <c r="A72" s="104">
        <f t="shared" si="9"/>
        <v>3.0402080000000007</v>
      </c>
      <c r="B72" s="70" t="s">
        <v>480</v>
      </c>
      <c r="C72" s="64" t="s">
        <v>155</v>
      </c>
      <c r="D72" s="87">
        <v>71.040000000000006</v>
      </c>
      <c r="E72" s="65">
        <v>107.56</v>
      </c>
      <c r="F72" s="65"/>
      <c r="G72" s="251">
        <v>107.56</v>
      </c>
      <c r="H72" s="251">
        <f t="shared" si="0"/>
        <v>7641.06</v>
      </c>
      <c r="I72" s="252">
        <f t="shared" si="7"/>
        <v>0</v>
      </c>
      <c r="J72" s="73">
        <v>7641.06</v>
      </c>
      <c r="K72" s="538"/>
      <c r="L72" s="51"/>
      <c r="Q72" s="545"/>
    </row>
    <row r="73" spans="1:17" ht="14.1" customHeight="1" outlineLevel="2">
      <c r="A73" s="104">
        <f t="shared" si="9"/>
        <v>3.0402090000000008</v>
      </c>
      <c r="B73" s="70" t="s">
        <v>481</v>
      </c>
      <c r="C73" s="64" t="s">
        <v>36</v>
      </c>
      <c r="D73" s="87">
        <v>114</v>
      </c>
      <c r="E73" s="65">
        <v>34.76</v>
      </c>
      <c r="F73" s="65"/>
      <c r="G73" s="251">
        <v>34.76</v>
      </c>
      <c r="H73" s="251">
        <f t="shared" si="0"/>
        <v>3962.64</v>
      </c>
      <c r="I73" s="252">
        <f t="shared" si="7"/>
        <v>0</v>
      </c>
      <c r="J73" s="73">
        <v>3962.64</v>
      </c>
      <c r="K73" s="538"/>
      <c r="L73" s="51"/>
      <c r="Q73" s="545"/>
    </row>
    <row r="74" spans="1:17" ht="14.1" customHeight="1" outlineLevel="2">
      <c r="A74" s="104">
        <f t="shared" si="9"/>
        <v>3.040210000000001</v>
      </c>
      <c r="B74" s="70" t="s">
        <v>482</v>
      </c>
      <c r="C74" s="64" t="s">
        <v>46</v>
      </c>
      <c r="D74" s="87">
        <v>850.85</v>
      </c>
      <c r="E74" s="65">
        <v>10.88</v>
      </c>
      <c r="F74" s="65"/>
      <c r="G74" s="251">
        <v>10.88</v>
      </c>
      <c r="H74" s="251">
        <f t="shared" si="0"/>
        <v>9257.25</v>
      </c>
      <c r="I74" s="252">
        <f t="shared" si="7"/>
        <v>0</v>
      </c>
      <c r="J74" s="73">
        <v>9257.25</v>
      </c>
      <c r="K74" s="538"/>
      <c r="L74" s="51"/>
      <c r="Q74" s="545"/>
    </row>
    <row r="75" spans="1:17" ht="14.1" customHeight="1" outlineLevel="2">
      <c r="A75" s="104">
        <f t="shared" si="9"/>
        <v>3.0402110000000011</v>
      </c>
      <c r="B75" s="70" t="s">
        <v>483</v>
      </c>
      <c r="C75" s="64" t="s">
        <v>46</v>
      </c>
      <c r="D75" s="87">
        <v>850.85</v>
      </c>
      <c r="E75" s="65">
        <v>7.76</v>
      </c>
      <c r="F75" s="65"/>
      <c r="G75" s="251">
        <v>7.76</v>
      </c>
      <c r="H75" s="251">
        <f t="shared" si="0"/>
        <v>6602.6</v>
      </c>
      <c r="I75" s="252">
        <f t="shared" si="7"/>
        <v>0</v>
      </c>
      <c r="J75" s="73">
        <v>6602.6</v>
      </c>
      <c r="K75" s="538"/>
      <c r="L75" s="51"/>
      <c r="Q75" s="545"/>
    </row>
    <row r="76" spans="1:17" ht="14.1" customHeight="1" outlineLevel="2">
      <c r="A76" s="104">
        <f t="shared" si="9"/>
        <v>3.0402120000000012</v>
      </c>
      <c r="B76" s="70" t="s">
        <v>484</v>
      </c>
      <c r="C76" s="64" t="s">
        <v>46</v>
      </c>
      <c r="D76" s="87">
        <v>850.85</v>
      </c>
      <c r="E76" s="65">
        <v>45.27</v>
      </c>
      <c r="F76" s="65"/>
      <c r="G76" s="251">
        <v>45.27</v>
      </c>
      <c r="H76" s="251">
        <f t="shared" si="0"/>
        <v>38517.980000000003</v>
      </c>
      <c r="I76" s="252">
        <f t="shared" si="7"/>
        <v>0</v>
      </c>
      <c r="J76" s="73">
        <v>38517.980000000003</v>
      </c>
      <c r="K76" s="538"/>
      <c r="L76" s="51"/>
      <c r="Q76" s="545"/>
    </row>
    <row r="77" spans="1:17" ht="14.1" customHeight="1" outlineLevel="2">
      <c r="A77" s="104">
        <f t="shared" si="9"/>
        <v>3.0402130000000014</v>
      </c>
      <c r="B77" s="70" t="s">
        <v>485</v>
      </c>
      <c r="C77" s="64" t="s">
        <v>161</v>
      </c>
      <c r="D77" s="87">
        <v>3151.2</v>
      </c>
      <c r="E77" s="640">
        <v>7.5</v>
      </c>
      <c r="F77" s="65"/>
      <c r="G77" s="251">
        <v>7.5</v>
      </c>
      <c r="H77" s="251">
        <f t="shared" si="0"/>
        <v>23634</v>
      </c>
      <c r="I77" s="252">
        <f t="shared" si="7"/>
        <v>0</v>
      </c>
      <c r="J77" s="73">
        <v>23634</v>
      </c>
      <c r="K77" s="538"/>
      <c r="L77" s="51"/>
      <c r="Q77" s="545"/>
    </row>
    <row r="78" spans="1:17" ht="14.1" customHeight="1" outlineLevel="2">
      <c r="A78" s="104">
        <f t="shared" si="9"/>
        <v>3.0402140000000015</v>
      </c>
      <c r="B78" s="70" t="s">
        <v>486</v>
      </c>
      <c r="C78" s="64" t="s">
        <v>161</v>
      </c>
      <c r="D78" s="87">
        <v>3151.2</v>
      </c>
      <c r="E78" s="65">
        <v>16.8</v>
      </c>
      <c r="F78" s="65"/>
      <c r="G78" s="251">
        <v>16.8</v>
      </c>
      <c r="H78" s="251">
        <f t="shared" si="0"/>
        <v>52940.160000000003</v>
      </c>
      <c r="I78" s="252">
        <f t="shared" si="7"/>
        <v>0</v>
      </c>
      <c r="J78" s="73">
        <v>52940.160000000003</v>
      </c>
      <c r="K78" s="538"/>
      <c r="L78" s="51"/>
      <c r="Q78" s="545"/>
    </row>
    <row r="79" spans="1:17" ht="14.1" customHeight="1" outlineLevel="2">
      <c r="A79" s="104">
        <f t="shared" si="9"/>
        <v>3.0402150000000017</v>
      </c>
      <c r="B79" s="70" t="s">
        <v>487</v>
      </c>
      <c r="C79" s="64" t="s">
        <v>161</v>
      </c>
      <c r="D79" s="87">
        <v>3151.2</v>
      </c>
      <c r="E79" s="65">
        <v>2.5499999999999998</v>
      </c>
      <c r="F79" s="65"/>
      <c r="G79" s="251">
        <v>2.5499999999999998</v>
      </c>
      <c r="H79" s="251">
        <f t="shared" si="0"/>
        <v>8035.56</v>
      </c>
      <c r="I79" s="252">
        <f t="shared" si="7"/>
        <v>0</v>
      </c>
      <c r="J79" s="73">
        <v>8035.56</v>
      </c>
      <c r="K79" s="538"/>
      <c r="L79" s="51"/>
      <c r="Q79" s="545"/>
    </row>
    <row r="80" spans="1:17" ht="14.1" customHeight="1" outlineLevel="2">
      <c r="A80" s="104">
        <f t="shared" si="9"/>
        <v>3.0402160000000018</v>
      </c>
      <c r="B80" s="70" t="s">
        <v>488</v>
      </c>
      <c r="C80" s="64" t="s">
        <v>36</v>
      </c>
      <c r="D80" s="87">
        <v>2128</v>
      </c>
      <c r="E80" s="65">
        <v>34.56</v>
      </c>
      <c r="F80" s="65">
        <v>0.78</v>
      </c>
      <c r="G80" s="251">
        <v>37.49</v>
      </c>
      <c r="H80" s="251">
        <f t="shared" si="0"/>
        <v>73543.679999999993</v>
      </c>
      <c r="I80" s="252">
        <f t="shared" si="7"/>
        <v>1659.84</v>
      </c>
      <c r="J80" s="73">
        <v>79768.08</v>
      </c>
      <c r="K80" s="538"/>
      <c r="L80" s="51"/>
      <c r="Q80" s="545"/>
    </row>
    <row r="81" spans="1:17" ht="14.1" customHeight="1" outlineLevel="2">
      <c r="A81" s="104">
        <f t="shared" si="9"/>
        <v>3.0402170000000019</v>
      </c>
      <c r="B81" s="70" t="s">
        <v>489</v>
      </c>
      <c r="C81" s="64" t="s">
        <v>36</v>
      </c>
      <c r="D81" s="87">
        <v>114</v>
      </c>
      <c r="E81" s="65">
        <v>51.4</v>
      </c>
      <c r="F81" s="65"/>
      <c r="G81" s="251">
        <v>51.4</v>
      </c>
      <c r="H81" s="251">
        <f t="shared" si="0"/>
        <v>5859.6</v>
      </c>
      <c r="I81" s="252">
        <f t="shared" si="7"/>
        <v>0</v>
      </c>
      <c r="J81" s="73">
        <v>5859.6</v>
      </c>
      <c r="K81" s="538"/>
      <c r="L81" s="51"/>
      <c r="Q81" s="545"/>
    </row>
    <row r="82" spans="1:17" ht="14.1" customHeight="1" outlineLevel="2">
      <c r="A82" s="104">
        <f t="shared" si="9"/>
        <v>3.0402180000000021</v>
      </c>
      <c r="B82" s="70" t="s">
        <v>490</v>
      </c>
      <c r="C82" s="64" t="s">
        <v>46</v>
      </c>
      <c r="D82" s="87">
        <v>850.85</v>
      </c>
      <c r="E82" s="65">
        <v>24.98</v>
      </c>
      <c r="F82" s="65"/>
      <c r="G82" s="251">
        <v>24.98</v>
      </c>
      <c r="H82" s="251">
        <f t="shared" si="0"/>
        <v>21254.23</v>
      </c>
      <c r="I82" s="252">
        <f t="shared" si="7"/>
        <v>0</v>
      </c>
      <c r="J82" s="73">
        <v>21254.23</v>
      </c>
      <c r="K82" s="538"/>
      <c r="L82" s="51"/>
      <c r="Q82" s="545"/>
    </row>
    <row r="83" spans="1:17" ht="13.5" customHeight="1" outlineLevel="2">
      <c r="A83" s="104">
        <f t="shared" si="9"/>
        <v>3.0402190000000022</v>
      </c>
      <c r="B83" s="70" t="s">
        <v>467</v>
      </c>
      <c r="C83" s="64" t="s">
        <v>161</v>
      </c>
      <c r="D83" s="87">
        <v>3151.2</v>
      </c>
      <c r="E83" s="65">
        <v>1.5</v>
      </c>
      <c r="F83" s="65"/>
      <c r="G83" s="251">
        <v>1.5</v>
      </c>
      <c r="H83" s="251">
        <f t="shared" si="0"/>
        <v>4726.8</v>
      </c>
      <c r="I83" s="252">
        <f t="shared" si="7"/>
        <v>0</v>
      </c>
      <c r="J83" s="73">
        <v>4726.8</v>
      </c>
      <c r="K83" s="538"/>
      <c r="L83" s="51"/>
      <c r="Q83" s="545"/>
    </row>
    <row r="84" spans="1:17" ht="14.1" customHeight="1" outlineLevel="1">
      <c r="A84" s="285">
        <f>A60+0.0001</f>
        <v>3.0402999999999998</v>
      </c>
      <c r="B84" s="99" t="s">
        <v>491</v>
      </c>
      <c r="C84" s="64"/>
      <c r="D84" s="87"/>
      <c r="E84" s="638"/>
      <c r="F84" s="638"/>
      <c r="G84" s="251"/>
      <c r="H84" s="251"/>
      <c r="I84" s="252"/>
      <c r="J84" s="73"/>
      <c r="K84" s="538"/>
      <c r="L84" s="51"/>
      <c r="Q84" s="545"/>
    </row>
    <row r="85" spans="1:17" ht="13.5" customHeight="1" outlineLevel="2">
      <c r="A85" s="104">
        <f t="shared" ref="A85:A90" si="10">A84+0.000001</f>
        <v>3.0403009999999999</v>
      </c>
      <c r="B85" s="70" t="s">
        <v>492</v>
      </c>
      <c r="C85" s="64" t="s">
        <v>155</v>
      </c>
      <c r="D85" s="87">
        <v>0</v>
      </c>
      <c r="E85" s="65">
        <v>453.94</v>
      </c>
      <c r="F85" s="65"/>
      <c r="G85" s="251">
        <v>453.94</v>
      </c>
      <c r="H85" s="251">
        <f t="shared" si="0"/>
        <v>0</v>
      </c>
      <c r="I85" s="252">
        <f t="shared" ref="I85:I90" si="11">+ROUND(D85*F85,2)</f>
        <v>0</v>
      </c>
      <c r="J85" s="73">
        <v>0</v>
      </c>
      <c r="K85" s="538"/>
      <c r="L85" s="51"/>
      <c r="O85" s="233">
        <f t="shared" ref="O85:O86" si="12">+N85*D85</f>
        <v>0</v>
      </c>
      <c r="Q85" s="545"/>
    </row>
    <row r="86" spans="1:17" ht="13.5" customHeight="1" outlineLevel="2">
      <c r="A86" s="104">
        <f t="shared" si="10"/>
        <v>3.0403020000000001</v>
      </c>
      <c r="B86" s="70" t="s">
        <v>493</v>
      </c>
      <c r="C86" s="64" t="s">
        <v>155</v>
      </c>
      <c r="D86" s="87">
        <v>0</v>
      </c>
      <c r="E86" s="65">
        <v>485.86</v>
      </c>
      <c r="F86" s="65"/>
      <c r="G86" s="251">
        <v>485.86</v>
      </c>
      <c r="H86" s="251">
        <f t="shared" si="0"/>
        <v>0</v>
      </c>
      <c r="I86" s="252">
        <f t="shared" si="11"/>
        <v>0</v>
      </c>
      <c r="J86" s="73">
        <v>0</v>
      </c>
      <c r="K86" s="538"/>
      <c r="L86" s="51"/>
      <c r="O86" s="233">
        <f t="shared" si="12"/>
        <v>0</v>
      </c>
      <c r="Q86" s="545"/>
    </row>
    <row r="87" spans="1:17" ht="13.5" customHeight="1" outlineLevel="2">
      <c r="A87" s="104">
        <f t="shared" si="10"/>
        <v>3.0403030000000002</v>
      </c>
      <c r="B87" s="70" t="s">
        <v>494</v>
      </c>
      <c r="C87" s="64" t="s">
        <v>161</v>
      </c>
      <c r="D87" s="87">
        <v>0</v>
      </c>
      <c r="E87" s="65">
        <v>43.7</v>
      </c>
      <c r="F87" s="65"/>
      <c r="G87" s="251">
        <v>43.7</v>
      </c>
      <c r="H87" s="251">
        <f t="shared" si="0"/>
        <v>0</v>
      </c>
      <c r="I87" s="252">
        <f t="shared" si="11"/>
        <v>0</v>
      </c>
      <c r="J87" s="73">
        <v>0</v>
      </c>
      <c r="K87" s="538"/>
      <c r="L87" s="51"/>
      <c r="Q87" s="545"/>
    </row>
    <row r="88" spans="1:17" ht="13.5" customHeight="1" outlineLevel="2">
      <c r="A88" s="104">
        <f t="shared" si="10"/>
        <v>3.0403040000000003</v>
      </c>
      <c r="B88" s="70" t="s">
        <v>495</v>
      </c>
      <c r="C88" s="64" t="s">
        <v>161</v>
      </c>
      <c r="D88" s="87">
        <v>0</v>
      </c>
      <c r="E88" s="65">
        <v>48.7</v>
      </c>
      <c r="F88" s="65"/>
      <c r="G88" s="251">
        <v>48.7</v>
      </c>
      <c r="H88" s="251">
        <f t="shared" ref="H88:H160" si="13">+ROUND(D88*E88,2)</f>
        <v>0</v>
      </c>
      <c r="I88" s="252">
        <f t="shared" si="11"/>
        <v>0</v>
      </c>
      <c r="J88" s="73">
        <v>0</v>
      </c>
      <c r="K88" s="538"/>
      <c r="L88" s="51"/>
      <c r="Q88" s="545"/>
    </row>
    <row r="89" spans="1:17" ht="13.5" customHeight="1" outlineLevel="2">
      <c r="A89" s="104">
        <f t="shared" si="10"/>
        <v>3.0403050000000005</v>
      </c>
      <c r="B89" s="641" t="s">
        <v>496</v>
      </c>
      <c r="C89" s="64" t="s">
        <v>177</v>
      </c>
      <c r="D89" s="87">
        <v>0</v>
      </c>
      <c r="E89" s="65">
        <v>1.1499999999999999</v>
      </c>
      <c r="F89" s="65">
        <v>0.94</v>
      </c>
      <c r="G89" s="251">
        <v>4.68</v>
      </c>
      <c r="H89" s="251">
        <f t="shared" si="13"/>
        <v>0</v>
      </c>
      <c r="I89" s="252">
        <f t="shared" si="11"/>
        <v>0</v>
      </c>
      <c r="J89" s="73">
        <v>0</v>
      </c>
      <c r="K89" s="538"/>
      <c r="L89" s="51"/>
      <c r="P89" s="398">
        <v>0.94</v>
      </c>
      <c r="Q89" s="549">
        <f>+P89*D89</f>
        <v>0</v>
      </c>
    </row>
    <row r="90" spans="1:17" ht="13.5" customHeight="1" outlineLevel="2">
      <c r="A90" s="104">
        <f t="shared" si="10"/>
        <v>3.0403060000000006</v>
      </c>
      <c r="B90" s="70" t="s">
        <v>467</v>
      </c>
      <c r="C90" s="64" t="s">
        <v>161</v>
      </c>
      <c r="D90" s="87">
        <v>0</v>
      </c>
      <c r="E90" s="65">
        <v>1.5</v>
      </c>
      <c r="F90" s="65"/>
      <c r="G90" s="251">
        <v>1.5</v>
      </c>
      <c r="H90" s="251">
        <f t="shared" si="13"/>
        <v>0</v>
      </c>
      <c r="I90" s="252">
        <f t="shared" si="11"/>
        <v>0</v>
      </c>
      <c r="J90" s="73">
        <v>0</v>
      </c>
      <c r="K90" s="538"/>
      <c r="L90" s="51"/>
      <c r="Q90" s="545"/>
    </row>
    <row r="91" spans="1:17" ht="14.1" customHeight="1" outlineLevel="1">
      <c r="A91" s="285">
        <f>A84+0.0001</f>
        <v>3.0404</v>
      </c>
      <c r="B91" s="99" t="s">
        <v>497</v>
      </c>
      <c r="C91" s="64"/>
      <c r="D91" s="87"/>
      <c r="E91" s="638"/>
      <c r="F91" s="638"/>
      <c r="G91" s="251"/>
      <c r="H91" s="251"/>
      <c r="I91" s="252"/>
      <c r="J91" s="73"/>
      <c r="K91" s="538"/>
      <c r="L91" s="51"/>
      <c r="Q91" s="545"/>
    </row>
    <row r="92" spans="1:17" ht="14.1" customHeight="1" outlineLevel="2">
      <c r="A92" s="104">
        <f>A91+0.000001</f>
        <v>3.0404010000000001</v>
      </c>
      <c r="B92" s="70" t="s">
        <v>498</v>
      </c>
      <c r="C92" s="64" t="s">
        <v>74</v>
      </c>
      <c r="D92" s="87">
        <v>4</v>
      </c>
      <c r="E92" s="395">
        <v>0</v>
      </c>
      <c r="F92" s="395">
        <v>1200</v>
      </c>
      <c r="G92" s="251">
        <v>4500</v>
      </c>
      <c r="H92" s="251">
        <f t="shared" si="13"/>
        <v>0</v>
      </c>
      <c r="I92" s="252">
        <f>+ROUND(D92*F92,2)</f>
        <v>4800</v>
      </c>
      <c r="J92" s="73">
        <v>18000</v>
      </c>
      <c r="K92" s="538"/>
      <c r="L92" s="51"/>
      <c r="Q92" s="545"/>
    </row>
    <row r="93" spans="1:17" ht="23.25" customHeight="1" outlineLevel="2">
      <c r="A93" s="104">
        <f>A92+0.000001</f>
        <v>3.0404020000000003</v>
      </c>
      <c r="B93" s="641" t="s">
        <v>499</v>
      </c>
      <c r="C93" s="64" t="s">
        <v>36</v>
      </c>
      <c r="D93" s="87">
        <v>114</v>
      </c>
      <c r="E93" s="395">
        <v>0</v>
      </c>
      <c r="F93" s="395">
        <v>1034.9000000000001</v>
      </c>
      <c r="G93" s="251">
        <v>3880.88</v>
      </c>
      <c r="H93" s="251">
        <f t="shared" si="13"/>
        <v>0</v>
      </c>
      <c r="I93" s="252">
        <f>+ROUND(D93*F93,2)</f>
        <v>117978.6</v>
      </c>
      <c r="J93" s="73">
        <v>442419.75</v>
      </c>
      <c r="K93" s="538"/>
      <c r="L93" s="51"/>
      <c r="Q93" s="545"/>
    </row>
    <row r="94" spans="1:17" ht="14.1" customHeight="1" outlineLevel="2">
      <c r="A94" s="104">
        <f>A93+0.000001</f>
        <v>3.0404030000000004</v>
      </c>
      <c r="B94" s="70" t="s">
        <v>500</v>
      </c>
      <c r="C94" s="64" t="s">
        <v>501</v>
      </c>
      <c r="D94" s="87">
        <v>0</v>
      </c>
      <c r="E94" s="395">
        <v>22.54</v>
      </c>
      <c r="F94" s="395"/>
      <c r="G94" s="251">
        <v>22.54</v>
      </c>
      <c r="H94" s="251">
        <f t="shared" si="13"/>
        <v>0</v>
      </c>
      <c r="I94" s="252">
        <f>+ROUND(D94*F94,2)</f>
        <v>0</v>
      </c>
      <c r="J94" s="73">
        <v>0</v>
      </c>
      <c r="K94" s="538"/>
      <c r="L94" s="51"/>
      <c r="Q94" s="545"/>
    </row>
    <row r="95" spans="1:17" ht="14.1" customHeight="1" outlineLevel="1">
      <c r="A95" s="285">
        <f>A91+0.0001</f>
        <v>3.0405000000000002</v>
      </c>
      <c r="B95" s="99" t="s">
        <v>502</v>
      </c>
      <c r="C95" s="64"/>
      <c r="D95" s="87"/>
      <c r="E95" s="638"/>
      <c r="F95" s="638"/>
      <c r="G95" s="251"/>
      <c r="H95" s="251"/>
      <c r="I95" s="252"/>
      <c r="J95" s="73"/>
      <c r="K95" s="538"/>
      <c r="L95" s="51"/>
      <c r="Q95" s="545"/>
    </row>
    <row r="96" spans="1:17" ht="14.1" customHeight="1" outlineLevel="2">
      <c r="A96" s="104">
        <f>A95+0.000001</f>
        <v>3.0405010000000003</v>
      </c>
      <c r="B96" s="70" t="s">
        <v>503</v>
      </c>
      <c r="C96" s="64" t="s">
        <v>155</v>
      </c>
      <c r="D96" s="87">
        <v>261.2</v>
      </c>
      <c r="E96" s="65">
        <v>401.81</v>
      </c>
      <c r="F96" s="65"/>
      <c r="G96" s="251">
        <v>401.81</v>
      </c>
      <c r="H96" s="251">
        <f t="shared" si="13"/>
        <v>104952.77</v>
      </c>
      <c r="I96" s="252">
        <f>+ROUND(D96*F96,2)</f>
        <v>0</v>
      </c>
      <c r="J96" s="73">
        <v>104952.77</v>
      </c>
      <c r="K96" s="538"/>
      <c r="L96" s="51"/>
      <c r="N96" s="4">
        <v>374.14</v>
      </c>
      <c r="O96" s="233">
        <f>+N96*D96</f>
        <v>97725.367999999988</v>
      </c>
      <c r="Q96" s="545"/>
    </row>
    <row r="97" spans="1:17" ht="14.1" customHeight="1" outlineLevel="2">
      <c r="A97" s="104">
        <f>A96+0.000001</f>
        <v>3.0405020000000005</v>
      </c>
      <c r="B97" s="70" t="s">
        <v>504</v>
      </c>
      <c r="C97" s="64" t="s">
        <v>161</v>
      </c>
      <c r="D97" s="87">
        <v>224.55</v>
      </c>
      <c r="E97" s="65">
        <v>47</v>
      </c>
      <c r="F97" s="65"/>
      <c r="G97" s="251">
        <v>47</v>
      </c>
      <c r="H97" s="251">
        <f t="shared" si="13"/>
        <v>10553.85</v>
      </c>
      <c r="I97" s="252">
        <f>+ROUND(D97*F97,2)</f>
        <v>0</v>
      </c>
      <c r="J97" s="73">
        <v>10553.85</v>
      </c>
      <c r="K97" s="538"/>
      <c r="L97" s="51"/>
      <c r="Q97" s="545"/>
    </row>
    <row r="98" spans="1:17" ht="14.1" customHeight="1" outlineLevel="2">
      <c r="A98" s="104">
        <f>A97+0.000001</f>
        <v>3.0405030000000006</v>
      </c>
      <c r="B98" s="641" t="s">
        <v>496</v>
      </c>
      <c r="C98" s="64" t="s">
        <v>177</v>
      </c>
      <c r="D98" s="87">
        <v>22706.09</v>
      </c>
      <c r="E98" s="65">
        <v>1.1499999999999999</v>
      </c>
      <c r="F98" s="65">
        <v>0.94</v>
      </c>
      <c r="G98" s="251">
        <v>4.68</v>
      </c>
      <c r="H98" s="251">
        <f t="shared" si="13"/>
        <v>26112</v>
      </c>
      <c r="I98" s="252">
        <f>+ROUND(D98*F98,2)</f>
        <v>21343.72</v>
      </c>
      <c r="J98" s="73">
        <v>106150.95</v>
      </c>
      <c r="K98" s="538"/>
      <c r="L98" s="51"/>
      <c r="P98" s="398">
        <v>0.94</v>
      </c>
      <c r="Q98" s="549">
        <f>+P98*D98</f>
        <v>21343.724599999998</v>
      </c>
    </row>
    <row r="99" spans="1:17" ht="14.1" customHeight="1" outlineLevel="2">
      <c r="A99" s="104">
        <f>A98+0.000001</f>
        <v>3.0405040000000008</v>
      </c>
      <c r="B99" s="70" t="s">
        <v>467</v>
      </c>
      <c r="C99" s="64" t="s">
        <v>161</v>
      </c>
      <c r="D99" s="87">
        <v>571.11</v>
      </c>
      <c r="E99" s="65">
        <v>1.5</v>
      </c>
      <c r="F99" s="65"/>
      <c r="G99" s="251">
        <v>1.5</v>
      </c>
      <c r="H99" s="251">
        <f t="shared" si="13"/>
        <v>856.67</v>
      </c>
      <c r="I99" s="252">
        <f>+ROUND(D99*F99,2)</f>
        <v>0</v>
      </c>
      <c r="J99" s="73">
        <v>856.67</v>
      </c>
      <c r="K99" s="538"/>
      <c r="L99" s="51"/>
      <c r="Q99" s="545"/>
    </row>
    <row r="100" spans="1:17" ht="14.1" customHeight="1" outlineLevel="2">
      <c r="A100" s="104">
        <f>A99+0.000001</f>
        <v>3.0405050000000009</v>
      </c>
      <c r="B100" s="70" t="s">
        <v>468</v>
      </c>
      <c r="C100" s="64" t="s">
        <v>161</v>
      </c>
      <c r="D100" s="87">
        <v>571.11</v>
      </c>
      <c r="E100" s="65">
        <v>20.27</v>
      </c>
      <c r="F100" s="65"/>
      <c r="G100" s="251">
        <v>20.27</v>
      </c>
      <c r="H100" s="251">
        <f t="shared" si="13"/>
        <v>11576.4</v>
      </c>
      <c r="I100" s="252">
        <f>+ROUND(D100*F100,2)</f>
        <v>0</v>
      </c>
      <c r="J100" s="73">
        <v>11576.4</v>
      </c>
      <c r="K100" s="538"/>
      <c r="L100" s="51"/>
      <c r="Q100" s="545"/>
    </row>
    <row r="101" spans="1:17" ht="14.1" customHeight="1" outlineLevel="1">
      <c r="A101" s="285">
        <f>A95+0.0001</f>
        <v>3.0406000000000004</v>
      </c>
      <c r="B101" s="99" t="s">
        <v>505</v>
      </c>
      <c r="C101" s="68"/>
      <c r="D101" s="87"/>
      <c r="E101" s="65"/>
      <c r="F101" s="39"/>
      <c r="G101" s="251"/>
      <c r="H101" s="251"/>
      <c r="I101" s="252"/>
      <c r="J101" s="73"/>
      <c r="K101" s="538"/>
      <c r="L101" s="51"/>
      <c r="Q101" s="545"/>
    </row>
    <row r="102" spans="1:17" ht="23.25" customHeight="1" outlineLevel="2">
      <c r="A102" s="104">
        <f t="shared" ref="A102:A107" si="14">A101+0.000001</f>
        <v>3.0406010000000006</v>
      </c>
      <c r="B102" s="44" t="s">
        <v>506</v>
      </c>
      <c r="C102" s="64" t="s">
        <v>155</v>
      </c>
      <c r="D102" s="87">
        <v>2.84</v>
      </c>
      <c r="E102" s="65">
        <v>421.2</v>
      </c>
      <c r="F102" s="39"/>
      <c r="G102" s="251">
        <v>421.2</v>
      </c>
      <c r="H102" s="251">
        <f t="shared" si="13"/>
        <v>1196.21</v>
      </c>
      <c r="I102" s="252">
        <f t="shared" ref="I102:I107" si="15">+ROUND(D102*F102,2)</f>
        <v>0</v>
      </c>
      <c r="J102" s="73">
        <v>1196.21</v>
      </c>
      <c r="K102" s="538"/>
      <c r="L102" s="51"/>
      <c r="N102" s="4">
        <v>372.3</v>
      </c>
      <c r="O102" s="233">
        <f>+N102*D102</f>
        <v>1057.3319999999999</v>
      </c>
      <c r="Q102" s="545"/>
    </row>
    <row r="103" spans="1:17" ht="14.1" customHeight="1" outlineLevel="2">
      <c r="A103" s="104">
        <f t="shared" si="14"/>
        <v>3.0406020000000007</v>
      </c>
      <c r="B103" s="641" t="s">
        <v>507</v>
      </c>
      <c r="C103" s="64" t="s">
        <v>161</v>
      </c>
      <c r="D103" s="87">
        <v>15.47</v>
      </c>
      <c r="E103" s="65">
        <v>47</v>
      </c>
      <c r="F103" s="65"/>
      <c r="G103" s="251">
        <v>47</v>
      </c>
      <c r="H103" s="251">
        <f t="shared" si="13"/>
        <v>727.09</v>
      </c>
      <c r="I103" s="252">
        <f t="shared" si="15"/>
        <v>0</v>
      </c>
      <c r="J103" s="73">
        <v>727.09</v>
      </c>
      <c r="K103" s="538"/>
      <c r="L103" s="51"/>
      <c r="Q103" s="545"/>
    </row>
    <row r="104" spans="1:17" ht="14.1" customHeight="1" outlineLevel="2">
      <c r="A104" s="104">
        <f t="shared" si="14"/>
        <v>3.0406030000000008</v>
      </c>
      <c r="B104" s="641" t="s">
        <v>496</v>
      </c>
      <c r="C104" s="64" t="s">
        <v>177</v>
      </c>
      <c r="D104" s="87">
        <v>1122.77</v>
      </c>
      <c r="E104" s="65">
        <v>1.1499999999999999</v>
      </c>
      <c r="F104" s="65">
        <v>0.94</v>
      </c>
      <c r="G104" s="251">
        <v>4.68</v>
      </c>
      <c r="H104" s="251">
        <f t="shared" si="13"/>
        <v>1291.19</v>
      </c>
      <c r="I104" s="252">
        <f t="shared" si="15"/>
        <v>1055.4000000000001</v>
      </c>
      <c r="J104" s="73">
        <v>5248.94</v>
      </c>
      <c r="K104" s="538"/>
      <c r="L104" s="51"/>
      <c r="P104" s="398">
        <v>0.94</v>
      </c>
      <c r="Q104" s="549">
        <f>+P104*D104</f>
        <v>1055.4037999999998</v>
      </c>
    </row>
    <row r="105" spans="1:17" ht="14.1" customHeight="1" outlineLevel="2">
      <c r="A105" s="104">
        <f t="shared" si="14"/>
        <v>3.040604000000001</v>
      </c>
      <c r="B105" s="70" t="s">
        <v>467</v>
      </c>
      <c r="C105" s="64" t="s">
        <v>161</v>
      </c>
      <c r="D105" s="87">
        <v>15.47</v>
      </c>
      <c r="E105" s="65">
        <v>1.5</v>
      </c>
      <c r="F105" s="65"/>
      <c r="G105" s="251">
        <v>1.5</v>
      </c>
      <c r="H105" s="251">
        <f t="shared" si="13"/>
        <v>23.21</v>
      </c>
      <c r="I105" s="252">
        <f t="shared" si="15"/>
        <v>0</v>
      </c>
      <c r="J105" s="73">
        <v>23.21</v>
      </c>
      <c r="K105" s="538"/>
      <c r="L105" s="51"/>
      <c r="Q105" s="545"/>
    </row>
    <row r="106" spans="1:17" ht="14.1" customHeight="1" outlineLevel="2">
      <c r="A106" s="104">
        <f t="shared" si="14"/>
        <v>3.0406050000000011</v>
      </c>
      <c r="B106" s="641" t="s">
        <v>508</v>
      </c>
      <c r="C106" s="64" t="s">
        <v>161</v>
      </c>
      <c r="D106" s="87">
        <v>3.46</v>
      </c>
      <c r="E106" s="640">
        <v>12.57</v>
      </c>
      <c r="F106" s="65"/>
      <c r="G106" s="251">
        <v>12.57</v>
      </c>
      <c r="H106" s="251">
        <f t="shared" si="13"/>
        <v>43.49</v>
      </c>
      <c r="I106" s="252">
        <f t="shared" si="15"/>
        <v>0</v>
      </c>
      <c r="J106" s="73">
        <v>43.49</v>
      </c>
      <c r="K106" s="538"/>
      <c r="L106" s="51"/>
      <c r="Q106" s="545"/>
    </row>
    <row r="107" spans="1:17" ht="14.1" customHeight="1" outlineLevel="2">
      <c r="A107" s="104">
        <f t="shared" si="14"/>
        <v>3.0406060000000013</v>
      </c>
      <c r="B107" s="641" t="s">
        <v>468</v>
      </c>
      <c r="C107" s="64" t="s">
        <v>161</v>
      </c>
      <c r="D107" s="87">
        <v>18.93</v>
      </c>
      <c r="E107" s="65">
        <v>20.27</v>
      </c>
      <c r="F107" s="65"/>
      <c r="G107" s="251">
        <v>20.27</v>
      </c>
      <c r="H107" s="251">
        <f t="shared" si="13"/>
        <v>383.71</v>
      </c>
      <c r="I107" s="252">
        <f t="shared" si="15"/>
        <v>0</v>
      </c>
      <c r="J107" s="73">
        <v>383.71</v>
      </c>
      <c r="K107" s="538"/>
      <c r="L107" s="51"/>
      <c r="Q107" s="545"/>
    </row>
    <row r="108" spans="1:17" ht="14.1" customHeight="1" outlineLevel="1">
      <c r="A108" s="285">
        <f>A101+0.0001</f>
        <v>3.0407000000000006</v>
      </c>
      <c r="B108" s="99" t="s">
        <v>509</v>
      </c>
      <c r="C108" s="64"/>
      <c r="D108" s="87"/>
      <c r="E108" s="638"/>
      <c r="F108" s="638"/>
      <c r="G108" s="251"/>
      <c r="H108" s="251"/>
      <c r="I108" s="252"/>
      <c r="J108" s="73"/>
      <c r="K108" s="538"/>
      <c r="L108" s="51"/>
      <c r="Q108" s="545"/>
    </row>
    <row r="109" spans="1:17" ht="12" customHeight="1" outlineLevel="2">
      <c r="A109" s="104">
        <f>A108+0.000001</f>
        <v>3.0407010000000008</v>
      </c>
      <c r="B109" s="641" t="s">
        <v>459</v>
      </c>
      <c r="C109" s="64" t="s">
        <v>155</v>
      </c>
      <c r="D109" s="87">
        <v>4.37</v>
      </c>
      <c r="E109" s="65">
        <v>298.75</v>
      </c>
      <c r="F109" s="65"/>
      <c r="G109" s="251">
        <v>298.75</v>
      </c>
      <c r="H109" s="251">
        <f t="shared" si="13"/>
        <v>1305.54</v>
      </c>
      <c r="I109" s="252">
        <f>+ROUND(D109*F109,2)</f>
        <v>0</v>
      </c>
      <c r="J109" s="73">
        <v>1305.54</v>
      </c>
      <c r="K109" s="538"/>
      <c r="L109" s="51"/>
      <c r="O109" s="233">
        <f>+N109*D109</f>
        <v>0</v>
      </c>
      <c r="Q109" s="545"/>
    </row>
    <row r="110" spans="1:17" ht="14.1" customHeight="1" outlineLevel="2">
      <c r="A110" s="104">
        <f>A109+0.000001</f>
        <v>3.0407020000000009</v>
      </c>
      <c r="B110" s="641" t="s">
        <v>510</v>
      </c>
      <c r="C110" s="64" t="s">
        <v>161</v>
      </c>
      <c r="D110" s="87">
        <v>11.64</v>
      </c>
      <c r="E110" s="65">
        <v>44.2</v>
      </c>
      <c r="F110" s="65"/>
      <c r="G110" s="251">
        <v>44.2</v>
      </c>
      <c r="H110" s="251">
        <f t="shared" si="13"/>
        <v>514.49</v>
      </c>
      <c r="I110" s="252">
        <f>+ROUND(D110*F110,2)</f>
        <v>0</v>
      </c>
      <c r="J110" s="73">
        <v>514.49</v>
      </c>
      <c r="K110" s="538"/>
      <c r="L110" s="51"/>
      <c r="Q110" s="545"/>
    </row>
    <row r="111" spans="1:17" ht="14.1" customHeight="1" outlineLevel="2">
      <c r="A111" s="104">
        <f>A110+0.000001</f>
        <v>3.040703000000001</v>
      </c>
      <c r="B111" s="70" t="s">
        <v>467</v>
      </c>
      <c r="C111" s="64" t="s">
        <v>161</v>
      </c>
      <c r="D111" s="87">
        <v>11.64</v>
      </c>
      <c r="E111" s="65">
        <v>1.5</v>
      </c>
      <c r="F111" s="65"/>
      <c r="G111" s="251">
        <v>1.5</v>
      </c>
      <c r="H111" s="251">
        <f t="shared" si="13"/>
        <v>17.46</v>
      </c>
      <c r="I111" s="252">
        <f>+ROUND(D111*F111,2)</f>
        <v>0</v>
      </c>
      <c r="J111" s="73">
        <v>17.46</v>
      </c>
      <c r="K111" s="538"/>
      <c r="L111" s="51"/>
      <c r="Q111" s="545"/>
    </row>
    <row r="112" spans="1:17" ht="14.1" customHeight="1" outlineLevel="1">
      <c r="A112" s="285">
        <f>A108+0.0001</f>
        <v>3.0408000000000008</v>
      </c>
      <c r="B112" s="99" t="s">
        <v>511</v>
      </c>
      <c r="C112" s="64"/>
      <c r="D112" s="87"/>
      <c r="E112" s="638"/>
      <c r="F112" s="638"/>
      <c r="G112" s="251"/>
      <c r="H112" s="251"/>
      <c r="I112" s="252"/>
      <c r="J112" s="73"/>
      <c r="K112" s="538"/>
      <c r="L112" s="51"/>
      <c r="Q112" s="545"/>
    </row>
    <row r="113" spans="1:17" ht="23.25" customHeight="1" outlineLevel="2">
      <c r="A113" s="104">
        <f>A112+0.000001</f>
        <v>3.040801000000001</v>
      </c>
      <c r="B113" s="44" t="s">
        <v>512</v>
      </c>
      <c r="C113" s="64" t="s">
        <v>155</v>
      </c>
      <c r="D113" s="87">
        <v>144.83000000000001</v>
      </c>
      <c r="E113" s="65">
        <v>511.06</v>
      </c>
      <c r="F113" s="65"/>
      <c r="G113" s="251">
        <v>511.06</v>
      </c>
      <c r="H113" s="251">
        <f t="shared" si="13"/>
        <v>74016.820000000007</v>
      </c>
      <c r="I113" s="252">
        <f>+ROUND(D113*F113,2)</f>
        <v>0</v>
      </c>
      <c r="J113" s="73">
        <v>74016.820000000007</v>
      </c>
      <c r="K113" s="538"/>
      <c r="L113" s="51"/>
      <c r="N113" s="4">
        <v>356.19</v>
      </c>
      <c r="O113" s="233">
        <f>+N113*D113</f>
        <v>51586.997700000007</v>
      </c>
      <c r="Q113" s="545"/>
    </row>
    <row r="114" spans="1:17" ht="14.25" customHeight="1" outlineLevel="2">
      <c r="A114" s="104"/>
      <c r="B114" s="44" t="s">
        <v>513</v>
      </c>
      <c r="C114" s="64" t="s">
        <v>46</v>
      </c>
      <c r="D114" s="87">
        <v>400.75</v>
      </c>
      <c r="E114" s="65"/>
      <c r="F114" s="65"/>
      <c r="G114" s="251">
        <v>0</v>
      </c>
      <c r="H114" s="251">
        <f t="shared" ref="H114" si="16">+ROUND(D114*E114,2)</f>
        <v>0</v>
      </c>
      <c r="I114" s="252">
        <f>+ROUND(D114*F114,2)</f>
        <v>0</v>
      </c>
      <c r="J114" s="73">
        <v>0</v>
      </c>
      <c r="K114" s="538"/>
      <c r="L114" s="51"/>
      <c r="Q114" s="545"/>
    </row>
    <row r="115" spans="1:17" ht="14.1" customHeight="1" outlineLevel="2">
      <c r="A115" s="104">
        <f>A113+0.000001</f>
        <v>3.0408020000000011</v>
      </c>
      <c r="B115" s="641" t="s">
        <v>496</v>
      </c>
      <c r="C115" s="64" t="s">
        <v>177</v>
      </c>
      <c r="D115" s="87">
        <v>354.35</v>
      </c>
      <c r="E115" s="65">
        <v>1.1499999999999999</v>
      </c>
      <c r="F115" s="65">
        <v>0.94</v>
      </c>
      <c r="G115" s="251">
        <v>4.68</v>
      </c>
      <c r="H115" s="251">
        <f t="shared" si="13"/>
        <v>407.5</v>
      </c>
      <c r="I115" s="252">
        <f>+ROUND(D115*F115,2)</f>
        <v>333.09</v>
      </c>
      <c r="J115" s="73">
        <v>1656.59</v>
      </c>
      <c r="K115" s="538"/>
      <c r="L115" s="51"/>
      <c r="P115" s="398">
        <v>0.94</v>
      </c>
      <c r="Q115" s="549">
        <f>+P115*D115</f>
        <v>333.089</v>
      </c>
    </row>
    <row r="116" spans="1:17" ht="14.1" customHeight="1" outlineLevel="2">
      <c r="A116" s="104">
        <f>A115+0.000001</f>
        <v>3.0408030000000013</v>
      </c>
      <c r="B116" s="70" t="s">
        <v>467</v>
      </c>
      <c r="C116" s="64" t="s">
        <v>161</v>
      </c>
      <c r="D116" s="87">
        <v>991.31</v>
      </c>
      <c r="E116" s="65">
        <v>1.5</v>
      </c>
      <c r="F116" s="65"/>
      <c r="G116" s="251">
        <v>1.5</v>
      </c>
      <c r="H116" s="251">
        <f t="shared" si="13"/>
        <v>1486.97</v>
      </c>
      <c r="I116" s="252">
        <f>+ROUND(D116*F116,2)</f>
        <v>0</v>
      </c>
      <c r="J116" s="73">
        <v>1486.97</v>
      </c>
      <c r="K116" s="538"/>
      <c r="L116" s="51"/>
      <c r="Q116" s="545"/>
    </row>
    <row r="117" spans="1:17" ht="14.1" customHeight="1" outlineLevel="1">
      <c r="A117" s="285">
        <f>A112+0.0001</f>
        <v>3.040900000000001</v>
      </c>
      <c r="B117" s="99" t="s">
        <v>514</v>
      </c>
      <c r="C117" s="64"/>
      <c r="D117" s="87">
        <v>0</v>
      </c>
      <c r="E117" s="638"/>
      <c r="F117" s="638"/>
      <c r="G117" s="251"/>
      <c r="H117" s="251"/>
      <c r="I117" s="252"/>
      <c r="J117" s="73"/>
      <c r="K117" s="538"/>
      <c r="L117" s="51"/>
      <c r="Q117" s="545"/>
    </row>
    <row r="118" spans="1:17" ht="14.1" customHeight="1" outlineLevel="2">
      <c r="A118" s="104">
        <f>A117+0.000001</f>
        <v>3.0409010000000012</v>
      </c>
      <c r="B118" s="641" t="s">
        <v>515</v>
      </c>
      <c r="C118" s="64" t="s">
        <v>46</v>
      </c>
      <c r="D118" s="87">
        <v>400.75</v>
      </c>
      <c r="E118" s="640">
        <v>31.24</v>
      </c>
      <c r="F118" s="65"/>
      <c r="G118" s="251">
        <v>31.24</v>
      </c>
      <c r="H118" s="251">
        <f t="shared" si="13"/>
        <v>12519.43</v>
      </c>
      <c r="I118" s="252">
        <f>+ROUND(D118*F118,2)</f>
        <v>0</v>
      </c>
      <c r="J118" s="73">
        <v>12519.43</v>
      </c>
      <c r="K118" s="538"/>
      <c r="L118" s="51"/>
      <c r="Q118" s="545"/>
    </row>
    <row r="119" spans="1:17" ht="14.1" customHeight="1" outlineLevel="2">
      <c r="A119" s="104">
        <f>A118+0.000001</f>
        <v>3.0409020000000013</v>
      </c>
      <c r="B119" s="641" t="s">
        <v>516</v>
      </c>
      <c r="C119" s="64" t="s">
        <v>46</v>
      </c>
      <c r="D119" s="87">
        <v>131.99</v>
      </c>
      <c r="E119" s="640">
        <v>23.08</v>
      </c>
      <c r="F119" s="65"/>
      <c r="G119" s="251">
        <v>23.08</v>
      </c>
      <c r="H119" s="251">
        <f t="shared" si="13"/>
        <v>3046.33</v>
      </c>
      <c r="I119" s="252">
        <f>+ROUND(D119*F119,2)</f>
        <v>0</v>
      </c>
      <c r="J119" s="73">
        <v>3046.33</v>
      </c>
      <c r="K119" s="538"/>
      <c r="L119" s="51"/>
      <c r="Q119" s="545"/>
    </row>
    <row r="120" spans="1:17" ht="14.1" customHeight="1" outlineLevel="2">
      <c r="A120" s="104">
        <f>A119+0.000001</f>
        <v>3.0409030000000015</v>
      </c>
      <c r="B120" s="641" t="s">
        <v>517</v>
      </c>
      <c r="C120" s="64" t="s">
        <v>46</v>
      </c>
      <c r="D120" s="87">
        <v>129.63999999999999</v>
      </c>
      <c r="E120" s="640">
        <v>16.309999999999999</v>
      </c>
      <c r="F120" s="65"/>
      <c r="G120" s="251">
        <v>16.309999999999999</v>
      </c>
      <c r="H120" s="251">
        <f t="shared" si="13"/>
        <v>2114.4299999999998</v>
      </c>
      <c r="I120" s="252">
        <f>+ROUND(D120*F120,2)</f>
        <v>0</v>
      </c>
      <c r="J120" s="73">
        <v>2114.4299999999998</v>
      </c>
      <c r="K120" s="538"/>
      <c r="L120" s="51"/>
      <c r="Q120" s="545"/>
    </row>
    <row r="121" spans="1:17" ht="14.1" customHeight="1" outlineLevel="1">
      <c r="A121" s="285">
        <f>A117+0.0001</f>
        <v>3.0410000000000013</v>
      </c>
      <c r="B121" s="99" t="s">
        <v>518</v>
      </c>
      <c r="C121" s="64"/>
      <c r="D121" s="87"/>
      <c r="E121" s="638"/>
      <c r="F121" s="638"/>
      <c r="G121" s="251"/>
      <c r="H121" s="251"/>
      <c r="I121" s="252"/>
      <c r="J121" s="73"/>
      <c r="K121" s="538"/>
      <c r="L121" s="51"/>
      <c r="Q121" s="545"/>
    </row>
    <row r="122" spans="1:17" ht="23.25" customHeight="1" outlineLevel="2">
      <c r="A122" s="104">
        <f t="shared" ref="A122:A172" si="17">A121+0.000001</f>
        <v>3.0410010000000014</v>
      </c>
      <c r="B122" s="44" t="s">
        <v>464</v>
      </c>
      <c r="C122" s="64" t="s">
        <v>155</v>
      </c>
      <c r="D122" s="87">
        <v>53.86</v>
      </c>
      <c r="E122" s="65">
        <v>521.98</v>
      </c>
      <c r="F122" s="65"/>
      <c r="G122" s="251">
        <v>521.98</v>
      </c>
      <c r="H122" s="251">
        <f t="shared" si="13"/>
        <v>28113.84</v>
      </c>
      <c r="I122" s="252">
        <f>+ROUND(D122*F122,2)</f>
        <v>0</v>
      </c>
      <c r="J122" s="73">
        <v>28113.84</v>
      </c>
      <c r="K122" s="538"/>
      <c r="L122" s="51"/>
      <c r="N122" s="4">
        <v>427.58</v>
      </c>
      <c r="O122" s="233">
        <f>+N122*D122</f>
        <v>23029.4588</v>
      </c>
      <c r="Q122" s="545"/>
    </row>
    <row r="123" spans="1:17" ht="14.1" customHeight="1" outlineLevel="2">
      <c r="A123" s="104">
        <f t="shared" si="17"/>
        <v>3.0410020000000015</v>
      </c>
      <c r="B123" s="70" t="s">
        <v>465</v>
      </c>
      <c r="C123" s="64" t="s">
        <v>161</v>
      </c>
      <c r="D123" s="87">
        <v>166.04</v>
      </c>
      <c r="E123" s="65">
        <v>45</v>
      </c>
      <c r="F123" s="65"/>
      <c r="G123" s="251">
        <v>45</v>
      </c>
      <c r="H123" s="251">
        <f t="shared" si="13"/>
        <v>7471.8</v>
      </c>
      <c r="I123" s="252">
        <f>+ROUND(D123*F123,2)</f>
        <v>0</v>
      </c>
      <c r="J123" s="73">
        <v>7471.8</v>
      </c>
      <c r="K123" s="538"/>
      <c r="L123" s="51"/>
      <c r="Q123" s="545"/>
    </row>
    <row r="124" spans="1:17" ht="14.1" customHeight="1" outlineLevel="2">
      <c r="A124" s="104">
        <f t="shared" si="17"/>
        <v>3.0410030000000017</v>
      </c>
      <c r="B124" s="641" t="s">
        <v>496</v>
      </c>
      <c r="C124" s="64" t="s">
        <v>177</v>
      </c>
      <c r="D124" s="87">
        <v>2969.27</v>
      </c>
      <c r="E124" s="65">
        <v>1.1499999999999999</v>
      </c>
      <c r="F124" s="65">
        <v>0.94</v>
      </c>
      <c r="G124" s="251">
        <v>4.68</v>
      </c>
      <c r="H124" s="251">
        <f t="shared" si="13"/>
        <v>3414.66</v>
      </c>
      <c r="I124" s="252">
        <f>+ROUND(D124*F124,2)</f>
        <v>2791.11</v>
      </c>
      <c r="J124" s="73">
        <v>13881.32</v>
      </c>
      <c r="K124" s="538"/>
      <c r="L124" s="51"/>
      <c r="P124" s="398">
        <v>0.94</v>
      </c>
      <c r="Q124" s="549">
        <f>+P124*D124</f>
        <v>2791.1137999999996</v>
      </c>
    </row>
    <row r="125" spans="1:17" ht="14.1" customHeight="1" outlineLevel="2">
      <c r="A125" s="104">
        <f t="shared" si="17"/>
        <v>3.0410040000000018</v>
      </c>
      <c r="B125" s="641" t="s">
        <v>467</v>
      </c>
      <c r="C125" s="64" t="s">
        <v>161</v>
      </c>
      <c r="D125" s="87">
        <v>219.9</v>
      </c>
      <c r="E125" s="65">
        <v>1.5</v>
      </c>
      <c r="F125" s="65"/>
      <c r="G125" s="251">
        <v>1.5</v>
      </c>
      <c r="H125" s="251">
        <f t="shared" si="13"/>
        <v>329.85</v>
      </c>
      <c r="I125" s="252">
        <f>+ROUND(D125*F125,2)</f>
        <v>0</v>
      </c>
      <c r="J125" s="73">
        <v>329.85</v>
      </c>
      <c r="K125" s="538"/>
      <c r="L125" s="51"/>
      <c r="Q125" s="545"/>
    </row>
    <row r="126" spans="1:17" ht="14.1" customHeight="1" outlineLevel="1">
      <c r="A126" s="285">
        <f>A121+0.0001</f>
        <v>3.0411000000000015</v>
      </c>
      <c r="B126" s="99" t="s">
        <v>519</v>
      </c>
      <c r="C126" s="64"/>
      <c r="D126" s="87"/>
      <c r="E126" s="638"/>
      <c r="F126" s="638"/>
      <c r="G126" s="251"/>
      <c r="H126" s="251"/>
      <c r="I126" s="252"/>
      <c r="J126" s="73"/>
      <c r="K126" s="538"/>
      <c r="L126" s="51"/>
      <c r="Q126" s="545"/>
    </row>
    <row r="127" spans="1:17" ht="23.25" customHeight="1" outlineLevel="2">
      <c r="A127" s="104">
        <f t="shared" si="17"/>
        <v>3.0411010000000016</v>
      </c>
      <c r="B127" s="642" t="s">
        <v>520</v>
      </c>
      <c r="C127" s="64" t="s">
        <v>155</v>
      </c>
      <c r="D127" s="87">
        <v>48.45</v>
      </c>
      <c r="E127" s="65">
        <v>481.45</v>
      </c>
      <c r="F127" s="65"/>
      <c r="G127" s="251">
        <v>481.45</v>
      </c>
      <c r="H127" s="251">
        <f t="shared" si="13"/>
        <v>23326.25</v>
      </c>
      <c r="I127" s="252">
        <f>+ROUND(D127*F127,2)</f>
        <v>0</v>
      </c>
      <c r="J127" s="73">
        <v>23326.25</v>
      </c>
      <c r="K127" s="538"/>
      <c r="L127" s="51"/>
      <c r="N127" s="4">
        <v>432.55</v>
      </c>
      <c r="O127" s="233">
        <f>+N127*D127</f>
        <v>20957.047500000001</v>
      </c>
      <c r="Q127" s="545"/>
    </row>
    <row r="128" spans="1:17" ht="14.1" customHeight="1" outlineLevel="2">
      <c r="A128" s="104">
        <f t="shared" si="17"/>
        <v>3.0411020000000017</v>
      </c>
      <c r="B128" s="641" t="s">
        <v>496</v>
      </c>
      <c r="C128" s="64" t="s">
        <v>177</v>
      </c>
      <c r="D128" s="87">
        <v>3111.66</v>
      </c>
      <c r="E128" s="65">
        <v>1.1499999999999999</v>
      </c>
      <c r="F128" s="65">
        <v>0.94</v>
      </c>
      <c r="G128" s="251">
        <v>4.68</v>
      </c>
      <c r="H128" s="251">
        <f t="shared" si="13"/>
        <v>3578.41</v>
      </c>
      <c r="I128" s="252">
        <f>+ROUND(D128*F128,2)</f>
        <v>2924.96</v>
      </c>
      <c r="J128" s="73">
        <v>14547.01</v>
      </c>
      <c r="K128" s="538"/>
      <c r="L128" s="51"/>
      <c r="P128" s="398">
        <v>0.94</v>
      </c>
      <c r="Q128" s="549">
        <f>+P128*D128</f>
        <v>2924.9603999999995</v>
      </c>
    </row>
    <row r="129" spans="1:17" ht="14.1" customHeight="1" outlineLevel="2">
      <c r="A129" s="104">
        <f t="shared" si="17"/>
        <v>3.0411030000000019</v>
      </c>
      <c r="B129" s="642" t="s">
        <v>467</v>
      </c>
      <c r="C129" s="64" t="s">
        <v>161</v>
      </c>
      <c r="D129" s="87">
        <v>321.92</v>
      </c>
      <c r="E129" s="65">
        <v>1.5</v>
      </c>
      <c r="F129" s="65"/>
      <c r="G129" s="251">
        <v>1.5</v>
      </c>
      <c r="H129" s="251">
        <f t="shared" si="13"/>
        <v>482.88</v>
      </c>
      <c r="I129" s="252">
        <f>+ROUND(D129*F129,2)</f>
        <v>0</v>
      </c>
      <c r="J129" s="73">
        <v>482.88</v>
      </c>
      <c r="K129" s="538"/>
      <c r="L129" s="51"/>
      <c r="Q129" s="545"/>
    </row>
    <row r="130" spans="1:17" ht="14.1" customHeight="1" outlineLevel="1">
      <c r="A130" s="285">
        <f>A126+0.0001</f>
        <v>3.0412000000000017</v>
      </c>
      <c r="B130" s="99" t="s">
        <v>521</v>
      </c>
      <c r="C130" s="64"/>
      <c r="D130" s="87"/>
      <c r="E130" s="638"/>
      <c r="F130" s="638"/>
      <c r="G130" s="251"/>
      <c r="H130" s="251"/>
      <c r="I130" s="252"/>
      <c r="J130" s="73"/>
      <c r="K130" s="538"/>
      <c r="L130" s="51"/>
      <c r="Q130" s="545"/>
    </row>
    <row r="131" spans="1:17" ht="27" customHeight="1" outlineLevel="2">
      <c r="A131" s="104">
        <f t="shared" si="17"/>
        <v>3.0412010000000018</v>
      </c>
      <c r="B131" s="642" t="s">
        <v>520</v>
      </c>
      <c r="C131" s="64" t="s">
        <v>155</v>
      </c>
      <c r="D131" s="87">
        <v>96.28</v>
      </c>
      <c r="E131" s="65">
        <v>481.45</v>
      </c>
      <c r="F131" s="65"/>
      <c r="G131" s="251">
        <v>481.45</v>
      </c>
      <c r="H131" s="251">
        <f t="shared" si="13"/>
        <v>46354.01</v>
      </c>
      <c r="I131" s="252">
        <f t="shared" ref="I131:I136" si="18">+ROUND(D131*F131,2)</f>
        <v>0</v>
      </c>
      <c r="J131" s="73">
        <v>46354.01</v>
      </c>
      <c r="K131" s="538"/>
      <c r="L131" s="51"/>
      <c r="N131" s="4">
        <v>432.55</v>
      </c>
      <c r="O131" s="233">
        <f t="shared" ref="O131:O132" si="19">+N131*D131</f>
        <v>41645.914000000004</v>
      </c>
      <c r="Q131" s="545"/>
    </row>
    <row r="132" spans="1:17" ht="27" customHeight="1" outlineLevel="2">
      <c r="A132" s="104">
        <f t="shared" si="17"/>
        <v>3.041202000000002</v>
      </c>
      <c r="B132" s="642" t="s">
        <v>522</v>
      </c>
      <c r="C132" s="64" t="s">
        <v>155</v>
      </c>
      <c r="D132" s="87">
        <v>31.36</v>
      </c>
      <c r="E132" s="65">
        <v>484.6</v>
      </c>
      <c r="F132" s="65"/>
      <c r="G132" s="251">
        <v>484.6</v>
      </c>
      <c r="H132" s="251">
        <f t="shared" si="13"/>
        <v>15197.06</v>
      </c>
      <c r="I132" s="252">
        <f t="shared" si="18"/>
        <v>0</v>
      </c>
      <c r="J132" s="73">
        <v>15197.06</v>
      </c>
      <c r="K132" s="538"/>
      <c r="L132" s="51"/>
      <c r="N132" s="4">
        <v>435.7</v>
      </c>
      <c r="O132" s="233">
        <f t="shared" si="19"/>
        <v>13663.552</v>
      </c>
      <c r="Q132" s="545"/>
    </row>
    <row r="133" spans="1:17" ht="14.1" customHeight="1" outlineLevel="2">
      <c r="A133" s="104">
        <f t="shared" si="17"/>
        <v>3.0412030000000021</v>
      </c>
      <c r="B133" s="70" t="s">
        <v>523</v>
      </c>
      <c r="C133" s="64" t="s">
        <v>161</v>
      </c>
      <c r="D133" s="87">
        <v>686.14</v>
      </c>
      <c r="E133" s="65">
        <v>51.1</v>
      </c>
      <c r="F133" s="65"/>
      <c r="G133" s="251">
        <v>51.1</v>
      </c>
      <c r="H133" s="251">
        <f t="shared" si="13"/>
        <v>35061.75</v>
      </c>
      <c r="I133" s="252">
        <f t="shared" si="18"/>
        <v>0</v>
      </c>
      <c r="J133" s="73">
        <v>35061.75</v>
      </c>
      <c r="K133" s="538"/>
      <c r="L133" s="51"/>
      <c r="Q133" s="545"/>
    </row>
    <row r="134" spans="1:17" ht="14.1" customHeight="1" outlineLevel="2">
      <c r="A134" s="104">
        <f t="shared" si="17"/>
        <v>3.0412040000000022</v>
      </c>
      <c r="B134" s="641" t="s">
        <v>496</v>
      </c>
      <c r="C134" s="64" t="s">
        <v>177</v>
      </c>
      <c r="D134" s="87">
        <v>14911.14</v>
      </c>
      <c r="E134" s="65">
        <v>1.1499999999999999</v>
      </c>
      <c r="F134" s="65">
        <v>0.94</v>
      </c>
      <c r="G134" s="251">
        <v>4.68</v>
      </c>
      <c r="H134" s="251">
        <f t="shared" si="13"/>
        <v>17147.810000000001</v>
      </c>
      <c r="I134" s="252">
        <f t="shared" si="18"/>
        <v>14016.47</v>
      </c>
      <c r="J134" s="73">
        <v>69709.570000000007</v>
      </c>
      <c r="K134" s="538"/>
      <c r="L134" s="51"/>
      <c r="P134" s="398">
        <v>0.94</v>
      </c>
      <c r="Q134" s="549">
        <f>+P134*D134</f>
        <v>14016.471599999999</v>
      </c>
    </row>
    <row r="135" spans="1:17" ht="14.1" customHeight="1" outlineLevel="2">
      <c r="A135" s="104">
        <f t="shared" si="17"/>
        <v>3.0412050000000024</v>
      </c>
      <c r="B135" s="642" t="s">
        <v>467</v>
      </c>
      <c r="C135" s="64" t="s">
        <v>161</v>
      </c>
      <c r="D135" s="87">
        <v>686.14</v>
      </c>
      <c r="E135" s="65">
        <v>1.5</v>
      </c>
      <c r="F135" s="65"/>
      <c r="G135" s="251">
        <v>1.5</v>
      </c>
      <c r="H135" s="251">
        <f t="shared" si="13"/>
        <v>1029.21</v>
      </c>
      <c r="I135" s="252">
        <f t="shared" si="18"/>
        <v>0</v>
      </c>
      <c r="J135" s="73">
        <v>1029.21</v>
      </c>
      <c r="K135" s="538"/>
      <c r="L135" s="51"/>
      <c r="Q135" s="545"/>
    </row>
    <row r="136" spans="1:17" ht="14.1" customHeight="1" outlineLevel="2">
      <c r="A136" s="104">
        <f t="shared" si="17"/>
        <v>3.0412060000000025</v>
      </c>
      <c r="B136" s="642" t="s">
        <v>524</v>
      </c>
      <c r="C136" s="64" t="s">
        <v>46</v>
      </c>
      <c r="D136" s="87">
        <v>112.5</v>
      </c>
      <c r="E136" s="65">
        <v>30.79</v>
      </c>
      <c r="F136" s="65"/>
      <c r="G136" s="251">
        <v>30.79</v>
      </c>
      <c r="H136" s="251">
        <f t="shared" si="13"/>
        <v>3463.88</v>
      </c>
      <c r="I136" s="252">
        <f t="shared" si="18"/>
        <v>0</v>
      </c>
      <c r="J136" s="73">
        <v>3463.88</v>
      </c>
      <c r="K136" s="538"/>
      <c r="L136" s="51"/>
      <c r="Q136" s="545"/>
    </row>
    <row r="137" spans="1:17" ht="14.1" customHeight="1" outlineLevel="1">
      <c r="A137" s="285">
        <f>A130+0.0001</f>
        <v>3.0413000000000019</v>
      </c>
      <c r="B137" s="99" t="s">
        <v>525</v>
      </c>
      <c r="C137" s="64"/>
      <c r="D137" s="87"/>
      <c r="E137" s="638"/>
      <c r="F137" s="638"/>
      <c r="G137" s="251"/>
      <c r="H137" s="251"/>
      <c r="I137" s="252"/>
      <c r="J137" s="73"/>
      <c r="K137" s="538"/>
      <c r="L137" s="51"/>
      <c r="Q137" s="545"/>
    </row>
    <row r="138" spans="1:17" ht="23.25" customHeight="1" outlineLevel="2">
      <c r="A138" s="104">
        <f t="shared" si="17"/>
        <v>3.041301000000002</v>
      </c>
      <c r="B138" s="642" t="s">
        <v>520</v>
      </c>
      <c r="C138" s="64" t="s">
        <v>155</v>
      </c>
      <c r="D138" s="87">
        <v>2.2799999999999998</v>
      </c>
      <c r="E138" s="65">
        <v>481.45</v>
      </c>
      <c r="F138" s="65"/>
      <c r="G138" s="251">
        <v>481.45</v>
      </c>
      <c r="H138" s="251">
        <f t="shared" si="13"/>
        <v>1097.71</v>
      </c>
      <c r="I138" s="252">
        <f t="shared" ref="I138:I161" si="20">+ROUND(D138*F138,2)</f>
        <v>0</v>
      </c>
      <c r="J138" s="73">
        <v>1097.71</v>
      </c>
      <c r="K138" s="538"/>
      <c r="L138" s="51"/>
      <c r="N138" s="4">
        <v>432.55</v>
      </c>
      <c r="O138" s="233">
        <f>+N138*D138</f>
        <v>986.21399999999994</v>
      </c>
      <c r="Q138" s="545"/>
    </row>
    <row r="139" spans="1:17" ht="14.1" customHeight="1" outlineLevel="2">
      <c r="A139" s="104">
        <f t="shared" si="17"/>
        <v>3.0413020000000022</v>
      </c>
      <c r="B139" s="70" t="s">
        <v>526</v>
      </c>
      <c r="C139" s="64" t="s">
        <v>161</v>
      </c>
      <c r="D139" s="87">
        <v>19.3</v>
      </c>
      <c r="E139" s="65">
        <v>47.1</v>
      </c>
      <c r="F139" s="65"/>
      <c r="G139" s="251">
        <v>47.1</v>
      </c>
      <c r="H139" s="251">
        <f t="shared" si="13"/>
        <v>909.03</v>
      </c>
      <c r="I139" s="252">
        <f t="shared" si="20"/>
        <v>0</v>
      </c>
      <c r="J139" s="73">
        <v>909.03</v>
      </c>
      <c r="K139" s="538"/>
      <c r="L139" s="51"/>
      <c r="Q139" s="545"/>
    </row>
    <row r="140" spans="1:17" ht="14.1" customHeight="1" outlineLevel="2">
      <c r="A140" s="104">
        <f t="shared" si="17"/>
        <v>3.0413030000000023</v>
      </c>
      <c r="B140" s="641" t="s">
        <v>496</v>
      </c>
      <c r="C140" s="64" t="s">
        <v>177</v>
      </c>
      <c r="D140" s="87">
        <v>183.16</v>
      </c>
      <c r="E140" s="65">
        <v>1.1499999999999999</v>
      </c>
      <c r="F140" s="65">
        <v>0.94</v>
      </c>
      <c r="G140" s="251">
        <v>4.68</v>
      </c>
      <c r="H140" s="251">
        <f t="shared" si="13"/>
        <v>210.63</v>
      </c>
      <c r="I140" s="252">
        <f t="shared" si="20"/>
        <v>172.17</v>
      </c>
      <c r="J140" s="73">
        <v>856.27</v>
      </c>
      <c r="K140" s="538"/>
      <c r="L140" s="51"/>
      <c r="P140" s="398">
        <v>0.94</v>
      </c>
      <c r="Q140" s="549">
        <f>+P140*D140</f>
        <v>172.1704</v>
      </c>
    </row>
    <row r="141" spans="1:17" ht="12" customHeight="1" outlineLevel="2">
      <c r="A141" s="104">
        <f t="shared" si="17"/>
        <v>3.0413040000000024</v>
      </c>
      <c r="B141" s="642" t="s">
        <v>467</v>
      </c>
      <c r="C141" s="64" t="s">
        <v>161</v>
      </c>
      <c r="D141" s="87">
        <v>19.3</v>
      </c>
      <c r="E141" s="65">
        <v>1.5</v>
      </c>
      <c r="F141" s="65"/>
      <c r="G141" s="251">
        <v>1.5</v>
      </c>
      <c r="H141" s="251">
        <f t="shared" si="13"/>
        <v>28.95</v>
      </c>
      <c r="I141" s="252">
        <f t="shared" si="20"/>
        <v>0</v>
      </c>
      <c r="J141" s="73">
        <v>28.95</v>
      </c>
      <c r="K141" s="538"/>
      <c r="L141" s="51"/>
      <c r="Q141" s="545"/>
    </row>
    <row r="142" spans="1:17" ht="14.1" customHeight="1" outlineLevel="1">
      <c r="A142" s="285">
        <f>A137+0.0001</f>
        <v>3.0414000000000021</v>
      </c>
      <c r="B142" s="99" t="s">
        <v>527</v>
      </c>
      <c r="C142" s="64"/>
      <c r="D142" s="87">
        <v>0</v>
      </c>
      <c r="E142" s="638"/>
      <c r="F142" s="638"/>
      <c r="G142" s="251">
        <v>0</v>
      </c>
      <c r="H142" s="251">
        <f t="shared" si="13"/>
        <v>0</v>
      </c>
      <c r="I142" s="252">
        <f t="shared" si="20"/>
        <v>0</v>
      </c>
      <c r="J142" s="73">
        <v>0</v>
      </c>
      <c r="K142" s="538"/>
      <c r="L142" s="51"/>
      <c r="Q142" s="545"/>
    </row>
    <row r="143" spans="1:17" ht="14.1" customHeight="1" outlineLevel="2">
      <c r="A143" s="104">
        <f t="shared" si="17"/>
        <v>3.0414010000000022</v>
      </c>
      <c r="B143" s="70" t="s">
        <v>528</v>
      </c>
      <c r="C143" s="64" t="s">
        <v>155</v>
      </c>
      <c r="D143" s="87">
        <v>37.89</v>
      </c>
      <c r="E143" s="65">
        <v>385.27</v>
      </c>
      <c r="F143" s="65"/>
      <c r="G143" s="251">
        <v>385.27</v>
      </c>
      <c r="H143" s="251">
        <f t="shared" si="13"/>
        <v>14597.88</v>
      </c>
      <c r="I143" s="252">
        <f t="shared" si="20"/>
        <v>0</v>
      </c>
      <c r="J143" s="73">
        <v>14597.88</v>
      </c>
      <c r="K143" s="538"/>
      <c r="L143" s="51"/>
      <c r="N143" s="4">
        <v>343.15999999999997</v>
      </c>
      <c r="O143" s="233">
        <f>+N143*D143</f>
        <v>13002.332399999999</v>
      </c>
      <c r="Q143" s="545"/>
    </row>
    <row r="144" spans="1:17" ht="14.1" customHeight="1" outlineLevel="2">
      <c r="A144" s="104">
        <f>A143+0.000001</f>
        <v>3.0414020000000024</v>
      </c>
      <c r="B144" s="70" t="s">
        <v>494</v>
      </c>
      <c r="C144" s="64" t="s">
        <v>161</v>
      </c>
      <c r="D144" s="87">
        <v>174.28</v>
      </c>
      <c r="E144" s="65">
        <v>43.7</v>
      </c>
      <c r="F144" s="65"/>
      <c r="G144" s="251">
        <v>43.7</v>
      </c>
      <c r="H144" s="251">
        <f t="shared" si="13"/>
        <v>7616.04</v>
      </c>
      <c r="I144" s="252">
        <f t="shared" si="20"/>
        <v>0</v>
      </c>
      <c r="J144" s="73">
        <v>7616.04</v>
      </c>
      <c r="K144" s="538"/>
      <c r="L144" s="51"/>
      <c r="Q144" s="545"/>
    </row>
    <row r="145" spans="1:17" ht="14.1" customHeight="1" outlineLevel="2">
      <c r="A145" s="104">
        <f t="shared" si="17"/>
        <v>3.0414030000000025</v>
      </c>
      <c r="B145" s="70" t="s">
        <v>495</v>
      </c>
      <c r="C145" s="64" t="s">
        <v>161</v>
      </c>
      <c r="D145" s="87">
        <v>55.8</v>
      </c>
      <c r="E145" s="65">
        <v>48.7</v>
      </c>
      <c r="F145" s="65"/>
      <c r="G145" s="251">
        <v>48.7</v>
      </c>
      <c r="H145" s="251">
        <f t="shared" si="13"/>
        <v>2717.46</v>
      </c>
      <c r="I145" s="252">
        <f t="shared" si="20"/>
        <v>0</v>
      </c>
      <c r="J145" s="73">
        <v>2717.46</v>
      </c>
      <c r="K145" s="538"/>
      <c r="L145" s="51"/>
      <c r="Q145" s="545"/>
    </row>
    <row r="146" spans="1:17" ht="14.1" customHeight="1" outlineLevel="2">
      <c r="A146" s="104">
        <f t="shared" si="17"/>
        <v>3.0414040000000027</v>
      </c>
      <c r="B146" s="70" t="s">
        <v>496</v>
      </c>
      <c r="C146" s="64" t="s">
        <v>177</v>
      </c>
      <c r="D146" s="87">
        <v>2360.9299999999998</v>
      </c>
      <c r="E146" s="65">
        <v>1.1499999999999999</v>
      </c>
      <c r="F146" s="65">
        <v>0.94</v>
      </c>
      <c r="G146" s="251">
        <v>4.68</v>
      </c>
      <c r="H146" s="251">
        <f t="shared" si="13"/>
        <v>2715.07</v>
      </c>
      <c r="I146" s="252">
        <f t="shared" si="20"/>
        <v>2219.27</v>
      </c>
      <c r="J146" s="73">
        <v>11037.33</v>
      </c>
      <c r="K146" s="538"/>
      <c r="L146" s="51"/>
      <c r="P146" s="398">
        <v>0.94</v>
      </c>
      <c r="Q146" s="549">
        <f>+P146*D146</f>
        <v>2219.2741999999998</v>
      </c>
    </row>
    <row r="147" spans="1:17" ht="14.1" customHeight="1" outlineLevel="2">
      <c r="A147" s="104">
        <f t="shared" si="17"/>
        <v>3.0414050000000028</v>
      </c>
      <c r="B147" s="70" t="s">
        <v>467</v>
      </c>
      <c r="C147" s="64" t="s">
        <v>161</v>
      </c>
      <c r="D147" s="87">
        <v>230.08</v>
      </c>
      <c r="E147" s="65">
        <v>1.5</v>
      </c>
      <c r="F147" s="65"/>
      <c r="G147" s="251">
        <v>1.5</v>
      </c>
      <c r="H147" s="251">
        <f t="shared" si="13"/>
        <v>345.12</v>
      </c>
      <c r="I147" s="252">
        <f t="shared" si="20"/>
        <v>0</v>
      </c>
      <c r="J147" s="73">
        <v>345.12</v>
      </c>
      <c r="K147" s="538"/>
      <c r="L147" s="51"/>
      <c r="Q147" s="545"/>
    </row>
    <row r="148" spans="1:17" ht="14.1" customHeight="1" outlineLevel="1">
      <c r="A148" s="285">
        <f>A143+0.0001</f>
        <v>3.0415010000000025</v>
      </c>
      <c r="B148" s="99" t="s">
        <v>529</v>
      </c>
      <c r="C148" s="64"/>
      <c r="D148" s="87">
        <v>0</v>
      </c>
      <c r="E148" s="638"/>
      <c r="F148" s="638"/>
      <c r="G148" s="251">
        <v>0</v>
      </c>
      <c r="H148" s="251">
        <f t="shared" ref="H148:H153" si="21">+ROUND(D148*E148,2)</f>
        <v>0</v>
      </c>
      <c r="I148" s="252">
        <f t="shared" si="20"/>
        <v>0</v>
      </c>
      <c r="J148" s="73">
        <v>0</v>
      </c>
      <c r="K148" s="538"/>
      <c r="L148" s="51"/>
      <c r="Q148" s="545"/>
    </row>
    <row r="149" spans="1:17" ht="14.1" customHeight="1" outlineLevel="2">
      <c r="A149" s="104">
        <f t="shared" si="17"/>
        <v>3.0415020000000026</v>
      </c>
      <c r="B149" s="70" t="s">
        <v>530</v>
      </c>
      <c r="C149" s="64" t="s">
        <v>155</v>
      </c>
      <c r="D149" s="87">
        <v>191.83</v>
      </c>
      <c r="E149" s="65">
        <v>453.3</v>
      </c>
      <c r="F149" s="65"/>
      <c r="G149" s="251">
        <v>453.3</v>
      </c>
      <c r="H149" s="251">
        <f t="shared" si="21"/>
        <v>86956.54</v>
      </c>
      <c r="I149" s="252">
        <f t="shared" si="20"/>
        <v>0</v>
      </c>
      <c r="J149" s="73">
        <v>86956.54</v>
      </c>
      <c r="K149" s="538"/>
      <c r="L149" s="51"/>
      <c r="N149" s="4">
        <v>411.19</v>
      </c>
      <c r="O149" s="233">
        <f>+N149*D149</f>
        <v>78878.577700000009</v>
      </c>
      <c r="Q149" s="545"/>
    </row>
    <row r="150" spans="1:17" ht="14.1" customHeight="1" outlineLevel="2">
      <c r="A150" s="104">
        <f>A149+0.000001</f>
        <v>3.0415030000000027</v>
      </c>
      <c r="B150" s="70" t="s">
        <v>494</v>
      </c>
      <c r="C150" s="64" t="s">
        <v>161</v>
      </c>
      <c r="D150" s="87">
        <v>633.70000000000005</v>
      </c>
      <c r="E150" s="65">
        <v>43.7</v>
      </c>
      <c r="F150" s="65"/>
      <c r="G150" s="251">
        <v>43.7</v>
      </c>
      <c r="H150" s="251">
        <f t="shared" si="21"/>
        <v>27692.69</v>
      </c>
      <c r="I150" s="252">
        <f t="shared" si="20"/>
        <v>0</v>
      </c>
      <c r="J150" s="73">
        <v>27692.69</v>
      </c>
      <c r="K150" s="538"/>
      <c r="L150" s="51"/>
      <c r="Q150" s="545"/>
    </row>
    <row r="151" spans="1:17" ht="14.1" customHeight="1" outlineLevel="2">
      <c r="A151" s="104">
        <f t="shared" si="17"/>
        <v>3.0415040000000029</v>
      </c>
      <c r="B151" s="70" t="s">
        <v>495</v>
      </c>
      <c r="C151" s="64" t="s">
        <v>161</v>
      </c>
      <c r="D151" s="87">
        <v>378.77</v>
      </c>
      <c r="E151" s="65">
        <v>48.7</v>
      </c>
      <c r="F151" s="65"/>
      <c r="G151" s="251">
        <v>48.7</v>
      </c>
      <c r="H151" s="251">
        <f t="shared" si="21"/>
        <v>18446.099999999999</v>
      </c>
      <c r="I151" s="252">
        <f t="shared" si="20"/>
        <v>0</v>
      </c>
      <c r="J151" s="73">
        <v>18446.099999999999</v>
      </c>
      <c r="K151" s="538"/>
      <c r="L151" s="51"/>
      <c r="Q151" s="545"/>
    </row>
    <row r="152" spans="1:17" ht="14.1" customHeight="1" outlineLevel="2">
      <c r="A152" s="104">
        <f t="shared" si="17"/>
        <v>3.041505000000003</v>
      </c>
      <c r="B152" s="70" t="s">
        <v>496</v>
      </c>
      <c r="C152" s="64" t="s">
        <v>177</v>
      </c>
      <c r="D152" s="87">
        <v>28500.41</v>
      </c>
      <c r="E152" s="65">
        <v>1.1499999999999999</v>
      </c>
      <c r="F152" s="65">
        <v>0.94</v>
      </c>
      <c r="G152" s="251">
        <v>4.68</v>
      </c>
      <c r="H152" s="251">
        <f t="shared" si="21"/>
        <v>32775.47</v>
      </c>
      <c r="I152" s="252">
        <f t="shared" si="20"/>
        <v>26790.39</v>
      </c>
      <c r="J152" s="73">
        <v>133239.43</v>
      </c>
      <c r="K152" s="538"/>
      <c r="L152" s="51"/>
      <c r="P152" s="398">
        <v>0.94</v>
      </c>
      <c r="Q152" s="549">
        <f>+P152*D152</f>
        <v>26790.385399999999</v>
      </c>
    </row>
    <row r="153" spans="1:17" ht="14.1" customHeight="1" outlineLevel="2">
      <c r="A153" s="104">
        <f t="shared" si="17"/>
        <v>3.0415060000000032</v>
      </c>
      <c r="B153" s="70" t="s">
        <v>467</v>
      </c>
      <c r="C153" s="64" t="s">
        <v>161</v>
      </c>
      <c r="D153" s="87">
        <v>1012.46</v>
      </c>
      <c r="E153" s="65">
        <v>1.5</v>
      </c>
      <c r="F153" s="65"/>
      <c r="G153" s="251">
        <v>1.5</v>
      </c>
      <c r="H153" s="251">
        <f t="shared" si="21"/>
        <v>1518.69</v>
      </c>
      <c r="I153" s="252">
        <f t="shared" si="20"/>
        <v>0</v>
      </c>
      <c r="J153" s="73">
        <v>1518.69</v>
      </c>
      <c r="K153" s="538"/>
      <c r="L153" s="51"/>
      <c r="Q153" s="545"/>
    </row>
    <row r="154" spans="1:17" ht="14.1" customHeight="1" outlineLevel="1">
      <c r="A154" s="285">
        <f>A142+0.0001</f>
        <v>3.0415000000000023</v>
      </c>
      <c r="B154" s="99" t="s">
        <v>531</v>
      </c>
      <c r="C154" s="64"/>
      <c r="D154" s="87">
        <v>0</v>
      </c>
      <c r="E154" s="638"/>
      <c r="F154" s="638"/>
      <c r="G154" s="251">
        <v>0</v>
      </c>
      <c r="H154" s="251">
        <f t="shared" si="13"/>
        <v>0</v>
      </c>
      <c r="I154" s="252">
        <f t="shared" si="20"/>
        <v>0</v>
      </c>
      <c r="J154" s="73">
        <v>0</v>
      </c>
      <c r="K154" s="538"/>
      <c r="L154" s="51"/>
      <c r="Q154" s="545"/>
    </row>
    <row r="155" spans="1:17" ht="14.1" customHeight="1" outlineLevel="2">
      <c r="A155" s="104">
        <f t="shared" si="17"/>
        <v>3.0415010000000025</v>
      </c>
      <c r="B155" s="70" t="s">
        <v>532</v>
      </c>
      <c r="C155" s="64" t="s">
        <v>155</v>
      </c>
      <c r="D155" s="87">
        <v>7.4</v>
      </c>
      <c r="E155" s="65">
        <v>416.24</v>
      </c>
      <c r="F155" s="65"/>
      <c r="G155" s="251">
        <v>416.24</v>
      </c>
      <c r="H155" s="251">
        <f t="shared" si="13"/>
        <v>3080.18</v>
      </c>
      <c r="I155" s="252">
        <f t="shared" si="20"/>
        <v>0</v>
      </c>
      <c r="J155" s="73">
        <v>3080.18</v>
      </c>
      <c r="K155" s="538"/>
      <c r="L155" s="51"/>
      <c r="N155" s="4">
        <v>372.3</v>
      </c>
      <c r="O155" s="233">
        <f t="shared" ref="O155:O157" si="22">+N155*D155</f>
        <v>2755.0200000000004</v>
      </c>
      <c r="Q155" s="545"/>
    </row>
    <row r="156" spans="1:17" ht="14.1" customHeight="1" outlineLevel="2">
      <c r="A156" s="104">
        <f t="shared" si="17"/>
        <v>3.0415020000000026</v>
      </c>
      <c r="B156" s="70" t="s">
        <v>533</v>
      </c>
      <c r="C156" s="64" t="s">
        <v>155</v>
      </c>
      <c r="D156" s="87">
        <v>24.86</v>
      </c>
      <c r="E156" s="65">
        <v>455.13</v>
      </c>
      <c r="F156" s="65"/>
      <c r="G156" s="251">
        <v>455.13</v>
      </c>
      <c r="H156" s="251">
        <f t="shared" ref="H156" si="23">+ROUND(D156*E156,2)</f>
        <v>11314.53</v>
      </c>
      <c r="I156" s="252">
        <f t="shared" si="20"/>
        <v>0</v>
      </c>
      <c r="J156" s="73">
        <v>11314.53</v>
      </c>
      <c r="K156" s="538"/>
      <c r="L156" s="51"/>
      <c r="N156" s="4">
        <v>411.19</v>
      </c>
      <c r="O156" s="233">
        <f t="shared" si="22"/>
        <v>10222.1834</v>
      </c>
      <c r="Q156" s="545"/>
    </row>
    <row r="157" spans="1:17" ht="14.1" customHeight="1" outlineLevel="2">
      <c r="A157" s="104">
        <f t="shared" si="17"/>
        <v>3.0415030000000027</v>
      </c>
      <c r="B157" s="70" t="s">
        <v>534</v>
      </c>
      <c r="C157" s="64" t="s">
        <v>155</v>
      </c>
      <c r="D157" s="87">
        <v>193.56</v>
      </c>
      <c r="E157" s="65">
        <v>471.38</v>
      </c>
      <c r="F157" s="65"/>
      <c r="G157" s="251">
        <v>471.38</v>
      </c>
      <c r="H157" s="251">
        <f t="shared" ref="H157" si="24">+ROUND(D157*E157,2)</f>
        <v>91240.31</v>
      </c>
      <c r="I157" s="252">
        <f t="shared" si="20"/>
        <v>0</v>
      </c>
      <c r="J157" s="73">
        <v>91240.31</v>
      </c>
      <c r="K157" s="538"/>
      <c r="L157" s="51"/>
      <c r="N157" s="4">
        <v>427.44</v>
      </c>
      <c r="O157" s="233">
        <f t="shared" si="22"/>
        <v>82735.286399999997</v>
      </c>
      <c r="Q157" s="545"/>
    </row>
    <row r="158" spans="1:17" ht="14.1" customHeight="1" outlineLevel="2">
      <c r="A158" s="104">
        <f>A155+0.000001</f>
        <v>3.0415020000000026</v>
      </c>
      <c r="B158" s="70" t="s">
        <v>535</v>
      </c>
      <c r="C158" s="64" t="s">
        <v>161</v>
      </c>
      <c r="D158" s="87">
        <v>884.91</v>
      </c>
      <c r="E158" s="65">
        <v>44.6</v>
      </c>
      <c r="F158" s="65"/>
      <c r="G158" s="251">
        <v>44.6</v>
      </c>
      <c r="H158" s="251">
        <f t="shared" si="13"/>
        <v>39466.99</v>
      </c>
      <c r="I158" s="252">
        <f t="shared" si="20"/>
        <v>0</v>
      </c>
      <c r="J158" s="73">
        <v>39466.99</v>
      </c>
      <c r="K158" s="538"/>
      <c r="L158" s="51"/>
      <c r="Q158" s="545"/>
    </row>
    <row r="159" spans="1:17" ht="14.1" customHeight="1" outlineLevel="2">
      <c r="A159" s="104">
        <f t="shared" si="17"/>
        <v>3.0415030000000027</v>
      </c>
      <c r="B159" s="70" t="s">
        <v>536</v>
      </c>
      <c r="C159" s="64" t="s">
        <v>161</v>
      </c>
      <c r="D159" s="87">
        <v>500.91</v>
      </c>
      <c r="E159" s="65">
        <v>49.6</v>
      </c>
      <c r="F159" s="65"/>
      <c r="G159" s="251">
        <v>49.6</v>
      </c>
      <c r="H159" s="251">
        <f t="shared" si="13"/>
        <v>24845.14</v>
      </c>
      <c r="I159" s="252">
        <f t="shared" si="20"/>
        <v>0</v>
      </c>
      <c r="J159" s="73">
        <v>24845.14</v>
      </c>
      <c r="K159" s="538"/>
      <c r="L159" s="51"/>
      <c r="Q159" s="545"/>
    </row>
    <row r="160" spans="1:17" ht="14.1" customHeight="1" outlineLevel="2">
      <c r="A160" s="104">
        <f t="shared" si="17"/>
        <v>3.0415040000000029</v>
      </c>
      <c r="B160" s="70" t="s">
        <v>496</v>
      </c>
      <c r="C160" s="64" t="s">
        <v>177</v>
      </c>
      <c r="D160" s="87">
        <v>82594.05</v>
      </c>
      <c r="E160" s="65">
        <v>1.1499999999999999</v>
      </c>
      <c r="F160" s="65">
        <v>0.94</v>
      </c>
      <c r="G160" s="251">
        <v>4.68</v>
      </c>
      <c r="H160" s="251">
        <f t="shared" si="13"/>
        <v>94983.16</v>
      </c>
      <c r="I160" s="252">
        <f t="shared" si="20"/>
        <v>77638.41</v>
      </c>
      <c r="J160" s="73">
        <v>386127.2</v>
      </c>
      <c r="K160" s="538"/>
      <c r="L160" s="51"/>
      <c r="P160" s="398">
        <v>0.94</v>
      </c>
      <c r="Q160" s="549">
        <f>+P160*D160</f>
        <v>77638.406999999992</v>
      </c>
    </row>
    <row r="161" spans="1:17" ht="14.1" customHeight="1" outlineLevel="2">
      <c r="A161" s="104">
        <f t="shared" si="17"/>
        <v>3.041505000000003</v>
      </c>
      <c r="B161" s="70" t="s">
        <v>467</v>
      </c>
      <c r="C161" s="64" t="s">
        <v>161</v>
      </c>
      <c r="D161" s="87">
        <v>1385.83</v>
      </c>
      <c r="E161" s="65">
        <v>1.5</v>
      </c>
      <c r="F161" s="65"/>
      <c r="G161" s="251">
        <v>1.5</v>
      </c>
      <c r="H161" s="251">
        <f t="shared" ref="H161:H261" si="25">+ROUND(D161*E161,2)</f>
        <v>2078.75</v>
      </c>
      <c r="I161" s="252">
        <f t="shared" si="20"/>
        <v>0</v>
      </c>
      <c r="J161" s="73">
        <v>2078.75</v>
      </c>
      <c r="K161" s="538"/>
      <c r="L161" s="51"/>
      <c r="Q161" s="545"/>
    </row>
    <row r="162" spans="1:17" ht="14.1" customHeight="1" outlineLevel="1">
      <c r="A162" s="285">
        <f>A154+0.0001</f>
        <v>3.0416000000000025</v>
      </c>
      <c r="B162" s="99" t="s">
        <v>537</v>
      </c>
      <c r="C162" s="64"/>
      <c r="D162" s="87"/>
      <c r="E162" s="638"/>
      <c r="F162" s="638"/>
      <c r="G162" s="251"/>
      <c r="H162" s="251"/>
      <c r="I162" s="252"/>
      <c r="J162" s="73"/>
      <c r="K162" s="538"/>
      <c r="L162" s="51"/>
      <c r="Q162" s="545"/>
    </row>
    <row r="163" spans="1:17" ht="14.1" customHeight="1" outlineLevel="2">
      <c r="A163" s="104">
        <f t="shared" si="17"/>
        <v>3.0416010000000027</v>
      </c>
      <c r="B163" s="643" t="s">
        <v>538</v>
      </c>
      <c r="C163" s="64" t="s">
        <v>155</v>
      </c>
      <c r="D163" s="87">
        <v>345.42</v>
      </c>
      <c r="E163" s="65">
        <v>392.01</v>
      </c>
      <c r="F163" s="65"/>
      <c r="G163" s="251">
        <v>392.01</v>
      </c>
      <c r="H163" s="251">
        <f t="shared" si="25"/>
        <v>135408.09</v>
      </c>
      <c r="I163" s="252">
        <f t="shared" ref="I163:I168" si="26">+ROUND(D163*F163,2)</f>
        <v>0</v>
      </c>
      <c r="J163" s="73">
        <v>135408.09</v>
      </c>
      <c r="K163" s="644"/>
      <c r="L163" s="51"/>
      <c r="N163" s="4">
        <v>351.59</v>
      </c>
      <c r="O163" s="233">
        <f t="shared" ref="O163:O164" si="27">+N163*D163</f>
        <v>121446.2178</v>
      </c>
      <c r="Q163" s="545"/>
    </row>
    <row r="164" spans="1:17" ht="14.25" customHeight="1" outlineLevel="2">
      <c r="A164" s="104">
        <f t="shared" si="17"/>
        <v>3.0416020000000028</v>
      </c>
      <c r="B164" s="84" t="s">
        <v>539</v>
      </c>
      <c r="C164" s="71" t="s">
        <v>155</v>
      </c>
      <c r="D164" s="87">
        <v>68.33</v>
      </c>
      <c r="E164" s="73">
        <v>467.86</v>
      </c>
      <c r="F164" s="81"/>
      <c r="G164" s="251">
        <v>467.86</v>
      </c>
      <c r="H164" s="251">
        <f t="shared" si="25"/>
        <v>31968.87</v>
      </c>
      <c r="I164" s="252">
        <f t="shared" si="26"/>
        <v>0</v>
      </c>
      <c r="J164" s="73">
        <v>31968.87</v>
      </c>
      <c r="K164" s="536"/>
      <c r="L164" s="51"/>
      <c r="N164" s="4">
        <v>427.44</v>
      </c>
      <c r="O164" s="233">
        <f t="shared" si="27"/>
        <v>29206.975200000001</v>
      </c>
      <c r="Q164" s="545"/>
    </row>
    <row r="165" spans="1:17" ht="14.1" customHeight="1" outlineLevel="2">
      <c r="A165" s="104">
        <f>A163+0.000001</f>
        <v>3.0416020000000028</v>
      </c>
      <c r="B165" s="70" t="s">
        <v>540</v>
      </c>
      <c r="C165" s="64" t="s">
        <v>161</v>
      </c>
      <c r="D165" s="87">
        <v>1991.32</v>
      </c>
      <c r="E165" s="65">
        <v>54.6</v>
      </c>
      <c r="F165" s="65"/>
      <c r="G165" s="251">
        <v>54.6</v>
      </c>
      <c r="H165" s="251">
        <f t="shared" si="25"/>
        <v>108726.07</v>
      </c>
      <c r="I165" s="252">
        <f t="shared" si="26"/>
        <v>0</v>
      </c>
      <c r="J165" s="73">
        <v>108726.07</v>
      </c>
      <c r="K165" s="538"/>
      <c r="L165" s="51"/>
      <c r="Q165" s="545"/>
    </row>
    <row r="166" spans="1:17" ht="14.1" customHeight="1" outlineLevel="2">
      <c r="A166" s="104">
        <f t="shared" si="17"/>
        <v>3.0416030000000029</v>
      </c>
      <c r="B166" s="70" t="s">
        <v>541</v>
      </c>
      <c r="C166" s="64" t="s">
        <v>161</v>
      </c>
      <c r="D166" s="87">
        <v>61.87</v>
      </c>
      <c r="E166" s="65">
        <v>62.6</v>
      </c>
      <c r="F166" s="65"/>
      <c r="G166" s="251">
        <v>62.6</v>
      </c>
      <c r="H166" s="251">
        <f t="shared" si="25"/>
        <v>3873.06</v>
      </c>
      <c r="I166" s="252">
        <f t="shared" si="26"/>
        <v>0</v>
      </c>
      <c r="J166" s="73">
        <v>3873.06</v>
      </c>
      <c r="K166" s="538"/>
      <c r="L166" s="51"/>
      <c r="Q166" s="545"/>
    </row>
    <row r="167" spans="1:17" ht="14.1" customHeight="1" outlineLevel="2">
      <c r="A167" s="104">
        <f t="shared" si="17"/>
        <v>3.0416040000000031</v>
      </c>
      <c r="B167" s="70" t="s">
        <v>496</v>
      </c>
      <c r="C167" s="64" t="s">
        <v>177</v>
      </c>
      <c r="D167" s="87">
        <v>46729.11</v>
      </c>
      <c r="E167" s="65">
        <v>1.1499999999999999</v>
      </c>
      <c r="F167" s="65">
        <v>0.94</v>
      </c>
      <c r="G167" s="251">
        <v>4.68</v>
      </c>
      <c r="H167" s="251">
        <f t="shared" si="25"/>
        <v>53738.48</v>
      </c>
      <c r="I167" s="252">
        <f t="shared" si="26"/>
        <v>43925.36</v>
      </c>
      <c r="J167" s="73">
        <v>218458.58</v>
      </c>
      <c r="K167" s="538"/>
      <c r="L167" s="51"/>
      <c r="P167" s="398">
        <v>0.94</v>
      </c>
      <c r="Q167" s="549">
        <f>+P167*D167</f>
        <v>43925.363399999995</v>
      </c>
    </row>
    <row r="168" spans="1:17" ht="14.1" customHeight="1" outlineLevel="2">
      <c r="A168" s="104">
        <f t="shared" si="17"/>
        <v>3.0416050000000032</v>
      </c>
      <c r="B168" s="70" t="s">
        <v>467</v>
      </c>
      <c r="C168" s="64" t="s">
        <v>161</v>
      </c>
      <c r="D168" s="87">
        <v>2121.15</v>
      </c>
      <c r="E168" s="65">
        <v>1.5</v>
      </c>
      <c r="F168" s="65"/>
      <c r="G168" s="251">
        <v>1.5</v>
      </c>
      <c r="H168" s="251">
        <f t="shared" si="25"/>
        <v>3181.73</v>
      </c>
      <c r="I168" s="252">
        <f t="shared" si="26"/>
        <v>0</v>
      </c>
      <c r="J168" s="73">
        <v>3181.73</v>
      </c>
      <c r="K168" s="538"/>
      <c r="L168" s="51"/>
      <c r="Q168" s="545"/>
    </row>
    <row r="169" spans="1:17" ht="14.1" customHeight="1" outlineLevel="1">
      <c r="A169" s="285">
        <f>A162+0.0001</f>
        <v>3.0417000000000027</v>
      </c>
      <c r="B169" s="99" t="s">
        <v>542</v>
      </c>
      <c r="C169" s="64"/>
      <c r="D169" s="87"/>
      <c r="E169" s="65"/>
      <c r="F169" s="65"/>
      <c r="G169" s="251"/>
      <c r="H169" s="251"/>
      <c r="I169" s="252"/>
      <c r="J169" s="73"/>
      <c r="K169" s="538"/>
      <c r="L169" s="51"/>
      <c r="Q169" s="545"/>
    </row>
    <row r="170" spans="1:17" ht="14.1" customHeight="1" outlineLevel="2">
      <c r="A170" s="104">
        <f t="shared" si="17"/>
        <v>3.0417010000000029</v>
      </c>
      <c r="B170" s="70" t="s">
        <v>496</v>
      </c>
      <c r="C170" s="64" t="s">
        <v>177</v>
      </c>
      <c r="D170" s="87">
        <v>2952</v>
      </c>
      <c r="E170" s="65">
        <v>1.1499999999999999</v>
      </c>
      <c r="F170" s="65">
        <v>0.94</v>
      </c>
      <c r="G170" s="251">
        <v>4.68</v>
      </c>
      <c r="H170" s="251">
        <f t="shared" si="25"/>
        <v>3394.8</v>
      </c>
      <c r="I170" s="252">
        <f>+ROUND(D170*F170,2)</f>
        <v>2774.88</v>
      </c>
      <c r="J170" s="73">
        <v>13800.6</v>
      </c>
      <c r="K170" s="538"/>
      <c r="L170" s="51"/>
      <c r="P170" s="398">
        <v>0.94</v>
      </c>
      <c r="Q170" s="549">
        <f>+P170*D170</f>
        <v>2774.8799999999997</v>
      </c>
    </row>
    <row r="171" spans="1:17" ht="14.1" customHeight="1" outlineLevel="2">
      <c r="A171" s="104">
        <f t="shared" si="17"/>
        <v>3.041702000000003</v>
      </c>
      <c r="B171" s="70" t="s">
        <v>543</v>
      </c>
      <c r="C171" s="64" t="s">
        <v>161</v>
      </c>
      <c r="D171" s="87">
        <v>67.959999999999994</v>
      </c>
      <c r="E171" s="65">
        <v>45.2</v>
      </c>
      <c r="F171" s="65"/>
      <c r="G171" s="251">
        <v>45.2</v>
      </c>
      <c r="H171" s="251">
        <f t="shared" si="25"/>
        <v>3071.79</v>
      </c>
      <c r="I171" s="252">
        <f>+ROUND(D171*F171,2)</f>
        <v>0</v>
      </c>
      <c r="J171" s="73">
        <v>3071.79</v>
      </c>
      <c r="K171" s="538"/>
      <c r="L171" s="550">
        <v>45.2</v>
      </c>
      <c r="M171" s="233">
        <f>+L171*D171</f>
        <v>3071.7919999999999</v>
      </c>
      <c r="Q171" s="545"/>
    </row>
    <row r="172" spans="1:17" ht="14.1" customHeight="1" outlineLevel="2">
      <c r="A172" s="104">
        <f t="shared" si="17"/>
        <v>3.0417030000000032</v>
      </c>
      <c r="B172" s="70" t="s">
        <v>544</v>
      </c>
      <c r="C172" s="64" t="s">
        <v>161</v>
      </c>
      <c r="D172" s="87">
        <v>67.959999999999994</v>
      </c>
      <c r="E172" s="65">
        <v>5.43</v>
      </c>
      <c r="F172" s="65"/>
      <c r="G172" s="251">
        <v>5.43</v>
      </c>
      <c r="H172" s="251">
        <f t="shared" si="25"/>
        <v>369.02</v>
      </c>
      <c r="I172" s="252">
        <f>+ROUND(D172*F172,2)</f>
        <v>0</v>
      </c>
      <c r="J172" s="73">
        <v>369.02</v>
      </c>
      <c r="K172" s="538"/>
      <c r="L172" s="51"/>
      <c r="Q172" s="545"/>
    </row>
    <row r="173" spans="1:17" ht="23.25" customHeight="1" outlineLevel="2">
      <c r="A173" s="104">
        <f>A171+0.000001</f>
        <v>3.0417030000000032</v>
      </c>
      <c r="B173" s="44" t="s">
        <v>545</v>
      </c>
      <c r="C173" s="64" t="s">
        <v>161</v>
      </c>
      <c r="D173" s="87">
        <v>23.12</v>
      </c>
      <c r="E173" s="65">
        <v>37.1</v>
      </c>
      <c r="F173" s="65"/>
      <c r="G173" s="251">
        <v>37.1</v>
      </c>
      <c r="H173" s="251">
        <f t="shared" ref="H173" si="28">+ROUND(D173*E173,2)</f>
        <v>857.75</v>
      </c>
      <c r="I173" s="252">
        <f>+ROUND(D173*F173,2)</f>
        <v>0</v>
      </c>
      <c r="J173" s="73">
        <v>857.75</v>
      </c>
      <c r="K173" s="538"/>
      <c r="L173" s="51"/>
      <c r="Q173" s="545"/>
    </row>
    <row r="174" spans="1:17" ht="23.25" customHeight="1" outlineLevel="2">
      <c r="A174" s="104">
        <f>A172+0.000001</f>
        <v>3.0417040000000033</v>
      </c>
      <c r="B174" s="70" t="s">
        <v>546</v>
      </c>
      <c r="C174" s="64" t="s">
        <v>161</v>
      </c>
      <c r="D174" s="87">
        <v>44.84</v>
      </c>
      <c r="E174" s="65">
        <v>43.1</v>
      </c>
      <c r="F174" s="65"/>
      <c r="G174" s="251">
        <v>43.1</v>
      </c>
      <c r="H174" s="251">
        <f t="shared" si="25"/>
        <v>1932.6</v>
      </c>
      <c r="I174" s="252">
        <f>+ROUND(D174*F174,2)</f>
        <v>0</v>
      </c>
      <c r="J174" s="73">
        <v>1932.6</v>
      </c>
      <c r="K174" s="538"/>
      <c r="L174" s="51"/>
      <c r="Q174" s="545"/>
    </row>
    <row r="175" spans="1:17" ht="14.1" customHeight="1" outlineLevel="1">
      <c r="A175" s="285">
        <f>A169+0.0001</f>
        <v>3.0418000000000029</v>
      </c>
      <c r="B175" s="645" t="s">
        <v>547</v>
      </c>
      <c r="C175" s="64"/>
      <c r="D175" s="87"/>
      <c r="E175" s="65"/>
      <c r="F175" s="65"/>
      <c r="G175" s="251"/>
      <c r="H175" s="251"/>
      <c r="I175" s="252"/>
      <c r="J175" s="73"/>
      <c r="K175" s="538"/>
      <c r="L175" s="51"/>
      <c r="Q175" s="545"/>
    </row>
    <row r="176" spans="1:17" ht="23.25" customHeight="1" outlineLevel="2">
      <c r="A176" s="104">
        <f t="shared" ref="A176:A185" si="29">A175+0.000001</f>
        <v>3.0418010000000031</v>
      </c>
      <c r="B176" s="642" t="s">
        <v>548</v>
      </c>
      <c r="C176" s="64" t="s">
        <v>155</v>
      </c>
      <c r="D176" s="87">
        <v>4.96</v>
      </c>
      <c r="E176" s="65">
        <v>392.01</v>
      </c>
      <c r="F176" s="65"/>
      <c r="G176" s="251">
        <v>392.01</v>
      </c>
      <c r="H176" s="251">
        <f t="shared" ref="H176:H185" si="30">+ROUND(D176*E176,2)</f>
        <v>1944.37</v>
      </c>
      <c r="I176" s="252">
        <f t="shared" ref="I176:I185" si="31">+ROUND(D176*F176,2)</f>
        <v>0</v>
      </c>
      <c r="J176" s="73">
        <v>1944.37</v>
      </c>
      <c r="K176" s="538"/>
      <c r="L176" s="51"/>
      <c r="N176" s="4">
        <v>351.59</v>
      </c>
      <c r="O176" s="233">
        <f t="shared" ref="O176:O177" si="32">+N176*D176</f>
        <v>1743.8863999999999</v>
      </c>
      <c r="Q176" s="545"/>
    </row>
    <row r="177" spans="1:17" ht="14.25" customHeight="1" outlineLevel="2">
      <c r="A177" s="104">
        <f t="shared" si="29"/>
        <v>3.0418020000000032</v>
      </c>
      <c r="B177" s="84" t="s">
        <v>539</v>
      </c>
      <c r="C177" s="71" t="s">
        <v>155</v>
      </c>
      <c r="D177" s="87">
        <v>0.52</v>
      </c>
      <c r="E177" s="73">
        <v>467.86</v>
      </c>
      <c r="F177" s="81"/>
      <c r="G177" s="251">
        <v>467.86</v>
      </c>
      <c r="H177" s="251">
        <f t="shared" si="30"/>
        <v>243.29</v>
      </c>
      <c r="I177" s="252">
        <f t="shared" si="31"/>
        <v>0</v>
      </c>
      <c r="J177" s="73">
        <v>243.29</v>
      </c>
      <c r="K177" s="536"/>
      <c r="L177" s="51"/>
      <c r="N177" s="4">
        <v>427.44</v>
      </c>
      <c r="O177" s="233">
        <f t="shared" si="32"/>
        <v>222.2688</v>
      </c>
      <c r="Q177" s="545"/>
    </row>
    <row r="178" spans="1:17" ht="14.1" customHeight="1" outlineLevel="2">
      <c r="A178" s="104">
        <f>A176+0.000001</f>
        <v>3.0418020000000032</v>
      </c>
      <c r="B178" s="70" t="s">
        <v>549</v>
      </c>
      <c r="C178" s="64" t="s">
        <v>161</v>
      </c>
      <c r="D178" s="87">
        <v>0</v>
      </c>
      <c r="E178" s="65">
        <v>37.5</v>
      </c>
      <c r="F178" s="65"/>
      <c r="G178" s="251">
        <v>37.5</v>
      </c>
      <c r="H178" s="251">
        <f t="shared" si="30"/>
        <v>0</v>
      </c>
      <c r="I178" s="252">
        <f t="shared" si="31"/>
        <v>0</v>
      </c>
      <c r="J178" s="73">
        <v>0</v>
      </c>
      <c r="K178" s="538"/>
      <c r="L178" s="51"/>
      <c r="Q178" s="545"/>
    </row>
    <row r="179" spans="1:17" ht="12" customHeight="1" outlineLevel="2">
      <c r="A179" s="104">
        <f t="shared" si="29"/>
        <v>3.0418030000000034</v>
      </c>
      <c r="B179" s="70" t="s">
        <v>550</v>
      </c>
      <c r="C179" s="64" t="s">
        <v>161</v>
      </c>
      <c r="D179" s="87">
        <v>73.12</v>
      </c>
      <c r="E179" s="65">
        <v>43.5</v>
      </c>
      <c r="F179" s="65"/>
      <c r="G179" s="251">
        <v>43.5</v>
      </c>
      <c r="H179" s="251">
        <f t="shared" si="30"/>
        <v>3180.72</v>
      </c>
      <c r="I179" s="252">
        <f t="shared" si="31"/>
        <v>0</v>
      </c>
      <c r="J179" s="73">
        <v>3180.72</v>
      </c>
      <c r="K179" s="538"/>
      <c r="L179" s="51"/>
      <c r="Q179" s="545"/>
    </row>
    <row r="180" spans="1:17" ht="14.1" customHeight="1" outlineLevel="2">
      <c r="A180" s="104">
        <f t="shared" si="29"/>
        <v>3.0418040000000035</v>
      </c>
      <c r="B180" s="70" t="s">
        <v>551</v>
      </c>
      <c r="C180" s="64" t="s">
        <v>161</v>
      </c>
      <c r="D180" s="87">
        <v>73.12</v>
      </c>
      <c r="E180" s="65">
        <v>57.9</v>
      </c>
      <c r="F180" s="65"/>
      <c r="G180" s="251">
        <v>57.9</v>
      </c>
      <c r="H180" s="251">
        <f t="shared" si="30"/>
        <v>4233.6499999999996</v>
      </c>
      <c r="I180" s="252">
        <f t="shared" si="31"/>
        <v>0</v>
      </c>
      <c r="J180" s="73">
        <v>4233.6499999999996</v>
      </c>
      <c r="K180" s="538"/>
      <c r="L180" s="550">
        <v>57.9</v>
      </c>
      <c r="M180" s="233">
        <f>+L180*D180</f>
        <v>4233.6480000000001</v>
      </c>
      <c r="Q180" s="545"/>
    </row>
    <row r="181" spans="1:17" ht="14.1" customHeight="1" outlineLevel="2">
      <c r="A181" s="104">
        <f t="shared" si="29"/>
        <v>3.0418050000000036</v>
      </c>
      <c r="B181" s="70" t="s">
        <v>544</v>
      </c>
      <c r="C181" s="64" t="s">
        <v>161</v>
      </c>
      <c r="D181" s="87">
        <v>73.12</v>
      </c>
      <c r="E181" s="65">
        <v>5.43</v>
      </c>
      <c r="F181" s="65"/>
      <c r="G181" s="251">
        <v>5.43</v>
      </c>
      <c r="H181" s="251">
        <f t="shared" si="30"/>
        <v>397.04</v>
      </c>
      <c r="I181" s="252">
        <f t="shared" si="31"/>
        <v>0</v>
      </c>
      <c r="J181" s="73">
        <v>397.04</v>
      </c>
      <c r="K181" s="538"/>
      <c r="L181" s="51"/>
      <c r="Q181" s="545"/>
    </row>
    <row r="182" spans="1:17" ht="14.1" customHeight="1" outlineLevel="2">
      <c r="A182" s="104">
        <f t="shared" si="29"/>
        <v>3.0418060000000038</v>
      </c>
      <c r="B182" s="70" t="s">
        <v>552</v>
      </c>
      <c r="C182" s="64" t="s">
        <v>177</v>
      </c>
      <c r="D182" s="87">
        <v>314.41000000000003</v>
      </c>
      <c r="E182" s="65">
        <v>1.1499999999999999</v>
      </c>
      <c r="F182" s="65">
        <v>0.94</v>
      </c>
      <c r="G182" s="251">
        <v>4.68</v>
      </c>
      <c r="H182" s="251">
        <f t="shared" si="30"/>
        <v>361.57</v>
      </c>
      <c r="I182" s="252">
        <f t="shared" si="31"/>
        <v>295.55</v>
      </c>
      <c r="J182" s="73">
        <v>1469.88</v>
      </c>
      <c r="K182" s="538"/>
      <c r="L182" s="51"/>
      <c r="P182" s="398">
        <v>0.94</v>
      </c>
      <c r="Q182" s="549">
        <f t="shared" ref="Q182:Q184" si="33">+P182*D182</f>
        <v>295.54540000000003</v>
      </c>
    </row>
    <row r="183" spans="1:17" ht="15" customHeight="1" outlineLevel="2">
      <c r="A183" s="104">
        <f t="shared" si="29"/>
        <v>3.0418070000000039</v>
      </c>
      <c r="B183" s="70" t="s">
        <v>553</v>
      </c>
      <c r="C183" s="64" t="s">
        <v>177</v>
      </c>
      <c r="D183" s="87">
        <v>87.42</v>
      </c>
      <c r="E183" s="65">
        <v>0</v>
      </c>
      <c r="F183" s="65">
        <v>0.94</v>
      </c>
      <c r="G183" s="251">
        <v>3.53</v>
      </c>
      <c r="H183" s="251">
        <f t="shared" si="30"/>
        <v>0</v>
      </c>
      <c r="I183" s="252">
        <f t="shared" si="31"/>
        <v>82.17</v>
      </c>
      <c r="J183" s="73">
        <v>308.14</v>
      </c>
      <c r="K183" s="538"/>
      <c r="L183" s="51"/>
      <c r="P183" s="398">
        <v>0.94</v>
      </c>
      <c r="Q183" s="549">
        <f t="shared" si="33"/>
        <v>82.174799999999991</v>
      </c>
    </row>
    <row r="184" spans="1:17" ht="23.25" customHeight="1" outlineLevel="2">
      <c r="A184" s="104">
        <f t="shared" si="29"/>
        <v>3.0418080000000041</v>
      </c>
      <c r="B184" s="70" t="s">
        <v>554</v>
      </c>
      <c r="C184" s="64" t="s">
        <v>177</v>
      </c>
      <c r="D184" s="87">
        <v>146.24</v>
      </c>
      <c r="E184" s="65">
        <v>0</v>
      </c>
      <c r="F184" s="65">
        <v>0.94</v>
      </c>
      <c r="G184" s="251">
        <v>3.53</v>
      </c>
      <c r="H184" s="251">
        <f t="shared" si="30"/>
        <v>0</v>
      </c>
      <c r="I184" s="252">
        <f t="shared" si="31"/>
        <v>137.47</v>
      </c>
      <c r="J184" s="73">
        <v>515.51</v>
      </c>
      <c r="K184" s="538"/>
      <c r="L184" s="51"/>
      <c r="P184" s="398">
        <v>0.94</v>
      </c>
      <c r="Q184" s="549">
        <f t="shared" si="33"/>
        <v>137.46559999999999</v>
      </c>
    </row>
    <row r="185" spans="1:17" ht="14.1" customHeight="1" outlineLevel="2">
      <c r="A185" s="104">
        <f t="shared" si="29"/>
        <v>3.0418090000000042</v>
      </c>
      <c r="B185" s="70" t="s">
        <v>467</v>
      </c>
      <c r="C185" s="64" t="s">
        <v>161</v>
      </c>
      <c r="D185" s="87">
        <v>73.12</v>
      </c>
      <c r="E185" s="65">
        <v>1.5</v>
      </c>
      <c r="F185" s="65"/>
      <c r="G185" s="251">
        <v>1.5</v>
      </c>
      <c r="H185" s="251">
        <f t="shared" si="30"/>
        <v>109.68</v>
      </c>
      <c r="I185" s="252">
        <f t="shared" si="31"/>
        <v>0</v>
      </c>
      <c r="J185" s="73">
        <v>109.68</v>
      </c>
      <c r="K185" s="538"/>
      <c r="L185" s="51"/>
      <c r="Q185" s="545"/>
    </row>
    <row r="186" spans="1:17" ht="14.1" customHeight="1" outlineLevel="1">
      <c r="A186" s="285">
        <f>A169+0.0001</f>
        <v>3.0418000000000029</v>
      </c>
      <c r="B186" s="645" t="s">
        <v>555</v>
      </c>
      <c r="C186" s="64"/>
      <c r="D186" s="87"/>
      <c r="E186" s="65"/>
      <c r="F186" s="65"/>
      <c r="G186" s="251"/>
      <c r="H186" s="251"/>
      <c r="I186" s="252"/>
      <c r="J186" s="73"/>
      <c r="K186" s="538"/>
      <c r="L186" s="51"/>
      <c r="Q186" s="545"/>
    </row>
    <row r="187" spans="1:17" ht="23.25" customHeight="1" outlineLevel="2">
      <c r="A187" s="104">
        <f t="shared" ref="A187:A230" si="34">A186+0.000001</f>
        <v>3.0418010000000031</v>
      </c>
      <c r="B187" s="642" t="s">
        <v>548</v>
      </c>
      <c r="C187" s="64" t="s">
        <v>155</v>
      </c>
      <c r="D187" s="87">
        <v>392.62</v>
      </c>
      <c r="E187" s="65">
        <v>392.01</v>
      </c>
      <c r="F187" s="65"/>
      <c r="G187" s="251">
        <v>392.01</v>
      </c>
      <c r="H187" s="251">
        <f t="shared" si="25"/>
        <v>153910.97</v>
      </c>
      <c r="I187" s="252">
        <f t="shared" ref="I187:I196" si="35">+ROUND(D187*F187,2)</f>
        <v>0</v>
      </c>
      <c r="J187" s="73">
        <v>153910.97</v>
      </c>
      <c r="K187" s="538"/>
      <c r="L187" s="51"/>
      <c r="N187" s="4">
        <v>351.59</v>
      </c>
      <c r="O187" s="233">
        <f t="shared" ref="O187:O188" si="36">+N187*D187</f>
        <v>138041.26579999999</v>
      </c>
      <c r="Q187" s="545"/>
    </row>
    <row r="188" spans="1:17" ht="14.25" customHeight="1" outlineLevel="2">
      <c r="A188" s="104">
        <f t="shared" si="34"/>
        <v>3.0418020000000032</v>
      </c>
      <c r="B188" s="84" t="s">
        <v>539</v>
      </c>
      <c r="C188" s="71" t="s">
        <v>155</v>
      </c>
      <c r="D188" s="87">
        <v>28.42</v>
      </c>
      <c r="E188" s="73">
        <v>467.86</v>
      </c>
      <c r="F188" s="81"/>
      <c r="G188" s="251">
        <v>467.86</v>
      </c>
      <c r="H188" s="251">
        <f t="shared" si="25"/>
        <v>13296.58</v>
      </c>
      <c r="I188" s="252">
        <f t="shared" si="35"/>
        <v>0</v>
      </c>
      <c r="J188" s="73">
        <v>13296.58</v>
      </c>
      <c r="K188" s="536"/>
      <c r="L188" s="51"/>
      <c r="N188" s="4">
        <v>427.44</v>
      </c>
      <c r="O188" s="233">
        <f t="shared" si="36"/>
        <v>12147.844800000001</v>
      </c>
      <c r="Q188" s="545"/>
    </row>
    <row r="189" spans="1:17" ht="14.1" customHeight="1" outlineLevel="2">
      <c r="A189" s="104">
        <f>A187+0.000001</f>
        <v>3.0418020000000032</v>
      </c>
      <c r="B189" s="70" t="s">
        <v>549</v>
      </c>
      <c r="C189" s="64" t="s">
        <v>161</v>
      </c>
      <c r="D189" s="87">
        <v>3677.19</v>
      </c>
      <c r="E189" s="65">
        <v>37.5</v>
      </c>
      <c r="F189" s="65"/>
      <c r="G189" s="251">
        <v>37.5</v>
      </c>
      <c r="H189" s="251">
        <f t="shared" si="25"/>
        <v>137894.63</v>
      </c>
      <c r="I189" s="252">
        <f t="shared" si="35"/>
        <v>0</v>
      </c>
      <c r="J189" s="73">
        <v>137894.63</v>
      </c>
      <c r="K189" s="538"/>
      <c r="L189" s="51"/>
      <c r="Q189" s="545"/>
    </row>
    <row r="190" spans="1:17" ht="12" customHeight="1" outlineLevel="2">
      <c r="A190" s="104">
        <f t="shared" si="34"/>
        <v>3.0418030000000034</v>
      </c>
      <c r="B190" s="70" t="s">
        <v>550</v>
      </c>
      <c r="C190" s="64" t="s">
        <v>161</v>
      </c>
      <c r="D190" s="87">
        <v>1386.68</v>
      </c>
      <c r="E190" s="65">
        <v>43.5</v>
      </c>
      <c r="F190" s="65"/>
      <c r="G190" s="251">
        <v>43.5</v>
      </c>
      <c r="H190" s="251">
        <f t="shared" si="25"/>
        <v>60320.58</v>
      </c>
      <c r="I190" s="252">
        <f t="shared" si="35"/>
        <v>0</v>
      </c>
      <c r="J190" s="73">
        <v>60320.58</v>
      </c>
      <c r="K190" s="538"/>
      <c r="L190" s="51"/>
      <c r="Q190" s="545"/>
    </row>
    <row r="191" spans="1:17" ht="14.1" customHeight="1" outlineLevel="2">
      <c r="A191" s="104">
        <f t="shared" si="34"/>
        <v>3.0418040000000035</v>
      </c>
      <c r="B191" s="70" t="s">
        <v>556</v>
      </c>
      <c r="C191" s="64" t="s">
        <v>161</v>
      </c>
      <c r="D191" s="87">
        <v>5063.87</v>
      </c>
      <c r="E191" s="65">
        <v>62.9</v>
      </c>
      <c r="F191" s="65"/>
      <c r="G191" s="251">
        <v>62.9</v>
      </c>
      <c r="H191" s="251">
        <f t="shared" si="25"/>
        <v>318517.42</v>
      </c>
      <c r="I191" s="252">
        <f t="shared" si="35"/>
        <v>0</v>
      </c>
      <c r="J191" s="73">
        <v>318517.42</v>
      </c>
      <c r="K191" s="538"/>
      <c r="L191" s="550">
        <v>62.9</v>
      </c>
      <c r="M191" s="233">
        <f>+L191*D191</f>
        <v>318517.42300000001</v>
      </c>
      <c r="Q191" s="545"/>
    </row>
    <row r="192" spans="1:17" ht="14.1" customHeight="1" outlineLevel="2">
      <c r="A192" s="104">
        <f t="shared" si="34"/>
        <v>3.0418050000000036</v>
      </c>
      <c r="B192" s="70" t="s">
        <v>544</v>
      </c>
      <c r="C192" s="64" t="s">
        <v>161</v>
      </c>
      <c r="D192" s="87">
        <v>5063.87</v>
      </c>
      <c r="E192" s="65">
        <v>5.43</v>
      </c>
      <c r="F192" s="65"/>
      <c r="G192" s="251">
        <v>5.43</v>
      </c>
      <c r="H192" s="251">
        <f t="shared" si="25"/>
        <v>27496.81</v>
      </c>
      <c r="I192" s="252">
        <f t="shared" si="35"/>
        <v>0</v>
      </c>
      <c r="J192" s="73">
        <v>27496.81</v>
      </c>
      <c r="K192" s="538"/>
      <c r="L192" s="51"/>
      <c r="Q192" s="545"/>
    </row>
    <row r="193" spans="1:17" ht="14.1" customHeight="1" outlineLevel="2">
      <c r="A193" s="104">
        <f t="shared" si="34"/>
        <v>3.0418060000000038</v>
      </c>
      <c r="B193" s="70" t="s">
        <v>552</v>
      </c>
      <c r="C193" s="64" t="s">
        <v>177</v>
      </c>
      <c r="D193" s="87">
        <v>14906.79</v>
      </c>
      <c r="E193" s="65">
        <v>1.1499999999999999</v>
      </c>
      <c r="F193" s="65">
        <v>0.94</v>
      </c>
      <c r="G193" s="251">
        <v>4.68</v>
      </c>
      <c r="H193" s="251">
        <f t="shared" si="25"/>
        <v>17142.810000000001</v>
      </c>
      <c r="I193" s="252">
        <f t="shared" si="35"/>
        <v>14012.38</v>
      </c>
      <c r="J193" s="73">
        <v>69689.240000000005</v>
      </c>
      <c r="K193" s="538"/>
      <c r="L193" s="51"/>
      <c r="P193" s="398">
        <v>0.94</v>
      </c>
      <c r="Q193" s="549">
        <f t="shared" ref="Q193:Q195" si="37">+P193*D193</f>
        <v>14012.382600000001</v>
      </c>
    </row>
    <row r="194" spans="1:17" ht="15" customHeight="1" outlineLevel="2">
      <c r="A194" s="104">
        <f t="shared" si="34"/>
        <v>3.0418070000000039</v>
      </c>
      <c r="B194" s="70" t="s">
        <v>553</v>
      </c>
      <c r="C194" s="64" t="s">
        <v>177</v>
      </c>
      <c r="D194" s="87">
        <v>11050.69</v>
      </c>
      <c r="E194" s="65">
        <v>0</v>
      </c>
      <c r="F194" s="65">
        <v>0.94</v>
      </c>
      <c r="G194" s="251">
        <v>3.53</v>
      </c>
      <c r="H194" s="251">
        <f t="shared" si="25"/>
        <v>0</v>
      </c>
      <c r="I194" s="252">
        <f t="shared" si="35"/>
        <v>10387.65</v>
      </c>
      <c r="J194" s="73">
        <v>38953.69</v>
      </c>
      <c r="K194" s="538"/>
      <c r="L194" s="51"/>
      <c r="P194" s="398">
        <v>0.94</v>
      </c>
      <c r="Q194" s="549">
        <f t="shared" si="37"/>
        <v>10387.6486</v>
      </c>
    </row>
    <row r="195" spans="1:17" ht="23.25" customHeight="1" outlineLevel="2">
      <c r="A195" s="104">
        <f t="shared" si="34"/>
        <v>3.0418080000000041</v>
      </c>
      <c r="B195" s="70" t="s">
        <v>554</v>
      </c>
      <c r="C195" s="64" t="s">
        <v>177</v>
      </c>
      <c r="D195" s="87">
        <v>10127.74</v>
      </c>
      <c r="E195" s="65">
        <v>0</v>
      </c>
      <c r="F195" s="65">
        <v>0.94</v>
      </c>
      <c r="G195" s="251">
        <v>3.53</v>
      </c>
      <c r="H195" s="251">
        <f t="shared" si="25"/>
        <v>0</v>
      </c>
      <c r="I195" s="252">
        <f t="shared" si="35"/>
        <v>9520.08</v>
      </c>
      <c r="J195" s="73">
        <v>35700.300000000003</v>
      </c>
      <c r="K195" s="538"/>
      <c r="L195" s="51"/>
      <c r="P195" s="398">
        <v>0.94</v>
      </c>
      <c r="Q195" s="549">
        <f t="shared" si="37"/>
        <v>9520.0756000000001</v>
      </c>
    </row>
    <row r="196" spans="1:17" ht="14.1" customHeight="1" outlineLevel="2">
      <c r="A196" s="104">
        <f t="shared" si="34"/>
        <v>3.0418090000000042</v>
      </c>
      <c r="B196" s="70" t="s">
        <v>467</v>
      </c>
      <c r="C196" s="64" t="s">
        <v>161</v>
      </c>
      <c r="D196" s="87">
        <v>5063.87</v>
      </c>
      <c r="E196" s="65">
        <v>1.5</v>
      </c>
      <c r="F196" s="65"/>
      <c r="G196" s="251">
        <v>1.5</v>
      </c>
      <c r="H196" s="251">
        <f t="shared" si="25"/>
        <v>7595.81</v>
      </c>
      <c r="I196" s="252">
        <f t="shared" si="35"/>
        <v>0</v>
      </c>
      <c r="J196" s="73">
        <v>7595.81</v>
      </c>
      <c r="K196" s="538"/>
      <c r="L196" s="51"/>
      <c r="Q196" s="545"/>
    </row>
    <row r="197" spans="1:17" ht="14.1" customHeight="1" outlineLevel="1">
      <c r="A197" s="285">
        <f>A186+0.0001</f>
        <v>3.0419000000000032</v>
      </c>
      <c r="B197" s="99" t="s">
        <v>557</v>
      </c>
      <c r="C197" s="68"/>
      <c r="D197" s="87">
        <v>0</v>
      </c>
      <c r="E197" s="73"/>
      <c r="F197" s="65"/>
      <c r="G197" s="251"/>
      <c r="H197" s="251"/>
      <c r="I197" s="252"/>
      <c r="J197" s="73"/>
      <c r="K197" s="538"/>
      <c r="L197" s="51"/>
      <c r="Q197" s="545"/>
    </row>
    <row r="198" spans="1:17" ht="22.5" outlineLevel="2">
      <c r="A198" s="104">
        <f t="shared" ref="A198:A207" si="38">A197+0.000001</f>
        <v>3.0419010000000033</v>
      </c>
      <c r="B198" s="85" t="s">
        <v>548</v>
      </c>
      <c r="C198" s="71" t="s">
        <v>155</v>
      </c>
      <c r="D198" s="87">
        <v>87.12</v>
      </c>
      <c r="E198" s="73">
        <v>392.01</v>
      </c>
      <c r="F198" s="81"/>
      <c r="G198" s="251">
        <v>392.01</v>
      </c>
      <c r="H198" s="251">
        <f t="shared" ref="H198:H207" si="39">+ROUND(D198*E198,2)</f>
        <v>34151.910000000003</v>
      </c>
      <c r="I198" s="252">
        <f t="shared" ref="I198:I207" si="40">+ROUND(D198*F198,2)</f>
        <v>0</v>
      </c>
      <c r="J198" s="73">
        <v>34151.910000000003</v>
      </c>
      <c r="K198" s="536"/>
      <c r="L198" s="51"/>
      <c r="N198" s="4">
        <v>351.59</v>
      </c>
      <c r="O198" s="233">
        <f t="shared" ref="O198:O199" si="41">+N198*D198</f>
        <v>30630.520799999998</v>
      </c>
      <c r="Q198" s="545"/>
    </row>
    <row r="199" spans="1:17" outlineLevel="2">
      <c r="A199" s="104">
        <f t="shared" si="38"/>
        <v>3.0419020000000034</v>
      </c>
      <c r="B199" s="84" t="s">
        <v>539</v>
      </c>
      <c r="C199" s="71" t="s">
        <v>155</v>
      </c>
      <c r="D199" s="87">
        <v>7.84</v>
      </c>
      <c r="E199" s="73">
        <v>467.86</v>
      </c>
      <c r="F199" s="81"/>
      <c r="G199" s="251">
        <v>467.86</v>
      </c>
      <c r="H199" s="251">
        <f t="shared" si="39"/>
        <v>3668.02</v>
      </c>
      <c r="I199" s="252">
        <f t="shared" si="40"/>
        <v>0</v>
      </c>
      <c r="J199" s="73">
        <v>3668.02</v>
      </c>
      <c r="K199" s="536"/>
      <c r="L199" s="51"/>
      <c r="N199" s="4">
        <v>427.44</v>
      </c>
      <c r="O199" s="233">
        <f t="shared" si="41"/>
        <v>3351.1295999999998</v>
      </c>
      <c r="Q199" s="545"/>
    </row>
    <row r="200" spans="1:17" ht="14.1" customHeight="1" outlineLevel="2">
      <c r="A200" s="104">
        <f t="shared" si="38"/>
        <v>3.0419030000000036</v>
      </c>
      <c r="B200" s="85" t="s">
        <v>549</v>
      </c>
      <c r="C200" s="71" t="s">
        <v>161</v>
      </c>
      <c r="D200" s="87">
        <v>643.79999999999995</v>
      </c>
      <c r="E200" s="73">
        <v>37.5</v>
      </c>
      <c r="F200" s="81"/>
      <c r="G200" s="251">
        <v>37.5</v>
      </c>
      <c r="H200" s="251">
        <f t="shared" si="39"/>
        <v>24142.5</v>
      </c>
      <c r="I200" s="252">
        <f t="shared" si="40"/>
        <v>0</v>
      </c>
      <c r="J200" s="73">
        <v>24142.5</v>
      </c>
      <c r="K200" s="538"/>
      <c r="L200" s="51"/>
      <c r="Q200" s="545"/>
    </row>
    <row r="201" spans="1:17" ht="12" customHeight="1" outlineLevel="2">
      <c r="A201" s="104">
        <f t="shared" si="34"/>
        <v>3.0419040000000037</v>
      </c>
      <c r="B201" s="70" t="s">
        <v>550</v>
      </c>
      <c r="C201" s="64" t="s">
        <v>161</v>
      </c>
      <c r="D201" s="87">
        <v>243.63</v>
      </c>
      <c r="E201" s="65">
        <v>43.5</v>
      </c>
      <c r="F201" s="65"/>
      <c r="G201" s="251">
        <v>43.5</v>
      </c>
      <c r="H201" s="251">
        <f t="shared" si="39"/>
        <v>10597.91</v>
      </c>
      <c r="I201" s="252">
        <f t="shared" si="40"/>
        <v>0</v>
      </c>
      <c r="J201" s="73">
        <v>10597.91</v>
      </c>
      <c r="K201" s="538"/>
      <c r="L201" s="51"/>
      <c r="Q201" s="545"/>
    </row>
    <row r="202" spans="1:17" ht="14.1" customHeight="1" outlineLevel="2">
      <c r="A202" s="104">
        <f>A200+0.000001</f>
        <v>3.0419040000000037</v>
      </c>
      <c r="B202" s="84" t="s">
        <v>558</v>
      </c>
      <c r="C202" s="71" t="s">
        <v>161</v>
      </c>
      <c r="D202" s="87">
        <v>887.43</v>
      </c>
      <c r="E202" s="73">
        <v>60.5</v>
      </c>
      <c r="F202" s="81"/>
      <c r="G202" s="251">
        <v>60.5</v>
      </c>
      <c r="H202" s="251">
        <f t="shared" si="39"/>
        <v>53689.52</v>
      </c>
      <c r="I202" s="252">
        <f t="shared" si="40"/>
        <v>0</v>
      </c>
      <c r="J202" s="73">
        <v>53689.52</v>
      </c>
      <c r="K202" s="538"/>
      <c r="L202" s="550">
        <v>60.5</v>
      </c>
      <c r="M202" s="233">
        <f>+L202*D202</f>
        <v>53689.514999999999</v>
      </c>
      <c r="Q202" s="545"/>
    </row>
    <row r="203" spans="1:17" ht="14.1" customHeight="1" outlineLevel="2">
      <c r="A203" s="104">
        <f t="shared" si="38"/>
        <v>3.0419050000000039</v>
      </c>
      <c r="B203" s="70" t="s">
        <v>544</v>
      </c>
      <c r="C203" s="71" t="s">
        <v>161</v>
      </c>
      <c r="D203" s="87">
        <v>887.43</v>
      </c>
      <c r="E203" s="73">
        <v>5.43</v>
      </c>
      <c r="F203" s="81"/>
      <c r="G203" s="251">
        <v>5.43</v>
      </c>
      <c r="H203" s="251">
        <f t="shared" si="39"/>
        <v>4818.74</v>
      </c>
      <c r="I203" s="252">
        <f t="shared" si="40"/>
        <v>0</v>
      </c>
      <c r="J203" s="73">
        <v>4818.74</v>
      </c>
      <c r="K203" s="538"/>
      <c r="L203" s="51"/>
      <c r="Q203" s="545"/>
    </row>
    <row r="204" spans="1:17" ht="14.1" customHeight="1" outlineLevel="2">
      <c r="A204" s="104">
        <f t="shared" si="38"/>
        <v>3.041906000000004</v>
      </c>
      <c r="B204" s="84" t="s">
        <v>552</v>
      </c>
      <c r="C204" s="71" t="s">
        <v>177</v>
      </c>
      <c r="D204" s="87">
        <v>4265.63</v>
      </c>
      <c r="E204" s="73">
        <v>1.1499999999999999</v>
      </c>
      <c r="F204" s="81">
        <v>0.94</v>
      </c>
      <c r="G204" s="251">
        <v>4.68</v>
      </c>
      <c r="H204" s="251">
        <f t="shared" si="39"/>
        <v>4905.47</v>
      </c>
      <c r="I204" s="252">
        <f t="shared" si="40"/>
        <v>4009.69</v>
      </c>
      <c r="J204" s="73">
        <v>19941.810000000001</v>
      </c>
      <c r="K204" s="538"/>
      <c r="L204" s="51"/>
      <c r="P204" s="398">
        <v>0.94</v>
      </c>
      <c r="Q204" s="549">
        <f t="shared" ref="Q204:Q206" si="42">+P204*D204</f>
        <v>4009.6922</v>
      </c>
    </row>
    <row r="205" spans="1:17" ht="14.1" customHeight="1" outlineLevel="2">
      <c r="A205" s="104">
        <f t="shared" si="38"/>
        <v>3.0419070000000041</v>
      </c>
      <c r="B205" s="84" t="s">
        <v>553</v>
      </c>
      <c r="C205" s="71" t="s">
        <v>177</v>
      </c>
      <c r="D205" s="87">
        <v>3656.83</v>
      </c>
      <c r="E205" s="73">
        <v>0</v>
      </c>
      <c r="F205" s="81">
        <v>0.94</v>
      </c>
      <c r="G205" s="251">
        <v>3.53</v>
      </c>
      <c r="H205" s="251">
        <f t="shared" si="39"/>
        <v>0</v>
      </c>
      <c r="I205" s="252">
        <f t="shared" si="40"/>
        <v>3437.42</v>
      </c>
      <c r="J205" s="73">
        <v>12890.33</v>
      </c>
      <c r="K205" s="538"/>
      <c r="L205" s="51"/>
      <c r="P205" s="398">
        <v>0.94</v>
      </c>
      <c r="Q205" s="549">
        <f t="shared" si="42"/>
        <v>3437.4201999999996</v>
      </c>
    </row>
    <row r="206" spans="1:17" ht="14.1" customHeight="1" outlineLevel="2">
      <c r="A206" s="104">
        <f t="shared" si="38"/>
        <v>3.0419080000000043</v>
      </c>
      <c r="B206" s="84" t="s">
        <v>559</v>
      </c>
      <c r="C206" s="71" t="s">
        <v>177</v>
      </c>
      <c r="D206" s="87">
        <v>0</v>
      </c>
      <c r="E206" s="73">
        <v>1.1499999999999999</v>
      </c>
      <c r="F206" s="81">
        <v>0.94</v>
      </c>
      <c r="G206" s="251">
        <v>4.68</v>
      </c>
      <c r="H206" s="251">
        <f t="shared" si="39"/>
        <v>0</v>
      </c>
      <c r="I206" s="252">
        <f t="shared" si="40"/>
        <v>0</v>
      </c>
      <c r="J206" s="73">
        <v>0</v>
      </c>
      <c r="K206" s="538"/>
      <c r="L206" s="51"/>
      <c r="P206" s="398">
        <v>0.94</v>
      </c>
      <c r="Q206" s="549">
        <f t="shared" si="42"/>
        <v>0</v>
      </c>
    </row>
    <row r="207" spans="1:17" ht="14.1" customHeight="1" outlineLevel="2">
      <c r="A207" s="104">
        <f t="shared" si="38"/>
        <v>3.0419090000000044</v>
      </c>
      <c r="B207" s="84" t="s">
        <v>467</v>
      </c>
      <c r="C207" s="71" t="s">
        <v>161</v>
      </c>
      <c r="D207" s="87">
        <v>887.43</v>
      </c>
      <c r="E207" s="73">
        <v>1.5</v>
      </c>
      <c r="F207" s="81"/>
      <c r="G207" s="251">
        <v>1.5</v>
      </c>
      <c r="H207" s="251">
        <f t="shared" si="39"/>
        <v>1331.15</v>
      </c>
      <c r="I207" s="252">
        <f t="shared" si="40"/>
        <v>0</v>
      </c>
      <c r="J207" s="73">
        <v>1331.15</v>
      </c>
      <c r="K207" s="538"/>
      <c r="L207" s="51"/>
      <c r="Q207" s="545"/>
    </row>
    <row r="208" spans="1:17" ht="14.1" customHeight="1" outlineLevel="1">
      <c r="A208" s="285">
        <f>A186+0.0001</f>
        <v>3.0419000000000032</v>
      </c>
      <c r="B208" s="645" t="s">
        <v>560</v>
      </c>
      <c r="C208" s="64"/>
      <c r="D208" s="87"/>
      <c r="E208" s="65"/>
      <c r="F208" s="65"/>
      <c r="G208" s="251"/>
      <c r="H208" s="251"/>
      <c r="I208" s="252"/>
      <c r="J208" s="73"/>
      <c r="K208" s="538"/>
      <c r="L208" s="51"/>
      <c r="Q208" s="545"/>
    </row>
    <row r="209" spans="1:17" ht="23.25" customHeight="1" outlineLevel="2">
      <c r="A209" s="104">
        <f t="shared" si="34"/>
        <v>3.0419010000000033</v>
      </c>
      <c r="B209" s="642" t="s">
        <v>561</v>
      </c>
      <c r="C209" s="64" t="s">
        <v>155</v>
      </c>
      <c r="D209" s="87">
        <v>10.37</v>
      </c>
      <c r="E209" s="65">
        <v>392.01</v>
      </c>
      <c r="F209" s="65"/>
      <c r="G209" s="251">
        <v>392.01</v>
      </c>
      <c r="H209" s="251">
        <f t="shared" si="25"/>
        <v>4065.14</v>
      </c>
      <c r="I209" s="252">
        <f t="shared" ref="I209:I219" si="43">+ROUND(D209*F209,2)</f>
        <v>0</v>
      </c>
      <c r="J209" s="73">
        <v>4065.14</v>
      </c>
      <c r="K209" s="538"/>
      <c r="L209" s="51"/>
      <c r="N209" s="4">
        <v>351.59</v>
      </c>
      <c r="O209" s="233">
        <f t="shared" ref="O209:O211" si="44">+N209*D209</f>
        <v>3645.9882999999995</v>
      </c>
      <c r="Q209" s="545"/>
    </row>
    <row r="210" spans="1:17" ht="23.25" customHeight="1" outlineLevel="2">
      <c r="A210" s="104">
        <f t="shared" si="34"/>
        <v>3.0419020000000034</v>
      </c>
      <c r="B210" s="84" t="s">
        <v>539</v>
      </c>
      <c r="C210" s="64" t="s">
        <v>155</v>
      </c>
      <c r="D210" s="87">
        <v>1.96</v>
      </c>
      <c r="E210" s="65">
        <v>467.86</v>
      </c>
      <c r="F210" s="65"/>
      <c r="G210" s="251">
        <v>467.86</v>
      </c>
      <c r="H210" s="251">
        <f t="shared" si="25"/>
        <v>917.01</v>
      </c>
      <c r="I210" s="252">
        <f t="shared" si="43"/>
        <v>0</v>
      </c>
      <c r="J210" s="73">
        <v>917.01</v>
      </c>
      <c r="K210" s="538"/>
      <c r="L210" s="51"/>
      <c r="N210" s="4">
        <v>427.44</v>
      </c>
      <c r="O210" s="233">
        <f t="shared" si="44"/>
        <v>837.78239999999994</v>
      </c>
      <c r="Q210" s="545"/>
    </row>
    <row r="211" spans="1:17" ht="23.25" customHeight="1" outlineLevel="2">
      <c r="A211" s="104">
        <f t="shared" si="34"/>
        <v>3.0419030000000036</v>
      </c>
      <c r="B211" s="44" t="s">
        <v>562</v>
      </c>
      <c r="C211" s="64" t="s">
        <v>155</v>
      </c>
      <c r="D211" s="87">
        <v>25.01</v>
      </c>
      <c r="E211" s="65">
        <v>467.86</v>
      </c>
      <c r="F211" s="65"/>
      <c r="G211" s="251">
        <v>467.86</v>
      </c>
      <c r="H211" s="251">
        <f t="shared" ref="H211" si="45">+ROUND(D211*E211,2)</f>
        <v>11701.18</v>
      </c>
      <c r="I211" s="252">
        <f t="shared" si="43"/>
        <v>0</v>
      </c>
      <c r="J211" s="73">
        <v>11701.18</v>
      </c>
      <c r="K211" s="538"/>
      <c r="L211" s="51"/>
      <c r="N211" s="4">
        <v>427.44</v>
      </c>
      <c r="O211" s="233">
        <f t="shared" si="44"/>
        <v>10690.2744</v>
      </c>
      <c r="Q211" s="545"/>
    </row>
    <row r="212" spans="1:17" ht="14.1" customHeight="1" outlineLevel="2">
      <c r="A212" s="104">
        <f>A210+0.000001</f>
        <v>3.0419030000000036</v>
      </c>
      <c r="B212" s="43" t="s">
        <v>563</v>
      </c>
      <c r="C212" s="64" t="s">
        <v>161</v>
      </c>
      <c r="D212" s="87">
        <v>22.02</v>
      </c>
      <c r="E212" s="73">
        <v>37.5</v>
      </c>
      <c r="F212" s="65"/>
      <c r="G212" s="251">
        <v>37.5</v>
      </c>
      <c r="H212" s="251">
        <f t="shared" si="25"/>
        <v>825.75</v>
      </c>
      <c r="I212" s="252">
        <f t="shared" si="43"/>
        <v>0</v>
      </c>
      <c r="J212" s="73">
        <v>825.75</v>
      </c>
      <c r="K212" s="538"/>
      <c r="L212" s="51"/>
      <c r="Q212" s="545"/>
    </row>
    <row r="213" spans="1:17" ht="14.1" customHeight="1" outlineLevel="2">
      <c r="A213" s="104">
        <f t="shared" si="34"/>
        <v>3.0419040000000037</v>
      </c>
      <c r="B213" s="642" t="s">
        <v>564</v>
      </c>
      <c r="C213" s="64" t="s">
        <v>161</v>
      </c>
      <c r="D213" s="87">
        <v>226.93</v>
      </c>
      <c r="E213" s="65">
        <v>43.5</v>
      </c>
      <c r="F213" s="65"/>
      <c r="G213" s="251">
        <v>43.5</v>
      </c>
      <c r="H213" s="251">
        <f t="shared" si="25"/>
        <v>9871.4599999999991</v>
      </c>
      <c r="I213" s="252">
        <f t="shared" si="43"/>
        <v>0</v>
      </c>
      <c r="J213" s="73">
        <v>9871.4599999999991</v>
      </c>
      <c r="K213" s="538"/>
      <c r="L213" s="51"/>
      <c r="Q213" s="545"/>
    </row>
    <row r="214" spans="1:17" ht="14.1" customHeight="1" outlineLevel="2">
      <c r="A214" s="104">
        <f t="shared" si="34"/>
        <v>3.0419050000000039</v>
      </c>
      <c r="B214" s="641" t="s">
        <v>543</v>
      </c>
      <c r="C214" s="64" t="s">
        <v>161</v>
      </c>
      <c r="D214" s="87">
        <v>248.95</v>
      </c>
      <c r="E214" s="65">
        <v>45.2</v>
      </c>
      <c r="F214" s="65"/>
      <c r="G214" s="251">
        <v>45.2</v>
      </c>
      <c r="H214" s="251">
        <f t="shared" si="25"/>
        <v>11252.54</v>
      </c>
      <c r="I214" s="252">
        <f t="shared" si="43"/>
        <v>0</v>
      </c>
      <c r="J214" s="73">
        <v>11252.54</v>
      </c>
      <c r="K214" s="538"/>
      <c r="L214" s="550">
        <v>45.2</v>
      </c>
      <c r="M214" s="233">
        <f>+L214*D214</f>
        <v>11252.54</v>
      </c>
      <c r="Q214" s="545"/>
    </row>
    <row r="215" spans="1:17" ht="14.1" customHeight="1" outlineLevel="2">
      <c r="A215" s="104">
        <f t="shared" si="34"/>
        <v>3.041906000000004</v>
      </c>
      <c r="B215" s="642" t="s">
        <v>544</v>
      </c>
      <c r="C215" s="64" t="s">
        <v>161</v>
      </c>
      <c r="D215" s="87">
        <v>248.95</v>
      </c>
      <c r="E215" s="65">
        <v>5.43</v>
      </c>
      <c r="F215" s="65"/>
      <c r="G215" s="251">
        <v>5.43</v>
      </c>
      <c r="H215" s="251">
        <f t="shared" si="25"/>
        <v>1351.8</v>
      </c>
      <c r="I215" s="252">
        <f t="shared" si="43"/>
        <v>0</v>
      </c>
      <c r="J215" s="73">
        <v>1351.8</v>
      </c>
      <c r="K215" s="538"/>
      <c r="L215" s="51"/>
      <c r="Q215" s="545"/>
    </row>
    <row r="216" spans="1:17" ht="14.25" customHeight="1" outlineLevel="2">
      <c r="A216" s="104">
        <f t="shared" si="34"/>
        <v>3.0419070000000041</v>
      </c>
      <c r="B216" s="70" t="s">
        <v>552</v>
      </c>
      <c r="C216" s="64" t="s">
        <v>177</v>
      </c>
      <c r="D216" s="87">
        <v>2179.58</v>
      </c>
      <c r="E216" s="65">
        <v>1.1499999999999999</v>
      </c>
      <c r="F216" s="65">
        <v>0.94</v>
      </c>
      <c r="G216" s="251">
        <v>4.68</v>
      </c>
      <c r="H216" s="251">
        <f t="shared" si="25"/>
        <v>2506.52</v>
      </c>
      <c r="I216" s="252">
        <f t="shared" si="43"/>
        <v>2048.81</v>
      </c>
      <c r="J216" s="73">
        <v>10189.56</v>
      </c>
      <c r="K216" s="538"/>
      <c r="L216" s="51"/>
      <c r="P216" s="398">
        <v>0.94</v>
      </c>
      <c r="Q216" s="549">
        <f t="shared" ref="Q216:Q218" si="46">+P216*D216</f>
        <v>2048.8051999999998</v>
      </c>
    </row>
    <row r="217" spans="1:17" ht="14.1" customHeight="1" outlineLevel="2">
      <c r="A217" s="104">
        <f t="shared" si="34"/>
        <v>3.0419080000000043</v>
      </c>
      <c r="B217" s="70" t="s">
        <v>553</v>
      </c>
      <c r="C217" s="64" t="s">
        <v>177</v>
      </c>
      <c r="D217" s="87">
        <v>2179.58</v>
      </c>
      <c r="E217" s="65">
        <v>0</v>
      </c>
      <c r="F217" s="65">
        <v>0.94</v>
      </c>
      <c r="G217" s="251">
        <v>3.53</v>
      </c>
      <c r="H217" s="251">
        <f t="shared" si="25"/>
        <v>0</v>
      </c>
      <c r="I217" s="252">
        <f t="shared" si="43"/>
        <v>2048.81</v>
      </c>
      <c r="J217" s="73">
        <v>7683.04</v>
      </c>
      <c r="K217" s="538"/>
      <c r="L217" s="51"/>
      <c r="P217" s="398">
        <v>0.94</v>
      </c>
      <c r="Q217" s="549">
        <f t="shared" si="46"/>
        <v>2048.8051999999998</v>
      </c>
    </row>
    <row r="218" spans="1:17" ht="23.25" customHeight="1" outlineLevel="2">
      <c r="A218" s="104">
        <f t="shared" si="34"/>
        <v>3.0419090000000044</v>
      </c>
      <c r="B218" s="646" t="s">
        <v>565</v>
      </c>
      <c r="C218" s="64" t="s">
        <v>177</v>
      </c>
      <c r="D218" s="87">
        <v>1068</v>
      </c>
      <c r="E218" s="65">
        <v>1.1499999999999999</v>
      </c>
      <c r="F218" s="65">
        <v>0.94</v>
      </c>
      <c r="G218" s="251">
        <v>4.68</v>
      </c>
      <c r="H218" s="251">
        <f t="shared" si="25"/>
        <v>1228.2</v>
      </c>
      <c r="I218" s="252">
        <f t="shared" si="43"/>
        <v>1003.92</v>
      </c>
      <c r="J218" s="73">
        <v>4992.8999999999996</v>
      </c>
      <c r="K218" s="538"/>
      <c r="L218" s="51"/>
      <c r="P218" s="398">
        <v>0.94</v>
      </c>
      <c r="Q218" s="549">
        <f t="shared" si="46"/>
        <v>1003.92</v>
      </c>
    </row>
    <row r="219" spans="1:17" ht="14.1" customHeight="1" outlineLevel="2">
      <c r="A219" s="104">
        <f t="shared" si="34"/>
        <v>3.0419100000000046</v>
      </c>
      <c r="B219" s="70" t="s">
        <v>467</v>
      </c>
      <c r="C219" s="64" t="s">
        <v>161</v>
      </c>
      <c r="D219" s="87">
        <v>248.95</v>
      </c>
      <c r="E219" s="65">
        <v>1.5</v>
      </c>
      <c r="F219" s="65"/>
      <c r="G219" s="251">
        <v>1.5</v>
      </c>
      <c r="H219" s="251">
        <f t="shared" si="25"/>
        <v>373.43</v>
      </c>
      <c r="I219" s="252">
        <f t="shared" si="43"/>
        <v>0</v>
      </c>
      <c r="J219" s="73">
        <v>373.43</v>
      </c>
      <c r="K219" s="538"/>
      <c r="L219" s="51"/>
      <c r="Q219" s="545"/>
    </row>
    <row r="220" spans="1:17" ht="14.1" customHeight="1" outlineLevel="1">
      <c r="A220" s="285">
        <f>A209+0.0001</f>
        <v>3.0420010000000035</v>
      </c>
      <c r="B220" s="645" t="s">
        <v>566</v>
      </c>
      <c r="C220" s="64"/>
      <c r="D220" s="87"/>
      <c r="E220" s="65"/>
      <c r="F220" s="65"/>
      <c r="G220" s="251"/>
      <c r="H220" s="251"/>
      <c r="I220" s="252"/>
      <c r="J220" s="73"/>
      <c r="K220" s="538"/>
      <c r="L220" s="51"/>
      <c r="Q220" s="545"/>
    </row>
    <row r="221" spans="1:17" ht="23.25" customHeight="1" outlineLevel="2">
      <c r="A221" s="104">
        <f t="shared" si="34"/>
        <v>3.0420020000000036</v>
      </c>
      <c r="B221" s="642" t="s">
        <v>561</v>
      </c>
      <c r="C221" s="64" t="s">
        <v>155</v>
      </c>
      <c r="D221" s="87">
        <v>20.67</v>
      </c>
      <c r="E221" s="65">
        <v>392.01</v>
      </c>
      <c r="F221" s="65"/>
      <c r="G221" s="251">
        <v>392.01</v>
      </c>
      <c r="H221" s="251">
        <f t="shared" ref="H221:H230" si="47">+ROUND(D221*E221,2)</f>
        <v>8102.85</v>
      </c>
      <c r="I221" s="252">
        <f t="shared" ref="I221:I230" si="48">+ROUND(D221*F221,2)</f>
        <v>0</v>
      </c>
      <c r="J221" s="73">
        <v>8102.85</v>
      </c>
      <c r="K221" s="538"/>
      <c r="L221" s="51"/>
      <c r="N221" s="4">
        <v>351.59</v>
      </c>
      <c r="O221" s="233">
        <f t="shared" ref="O221:O222" si="49">+N221*D221</f>
        <v>7267.3653000000004</v>
      </c>
      <c r="Q221" s="545"/>
    </row>
    <row r="222" spans="1:17" ht="23.25" customHeight="1" outlineLevel="2">
      <c r="A222" s="104">
        <f t="shared" si="34"/>
        <v>3.0420030000000038</v>
      </c>
      <c r="B222" s="84" t="s">
        <v>539</v>
      </c>
      <c r="C222" s="64" t="s">
        <v>155</v>
      </c>
      <c r="D222" s="87">
        <v>3.13</v>
      </c>
      <c r="E222" s="65">
        <v>467.86</v>
      </c>
      <c r="F222" s="65"/>
      <c r="G222" s="251">
        <v>467.86</v>
      </c>
      <c r="H222" s="251">
        <f t="shared" si="47"/>
        <v>1464.4</v>
      </c>
      <c r="I222" s="252">
        <f t="shared" si="48"/>
        <v>0</v>
      </c>
      <c r="J222" s="73">
        <v>1464.4</v>
      </c>
      <c r="K222" s="538"/>
      <c r="L222" s="51"/>
      <c r="N222" s="4">
        <v>427.44</v>
      </c>
      <c r="O222" s="233">
        <f t="shared" si="49"/>
        <v>1337.8871999999999</v>
      </c>
      <c r="Q222" s="545"/>
    </row>
    <row r="223" spans="1:17" ht="14.1" customHeight="1" outlineLevel="2">
      <c r="A223" s="104">
        <f t="shared" si="34"/>
        <v>3.0420040000000039</v>
      </c>
      <c r="B223" s="642" t="s">
        <v>563</v>
      </c>
      <c r="C223" s="64" t="s">
        <v>161</v>
      </c>
      <c r="D223" s="87">
        <v>22.58</v>
      </c>
      <c r="E223" s="65">
        <v>37.5</v>
      </c>
      <c r="F223" s="65"/>
      <c r="G223" s="251">
        <v>37.5</v>
      </c>
      <c r="H223" s="251">
        <f t="shared" si="47"/>
        <v>846.75</v>
      </c>
      <c r="I223" s="252">
        <f t="shared" si="48"/>
        <v>0</v>
      </c>
      <c r="J223" s="73">
        <v>846.75</v>
      </c>
      <c r="K223" s="538"/>
      <c r="L223" s="51"/>
      <c r="Q223" s="545"/>
    </row>
    <row r="224" spans="1:17" ht="14.1" customHeight="1" outlineLevel="2">
      <c r="A224" s="104">
        <f t="shared" si="34"/>
        <v>3.0420050000000041</v>
      </c>
      <c r="B224" s="642" t="s">
        <v>564</v>
      </c>
      <c r="C224" s="64" t="s">
        <v>161</v>
      </c>
      <c r="D224" s="87">
        <v>96.42</v>
      </c>
      <c r="E224" s="65">
        <v>43.5</v>
      </c>
      <c r="F224" s="65"/>
      <c r="G224" s="251">
        <v>43.5</v>
      </c>
      <c r="H224" s="251">
        <f t="shared" si="47"/>
        <v>4194.2700000000004</v>
      </c>
      <c r="I224" s="252">
        <f t="shared" si="48"/>
        <v>0</v>
      </c>
      <c r="J224" s="73">
        <v>4194.2700000000004</v>
      </c>
      <c r="K224" s="538"/>
      <c r="L224" s="51"/>
      <c r="Q224" s="545"/>
    </row>
    <row r="225" spans="1:17" ht="14.1" customHeight="1" outlineLevel="2">
      <c r="A225" s="104">
        <f t="shared" si="34"/>
        <v>3.0420060000000042</v>
      </c>
      <c r="B225" s="641" t="s">
        <v>567</v>
      </c>
      <c r="C225" s="64" t="s">
        <v>161</v>
      </c>
      <c r="D225" s="87">
        <v>119</v>
      </c>
      <c r="E225" s="65">
        <v>45.2</v>
      </c>
      <c r="F225" s="65"/>
      <c r="G225" s="251">
        <v>45.2</v>
      </c>
      <c r="H225" s="251">
        <f t="shared" si="47"/>
        <v>5378.8</v>
      </c>
      <c r="I225" s="252">
        <f t="shared" si="48"/>
        <v>0</v>
      </c>
      <c r="J225" s="73">
        <v>5378.8</v>
      </c>
      <c r="K225" s="538"/>
      <c r="L225" s="550">
        <v>45.2</v>
      </c>
      <c r="M225" s="233">
        <f>+L225*D225</f>
        <v>5378.8</v>
      </c>
      <c r="Q225" s="545"/>
    </row>
    <row r="226" spans="1:17" ht="14.1" customHeight="1" outlineLevel="2">
      <c r="A226" s="104">
        <f t="shared" si="34"/>
        <v>3.0420070000000043</v>
      </c>
      <c r="B226" s="642" t="s">
        <v>544</v>
      </c>
      <c r="C226" s="64" t="s">
        <v>161</v>
      </c>
      <c r="D226" s="87">
        <v>119</v>
      </c>
      <c r="E226" s="65">
        <v>5.43</v>
      </c>
      <c r="F226" s="65"/>
      <c r="G226" s="251">
        <v>5.43</v>
      </c>
      <c r="H226" s="251">
        <f t="shared" si="47"/>
        <v>646.16999999999996</v>
      </c>
      <c r="I226" s="252">
        <f t="shared" si="48"/>
        <v>0</v>
      </c>
      <c r="J226" s="73">
        <v>646.16999999999996</v>
      </c>
      <c r="K226" s="538"/>
      <c r="L226" s="51"/>
      <c r="Q226" s="545"/>
    </row>
    <row r="227" spans="1:17" ht="14.25" customHeight="1" outlineLevel="2">
      <c r="A227" s="104">
        <f t="shared" si="34"/>
        <v>3.0420080000000045</v>
      </c>
      <c r="B227" s="70" t="s">
        <v>552</v>
      </c>
      <c r="C227" s="64" t="s">
        <v>177</v>
      </c>
      <c r="D227" s="87">
        <v>1264.51</v>
      </c>
      <c r="E227" s="65">
        <v>1.1499999999999999</v>
      </c>
      <c r="F227" s="65">
        <v>0.94</v>
      </c>
      <c r="G227" s="251">
        <v>4.68</v>
      </c>
      <c r="H227" s="251">
        <f t="shared" si="47"/>
        <v>1454.19</v>
      </c>
      <c r="I227" s="252">
        <f t="shared" si="48"/>
        <v>1188.6400000000001</v>
      </c>
      <c r="J227" s="73">
        <v>5911.59</v>
      </c>
      <c r="K227" s="538"/>
      <c r="L227" s="51"/>
      <c r="P227" s="398">
        <v>0.94</v>
      </c>
      <c r="Q227" s="549">
        <f t="shared" ref="Q227:Q229" si="50">+P227*D227</f>
        <v>1188.6394</v>
      </c>
    </row>
    <row r="228" spans="1:17" ht="14.1" customHeight="1" outlineLevel="2">
      <c r="A228" s="104">
        <f t="shared" si="34"/>
        <v>3.0420090000000046</v>
      </c>
      <c r="B228" s="70" t="s">
        <v>553</v>
      </c>
      <c r="C228" s="64" t="s">
        <v>177</v>
      </c>
      <c r="D228" s="87">
        <v>1250.25</v>
      </c>
      <c r="E228" s="65">
        <v>0</v>
      </c>
      <c r="F228" s="65">
        <v>0.94</v>
      </c>
      <c r="G228" s="251">
        <v>3.53</v>
      </c>
      <c r="H228" s="251">
        <f t="shared" si="47"/>
        <v>0</v>
      </c>
      <c r="I228" s="252">
        <f t="shared" si="48"/>
        <v>1175.24</v>
      </c>
      <c r="J228" s="73">
        <v>4407.1499999999996</v>
      </c>
      <c r="K228" s="538"/>
      <c r="L228" s="51"/>
      <c r="P228" s="398">
        <v>0.94</v>
      </c>
      <c r="Q228" s="549">
        <f t="shared" si="50"/>
        <v>1175.2349999999999</v>
      </c>
    </row>
    <row r="229" spans="1:17" ht="23.25" customHeight="1" outlineLevel="2">
      <c r="A229" s="104">
        <f t="shared" si="34"/>
        <v>3.0420100000000048</v>
      </c>
      <c r="B229" s="646" t="s">
        <v>565</v>
      </c>
      <c r="C229" s="64" t="s">
        <v>177</v>
      </c>
      <c r="D229" s="87">
        <v>510.51</v>
      </c>
      <c r="E229" s="65">
        <v>1.1499999999999999</v>
      </c>
      <c r="F229" s="65">
        <v>0.94</v>
      </c>
      <c r="G229" s="251">
        <v>4.68</v>
      </c>
      <c r="H229" s="251">
        <f t="shared" si="47"/>
        <v>587.09</v>
      </c>
      <c r="I229" s="252">
        <f t="shared" si="48"/>
        <v>479.88</v>
      </c>
      <c r="J229" s="73">
        <v>2386.64</v>
      </c>
      <c r="K229" s="538"/>
      <c r="L229" s="51"/>
      <c r="P229" s="398">
        <v>0.94</v>
      </c>
      <c r="Q229" s="549">
        <f t="shared" si="50"/>
        <v>479.87939999999998</v>
      </c>
    </row>
    <row r="230" spans="1:17" ht="14.1" customHeight="1" outlineLevel="2">
      <c r="A230" s="104">
        <f t="shared" si="34"/>
        <v>3.0420110000000049</v>
      </c>
      <c r="B230" s="70" t="s">
        <v>467</v>
      </c>
      <c r="C230" s="64" t="s">
        <v>161</v>
      </c>
      <c r="D230" s="87">
        <v>119</v>
      </c>
      <c r="E230" s="65">
        <v>1.5</v>
      </c>
      <c r="F230" s="65"/>
      <c r="G230" s="251">
        <v>1.5</v>
      </c>
      <c r="H230" s="251">
        <f t="shared" si="47"/>
        <v>178.5</v>
      </c>
      <c r="I230" s="252">
        <f t="shared" si="48"/>
        <v>0</v>
      </c>
      <c r="J230" s="73">
        <v>178.5</v>
      </c>
      <c r="K230" s="538"/>
      <c r="L230" s="51"/>
      <c r="Q230" s="545"/>
    </row>
    <row r="231" spans="1:17" ht="14.1" customHeight="1" outlineLevel="1">
      <c r="A231" s="285">
        <f>A208+0.0001</f>
        <v>3.0420000000000034</v>
      </c>
      <c r="B231" s="647" t="s">
        <v>568</v>
      </c>
      <c r="C231" s="648"/>
      <c r="D231" s="87"/>
      <c r="E231" s="65"/>
      <c r="F231" s="65"/>
      <c r="G231" s="251"/>
      <c r="H231" s="251"/>
      <c r="I231" s="252"/>
      <c r="J231" s="73"/>
      <c r="K231" s="538"/>
      <c r="L231" s="51"/>
      <c r="Q231" s="545"/>
    </row>
    <row r="232" spans="1:17" ht="14.1" customHeight="1" outlineLevel="2">
      <c r="A232" s="104">
        <f>A231+0.000001</f>
        <v>3.0420010000000035</v>
      </c>
      <c r="B232" s="70" t="s">
        <v>569</v>
      </c>
      <c r="C232" s="64" t="s">
        <v>155</v>
      </c>
      <c r="D232" s="87">
        <v>0</v>
      </c>
      <c r="E232" s="65">
        <v>448.28</v>
      </c>
      <c r="F232" s="65"/>
      <c r="G232" s="251">
        <v>448.28</v>
      </c>
      <c r="H232" s="251">
        <f t="shared" si="25"/>
        <v>0</v>
      </c>
      <c r="I232" s="252">
        <f>+ROUND(D232*F232,2)</f>
        <v>0</v>
      </c>
      <c r="J232" s="73">
        <v>0</v>
      </c>
      <c r="K232" s="538"/>
      <c r="L232" s="51"/>
      <c r="O232" s="233">
        <f t="shared" ref="O232" si="51">+N232*D232</f>
        <v>0</v>
      </c>
      <c r="Q232" s="545"/>
    </row>
    <row r="233" spans="1:17" ht="14.1" customHeight="1" outlineLevel="2">
      <c r="A233" s="104">
        <f>A232+0.000001</f>
        <v>3.0420020000000036</v>
      </c>
      <c r="B233" s="70" t="s">
        <v>570</v>
      </c>
      <c r="C233" s="64" t="s">
        <v>161</v>
      </c>
      <c r="D233" s="87">
        <v>0</v>
      </c>
      <c r="E233" s="65">
        <v>37.700000000000003</v>
      </c>
      <c r="F233" s="65"/>
      <c r="G233" s="251">
        <v>37.700000000000003</v>
      </c>
      <c r="H233" s="251">
        <f t="shared" si="25"/>
        <v>0</v>
      </c>
      <c r="I233" s="252">
        <f>+ROUND(D233*F233,2)</f>
        <v>0</v>
      </c>
      <c r="J233" s="73">
        <v>0</v>
      </c>
      <c r="K233" s="538"/>
      <c r="L233" s="51"/>
      <c r="Q233" s="545"/>
    </row>
    <row r="234" spans="1:17" ht="14.1" customHeight="1" outlineLevel="2">
      <c r="A234" s="104">
        <f>A233+0.000001</f>
        <v>3.0420030000000038</v>
      </c>
      <c r="B234" s="70" t="s">
        <v>496</v>
      </c>
      <c r="C234" s="64" t="s">
        <v>177</v>
      </c>
      <c r="D234" s="87">
        <v>0</v>
      </c>
      <c r="E234" s="65">
        <v>1.1499999999999999</v>
      </c>
      <c r="F234" s="65">
        <v>0.94</v>
      </c>
      <c r="G234" s="251">
        <v>4.68</v>
      </c>
      <c r="H234" s="251">
        <f t="shared" si="25"/>
        <v>0</v>
      </c>
      <c r="I234" s="252">
        <f>+ROUND(D234*F234,2)</f>
        <v>0</v>
      </c>
      <c r="J234" s="73">
        <v>0</v>
      </c>
      <c r="K234" s="538"/>
      <c r="L234" s="51"/>
      <c r="P234" s="398">
        <v>0.94</v>
      </c>
      <c r="Q234" s="549">
        <f>+P234*D234</f>
        <v>0</v>
      </c>
    </row>
    <row r="235" spans="1:17" ht="14.1" customHeight="1" outlineLevel="2">
      <c r="A235" s="104">
        <f>A234+0.000001</f>
        <v>3.0420040000000039</v>
      </c>
      <c r="B235" s="70" t="s">
        <v>571</v>
      </c>
      <c r="C235" s="64" t="s">
        <v>155</v>
      </c>
      <c r="D235" s="87">
        <v>0</v>
      </c>
      <c r="E235" s="640">
        <v>325.85000000000002</v>
      </c>
      <c r="F235" s="65"/>
      <c r="G235" s="251">
        <v>325.85000000000002</v>
      </c>
      <c r="H235" s="251">
        <f t="shared" si="25"/>
        <v>0</v>
      </c>
      <c r="I235" s="252">
        <f>+ROUND(D235*F235,2)</f>
        <v>0</v>
      </c>
      <c r="J235" s="73">
        <v>0</v>
      </c>
      <c r="K235" s="538"/>
      <c r="L235" s="51"/>
      <c r="Q235" s="545"/>
    </row>
    <row r="236" spans="1:17" ht="13.5" customHeight="1" outlineLevel="2">
      <c r="A236" s="104">
        <f>A235+0.000001</f>
        <v>3.0420050000000041</v>
      </c>
      <c r="B236" s="70" t="s">
        <v>467</v>
      </c>
      <c r="C236" s="64" t="s">
        <v>161</v>
      </c>
      <c r="D236" s="87">
        <v>0</v>
      </c>
      <c r="E236" s="65">
        <v>1.5</v>
      </c>
      <c r="F236" s="65"/>
      <c r="G236" s="251">
        <v>1.5</v>
      </c>
      <c r="H236" s="251">
        <f t="shared" si="25"/>
        <v>0</v>
      </c>
      <c r="I236" s="252">
        <f>+ROUND(D236*F236,2)</f>
        <v>0</v>
      </c>
      <c r="J236" s="73">
        <v>0</v>
      </c>
      <c r="K236" s="538"/>
      <c r="L236" s="51"/>
      <c r="Q236" s="545"/>
    </row>
    <row r="237" spans="1:17" ht="14.1" customHeight="1" outlineLevel="1">
      <c r="A237" s="285">
        <f>A231+0.0001</f>
        <v>3.0421000000000036</v>
      </c>
      <c r="B237" s="647" t="s">
        <v>572</v>
      </c>
      <c r="C237" s="648"/>
      <c r="D237" s="87"/>
      <c r="E237" s="65"/>
      <c r="F237" s="65"/>
      <c r="G237" s="251"/>
      <c r="H237" s="251"/>
      <c r="I237" s="252"/>
      <c r="J237" s="73"/>
      <c r="K237" s="538"/>
      <c r="L237" s="51"/>
      <c r="Q237" s="545"/>
    </row>
    <row r="238" spans="1:17" ht="14.1" customHeight="1" outlineLevel="2">
      <c r="A238" s="104">
        <f t="shared" ref="A238:A245" si="52">A237+0.000001</f>
        <v>3.0421010000000037</v>
      </c>
      <c r="B238" s="70" t="s">
        <v>573</v>
      </c>
      <c r="C238" s="71" t="s">
        <v>155</v>
      </c>
      <c r="D238" s="87">
        <v>30</v>
      </c>
      <c r="E238" s="65">
        <v>413.89</v>
      </c>
      <c r="F238" s="65"/>
      <c r="G238" s="251">
        <v>413.89</v>
      </c>
      <c r="H238" s="251">
        <f t="shared" si="25"/>
        <v>12416.7</v>
      </c>
      <c r="I238" s="252">
        <f>+ROUND(D238*F238,2)</f>
        <v>0</v>
      </c>
      <c r="J238" s="73">
        <v>12416.7</v>
      </c>
      <c r="K238" s="538"/>
      <c r="L238" s="51"/>
      <c r="N238" s="4">
        <v>355.79</v>
      </c>
      <c r="O238" s="233">
        <f t="shared" ref="O238" si="53">+N238*D238</f>
        <v>10673.7</v>
      </c>
      <c r="Q238" s="545"/>
    </row>
    <row r="239" spans="1:17" ht="14.1" customHeight="1" outlineLevel="2">
      <c r="A239" s="104">
        <f t="shared" si="52"/>
        <v>3.0421020000000039</v>
      </c>
      <c r="B239" s="70" t="s">
        <v>574</v>
      </c>
      <c r="C239" s="71" t="s">
        <v>161</v>
      </c>
      <c r="D239" s="87">
        <v>186.25</v>
      </c>
      <c r="E239" s="65">
        <v>55.1</v>
      </c>
      <c r="F239" s="65"/>
      <c r="G239" s="251">
        <v>55.1</v>
      </c>
      <c r="H239" s="251">
        <f t="shared" si="25"/>
        <v>10262.379999999999</v>
      </c>
      <c r="I239" s="252">
        <f>+ROUND(D239*F239,2)</f>
        <v>0</v>
      </c>
      <c r="J239" s="73">
        <v>10262.379999999999</v>
      </c>
      <c r="K239" s="538"/>
      <c r="L239" s="51"/>
      <c r="Q239" s="545"/>
    </row>
    <row r="240" spans="1:17" ht="14.1" customHeight="1" outlineLevel="2">
      <c r="A240" s="104">
        <f t="shared" si="52"/>
        <v>3.042103000000004</v>
      </c>
      <c r="B240" s="70" t="s">
        <v>496</v>
      </c>
      <c r="C240" s="71" t="s">
        <v>177</v>
      </c>
      <c r="D240" s="87">
        <v>3234.85</v>
      </c>
      <c r="E240" s="65">
        <v>1.1499999999999999</v>
      </c>
      <c r="F240" s="65">
        <v>0.94</v>
      </c>
      <c r="G240" s="251">
        <v>4.68</v>
      </c>
      <c r="H240" s="251">
        <f t="shared" si="25"/>
        <v>3720.08</v>
      </c>
      <c r="I240" s="252">
        <f>+ROUND(D240*F240,2)</f>
        <v>3040.76</v>
      </c>
      <c r="J240" s="73">
        <v>15122.93</v>
      </c>
      <c r="K240" s="538"/>
      <c r="L240" s="51"/>
      <c r="P240" s="398">
        <v>0.94</v>
      </c>
      <c r="Q240" s="549">
        <f>+P240*D240</f>
        <v>3040.7589999999996</v>
      </c>
    </row>
    <row r="241" spans="1:17" ht="14.1" customHeight="1" outlineLevel="2">
      <c r="A241" s="104">
        <f t="shared" si="52"/>
        <v>3.0421040000000041</v>
      </c>
      <c r="B241" s="70" t="s">
        <v>467</v>
      </c>
      <c r="C241" s="71" t="s">
        <v>161</v>
      </c>
      <c r="D241" s="87">
        <v>186.25</v>
      </c>
      <c r="E241" s="65">
        <v>1.5</v>
      </c>
      <c r="F241" s="65"/>
      <c r="G241" s="251">
        <v>1.5</v>
      </c>
      <c r="H241" s="251">
        <f t="shared" si="25"/>
        <v>279.38</v>
      </c>
      <c r="I241" s="252">
        <f>+ROUND(D241*F241,2)</f>
        <v>0</v>
      </c>
      <c r="J241" s="73">
        <v>279.38</v>
      </c>
      <c r="K241" s="538"/>
      <c r="L241" s="51"/>
      <c r="Q241" s="545"/>
    </row>
    <row r="242" spans="1:17" ht="14.1" customHeight="1" outlineLevel="1">
      <c r="A242" s="285">
        <f>A237+0.0001</f>
        <v>3.0422000000000038</v>
      </c>
      <c r="B242" s="647" t="s">
        <v>575</v>
      </c>
      <c r="C242" s="648"/>
      <c r="D242" s="87"/>
      <c r="E242" s="65"/>
      <c r="F242" s="65"/>
      <c r="G242" s="251"/>
      <c r="H242" s="251"/>
      <c r="I242" s="252"/>
      <c r="J242" s="73"/>
      <c r="K242" s="538"/>
      <c r="L242" s="51"/>
      <c r="Q242" s="545"/>
    </row>
    <row r="243" spans="1:17" ht="14.1" customHeight="1" outlineLevel="2">
      <c r="A243" s="104">
        <f t="shared" si="52"/>
        <v>3.0422010000000039</v>
      </c>
      <c r="B243" s="70" t="s">
        <v>576</v>
      </c>
      <c r="C243" s="71" t="s">
        <v>155</v>
      </c>
      <c r="D243" s="87">
        <v>0.98</v>
      </c>
      <c r="E243" s="65">
        <v>408.39</v>
      </c>
      <c r="F243" s="65"/>
      <c r="G243" s="251">
        <v>408.39</v>
      </c>
      <c r="H243" s="251">
        <f t="shared" si="25"/>
        <v>400.22</v>
      </c>
      <c r="I243" s="252">
        <f>+ROUND(D243*F243,2)</f>
        <v>0</v>
      </c>
      <c r="J243" s="73">
        <v>400.22</v>
      </c>
      <c r="K243" s="538"/>
      <c r="L243" s="51"/>
      <c r="N243" s="4">
        <v>359.49</v>
      </c>
      <c r="O243" s="233">
        <f t="shared" ref="O243" si="54">+N243*D243</f>
        <v>352.30020000000002</v>
      </c>
      <c r="Q243" s="545"/>
    </row>
    <row r="244" spans="1:17" ht="14.1" customHeight="1" outlineLevel="2">
      <c r="A244" s="104">
        <f t="shared" si="52"/>
        <v>3.0422020000000041</v>
      </c>
      <c r="B244" s="70" t="s">
        <v>496</v>
      </c>
      <c r="C244" s="71" t="s">
        <v>177</v>
      </c>
      <c r="D244" s="87">
        <v>77.069999999999993</v>
      </c>
      <c r="E244" s="65">
        <v>1.1499999999999999</v>
      </c>
      <c r="F244" s="65">
        <v>0.94</v>
      </c>
      <c r="G244" s="251">
        <v>4.68</v>
      </c>
      <c r="H244" s="251">
        <f t="shared" si="25"/>
        <v>88.63</v>
      </c>
      <c r="I244" s="252">
        <f>+ROUND(D244*F244,2)</f>
        <v>72.45</v>
      </c>
      <c r="J244" s="73">
        <v>360.32</v>
      </c>
      <c r="K244" s="538"/>
      <c r="L244" s="51"/>
      <c r="P244" s="398">
        <v>0.94</v>
      </c>
      <c r="Q244" s="549">
        <f>+P244*D244</f>
        <v>72.445799999999991</v>
      </c>
    </row>
    <row r="245" spans="1:17" ht="14.1" customHeight="1" outlineLevel="2">
      <c r="A245" s="104">
        <f t="shared" si="52"/>
        <v>3.0422030000000042</v>
      </c>
      <c r="B245" s="70" t="s">
        <v>467</v>
      </c>
      <c r="C245" s="71" t="s">
        <v>161</v>
      </c>
      <c r="D245" s="87">
        <v>6.55</v>
      </c>
      <c r="E245" s="65">
        <v>1.5</v>
      </c>
      <c r="F245" s="65"/>
      <c r="G245" s="251">
        <v>1.5</v>
      </c>
      <c r="H245" s="251">
        <f t="shared" si="25"/>
        <v>9.83</v>
      </c>
      <c r="I245" s="252">
        <f>+ROUND(D245*F245,2)</f>
        <v>0</v>
      </c>
      <c r="J245" s="73">
        <v>9.83</v>
      </c>
      <c r="K245" s="538"/>
      <c r="L245" s="51"/>
      <c r="Q245" s="545"/>
    </row>
    <row r="246" spans="1:17" ht="13.5" customHeight="1" outlineLevel="1">
      <c r="A246" s="285">
        <f>A242+0.0001</f>
        <v>3.042300000000004</v>
      </c>
      <c r="B246" s="647" t="s">
        <v>577</v>
      </c>
      <c r="C246" s="648"/>
      <c r="D246" s="87"/>
      <c r="E246" s="65"/>
      <c r="F246" s="39"/>
      <c r="G246" s="251"/>
      <c r="H246" s="251"/>
      <c r="I246" s="252"/>
      <c r="J246" s="73"/>
      <c r="K246" s="538"/>
      <c r="L246" s="51"/>
      <c r="Q246" s="545"/>
    </row>
    <row r="247" spans="1:17" outlineLevel="2">
      <c r="A247" s="104">
        <f>A246+0.000001</f>
        <v>3.0423010000000041</v>
      </c>
      <c r="B247" s="70" t="s">
        <v>578</v>
      </c>
      <c r="C247" s="64" t="s">
        <v>155</v>
      </c>
      <c r="D247" s="87">
        <v>0</v>
      </c>
      <c r="E247" s="65">
        <v>412.35</v>
      </c>
      <c r="F247" s="65"/>
      <c r="G247" s="251">
        <v>412.35</v>
      </c>
      <c r="H247" s="251">
        <f t="shared" si="25"/>
        <v>0</v>
      </c>
      <c r="I247" s="252">
        <f>+ROUND(D247*F247,2)</f>
        <v>0</v>
      </c>
      <c r="J247" s="73">
        <v>0</v>
      </c>
      <c r="K247" s="538"/>
      <c r="L247" s="51"/>
      <c r="O247" s="233">
        <f t="shared" ref="O247" si="55">+N247*D247</f>
        <v>0</v>
      </c>
      <c r="Q247" s="545"/>
    </row>
    <row r="248" spans="1:17" ht="14.1" customHeight="1" outlineLevel="2">
      <c r="A248" s="104">
        <f>A247+0.000001</f>
        <v>3.0423020000000043</v>
      </c>
      <c r="B248" s="70" t="s">
        <v>579</v>
      </c>
      <c r="C248" s="71" t="s">
        <v>161</v>
      </c>
      <c r="D248" s="87">
        <v>0</v>
      </c>
      <c r="E248" s="640">
        <v>93.72</v>
      </c>
      <c r="F248" s="39"/>
      <c r="G248" s="251">
        <v>93.72</v>
      </c>
      <c r="H248" s="251">
        <f t="shared" si="25"/>
        <v>0</v>
      </c>
      <c r="I248" s="252">
        <f>+ROUND(D248*F248,2)</f>
        <v>0</v>
      </c>
      <c r="J248" s="73">
        <v>0</v>
      </c>
      <c r="K248" s="538"/>
      <c r="L248" s="51"/>
      <c r="Q248" s="545"/>
    </row>
    <row r="249" spans="1:17" ht="14.1" customHeight="1" outlineLevel="2">
      <c r="A249" s="104">
        <f>A248+0.000001</f>
        <v>3.0423030000000044</v>
      </c>
      <c r="B249" s="70" t="s">
        <v>496</v>
      </c>
      <c r="C249" s="71" t="s">
        <v>177</v>
      </c>
      <c r="D249" s="87">
        <v>0</v>
      </c>
      <c r="E249" s="65">
        <v>1.1499999999999999</v>
      </c>
      <c r="F249" s="65">
        <v>0.94</v>
      </c>
      <c r="G249" s="251">
        <v>4.68</v>
      </c>
      <c r="H249" s="251">
        <f t="shared" si="25"/>
        <v>0</v>
      </c>
      <c r="I249" s="252">
        <f>+ROUND(D249*F249,2)</f>
        <v>0</v>
      </c>
      <c r="J249" s="73">
        <v>0</v>
      </c>
      <c r="K249" s="538"/>
      <c r="L249" s="51"/>
      <c r="P249" s="398">
        <v>0.94</v>
      </c>
      <c r="Q249" s="549">
        <f>+P249*D249</f>
        <v>0</v>
      </c>
    </row>
    <row r="250" spans="1:17" ht="14.1" customHeight="1" outlineLevel="2">
      <c r="A250" s="104">
        <f>A249+0.000001</f>
        <v>3.0423040000000046</v>
      </c>
      <c r="B250" s="70" t="s">
        <v>467</v>
      </c>
      <c r="C250" s="71" t="s">
        <v>161</v>
      </c>
      <c r="D250" s="87">
        <v>0</v>
      </c>
      <c r="E250" s="65">
        <v>1.5</v>
      </c>
      <c r="F250" s="39"/>
      <c r="G250" s="251">
        <v>1.5</v>
      </c>
      <c r="H250" s="251">
        <f t="shared" si="25"/>
        <v>0</v>
      </c>
      <c r="I250" s="252">
        <f>+ROUND(D250*F250,2)</f>
        <v>0</v>
      </c>
      <c r="J250" s="73">
        <v>0</v>
      </c>
      <c r="K250" s="538"/>
      <c r="L250" s="51"/>
      <c r="Q250" s="545"/>
    </row>
    <row r="251" spans="1:17" ht="13.5" customHeight="1" outlineLevel="1">
      <c r="A251" s="285">
        <f>A247+0.0001</f>
        <v>3.0424010000000044</v>
      </c>
      <c r="B251" s="647" t="s">
        <v>580</v>
      </c>
      <c r="C251" s="648"/>
      <c r="D251" s="87"/>
      <c r="E251" s="65"/>
      <c r="F251" s="39"/>
      <c r="G251" s="251"/>
      <c r="H251" s="251"/>
      <c r="I251" s="252"/>
      <c r="J251" s="73"/>
      <c r="K251" s="538"/>
      <c r="L251" s="51"/>
      <c r="Q251" s="545"/>
    </row>
    <row r="252" spans="1:17" outlineLevel="2">
      <c r="A252" s="104">
        <f>A251+0.0001</f>
        <v>3.0425010000000046</v>
      </c>
      <c r="B252" s="70" t="s">
        <v>581</v>
      </c>
      <c r="C252" s="64" t="s">
        <v>155</v>
      </c>
      <c r="D252" s="649">
        <v>4.5</v>
      </c>
      <c r="E252" s="65">
        <v>506.18</v>
      </c>
      <c r="F252" s="65"/>
      <c r="G252" s="251">
        <v>506.18</v>
      </c>
      <c r="H252" s="251">
        <f>+ROUND(D252*E252,2)</f>
        <v>2277.81</v>
      </c>
      <c r="I252" s="252">
        <f>+ROUND(D252*F252,2)</f>
        <v>0</v>
      </c>
      <c r="J252" s="73">
        <v>2277.81</v>
      </c>
      <c r="K252" s="538"/>
      <c r="L252" s="51"/>
      <c r="N252" s="4">
        <v>359.49</v>
      </c>
      <c r="O252" s="233">
        <f t="shared" ref="O252" si="56">+N252*D252</f>
        <v>1617.7049999999999</v>
      </c>
      <c r="Q252" s="545"/>
    </row>
    <row r="253" spans="1:17" ht="14.1" customHeight="1" outlineLevel="2">
      <c r="A253" s="104">
        <f>A252+0.0001</f>
        <v>3.0426010000000048</v>
      </c>
      <c r="B253" s="70" t="s">
        <v>582</v>
      </c>
      <c r="C253" s="71" t="s">
        <v>161</v>
      </c>
      <c r="D253" s="649">
        <v>18</v>
      </c>
      <c r="E253" s="640">
        <v>93.72</v>
      </c>
      <c r="F253" s="39"/>
      <c r="G253" s="251">
        <v>93.72</v>
      </c>
      <c r="H253" s="251">
        <f>+ROUND(D253*E253,2)</f>
        <v>1686.96</v>
      </c>
      <c r="I253" s="252">
        <f>+ROUND(D253*F253,2)</f>
        <v>0</v>
      </c>
      <c r="J253" s="73">
        <v>1686.96</v>
      </c>
      <c r="K253" s="538"/>
      <c r="L253" s="51"/>
      <c r="Q253" s="545"/>
    </row>
    <row r="254" spans="1:17" ht="14.1" customHeight="1" outlineLevel="2">
      <c r="A254" s="104">
        <f>A253+0.0001</f>
        <v>3.042701000000005</v>
      </c>
      <c r="B254" s="70" t="s">
        <v>496</v>
      </c>
      <c r="C254" s="71" t="s">
        <v>177</v>
      </c>
      <c r="D254" s="649">
        <v>360</v>
      </c>
      <c r="E254" s="65">
        <v>1.1499999999999999</v>
      </c>
      <c r="F254" s="65">
        <v>0.94</v>
      </c>
      <c r="G254" s="251">
        <v>4.68</v>
      </c>
      <c r="H254" s="251">
        <f>+ROUND(D254*E254,2)</f>
        <v>414</v>
      </c>
      <c r="I254" s="252">
        <f>+ROUND(D254*F254,2)</f>
        <v>338.4</v>
      </c>
      <c r="J254" s="73">
        <v>1683</v>
      </c>
      <c r="K254" s="538"/>
      <c r="L254" s="51"/>
      <c r="P254" s="398">
        <v>0.94</v>
      </c>
      <c r="Q254" s="549">
        <f>+P254*D254</f>
        <v>338.4</v>
      </c>
    </row>
    <row r="255" spans="1:17" ht="14.1" customHeight="1" outlineLevel="2">
      <c r="A255" s="104">
        <f>A254+0.0001</f>
        <v>3.0428010000000052</v>
      </c>
      <c r="B255" s="70" t="s">
        <v>467</v>
      </c>
      <c r="C255" s="71" t="s">
        <v>161</v>
      </c>
      <c r="D255" s="649">
        <v>18</v>
      </c>
      <c r="E255" s="65">
        <v>1.5</v>
      </c>
      <c r="F255" s="39"/>
      <c r="G255" s="251">
        <v>1.5</v>
      </c>
      <c r="H255" s="251">
        <f>+ROUND(D255*E255,2)</f>
        <v>27</v>
      </c>
      <c r="I255" s="252">
        <f>+ROUND(D255*F255,2)</f>
        <v>0</v>
      </c>
      <c r="J255" s="73">
        <v>27</v>
      </c>
      <c r="K255" s="538"/>
      <c r="L255" s="51"/>
      <c r="Q255" s="545"/>
    </row>
    <row r="256" spans="1:17" ht="14.1" customHeight="1" outlineLevel="2">
      <c r="A256" s="104">
        <f>A255+0.0001</f>
        <v>3.0429010000000054</v>
      </c>
      <c r="B256" s="650" t="s">
        <v>583</v>
      </c>
      <c r="C256" s="651" t="s">
        <v>161</v>
      </c>
      <c r="D256" s="649">
        <v>8</v>
      </c>
      <c r="E256" s="640">
        <v>199.51</v>
      </c>
      <c r="F256" s="39"/>
      <c r="G256" s="251">
        <v>199.51</v>
      </c>
      <c r="H256" s="251">
        <f>+ROUND(D256*E256,2)</f>
        <v>1596.08</v>
      </c>
      <c r="I256" s="252">
        <f>+ROUND(D256*F256,2)</f>
        <v>0</v>
      </c>
      <c r="J256" s="73">
        <v>1596.08</v>
      </c>
      <c r="K256" s="538"/>
      <c r="L256" s="51"/>
      <c r="Q256" s="545"/>
    </row>
    <row r="257" spans="1:17" ht="14.1" customHeight="1">
      <c r="A257" s="418">
        <f>A52+0.01</f>
        <v>3.0499999999999989</v>
      </c>
      <c r="B257" s="652" t="s">
        <v>187</v>
      </c>
      <c r="C257" s="65"/>
      <c r="D257" s="65"/>
      <c r="E257" s="65"/>
      <c r="F257" s="65"/>
      <c r="G257" s="65"/>
      <c r="H257" s="65"/>
      <c r="I257" s="65"/>
      <c r="J257" s="65"/>
      <c r="K257" s="575">
        <v>50407.5</v>
      </c>
      <c r="L257" s="51"/>
      <c r="Q257" s="545"/>
    </row>
    <row r="258" spans="1:17" ht="14.1" customHeight="1">
      <c r="A258" s="103">
        <f>A257+0.000001</f>
        <v>3.0500009999999991</v>
      </c>
      <c r="B258" s="70" t="s">
        <v>584</v>
      </c>
      <c r="C258" s="71" t="s">
        <v>501</v>
      </c>
      <c r="D258" s="87">
        <v>202.5</v>
      </c>
      <c r="E258" s="65">
        <v>23</v>
      </c>
      <c r="F258" s="65"/>
      <c r="G258" s="160">
        <v>23</v>
      </c>
      <c r="H258" s="160">
        <f>+ROUND(D258*E258,2)</f>
        <v>4657.5</v>
      </c>
      <c r="I258" s="150">
        <f>+ROUND(D258*F258,2)</f>
        <v>0</v>
      </c>
      <c r="J258" s="73">
        <v>4657.5</v>
      </c>
      <c r="K258" s="537"/>
      <c r="L258" s="51"/>
      <c r="Q258" s="545"/>
    </row>
    <row r="259" spans="1:17" ht="14.1" customHeight="1" outlineLevel="2">
      <c r="A259" s="103">
        <f>A258+0.000001</f>
        <v>3.0500019999999992</v>
      </c>
      <c r="B259" s="84" t="s">
        <v>585</v>
      </c>
      <c r="C259" s="71" t="s">
        <v>39</v>
      </c>
      <c r="D259" s="87">
        <v>3.5</v>
      </c>
      <c r="E259" s="65">
        <v>4500</v>
      </c>
      <c r="F259" s="65"/>
      <c r="G259" s="160">
        <v>4500</v>
      </c>
      <c r="H259" s="160">
        <f t="shared" si="25"/>
        <v>15750</v>
      </c>
      <c r="I259" s="150">
        <f>+ROUND(D259*F259,2)</f>
        <v>0</v>
      </c>
      <c r="J259" s="73">
        <v>15750</v>
      </c>
      <c r="K259" s="538"/>
      <c r="L259" s="51"/>
      <c r="Q259" s="545"/>
    </row>
    <row r="260" spans="1:17" ht="14.1" customHeight="1" outlineLevel="2">
      <c r="A260" s="103">
        <f>A259+0.000001</f>
        <v>3.0500029999999994</v>
      </c>
      <c r="B260" s="225" t="s">
        <v>586</v>
      </c>
      <c r="C260" s="226" t="s">
        <v>39</v>
      </c>
      <c r="D260" s="87">
        <v>3.5</v>
      </c>
      <c r="E260" s="65">
        <v>5000</v>
      </c>
      <c r="F260" s="65"/>
      <c r="G260" s="160">
        <v>5000</v>
      </c>
      <c r="H260" s="160">
        <f t="shared" si="25"/>
        <v>17500</v>
      </c>
      <c r="I260" s="150">
        <f>+ROUND(D260*F260,2)</f>
        <v>0</v>
      </c>
      <c r="J260" s="73">
        <v>17500</v>
      </c>
      <c r="K260" s="538"/>
      <c r="L260" s="51"/>
      <c r="Q260" s="545"/>
    </row>
    <row r="261" spans="1:17" ht="14.1" customHeight="1" outlineLevel="2" thickBot="1">
      <c r="A261" s="103">
        <f>A260+0.000001</f>
        <v>3.0500039999999995</v>
      </c>
      <c r="B261" s="86" t="s">
        <v>587</v>
      </c>
      <c r="C261" s="72" t="s">
        <v>39</v>
      </c>
      <c r="D261" s="87">
        <v>0.5</v>
      </c>
      <c r="E261" s="65">
        <v>25000</v>
      </c>
      <c r="F261" s="65"/>
      <c r="G261" s="160">
        <v>25000</v>
      </c>
      <c r="H261" s="160">
        <f t="shared" si="25"/>
        <v>12500</v>
      </c>
      <c r="I261" s="150">
        <f>+ROUND(D261*F261,2)</f>
        <v>0</v>
      </c>
      <c r="J261" s="73">
        <v>12500</v>
      </c>
      <c r="K261" s="538"/>
      <c r="L261" s="51"/>
      <c r="Q261" s="545"/>
    </row>
    <row r="262" spans="1:17" ht="14.1" customHeight="1" thickTop="1">
      <c r="A262" s="164">
        <f>A257+0.01</f>
        <v>3.0599999999999987</v>
      </c>
      <c r="B262" s="100" t="s">
        <v>588</v>
      </c>
      <c r="C262" s="69"/>
      <c r="D262" s="69"/>
      <c r="E262" s="69"/>
      <c r="F262" s="69"/>
      <c r="G262" s="69"/>
      <c r="H262" s="69"/>
      <c r="I262" s="69"/>
      <c r="J262" s="69"/>
      <c r="K262" s="537">
        <v>13485.369999999995</v>
      </c>
      <c r="L262" s="51"/>
      <c r="Q262" s="545"/>
    </row>
    <row r="263" spans="1:17" ht="14.1" customHeight="1">
      <c r="A263" s="419">
        <f>A262+0.000001</f>
        <v>3.0600009999999989</v>
      </c>
      <c r="B263" s="406" t="s">
        <v>539</v>
      </c>
      <c r="C263" s="64" t="s">
        <v>155</v>
      </c>
      <c r="D263" s="87">
        <v>177.79</v>
      </c>
      <c r="E263" s="65">
        <v>467.86</v>
      </c>
      <c r="F263" s="65"/>
      <c r="G263" s="160">
        <v>467.86</v>
      </c>
      <c r="H263" s="160">
        <f>+ROUND(D263*E263,2)</f>
        <v>83180.83</v>
      </c>
      <c r="I263" s="150">
        <f>+ROUND(D263*F263,2)</f>
        <v>0</v>
      </c>
      <c r="J263" s="73">
        <v>83180.83</v>
      </c>
      <c r="K263" s="537"/>
      <c r="L263" s="51"/>
      <c r="N263" s="4">
        <v>427.44</v>
      </c>
      <c r="O263" s="233">
        <f t="shared" ref="O263:O264" si="57">+N263*D263</f>
        <v>75994.5576</v>
      </c>
      <c r="Q263" s="545"/>
    </row>
    <row r="264" spans="1:17" ht="14.1" customHeight="1" outlineLevel="2" thickBot="1">
      <c r="A264" s="419">
        <f>A263+0.000001</f>
        <v>3.060001999999999</v>
      </c>
      <c r="B264" s="85" t="s">
        <v>548</v>
      </c>
      <c r="C264" s="64" t="s">
        <v>155</v>
      </c>
      <c r="D264" s="87">
        <v>-177.79</v>
      </c>
      <c r="E264" s="65">
        <v>392.01</v>
      </c>
      <c r="F264" s="65"/>
      <c r="G264" s="160">
        <v>392.01</v>
      </c>
      <c r="H264" s="160">
        <f>+ROUND(D264*E264,2)</f>
        <v>-69695.460000000006</v>
      </c>
      <c r="I264" s="150">
        <f>+ROUND(D264*F264,2)</f>
        <v>0</v>
      </c>
      <c r="J264" s="73">
        <v>-69695.460000000006</v>
      </c>
      <c r="K264" s="538"/>
      <c r="L264" s="96"/>
      <c r="M264" s="546"/>
      <c r="N264" s="546">
        <v>351.59</v>
      </c>
      <c r="O264" s="233">
        <f t="shared" si="57"/>
        <v>-62509.186099999992</v>
      </c>
      <c r="P264" s="546"/>
      <c r="Q264" s="547"/>
    </row>
    <row r="265" spans="1:17" s="50" customFormat="1" ht="14.1" customHeight="1" thickTop="1" thickBot="1">
      <c r="A265" s="89"/>
      <c r="B265" s="90"/>
      <c r="C265" s="91"/>
      <c r="D265" s="224"/>
      <c r="E265" s="400" t="s">
        <v>11</v>
      </c>
      <c r="F265" s="174"/>
      <c r="G265" s="174"/>
      <c r="H265" s="77">
        <f>SUM(H12:H264)</f>
        <v>4905367.6399999969</v>
      </c>
      <c r="I265" s="78">
        <f>SUM(I12:I264)</f>
        <v>532216.75000000012</v>
      </c>
      <c r="J265" s="77">
        <v>6901180.4699999951</v>
      </c>
      <c r="K265" s="82">
        <v>6901180.4525000015</v>
      </c>
      <c r="M265" s="77">
        <f>SUM(M13:M264)</f>
        <v>396143.71799999999</v>
      </c>
      <c r="O265" s="77">
        <f>SUM(O13:O264)</f>
        <v>1626986.0821</v>
      </c>
      <c r="Q265" s="78">
        <f>SUM(Q11:Q264)</f>
        <v>404898.29779999988</v>
      </c>
    </row>
    <row r="266" spans="1:17" ht="11.25" customHeight="1" thickTop="1"/>
  </sheetData>
  <autoFilter ref="A10:K265" xr:uid="{00000000-0001-0000-0D00-000000000000}"/>
  <mergeCells count="2">
    <mergeCell ref="A2:K2"/>
    <mergeCell ref="L9:Q9"/>
  </mergeCells>
  <phoneticPr fontId="13" type="noConversion"/>
  <dataValidations count="1">
    <dataValidation type="list" allowBlank="1" showInputMessage="1" showErrorMessage="1" sqref="B212" xr:uid="{1EBDFE01-EFD8-4D4E-8767-7506F4F5C077}">
      <formula1>#REF!</formula1>
    </dataValidation>
  </dataValidations>
  <pageMargins left="0.7" right="0.7" top="0.75" bottom="0.75" header="0.3" footer="0.3"/>
  <pageSetup orientation="portrait" r:id="rId1"/>
  <ignoredErrors>
    <ignoredError sqref="B11 H12:I12"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Q177"/>
  <sheetViews>
    <sheetView workbookViewId="0">
      <selection activeCell="B157" sqref="A1:B1048576"/>
    </sheetView>
  </sheetViews>
  <sheetFormatPr defaultColWidth="7.85546875" defaultRowHeight="11.25" outlineLevelRow="2"/>
  <cols>
    <col min="1" max="1" width="15.5703125" style="46" customWidth="1"/>
    <col min="2" max="2" width="69.7109375" style="47" customWidth="1"/>
    <col min="3" max="3" width="5.28515625" style="9" customWidth="1"/>
    <col min="4" max="4" width="17.5703125" style="9" customWidth="1"/>
    <col min="5" max="6" width="17.140625" style="4" customWidth="1"/>
    <col min="7" max="7" width="15.7109375" style="4" customWidth="1"/>
    <col min="8" max="8" width="17.28515625" style="4" customWidth="1"/>
    <col min="9" max="9" width="16.42578125" style="4" customWidth="1"/>
    <col min="10" max="10" width="15.42578125" style="4" customWidth="1"/>
    <col min="11" max="11" width="16.42578125" style="4" customWidth="1"/>
    <col min="12" max="12" width="7.85546875" style="4"/>
    <col min="13" max="13" width="13.7109375" style="4" customWidth="1"/>
    <col min="14" max="14" width="7.85546875" style="4"/>
    <col min="15" max="15" width="12.28515625" style="4" customWidth="1"/>
    <col min="16" max="16" width="7.85546875" style="4"/>
    <col min="17" max="17" width="9.5703125" style="4" bestFit="1" customWidth="1"/>
    <col min="18" max="16384" width="7.85546875" style="4"/>
  </cols>
  <sheetData>
    <row r="1" spans="1:17" ht="14.25" customHeight="1">
      <c r="A1" s="25"/>
      <c r="B1" s="45"/>
      <c r="C1" s="3"/>
      <c r="D1" s="3"/>
      <c r="E1" s="2"/>
      <c r="F1" s="2"/>
      <c r="G1" s="2"/>
      <c r="H1" s="2"/>
    </row>
    <row r="2" spans="1:17" ht="14.25" customHeight="1">
      <c r="A2" s="1" t="s">
        <v>8</v>
      </c>
      <c r="B2" s="1"/>
      <c r="C2" s="1"/>
      <c r="D2" s="1"/>
      <c r="E2" s="1"/>
      <c r="F2" s="1"/>
      <c r="G2" s="1"/>
      <c r="H2" s="1"/>
      <c r="I2" s="1"/>
      <c r="J2" s="1"/>
      <c r="K2" s="1"/>
    </row>
    <row r="3" spans="1:17" ht="14.25" customHeight="1">
      <c r="A3" s="25"/>
      <c r="B3" s="45"/>
      <c r="C3" s="3"/>
      <c r="D3" s="3"/>
      <c r="E3" s="2"/>
      <c r="F3" s="2"/>
      <c r="G3" s="2"/>
      <c r="H3" s="2"/>
    </row>
    <row r="4" spans="1:17" ht="14.25" customHeight="1">
      <c r="A4" s="5" t="s">
        <v>0</v>
      </c>
      <c r="B4" s="58" t="e">
        <f>#REF!</f>
        <v>#REF!</v>
      </c>
      <c r="C4" s="3"/>
      <c r="D4" s="3"/>
      <c r="E4" s="2"/>
      <c r="F4" s="2"/>
      <c r="G4" s="2"/>
      <c r="H4" s="2"/>
    </row>
    <row r="5" spans="1:17" ht="14.25" customHeight="1">
      <c r="A5" s="5" t="s">
        <v>13</v>
      </c>
      <c r="B5" s="58" t="str">
        <f>+$A$2</f>
        <v>ESTRUCTURAS TORRE</v>
      </c>
      <c r="C5" s="3"/>
      <c r="D5" s="3"/>
      <c r="E5" s="2"/>
      <c r="F5" s="2"/>
      <c r="G5" s="2"/>
      <c r="H5" s="2"/>
    </row>
    <row r="6" spans="1:17" ht="14.25" customHeight="1">
      <c r="A6" s="5" t="s">
        <v>1</v>
      </c>
      <c r="B6" s="59" t="e">
        <f>#REF!</f>
        <v>#REF!</v>
      </c>
      <c r="C6" s="3"/>
      <c r="D6" s="3"/>
    </row>
    <row r="7" spans="1:17" ht="14.25" customHeight="1">
      <c r="A7" s="5" t="s">
        <v>2</v>
      </c>
      <c r="B7" s="59" t="e">
        <f>#REF!</f>
        <v>#REF!</v>
      </c>
      <c r="C7" s="3"/>
      <c r="D7" s="3"/>
      <c r="E7" s="2"/>
      <c r="F7" s="2"/>
      <c r="G7" s="2"/>
      <c r="H7" s="2"/>
    </row>
    <row r="8" spans="1:17" ht="14.25" customHeight="1" thickBot="1">
      <c r="A8" s="2" t="s">
        <v>14</v>
      </c>
      <c r="B8" s="8" t="e">
        <f>#REF!</f>
        <v>#REF!</v>
      </c>
      <c r="C8" s="3"/>
      <c r="D8" s="3"/>
      <c r="E8" s="2"/>
      <c r="F8" s="2"/>
      <c r="G8" s="2"/>
      <c r="H8" s="2"/>
    </row>
    <row r="9" spans="1:17" ht="14.25" customHeight="1" thickBot="1">
      <c r="A9" s="2"/>
      <c r="B9" s="60"/>
      <c r="C9" s="24"/>
      <c r="D9" s="223"/>
      <c r="E9" s="24"/>
      <c r="F9" s="229"/>
      <c r="G9" s="2"/>
      <c r="H9" s="2"/>
      <c r="L9" s="692" t="s">
        <v>3</v>
      </c>
      <c r="M9" s="693"/>
      <c r="N9" s="693"/>
      <c r="O9" s="693"/>
      <c r="P9" s="693"/>
      <c r="Q9" s="694"/>
    </row>
    <row r="10" spans="1:17" ht="24" customHeight="1" thickTop="1" thickBot="1">
      <c r="A10" s="10" t="s">
        <v>4</v>
      </c>
      <c r="B10" s="48" t="s">
        <v>15</v>
      </c>
      <c r="C10" s="11" t="s">
        <v>16</v>
      </c>
      <c r="D10" s="56" t="s">
        <v>419</v>
      </c>
      <c r="E10" s="12" t="s">
        <v>18</v>
      </c>
      <c r="F10" s="12" t="s">
        <v>19</v>
      </c>
      <c r="G10" s="12" t="s">
        <v>420</v>
      </c>
      <c r="H10" s="56" t="s">
        <v>21</v>
      </c>
      <c r="I10" s="56" t="s">
        <v>22</v>
      </c>
      <c r="J10" s="56" t="s">
        <v>23</v>
      </c>
      <c r="K10" s="53" t="s">
        <v>12</v>
      </c>
      <c r="L10" s="539" t="s">
        <v>18</v>
      </c>
      <c r="M10" s="540" t="s">
        <v>21</v>
      </c>
      <c r="N10" s="541" t="s">
        <v>18</v>
      </c>
      <c r="O10" s="540" t="s">
        <v>21</v>
      </c>
      <c r="P10" s="541" t="s">
        <v>19</v>
      </c>
      <c r="Q10" s="548" t="s">
        <v>22</v>
      </c>
    </row>
    <row r="11" spans="1:17" ht="14.1" customHeight="1" thickTop="1" thickBot="1">
      <c r="A11" s="49" t="s">
        <v>589</v>
      </c>
      <c r="B11" s="61" t="str">
        <f>$A$2</f>
        <v>ESTRUCTURAS TORRE</v>
      </c>
      <c r="C11" s="16"/>
      <c r="D11" s="16"/>
      <c r="E11" s="17"/>
      <c r="F11" s="17"/>
      <c r="G11" s="17"/>
      <c r="H11" s="54"/>
      <c r="I11" s="55"/>
      <c r="J11" s="232"/>
      <c r="K11" s="232"/>
      <c r="L11" s="542"/>
      <c r="M11" s="543"/>
      <c r="N11" s="543"/>
      <c r="O11" s="543"/>
      <c r="P11" s="543"/>
      <c r="Q11" s="544"/>
    </row>
    <row r="12" spans="1:17" ht="12" customHeight="1" thickTop="1">
      <c r="A12" s="653">
        <f>A11+0.01</f>
        <v>4.01</v>
      </c>
      <c r="B12" s="654" t="s">
        <v>461</v>
      </c>
      <c r="C12" s="655"/>
      <c r="D12" s="656"/>
      <c r="E12" s="657"/>
      <c r="F12" s="657"/>
      <c r="G12" s="657" t="s">
        <v>7</v>
      </c>
      <c r="H12" s="75"/>
      <c r="I12" s="88"/>
      <c r="J12" s="88" t="s">
        <v>7</v>
      </c>
      <c r="K12" s="658">
        <v>8736275.152499998</v>
      </c>
      <c r="L12" s="51"/>
      <c r="Q12" s="545"/>
    </row>
    <row r="13" spans="1:17" ht="14.1" customHeight="1" outlineLevel="1">
      <c r="A13" s="285">
        <f>A12+0.0001</f>
        <v>4.0100999999999996</v>
      </c>
      <c r="B13" s="659" t="s">
        <v>529</v>
      </c>
      <c r="C13" s="648"/>
      <c r="D13" s="87"/>
      <c r="E13" s="73"/>
      <c r="F13" s="65"/>
      <c r="G13" s="73" t="s">
        <v>7</v>
      </c>
      <c r="H13" s="75" t="str">
        <f>IFERROR(IF($D13=0,"",$D13*E13),"")</f>
        <v/>
      </c>
      <c r="I13" s="88" t="str">
        <f>IFERROR(IF($D13=0,"",$D13*F13),"")</f>
        <v/>
      </c>
      <c r="J13" s="73" t="s">
        <v>7</v>
      </c>
      <c r="K13" s="536"/>
      <c r="L13" s="51"/>
      <c r="Q13" s="545"/>
    </row>
    <row r="14" spans="1:17" ht="14.1" customHeight="1" outlineLevel="2">
      <c r="A14" s="104">
        <f t="shared" ref="A14:A72" si="0">A13+0.000001</f>
        <v>4.0101009999999997</v>
      </c>
      <c r="B14" s="84" t="s">
        <v>528</v>
      </c>
      <c r="C14" s="71" t="s">
        <v>155</v>
      </c>
      <c r="D14" s="87">
        <v>0</v>
      </c>
      <c r="E14" s="73">
        <v>385.27</v>
      </c>
      <c r="F14" s="81"/>
      <c r="G14" s="251">
        <v>385.27</v>
      </c>
      <c r="H14" s="251">
        <f>+ROUND(D14*E14,2)</f>
        <v>0</v>
      </c>
      <c r="I14" s="252">
        <f>+ROUND(D14*F14,2)</f>
        <v>0</v>
      </c>
      <c r="J14" s="73">
        <v>0</v>
      </c>
      <c r="K14" s="536"/>
      <c r="L14" s="51"/>
      <c r="Q14" s="545"/>
    </row>
    <row r="15" spans="1:17" ht="14.1" customHeight="1" outlineLevel="2">
      <c r="A15" s="104">
        <f>A13+0.000001</f>
        <v>4.0101009999999997</v>
      </c>
      <c r="B15" s="84" t="s">
        <v>590</v>
      </c>
      <c r="C15" s="71" t="s">
        <v>155</v>
      </c>
      <c r="D15" s="87">
        <v>288.37</v>
      </c>
      <c r="E15" s="73">
        <v>397.9</v>
      </c>
      <c r="F15" s="81"/>
      <c r="G15" s="251">
        <v>397.9</v>
      </c>
      <c r="H15" s="251">
        <f t="shared" ref="H15" si="1">+ROUND(D15*E15,2)</f>
        <v>114742.42</v>
      </c>
      <c r="I15" s="252">
        <f t="shared" ref="I15" si="2">+ROUND(D15*F15,2)</f>
        <v>0</v>
      </c>
      <c r="J15" s="73">
        <v>114742.42</v>
      </c>
      <c r="K15" s="536"/>
      <c r="L15" s="51"/>
      <c r="N15" s="4">
        <v>355.79</v>
      </c>
      <c r="O15" s="233">
        <f>+N15*D15</f>
        <v>102599.16230000001</v>
      </c>
      <c r="Q15" s="545"/>
    </row>
    <row r="16" spans="1:17" ht="14.1" customHeight="1" outlineLevel="2">
      <c r="A16" s="104">
        <f>A14+0.000001</f>
        <v>4.0101019999999998</v>
      </c>
      <c r="B16" s="84" t="s">
        <v>591</v>
      </c>
      <c r="C16" s="71" t="s">
        <v>155</v>
      </c>
      <c r="D16" s="87">
        <v>561.5</v>
      </c>
      <c r="E16" s="73">
        <v>414.41</v>
      </c>
      <c r="F16" s="81"/>
      <c r="G16" s="251">
        <v>414.41</v>
      </c>
      <c r="H16" s="251">
        <f t="shared" ref="H16:H77" si="3">+ROUND(D16*E16,2)</f>
        <v>232691.22</v>
      </c>
      <c r="I16" s="252">
        <f t="shared" ref="I16:I77" si="4">+ROUND(D16*F16,2)</f>
        <v>0</v>
      </c>
      <c r="J16" s="73">
        <v>232691.22</v>
      </c>
      <c r="K16" s="536"/>
      <c r="L16" s="51"/>
      <c r="N16" s="4">
        <v>372.3</v>
      </c>
      <c r="O16" s="233">
        <f t="shared" ref="O16:O18" si="5">+N16*D16</f>
        <v>209046.45</v>
      </c>
      <c r="Q16" s="545"/>
    </row>
    <row r="17" spans="1:17" ht="14.1" customHeight="1" outlineLevel="2">
      <c r="A17" s="104">
        <f>A15+0.000001</f>
        <v>4.0101019999999998</v>
      </c>
      <c r="B17" s="84" t="s">
        <v>530</v>
      </c>
      <c r="C17" s="71" t="s">
        <v>155</v>
      </c>
      <c r="D17" s="87">
        <v>128.38</v>
      </c>
      <c r="E17" s="73">
        <v>453.3</v>
      </c>
      <c r="F17" s="81"/>
      <c r="G17" s="251">
        <v>453.3</v>
      </c>
      <c r="H17" s="251">
        <f t="shared" ref="H17" si="6">+ROUND(D17*E17,2)</f>
        <v>58194.65</v>
      </c>
      <c r="I17" s="252">
        <f t="shared" ref="I17" si="7">+ROUND(D17*F17,2)</f>
        <v>0</v>
      </c>
      <c r="J17" s="73">
        <v>58194.65</v>
      </c>
      <c r="K17" s="536"/>
      <c r="L17" s="51"/>
      <c r="N17" s="4">
        <v>411.19</v>
      </c>
      <c r="O17" s="233">
        <f t="shared" si="5"/>
        <v>52788.572199999995</v>
      </c>
      <c r="Q17" s="545"/>
    </row>
    <row r="18" spans="1:17" ht="14.1" customHeight="1" outlineLevel="2">
      <c r="A18" s="104">
        <f>A16+0.000001</f>
        <v>4.010103</v>
      </c>
      <c r="B18" s="84" t="s">
        <v>592</v>
      </c>
      <c r="C18" s="71" t="s">
        <v>155</v>
      </c>
      <c r="D18" s="87">
        <v>0</v>
      </c>
      <c r="E18" s="73">
        <v>469.55</v>
      </c>
      <c r="F18" s="81"/>
      <c r="G18" s="251">
        <v>469.55</v>
      </c>
      <c r="H18" s="251">
        <f t="shared" ref="H18" si="8">+ROUND(D18*E18,2)</f>
        <v>0</v>
      </c>
      <c r="I18" s="252">
        <f t="shared" ref="I18" si="9">+ROUND(D18*F18,2)</f>
        <v>0</v>
      </c>
      <c r="J18" s="73">
        <v>0</v>
      </c>
      <c r="K18" s="536"/>
      <c r="L18" s="51"/>
      <c r="O18" s="233">
        <f t="shared" si="5"/>
        <v>0</v>
      </c>
      <c r="Q18" s="545"/>
    </row>
    <row r="19" spans="1:17" ht="14.1" customHeight="1" outlineLevel="2">
      <c r="A19" s="104">
        <f>A16+0.000001</f>
        <v>4.010103</v>
      </c>
      <c r="B19" s="84" t="s">
        <v>494</v>
      </c>
      <c r="C19" s="71" t="s">
        <v>161</v>
      </c>
      <c r="D19" s="87">
        <v>5184.7299999999996</v>
      </c>
      <c r="E19" s="73">
        <v>43.7</v>
      </c>
      <c r="F19" s="81"/>
      <c r="G19" s="251">
        <v>43.7</v>
      </c>
      <c r="H19" s="251">
        <f t="shared" si="3"/>
        <v>226572.7</v>
      </c>
      <c r="I19" s="252">
        <f t="shared" si="4"/>
        <v>0</v>
      </c>
      <c r="J19" s="73">
        <v>226572.7</v>
      </c>
      <c r="K19" s="538"/>
      <c r="L19" s="51"/>
      <c r="Q19" s="545"/>
    </row>
    <row r="20" spans="1:17" ht="14.1" customHeight="1" outlineLevel="2">
      <c r="A20" s="104">
        <f t="shared" ref="A20" si="10">A19+0.000001</f>
        <v>4.0101040000000001</v>
      </c>
      <c r="B20" s="70" t="s">
        <v>495</v>
      </c>
      <c r="C20" s="64" t="s">
        <v>161</v>
      </c>
      <c r="D20" s="87">
        <v>313.39999999999998</v>
      </c>
      <c r="E20" s="65">
        <v>48.7</v>
      </c>
      <c r="F20" s="65"/>
      <c r="G20" s="251">
        <v>48.7</v>
      </c>
      <c r="H20" s="251">
        <f t="shared" si="3"/>
        <v>15262.58</v>
      </c>
      <c r="I20" s="252">
        <f t="shared" si="4"/>
        <v>0</v>
      </c>
      <c r="J20" s="73">
        <v>15262.58</v>
      </c>
      <c r="K20" s="538"/>
      <c r="L20" s="51"/>
      <c r="Q20" s="545"/>
    </row>
    <row r="21" spans="1:17" ht="14.1" customHeight="1" outlineLevel="2">
      <c r="A21" s="104">
        <f>A19+0.000001</f>
        <v>4.0101040000000001</v>
      </c>
      <c r="B21" s="84" t="s">
        <v>496</v>
      </c>
      <c r="C21" s="71" t="s">
        <v>177</v>
      </c>
      <c r="D21" s="87">
        <v>109660.91</v>
      </c>
      <c r="E21" s="73">
        <v>1.1499999999999999</v>
      </c>
      <c r="F21" s="81">
        <v>0.94</v>
      </c>
      <c r="G21" s="251">
        <v>4.68</v>
      </c>
      <c r="H21" s="251">
        <f t="shared" si="3"/>
        <v>126110.05</v>
      </c>
      <c r="I21" s="252">
        <f t="shared" si="4"/>
        <v>103081.26</v>
      </c>
      <c r="J21" s="73">
        <v>512664.78</v>
      </c>
      <c r="K21" s="538"/>
      <c r="L21" s="51"/>
      <c r="P21" s="660">
        <v>0.94</v>
      </c>
      <c r="Q21" s="549">
        <f>+P21*D21</f>
        <v>103081.25539999999</v>
      </c>
    </row>
    <row r="22" spans="1:17" ht="14.1" customHeight="1" outlineLevel="2">
      <c r="A22" s="104">
        <f t="shared" si="0"/>
        <v>4.0101050000000003</v>
      </c>
      <c r="B22" s="84" t="s">
        <v>467</v>
      </c>
      <c r="C22" s="71" t="s">
        <v>161</v>
      </c>
      <c r="D22" s="87">
        <v>5498.1299999999992</v>
      </c>
      <c r="E22" s="73">
        <v>1.5</v>
      </c>
      <c r="F22" s="81"/>
      <c r="G22" s="251">
        <v>1.5</v>
      </c>
      <c r="H22" s="251">
        <f t="shared" si="3"/>
        <v>8247.2000000000007</v>
      </c>
      <c r="I22" s="252">
        <f t="shared" si="4"/>
        <v>0</v>
      </c>
      <c r="J22" s="73">
        <v>8247.2000000000007</v>
      </c>
      <c r="K22" s="538"/>
      <c r="L22" s="51"/>
      <c r="Q22" s="545"/>
    </row>
    <row r="23" spans="1:17" ht="13.5" customHeight="1" outlineLevel="1">
      <c r="A23" s="285">
        <f>A13+0.0001</f>
        <v>4.0101999999999993</v>
      </c>
      <c r="B23" s="659" t="s">
        <v>593</v>
      </c>
      <c r="C23" s="648"/>
      <c r="D23" s="87">
        <v>0</v>
      </c>
      <c r="E23" s="73"/>
      <c r="F23" s="81"/>
      <c r="G23" s="251"/>
      <c r="H23" s="251"/>
      <c r="I23" s="252"/>
      <c r="J23" s="73"/>
      <c r="K23" s="536"/>
      <c r="L23" s="51"/>
      <c r="Q23" s="545"/>
    </row>
    <row r="24" spans="1:17" ht="22.5" outlineLevel="2">
      <c r="A24" s="104">
        <f t="shared" si="0"/>
        <v>4.0102009999999995</v>
      </c>
      <c r="B24" s="85" t="s">
        <v>594</v>
      </c>
      <c r="C24" s="71" t="s">
        <v>155</v>
      </c>
      <c r="D24" s="87">
        <v>18.690000000000001</v>
      </c>
      <c r="E24" s="73">
        <v>481.45</v>
      </c>
      <c r="F24" s="81"/>
      <c r="G24" s="251">
        <v>481.45</v>
      </c>
      <c r="H24" s="251">
        <f t="shared" si="3"/>
        <v>8998.2999999999993</v>
      </c>
      <c r="I24" s="252">
        <f t="shared" si="4"/>
        <v>0</v>
      </c>
      <c r="J24" s="73">
        <v>8998.2999999999993</v>
      </c>
      <c r="K24" s="538"/>
      <c r="L24" s="51"/>
      <c r="N24" s="4">
        <v>432.55</v>
      </c>
      <c r="O24" s="233">
        <f>+N24*D24</f>
        <v>8084.3595000000005</v>
      </c>
      <c r="Q24" s="545"/>
    </row>
    <row r="25" spans="1:17" ht="14.1" customHeight="1" outlineLevel="2">
      <c r="A25" s="104">
        <f t="shared" si="0"/>
        <v>4.0102019999999996</v>
      </c>
      <c r="B25" s="84" t="s">
        <v>494</v>
      </c>
      <c r="C25" s="71" t="s">
        <v>161</v>
      </c>
      <c r="D25" s="87">
        <v>266.95999999999998</v>
      </c>
      <c r="E25" s="73">
        <v>43.7</v>
      </c>
      <c r="F25" s="81"/>
      <c r="G25" s="251">
        <v>43.7</v>
      </c>
      <c r="H25" s="251">
        <f t="shared" si="3"/>
        <v>11666.15</v>
      </c>
      <c r="I25" s="252">
        <f t="shared" si="4"/>
        <v>0</v>
      </c>
      <c r="J25" s="73">
        <v>11666.15</v>
      </c>
      <c r="K25" s="538"/>
      <c r="L25" s="51"/>
      <c r="Q25" s="545"/>
    </row>
    <row r="26" spans="1:17" ht="14.1" customHeight="1" outlineLevel="2">
      <c r="A26" s="104">
        <f>A25+0.000001</f>
        <v>4.0102029999999997</v>
      </c>
      <c r="B26" s="84" t="s">
        <v>496</v>
      </c>
      <c r="C26" s="71" t="s">
        <v>177</v>
      </c>
      <c r="D26" s="87">
        <v>2093.41</v>
      </c>
      <c r="E26" s="73">
        <v>1.1499999999999999</v>
      </c>
      <c r="F26" s="81">
        <v>0.94</v>
      </c>
      <c r="G26" s="251">
        <v>4.68</v>
      </c>
      <c r="H26" s="251">
        <f t="shared" si="3"/>
        <v>2407.42</v>
      </c>
      <c r="I26" s="252">
        <f t="shared" si="4"/>
        <v>1967.81</v>
      </c>
      <c r="J26" s="73">
        <v>9786.7099999999991</v>
      </c>
      <c r="K26" s="538"/>
      <c r="L26" s="51"/>
      <c r="P26" s="660">
        <v>0.94</v>
      </c>
      <c r="Q26" s="549">
        <f>+P26*D26</f>
        <v>1967.8053999999997</v>
      </c>
    </row>
    <row r="27" spans="1:17" ht="14.1" customHeight="1" outlineLevel="2">
      <c r="A27" s="104">
        <f t="shared" si="0"/>
        <v>4.0102039999999999</v>
      </c>
      <c r="B27" s="84" t="s">
        <v>467</v>
      </c>
      <c r="C27" s="71" t="s">
        <v>161</v>
      </c>
      <c r="D27" s="87">
        <v>266.95999999999998</v>
      </c>
      <c r="E27" s="73">
        <v>1.5</v>
      </c>
      <c r="F27" s="81"/>
      <c r="G27" s="251">
        <v>1.5</v>
      </c>
      <c r="H27" s="251">
        <f t="shared" si="3"/>
        <v>400.44</v>
      </c>
      <c r="I27" s="252">
        <f t="shared" si="4"/>
        <v>0</v>
      </c>
      <c r="J27" s="73">
        <v>400.44</v>
      </c>
      <c r="K27" s="538"/>
      <c r="L27" s="51"/>
      <c r="Q27" s="545"/>
    </row>
    <row r="28" spans="1:17" outlineLevel="1">
      <c r="A28" s="285">
        <f>A23+0.0001</f>
        <v>4.0102999999999991</v>
      </c>
      <c r="B28" s="659" t="s">
        <v>531</v>
      </c>
      <c r="C28" s="648"/>
      <c r="D28" s="87">
        <v>0</v>
      </c>
      <c r="E28" s="73"/>
      <c r="F28" s="81"/>
      <c r="G28" s="251"/>
      <c r="H28" s="251"/>
      <c r="I28" s="252"/>
      <c r="J28" s="73"/>
      <c r="K28" s="536"/>
      <c r="L28" s="51"/>
      <c r="Q28" s="545"/>
    </row>
    <row r="29" spans="1:17" ht="14.1" customHeight="1" outlineLevel="2">
      <c r="A29" s="104">
        <f t="shared" si="0"/>
        <v>4.0103009999999992</v>
      </c>
      <c r="B29" s="84" t="s">
        <v>595</v>
      </c>
      <c r="C29" s="71" t="s">
        <v>155</v>
      </c>
      <c r="D29" s="87">
        <v>0</v>
      </c>
      <c r="E29" s="73">
        <v>387.1</v>
      </c>
      <c r="F29" s="81"/>
      <c r="G29" s="251">
        <v>387.1</v>
      </c>
      <c r="H29" s="251">
        <f t="shared" si="3"/>
        <v>0</v>
      </c>
      <c r="I29" s="252">
        <f t="shared" si="4"/>
        <v>0</v>
      </c>
      <c r="J29" s="73">
        <v>0</v>
      </c>
      <c r="K29" s="536"/>
      <c r="L29" s="51"/>
      <c r="O29" s="233">
        <f t="shared" ref="O29:O33" si="11">+N29*D29</f>
        <v>0</v>
      </c>
      <c r="Q29" s="545"/>
    </row>
    <row r="30" spans="1:17" ht="14.1" customHeight="1" outlineLevel="2">
      <c r="A30" s="104">
        <f>A28+0.000001</f>
        <v>4.0103009999999992</v>
      </c>
      <c r="B30" s="84" t="s">
        <v>596</v>
      </c>
      <c r="C30" s="71" t="s">
        <v>155</v>
      </c>
      <c r="D30" s="87">
        <v>335.96</v>
      </c>
      <c r="E30" s="73">
        <v>399.73</v>
      </c>
      <c r="F30" s="81"/>
      <c r="G30" s="251">
        <v>399.73</v>
      </c>
      <c r="H30" s="251">
        <f t="shared" ref="H30" si="12">+ROUND(D30*E30,2)</f>
        <v>134293.29</v>
      </c>
      <c r="I30" s="252">
        <f t="shared" ref="I30" si="13">+ROUND(D30*F30,2)</f>
        <v>0</v>
      </c>
      <c r="J30" s="73">
        <v>134293.29</v>
      </c>
      <c r="K30" s="536"/>
      <c r="L30" s="51"/>
      <c r="N30" s="4">
        <v>355.79</v>
      </c>
      <c r="O30" s="233">
        <f t="shared" si="11"/>
        <v>119531.2084</v>
      </c>
      <c r="Q30" s="545"/>
    </row>
    <row r="31" spans="1:17" ht="14.1" customHeight="1" outlineLevel="2">
      <c r="A31" s="104">
        <f>A29+0.000001</f>
        <v>4.0103019999999994</v>
      </c>
      <c r="B31" s="84" t="s">
        <v>532</v>
      </c>
      <c r="C31" s="71" t="s">
        <v>155</v>
      </c>
      <c r="D31" s="87">
        <v>257.64999999999998</v>
      </c>
      <c r="E31" s="73">
        <v>416.24</v>
      </c>
      <c r="F31" s="81"/>
      <c r="G31" s="251">
        <v>416.24</v>
      </c>
      <c r="H31" s="251">
        <f t="shared" si="3"/>
        <v>107244.24</v>
      </c>
      <c r="I31" s="252">
        <f t="shared" si="4"/>
        <v>0</v>
      </c>
      <c r="J31" s="73">
        <v>107244.24</v>
      </c>
      <c r="K31" s="536"/>
      <c r="L31" s="51"/>
      <c r="N31" s="4">
        <v>372.3</v>
      </c>
      <c r="O31" s="233">
        <f t="shared" si="11"/>
        <v>95923.095000000001</v>
      </c>
      <c r="Q31" s="545"/>
    </row>
    <row r="32" spans="1:17" ht="14.1" customHeight="1" outlineLevel="2">
      <c r="A32" s="104">
        <f t="shared" si="0"/>
        <v>4.0103029999999995</v>
      </c>
      <c r="B32" s="84" t="s">
        <v>533</v>
      </c>
      <c r="C32" s="71" t="s">
        <v>155</v>
      </c>
      <c r="D32" s="87">
        <v>173.33</v>
      </c>
      <c r="E32" s="73">
        <v>455.13</v>
      </c>
      <c r="F32" s="81"/>
      <c r="G32" s="251">
        <v>455.13</v>
      </c>
      <c r="H32" s="251">
        <f t="shared" si="3"/>
        <v>78887.679999999993</v>
      </c>
      <c r="I32" s="252">
        <f t="shared" si="4"/>
        <v>0</v>
      </c>
      <c r="J32" s="73">
        <v>78887.679999999993</v>
      </c>
      <c r="K32" s="536"/>
      <c r="L32" s="51"/>
      <c r="N32" s="4">
        <v>411.19</v>
      </c>
      <c r="O32" s="233">
        <f t="shared" si="11"/>
        <v>71271.562700000009</v>
      </c>
      <c r="Q32" s="545"/>
    </row>
    <row r="33" spans="1:17" ht="14.1" customHeight="1" outlineLevel="2">
      <c r="A33" s="104">
        <f t="shared" si="0"/>
        <v>4.0103039999999996</v>
      </c>
      <c r="B33" s="84" t="s">
        <v>534</v>
      </c>
      <c r="C33" s="71" t="s">
        <v>155</v>
      </c>
      <c r="D33" s="87">
        <v>132.63999999999999</v>
      </c>
      <c r="E33" s="73">
        <v>471.38</v>
      </c>
      <c r="F33" s="81"/>
      <c r="G33" s="251">
        <v>471.38</v>
      </c>
      <c r="H33" s="251">
        <f t="shared" si="3"/>
        <v>62523.839999999997</v>
      </c>
      <c r="I33" s="252">
        <f t="shared" si="4"/>
        <v>0</v>
      </c>
      <c r="J33" s="73">
        <v>62523.839999999997</v>
      </c>
      <c r="K33" s="536"/>
      <c r="L33" s="51"/>
      <c r="N33" s="4">
        <v>427.44</v>
      </c>
      <c r="O33" s="233">
        <f t="shared" si="11"/>
        <v>56695.641599999995</v>
      </c>
      <c r="Q33" s="545"/>
    </row>
    <row r="34" spans="1:17" ht="14.1" customHeight="1" outlineLevel="2">
      <c r="A34" s="104">
        <f t="shared" si="0"/>
        <v>4.0103049999999998</v>
      </c>
      <c r="B34" s="84" t="s">
        <v>535</v>
      </c>
      <c r="C34" s="71" t="s">
        <v>161</v>
      </c>
      <c r="D34" s="87">
        <v>5545.95</v>
      </c>
      <c r="E34" s="73">
        <v>44.6</v>
      </c>
      <c r="F34" s="81"/>
      <c r="G34" s="251">
        <v>44.6</v>
      </c>
      <c r="H34" s="251">
        <f t="shared" si="3"/>
        <v>247349.37</v>
      </c>
      <c r="I34" s="252">
        <f t="shared" si="4"/>
        <v>0</v>
      </c>
      <c r="J34" s="73">
        <v>247349.37</v>
      </c>
      <c r="K34" s="536"/>
      <c r="L34" s="51"/>
      <c r="Q34" s="545"/>
    </row>
    <row r="35" spans="1:17" ht="14.1" customHeight="1" outlineLevel="2">
      <c r="A35" s="104">
        <f t="shared" si="0"/>
        <v>4.0103059999999999</v>
      </c>
      <c r="B35" s="84" t="s">
        <v>536</v>
      </c>
      <c r="C35" s="71" t="s">
        <v>161</v>
      </c>
      <c r="D35" s="87">
        <v>379.72</v>
      </c>
      <c r="E35" s="73">
        <v>49.6</v>
      </c>
      <c r="F35" s="81"/>
      <c r="G35" s="251">
        <v>49.6</v>
      </c>
      <c r="H35" s="251">
        <f t="shared" si="3"/>
        <v>18834.11</v>
      </c>
      <c r="I35" s="252">
        <f t="shared" si="4"/>
        <v>0</v>
      </c>
      <c r="J35" s="73">
        <v>18834.11</v>
      </c>
      <c r="K35" s="538"/>
      <c r="L35" s="51"/>
      <c r="Q35" s="545"/>
    </row>
    <row r="36" spans="1:17" ht="14.1" customHeight="1" outlineLevel="2">
      <c r="A36" s="104">
        <f t="shared" si="0"/>
        <v>4.0103070000000001</v>
      </c>
      <c r="B36" s="84" t="s">
        <v>496</v>
      </c>
      <c r="C36" s="71" t="s">
        <v>177</v>
      </c>
      <c r="D36" s="87">
        <v>261703.74</v>
      </c>
      <c r="E36" s="73">
        <v>1.1499999999999999</v>
      </c>
      <c r="F36" s="81">
        <v>0.94</v>
      </c>
      <c r="G36" s="251">
        <v>4.68</v>
      </c>
      <c r="H36" s="251">
        <f t="shared" si="3"/>
        <v>300959.3</v>
      </c>
      <c r="I36" s="252">
        <f t="shared" si="4"/>
        <v>246001.52</v>
      </c>
      <c r="J36" s="73">
        <v>1223465</v>
      </c>
      <c r="K36" s="536"/>
      <c r="L36" s="51"/>
      <c r="P36" s="660">
        <v>0.94</v>
      </c>
      <c r="Q36" s="549">
        <f>+P36*D36</f>
        <v>246001.51559999998</v>
      </c>
    </row>
    <row r="37" spans="1:17" ht="14.1" customHeight="1" outlineLevel="2">
      <c r="A37" s="104">
        <f t="shared" si="0"/>
        <v>4.0103080000000002</v>
      </c>
      <c r="B37" s="84" t="s">
        <v>467</v>
      </c>
      <c r="C37" s="71" t="s">
        <v>161</v>
      </c>
      <c r="D37" s="87">
        <v>5925.67</v>
      </c>
      <c r="E37" s="73">
        <v>1.5</v>
      </c>
      <c r="F37" s="81"/>
      <c r="G37" s="251">
        <v>1.5</v>
      </c>
      <c r="H37" s="251">
        <f t="shared" si="3"/>
        <v>8888.51</v>
      </c>
      <c r="I37" s="252">
        <f t="shared" si="4"/>
        <v>0</v>
      </c>
      <c r="J37" s="73">
        <v>8888.51</v>
      </c>
      <c r="K37" s="538"/>
      <c r="L37" s="51"/>
      <c r="Q37" s="545"/>
    </row>
    <row r="38" spans="1:17" ht="14.1" customHeight="1" outlineLevel="1">
      <c r="A38" s="285">
        <f>A28+0.0001</f>
        <v>4.0103999999999989</v>
      </c>
      <c r="B38" s="659" t="s">
        <v>597</v>
      </c>
      <c r="C38" s="648"/>
      <c r="D38" s="87">
        <v>0</v>
      </c>
      <c r="E38" s="73"/>
      <c r="F38" s="81"/>
      <c r="G38" s="251"/>
      <c r="H38" s="251"/>
      <c r="I38" s="252"/>
      <c r="J38" s="73"/>
      <c r="K38" s="536"/>
      <c r="L38" s="51"/>
      <c r="Q38" s="545"/>
    </row>
    <row r="39" spans="1:17" ht="14.25" customHeight="1" outlineLevel="2">
      <c r="A39" s="104">
        <f t="shared" si="0"/>
        <v>4.010400999999999</v>
      </c>
      <c r="B39" s="84" t="s">
        <v>598</v>
      </c>
      <c r="C39" s="71" t="s">
        <v>155</v>
      </c>
      <c r="D39" s="87">
        <v>1665.61</v>
      </c>
      <c r="E39" s="73">
        <v>392.8</v>
      </c>
      <c r="F39" s="81"/>
      <c r="G39" s="251">
        <v>392.8</v>
      </c>
      <c r="H39" s="251">
        <f t="shared" si="3"/>
        <v>654251.61</v>
      </c>
      <c r="I39" s="252">
        <f t="shared" si="4"/>
        <v>0</v>
      </c>
      <c r="J39" s="73">
        <v>654251.61</v>
      </c>
      <c r="K39" s="536"/>
      <c r="L39" s="51"/>
      <c r="N39" s="4">
        <v>352.38</v>
      </c>
      <c r="O39" s="233">
        <f t="shared" ref="O39:O41" si="14">+N39*D39</f>
        <v>586927.65179999999</v>
      </c>
      <c r="Q39" s="545"/>
    </row>
    <row r="40" spans="1:17" ht="14.25" customHeight="1" outlineLevel="2">
      <c r="A40" s="104">
        <f t="shared" ref="A40:A45" si="15">A39+0.000001</f>
        <v>4.0104019999999991</v>
      </c>
      <c r="B40" s="84" t="s">
        <v>599</v>
      </c>
      <c r="C40" s="71" t="s">
        <v>155</v>
      </c>
      <c r="D40" s="87">
        <v>13.45</v>
      </c>
      <c r="E40" s="73">
        <v>451.61</v>
      </c>
      <c r="F40" s="81"/>
      <c r="G40" s="251">
        <v>451.61</v>
      </c>
      <c r="H40" s="251">
        <f t="shared" si="3"/>
        <v>6074.15</v>
      </c>
      <c r="I40" s="252">
        <f t="shared" si="4"/>
        <v>0</v>
      </c>
      <c r="J40" s="73">
        <v>6074.15</v>
      </c>
      <c r="K40" s="536"/>
      <c r="L40" s="51"/>
      <c r="N40" s="4">
        <v>411.19</v>
      </c>
      <c r="O40" s="233">
        <f t="shared" si="14"/>
        <v>5530.5054999999993</v>
      </c>
      <c r="Q40" s="545"/>
    </row>
    <row r="41" spans="1:17" ht="14.25" customHeight="1" outlineLevel="2">
      <c r="A41" s="104">
        <f t="shared" si="15"/>
        <v>4.0104029999999993</v>
      </c>
      <c r="B41" s="84" t="s">
        <v>539</v>
      </c>
      <c r="C41" s="71" t="s">
        <v>155</v>
      </c>
      <c r="D41" s="87">
        <v>25.26</v>
      </c>
      <c r="E41" s="73">
        <v>467.86</v>
      </c>
      <c r="F41" s="81"/>
      <c r="G41" s="251">
        <v>467.86</v>
      </c>
      <c r="H41" s="251">
        <f t="shared" si="3"/>
        <v>11818.14</v>
      </c>
      <c r="I41" s="252">
        <f t="shared" si="4"/>
        <v>0</v>
      </c>
      <c r="J41" s="73">
        <v>11818.14</v>
      </c>
      <c r="K41" s="536"/>
      <c r="L41" s="51"/>
      <c r="N41" s="4">
        <v>427.44</v>
      </c>
      <c r="O41" s="233">
        <f t="shared" si="14"/>
        <v>10797.134400000001</v>
      </c>
      <c r="Q41" s="545"/>
    </row>
    <row r="42" spans="1:17" ht="14.1" customHeight="1" outlineLevel="2">
      <c r="A42" s="104">
        <f t="shared" si="15"/>
        <v>4.0104039999999994</v>
      </c>
      <c r="B42" s="84" t="s">
        <v>540</v>
      </c>
      <c r="C42" s="71" t="s">
        <v>161</v>
      </c>
      <c r="D42" s="87">
        <v>6882.68</v>
      </c>
      <c r="E42" s="73">
        <v>54.6</v>
      </c>
      <c r="F42" s="81"/>
      <c r="G42" s="251">
        <v>54.6</v>
      </c>
      <c r="H42" s="251">
        <f t="shared" si="3"/>
        <v>375794.33</v>
      </c>
      <c r="I42" s="252">
        <f t="shared" si="4"/>
        <v>0</v>
      </c>
      <c r="J42" s="73">
        <v>375794.33</v>
      </c>
      <c r="K42" s="536"/>
      <c r="L42" s="51"/>
      <c r="Q42" s="545"/>
    </row>
    <row r="43" spans="1:17" ht="14.1" customHeight="1" outlineLevel="2">
      <c r="A43" s="104">
        <f t="shared" si="15"/>
        <v>4.0104049999999996</v>
      </c>
      <c r="B43" s="84" t="s">
        <v>541</v>
      </c>
      <c r="C43" s="71" t="s">
        <v>161</v>
      </c>
      <c r="D43" s="87">
        <v>31.74</v>
      </c>
      <c r="E43" s="73">
        <v>62.6</v>
      </c>
      <c r="F43" s="81"/>
      <c r="G43" s="251">
        <v>62.6</v>
      </c>
      <c r="H43" s="251">
        <f t="shared" si="3"/>
        <v>1986.92</v>
      </c>
      <c r="I43" s="252">
        <f t="shared" si="4"/>
        <v>0</v>
      </c>
      <c r="J43" s="73">
        <v>1986.92</v>
      </c>
      <c r="K43" s="536"/>
      <c r="L43" s="51"/>
      <c r="Q43" s="545"/>
    </row>
    <row r="44" spans="1:17" ht="14.1" customHeight="1" outlineLevel="2">
      <c r="A44" s="104">
        <f t="shared" si="15"/>
        <v>4.0104059999999997</v>
      </c>
      <c r="B44" s="84" t="s">
        <v>496</v>
      </c>
      <c r="C44" s="71" t="s">
        <v>177</v>
      </c>
      <c r="D44" s="87">
        <v>181073.35</v>
      </c>
      <c r="E44" s="73">
        <v>1.1499999999999999</v>
      </c>
      <c r="F44" s="81">
        <v>0.94</v>
      </c>
      <c r="G44" s="251">
        <v>4.68</v>
      </c>
      <c r="H44" s="251">
        <f t="shared" si="3"/>
        <v>208234.35</v>
      </c>
      <c r="I44" s="252">
        <f t="shared" si="4"/>
        <v>170208.95</v>
      </c>
      <c r="J44" s="73">
        <v>846517.91</v>
      </c>
      <c r="K44" s="538"/>
      <c r="L44" s="51"/>
      <c r="P44" s="660">
        <v>0.94</v>
      </c>
      <c r="Q44" s="549">
        <f>+P44*D44</f>
        <v>170208.94899999999</v>
      </c>
    </row>
    <row r="45" spans="1:17" ht="14.1" customHeight="1" outlineLevel="2">
      <c r="A45" s="104">
        <f t="shared" si="15"/>
        <v>4.0104069999999998</v>
      </c>
      <c r="B45" s="84" t="s">
        <v>467</v>
      </c>
      <c r="C45" s="71" t="s">
        <v>161</v>
      </c>
      <c r="D45" s="87">
        <v>8541.3700000000008</v>
      </c>
      <c r="E45" s="73">
        <v>1.5</v>
      </c>
      <c r="F45" s="81"/>
      <c r="G45" s="251">
        <v>1.5</v>
      </c>
      <c r="H45" s="251">
        <f t="shared" si="3"/>
        <v>12812.06</v>
      </c>
      <c r="I45" s="252">
        <f t="shared" si="4"/>
        <v>0</v>
      </c>
      <c r="J45" s="73">
        <v>12812.06</v>
      </c>
      <c r="K45" s="536"/>
      <c r="L45" s="51"/>
      <c r="Q45" s="545"/>
    </row>
    <row r="46" spans="1:17" ht="14.1" customHeight="1" outlineLevel="2">
      <c r="A46" s="285">
        <f>A38+0.0001</f>
        <v>4.0104999999999986</v>
      </c>
      <c r="B46" s="659" t="s">
        <v>542</v>
      </c>
      <c r="C46" s="71"/>
      <c r="D46" s="87">
        <v>0</v>
      </c>
      <c r="E46" s="73"/>
      <c r="F46" s="81"/>
      <c r="G46" s="251"/>
      <c r="H46" s="251"/>
      <c r="I46" s="252"/>
      <c r="J46" s="73"/>
      <c r="K46" s="536"/>
      <c r="L46" s="51"/>
      <c r="Q46" s="545"/>
    </row>
    <row r="47" spans="1:17" ht="14.1" customHeight="1" outlineLevel="2">
      <c r="A47" s="104">
        <f t="shared" si="0"/>
        <v>4.0105009999999988</v>
      </c>
      <c r="B47" s="661" t="s">
        <v>496</v>
      </c>
      <c r="C47" s="662" t="s">
        <v>177</v>
      </c>
      <c r="D47" s="87">
        <v>74670.899999999994</v>
      </c>
      <c r="E47" s="73">
        <v>1.1499999999999999</v>
      </c>
      <c r="F47" s="81">
        <v>0.94</v>
      </c>
      <c r="G47" s="251">
        <v>4.68</v>
      </c>
      <c r="H47" s="251">
        <f t="shared" si="3"/>
        <v>85871.54</v>
      </c>
      <c r="I47" s="252">
        <f t="shared" si="4"/>
        <v>70190.649999999994</v>
      </c>
      <c r="J47" s="73">
        <v>349086.48</v>
      </c>
      <c r="K47" s="538"/>
      <c r="L47" s="51"/>
      <c r="P47" s="660">
        <v>0.94</v>
      </c>
      <c r="Q47" s="549">
        <f>+P47*D47</f>
        <v>70190.645999999993</v>
      </c>
    </row>
    <row r="48" spans="1:17" ht="12.75" customHeight="1" outlineLevel="2">
      <c r="A48" s="104">
        <f t="shared" si="0"/>
        <v>4.0105019999999989</v>
      </c>
      <c r="B48" s="646" t="s">
        <v>543</v>
      </c>
      <c r="C48" s="662" t="s">
        <v>161</v>
      </c>
      <c r="D48" s="87">
        <v>1626.95</v>
      </c>
      <c r="E48" s="663">
        <v>45.2</v>
      </c>
      <c r="F48" s="81"/>
      <c r="G48" s="251">
        <v>45.2</v>
      </c>
      <c r="H48" s="251">
        <f t="shared" si="3"/>
        <v>73538.14</v>
      </c>
      <c r="I48" s="252">
        <f t="shared" si="4"/>
        <v>0</v>
      </c>
      <c r="J48" s="73">
        <v>73538.14</v>
      </c>
      <c r="K48" s="664"/>
      <c r="L48" s="550">
        <v>45.2</v>
      </c>
      <c r="M48" s="233">
        <f>+L48*D48</f>
        <v>73538.14</v>
      </c>
      <c r="Q48" s="545"/>
    </row>
    <row r="49" spans="1:17" ht="12.75" customHeight="1" outlineLevel="2">
      <c r="A49" s="104">
        <f t="shared" si="0"/>
        <v>4.010502999999999</v>
      </c>
      <c r="B49" s="646" t="s">
        <v>544</v>
      </c>
      <c r="C49" s="662" t="s">
        <v>161</v>
      </c>
      <c r="D49" s="87">
        <v>1626.95</v>
      </c>
      <c r="E49" s="663">
        <v>5.43</v>
      </c>
      <c r="F49" s="81"/>
      <c r="G49" s="251">
        <v>5.43</v>
      </c>
      <c r="H49" s="251">
        <f t="shared" si="3"/>
        <v>8834.34</v>
      </c>
      <c r="I49" s="252">
        <f t="shared" si="4"/>
        <v>0</v>
      </c>
      <c r="J49" s="73">
        <v>8834.34</v>
      </c>
      <c r="K49" s="664"/>
      <c r="L49" s="51"/>
      <c r="Q49" s="545"/>
    </row>
    <row r="50" spans="1:17" ht="23.25" customHeight="1" outlineLevel="2">
      <c r="A50" s="104">
        <f>A48+0.000001</f>
        <v>4.010502999999999</v>
      </c>
      <c r="B50" s="44" t="s">
        <v>545</v>
      </c>
      <c r="C50" s="64" t="s">
        <v>161</v>
      </c>
      <c r="D50" s="87">
        <v>1570.63</v>
      </c>
      <c r="E50" s="65">
        <v>37.1</v>
      </c>
      <c r="F50" s="65"/>
      <c r="G50" s="251">
        <v>37.1</v>
      </c>
      <c r="H50" s="251">
        <f t="shared" si="3"/>
        <v>58270.37</v>
      </c>
      <c r="I50" s="252">
        <f t="shared" si="4"/>
        <v>0</v>
      </c>
      <c r="J50" s="73">
        <v>58270.37</v>
      </c>
      <c r="K50" s="538"/>
      <c r="L50" s="51"/>
      <c r="Q50" s="545"/>
    </row>
    <row r="51" spans="1:17" outlineLevel="2">
      <c r="A51" s="104">
        <f>A49+0.000001</f>
        <v>4.0105039999999992</v>
      </c>
      <c r="B51" s="646" t="s">
        <v>546</v>
      </c>
      <c r="C51" s="662" t="s">
        <v>161</v>
      </c>
      <c r="D51" s="87">
        <v>56.32</v>
      </c>
      <c r="E51" s="73">
        <v>43.1</v>
      </c>
      <c r="F51" s="81"/>
      <c r="G51" s="251">
        <v>43.1</v>
      </c>
      <c r="H51" s="251">
        <f t="shared" si="3"/>
        <v>2427.39</v>
      </c>
      <c r="I51" s="252">
        <f t="shared" si="4"/>
        <v>0</v>
      </c>
      <c r="J51" s="73">
        <v>2427.39</v>
      </c>
      <c r="K51" s="536"/>
      <c r="L51" s="51"/>
      <c r="Q51" s="545"/>
    </row>
    <row r="52" spans="1:17" ht="14.1" customHeight="1" outlineLevel="1">
      <c r="A52" s="285">
        <f>A38+0.0001</f>
        <v>4.0104999999999986</v>
      </c>
      <c r="B52" s="99" t="s">
        <v>600</v>
      </c>
      <c r="C52" s="68"/>
      <c r="D52" s="87">
        <v>0</v>
      </c>
      <c r="E52" s="73"/>
      <c r="F52" s="65"/>
      <c r="G52" s="251"/>
      <c r="H52" s="251"/>
      <c r="I52" s="252"/>
      <c r="J52" s="73"/>
      <c r="K52" s="538"/>
      <c r="L52" s="51"/>
      <c r="Q52" s="545"/>
    </row>
    <row r="53" spans="1:17" outlineLevel="2">
      <c r="A53" s="104">
        <f t="shared" si="0"/>
        <v>4.0105009999999988</v>
      </c>
      <c r="B53" s="661" t="s">
        <v>601</v>
      </c>
      <c r="C53" s="662" t="s">
        <v>155</v>
      </c>
      <c r="D53" s="87">
        <v>320.92</v>
      </c>
      <c r="E53" s="73">
        <v>392.8</v>
      </c>
      <c r="F53" s="81"/>
      <c r="G53" s="251">
        <v>392.8</v>
      </c>
      <c r="H53" s="251">
        <f t="shared" si="3"/>
        <v>126057.38</v>
      </c>
      <c r="I53" s="252">
        <f t="shared" si="4"/>
        <v>0</v>
      </c>
      <c r="J53" s="73">
        <v>126057.38</v>
      </c>
      <c r="K53" s="538"/>
      <c r="L53" s="51"/>
      <c r="N53" s="4">
        <v>352.38</v>
      </c>
      <c r="O53" s="233">
        <f t="shared" ref="O53:O55" si="16">+N53*D53</f>
        <v>113085.7896</v>
      </c>
      <c r="Q53" s="545"/>
    </row>
    <row r="54" spans="1:17" ht="14.25" customHeight="1" outlineLevel="2">
      <c r="A54" s="104">
        <f t="shared" si="0"/>
        <v>4.0105019999999989</v>
      </c>
      <c r="B54" s="84" t="s">
        <v>599</v>
      </c>
      <c r="C54" s="71" t="s">
        <v>155</v>
      </c>
      <c r="D54" s="87">
        <v>2.54</v>
      </c>
      <c r="E54" s="73">
        <v>451.61</v>
      </c>
      <c r="F54" s="81"/>
      <c r="G54" s="251">
        <v>451.61</v>
      </c>
      <c r="H54" s="251">
        <f t="shared" ref="H54:H55" si="17">+ROUND(D54*E54,2)</f>
        <v>1147.0899999999999</v>
      </c>
      <c r="I54" s="252">
        <f t="shared" ref="I54:I55" si="18">+ROUND(D54*F54,2)</f>
        <v>0</v>
      </c>
      <c r="J54" s="73">
        <v>1147.0899999999999</v>
      </c>
      <c r="K54" s="536"/>
      <c r="L54" s="51"/>
      <c r="N54" s="4">
        <v>411.19</v>
      </c>
      <c r="O54" s="233">
        <f t="shared" si="16"/>
        <v>1044.4226000000001</v>
      </c>
      <c r="Q54" s="545"/>
    </row>
    <row r="55" spans="1:17" ht="14.25" customHeight="1" outlineLevel="2">
      <c r="A55" s="104">
        <f t="shared" si="0"/>
        <v>4.010502999999999</v>
      </c>
      <c r="B55" s="84" t="s">
        <v>539</v>
      </c>
      <c r="C55" s="71" t="s">
        <v>155</v>
      </c>
      <c r="D55" s="87">
        <v>3.13</v>
      </c>
      <c r="E55" s="73">
        <v>467.86</v>
      </c>
      <c r="F55" s="81"/>
      <c r="G55" s="251">
        <v>467.86</v>
      </c>
      <c r="H55" s="251">
        <f t="shared" si="17"/>
        <v>1464.4</v>
      </c>
      <c r="I55" s="252">
        <f t="shared" si="18"/>
        <v>0</v>
      </c>
      <c r="J55" s="73">
        <v>1464.4</v>
      </c>
      <c r="K55" s="536"/>
      <c r="L55" s="51"/>
      <c r="N55" s="4">
        <v>427.44</v>
      </c>
      <c r="O55" s="233">
        <f t="shared" si="16"/>
        <v>1337.8871999999999</v>
      </c>
      <c r="Q55" s="545"/>
    </row>
    <row r="56" spans="1:17" ht="14.1" customHeight="1" outlineLevel="2">
      <c r="A56" s="104">
        <f>A53+0.000001</f>
        <v>4.0105019999999989</v>
      </c>
      <c r="B56" s="661" t="s">
        <v>563</v>
      </c>
      <c r="C56" s="662" t="s">
        <v>161</v>
      </c>
      <c r="D56" s="87">
        <v>2120.37</v>
      </c>
      <c r="E56" s="73">
        <v>37.5</v>
      </c>
      <c r="F56" s="81"/>
      <c r="G56" s="251">
        <v>37.5</v>
      </c>
      <c r="H56" s="251">
        <f t="shared" si="3"/>
        <v>79513.88</v>
      </c>
      <c r="I56" s="252">
        <f t="shared" si="4"/>
        <v>0</v>
      </c>
      <c r="J56" s="73">
        <v>79513.88</v>
      </c>
      <c r="K56" s="538"/>
      <c r="L56" s="51"/>
      <c r="Q56" s="545"/>
    </row>
    <row r="57" spans="1:17" ht="14.1" customHeight="1" outlineLevel="2">
      <c r="A57" s="104">
        <f t="shared" si="0"/>
        <v>4.010502999999999</v>
      </c>
      <c r="B57" s="661" t="s">
        <v>564</v>
      </c>
      <c r="C57" s="662" t="s">
        <v>161</v>
      </c>
      <c r="D57" s="87">
        <v>56.87</v>
      </c>
      <c r="E57" s="73">
        <v>43.5</v>
      </c>
      <c r="F57" s="81"/>
      <c r="G57" s="251">
        <v>43.5</v>
      </c>
      <c r="H57" s="251">
        <f t="shared" si="3"/>
        <v>2473.85</v>
      </c>
      <c r="I57" s="252">
        <f t="shared" si="4"/>
        <v>0</v>
      </c>
      <c r="J57" s="73">
        <v>2473.85</v>
      </c>
      <c r="K57" s="538"/>
      <c r="L57" s="51"/>
      <c r="Q57" s="545"/>
    </row>
    <row r="58" spans="1:17" ht="14.1" customHeight="1" outlineLevel="2">
      <c r="A58" s="104">
        <f t="shared" si="0"/>
        <v>4.0105039999999992</v>
      </c>
      <c r="B58" s="661" t="s">
        <v>543</v>
      </c>
      <c r="C58" s="662" t="s">
        <v>161</v>
      </c>
      <c r="D58" s="87">
        <v>2177.2399999999998</v>
      </c>
      <c r="E58" s="73">
        <v>45.2</v>
      </c>
      <c r="F58" s="81"/>
      <c r="G58" s="251">
        <v>45.2</v>
      </c>
      <c r="H58" s="251">
        <f t="shared" si="3"/>
        <v>98411.25</v>
      </c>
      <c r="I58" s="252">
        <f t="shared" si="4"/>
        <v>0</v>
      </c>
      <c r="J58" s="73">
        <v>98411.25</v>
      </c>
      <c r="K58" s="538"/>
      <c r="L58" s="550">
        <v>45.2</v>
      </c>
      <c r="M58" s="233">
        <f>+L58*D58</f>
        <v>98411.247999999992</v>
      </c>
      <c r="Q58" s="545"/>
    </row>
    <row r="59" spans="1:17" ht="14.1" customHeight="1" outlineLevel="2">
      <c r="A59" s="104">
        <f t="shared" si="0"/>
        <v>4.0105049999999993</v>
      </c>
      <c r="B59" s="646" t="s">
        <v>544</v>
      </c>
      <c r="C59" s="662" t="s">
        <v>161</v>
      </c>
      <c r="D59" s="87">
        <v>2177.2399999999998</v>
      </c>
      <c r="E59" s="73">
        <v>5.43</v>
      </c>
      <c r="F59" s="81"/>
      <c r="G59" s="251">
        <v>5.43</v>
      </c>
      <c r="H59" s="251">
        <f t="shared" si="3"/>
        <v>11822.41</v>
      </c>
      <c r="I59" s="252">
        <f t="shared" si="4"/>
        <v>0</v>
      </c>
      <c r="J59" s="73">
        <v>11822.41</v>
      </c>
      <c r="K59" s="538"/>
      <c r="L59" s="51"/>
      <c r="Q59" s="545"/>
    </row>
    <row r="60" spans="1:17" ht="14.1" customHeight="1" outlineLevel="2">
      <c r="A60" s="104">
        <f t="shared" si="0"/>
        <v>4.0105059999999995</v>
      </c>
      <c r="B60" s="646" t="s">
        <v>552</v>
      </c>
      <c r="C60" s="662" t="s">
        <v>177</v>
      </c>
      <c r="D60" s="87">
        <v>42187.6</v>
      </c>
      <c r="E60" s="73">
        <v>1.1499999999999999</v>
      </c>
      <c r="F60" s="81">
        <v>0.94</v>
      </c>
      <c r="G60" s="251">
        <v>4.68</v>
      </c>
      <c r="H60" s="251">
        <f t="shared" si="3"/>
        <v>48515.74</v>
      </c>
      <c r="I60" s="252">
        <f t="shared" si="4"/>
        <v>39656.339999999997</v>
      </c>
      <c r="J60" s="73">
        <v>197227.02</v>
      </c>
      <c r="K60" s="538"/>
      <c r="L60" s="51"/>
      <c r="P60" s="660">
        <v>0.94</v>
      </c>
      <c r="Q60" s="549">
        <f t="shared" ref="Q60:Q62" si="19">+P60*D60</f>
        <v>39656.343999999997</v>
      </c>
    </row>
    <row r="61" spans="1:17" ht="15" customHeight="1" outlineLevel="2">
      <c r="A61" s="104">
        <f t="shared" si="0"/>
        <v>4.0105069999999996</v>
      </c>
      <c r="B61" s="661" t="s">
        <v>553</v>
      </c>
      <c r="C61" s="662" t="s">
        <v>177</v>
      </c>
      <c r="D61" s="87">
        <v>22725.55</v>
      </c>
      <c r="E61" s="73">
        <v>0</v>
      </c>
      <c r="F61" s="81">
        <v>0.94</v>
      </c>
      <c r="G61" s="251">
        <v>3.53</v>
      </c>
      <c r="H61" s="251">
        <f t="shared" si="3"/>
        <v>0</v>
      </c>
      <c r="I61" s="252">
        <f t="shared" si="4"/>
        <v>21362.02</v>
      </c>
      <c r="J61" s="73">
        <v>80107.58</v>
      </c>
      <c r="K61" s="538"/>
      <c r="L61" s="51"/>
      <c r="P61" s="660">
        <v>0.94</v>
      </c>
      <c r="Q61" s="549">
        <f t="shared" si="19"/>
        <v>21362.017</v>
      </c>
    </row>
    <row r="62" spans="1:17" outlineLevel="2">
      <c r="A62" s="104">
        <f t="shared" si="0"/>
        <v>4.0105079999999997</v>
      </c>
      <c r="B62" s="646" t="s">
        <v>565</v>
      </c>
      <c r="C62" s="662" t="s">
        <v>177</v>
      </c>
      <c r="D62" s="87">
        <v>9340.36</v>
      </c>
      <c r="E62" s="73">
        <v>1.1499999999999999</v>
      </c>
      <c r="F62" s="81">
        <v>0.94</v>
      </c>
      <c r="G62" s="251">
        <v>4.68</v>
      </c>
      <c r="H62" s="251">
        <f t="shared" si="3"/>
        <v>10741.41</v>
      </c>
      <c r="I62" s="252">
        <f t="shared" si="4"/>
        <v>8779.94</v>
      </c>
      <c r="J62" s="73">
        <v>43666.19</v>
      </c>
      <c r="K62" s="538"/>
      <c r="L62" s="51"/>
      <c r="P62" s="660">
        <v>0.94</v>
      </c>
      <c r="Q62" s="549">
        <f t="shared" si="19"/>
        <v>8779.9384000000009</v>
      </c>
    </row>
    <row r="63" spans="1:17" ht="14.1" customHeight="1" outlineLevel="2">
      <c r="A63" s="104">
        <f t="shared" si="0"/>
        <v>4.0105089999999999</v>
      </c>
      <c r="B63" s="646" t="s">
        <v>467</v>
      </c>
      <c r="C63" s="662" t="s">
        <v>161</v>
      </c>
      <c r="D63" s="87">
        <v>2177.2399999999998</v>
      </c>
      <c r="E63" s="73">
        <v>1.5</v>
      </c>
      <c r="F63" s="81"/>
      <c r="G63" s="251">
        <v>1.5</v>
      </c>
      <c r="H63" s="251">
        <f t="shared" si="3"/>
        <v>3265.86</v>
      </c>
      <c r="I63" s="252">
        <f t="shared" si="4"/>
        <v>0</v>
      </c>
      <c r="J63" s="73">
        <v>3265.86</v>
      </c>
      <c r="K63" s="538"/>
      <c r="L63" s="51"/>
      <c r="Q63" s="545"/>
    </row>
    <row r="64" spans="1:17" ht="14.1" customHeight="1" outlineLevel="1">
      <c r="A64" s="285">
        <f>A46+0.0001</f>
        <v>4.0105999999999984</v>
      </c>
      <c r="B64" s="99" t="s">
        <v>602</v>
      </c>
      <c r="C64" s="68"/>
      <c r="D64" s="87">
        <v>0</v>
      </c>
      <c r="E64" s="73"/>
      <c r="F64" s="65"/>
      <c r="G64" s="251"/>
      <c r="H64" s="251"/>
      <c r="I64" s="252"/>
      <c r="J64" s="73"/>
      <c r="K64" s="538"/>
      <c r="L64" s="51"/>
      <c r="Q64" s="545"/>
    </row>
    <row r="65" spans="1:17" outlineLevel="2">
      <c r="A65" s="104">
        <f t="shared" si="0"/>
        <v>4.0106009999999985</v>
      </c>
      <c r="B65" s="661" t="s">
        <v>601</v>
      </c>
      <c r="C65" s="662" t="s">
        <v>155</v>
      </c>
      <c r="D65" s="87">
        <v>271.33999999999997</v>
      </c>
      <c r="E65" s="73">
        <v>392.8</v>
      </c>
      <c r="F65" s="81"/>
      <c r="G65" s="251">
        <v>392.8</v>
      </c>
      <c r="H65" s="251">
        <f t="shared" si="3"/>
        <v>106582.35</v>
      </c>
      <c r="I65" s="252">
        <f t="shared" si="4"/>
        <v>0</v>
      </c>
      <c r="J65" s="73">
        <v>106582.35</v>
      </c>
      <c r="K65" s="538"/>
      <c r="L65" s="51"/>
      <c r="N65" s="4">
        <v>352.38</v>
      </c>
      <c r="O65" s="233">
        <f t="shared" ref="O65:O67" si="20">+N65*D65</f>
        <v>95614.789199999985</v>
      </c>
      <c r="Q65" s="545"/>
    </row>
    <row r="66" spans="1:17" ht="14.1" customHeight="1" outlineLevel="2">
      <c r="A66" s="104">
        <f>A64+0.000001</f>
        <v>4.0106009999999985</v>
      </c>
      <c r="B66" s="84" t="s">
        <v>599</v>
      </c>
      <c r="C66" s="662" t="s">
        <v>155</v>
      </c>
      <c r="D66" s="87">
        <v>2.41</v>
      </c>
      <c r="E66" s="73">
        <v>451.61</v>
      </c>
      <c r="F66" s="81"/>
      <c r="G66" s="251">
        <v>451.61</v>
      </c>
      <c r="H66" s="251">
        <f t="shared" si="3"/>
        <v>1088.3800000000001</v>
      </c>
      <c r="I66" s="252">
        <f t="shared" si="4"/>
        <v>0</v>
      </c>
      <c r="J66" s="73">
        <v>1088.3800000000001</v>
      </c>
      <c r="K66" s="538"/>
      <c r="L66" s="51"/>
      <c r="N66" s="4">
        <v>411.19</v>
      </c>
      <c r="O66" s="233">
        <f t="shared" si="20"/>
        <v>990.9679000000001</v>
      </c>
      <c r="Q66" s="545"/>
    </row>
    <row r="67" spans="1:17" ht="14.1" customHeight="1" outlineLevel="2">
      <c r="A67" s="104">
        <f>A65+0.000001</f>
        <v>4.0106019999999987</v>
      </c>
      <c r="B67" s="84" t="s">
        <v>539</v>
      </c>
      <c r="C67" s="662" t="s">
        <v>155</v>
      </c>
      <c r="D67" s="87">
        <v>5.42</v>
      </c>
      <c r="E67" s="73">
        <v>467.86</v>
      </c>
      <c r="F67" s="81"/>
      <c r="G67" s="251">
        <v>467.86</v>
      </c>
      <c r="H67" s="251">
        <f t="shared" si="3"/>
        <v>2535.8000000000002</v>
      </c>
      <c r="I67" s="252">
        <f t="shared" si="4"/>
        <v>0</v>
      </c>
      <c r="J67" s="73">
        <v>2535.8000000000002</v>
      </c>
      <c r="K67" s="538"/>
      <c r="L67" s="51"/>
      <c r="N67" s="4">
        <v>427.44</v>
      </c>
      <c r="O67" s="233">
        <f t="shared" si="20"/>
        <v>2316.7248</v>
      </c>
      <c r="Q67" s="545"/>
    </row>
    <row r="68" spans="1:17" ht="14.1" customHeight="1" outlineLevel="2">
      <c r="A68" s="104">
        <f t="shared" si="0"/>
        <v>4.0106029999999988</v>
      </c>
      <c r="B68" s="661" t="s">
        <v>563</v>
      </c>
      <c r="C68" s="662" t="s">
        <v>161</v>
      </c>
      <c r="D68" s="87">
        <v>1204.82</v>
      </c>
      <c r="E68" s="73">
        <v>37.5</v>
      </c>
      <c r="F68" s="81"/>
      <c r="G68" s="251">
        <v>37.5</v>
      </c>
      <c r="H68" s="251">
        <f t="shared" si="3"/>
        <v>45180.75</v>
      </c>
      <c r="I68" s="252">
        <f t="shared" si="4"/>
        <v>0</v>
      </c>
      <c r="J68" s="73">
        <v>45180.75</v>
      </c>
      <c r="K68" s="538"/>
      <c r="L68" s="51"/>
      <c r="Q68" s="545"/>
    </row>
    <row r="69" spans="1:17" ht="14.1" customHeight="1" outlineLevel="2">
      <c r="A69" s="104">
        <f t="shared" si="0"/>
        <v>4.0106039999999989</v>
      </c>
      <c r="B69" s="661" t="s">
        <v>564</v>
      </c>
      <c r="C69" s="662" t="s">
        <v>161</v>
      </c>
      <c r="D69" s="87">
        <v>191.04</v>
      </c>
      <c r="E69" s="73">
        <v>43.5</v>
      </c>
      <c r="F69" s="81"/>
      <c r="G69" s="251">
        <v>43.5</v>
      </c>
      <c r="H69" s="251">
        <f t="shared" si="3"/>
        <v>8310.24</v>
      </c>
      <c r="I69" s="252">
        <f t="shared" si="4"/>
        <v>0</v>
      </c>
      <c r="J69" s="73">
        <v>8310.24</v>
      </c>
      <c r="K69" s="538"/>
      <c r="L69" s="51"/>
      <c r="Q69" s="545"/>
    </row>
    <row r="70" spans="1:17" ht="14.1" customHeight="1" outlineLevel="2">
      <c r="A70" s="104">
        <f t="shared" si="0"/>
        <v>4.0106049999999991</v>
      </c>
      <c r="B70" s="661" t="s">
        <v>567</v>
      </c>
      <c r="C70" s="662" t="s">
        <v>161</v>
      </c>
      <c r="D70" s="87">
        <v>1395.86</v>
      </c>
      <c r="E70" s="73">
        <v>45.2</v>
      </c>
      <c r="F70" s="81"/>
      <c r="G70" s="251">
        <v>45.2</v>
      </c>
      <c r="H70" s="251">
        <f t="shared" si="3"/>
        <v>63092.87</v>
      </c>
      <c r="I70" s="252">
        <f t="shared" si="4"/>
        <v>0</v>
      </c>
      <c r="J70" s="73">
        <v>63092.87</v>
      </c>
      <c r="K70" s="538"/>
      <c r="L70" s="550">
        <v>45.2</v>
      </c>
      <c r="M70" s="233">
        <f>+L70*D70</f>
        <v>63092.872000000003</v>
      </c>
      <c r="Q70" s="545"/>
    </row>
    <row r="71" spans="1:17" ht="14.1" customHeight="1" outlineLevel="2">
      <c r="A71" s="104">
        <f t="shared" si="0"/>
        <v>4.0106059999999992</v>
      </c>
      <c r="B71" s="646" t="s">
        <v>544</v>
      </c>
      <c r="C71" s="662" t="s">
        <v>161</v>
      </c>
      <c r="D71" s="87">
        <v>1395.86</v>
      </c>
      <c r="E71" s="73">
        <v>5.43</v>
      </c>
      <c r="F71" s="81"/>
      <c r="G71" s="251">
        <v>5.43</v>
      </c>
      <c r="H71" s="251">
        <f t="shared" si="3"/>
        <v>7579.52</v>
      </c>
      <c r="I71" s="252">
        <f t="shared" si="4"/>
        <v>0</v>
      </c>
      <c r="J71" s="73">
        <v>7579.52</v>
      </c>
      <c r="K71" s="538"/>
      <c r="L71" s="51"/>
      <c r="Q71" s="545"/>
    </row>
    <row r="72" spans="1:17" ht="14.1" customHeight="1" outlineLevel="2">
      <c r="A72" s="104">
        <f t="shared" si="0"/>
        <v>4.0106069999999994</v>
      </c>
      <c r="B72" s="646" t="s">
        <v>552</v>
      </c>
      <c r="C72" s="662" t="s">
        <v>177</v>
      </c>
      <c r="D72" s="87">
        <v>13476.46</v>
      </c>
      <c r="E72" s="73">
        <v>1.1499999999999999</v>
      </c>
      <c r="F72" s="81">
        <v>0.94</v>
      </c>
      <c r="G72" s="251">
        <v>4.68</v>
      </c>
      <c r="H72" s="251">
        <f t="shared" si="3"/>
        <v>15497.93</v>
      </c>
      <c r="I72" s="252">
        <f t="shared" si="4"/>
        <v>12667.87</v>
      </c>
      <c r="J72" s="73">
        <v>63002.44</v>
      </c>
      <c r="K72" s="538"/>
      <c r="L72" s="51"/>
      <c r="P72" s="660">
        <v>0.94</v>
      </c>
      <c r="Q72" s="549">
        <f t="shared" ref="Q72:Q74" si="21">+P72*D72</f>
        <v>12667.872399999998</v>
      </c>
    </row>
    <row r="73" spans="1:17" ht="15" customHeight="1" outlineLevel="2">
      <c r="A73" s="104">
        <f>A72+0.000001</f>
        <v>4.0106079999999995</v>
      </c>
      <c r="B73" s="661" t="s">
        <v>553</v>
      </c>
      <c r="C73" s="662" t="s">
        <v>177</v>
      </c>
      <c r="D73" s="87">
        <v>11841.47</v>
      </c>
      <c r="E73" s="73">
        <v>0</v>
      </c>
      <c r="F73" s="81">
        <v>0.94</v>
      </c>
      <c r="G73" s="251">
        <v>3.53</v>
      </c>
      <c r="H73" s="251">
        <f t="shared" si="3"/>
        <v>0</v>
      </c>
      <c r="I73" s="252">
        <f t="shared" si="4"/>
        <v>11130.98</v>
      </c>
      <c r="J73" s="73">
        <v>41741.18</v>
      </c>
      <c r="K73" s="538"/>
      <c r="L73" s="51"/>
      <c r="P73" s="660">
        <v>0.94</v>
      </c>
      <c r="Q73" s="549">
        <f t="shared" si="21"/>
        <v>11130.9818</v>
      </c>
    </row>
    <row r="74" spans="1:17" outlineLevel="2">
      <c r="A74" s="104">
        <f>A73+0.000001</f>
        <v>4.0106089999999996</v>
      </c>
      <c r="B74" s="646" t="s">
        <v>565</v>
      </c>
      <c r="C74" s="662" t="s">
        <v>177</v>
      </c>
      <c r="D74" s="87">
        <v>5988.24</v>
      </c>
      <c r="E74" s="73">
        <v>1.1499999999999999</v>
      </c>
      <c r="F74" s="81">
        <v>0.94</v>
      </c>
      <c r="G74" s="251">
        <v>4.68</v>
      </c>
      <c r="H74" s="251">
        <f t="shared" si="3"/>
        <v>6886.48</v>
      </c>
      <c r="I74" s="252">
        <f t="shared" si="4"/>
        <v>5628.95</v>
      </c>
      <c r="J74" s="73">
        <v>27995.040000000001</v>
      </c>
      <c r="K74" s="538"/>
      <c r="L74" s="51"/>
      <c r="P74" s="660">
        <v>0.94</v>
      </c>
      <c r="Q74" s="549">
        <f t="shared" si="21"/>
        <v>5628.9455999999991</v>
      </c>
    </row>
    <row r="75" spans="1:17" ht="14.1" customHeight="1" outlineLevel="2">
      <c r="A75" s="104">
        <f>A74+0.000001</f>
        <v>4.0106099999999998</v>
      </c>
      <c r="B75" s="646" t="s">
        <v>467</v>
      </c>
      <c r="C75" s="662" t="s">
        <v>161</v>
      </c>
      <c r="D75" s="87">
        <v>1395.86</v>
      </c>
      <c r="E75" s="73">
        <v>1.5</v>
      </c>
      <c r="F75" s="81"/>
      <c r="G75" s="251">
        <v>1.5</v>
      </c>
      <c r="H75" s="251">
        <f t="shared" si="3"/>
        <v>2093.79</v>
      </c>
      <c r="I75" s="252">
        <f t="shared" si="4"/>
        <v>0</v>
      </c>
      <c r="J75" s="73">
        <v>2093.79</v>
      </c>
      <c r="K75" s="538"/>
      <c r="L75" s="51"/>
      <c r="Q75" s="545"/>
    </row>
    <row r="76" spans="1:17" ht="14.1" customHeight="1" outlineLevel="1">
      <c r="A76" s="285">
        <f>A64+0.0001</f>
        <v>4.0106999999999982</v>
      </c>
      <c r="B76" s="659" t="s">
        <v>547</v>
      </c>
      <c r="C76" s="71"/>
      <c r="D76" s="87">
        <v>0</v>
      </c>
      <c r="E76" s="73"/>
      <c r="F76" s="81"/>
      <c r="G76" s="251"/>
      <c r="H76" s="251"/>
      <c r="I76" s="252"/>
      <c r="J76" s="73"/>
      <c r="K76" s="538"/>
      <c r="L76" s="51"/>
      <c r="Q76" s="545"/>
    </row>
    <row r="77" spans="1:17" outlineLevel="2">
      <c r="A77" s="104">
        <f t="shared" ref="A77:A86" si="22">A76+0.000001</f>
        <v>4.0107009999999983</v>
      </c>
      <c r="B77" s="85" t="s">
        <v>603</v>
      </c>
      <c r="C77" s="71" t="s">
        <v>155</v>
      </c>
      <c r="D77" s="87">
        <v>4.83</v>
      </c>
      <c r="E77" s="73">
        <v>392.8</v>
      </c>
      <c r="F77" s="81"/>
      <c r="G77" s="251">
        <v>392.8</v>
      </c>
      <c r="H77" s="251">
        <f t="shared" si="3"/>
        <v>1897.22</v>
      </c>
      <c r="I77" s="252">
        <f t="shared" si="4"/>
        <v>0</v>
      </c>
      <c r="J77" s="73">
        <v>1897.22</v>
      </c>
      <c r="K77" s="536"/>
      <c r="L77" s="51"/>
      <c r="N77" s="4">
        <v>352.38</v>
      </c>
      <c r="O77" s="233">
        <f>+N77*D77</f>
        <v>1701.9954</v>
      </c>
      <c r="Q77" s="545"/>
    </row>
    <row r="78" spans="1:17" ht="14.1" customHeight="1" outlineLevel="2">
      <c r="A78" s="104">
        <f t="shared" si="22"/>
        <v>4.0107019999999984</v>
      </c>
      <c r="B78" s="85" t="s">
        <v>549</v>
      </c>
      <c r="C78" s="662" t="s">
        <v>161</v>
      </c>
      <c r="D78" s="87">
        <v>63.87</v>
      </c>
      <c r="E78" s="73">
        <v>37.5</v>
      </c>
      <c r="F78" s="81"/>
      <c r="G78" s="251">
        <v>37.5</v>
      </c>
      <c r="H78" s="251">
        <f t="shared" ref="H78:H144" si="23">+ROUND(D78*E78,2)</f>
        <v>2395.13</v>
      </c>
      <c r="I78" s="252">
        <f t="shared" ref="I78:I144" si="24">+ROUND(D78*F78,2)</f>
        <v>0</v>
      </c>
      <c r="J78" s="73">
        <v>2395.13</v>
      </c>
      <c r="K78" s="538"/>
      <c r="L78" s="51"/>
      <c r="Q78" s="545"/>
    </row>
    <row r="79" spans="1:17" ht="14.1" customHeight="1" outlineLevel="2">
      <c r="A79" s="104">
        <f t="shared" si="22"/>
        <v>4.0107029999999986</v>
      </c>
      <c r="B79" s="85" t="s">
        <v>550</v>
      </c>
      <c r="C79" s="662" t="s">
        <v>161</v>
      </c>
      <c r="D79" s="87">
        <v>0</v>
      </c>
      <c r="E79" s="73">
        <v>43.5</v>
      </c>
      <c r="F79" s="81"/>
      <c r="G79" s="251">
        <v>43.5</v>
      </c>
      <c r="H79" s="251">
        <f t="shared" si="23"/>
        <v>0</v>
      </c>
      <c r="I79" s="252">
        <f t="shared" si="24"/>
        <v>0</v>
      </c>
      <c r="J79" s="73">
        <v>0</v>
      </c>
      <c r="K79" s="538"/>
      <c r="L79" s="51"/>
      <c r="Q79" s="545"/>
    </row>
    <row r="80" spans="1:17" ht="14.1" customHeight="1" outlineLevel="2">
      <c r="A80" s="104">
        <f t="shared" si="22"/>
        <v>4.0107039999999987</v>
      </c>
      <c r="B80" s="84" t="s">
        <v>551</v>
      </c>
      <c r="C80" s="71" t="s">
        <v>161</v>
      </c>
      <c r="D80" s="87">
        <v>63.87</v>
      </c>
      <c r="E80" s="73">
        <v>57.9</v>
      </c>
      <c r="F80" s="81"/>
      <c r="G80" s="251">
        <v>57.9</v>
      </c>
      <c r="H80" s="251">
        <f t="shared" si="23"/>
        <v>3698.07</v>
      </c>
      <c r="I80" s="252">
        <f t="shared" si="24"/>
        <v>0</v>
      </c>
      <c r="J80" s="73">
        <v>3698.07</v>
      </c>
      <c r="K80" s="538"/>
      <c r="L80" s="550">
        <v>57.9</v>
      </c>
      <c r="M80" s="233">
        <f>+L80*D80</f>
        <v>3698.0729999999999</v>
      </c>
      <c r="Q80" s="545"/>
    </row>
    <row r="81" spans="1:17" ht="14.1" customHeight="1" outlineLevel="2">
      <c r="A81" s="104">
        <f t="shared" si="22"/>
        <v>4.0107049999999989</v>
      </c>
      <c r="B81" s="84" t="s">
        <v>544</v>
      </c>
      <c r="C81" s="71" t="s">
        <v>161</v>
      </c>
      <c r="D81" s="87">
        <v>63.87</v>
      </c>
      <c r="E81" s="73">
        <v>5.43</v>
      </c>
      <c r="F81" s="81"/>
      <c r="G81" s="251">
        <v>5.43</v>
      </c>
      <c r="H81" s="251">
        <f t="shared" si="23"/>
        <v>346.81</v>
      </c>
      <c r="I81" s="252">
        <f t="shared" si="24"/>
        <v>0</v>
      </c>
      <c r="J81" s="73">
        <v>346.81</v>
      </c>
      <c r="K81" s="538"/>
      <c r="L81" s="51"/>
      <c r="Q81" s="545"/>
    </row>
    <row r="82" spans="1:17" ht="14.1" customHeight="1" outlineLevel="2">
      <c r="A82" s="104">
        <f t="shared" si="22"/>
        <v>4.010705999999999</v>
      </c>
      <c r="B82" s="70" t="s">
        <v>552</v>
      </c>
      <c r="C82" s="71" t="s">
        <v>177</v>
      </c>
      <c r="D82" s="87">
        <v>447.42</v>
      </c>
      <c r="E82" s="73">
        <v>1.1499999999999999</v>
      </c>
      <c r="F82" s="81">
        <v>0.94</v>
      </c>
      <c r="G82" s="251">
        <v>4.68</v>
      </c>
      <c r="H82" s="251">
        <f t="shared" si="23"/>
        <v>514.53</v>
      </c>
      <c r="I82" s="252">
        <f t="shared" si="24"/>
        <v>420.57</v>
      </c>
      <c r="J82" s="73">
        <v>2091.67</v>
      </c>
      <c r="K82" s="538"/>
      <c r="L82" s="51"/>
      <c r="P82" s="660">
        <v>0.94</v>
      </c>
      <c r="Q82" s="549">
        <f t="shared" ref="Q82:Q85" si="25">+P82*D82</f>
        <v>420.57479999999998</v>
      </c>
    </row>
    <row r="83" spans="1:17" ht="14.1" customHeight="1" outlineLevel="2">
      <c r="A83" s="104">
        <f t="shared" si="22"/>
        <v>4.0107069999999991</v>
      </c>
      <c r="B83" s="85" t="s">
        <v>553</v>
      </c>
      <c r="C83" s="71" t="s">
        <v>177</v>
      </c>
      <c r="D83" s="87">
        <v>349.92</v>
      </c>
      <c r="E83" s="73">
        <v>0</v>
      </c>
      <c r="F83" s="81">
        <v>0.94</v>
      </c>
      <c r="G83" s="251">
        <v>3.53</v>
      </c>
      <c r="H83" s="251">
        <f t="shared" si="23"/>
        <v>0</v>
      </c>
      <c r="I83" s="252">
        <f t="shared" si="24"/>
        <v>328.92</v>
      </c>
      <c r="J83" s="73">
        <v>1233.45</v>
      </c>
      <c r="K83" s="538"/>
      <c r="L83" s="51"/>
      <c r="P83" s="660">
        <v>0.94</v>
      </c>
      <c r="Q83" s="549">
        <f t="shared" si="25"/>
        <v>328.9248</v>
      </c>
    </row>
    <row r="84" spans="1:17" ht="14.1" customHeight="1" outlineLevel="2">
      <c r="A84" s="104">
        <f t="shared" si="22"/>
        <v>4.0107079999999993</v>
      </c>
      <c r="B84" s="70" t="s">
        <v>559</v>
      </c>
      <c r="C84" s="71" t="s">
        <v>177</v>
      </c>
      <c r="D84" s="87">
        <v>25.55</v>
      </c>
      <c r="E84" s="73">
        <v>1.1499999999999999</v>
      </c>
      <c r="F84" s="81">
        <v>0.94</v>
      </c>
      <c r="G84" s="251">
        <v>4.68</v>
      </c>
      <c r="H84" s="251">
        <f t="shared" si="23"/>
        <v>29.38</v>
      </c>
      <c r="I84" s="252">
        <f t="shared" si="24"/>
        <v>24.02</v>
      </c>
      <c r="J84" s="73">
        <v>119.46</v>
      </c>
      <c r="K84" s="538"/>
      <c r="L84" s="51"/>
      <c r="P84" s="660">
        <v>0.94</v>
      </c>
      <c r="Q84" s="549">
        <f t="shared" si="25"/>
        <v>24.016999999999999</v>
      </c>
    </row>
    <row r="85" spans="1:17" ht="22.5" outlineLevel="2">
      <c r="A85" s="104">
        <f t="shared" si="22"/>
        <v>4.0107089999999994</v>
      </c>
      <c r="B85" s="70" t="s">
        <v>554</v>
      </c>
      <c r="C85" s="71" t="s">
        <v>177</v>
      </c>
      <c r="D85" s="87">
        <v>127.74</v>
      </c>
      <c r="E85" s="73">
        <v>0</v>
      </c>
      <c r="F85" s="81">
        <v>0.94</v>
      </c>
      <c r="G85" s="251">
        <v>3.53</v>
      </c>
      <c r="H85" s="251">
        <f t="shared" si="23"/>
        <v>0</v>
      </c>
      <c r="I85" s="252">
        <f t="shared" si="24"/>
        <v>120.08</v>
      </c>
      <c r="J85" s="73">
        <v>450.3</v>
      </c>
      <c r="K85" s="538"/>
      <c r="L85" s="51"/>
      <c r="P85" s="660">
        <v>0.94</v>
      </c>
      <c r="Q85" s="549">
        <f t="shared" si="25"/>
        <v>120.07559999999999</v>
      </c>
    </row>
    <row r="86" spans="1:17" ht="14.1" customHeight="1" outlineLevel="2">
      <c r="A86" s="104">
        <f t="shared" si="22"/>
        <v>4.0107099999999996</v>
      </c>
      <c r="B86" s="70" t="s">
        <v>467</v>
      </c>
      <c r="C86" s="71" t="s">
        <v>161</v>
      </c>
      <c r="D86" s="87">
        <v>63.87</v>
      </c>
      <c r="E86" s="73">
        <v>1.5</v>
      </c>
      <c r="F86" s="81"/>
      <c r="G86" s="251">
        <v>1.5</v>
      </c>
      <c r="H86" s="251">
        <f t="shared" si="23"/>
        <v>95.81</v>
      </c>
      <c r="I86" s="252">
        <f t="shared" si="24"/>
        <v>0</v>
      </c>
      <c r="J86" s="73">
        <v>95.81</v>
      </c>
      <c r="K86" s="538"/>
      <c r="L86" s="51"/>
      <c r="Q86" s="545"/>
    </row>
    <row r="87" spans="1:17" ht="14.1" customHeight="1" outlineLevel="1">
      <c r="A87" s="285">
        <f>A76+0.0001</f>
        <v>4.0107999999999979</v>
      </c>
      <c r="B87" s="659" t="s">
        <v>604</v>
      </c>
      <c r="C87" s="71"/>
      <c r="D87" s="87">
        <v>0</v>
      </c>
      <c r="E87" s="73"/>
      <c r="F87" s="81"/>
      <c r="G87" s="251"/>
      <c r="H87" s="251"/>
      <c r="I87" s="252"/>
      <c r="J87" s="73"/>
      <c r="K87" s="538"/>
      <c r="L87" s="51"/>
      <c r="Q87" s="545"/>
    </row>
    <row r="88" spans="1:17" outlineLevel="2">
      <c r="A88" s="104">
        <f t="shared" ref="A88:A98" si="26">A87+0.000001</f>
        <v>4.0108009999999981</v>
      </c>
      <c r="B88" s="85" t="s">
        <v>603</v>
      </c>
      <c r="C88" s="71" t="s">
        <v>155</v>
      </c>
      <c r="D88" s="87">
        <v>0</v>
      </c>
      <c r="E88" s="73">
        <v>392.8</v>
      </c>
      <c r="F88" s="81"/>
      <c r="G88" s="251">
        <v>392.8</v>
      </c>
      <c r="H88" s="251">
        <f t="shared" si="23"/>
        <v>0</v>
      </c>
      <c r="I88" s="252">
        <f t="shared" si="24"/>
        <v>0</v>
      </c>
      <c r="J88" s="73">
        <v>0</v>
      </c>
      <c r="K88" s="536"/>
      <c r="L88" s="51"/>
      <c r="O88" s="233">
        <f t="shared" ref="O88:O89" si="27">+N88*D88</f>
        <v>0</v>
      </c>
      <c r="Q88" s="545"/>
    </row>
    <row r="89" spans="1:17" outlineLevel="2">
      <c r="A89" s="104">
        <f t="shared" si="26"/>
        <v>4.0108019999999982</v>
      </c>
      <c r="B89" s="84" t="s">
        <v>599</v>
      </c>
      <c r="C89" s="71" t="s">
        <v>155</v>
      </c>
      <c r="D89" s="87">
        <v>0</v>
      </c>
      <c r="E89" s="73">
        <v>451.61</v>
      </c>
      <c r="F89" s="81"/>
      <c r="G89" s="251">
        <v>451.61</v>
      </c>
      <c r="H89" s="251">
        <f t="shared" si="23"/>
        <v>0</v>
      </c>
      <c r="I89" s="252">
        <f t="shared" si="24"/>
        <v>0</v>
      </c>
      <c r="J89" s="73">
        <v>0</v>
      </c>
      <c r="K89" s="536"/>
      <c r="L89" s="51"/>
      <c r="O89" s="233">
        <f t="shared" si="27"/>
        <v>0</v>
      </c>
      <c r="Q89" s="545"/>
    </row>
    <row r="90" spans="1:17" ht="14.1" customHeight="1" outlineLevel="2">
      <c r="A90" s="104">
        <f t="shared" si="26"/>
        <v>4.0108029999999983</v>
      </c>
      <c r="B90" s="85" t="s">
        <v>549</v>
      </c>
      <c r="C90" s="662" t="s">
        <v>161</v>
      </c>
      <c r="D90" s="87">
        <v>0</v>
      </c>
      <c r="E90" s="73">
        <v>37.5</v>
      </c>
      <c r="F90" s="81"/>
      <c r="G90" s="251">
        <v>37.5</v>
      </c>
      <c r="H90" s="251">
        <f t="shared" si="23"/>
        <v>0</v>
      </c>
      <c r="I90" s="252">
        <f t="shared" si="24"/>
        <v>0</v>
      </c>
      <c r="J90" s="73">
        <v>0</v>
      </c>
      <c r="K90" s="538"/>
      <c r="L90" s="51"/>
      <c r="Q90" s="545"/>
    </row>
    <row r="91" spans="1:17" ht="14.1" customHeight="1" outlineLevel="2">
      <c r="A91" s="104">
        <f t="shared" si="26"/>
        <v>4.0108039999999985</v>
      </c>
      <c r="B91" s="85" t="s">
        <v>550</v>
      </c>
      <c r="C91" s="662" t="s">
        <v>161</v>
      </c>
      <c r="D91" s="87">
        <v>0</v>
      </c>
      <c r="E91" s="73">
        <v>43.5</v>
      </c>
      <c r="F91" s="81"/>
      <c r="G91" s="251">
        <v>43.5</v>
      </c>
      <c r="H91" s="251">
        <f t="shared" si="23"/>
        <v>0</v>
      </c>
      <c r="I91" s="252">
        <f t="shared" si="24"/>
        <v>0</v>
      </c>
      <c r="J91" s="73">
        <v>0</v>
      </c>
      <c r="K91" s="538"/>
      <c r="L91" s="51"/>
      <c r="Q91" s="545"/>
    </row>
    <row r="92" spans="1:17" ht="14.1" customHeight="1" outlineLevel="2">
      <c r="A92" s="104">
        <f t="shared" si="26"/>
        <v>4.0108049999999986</v>
      </c>
      <c r="B92" s="84" t="s">
        <v>605</v>
      </c>
      <c r="C92" s="71" t="s">
        <v>161</v>
      </c>
      <c r="D92" s="87">
        <v>0</v>
      </c>
      <c r="E92" s="73">
        <v>60.9</v>
      </c>
      <c r="F92" s="81"/>
      <c r="G92" s="251">
        <v>60.9</v>
      </c>
      <c r="H92" s="251">
        <f t="shared" si="23"/>
        <v>0</v>
      </c>
      <c r="I92" s="252">
        <f t="shared" si="24"/>
        <v>0</v>
      </c>
      <c r="J92" s="73">
        <v>0</v>
      </c>
      <c r="K92" s="538"/>
      <c r="L92" s="550">
        <v>60.9</v>
      </c>
      <c r="M92" s="233">
        <f>+L92*D92</f>
        <v>0</v>
      </c>
      <c r="Q92" s="545"/>
    </row>
    <row r="93" spans="1:17" ht="14.1" customHeight="1" outlineLevel="2">
      <c r="A93" s="104">
        <f t="shared" si="26"/>
        <v>4.0108059999999988</v>
      </c>
      <c r="B93" s="84" t="s">
        <v>544</v>
      </c>
      <c r="C93" s="71" t="s">
        <v>161</v>
      </c>
      <c r="D93" s="87">
        <v>0</v>
      </c>
      <c r="E93" s="73">
        <v>5.43</v>
      </c>
      <c r="F93" s="81"/>
      <c r="G93" s="251">
        <v>5.43</v>
      </c>
      <c r="H93" s="251">
        <f t="shared" si="23"/>
        <v>0</v>
      </c>
      <c r="I93" s="252">
        <f t="shared" si="24"/>
        <v>0</v>
      </c>
      <c r="J93" s="73">
        <v>0</v>
      </c>
      <c r="K93" s="538"/>
      <c r="L93" s="51"/>
      <c r="Q93" s="545"/>
    </row>
    <row r="94" spans="1:17" ht="14.1" customHeight="1" outlineLevel="2">
      <c r="A94" s="104">
        <f t="shared" si="26"/>
        <v>4.0108069999999989</v>
      </c>
      <c r="B94" s="70" t="s">
        <v>552</v>
      </c>
      <c r="C94" s="71" t="s">
        <v>177</v>
      </c>
      <c r="D94" s="87">
        <v>0</v>
      </c>
      <c r="E94" s="73">
        <v>1.1499999999999999</v>
      </c>
      <c r="F94" s="81">
        <v>0.94</v>
      </c>
      <c r="G94" s="251">
        <v>4.68</v>
      </c>
      <c r="H94" s="251">
        <f t="shared" si="23"/>
        <v>0</v>
      </c>
      <c r="I94" s="252">
        <f t="shared" si="24"/>
        <v>0</v>
      </c>
      <c r="J94" s="73">
        <v>0</v>
      </c>
      <c r="K94" s="538"/>
      <c r="L94" s="51"/>
      <c r="P94" s="660">
        <v>0.94</v>
      </c>
      <c r="Q94" s="549">
        <f t="shared" ref="Q94:Q97" si="28">+P94*D94</f>
        <v>0</v>
      </c>
    </row>
    <row r="95" spans="1:17" ht="14.1" customHeight="1" outlineLevel="2">
      <c r="A95" s="104">
        <f t="shared" si="26"/>
        <v>4.010807999999999</v>
      </c>
      <c r="B95" s="85" t="s">
        <v>553</v>
      </c>
      <c r="C95" s="71" t="s">
        <v>177</v>
      </c>
      <c r="D95" s="87">
        <v>0</v>
      </c>
      <c r="E95" s="73">
        <v>0</v>
      </c>
      <c r="F95" s="81">
        <v>0.94</v>
      </c>
      <c r="G95" s="251">
        <v>3.53</v>
      </c>
      <c r="H95" s="251">
        <f t="shared" si="23"/>
        <v>0</v>
      </c>
      <c r="I95" s="252">
        <f t="shared" si="24"/>
        <v>0</v>
      </c>
      <c r="J95" s="73">
        <v>0</v>
      </c>
      <c r="K95" s="538"/>
      <c r="L95" s="51"/>
      <c r="P95" s="660">
        <v>0.94</v>
      </c>
      <c r="Q95" s="549">
        <f t="shared" si="28"/>
        <v>0</v>
      </c>
    </row>
    <row r="96" spans="1:17" ht="14.1" customHeight="1" outlineLevel="2">
      <c r="A96" s="104">
        <f t="shared" si="26"/>
        <v>4.0108089999999992</v>
      </c>
      <c r="B96" s="70" t="s">
        <v>559</v>
      </c>
      <c r="C96" s="71" t="s">
        <v>177</v>
      </c>
      <c r="D96" s="87">
        <v>0</v>
      </c>
      <c r="E96" s="73">
        <v>1.1499999999999999</v>
      </c>
      <c r="F96" s="81">
        <v>0.94</v>
      </c>
      <c r="G96" s="251">
        <v>4.68</v>
      </c>
      <c r="H96" s="251">
        <f t="shared" si="23"/>
        <v>0</v>
      </c>
      <c r="I96" s="252">
        <f t="shared" si="24"/>
        <v>0</v>
      </c>
      <c r="J96" s="73">
        <v>0</v>
      </c>
      <c r="K96" s="538"/>
      <c r="L96" s="51"/>
      <c r="P96" s="660">
        <v>0.94</v>
      </c>
      <c r="Q96" s="549">
        <f t="shared" si="28"/>
        <v>0</v>
      </c>
    </row>
    <row r="97" spans="1:17" ht="22.5" outlineLevel="2">
      <c r="A97" s="104">
        <f t="shared" si="26"/>
        <v>4.0108099999999993</v>
      </c>
      <c r="B97" s="70" t="s">
        <v>554</v>
      </c>
      <c r="C97" s="71" t="s">
        <v>177</v>
      </c>
      <c r="D97" s="87">
        <v>0</v>
      </c>
      <c r="E97" s="73">
        <v>0</v>
      </c>
      <c r="F97" s="81">
        <v>0.94</v>
      </c>
      <c r="G97" s="251">
        <v>3.53</v>
      </c>
      <c r="H97" s="251">
        <f t="shared" si="23"/>
        <v>0</v>
      </c>
      <c r="I97" s="252">
        <f t="shared" si="24"/>
        <v>0</v>
      </c>
      <c r="J97" s="73">
        <v>0</v>
      </c>
      <c r="K97" s="538"/>
      <c r="L97" s="51"/>
      <c r="P97" s="660">
        <v>0.94</v>
      </c>
      <c r="Q97" s="549">
        <f t="shared" si="28"/>
        <v>0</v>
      </c>
    </row>
    <row r="98" spans="1:17" ht="14.1" customHeight="1" outlineLevel="2">
      <c r="A98" s="104">
        <f t="shared" si="26"/>
        <v>4.0108109999999995</v>
      </c>
      <c r="B98" s="70" t="s">
        <v>467</v>
      </c>
      <c r="C98" s="71" t="s">
        <v>161</v>
      </c>
      <c r="D98" s="87">
        <v>0</v>
      </c>
      <c r="E98" s="73">
        <v>1.5</v>
      </c>
      <c r="F98" s="81"/>
      <c r="G98" s="251">
        <v>1.5</v>
      </c>
      <c r="H98" s="251">
        <f t="shared" si="23"/>
        <v>0</v>
      </c>
      <c r="I98" s="252">
        <f t="shared" si="24"/>
        <v>0</v>
      </c>
      <c r="J98" s="73">
        <v>0</v>
      </c>
      <c r="K98" s="538"/>
      <c r="L98" s="51"/>
      <c r="Q98" s="545"/>
    </row>
    <row r="99" spans="1:17" ht="14.1" customHeight="1" outlineLevel="1">
      <c r="A99" s="285">
        <f>A87+0.0001</f>
        <v>4.0108999999999977</v>
      </c>
      <c r="B99" s="659" t="s">
        <v>555</v>
      </c>
      <c r="C99" s="71"/>
      <c r="D99" s="87">
        <v>0</v>
      </c>
      <c r="E99" s="73"/>
      <c r="F99" s="81"/>
      <c r="G99" s="251"/>
      <c r="H99" s="251"/>
      <c r="I99" s="252"/>
      <c r="J99" s="73"/>
      <c r="K99" s="538"/>
      <c r="L99" s="51"/>
      <c r="Q99" s="545"/>
    </row>
    <row r="100" spans="1:17" outlineLevel="2">
      <c r="A100" s="104">
        <f t="shared" ref="A100:A159" si="29">A99+0.000001</f>
        <v>4.0109009999999978</v>
      </c>
      <c r="B100" s="85" t="s">
        <v>603</v>
      </c>
      <c r="C100" s="71" t="s">
        <v>155</v>
      </c>
      <c r="D100" s="87">
        <v>778.01</v>
      </c>
      <c r="E100" s="73">
        <v>392.8</v>
      </c>
      <c r="F100" s="81"/>
      <c r="G100" s="251">
        <v>392.8</v>
      </c>
      <c r="H100" s="251">
        <f t="shared" si="23"/>
        <v>305602.33</v>
      </c>
      <c r="I100" s="252">
        <f t="shared" si="24"/>
        <v>0</v>
      </c>
      <c r="J100" s="73">
        <v>305602.33</v>
      </c>
      <c r="K100" s="536"/>
      <c r="L100" s="51"/>
      <c r="N100" s="4">
        <v>352.38</v>
      </c>
      <c r="O100" s="233">
        <f t="shared" ref="O100:O102" si="30">+N100*D100</f>
        <v>274155.16379999998</v>
      </c>
      <c r="Q100" s="545"/>
    </row>
    <row r="101" spans="1:17" outlineLevel="2">
      <c r="A101" s="104">
        <f t="shared" si="29"/>
        <v>4.010901999999998</v>
      </c>
      <c r="B101" s="84" t="s">
        <v>599</v>
      </c>
      <c r="C101" s="71" t="s">
        <v>155</v>
      </c>
      <c r="D101" s="87">
        <v>16.03</v>
      </c>
      <c r="E101" s="73">
        <v>451.61</v>
      </c>
      <c r="F101" s="81"/>
      <c r="G101" s="251">
        <v>451.61</v>
      </c>
      <c r="H101" s="251">
        <f t="shared" si="23"/>
        <v>7239.31</v>
      </c>
      <c r="I101" s="252">
        <f t="shared" si="24"/>
        <v>0</v>
      </c>
      <c r="J101" s="73">
        <v>7239.31</v>
      </c>
      <c r="K101" s="536"/>
      <c r="L101" s="51"/>
      <c r="N101" s="4">
        <v>411.19</v>
      </c>
      <c r="O101" s="233">
        <f t="shared" si="30"/>
        <v>6591.3757000000005</v>
      </c>
      <c r="Q101" s="545"/>
    </row>
    <row r="102" spans="1:17" ht="14.1" customHeight="1" outlineLevel="2">
      <c r="A102" s="104">
        <f>A100+0.000001</f>
        <v>4.010901999999998</v>
      </c>
      <c r="B102" s="84" t="s">
        <v>539</v>
      </c>
      <c r="C102" s="662" t="s">
        <v>155</v>
      </c>
      <c r="D102" s="87">
        <v>10.5</v>
      </c>
      <c r="E102" s="73">
        <v>467.86</v>
      </c>
      <c r="F102" s="81"/>
      <c r="G102" s="251">
        <v>467.86</v>
      </c>
      <c r="H102" s="251">
        <f t="shared" si="23"/>
        <v>4912.53</v>
      </c>
      <c r="I102" s="252">
        <f t="shared" si="24"/>
        <v>0</v>
      </c>
      <c r="J102" s="73">
        <v>4912.53</v>
      </c>
      <c r="K102" s="538"/>
      <c r="L102" s="51"/>
      <c r="N102" s="4">
        <v>427.44</v>
      </c>
      <c r="O102" s="233">
        <f t="shared" si="30"/>
        <v>4488.12</v>
      </c>
      <c r="Q102" s="545"/>
    </row>
    <row r="103" spans="1:17" ht="14.1" customHeight="1" outlineLevel="2">
      <c r="A103" s="104">
        <f>A101+0.000001</f>
        <v>4.0109029999999981</v>
      </c>
      <c r="B103" s="85" t="s">
        <v>549</v>
      </c>
      <c r="C103" s="662" t="s">
        <v>161</v>
      </c>
      <c r="D103" s="87">
        <v>8907.35</v>
      </c>
      <c r="E103" s="73">
        <v>37.5</v>
      </c>
      <c r="F103" s="81"/>
      <c r="G103" s="251">
        <v>37.5</v>
      </c>
      <c r="H103" s="251">
        <f t="shared" si="23"/>
        <v>334025.63</v>
      </c>
      <c r="I103" s="252">
        <f t="shared" si="24"/>
        <v>0</v>
      </c>
      <c r="J103" s="73">
        <v>334025.63</v>
      </c>
      <c r="K103" s="538"/>
      <c r="L103" s="51"/>
      <c r="Q103" s="545"/>
    </row>
    <row r="104" spans="1:17" ht="14.1" customHeight="1" outlineLevel="2">
      <c r="A104" s="104">
        <f t="shared" ref="A104" si="31">A103+0.000001</f>
        <v>4.0109039999999982</v>
      </c>
      <c r="B104" s="85" t="s">
        <v>550</v>
      </c>
      <c r="C104" s="662" t="s">
        <v>161</v>
      </c>
      <c r="D104" s="87">
        <v>382.1</v>
      </c>
      <c r="E104" s="73">
        <v>43.5</v>
      </c>
      <c r="F104" s="81"/>
      <c r="G104" s="251">
        <v>43.5</v>
      </c>
      <c r="H104" s="251">
        <f t="shared" ref="H104" si="32">+ROUND(D104*E104,2)</f>
        <v>16621.349999999999</v>
      </c>
      <c r="I104" s="252">
        <f t="shared" ref="I104" si="33">+ROUND(D104*F104,2)</f>
        <v>0</v>
      </c>
      <c r="J104" s="73">
        <v>16621.349999999999</v>
      </c>
      <c r="K104" s="538"/>
      <c r="L104" s="51"/>
      <c r="Q104" s="545"/>
    </row>
    <row r="105" spans="1:17" ht="14.1" customHeight="1" outlineLevel="2">
      <c r="A105" s="104">
        <f>A103+0.000001</f>
        <v>4.0109039999999982</v>
      </c>
      <c r="B105" s="84" t="s">
        <v>556</v>
      </c>
      <c r="C105" s="71" t="s">
        <v>161</v>
      </c>
      <c r="D105" s="87">
        <v>9289.4500000000007</v>
      </c>
      <c r="E105" s="73">
        <v>62.9</v>
      </c>
      <c r="F105" s="81"/>
      <c r="G105" s="251">
        <v>62.9</v>
      </c>
      <c r="H105" s="251">
        <f t="shared" si="23"/>
        <v>584306.41</v>
      </c>
      <c r="I105" s="252">
        <f t="shared" si="24"/>
        <v>0</v>
      </c>
      <c r="J105" s="73">
        <v>584306.41</v>
      </c>
      <c r="K105" s="538"/>
      <c r="L105" s="550">
        <v>62.9</v>
      </c>
      <c r="M105" s="233">
        <f>+L105*D105</f>
        <v>584306.40500000003</v>
      </c>
      <c r="Q105" s="545"/>
    </row>
    <row r="106" spans="1:17" ht="14.1" customHeight="1" outlineLevel="2">
      <c r="A106" s="104">
        <f t="shared" si="29"/>
        <v>4.0109049999999984</v>
      </c>
      <c r="B106" s="84" t="s">
        <v>544</v>
      </c>
      <c r="C106" s="71" t="s">
        <v>161</v>
      </c>
      <c r="D106" s="87">
        <v>9289.4500000000007</v>
      </c>
      <c r="E106" s="73">
        <v>5.43</v>
      </c>
      <c r="F106" s="81"/>
      <c r="G106" s="251">
        <v>5.43</v>
      </c>
      <c r="H106" s="251">
        <f t="shared" si="23"/>
        <v>50441.71</v>
      </c>
      <c r="I106" s="252">
        <f t="shared" si="24"/>
        <v>0</v>
      </c>
      <c r="J106" s="73">
        <v>50441.71</v>
      </c>
      <c r="K106" s="538"/>
      <c r="L106" s="51"/>
      <c r="Q106" s="545"/>
    </row>
    <row r="107" spans="1:17" ht="14.1" customHeight="1" outlineLevel="2">
      <c r="A107" s="104">
        <f t="shared" si="29"/>
        <v>4.0109059999999985</v>
      </c>
      <c r="B107" s="70" t="s">
        <v>552</v>
      </c>
      <c r="C107" s="71" t="s">
        <v>177</v>
      </c>
      <c r="D107" s="87">
        <v>30779.69</v>
      </c>
      <c r="E107" s="73">
        <v>1.1499999999999999</v>
      </c>
      <c r="F107" s="81">
        <v>0.94</v>
      </c>
      <c r="G107" s="251">
        <v>4.68</v>
      </c>
      <c r="H107" s="251">
        <f t="shared" si="23"/>
        <v>35396.639999999999</v>
      </c>
      <c r="I107" s="252">
        <f t="shared" si="24"/>
        <v>28932.91</v>
      </c>
      <c r="J107" s="73">
        <v>143895.04999999999</v>
      </c>
      <c r="K107" s="538"/>
      <c r="L107" s="51"/>
      <c r="P107" s="660">
        <v>0.94</v>
      </c>
      <c r="Q107" s="549">
        <f t="shared" ref="Q107:Q110" si="34">+P107*D107</f>
        <v>28932.908599999999</v>
      </c>
    </row>
    <row r="108" spans="1:17" ht="14.1" customHeight="1" outlineLevel="2">
      <c r="A108" s="104">
        <f t="shared" si="29"/>
        <v>4.0109069999999987</v>
      </c>
      <c r="B108" s="85" t="s">
        <v>553</v>
      </c>
      <c r="C108" s="71" t="s">
        <v>177</v>
      </c>
      <c r="D108" s="87">
        <v>21359.46</v>
      </c>
      <c r="E108" s="73">
        <v>0</v>
      </c>
      <c r="F108" s="81">
        <v>0.94</v>
      </c>
      <c r="G108" s="251">
        <v>3.53</v>
      </c>
      <c r="H108" s="251">
        <f t="shared" si="23"/>
        <v>0</v>
      </c>
      <c r="I108" s="252">
        <f t="shared" si="24"/>
        <v>20077.89</v>
      </c>
      <c r="J108" s="73">
        <v>75292.09</v>
      </c>
      <c r="K108" s="538"/>
      <c r="L108" s="51"/>
      <c r="P108" s="660">
        <v>0.94</v>
      </c>
      <c r="Q108" s="549">
        <f t="shared" si="34"/>
        <v>20077.892399999997</v>
      </c>
    </row>
    <row r="109" spans="1:17" ht="14.1" customHeight="1" outlineLevel="2">
      <c r="A109" s="104">
        <f t="shared" si="29"/>
        <v>4.0109079999999988</v>
      </c>
      <c r="B109" s="70" t="s">
        <v>559</v>
      </c>
      <c r="C109" s="71" t="s">
        <v>177</v>
      </c>
      <c r="D109" s="87">
        <v>3715.78</v>
      </c>
      <c r="E109" s="73">
        <v>1.1499999999999999</v>
      </c>
      <c r="F109" s="81">
        <v>0.94</v>
      </c>
      <c r="G109" s="251">
        <v>4.68</v>
      </c>
      <c r="H109" s="251">
        <f t="shared" si="23"/>
        <v>4273.1499999999996</v>
      </c>
      <c r="I109" s="252">
        <f t="shared" si="24"/>
        <v>3492.83</v>
      </c>
      <c r="J109" s="73">
        <v>17371.259999999998</v>
      </c>
      <c r="K109" s="538"/>
      <c r="L109" s="51"/>
      <c r="P109" s="660">
        <v>0.94</v>
      </c>
      <c r="Q109" s="549">
        <f t="shared" si="34"/>
        <v>3492.8332</v>
      </c>
    </row>
    <row r="110" spans="1:17" ht="22.5" outlineLevel="2">
      <c r="A110" s="104">
        <f t="shared" si="29"/>
        <v>4.0109089999999989</v>
      </c>
      <c r="B110" s="70" t="s">
        <v>554</v>
      </c>
      <c r="C110" s="71" t="s">
        <v>177</v>
      </c>
      <c r="D110" s="87">
        <v>18578.900000000001</v>
      </c>
      <c r="E110" s="73">
        <v>0</v>
      </c>
      <c r="F110" s="81">
        <v>0.94</v>
      </c>
      <c r="G110" s="251">
        <v>3.53</v>
      </c>
      <c r="H110" s="251">
        <f t="shared" si="23"/>
        <v>0</v>
      </c>
      <c r="I110" s="252">
        <f t="shared" si="24"/>
        <v>17464.169999999998</v>
      </c>
      <c r="J110" s="73">
        <v>65490.64</v>
      </c>
      <c r="K110" s="538"/>
      <c r="L110" s="51"/>
      <c r="P110" s="660">
        <v>0.94</v>
      </c>
      <c r="Q110" s="549">
        <f t="shared" si="34"/>
        <v>17464.166000000001</v>
      </c>
    </row>
    <row r="111" spans="1:17" ht="14.1" customHeight="1" outlineLevel="2">
      <c r="A111" s="104">
        <f t="shared" si="29"/>
        <v>4.0109099999999991</v>
      </c>
      <c r="B111" s="70" t="s">
        <v>467</v>
      </c>
      <c r="C111" s="71" t="s">
        <v>161</v>
      </c>
      <c r="D111" s="87">
        <v>9289.4500000000007</v>
      </c>
      <c r="E111" s="73">
        <v>1.5</v>
      </c>
      <c r="F111" s="81"/>
      <c r="G111" s="251">
        <v>1.5</v>
      </c>
      <c r="H111" s="251">
        <f t="shared" si="23"/>
        <v>13934.18</v>
      </c>
      <c r="I111" s="252">
        <f t="shared" si="24"/>
        <v>0</v>
      </c>
      <c r="J111" s="73">
        <v>13934.18</v>
      </c>
      <c r="K111" s="538"/>
      <c r="L111" s="51"/>
      <c r="Q111" s="545"/>
    </row>
    <row r="112" spans="1:17" ht="14.1" customHeight="1" outlineLevel="1">
      <c r="A112" s="285">
        <f>A99+0.0001</f>
        <v>4.0109999999999975</v>
      </c>
      <c r="B112" s="99" t="s">
        <v>557</v>
      </c>
      <c r="C112" s="68"/>
      <c r="D112" s="87">
        <v>0</v>
      </c>
      <c r="E112" s="73"/>
      <c r="F112" s="65"/>
      <c r="G112" s="251"/>
      <c r="H112" s="251"/>
      <c r="I112" s="252"/>
      <c r="J112" s="73"/>
      <c r="K112" s="538"/>
      <c r="L112" s="51"/>
      <c r="Q112" s="545"/>
    </row>
    <row r="113" spans="1:17" outlineLevel="2">
      <c r="A113" s="104">
        <f t="shared" si="29"/>
        <v>4.0110009999999976</v>
      </c>
      <c r="B113" s="85" t="s">
        <v>603</v>
      </c>
      <c r="C113" s="71" t="s">
        <v>155</v>
      </c>
      <c r="D113" s="87">
        <v>260.14</v>
      </c>
      <c r="E113" s="73">
        <v>392.8</v>
      </c>
      <c r="F113" s="81"/>
      <c r="G113" s="251">
        <v>392.8</v>
      </c>
      <c r="H113" s="251">
        <f t="shared" si="23"/>
        <v>102182.99</v>
      </c>
      <c r="I113" s="252">
        <f t="shared" si="24"/>
        <v>0</v>
      </c>
      <c r="J113" s="73">
        <v>102182.99</v>
      </c>
      <c r="K113" s="536"/>
      <c r="L113" s="51"/>
      <c r="N113" s="4">
        <v>352.38</v>
      </c>
      <c r="O113" s="233">
        <f t="shared" ref="O113:O115" si="35">+N113*D113</f>
        <v>91668.133199999997</v>
      </c>
      <c r="Q113" s="545"/>
    </row>
    <row r="114" spans="1:17" outlineLevel="2">
      <c r="A114" s="104">
        <f t="shared" si="29"/>
        <v>4.0110019999999977</v>
      </c>
      <c r="B114" s="84" t="s">
        <v>599</v>
      </c>
      <c r="C114" s="71" t="s">
        <v>155</v>
      </c>
      <c r="D114" s="87">
        <v>2.62</v>
      </c>
      <c r="E114" s="73">
        <v>451.61</v>
      </c>
      <c r="F114" s="81"/>
      <c r="G114" s="251">
        <v>451.61</v>
      </c>
      <c r="H114" s="251">
        <f t="shared" si="23"/>
        <v>1183.22</v>
      </c>
      <c r="I114" s="252">
        <f t="shared" si="24"/>
        <v>0</v>
      </c>
      <c r="J114" s="73">
        <v>1183.22</v>
      </c>
      <c r="K114" s="536"/>
      <c r="L114" s="51"/>
      <c r="N114" s="4">
        <v>411.19</v>
      </c>
      <c r="O114" s="233">
        <f t="shared" si="35"/>
        <v>1077.3178</v>
      </c>
      <c r="Q114" s="545"/>
    </row>
    <row r="115" spans="1:17" ht="14.1" customHeight="1" outlineLevel="2">
      <c r="A115" s="104">
        <f t="shared" si="29"/>
        <v>4.0110029999999979</v>
      </c>
      <c r="B115" s="84" t="s">
        <v>539</v>
      </c>
      <c r="C115" s="662" t="s">
        <v>155</v>
      </c>
      <c r="D115" s="87">
        <v>2.76</v>
      </c>
      <c r="E115" s="73">
        <v>467.86</v>
      </c>
      <c r="F115" s="81"/>
      <c r="G115" s="251">
        <v>467.86</v>
      </c>
      <c r="H115" s="251">
        <f t="shared" ref="H115" si="36">+ROUND(D115*E115,2)</f>
        <v>1291.29</v>
      </c>
      <c r="I115" s="252">
        <f t="shared" ref="I115" si="37">+ROUND(D115*F115,2)</f>
        <v>0</v>
      </c>
      <c r="J115" s="73">
        <v>1291.29</v>
      </c>
      <c r="K115" s="538"/>
      <c r="L115" s="51"/>
      <c r="N115" s="4">
        <v>427.44</v>
      </c>
      <c r="O115" s="233">
        <f t="shared" si="35"/>
        <v>1179.7343999999998</v>
      </c>
      <c r="Q115" s="545"/>
    </row>
    <row r="116" spans="1:17" ht="14.1" customHeight="1" outlineLevel="2">
      <c r="A116" s="104">
        <f t="shared" si="29"/>
        <v>4.011003999999998</v>
      </c>
      <c r="B116" s="85" t="s">
        <v>549</v>
      </c>
      <c r="C116" s="71" t="s">
        <v>161</v>
      </c>
      <c r="D116" s="87">
        <v>2220.88</v>
      </c>
      <c r="E116" s="73">
        <v>37.5</v>
      </c>
      <c r="F116" s="81"/>
      <c r="G116" s="251">
        <v>37.5</v>
      </c>
      <c r="H116" s="251">
        <f t="shared" si="23"/>
        <v>83283</v>
      </c>
      <c r="I116" s="252">
        <f t="shared" si="24"/>
        <v>0</v>
      </c>
      <c r="J116" s="73">
        <v>83283</v>
      </c>
      <c r="K116" s="538"/>
      <c r="L116" s="51"/>
      <c r="Q116" s="545"/>
    </row>
    <row r="117" spans="1:17" ht="14.1" customHeight="1" outlineLevel="2">
      <c r="A117" s="104">
        <f t="shared" si="29"/>
        <v>4.0110049999999982</v>
      </c>
      <c r="B117" s="85" t="s">
        <v>550</v>
      </c>
      <c r="C117" s="662" t="s">
        <v>161</v>
      </c>
      <c r="D117" s="87">
        <v>65.8</v>
      </c>
      <c r="E117" s="73">
        <v>43.5</v>
      </c>
      <c r="F117" s="81"/>
      <c r="G117" s="251">
        <v>43.5</v>
      </c>
      <c r="H117" s="251">
        <f t="shared" si="23"/>
        <v>2862.3</v>
      </c>
      <c r="I117" s="252">
        <f t="shared" si="24"/>
        <v>0</v>
      </c>
      <c r="J117" s="73">
        <v>2862.3</v>
      </c>
      <c r="K117" s="538"/>
      <c r="L117" s="51"/>
      <c r="Q117" s="545"/>
    </row>
    <row r="118" spans="1:17" ht="14.1" customHeight="1" outlineLevel="2">
      <c r="A118" s="104">
        <f t="shared" si="29"/>
        <v>4.0110059999999983</v>
      </c>
      <c r="B118" s="84" t="s">
        <v>558</v>
      </c>
      <c r="C118" s="71" t="s">
        <v>161</v>
      </c>
      <c r="D118" s="87">
        <v>2286.6800000000003</v>
      </c>
      <c r="E118" s="73">
        <v>60.5</v>
      </c>
      <c r="F118" s="81"/>
      <c r="G118" s="251">
        <v>60.5</v>
      </c>
      <c r="H118" s="251">
        <f t="shared" si="23"/>
        <v>138344.14000000001</v>
      </c>
      <c r="I118" s="252">
        <f t="shared" si="24"/>
        <v>0</v>
      </c>
      <c r="J118" s="73">
        <v>138344.14000000001</v>
      </c>
      <c r="K118" s="538"/>
      <c r="L118" s="550">
        <v>60.5</v>
      </c>
      <c r="M118" s="233">
        <f>+L118*D118</f>
        <v>138344.14000000001</v>
      </c>
      <c r="Q118" s="545"/>
    </row>
    <row r="119" spans="1:17" ht="14.1" customHeight="1" outlineLevel="2">
      <c r="A119" s="104">
        <f t="shared" si="29"/>
        <v>4.0110069999999984</v>
      </c>
      <c r="B119" s="70" t="s">
        <v>544</v>
      </c>
      <c r="C119" s="71" t="s">
        <v>161</v>
      </c>
      <c r="D119" s="87">
        <v>2286.6800000000003</v>
      </c>
      <c r="E119" s="73">
        <v>5.43</v>
      </c>
      <c r="F119" s="81"/>
      <c r="G119" s="251">
        <v>5.43</v>
      </c>
      <c r="H119" s="251">
        <f t="shared" si="23"/>
        <v>12416.67</v>
      </c>
      <c r="I119" s="252">
        <f t="shared" si="24"/>
        <v>0</v>
      </c>
      <c r="J119" s="73">
        <v>12416.67</v>
      </c>
      <c r="K119" s="538"/>
      <c r="L119" s="51"/>
      <c r="Q119" s="545"/>
    </row>
    <row r="120" spans="1:17" ht="14.1" customHeight="1" outlineLevel="2">
      <c r="A120" s="104">
        <f t="shared" si="29"/>
        <v>4.0110079999999986</v>
      </c>
      <c r="B120" s="84" t="s">
        <v>552</v>
      </c>
      <c r="C120" s="71" t="s">
        <v>177</v>
      </c>
      <c r="D120" s="87">
        <v>16504.91</v>
      </c>
      <c r="E120" s="73">
        <v>1.1499999999999999</v>
      </c>
      <c r="F120" s="81">
        <v>0.94</v>
      </c>
      <c r="G120" s="251">
        <v>4.68</v>
      </c>
      <c r="H120" s="251">
        <f t="shared" si="23"/>
        <v>18980.650000000001</v>
      </c>
      <c r="I120" s="252">
        <f t="shared" si="24"/>
        <v>15514.62</v>
      </c>
      <c r="J120" s="73">
        <v>77160.479999999996</v>
      </c>
      <c r="K120" s="538"/>
      <c r="L120" s="51"/>
      <c r="P120" s="660">
        <v>0.94</v>
      </c>
      <c r="Q120" s="549">
        <f t="shared" ref="Q120:Q122" si="38">+P120*D120</f>
        <v>15514.615399999999</v>
      </c>
    </row>
    <row r="121" spans="1:17" ht="14.1" customHeight="1" outlineLevel="2">
      <c r="A121" s="104">
        <f t="shared" si="29"/>
        <v>4.0110089999999987</v>
      </c>
      <c r="B121" s="84" t="s">
        <v>553</v>
      </c>
      <c r="C121" s="71" t="s">
        <v>177</v>
      </c>
      <c r="D121" s="87">
        <v>12723.35</v>
      </c>
      <c r="E121" s="73">
        <v>0</v>
      </c>
      <c r="F121" s="81">
        <v>0.94</v>
      </c>
      <c r="G121" s="251">
        <v>3.53</v>
      </c>
      <c r="H121" s="251">
        <f t="shared" si="23"/>
        <v>0</v>
      </c>
      <c r="I121" s="252">
        <f t="shared" si="24"/>
        <v>11959.95</v>
      </c>
      <c r="J121" s="73">
        <v>44849.81</v>
      </c>
      <c r="K121" s="538"/>
      <c r="L121" s="51"/>
      <c r="P121" s="660">
        <v>0.94</v>
      </c>
      <c r="Q121" s="549">
        <f t="shared" si="38"/>
        <v>11959.949000000001</v>
      </c>
    </row>
    <row r="122" spans="1:17" ht="14.1" customHeight="1" outlineLevel="2">
      <c r="A122" s="104">
        <f t="shared" si="29"/>
        <v>4.0110099999999989</v>
      </c>
      <c r="B122" s="84" t="s">
        <v>559</v>
      </c>
      <c r="C122" s="71" t="s">
        <v>177</v>
      </c>
      <c r="D122" s="87">
        <v>914.67</v>
      </c>
      <c r="E122" s="73">
        <v>1.1499999999999999</v>
      </c>
      <c r="F122" s="81">
        <v>0.94</v>
      </c>
      <c r="G122" s="251">
        <v>4.68</v>
      </c>
      <c r="H122" s="251">
        <f t="shared" si="23"/>
        <v>1051.8699999999999</v>
      </c>
      <c r="I122" s="252">
        <f t="shared" si="24"/>
        <v>859.79</v>
      </c>
      <c r="J122" s="73">
        <v>4276.08</v>
      </c>
      <c r="K122" s="538"/>
      <c r="L122" s="51"/>
      <c r="P122" s="660">
        <v>0.94</v>
      </c>
      <c r="Q122" s="549">
        <f t="shared" si="38"/>
        <v>859.7897999999999</v>
      </c>
    </row>
    <row r="123" spans="1:17" ht="14.1" customHeight="1" outlineLevel="2">
      <c r="A123" s="104">
        <f t="shared" si="29"/>
        <v>4.011010999999999</v>
      </c>
      <c r="B123" s="84" t="s">
        <v>467</v>
      </c>
      <c r="C123" s="71" t="s">
        <v>161</v>
      </c>
      <c r="D123" s="87">
        <v>2286.6800000000003</v>
      </c>
      <c r="E123" s="73">
        <v>1.5</v>
      </c>
      <c r="F123" s="81"/>
      <c r="G123" s="251">
        <v>1.5</v>
      </c>
      <c r="H123" s="251">
        <f t="shared" si="23"/>
        <v>3430.02</v>
      </c>
      <c r="I123" s="252">
        <f t="shared" si="24"/>
        <v>0</v>
      </c>
      <c r="J123" s="73">
        <v>3430.02</v>
      </c>
      <c r="K123" s="538"/>
      <c r="L123" s="51"/>
      <c r="Q123" s="545"/>
    </row>
    <row r="124" spans="1:17" ht="14.1" customHeight="1" outlineLevel="1">
      <c r="A124" s="285">
        <f>A112+0.0001</f>
        <v>4.0110999999999972</v>
      </c>
      <c r="B124" s="99" t="s">
        <v>606</v>
      </c>
      <c r="C124" s="68"/>
      <c r="D124" s="87">
        <v>0</v>
      </c>
      <c r="E124" s="73"/>
      <c r="F124" s="65"/>
      <c r="G124" s="251"/>
      <c r="H124" s="251"/>
      <c r="I124" s="252"/>
      <c r="J124" s="73"/>
      <c r="K124" s="538"/>
      <c r="L124" s="51"/>
      <c r="Q124" s="545"/>
    </row>
    <row r="125" spans="1:17" ht="14.1" customHeight="1" outlineLevel="2">
      <c r="A125" s="104">
        <f t="shared" si="29"/>
        <v>4.0111009999999974</v>
      </c>
      <c r="B125" s="665" t="s">
        <v>573</v>
      </c>
      <c r="C125" s="71" t="s">
        <v>155</v>
      </c>
      <c r="D125" s="87">
        <v>94.62</v>
      </c>
      <c r="E125" s="73">
        <v>413.89</v>
      </c>
      <c r="F125" s="81"/>
      <c r="G125" s="251">
        <v>413.89</v>
      </c>
      <c r="H125" s="251">
        <f t="shared" si="23"/>
        <v>39162.269999999997</v>
      </c>
      <c r="I125" s="252">
        <f t="shared" si="24"/>
        <v>0</v>
      </c>
      <c r="J125" s="73">
        <v>39162.269999999997</v>
      </c>
      <c r="K125" s="538"/>
      <c r="L125" s="51"/>
      <c r="N125" s="4">
        <v>355.79</v>
      </c>
      <c r="O125" s="233">
        <f>+N125*D125</f>
        <v>33664.849800000004</v>
      </c>
      <c r="Q125" s="545"/>
    </row>
    <row r="126" spans="1:17" ht="14.1" customHeight="1" outlineLevel="2">
      <c r="A126" s="104">
        <f t="shared" si="29"/>
        <v>4.0111019999999975</v>
      </c>
      <c r="B126" s="84" t="s">
        <v>574</v>
      </c>
      <c r="C126" s="71" t="s">
        <v>161</v>
      </c>
      <c r="D126" s="87">
        <v>587.23</v>
      </c>
      <c r="E126" s="73">
        <v>55.1</v>
      </c>
      <c r="F126" s="81"/>
      <c r="G126" s="251">
        <v>55.1</v>
      </c>
      <c r="H126" s="251">
        <f t="shared" si="23"/>
        <v>32356.37</v>
      </c>
      <c r="I126" s="252">
        <f t="shared" si="24"/>
        <v>0</v>
      </c>
      <c r="J126" s="73">
        <v>32356.37</v>
      </c>
      <c r="K126" s="538"/>
      <c r="L126" s="51"/>
      <c r="Q126" s="545"/>
    </row>
    <row r="127" spans="1:17" ht="14.1" customHeight="1" outlineLevel="2">
      <c r="A127" s="104">
        <f t="shared" si="29"/>
        <v>4.0111029999999976</v>
      </c>
      <c r="B127" s="666" t="s">
        <v>496</v>
      </c>
      <c r="C127" s="71" t="s">
        <v>177</v>
      </c>
      <c r="D127" s="87">
        <v>10333.02</v>
      </c>
      <c r="E127" s="73">
        <v>1.1499999999999999</v>
      </c>
      <c r="F127" s="81">
        <v>0.94</v>
      </c>
      <c r="G127" s="251">
        <v>4.68</v>
      </c>
      <c r="H127" s="251">
        <f t="shared" si="23"/>
        <v>11882.97</v>
      </c>
      <c r="I127" s="252">
        <f t="shared" si="24"/>
        <v>9713.0400000000009</v>
      </c>
      <c r="J127" s="73">
        <v>48306.87</v>
      </c>
      <c r="K127" s="538"/>
      <c r="L127" s="51"/>
      <c r="P127" s="660">
        <v>0.94</v>
      </c>
      <c r="Q127" s="549">
        <f>+P127*D127</f>
        <v>9713.0388000000003</v>
      </c>
    </row>
    <row r="128" spans="1:17" ht="14.1" customHeight="1" outlineLevel="2">
      <c r="A128" s="104">
        <f t="shared" si="29"/>
        <v>4.0111039999999978</v>
      </c>
      <c r="B128" s="84" t="s">
        <v>467</v>
      </c>
      <c r="C128" s="71" t="s">
        <v>161</v>
      </c>
      <c r="D128" s="87">
        <v>587.23</v>
      </c>
      <c r="E128" s="73">
        <v>1.5</v>
      </c>
      <c r="F128" s="81"/>
      <c r="G128" s="251">
        <v>1.5</v>
      </c>
      <c r="H128" s="251">
        <f t="shared" si="23"/>
        <v>880.85</v>
      </c>
      <c r="I128" s="252">
        <f t="shared" si="24"/>
        <v>0</v>
      </c>
      <c r="J128" s="73">
        <v>880.85</v>
      </c>
      <c r="K128" s="538"/>
      <c r="L128" s="51"/>
      <c r="Q128" s="545"/>
    </row>
    <row r="129" spans="1:17" ht="14.1" customHeight="1" outlineLevel="1">
      <c r="A129" s="285">
        <f>A124+0.0001</f>
        <v>4.011199999999997</v>
      </c>
      <c r="B129" s="99" t="s">
        <v>607</v>
      </c>
      <c r="C129" s="68"/>
      <c r="D129" s="87">
        <v>0</v>
      </c>
      <c r="E129" s="73"/>
      <c r="F129" s="65"/>
      <c r="G129" s="251"/>
      <c r="H129" s="251"/>
      <c r="I129" s="252"/>
      <c r="J129" s="73"/>
      <c r="K129" s="538"/>
      <c r="L129" s="51"/>
      <c r="Q129" s="545"/>
    </row>
    <row r="130" spans="1:17" ht="14.25" customHeight="1" outlineLevel="2">
      <c r="A130" s="104">
        <f t="shared" si="29"/>
        <v>4.0112009999999971</v>
      </c>
      <c r="B130" s="84" t="s">
        <v>608</v>
      </c>
      <c r="C130" s="71" t="s">
        <v>155</v>
      </c>
      <c r="D130" s="87">
        <v>0</v>
      </c>
      <c r="E130" s="73">
        <v>388.61</v>
      </c>
      <c r="F130" s="81"/>
      <c r="G130" s="251">
        <v>388.61</v>
      </c>
      <c r="H130" s="251">
        <f t="shared" si="23"/>
        <v>0</v>
      </c>
      <c r="I130" s="252">
        <f t="shared" si="24"/>
        <v>0</v>
      </c>
      <c r="J130" s="73">
        <v>0</v>
      </c>
      <c r="K130" s="536"/>
      <c r="L130" s="51"/>
      <c r="O130" s="233">
        <f>+N130*D130</f>
        <v>0</v>
      </c>
      <c r="Q130" s="545"/>
    </row>
    <row r="131" spans="1:17" outlineLevel="2">
      <c r="A131" s="104">
        <f t="shared" si="29"/>
        <v>4.0112019999999973</v>
      </c>
      <c r="B131" s="85" t="s">
        <v>609</v>
      </c>
      <c r="C131" s="71" t="s">
        <v>161</v>
      </c>
      <c r="D131" s="87">
        <v>0</v>
      </c>
      <c r="E131" s="73">
        <v>62.6</v>
      </c>
      <c r="F131" s="81"/>
      <c r="G131" s="251">
        <v>62.6</v>
      </c>
      <c r="H131" s="251">
        <f t="shared" si="23"/>
        <v>0</v>
      </c>
      <c r="I131" s="252">
        <f t="shared" si="24"/>
        <v>0</v>
      </c>
      <c r="J131" s="73">
        <v>0</v>
      </c>
      <c r="K131" s="538"/>
      <c r="L131" s="51"/>
      <c r="Q131" s="545"/>
    </row>
    <row r="132" spans="1:17" ht="14.1" customHeight="1" outlineLevel="2">
      <c r="A132" s="104">
        <f t="shared" si="29"/>
        <v>4.0112029999999974</v>
      </c>
      <c r="B132" s="84" t="s">
        <v>496</v>
      </c>
      <c r="C132" s="71" t="s">
        <v>177</v>
      </c>
      <c r="D132" s="87">
        <v>0</v>
      </c>
      <c r="E132" s="73">
        <v>1.1499999999999999</v>
      </c>
      <c r="F132" s="81">
        <v>0.94</v>
      </c>
      <c r="G132" s="251">
        <v>4.68</v>
      </c>
      <c r="H132" s="251">
        <f t="shared" si="23"/>
        <v>0</v>
      </c>
      <c r="I132" s="252">
        <f t="shared" si="24"/>
        <v>0</v>
      </c>
      <c r="J132" s="73">
        <v>0</v>
      </c>
      <c r="K132" s="538"/>
      <c r="L132" s="51"/>
      <c r="P132" s="660">
        <v>0.94</v>
      </c>
      <c r="Q132" s="549">
        <f>+P132*D132</f>
        <v>0</v>
      </c>
    </row>
    <row r="133" spans="1:17" ht="14.1" customHeight="1" outlineLevel="2">
      <c r="A133" s="104">
        <f t="shared" si="29"/>
        <v>4.0112039999999975</v>
      </c>
      <c r="B133" s="84" t="s">
        <v>467</v>
      </c>
      <c r="C133" s="71" t="s">
        <v>161</v>
      </c>
      <c r="D133" s="87">
        <v>0</v>
      </c>
      <c r="E133" s="73">
        <v>1.5</v>
      </c>
      <c r="F133" s="81"/>
      <c r="G133" s="251">
        <v>1.5</v>
      </c>
      <c r="H133" s="251">
        <f t="shared" si="23"/>
        <v>0</v>
      </c>
      <c r="I133" s="252">
        <f t="shared" si="24"/>
        <v>0</v>
      </c>
      <c r="J133" s="73">
        <v>0</v>
      </c>
      <c r="K133" s="538"/>
      <c r="L133" s="51"/>
      <c r="Q133" s="545"/>
    </row>
    <row r="134" spans="1:17" ht="14.1" customHeight="1" outlineLevel="1">
      <c r="A134" s="285">
        <f>A129+0.0001</f>
        <v>4.0112999999999968</v>
      </c>
      <c r="B134" s="99" t="s">
        <v>610</v>
      </c>
      <c r="C134" s="68"/>
      <c r="D134" s="87">
        <v>0</v>
      </c>
      <c r="E134" s="73"/>
      <c r="F134" s="65"/>
      <c r="G134" s="251"/>
      <c r="H134" s="251"/>
      <c r="I134" s="252"/>
      <c r="J134" s="73"/>
      <c r="K134" s="538"/>
      <c r="L134" s="51"/>
      <c r="Q134" s="545"/>
    </row>
    <row r="135" spans="1:17" ht="14.1" customHeight="1" outlineLevel="2">
      <c r="A135" s="104">
        <f t="shared" si="29"/>
        <v>4.0113009999999969</v>
      </c>
      <c r="B135" s="666" t="s">
        <v>611</v>
      </c>
      <c r="C135" s="71" t="s">
        <v>155</v>
      </c>
      <c r="D135" s="87">
        <v>0</v>
      </c>
      <c r="E135" s="73">
        <v>385.27</v>
      </c>
      <c r="F135" s="81"/>
      <c r="G135" s="251">
        <v>385.27</v>
      </c>
      <c r="H135" s="251">
        <f t="shared" si="23"/>
        <v>0</v>
      </c>
      <c r="I135" s="252">
        <f t="shared" si="24"/>
        <v>0</v>
      </c>
      <c r="J135" s="73">
        <v>0</v>
      </c>
      <c r="K135" s="538"/>
      <c r="L135" s="51"/>
      <c r="O135" s="233">
        <f t="shared" ref="O135:O136" si="39">+N135*D135</f>
        <v>0</v>
      </c>
      <c r="Q135" s="545"/>
    </row>
    <row r="136" spans="1:17" ht="14.1" customHeight="1" outlineLevel="2">
      <c r="A136" s="104">
        <f t="shared" si="29"/>
        <v>4.011301999999997</v>
      </c>
      <c r="B136" s="666" t="s">
        <v>612</v>
      </c>
      <c r="C136" s="71" t="s">
        <v>155</v>
      </c>
      <c r="D136" s="87">
        <v>0</v>
      </c>
      <c r="E136" s="73">
        <v>414.41</v>
      </c>
      <c r="F136" s="81"/>
      <c r="G136" s="251">
        <v>414.41</v>
      </c>
      <c r="H136" s="251">
        <f t="shared" si="23"/>
        <v>0</v>
      </c>
      <c r="I136" s="252">
        <f t="shared" si="24"/>
        <v>0</v>
      </c>
      <c r="J136" s="73">
        <v>0</v>
      </c>
      <c r="K136" s="538"/>
      <c r="L136" s="51"/>
      <c r="O136" s="233">
        <f t="shared" si="39"/>
        <v>0</v>
      </c>
      <c r="Q136" s="545"/>
    </row>
    <row r="137" spans="1:17" ht="14.1" customHeight="1" outlineLevel="2">
      <c r="A137" s="104">
        <f t="shared" si="29"/>
        <v>4.0113029999999972</v>
      </c>
      <c r="B137" s="84" t="s">
        <v>494</v>
      </c>
      <c r="C137" s="71" t="s">
        <v>161</v>
      </c>
      <c r="D137" s="87">
        <v>0</v>
      </c>
      <c r="E137" s="73">
        <v>43.7</v>
      </c>
      <c r="F137" s="81"/>
      <c r="G137" s="251">
        <v>43.7</v>
      </c>
      <c r="H137" s="251">
        <f t="shared" si="23"/>
        <v>0</v>
      </c>
      <c r="I137" s="252">
        <f t="shared" si="24"/>
        <v>0</v>
      </c>
      <c r="J137" s="73">
        <v>0</v>
      </c>
      <c r="K137" s="538"/>
      <c r="L137" s="51"/>
      <c r="Q137" s="545"/>
    </row>
    <row r="138" spans="1:17" ht="14.1" customHeight="1" outlineLevel="2">
      <c r="A138" s="104">
        <f t="shared" si="29"/>
        <v>4.0113039999999973</v>
      </c>
      <c r="B138" s="666" t="s">
        <v>496</v>
      </c>
      <c r="C138" s="71" t="s">
        <v>177</v>
      </c>
      <c r="D138" s="87">
        <v>0</v>
      </c>
      <c r="E138" s="73">
        <v>1.1499999999999999</v>
      </c>
      <c r="F138" s="81">
        <v>0.94</v>
      </c>
      <c r="G138" s="251">
        <v>4.68</v>
      </c>
      <c r="H138" s="251">
        <f t="shared" si="23"/>
        <v>0</v>
      </c>
      <c r="I138" s="252">
        <f t="shared" si="24"/>
        <v>0</v>
      </c>
      <c r="J138" s="73">
        <v>0</v>
      </c>
      <c r="K138" s="538"/>
      <c r="L138" s="51"/>
      <c r="P138" s="660">
        <v>0.94</v>
      </c>
      <c r="Q138" s="549">
        <f>+P138*D138</f>
        <v>0</v>
      </c>
    </row>
    <row r="139" spans="1:17" ht="14.1" customHeight="1" outlineLevel="2">
      <c r="A139" s="104">
        <f t="shared" si="29"/>
        <v>4.0113049999999975</v>
      </c>
      <c r="B139" s="666" t="s">
        <v>467</v>
      </c>
      <c r="C139" s="71" t="s">
        <v>161</v>
      </c>
      <c r="D139" s="87">
        <v>0</v>
      </c>
      <c r="E139" s="73">
        <v>1.5</v>
      </c>
      <c r="F139" s="81"/>
      <c r="G139" s="251">
        <v>1.5</v>
      </c>
      <c r="H139" s="251">
        <f t="shared" si="23"/>
        <v>0</v>
      </c>
      <c r="I139" s="252">
        <f t="shared" si="24"/>
        <v>0</v>
      </c>
      <c r="J139" s="73">
        <v>0</v>
      </c>
      <c r="K139" s="538"/>
      <c r="L139" s="51"/>
      <c r="Q139" s="545"/>
    </row>
    <row r="140" spans="1:17" ht="14.1" customHeight="1" outlineLevel="1">
      <c r="A140" s="285">
        <f>A134+0.0001</f>
        <v>4.0113999999999965</v>
      </c>
      <c r="B140" s="99" t="s">
        <v>613</v>
      </c>
      <c r="C140" s="68"/>
      <c r="D140" s="87">
        <v>0</v>
      </c>
      <c r="E140" s="73"/>
      <c r="F140" s="65"/>
      <c r="G140" s="251"/>
      <c r="H140" s="251"/>
      <c r="I140" s="252"/>
      <c r="J140" s="73"/>
      <c r="K140" s="538"/>
      <c r="L140" s="51"/>
      <c r="Q140" s="545"/>
    </row>
    <row r="141" spans="1:17" ht="22.5" outlineLevel="2">
      <c r="A141" s="104">
        <f t="shared" si="29"/>
        <v>4.0114009999999967</v>
      </c>
      <c r="B141" s="661" t="s">
        <v>594</v>
      </c>
      <c r="C141" s="71" t="s">
        <v>155</v>
      </c>
      <c r="D141" s="87">
        <v>8.7799999999999994</v>
      </c>
      <c r="E141" s="73">
        <v>481.45</v>
      </c>
      <c r="F141" s="81"/>
      <c r="G141" s="251">
        <v>481.45</v>
      </c>
      <c r="H141" s="251">
        <f t="shared" si="23"/>
        <v>4227.13</v>
      </c>
      <c r="I141" s="252">
        <f t="shared" si="24"/>
        <v>0</v>
      </c>
      <c r="J141" s="73">
        <v>4227.13</v>
      </c>
      <c r="K141" s="538"/>
      <c r="L141" s="51"/>
      <c r="N141" s="4">
        <v>432.55</v>
      </c>
      <c r="O141" s="233">
        <f>+N141*D141</f>
        <v>3797.7889999999998</v>
      </c>
      <c r="Q141" s="545"/>
    </row>
    <row r="142" spans="1:17" ht="14.1" customHeight="1" outlineLevel="2">
      <c r="A142" s="104">
        <f t="shared" si="29"/>
        <v>4.0114019999999968</v>
      </c>
      <c r="B142" s="84" t="s">
        <v>494</v>
      </c>
      <c r="C142" s="71" t="s">
        <v>161</v>
      </c>
      <c r="D142" s="87">
        <v>70.22</v>
      </c>
      <c r="E142" s="73">
        <v>43.7</v>
      </c>
      <c r="F142" s="81"/>
      <c r="G142" s="251">
        <v>43.7</v>
      </c>
      <c r="H142" s="251">
        <f t="shared" si="23"/>
        <v>3068.61</v>
      </c>
      <c r="I142" s="252">
        <f t="shared" si="24"/>
        <v>0</v>
      </c>
      <c r="J142" s="73">
        <v>3068.61</v>
      </c>
      <c r="K142" s="538"/>
      <c r="L142" s="51"/>
      <c r="Q142" s="545"/>
    </row>
    <row r="143" spans="1:17" ht="14.1" customHeight="1" outlineLevel="2">
      <c r="A143" s="104">
        <f t="shared" si="29"/>
        <v>4.0114029999999969</v>
      </c>
      <c r="B143" s="666" t="s">
        <v>496</v>
      </c>
      <c r="C143" s="71" t="s">
        <v>177</v>
      </c>
      <c r="D143" s="87">
        <v>600.46</v>
      </c>
      <c r="E143" s="73">
        <v>1.1499999999999999</v>
      </c>
      <c r="F143" s="81">
        <v>0.94</v>
      </c>
      <c r="G143" s="251">
        <v>4.68</v>
      </c>
      <c r="H143" s="251">
        <f t="shared" si="23"/>
        <v>690.53</v>
      </c>
      <c r="I143" s="252">
        <f t="shared" si="24"/>
        <v>564.42999999999995</v>
      </c>
      <c r="J143" s="73">
        <v>2807.14</v>
      </c>
      <c r="K143" s="538"/>
      <c r="L143" s="51"/>
      <c r="P143" s="660">
        <v>0.94</v>
      </c>
      <c r="Q143" s="549">
        <f>+P143*D143</f>
        <v>564.43240000000003</v>
      </c>
    </row>
    <row r="144" spans="1:17" ht="14.1" customHeight="1" outlineLevel="2">
      <c r="A144" s="104">
        <f t="shared" si="29"/>
        <v>4.0114039999999971</v>
      </c>
      <c r="B144" s="666" t="s">
        <v>467</v>
      </c>
      <c r="C144" s="71" t="s">
        <v>161</v>
      </c>
      <c r="D144" s="87">
        <v>70.22</v>
      </c>
      <c r="E144" s="73">
        <v>1.5</v>
      </c>
      <c r="F144" s="81"/>
      <c r="G144" s="251">
        <v>1.5</v>
      </c>
      <c r="H144" s="251">
        <f t="shared" si="23"/>
        <v>105.33</v>
      </c>
      <c r="I144" s="252">
        <f t="shared" si="24"/>
        <v>0</v>
      </c>
      <c r="J144" s="73">
        <v>105.33</v>
      </c>
      <c r="K144" s="538"/>
      <c r="L144" s="51"/>
      <c r="Q144" s="545"/>
    </row>
    <row r="145" spans="1:17" ht="14.1" customHeight="1" outlineLevel="1">
      <c r="A145" s="285">
        <f>A140+0.0001</f>
        <v>4.0114999999999963</v>
      </c>
      <c r="B145" s="99" t="s">
        <v>614</v>
      </c>
      <c r="C145" s="68"/>
      <c r="D145" s="87">
        <v>0</v>
      </c>
      <c r="E145" s="73"/>
      <c r="F145" s="65"/>
      <c r="G145" s="251"/>
      <c r="H145" s="251"/>
      <c r="I145" s="252"/>
      <c r="J145" s="73"/>
      <c r="K145" s="538"/>
      <c r="L145" s="51"/>
      <c r="Q145" s="545"/>
    </row>
    <row r="146" spans="1:17" ht="14.1" customHeight="1" outlineLevel="2">
      <c r="A146" s="104">
        <f t="shared" si="29"/>
        <v>4.0115009999999964</v>
      </c>
      <c r="B146" s="70" t="s">
        <v>569</v>
      </c>
      <c r="C146" s="71" t="s">
        <v>155</v>
      </c>
      <c r="D146" s="87">
        <v>0</v>
      </c>
      <c r="E146" s="73">
        <v>448.28</v>
      </c>
      <c r="F146" s="81"/>
      <c r="G146" s="251">
        <v>448.28</v>
      </c>
      <c r="H146" s="251">
        <f t="shared" ref="H146:H171" si="40">+ROUND(D146*E146,2)</f>
        <v>0</v>
      </c>
      <c r="I146" s="252">
        <f t="shared" ref="I146:I171" si="41">+ROUND(D146*F146,2)</f>
        <v>0</v>
      </c>
      <c r="J146" s="73">
        <v>0</v>
      </c>
      <c r="K146" s="538"/>
      <c r="L146" s="51"/>
      <c r="O146" s="233">
        <f>+N146*D146</f>
        <v>0</v>
      </c>
      <c r="Q146" s="545"/>
    </row>
    <row r="147" spans="1:17" ht="14.1" customHeight="1" outlineLevel="2">
      <c r="A147" s="104">
        <f t="shared" si="29"/>
        <v>4.0115019999999966</v>
      </c>
      <c r="B147" s="666" t="s">
        <v>615</v>
      </c>
      <c r="C147" s="71" t="s">
        <v>161</v>
      </c>
      <c r="D147" s="87">
        <v>0</v>
      </c>
      <c r="E147" s="73">
        <v>37.700000000000003</v>
      </c>
      <c r="F147" s="81"/>
      <c r="G147" s="251">
        <v>37.700000000000003</v>
      </c>
      <c r="H147" s="251">
        <f t="shared" si="40"/>
        <v>0</v>
      </c>
      <c r="I147" s="252">
        <f t="shared" si="41"/>
        <v>0</v>
      </c>
      <c r="J147" s="73">
        <v>0</v>
      </c>
      <c r="K147" s="538"/>
      <c r="L147" s="51"/>
      <c r="Q147" s="545"/>
    </row>
    <row r="148" spans="1:17" ht="14.1" customHeight="1" outlineLevel="2">
      <c r="A148" s="104">
        <f t="shared" si="29"/>
        <v>4.0115029999999967</v>
      </c>
      <c r="B148" s="666" t="s">
        <v>496</v>
      </c>
      <c r="C148" s="71" t="s">
        <v>177</v>
      </c>
      <c r="D148" s="87">
        <v>0</v>
      </c>
      <c r="E148" s="73">
        <v>1.1499999999999999</v>
      </c>
      <c r="F148" s="81">
        <v>0.94</v>
      </c>
      <c r="G148" s="251">
        <v>4.68</v>
      </c>
      <c r="H148" s="251">
        <f t="shared" si="40"/>
        <v>0</v>
      </c>
      <c r="I148" s="252">
        <f t="shared" si="41"/>
        <v>0</v>
      </c>
      <c r="J148" s="73">
        <v>0</v>
      </c>
      <c r="K148" s="538"/>
      <c r="L148" s="51"/>
      <c r="P148" s="660">
        <v>0.94</v>
      </c>
      <c r="Q148" s="549">
        <f>+P148*D148</f>
        <v>0</v>
      </c>
    </row>
    <row r="149" spans="1:17" ht="14.1" customHeight="1" outlineLevel="2">
      <c r="A149" s="104">
        <f t="shared" si="29"/>
        <v>4.0115039999999969</v>
      </c>
      <c r="B149" s="666" t="s">
        <v>467</v>
      </c>
      <c r="C149" s="71" t="s">
        <v>161</v>
      </c>
      <c r="D149" s="87">
        <v>0</v>
      </c>
      <c r="E149" s="73">
        <v>1.5</v>
      </c>
      <c r="F149" s="81"/>
      <c r="G149" s="251">
        <v>1.5</v>
      </c>
      <c r="H149" s="251">
        <f t="shared" si="40"/>
        <v>0</v>
      </c>
      <c r="I149" s="252">
        <f t="shared" si="41"/>
        <v>0</v>
      </c>
      <c r="J149" s="73">
        <v>0</v>
      </c>
      <c r="K149" s="538"/>
      <c r="L149" s="51"/>
      <c r="Q149" s="545"/>
    </row>
    <row r="150" spans="1:17" ht="14.1" customHeight="1" outlineLevel="1">
      <c r="A150" s="285">
        <f>A145+0.0001</f>
        <v>4.0115999999999961</v>
      </c>
      <c r="B150" s="99" t="s">
        <v>616</v>
      </c>
      <c r="C150" s="68"/>
      <c r="D150" s="87">
        <v>0</v>
      </c>
      <c r="E150" s="73"/>
      <c r="F150" s="65"/>
      <c r="G150" s="251"/>
      <c r="H150" s="251"/>
      <c r="I150" s="252"/>
      <c r="J150" s="73"/>
      <c r="K150" s="538"/>
      <c r="L150" s="51"/>
      <c r="Q150" s="545"/>
    </row>
    <row r="151" spans="1:17" ht="14.1" customHeight="1" outlineLevel="2">
      <c r="A151" s="104">
        <f t="shared" si="29"/>
        <v>4.0116009999999962</v>
      </c>
      <c r="B151" s="666" t="s">
        <v>617</v>
      </c>
      <c r="C151" s="71" t="s">
        <v>155</v>
      </c>
      <c r="D151" s="87">
        <v>0</v>
      </c>
      <c r="E151" s="73">
        <v>412.35</v>
      </c>
      <c r="F151" s="81"/>
      <c r="G151" s="251">
        <v>412.35</v>
      </c>
      <c r="H151" s="251">
        <f t="shared" si="40"/>
        <v>0</v>
      </c>
      <c r="I151" s="252">
        <f t="shared" si="41"/>
        <v>0</v>
      </c>
      <c r="J151" s="73">
        <v>0</v>
      </c>
      <c r="K151" s="538"/>
      <c r="L151" s="51"/>
      <c r="O151" s="233">
        <f>+N151*D151</f>
        <v>0</v>
      </c>
      <c r="Q151" s="545"/>
    </row>
    <row r="152" spans="1:17" ht="14.1" customHeight="1" outlineLevel="2">
      <c r="A152" s="104">
        <f t="shared" si="29"/>
        <v>4.0116019999999963</v>
      </c>
      <c r="B152" s="84" t="s">
        <v>494</v>
      </c>
      <c r="C152" s="71" t="s">
        <v>161</v>
      </c>
      <c r="D152" s="87">
        <v>0</v>
      </c>
      <c r="E152" s="73">
        <v>93.72</v>
      </c>
      <c r="F152" s="81"/>
      <c r="G152" s="251">
        <v>93.72</v>
      </c>
      <c r="H152" s="251">
        <f t="shared" si="40"/>
        <v>0</v>
      </c>
      <c r="I152" s="252">
        <f t="shared" si="41"/>
        <v>0</v>
      </c>
      <c r="J152" s="73">
        <v>0</v>
      </c>
      <c r="K152" s="538"/>
      <c r="L152" s="51"/>
      <c r="Q152" s="545"/>
    </row>
    <row r="153" spans="1:17" ht="14.1" customHeight="1" outlineLevel="2">
      <c r="A153" s="104">
        <f t="shared" si="29"/>
        <v>4.0116029999999965</v>
      </c>
      <c r="B153" s="666" t="s">
        <v>496</v>
      </c>
      <c r="C153" s="71" t="s">
        <v>177</v>
      </c>
      <c r="D153" s="87">
        <v>0</v>
      </c>
      <c r="E153" s="73">
        <v>1.1499999999999999</v>
      </c>
      <c r="F153" s="81">
        <v>0.94</v>
      </c>
      <c r="G153" s="251">
        <v>4.68</v>
      </c>
      <c r="H153" s="251">
        <f t="shared" si="40"/>
        <v>0</v>
      </c>
      <c r="I153" s="252">
        <f t="shared" si="41"/>
        <v>0</v>
      </c>
      <c r="J153" s="73">
        <v>0</v>
      </c>
      <c r="K153" s="538"/>
      <c r="L153" s="51"/>
      <c r="P153" s="660">
        <v>0.94</v>
      </c>
      <c r="Q153" s="549">
        <f>+P153*D153</f>
        <v>0</v>
      </c>
    </row>
    <row r="154" spans="1:17" ht="14.1" customHeight="1" outlineLevel="2">
      <c r="A154" s="104">
        <f t="shared" si="29"/>
        <v>4.0116039999999966</v>
      </c>
      <c r="B154" s="666" t="s">
        <v>467</v>
      </c>
      <c r="C154" s="71" t="s">
        <v>161</v>
      </c>
      <c r="D154" s="87">
        <v>0</v>
      </c>
      <c r="E154" s="73">
        <v>1.5</v>
      </c>
      <c r="F154" s="81"/>
      <c r="G154" s="251">
        <v>1.5</v>
      </c>
      <c r="H154" s="251">
        <f t="shared" si="40"/>
        <v>0</v>
      </c>
      <c r="I154" s="252">
        <f t="shared" si="41"/>
        <v>0</v>
      </c>
      <c r="J154" s="73">
        <v>0</v>
      </c>
      <c r="K154" s="538"/>
      <c r="L154" s="51"/>
      <c r="Q154" s="545"/>
    </row>
    <row r="155" spans="1:17" ht="14.1" customHeight="1" outlineLevel="1">
      <c r="A155" s="285">
        <f>A150+0.0001</f>
        <v>4.0116999999999958</v>
      </c>
      <c r="B155" s="647" t="s">
        <v>580</v>
      </c>
      <c r="C155" s="68"/>
      <c r="D155" s="87">
        <v>0</v>
      </c>
      <c r="E155" s="73"/>
      <c r="F155" s="65"/>
      <c r="G155" s="251"/>
      <c r="H155" s="251"/>
      <c r="I155" s="252"/>
      <c r="J155" s="73"/>
      <c r="K155" s="538"/>
      <c r="L155" s="51"/>
      <c r="Q155" s="545"/>
    </row>
    <row r="156" spans="1:17" ht="14.1" customHeight="1" outlineLevel="2">
      <c r="A156" s="104">
        <f t="shared" si="29"/>
        <v>4.011700999999996</v>
      </c>
      <c r="B156" s="70" t="s">
        <v>581</v>
      </c>
      <c r="C156" s="64" t="s">
        <v>155</v>
      </c>
      <c r="D156" s="649">
        <v>3.6</v>
      </c>
      <c r="E156" s="65">
        <v>506.18</v>
      </c>
      <c r="F156" s="81"/>
      <c r="G156" s="251">
        <v>506.18</v>
      </c>
      <c r="H156" s="251">
        <f>+ROUND(D156*E156,2)</f>
        <v>1822.25</v>
      </c>
      <c r="I156" s="252">
        <f>+ROUND(D156*F156,2)</f>
        <v>0</v>
      </c>
      <c r="J156" s="73">
        <v>1822.25</v>
      </c>
      <c r="K156" s="538"/>
      <c r="L156" s="51"/>
      <c r="N156" s="4">
        <v>359.49</v>
      </c>
      <c r="O156" s="233">
        <f>+N156*D156</f>
        <v>1294.164</v>
      </c>
      <c r="Q156" s="545"/>
    </row>
    <row r="157" spans="1:17" ht="14.1" customHeight="1" outlineLevel="2">
      <c r="A157" s="104">
        <f t="shared" si="29"/>
        <v>4.0117019999999961</v>
      </c>
      <c r="B157" s="70" t="s">
        <v>582</v>
      </c>
      <c r="C157" s="71" t="s">
        <v>161</v>
      </c>
      <c r="D157" s="649">
        <v>14.4</v>
      </c>
      <c r="E157" s="667">
        <v>93.72</v>
      </c>
      <c r="F157" s="81"/>
      <c r="G157" s="251">
        <v>93.72</v>
      </c>
      <c r="H157" s="251">
        <f>+ROUND(D157*E157,2)</f>
        <v>1349.57</v>
      </c>
      <c r="I157" s="252">
        <f>+ROUND(D157*F157,2)</f>
        <v>0</v>
      </c>
      <c r="J157" s="73">
        <v>1349.57</v>
      </c>
      <c r="K157" s="538"/>
      <c r="L157" s="51"/>
      <c r="Q157" s="545"/>
    </row>
    <row r="158" spans="1:17" ht="14.1" customHeight="1" outlineLevel="2">
      <c r="A158" s="104">
        <f t="shared" si="29"/>
        <v>4.0117029999999962</v>
      </c>
      <c r="B158" s="70" t="s">
        <v>496</v>
      </c>
      <c r="C158" s="71" t="s">
        <v>177</v>
      </c>
      <c r="D158" s="649">
        <v>288</v>
      </c>
      <c r="E158" s="73">
        <v>1.1499999999999999</v>
      </c>
      <c r="F158" s="81">
        <v>0.94</v>
      </c>
      <c r="G158" s="251">
        <v>4.68</v>
      </c>
      <c r="H158" s="251">
        <f>+ROUND(D158*E158,2)</f>
        <v>331.2</v>
      </c>
      <c r="I158" s="252">
        <f>+ROUND(D158*F158,2)</f>
        <v>270.72000000000003</v>
      </c>
      <c r="J158" s="73">
        <v>1346.4</v>
      </c>
      <c r="K158" s="538"/>
      <c r="L158" s="51"/>
      <c r="P158" s="660">
        <v>0.94</v>
      </c>
      <c r="Q158" s="549">
        <f>+P158*D158</f>
        <v>270.71999999999997</v>
      </c>
    </row>
    <row r="159" spans="1:17" ht="14.1" customHeight="1" outlineLevel="2">
      <c r="A159" s="104">
        <f t="shared" si="29"/>
        <v>4.0117039999999964</v>
      </c>
      <c r="B159" s="70" t="s">
        <v>467</v>
      </c>
      <c r="C159" s="71" t="s">
        <v>161</v>
      </c>
      <c r="D159" s="649">
        <v>14.4</v>
      </c>
      <c r="E159" s="73">
        <v>1.5</v>
      </c>
      <c r="F159" s="81"/>
      <c r="G159" s="251">
        <v>1.5</v>
      </c>
      <c r="H159" s="251">
        <f>+ROUND(D159*E159,2)</f>
        <v>21.6</v>
      </c>
      <c r="I159" s="252">
        <f>+ROUND(D159*F159,2)</f>
        <v>0</v>
      </c>
      <c r="J159" s="73">
        <v>21.6</v>
      </c>
      <c r="K159" s="538"/>
      <c r="L159" s="51"/>
      <c r="Q159" s="545"/>
    </row>
    <row r="160" spans="1:17" ht="14.1" customHeight="1" outlineLevel="2">
      <c r="A160" s="104"/>
      <c r="B160" s="650" t="s">
        <v>583</v>
      </c>
      <c r="C160" s="651" t="s">
        <v>161</v>
      </c>
      <c r="D160" s="649">
        <v>8</v>
      </c>
      <c r="E160" s="73">
        <v>199.51</v>
      </c>
      <c r="F160" s="81"/>
      <c r="G160" s="251">
        <v>199.51</v>
      </c>
      <c r="H160" s="251">
        <f>+ROUND(D160*E160,2)</f>
        <v>1596.08</v>
      </c>
      <c r="I160" s="252">
        <f>+ROUND(D160*F160,2)</f>
        <v>0</v>
      </c>
      <c r="J160" s="73">
        <v>1596.08</v>
      </c>
      <c r="K160" s="538"/>
      <c r="L160" s="51"/>
      <c r="Q160" s="545"/>
    </row>
    <row r="161" spans="1:17" ht="14.1" customHeight="1">
      <c r="A161" s="418">
        <f>A12+0.01</f>
        <v>4.0199999999999996</v>
      </c>
      <c r="B161" s="652" t="s">
        <v>618</v>
      </c>
      <c r="C161" s="668"/>
      <c r="D161" s="87">
        <v>0</v>
      </c>
      <c r="E161" s="73"/>
      <c r="F161" s="65"/>
      <c r="G161" s="251"/>
      <c r="H161" s="251"/>
      <c r="I161" s="252"/>
      <c r="J161" s="73"/>
      <c r="K161" s="575">
        <v>0</v>
      </c>
      <c r="L161" s="51"/>
      <c r="Q161" s="545"/>
    </row>
    <row r="162" spans="1:17" ht="14.1" customHeight="1" outlineLevel="1">
      <c r="A162" s="285">
        <f>A161+0.0001</f>
        <v>4.0200999999999993</v>
      </c>
      <c r="B162" s="659" t="s">
        <v>619</v>
      </c>
      <c r="C162" s="71"/>
      <c r="D162" s="87">
        <v>0</v>
      </c>
      <c r="E162" s="73"/>
      <c r="F162" s="81"/>
      <c r="G162" s="251"/>
      <c r="H162" s="251"/>
      <c r="I162" s="252"/>
      <c r="J162" s="73"/>
      <c r="K162" s="538"/>
      <c r="L162" s="51"/>
      <c r="Q162" s="545"/>
    </row>
    <row r="163" spans="1:17" outlineLevel="2">
      <c r="A163" s="104">
        <f>A162+0.000001</f>
        <v>4.0201009999999995</v>
      </c>
      <c r="B163" s="85" t="s">
        <v>620</v>
      </c>
      <c r="C163" s="71" t="s">
        <v>155</v>
      </c>
      <c r="D163" s="87">
        <v>0</v>
      </c>
      <c r="E163" s="73">
        <v>399.31</v>
      </c>
      <c r="F163" s="81"/>
      <c r="G163" s="251">
        <v>399.31</v>
      </c>
      <c r="H163" s="251">
        <f t="shared" si="40"/>
        <v>0</v>
      </c>
      <c r="I163" s="252">
        <f t="shared" si="41"/>
        <v>0</v>
      </c>
      <c r="J163" s="73">
        <v>0</v>
      </c>
      <c r="K163" s="536"/>
      <c r="L163" s="51"/>
      <c r="O163" s="233">
        <f>+N163*D163</f>
        <v>0</v>
      </c>
      <c r="Q163" s="545"/>
    </row>
    <row r="164" spans="1:17" ht="13.15" customHeight="1" outlineLevel="2">
      <c r="A164" s="104">
        <f>A163+0.000001</f>
        <v>4.0201019999999996</v>
      </c>
      <c r="B164" s="661" t="s">
        <v>563</v>
      </c>
      <c r="C164" s="71" t="s">
        <v>161</v>
      </c>
      <c r="D164" s="87">
        <v>0</v>
      </c>
      <c r="E164" s="73">
        <v>35</v>
      </c>
      <c r="F164" s="65"/>
      <c r="G164" s="251">
        <v>35</v>
      </c>
      <c r="H164" s="251">
        <f t="shared" si="40"/>
        <v>0</v>
      </c>
      <c r="I164" s="252">
        <f t="shared" si="41"/>
        <v>0</v>
      </c>
      <c r="J164" s="73">
        <v>0</v>
      </c>
      <c r="K164" s="538"/>
      <c r="L164" s="51"/>
      <c r="Q164" s="545"/>
    </row>
    <row r="165" spans="1:17" ht="14.1" customHeight="1" outlineLevel="2">
      <c r="A165" s="104">
        <f>A164+0.000001</f>
        <v>4.0201029999999998</v>
      </c>
      <c r="B165" s="84" t="s">
        <v>496</v>
      </c>
      <c r="C165" s="71" t="s">
        <v>177</v>
      </c>
      <c r="D165" s="87">
        <v>0</v>
      </c>
      <c r="E165" s="73">
        <v>1.1499999999999999</v>
      </c>
      <c r="F165" s="81">
        <v>0.94</v>
      </c>
      <c r="G165" s="251">
        <v>4.68</v>
      </c>
      <c r="H165" s="251">
        <f t="shared" si="40"/>
        <v>0</v>
      </c>
      <c r="I165" s="252">
        <f t="shared" si="41"/>
        <v>0</v>
      </c>
      <c r="J165" s="73">
        <v>0</v>
      </c>
      <c r="K165" s="538"/>
      <c r="L165" s="51"/>
      <c r="P165" s="660">
        <v>0.94</v>
      </c>
      <c r="Q165" s="549">
        <f>+P165*D165</f>
        <v>0</v>
      </c>
    </row>
    <row r="166" spans="1:17" outlineLevel="2">
      <c r="A166" s="104">
        <f>A165+0.000001</f>
        <v>4.0201039999999999</v>
      </c>
      <c r="B166" s="84" t="s">
        <v>467</v>
      </c>
      <c r="C166" s="71" t="s">
        <v>161</v>
      </c>
      <c r="D166" s="87">
        <v>0</v>
      </c>
      <c r="E166" s="73">
        <v>1.5</v>
      </c>
      <c r="F166" s="65"/>
      <c r="G166" s="251">
        <v>1.5</v>
      </c>
      <c r="H166" s="251">
        <f t="shared" si="40"/>
        <v>0</v>
      </c>
      <c r="I166" s="252">
        <f t="shared" si="41"/>
        <v>0</v>
      </c>
      <c r="J166" s="73">
        <v>0</v>
      </c>
      <c r="K166" s="538"/>
      <c r="L166" s="51"/>
      <c r="Q166" s="545"/>
    </row>
    <row r="167" spans="1:17" ht="14.1" customHeight="1">
      <c r="A167" s="418">
        <f>A161+0.01</f>
        <v>4.0299999999999994</v>
      </c>
      <c r="B167" s="652" t="s">
        <v>187</v>
      </c>
      <c r="C167" s="668"/>
      <c r="D167" s="87">
        <v>0</v>
      </c>
      <c r="E167" s="73"/>
      <c r="F167" s="65"/>
      <c r="G167" s="251"/>
      <c r="H167" s="251"/>
      <c r="I167" s="252"/>
      <c r="J167" s="73"/>
      <c r="K167" s="575">
        <v>80138</v>
      </c>
      <c r="L167" s="51"/>
      <c r="Q167" s="545"/>
    </row>
    <row r="168" spans="1:17" ht="14.1" customHeight="1">
      <c r="A168" s="639">
        <f>A167+0.000001</f>
        <v>4.0300009999999995</v>
      </c>
      <c r="B168" s="84" t="s">
        <v>584</v>
      </c>
      <c r="C168" s="71" t="s">
        <v>501</v>
      </c>
      <c r="D168" s="87">
        <v>256</v>
      </c>
      <c r="E168" s="65">
        <v>23</v>
      </c>
      <c r="F168" s="65"/>
      <c r="G168" s="251">
        <v>23</v>
      </c>
      <c r="H168" s="251">
        <f>+ROUND(D168*E168,2)</f>
        <v>5888</v>
      </c>
      <c r="I168" s="252">
        <f>+ROUND(D168*F168,2)</f>
        <v>0</v>
      </c>
      <c r="J168" s="73">
        <v>5888</v>
      </c>
      <c r="K168" s="575"/>
      <c r="L168" s="51"/>
      <c r="Q168" s="545"/>
    </row>
    <row r="169" spans="1:17" ht="14.1" customHeight="1" outlineLevel="2">
      <c r="A169" s="639">
        <f>A168+0.000001</f>
        <v>4.0300019999999996</v>
      </c>
      <c r="B169" s="84" t="s">
        <v>585</v>
      </c>
      <c r="C169" s="71" t="s">
        <v>39</v>
      </c>
      <c r="D169" s="87">
        <v>6.5</v>
      </c>
      <c r="E169" s="73">
        <v>4500</v>
      </c>
      <c r="F169" s="65"/>
      <c r="G169" s="251">
        <v>4500</v>
      </c>
      <c r="H169" s="251">
        <f t="shared" si="40"/>
        <v>29250</v>
      </c>
      <c r="I169" s="252">
        <f t="shared" si="41"/>
        <v>0</v>
      </c>
      <c r="J169" s="73">
        <v>29250</v>
      </c>
      <c r="K169" s="538"/>
      <c r="L169" s="51"/>
      <c r="Q169" s="545"/>
    </row>
    <row r="170" spans="1:17" ht="14.1" customHeight="1" outlineLevel="2">
      <c r="A170" s="639">
        <f>A169+0.000001</f>
        <v>4.0300029999999998</v>
      </c>
      <c r="B170" s="225" t="s">
        <v>586</v>
      </c>
      <c r="C170" s="226" t="s">
        <v>39</v>
      </c>
      <c r="D170" s="87">
        <v>6.5</v>
      </c>
      <c r="E170" s="73">
        <v>5000</v>
      </c>
      <c r="F170" s="65"/>
      <c r="G170" s="251">
        <v>5000</v>
      </c>
      <c r="H170" s="251">
        <f t="shared" si="40"/>
        <v>32500</v>
      </c>
      <c r="I170" s="252">
        <f t="shared" si="41"/>
        <v>0</v>
      </c>
      <c r="J170" s="73">
        <v>32500</v>
      </c>
      <c r="K170" s="538"/>
      <c r="L170" s="51"/>
      <c r="Q170" s="545"/>
    </row>
    <row r="171" spans="1:17" ht="14.1" customHeight="1" outlineLevel="2" thickBot="1">
      <c r="A171" s="639">
        <f>A170+0.000001</f>
        <v>4.0300039999999999</v>
      </c>
      <c r="B171" s="86" t="s">
        <v>587</v>
      </c>
      <c r="C171" s="72" t="s">
        <v>39</v>
      </c>
      <c r="D171" s="87">
        <v>0.5</v>
      </c>
      <c r="E171" s="73">
        <v>25000</v>
      </c>
      <c r="F171" s="81"/>
      <c r="G171" s="251">
        <v>25000</v>
      </c>
      <c r="H171" s="251">
        <f t="shared" si="40"/>
        <v>12500</v>
      </c>
      <c r="I171" s="252">
        <f t="shared" si="41"/>
        <v>0</v>
      </c>
      <c r="J171" s="73">
        <v>12500</v>
      </c>
      <c r="K171" s="538"/>
      <c r="L171" s="51"/>
      <c r="Q171" s="545"/>
    </row>
    <row r="172" spans="1:17" ht="14.1" customHeight="1" thickTop="1">
      <c r="A172" s="418">
        <f>A167+0.01</f>
        <v>4.0399999999999991</v>
      </c>
      <c r="B172" s="652" t="s">
        <v>588</v>
      </c>
      <c r="C172" s="65"/>
      <c r="D172" s="65"/>
      <c r="E172" s="65"/>
      <c r="F172" s="65"/>
      <c r="G172" s="65"/>
      <c r="H172" s="65"/>
      <c r="I172" s="65"/>
      <c r="J172" s="65"/>
      <c r="K172" s="575">
        <v>14329.839999999997</v>
      </c>
      <c r="L172" s="51"/>
      <c r="Q172" s="545"/>
    </row>
    <row r="173" spans="1:17" ht="14.1" customHeight="1">
      <c r="A173" s="639">
        <f>A172+0.000001</f>
        <v>4.0400009999999993</v>
      </c>
      <c r="B173" s="84" t="s">
        <v>539</v>
      </c>
      <c r="C173" s="64" t="s">
        <v>155</v>
      </c>
      <c r="D173" s="87">
        <v>100.55</v>
      </c>
      <c r="E173" s="65">
        <v>467.86</v>
      </c>
      <c r="F173" s="65"/>
      <c r="G173" s="251">
        <v>467.86</v>
      </c>
      <c r="H173" s="251">
        <f>+ROUND(D173*E173,2)</f>
        <v>47043.32</v>
      </c>
      <c r="I173" s="252">
        <f>+ROUND(D173*F173,2)</f>
        <v>0</v>
      </c>
      <c r="J173" s="73">
        <v>47043.32</v>
      </c>
      <c r="K173" s="536"/>
      <c r="L173" s="51"/>
      <c r="N173" s="4">
        <v>427.44</v>
      </c>
      <c r="O173" s="233">
        <f t="shared" ref="O173:O175" si="42">+N173*D173</f>
        <v>42979.091999999997</v>
      </c>
      <c r="Q173" s="545"/>
    </row>
    <row r="174" spans="1:17" ht="14.1" customHeight="1" outlineLevel="2">
      <c r="A174" s="639">
        <f>A173+0.000001</f>
        <v>4.0400019999999994</v>
      </c>
      <c r="B174" s="84" t="s">
        <v>599</v>
      </c>
      <c r="C174" s="71" t="s">
        <v>155</v>
      </c>
      <c r="D174" s="87">
        <v>115.33</v>
      </c>
      <c r="E174" s="73">
        <v>451.61</v>
      </c>
      <c r="F174" s="81"/>
      <c r="G174" s="251">
        <v>451.61</v>
      </c>
      <c r="H174" s="251">
        <f>+ROUND(D174*E174,2)</f>
        <v>52084.18</v>
      </c>
      <c r="I174" s="252">
        <f>+ROUND(D174*F174,2)</f>
        <v>0</v>
      </c>
      <c r="J174" s="73">
        <v>52084.18</v>
      </c>
      <c r="K174" s="536"/>
      <c r="L174" s="51"/>
      <c r="N174" s="4">
        <v>411.19</v>
      </c>
      <c r="O174" s="233">
        <f t="shared" si="42"/>
        <v>47422.542699999998</v>
      </c>
      <c r="Q174" s="545"/>
    </row>
    <row r="175" spans="1:17" ht="14.1" customHeight="1" outlineLevel="2" thickBot="1">
      <c r="A175" s="639">
        <f>A173+0.000001</f>
        <v>4.0400019999999994</v>
      </c>
      <c r="B175" s="85" t="s">
        <v>603</v>
      </c>
      <c r="C175" s="64" t="s">
        <v>155</v>
      </c>
      <c r="D175" s="87">
        <v>-215.88</v>
      </c>
      <c r="E175" s="65">
        <v>392.8</v>
      </c>
      <c r="F175" s="65"/>
      <c r="G175" s="251">
        <v>392.8</v>
      </c>
      <c r="H175" s="251">
        <f>+ROUND(D175*E175,2)</f>
        <v>-84797.66</v>
      </c>
      <c r="I175" s="252">
        <f>+ROUND(D175*F175,2)</f>
        <v>0</v>
      </c>
      <c r="J175" s="73">
        <v>-84797.66</v>
      </c>
      <c r="K175" s="538"/>
      <c r="L175" s="96"/>
      <c r="M175" s="546"/>
      <c r="N175" s="546">
        <v>352.38</v>
      </c>
      <c r="O175" s="669">
        <f t="shared" si="42"/>
        <v>-76071.794399999999</v>
      </c>
      <c r="P175" s="546"/>
      <c r="Q175" s="547"/>
    </row>
    <row r="176" spans="1:17" s="50" customFormat="1" ht="14.1" customHeight="1" thickTop="1" thickBot="1">
      <c r="A176" s="89"/>
      <c r="B176" s="90"/>
      <c r="C176" s="91"/>
      <c r="D176" s="91"/>
      <c r="E176" s="76" t="s">
        <v>11</v>
      </c>
      <c r="F176" s="174"/>
      <c r="G176" s="174"/>
      <c r="H176" s="77">
        <f>SUM(H12:H175)</f>
        <v>5829167.129999999</v>
      </c>
      <c r="I176" s="78">
        <f>SUM(I12:I175)</f>
        <v>800420.22999999986</v>
      </c>
      <c r="J176" s="77">
        <v>8830743.019999994</v>
      </c>
      <c r="K176" s="82">
        <v>8830742.9924999978</v>
      </c>
      <c r="M176" s="77">
        <f>SUM(M12:M175)</f>
        <v>961390.87800000003</v>
      </c>
      <c r="O176" s="77">
        <f>SUM(O13:O175)</f>
        <v>1967534.4081000003</v>
      </c>
      <c r="Q176" s="78">
        <f>SUM(Q11:Q175)</f>
        <v>800420.20839999977</v>
      </c>
    </row>
    <row r="177" ht="12" thickTop="1"/>
  </sheetData>
  <autoFilter ref="A10:K176" xr:uid="{00000000-0001-0000-0E00-000000000000}"/>
  <mergeCells count="2">
    <mergeCell ref="A2:K2"/>
    <mergeCell ref="L9:Q9"/>
  </mergeCells>
  <phoneticPr fontId="13" type="noConversion"/>
  <conditionalFormatting sqref="H12:I13">
    <cfRule type="cellIs" dxfId="7" priority="7" stopIfTrue="1" operator="equal">
      <formula>0</formula>
    </cfRule>
  </conditionalFormatting>
  <conditionalFormatting sqref="J12">
    <cfRule type="cellIs" dxfId="6" priority="4" stopIfTrue="1" operator="equal">
      <formula>0</formula>
    </cfRule>
  </conditionalFormatting>
  <pageMargins left="0.7" right="0.7" top="0.75" bottom="0.75" header="0.3" footer="0.3"/>
  <pageSetup orientation="portrait" r:id="rId1"/>
  <ignoredErrors>
    <ignoredError sqref="B11" unlockedFormula="1"/>
    <ignoredError sqref="A167 A46 A38 A23:A25 A52:A53 A67 A27:A28 A69:A75 A77 A124:A151 A106:A114 A91:A101 A87:A89 A57:A65" formula="1"/>
    <ignoredError sqref="H13:I13" formula="1"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49866-0C39-4B9F-B308-0C67BBBA61D6}">
  <sheetPr>
    <outlinePr summaryBelow="0" summaryRight="0"/>
  </sheetPr>
  <dimension ref="A1:P274"/>
  <sheetViews>
    <sheetView topLeftCell="B1" zoomScale="79" zoomScaleNormal="79" workbookViewId="0">
      <selection activeCell="C52" sqref="C52"/>
    </sheetView>
  </sheetViews>
  <sheetFormatPr defaultColWidth="7.85546875" defaultRowHeight="11.25" outlineLevelRow="3"/>
  <cols>
    <col min="1" max="1" width="5.140625" style="4" hidden="1" customWidth="1"/>
    <col min="2" max="2" width="12.85546875" style="46" customWidth="1"/>
    <col min="3" max="3" width="70.28515625" style="47" customWidth="1"/>
    <col min="4" max="4" width="5.28515625" style="9" customWidth="1"/>
    <col min="5" max="5" width="12.28515625" style="396" customWidth="1"/>
    <col min="6" max="6" width="14.42578125" style="308" customWidth="1"/>
    <col min="7" max="7" width="11.85546875" style="4" customWidth="1"/>
    <col min="8" max="8" width="14.85546875" style="4" customWidth="1"/>
    <col min="9" max="9" width="21.28515625" style="4" customWidth="1"/>
    <col min="10" max="10" width="15.140625" style="4" customWidth="1"/>
    <col min="11" max="11" width="15.28515625" style="4" customWidth="1"/>
    <col min="12" max="16" width="19.28515625" style="4" customWidth="1"/>
    <col min="17" max="16384" width="7.85546875" style="4"/>
  </cols>
  <sheetData>
    <row r="1" spans="2:16" ht="14.25" customHeight="1">
      <c r="B1" s="25"/>
      <c r="C1" s="45"/>
      <c r="D1" s="3"/>
      <c r="F1" s="513"/>
      <c r="G1" s="2"/>
      <c r="H1" s="2"/>
      <c r="I1" s="2"/>
    </row>
    <row r="2" spans="2:16" ht="14.25" customHeight="1">
      <c r="B2" s="1" t="s">
        <v>621</v>
      </c>
      <c r="C2" s="1"/>
      <c r="D2" s="1"/>
      <c r="E2" s="1"/>
      <c r="F2" s="1"/>
      <c r="G2" s="1"/>
      <c r="H2" s="1"/>
      <c r="I2" s="1"/>
      <c r="J2" s="1"/>
      <c r="K2" s="1"/>
      <c r="L2" s="1"/>
      <c r="M2" s="569"/>
      <c r="N2" s="569"/>
      <c r="O2" s="569"/>
      <c r="P2" s="569"/>
    </row>
    <row r="3" spans="2:16" ht="14.25" customHeight="1">
      <c r="B3" s="25"/>
      <c r="C3" s="45"/>
      <c r="D3" s="3"/>
      <c r="F3" s="513"/>
      <c r="G3" s="2"/>
      <c r="H3" s="2"/>
      <c r="I3" s="2"/>
    </row>
    <row r="4" spans="2:16" ht="14.25" customHeight="1">
      <c r="B4" s="5" t="s">
        <v>0</v>
      </c>
      <c r="C4" s="58" t="e">
        <f>+#REF!</f>
        <v>#REF!</v>
      </c>
      <c r="D4" s="3"/>
      <c r="F4" s="513"/>
      <c r="G4" s="2"/>
      <c r="H4" s="2"/>
      <c r="I4" s="2"/>
    </row>
    <row r="5" spans="2:16" ht="14.25" customHeight="1">
      <c r="B5" s="5" t="s">
        <v>13</v>
      </c>
      <c r="C5" s="58" t="str">
        <f>$B$2</f>
        <v>ARQUITECTURA SÓTANOS</v>
      </c>
      <c r="D5" s="3"/>
      <c r="F5" s="513"/>
      <c r="G5" s="2"/>
      <c r="H5" s="2"/>
      <c r="I5" s="2"/>
    </row>
    <row r="6" spans="2:16" ht="14.25" customHeight="1">
      <c r="B6" s="5" t="s">
        <v>1</v>
      </c>
      <c r="C6" s="59" t="e">
        <f>+#REF!</f>
        <v>#REF!</v>
      </c>
      <c r="D6" s="3"/>
    </row>
    <row r="7" spans="2:16" ht="14.25" customHeight="1">
      <c r="B7" s="5" t="s">
        <v>2</v>
      </c>
      <c r="C7" s="59" t="s">
        <v>622</v>
      </c>
      <c r="D7" s="3"/>
      <c r="F7" s="513"/>
      <c r="G7" s="2"/>
      <c r="H7" s="2"/>
      <c r="I7" s="2"/>
    </row>
    <row r="8" spans="2:16" ht="14.25" customHeight="1" thickBot="1">
      <c r="B8" s="2" t="s">
        <v>14</v>
      </c>
      <c r="C8" s="8" t="e">
        <f>+#REF!</f>
        <v>#REF!</v>
      </c>
      <c r="D8" s="3"/>
      <c r="F8" s="513"/>
      <c r="G8" s="2"/>
      <c r="H8" s="2"/>
      <c r="I8" s="2"/>
    </row>
    <row r="9" spans="2:16" ht="14.25" customHeight="1" thickBot="1">
      <c r="B9" s="2"/>
      <c r="C9" s="60"/>
      <c r="D9" s="3"/>
      <c r="F9" s="513"/>
      <c r="G9" s="2"/>
      <c r="H9" s="2"/>
      <c r="I9" s="2"/>
      <c r="M9" s="695" t="s">
        <v>623</v>
      </c>
      <c r="N9" s="696"/>
      <c r="O9" s="696"/>
      <c r="P9" s="697"/>
    </row>
    <row r="10" spans="2:16" ht="24" customHeight="1" thickTop="1" thickBot="1">
      <c r="B10" s="10" t="s">
        <v>4</v>
      </c>
      <c r="C10" s="48" t="s">
        <v>15</v>
      </c>
      <c r="D10" s="11" t="s">
        <v>16</v>
      </c>
      <c r="E10" s="420" t="s">
        <v>419</v>
      </c>
      <c r="F10" s="514" t="s">
        <v>18</v>
      </c>
      <c r="G10" s="12" t="s">
        <v>19</v>
      </c>
      <c r="H10" s="56" t="s">
        <v>420</v>
      </c>
      <c r="I10" s="56" t="s">
        <v>21</v>
      </c>
      <c r="J10" s="56" t="s">
        <v>22</v>
      </c>
      <c r="K10" s="56" t="s">
        <v>624</v>
      </c>
      <c r="L10" s="573" t="s">
        <v>12</v>
      </c>
      <c r="M10" s="578" t="s">
        <v>18</v>
      </c>
      <c r="N10" s="579" t="s">
        <v>21</v>
      </c>
      <c r="O10" s="580" t="s">
        <v>19</v>
      </c>
      <c r="P10" s="581" t="s">
        <v>22</v>
      </c>
    </row>
    <row r="11" spans="2:16" ht="14.1" customHeight="1" thickTop="1" thickBot="1">
      <c r="B11" s="49" t="s">
        <v>625</v>
      </c>
      <c r="C11" s="61" t="str">
        <f>$B$2</f>
        <v>ARQUITECTURA SÓTANOS</v>
      </c>
      <c r="D11" s="16"/>
      <c r="E11" s="421"/>
      <c r="F11" s="515"/>
      <c r="G11" s="17"/>
      <c r="H11" s="17"/>
      <c r="I11" s="54"/>
      <c r="J11" s="55"/>
      <c r="K11" s="232"/>
      <c r="L11" s="232"/>
      <c r="M11" s="582"/>
      <c r="N11" s="115"/>
      <c r="O11" s="115"/>
      <c r="P11" s="583"/>
    </row>
    <row r="12" spans="2:16" ht="14.1" customHeight="1" thickTop="1">
      <c r="B12" s="163">
        <f>B11+0.01</f>
        <v>5.01</v>
      </c>
      <c r="C12" s="301" t="s">
        <v>626</v>
      </c>
      <c r="D12" s="262"/>
      <c r="E12" s="422"/>
      <c r="F12" s="516"/>
      <c r="G12" s="264"/>
      <c r="H12" s="93" t="s">
        <v>7</v>
      </c>
      <c r="I12" s="265" t="str">
        <f t="shared" ref="I12:J14" si="0">IFERROR(IF($E12=0,"",$E12*F12),"")</f>
        <v/>
      </c>
      <c r="J12" s="79" t="str">
        <f t="shared" si="0"/>
        <v/>
      </c>
      <c r="K12" s="93" t="s">
        <v>7</v>
      </c>
      <c r="L12" s="574">
        <v>232941.24000000005</v>
      </c>
      <c r="M12" s="623"/>
      <c r="N12" s="624"/>
      <c r="O12" s="624"/>
      <c r="P12" s="625"/>
    </row>
    <row r="13" spans="2:16" ht="14.1" customHeight="1" outlineLevel="1">
      <c r="B13" s="101">
        <f>B12+0.0001</f>
        <v>5.0100999999999996</v>
      </c>
      <c r="C13" s="444" t="s">
        <v>627</v>
      </c>
      <c r="D13" s="445"/>
      <c r="E13" s="446"/>
      <c r="F13" s="517" t="s">
        <v>7</v>
      </c>
      <c r="G13" s="447"/>
      <c r="H13" s="73" t="s">
        <v>7</v>
      </c>
      <c r="I13" s="74" t="str">
        <f t="shared" si="0"/>
        <v/>
      </c>
      <c r="J13" s="80" t="str">
        <f t="shared" si="0"/>
        <v/>
      </c>
      <c r="K13" s="73" t="s">
        <v>7</v>
      </c>
      <c r="L13" s="575"/>
      <c r="M13" s="586"/>
      <c r="N13" s="570"/>
      <c r="O13" s="570"/>
      <c r="P13" s="587"/>
    </row>
    <row r="14" spans="2:16" ht="14.1" customHeight="1" outlineLevel="2">
      <c r="B14" s="302">
        <f>B12+0.0001</f>
        <v>5.0100999999999996</v>
      </c>
      <c r="C14" s="269" t="s">
        <v>628</v>
      </c>
      <c r="D14" s="300"/>
      <c r="E14" s="423"/>
      <c r="F14" s="517" t="s">
        <v>7</v>
      </c>
      <c r="G14" s="303"/>
      <c r="H14" s="73" t="s">
        <v>7</v>
      </c>
      <c r="I14" s="74" t="str">
        <f t="shared" si="0"/>
        <v/>
      </c>
      <c r="J14" s="80" t="str">
        <f t="shared" si="0"/>
        <v/>
      </c>
      <c r="K14" s="73" t="s">
        <v>7</v>
      </c>
      <c r="L14" s="536"/>
      <c r="M14" s="550"/>
      <c r="N14" s="94"/>
      <c r="O14" s="94"/>
      <c r="P14" s="588"/>
    </row>
    <row r="15" spans="2:16" ht="14.1" customHeight="1" outlineLevel="3">
      <c r="B15" s="103">
        <f t="shared" ref="B15:B22" si="1">B14+0.000001</f>
        <v>5.0101009999999997</v>
      </c>
      <c r="C15" s="271" t="s">
        <v>629</v>
      </c>
      <c r="D15" s="64" t="s">
        <v>161</v>
      </c>
      <c r="E15" s="424"/>
      <c r="F15" s="517">
        <v>99.22</v>
      </c>
      <c r="G15" s="65"/>
      <c r="H15" s="160">
        <v>99.22</v>
      </c>
      <c r="I15" s="160">
        <f t="shared" ref="I15:I22" si="2">+ROUND(E15*F15,2)</f>
        <v>0</v>
      </c>
      <c r="J15" s="150">
        <f t="shared" ref="J15:J22" si="3">+ROUND(E15*G15,2)</f>
        <v>0</v>
      </c>
      <c r="K15" s="73">
        <v>0</v>
      </c>
      <c r="L15" s="536"/>
      <c r="M15" s="550">
        <v>99.22</v>
      </c>
      <c r="N15" s="94">
        <f>+M15*E15</f>
        <v>0</v>
      </c>
      <c r="O15" s="94"/>
      <c r="P15" s="588"/>
    </row>
    <row r="16" spans="2:16" ht="14.1" customHeight="1" outlineLevel="3">
      <c r="B16" s="103">
        <f t="shared" si="1"/>
        <v>5.0101019999999998</v>
      </c>
      <c r="C16" s="271" t="s">
        <v>630</v>
      </c>
      <c r="D16" s="64" t="s">
        <v>161</v>
      </c>
      <c r="E16" s="424">
        <v>413.25</v>
      </c>
      <c r="F16" s="517">
        <v>108.22</v>
      </c>
      <c r="G16" s="65"/>
      <c r="H16" s="160">
        <v>108.22</v>
      </c>
      <c r="I16" s="160">
        <f t="shared" si="2"/>
        <v>44721.919999999998</v>
      </c>
      <c r="J16" s="150">
        <f t="shared" si="3"/>
        <v>0</v>
      </c>
      <c r="K16" s="73">
        <v>44721.919999999998</v>
      </c>
      <c r="L16" s="536"/>
      <c r="M16" s="550">
        <v>108.22</v>
      </c>
      <c r="N16" s="94">
        <f t="shared" ref="N16:N38" si="4">+M16*E16</f>
        <v>44721.915000000001</v>
      </c>
      <c r="O16" s="94"/>
      <c r="P16" s="588"/>
    </row>
    <row r="17" spans="2:16" ht="14.1" customHeight="1" outlineLevel="3">
      <c r="B17" s="103">
        <f t="shared" si="1"/>
        <v>5.010103</v>
      </c>
      <c r="C17" s="271" t="s">
        <v>631</v>
      </c>
      <c r="D17" s="64" t="s">
        <v>161</v>
      </c>
      <c r="E17" s="424">
        <v>116.3</v>
      </c>
      <c r="F17" s="517">
        <v>113.22</v>
      </c>
      <c r="G17" s="65"/>
      <c r="H17" s="160">
        <v>113.22</v>
      </c>
      <c r="I17" s="160">
        <f t="shared" si="2"/>
        <v>13167.49</v>
      </c>
      <c r="J17" s="150">
        <f t="shared" si="3"/>
        <v>0</v>
      </c>
      <c r="K17" s="73">
        <v>13167.49</v>
      </c>
      <c r="L17" s="536"/>
      <c r="M17" s="550">
        <v>113.22</v>
      </c>
      <c r="N17" s="94">
        <f t="shared" si="4"/>
        <v>13167.485999999999</v>
      </c>
      <c r="O17" s="94"/>
      <c r="P17" s="588"/>
    </row>
    <row r="18" spans="2:16" ht="14.1" customHeight="1" outlineLevel="3">
      <c r="B18" s="103">
        <f t="shared" si="1"/>
        <v>5.0101040000000001</v>
      </c>
      <c r="C18" s="271" t="s">
        <v>632</v>
      </c>
      <c r="D18" s="64" t="s">
        <v>161</v>
      </c>
      <c r="E18" s="424">
        <v>27.64</v>
      </c>
      <c r="F18" s="517">
        <v>119.22</v>
      </c>
      <c r="G18" s="65"/>
      <c r="H18" s="160">
        <v>119.22</v>
      </c>
      <c r="I18" s="160">
        <f t="shared" si="2"/>
        <v>3295.24</v>
      </c>
      <c r="J18" s="150">
        <f t="shared" si="3"/>
        <v>0</v>
      </c>
      <c r="K18" s="73">
        <v>3295.24</v>
      </c>
      <c r="L18" s="536"/>
      <c r="M18" s="550">
        <v>119.22</v>
      </c>
      <c r="N18" s="94">
        <f t="shared" si="4"/>
        <v>3295.2408</v>
      </c>
      <c r="O18" s="94"/>
      <c r="P18" s="588"/>
    </row>
    <row r="19" spans="2:16" ht="14.1" customHeight="1" outlineLevel="3">
      <c r="B19" s="103">
        <f t="shared" si="1"/>
        <v>5.0101050000000003</v>
      </c>
      <c r="C19" s="271" t="s">
        <v>633</v>
      </c>
      <c r="D19" s="64" t="s">
        <v>161</v>
      </c>
      <c r="E19" s="424">
        <v>40.909999999999997</v>
      </c>
      <c r="F19" s="517">
        <v>198.22</v>
      </c>
      <c r="G19" s="65"/>
      <c r="H19" s="160">
        <v>198.22</v>
      </c>
      <c r="I19" s="160">
        <f t="shared" si="2"/>
        <v>8109.18</v>
      </c>
      <c r="J19" s="150">
        <f t="shared" si="3"/>
        <v>0</v>
      </c>
      <c r="K19" s="73">
        <v>8109.18</v>
      </c>
      <c r="L19" s="536"/>
      <c r="M19" s="550">
        <v>198.22</v>
      </c>
      <c r="N19" s="94">
        <f t="shared" si="4"/>
        <v>8109.1801999999989</v>
      </c>
      <c r="O19" s="94"/>
      <c r="P19" s="588"/>
    </row>
    <row r="20" spans="2:16" ht="14.1" customHeight="1" outlineLevel="3">
      <c r="B20" s="103">
        <f t="shared" si="1"/>
        <v>5.0101060000000004</v>
      </c>
      <c r="C20" s="271" t="s">
        <v>634</v>
      </c>
      <c r="D20" s="64" t="s">
        <v>161</v>
      </c>
      <c r="E20" s="424">
        <v>8.6199999999999992</v>
      </c>
      <c r="F20" s="517">
        <v>198.22</v>
      </c>
      <c r="G20" s="65"/>
      <c r="H20" s="160">
        <v>198.22</v>
      </c>
      <c r="I20" s="160">
        <f t="shared" si="2"/>
        <v>1708.66</v>
      </c>
      <c r="J20" s="150">
        <f t="shared" si="3"/>
        <v>0</v>
      </c>
      <c r="K20" s="73">
        <v>1708.66</v>
      </c>
      <c r="L20" s="536"/>
      <c r="M20" s="550">
        <v>198.22</v>
      </c>
      <c r="N20" s="94">
        <f t="shared" si="4"/>
        <v>1708.6563999999998</v>
      </c>
      <c r="O20" s="94"/>
      <c r="P20" s="588"/>
    </row>
    <row r="21" spans="2:16" ht="14.1" customHeight="1" outlineLevel="3">
      <c r="B21" s="103">
        <f t="shared" si="1"/>
        <v>5.0101070000000005</v>
      </c>
      <c r="C21" s="271" t="s">
        <v>635</v>
      </c>
      <c r="D21" s="64" t="s">
        <v>161</v>
      </c>
      <c r="E21" s="424">
        <v>49.78</v>
      </c>
      <c r="F21" s="517">
        <v>198.22</v>
      </c>
      <c r="G21" s="65"/>
      <c r="H21" s="160">
        <v>198.22</v>
      </c>
      <c r="I21" s="160">
        <f t="shared" si="2"/>
        <v>9867.39</v>
      </c>
      <c r="J21" s="150">
        <f t="shared" si="3"/>
        <v>0</v>
      </c>
      <c r="K21" s="73">
        <v>9867.39</v>
      </c>
      <c r="L21" s="536"/>
      <c r="M21" s="550">
        <v>198.22</v>
      </c>
      <c r="N21" s="94">
        <f t="shared" si="4"/>
        <v>9867.3916000000008</v>
      </c>
      <c r="O21" s="94"/>
      <c r="P21" s="588"/>
    </row>
    <row r="22" spans="2:16" ht="14.1" customHeight="1" outlineLevel="3">
      <c r="B22" s="103">
        <f t="shared" si="1"/>
        <v>5.0101080000000007</v>
      </c>
      <c r="C22" s="271" t="s">
        <v>636</v>
      </c>
      <c r="D22" s="64" t="s">
        <v>161</v>
      </c>
      <c r="E22" s="424">
        <v>53.3</v>
      </c>
      <c r="F22" s="517">
        <v>236.22</v>
      </c>
      <c r="G22" s="65"/>
      <c r="H22" s="160">
        <v>236.22</v>
      </c>
      <c r="I22" s="160">
        <f t="shared" si="2"/>
        <v>12590.53</v>
      </c>
      <c r="J22" s="150">
        <f t="shared" si="3"/>
        <v>0</v>
      </c>
      <c r="K22" s="73">
        <v>12590.53</v>
      </c>
      <c r="L22" s="536"/>
      <c r="M22" s="550">
        <v>236.22</v>
      </c>
      <c r="N22" s="94">
        <f t="shared" si="4"/>
        <v>12590.526</v>
      </c>
      <c r="O22" s="94"/>
      <c r="P22" s="588"/>
    </row>
    <row r="23" spans="2:16" ht="14.1" customHeight="1" outlineLevel="2">
      <c r="B23" s="302">
        <f>B14+0.0001</f>
        <v>5.0101999999999993</v>
      </c>
      <c r="C23" s="269" t="s">
        <v>637</v>
      </c>
      <c r="D23" s="300"/>
      <c r="E23" s="423"/>
      <c r="F23" s="517" t="s">
        <v>7</v>
      </c>
      <c r="G23" s="303"/>
      <c r="H23" s="160"/>
      <c r="I23" s="160"/>
      <c r="J23" s="150"/>
      <c r="K23" s="73"/>
      <c r="L23" s="536"/>
      <c r="M23" s="550">
        <v>0</v>
      </c>
      <c r="N23" s="94">
        <f t="shared" si="4"/>
        <v>0</v>
      </c>
      <c r="O23" s="94"/>
      <c r="P23" s="588"/>
    </row>
    <row r="24" spans="2:16" ht="14.1" customHeight="1" outlineLevel="3">
      <c r="B24" s="103">
        <f t="shared" ref="B24:B29" si="5">B23+0.000001</f>
        <v>5.0102009999999995</v>
      </c>
      <c r="C24" s="271" t="s">
        <v>638</v>
      </c>
      <c r="D24" s="64" t="s">
        <v>161</v>
      </c>
      <c r="E24" s="424"/>
      <c r="F24" s="517">
        <v>99.22</v>
      </c>
      <c r="G24" s="65"/>
      <c r="H24" s="160">
        <v>99.22</v>
      </c>
      <c r="I24" s="160">
        <f t="shared" ref="I24:I29" si="6">+ROUND(E24*F24,2)</f>
        <v>0</v>
      </c>
      <c r="J24" s="150">
        <f t="shared" ref="J24:J29" si="7">+ROUND(E24*G24,2)</f>
        <v>0</v>
      </c>
      <c r="K24" s="73">
        <v>0</v>
      </c>
      <c r="L24" s="536"/>
      <c r="M24" s="550">
        <v>99.22</v>
      </c>
      <c r="N24" s="94">
        <f t="shared" si="4"/>
        <v>0</v>
      </c>
      <c r="O24" s="94"/>
      <c r="P24" s="588"/>
    </row>
    <row r="25" spans="2:16" ht="14.1" customHeight="1" outlineLevel="3">
      <c r="B25" s="103">
        <f t="shared" si="5"/>
        <v>5.0102019999999996</v>
      </c>
      <c r="C25" s="271" t="s">
        <v>639</v>
      </c>
      <c r="D25" s="64" t="s">
        <v>161</v>
      </c>
      <c r="E25" s="424">
        <v>148.30000000000001</v>
      </c>
      <c r="F25" s="517">
        <v>110.22</v>
      </c>
      <c r="G25" s="65"/>
      <c r="H25" s="160">
        <v>110.22</v>
      </c>
      <c r="I25" s="160">
        <f t="shared" si="6"/>
        <v>16345.63</v>
      </c>
      <c r="J25" s="150">
        <f t="shared" si="7"/>
        <v>0</v>
      </c>
      <c r="K25" s="73">
        <v>16345.63</v>
      </c>
      <c r="L25" s="536"/>
      <c r="M25" s="550">
        <v>110.22</v>
      </c>
      <c r="N25" s="94">
        <f t="shared" si="4"/>
        <v>16345.626</v>
      </c>
      <c r="O25" s="94"/>
      <c r="P25" s="588"/>
    </row>
    <row r="26" spans="2:16" ht="14.1" customHeight="1" outlineLevel="3">
      <c r="B26" s="103">
        <f t="shared" si="5"/>
        <v>5.0102029999999997</v>
      </c>
      <c r="C26" s="271" t="s">
        <v>640</v>
      </c>
      <c r="D26" s="64" t="s">
        <v>161</v>
      </c>
      <c r="E26" s="424">
        <v>24.82</v>
      </c>
      <c r="F26" s="517">
        <v>116.22</v>
      </c>
      <c r="G26" s="65"/>
      <c r="H26" s="160">
        <v>116.22</v>
      </c>
      <c r="I26" s="160">
        <f t="shared" si="6"/>
        <v>2884.58</v>
      </c>
      <c r="J26" s="150">
        <f t="shared" si="7"/>
        <v>0</v>
      </c>
      <c r="K26" s="73">
        <v>2884.58</v>
      </c>
      <c r="L26" s="536"/>
      <c r="M26" s="550">
        <v>116.22</v>
      </c>
      <c r="N26" s="94">
        <f t="shared" si="4"/>
        <v>2884.5803999999998</v>
      </c>
      <c r="O26" s="94"/>
      <c r="P26" s="588"/>
    </row>
    <row r="27" spans="2:16" ht="14.1" customHeight="1" outlineLevel="3">
      <c r="B27" s="103">
        <f t="shared" si="5"/>
        <v>5.0102039999999999</v>
      </c>
      <c r="C27" s="271" t="s">
        <v>641</v>
      </c>
      <c r="D27" s="64" t="s">
        <v>161</v>
      </c>
      <c r="E27" s="424">
        <v>5.24</v>
      </c>
      <c r="F27" s="517">
        <v>124.22</v>
      </c>
      <c r="G27" s="65"/>
      <c r="H27" s="160">
        <v>124.22</v>
      </c>
      <c r="I27" s="160">
        <f t="shared" si="6"/>
        <v>650.91</v>
      </c>
      <c r="J27" s="150">
        <f t="shared" si="7"/>
        <v>0</v>
      </c>
      <c r="K27" s="73">
        <v>650.91</v>
      </c>
      <c r="L27" s="536"/>
      <c r="M27" s="550">
        <v>124.22</v>
      </c>
      <c r="N27" s="94">
        <f t="shared" si="4"/>
        <v>650.91280000000006</v>
      </c>
      <c r="O27" s="94"/>
      <c r="P27" s="588"/>
    </row>
    <row r="28" spans="2:16" ht="14.1" customHeight="1" outlineLevel="3">
      <c r="B28" s="103">
        <f t="shared" si="5"/>
        <v>5.010205</v>
      </c>
      <c r="C28" s="271" t="s">
        <v>642</v>
      </c>
      <c r="D28" s="64" t="s">
        <v>161</v>
      </c>
      <c r="E28" s="424">
        <v>20.83</v>
      </c>
      <c r="F28" s="517">
        <v>208.22</v>
      </c>
      <c r="G28" s="65"/>
      <c r="H28" s="160">
        <v>208.22</v>
      </c>
      <c r="I28" s="160">
        <f t="shared" si="6"/>
        <v>4337.22</v>
      </c>
      <c r="J28" s="150">
        <f t="shared" si="7"/>
        <v>0</v>
      </c>
      <c r="K28" s="73">
        <v>4337.22</v>
      </c>
      <c r="L28" s="536"/>
      <c r="M28" s="550">
        <v>208.22</v>
      </c>
      <c r="N28" s="94">
        <f t="shared" si="4"/>
        <v>4337.2226000000001</v>
      </c>
      <c r="O28" s="94"/>
      <c r="P28" s="588"/>
    </row>
    <row r="29" spans="2:16" ht="14.1" customHeight="1" outlineLevel="3">
      <c r="B29" s="103">
        <f t="shared" si="5"/>
        <v>5.0102060000000002</v>
      </c>
      <c r="C29" s="271" t="s">
        <v>643</v>
      </c>
      <c r="D29" s="64" t="s">
        <v>161</v>
      </c>
      <c r="E29" s="424">
        <v>19.95</v>
      </c>
      <c r="F29" s="517">
        <v>230.22</v>
      </c>
      <c r="G29" s="65"/>
      <c r="H29" s="160">
        <v>230.22</v>
      </c>
      <c r="I29" s="160">
        <f t="shared" si="6"/>
        <v>4592.8900000000003</v>
      </c>
      <c r="J29" s="150">
        <f t="shared" si="7"/>
        <v>0</v>
      </c>
      <c r="K29" s="73">
        <v>4592.8900000000003</v>
      </c>
      <c r="L29" s="536"/>
      <c r="M29" s="550">
        <v>230.22</v>
      </c>
      <c r="N29" s="94">
        <f t="shared" si="4"/>
        <v>4592.8890000000001</v>
      </c>
      <c r="O29" s="94"/>
      <c r="P29" s="588"/>
    </row>
    <row r="30" spans="2:16" ht="18.600000000000001" customHeight="1" outlineLevel="2">
      <c r="B30" s="302">
        <f>B27+0.0001</f>
        <v>5.0103039999999996</v>
      </c>
      <c r="C30" s="269" t="s">
        <v>644</v>
      </c>
      <c r="D30" s="300"/>
      <c r="E30" s="423"/>
      <c r="F30" s="517" t="s">
        <v>7</v>
      </c>
      <c r="G30" s="303"/>
      <c r="H30" s="160"/>
      <c r="I30" s="160"/>
      <c r="J30" s="150"/>
      <c r="K30" s="73"/>
      <c r="L30" s="536"/>
      <c r="M30" s="550">
        <v>0</v>
      </c>
      <c r="N30" s="94">
        <f t="shared" si="4"/>
        <v>0</v>
      </c>
      <c r="O30" s="94"/>
      <c r="P30" s="588"/>
    </row>
    <row r="31" spans="2:16" ht="14.1" customHeight="1" outlineLevel="3">
      <c r="B31" s="103">
        <f>B30+0.000001</f>
        <v>5.0103049999999998</v>
      </c>
      <c r="C31" s="271" t="s">
        <v>645</v>
      </c>
      <c r="D31" s="64" t="s">
        <v>161</v>
      </c>
      <c r="E31" s="424">
        <v>97</v>
      </c>
      <c r="F31" s="517">
        <v>112.22</v>
      </c>
      <c r="G31" s="65"/>
      <c r="H31" s="160">
        <v>112.22</v>
      </c>
      <c r="I31" s="160">
        <f>+ROUND(E31*F31,2)</f>
        <v>10885.34</v>
      </c>
      <c r="J31" s="150">
        <f>+ROUND(E31*G31,2)</f>
        <v>0</v>
      </c>
      <c r="K31" s="73">
        <v>10885.34</v>
      </c>
      <c r="L31" s="536"/>
      <c r="M31" s="550">
        <v>112.22</v>
      </c>
      <c r="N31" s="94">
        <f t="shared" si="4"/>
        <v>10885.34</v>
      </c>
      <c r="O31" s="94"/>
      <c r="P31" s="588"/>
    </row>
    <row r="32" spans="2:16" ht="14.1" customHeight="1" outlineLevel="3">
      <c r="B32" s="103">
        <f>B31+0.000001</f>
        <v>5.0103059999999999</v>
      </c>
      <c r="C32" s="271" t="s">
        <v>646</v>
      </c>
      <c r="D32" s="64" t="s">
        <v>161</v>
      </c>
      <c r="E32" s="424">
        <v>281.5</v>
      </c>
      <c r="F32" s="517">
        <v>113.22</v>
      </c>
      <c r="G32" s="65"/>
      <c r="H32" s="160">
        <v>113.22</v>
      </c>
      <c r="I32" s="160">
        <f>+ROUND(E32*F32,2)</f>
        <v>31871.43</v>
      </c>
      <c r="J32" s="150">
        <f>+ROUND(E32*G32,2)</f>
        <v>0</v>
      </c>
      <c r="K32" s="73">
        <v>31871.43</v>
      </c>
      <c r="L32" s="536"/>
      <c r="M32" s="550">
        <v>113.22</v>
      </c>
      <c r="N32" s="94">
        <f t="shared" si="4"/>
        <v>31871.43</v>
      </c>
      <c r="O32" s="94"/>
      <c r="P32" s="588"/>
    </row>
    <row r="33" spans="2:16" ht="14.1" customHeight="1" outlineLevel="3">
      <c r="B33" s="103">
        <f>B32+0.000001</f>
        <v>5.0103070000000001</v>
      </c>
      <c r="C33" s="271" t="s">
        <v>647</v>
      </c>
      <c r="D33" s="64" t="s">
        <v>161</v>
      </c>
      <c r="E33" s="424">
        <v>56.01</v>
      </c>
      <c r="F33" s="517">
        <v>119.22</v>
      </c>
      <c r="G33" s="65"/>
      <c r="H33" s="160">
        <v>119.22</v>
      </c>
      <c r="I33" s="160">
        <f>+ROUND(E33*F33,2)</f>
        <v>6677.51</v>
      </c>
      <c r="J33" s="150">
        <f>+ROUND(E33*G33,2)</f>
        <v>0</v>
      </c>
      <c r="K33" s="73">
        <v>6677.51</v>
      </c>
      <c r="L33" s="536"/>
      <c r="M33" s="550">
        <v>119.22</v>
      </c>
      <c r="N33" s="94">
        <f t="shared" si="4"/>
        <v>6677.5122000000001</v>
      </c>
      <c r="O33" s="94"/>
      <c r="P33" s="588"/>
    </row>
    <row r="34" spans="2:16" ht="14.1" customHeight="1" outlineLevel="2">
      <c r="B34" s="302">
        <f>B23+0.0001</f>
        <v>5.0102999999999991</v>
      </c>
      <c r="C34" s="269" t="s">
        <v>648</v>
      </c>
      <c r="D34" s="300"/>
      <c r="E34" s="423"/>
      <c r="F34" s="517" t="s">
        <v>7</v>
      </c>
      <c r="G34" s="303"/>
      <c r="H34" s="160"/>
      <c r="I34" s="160"/>
      <c r="J34" s="150"/>
      <c r="K34" s="73"/>
      <c r="L34" s="536"/>
      <c r="M34" s="550">
        <v>0</v>
      </c>
      <c r="N34" s="94">
        <f t="shared" si="4"/>
        <v>0</v>
      </c>
      <c r="O34" s="94"/>
      <c r="P34" s="588"/>
    </row>
    <row r="35" spans="2:16" ht="14.1" customHeight="1" outlineLevel="3">
      <c r="B35" s="103">
        <f>B34+0.000001</f>
        <v>5.0103009999999992</v>
      </c>
      <c r="C35" s="271" t="s">
        <v>649</v>
      </c>
      <c r="D35" s="64" t="s">
        <v>161</v>
      </c>
      <c r="E35" s="424">
        <v>34.42</v>
      </c>
      <c r="F35" s="517">
        <v>116.22</v>
      </c>
      <c r="G35" s="65"/>
      <c r="H35" s="160">
        <v>116.22</v>
      </c>
      <c r="I35" s="160">
        <f>+ROUND(E35*F35,2)</f>
        <v>4000.29</v>
      </c>
      <c r="J35" s="150">
        <f>+ROUND(E35*G35,2)</f>
        <v>0</v>
      </c>
      <c r="K35" s="73">
        <v>4000.29</v>
      </c>
      <c r="L35" s="536"/>
      <c r="M35" s="550">
        <v>116.22</v>
      </c>
      <c r="N35" s="94">
        <f t="shared" si="4"/>
        <v>4000.2924000000003</v>
      </c>
      <c r="O35" s="94"/>
      <c r="P35" s="588"/>
    </row>
    <row r="36" spans="2:16" ht="14.1" customHeight="1" outlineLevel="3">
      <c r="B36" s="103">
        <f>B35+0.000001</f>
        <v>5.0103019999999994</v>
      </c>
      <c r="C36" s="271" t="s">
        <v>650</v>
      </c>
      <c r="D36" s="64" t="s">
        <v>161</v>
      </c>
      <c r="E36" s="424">
        <v>233.11</v>
      </c>
      <c r="F36" s="517">
        <v>116.22</v>
      </c>
      <c r="G36" s="65"/>
      <c r="H36" s="160">
        <v>116.22</v>
      </c>
      <c r="I36" s="160">
        <f>+ROUND(E36*F36,2)</f>
        <v>27092.04</v>
      </c>
      <c r="J36" s="150">
        <f>+ROUND(E36*G36,2)</f>
        <v>0</v>
      </c>
      <c r="K36" s="73">
        <v>27092.04</v>
      </c>
      <c r="L36" s="536"/>
      <c r="M36" s="550">
        <v>116.22</v>
      </c>
      <c r="N36" s="94">
        <f t="shared" si="4"/>
        <v>27092.0442</v>
      </c>
      <c r="O36" s="94"/>
      <c r="P36" s="588"/>
    </row>
    <row r="37" spans="2:16" ht="14.1" customHeight="1" outlineLevel="3">
      <c r="B37" s="103">
        <f>B36+0.000001</f>
        <v>5.0103029999999995</v>
      </c>
      <c r="C37" s="271" t="s">
        <v>651</v>
      </c>
      <c r="D37" s="64" t="s">
        <v>161</v>
      </c>
      <c r="E37" s="424">
        <v>29.36</v>
      </c>
      <c r="F37" s="517">
        <v>124.22</v>
      </c>
      <c r="G37" s="65"/>
      <c r="H37" s="160">
        <v>124.22</v>
      </c>
      <c r="I37" s="160">
        <f>+ROUND(E37*F37,2)</f>
        <v>3647.1</v>
      </c>
      <c r="J37" s="150">
        <f>+ROUND(E37*G37,2)</f>
        <v>0</v>
      </c>
      <c r="K37" s="73">
        <v>3647.1</v>
      </c>
      <c r="L37" s="536"/>
      <c r="M37" s="550">
        <v>124.22</v>
      </c>
      <c r="N37" s="94">
        <f t="shared" si="4"/>
        <v>3647.0992000000001</v>
      </c>
      <c r="O37" s="94"/>
      <c r="P37" s="588"/>
    </row>
    <row r="38" spans="2:16" ht="14.1" customHeight="1" outlineLevel="3">
      <c r="B38" s="103">
        <f>B37+0.000001</f>
        <v>5.0103039999999996</v>
      </c>
      <c r="C38" s="256" t="s">
        <v>652</v>
      </c>
      <c r="D38" s="64" t="s">
        <v>161</v>
      </c>
      <c r="E38" s="424">
        <v>4.46</v>
      </c>
      <c r="F38" s="517">
        <v>232.44</v>
      </c>
      <c r="G38" s="65"/>
      <c r="H38" s="160">
        <v>232.44</v>
      </c>
      <c r="I38" s="160">
        <f>+ROUND(E38*F38,2)</f>
        <v>1036.68</v>
      </c>
      <c r="J38" s="150">
        <f>+ROUND(E38*G38,2)</f>
        <v>0</v>
      </c>
      <c r="K38" s="73">
        <v>1036.68</v>
      </c>
      <c r="L38" s="536"/>
      <c r="M38" s="550">
        <v>232.44</v>
      </c>
      <c r="N38" s="94">
        <f t="shared" si="4"/>
        <v>1036.6823999999999</v>
      </c>
      <c r="O38" s="94"/>
      <c r="P38" s="588"/>
    </row>
    <row r="39" spans="2:16" ht="14.1" customHeight="1" outlineLevel="2">
      <c r="B39" s="302">
        <f>B34+0.0001</f>
        <v>5.0103999999999989</v>
      </c>
      <c r="C39" s="269" t="s">
        <v>653</v>
      </c>
      <c r="D39" s="300"/>
      <c r="E39" s="423"/>
      <c r="F39" s="517"/>
      <c r="G39" s="303"/>
      <c r="H39" s="160"/>
      <c r="I39" s="160"/>
      <c r="J39" s="150"/>
      <c r="K39" s="73"/>
      <c r="L39" s="536"/>
      <c r="M39" s="550"/>
      <c r="N39" s="94"/>
      <c r="O39" s="94"/>
      <c r="P39" s="588"/>
    </row>
    <row r="40" spans="2:16" ht="14.1" customHeight="1" outlineLevel="3">
      <c r="B40" s="103">
        <f>B39+0.000001</f>
        <v>5.010400999999999</v>
      </c>
      <c r="C40" s="271" t="s">
        <v>654</v>
      </c>
      <c r="D40" s="64" t="s">
        <v>177</v>
      </c>
      <c r="E40" s="424">
        <v>2846.85</v>
      </c>
      <c r="F40" s="517">
        <v>0</v>
      </c>
      <c r="G40" s="522">
        <v>0.94</v>
      </c>
      <c r="H40" s="160">
        <v>3.53</v>
      </c>
      <c r="I40" s="160">
        <f>+ROUND(E40*F40,2)</f>
        <v>0</v>
      </c>
      <c r="J40" s="150">
        <f>+ROUND(E40*G40,2)</f>
        <v>2676.04</v>
      </c>
      <c r="K40" s="73">
        <v>10035.15</v>
      </c>
      <c r="L40" s="536"/>
      <c r="M40" s="550"/>
      <c r="N40" s="94"/>
      <c r="O40" s="619">
        <v>0.94</v>
      </c>
      <c r="P40" s="626">
        <f>+O40*E40</f>
        <v>2676.0389999999998</v>
      </c>
    </row>
    <row r="41" spans="2:16" ht="14.1" customHeight="1" outlineLevel="2">
      <c r="B41" s="302">
        <f>B39+0.0001</f>
        <v>5.0104999999999986</v>
      </c>
      <c r="C41" s="269" t="s">
        <v>655</v>
      </c>
      <c r="D41" s="300"/>
      <c r="E41" s="423"/>
      <c r="F41" s="517"/>
      <c r="G41" s="303"/>
      <c r="H41" s="160"/>
      <c r="I41" s="160"/>
      <c r="J41" s="150"/>
      <c r="K41" s="73"/>
      <c r="L41" s="536"/>
      <c r="M41" s="550"/>
      <c r="N41" s="94"/>
      <c r="O41" s="94"/>
      <c r="P41" s="588"/>
    </row>
    <row r="42" spans="2:16" ht="14.1" customHeight="1" outlineLevel="3">
      <c r="B42" s="103">
        <f>B41+0.000001</f>
        <v>5.0105009999999988</v>
      </c>
      <c r="C42" s="272" t="s">
        <v>656</v>
      </c>
      <c r="D42" s="64" t="s">
        <v>36</v>
      </c>
      <c r="E42" s="424">
        <v>52</v>
      </c>
      <c r="F42" s="517">
        <v>120</v>
      </c>
      <c r="G42" s="65"/>
      <c r="H42" s="160">
        <v>120</v>
      </c>
      <c r="I42" s="160">
        <f>+ROUND(E42*F42,2)</f>
        <v>6240</v>
      </c>
      <c r="J42" s="150">
        <f>+ROUND(E42*G42,2)</f>
        <v>0</v>
      </c>
      <c r="K42" s="73">
        <v>6240</v>
      </c>
      <c r="L42" s="536"/>
      <c r="M42" s="550">
        <v>120</v>
      </c>
      <c r="N42" s="94">
        <f>+M42*E42</f>
        <v>6240</v>
      </c>
      <c r="O42" s="94"/>
      <c r="P42" s="588"/>
    </row>
    <row r="43" spans="2:16" ht="14.1" customHeight="1" outlineLevel="3">
      <c r="B43" s="103">
        <f>B42+0.000001</f>
        <v>5.0105019999999989</v>
      </c>
      <c r="C43" s="271" t="s">
        <v>657</v>
      </c>
      <c r="D43" s="64" t="s">
        <v>36</v>
      </c>
      <c r="E43" s="424">
        <v>16</v>
      </c>
      <c r="F43" s="517">
        <v>125</v>
      </c>
      <c r="G43" s="65"/>
      <c r="H43" s="160">
        <v>125</v>
      </c>
      <c r="I43" s="160">
        <f>+ROUND(E43*F43,2)</f>
        <v>2000</v>
      </c>
      <c r="J43" s="150">
        <f>+ROUND(E43*G43,2)</f>
        <v>0</v>
      </c>
      <c r="K43" s="73">
        <v>2000</v>
      </c>
      <c r="L43" s="536"/>
      <c r="M43" s="550">
        <v>125</v>
      </c>
      <c r="N43" s="94">
        <f>+M43*E43</f>
        <v>2000</v>
      </c>
      <c r="O43" s="94"/>
      <c r="P43" s="588"/>
    </row>
    <row r="44" spans="2:16" ht="14.1" customHeight="1" outlineLevel="3">
      <c r="B44" s="103">
        <f>B43+0.000001</f>
        <v>5.010502999999999</v>
      </c>
      <c r="C44" s="271" t="s">
        <v>658</v>
      </c>
      <c r="D44" s="64" t="s">
        <v>46</v>
      </c>
      <c r="E44" s="424">
        <v>41.169999999999995</v>
      </c>
      <c r="F44" s="517">
        <v>100</v>
      </c>
      <c r="G44" s="65"/>
      <c r="H44" s="160">
        <v>100</v>
      </c>
      <c r="I44" s="160">
        <f>+ROUND(E44*F44,2)</f>
        <v>4117</v>
      </c>
      <c r="J44" s="150">
        <f>+ROUND(E44*G44,2)</f>
        <v>0</v>
      </c>
      <c r="K44" s="73">
        <v>4117</v>
      </c>
      <c r="L44" s="536"/>
      <c r="M44" s="550"/>
      <c r="N44" s="94"/>
      <c r="O44" s="94"/>
      <c r="P44" s="588"/>
    </row>
    <row r="45" spans="2:16" ht="14.1" customHeight="1" outlineLevel="2">
      <c r="B45" s="302">
        <f>B41+0.0001</f>
        <v>5.0105999999999984</v>
      </c>
      <c r="C45" s="269" t="s">
        <v>659</v>
      </c>
      <c r="D45" s="300"/>
      <c r="E45" s="423"/>
      <c r="F45" s="517"/>
      <c r="G45" s="303"/>
      <c r="H45" s="160"/>
      <c r="I45" s="160"/>
      <c r="J45" s="150"/>
      <c r="K45" s="73"/>
      <c r="L45" s="536"/>
      <c r="M45" s="550"/>
      <c r="N45" s="94"/>
      <c r="O45" s="94"/>
      <c r="P45" s="588"/>
    </row>
    <row r="46" spans="2:16" ht="13.15" customHeight="1" outlineLevel="3">
      <c r="B46" s="103">
        <f>B45+0.000001</f>
        <v>5.0106009999999985</v>
      </c>
      <c r="C46" s="295" t="s">
        <v>660</v>
      </c>
      <c r="D46" s="64" t="s">
        <v>36</v>
      </c>
      <c r="E46" s="424">
        <v>11</v>
      </c>
      <c r="F46" s="518">
        <v>80</v>
      </c>
      <c r="G46" s="81"/>
      <c r="H46" s="160">
        <v>80</v>
      </c>
      <c r="I46" s="160">
        <f>+ROUND(E46*F46,2)</f>
        <v>880</v>
      </c>
      <c r="J46" s="150">
        <f>+ROUND(E46*G46,2)</f>
        <v>0</v>
      </c>
      <c r="K46" s="73">
        <v>880</v>
      </c>
      <c r="L46" s="538"/>
      <c r="M46" s="51"/>
      <c r="P46" s="545"/>
    </row>
    <row r="47" spans="2:16" ht="14.1" customHeight="1" outlineLevel="2">
      <c r="B47" s="302">
        <f>B45+0.0001</f>
        <v>5.0106999999999982</v>
      </c>
      <c r="C47" s="416" t="s">
        <v>661</v>
      </c>
      <c r="D47" s="300"/>
      <c r="E47" s="423"/>
      <c r="F47" s="517"/>
      <c r="G47" s="522"/>
      <c r="H47" s="160">
        <v>0</v>
      </c>
      <c r="I47" s="160">
        <f>+ROUND(E47*F47,2)</f>
        <v>0</v>
      </c>
      <c r="J47" s="150">
        <f>+ROUND(E47*G47,2)</f>
        <v>0</v>
      </c>
      <c r="K47" s="73">
        <v>0</v>
      </c>
      <c r="L47" s="536"/>
      <c r="M47" s="550"/>
      <c r="N47" s="94"/>
      <c r="O47" s="94"/>
      <c r="P47" s="588"/>
    </row>
    <row r="48" spans="2:16" ht="14.1" customHeight="1" outlineLevel="2">
      <c r="B48" s="103">
        <f>B47+0.000001</f>
        <v>5.0107009999999983</v>
      </c>
      <c r="C48" s="295" t="s">
        <v>662</v>
      </c>
      <c r="D48" s="64" t="s">
        <v>46</v>
      </c>
      <c r="E48" s="424">
        <v>4</v>
      </c>
      <c r="F48" s="517">
        <v>44.43</v>
      </c>
      <c r="G48" s="522">
        <v>0.75</v>
      </c>
      <c r="H48" s="160">
        <v>47.24</v>
      </c>
      <c r="I48" s="160">
        <f>+ROUND(E48*F48,2)</f>
        <v>177.72</v>
      </c>
      <c r="J48" s="150">
        <f>+ROUND(E48*G48,2)</f>
        <v>3</v>
      </c>
      <c r="K48" s="73">
        <v>188.97</v>
      </c>
      <c r="L48" s="536"/>
      <c r="M48" s="550"/>
      <c r="N48" s="94"/>
      <c r="O48" s="94"/>
      <c r="P48" s="588"/>
    </row>
    <row r="49" spans="2:16" ht="14.1" customHeight="1" outlineLevel="2">
      <c r="B49" s="103">
        <f>B48+0.000001</f>
        <v>5.0107019999999984</v>
      </c>
      <c r="C49" s="295" t="s">
        <v>663</v>
      </c>
      <c r="D49" s="64" t="s">
        <v>46</v>
      </c>
      <c r="E49" s="424"/>
      <c r="F49" s="517"/>
      <c r="G49" s="522"/>
      <c r="H49" s="160">
        <v>0</v>
      </c>
      <c r="I49" s="160">
        <f>+ROUND(E49*F49,2)</f>
        <v>0</v>
      </c>
      <c r="J49" s="150">
        <f>+ROUND(E49*G49,2)</f>
        <v>0</v>
      </c>
      <c r="K49" s="73">
        <v>0</v>
      </c>
      <c r="L49" s="536"/>
      <c r="M49" s="550"/>
      <c r="N49" s="94"/>
      <c r="O49" s="94"/>
      <c r="P49" s="588"/>
    </row>
    <row r="50" spans="2:16" ht="14.1" customHeight="1" outlineLevel="2">
      <c r="B50" s="103">
        <f>B49+0.000001</f>
        <v>5.0107029999999986</v>
      </c>
      <c r="C50" s="295" t="s">
        <v>664</v>
      </c>
      <c r="D50" s="64" t="s">
        <v>46</v>
      </c>
      <c r="E50" s="424">
        <v>41.169999999999995</v>
      </c>
      <c r="F50" s="517">
        <v>45.72</v>
      </c>
      <c r="G50" s="522">
        <v>0.75</v>
      </c>
      <c r="H50" s="160">
        <v>48.53</v>
      </c>
      <c r="I50" s="160">
        <f>+ROUND(E50*F50,2)</f>
        <v>1882.29</v>
      </c>
      <c r="J50" s="150">
        <f>+ROUND(E50*G50,2)</f>
        <v>30.88</v>
      </c>
      <c r="K50" s="73">
        <v>1998.09</v>
      </c>
      <c r="L50" s="536"/>
      <c r="M50" s="550"/>
      <c r="N50" s="94"/>
      <c r="O50" s="94"/>
      <c r="P50" s="588"/>
    </row>
    <row r="51" spans="2:16" ht="14.1" customHeight="1">
      <c r="B51" s="164">
        <f>B12+0.01</f>
        <v>5.0199999999999996</v>
      </c>
      <c r="C51" s="304" t="s">
        <v>665</v>
      </c>
      <c r="D51" s="280"/>
      <c r="E51" s="424"/>
      <c r="F51" s="519"/>
      <c r="G51" s="69"/>
      <c r="H51" s="160"/>
      <c r="I51" s="160"/>
      <c r="J51" s="150"/>
      <c r="K51" s="73"/>
      <c r="L51" s="576">
        <v>110632.09</v>
      </c>
      <c r="M51" s="584"/>
      <c r="N51" s="620"/>
      <c r="O51" s="620"/>
      <c r="P51" s="585"/>
    </row>
    <row r="52" spans="2:16" ht="14.1" customHeight="1" outlineLevel="1">
      <c r="B52" s="102">
        <f>B51+0.0001</f>
        <v>5.0200999999999993</v>
      </c>
      <c r="C52" s="271" t="s">
        <v>666</v>
      </c>
      <c r="D52" s="64" t="s">
        <v>161</v>
      </c>
      <c r="E52" s="424">
        <v>2713.01</v>
      </c>
      <c r="F52" s="517">
        <v>16.739999999999998</v>
      </c>
      <c r="G52" s="65"/>
      <c r="H52" s="160">
        <v>16.739999999999998</v>
      </c>
      <c r="I52" s="160">
        <f t="shared" ref="I52:I58" si="8">+ROUND(E52*F52,2)</f>
        <v>45415.79</v>
      </c>
      <c r="J52" s="150">
        <f t="shared" ref="J52:J58" si="9">+ROUND(E52*G52,2)</f>
        <v>0</v>
      </c>
      <c r="K52" s="73">
        <v>45415.79</v>
      </c>
      <c r="L52" s="536"/>
      <c r="M52" s="550"/>
      <c r="N52" s="94"/>
      <c r="O52" s="94"/>
      <c r="P52" s="588"/>
    </row>
    <row r="53" spans="2:16" ht="14.1" customHeight="1" outlineLevel="1">
      <c r="B53" s="102">
        <f>B52+0.0001</f>
        <v>5.0201999999999991</v>
      </c>
      <c r="C53" s="271" t="s">
        <v>667</v>
      </c>
      <c r="D53" s="64" t="s">
        <v>161</v>
      </c>
      <c r="E53" s="424">
        <v>1696.2</v>
      </c>
      <c r="F53" s="517">
        <v>16.37</v>
      </c>
      <c r="G53" s="65"/>
      <c r="H53" s="160">
        <v>16.37</v>
      </c>
      <c r="I53" s="160">
        <f t="shared" si="8"/>
        <v>27766.79</v>
      </c>
      <c r="J53" s="150">
        <f t="shared" si="9"/>
        <v>0</v>
      </c>
      <c r="K53" s="73">
        <v>27766.79</v>
      </c>
      <c r="L53" s="536"/>
      <c r="M53" s="550"/>
      <c r="N53" s="94"/>
      <c r="O53" s="94"/>
      <c r="P53" s="588"/>
    </row>
    <row r="54" spans="2:16" ht="14.1" customHeight="1" outlineLevel="1">
      <c r="B54" s="102">
        <f>B53+0.0001</f>
        <v>5.0202999999999989</v>
      </c>
      <c r="C54" s="44" t="s">
        <v>668</v>
      </c>
      <c r="D54" s="64" t="s">
        <v>161</v>
      </c>
      <c r="E54" s="424">
        <v>513.14</v>
      </c>
      <c r="F54" s="517">
        <v>22.64</v>
      </c>
      <c r="G54" s="65"/>
      <c r="H54" s="160">
        <v>22.64</v>
      </c>
      <c r="I54" s="160">
        <f t="shared" si="8"/>
        <v>11617.49</v>
      </c>
      <c r="J54" s="150">
        <f t="shared" si="9"/>
        <v>0</v>
      </c>
      <c r="K54" s="73">
        <v>11617.49</v>
      </c>
      <c r="L54" s="536"/>
      <c r="M54" s="550"/>
      <c r="N54" s="94"/>
      <c r="O54" s="94"/>
      <c r="P54" s="588"/>
    </row>
    <row r="55" spans="2:16" ht="14.1" customHeight="1" outlineLevel="1">
      <c r="B55" s="102">
        <f>B53+0.0001</f>
        <v>5.0202999999999989</v>
      </c>
      <c r="C55" s="271" t="s">
        <v>669</v>
      </c>
      <c r="D55" s="64" t="s">
        <v>161</v>
      </c>
      <c r="E55" s="424">
        <v>167.36</v>
      </c>
      <c r="F55" s="517">
        <v>24.61</v>
      </c>
      <c r="G55" s="65"/>
      <c r="H55" s="160">
        <v>24.61</v>
      </c>
      <c r="I55" s="160">
        <f t="shared" si="8"/>
        <v>4118.7299999999996</v>
      </c>
      <c r="J55" s="150">
        <f t="shared" si="9"/>
        <v>0</v>
      </c>
      <c r="K55" s="73">
        <v>4118.7299999999996</v>
      </c>
      <c r="L55" s="536"/>
      <c r="M55" s="550"/>
      <c r="N55" s="94"/>
      <c r="O55" s="94"/>
      <c r="P55" s="588"/>
    </row>
    <row r="56" spans="2:16" ht="14.1" customHeight="1" outlineLevel="1">
      <c r="B56" s="102">
        <f>B55+0.0001</f>
        <v>5.0203999999999986</v>
      </c>
      <c r="C56" s="271" t="s">
        <v>670</v>
      </c>
      <c r="D56" s="64" t="s">
        <v>161</v>
      </c>
      <c r="E56" s="417">
        <v>360.01</v>
      </c>
      <c r="F56" s="517">
        <v>8.6999999999999993</v>
      </c>
      <c r="G56" s="65"/>
      <c r="H56" s="160">
        <v>8.6999999999999993</v>
      </c>
      <c r="I56" s="160">
        <f t="shared" si="8"/>
        <v>3132.09</v>
      </c>
      <c r="J56" s="150">
        <f t="shared" si="9"/>
        <v>0</v>
      </c>
      <c r="K56" s="73">
        <v>3132.09</v>
      </c>
      <c r="L56" s="536"/>
      <c r="M56" s="550"/>
      <c r="N56" s="94"/>
      <c r="O56" s="94"/>
      <c r="P56" s="588"/>
    </row>
    <row r="57" spans="2:16" ht="14.1" customHeight="1" outlineLevel="1">
      <c r="B57" s="102">
        <f>B56+0.0001</f>
        <v>5.0204999999999984</v>
      </c>
      <c r="C57" s="271" t="s">
        <v>671</v>
      </c>
      <c r="D57" s="64" t="s">
        <v>161</v>
      </c>
      <c r="E57" s="417"/>
      <c r="F57" s="517">
        <v>16.71</v>
      </c>
      <c r="G57" s="65"/>
      <c r="H57" s="160">
        <v>16.71</v>
      </c>
      <c r="I57" s="160">
        <f t="shared" si="8"/>
        <v>0</v>
      </c>
      <c r="J57" s="150">
        <f t="shared" si="9"/>
        <v>0</v>
      </c>
      <c r="K57" s="73">
        <v>0</v>
      </c>
      <c r="L57" s="536"/>
      <c r="M57" s="550"/>
      <c r="N57" s="94"/>
      <c r="O57" s="94"/>
      <c r="P57" s="588"/>
    </row>
    <row r="58" spans="2:16" outlineLevel="1">
      <c r="B58" s="102">
        <f>B57+0.0001</f>
        <v>5.0205999999999982</v>
      </c>
      <c r="C58" s="297" t="s">
        <v>672</v>
      </c>
      <c r="D58" s="64" t="s">
        <v>161</v>
      </c>
      <c r="E58" s="424">
        <v>337.84</v>
      </c>
      <c r="F58" s="517">
        <v>55</v>
      </c>
      <c r="G58" s="65"/>
      <c r="H58" s="160">
        <v>55</v>
      </c>
      <c r="I58" s="160">
        <f t="shared" si="8"/>
        <v>18581.2</v>
      </c>
      <c r="J58" s="150">
        <f t="shared" si="9"/>
        <v>0</v>
      </c>
      <c r="K58" s="73">
        <v>18581.2</v>
      </c>
      <c r="L58" s="538"/>
      <c r="M58" s="51"/>
      <c r="P58" s="545"/>
    </row>
    <row r="59" spans="2:16" ht="14.1" customHeight="1">
      <c r="B59" s="164">
        <f>B51+0.01</f>
        <v>5.0299999999999994</v>
      </c>
      <c r="C59" s="304" t="s">
        <v>673</v>
      </c>
      <c r="D59" s="280"/>
      <c r="E59" s="424"/>
      <c r="F59" s="519"/>
      <c r="G59" s="69"/>
      <c r="H59" s="160"/>
      <c r="I59" s="160"/>
      <c r="J59" s="150"/>
      <c r="K59" s="73"/>
      <c r="L59" s="576">
        <v>87543.02</v>
      </c>
      <c r="M59" s="584"/>
      <c r="N59" s="620"/>
      <c r="O59" s="620"/>
      <c r="P59" s="585"/>
    </row>
    <row r="60" spans="2:16" ht="14.1" customHeight="1" outlineLevel="1">
      <c r="B60" s="102">
        <f>B59+0.0001</f>
        <v>5.0300999999999991</v>
      </c>
      <c r="C60" s="272" t="s">
        <v>674</v>
      </c>
      <c r="D60" s="64" t="s">
        <v>161</v>
      </c>
      <c r="E60" s="424">
        <v>5272.26</v>
      </c>
      <c r="F60" s="517">
        <v>3.89</v>
      </c>
      <c r="G60" s="65"/>
      <c r="H60" s="160">
        <v>3.89</v>
      </c>
      <c r="I60" s="160">
        <f>+ROUND(E60*F60,2)</f>
        <v>20509.09</v>
      </c>
      <c r="J60" s="150">
        <f>+ROUND(E60*G60,2)</f>
        <v>0</v>
      </c>
      <c r="K60" s="73">
        <v>20509.09</v>
      </c>
      <c r="L60" s="536"/>
      <c r="M60" s="550"/>
      <c r="N60" s="94"/>
      <c r="O60" s="94"/>
      <c r="P60" s="588"/>
    </row>
    <row r="61" spans="2:16" ht="14.1" customHeight="1" outlineLevel="1">
      <c r="B61" s="102">
        <f>B60+0.0001</f>
        <v>5.0301999999999989</v>
      </c>
      <c r="C61" s="44" t="s">
        <v>675</v>
      </c>
      <c r="D61" s="64" t="s">
        <v>161</v>
      </c>
      <c r="E61" s="424">
        <v>1402.94</v>
      </c>
      <c r="F61" s="517">
        <v>4.4400000000000004</v>
      </c>
      <c r="G61" s="65"/>
      <c r="H61" s="160">
        <v>4.4400000000000004</v>
      </c>
      <c r="I61" s="160">
        <f>+ROUND(E61*F61,2)</f>
        <v>6229.05</v>
      </c>
      <c r="J61" s="150">
        <f>+ROUND(E61*G61,2)</f>
        <v>0</v>
      </c>
      <c r="K61" s="73">
        <v>6229.05</v>
      </c>
      <c r="L61" s="536"/>
      <c r="M61" s="550"/>
      <c r="N61" s="94"/>
      <c r="O61" s="94"/>
      <c r="P61" s="588"/>
    </row>
    <row r="62" spans="2:16" ht="14.1" customHeight="1" outlineLevel="1">
      <c r="B62" s="102">
        <f>B61+0.0001</f>
        <v>5.0302999999999987</v>
      </c>
      <c r="C62" s="272" t="s">
        <v>676</v>
      </c>
      <c r="D62" s="64" t="s">
        <v>161</v>
      </c>
      <c r="E62" s="424">
        <v>1503.2</v>
      </c>
      <c r="F62" s="517">
        <v>22.78</v>
      </c>
      <c r="G62" s="65"/>
      <c r="H62" s="160">
        <v>22.78</v>
      </c>
      <c r="I62" s="160">
        <f>+ROUND(E62*F62,2)</f>
        <v>34242.9</v>
      </c>
      <c r="J62" s="150">
        <f>+ROUND(E62*G62,2)</f>
        <v>0</v>
      </c>
      <c r="K62" s="73">
        <v>34242.9</v>
      </c>
      <c r="L62" s="536"/>
      <c r="M62" s="550"/>
      <c r="N62" s="94"/>
      <c r="O62" s="94"/>
      <c r="P62" s="588"/>
    </row>
    <row r="63" spans="2:16" ht="14.1" customHeight="1" outlineLevel="1">
      <c r="B63" s="102">
        <f>B62+0.0001</f>
        <v>5.0303999999999984</v>
      </c>
      <c r="C63" s="44" t="s">
        <v>677</v>
      </c>
      <c r="D63" s="64" t="s">
        <v>161</v>
      </c>
      <c r="E63" s="424">
        <v>433.28</v>
      </c>
      <c r="F63" s="517">
        <v>27.95</v>
      </c>
      <c r="G63" s="65"/>
      <c r="H63" s="160">
        <v>27.95</v>
      </c>
      <c r="I63" s="160">
        <f>+ROUND(E63*F63,2)</f>
        <v>12110.18</v>
      </c>
      <c r="J63" s="150">
        <f>+ROUND(E63*G63,2)</f>
        <v>0</v>
      </c>
      <c r="K63" s="73">
        <v>12110.18</v>
      </c>
      <c r="L63" s="536"/>
      <c r="M63" s="550"/>
      <c r="N63" s="94"/>
      <c r="O63" s="94"/>
      <c r="P63" s="588"/>
    </row>
    <row r="64" spans="2:16" ht="14.1" customHeight="1" outlineLevel="1">
      <c r="B64" s="102">
        <f>B63+0.0001</f>
        <v>5.0304999999999982</v>
      </c>
      <c r="C64" s="297" t="s">
        <v>672</v>
      </c>
      <c r="D64" s="64" t="s">
        <v>161</v>
      </c>
      <c r="E64" s="424">
        <v>262.76</v>
      </c>
      <c r="F64" s="517">
        <v>55</v>
      </c>
      <c r="G64" s="65"/>
      <c r="H64" s="160">
        <v>55</v>
      </c>
      <c r="I64" s="160">
        <f>+ROUND(E64*F64,2)</f>
        <v>14451.8</v>
      </c>
      <c r="J64" s="150">
        <f>+ROUND(E64*G64,2)</f>
        <v>0</v>
      </c>
      <c r="K64" s="73">
        <v>14451.8</v>
      </c>
      <c r="L64" s="536"/>
      <c r="M64" s="550"/>
      <c r="N64" s="94"/>
      <c r="O64" s="94"/>
      <c r="P64" s="588"/>
    </row>
    <row r="65" spans="2:16" ht="14.1" customHeight="1">
      <c r="B65" s="164">
        <f>B59+0.01</f>
        <v>5.0399999999999991</v>
      </c>
      <c r="C65" s="304" t="s">
        <v>678</v>
      </c>
      <c r="D65" s="280"/>
      <c r="E65" s="424"/>
      <c r="F65" s="519"/>
      <c r="G65" s="69"/>
      <c r="H65" s="160"/>
      <c r="I65" s="160"/>
      <c r="J65" s="150"/>
      <c r="K65" s="73"/>
      <c r="L65" s="576">
        <v>212921.27</v>
      </c>
      <c r="M65" s="584"/>
      <c r="N65" s="620"/>
      <c r="O65" s="620"/>
      <c r="P65" s="585"/>
    </row>
    <row r="66" spans="2:16" ht="14.1" customHeight="1">
      <c r="B66" s="102">
        <f t="shared" ref="B66:B86" si="10">B65+0.0001</f>
        <v>5.0400999999999989</v>
      </c>
      <c r="C66" s="269" t="s">
        <v>679</v>
      </c>
      <c r="D66" s="64"/>
      <c r="E66" s="424"/>
      <c r="F66" s="517"/>
      <c r="G66" s="65"/>
      <c r="H66" s="251"/>
      <c r="I66" s="251"/>
      <c r="J66" s="252"/>
      <c r="K66" s="73"/>
      <c r="L66" s="575"/>
      <c r="M66" s="586"/>
      <c r="N66" s="570"/>
      <c r="O66" s="570"/>
      <c r="P66" s="587"/>
    </row>
    <row r="67" spans="2:16" ht="14.1" customHeight="1">
      <c r="B67" s="102">
        <f t="shared" si="10"/>
        <v>5.0401999999999987</v>
      </c>
      <c r="C67" s="44" t="s">
        <v>680</v>
      </c>
      <c r="D67" s="64" t="s">
        <v>161</v>
      </c>
      <c r="E67" s="424">
        <v>40.869999999999997</v>
      </c>
      <c r="F67" s="517">
        <v>21.54</v>
      </c>
      <c r="G67" s="65"/>
      <c r="H67" s="160">
        <v>21.54</v>
      </c>
      <c r="I67" s="160">
        <f>+ROUND(E67*F67,2)</f>
        <v>880.34</v>
      </c>
      <c r="J67" s="150">
        <f>+ROUND(E67*G67,2)</f>
        <v>0</v>
      </c>
      <c r="K67" s="73">
        <v>880.34</v>
      </c>
      <c r="L67" s="575"/>
      <c r="M67" s="586"/>
      <c r="N67" s="570"/>
      <c r="O67" s="570"/>
      <c r="P67" s="587"/>
    </row>
    <row r="68" spans="2:16" ht="14.1" customHeight="1">
      <c r="B68" s="102">
        <f t="shared" si="10"/>
        <v>5.0402999999999984</v>
      </c>
      <c r="C68" s="44" t="s">
        <v>681</v>
      </c>
      <c r="D68" s="64" t="s">
        <v>161</v>
      </c>
      <c r="E68" s="424">
        <v>295.63</v>
      </c>
      <c r="F68" s="517">
        <v>43.36</v>
      </c>
      <c r="G68" s="65"/>
      <c r="H68" s="160">
        <v>43.36</v>
      </c>
      <c r="I68" s="160">
        <f>+ROUND(E68*F68,2)</f>
        <v>12818.52</v>
      </c>
      <c r="J68" s="150">
        <f>+ROUND(E68*G68,2)</f>
        <v>0</v>
      </c>
      <c r="K68" s="73">
        <v>12818.52</v>
      </c>
      <c r="L68" s="575"/>
      <c r="M68" s="586"/>
      <c r="N68" s="570"/>
      <c r="O68" s="570"/>
      <c r="P68" s="587"/>
    </row>
    <row r="69" spans="2:16" ht="14.1" customHeight="1">
      <c r="B69" s="102">
        <f t="shared" si="10"/>
        <v>5.0403999999999982</v>
      </c>
      <c r="C69" s="269" t="s">
        <v>682</v>
      </c>
      <c r="D69" s="64"/>
      <c r="E69" s="424"/>
      <c r="F69" s="517"/>
      <c r="G69" s="65"/>
      <c r="H69" s="251"/>
      <c r="I69" s="251"/>
      <c r="J69" s="252"/>
      <c r="K69" s="73"/>
      <c r="L69" s="575"/>
      <c r="M69" s="586"/>
      <c r="N69" s="570"/>
      <c r="O69" s="570"/>
      <c r="P69" s="587"/>
    </row>
    <row r="70" spans="2:16" ht="14.1" customHeight="1">
      <c r="B70" s="102">
        <f t="shared" si="10"/>
        <v>5.040499999999998</v>
      </c>
      <c r="C70" s="43" t="s">
        <v>683</v>
      </c>
      <c r="D70" s="64" t="s">
        <v>161</v>
      </c>
      <c r="E70" s="424">
        <v>40.869999999999997</v>
      </c>
      <c r="F70" s="517">
        <v>69.400000000000006</v>
      </c>
      <c r="G70" s="65"/>
      <c r="H70" s="160">
        <v>69.400000000000006</v>
      </c>
      <c r="I70" s="160">
        <f>+ROUND(E70*F70,2)</f>
        <v>2836.38</v>
      </c>
      <c r="J70" s="150">
        <f>+ROUND(E70*G70,2)</f>
        <v>0</v>
      </c>
      <c r="K70" s="73">
        <v>2836.38</v>
      </c>
      <c r="L70" s="575"/>
      <c r="M70" s="586"/>
      <c r="N70" s="570"/>
      <c r="O70" s="570"/>
      <c r="P70" s="587"/>
    </row>
    <row r="71" spans="2:16" ht="14.1" customHeight="1">
      <c r="B71" s="102">
        <f t="shared" si="10"/>
        <v>5.0405999999999977</v>
      </c>
      <c r="C71" s="269" t="s">
        <v>684</v>
      </c>
      <c r="D71" s="64"/>
      <c r="E71" s="424"/>
      <c r="F71" s="517"/>
      <c r="G71" s="65"/>
      <c r="H71" s="251"/>
      <c r="I71" s="251"/>
      <c r="J71" s="252"/>
      <c r="K71" s="73"/>
      <c r="L71" s="575"/>
      <c r="M71" s="586"/>
      <c r="N71" s="570"/>
      <c r="O71" s="570"/>
      <c r="P71" s="587"/>
    </row>
    <row r="72" spans="2:16" ht="14.1" customHeight="1">
      <c r="B72" s="102">
        <f t="shared" si="10"/>
        <v>5.0406999999999975</v>
      </c>
      <c r="C72" s="44" t="s">
        <v>685</v>
      </c>
      <c r="D72" s="64" t="s">
        <v>161</v>
      </c>
      <c r="E72" s="424">
        <v>178.5</v>
      </c>
      <c r="F72" s="517">
        <v>45.33</v>
      </c>
      <c r="G72" s="65"/>
      <c r="H72" s="160">
        <v>45.33</v>
      </c>
      <c r="I72" s="160">
        <f>+ROUND(E72*F72,2)</f>
        <v>8091.41</v>
      </c>
      <c r="J72" s="150">
        <f>+ROUND(E72*G72,2)</f>
        <v>0</v>
      </c>
      <c r="K72" s="73">
        <v>8091.41</v>
      </c>
      <c r="L72" s="575"/>
      <c r="M72" s="586"/>
      <c r="N72" s="570"/>
      <c r="O72" s="570"/>
      <c r="P72" s="587"/>
    </row>
    <row r="73" spans="2:16" ht="14.1" customHeight="1">
      <c r="B73" s="102">
        <f t="shared" si="10"/>
        <v>5.0407999999999973</v>
      </c>
      <c r="C73" s="269" t="s">
        <v>686</v>
      </c>
      <c r="D73" s="64"/>
      <c r="E73" s="424"/>
      <c r="F73" s="517"/>
      <c r="G73" s="65"/>
      <c r="H73" s="251"/>
      <c r="I73" s="251"/>
      <c r="J73" s="252"/>
      <c r="K73" s="73"/>
      <c r="L73" s="575"/>
      <c r="M73" s="586"/>
      <c r="N73" s="570"/>
      <c r="O73" s="570"/>
      <c r="P73" s="587"/>
    </row>
    <row r="74" spans="2:16" ht="14.1" customHeight="1">
      <c r="B74" s="102">
        <f t="shared" si="10"/>
        <v>5.040899999999997</v>
      </c>
      <c r="C74" s="44" t="s">
        <v>685</v>
      </c>
      <c r="D74" s="64" t="s">
        <v>161</v>
      </c>
      <c r="E74" s="424">
        <v>57.98</v>
      </c>
      <c r="F74" s="517">
        <v>45.33</v>
      </c>
      <c r="G74" s="65"/>
      <c r="H74" s="160">
        <v>45.33</v>
      </c>
      <c r="I74" s="160">
        <f>+ROUND(E74*F74,2)</f>
        <v>2628.23</v>
      </c>
      <c r="J74" s="150">
        <f>+ROUND(E74*G74,2)</f>
        <v>0</v>
      </c>
      <c r="K74" s="73">
        <v>2628.23</v>
      </c>
      <c r="L74" s="575"/>
      <c r="M74" s="586"/>
      <c r="N74" s="570"/>
      <c r="O74" s="570"/>
      <c r="P74" s="587"/>
    </row>
    <row r="75" spans="2:16" ht="14.1" customHeight="1">
      <c r="B75" s="102">
        <f t="shared" si="10"/>
        <v>5.0409999999999968</v>
      </c>
      <c r="C75" s="269" t="s">
        <v>687</v>
      </c>
      <c r="D75" s="64"/>
      <c r="E75" s="424"/>
      <c r="F75" s="517"/>
      <c r="G75" s="65"/>
      <c r="H75" s="251"/>
      <c r="I75" s="251"/>
      <c r="J75" s="252"/>
      <c r="K75" s="73"/>
      <c r="L75" s="575"/>
      <c r="M75" s="586"/>
      <c r="N75" s="570"/>
      <c r="O75" s="570"/>
      <c r="P75" s="587"/>
    </row>
    <row r="76" spans="2:16" ht="14.1" customHeight="1">
      <c r="B76" s="102">
        <f t="shared" si="10"/>
        <v>5.0410999999999966</v>
      </c>
      <c r="C76" s="44" t="s">
        <v>685</v>
      </c>
      <c r="D76" s="64" t="s">
        <v>161</v>
      </c>
      <c r="E76" s="424">
        <v>295.63</v>
      </c>
      <c r="F76" s="517">
        <v>45.33</v>
      </c>
      <c r="G76" s="65"/>
      <c r="H76" s="160">
        <v>45.33</v>
      </c>
      <c r="I76" s="160">
        <f>+ROUND(E76*F76,2)</f>
        <v>13400.91</v>
      </c>
      <c r="J76" s="150">
        <f>+ROUND(E76*G76,2)</f>
        <v>0</v>
      </c>
      <c r="K76" s="73">
        <v>13400.91</v>
      </c>
      <c r="L76" s="575"/>
      <c r="M76" s="586"/>
      <c r="N76" s="570"/>
      <c r="O76" s="570"/>
      <c r="P76" s="587"/>
    </row>
    <row r="77" spans="2:16" ht="14.1" customHeight="1">
      <c r="B77" s="102">
        <f t="shared" si="10"/>
        <v>5.0411999999999964</v>
      </c>
      <c r="C77" s="269" t="s">
        <v>688</v>
      </c>
      <c r="D77" s="64"/>
      <c r="E77" s="424"/>
      <c r="F77" s="517"/>
      <c r="G77" s="65"/>
      <c r="H77" s="251"/>
      <c r="I77" s="251"/>
      <c r="J77" s="252"/>
      <c r="K77" s="73"/>
      <c r="L77" s="575"/>
      <c r="M77" s="586"/>
      <c r="N77" s="570"/>
      <c r="O77" s="570"/>
      <c r="P77" s="587"/>
    </row>
    <row r="78" spans="2:16" ht="14.1" customHeight="1">
      <c r="B78" s="102">
        <f t="shared" si="10"/>
        <v>5.0412999999999961</v>
      </c>
      <c r="C78" s="44" t="s">
        <v>689</v>
      </c>
      <c r="D78" s="64" t="s">
        <v>161</v>
      </c>
      <c r="E78" s="424">
        <v>5458.32</v>
      </c>
      <c r="F78" s="517">
        <v>20.67</v>
      </c>
      <c r="G78" s="65"/>
      <c r="H78" s="160">
        <v>20.67</v>
      </c>
      <c r="I78" s="160">
        <f>+ROUND(E78*F78,2)</f>
        <v>112823.47</v>
      </c>
      <c r="J78" s="150">
        <f>+ROUND(E78*G78,2)</f>
        <v>0</v>
      </c>
      <c r="K78" s="73">
        <v>112823.47</v>
      </c>
      <c r="L78" s="575"/>
      <c r="M78" s="586"/>
      <c r="N78" s="570"/>
      <c r="O78" s="570"/>
      <c r="P78" s="587"/>
    </row>
    <row r="79" spans="2:16" ht="14.1" customHeight="1">
      <c r="B79" s="102">
        <f t="shared" si="10"/>
        <v>5.0413999999999959</v>
      </c>
      <c r="C79" s="269" t="s">
        <v>690</v>
      </c>
      <c r="D79" s="64"/>
      <c r="E79" s="424"/>
      <c r="F79" s="517"/>
      <c r="G79" s="65"/>
      <c r="H79" s="251"/>
      <c r="I79" s="251"/>
      <c r="J79" s="252"/>
      <c r="K79" s="73"/>
      <c r="L79" s="575"/>
      <c r="M79" s="586"/>
      <c r="N79" s="570"/>
      <c r="O79" s="570"/>
      <c r="P79" s="587"/>
    </row>
    <row r="80" spans="2:16" ht="14.1" customHeight="1">
      <c r="B80" s="102">
        <f t="shared" si="10"/>
        <v>5.0414999999999957</v>
      </c>
      <c r="C80" s="44" t="s">
        <v>691</v>
      </c>
      <c r="D80" s="64" t="s">
        <v>161</v>
      </c>
      <c r="E80" s="424">
        <v>732.69</v>
      </c>
      <c r="F80" s="517">
        <v>45.95</v>
      </c>
      <c r="G80" s="65"/>
      <c r="H80" s="160">
        <v>45.95</v>
      </c>
      <c r="I80" s="160">
        <f>+ROUND(E80*F80,2)</f>
        <v>33667.11</v>
      </c>
      <c r="J80" s="150">
        <f>+ROUND(E80*G80,2)</f>
        <v>0</v>
      </c>
      <c r="K80" s="73">
        <v>33667.11</v>
      </c>
      <c r="L80" s="575"/>
      <c r="M80" s="586"/>
      <c r="N80" s="570"/>
      <c r="O80" s="570"/>
      <c r="P80" s="587"/>
    </row>
    <row r="81" spans="2:16" ht="14.1" customHeight="1">
      <c r="B81" s="102">
        <f t="shared" si="10"/>
        <v>5.0415999999999954</v>
      </c>
      <c r="C81" s="269" t="s">
        <v>692</v>
      </c>
      <c r="D81" s="64"/>
      <c r="E81" s="424"/>
      <c r="F81" s="517"/>
      <c r="G81" s="65"/>
      <c r="H81" s="251"/>
      <c r="I81" s="251"/>
      <c r="J81" s="252"/>
      <c r="K81" s="73"/>
      <c r="L81" s="575"/>
      <c r="M81" s="586"/>
      <c r="N81" s="570"/>
      <c r="O81" s="570"/>
      <c r="P81" s="587"/>
    </row>
    <row r="82" spans="2:16" ht="14.1" customHeight="1">
      <c r="B82" s="102">
        <f t="shared" si="10"/>
        <v>5.0416999999999952</v>
      </c>
      <c r="C82" s="44" t="s">
        <v>685</v>
      </c>
      <c r="D82" s="64" t="s">
        <v>161</v>
      </c>
      <c r="E82" s="424">
        <v>158.38000000000002</v>
      </c>
      <c r="F82" s="517">
        <v>45.33</v>
      </c>
      <c r="G82" s="65"/>
      <c r="H82" s="160">
        <v>45.33</v>
      </c>
      <c r="I82" s="160">
        <f>+ROUND(E82*F82,2)</f>
        <v>7179.37</v>
      </c>
      <c r="J82" s="150">
        <f>+ROUND(E82*G82,2)</f>
        <v>0</v>
      </c>
      <c r="K82" s="73">
        <v>7179.37</v>
      </c>
      <c r="L82" s="575"/>
      <c r="M82" s="586"/>
      <c r="N82" s="570"/>
      <c r="O82" s="570"/>
      <c r="P82" s="587"/>
    </row>
    <row r="83" spans="2:16" ht="14.1" customHeight="1">
      <c r="B83" s="102">
        <f t="shared" si="10"/>
        <v>5.041799999999995</v>
      </c>
      <c r="C83" s="269" t="s">
        <v>693</v>
      </c>
      <c r="D83" s="64"/>
      <c r="E83" s="424"/>
      <c r="F83" s="517" t="s">
        <v>7</v>
      </c>
      <c r="G83" s="65"/>
      <c r="H83" s="160"/>
      <c r="I83" s="160"/>
      <c r="J83" s="150"/>
      <c r="K83" s="73"/>
      <c r="L83" s="575"/>
      <c r="M83" s="586"/>
      <c r="N83" s="570"/>
      <c r="O83" s="570"/>
      <c r="P83" s="587"/>
    </row>
    <row r="84" spans="2:16" ht="14.1" customHeight="1">
      <c r="B84" s="102">
        <f t="shared" si="10"/>
        <v>5.0418999999999947</v>
      </c>
      <c r="C84" s="44" t="s">
        <v>685</v>
      </c>
      <c r="D84" s="64" t="s">
        <v>161</v>
      </c>
      <c r="E84" s="424">
        <v>127.06</v>
      </c>
      <c r="F84" s="517">
        <v>45.33</v>
      </c>
      <c r="G84" s="65"/>
      <c r="H84" s="160">
        <v>45.33</v>
      </c>
      <c r="I84" s="160">
        <f>+ROUND(E84*F84,2)</f>
        <v>5759.63</v>
      </c>
      <c r="J84" s="150">
        <f>+ROUND(E84*G84,2)</f>
        <v>0</v>
      </c>
      <c r="K84" s="73">
        <v>5759.63</v>
      </c>
      <c r="L84" s="575"/>
      <c r="M84" s="586"/>
      <c r="N84" s="570"/>
      <c r="O84" s="570"/>
      <c r="P84" s="587"/>
    </row>
    <row r="85" spans="2:16" ht="14.1" customHeight="1">
      <c r="B85" s="102">
        <f t="shared" si="10"/>
        <v>5.0419999999999945</v>
      </c>
      <c r="C85" s="269" t="s">
        <v>694</v>
      </c>
      <c r="D85" s="64"/>
      <c r="E85" s="424"/>
      <c r="F85" s="517"/>
      <c r="G85" s="65"/>
      <c r="H85" s="251"/>
      <c r="I85" s="251"/>
      <c r="J85" s="252"/>
      <c r="K85" s="73"/>
      <c r="L85" s="575"/>
      <c r="M85" s="586"/>
      <c r="N85" s="570"/>
      <c r="O85" s="570"/>
      <c r="P85" s="587"/>
    </row>
    <row r="86" spans="2:16" ht="14.1" customHeight="1">
      <c r="B86" s="102">
        <f t="shared" si="10"/>
        <v>5.0420999999999943</v>
      </c>
      <c r="C86" s="272" t="s">
        <v>695</v>
      </c>
      <c r="D86" s="64" t="s">
        <v>161</v>
      </c>
      <c r="E86" s="424">
        <v>233.38000000000002</v>
      </c>
      <c r="F86" s="517">
        <v>55</v>
      </c>
      <c r="G86" s="65"/>
      <c r="H86" s="160">
        <v>55</v>
      </c>
      <c r="I86" s="160">
        <f>+ROUND(E86*F86,2)</f>
        <v>12835.9</v>
      </c>
      <c r="J86" s="150">
        <f>+ROUND(E86*G86,2)</f>
        <v>0</v>
      </c>
      <c r="K86" s="73">
        <v>12835.9</v>
      </c>
      <c r="L86" s="575"/>
      <c r="M86" s="586"/>
      <c r="N86" s="570"/>
      <c r="O86" s="570"/>
      <c r="P86" s="587"/>
    </row>
    <row r="87" spans="2:16" ht="14.1" customHeight="1">
      <c r="B87" s="164">
        <f>B53+0.01</f>
        <v>5.0301999999999989</v>
      </c>
      <c r="C87" s="304" t="s">
        <v>696</v>
      </c>
      <c r="D87" s="280"/>
      <c r="E87" s="424"/>
      <c r="F87" s="519"/>
      <c r="G87" s="69"/>
      <c r="H87" s="160"/>
      <c r="I87" s="160"/>
      <c r="J87" s="150"/>
      <c r="K87" s="73"/>
      <c r="L87" s="576">
        <v>4980.1400000000003</v>
      </c>
      <c r="M87" s="584"/>
      <c r="N87" s="620"/>
      <c r="O87" s="620"/>
      <c r="P87" s="585"/>
    </row>
    <row r="88" spans="2:16" ht="14.1" customHeight="1">
      <c r="B88" s="102">
        <f>B87+0.0001</f>
        <v>5.0302999999999987</v>
      </c>
      <c r="C88" s="269" t="s">
        <v>682</v>
      </c>
      <c r="D88" s="64"/>
      <c r="E88" s="424"/>
      <c r="F88" s="517"/>
      <c r="G88" s="65"/>
      <c r="H88" s="251"/>
      <c r="I88" s="251"/>
      <c r="J88" s="252"/>
      <c r="K88" s="73"/>
      <c r="L88" s="577"/>
      <c r="M88" s="589"/>
      <c r="N88" s="621"/>
      <c r="O88" s="621"/>
      <c r="P88" s="590"/>
    </row>
    <row r="89" spans="2:16" ht="14.1" customHeight="1">
      <c r="B89" s="102">
        <f>B88+0.0001</f>
        <v>5.0303999999999984</v>
      </c>
      <c r="C89" s="43" t="s">
        <v>683</v>
      </c>
      <c r="D89" s="64" t="s">
        <v>161</v>
      </c>
      <c r="E89" s="424">
        <v>71.760000000000005</v>
      </c>
      <c r="F89" s="517">
        <v>69.400000000000006</v>
      </c>
      <c r="G89" s="65"/>
      <c r="H89" s="160">
        <v>69.400000000000006</v>
      </c>
      <c r="I89" s="160">
        <f>+ROUND(E89*F89,2)</f>
        <v>4980.1400000000003</v>
      </c>
      <c r="J89" s="150">
        <f>+ROUND(E89*G89,2)</f>
        <v>0</v>
      </c>
      <c r="K89" s="73">
        <v>4980.1400000000003</v>
      </c>
      <c r="L89" s="577"/>
      <c r="M89" s="589"/>
      <c r="N89" s="621"/>
      <c r="O89" s="621"/>
      <c r="P89" s="590"/>
    </row>
    <row r="90" spans="2:16" ht="14.1" customHeight="1">
      <c r="B90" s="164">
        <f>B65+0.01</f>
        <v>5.0499999999999989</v>
      </c>
      <c r="C90" s="304" t="s">
        <v>697</v>
      </c>
      <c r="D90" s="280"/>
      <c r="E90" s="424"/>
      <c r="F90" s="519"/>
      <c r="G90" s="69"/>
      <c r="H90" s="160"/>
      <c r="I90" s="160"/>
      <c r="J90" s="150"/>
      <c r="K90" s="73"/>
      <c r="L90" s="576">
        <v>28970.34</v>
      </c>
      <c r="M90" s="584"/>
      <c r="N90" s="620"/>
      <c r="O90" s="620"/>
      <c r="P90" s="585"/>
    </row>
    <row r="91" spans="2:16" ht="14.1" customHeight="1">
      <c r="B91" s="102">
        <f t="shared" ref="B91:B104" si="11">B90+0.0001</f>
        <v>5.0500999999999987</v>
      </c>
      <c r="C91" s="269" t="s">
        <v>698</v>
      </c>
      <c r="D91" s="272"/>
      <c r="E91" s="425"/>
      <c r="F91" s="517"/>
      <c r="G91" s="65"/>
      <c r="H91" s="251"/>
      <c r="I91" s="251"/>
      <c r="J91" s="252"/>
      <c r="K91" s="73"/>
      <c r="L91" s="575"/>
      <c r="M91" s="586"/>
      <c r="N91" s="570"/>
      <c r="O91" s="570"/>
      <c r="P91" s="587"/>
    </row>
    <row r="92" spans="2:16" ht="14.1" customHeight="1">
      <c r="B92" s="102">
        <f t="shared" si="11"/>
        <v>5.0501999999999985</v>
      </c>
      <c r="C92" s="272" t="s">
        <v>699</v>
      </c>
      <c r="D92" s="272" t="s">
        <v>46</v>
      </c>
      <c r="E92" s="425">
        <v>116</v>
      </c>
      <c r="F92" s="517">
        <v>10.5</v>
      </c>
      <c r="G92" s="65"/>
      <c r="H92" s="160">
        <v>10.5</v>
      </c>
      <c r="I92" s="160">
        <f>+ROUND(E92*F92,2)</f>
        <v>1218</v>
      </c>
      <c r="J92" s="150">
        <f>+ROUND(E92*G92,2)</f>
        <v>0</v>
      </c>
      <c r="K92" s="73">
        <v>1218</v>
      </c>
      <c r="L92" s="575"/>
      <c r="M92" s="586"/>
      <c r="N92" s="570"/>
      <c r="O92" s="570"/>
      <c r="P92" s="587"/>
    </row>
    <row r="93" spans="2:16" ht="14.1" customHeight="1">
      <c r="B93" s="102">
        <f t="shared" si="11"/>
        <v>5.0502999999999982</v>
      </c>
      <c r="C93" s="269" t="s">
        <v>687</v>
      </c>
      <c r="D93" s="272"/>
      <c r="E93" s="425"/>
      <c r="F93" s="517" t="s">
        <v>7</v>
      </c>
      <c r="G93" s="65"/>
      <c r="H93" s="160"/>
      <c r="I93" s="160"/>
      <c r="J93" s="150"/>
      <c r="K93" s="73"/>
      <c r="L93" s="575"/>
      <c r="M93" s="586"/>
      <c r="N93" s="570"/>
      <c r="O93" s="570"/>
      <c r="P93" s="587"/>
    </row>
    <row r="94" spans="2:16" ht="14.1" customHeight="1">
      <c r="B94" s="102">
        <f t="shared" si="11"/>
        <v>5.050399999999998</v>
      </c>
      <c r="C94" s="272" t="s">
        <v>700</v>
      </c>
      <c r="D94" s="272" t="s">
        <v>46</v>
      </c>
      <c r="E94" s="425">
        <v>668.56</v>
      </c>
      <c r="F94" s="517">
        <v>10.5</v>
      </c>
      <c r="G94" s="65"/>
      <c r="H94" s="160">
        <v>10.5</v>
      </c>
      <c r="I94" s="160">
        <f>+ROUND(E94*F94,2)</f>
        <v>7019.88</v>
      </c>
      <c r="J94" s="150">
        <f>+ROUND(E94*G94,2)</f>
        <v>0</v>
      </c>
      <c r="K94" s="73">
        <v>7019.88</v>
      </c>
      <c r="L94" s="575"/>
      <c r="M94" s="586"/>
      <c r="N94" s="570"/>
      <c r="O94" s="570"/>
      <c r="P94" s="587"/>
    </row>
    <row r="95" spans="2:16" ht="14.1" customHeight="1">
      <c r="B95" s="102">
        <f t="shared" si="11"/>
        <v>5.0504999999999978</v>
      </c>
      <c r="C95" s="269" t="s">
        <v>684</v>
      </c>
      <c r="D95" s="272"/>
      <c r="E95" s="425"/>
      <c r="F95" s="517" t="s">
        <v>7</v>
      </c>
      <c r="G95" s="65"/>
      <c r="H95" s="160"/>
      <c r="I95" s="160"/>
      <c r="J95" s="150"/>
      <c r="K95" s="73"/>
      <c r="L95" s="575"/>
      <c r="M95" s="586"/>
      <c r="N95" s="570"/>
      <c r="O95" s="570"/>
      <c r="P95" s="587"/>
    </row>
    <row r="96" spans="2:16" ht="14.1" customHeight="1">
      <c r="B96" s="102">
        <f t="shared" si="11"/>
        <v>5.0505999999999975</v>
      </c>
      <c r="C96" s="272" t="s">
        <v>700</v>
      </c>
      <c r="D96" s="272" t="s">
        <v>46</v>
      </c>
      <c r="E96" s="425">
        <v>155.24</v>
      </c>
      <c r="F96" s="517">
        <v>10.5</v>
      </c>
      <c r="G96" s="65"/>
      <c r="H96" s="160">
        <v>10.5</v>
      </c>
      <c r="I96" s="160">
        <f>+ROUND(E96*F96,2)</f>
        <v>1630.02</v>
      </c>
      <c r="J96" s="150">
        <f>+ROUND(E96*G96,2)</f>
        <v>0</v>
      </c>
      <c r="K96" s="73">
        <v>1630.02</v>
      </c>
      <c r="L96" s="575"/>
      <c r="M96" s="586"/>
      <c r="N96" s="570"/>
      <c r="O96" s="570"/>
      <c r="P96" s="587"/>
    </row>
    <row r="97" spans="2:16" ht="14.1" customHeight="1">
      <c r="B97" s="102">
        <f t="shared" si="11"/>
        <v>5.0506999999999973</v>
      </c>
      <c r="C97" s="269" t="s">
        <v>686</v>
      </c>
      <c r="D97" s="272"/>
      <c r="E97" s="425"/>
      <c r="F97" s="517" t="s">
        <v>7</v>
      </c>
      <c r="G97" s="65"/>
      <c r="H97" s="160"/>
      <c r="I97" s="160"/>
      <c r="J97" s="150"/>
      <c r="K97" s="73"/>
      <c r="L97" s="575"/>
      <c r="M97" s="586"/>
      <c r="N97" s="570"/>
      <c r="O97" s="570"/>
      <c r="P97" s="587"/>
    </row>
    <row r="98" spans="2:16" ht="14.1" customHeight="1">
      <c r="B98" s="102">
        <f t="shared" si="11"/>
        <v>5.0507999999999971</v>
      </c>
      <c r="C98" s="272" t="s">
        <v>700</v>
      </c>
      <c r="D98" s="272" t="s">
        <v>46</v>
      </c>
      <c r="E98" s="425">
        <v>174.91</v>
      </c>
      <c r="F98" s="517">
        <v>10.5</v>
      </c>
      <c r="G98" s="65"/>
      <c r="H98" s="160">
        <v>10.5</v>
      </c>
      <c r="I98" s="160">
        <f>+ROUND(E98*F98,2)</f>
        <v>1836.56</v>
      </c>
      <c r="J98" s="150">
        <f>+ROUND(E98*G98,2)</f>
        <v>0</v>
      </c>
      <c r="K98" s="73">
        <v>1836.56</v>
      </c>
      <c r="L98" s="575"/>
      <c r="M98" s="586"/>
      <c r="N98" s="570"/>
      <c r="O98" s="570"/>
      <c r="P98" s="587"/>
    </row>
    <row r="99" spans="2:16" ht="14.1" customHeight="1">
      <c r="B99" s="102">
        <f t="shared" si="11"/>
        <v>5.0508999999999968</v>
      </c>
      <c r="C99" s="269" t="s">
        <v>701</v>
      </c>
      <c r="D99" s="272"/>
      <c r="E99" s="425"/>
      <c r="F99" s="517" t="s">
        <v>7</v>
      </c>
      <c r="G99" s="65"/>
      <c r="H99" s="160"/>
      <c r="I99" s="160"/>
      <c r="J99" s="150"/>
      <c r="K99" s="73"/>
      <c r="L99" s="575"/>
      <c r="M99" s="586"/>
      <c r="N99" s="570"/>
      <c r="O99" s="570"/>
      <c r="P99" s="587"/>
    </row>
    <row r="100" spans="2:16" ht="14.1" customHeight="1">
      <c r="B100" s="102">
        <f t="shared" si="11"/>
        <v>5.0509999999999966</v>
      </c>
      <c r="C100" s="272" t="s">
        <v>702</v>
      </c>
      <c r="D100" s="272" t="s">
        <v>46</v>
      </c>
      <c r="E100" s="425">
        <v>1487.27</v>
      </c>
      <c r="F100" s="517">
        <v>10.5</v>
      </c>
      <c r="G100" s="65"/>
      <c r="H100" s="160">
        <v>10.5</v>
      </c>
      <c r="I100" s="160">
        <f>+ROUND(E100*F100,2)</f>
        <v>15616.34</v>
      </c>
      <c r="J100" s="150">
        <f>+ROUND(E100*G100,2)</f>
        <v>0</v>
      </c>
      <c r="K100" s="73">
        <v>15616.34</v>
      </c>
      <c r="L100" s="575"/>
      <c r="M100" s="586"/>
      <c r="N100" s="570"/>
      <c r="O100" s="570"/>
      <c r="P100" s="587"/>
    </row>
    <row r="101" spans="2:16" ht="14.1" customHeight="1" outlineLevel="1">
      <c r="B101" s="102">
        <f t="shared" si="11"/>
        <v>5.0510999999999964</v>
      </c>
      <c r="C101" s="269" t="s">
        <v>693</v>
      </c>
      <c r="D101" s="272"/>
      <c r="E101" s="425"/>
      <c r="F101" s="517" t="s">
        <v>7</v>
      </c>
      <c r="G101" s="65"/>
      <c r="H101" s="160"/>
      <c r="I101" s="160"/>
      <c r="J101" s="150"/>
      <c r="K101" s="73"/>
      <c r="L101" s="538"/>
      <c r="M101" s="51"/>
      <c r="P101" s="545"/>
    </row>
    <row r="102" spans="2:16" ht="14.1" customHeight="1" outlineLevel="2">
      <c r="B102" s="102">
        <f t="shared" si="11"/>
        <v>5.0511999999999961</v>
      </c>
      <c r="C102" s="272" t="s">
        <v>700</v>
      </c>
      <c r="D102" s="272" t="s">
        <v>46</v>
      </c>
      <c r="E102" s="425">
        <v>79.94</v>
      </c>
      <c r="F102" s="517">
        <v>10.5</v>
      </c>
      <c r="G102" s="65"/>
      <c r="H102" s="160">
        <v>10.5</v>
      </c>
      <c r="I102" s="160">
        <f>+ROUND(E102*F102,2)</f>
        <v>839.37</v>
      </c>
      <c r="J102" s="150">
        <f>+ROUND(E102*G102,2)</f>
        <v>0</v>
      </c>
      <c r="K102" s="73">
        <v>839.37</v>
      </c>
      <c r="L102" s="538"/>
      <c r="M102" s="51"/>
      <c r="P102" s="545"/>
    </row>
    <row r="103" spans="2:16" ht="14.1" customHeight="1" outlineLevel="1">
      <c r="B103" s="102">
        <f t="shared" si="11"/>
        <v>5.0512999999999959</v>
      </c>
      <c r="C103" s="269" t="s">
        <v>682</v>
      </c>
      <c r="D103" s="272"/>
      <c r="E103" s="425"/>
      <c r="F103" s="517" t="s">
        <v>7</v>
      </c>
      <c r="G103" s="65"/>
      <c r="H103" s="160"/>
      <c r="I103" s="160"/>
      <c r="J103" s="150"/>
      <c r="K103" s="73"/>
      <c r="L103" s="538"/>
      <c r="M103" s="51"/>
      <c r="P103" s="545"/>
    </row>
    <row r="104" spans="2:16" ht="14.1" customHeight="1" outlineLevel="2">
      <c r="B104" s="102">
        <f t="shared" si="11"/>
        <v>5.0513999999999957</v>
      </c>
      <c r="C104" s="272" t="s">
        <v>703</v>
      </c>
      <c r="D104" s="272" t="s">
        <v>46</v>
      </c>
      <c r="E104" s="425">
        <v>35.880000000000003</v>
      </c>
      <c r="F104" s="517">
        <v>22.58</v>
      </c>
      <c r="G104" s="65"/>
      <c r="H104" s="160">
        <v>22.58</v>
      </c>
      <c r="I104" s="160">
        <f>+ROUND(E104*F104,2)</f>
        <v>810.17</v>
      </c>
      <c r="J104" s="150">
        <f>+ROUND(E104*G104,2)</f>
        <v>0</v>
      </c>
      <c r="K104" s="73">
        <v>810.17</v>
      </c>
      <c r="L104" s="538"/>
      <c r="M104" s="51"/>
      <c r="P104" s="545"/>
    </row>
    <row r="105" spans="2:16" ht="14.1" customHeight="1">
      <c r="B105" s="164">
        <f>B80+0.01</f>
        <v>5.0514999999999954</v>
      </c>
      <c r="C105" s="304" t="s">
        <v>704</v>
      </c>
      <c r="D105" s="280"/>
      <c r="E105" s="424"/>
      <c r="F105" s="519"/>
      <c r="G105" s="69"/>
      <c r="H105" s="160">
        <v>0</v>
      </c>
      <c r="I105" s="160">
        <f>+ROUND(E105*F105,2)</f>
        <v>0</v>
      </c>
      <c r="J105" s="150">
        <f>+ROUND(E105*G105,2)</f>
        <v>0</v>
      </c>
      <c r="K105" s="73">
        <v>0</v>
      </c>
      <c r="L105" s="576">
        <v>256.60000000000002</v>
      </c>
      <c r="M105" s="584"/>
      <c r="N105" s="620"/>
      <c r="O105" s="620"/>
      <c r="P105" s="585"/>
    </row>
    <row r="106" spans="2:16" ht="14.1" customHeight="1">
      <c r="B106" s="418"/>
      <c r="C106" s="416" t="s">
        <v>705</v>
      </c>
      <c r="D106" s="64"/>
      <c r="E106" s="424"/>
      <c r="F106" s="517"/>
      <c r="G106" s="65"/>
      <c r="H106" s="160">
        <v>0</v>
      </c>
      <c r="I106" s="160">
        <f>+ROUND(E106*F106,2)</f>
        <v>0</v>
      </c>
      <c r="J106" s="150">
        <f>+ROUND(E106*G106,2)</f>
        <v>0</v>
      </c>
      <c r="K106" s="73">
        <v>0</v>
      </c>
      <c r="L106" s="575"/>
      <c r="M106" s="586"/>
      <c r="N106" s="570"/>
      <c r="O106" s="570"/>
      <c r="P106" s="587"/>
    </row>
    <row r="107" spans="2:16" ht="14.1" customHeight="1">
      <c r="B107" s="418"/>
      <c r="C107" s="41" t="s">
        <v>706</v>
      </c>
      <c r="D107" s="272" t="s">
        <v>46</v>
      </c>
      <c r="E107" s="424">
        <v>4</v>
      </c>
      <c r="F107" s="517">
        <v>64.150000000000006</v>
      </c>
      <c r="G107" s="65"/>
      <c r="H107" s="160">
        <v>64.150000000000006</v>
      </c>
      <c r="I107" s="160">
        <f>+ROUND(E107*F107,2)</f>
        <v>256.60000000000002</v>
      </c>
      <c r="J107" s="150">
        <f>+ROUND(E107*G107,2)</f>
        <v>0</v>
      </c>
      <c r="K107" s="73">
        <v>256.60000000000002</v>
      </c>
      <c r="L107" s="575"/>
      <c r="M107" s="586"/>
      <c r="N107" s="570"/>
      <c r="O107" s="570"/>
      <c r="P107" s="587"/>
    </row>
    <row r="108" spans="2:16" ht="14.1" customHeight="1">
      <c r="B108" s="164">
        <f>B90+0.01</f>
        <v>5.0599999999999987</v>
      </c>
      <c r="C108" s="304" t="s">
        <v>707</v>
      </c>
      <c r="D108" s="280"/>
      <c r="E108" s="424"/>
      <c r="F108" s="519"/>
      <c r="G108" s="69"/>
      <c r="H108" s="160">
        <v>0</v>
      </c>
      <c r="I108" s="160">
        <f>+ROUND(E108*F108,2)</f>
        <v>0</v>
      </c>
      <c r="J108" s="150">
        <f>+ROUND(E108*G108,2)</f>
        <v>0</v>
      </c>
      <c r="K108" s="73">
        <v>0</v>
      </c>
      <c r="L108" s="537">
        <v>39611.94</v>
      </c>
      <c r="M108" s="591"/>
      <c r="N108" s="571"/>
      <c r="O108" s="571"/>
      <c r="P108" s="592"/>
    </row>
    <row r="109" spans="2:16" ht="14.1" customHeight="1" outlineLevel="1">
      <c r="B109" s="101">
        <f>B108+0.0001</f>
        <v>5.0600999999999985</v>
      </c>
      <c r="C109" s="282" t="s">
        <v>708</v>
      </c>
      <c r="D109" s="64"/>
      <c r="E109" s="424"/>
      <c r="F109" s="517"/>
      <c r="G109" s="65"/>
      <c r="H109" s="160"/>
      <c r="I109" s="160"/>
      <c r="J109" s="150"/>
      <c r="K109" s="73"/>
      <c r="L109" s="575"/>
      <c r="M109" s="586"/>
      <c r="N109" s="570"/>
      <c r="O109" s="570"/>
      <c r="P109" s="587"/>
    </row>
    <row r="110" spans="2:16" ht="14.1" customHeight="1" outlineLevel="2">
      <c r="B110" s="103">
        <f t="shared" ref="B110:B124" si="12">B109+0.000001</f>
        <v>5.0601009999999986</v>
      </c>
      <c r="C110" s="271" t="s">
        <v>709</v>
      </c>
      <c r="D110" s="64" t="s">
        <v>161</v>
      </c>
      <c r="E110" s="424">
        <v>42.05</v>
      </c>
      <c r="F110" s="517">
        <v>74.25</v>
      </c>
      <c r="G110" s="65"/>
      <c r="H110" s="160">
        <v>74.25</v>
      </c>
      <c r="I110" s="160">
        <f t="shared" ref="I110:I116" si="13">+ROUND(E110*F110,2)</f>
        <v>3122.21</v>
      </c>
      <c r="J110" s="150">
        <f t="shared" ref="J110:J116" si="14">+ROUND(E110*G110,2)</f>
        <v>0</v>
      </c>
      <c r="K110" s="73">
        <v>3122.21</v>
      </c>
      <c r="L110" s="536"/>
      <c r="M110" s="550"/>
      <c r="N110" s="94"/>
      <c r="O110" s="94"/>
      <c r="P110" s="588"/>
    </row>
    <row r="111" spans="2:16" ht="14.1" customHeight="1" outlineLevel="2">
      <c r="B111" s="103">
        <f t="shared" si="12"/>
        <v>5.0601019999999988</v>
      </c>
      <c r="C111" s="271" t="s">
        <v>710</v>
      </c>
      <c r="D111" s="64" t="s">
        <v>46</v>
      </c>
      <c r="E111" s="424">
        <v>441.6</v>
      </c>
      <c r="F111" s="517">
        <v>43.77</v>
      </c>
      <c r="G111" s="65"/>
      <c r="H111" s="160">
        <v>43.77</v>
      </c>
      <c r="I111" s="160">
        <f t="shared" si="13"/>
        <v>19328.830000000002</v>
      </c>
      <c r="J111" s="150">
        <f t="shared" si="14"/>
        <v>0</v>
      </c>
      <c r="K111" s="73">
        <v>19328.830000000002</v>
      </c>
      <c r="L111" s="536"/>
      <c r="M111" s="550"/>
      <c r="N111" s="94"/>
      <c r="O111" s="94"/>
      <c r="P111" s="588"/>
    </row>
    <row r="112" spans="2:16" ht="14.1" customHeight="1" outlineLevel="2">
      <c r="B112" s="103">
        <f t="shared" si="12"/>
        <v>5.0601029999999989</v>
      </c>
      <c r="C112" s="271" t="s">
        <v>711</v>
      </c>
      <c r="D112" s="64" t="s">
        <v>161</v>
      </c>
      <c r="E112" s="424">
        <v>42.05</v>
      </c>
      <c r="F112" s="517">
        <v>20.68</v>
      </c>
      <c r="G112" s="65"/>
      <c r="H112" s="160">
        <v>20.68</v>
      </c>
      <c r="I112" s="160">
        <f t="shared" si="13"/>
        <v>869.59</v>
      </c>
      <c r="J112" s="150">
        <f t="shared" si="14"/>
        <v>0</v>
      </c>
      <c r="K112" s="73">
        <v>869.59</v>
      </c>
      <c r="L112" s="536"/>
      <c r="M112" s="550"/>
      <c r="N112" s="94"/>
      <c r="O112" s="94"/>
      <c r="P112" s="588"/>
    </row>
    <row r="113" spans="2:16" ht="14.1" customHeight="1" outlineLevel="2">
      <c r="B113" s="103">
        <f t="shared" si="12"/>
        <v>5.060103999999999</v>
      </c>
      <c r="C113" s="271" t="s">
        <v>712</v>
      </c>
      <c r="D113" s="64" t="s">
        <v>46</v>
      </c>
      <c r="E113" s="424">
        <v>441.6</v>
      </c>
      <c r="F113" s="517">
        <v>15.7</v>
      </c>
      <c r="G113" s="65"/>
      <c r="H113" s="160">
        <v>15.7</v>
      </c>
      <c r="I113" s="160">
        <f t="shared" si="13"/>
        <v>6933.12</v>
      </c>
      <c r="J113" s="150">
        <f t="shared" si="14"/>
        <v>0</v>
      </c>
      <c r="K113" s="73">
        <v>6933.12</v>
      </c>
      <c r="L113" s="536"/>
      <c r="M113" s="550"/>
      <c r="N113" s="94"/>
      <c r="O113" s="94"/>
      <c r="P113" s="588"/>
    </row>
    <row r="114" spans="2:16" ht="14.1" customHeight="1" outlineLevel="2">
      <c r="B114" s="103">
        <f t="shared" si="12"/>
        <v>5.0601049999999992</v>
      </c>
      <c r="C114" s="271" t="s">
        <v>713</v>
      </c>
      <c r="D114" s="64" t="s">
        <v>46</v>
      </c>
      <c r="E114" s="424">
        <v>244.8</v>
      </c>
      <c r="F114" s="517">
        <v>12.44</v>
      </c>
      <c r="G114" s="65"/>
      <c r="H114" s="160">
        <v>12.44</v>
      </c>
      <c r="I114" s="160">
        <f t="shared" si="13"/>
        <v>3045.31</v>
      </c>
      <c r="J114" s="150">
        <f t="shared" si="14"/>
        <v>0</v>
      </c>
      <c r="K114" s="73">
        <v>3045.31</v>
      </c>
      <c r="L114" s="536"/>
      <c r="M114" s="550"/>
      <c r="N114" s="94"/>
      <c r="O114" s="94"/>
      <c r="P114" s="588"/>
    </row>
    <row r="115" spans="2:16" ht="14.1" customHeight="1" outlineLevel="2">
      <c r="B115" s="103">
        <f t="shared" si="12"/>
        <v>5.0601059999999993</v>
      </c>
      <c r="C115" s="271" t="s">
        <v>714</v>
      </c>
      <c r="D115" s="64" t="s">
        <v>161</v>
      </c>
      <c r="E115" s="424">
        <v>93.19</v>
      </c>
      <c r="F115" s="517">
        <v>17.45</v>
      </c>
      <c r="G115" s="65"/>
      <c r="H115" s="160">
        <v>17.45</v>
      </c>
      <c r="I115" s="160">
        <f t="shared" si="13"/>
        <v>1626.17</v>
      </c>
      <c r="J115" s="150">
        <f t="shared" si="14"/>
        <v>0</v>
      </c>
      <c r="K115" s="73">
        <v>1626.17</v>
      </c>
      <c r="L115" s="536"/>
      <c r="M115" s="550"/>
      <c r="N115" s="94"/>
      <c r="O115" s="94"/>
      <c r="P115" s="588"/>
    </row>
    <row r="116" spans="2:16" ht="14.1" customHeight="1" outlineLevel="2">
      <c r="B116" s="103">
        <f t="shared" si="12"/>
        <v>5.0601069999999995</v>
      </c>
      <c r="C116" s="272" t="s">
        <v>715</v>
      </c>
      <c r="D116" s="64" t="s">
        <v>46</v>
      </c>
      <c r="E116" s="424">
        <v>58.550000000000004</v>
      </c>
      <c r="F116" s="517">
        <v>19.600000000000001</v>
      </c>
      <c r="G116" s="65"/>
      <c r="H116" s="160">
        <v>19.600000000000001</v>
      </c>
      <c r="I116" s="160">
        <f t="shared" si="13"/>
        <v>1147.58</v>
      </c>
      <c r="J116" s="150">
        <f t="shared" si="14"/>
        <v>0</v>
      </c>
      <c r="K116" s="73">
        <v>1147.58</v>
      </c>
      <c r="L116" s="536"/>
      <c r="M116" s="550"/>
      <c r="N116" s="94"/>
      <c r="O116" s="94"/>
      <c r="P116" s="588"/>
    </row>
    <row r="117" spans="2:16" ht="14.1" customHeight="1" outlineLevel="2">
      <c r="B117" s="103"/>
      <c r="C117" s="416" t="s">
        <v>716</v>
      </c>
      <c r="D117" s="64"/>
      <c r="E117" s="424"/>
      <c r="F117" s="517"/>
      <c r="G117" s="65"/>
      <c r="H117" s="160"/>
      <c r="I117" s="160"/>
      <c r="J117" s="150"/>
      <c r="K117" s="73"/>
      <c r="L117" s="536"/>
      <c r="M117" s="550"/>
      <c r="N117" s="94"/>
      <c r="O117" s="94"/>
      <c r="P117" s="588"/>
    </row>
    <row r="118" spans="2:16" ht="14.1" customHeight="1" outlineLevel="2">
      <c r="B118" s="103">
        <f t="shared" si="12"/>
        <v>9.9999999999999995E-7</v>
      </c>
      <c r="C118" s="271" t="s">
        <v>709</v>
      </c>
      <c r="D118" s="64" t="s">
        <v>161</v>
      </c>
      <c r="E118" s="424">
        <v>3</v>
      </c>
      <c r="F118" s="517">
        <v>74.25</v>
      </c>
      <c r="G118" s="65"/>
      <c r="H118" s="160">
        <v>74.25</v>
      </c>
      <c r="I118" s="160">
        <f t="shared" ref="I118:I124" si="15">+ROUND(E118*F118,2)</f>
        <v>222.75</v>
      </c>
      <c r="J118" s="150">
        <f t="shared" ref="J118:J124" si="16">+ROUND(E118*G118,2)</f>
        <v>0</v>
      </c>
      <c r="K118" s="73">
        <v>222.75</v>
      </c>
      <c r="L118" s="536"/>
      <c r="M118" s="550"/>
      <c r="N118" s="94"/>
      <c r="O118" s="94"/>
      <c r="P118" s="588"/>
    </row>
    <row r="119" spans="2:16" ht="14.1" customHeight="1" outlineLevel="2">
      <c r="B119" s="103">
        <f t="shared" si="12"/>
        <v>1.9999999999999999E-6</v>
      </c>
      <c r="C119" s="271" t="s">
        <v>710</v>
      </c>
      <c r="D119" s="64" t="s">
        <v>46</v>
      </c>
      <c r="E119" s="424">
        <v>49.2</v>
      </c>
      <c r="F119" s="517">
        <v>43.77</v>
      </c>
      <c r="G119" s="65"/>
      <c r="H119" s="160">
        <v>43.77</v>
      </c>
      <c r="I119" s="160">
        <f t="shared" si="15"/>
        <v>2153.48</v>
      </c>
      <c r="J119" s="150">
        <f t="shared" si="16"/>
        <v>0</v>
      </c>
      <c r="K119" s="73">
        <v>2153.48</v>
      </c>
      <c r="L119" s="536"/>
      <c r="M119" s="550"/>
      <c r="N119" s="94"/>
      <c r="O119" s="94"/>
      <c r="P119" s="588"/>
    </row>
    <row r="120" spans="2:16" ht="14.1" customHeight="1" outlineLevel="2">
      <c r="B120" s="103">
        <f t="shared" si="12"/>
        <v>3.0000000000000001E-6</v>
      </c>
      <c r="C120" s="271" t="s">
        <v>711</v>
      </c>
      <c r="D120" s="64" t="s">
        <v>161</v>
      </c>
      <c r="E120" s="424">
        <v>3</v>
      </c>
      <c r="F120" s="517">
        <v>20.68</v>
      </c>
      <c r="G120" s="65"/>
      <c r="H120" s="160">
        <v>20.68</v>
      </c>
      <c r="I120" s="160">
        <f t="shared" si="15"/>
        <v>62.04</v>
      </c>
      <c r="J120" s="150">
        <f t="shared" si="16"/>
        <v>0</v>
      </c>
      <c r="K120" s="73">
        <v>62.04</v>
      </c>
      <c r="L120" s="536"/>
      <c r="M120" s="550"/>
      <c r="N120" s="94"/>
      <c r="O120" s="94"/>
      <c r="P120" s="588"/>
    </row>
    <row r="121" spans="2:16" ht="14.1" customHeight="1" outlineLevel="2">
      <c r="B121" s="103">
        <f t="shared" si="12"/>
        <v>3.9999999999999998E-6</v>
      </c>
      <c r="C121" s="271" t="s">
        <v>712</v>
      </c>
      <c r="D121" s="64" t="s">
        <v>46</v>
      </c>
      <c r="E121" s="424">
        <v>49.2</v>
      </c>
      <c r="F121" s="517">
        <v>15.7</v>
      </c>
      <c r="G121" s="65"/>
      <c r="H121" s="160">
        <v>15.7</v>
      </c>
      <c r="I121" s="160">
        <f t="shared" si="15"/>
        <v>772.44</v>
      </c>
      <c r="J121" s="150">
        <f t="shared" si="16"/>
        <v>0</v>
      </c>
      <c r="K121" s="73">
        <v>772.44</v>
      </c>
      <c r="L121" s="536"/>
      <c r="M121" s="550"/>
      <c r="N121" s="94"/>
      <c r="O121" s="94"/>
      <c r="P121" s="588"/>
    </row>
    <row r="122" spans="2:16" ht="14.1" customHeight="1" outlineLevel="2">
      <c r="B122" s="103">
        <f t="shared" si="12"/>
        <v>4.9999999999999996E-6</v>
      </c>
      <c r="C122" s="271" t="s">
        <v>713</v>
      </c>
      <c r="D122" s="64" t="s">
        <v>46</v>
      </c>
      <c r="E122" s="424">
        <v>26.4</v>
      </c>
      <c r="F122" s="517">
        <v>12.44</v>
      </c>
      <c r="G122" s="65"/>
      <c r="H122" s="160">
        <v>12.44</v>
      </c>
      <c r="I122" s="160">
        <f t="shared" si="15"/>
        <v>328.42</v>
      </c>
      <c r="J122" s="150">
        <f t="shared" si="16"/>
        <v>0</v>
      </c>
      <c r="K122" s="73">
        <v>328.42</v>
      </c>
      <c r="L122" s="536"/>
      <c r="M122" s="550"/>
      <c r="N122" s="94"/>
      <c r="O122" s="94"/>
      <c r="P122" s="588"/>
    </row>
    <row r="123" spans="2:16" ht="14.1" customHeight="1" outlineLevel="2">
      <c r="B123" s="103">
        <f t="shared" si="12"/>
        <v>5.9999999999999993E-6</v>
      </c>
      <c r="C123" s="271" t="s">
        <v>714</v>
      </c>
      <c r="D123" s="64" t="s">
        <v>161</v>
      </c>
      <c r="E123" s="424">
        <v>0</v>
      </c>
      <c r="F123" s="517">
        <v>17.45</v>
      </c>
      <c r="G123" s="65"/>
      <c r="H123" s="160">
        <v>17.45</v>
      </c>
      <c r="I123" s="160">
        <f t="shared" si="15"/>
        <v>0</v>
      </c>
      <c r="J123" s="150">
        <f t="shared" si="16"/>
        <v>0</v>
      </c>
      <c r="K123" s="73">
        <v>0</v>
      </c>
      <c r="L123" s="536"/>
      <c r="M123" s="550"/>
      <c r="N123" s="94"/>
      <c r="O123" s="94"/>
      <c r="P123" s="588"/>
    </row>
    <row r="124" spans="2:16" ht="14.1" customHeight="1" outlineLevel="2">
      <c r="B124" s="103">
        <f t="shared" si="12"/>
        <v>6.999999999999999E-6</v>
      </c>
      <c r="C124" s="272" t="s">
        <v>715</v>
      </c>
      <c r="D124" s="64" t="s">
        <v>46</v>
      </c>
      <c r="E124" s="424">
        <v>0</v>
      </c>
      <c r="F124" s="517">
        <v>19.600000000000001</v>
      </c>
      <c r="G124" s="65"/>
      <c r="H124" s="160">
        <v>19.600000000000001</v>
      </c>
      <c r="I124" s="160">
        <f t="shared" si="15"/>
        <v>0</v>
      </c>
      <c r="J124" s="150">
        <f t="shared" si="16"/>
        <v>0</v>
      </c>
      <c r="K124" s="73">
        <v>0</v>
      </c>
      <c r="L124" s="536"/>
      <c r="M124" s="550"/>
      <c r="N124" s="94"/>
      <c r="O124" s="94"/>
      <c r="P124" s="588"/>
    </row>
    <row r="125" spans="2:16" ht="14.1" customHeight="1">
      <c r="B125" s="164">
        <f>B108+0.01</f>
        <v>5.0699999999999985</v>
      </c>
      <c r="C125" s="304" t="s">
        <v>717</v>
      </c>
      <c r="D125" s="280"/>
      <c r="E125" s="280"/>
      <c r="F125" s="519"/>
      <c r="G125" s="69"/>
      <c r="H125" s="69"/>
      <c r="I125" s="69"/>
      <c r="J125" s="69"/>
      <c r="K125" s="69"/>
      <c r="L125" s="537">
        <v>40211.1</v>
      </c>
      <c r="M125" s="591"/>
      <c r="N125" s="571"/>
      <c r="O125" s="571"/>
      <c r="P125" s="592"/>
    </row>
    <row r="126" spans="2:16" ht="14.1" customHeight="1" outlineLevel="1">
      <c r="B126" s="101">
        <f>B125+0.0001</f>
        <v>5.0700999999999983</v>
      </c>
      <c r="C126" s="281" t="s">
        <v>718</v>
      </c>
      <c r="D126" s="64"/>
      <c r="E126" s="424"/>
      <c r="F126" s="517"/>
      <c r="G126" s="81"/>
      <c r="H126" s="160"/>
      <c r="I126" s="160"/>
      <c r="J126" s="150"/>
      <c r="K126" s="73"/>
      <c r="L126" s="538"/>
      <c r="M126" s="51"/>
      <c r="P126" s="545"/>
    </row>
    <row r="127" spans="2:16" ht="14.1" customHeight="1" outlineLevel="1">
      <c r="B127" s="103">
        <f>B126+0.000001</f>
        <v>5.0701009999999984</v>
      </c>
      <c r="C127" s="287" t="s">
        <v>719</v>
      </c>
      <c r="D127" s="64" t="s">
        <v>36</v>
      </c>
      <c r="E127" s="424">
        <v>13</v>
      </c>
      <c r="F127" s="517"/>
      <c r="G127" s="523">
        <v>314.36</v>
      </c>
      <c r="H127" s="160">
        <v>1178.8499999999999</v>
      </c>
      <c r="I127" s="160">
        <f t="shared" ref="I127:I134" si="17">+ROUND(E127*F127,2)</f>
        <v>0</v>
      </c>
      <c r="J127" s="150">
        <f t="shared" ref="J127:J134" si="18">+ROUND(E127*G127,2)</f>
        <v>4086.68</v>
      </c>
      <c r="K127" s="73">
        <v>15325.05</v>
      </c>
      <c r="L127" s="538"/>
      <c r="M127" s="51"/>
      <c r="O127" s="622">
        <v>314.36</v>
      </c>
      <c r="P127" s="549">
        <f>+O127*E127</f>
        <v>4086.6800000000003</v>
      </c>
    </row>
    <row r="128" spans="2:16" ht="14.1" customHeight="1" outlineLevel="1">
      <c r="B128" s="103">
        <f t="shared" ref="B128:B129" si="19">B127+0.000001</f>
        <v>5.0701019999999986</v>
      </c>
      <c r="C128" s="287" t="s">
        <v>720</v>
      </c>
      <c r="D128" s="64" t="s">
        <v>36</v>
      </c>
      <c r="E128" s="424">
        <v>2</v>
      </c>
      <c r="F128" s="517"/>
      <c r="G128" s="523">
        <v>319.58</v>
      </c>
      <c r="H128" s="160">
        <v>1198.43</v>
      </c>
      <c r="I128" s="160">
        <f t="shared" si="17"/>
        <v>0</v>
      </c>
      <c r="J128" s="150">
        <f t="shared" si="18"/>
        <v>639.16</v>
      </c>
      <c r="K128" s="73">
        <v>2396.85</v>
      </c>
      <c r="L128" s="538"/>
      <c r="M128" s="51"/>
      <c r="O128" s="622">
        <v>319.58</v>
      </c>
      <c r="P128" s="549">
        <f t="shared" ref="P128:P138" si="20">+O128*E128</f>
        <v>639.16</v>
      </c>
    </row>
    <row r="129" spans="2:16" ht="14.1" customHeight="1" outlineLevel="1">
      <c r="B129" s="103">
        <f t="shared" si="19"/>
        <v>5.0701029999999987</v>
      </c>
      <c r="C129" s="287" t="s">
        <v>721</v>
      </c>
      <c r="D129" s="64" t="s">
        <v>36</v>
      </c>
      <c r="E129" s="424">
        <v>1</v>
      </c>
      <c r="F129" s="517"/>
      <c r="G129" s="523">
        <v>844.92</v>
      </c>
      <c r="H129" s="160">
        <v>3168.45</v>
      </c>
      <c r="I129" s="160">
        <f t="shared" si="17"/>
        <v>0</v>
      </c>
      <c r="J129" s="150">
        <f t="shared" si="18"/>
        <v>844.92</v>
      </c>
      <c r="K129" s="73">
        <v>3168.45</v>
      </c>
      <c r="L129" s="538"/>
      <c r="M129" s="51"/>
      <c r="O129" s="622">
        <v>844.92</v>
      </c>
      <c r="P129" s="549">
        <f t="shared" si="20"/>
        <v>844.92</v>
      </c>
    </row>
    <row r="130" spans="2:16" ht="14.1" customHeight="1" outlineLevel="1">
      <c r="B130" s="101">
        <f>B126+0.0001</f>
        <v>5.070199999999998</v>
      </c>
      <c r="C130" s="281" t="s">
        <v>722</v>
      </c>
      <c r="D130" s="64"/>
      <c r="E130" s="424"/>
      <c r="F130" s="517"/>
      <c r="G130" s="65"/>
      <c r="H130" s="160">
        <v>0</v>
      </c>
      <c r="I130" s="160">
        <f t="shared" si="17"/>
        <v>0</v>
      </c>
      <c r="J130" s="150">
        <f t="shared" si="18"/>
        <v>0</v>
      </c>
      <c r="K130" s="73">
        <v>0</v>
      </c>
      <c r="L130" s="575"/>
      <c r="M130" s="586"/>
      <c r="N130" s="570"/>
      <c r="O130" s="622">
        <v>0</v>
      </c>
      <c r="P130" s="549">
        <f t="shared" si="20"/>
        <v>0</v>
      </c>
    </row>
    <row r="131" spans="2:16" ht="14.1" customHeight="1" outlineLevel="2">
      <c r="B131" s="305">
        <f>B130+0.000001</f>
        <v>5.0702009999999982</v>
      </c>
      <c r="C131" s="269" t="s">
        <v>723</v>
      </c>
      <c r="D131" s="64"/>
      <c r="E131" s="424"/>
      <c r="F131" s="517"/>
      <c r="G131" s="65"/>
      <c r="H131" s="160">
        <v>0</v>
      </c>
      <c r="I131" s="160">
        <f t="shared" si="17"/>
        <v>0</v>
      </c>
      <c r="J131" s="150">
        <f t="shared" si="18"/>
        <v>0</v>
      </c>
      <c r="K131" s="73">
        <v>0</v>
      </c>
      <c r="L131" s="575"/>
      <c r="M131" s="608"/>
      <c r="N131" s="609"/>
      <c r="O131" s="622">
        <v>0</v>
      </c>
      <c r="P131" s="549">
        <f t="shared" si="20"/>
        <v>0</v>
      </c>
    </row>
    <row r="132" spans="2:16" ht="14.1" customHeight="1" outlineLevel="2">
      <c r="B132" s="103">
        <f>B131+0.000001</f>
        <v>5.0702019999999983</v>
      </c>
      <c r="C132" s="287" t="s">
        <v>724</v>
      </c>
      <c r="D132" s="64" t="s">
        <v>36</v>
      </c>
      <c r="E132" s="424">
        <v>19</v>
      </c>
      <c r="F132" s="517">
        <v>122</v>
      </c>
      <c r="G132" s="65">
        <v>119</v>
      </c>
      <c r="H132" s="160">
        <v>568.25</v>
      </c>
      <c r="I132" s="160">
        <f t="shared" si="17"/>
        <v>2318</v>
      </c>
      <c r="J132" s="150">
        <f t="shared" si="18"/>
        <v>2261</v>
      </c>
      <c r="K132" s="73">
        <v>10796.75</v>
      </c>
      <c r="L132" s="575"/>
      <c r="M132" s="608">
        <v>122</v>
      </c>
      <c r="N132" s="609">
        <f>+M132*E132</f>
        <v>2318</v>
      </c>
      <c r="O132" s="622">
        <v>119</v>
      </c>
      <c r="P132" s="549">
        <f t="shared" si="20"/>
        <v>2261</v>
      </c>
    </row>
    <row r="133" spans="2:16" ht="14.1" customHeight="1" outlineLevel="2">
      <c r="B133" s="103">
        <f t="shared" ref="B133:B134" si="21">B132+0.000001</f>
        <v>5.0702029999999985</v>
      </c>
      <c r="C133" s="287" t="s">
        <v>725</v>
      </c>
      <c r="D133" s="64" t="s">
        <v>36</v>
      </c>
      <c r="E133" s="424">
        <v>5</v>
      </c>
      <c r="F133" s="517">
        <v>122</v>
      </c>
      <c r="G133" s="65">
        <v>119</v>
      </c>
      <c r="H133" s="160">
        <v>568.25</v>
      </c>
      <c r="I133" s="160">
        <f t="shared" si="17"/>
        <v>610</v>
      </c>
      <c r="J133" s="150">
        <f t="shared" si="18"/>
        <v>595</v>
      </c>
      <c r="K133" s="73">
        <v>2841.25</v>
      </c>
      <c r="L133" s="575"/>
      <c r="M133" s="608">
        <v>122</v>
      </c>
      <c r="N133" s="609">
        <f t="shared" ref="N133:N138" si="22">+M133*E133</f>
        <v>610</v>
      </c>
      <c r="O133" s="622">
        <v>119</v>
      </c>
      <c r="P133" s="549">
        <f t="shared" si="20"/>
        <v>595</v>
      </c>
    </row>
    <row r="134" spans="2:16" ht="14.1" customHeight="1" outlineLevel="3">
      <c r="B134" s="103">
        <f t="shared" si="21"/>
        <v>5.0702039999999986</v>
      </c>
      <c r="C134" s="287" t="s">
        <v>726</v>
      </c>
      <c r="D134" s="64" t="s">
        <v>36</v>
      </c>
      <c r="E134" s="424">
        <v>7</v>
      </c>
      <c r="F134" s="517">
        <v>122</v>
      </c>
      <c r="G134" s="65">
        <v>119</v>
      </c>
      <c r="H134" s="160">
        <v>568.25</v>
      </c>
      <c r="I134" s="160">
        <f t="shared" si="17"/>
        <v>854</v>
      </c>
      <c r="J134" s="150">
        <f t="shared" si="18"/>
        <v>833</v>
      </c>
      <c r="K134" s="73">
        <v>3977.75</v>
      </c>
      <c r="L134" s="538"/>
      <c r="M134" s="608">
        <v>122</v>
      </c>
      <c r="N134" s="609">
        <f t="shared" si="22"/>
        <v>854</v>
      </c>
      <c r="O134" s="622">
        <v>119</v>
      </c>
      <c r="P134" s="549">
        <f t="shared" si="20"/>
        <v>833</v>
      </c>
    </row>
    <row r="135" spans="2:16" ht="14.1" customHeight="1" outlineLevel="1">
      <c r="B135" s="101">
        <f>B130+0.0001</f>
        <v>5.0702999999999978</v>
      </c>
      <c r="C135" s="269" t="s">
        <v>727</v>
      </c>
      <c r="D135" s="64"/>
      <c r="E135" s="424"/>
      <c r="F135" s="517" t="s">
        <v>7</v>
      </c>
      <c r="G135" s="65"/>
      <c r="H135" s="160"/>
      <c r="I135" s="160"/>
      <c r="J135" s="150"/>
      <c r="K135" s="73"/>
      <c r="L135" s="538"/>
      <c r="M135" s="608" t="s">
        <v>7</v>
      </c>
      <c r="N135" s="609"/>
      <c r="O135" s="622">
        <v>0</v>
      </c>
      <c r="P135" s="549">
        <f t="shared" si="20"/>
        <v>0</v>
      </c>
    </row>
    <row r="136" spans="2:16" ht="14.1" customHeight="1" outlineLevel="2">
      <c r="B136" s="104">
        <f>B135+0.000001</f>
        <v>5.0703009999999979</v>
      </c>
      <c r="C136" s="289" t="s">
        <v>728</v>
      </c>
      <c r="D136" s="64" t="s">
        <v>36</v>
      </c>
      <c r="E136" s="424">
        <f>+E132+E133+E134</f>
        <v>31</v>
      </c>
      <c r="F136" s="517">
        <v>20</v>
      </c>
      <c r="G136" s="81"/>
      <c r="H136" s="160">
        <v>20</v>
      </c>
      <c r="I136" s="160">
        <f t="shared" ref="I136:I179" si="23">+ROUND(E136*F136,2)</f>
        <v>620</v>
      </c>
      <c r="J136" s="150">
        <f t="shared" ref="J136:J179" si="24">+ROUND(E136*G136,2)</f>
        <v>0</v>
      </c>
      <c r="K136" s="73">
        <v>620</v>
      </c>
      <c r="L136" s="538"/>
      <c r="M136" s="608">
        <v>20</v>
      </c>
      <c r="N136" s="609">
        <f t="shared" si="22"/>
        <v>620</v>
      </c>
      <c r="O136" s="622">
        <v>0</v>
      </c>
      <c r="P136" s="549">
        <f t="shared" si="20"/>
        <v>0</v>
      </c>
    </row>
    <row r="137" spans="2:16" ht="14.1" customHeight="1" outlineLevel="2">
      <c r="B137" s="104">
        <f>B136+0.000001</f>
        <v>5.0703019999999981</v>
      </c>
      <c r="C137" s="273" t="s">
        <v>729</v>
      </c>
      <c r="D137" s="64" t="s">
        <v>36</v>
      </c>
      <c r="E137" s="424">
        <v>0</v>
      </c>
      <c r="F137" s="517">
        <v>35</v>
      </c>
      <c r="G137" s="81"/>
      <c r="H137" s="160">
        <v>35</v>
      </c>
      <c r="I137" s="160">
        <f t="shared" si="23"/>
        <v>0</v>
      </c>
      <c r="J137" s="150">
        <f t="shared" si="24"/>
        <v>0</v>
      </c>
      <c r="K137" s="73">
        <v>0</v>
      </c>
      <c r="L137" s="538"/>
      <c r="M137" s="608">
        <v>35</v>
      </c>
      <c r="N137" s="609">
        <f t="shared" si="22"/>
        <v>0</v>
      </c>
      <c r="O137" s="622">
        <v>0</v>
      </c>
      <c r="P137" s="549">
        <f t="shared" si="20"/>
        <v>0</v>
      </c>
    </row>
    <row r="138" spans="2:16" ht="14.1" customHeight="1" outlineLevel="2">
      <c r="B138" s="104">
        <f>B137+0.000001</f>
        <v>5.0703029999999982</v>
      </c>
      <c r="C138" s="273" t="s">
        <v>730</v>
      </c>
      <c r="D138" s="64" t="s">
        <v>36</v>
      </c>
      <c r="E138" s="424">
        <f>+E136</f>
        <v>31</v>
      </c>
      <c r="F138" s="517">
        <v>35</v>
      </c>
      <c r="G138" s="81"/>
      <c r="H138" s="160">
        <v>35</v>
      </c>
      <c r="I138" s="160">
        <f t="shared" si="23"/>
        <v>1085</v>
      </c>
      <c r="J138" s="150">
        <f t="shared" si="24"/>
        <v>0</v>
      </c>
      <c r="K138" s="73">
        <v>1085</v>
      </c>
      <c r="L138" s="538"/>
      <c r="M138" s="608">
        <v>35</v>
      </c>
      <c r="N138" s="609">
        <f t="shared" si="22"/>
        <v>1085</v>
      </c>
      <c r="O138" s="622">
        <v>0</v>
      </c>
      <c r="P138" s="549">
        <f t="shared" si="20"/>
        <v>0</v>
      </c>
    </row>
    <row r="139" spans="2:16" ht="14.1" customHeight="1">
      <c r="B139" s="531"/>
      <c r="C139" s="304" t="s">
        <v>731</v>
      </c>
      <c r="D139" s="280"/>
      <c r="E139" s="280"/>
      <c r="F139" s="519"/>
      <c r="G139" s="69"/>
      <c r="H139" s="69">
        <v>0</v>
      </c>
      <c r="I139" s="69">
        <f t="shared" si="23"/>
        <v>0</v>
      </c>
      <c r="J139" s="69">
        <f t="shared" si="24"/>
        <v>0</v>
      </c>
      <c r="K139" s="69">
        <v>0</v>
      </c>
      <c r="L139" s="537">
        <v>26118.75</v>
      </c>
      <c r="M139" s="617"/>
      <c r="N139" s="627"/>
      <c r="O139" s="571"/>
      <c r="P139" s="592"/>
    </row>
    <row r="140" spans="2:16" ht="14.1" customHeight="1" outlineLevel="2">
      <c r="B140" s="428"/>
      <c r="C140" s="429" t="s">
        <v>732</v>
      </c>
      <c r="D140" s="283" t="s">
        <v>36</v>
      </c>
      <c r="E140" s="430"/>
      <c r="F140" s="517"/>
      <c r="G140" s="81"/>
      <c r="H140" s="160">
        <v>0</v>
      </c>
      <c r="I140" s="160">
        <f t="shared" si="23"/>
        <v>0</v>
      </c>
      <c r="J140" s="150">
        <f t="shared" si="24"/>
        <v>0</v>
      </c>
      <c r="K140" s="73">
        <v>0</v>
      </c>
      <c r="L140" s="538"/>
      <c r="M140" s="51"/>
      <c r="P140" s="545"/>
    </row>
    <row r="141" spans="2:16" ht="14.1" customHeight="1" outlineLevel="2">
      <c r="B141" s="428"/>
      <c r="C141" s="429" t="s">
        <v>733</v>
      </c>
      <c r="D141" s="283" t="s">
        <v>36</v>
      </c>
      <c r="E141" s="430"/>
      <c r="F141" s="517"/>
      <c r="G141" s="81"/>
      <c r="H141" s="160">
        <v>0</v>
      </c>
      <c r="I141" s="160">
        <f t="shared" si="23"/>
        <v>0</v>
      </c>
      <c r="J141" s="150">
        <f t="shared" si="24"/>
        <v>0</v>
      </c>
      <c r="K141" s="73">
        <v>0</v>
      </c>
      <c r="L141" s="538"/>
      <c r="M141" s="51"/>
      <c r="P141" s="545"/>
    </row>
    <row r="142" spans="2:16" ht="14.1" customHeight="1" outlineLevel="2">
      <c r="B142" s="431" t="s">
        <v>734</v>
      </c>
      <c r="C142" s="432" t="s">
        <v>733</v>
      </c>
      <c r="D142" s="87" t="s">
        <v>36</v>
      </c>
      <c r="E142" s="424">
        <v>1</v>
      </c>
      <c r="F142" s="517"/>
      <c r="G142" s="81">
        <v>532.15</v>
      </c>
      <c r="H142" s="160">
        <v>1995.56</v>
      </c>
      <c r="I142" s="160">
        <f t="shared" si="23"/>
        <v>0</v>
      </c>
      <c r="J142" s="150">
        <f t="shared" si="24"/>
        <v>532.15</v>
      </c>
      <c r="K142" s="73">
        <v>1995.56</v>
      </c>
      <c r="L142" s="538"/>
      <c r="M142" s="51"/>
      <c r="P142" s="545"/>
    </row>
    <row r="143" spans="2:16" ht="14.1" customHeight="1" outlineLevel="2">
      <c r="B143" s="431" t="s">
        <v>735</v>
      </c>
      <c r="C143" s="432" t="s">
        <v>733</v>
      </c>
      <c r="D143" s="87" t="s">
        <v>36</v>
      </c>
      <c r="E143" s="424">
        <v>1</v>
      </c>
      <c r="F143" s="517"/>
      <c r="G143" s="81">
        <v>532.15</v>
      </c>
      <c r="H143" s="160">
        <v>1995.56</v>
      </c>
      <c r="I143" s="160">
        <f t="shared" si="23"/>
        <v>0</v>
      </c>
      <c r="J143" s="150">
        <f t="shared" si="24"/>
        <v>532.15</v>
      </c>
      <c r="K143" s="73">
        <v>1995.56</v>
      </c>
      <c r="L143" s="538"/>
      <c r="M143" s="51"/>
      <c r="P143" s="545"/>
    </row>
    <row r="144" spans="2:16" ht="14.1" customHeight="1" outlineLevel="2">
      <c r="B144" s="428"/>
      <c r="C144" s="429" t="s">
        <v>736</v>
      </c>
      <c r="D144" s="283" t="s">
        <v>36</v>
      </c>
      <c r="E144" s="430"/>
      <c r="F144" s="517"/>
      <c r="G144" s="81"/>
      <c r="H144" s="160">
        <v>0</v>
      </c>
      <c r="I144" s="160">
        <f t="shared" si="23"/>
        <v>0</v>
      </c>
      <c r="J144" s="150">
        <f t="shared" si="24"/>
        <v>0</v>
      </c>
      <c r="K144" s="73">
        <v>0</v>
      </c>
      <c r="L144" s="538"/>
      <c r="M144" s="51"/>
      <c r="P144" s="545"/>
    </row>
    <row r="145" spans="2:16" ht="14.1" customHeight="1" outlineLevel="2">
      <c r="B145" s="428"/>
      <c r="C145" s="429" t="s">
        <v>737</v>
      </c>
      <c r="D145" s="283" t="s">
        <v>36</v>
      </c>
      <c r="E145" s="430"/>
      <c r="F145" s="517"/>
      <c r="G145" s="81"/>
      <c r="H145" s="160">
        <v>0</v>
      </c>
      <c r="I145" s="160">
        <f t="shared" si="23"/>
        <v>0</v>
      </c>
      <c r="J145" s="150">
        <f t="shared" si="24"/>
        <v>0</v>
      </c>
      <c r="K145" s="73">
        <v>0</v>
      </c>
      <c r="L145" s="538"/>
      <c r="M145" s="51"/>
      <c r="P145" s="545"/>
    </row>
    <row r="146" spans="2:16" ht="14.1" customHeight="1" outlineLevel="2">
      <c r="B146" s="428"/>
      <c r="C146" s="429" t="s">
        <v>738</v>
      </c>
      <c r="D146" s="283" t="s">
        <v>36</v>
      </c>
      <c r="E146" s="430"/>
      <c r="F146" s="517"/>
      <c r="G146" s="81"/>
      <c r="H146" s="160">
        <v>0</v>
      </c>
      <c r="I146" s="160">
        <f t="shared" si="23"/>
        <v>0</v>
      </c>
      <c r="J146" s="150">
        <f t="shared" si="24"/>
        <v>0</v>
      </c>
      <c r="K146" s="73">
        <v>0</v>
      </c>
      <c r="L146" s="538"/>
      <c r="M146" s="51"/>
      <c r="P146" s="545"/>
    </row>
    <row r="147" spans="2:16" ht="14.1" customHeight="1" outlineLevel="2">
      <c r="B147" s="428"/>
      <c r="C147" s="429" t="s">
        <v>739</v>
      </c>
      <c r="D147" s="283" t="s">
        <v>36</v>
      </c>
      <c r="E147" s="430"/>
      <c r="F147" s="517"/>
      <c r="G147" s="81"/>
      <c r="H147" s="160">
        <v>0</v>
      </c>
      <c r="I147" s="160">
        <f t="shared" si="23"/>
        <v>0</v>
      </c>
      <c r="J147" s="150">
        <f t="shared" si="24"/>
        <v>0</v>
      </c>
      <c r="K147" s="73">
        <v>0</v>
      </c>
      <c r="L147" s="538"/>
      <c r="M147" s="51"/>
      <c r="P147" s="545"/>
    </row>
    <row r="148" spans="2:16" ht="14.1" customHeight="1" outlineLevel="2">
      <c r="B148" s="428"/>
      <c r="C148" s="429" t="s">
        <v>740</v>
      </c>
      <c r="D148" s="283" t="s">
        <v>36</v>
      </c>
      <c r="E148" s="430"/>
      <c r="F148" s="517"/>
      <c r="G148" s="81"/>
      <c r="H148" s="160">
        <v>0</v>
      </c>
      <c r="I148" s="160">
        <f t="shared" si="23"/>
        <v>0</v>
      </c>
      <c r="J148" s="150">
        <f t="shared" si="24"/>
        <v>0</v>
      </c>
      <c r="K148" s="73">
        <v>0</v>
      </c>
      <c r="L148" s="538"/>
      <c r="M148" s="51"/>
      <c r="P148" s="545"/>
    </row>
    <row r="149" spans="2:16" ht="14.1" customHeight="1" outlineLevel="2">
      <c r="B149" s="431" t="s">
        <v>741</v>
      </c>
      <c r="C149" s="432" t="s">
        <v>740</v>
      </c>
      <c r="D149" s="87" t="s">
        <v>36</v>
      </c>
      <c r="E149" s="424">
        <v>1</v>
      </c>
      <c r="F149" s="517"/>
      <c r="G149" s="81">
        <v>542.29999999999995</v>
      </c>
      <c r="H149" s="160">
        <v>2033.63</v>
      </c>
      <c r="I149" s="160">
        <f t="shared" si="23"/>
        <v>0</v>
      </c>
      <c r="J149" s="150">
        <f t="shared" si="24"/>
        <v>542.29999999999995</v>
      </c>
      <c r="K149" s="73">
        <v>2033.63</v>
      </c>
      <c r="L149" s="538"/>
      <c r="M149" s="51"/>
      <c r="P149" s="545"/>
    </row>
    <row r="150" spans="2:16" ht="14.1" customHeight="1" outlineLevel="2">
      <c r="B150" s="428"/>
      <c r="C150" s="429" t="s">
        <v>742</v>
      </c>
      <c r="D150" s="283" t="s">
        <v>36</v>
      </c>
      <c r="E150" s="430"/>
      <c r="F150" s="517"/>
      <c r="G150" s="81"/>
      <c r="H150" s="160">
        <v>0</v>
      </c>
      <c r="I150" s="160">
        <f t="shared" si="23"/>
        <v>0</v>
      </c>
      <c r="J150" s="150">
        <f t="shared" si="24"/>
        <v>0</v>
      </c>
      <c r="K150" s="73">
        <v>0</v>
      </c>
      <c r="L150" s="538"/>
      <c r="M150" s="51"/>
      <c r="P150" s="545"/>
    </row>
    <row r="151" spans="2:16" ht="14.1" customHeight="1" outlineLevel="2">
      <c r="B151" s="428" t="s">
        <v>743</v>
      </c>
      <c r="C151" s="429" t="s">
        <v>742</v>
      </c>
      <c r="D151" s="283" t="s">
        <v>36</v>
      </c>
      <c r="E151" s="430"/>
      <c r="F151" s="517"/>
      <c r="G151" s="81"/>
      <c r="H151" s="160">
        <v>0</v>
      </c>
      <c r="I151" s="160">
        <f t="shared" si="23"/>
        <v>0</v>
      </c>
      <c r="J151" s="150">
        <f t="shared" si="24"/>
        <v>0</v>
      </c>
      <c r="K151" s="73">
        <v>0</v>
      </c>
      <c r="L151" s="538"/>
      <c r="M151" s="51"/>
      <c r="P151" s="545"/>
    </row>
    <row r="152" spans="2:16" ht="14.1" customHeight="1" outlineLevel="2">
      <c r="B152" s="428"/>
      <c r="C152" s="429" t="s">
        <v>744</v>
      </c>
      <c r="D152" s="283" t="s">
        <v>36</v>
      </c>
      <c r="E152" s="430"/>
      <c r="F152" s="517"/>
      <c r="G152" s="81"/>
      <c r="H152" s="160">
        <v>0</v>
      </c>
      <c r="I152" s="160">
        <f t="shared" si="23"/>
        <v>0</v>
      </c>
      <c r="J152" s="150">
        <f t="shared" si="24"/>
        <v>0</v>
      </c>
      <c r="K152" s="73">
        <v>0</v>
      </c>
      <c r="L152" s="538"/>
      <c r="M152" s="51"/>
      <c r="P152" s="545"/>
    </row>
    <row r="153" spans="2:16" ht="14.1" customHeight="1" outlineLevel="2">
      <c r="B153" s="431" t="s">
        <v>745</v>
      </c>
      <c r="C153" s="432" t="s">
        <v>744</v>
      </c>
      <c r="D153" s="87" t="s">
        <v>36</v>
      </c>
      <c r="E153" s="424">
        <v>1</v>
      </c>
      <c r="F153" s="517"/>
      <c r="G153" s="81">
        <v>493</v>
      </c>
      <c r="H153" s="160">
        <v>1848.75</v>
      </c>
      <c r="I153" s="160">
        <f t="shared" si="23"/>
        <v>0</v>
      </c>
      <c r="J153" s="150">
        <f t="shared" si="24"/>
        <v>493</v>
      </c>
      <c r="K153" s="73">
        <v>1848.75</v>
      </c>
      <c r="L153" s="538"/>
      <c r="M153" s="51"/>
      <c r="P153" s="545"/>
    </row>
    <row r="154" spans="2:16" ht="14.1" customHeight="1" outlineLevel="2">
      <c r="B154" s="431" t="s">
        <v>746</v>
      </c>
      <c r="C154" s="432" t="s">
        <v>747</v>
      </c>
      <c r="D154" s="87" t="s">
        <v>36</v>
      </c>
      <c r="E154" s="424">
        <v>1</v>
      </c>
      <c r="F154" s="517"/>
      <c r="G154" s="81">
        <v>514.75</v>
      </c>
      <c r="H154" s="160">
        <v>1930.31</v>
      </c>
      <c r="I154" s="160">
        <f t="shared" si="23"/>
        <v>0</v>
      </c>
      <c r="J154" s="150">
        <f t="shared" si="24"/>
        <v>514.75</v>
      </c>
      <c r="K154" s="73">
        <v>1930.31</v>
      </c>
      <c r="L154" s="538"/>
      <c r="M154" s="51"/>
      <c r="P154" s="545"/>
    </row>
    <row r="155" spans="2:16" ht="14.1" customHeight="1" outlineLevel="2">
      <c r="B155" s="428"/>
      <c r="C155" s="429" t="s">
        <v>748</v>
      </c>
      <c r="D155" s="283" t="s">
        <v>36</v>
      </c>
      <c r="E155" s="430"/>
      <c r="F155" s="517"/>
      <c r="G155" s="81"/>
      <c r="H155" s="160">
        <v>0</v>
      </c>
      <c r="I155" s="160">
        <f t="shared" si="23"/>
        <v>0</v>
      </c>
      <c r="J155" s="150">
        <f t="shared" si="24"/>
        <v>0</v>
      </c>
      <c r="K155" s="73">
        <v>0</v>
      </c>
      <c r="L155" s="538"/>
      <c r="M155" s="51"/>
      <c r="P155" s="545"/>
    </row>
    <row r="156" spans="2:16" ht="14.1" customHeight="1" outlineLevel="2">
      <c r="B156" s="428"/>
      <c r="C156" s="429" t="s">
        <v>749</v>
      </c>
      <c r="D156" s="283" t="s">
        <v>36</v>
      </c>
      <c r="E156" s="430"/>
      <c r="F156" s="517"/>
      <c r="G156" s="81"/>
      <c r="H156" s="160">
        <v>0</v>
      </c>
      <c r="I156" s="160">
        <f t="shared" si="23"/>
        <v>0</v>
      </c>
      <c r="J156" s="150">
        <f t="shared" si="24"/>
        <v>0</v>
      </c>
      <c r="K156" s="73">
        <v>0</v>
      </c>
      <c r="L156" s="538"/>
      <c r="M156" s="51"/>
      <c r="P156" s="545"/>
    </row>
    <row r="157" spans="2:16" ht="14.1" customHeight="1" outlineLevel="2">
      <c r="B157" s="428"/>
      <c r="C157" s="429" t="s">
        <v>750</v>
      </c>
      <c r="D157" s="283" t="s">
        <v>36</v>
      </c>
      <c r="E157" s="430"/>
      <c r="F157" s="517"/>
      <c r="G157" s="81"/>
      <c r="H157" s="160">
        <v>0</v>
      </c>
      <c r="I157" s="160">
        <f t="shared" si="23"/>
        <v>0</v>
      </c>
      <c r="J157" s="150">
        <f t="shared" si="24"/>
        <v>0</v>
      </c>
      <c r="K157" s="73">
        <v>0</v>
      </c>
      <c r="L157" s="538"/>
      <c r="M157" s="51"/>
      <c r="P157" s="545"/>
    </row>
    <row r="158" spans="2:16" ht="14.1" customHeight="1" outlineLevel="2">
      <c r="B158" s="431" t="s">
        <v>751</v>
      </c>
      <c r="C158" s="432" t="s">
        <v>750</v>
      </c>
      <c r="D158" s="87" t="s">
        <v>36</v>
      </c>
      <c r="E158" s="424">
        <v>1</v>
      </c>
      <c r="F158" s="517"/>
      <c r="G158" s="81">
        <v>420.5</v>
      </c>
      <c r="H158" s="160">
        <v>1576.88</v>
      </c>
      <c r="I158" s="160">
        <f t="shared" si="23"/>
        <v>0</v>
      </c>
      <c r="J158" s="150">
        <f t="shared" si="24"/>
        <v>420.5</v>
      </c>
      <c r="K158" s="73">
        <v>1576.88</v>
      </c>
      <c r="L158" s="538"/>
      <c r="M158" s="51"/>
      <c r="P158" s="545"/>
    </row>
    <row r="159" spans="2:16" ht="14.1" customHeight="1" outlineLevel="2">
      <c r="B159" s="428"/>
      <c r="C159" s="429" t="s">
        <v>752</v>
      </c>
      <c r="D159" s="283" t="s">
        <v>36</v>
      </c>
      <c r="E159" s="430"/>
      <c r="F159" s="517"/>
      <c r="G159" s="81"/>
      <c r="H159" s="160">
        <v>0</v>
      </c>
      <c r="I159" s="160">
        <f t="shared" si="23"/>
        <v>0</v>
      </c>
      <c r="J159" s="150">
        <f t="shared" si="24"/>
        <v>0</v>
      </c>
      <c r="K159" s="73">
        <v>0</v>
      </c>
      <c r="L159" s="538"/>
      <c r="M159" s="51"/>
      <c r="P159" s="545"/>
    </row>
    <row r="160" spans="2:16" ht="14.1" customHeight="1" outlineLevel="2">
      <c r="B160" s="431" t="s">
        <v>753</v>
      </c>
      <c r="C160" s="432" t="s">
        <v>752</v>
      </c>
      <c r="D160" s="87" t="s">
        <v>36</v>
      </c>
      <c r="E160" s="424">
        <v>1</v>
      </c>
      <c r="F160" s="517"/>
      <c r="G160" s="81">
        <v>449.5</v>
      </c>
      <c r="H160" s="160">
        <v>1685.63</v>
      </c>
      <c r="I160" s="160">
        <f t="shared" si="23"/>
        <v>0</v>
      </c>
      <c r="J160" s="150">
        <f t="shared" si="24"/>
        <v>449.5</v>
      </c>
      <c r="K160" s="73">
        <v>1685.63</v>
      </c>
      <c r="L160" s="538"/>
      <c r="M160" s="51"/>
      <c r="P160" s="545"/>
    </row>
    <row r="161" spans="2:16" ht="14.1" customHeight="1" outlineLevel="2">
      <c r="B161" s="428"/>
      <c r="C161" s="429" t="s">
        <v>754</v>
      </c>
      <c r="D161" s="283" t="s">
        <v>36</v>
      </c>
      <c r="E161" s="430"/>
      <c r="F161" s="517"/>
      <c r="G161" s="81"/>
      <c r="H161" s="160">
        <v>0</v>
      </c>
      <c r="I161" s="160">
        <f t="shared" si="23"/>
        <v>0</v>
      </c>
      <c r="J161" s="150">
        <f t="shared" si="24"/>
        <v>0</v>
      </c>
      <c r="K161" s="73">
        <v>0</v>
      </c>
      <c r="L161" s="538"/>
      <c r="M161" s="51"/>
      <c r="P161" s="545"/>
    </row>
    <row r="162" spans="2:16" ht="14.1" customHeight="1" outlineLevel="2">
      <c r="B162" s="428"/>
      <c r="C162" s="429" t="s">
        <v>755</v>
      </c>
      <c r="D162" s="283" t="s">
        <v>36</v>
      </c>
      <c r="E162" s="430"/>
      <c r="F162" s="517"/>
      <c r="G162" s="81"/>
      <c r="H162" s="160">
        <v>0</v>
      </c>
      <c r="I162" s="160">
        <f t="shared" si="23"/>
        <v>0</v>
      </c>
      <c r="J162" s="150">
        <f t="shared" si="24"/>
        <v>0</v>
      </c>
      <c r="K162" s="73">
        <v>0</v>
      </c>
      <c r="L162" s="538"/>
      <c r="M162" s="51"/>
      <c r="P162" s="545"/>
    </row>
    <row r="163" spans="2:16" ht="14.1" customHeight="1" outlineLevel="2">
      <c r="B163" s="428"/>
      <c r="C163" s="429" t="s">
        <v>756</v>
      </c>
      <c r="D163" s="283" t="s">
        <v>36</v>
      </c>
      <c r="E163" s="430"/>
      <c r="F163" s="517"/>
      <c r="G163" s="81"/>
      <c r="H163" s="160">
        <v>0</v>
      </c>
      <c r="I163" s="160">
        <f t="shared" si="23"/>
        <v>0</v>
      </c>
      <c r="J163" s="150">
        <f t="shared" si="24"/>
        <v>0</v>
      </c>
      <c r="K163" s="73">
        <v>0</v>
      </c>
      <c r="L163" s="538"/>
      <c r="M163" s="51"/>
      <c r="P163" s="545"/>
    </row>
    <row r="164" spans="2:16" ht="14.1" customHeight="1" outlineLevel="2">
      <c r="B164" s="431" t="s">
        <v>757</v>
      </c>
      <c r="C164" s="432" t="s">
        <v>756</v>
      </c>
      <c r="D164" s="87" t="s">
        <v>36</v>
      </c>
      <c r="E164" s="424">
        <v>1</v>
      </c>
      <c r="F164" s="517"/>
      <c r="G164" s="81">
        <v>471.25</v>
      </c>
      <c r="H164" s="160">
        <v>1767.19</v>
      </c>
      <c r="I164" s="160">
        <f t="shared" si="23"/>
        <v>0</v>
      </c>
      <c r="J164" s="150">
        <f t="shared" si="24"/>
        <v>471.25</v>
      </c>
      <c r="K164" s="73">
        <v>1767.19</v>
      </c>
      <c r="L164" s="538"/>
      <c r="M164" s="51"/>
      <c r="P164" s="545"/>
    </row>
    <row r="165" spans="2:16" ht="14.1" customHeight="1" outlineLevel="2">
      <c r="B165" s="428"/>
      <c r="C165" s="429" t="s">
        <v>758</v>
      </c>
      <c r="D165" s="283" t="s">
        <v>36</v>
      </c>
      <c r="E165" s="430"/>
      <c r="F165" s="517"/>
      <c r="G165" s="81"/>
      <c r="H165" s="160">
        <v>0</v>
      </c>
      <c r="I165" s="160">
        <f t="shared" si="23"/>
        <v>0</v>
      </c>
      <c r="J165" s="150">
        <f t="shared" si="24"/>
        <v>0</v>
      </c>
      <c r="K165" s="73">
        <v>0</v>
      </c>
      <c r="L165" s="538"/>
      <c r="M165" s="51"/>
      <c r="P165" s="545"/>
    </row>
    <row r="166" spans="2:16" ht="14.1" customHeight="1" outlineLevel="2">
      <c r="B166" s="431" t="s">
        <v>759</v>
      </c>
      <c r="C166" s="432" t="s">
        <v>758</v>
      </c>
      <c r="D166" s="87" t="s">
        <v>36</v>
      </c>
      <c r="E166" s="424">
        <v>1</v>
      </c>
      <c r="F166" s="517"/>
      <c r="G166" s="81">
        <v>477.05</v>
      </c>
      <c r="H166" s="160">
        <v>1788.94</v>
      </c>
      <c r="I166" s="160">
        <f t="shared" si="23"/>
        <v>0</v>
      </c>
      <c r="J166" s="150">
        <f t="shared" si="24"/>
        <v>477.05</v>
      </c>
      <c r="K166" s="73">
        <v>1788.94</v>
      </c>
      <c r="L166" s="538"/>
      <c r="M166" s="51"/>
      <c r="P166" s="545"/>
    </row>
    <row r="167" spans="2:16" ht="14.1" customHeight="1" outlineLevel="2">
      <c r="B167" s="428"/>
      <c r="C167" s="429" t="s">
        <v>760</v>
      </c>
      <c r="D167" s="283" t="s">
        <v>36</v>
      </c>
      <c r="E167" s="430"/>
      <c r="F167" s="517"/>
      <c r="G167" s="81"/>
      <c r="H167" s="160">
        <v>0</v>
      </c>
      <c r="I167" s="160">
        <f t="shared" si="23"/>
        <v>0</v>
      </c>
      <c r="J167" s="150">
        <f t="shared" si="24"/>
        <v>0</v>
      </c>
      <c r="K167" s="73">
        <v>0</v>
      </c>
      <c r="L167" s="538"/>
      <c r="M167" s="51"/>
      <c r="P167" s="545"/>
    </row>
    <row r="168" spans="2:16" ht="14.1" customHeight="1" outlineLevel="2">
      <c r="B168" s="428"/>
      <c r="C168" s="429" t="s">
        <v>761</v>
      </c>
      <c r="D168" s="283" t="s">
        <v>36</v>
      </c>
      <c r="E168" s="430"/>
      <c r="F168" s="517"/>
      <c r="G168" s="81"/>
      <c r="H168" s="160">
        <v>0</v>
      </c>
      <c r="I168" s="160">
        <f t="shared" si="23"/>
        <v>0</v>
      </c>
      <c r="J168" s="150">
        <f t="shared" si="24"/>
        <v>0</v>
      </c>
      <c r="K168" s="73">
        <v>0</v>
      </c>
      <c r="L168" s="538"/>
      <c r="M168" s="51"/>
      <c r="P168" s="545"/>
    </row>
    <row r="169" spans="2:16" ht="14.1" customHeight="1" outlineLevel="2">
      <c r="B169" s="428"/>
      <c r="C169" s="429" t="s">
        <v>762</v>
      </c>
      <c r="D169" s="283" t="s">
        <v>36</v>
      </c>
      <c r="E169" s="430"/>
      <c r="F169" s="517"/>
      <c r="G169" s="81"/>
      <c r="H169" s="160">
        <v>0</v>
      </c>
      <c r="I169" s="160">
        <f t="shared" si="23"/>
        <v>0</v>
      </c>
      <c r="J169" s="150">
        <f t="shared" si="24"/>
        <v>0</v>
      </c>
      <c r="K169" s="73">
        <v>0</v>
      </c>
      <c r="L169" s="538"/>
      <c r="M169" s="51"/>
      <c r="P169" s="545"/>
    </row>
    <row r="170" spans="2:16" ht="14.1" customHeight="1" outlineLevel="2">
      <c r="B170" s="428"/>
      <c r="C170" s="429" t="s">
        <v>763</v>
      </c>
      <c r="D170" s="283" t="s">
        <v>36</v>
      </c>
      <c r="E170" s="430"/>
      <c r="F170" s="517"/>
      <c r="G170" s="81"/>
      <c r="H170" s="160">
        <v>0</v>
      </c>
      <c r="I170" s="160">
        <f t="shared" si="23"/>
        <v>0</v>
      </c>
      <c r="J170" s="150">
        <f t="shared" si="24"/>
        <v>0</v>
      </c>
      <c r="K170" s="73">
        <v>0</v>
      </c>
      <c r="L170" s="538"/>
      <c r="M170" s="51"/>
      <c r="P170" s="545"/>
    </row>
    <row r="171" spans="2:16" ht="14.1" customHeight="1" outlineLevel="2">
      <c r="B171" s="431" t="s">
        <v>764</v>
      </c>
      <c r="C171" s="432" t="s">
        <v>763</v>
      </c>
      <c r="D171" s="87" t="s">
        <v>36</v>
      </c>
      <c r="E171" s="424">
        <v>1</v>
      </c>
      <c r="F171" s="517"/>
      <c r="G171" s="81">
        <v>420.5</v>
      </c>
      <c r="H171" s="160">
        <v>1576.88</v>
      </c>
      <c r="I171" s="160">
        <f t="shared" si="23"/>
        <v>0</v>
      </c>
      <c r="J171" s="150">
        <f t="shared" si="24"/>
        <v>420.5</v>
      </c>
      <c r="K171" s="73">
        <v>1576.88</v>
      </c>
      <c r="L171" s="538"/>
      <c r="M171" s="51"/>
      <c r="P171" s="545"/>
    </row>
    <row r="172" spans="2:16" ht="14.1" customHeight="1" outlineLevel="2">
      <c r="B172" s="431" t="s">
        <v>765</v>
      </c>
      <c r="C172" s="432" t="s">
        <v>763</v>
      </c>
      <c r="D172" s="87" t="s">
        <v>36</v>
      </c>
      <c r="E172" s="424">
        <v>1</v>
      </c>
      <c r="F172" s="517"/>
      <c r="G172" s="81">
        <v>420.5</v>
      </c>
      <c r="H172" s="160">
        <v>1576.88</v>
      </c>
      <c r="I172" s="160">
        <f t="shared" si="23"/>
        <v>0</v>
      </c>
      <c r="J172" s="150">
        <f t="shared" si="24"/>
        <v>420.5</v>
      </c>
      <c r="K172" s="73">
        <v>1576.88</v>
      </c>
      <c r="L172" s="538"/>
      <c r="M172" s="51"/>
      <c r="P172" s="545"/>
    </row>
    <row r="173" spans="2:16" ht="14.1" customHeight="1" outlineLevel="2">
      <c r="B173" s="431" t="s">
        <v>766</v>
      </c>
      <c r="C173" s="432" t="s">
        <v>767</v>
      </c>
      <c r="D173" s="87" t="s">
        <v>36</v>
      </c>
      <c r="E173" s="424">
        <v>1</v>
      </c>
      <c r="F173" s="517"/>
      <c r="G173" s="81">
        <v>507.5</v>
      </c>
      <c r="H173" s="160">
        <v>1903.13</v>
      </c>
      <c r="I173" s="160">
        <f t="shared" si="23"/>
        <v>0</v>
      </c>
      <c r="J173" s="150">
        <f t="shared" si="24"/>
        <v>507.5</v>
      </c>
      <c r="K173" s="73">
        <v>1903.13</v>
      </c>
      <c r="L173" s="538"/>
      <c r="M173" s="51"/>
      <c r="P173" s="545"/>
    </row>
    <row r="174" spans="2:16" ht="14.1" customHeight="1" outlineLevel="2">
      <c r="B174" s="428"/>
      <c r="C174" s="429" t="s">
        <v>768</v>
      </c>
      <c r="D174" s="283" t="s">
        <v>36</v>
      </c>
      <c r="E174" s="430"/>
      <c r="F174" s="517"/>
      <c r="G174" s="81"/>
      <c r="H174" s="160">
        <v>0</v>
      </c>
      <c r="I174" s="160">
        <f t="shared" si="23"/>
        <v>0</v>
      </c>
      <c r="J174" s="150">
        <f t="shared" si="24"/>
        <v>0</v>
      </c>
      <c r="K174" s="73">
        <v>0</v>
      </c>
      <c r="L174" s="538"/>
      <c r="M174" s="51"/>
      <c r="P174" s="545"/>
    </row>
    <row r="175" spans="2:16" ht="14.1" customHeight="1" outlineLevel="2">
      <c r="B175" s="431" t="s">
        <v>769</v>
      </c>
      <c r="C175" s="432" t="s">
        <v>770</v>
      </c>
      <c r="D175" s="87" t="s">
        <v>36</v>
      </c>
      <c r="E175" s="424">
        <v>3</v>
      </c>
      <c r="F175" s="517"/>
      <c r="G175" s="81">
        <v>254.45</v>
      </c>
      <c r="H175" s="160">
        <v>954.19</v>
      </c>
      <c r="I175" s="160">
        <f t="shared" si="23"/>
        <v>0</v>
      </c>
      <c r="J175" s="150">
        <f t="shared" si="24"/>
        <v>763.35</v>
      </c>
      <c r="K175" s="73">
        <v>2862.56</v>
      </c>
      <c r="L175" s="538"/>
      <c r="M175" s="51"/>
      <c r="P175" s="545"/>
    </row>
    <row r="176" spans="2:16" ht="14.1" customHeight="1" outlineLevel="2">
      <c r="B176" s="431" t="s">
        <v>771</v>
      </c>
      <c r="C176" s="432" t="s">
        <v>772</v>
      </c>
      <c r="D176" s="87" t="s">
        <v>36</v>
      </c>
      <c r="E176" s="424">
        <v>1</v>
      </c>
      <c r="F176" s="517"/>
      <c r="G176" s="81">
        <v>420.5</v>
      </c>
      <c r="H176" s="160">
        <v>1576.88</v>
      </c>
      <c r="I176" s="160">
        <f t="shared" si="23"/>
        <v>0</v>
      </c>
      <c r="J176" s="150">
        <f t="shared" si="24"/>
        <v>420.5</v>
      </c>
      <c r="K176" s="73">
        <v>1576.88</v>
      </c>
      <c r="L176" s="538"/>
      <c r="M176" s="51"/>
      <c r="P176" s="545"/>
    </row>
    <row r="177" spans="2:16" ht="14.1" customHeight="1" outlineLevel="2">
      <c r="B177" s="428"/>
      <c r="C177" s="429" t="s">
        <v>772</v>
      </c>
      <c r="D177" s="283" t="s">
        <v>36</v>
      </c>
      <c r="E177" s="430"/>
      <c r="F177" s="517"/>
      <c r="G177" s="81"/>
      <c r="H177" s="160">
        <v>0</v>
      </c>
      <c r="I177" s="160">
        <f t="shared" si="23"/>
        <v>0</v>
      </c>
      <c r="J177" s="150">
        <f t="shared" si="24"/>
        <v>0</v>
      </c>
      <c r="K177" s="73">
        <v>0</v>
      </c>
      <c r="L177" s="538"/>
      <c r="M177" s="51"/>
      <c r="P177" s="545"/>
    </row>
    <row r="178" spans="2:16" ht="14.1" customHeight="1" outlineLevel="2">
      <c r="B178" s="428"/>
      <c r="C178" s="429" t="s">
        <v>773</v>
      </c>
      <c r="D178" s="283" t="s">
        <v>36</v>
      </c>
      <c r="E178" s="430"/>
      <c r="F178" s="517"/>
      <c r="G178" s="81"/>
      <c r="H178" s="160">
        <v>0</v>
      </c>
      <c r="I178" s="160">
        <f t="shared" si="23"/>
        <v>0</v>
      </c>
      <c r="J178" s="150">
        <f t="shared" si="24"/>
        <v>0</v>
      </c>
      <c r="K178" s="73">
        <v>0</v>
      </c>
      <c r="L178" s="538"/>
      <c r="M178" s="51"/>
      <c r="P178" s="545"/>
    </row>
    <row r="179" spans="2:16" ht="14.1" customHeight="1" outlineLevel="2">
      <c r="B179" s="428"/>
      <c r="C179" s="429" t="s">
        <v>774</v>
      </c>
      <c r="D179" s="283" t="s">
        <v>36</v>
      </c>
      <c r="E179" s="430"/>
      <c r="F179" s="517"/>
      <c r="G179" s="81"/>
      <c r="H179" s="160">
        <v>0</v>
      </c>
      <c r="I179" s="160">
        <f t="shared" si="23"/>
        <v>0</v>
      </c>
      <c r="J179" s="150">
        <f t="shared" si="24"/>
        <v>0</v>
      </c>
      <c r="K179" s="73">
        <v>0</v>
      </c>
      <c r="L179" s="538"/>
      <c r="M179" s="51"/>
      <c r="P179" s="545"/>
    </row>
    <row r="180" spans="2:16" ht="14.1" customHeight="1">
      <c r="B180" s="164">
        <f>B125+0.01</f>
        <v>5.0799999999999983</v>
      </c>
      <c r="C180" s="304" t="s">
        <v>775</v>
      </c>
      <c r="D180" s="280"/>
      <c r="E180" s="424"/>
      <c r="F180" s="519"/>
      <c r="G180" s="69"/>
      <c r="H180" s="160"/>
      <c r="I180" s="160"/>
      <c r="J180" s="150"/>
      <c r="K180" s="73"/>
      <c r="L180" s="537">
        <v>849.4</v>
      </c>
      <c r="M180" s="591"/>
      <c r="N180" s="571"/>
      <c r="O180" s="571"/>
      <c r="P180" s="592"/>
    </row>
    <row r="181" spans="2:16" ht="14.1" customHeight="1" outlineLevel="1">
      <c r="B181" s="101">
        <f>B180+0.0001</f>
        <v>5.0800999999999981</v>
      </c>
      <c r="C181" s="281" t="s">
        <v>723</v>
      </c>
      <c r="D181" s="64"/>
      <c r="E181" s="424"/>
      <c r="F181" s="517"/>
      <c r="G181" s="81"/>
      <c r="H181" s="160"/>
      <c r="I181" s="160"/>
      <c r="J181" s="150"/>
      <c r="K181" s="73"/>
      <c r="L181" s="538"/>
      <c r="M181" s="51"/>
      <c r="P181" s="545"/>
    </row>
    <row r="182" spans="2:16" ht="13.15" customHeight="1" outlineLevel="3">
      <c r="B182" s="103">
        <f>B181+0.000001</f>
        <v>5.0801009999999982</v>
      </c>
      <c r="C182" s="295" t="s">
        <v>776</v>
      </c>
      <c r="D182" s="64" t="s">
        <v>36</v>
      </c>
      <c r="E182" s="424">
        <v>31</v>
      </c>
      <c r="F182" s="517">
        <v>27.4</v>
      </c>
      <c r="G182" s="81"/>
      <c r="H182" s="160">
        <v>27.4</v>
      </c>
      <c r="I182" s="160">
        <f>+ROUND(E182*F182,2)</f>
        <v>849.4</v>
      </c>
      <c r="J182" s="150">
        <f>+ROUND(E182*G182,2)</f>
        <v>0</v>
      </c>
      <c r="K182" s="73">
        <v>849.4</v>
      </c>
      <c r="L182" s="538"/>
      <c r="M182" s="51"/>
      <c r="P182" s="545"/>
    </row>
    <row r="183" spans="2:16" ht="14.1" customHeight="1">
      <c r="B183" s="164">
        <f>B180+0.01</f>
        <v>5.0899999999999981</v>
      </c>
      <c r="C183" s="304" t="s">
        <v>777</v>
      </c>
      <c r="D183" s="280"/>
      <c r="E183" s="424"/>
      <c r="F183" s="519"/>
      <c r="G183" s="69"/>
      <c r="H183" s="160"/>
      <c r="I183" s="160"/>
      <c r="J183" s="150"/>
      <c r="K183" s="73"/>
      <c r="L183" s="537">
        <v>101967.75</v>
      </c>
      <c r="M183" s="591"/>
      <c r="N183" s="571"/>
      <c r="O183" s="571"/>
      <c r="P183" s="592"/>
    </row>
    <row r="184" spans="2:16" ht="14.1" customHeight="1" outlineLevel="1">
      <c r="B184" s="419">
        <f t="shared" ref="B184:B196" si="25">B183+0.000001</f>
        <v>5.0900009999999982</v>
      </c>
      <c r="C184" s="295" t="s">
        <v>778</v>
      </c>
      <c r="D184" s="64" t="s">
        <v>36</v>
      </c>
      <c r="E184" s="424">
        <v>3</v>
      </c>
      <c r="F184" s="518">
        <v>1450</v>
      </c>
      <c r="G184" s="105"/>
      <c r="H184" s="160">
        <v>1450</v>
      </c>
      <c r="I184" s="160">
        <f t="shared" ref="I184:I196" si="26">+ROUND(E184*F184,2)</f>
        <v>4350</v>
      </c>
      <c r="J184" s="150">
        <f t="shared" ref="J184:J196" si="27">+ROUND(E184*G184,2)</f>
        <v>0</v>
      </c>
      <c r="K184" s="73">
        <v>4350</v>
      </c>
      <c r="L184" s="538"/>
      <c r="M184" s="51"/>
      <c r="P184" s="545"/>
    </row>
    <row r="185" spans="2:16" ht="14.1" customHeight="1" outlineLevel="1">
      <c r="B185" s="419">
        <f t="shared" si="25"/>
        <v>5.0900019999999984</v>
      </c>
      <c r="C185" s="295" t="s">
        <v>779</v>
      </c>
      <c r="D185" s="64" t="s">
        <v>36</v>
      </c>
      <c r="E185" s="424">
        <v>3</v>
      </c>
      <c r="F185" s="518">
        <v>1500</v>
      </c>
      <c r="G185" s="105"/>
      <c r="H185" s="160">
        <v>1500</v>
      </c>
      <c r="I185" s="160">
        <f t="shared" si="26"/>
        <v>4500</v>
      </c>
      <c r="J185" s="150">
        <f t="shared" si="27"/>
        <v>0</v>
      </c>
      <c r="K185" s="73">
        <v>4500</v>
      </c>
      <c r="L185" s="538"/>
      <c r="M185" s="51"/>
      <c r="P185" s="545"/>
    </row>
    <row r="186" spans="2:16" ht="14.1" customHeight="1" outlineLevel="1">
      <c r="B186" s="419">
        <f t="shared" si="25"/>
        <v>5.0900029999999985</v>
      </c>
      <c r="C186" s="295" t="s">
        <v>780</v>
      </c>
      <c r="D186" s="64" t="s">
        <v>46</v>
      </c>
      <c r="E186" s="424">
        <v>13.3</v>
      </c>
      <c r="F186" s="518">
        <v>400</v>
      </c>
      <c r="G186" s="105"/>
      <c r="H186" s="160">
        <v>400</v>
      </c>
      <c r="I186" s="160">
        <f t="shared" si="26"/>
        <v>5320</v>
      </c>
      <c r="J186" s="150">
        <f t="shared" si="27"/>
        <v>0</v>
      </c>
      <c r="K186" s="73">
        <v>5320</v>
      </c>
      <c r="L186" s="538"/>
      <c r="M186" s="51"/>
      <c r="P186" s="545"/>
    </row>
    <row r="187" spans="2:16" ht="14.1" customHeight="1" outlineLevel="1">
      <c r="B187" s="419">
        <f t="shared" si="25"/>
        <v>5.0900039999999986</v>
      </c>
      <c r="C187" s="295" t="s">
        <v>781</v>
      </c>
      <c r="D187" s="64" t="s">
        <v>36</v>
      </c>
      <c r="E187" s="424">
        <v>1</v>
      </c>
      <c r="F187" s="518">
        <v>950</v>
      </c>
      <c r="G187" s="105"/>
      <c r="H187" s="160">
        <v>950</v>
      </c>
      <c r="I187" s="160">
        <f t="shared" si="26"/>
        <v>950</v>
      </c>
      <c r="J187" s="150">
        <f t="shared" si="27"/>
        <v>0</v>
      </c>
      <c r="K187" s="73">
        <v>950</v>
      </c>
      <c r="L187" s="538"/>
      <c r="M187" s="51"/>
      <c r="P187" s="545"/>
    </row>
    <row r="188" spans="2:16" ht="14.1" customHeight="1" outlineLevel="1">
      <c r="B188" s="419">
        <f t="shared" si="25"/>
        <v>5.0900049999999988</v>
      </c>
      <c r="C188" s="295" t="s">
        <v>782</v>
      </c>
      <c r="D188" s="64" t="s">
        <v>36</v>
      </c>
      <c r="E188" s="424">
        <v>83</v>
      </c>
      <c r="F188" s="518">
        <v>310</v>
      </c>
      <c r="G188" s="105"/>
      <c r="H188" s="160">
        <v>310</v>
      </c>
      <c r="I188" s="160">
        <f t="shared" si="26"/>
        <v>25730</v>
      </c>
      <c r="J188" s="150">
        <f t="shared" si="27"/>
        <v>0</v>
      </c>
      <c r="K188" s="73">
        <v>25730</v>
      </c>
      <c r="L188" s="538"/>
      <c r="M188" s="51"/>
      <c r="P188" s="545"/>
    </row>
    <row r="189" spans="2:16" ht="14.1" customHeight="1" outlineLevel="1">
      <c r="B189" s="419">
        <f t="shared" si="25"/>
        <v>5.0900059999999989</v>
      </c>
      <c r="C189" s="295" t="s">
        <v>783</v>
      </c>
      <c r="D189" s="64" t="s">
        <v>36</v>
      </c>
      <c r="E189" s="424">
        <v>41</v>
      </c>
      <c r="F189" s="518">
        <v>272</v>
      </c>
      <c r="G189" s="105"/>
      <c r="H189" s="160">
        <v>272</v>
      </c>
      <c r="I189" s="160">
        <f t="shared" si="26"/>
        <v>11152</v>
      </c>
      <c r="J189" s="150">
        <f t="shared" si="27"/>
        <v>0</v>
      </c>
      <c r="K189" s="73">
        <v>11152</v>
      </c>
      <c r="L189" s="538"/>
      <c r="M189" s="51"/>
      <c r="P189" s="545"/>
    </row>
    <row r="190" spans="2:16" ht="14.1" customHeight="1" outlineLevel="1">
      <c r="B190" s="419">
        <f t="shared" si="25"/>
        <v>5.0900069999999991</v>
      </c>
      <c r="C190" s="295" t="s">
        <v>784</v>
      </c>
      <c r="D190" s="64" t="s">
        <v>46</v>
      </c>
      <c r="E190" s="424">
        <v>9.0500000000000007</v>
      </c>
      <c r="F190" s="518">
        <v>400</v>
      </c>
      <c r="G190" s="105"/>
      <c r="H190" s="160">
        <v>400</v>
      </c>
      <c r="I190" s="160">
        <f t="shared" si="26"/>
        <v>3620</v>
      </c>
      <c r="J190" s="150">
        <f t="shared" si="27"/>
        <v>0</v>
      </c>
      <c r="K190" s="73">
        <v>3620</v>
      </c>
      <c r="L190" s="538"/>
      <c r="M190" s="51"/>
      <c r="P190" s="545"/>
    </row>
    <row r="191" spans="2:16" ht="14.1" customHeight="1" outlineLevel="1">
      <c r="B191" s="419">
        <f t="shared" si="25"/>
        <v>5.0900079999999992</v>
      </c>
      <c r="C191" s="295" t="s">
        <v>785</v>
      </c>
      <c r="D191" s="64" t="s">
        <v>36</v>
      </c>
      <c r="E191" s="424">
        <v>2</v>
      </c>
      <c r="F191" s="518">
        <v>1000</v>
      </c>
      <c r="G191" s="105"/>
      <c r="H191" s="160">
        <v>1000</v>
      </c>
      <c r="I191" s="160">
        <f t="shared" si="26"/>
        <v>2000</v>
      </c>
      <c r="J191" s="150">
        <f t="shared" si="27"/>
        <v>0</v>
      </c>
      <c r="K191" s="73">
        <v>2000</v>
      </c>
      <c r="L191" s="538"/>
      <c r="M191" s="51"/>
      <c r="P191" s="545"/>
    </row>
    <row r="192" spans="2:16" ht="14.1" customHeight="1" outlineLevel="1">
      <c r="B192" s="419">
        <f t="shared" si="25"/>
        <v>5.0900089999999993</v>
      </c>
      <c r="C192" s="295" t="s">
        <v>786</v>
      </c>
      <c r="D192" s="64" t="s">
        <v>46</v>
      </c>
      <c r="E192" s="424">
        <v>59.4</v>
      </c>
      <c r="F192" s="518">
        <v>190</v>
      </c>
      <c r="G192" s="105"/>
      <c r="H192" s="160">
        <v>190</v>
      </c>
      <c r="I192" s="160">
        <f t="shared" si="26"/>
        <v>11286</v>
      </c>
      <c r="J192" s="150">
        <f t="shared" si="27"/>
        <v>0</v>
      </c>
      <c r="K192" s="73">
        <v>11286</v>
      </c>
      <c r="L192" s="538"/>
      <c r="M192" s="51"/>
      <c r="P192" s="545"/>
    </row>
    <row r="193" spans="2:16" ht="14.1" customHeight="1" outlineLevel="1">
      <c r="B193" s="419">
        <f t="shared" si="25"/>
        <v>5.0900099999999995</v>
      </c>
      <c r="C193" s="295" t="s">
        <v>787</v>
      </c>
      <c r="D193" s="64" t="s">
        <v>46</v>
      </c>
      <c r="E193" s="424">
        <v>32.950000000000003</v>
      </c>
      <c r="F193" s="518">
        <v>295</v>
      </c>
      <c r="G193" s="105"/>
      <c r="H193" s="160">
        <v>295</v>
      </c>
      <c r="I193" s="160">
        <f t="shared" si="26"/>
        <v>9720.25</v>
      </c>
      <c r="J193" s="150">
        <f t="shared" si="27"/>
        <v>0</v>
      </c>
      <c r="K193" s="73">
        <v>9720.25</v>
      </c>
      <c r="L193" s="538"/>
      <c r="M193" s="51"/>
      <c r="P193" s="545"/>
    </row>
    <row r="194" spans="2:16" ht="14.1" customHeight="1" outlineLevel="1">
      <c r="B194" s="419">
        <f t="shared" si="25"/>
        <v>5.0900109999999996</v>
      </c>
      <c r="C194" s="295" t="s">
        <v>788</v>
      </c>
      <c r="D194" s="64" t="s">
        <v>46</v>
      </c>
      <c r="E194" s="424">
        <v>61.2</v>
      </c>
      <c r="F194" s="518">
        <v>190</v>
      </c>
      <c r="G194" s="105"/>
      <c r="H194" s="160">
        <v>190</v>
      </c>
      <c r="I194" s="160">
        <f t="shared" si="26"/>
        <v>11628</v>
      </c>
      <c r="J194" s="150">
        <f t="shared" si="27"/>
        <v>0</v>
      </c>
      <c r="K194" s="73">
        <v>11628</v>
      </c>
      <c r="L194" s="538"/>
      <c r="M194" s="51"/>
      <c r="P194" s="545"/>
    </row>
    <row r="195" spans="2:16" ht="14.1" customHeight="1" outlineLevel="1">
      <c r="B195" s="419">
        <f t="shared" si="25"/>
        <v>5.0900119999999998</v>
      </c>
      <c r="C195" s="295" t="s">
        <v>789</v>
      </c>
      <c r="D195" s="64" t="s">
        <v>46</v>
      </c>
      <c r="E195" s="424">
        <v>33.700000000000003</v>
      </c>
      <c r="F195" s="518">
        <v>295</v>
      </c>
      <c r="G195" s="105"/>
      <c r="H195" s="160">
        <v>295</v>
      </c>
      <c r="I195" s="160">
        <f t="shared" si="26"/>
        <v>9941.5</v>
      </c>
      <c r="J195" s="150">
        <f t="shared" si="27"/>
        <v>0</v>
      </c>
      <c r="K195" s="73">
        <v>9941.5</v>
      </c>
      <c r="L195" s="538"/>
      <c r="M195" s="51"/>
      <c r="P195" s="545"/>
    </row>
    <row r="196" spans="2:16" ht="14.1" customHeight="1" outlineLevel="1">
      <c r="B196" s="419">
        <f t="shared" si="25"/>
        <v>5.0900129999999999</v>
      </c>
      <c r="C196" s="295" t="s">
        <v>790</v>
      </c>
      <c r="D196" s="64" t="s">
        <v>46</v>
      </c>
      <c r="E196" s="424">
        <v>6</v>
      </c>
      <c r="F196" s="518">
        <v>295</v>
      </c>
      <c r="G196" s="105"/>
      <c r="H196" s="160">
        <v>295</v>
      </c>
      <c r="I196" s="160">
        <f t="shared" si="26"/>
        <v>1770</v>
      </c>
      <c r="J196" s="150">
        <f t="shared" si="27"/>
        <v>0</v>
      </c>
      <c r="K196" s="73">
        <v>1770</v>
      </c>
      <c r="L196" s="538"/>
      <c r="M196" s="51"/>
      <c r="P196" s="545"/>
    </row>
    <row r="197" spans="2:16" ht="14.1" customHeight="1">
      <c r="B197" s="164">
        <f>B183+0.01</f>
        <v>5.0999999999999979</v>
      </c>
      <c r="C197" s="304" t="s">
        <v>791</v>
      </c>
      <c r="D197" s="280"/>
      <c r="E197" s="424"/>
      <c r="F197" s="517"/>
      <c r="G197" s="69"/>
      <c r="H197" s="160"/>
      <c r="I197" s="160"/>
      <c r="J197" s="150"/>
      <c r="K197" s="73"/>
      <c r="L197" s="537">
        <v>110907.42</v>
      </c>
      <c r="M197" s="591"/>
      <c r="N197" s="571"/>
      <c r="O197" s="571"/>
      <c r="P197" s="592"/>
    </row>
    <row r="198" spans="2:16" ht="14.1" customHeight="1" outlineLevel="1">
      <c r="B198" s="101">
        <f>B197+0.0001</f>
        <v>5.1000999999999976</v>
      </c>
      <c r="C198" s="306" t="s">
        <v>792</v>
      </c>
      <c r="D198" s="64"/>
      <c r="E198" s="424"/>
      <c r="F198" s="517"/>
      <c r="G198" s="81"/>
      <c r="H198" s="160"/>
      <c r="I198" s="160"/>
      <c r="J198" s="150"/>
      <c r="K198" s="73"/>
      <c r="L198" s="538"/>
      <c r="M198" s="51"/>
      <c r="P198" s="545"/>
    </row>
    <row r="199" spans="2:16" ht="14.1" customHeight="1" outlineLevel="2">
      <c r="B199" s="433">
        <f>B198+0.000001</f>
        <v>5.1001009999999978</v>
      </c>
      <c r="C199" s="269" t="s">
        <v>793</v>
      </c>
      <c r="D199" s="64"/>
      <c r="E199" s="424"/>
      <c r="F199" s="517"/>
      <c r="G199" s="81"/>
      <c r="H199" s="160"/>
      <c r="I199" s="160"/>
      <c r="J199" s="150"/>
      <c r="K199" s="73"/>
      <c r="L199" s="538"/>
      <c r="M199" s="51"/>
      <c r="P199" s="545"/>
    </row>
    <row r="200" spans="2:16" ht="14.1" customHeight="1" outlineLevel="3">
      <c r="B200" s="270">
        <f t="shared" ref="B200:B220" si="28">B199+0.00000001</f>
        <v>5.1001010099999977</v>
      </c>
      <c r="C200" s="44" t="s">
        <v>794</v>
      </c>
      <c r="D200" s="64" t="s">
        <v>161</v>
      </c>
      <c r="E200" s="424">
        <v>4144.3599999999997</v>
      </c>
      <c r="F200" s="517">
        <v>12.96</v>
      </c>
      <c r="G200" s="81">
        <v>0</v>
      </c>
      <c r="H200" s="160">
        <v>12.96</v>
      </c>
      <c r="I200" s="160">
        <f>+ROUND(E200*F200,2)</f>
        <v>53710.91</v>
      </c>
      <c r="J200" s="150">
        <f>+ROUND(E200*G200,2)</f>
        <v>0</v>
      </c>
      <c r="K200" s="73">
        <v>53710.91</v>
      </c>
      <c r="L200" s="538"/>
      <c r="M200" s="51"/>
      <c r="P200" s="545"/>
    </row>
    <row r="201" spans="2:16" ht="22.9" customHeight="1" outlineLevel="3">
      <c r="B201" s="434">
        <f t="shared" si="28"/>
        <v>5.1001010199999977</v>
      </c>
      <c r="C201" s="44" t="s">
        <v>795</v>
      </c>
      <c r="D201" s="64" t="s">
        <v>161</v>
      </c>
      <c r="E201" s="424">
        <v>382.48</v>
      </c>
      <c r="F201" s="517">
        <v>12.96</v>
      </c>
      <c r="G201" s="81">
        <v>0</v>
      </c>
      <c r="H201" s="160">
        <v>12.96</v>
      </c>
      <c r="I201" s="160">
        <f>+ROUND(E201*F201,2)</f>
        <v>4956.9399999999996</v>
      </c>
      <c r="J201" s="150">
        <f>+ROUND(E201*G201,2)</f>
        <v>0</v>
      </c>
      <c r="K201" s="73">
        <v>4956.9399999999996</v>
      </c>
      <c r="L201" s="538"/>
      <c r="M201" s="51"/>
      <c r="P201" s="545"/>
    </row>
    <row r="202" spans="2:16" ht="22.9" customHeight="1" outlineLevel="3">
      <c r="B202" s="434">
        <f t="shared" si="28"/>
        <v>5.1001010299999976</v>
      </c>
      <c r="C202" s="269" t="s">
        <v>723</v>
      </c>
      <c r="D202" s="64"/>
      <c r="E202" s="424"/>
      <c r="F202" s="517"/>
      <c r="G202" s="81" t="s">
        <v>7</v>
      </c>
      <c r="H202" s="160"/>
      <c r="I202" s="160"/>
      <c r="J202" s="150"/>
      <c r="K202" s="73"/>
      <c r="L202" s="538"/>
      <c r="M202" s="51"/>
      <c r="P202" s="545"/>
    </row>
    <row r="203" spans="2:16" ht="22.9" customHeight="1" outlineLevel="3">
      <c r="B203" s="434">
        <f t="shared" si="28"/>
        <v>5.1001010399999975</v>
      </c>
      <c r="C203" s="44" t="s">
        <v>796</v>
      </c>
      <c r="D203" s="64" t="s">
        <v>161</v>
      </c>
      <c r="E203" s="424">
        <v>1969.1</v>
      </c>
      <c r="F203" s="517">
        <v>12.96</v>
      </c>
      <c r="G203" s="81">
        <v>0</v>
      </c>
      <c r="H203" s="160">
        <v>12.96</v>
      </c>
      <c r="I203" s="160">
        <f>+ROUND(E203*F203,2)</f>
        <v>25519.54</v>
      </c>
      <c r="J203" s="150">
        <f>+ROUND(E203*G203,2)</f>
        <v>0</v>
      </c>
      <c r="K203" s="73">
        <v>25519.54</v>
      </c>
      <c r="L203" s="538"/>
      <c r="M203" s="51"/>
      <c r="P203" s="545"/>
    </row>
    <row r="204" spans="2:16" ht="22.9" customHeight="1" outlineLevel="3">
      <c r="B204" s="434">
        <f t="shared" si="28"/>
        <v>5.1001010499999975</v>
      </c>
      <c r="C204" s="269" t="s">
        <v>684</v>
      </c>
      <c r="D204" s="64"/>
      <c r="E204" s="424"/>
      <c r="F204" s="517"/>
      <c r="G204" s="81" t="s">
        <v>7</v>
      </c>
      <c r="H204" s="160"/>
      <c r="I204" s="160"/>
      <c r="J204" s="150"/>
      <c r="K204" s="73"/>
      <c r="L204" s="538"/>
      <c r="M204" s="51"/>
      <c r="P204" s="545"/>
    </row>
    <row r="205" spans="2:16" ht="22.9" customHeight="1" outlineLevel="3">
      <c r="B205" s="434">
        <f t="shared" si="28"/>
        <v>5.1001010599999974</v>
      </c>
      <c r="C205" s="44" t="s">
        <v>797</v>
      </c>
      <c r="D205" s="64" t="s">
        <v>161</v>
      </c>
      <c r="E205" s="424">
        <v>450.56</v>
      </c>
      <c r="F205" s="517">
        <v>12.96</v>
      </c>
      <c r="G205" s="81">
        <v>0</v>
      </c>
      <c r="H205" s="160">
        <v>12.96</v>
      </c>
      <c r="I205" s="160">
        <f>+ROUND(E205*F205,2)</f>
        <v>5839.26</v>
      </c>
      <c r="J205" s="150">
        <f>+ROUND(E205*G205,2)</f>
        <v>0</v>
      </c>
      <c r="K205" s="73">
        <v>5839.26</v>
      </c>
      <c r="L205" s="538"/>
      <c r="M205" s="51"/>
      <c r="P205" s="545"/>
    </row>
    <row r="206" spans="2:16" ht="22.9" customHeight="1" outlineLevel="3">
      <c r="B206" s="434">
        <f t="shared" si="28"/>
        <v>5.1001010699999973</v>
      </c>
      <c r="C206" s="269" t="s">
        <v>705</v>
      </c>
      <c r="D206" s="64"/>
      <c r="E206" s="424"/>
      <c r="F206" s="517"/>
      <c r="G206" s="81" t="s">
        <v>7</v>
      </c>
      <c r="H206" s="160"/>
      <c r="I206" s="160"/>
      <c r="J206" s="150"/>
      <c r="K206" s="73"/>
      <c r="L206" s="538"/>
      <c r="M206" s="51"/>
      <c r="P206" s="545"/>
    </row>
    <row r="207" spans="2:16" ht="22.9" customHeight="1" outlineLevel="3">
      <c r="B207" s="434">
        <f t="shared" si="28"/>
        <v>5.1001010799999973</v>
      </c>
      <c r="C207" s="44" t="s">
        <v>798</v>
      </c>
      <c r="D207" s="64" t="s">
        <v>161</v>
      </c>
      <c r="E207" s="424">
        <v>61.36</v>
      </c>
      <c r="F207" s="517">
        <v>12.96</v>
      </c>
      <c r="G207" s="81">
        <v>0</v>
      </c>
      <c r="H207" s="160">
        <v>12.96</v>
      </c>
      <c r="I207" s="160">
        <f>+ROUND(E207*F207,2)</f>
        <v>795.23</v>
      </c>
      <c r="J207" s="150">
        <f>+ROUND(E207*G207,2)</f>
        <v>0</v>
      </c>
      <c r="K207" s="73">
        <v>795.23</v>
      </c>
      <c r="L207" s="538"/>
      <c r="M207" s="51"/>
      <c r="P207" s="545"/>
    </row>
    <row r="208" spans="2:16" ht="22.9" customHeight="1" outlineLevel="3">
      <c r="B208" s="434">
        <f t="shared" si="28"/>
        <v>5.1001010899999972</v>
      </c>
      <c r="C208" s="269" t="s">
        <v>693</v>
      </c>
      <c r="D208" s="64"/>
      <c r="E208" s="424"/>
      <c r="F208" s="517"/>
      <c r="G208" s="81" t="s">
        <v>7</v>
      </c>
      <c r="H208" s="160"/>
      <c r="I208" s="160"/>
      <c r="J208" s="150"/>
      <c r="K208" s="73"/>
      <c r="L208" s="538"/>
      <c r="M208" s="51"/>
      <c r="P208" s="545"/>
    </row>
    <row r="209" spans="2:16" ht="22.9" customHeight="1" outlineLevel="3">
      <c r="B209" s="434">
        <f t="shared" si="28"/>
        <v>5.1001010999999972</v>
      </c>
      <c r="C209" s="44" t="s">
        <v>799</v>
      </c>
      <c r="D209" s="64" t="s">
        <v>161</v>
      </c>
      <c r="E209" s="424">
        <v>227.75</v>
      </c>
      <c r="F209" s="517">
        <v>12.96</v>
      </c>
      <c r="G209" s="81">
        <v>0</v>
      </c>
      <c r="H209" s="160">
        <v>12.96</v>
      </c>
      <c r="I209" s="160">
        <f>+ROUND(E209*F209,2)</f>
        <v>2951.64</v>
      </c>
      <c r="J209" s="150">
        <f>+ROUND(E209*G209,2)</f>
        <v>0</v>
      </c>
      <c r="K209" s="73">
        <v>2951.64</v>
      </c>
      <c r="L209" s="538"/>
      <c r="M209" s="51"/>
      <c r="P209" s="545"/>
    </row>
    <row r="210" spans="2:16" ht="22.9" customHeight="1" outlineLevel="3">
      <c r="B210" s="434">
        <f t="shared" si="28"/>
        <v>5.1001011099999971</v>
      </c>
      <c r="C210" s="306" t="s">
        <v>800</v>
      </c>
      <c r="D210" s="64"/>
      <c r="E210" s="424"/>
      <c r="F210" s="517"/>
      <c r="G210" s="81"/>
      <c r="H210" s="160"/>
      <c r="I210" s="160"/>
      <c r="J210" s="150"/>
      <c r="K210" s="73"/>
      <c r="L210" s="538"/>
      <c r="M210" s="51"/>
      <c r="P210" s="545"/>
    </row>
    <row r="211" spans="2:16" ht="22.9" customHeight="1" outlineLevel="3">
      <c r="B211" s="434">
        <f t="shared" si="28"/>
        <v>5.100101119999997</v>
      </c>
      <c r="C211" s="269" t="s">
        <v>801</v>
      </c>
      <c r="D211" s="64"/>
      <c r="E211" s="424"/>
      <c r="F211" s="517"/>
      <c r="G211" s="81"/>
      <c r="H211" s="160"/>
      <c r="I211" s="160"/>
      <c r="J211" s="150"/>
      <c r="K211" s="73"/>
      <c r="L211" s="538"/>
      <c r="M211" s="51"/>
      <c r="P211" s="545"/>
    </row>
    <row r="212" spans="2:16" ht="22.9" customHeight="1" outlineLevel="3">
      <c r="B212" s="434">
        <f t="shared" si="28"/>
        <v>5.100101129999997</v>
      </c>
      <c r="C212" s="44" t="s">
        <v>802</v>
      </c>
      <c r="D212" s="64" t="s">
        <v>161</v>
      </c>
      <c r="E212" s="424">
        <v>0</v>
      </c>
      <c r="F212" s="517"/>
      <c r="G212" s="81"/>
      <c r="H212" s="160"/>
      <c r="I212" s="160"/>
      <c r="J212" s="150"/>
      <c r="K212" s="73"/>
      <c r="L212" s="538"/>
      <c r="M212" s="51"/>
      <c r="P212" s="545"/>
    </row>
    <row r="213" spans="2:16" ht="22.9" customHeight="1" outlineLevel="3">
      <c r="B213" s="434">
        <f t="shared" si="28"/>
        <v>5.1001011399999969</v>
      </c>
      <c r="C213" s="269" t="s">
        <v>803</v>
      </c>
      <c r="D213" s="64"/>
      <c r="E213" s="424"/>
      <c r="F213" s="517"/>
      <c r="G213" s="81"/>
      <c r="H213" s="160"/>
      <c r="I213" s="160"/>
      <c r="J213" s="150"/>
      <c r="K213" s="73"/>
      <c r="L213" s="538"/>
      <c r="M213" s="51"/>
      <c r="P213" s="545"/>
    </row>
    <row r="214" spans="2:16" ht="22.9" customHeight="1" outlineLevel="3">
      <c r="B214" s="434">
        <f t="shared" si="28"/>
        <v>5.1001011499999969</v>
      </c>
      <c r="C214" s="44" t="s">
        <v>795</v>
      </c>
      <c r="D214" s="64" t="s">
        <v>161</v>
      </c>
      <c r="E214" s="424">
        <v>162.56</v>
      </c>
      <c r="F214" s="517">
        <v>12.96</v>
      </c>
      <c r="G214" s="81">
        <v>0</v>
      </c>
      <c r="H214" s="160">
        <v>12.96</v>
      </c>
      <c r="I214" s="160">
        <f>+ROUND(E214*F214,2)</f>
        <v>2106.7800000000002</v>
      </c>
      <c r="J214" s="150">
        <f>+ROUND(E214*G214,2)</f>
        <v>0</v>
      </c>
      <c r="K214" s="73">
        <v>2106.7800000000002</v>
      </c>
      <c r="L214" s="538"/>
      <c r="M214" s="51"/>
      <c r="P214" s="545"/>
    </row>
    <row r="215" spans="2:16" ht="22.9" customHeight="1" outlineLevel="3">
      <c r="B215" s="434">
        <f t="shared" si="28"/>
        <v>5.1001011599999968</v>
      </c>
      <c r="C215" s="269" t="s">
        <v>804</v>
      </c>
      <c r="D215" s="64"/>
      <c r="E215" s="424"/>
      <c r="F215" s="517"/>
      <c r="G215" s="81"/>
      <c r="H215" s="160"/>
      <c r="I215" s="160"/>
      <c r="J215" s="150"/>
      <c r="K215" s="73"/>
      <c r="L215" s="538"/>
      <c r="M215" s="51"/>
      <c r="P215" s="545"/>
    </row>
    <row r="216" spans="2:16" ht="22.9" customHeight="1" outlineLevel="3">
      <c r="B216" s="434">
        <f t="shared" si="28"/>
        <v>5.1001011699999967</v>
      </c>
      <c r="C216" s="44" t="s">
        <v>796</v>
      </c>
      <c r="D216" s="64" t="s">
        <v>161</v>
      </c>
      <c r="E216" s="424">
        <v>295.63</v>
      </c>
      <c r="F216" s="517">
        <v>12.96</v>
      </c>
      <c r="G216" s="81">
        <v>0</v>
      </c>
      <c r="H216" s="160">
        <v>12.96</v>
      </c>
      <c r="I216" s="160">
        <f>+ROUND(E216*F216,2)</f>
        <v>3831.36</v>
      </c>
      <c r="J216" s="150">
        <f>+ROUND(E216*G216,2)</f>
        <v>0</v>
      </c>
      <c r="K216" s="73">
        <v>3831.36</v>
      </c>
      <c r="L216" s="538"/>
      <c r="M216" s="51"/>
      <c r="P216" s="545"/>
    </row>
    <row r="217" spans="2:16" ht="22.9" customHeight="1" outlineLevel="3">
      <c r="B217" s="434">
        <f t="shared" si="28"/>
        <v>5.1001011799999967</v>
      </c>
      <c r="C217" s="269" t="s">
        <v>684</v>
      </c>
      <c r="D217" s="64"/>
      <c r="E217" s="424"/>
      <c r="F217" s="517"/>
      <c r="G217" s="81" t="s">
        <v>7</v>
      </c>
      <c r="H217" s="160"/>
      <c r="I217" s="160"/>
      <c r="J217" s="150"/>
      <c r="K217" s="73"/>
      <c r="L217" s="538"/>
      <c r="M217" s="51"/>
      <c r="P217" s="545"/>
    </row>
    <row r="218" spans="2:16" ht="22.9" customHeight="1" outlineLevel="3">
      <c r="B218" s="434">
        <f t="shared" si="28"/>
        <v>5.1001011899999966</v>
      </c>
      <c r="C218" s="44" t="s">
        <v>797</v>
      </c>
      <c r="D218" s="64" t="s">
        <v>161</v>
      </c>
      <c r="E218" s="424">
        <v>178.5</v>
      </c>
      <c r="F218" s="517">
        <v>12.96</v>
      </c>
      <c r="G218" s="81">
        <v>0</v>
      </c>
      <c r="H218" s="160">
        <v>12.96</v>
      </c>
      <c r="I218" s="160">
        <f>+ROUND(E218*F218,2)</f>
        <v>2313.36</v>
      </c>
      <c r="J218" s="150">
        <f>+ROUND(E218*G218,2)</f>
        <v>0</v>
      </c>
      <c r="K218" s="73">
        <v>2313.36</v>
      </c>
      <c r="L218" s="538"/>
      <c r="M218" s="51"/>
      <c r="P218" s="545"/>
    </row>
    <row r="219" spans="2:16" ht="22.9" customHeight="1" outlineLevel="3">
      <c r="B219" s="434">
        <f t="shared" si="28"/>
        <v>5.1001011999999966</v>
      </c>
      <c r="C219" s="269" t="s">
        <v>805</v>
      </c>
      <c r="D219" s="64"/>
      <c r="E219" s="424"/>
      <c r="F219" s="517"/>
      <c r="G219" s="81" t="s">
        <v>7</v>
      </c>
      <c r="H219" s="160"/>
      <c r="I219" s="160"/>
      <c r="J219" s="150"/>
      <c r="K219" s="73"/>
      <c r="L219" s="538"/>
      <c r="M219" s="51"/>
      <c r="P219" s="545"/>
    </row>
    <row r="220" spans="2:16" ht="22.9" customHeight="1" outlineLevel="3">
      <c r="B220" s="434">
        <f t="shared" si="28"/>
        <v>5.1001012099999965</v>
      </c>
      <c r="C220" s="44" t="s">
        <v>798</v>
      </c>
      <c r="D220" s="64" t="s">
        <v>161</v>
      </c>
      <c r="E220" s="424">
        <v>45.12</v>
      </c>
      <c r="F220" s="517">
        <v>12.96</v>
      </c>
      <c r="G220" s="81">
        <v>0</v>
      </c>
      <c r="H220" s="160">
        <v>12.96</v>
      </c>
      <c r="I220" s="160">
        <f>+ROUND(E220*F220,2)</f>
        <v>584.76</v>
      </c>
      <c r="J220" s="150">
        <f>+ROUND(E220*G220,2)</f>
        <v>0</v>
      </c>
      <c r="K220" s="73">
        <v>584.76</v>
      </c>
      <c r="L220" s="538"/>
      <c r="M220" s="51"/>
      <c r="P220" s="545"/>
    </row>
    <row r="221" spans="2:16" ht="14.1" customHeight="1" outlineLevel="1">
      <c r="B221" s="101">
        <f>B198+0.0001</f>
        <v>5.1001999999999974</v>
      </c>
      <c r="C221" s="306" t="s">
        <v>806</v>
      </c>
      <c r="D221" s="64"/>
      <c r="E221" s="424"/>
      <c r="F221" s="517"/>
      <c r="G221" s="81"/>
      <c r="H221" s="160"/>
      <c r="I221" s="160"/>
      <c r="J221" s="150"/>
      <c r="K221" s="73"/>
      <c r="L221" s="538"/>
      <c r="M221" s="51"/>
      <c r="P221" s="545"/>
    </row>
    <row r="222" spans="2:16" ht="14.1" customHeight="1" outlineLevel="2">
      <c r="B222" s="103">
        <f>B221+0.000001</f>
        <v>5.1002009999999975</v>
      </c>
      <c r="C222" s="295" t="s">
        <v>807</v>
      </c>
      <c r="D222" s="64" t="s">
        <v>161</v>
      </c>
      <c r="E222" s="424">
        <v>499.4</v>
      </c>
      <c r="F222" s="517">
        <v>12.96</v>
      </c>
      <c r="G222" s="65"/>
      <c r="H222" s="160">
        <v>12.96</v>
      </c>
      <c r="I222" s="160">
        <f>+ROUND(E222*F222,2)</f>
        <v>6472.22</v>
      </c>
      <c r="J222" s="150">
        <f>+ROUND(E222*G222,2)</f>
        <v>0</v>
      </c>
      <c r="K222" s="73">
        <v>6472.22</v>
      </c>
      <c r="L222" s="538"/>
      <c r="M222" s="51"/>
      <c r="P222" s="545"/>
    </row>
    <row r="223" spans="2:16" ht="14.1" customHeight="1" outlineLevel="2">
      <c r="B223" s="103">
        <f>B222+0.000001</f>
        <v>5.1002019999999977</v>
      </c>
      <c r="C223" s="295" t="s">
        <v>808</v>
      </c>
      <c r="D223" s="64" t="s">
        <v>161</v>
      </c>
      <c r="E223" s="424">
        <v>140.85</v>
      </c>
      <c r="F223" s="517">
        <v>12.96</v>
      </c>
      <c r="G223" s="65"/>
      <c r="H223" s="160">
        <v>12.96</v>
      </c>
      <c r="I223" s="160">
        <f>+ROUND(E223*F223,2)</f>
        <v>1825.42</v>
      </c>
      <c r="J223" s="150">
        <f>+ROUND(E223*G223,2)</f>
        <v>0</v>
      </c>
      <c r="K223" s="73">
        <v>1825.42</v>
      </c>
      <c r="L223" s="538"/>
      <c r="M223" s="51"/>
      <c r="P223" s="545"/>
    </row>
    <row r="224" spans="2:16" ht="14.1" customHeight="1" outlineLevel="2">
      <c r="B224" s="103">
        <f>B223+0.000001</f>
        <v>5.1002029999999978</v>
      </c>
      <c r="C224" s="295" t="s">
        <v>809</v>
      </c>
      <c r="D224" s="64" t="s">
        <v>161</v>
      </c>
      <c r="E224" s="424"/>
      <c r="F224" s="517">
        <v>12.96</v>
      </c>
      <c r="G224" s="65"/>
      <c r="H224" s="160">
        <v>12.96</v>
      </c>
      <c r="I224" s="160">
        <f>+ROUND(E224*F224,2)</f>
        <v>0</v>
      </c>
      <c r="J224" s="150">
        <f>+ROUND(E224*G224,2)</f>
        <v>0</v>
      </c>
      <c r="K224" s="73">
        <v>0</v>
      </c>
      <c r="L224" s="538"/>
      <c r="M224" s="51"/>
      <c r="P224" s="545"/>
    </row>
    <row r="225" spans="2:16" ht="14.1" customHeight="1" outlineLevel="2">
      <c r="B225" s="101">
        <f>B221+0.0001</f>
        <v>5.1002999999999972</v>
      </c>
      <c r="C225" s="306" t="s">
        <v>810</v>
      </c>
      <c r="D225" s="64"/>
      <c r="E225" s="424"/>
      <c r="F225" s="517"/>
      <c r="G225" s="65"/>
      <c r="H225" s="160"/>
      <c r="I225" s="160"/>
      <c r="J225" s="150"/>
      <c r="K225" s="73"/>
      <c r="L225" s="538"/>
      <c r="M225" s="51"/>
      <c r="P225" s="545"/>
    </row>
    <row r="226" spans="2:16" ht="14.1" customHeight="1">
      <c r="B226" s="164">
        <f>B197+0.01</f>
        <v>5.1099999999999977</v>
      </c>
      <c r="C226" s="304" t="s">
        <v>811</v>
      </c>
      <c r="D226" s="280"/>
      <c r="E226" s="424"/>
      <c r="F226" s="519"/>
      <c r="G226" s="69"/>
      <c r="H226" s="160"/>
      <c r="I226" s="160"/>
      <c r="J226" s="150"/>
      <c r="K226" s="73"/>
      <c r="L226" s="537">
        <v>76513.989999999991</v>
      </c>
      <c r="M226" s="591"/>
      <c r="N226" s="571"/>
      <c r="O226" s="571"/>
      <c r="P226" s="592"/>
    </row>
    <row r="227" spans="2:16" ht="14.1" customHeight="1" outlineLevel="1">
      <c r="B227" s="102">
        <f t="shared" ref="B227:B236" si="29">B226+0.0001</f>
        <v>5.1100999999999974</v>
      </c>
      <c r="C227" s="295" t="s">
        <v>812</v>
      </c>
      <c r="D227" s="64" t="s">
        <v>46</v>
      </c>
      <c r="E227" s="424">
        <v>1191.6500000000001</v>
      </c>
      <c r="F227" s="518">
        <v>8</v>
      </c>
      <c r="G227" s="65"/>
      <c r="H227" s="160">
        <v>8</v>
      </c>
      <c r="I227" s="160">
        <f t="shared" ref="I227:I236" si="30">+ROUND(E227*F227,2)</f>
        <v>9533.2000000000007</v>
      </c>
      <c r="J227" s="150">
        <f t="shared" ref="J227:J236" si="31">+ROUND(E227*G227,2)</f>
        <v>0</v>
      </c>
      <c r="K227" s="73">
        <v>9533.2000000000007</v>
      </c>
      <c r="L227" s="538"/>
      <c r="M227" s="51"/>
      <c r="P227" s="545"/>
    </row>
    <row r="228" spans="2:16" ht="22.5" outlineLevel="1">
      <c r="B228" s="102">
        <f t="shared" si="29"/>
        <v>5.1101999999999972</v>
      </c>
      <c r="C228" s="295" t="s">
        <v>813</v>
      </c>
      <c r="D228" s="64" t="s">
        <v>36</v>
      </c>
      <c r="E228" s="424">
        <v>168</v>
      </c>
      <c r="F228" s="518">
        <v>22</v>
      </c>
      <c r="G228" s="65"/>
      <c r="H228" s="160">
        <v>22</v>
      </c>
      <c r="I228" s="160">
        <f t="shared" si="30"/>
        <v>3696</v>
      </c>
      <c r="J228" s="150">
        <f t="shared" si="31"/>
        <v>0</v>
      </c>
      <c r="K228" s="73">
        <v>3696</v>
      </c>
      <c r="L228" s="538"/>
      <c r="M228" s="51"/>
      <c r="P228" s="545"/>
    </row>
    <row r="229" spans="2:16" ht="14.1" customHeight="1" outlineLevel="1">
      <c r="B229" s="102">
        <f t="shared" si="29"/>
        <v>5.110299999999997</v>
      </c>
      <c r="C229" s="295" t="s">
        <v>814</v>
      </c>
      <c r="D229" s="64" t="s">
        <v>36</v>
      </c>
      <c r="E229" s="424"/>
      <c r="F229" s="518">
        <v>35</v>
      </c>
      <c r="G229" s="65"/>
      <c r="H229" s="160">
        <v>35</v>
      </c>
      <c r="I229" s="160">
        <f t="shared" si="30"/>
        <v>0</v>
      </c>
      <c r="J229" s="150">
        <f t="shared" si="31"/>
        <v>0</v>
      </c>
      <c r="K229" s="73">
        <v>0</v>
      </c>
      <c r="L229" s="538"/>
      <c r="M229" s="51"/>
      <c r="P229" s="545"/>
    </row>
    <row r="230" spans="2:16" ht="14.1" customHeight="1" outlineLevel="1">
      <c r="B230" s="102">
        <f t="shared" si="29"/>
        <v>5.1103999999999967</v>
      </c>
      <c r="C230" s="295" t="s">
        <v>815</v>
      </c>
      <c r="D230" s="64" t="s">
        <v>36</v>
      </c>
      <c r="E230" s="424"/>
      <c r="F230" s="518">
        <v>35</v>
      </c>
      <c r="G230" s="65"/>
      <c r="H230" s="160">
        <v>35</v>
      </c>
      <c r="I230" s="160">
        <f t="shared" si="30"/>
        <v>0</v>
      </c>
      <c r="J230" s="150">
        <f t="shared" si="31"/>
        <v>0</v>
      </c>
      <c r="K230" s="73">
        <v>0</v>
      </c>
      <c r="L230" s="538"/>
      <c r="M230" s="51"/>
      <c r="P230" s="545"/>
    </row>
    <row r="231" spans="2:16" ht="14.1" customHeight="1" outlineLevel="1">
      <c r="B231" s="102">
        <f t="shared" si="29"/>
        <v>5.1104999999999965</v>
      </c>
      <c r="C231" s="295" t="s">
        <v>816</v>
      </c>
      <c r="D231" s="64" t="s">
        <v>46</v>
      </c>
      <c r="E231" s="424">
        <v>889.2</v>
      </c>
      <c r="F231" s="518">
        <v>35</v>
      </c>
      <c r="G231" s="65"/>
      <c r="H231" s="160">
        <v>35</v>
      </c>
      <c r="I231" s="160">
        <f t="shared" si="30"/>
        <v>31122</v>
      </c>
      <c r="J231" s="150">
        <f t="shared" si="31"/>
        <v>0</v>
      </c>
      <c r="K231" s="73">
        <v>31122</v>
      </c>
      <c r="L231" s="538"/>
      <c r="M231" s="51"/>
      <c r="P231" s="545"/>
    </row>
    <row r="232" spans="2:16" ht="14.1" customHeight="1" outlineLevel="1">
      <c r="B232" s="102">
        <f t="shared" si="29"/>
        <v>5.1105999999999963</v>
      </c>
      <c r="C232" s="295" t="s">
        <v>817</v>
      </c>
      <c r="D232" s="64" t="s">
        <v>46</v>
      </c>
      <c r="E232" s="424">
        <v>293.60000000000002</v>
      </c>
      <c r="F232" s="518">
        <v>22</v>
      </c>
      <c r="G232" s="65"/>
      <c r="H232" s="160">
        <v>22</v>
      </c>
      <c r="I232" s="160">
        <f t="shared" si="30"/>
        <v>6459.2</v>
      </c>
      <c r="J232" s="150">
        <f t="shared" si="31"/>
        <v>0</v>
      </c>
      <c r="K232" s="73">
        <v>6459.2</v>
      </c>
      <c r="L232" s="538"/>
      <c r="M232" s="51"/>
      <c r="P232" s="545"/>
    </row>
    <row r="233" spans="2:16" ht="14.1" customHeight="1" outlineLevel="1">
      <c r="B233" s="102">
        <f t="shared" si="29"/>
        <v>5.110699999999996</v>
      </c>
      <c r="C233" s="295" t="s">
        <v>818</v>
      </c>
      <c r="D233" s="64" t="s">
        <v>46</v>
      </c>
      <c r="E233" s="424"/>
      <c r="F233" s="518">
        <v>10.5</v>
      </c>
      <c r="G233" s="65"/>
      <c r="H233" s="160">
        <v>10.5</v>
      </c>
      <c r="I233" s="160">
        <f t="shared" si="30"/>
        <v>0</v>
      </c>
      <c r="J233" s="150">
        <f t="shared" si="31"/>
        <v>0</v>
      </c>
      <c r="K233" s="73">
        <v>0</v>
      </c>
      <c r="L233" s="538"/>
      <c r="M233" s="51"/>
      <c r="P233" s="545"/>
    </row>
    <row r="234" spans="2:16" ht="14.1" customHeight="1" outlineLevel="1">
      <c r="B234" s="102">
        <f t="shared" si="29"/>
        <v>5.1107999999999958</v>
      </c>
      <c r="C234" s="295" t="s">
        <v>819</v>
      </c>
      <c r="D234" s="64" t="s">
        <v>36</v>
      </c>
      <c r="E234" s="424">
        <v>6</v>
      </c>
      <c r="F234" s="518">
        <v>35</v>
      </c>
      <c r="G234" s="65"/>
      <c r="H234" s="160">
        <v>35</v>
      </c>
      <c r="I234" s="160">
        <f t="shared" si="30"/>
        <v>210</v>
      </c>
      <c r="J234" s="150">
        <f t="shared" si="31"/>
        <v>0</v>
      </c>
      <c r="K234" s="73">
        <v>210</v>
      </c>
      <c r="L234" s="538"/>
      <c r="M234" s="51"/>
      <c r="P234" s="545"/>
    </row>
    <row r="235" spans="2:16" ht="14.1" customHeight="1" outlineLevel="1">
      <c r="B235" s="102">
        <f t="shared" si="29"/>
        <v>5.1108999999999956</v>
      </c>
      <c r="C235" s="295" t="s">
        <v>820</v>
      </c>
      <c r="D235" s="64" t="s">
        <v>36</v>
      </c>
      <c r="E235" s="424">
        <v>6</v>
      </c>
      <c r="F235" s="518">
        <v>35</v>
      </c>
      <c r="G235" s="65"/>
      <c r="H235" s="160">
        <v>35</v>
      </c>
      <c r="I235" s="160">
        <f t="shared" si="30"/>
        <v>210</v>
      </c>
      <c r="J235" s="150">
        <f t="shared" si="31"/>
        <v>0</v>
      </c>
      <c r="K235" s="73">
        <v>210</v>
      </c>
      <c r="L235" s="538"/>
      <c r="M235" s="51"/>
      <c r="P235" s="545"/>
    </row>
    <row r="236" spans="2:16" ht="14.1" customHeight="1" outlineLevel="1">
      <c r="B236" s="102">
        <f t="shared" si="29"/>
        <v>5.1109999999999953</v>
      </c>
      <c r="C236" s="295" t="s">
        <v>821</v>
      </c>
      <c r="D236" s="64" t="s">
        <v>46</v>
      </c>
      <c r="E236" s="424">
        <v>1487.27</v>
      </c>
      <c r="F236" s="518">
        <v>17</v>
      </c>
      <c r="G236" s="65"/>
      <c r="H236" s="160">
        <v>17</v>
      </c>
      <c r="I236" s="160">
        <f t="shared" si="30"/>
        <v>25283.59</v>
      </c>
      <c r="J236" s="150">
        <f t="shared" si="31"/>
        <v>0</v>
      </c>
      <c r="K236" s="73">
        <v>25283.59</v>
      </c>
      <c r="L236" s="538"/>
      <c r="M236" s="51"/>
      <c r="P236" s="545"/>
    </row>
    <row r="237" spans="2:16" ht="14.1" customHeight="1">
      <c r="B237" s="164">
        <f>B226+0.01</f>
        <v>5.1199999999999974</v>
      </c>
      <c r="C237" s="304" t="s">
        <v>822</v>
      </c>
      <c r="D237" s="280"/>
      <c r="E237" s="424"/>
      <c r="F237" s="519"/>
      <c r="G237" s="69"/>
      <c r="H237" s="160"/>
      <c r="I237" s="160"/>
      <c r="J237" s="150"/>
      <c r="K237" s="73"/>
      <c r="L237" s="537">
        <v>38695.199999999997</v>
      </c>
      <c r="M237" s="591"/>
      <c r="N237" s="571"/>
      <c r="O237" s="571"/>
      <c r="P237" s="592"/>
    </row>
    <row r="238" spans="2:16" ht="14.1" customHeight="1" outlineLevel="1">
      <c r="B238" s="102">
        <f>B237+0.0001</f>
        <v>5.1200999999999972</v>
      </c>
      <c r="C238" s="295" t="s">
        <v>823</v>
      </c>
      <c r="D238" s="64" t="s">
        <v>36</v>
      </c>
      <c r="E238" s="424">
        <v>225</v>
      </c>
      <c r="F238" s="518">
        <v>57.34</v>
      </c>
      <c r="G238" s="65"/>
      <c r="H238" s="160">
        <v>57.34</v>
      </c>
      <c r="I238" s="160">
        <f>+ROUND(E238*F238,2)</f>
        <v>12901.5</v>
      </c>
      <c r="J238" s="150">
        <f>+ROUND(E238*G238,2)</f>
        <v>0</v>
      </c>
      <c r="K238" s="73">
        <v>12901.5</v>
      </c>
      <c r="L238" s="538"/>
      <c r="M238" s="51"/>
      <c r="P238" s="545"/>
    </row>
    <row r="239" spans="2:16" ht="14.1" customHeight="1" outlineLevel="1">
      <c r="B239" s="436">
        <f>B238+0.0001</f>
        <v>5.120199999999997</v>
      </c>
      <c r="C239" s="44" t="s">
        <v>824</v>
      </c>
      <c r="D239" s="64" t="s">
        <v>36</v>
      </c>
      <c r="E239" s="424">
        <v>18</v>
      </c>
      <c r="F239" s="518">
        <v>175.97</v>
      </c>
      <c r="G239" s="65"/>
      <c r="H239" s="160">
        <v>175.97</v>
      </c>
      <c r="I239" s="160">
        <f>+ROUND(E239*F239,2)</f>
        <v>3167.46</v>
      </c>
      <c r="J239" s="150">
        <f>+ROUND(E239*G239,2)</f>
        <v>0</v>
      </c>
      <c r="K239" s="73">
        <v>3167.46</v>
      </c>
      <c r="L239" s="538"/>
      <c r="M239" s="51"/>
      <c r="P239" s="545"/>
    </row>
    <row r="240" spans="2:16" outlineLevel="1">
      <c r="B240" s="436">
        <f>B239+0.0001</f>
        <v>5.1202999999999967</v>
      </c>
      <c r="C240" s="432" t="s">
        <v>825</v>
      </c>
      <c r="D240" s="64" t="s">
        <v>36</v>
      </c>
      <c r="E240" s="424">
        <v>336</v>
      </c>
      <c r="F240" s="517">
        <v>67.34</v>
      </c>
      <c r="G240" s="65"/>
      <c r="H240" s="160">
        <v>67.34</v>
      </c>
      <c r="I240" s="160">
        <f>+ROUND(E240*F240,2)</f>
        <v>22626.240000000002</v>
      </c>
      <c r="J240" s="150">
        <f>+ROUND(E240*G240,2)</f>
        <v>0</v>
      </c>
      <c r="K240" s="73">
        <v>22626.240000000002</v>
      </c>
      <c r="L240" s="538"/>
      <c r="M240" s="51"/>
      <c r="P240" s="545"/>
    </row>
    <row r="241" spans="2:16" ht="14.1" customHeight="1">
      <c r="B241" s="164">
        <f>B237+0.01</f>
        <v>5.1299999999999972</v>
      </c>
      <c r="C241" s="304" t="s">
        <v>826</v>
      </c>
      <c r="D241" s="280"/>
      <c r="E241" s="424"/>
      <c r="F241" s="519"/>
      <c r="G241" s="69"/>
      <c r="H241" s="160"/>
      <c r="I241" s="160"/>
      <c r="J241" s="150"/>
      <c r="K241" s="73"/>
      <c r="L241" s="576">
        <v>48.4</v>
      </c>
      <c r="M241" s="584"/>
      <c r="N241" s="620"/>
      <c r="O241" s="620"/>
      <c r="P241" s="585"/>
    </row>
    <row r="242" spans="2:16" ht="14.1" customHeight="1" outlineLevel="2">
      <c r="B242" s="299">
        <f>B241+0.0001</f>
        <v>5.130099999999997</v>
      </c>
      <c r="C242" s="258" t="s">
        <v>827</v>
      </c>
      <c r="D242" s="64" t="s">
        <v>36</v>
      </c>
      <c r="E242" s="424">
        <v>2</v>
      </c>
      <c r="F242" s="517">
        <v>24.2</v>
      </c>
      <c r="G242" s="81">
        <v>0</v>
      </c>
      <c r="H242" s="160">
        <v>24.2</v>
      </c>
      <c r="I242" s="160">
        <f t="shared" ref="I242:I249" si="32">+ROUND(E242*F242,2)</f>
        <v>48.4</v>
      </c>
      <c r="J242" s="150">
        <f t="shared" ref="J242:J249" si="33">+ROUND(E242*G242,2)</f>
        <v>0</v>
      </c>
      <c r="K242" s="73">
        <v>48.4</v>
      </c>
      <c r="L242" s="538"/>
      <c r="M242" s="51"/>
      <c r="P242" s="545"/>
    </row>
    <row r="243" spans="2:16" ht="14.1" customHeight="1">
      <c r="B243" s="164">
        <f>B241+0.01</f>
        <v>5.139999999999997</v>
      </c>
      <c r="C243" s="304" t="s">
        <v>828</v>
      </c>
      <c r="D243" s="280"/>
      <c r="E243" s="424"/>
      <c r="F243" s="519"/>
      <c r="G243" s="69"/>
      <c r="H243" s="160">
        <v>0</v>
      </c>
      <c r="I243" s="160">
        <f t="shared" si="32"/>
        <v>0</v>
      </c>
      <c r="J243" s="150">
        <f t="shared" si="33"/>
        <v>0</v>
      </c>
      <c r="K243" s="73">
        <v>0</v>
      </c>
      <c r="L243" s="537">
        <v>29492.699999999997</v>
      </c>
      <c r="M243" s="591"/>
      <c r="N243" s="571"/>
      <c r="O243" s="571"/>
      <c r="P243" s="592"/>
    </row>
    <row r="244" spans="2:16" ht="14.1" customHeight="1">
      <c r="B244" s="436">
        <f t="shared" ref="B244:B249" si="34">B243+0.0001</f>
        <v>5.1400999999999968</v>
      </c>
      <c r="C244" s="295" t="s">
        <v>829</v>
      </c>
      <c r="D244" s="64" t="s">
        <v>36</v>
      </c>
      <c r="E244" s="424">
        <v>15</v>
      </c>
      <c r="F244" s="517"/>
      <c r="G244" s="435">
        <v>23.92</v>
      </c>
      <c r="H244" s="160">
        <v>89.7</v>
      </c>
      <c r="I244" s="160">
        <f t="shared" si="32"/>
        <v>0</v>
      </c>
      <c r="J244" s="150">
        <f t="shared" si="33"/>
        <v>358.8</v>
      </c>
      <c r="K244" s="73">
        <v>1345.5</v>
      </c>
      <c r="L244" s="575"/>
      <c r="M244" s="586"/>
      <c r="N244" s="570"/>
      <c r="O244" s="570"/>
      <c r="P244" s="587"/>
    </row>
    <row r="245" spans="2:16" ht="14.1" customHeight="1">
      <c r="B245" s="436">
        <f t="shared" si="34"/>
        <v>5.1401999999999965</v>
      </c>
      <c r="C245" s="295" t="s">
        <v>830</v>
      </c>
      <c r="D245" s="64" t="s">
        <v>36</v>
      </c>
      <c r="E245" s="424">
        <v>195</v>
      </c>
      <c r="F245" s="517"/>
      <c r="G245" s="435">
        <v>35.119999999999997</v>
      </c>
      <c r="H245" s="160">
        <v>131.69999999999999</v>
      </c>
      <c r="I245" s="160">
        <f t="shared" si="32"/>
        <v>0</v>
      </c>
      <c r="J245" s="150">
        <f t="shared" si="33"/>
        <v>6848.4</v>
      </c>
      <c r="K245" s="73">
        <v>25681.5</v>
      </c>
      <c r="L245" s="575"/>
      <c r="M245" s="586"/>
      <c r="N245" s="570"/>
      <c r="O245" s="570"/>
      <c r="P245" s="587"/>
    </row>
    <row r="246" spans="2:16" ht="14.1" customHeight="1">
      <c r="B246" s="436">
        <f t="shared" si="34"/>
        <v>5.1402999999999963</v>
      </c>
      <c r="C246" s="295" t="s">
        <v>831</v>
      </c>
      <c r="D246" s="64" t="s">
        <v>36</v>
      </c>
      <c r="E246" s="424">
        <v>22</v>
      </c>
      <c r="F246" s="517"/>
      <c r="G246" s="441">
        <v>6.81</v>
      </c>
      <c r="H246" s="482">
        <v>25.54</v>
      </c>
      <c r="I246" s="160">
        <f t="shared" si="32"/>
        <v>0</v>
      </c>
      <c r="J246" s="477">
        <f t="shared" si="33"/>
        <v>149.82</v>
      </c>
      <c r="K246" s="476">
        <v>561.83000000000004</v>
      </c>
      <c r="L246" s="575"/>
      <c r="M246" s="586"/>
      <c r="N246" s="570"/>
      <c r="O246" s="570"/>
      <c r="P246" s="587"/>
    </row>
    <row r="247" spans="2:16" ht="14.1" customHeight="1">
      <c r="B247" s="436">
        <f t="shared" si="34"/>
        <v>5.1403999999999961</v>
      </c>
      <c r="C247" s="295"/>
      <c r="D247" s="64" t="s">
        <v>36</v>
      </c>
      <c r="E247" s="424">
        <v>22</v>
      </c>
      <c r="F247" s="517"/>
      <c r="G247" s="441">
        <v>1.39</v>
      </c>
      <c r="H247" s="482">
        <v>5.21</v>
      </c>
      <c r="I247" s="160">
        <f t="shared" si="32"/>
        <v>0</v>
      </c>
      <c r="J247" s="477">
        <f t="shared" si="33"/>
        <v>30.58</v>
      </c>
      <c r="K247" s="476">
        <v>114.68</v>
      </c>
      <c r="L247" s="575"/>
      <c r="M247" s="586"/>
      <c r="N247" s="570"/>
      <c r="O247" s="570"/>
      <c r="P247" s="587"/>
    </row>
    <row r="248" spans="2:16" ht="14.1" customHeight="1">
      <c r="B248" s="436">
        <f t="shared" si="34"/>
        <v>5.1404999999999959</v>
      </c>
      <c r="C248" s="295" t="s">
        <v>832</v>
      </c>
      <c r="D248" s="64" t="s">
        <v>36</v>
      </c>
      <c r="E248" s="424">
        <v>56</v>
      </c>
      <c r="F248" s="517"/>
      <c r="G248" s="435">
        <v>6.72</v>
      </c>
      <c r="H248" s="160">
        <v>25.2</v>
      </c>
      <c r="I248" s="160">
        <f t="shared" si="32"/>
        <v>0</v>
      </c>
      <c r="J248" s="150">
        <f t="shared" si="33"/>
        <v>376.32</v>
      </c>
      <c r="K248" s="73">
        <v>1411.2</v>
      </c>
      <c r="L248" s="575"/>
      <c r="M248" s="586"/>
      <c r="N248" s="570"/>
      <c r="O248" s="570"/>
      <c r="P248" s="587"/>
    </row>
    <row r="249" spans="2:16" ht="14.1" customHeight="1">
      <c r="B249" s="436">
        <f t="shared" si="34"/>
        <v>5.1405999999999956</v>
      </c>
      <c r="C249" s="295" t="s">
        <v>833</v>
      </c>
      <c r="D249" s="64" t="s">
        <v>36</v>
      </c>
      <c r="E249" s="424">
        <v>15</v>
      </c>
      <c r="F249" s="517"/>
      <c r="G249" s="435">
        <v>6.72</v>
      </c>
      <c r="H249" s="160">
        <v>25.2</v>
      </c>
      <c r="I249" s="160">
        <f t="shared" si="32"/>
        <v>0</v>
      </c>
      <c r="J249" s="150">
        <f t="shared" si="33"/>
        <v>100.8</v>
      </c>
      <c r="K249" s="73">
        <v>378</v>
      </c>
      <c r="L249" s="575"/>
      <c r="M249" s="586"/>
      <c r="N249" s="570"/>
      <c r="O249" s="570"/>
      <c r="P249" s="587"/>
    </row>
    <row r="250" spans="2:16" ht="14.1" customHeight="1">
      <c r="B250" s="164">
        <f>B243+0.01</f>
        <v>5.1499999999999968</v>
      </c>
      <c r="C250" s="304" t="s">
        <v>834</v>
      </c>
      <c r="D250" s="280"/>
      <c r="E250" s="424"/>
      <c r="F250" s="519"/>
      <c r="G250" s="69"/>
      <c r="H250" s="160"/>
      <c r="I250" s="160"/>
      <c r="J250" s="150"/>
      <c r="K250" s="73"/>
      <c r="L250" s="537">
        <v>2842.5</v>
      </c>
      <c r="M250" s="591"/>
      <c r="N250" s="571"/>
      <c r="O250" s="571"/>
      <c r="P250" s="592"/>
    </row>
    <row r="251" spans="2:16" ht="14.1" customHeight="1">
      <c r="B251" s="436">
        <f t="shared" ref="B251:B263" si="35">B250+0.0001</f>
        <v>5.1500999999999966</v>
      </c>
      <c r="C251" s="44" t="s">
        <v>835</v>
      </c>
      <c r="D251" s="64" t="s">
        <v>36</v>
      </c>
      <c r="E251" s="424">
        <v>11</v>
      </c>
      <c r="F251" s="517">
        <v>85</v>
      </c>
      <c r="G251" s="65"/>
      <c r="H251" s="160">
        <v>85</v>
      </c>
      <c r="I251" s="160">
        <f t="shared" ref="I251:I263" si="36">+ROUND(E251*F251,2)</f>
        <v>935</v>
      </c>
      <c r="J251" s="150">
        <f t="shared" ref="J251:J263" si="37">+ROUND(E251*G251,2)</f>
        <v>0</v>
      </c>
      <c r="K251" s="73">
        <v>935</v>
      </c>
      <c r="L251" s="575"/>
      <c r="M251" s="586"/>
      <c r="N251" s="570"/>
      <c r="O251" s="570"/>
      <c r="P251" s="587"/>
    </row>
    <row r="252" spans="2:16" ht="14.1" customHeight="1">
      <c r="B252" s="436">
        <f t="shared" si="35"/>
        <v>5.1501999999999963</v>
      </c>
      <c r="C252" s="44" t="s">
        <v>836</v>
      </c>
      <c r="D252" s="64" t="s">
        <v>36</v>
      </c>
      <c r="E252" s="424">
        <v>1</v>
      </c>
      <c r="F252" s="517">
        <v>85</v>
      </c>
      <c r="G252" s="65"/>
      <c r="H252" s="160">
        <v>85</v>
      </c>
      <c r="I252" s="160">
        <f t="shared" si="36"/>
        <v>85</v>
      </c>
      <c r="J252" s="150">
        <f t="shared" si="37"/>
        <v>0</v>
      </c>
      <c r="K252" s="73">
        <v>85</v>
      </c>
      <c r="L252" s="575"/>
      <c r="M252" s="586"/>
      <c r="N252" s="570"/>
      <c r="O252" s="570"/>
      <c r="P252" s="587"/>
    </row>
    <row r="253" spans="2:16" ht="14.1" customHeight="1">
      <c r="B253" s="436">
        <f t="shared" si="35"/>
        <v>5.1502999999999961</v>
      </c>
      <c r="C253" s="44" t="s">
        <v>837</v>
      </c>
      <c r="D253" s="64" t="s">
        <v>36</v>
      </c>
      <c r="E253" s="424">
        <v>0</v>
      </c>
      <c r="F253" s="517">
        <v>13.5</v>
      </c>
      <c r="G253" s="65"/>
      <c r="H253" s="160">
        <v>13.5</v>
      </c>
      <c r="I253" s="160">
        <f t="shared" si="36"/>
        <v>0</v>
      </c>
      <c r="J253" s="150">
        <f t="shared" si="37"/>
        <v>0</v>
      </c>
      <c r="K253" s="73">
        <v>0</v>
      </c>
      <c r="L253" s="575"/>
      <c r="M253" s="586"/>
      <c r="N253" s="570"/>
      <c r="O253" s="570"/>
      <c r="P253" s="587"/>
    </row>
    <row r="254" spans="2:16" ht="14.1" customHeight="1">
      <c r="B254" s="436">
        <f t="shared" si="35"/>
        <v>5.1503999999999959</v>
      </c>
      <c r="C254" s="44" t="s">
        <v>838</v>
      </c>
      <c r="D254" s="64" t="s">
        <v>36</v>
      </c>
      <c r="E254" s="424">
        <v>26</v>
      </c>
      <c r="F254" s="517">
        <v>13.5</v>
      </c>
      <c r="G254" s="65"/>
      <c r="H254" s="160">
        <v>13.5</v>
      </c>
      <c r="I254" s="160">
        <f t="shared" si="36"/>
        <v>351</v>
      </c>
      <c r="J254" s="150">
        <f t="shared" si="37"/>
        <v>0</v>
      </c>
      <c r="K254" s="73">
        <v>351</v>
      </c>
      <c r="L254" s="575"/>
      <c r="M254" s="586"/>
      <c r="N254" s="570"/>
      <c r="O254" s="570"/>
      <c r="P254" s="587"/>
    </row>
    <row r="255" spans="2:16" ht="14.1" customHeight="1">
      <c r="B255" s="436">
        <f t="shared" si="35"/>
        <v>5.1504999999999956</v>
      </c>
      <c r="C255" s="44" t="s">
        <v>839</v>
      </c>
      <c r="D255" s="64" t="s">
        <v>36</v>
      </c>
      <c r="E255" s="424">
        <v>8</v>
      </c>
      <c r="F255" s="517">
        <v>13.5</v>
      </c>
      <c r="G255" s="65"/>
      <c r="H255" s="160">
        <v>13.5</v>
      </c>
      <c r="I255" s="160">
        <f t="shared" si="36"/>
        <v>108</v>
      </c>
      <c r="J255" s="150">
        <f t="shared" si="37"/>
        <v>0</v>
      </c>
      <c r="K255" s="73">
        <v>108</v>
      </c>
      <c r="L255" s="575"/>
      <c r="M255" s="586"/>
      <c r="N255" s="570"/>
      <c r="O255" s="570"/>
      <c r="P255" s="587"/>
    </row>
    <row r="256" spans="2:16" ht="14.1" customHeight="1">
      <c r="B256" s="436">
        <f t="shared" si="35"/>
        <v>5.1505999999999954</v>
      </c>
      <c r="C256" s="44" t="s">
        <v>840</v>
      </c>
      <c r="D256" s="64" t="s">
        <v>36</v>
      </c>
      <c r="E256" s="424">
        <v>28</v>
      </c>
      <c r="F256" s="517">
        <v>13.5</v>
      </c>
      <c r="G256" s="65"/>
      <c r="H256" s="160">
        <v>13.5</v>
      </c>
      <c r="I256" s="160">
        <f t="shared" si="36"/>
        <v>378</v>
      </c>
      <c r="J256" s="150">
        <f t="shared" si="37"/>
        <v>0</v>
      </c>
      <c r="K256" s="73">
        <v>378</v>
      </c>
      <c r="L256" s="575"/>
      <c r="M256" s="586"/>
      <c r="N256" s="570"/>
      <c r="O256" s="570"/>
      <c r="P256" s="587"/>
    </row>
    <row r="257" spans="1:16" ht="14.1" customHeight="1">
      <c r="B257" s="436">
        <f t="shared" si="35"/>
        <v>5.1506999999999952</v>
      </c>
      <c r="C257" s="44" t="s">
        <v>841</v>
      </c>
      <c r="D257" s="64" t="s">
        <v>36</v>
      </c>
      <c r="E257" s="424">
        <v>1</v>
      </c>
      <c r="F257" s="517">
        <v>13.5</v>
      </c>
      <c r="G257" s="65"/>
      <c r="H257" s="160">
        <v>13.5</v>
      </c>
      <c r="I257" s="160">
        <f t="shared" si="36"/>
        <v>13.5</v>
      </c>
      <c r="J257" s="150">
        <f t="shared" si="37"/>
        <v>0</v>
      </c>
      <c r="K257" s="73">
        <v>13.5</v>
      </c>
      <c r="L257" s="575"/>
      <c r="M257" s="586"/>
      <c r="N257" s="570"/>
      <c r="O257" s="570"/>
      <c r="P257" s="587"/>
    </row>
    <row r="258" spans="1:16" ht="14.1" customHeight="1">
      <c r="B258" s="436">
        <f t="shared" si="35"/>
        <v>5.1507999999999949</v>
      </c>
      <c r="C258" s="44" t="s">
        <v>842</v>
      </c>
      <c r="D258" s="64" t="s">
        <v>36</v>
      </c>
      <c r="E258" s="424">
        <v>0</v>
      </c>
      <c r="F258" s="517">
        <v>13.5</v>
      </c>
      <c r="G258" s="65"/>
      <c r="H258" s="160">
        <v>13.5</v>
      </c>
      <c r="I258" s="160">
        <f t="shared" si="36"/>
        <v>0</v>
      </c>
      <c r="J258" s="150">
        <f t="shared" si="37"/>
        <v>0</v>
      </c>
      <c r="K258" s="73">
        <v>0</v>
      </c>
      <c r="L258" s="575"/>
      <c r="M258" s="586"/>
      <c r="N258" s="570"/>
      <c r="O258" s="570"/>
      <c r="P258" s="587"/>
    </row>
    <row r="259" spans="1:16" ht="14.1" customHeight="1">
      <c r="B259" s="436">
        <f t="shared" si="35"/>
        <v>5.1508999999999947</v>
      </c>
      <c r="C259" s="44" t="s">
        <v>843</v>
      </c>
      <c r="D259" s="64" t="s">
        <v>36</v>
      </c>
      <c r="E259" s="424">
        <v>9</v>
      </c>
      <c r="F259" s="517">
        <v>13.5</v>
      </c>
      <c r="G259" s="65"/>
      <c r="H259" s="160">
        <v>13.5</v>
      </c>
      <c r="I259" s="160">
        <f t="shared" si="36"/>
        <v>121.5</v>
      </c>
      <c r="J259" s="150">
        <f t="shared" si="37"/>
        <v>0</v>
      </c>
      <c r="K259" s="73">
        <v>121.5</v>
      </c>
      <c r="L259" s="575"/>
      <c r="M259" s="586"/>
      <c r="N259" s="570"/>
      <c r="O259" s="570"/>
      <c r="P259" s="587"/>
    </row>
    <row r="260" spans="1:16" ht="14.1" customHeight="1" outlineLevel="1">
      <c r="B260" s="436">
        <f t="shared" si="35"/>
        <v>5.1509999999999945</v>
      </c>
      <c r="C260" s="44" t="s">
        <v>844</v>
      </c>
      <c r="D260" s="64" t="s">
        <v>36</v>
      </c>
      <c r="E260" s="424">
        <v>14</v>
      </c>
      <c r="F260" s="517">
        <v>13.5</v>
      </c>
      <c r="G260" s="65"/>
      <c r="H260" s="160">
        <v>13.5</v>
      </c>
      <c r="I260" s="160">
        <f t="shared" si="36"/>
        <v>189</v>
      </c>
      <c r="J260" s="150">
        <f t="shared" si="37"/>
        <v>0</v>
      </c>
      <c r="K260" s="73">
        <v>189</v>
      </c>
      <c r="L260" s="538"/>
      <c r="M260" s="51"/>
      <c r="P260" s="545"/>
    </row>
    <row r="261" spans="1:16" ht="14.1" customHeight="1" outlineLevel="1">
      <c r="B261" s="436">
        <f t="shared" si="35"/>
        <v>5.1510999999999942</v>
      </c>
      <c r="C261" s="44" t="s">
        <v>845</v>
      </c>
      <c r="D261" s="64" t="s">
        <v>36</v>
      </c>
      <c r="E261" s="424">
        <v>13</v>
      </c>
      <c r="F261" s="517">
        <v>13.5</v>
      </c>
      <c r="G261" s="65"/>
      <c r="H261" s="160">
        <v>13.5</v>
      </c>
      <c r="I261" s="160">
        <f t="shared" si="36"/>
        <v>175.5</v>
      </c>
      <c r="J261" s="150">
        <f t="shared" si="37"/>
        <v>0</v>
      </c>
      <c r="K261" s="73">
        <v>175.5</v>
      </c>
      <c r="L261" s="538"/>
      <c r="M261" s="51"/>
      <c r="P261" s="545"/>
    </row>
    <row r="262" spans="1:16" ht="14.1" customHeight="1" outlineLevel="1">
      <c r="B262" s="436">
        <f t="shared" si="35"/>
        <v>5.151199999999994</v>
      </c>
      <c r="C262" s="44" t="s">
        <v>846</v>
      </c>
      <c r="D262" s="64" t="s">
        <v>36</v>
      </c>
      <c r="E262" s="424">
        <v>0</v>
      </c>
      <c r="F262" s="517">
        <v>13.5</v>
      </c>
      <c r="G262" s="65"/>
      <c r="H262" s="160">
        <v>13.5</v>
      </c>
      <c r="I262" s="160">
        <f t="shared" si="36"/>
        <v>0</v>
      </c>
      <c r="J262" s="150">
        <f t="shared" si="37"/>
        <v>0</v>
      </c>
      <c r="K262" s="73">
        <v>0</v>
      </c>
      <c r="L262" s="538"/>
      <c r="M262" s="51"/>
      <c r="P262" s="545"/>
    </row>
    <row r="263" spans="1:16" ht="14.1" customHeight="1" outlineLevel="1">
      <c r="B263" s="436">
        <f t="shared" si="35"/>
        <v>5.1512999999999938</v>
      </c>
      <c r="C263" s="44" t="s">
        <v>847</v>
      </c>
      <c r="D263" s="64" t="s">
        <v>36</v>
      </c>
      <c r="E263" s="424">
        <v>36</v>
      </c>
      <c r="F263" s="517">
        <v>13.5</v>
      </c>
      <c r="G263" s="65"/>
      <c r="H263" s="160">
        <v>13.5</v>
      </c>
      <c r="I263" s="160">
        <f t="shared" si="36"/>
        <v>486</v>
      </c>
      <c r="J263" s="150">
        <f t="shared" si="37"/>
        <v>0</v>
      </c>
      <c r="K263" s="73">
        <v>486</v>
      </c>
      <c r="L263" s="538"/>
      <c r="M263" s="51"/>
      <c r="P263" s="545"/>
    </row>
    <row r="264" spans="1:16">
      <c r="A264" s="164" t="e">
        <f>#REF!+0.01</f>
        <v>#REF!</v>
      </c>
      <c r="B264" s="164">
        <f>B250+0.01</f>
        <v>5.1599999999999966</v>
      </c>
      <c r="C264" s="304" t="s">
        <v>848</v>
      </c>
      <c r="D264" s="92"/>
      <c r="E264" s="426"/>
      <c r="F264" s="519"/>
      <c r="G264" s="69"/>
      <c r="H264" s="160"/>
      <c r="I264" s="160"/>
      <c r="J264" s="150"/>
      <c r="K264" s="73"/>
      <c r="L264" s="537">
        <v>8450</v>
      </c>
      <c r="M264" s="591"/>
      <c r="N264" s="571"/>
      <c r="O264" s="571"/>
      <c r="P264" s="592"/>
    </row>
    <row r="265" spans="1:16" ht="13.15" customHeight="1" outlineLevel="1">
      <c r="B265" s="102">
        <f>B264+0.0001</f>
        <v>5.1600999999999964</v>
      </c>
      <c r="C265" s="295" t="s">
        <v>849</v>
      </c>
      <c r="D265" s="64" t="s">
        <v>36</v>
      </c>
      <c r="E265" s="424">
        <v>35</v>
      </c>
      <c r="F265" s="517">
        <v>75</v>
      </c>
      <c r="G265" s="81"/>
      <c r="H265" s="160">
        <v>75</v>
      </c>
      <c r="I265" s="160">
        <f>+ROUND(E265*F265,2)</f>
        <v>2625</v>
      </c>
      <c r="J265" s="150">
        <f>+ROUND(E265*G265,2)</f>
        <v>0</v>
      </c>
      <c r="K265" s="73">
        <v>2625</v>
      </c>
      <c r="L265" s="538"/>
      <c r="M265" s="51"/>
      <c r="P265" s="545"/>
    </row>
    <row r="266" spans="1:16" ht="13.15" customHeight="1" outlineLevel="1">
      <c r="B266" s="102">
        <f>B265+0.0001</f>
        <v>5.1601999999999961</v>
      </c>
      <c r="C266" s="295" t="s">
        <v>850</v>
      </c>
      <c r="D266" s="64" t="s">
        <v>36</v>
      </c>
      <c r="E266" s="424">
        <v>3</v>
      </c>
      <c r="F266" s="517">
        <v>295</v>
      </c>
      <c r="G266" s="81"/>
      <c r="H266" s="160">
        <v>295</v>
      </c>
      <c r="I266" s="160">
        <f>+ROUND(E266*F266,2)</f>
        <v>885</v>
      </c>
      <c r="J266" s="150">
        <f>+ROUND(E266*G266,2)</f>
        <v>0</v>
      </c>
      <c r="K266" s="73">
        <v>885</v>
      </c>
      <c r="L266" s="538"/>
      <c r="M266" s="51"/>
      <c r="P266" s="545"/>
    </row>
    <row r="267" spans="1:16" ht="13.15" customHeight="1" outlineLevel="1">
      <c r="B267" s="102">
        <f>B266+0.0001</f>
        <v>5.1602999999999959</v>
      </c>
      <c r="C267" s="307" t="s">
        <v>851</v>
      </c>
      <c r="D267" s="64" t="s">
        <v>36</v>
      </c>
      <c r="E267" s="424">
        <v>38</v>
      </c>
      <c r="F267" s="517">
        <v>130</v>
      </c>
      <c r="G267" s="81"/>
      <c r="H267" s="160">
        <v>130</v>
      </c>
      <c r="I267" s="160">
        <f>+ROUND(E267*F267,2)</f>
        <v>4940</v>
      </c>
      <c r="J267" s="150">
        <f>+ROUND(E267*G267,2)</f>
        <v>0</v>
      </c>
      <c r="K267" s="73">
        <v>4940</v>
      </c>
      <c r="L267" s="538"/>
      <c r="M267" s="51"/>
      <c r="P267" s="545"/>
    </row>
    <row r="268" spans="1:16" ht="14.1" customHeight="1">
      <c r="B268" s="164">
        <f>B264+0.01</f>
        <v>5.1699999999999964</v>
      </c>
      <c r="C268" s="304" t="s">
        <v>315</v>
      </c>
      <c r="D268" s="280"/>
      <c r="E268" s="424"/>
      <c r="F268" s="519"/>
      <c r="G268" s="69"/>
      <c r="H268" s="160"/>
      <c r="I268" s="160"/>
      <c r="J268" s="150"/>
      <c r="K268" s="73"/>
      <c r="L268" s="576">
        <v>15650</v>
      </c>
      <c r="M268" s="584"/>
      <c r="N268" s="620"/>
      <c r="O268" s="620"/>
      <c r="P268" s="585"/>
    </row>
    <row r="269" spans="1:16" ht="14.1" customHeight="1">
      <c r="B269" s="436">
        <f>B268+0.0001</f>
        <v>5.1700999999999961</v>
      </c>
      <c r="C269" s="440" t="s">
        <v>852</v>
      </c>
      <c r="D269" s="437" t="s">
        <v>36</v>
      </c>
      <c r="E269" s="438">
        <v>71</v>
      </c>
      <c r="F269" s="520">
        <v>190</v>
      </c>
      <c r="G269" s="65"/>
      <c r="H269" s="160">
        <v>190</v>
      </c>
      <c r="I269" s="160">
        <f>+ROUND(E269*F269,2)</f>
        <v>13490</v>
      </c>
      <c r="J269" s="150">
        <f>+ROUND(E269*G269,2)</f>
        <v>0</v>
      </c>
      <c r="K269" s="73">
        <v>13490</v>
      </c>
      <c r="L269" s="575"/>
      <c r="M269" s="586"/>
      <c r="N269" s="570"/>
      <c r="O269" s="570"/>
      <c r="P269" s="587"/>
    </row>
    <row r="270" spans="1:16" ht="14.1" customHeight="1" outlineLevel="1">
      <c r="B270" s="436">
        <f>B269+0.0001</f>
        <v>5.1701999999999959</v>
      </c>
      <c r="C270" s="295" t="s">
        <v>853</v>
      </c>
      <c r="D270" s="64" t="s">
        <v>36</v>
      </c>
      <c r="E270" s="424">
        <f>SUM(E141:E179)+E182</f>
        <v>47</v>
      </c>
      <c r="F270" s="518">
        <v>35</v>
      </c>
      <c r="G270" s="65"/>
      <c r="H270" s="160">
        <v>35</v>
      </c>
      <c r="I270" s="160">
        <f>+ROUND(E270*F270,2)</f>
        <v>1645</v>
      </c>
      <c r="J270" s="150">
        <f>+ROUND(E270*G270,2)</f>
        <v>0</v>
      </c>
      <c r="K270" s="73">
        <v>1645</v>
      </c>
      <c r="L270" s="538"/>
      <c r="M270" s="51"/>
      <c r="P270" s="545"/>
    </row>
    <row r="271" spans="1:16" ht="14.1" customHeight="1" outlineLevel="1">
      <c r="B271" s="436">
        <f>B270+0.0001</f>
        <v>5.1702999999999957</v>
      </c>
      <c r="C271" s="295" t="s">
        <v>854</v>
      </c>
      <c r="D271" s="64" t="s">
        <v>36</v>
      </c>
      <c r="E271" s="424">
        <v>6</v>
      </c>
      <c r="F271" s="518">
        <v>80</v>
      </c>
      <c r="G271" s="65"/>
      <c r="H271" s="160">
        <v>80</v>
      </c>
      <c r="I271" s="160">
        <f>+ROUND(E271*F271,2)</f>
        <v>480</v>
      </c>
      <c r="J271" s="150">
        <f>+ROUND(E271*G271,2)</f>
        <v>0</v>
      </c>
      <c r="K271" s="73">
        <v>480</v>
      </c>
      <c r="L271" s="538"/>
      <c r="M271" s="51"/>
      <c r="P271" s="545"/>
    </row>
    <row r="272" spans="1:16" ht="14.1" customHeight="1" outlineLevel="1" thickBot="1">
      <c r="B272" s="102">
        <f>B271+0.0001</f>
        <v>5.1703999999999954</v>
      </c>
      <c r="C272" s="295" t="s">
        <v>855</v>
      </c>
      <c r="D272" s="64" t="s">
        <v>36</v>
      </c>
      <c r="E272" s="424">
        <v>1</v>
      </c>
      <c r="F272" s="518">
        <v>35</v>
      </c>
      <c r="G272" s="65"/>
      <c r="H272" s="160">
        <v>35</v>
      </c>
      <c r="I272" s="160">
        <f>+ROUND(E272*F272,2)</f>
        <v>35</v>
      </c>
      <c r="J272" s="150">
        <f>+ROUND(E272*G272,2)</f>
        <v>0</v>
      </c>
      <c r="K272" s="73">
        <v>35</v>
      </c>
      <c r="L272" s="538"/>
      <c r="M272" s="96"/>
      <c r="N272" s="546"/>
      <c r="O272" s="546"/>
      <c r="P272" s="547"/>
    </row>
    <row r="273" spans="2:16" s="50" customFormat="1" ht="14.1" customHeight="1" collapsed="1" thickTop="1" thickBot="1">
      <c r="B273" s="89"/>
      <c r="C273" s="90"/>
      <c r="D273" s="90"/>
      <c r="E273" s="427"/>
      <c r="F273" s="521" t="s">
        <v>11</v>
      </c>
      <c r="G273" s="174"/>
      <c r="H273" s="174"/>
      <c r="I273" s="77">
        <f>SUM(I12:I272)</f>
        <v>1069106.1000000001</v>
      </c>
      <c r="J273" s="78">
        <f>SUM(J12:J272)</f>
        <v>26799.399999999998</v>
      </c>
      <c r="K273" s="77">
        <v>1169603.8900000001</v>
      </c>
      <c r="L273" s="82">
        <v>1169603.8500000001</v>
      </c>
      <c r="M273" s="572"/>
      <c r="N273" s="572">
        <f>SUM(N13:N272)</f>
        <v>221209.02719999998</v>
      </c>
      <c r="O273" s="572"/>
      <c r="P273" s="618">
        <f>SUM(P13:P272)</f>
        <v>11935.798999999999</v>
      </c>
    </row>
    <row r="274" spans="2:16" ht="12" thickTop="1"/>
  </sheetData>
  <mergeCells count="2">
    <mergeCell ref="B2:L2"/>
    <mergeCell ref="M9:P9"/>
  </mergeCells>
  <conditionalFormatting sqref="I12:J14">
    <cfRule type="cellIs" dxfId="5" priority="2" stopIfTrue="1" operator="equal">
      <formula>0</formula>
    </cfRule>
  </conditionalFormatting>
  <dataValidations disablePrompts="1" count="1">
    <dataValidation type="list" allowBlank="1" showInputMessage="1" showErrorMessage="1" sqref="C70 C89" xr:uid="{F5D482AD-1D1D-4A3F-9B6D-ED6A8ACA81B0}">
      <formula1>#REF!</formula1>
    </dataValidation>
  </dataValidations>
  <pageMargins left="0.7" right="0.7" top="0.75" bottom="0.75" header="0.3" footer="0.3"/>
  <ignoredErrors>
    <ignoredError sqref="C11 I273:J273 I13:J14 I12:J12" unlockedFormula="1"/>
    <ignoredError sqref="B136 B130:B131 B52:B53 B197:B198 B180:B182 B226:B238 B23 B65 B45 B34 B250 B241:B243 B39:B41 B222:B224 B37 B59:B60 B108:B116 B125:B126 B200 B264:B268"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8BBD8-7676-46B5-85F1-048A0B5B7D4E}">
  <sheetPr>
    <outlinePr summaryBelow="0" summaryRight="0"/>
  </sheetPr>
  <dimension ref="A1:P904"/>
  <sheetViews>
    <sheetView topLeftCell="C133" zoomScale="81" zoomScaleNormal="81" workbookViewId="0">
      <selection activeCell="K133" sqref="K1:K1048576"/>
    </sheetView>
  </sheetViews>
  <sheetFormatPr defaultColWidth="7.85546875" defaultRowHeight="11.25" outlineLevelRow="4"/>
  <cols>
    <col min="1" max="1" width="0.140625" style="9" customWidth="1"/>
    <col min="2" max="2" width="10.5703125" style="46" customWidth="1"/>
    <col min="3" max="3" width="68.85546875" style="4" customWidth="1"/>
    <col min="4" max="4" width="16" style="9" customWidth="1"/>
    <col min="5" max="5" width="15.42578125" style="9" customWidth="1"/>
    <col min="6" max="6" width="14.140625" style="4" customWidth="1"/>
    <col min="7" max="7" width="11.85546875" style="4" customWidth="1"/>
    <col min="8" max="8" width="12" style="4" customWidth="1"/>
    <col min="9" max="9" width="17.28515625" style="4" customWidth="1"/>
    <col min="10" max="10" width="15" style="4" customWidth="1"/>
    <col min="11" max="11" width="17" style="4" customWidth="1"/>
    <col min="12" max="16" width="21.28515625" style="4" customWidth="1"/>
    <col min="17" max="16384" width="7.85546875" style="4"/>
  </cols>
  <sheetData>
    <row r="1" spans="2:16" ht="14.25" customHeight="1">
      <c r="B1" s="25"/>
      <c r="C1" s="2"/>
      <c r="D1" s="3"/>
      <c r="E1" s="3"/>
      <c r="F1" s="2"/>
      <c r="G1" s="2"/>
      <c r="H1" s="2"/>
      <c r="I1" s="2"/>
    </row>
    <row r="2" spans="2:16" ht="14.25" customHeight="1">
      <c r="B2" s="1" t="s">
        <v>9</v>
      </c>
      <c r="C2" s="1"/>
      <c r="D2" s="1"/>
      <c r="E2" s="1"/>
      <c r="F2" s="1"/>
      <c r="G2" s="1"/>
      <c r="H2" s="1"/>
      <c r="I2" s="1"/>
      <c r="J2" s="1"/>
      <c r="K2" s="1"/>
      <c r="L2" s="1"/>
      <c r="M2" s="569"/>
      <c r="N2" s="569"/>
      <c r="O2" s="569"/>
      <c r="P2" s="569"/>
    </row>
    <row r="3" spans="2:16" ht="14.25" customHeight="1">
      <c r="B3" s="25"/>
      <c r="C3" s="2"/>
      <c r="D3" s="3"/>
      <c r="E3" s="3"/>
      <c r="F3" s="2"/>
      <c r="G3" s="2"/>
      <c r="H3" s="2"/>
      <c r="I3" s="2"/>
    </row>
    <row r="4" spans="2:16" ht="14.25" customHeight="1">
      <c r="B4" s="5" t="s">
        <v>0</v>
      </c>
      <c r="C4" s="58" t="e">
        <f>OP!$B$4</f>
        <v>#REF!</v>
      </c>
      <c r="D4" s="3"/>
      <c r="E4" s="3"/>
      <c r="F4" s="2"/>
      <c r="G4" s="2"/>
      <c r="H4" s="2"/>
      <c r="I4" s="2"/>
    </row>
    <row r="5" spans="2:16" ht="14.25" customHeight="1">
      <c r="B5" s="5" t="s">
        <v>13</v>
      </c>
      <c r="C5" s="58" t="str">
        <f>$B$2</f>
        <v>ARQUITECTURA TORRE</v>
      </c>
      <c r="D5" s="3"/>
      <c r="E5" s="3"/>
      <c r="F5" s="2"/>
      <c r="G5" s="2"/>
      <c r="H5" s="2"/>
      <c r="I5" s="2"/>
    </row>
    <row r="6" spans="2:16" ht="14.25" customHeight="1">
      <c r="B6" s="5" t="s">
        <v>1</v>
      </c>
      <c r="C6" s="59" t="e">
        <f>OP!$B$6</f>
        <v>#REF!</v>
      </c>
      <c r="D6" s="3"/>
      <c r="E6" s="390"/>
      <c r="L6" s="259"/>
      <c r="M6" s="259"/>
      <c r="N6" s="259"/>
      <c r="O6" s="259"/>
      <c r="P6" s="259"/>
    </row>
    <row r="7" spans="2:16" ht="14.25" customHeight="1">
      <c r="B7" s="5" t="s">
        <v>2</v>
      </c>
      <c r="C7" s="59" t="e">
        <f>OP!$B$7</f>
        <v>#REF!</v>
      </c>
      <c r="D7" s="3"/>
      <c r="E7" s="390"/>
      <c r="F7" s="2"/>
      <c r="G7" s="2"/>
      <c r="H7" s="2"/>
      <c r="I7" s="2"/>
    </row>
    <row r="8" spans="2:16" ht="14.25" customHeight="1" thickBot="1">
      <c r="B8" s="2" t="s">
        <v>14</v>
      </c>
      <c r="C8" s="8" t="e">
        <f>#REF!</f>
        <v>#REF!</v>
      </c>
      <c r="D8" s="3"/>
      <c r="E8" s="390"/>
      <c r="F8" s="2"/>
      <c r="G8" s="2"/>
      <c r="H8" s="2"/>
      <c r="I8" s="2"/>
      <c r="L8" s="94"/>
      <c r="M8" s="94"/>
      <c r="N8" s="94"/>
      <c r="O8" s="94"/>
      <c r="P8" s="94"/>
    </row>
    <row r="9" spans="2:16" ht="14.25" customHeight="1" thickBot="1">
      <c r="B9" s="2"/>
      <c r="C9" s="60"/>
      <c r="D9" s="3"/>
      <c r="E9" s="3"/>
      <c r="F9" s="2"/>
      <c r="G9" s="2"/>
      <c r="H9" s="2"/>
      <c r="I9" s="2"/>
      <c r="M9" s="695" t="s">
        <v>623</v>
      </c>
      <c r="N9" s="696"/>
      <c r="O9" s="696"/>
      <c r="P9" s="697"/>
    </row>
    <row r="10" spans="2:16" ht="24" thickTop="1" thickBot="1">
      <c r="B10" s="10" t="s">
        <v>4</v>
      </c>
      <c r="C10" s="11" t="s">
        <v>15</v>
      </c>
      <c r="D10" s="11" t="s">
        <v>16</v>
      </c>
      <c r="E10" s="56" t="s">
        <v>419</v>
      </c>
      <c r="F10" s="12" t="s">
        <v>18</v>
      </c>
      <c r="G10" s="12" t="s">
        <v>19</v>
      </c>
      <c r="H10" s="56" t="s">
        <v>420</v>
      </c>
      <c r="I10" s="56" t="s">
        <v>21</v>
      </c>
      <c r="J10" s="56" t="s">
        <v>22</v>
      </c>
      <c r="K10" s="56" t="s">
        <v>624</v>
      </c>
      <c r="L10" s="573" t="s">
        <v>12</v>
      </c>
      <c r="M10" s="578" t="s">
        <v>18</v>
      </c>
      <c r="N10" s="579" t="s">
        <v>21</v>
      </c>
      <c r="O10" s="580" t="s">
        <v>19</v>
      </c>
      <c r="P10" s="581" t="s">
        <v>22</v>
      </c>
    </row>
    <row r="11" spans="2:16" ht="14.1" customHeight="1" thickTop="1" thickBot="1">
      <c r="B11" s="49" t="s">
        <v>856</v>
      </c>
      <c r="C11" s="260" t="str">
        <f>$B$2</f>
        <v>ARQUITECTURA TORRE</v>
      </c>
      <c r="D11" s="16"/>
      <c r="E11" s="16"/>
      <c r="F11" s="17"/>
      <c r="G11" s="17"/>
      <c r="H11" s="17"/>
      <c r="I11" s="54"/>
      <c r="J11" s="55"/>
      <c r="K11" s="232"/>
      <c r="L11" s="232"/>
      <c r="M11" s="582"/>
      <c r="N11" s="115"/>
      <c r="O11" s="115"/>
      <c r="P11" s="583"/>
    </row>
    <row r="12" spans="2:16" ht="14.1" customHeight="1" thickTop="1">
      <c r="B12" s="163">
        <f>B11+0.01</f>
        <v>6.01</v>
      </c>
      <c r="C12" s="261" t="s">
        <v>626</v>
      </c>
      <c r="D12" s="262"/>
      <c r="E12" s="263"/>
      <c r="F12" s="264" t="s">
        <v>7</v>
      </c>
      <c r="G12" s="264"/>
      <c r="H12" s="63" t="s">
        <v>7</v>
      </c>
      <c r="I12" s="265" t="str">
        <f t="shared" ref="I12:J14" si="0">IFERROR(IF($E12=0,"",$E12*F12),"")</f>
        <v/>
      </c>
      <c r="J12" s="266" t="str">
        <f t="shared" si="0"/>
        <v/>
      </c>
      <c r="K12" s="263" t="s">
        <v>7</v>
      </c>
      <c r="L12" s="535">
        <v>4448978.1475000018</v>
      </c>
      <c r="M12" s="591"/>
      <c r="N12" s="571"/>
      <c r="O12" s="571"/>
      <c r="P12" s="592"/>
    </row>
    <row r="13" spans="2:16" ht="14.1" customHeight="1" outlineLevel="1">
      <c r="B13" s="101">
        <f>B12+0.0001</f>
        <v>6.0100999999999996</v>
      </c>
      <c r="C13" s="267" t="s">
        <v>627</v>
      </c>
      <c r="D13" s="64"/>
      <c r="E13" s="87"/>
      <c r="F13" s="73" t="s">
        <v>7</v>
      </c>
      <c r="G13" s="65"/>
      <c r="H13" s="73" t="s">
        <v>7</v>
      </c>
      <c r="I13" s="74" t="str">
        <f t="shared" si="0"/>
        <v/>
      </c>
      <c r="J13" s="88" t="str">
        <f t="shared" si="0"/>
        <v/>
      </c>
      <c r="K13" s="73" t="s">
        <v>7</v>
      </c>
      <c r="L13" s="575"/>
      <c r="M13" s="586"/>
      <c r="N13" s="570"/>
      <c r="O13" s="570"/>
      <c r="P13" s="587"/>
    </row>
    <row r="14" spans="2:16" ht="14.1" customHeight="1" outlineLevel="2">
      <c r="B14" s="268">
        <f>B13+0.000001</f>
        <v>6.0101009999999997</v>
      </c>
      <c r="C14" s="269" t="s">
        <v>628</v>
      </c>
      <c r="D14" s="64"/>
      <c r="E14" s="87"/>
      <c r="F14" s="73" t="s">
        <v>7</v>
      </c>
      <c r="G14" s="65"/>
      <c r="H14" s="73" t="s">
        <v>7</v>
      </c>
      <c r="I14" s="74" t="str">
        <f t="shared" si="0"/>
        <v/>
      </c>
      <c r="J14" s="88" t="str">
        <f t="shared" si="0"/>
        <v/>
      </c>
      <c r="K14" s="73" t="s">
        <v>7</v>
      </c>
      <c r="L14" s="536"/>
      <c r="M14" s="550"/>
      <c r="N14" s="94"/>
      <c r="O14" s="94"/>
      <c r="P14" s="588"/>
    </row>
    <row r="15" spans="2:16" ht="14.1" customHeight="1" outlineLevel="3">
      <c r="B15" s="270">
        <f t="shared" ref="B15:B17" si="1">B14+0.00000001</f>
        <v>6.0101010099999996</v>
      </c>
      <c r="C15" s="271" t="s">
        <v>629</v>
      </c>
      <c r="D15" s="64" t="s">
        <v>161</v>
      </c>
      <c r="E15" s="87">
        <v>1213.5999999999999</v>
      </c>
      <c r="F15" s="73">
        <v>99.22</v>
      </c>
      <c r="G15" s="65"/>
      <c r="H15" s="160">
        <v>99.22</v>
      </c>
      <c r="I15" s="160">
        <f>+ROUND(E15*F15,2)</f>
        <v>120413.39</v>
      </c>
      <c r="J15" s="150">
        <f>+ROUND(E15*G15,2)</f>
        <v>0</v>
      </c>
      <c r="K15" s="73">
        <v>120413.39</v>
      </c>
      <c r="L15" s="536"/>
      <c r="M15" s="550">
        <v>99.22</v>
      </c>
      <c r="N15" s="94">
        <f>+M15*E15</f>
        <v>120413.39199999999</v>
      </c>
      <c r="O15" s="94"/>
      <c r="P15" s="588"/>
    </row>
    <row r="16" spans="2:16" ht="14.1" customHeight="1" outlineLevel="3">
      <c r="B16" s="270">
        <f t="shared" si="1"/>
        <v>6.0101010199999996</v>
      </c>
      <c r="C16" s="272" t="s">
        <v>630</v>
      </c>
      <c r="D16" s="64" t="s">
        <v>161</v>
      </c>
      <c r="E16" s="87">
        <v>12991.58</v>
      </c>
      <c r="F16" s="73">
        <v>108.22</v>
      </c>
      <c r="G16" s="65"/>
      <c r="H16" s="160">
        <v>108.22</v>
      </c>
      <c r="I16" s="160">
        <f t="shared" ref="I16:I93" si="2">+ROUND(E16*F16,2)</f>
        <v>1405948.79</v>
      </c>
      <c r="J16" s="150">
        <f t="shared" ref="J16:J93" si="3">+ROUND(E16*G16,2)</f>
        <v>0</v>
      </c>
      <c r="K16" s="73">
        <v>1405948.79</v>
      </c>
      <c r="L16" s="536"/>
      <c r="M16" s="550">
        <v>108.22</v>
      </c>
      <c r="N16" s="94">
        <f t="shared" ref="N16:N57" si="4">+M16*E16</f>
        <v>1405948.7875999999</v>
      </c>
      <c r="O16" s="94"/>
      <c r="P16" s="588"/>
    </row>
    <row r="17" spans="2:16" ht="14.1" customHeight="1" outlineLevel="3">
      <c r="B17" s="270">
        <f t="shared" si="1"/>
        <v>6.0101010299999995</v>
      </c>
      <c r="C17" s="271" t="s">
        <v>631</v>
      </c>
      <c r="D17" s="64" t="s">
        <v>161</v>
      </c>
      <c r="E17" s="87">
        <v>79.209999999999994</v>
      </c>
      <c r="F17" s="73">
        <v>113.22</v>
      </c>
      <c r="G17" s="65"/>
      <c r="H17" s="160">
        <v>113.22</v>
      </c>
      <c r="I17" s="160">
        <f t="shared" si="2"/>
        <v>8968.16</v>
      </c>
      <c r="J17" s="150">
        <f t="shared" si="3"/>
        <v>0</v>
      </c>
      <c r="K17" s="73">
        <v>8968.16</v>
      </c>
      <c r="L17" s="536"/>
      <c r="M17" s="550">
        <v>113.22</v>
      </c>
      <c r="N17" s="94">
        <f t="shared" si="4"/>
        <v>8968.1561999999994</v>
      </c>
      <c r="O17" s="94"/>
      <c r="P17" s="588"/>
    </row>
    <row r="18" spans="2:16" ht="14.1" customHeight="1" outlineLevel="3">
      <c r="B18" s="434">
        <f>B17+0.00000001</f>
        <v>6.0101010399999995</v>
      </c>
      <c r="C18" s="271" t="s">
        <v>632</v>
      </c>
      <c r="D18" s="64" t="s">
        <v>161</v>
      </c>
      <c r="E18" s="87">
        <v>533.65</v>
      </c>
      <c r="F18" s="73">
        <v>119.22</v>
      </c>
      <c r="G18" s="65"/>
      <c r="H18" s="160">
        <v>119.22</v>
      </c>
      <c r="I18" s="160">
        <f t="shared" si="2"/>
        <v>63621.75</v>
      </c>
      <c r="J18" s="150">
        <f t="shared" si="3"/>
        <v>0</v>
      </c>
      <c r="K18" s="73">
        <v>63621.75</v>
      </c>
      <c r="L18" s="536"/>
      <c r="M18" s="550">
        <v>119.22</v>
      </c>
      <c r="N18" s="94">
        <f t="shared" si="4"/>
        <v>63621.752999999997</v>
      </c>
      <c r="O18" s="94"/>
      <c r="P18" s="588"/>
    </row>
    <row r="19" spans="2:16" ht="14.1" customHeight="1" outlineLevel="3">
      <c r="B19" s="434">
        <f>B18+0.00000001</f>
        <v>6.0101010499999994</v>
      </c>
      <c r="C19" s="52" t="s">
        <v>633</v>
      </c>
      <c r="D19" s="64" t="s">
        <v>161</v>
      </c>
      <c r="E19" s="87">
        <v>47.05</v>
      </c>
      <c r="F19" s="73">
        <v>198.22</v>
      </c>
      <c r="G19" s="65"/>
      <c r="H19" s="160">
        <v>198.22</v>
      </c>
      <c r="I19" s="160">
        <f>+ROUND(E19*F19,2)</f>
        <v>9326.25</v>
      </c>
      <c r="J19" s="150">
        <f>+ROUND(E19*G19,2)</f>
        <v>0</v>
      </c>
      <c r="K19" s="73">
        <v>9326.25</v>
      </c>
      <c r="L19" s="536"/>
      <c r="M19" s="550">
        <v>198.22</v>
      </c>
      <c r="N19" s="94">
        <f t="shared" si="4"/>
        <v>9326.2510000000002</v>
      </c>
      <c r="O19" s="94"/>
      <c r="P19" s="588"/>
    </row>
    <row r="20" spans="2:16" ht="14.1" customHeight="1" outlineLevel="3">
      <c r="B20" s="434">
        <f>B19+0.00000001</f>
        <v>6.0101010599999993</v>
      </c>
      <c r="C20" s="52" t="s">
        <v>634</v>
      </c>
      <c r="D20" s="64" t="s">
        <v>161</v>
      </c>
      <c r="E20" s="87">
        <v>11.54</v>
      </c>
      <c r="F20" s="73">
        <v>198.22</v>
      </c>
      <c r="G20" s="65"/>
      <c r="H20" s="160">
        <v>198.22</v>
      </c>
      <c r="I20" s="160">
        <f>+ROUND(E20*F20,2)</f>
        <v>2287.46</v>
      </c>
      <c r="J20" s="150">
        <f>+ROUND(E20*G20,2)</f>
        <v>0</v>
      </c>
      <c r="K20" s="73">
        <v>2287.46</v>
      </c>
      <c r="L20" s="536"/>
      <c r="M20" s="550">
        <v>198.22</v>
      </c>
      <c r="N20" s="94">
        <f t="shared" si="4"/>
        <v>2287.4587999999999</v>
      </c>
      <c r="O20" s="94"/>
      <c r="P20" s="588"/>
    </row>
    <row r="21" spans="2:16" ht="14.1" customHeight="1" outlineLevel="3">
      <c r="B21" s="434">
        <f>B20+0.00000001</f>
        <v>6.0101010699999993</v>
      </c>
      <c r="C21" s="52" t="s">
        <v>635</v>
      </c>
      <c r="D21" s="64" t="s">
        <v>161</v>
      </c>
      <c r="E21" s="87">
        <v>8.17</v>
      </c>
      <c r="F21" s="73">
        <v>198.22</v>
      </c>
      <c r="G21" s="65"/>
      <c r="H21" s="160">
        <v>198.22</v>
      </c>
      <c r="I21" s="160">
        <f>+ROUND(E21*F21,2)</f>
        <v>1619.46</v>
      </c>
      <c r="J21" s="150">
        <f>+ROUND(E21*G21,2)</f>
        <v>0</v>
      </c>
      <c r="K21" s="73">
        <v>1619.46</v>
      </c>
      <c r="L21" s="536"/>
      <c r="M21" s="550">
        <v>198.22</v>
      </c>
      <c r="N21" s="94">
        <f t="shared" si="4"/>
        <v>1619.4574</v>
      </c>
      <c r="O21" s="94"/>
      <c r="P21" s="588"/>
    </row>
    <row r="22" spans="2:16" ht="14.1" customHeight="1" outlineLevel="3">
      <c r="B22" s="434">
        <f>B21+0.00000001</f>
        <v>6.0101010799999992</v>
      </c>
      <c r="C22" s="271" t="s">
        <v>636</v>
      </c>
      <c r="D22" s="64" t="s">
        <v>161</v>
      </c>
      <c r="E22" s="87">
        <v>11.15</v>
      </c>
      <c r="F22" s="73">
        <v>236.22</v>
      </c>
      <c r="G22" s="65"/>
      <c r="H22" s="160">
        <v>236.22</v>
      </c>
      <c r="I22" s="160">
        <f t="shared" si="2"/>
        <v>2633.85</v>
      </c>
      <c r="J22" s="150">
        <f t="shared" si="3"/>
        <v>0</v>
      </c>
      <c r="K22" s="73">
        <v>2633.85</v>
      </c>
      <c r="L22" s="536"/>
      <c r="M22" s="550">
        <v>236.22</v>
      </c>
      <c r="N22" s="94">
        <f t="shared" si="4"/>
        <v>2633.8530000000001</v>
      </c>
      <c r="O22" s="94"/>
      <c r="P22" s="588"/>
    </row>
    <row r="23" spans="2:16" ht="14.1" customHeight="1" outlineLevel="2">
      <c r="B23" s="268">
        <f>B14+0.000001</f>
        <v>6.0101019999999998</v>
      </c>
      <c r="C23" s="269" t="s">
        <v>637</v>
      </c>
      <c r="D23" s="64"/>
      <c r="E23" s="87">
        <v>0</v>
      </c>
      <c r="F23" s="73" t="s">
        <v>7</v>
      </c>
      <c r="G23" s="65"/>
      <c r="H23" s="160"/>
      <c r="I23" s="160"/>
      <c r="J23" s="150"/>
      <c r="K23" s="73">
        <v>0</v>
      </c>
      <c r="L23" s="536"/>
      <c r="M23" s="550">
        <v>0</v>
      </c>
      <c r="N23" s="94">
        <f t="shared" si="4"/>
        <v>0</v>
      </c>
      <c r="O23" s="94"/>
      <c r="P23" s="588"/>
    </row>
    <row r="24" spans="2:16" ht="14.1" customHeight="1" outlineLevel="4">
      <c r="B24" s="270">
        <f t="shared" ref="B24:B29" si="5">B23+0.00000001</f>
        <v>6.0101020099999998</v>
      </c>
      <c r="C24" s="271" t="s">
        <v>639</v>
      </c>
      <c r="D24" s="64" t="s">
        <v>161</v>
      </c>
      <c r="E24" s="87">
        <v>346.42</v>
      </c>
      <c r="F24" s="73">
        <v>110.22</v>
      </c>
      <c r="G24" s="65"/>
      <c r="H24" s="160">
        <v>110.22</v>
      </c>
      <c r="I24" s="160">
        <f t="shared" si="2"/>
        <v>38182.410000000003</v>
      </c>
      <c r="J24" s="150">
        <f t="shared" si="3"/>
        <v>0</v>
      </c>
      <c r="K24" s="73">
        <v>38182.410000000003</v>
      </c>
      <c r="L24" s="536"/>
      <c r="M24" s="550">
        <v>110.22</v>
      </c>
      <c r="N24" s="94">
        <f t="shared" si="4"/>
        <v>38182.412400000001</v>
      </c>
      <c r="O24" s="94"/>
      <c r="P24" s="588"/>
    </row>
    <row r="25" spans="2:16" ht="14.1" customHeight="1" outlineLevel="3">
      <c r="B25" s="270">
        <f t="shared" si="5"/>
        <v>6.0101020199999997</v>
      </c>
      <c r="C25" s="271" t="s">
        <v>640</v>
      </c>
      <c r="D25" s="64" t="s">
        <v>161</v>
      </c>
      <c r="E25" s="87">
        <v>158.5</v>
      </c>
      <c r="F25" s="73">
        <v>116.22</v>
      </c>
      <c r="G25" s="65"/>
      <c r="H25" s="160">
        <v>116.22</v>
      </c>
      <c r="I25" s="160">
        <f t="shared" si="2"/>
        <v>18420.87</v>
      </c>
      <c r="J25" s="150">
        <f t="shared" si="3"/>
        <v>0</v>
      </c>
      <c r="K25" s="73">
        <v>18420.87</v>
      </c>
      <c r="L25" s="536"/>
      <c r="M25" s="550">
        <v>116.22</v>
      </c>
      <c r="N25" s="94">
        <f t="shared" si="4"/>
        <v>18420.87</v>
      </c>
      <c r="O25" s="94"/>
      <c r="P25" s="588"/>
    </row>
    <row r="26" spans="2:16" ht="14.1" customHeight="1" outlineLevel="3">
      <c r="B26" s="270">
        <f t="shared" si="5"/>
        <v>6.0101020299999997</v>
      </c>
      <c r="C26" s="271" t="s">
        <v>641</v>
      </c>
      <c r="D26" s="64" t="s">
        <v>161</v>
      </c>
      <c r="E26" s="87">
        <v>97.6</v>
      </c>
      <c r="F26" s="73">
        <v>124.22</v>
      </c>
      <c r="G26" s="65"/>
      <c r="H26" s="160">
        <v>124.22</v>
      </c>
      <c r="I26" s="160">
        <f t="shared" si="2"/>
        <v>12123.87</v>
      </c>
      <c r="J26" s="150">
        <f t="shared" si="3"/>
        <v>0</v>
      </c>
      <c r="K26" s="73">
        <v>12123.87</v>
      </c>
      <c r="L26" s="536"/>
      <c r="M26" s="550">
        <v>124.22</v>
      </c>
      <c r="N26" s="94">
        <f t="shared" si="4"/>
        <v>12123.871999999999</v>
      </c>
      <c r="O26" s="94"/>
      <c r="P26" s="588"/>
    </row>
    <row r="27" spans="2:16" ht="14.1" customHeight="1" outlineLevel="3">
      <c r="B27" s="270">
        <f t="shared" si="5"/>
        <v>6.0101020399999996</v>
      </c>
      <c r="C27" s="271" t="s">
        <v>642</v>
      </c>
      <c r="D27" s="64" t="s">
        <v>161</v>
      </c>
      <c r="E27" s="87">
        <v>6.75</v>
      </c>
      <c r="F27" s="73">
        <v>208.22</v>
      </c>
      <c r="G27" s="65"/>
      <c r="H27" s="160">
        <v>208.22</v>
      </c>
      <c r="I27" s="160">
        <f t="shared" si="2"/>
        <v>1405.49</v>
      </c>
      <c r="J27" s="150">
        <f t="shared" si="3"/>
        <v>0</v>
      </c>
      <c r="K27" s="73">
        <v>1405.49</v>
      </c>
      <c r="L27" s="536"/>
      <c r="M27" s="550">
        <v>208.22</v>
      </c>
      <c r="N27" s="94">
        <f t="shared" si="4"/>
        <v>1405.4849999999999</v>
      </c>
      <c r="O27" s="94"/>
      <c r="P27" s="588"/>
    </row>
    <row r="28" spans="2:16" ht="14.1" customHeight="1" outlineLevel="3">
      <c r="B28" s="434">
        <f t="shared" si="5"/>
        <v>6.0101020499999995</v>
      </c>
      <c r="C28" s="52" t="s">
        <v>857</v>
      </c>
      <c r="D28" s="64" t="s">
        <v>161</v>
      </c>
      <c r="E28" s="87">
        <v>56.41</v>
      </c>
      <c r="F28" s="73">
        <v>208.22</v>
      </c>
      <c r="G28" s="65"/>
      <c r="H28" s="160">
        <v>208.22</v>
      </c>
      <c r="I28" s="160">
        <f>+ROUND(E28*F28,2)</f>
        <v>11745.69</v>
      </c>
      <c r="J28" s="150">
        <f>+ROUND(E28*G28,2)</f>
        <v>0</v>
      </c>
      <c r="K28" s="73">
        <v>11745.69</v>
      </c>
      <c r="L28" s="536"/>
      <c r="M28" s="550">
        <v>208.22</v>
      </c>
      <c r="N28" s="94">
        <f t="shared" si="4"/>
        <v>11745.690199999999</v>
      </c>
      <c r="O28" s="94"/>
      <c r="P28" s="588"/>
    </row>
    <row r="29" spans="2:16" ht="14.1" customHeight="1" outlineLevel="3">
      <c r="B29" s="434">
        <f t="shared" si="5"/>
        <v>6.0101020599999995</v>
      </c>
      <c r="C29" s="52" t="s">
        <v>858</v>
      </c>
      <c r="D29" s="64" t="s">
        <v>161</v>
      </c>
      <c r="E29" s="87">
        <v>13.85</v>
      </c>
      <c r="F29" s="73">
        <v>208.22</v>
      </c>
      <c r="G29" s="65"/>
      <c r="H29" s="160">
        <v>208.22</v>
      </c>
      <c r="I29" s="160">
        <f>+ROUND(E29*F29,2)</f>
        <v>2883.85</v>
      </c>
      <c r="J29" s="150">
        <f>+ROUND(E29*G29,2)</f>
        <v>0</v>
      </c>
      <c r="K29" s="73">
        <v>2883.85</v>
      </c>
      <c r="L29" s="536"/>
      <c r="M29" s="550">
        <v>208.22</v>
      </c>
      <c r="N29" s="94">
        <f t="shared" si="4"/>
        <v>2883.8469999999998</v>
      </c>
      <c r="O29" s="94"/>
      <c r="P29" s="588"/>
    </row>
    <row r="30" spans="2:16" ht="14.1" customHeight="1" outlineLevel="2">
      <c r="B30" s="268">
        <f>B23+0.000001</f>
        <v>6.010103</v>
      </c>
      <c r="C30" s="269" t="s">
        <v>644</v>
      </c>
      <c r="D30" s="64"/>
      <c r="E30" s="87">
        <v>0</v>
      </c>
      <c r="F30" s="73" t="s">
        <v>7</v>
      </c>
      <c r="G30" s="65"/>
      <c r="H30" s="160"/>
      <c r="I30" s="160"/>
      <c r="J30" s="150"/>
      <c r="K30" s="73">
        <v>0</v>
      </c>
      <c r="L30" s="536"/>
      <c r="M30" s="550">
        <v>0</v>
      </c>
      <c r="N30" s="94">
        <f t="shared" si="4"/>
        <v>0</v>
      </c>
      <c r="O30" s="94"/>
      <c r="P30" s="588"/>
    </row>
    <row r="31" spans="2:16" ht="14.1" customHeight="1" outlineLevel="3">
      <c r="B31" s="434">
        <f t="shared" ref="B31:B40" si="6">B30+0.00000001</f>
        <v>6.0101030099999999</v>
      </c>
      <c r="C31" s="257" t="s">
        <v>859</v>
      </c>
      <c r="D31" s="64" t="s">
        <v>161</v>
      </c>
      <c r="E31" s="87">
        <v>4.2300000000000004</v>
      </c>
      <c r="F31" s="73">
        <v>105.22</v>
      </c>
      <c r="G31" s="65"/>
      <c r="H31" s="160">
        <v>105.22</v>
      </c>
      <c r="I31" s="160">
        <f>+ROUND(E31*F31,2)</f>
        <v>445.08</v>
      </c>
      <c r="J31" s="150">
        <f>+ROUND(E31*G31,2)</f>
        <v>0</v>
      </c>
      <c r="K31" s="73">
        <v>445.08</v>
      </c>
      <c r="L31" s="536"/>
      <c r="M31" s="550">
        <v>105.22</v>
      </c>
      <c r="N31" s="94">
        <f t="shared" si="4"/>
        <v>445.08060000000006</v>
      </c>
      <c r="O31" s="94"/>
      <c r="P31" s="588"/>
    </row>
    <row r="32" spans="2:16" ht="14.1" customHeight="1" outlineLevel="3">
      <c r="B32" s="434">
        <f t="shared" si="6"/>
        <v>6.0101030199999999</v>
      </c>
      <c r="C32" s="271" t="s">
        <v>645</v>
      </c>
      <c r="D32" s="64" t="s">
        <v>161</v>
      </c>
      <c r="E32" s="87">
        <v>2265.48</v>
      </c>
      <c r="F32" s="73">
        <v>112.22</v>
      </c>
      <c r="G32" s="65"/>
      <c r="H32" s="160">
        <v>112.22</v>
      </c>
      <c r="I32" s="160">
        <f t="shared" si="2"/>
        <v>254232.17</v>
      </c>
      <c r="J32" s="150">
        <f t="shared" si="3"/>
        <v>0</v>
      </c>
      <c r="K32" s="73">
        <v>254232.17</v>
      </c>
      <c r="L32" s="536"/>
      <c r="M32" s="550">
        <v>112.22</v>
      </c>
      <c r="N32" s="94">
        <f t="shared" si="4"/>
        <v>254232.16560000001</v>
      </c>
      <c r="O32" s="94"/>
      <c r="P32" s="588"/>
    </row>
    <row r="33" spans="2:16" ht="14.1" customHeight="1" outlineLevel="3">
      <c r="B33" s="434">
        <f t="shared" si="6"/>
        <v>6.0101030299999998</v>
      </c>
      <c r="C33" s="271" t="s">
        <v>646</v>
      </c>
      <c r="D33" s="64" t="s">
        <v>161</v>
      </c>
      <c r="E33" s="87">
        <v>10438.42</v>
      </c>
      <c r="F33" s="73">
        <v>113.22</v>
      </c>
      <c r="G33" s="65"/>
      <c r="H33" s="160">
        <v>113.22</v>
      </c>
      <c r="I33" s="160">
        <f t="shared" si="2"/>
        <v>1181837.9099999999</v>
      </c>
      <c r="J33" s="150">
        <f t="shared" si="3"/>
        <v>0</v>
      </c>
      <c r="K33" s="73">
        <v>1181837.9099999999</v>
      </c>
      <c r="L33" s="536"/>
      <c r="M33" s="550">
        <v>113.22</v>
      </c>
      <c r="N33" s="94">
        <f t="shared" si="4"/>
        <v>1181837.9124</v>
      </c>
      <c r="O33" s="94"/>
      <c r="P33" s="588"/>
    </row>
    <row r="34" spans="2:16" ht="14.1" customHeight="1" outlineLevel="3">
      <c r="B34" s="434">
        <f t="shared" si="6"/>
        <v>6.0101030399999997</v>
      </c>
      <c r="C34" s="271" t="s">
        <v>647</v>
      </c>
      <c r="D34" s="64" t="s">
        <v>161</v>
      </c>
      <c r="E34" s="87">
        <v>410.97</v>
      </c>
      <c r="F34" s="73">
        <v>119.22</v>
      </c>
      <c r="G34" s="65"/>
      <c r="H34" s="160">
        <v>119.22</v>
      </c>
      <c r="I34" s="160">
        <f t="shared" si="2"/>
        <v>48995.839999999997</v>
      </c>
      <c r="J34" s="150">
        <f t="shared" si="3"/>
        <v>0</v>
      </c>
      <c r="K34" s="73">
        <v>48995.839999999997</v>
      </c>
      <c r="L34" s="536"/>
      <c r="M34" s="550">
        <v>119.22</v>
      </c>
      <c r="N34" s="94">
        <f t="shared" si="4"/>
        <v>48995.843400000005</v>
      </c>
      <c r="O34" s="94"/>
      <c r="P34" s="588"/>
    </row>
    <row r="35" spans="2:16" ht="14.1" customHeight="1" outlineLevel="3">
      <c r="B35" s="434">
        <f t="shared" si="6"/>
        <v>6.0101030499999997</v>
      </c>
      <c r="C35" s="43" t="s">
        <v>860</v>
      </c>
      <c r="D35" s="64" t="s">
        <v>161</v>
      </c>
      <c r="E35" s="87">
        <v>327.32</v>
      </c>
      <c r="F35" s="73">
        <v>210.22</v>
      </c>
      <c r="G35" s="65"/>
      <c r="H35" s="160">
        <v>210.22</v>
      </c>
      <c r="I35" s="160">
        <f>+ROUND(E35*F35,2)</f>
        <v>68809.210000000006</v>
      </c>
      <c r="J35" s="150">
        <f>+ROUND(E35*G35,2)</f>
        <v>0</v>
      </c>
      <c r="K35" s="73">
        <v>68809.210000000006</v>
      </c>
      <c r="L35" s="536"/>
      <c r="M35" s="550">
        <v>210.22</v>
      </c>
      <c r="N35" s="94">
        <f t="shared" si="4"/>
        <v>68809.210399999996</v>
      </c>
      <c r="O35" s="94"/>
      <c r="P35" s="588"/>
    </row>
    <row r="36" spans="2:16" ht="14.1" customHeight="1" outlineLevel="3">
      <c r="B36" s="434">
        <f t="shared" si="6"/>
        <v>6.0101030599999996</v>
      </c>
      <c r="C36" s="271" t="s">
        <v>861</v>
      </c>
      <c r="D36" s="64" t="s">
        <v>161</v>
      </c>
      <c r="E36" s="87">
        <v>130.94999999999999</v>
      </c>
      <c r="F36" s="73">
        <v>210.22</v>
      </c>
      <c r="G36" s="65"/>
      <c r="H36" s="160">
        <v>210.22</v>
      </c>
      <c r="I36" s="160">
        <f t="shared" si="2"/>
        <v>27528.31</v>
      </c>
      <c r="J36" s="150">
        <f t="shared" si="3"/>
        <v>0</v>
      </c>
      <c r="K36" s="73">
        <v>27528.31</v>
      </c>
      <c r="L36" s="536"/>
      <c r="M36" s="550">
        <v>210.22</v>
      </c>
      <c r="N36" s="94">
        <f t="shared" si="4"/>
        <v>27528.308999999997</v>
      </c>
      <c r="O36" s="94"/>
      <c r="P36" s="588"/>
    </row>
    <row r="37" spans="2:16" ht="14.1" customHeight="1" outlineLevel="3">
      <c r="B37" s="434">
        <f t="shared" si="6"/>
        <v>6.0101030699999995</v>
      </c>
      <c r="C37" s="271" t="s">
        <v>862</v>
      </c>
      <c r="D37" s="64" t="s">
        <v>161</v>
      </c>
      <c r="E37" s="87"/>
      <c r="F37" s="73">
        <v>224.22</v>
      </c>
      <c r="G37" s="65"/>
      <c r="H37" s="160">
        <v>224.22</v>
      </c>
      <c r="I37" s="160">
        <f t="shared" si="2"/>
        <v>0</v>
      </c>
      <c r="J37" s="150">
        <f t="shared" si="3"/>
        <v>0</v>
      </c>
      <c r="K37" s="73">
        <v>0</v>
      </c>
      <c r="L37" s="536"/>
      <c r="M37" s="550">
        <v>224.22</v>
      </c>
      <c r="N37" s="94">
        <f t="shared" si="4"/>
        <v>0</v>
      </c>
      <c r="O37" s="94"/>
      <c r="P37" s="588"/>
    </row>
    <row r="38" spans="2:16" ht="14.1" customHeight="1" outlineLevel="3">
      <c r="B38" s="434">
        <f t="shared" si="6"/>
        <v>6.0101030799999995</v>
      </c>
      <c r="C38" s="271" t="s">
        <v>863</v>
      </c>
      <c r="D38" s="64" t="s">
        <v>161</v>
      </c>
      <c r="E38" s="87">
        <v>2.92</v>
      </c>
      <c r="F38" s="73">
        <v>224.22</v>
      </c>
      <c r="G38" s="65"/>
      <c r="H38" s="160">
        <v>224.22</v>
      </c>
      <c r="I38" s="160">
        <f t="shared" si="2"/>
        <v>654.72</v>
      </c>
      <c r="J38" s="150">
        <f t="shared" si="3"/>
        <v>0</v>
      </c>
      <c r="K38" s="73">
        <v>654.72</v>
      </c>
      <c r="L38" s="536"/>
      <c r="M38" s="550">
        <v>224.22</v>
      </c>
      <c r="N38" s="94">
        <f t="shared" si="4"/>
        <v>654.72239999999999</v>
      </c>
      <c r="O38" s="94"/>
      <c r="P38" s="588"/>
    </row>
    <row r="39" spans="2:16" ht="14.1" customHeight="1" outlineLevel="3">
      <c r="B39" s="434">
        <f t="shared" si="6"/>
        <v>6.0101030899999994</v>
      </c>
      <c r="C39" s="271" t="s">
        <v>864</v>
      </c>
      <c r="D39" s="64" t="s">
        <v>161</v>
      </c>
      <c r="E39" s="87"/>
      <c r="F39" s="73">
        <v>224.22</v>
      </c>
      <c r="G39" s="65"/>
      <c r="H39" s="160">
        <v>224.22</v>
      </c>
      <c r="I39" s="160">
        <f t="shared" si="2"/>
        <v>0</v>
      </c>
      <c r="J39" s="150">
        <f t="shared" si="3"/>
        <v>0</v>
      </c>
      <c r="K39" s="73">
        <v>0</v>
      </c>
      <c r="L39" s="536"/>
      <c r="M39" s="550">
        <v>224.22</v>
      </c>
      <c r="N39" s="94">
        <f t="shared" si="4"/>
        <v>0</v>
      </c>
      <c r="O39" s="94"/>
      <c r="P39" s="588"/>
    </row>
    <row r="40" spans="2:16" ht="14.1" customHeight="1" outlineLevel="3">
      <c r="B40" s="434">
        <f t="shared" si="6"/>
        <v>6.0101030999999994</v>
      </c>
      <c r="C40" s="271" t="s">
        <v>865</v>
      </c>
      <c r="D40" s="64" t="s">
        <v>161</v>
      </c>
      <c r="E40" s="87"/>
      <c r="F40" s="73">
        <v>224.22</v>
      </c>
      <c r="G40" s="65"/>
      <c r="H40" s="160">
        <v>224.22</v>
      </c>
      <c r="I40" s="160">
        <f t="shared" si="2"/>
        <v>0</v>
      </c>
      <c r="J40" s="150">
        <f t="shared" si="3"/>
        <v>0</v>
      </c>
      <c r="K40" s="73">
        <v>0</v>
      </c>
      <c r="L40" s="536"/>
      <c r="M40" s="550">
        <v>224.22</v>
      </c>
      <c r="N40" s="94">
        <f t="shared" si="4"/>
        <v>0</v>
      </c>
      <c r="O40" s="94"/>
      <c r="P40" s="588"/>
    </row>
    <row r="41" spans="2:16" outlineLevel="2">
      <c r="B41" s="268">
        <f>B30+0.000001</f>
        <v>6.0101040000000001</v>
      </c>
      <c r="C41" s="269" t="s">
        <v>648</v>
      </c>
      <c r="D41" s="64"/>
      <c r="E41" s="87"/>
      <c r="F41" s="73" t="s">
        <v>7</v>
      </c>
      <c r="G41" s="65"/>
      <c r="H41" s="160"/>
      <c r="I41" s="160"/>
      <c r="J41" s="150"/>
      <c r="K41" s="73">
        <v>0</v>
      </c>
      <c r="L41" s="536"/>
      <c r="M41" s="550">
        <v>0</v>
      </c>
      <c r="N41" s="94">
        <f t="shared" si="4"/>
        <v>0</v>
      </c>
      <c r="O41" s="94"/>
      <c r="P41" s="588"/>
    </row>
    <row r="42" spans="2:16" ht="11.25" customHeight="1" outlineLevel="3">
      <c r="B42" s="434">
        <f>B39+0.00000001</f>
        <v>6.0101030999999994</v>
      </c>
      <c r="C42" s="43" t="s">
        <v>866</v>
      </c>
      <c r="D42" s="64" t="s">
        <v>161</v>
      </c>
      <c r="E42" s="87">
        <v>4.88</v>
      </c>
      <c r="F42" s="73">
        <v>105.22</v>
      </c>
      <c r="G42" s="65"/>
      <c r="H42" s="160">
        <v>105.22</v>
      </c>
      <c r="I42" s="160">
        <f>+ROUND(E42*F42,2)</f>
        <v>513.47</v>
      </c>
      <c r="J42" s="150">
        <f>+ROUND(E42*G42,2)</f>
        <v>0</v>
      </c>
      <c r="K42" s="73">
        <v>513.47</v>
      </c>
      <c r="L42" s="536"/>
      <c r="M42" s="550">
        <v>105.22</v>
      </c>
      <c r="N42" s="94">
        <f t="shared" si="4"/>
        <v>513.47360000000003</v>
      </c>
      <c r="O42" s="94"/>
      <c r="P42" s="588"/>
    </row>
    <row r="43" spans="2:16" ht="14.1" customHeight="1" outlineLevel="3">
      <c r="B43" s="270">
        <f>B41+0.00000001</f>
        <v>6.0101040100000001</v>
      </c>
      <c r="C43" s="271" t="s">
        <v>649</v>
      </c>
      <c r="D43" s="64" t="s">
        <v>161</v>
      </c>
      <c r="E43" s="87">
        <v>38.11</v>
      </c>
      <c r="F43" s="73">
        <v>116.22</v>
      </c>
      <c r="G43" s="65"/>
      <c r="H43" s="160">
        <v>116.22</v>
      </c>
      <c r="I43" s="160">
        <f t="shared" si="2"/>
        <v>4429.1400000000003</v>
      </c>
      <c r="J43" s="150">
        <f t="shared" si="3"/>
        <v>0</v>
      </c>
      <c r="K43" s="73">
        <v>4429.1400000000003</v>
      </c>
      <c r="L43" s="536"/>
      <c r="M43" s="550">
        <v>116.22</v>
      </c>
      <c r="N43" s="94">
        <f t="shared" si="4"/>
        <v>4429.1441999999997</v>
      </c>
      <c r="O43" s="94"/>
      <c r="P43" s="588"/>
    </row>
    <row r="44" spans="2:16" ht="14.1" customHeight="1" outlineLevel="3">
      <c r="B44" s="270">
        <f>B43+0.00000001</f>
        <v>6.01010402</v>
      </c>
      <c r="C44" s="271" t="s">
        <v>650</v>
      </c>
      <c r="D44" s="64" t="s">
        <v>161</v>
      </c>
      <c r="E44" s="87">
        <v>660.88</v>
      </c>
      <c r="F44" s="73">
        <v>116.22</v>
      </c>
      <c r="G44" s="65"/>
      <c r="H44" s="160">
        <v>116.22</v>
      </c>
      <c r="I44" s="160">
        <f t="shared" si="2"/>
        <v>76807.47</v>
      </c>
      <c r="J44" s="150">
        <f t="shared" si="3"/>
        <v>0</v>
      </c>
      <c r="K44" s="73">
        <v>76807.47</v>
      </c>
      <c r="L44" s="536"/>
      <c r="M44" s="550">
        <v>116.22</v>
      </c>
      <c r="N44" s="94">
        <f t="shared" si="4"/>
        <v>76807.473599999998</v>
      </c>
      <c r="O44" s="94"/>
      <c r="P44" s="588"/>
    </row>
    <row r="45" spans="2:16" ht="14.1" customHeight="1" outlineLevel="3">
      <c r="B45" s="270">
        <f>B44+0.00000001</f>
        <v>6.0101040299999999</v>
      </c>
      <c r="C45" s="271" t="s">
        <v>651</v>
      </c>
      <c r="D45" s="64" t="s">
        <v>161</v>
      </c>
      <c r="E45" s="87">
        <v>77.92</v>
      </c>
      <c r="F45" s="73">
        <v>124.22</v>
      </c>
      <c r="G45" s="65"/>
      <c r="H45" s="160">
        <v>124.22</v>
      </c>
      <c r="I45" s="160">
        <f t="shared" si="2"/>
        <v>9679.2199999999993</v>
      </c>
      <c r="J45" s="150">
        <f t="shared" si="3"/>
        <v>0</v>
      </c>
      <c r="K45" s="73">
        <v>9679.2199999999993</v>
      </c>
      <c r="L45" s="536"/>
      <c r="M45" s="550">
        <v>124.22</v>
      </c>
      <c r="N45" s="94">
        <f t="shared" si="4"/>
        <v>9679.2224000000006</v>
      </c>
      <c r="O45" s="94"/>
      <c r="P45" s="588"/>
    </row>
    <row r="46" spans="2:16" ht="14.1" customHeight="1" outlineLevel="3">
      <c r="B46" s="270">
        <f>B45+0.00000001</f>
        <v>6.0101040399999999</v>
      </c>
      <c r="C46" s="271" t="s">
        <v>867</v>
      </c>
      <c r="D46" s="64" t="s">
        <v>161</v>
      </c>
      <c r="E46" s="87">
        <v>17.97</v>
      </c>
      <c r="F46" s="73">
        <v>224.22</v>
      </c>
      <c r="G46" s="65"/>
      <c r="H46" s="160">
        <v>224.22</v>
      </c>
      <c r="I46" s="160">
        <f t="shared" si="2"/>
        <v>4029.23</v>
      </c>
      <c r="J46" s="150">
        <f t="shared" si="3"/>
        <v>0</v>
      </c>
      <c r="K46" s="73">
        <v>4029.23</v>
      </c>
      <c r="L46" s="536"/>
      <c r="M46" s="550">
        <v>224.22</v>
      </c>
      <c r="N46" s="94">
        <f t="shared" si="4"/>
        <v>4029.2333999999996</v>
      </c>
      <c r="O46" s="94"/>
      <c r="P46" s="588"/>
    </row>
    <row r="47" spans="2:16" ht="14.1" customHeight="1" outlineLevel="3">
      <c r="B47" s="270">
        <f>B46+0.00000001</f>
        <v>6.0101040499999998</v>
      </c>
      <c r="C47" s="256" t="s">
        <v>652</v>
      </c>
      <c r="D47" s="64" t="s">
        <v>161</v>
      </c>
      <c r="E47" s="87">
        <v>26.83</v>
      </c>
      <c r="F47" s="73">
        <v>232.44</v>
      </c>
      <c r="G47" s="65"/>
      <c r="H47" s="160">
        <v>232.44</v>
      </c>
      <c r="I47" s="160">
        <f t="shared" ref="I47" si="7">+ROUND(E47*F47,2)</f>
        <v>6236.37</v>
      </c>
      <c r="J47" s="150">
        <f t="shared" ref="J47" si="8">+ROUND(E47*G47,2)</f>
        <v>0</v>
      </c>
      <c r="K47" s="73">
        <v>6236.37</v>
      </c>
      <c r="L47" s="536"/>
      <c r="M47" s="550">
        <v>232.44</v>
      </c>
      <c r="N47" s="94">
        <f t="shared" si="4"/>
        <v>6236.3651999999993</v>
      </c>
      <c r="O47" s="94"/>
      <c r="P47" s="588"/>
    </row>
    <row r="48" spans="2:16" ht="14.1" customHeight="1" outlineLevel="2">
      <c r="B48" s="268">
        <f>B41+0.000001</f>
        <v>6.0101050000000003</v>
      </c>
      <c r="C48" s="269" t="s">
        <v>653</v>
      </c>
      <c r="D48" s="64"/>
      <c r="E48" s="87"/>
      <c r="F48" s="73"/>
      <c r="G48" s="65"/>
      <c r="H48" s="160"/>
      <c r="I48" s="160"/>
      <c r="J48" s="150"/>
      <c r="K48" s="73">
        <v>0</v>
      </c>
      <c r="L48" s="536"/>
      <c r="M48" s="550">
        <v>0</v>
      </c>
      <c r="N48" s="94">
        <f t="shared" si="4"/>
        <v>0</v>
      </c>
      <c r="O48" s="94"/>
      <c r="P48" s="588"/>
    </row>
    <row r="49" spans="1:16" ht="14.1" customHeight="1" outlineLevel="3">
      <c r="B49" s="270">
        <f>B48+0.00000001</f>
        <v>6.0101050100000002</v>
      </c>
      <c r="C49" s="271" t="s">
        <v>654</v>
      </c>
      <c r="D49" s="64" t="s">
        <v>177</v>
      </c>
      <c r="E49" s="484">
        <v>44973.54</v>
      </c>
      <c r="F49" s="73">
        <v>0</v>
      </c>
      <c r="G49" s="481">
        <v>0.94</v>
      </c>
      <c r="H49" s="483">
        <v>3.53</v>
      </c>
      <c r="I49" s="483"/>
      <c r="J49" s="150">
        <f t="shared" si="3"/>
        <v>42275.13</v>
      </c>
      <c r="K49" s="73">
        <v>158531.74</v>
      </c>
      <c r="L49" s="536"/>
      <c r="M49" s="550"/>
      <c r="N49" s="94">
        <f t="shared" si="4"/>
        <v>0</v>
      </c>
      <c r="O49" s="481">
        <v>0.94</v>
      </c>
      <c r="P49" s="599">
        <f>+O49*E49</f>
        <v>42275.1276</v>
      </c>
    </row>
    <row r="50" spans="1:16" ht="14.1" customHeight="1" outlineLevel="2">
      <c r="B50" s="268">
        <f>B48+0.000001</f>
        <v>6.0101060000000004</v>
      </c>
      <c r="C50" s="269" t="s">
        <v>655</v>
      </c>
      <c r="D50" s="64"/>
      <c r="E50" s="87"/>
      <c r="F50" s="73" t="s">
        <v>7</v>
      </c>
      <c r="G50" s="81"/>
      <c r="H50" s="160"/>
      <c r="I50" s="160"/>
      <c r="J50" s="150"/>
      <c r="K50" s="73">
        <v>0</v>
      </c>
      <c r="L50" s="536"/>
      <c r="M50" s="550"/>
      <c r="N50" s="94">
        <f t="shared" si="4"/>
        <v>0</v>
      </c>
      <c r="O50" s="94"/>
      <c r="P50" s="588"/>
    </row>
    <row r="51" spans="1:16" ht="14.1" customHeight="1" outlineLevel="3">
      <c r="B51" s="270">
        <f>B50+0.00000001</f>
        <v>6.0101060100000003</v>
      </c>
      <c r="C51" s="272" t="s">
        <v>656</v>
      </c>
      <c r="D51" s="64" t="s">
        <v>36</v>
      </c>
      <c r="E51" s="87">
        <v>1089</v>
      </c>
      <c r="F51" s="73">
        <v>120</v>
      </c>
      <c r="G51" s="65"/>
      <c r="H51" s="160">
        <v>120</v>
      </c>
      <c r="I51" s="160">
        <f t="shared" si="2"/>
        <v>130680</v>
      </c>
      <c r="J51" s="150">
        <f t="shared" si="3"/>
        <v>0</v>
      </c>
      <c r="K51" s="73">
        <v>130680</v>
      </c>
      <c r="L51" s="536"/>
      <c r="M51" s="550">
        <v>120</v>
      </c>
      <c r="N51" s="94">
        <f t="shared" si="4"/>
        <v>130680</v>
      </c>
      <c r="O51" s="94"/>
      <c r="P51" s="588"/>
    </row>
    <row r="52" spans="1:16" ht="14.1" customHeight="1" outlineLevel="3">
      <c r="B52" s="270">
        <f>B51+0.00000001</f>
        <v>6.0101060200000003</v>
      </c>
      <c r="C52" s="271" t="s">
        <v>657</v>
      </c>
      <c r="D52" s="64" t="s">
        <v>36</v>
      </c>
      <c r="E52" s="87">
        <v>42</v>
      </c>
      <c r="F52" s="73">
        <v>125</v>
      </c>
      <c r="G52" s="65"/>
      <c r="H52" s="160">
        <v>125</v>
      </c>
      <c r="I52" s="160">
        <f t="shared" si="2"/>
        <v>5250</v>
      </c>
      <c r="J52" s="150">
        <f t="shared" si="3"/>
        <v>0</v>
      </c>
      <c r="K52" s="73">
        <v>5250</v>
      </c>
      <c r="L52" s="536"/>
      <c r="M52" s="550">
        <v>125</v>
      </c>
      <c r="N52" s="94">
        <f t="shared" si="4"/>
        <v>5250</v>
      </c>
      <c r="O52" s="94"/>
      <c r="P52" s="588"/>
    </row>
    <row r="53" spans="1:16" ht="14.1" customHeight="1" outlineLevel="2">
      <c r="B53" s="268">
        <f>B50+0.000001</f>
        <v>6.0101070000000005</v>
      </c>
      <c r="C53" s="269" t="s">
        <v>659</v>
      </c>
      <c r="D53" s="64"/>
      <c r="E53" s="87"/>
      <c r="F53" s="73" t="s">
        <v>7</v>
      </c>
      <c r="G53" s="81"/>
      <c r="H53" s="160"/>
      <c r="I53" s="160"/>
      <c r="J53" s="150"/>
      <c r="K53" s="73">
        <v>0</v>
      </c>
      <c r="L53" s="536"/>
      <c r="M53" s="550">
        <v>0</v>
      </c>
      <c r="N53" s="94">
        <f t="shared" si="4"/>
        <v>0</v>
      </c>
      <c r="O53" s="94"/>
      <c r="P53" s="588"/>
    </row>
    <row r="54" spans="1:16" ht="14.1" customHeight="1" outlineLevel="3">
      <c r="B54" s="270">
        <f>B53+0.00000001</f>
        <v>6.0101070100000005</v>
      </c>
      <c r="C54" s="272" t="s">
        <v>868</v>
      </c>
      <c r="D54" s="64" t="s">
        <v>36</v>
      </c>
      <c r="E54" s="87">
        <v>237</v>
      </c>
      <c r="F54" s="73">
        <v>130</v>
      </c>
      <c r="G54" s="65"/>
      <c r="H54" s="160">
        <v>130</v>
      </c>
      <c r="I54" s="160">
        <f t="shared" si="2"/>
        <v>30810</v>
      </c>
      <c r="J54" s="150">
        <f t="shared" si="3"/>
        <v>0</v>
      </c>
      <c r="K54" s="73">
        <v>30810</v>
      </c>
      <c r="L54" s="536"/>
      <c r="M54" s="550">
        <v>130</v>
      </c>
      <c r="N54" s="94">
        <f t="shared" si="4"/>
        <v>30810</v>
      </c>
      <c r="O54" s="94"/>
      <c r="P54" s="588"/>
    </row>
    <row r="55" spans="1:16" ht="14.1" customHeight="1" outlineLevel="3">
      <c r="B55" s="270">
        <f>B54+0.00000001</f>
        <v>6.0101070200000004</v>
      </c>
      <c r="C55" s="272" t="s">
        <v>869</v>
      </c>
      <c r="D55" s="64" t="s">
        <v>36</v>
      </c>
      <c r="E55" s="87">
        <v>1812</v>
      </c>
      <c r="F55" s="73">
        <v>80</v>
      </c>
      <c r="G55" s="65"/>
      <c r="H55" s="160">
        <v>80</v>
      </c>
      <c r="I55" s="160">
        <f t="shared" si="2"/>
        <v>144960</v>
      </c>
      <c r="J55" s="150">
        <f t="shared" si="3"/>
        <v>0</v>
      </c>
      <c r="K55" s="73">
        <v>144960</v>
      </c>
      <c r="L55" s="536"/>
      <c r="M55" s="550">
        <v>80</v>
      </c>
      <c r="N55" s="94">
        <f t="shared" si="4"/>
        <v>144960</v>
      </c>
      <c r="O55" s="94"/>
      <c r="P55" s="588"/>
    </row>
    <row r="56" spans="1:16" ht="14.1" customHeight="1" outlineLevel="3">
      <c r="B56" s="270">
        <f>B55+0.00000001</f>
        <v>6.0101070300000003</v>
      </c>
      <c r="C56" s="289" t="s">
        <v>870</v>
      </c>
      <c r="D56" s="64" t="s">
        <v>36</v>
      </c>
      <c r="E56" s="87">
        <v>102</v>
      </c>
      <c r="F56" s="73">
        <v>80</v>
      </c>
      <c r="G56" s="81"/>
      <c r="H56" s="160">
        <v>80</v>
      </c>
      <c r="I56" s="160">
        <f t="shared" si="2"/>
        <v>8160</v>
      </c>
      <c r="J56" s="150">
        <f t="shared" si="3"/>
        <v>0</v>
      </c>
      <c r="K56" s="73">
        <v>8160</v>
      </c>
      <c r="L56" s="538"/>
      <c r="M56" s="550">
        <v>80</v>
      </c>
      <c r="N56" s="94">
        <f t="shared" si="4"/>
        <v>8160</v>
      </c>
      <c r="P56" s="545"/>
    </row>
    <row r="57" spans="1:16" ht="13.5" customHeight="1" outlineLevel="3">
      <c r="B57" s="270">
        <f>B56+0.00000001</f>
        <v>6.0101070400000003</v>
      </c>
      <c r="C57" s="289" t="s">
        <v>871</v>
      </c>
      <c r="D57" s="64" t="s">
        <v>36</v>
      </c>
      <c r="E57" s="87">
        <v>670</v>
      </c>
      <c r="F57" s="73">
        <v>80</v>
      </c>
      <c r="G57" s="81"/>
      <c r="H57" s="160">
        <v>80</v>
      </c>
      <c r="I57" s="160">
        <f t="shared" si="2"/>
        <v>53600</v>
      </c>
      <c r="J57" s="150">
        <f t="shared" si="3"/>
        <v>0</v>
      </c>
      <c r="K57" s="73">
        <v>53600</v>
      </c>
      <c r="L57" s="538"/>
      <c r="M57" s="550">
        <v>80</v>
      </c>
      <c r="N57" s="94">
        <f t="shared" si="4"/>
        <v>53600</v>
      </c>
      <c r="P57" s="545"/>
    </row>
    <row r="58" spans="1:16" ht="13.5" customHeight="1">
      <c r="B58" s="294">
        <f>B898+0.0001</f>
        <v>6.3000999999999934</v>
      </c>
      <c r="C58" s="449" t="s">
        <v>872</v>
      </c>
      <c r="D58" s="437" t="s">
        <v>36</v>
      </c>
      <c r="E58" s="442">
        <v>237</v>
      </c>
      <c r="F58" s="439">
        <v>80</v>
      </c>
      <c r="G58" s="65"/>
      <c r="H58" s="160">
        <v>80</v>
      </c>
      <c r="I58" s="160">
        <f t="shared" ref="I58" si="9">+ROUND(E58*F58,2)</f>
        <v>18960</v>
      </c>
      <c r="J58" s="150">
        <f t="shared" ref="J58" si="10">+ROUND(E58*G58,2)</f>
        <v>0</v>
      </c>
      <c r="K58" s="73">
        <v>18960</v>
      </c>
      <c r="L58" s="575"/>
      <c r="M58" s="550">
        <v>80</v>
      </c>
      <c r="N58" s="94">
        <f t="shared" ref="N58:N62" si="11">+M58*E58</f>
        <v>18960</v>
      </c>
      <c r="O58" s="570"/>
      <c r="P58" s="587"/>
    </row>
    <row r="59" spans="1:16" ht="13.5" customHeight="1" outlineLevel="2">
      <c r="B59" s="268">
        <f>B53+0.000001</f>
        <v>6.0101080000000007</v>
      </c>
      <c r="C59" s="269" t="s">
        <v>873</v>
      </c>
      <c r="D59" s="64"/>
      <c r="E59" s="87"/>
      <c r="F59" s="73" t="s">
        <v>7</v>
      </c>
      <c r="G59" s="81"/>
      <c r="H59" s="160"/>
      <c r="I59" s="160"/>
      <c r="J59" s="150"/>
      <c r="K59" s="73">
        <v>0</v>
      </c>
      <c r="L59" s="536"/>
      <c r="M59" s="550">
        <v>0</v>
      </c>
      <c r="N59" s="94">
        <f t="shared" si="11"/>
        <v>0</v>
      </c>
      <c r="O59" s="94"/>
      <c r="P59" s="588"/>
    </row>
    <row r="60" spans="1:16" ht="13.5" customHeight="1" outlineLevel="3">
      <c r="B60" s="270">
        <f>B59+0.00000001</f>
        <v>6.0101080100000006</v>
      </c>
      <c r="C60" s="273" t="s">
        <v>874</v>
      </c>
      <c r="D60" s="64" t="s">
        <v>29</v>
      </c>
      <c r="E60" s="87">
        <v>0</v>
      </c>
      <c r="F60" s="73">
        <v>1000</v>
      </c>
      <c r="G60" s="81"/>
      <c r="H60" s="160">
        <v>1000</v>
      </c>
      <c r="I60" s="160">
        <f t="shared" si="2"/>
        <v>0</v>
      </c>
      <c r="J60" s="150">
        <f t="shared" si="3"/>
        <v>0</v>
      </c>
      <c r="K60" s="73">
        <v>0</v>
      </c>
      <c r="L60" s="538"/>
      <c r="M60" s="550">
        <v>1000</v>
      </c>
      <c r="N60" s="94">
        <f t="shared" si="11"/>
        <v>0</v>
      </c>
      <c r="P60" s="545"/>
    </row>
    <row r="61" spans="1:16" ht="13.5" customHeight="1" outlineLevel="3">
      <c r="B61" s="270">
        <f>B60+0.00000001</f>
        <v>6.0101080200000006</v>
      </c>
      <c r="C61" s="273" t="s">
        <v>875</v>
      </c>
      <c r="D61" s="64" t="s">
        <v>39</v>
      </c>
      <c r="E61" s="87">
        <v>7</v>
      </c>
      <c r="F61" s="73">
        <v>4500</v>
      </c>
      <c r="G61" s="81"/>
      <c r="H61" s="160">
        <v>4500</v>
      </c>
      <c r="I61" s="160">
        <f t="shared" si="2"/>
        <v>31500</v>
      </c>
      <c r="J61" s="150">
        <f t="shared" si="3"/>
        <v>0</v>
      </c>
      <c r="K61" s="73">
        <v>31500</v>
      </c>
      <c r="L61" s="538"/>
      <c r="M61" s="550">
        <v>4500</v>
      </c>
      <c r="N61" s="94">
        <f t="shared" si="11"/>
        <v>31500</v>
      </c>
      <c r="P61" s="545"/>
    </row>
    <row r="62" spans="1:16" s="277" customFormat="1" ht="14.1" customHeight="1" outlineLevel="2">
      <c r="A62" s="391"/>
      <c r="B62" s="101">
        <f>B59+0.000001</f>
        <v>6.0101090000000008</v>
      </c>
      <c r="C62" s="462" t="s">
        <v>876</v>
      </c>
      <c r="D62" s="274"/>
      <c r="E62" s="275"/>
      <c r="F62" s="73" t="s">
        <v>7</v>
      </c>
      <c r="G62" s="276"/>
      <c r="H62" s="160"/>
      <c r="I62" s="160"/>
      <c r="J62" s="150"/>
      <c r="K62" s="73">
        <v>0</v>
      </c>
      <c r="L62" s="536"/>
      <c r="M62" s="550">
        <v>0</v>
      </c>
      <c r="N62" s="94">
        <f t="shared" si="11"/>
        <v>0</v>
      </c>
      <c r="O62" s="94"/>
      <c r="P62" s="588"/>
    </row>
    <row r="63" spans="1:16" s="277" customFormat="1" ht="14.1" customHeight="1" outlineLevel="2">
      <c r="A63" s="391"/>
      <c r="B63" s="434">
        <f t="shared" ref="B63:B115" si="12">B62+0.00000001</f>
        <v>6.0101090100000008</v>
      </c>
      <c r="C63" s="297" t="s">
        <v>877</v>
      </c>
      <c r="D63" s="274" t="s">
        <v>161</v>
      </c>
      <c r="E63" s="275">
        <v>108.12</v>
      </c>
      <c r="F63" s="73">
        <v>92.61999999999999</v>
      </c>
      <c r="G63" s="276"/>
      <c r="H63" s="160">
        <v>92.62</v>
      </c>
      <c r="I63" s="160">
        <f>+ROUND(E63*F63,2)</f>
        <v>10014.07</v>
      </c>
      <c r="J63" s="150">
        <f>+ROUND(E63*G63,2)</f>
        <v>0</v>
      </c>
      <c r="K63" s="73">
        <v>10014.07</v>
      </c>
      <c r="L63" s="536"/>
      <c r="M63" s="550"/>
      <c r="N63" s="94"/>
      <c r="O63" s="94"/>
      <c r="P63" s="588"/>
    </row>
    <row r="64" spans="1:16" s="277" customFormat="1" ht="14.1" customHeight="1" outlineLevel="2">
      <c r="A64" s="391"/>
      <c r="B64" s="434">
        <f t="shared" si="12"/>
        <v>6.0101090200000007</v>
      </c>
      <c r="C64" s="297" t="s">
        <v>878</v>
      </c>
      <c r="D64" s="274" t="s">
        <v>161</v>
      </c>
      <c r="E64" s="275">
        <v>33.24</v>
      </c>
      <c r="F64" s="73">
        <v>100.11999999999999</v>
      </c>
      <c r="G64" s="276"/>
      <c r="H64" s="160">
        <v>100.12</v>
      </c>
      <c r="I64" s="160">
        <f>+ROUND(E64*F64,2)</f>
        <v>3327.99</v>
      </c>
      <c r="J64" s="150">
        <f>+ROUND(E64*G64,2)</f>
        <v>0</v>
      </c>
      <c r="K64" s="73">
        <v>3327.99</v>
      </c>
      <c r="L64" s="536"/>
      <c r="M64" s="550"/>
      <c r="N64" s="94"/>
      <c r="O64" s="94"/>
      <c r="P64" s="588"/>
    </row>
    <row r="65" spans="1:16" ht="14.1" customHeight="1" outlineLevel="4">
      <c r="B65" s="434">
        <f t="shared" si="12"/>
        <v>6.0101090300000006</v>
      </c>
      <c r="C65" s="272" t="s">
        <v>879</v>
      </c>
      <c r="D65" s="64" t="s">
        <v>161</v>
      </c>
      <c r="E65" s="87"/>
      <c r="F65" s="73">
        <v>111.42</v>
      </c>
      <c r="G65" s="65"/>
      <c r="H65" s="160">
        <v>111.42</v>
      </c>
      <c r="I65" s="160">
        <f t="shared" si="2"/>
        <v>0</v>
      </c>
      <c r="J65" s="150">
        <f t="shared" si="3"/>
        <v>0</v>
      </c>
      <c r="K65" s="73">
        <v>0</v>
      </c>
      <c r="L65" s="536"/>
      <c r="M65" s="550"/>
      <c r="N65" s="94"/>
      <c r="O65" s="94"/>
      <c r="P65" s="588"/>
    </row>
    <row r="66" spans="1:16" ht="14.1" customHeight="1" outlineLevel="4">
      <c r="B66" s="434">
        <f t="shared" si="12"/>
        <v>6.0101090400000006</v>
      </c>
      <c r="C66" s="271" t="s">
        <v>880</v>
      </c>
      <c r="D66" s="64" t="s">
        <v>161</v>
      </c>
      <c r="E66" s="87">
        <v>25.76</v>
      </c>
      <c r="F66" s="73">
        <v>111.42</v>
      </c>
      <c r="G66" s="65"/>
      <c r="H66" s="160">
        <v>111.42</v>
      </c>
      <c r="I66" s="160">
        <f t="shared" si="2"/>
        <v>2870.18</v>
      </c>
      <c r="J66" s="150">
        <f t="shared" si="3"/>
        <v>0</v>
      </c>
      <c r="K66" s="73">
        <v>2870.18</v>
      </c>
      <c r="L66" s="536"/>
      <c r="M66" s="550"/>
      <c r="N66" s="94"/>
      <c r="O66" s="94"/>
      <c r="P66" s="588"/>
    </row>
    <row r="67" spans="1:16" ht="14.1" customHeight="1" outlineLevel="4">
      <c r="B67" s="434">
        <f t="shared" si="12"/>
        <v>6.0101090500000005</v>
      </c>
      <c r="C67" s="271" t="s">
        <v>881</v>
      </c>
      <c r="D67" s="64" t="s">
        <v>161</v>
      </c>
      <c r="E67" s="87">
        <v>11.5</v>
      </c>
      <c r="F67" s="73">
        <v>167.88</v>
      </c>
      <c r="G67" s="65"/>
      <c r="H67" s="160">
        <v>167.88</v>
      </c>
      <c r="I67" s="160">
        <f>+ROUND(E67*F67,2)</f>
        <v>1930.62</v>
      </c>
      <c r="J67" s="150">
        <f>+ROUND(E67*G67,2)</f>
        <v>0</v>
      </c>
      <c r="K67" s="73">
        <v>1930.62</v>
      </c>
      <c r="L67" s="536"/>
      <c r="M67" s="550"/>
      <c r="N67" s="94"/>
      <c r="O67" s="94"/>
      <c r="P67" s="588"/>
    </row>
    <row r="68" spans="1:16" ht="14.1" customHeight="1" outlineLevel="4">
      <c r="B68" s="434">
        <f t="shared" si="12"/>
        <v>6.0101090600000004</v>
      </c>
      <c r="C68" s="271" t="s">
        <v>882</v>
      </c>
      <c r="D68" s="64" t="s">
        <v>161</v>
      </c>
      <c r="E68" s="87">
        <v>91.8</v>
      </c>
      <c r="F68" s="73">
        <v>167.88</v>
      </c>
      <c r="G68" s="65"/>
      <c r="H68" s="160">
        <v>167.88</v>
      </c>
      <c r="I68" s="160">
        <f>+ROUND(E68*F68,2)</f>
        <v>15411.38</v>
      </c>
      <c r="J68" s="150">
        <f>+ROUND(E68*G68,2)</f>
        <v>0</v>
      </c>
      <c r="K68" s="73">
        <v>15411.38</v>
      </c>
      <c r="L68" s="536"/>
      <c r="M68" s="550"/>
      <c r="N68" s="94"/>
      <c r="O68" s="94"/>
      <c r="P68" s="588"/>
    </row>
    <row r="69" spans="1:16" s="277" customFormat="1" ht="14.1" customHeight="1" outlineLevel="1">
      <c r="A69" s="391"/>
      <c r="B69" s="101">
        <f>B13+0.0001</f>
        <v>6.0101999999999993</v>
      </c>
      <c r="C69" s="267" t="s">
        <v>883</v>
      </c>
      <c r="D69" s="274"/>
      <c r="E69" s="275"/>
      <c r="F69" s="73" t="s">
        <v>7</v>
      </c>
      <c r="G69" s="65"/>
      <c r="H69" s="160"/>
      <c r="I69" s="160"/>
      <c r="J69" s="150"/>
      <c r="K69" s="73">
        <v>0</v>
      </c>
      <c r="L69" s="536"/>
      <c r="M69" s="550"/>
      <c r="N69" s="94"/>
      <c r="O69" s="94"/>
      <c r="P69" s="588"/>
    </row>
    <row r="70" spans="1:16" ht="14.1" customHeight="1" outlineLevel="3">
      <c r="B70" s="434">
        <f t="shared" si="12"/>
        <v>6.0102000099999993</v>
      </c>
      <c r="C70" s="271" t="s">
        <v>884</v>
      </c>
      <c r="D70" s="64" t="s">
        <v>161</v>
      </c>
      <c r="E70" s="87">
        <v>38.58</v>
      </c>
      <c r="F70" s="83">
        <v>145</v>
      </c>
      <c r="G70" s="105"/>
      <c r="H70" s="160">
        <v>145</v>
      </c>
      <c r="I70" s="160">
        <f t="shared" si="2"/>
        <v>5594.1</v>
      </c>
      <c r="J70" s="150">
        <f t="shared" si="3"/>
        <v>0</v>
      </c>
      <c r="K70" s="73">
        <v>5594.1</v>
      </c>
      <c r="L70" s="536"/>
      <c r="M70" s="550"/>
      <c r="N70" s="94"/>
      <c r="O70" s="94"/>
      <c r="P70" s="588"/>
    </row>
    <row r="71" spans="1:16" ht="14.1" customHeight="1" outlineLevel="3">
      <c r="B71" s="434">
        <f t="shared" si="12"/>
        <v>6.0102000199999992</v>
      </c>
      <c r="C71" s="271" t="s">
        <v>885</v>
      </c>
      <c r="D71" s="64" t="s">
        <v>46</v>
      </c>
      <c r="E71" s="87">
        <v>258.27</v>
      </c>
      <c r="F71" s="83">
        <v>105</v>
      </c>
      <c r="G71" s="65"/>
      <c r="H71" s="160">
        <v>105</v>
      </c>
      <c r="I71" s="160">
        <f t="shared" si="2"/>
        <v>27118.35</v>
      </c>
      <c r="J71" s="150">
        <f t="shared" si="3"/>
        <v>0</v>
      </c>
      <c r="K71" s="73">
        <v>27118.35</v>
      </c>
      <c r="L71" s="536"/>
      <c r="M71" s="550"/>
      <c r="N71" s="94"/>
      <c r="O71" s="94"/>
      <c r="P71" s="588"/>
    </row>
    <row r="72" spans="1:16" ht="14.1" customHeight="1" outlineLevel="3">
      <c r="B72" s="434">
        <f t="shared" si="12"/>
        <v>6.0102000299999991</v>
      </c>
      <c r="C72" s="297" t="s">
        <v>886</v>
      </c>
      <c r="D72" s="64" t="s">
        <v>46</v>
      </c>
      <c r="E72" s="87">
        <v>59.640000000000008</v>
      </c>
      <c r="F72" s="83">
        <v>115</v>
      </c>
      <c r="G72" s="65"/>
      <c r="H72" s="160">
        <v>115</v>
      </c>
      <c r="I72" s="160">
        <f t="shared" si="2"/>
        <v>6858.6</v>
      </c>
      <c r="J72" s="150">
        <f t="shared" si="3"/>
        <v>0</v>
      </c>
      <c r="K72" s="73">
        <v>6858.6</v>
      </c>
      <c r="L72" s="536"/>
      <c r="M72" s="550"/>
      <c r="N72" s="94"/>
      <c r="O72" s="94"/>
      <c r="P72" s="588"/>
    </row>
    <row r="73" spans="1:16" ht="14.1" customHeight="1" outlineLevel="3">
      <c r="B73" s="434">
        <f t="shared" si="12"/>
        <v>6.0102000399999991</v>
      </c>
      <c r="C73" s="271" t="s">
        <v>887</v>
      </c>
      <c r="D73" s="64" t="s">
        <v>46</v>
      </c>
      <c r="E73" s="87">
        <v>1001.49</v>
      </c>
      <c r="F73" s="83">
        <v>105</v>
      </c>
      <c r="G73" s="65"/>
      <c r="H73" s="160">
        <v>105</v>
      </c>
      <c r="I73" s="160">
        <f>+ROUND(E73*F73,2)</f>
        <v>105156.45</v>
      </c>
      <c r="J73" s="150">
        <f>+ROUND(E73*G73,2)</f>
        <v>0</v>
      </c>
      <c r="K73" s="73">
        <v>105156.45</v>
      </c>
      <c r="L73" s="536"/>
      <c r="M73" s="550"/>
      <c r="N73" s="94"/>
      <c r="O73" s="94"/>
      <c r="P73" s="588"/>
    </row>
    <row r="74" spans="1:16" ht="14.1" customHeight="1" outlineLevel="3">
      <c r="B74" s="434">
        <f t="shared" si="12"/>
        <v>6.010200049999999</v>
      </c>
      <c r="C74" s="271" t="s">
        <v>888</v>
      </c>
      <c r="D74" s="64" t="s">
        <v>36</v>
      </c>
      <c r="E74" s="87">
        <v>586</v>
      </c>
      <c r="F74" s="83">
        <v>125</v>
      </c>
      <c r="G74" s="65"/>
      <c r="H74" s="160">
        <v>125</v>
      </c>
      <c r="I74" s="160">
        <f t="shared" si="2"/>
        <v>73250</v>
      </c>
      <c r="J74" s="150">
        <f t="shared" si="3"/>
        <v>0</v>
      </c>
      <c r="K74" s="73">
        <v>73250</v>
      </c>
      <c r="L74" s="536"/>
      <c r="M74" s="550"/>
      <c r="N74" s="94"/>
      <c r="O74" s="94"/>
      <c r="P74" s="588"/>
    </row>
    <row r="75" spans="1:16" ht="14.1" customHeight="1" outlineLevel="3">
      <c r="B75" s="434">
        <f t="shared" si="12"/>
        <v>6.010200059999999</v>
      </c>
      <c r="C75" s="271" t="s">
        <v>889</v>
      </c>
      <c r="D75" s="64" t="s">
        <v>161</v>
      </c>
      <c r="E75" s="87">
        <v>6.5</v>
      </c>
      <c r="F75" s="83">
        <v>1550</v>
      </c>
      <c r="G75" s="65"/>
      <c r="H75" s="160">
        <v>1550</v>
      </c>
      <c r="I75" s="160">
        <f>+ROUND(E75*F75,2)</f>
        <v>10075</v>
      </c>
      <c r="J75" s="150">
        <f>+ROUND(E75*G75,2)</f>
        <v>0</v>
      </c>
      <c r="K75" s="73">
        <v>10075</v>
      </c>
      <c r="L75" s="536"/>
      <c r="M75" s="550"/>
      <c r="N75" s="94"/>
      <c r="O75" s="94"/>
      <c r="P75" s="588"/>
    </row>
    <row r="76" spans="1:16" ht="14.1" customHeight="1" outlineLevel="3">
      <c r="B76" s="434">
        <f t="shared" si="12"/>
        <v>6.0102000699999989</v>
      </c>
      <c r="C76" s="271" t="s">
        <v>890</v>
      </c>
      <c r="D76" s="64" t="s">
        <v>161</v>
      </c>
      <c r="E76" s="87">
        <v>155.85000000000002</v>
      </c>
      <c r="F76" s="83">
        <v>180</v>
      </c>
      <c r="G76" s="65"/>
      <c r="H76" s="160">
        <v>180</v>
      </c>
      <c r="I76" s="160">
        <f>+ROUND(E76*F76,2)</f>
        <v>28053</v>
      </c>
      <c r="J76" s="150">
        <f>+ROUND(E76*G76,2)</f>
        <v>0</v>
      </c>
      <c r="K76" s="73">
        <v>28053</v>
      </c>
      <c r="L76" s="536"/>
      <c r="M76" s="550"/>
      <c r="N76" s="94"/>
      <c r="O76" s="94"/>
      <c r="P76" s="588"/>
    </row>
    <row r="77" spans="1:16" ht="14.1" customHeight="1" outlineLevel="3">
      <c r="B77" s="434">
        <f t="shared" si="12"/>
        <v>6.0102000799999988</v>
      </c>
      <c r="C77" s="271" t="s">
        <v>891</v>
      </c>
      <c r="D77" s="64" t="s">
        <v>161</v>
      </c>
      <c r="E77" s="87">
        <v>155.85000000000002</v>
      </c>
      <c r="F77" s="83">
        <v>130</v>
      </c>
      <c r="G77" s="65"/>
      <c r="H77" s="160">
        <v>130</v>
      </c>
      <c r="I77" s="160">
        <f>+ROUND(E77*F77,2)</f>
        <v>20260.5</v>
      </c>
      <c r="J77" s="150">
        <f>+ROUND(E77*G77,2)</f>
        <v>0</v>
      </c>
      <c r="K77" s="73">
        <v>20260.5</v>
      </c>
      <c r="L77" s="536"/>
      <c r="M77" s="550"/>
      <c r="N77" s="94"/>
      <c r="O77" s="94"/>
      <c r="P77" s="588"/>
    </row>
    <row r="78" spans="1:16" s="277" customFormat="1" ht="14.1" customHeight="1" outlineLevel="1">
      <c r="A78" s="391"/>
      <c r="B78" s="101">
        <f>B69+0.0001</f>
        <v>6.0102999999999991</v>
      </c>
      <c r="C78" s="267" t="s">
        <v>661</v>
      </c>
      <c r="D78" s="274"/>
      <c r="E78" s="275"/>
      <c r="F78" s="73" t="s">
        <v>7</v>
      </c>
      <c r="G78" s="276"/>
      <c r="H78" s="160"/>
      <c r="I78" s="160"/>
      <c r="J78" s="150"/>
      <c r="K78" s="73">
        <v>0</v>
      </c>
      <c r="L78" s="536"/>
      <c r="M78" s="550"/>
      <c r="N78" s="94"/>
      <c r="O78" s="94"/>
      <c r="P78" s="588"/>
    </row>
    <row r="79" spans="1:16" s="277" customFormat="1" ht="14.1" customHeight="1" outlineLevel="3">
      <c r="A79" s="391"/>
      <c r="B79" s="434">
        <f t="shared" si="12"/>
        <v>6.010300009999999</v>
      </c>
      <c r="C79" s="271" t="s">
        <v>892</v>
      </c>
      <c r="D79" s="64" t="s">
        <v>161</v>
      </c>
      <c r="E79" s="87"/>
      <c r="F79" s="73">
        <v>108.22</v>
      </c>
      <c r="G79" s="276"/>
      <c r="H79" s="160">
        <v>108.22</v>
      </c>
      <c r="I79" s="160">
        <f t="shared" si="2"/>
        <v>0</v>
      </c>
      <c r="J79" s="150">
        <f t="shared" si="3"/>
        <v>0</v>
      </c>
      <c r="K79" s="73">
        <v>0</v>
      </c>
      <c r="L79" s="536"/>
      <c r="M79" s="550"/>
      <c r="N79" s="94"/>
      <c r="O79" s="94"/>
      <c r="P79" s="588"/>
    </row>
    <row r="80" spans="1:16" ht="14.1" customHeight="1" outlineLevel="3">
      <c r="B80" s="434">
        <f t="shared" si="12"/>
        <v>6.010300019999999</v>
      </c>
      <c r="C80" s="271" t="s">
        <v>893</v>
      </c>
      <c r="D80" s="64" t="s">
        <v>161</v>
      </c>
      <c r="E80" s="87"/>
      <c r="F80" s="73">
        <v>108.22</v>
      </c>
      <c r="G80" s="65"/>
      <c r="H80" s="160">
        <v>108.22</v>
      </c>
      <c r="I80" s="160">
        <f t="shared" si="2"/>
        <v>0</v>
      </c>
      <c r="J80" s="150">
        <f t="shared" si="3"/>
        <v>0</v>
      </c>
      <c r="K80" s="73">
        <v>0</v>
      </c>
      <c r="L80" s="536"/>
      <c r="M80" s="550"/>
      <c r="N80" s="94"/>
      <c r="O80" s="94"/>
      <c r="P80" s="588"/>
    </row>
    <row r="81" spans="2:16" ht="14.1" customHeight="1" outlineLevel="3">
      <c r="B81" s="434">
        <f t="shared" si="12"/>
        <v>6.0103000299999989</v>
      </c>
      <c r="C81" s="271" t="s">
        <v>894</v>
      </c>
      <c r="D81" s="64" t="s">
        <v>161</v>
      </c>
      <c r="E81" s="87"/>
      <c r="F81" s="73">
        <v>108.22</v>
      </c>
      <c r="G81" s="65"/>
      <c r="H81" s="160">
        <v>108.22</v>
      </c>
      <c r="I81" s="160">
        <f t="shared" si="2"/>
        <v>0</v>
      </c>
      <c r="J81" s="150">
        <f t="shared" si="3"/>
        <v>0</v>
      </c>
      <c r="K81" s="73">
        <v>0</v>
      </c>
      <c r="L81" s="536"/>
      <c r="M81" s="550"/>
      <c r="N81" s="94"/>
      <c r="O81" s="94"/>
      <c r="P81" s="588"/>
    </row>
    <row r="82" spans="2:16" ht="14.1" customHeight="1" outlineLevel="3">
      <c r="B82" s="434">
        <f t="shared" si="12"/>
        <v>6.0103000399999988</v>
      </c>
      <c r="C82" s="271" t="s">
        <v>895</v>
      </c>
      <c r="D82" s="64" t="s">
        <v>161</v>
      </c>
      <c r="E82" s="87"/>
      <c r="F82" s="73">
        <v>108.22</v>
      </c>
      <c r="G82" s="65"/>
      <c r="H82" s="160">
        <v>108.22</v>
      </c>
      <c r="I82" s="160">
        <f t="shared" si="2"/>
        <v>0</v>
      </c>
      <c r="J82" s="150">
        <f t="shared" si="3"/>
        <v>0</v>
      </c>
      <c r="K82" s="73">
        <v>0</v>
      </c>
      <c r="L82" s="536"/>
      <c r="M82" s="550"/>
      <c r="N82" s="94"/>
      <c r="O82" s="94"/>
      <c r="P82" s="588"/>
    </row>
    <row r="83" spans="2:16" ht="14.1" customHeight="1" outlineLevel="3">
      <c r="B83" s="434">
        <f t="shared" si="12"/>
        <v>6.0103000499999988</v>
      </c>
      <c r="C83" s="271" t="s">
        <v>896</v>
      </c>
      <c r="D83" s="64" t="s">
        <v>161</v>
      </c>
      <c r="E83" s="87"/>
      <c r="F83" s="73">
        <v>113.22</v>
      </c>
      <c r="G83" s="65"/>
      <c r="H83" s="160">
        <v>113.22</v>
      </c>
      <c r="I83" s="160">
        <f t="shared" si="2"/>
        <v>0</v>
      </c>
      <c r="J83" s="150">
        <f t="shared" si="3"/>
        <v>0</v>
      </c>
      <c r="K83" s="73">
        <v>0</v>
      </c>
      <c r="L83" s="536"/>
      <c r="M83" s="550"/>
      <c r="N83" s="94"/>
      <c r="O83" s="94"/>
      <c r="P83" s="588"/>
    </row>
    <row r="84" spans="2:16" ht="14.1" customHeight="1" outlineLevel="3">
      <c r="B84" s="434">
        <f t="shared" si="12"/>
        <v>6.0103000599999987</v>
      </c>
      <c r="C84" s="271" t="s">
        <v>897</v>
      </c>
      <c r="D84" s="64" t="s">
        <v>161</v>
      </c>
      <c r="E84" s="87"/>
      <c r="F84" s="73">
        <v>108.22</v>
      </c>
      <c r="G84" s="65"/>
      <c r="H84" s="160">
        <v>108.22</v>
      </c>
      <c r="I84" s="160">
        <f t="shared" si="2"/>
        <v>0</v>
      </c>
      <c r="J84" s="150">
        <f t="shared" si="3"/>
        <v>0</v>
      </c>
      <c r="K84" s="73">
        <v>0</v>
      </c>
      <c r="L84" s="536"/>
      <c r="M84" s="550"/>
      <c r="N84" s="94"/>
      <c r="O84" s="94"/>
      <c r="P84" s="588"/>
    </row>
    <row r="85" spans="2:16" ht="14.1" customHeight="1" outlineLevel="3">
      <c r="B85" s="434">
        <f t="shared" si="12"/>
        <v>6.0103000699999987</v>
      </c>
      <c r="C85" s="271" t="s">
        <v>898</v>
      </c>
      <c r="D85" s="64" t="s">
        <v>161</v>
      </c>
      <c r="E85" s="87"/>
      <c r="F85" s="73">
        <v>119.22</v>
      </c>
      <c r="G85" s="65"/>
      <c r="H85" s="160">
        <v>119.22</v>
      </c>
      <c r="I85" s="160">
        <f t="shared" si="2"/>
        <v>0</v>
      </c>
      <c r="J85" s="150">
        <f t="shared" si="3"/>
        <v>0</v>
      </c>
      <c r="K85" s="73">
        <v>0</v>
      </c>
      <c r="L85" s="536"/>
      <c r="M85" s="550"/>
      <c r="N85" s="94"/>
      <c r="O85" s="94"/>
      <c r="P85" s="588"/>
    </row>
    <row r="86" spans="2:16" ht="14.1" customHeight="1" outlineLevel="3">
      <c r="B86" s="434">
        <f t="shared" si="12"/>
        <v>6.0103000799999986</v>
      </c>
      <c r="C86" s="271" t="s">
        <v>899</v>
      </c>
      <c r="D86" s="64" t="s">
        <v>46</v>
      </c>
      <c r="E86" s="87">
        <v>566.92999999999984</v>
      </c>
      <c r="F86" s="476">
        <v>51.03</v>
      </c>
      <c r="G86" s="480">
        <v>1.1299999999999999</v>
      </c>
      <c r="H86" s="482">
        <v>55.27</v>
      </c>
      <c r="I86" s="482">
        <f t="shared" si="2"/>
        <v>28930.44</v>
      </c>
      <c r="J86" s="150">
        <f t="shared" si="3"/>
        <v>640.63</v>
      </c>
      <c r="K86" s="73">
        <v>31332.799999999999</v>
      </c>
      <c r="L86" s="536"/>
      <c r="M86" s="550"/>
      <c r="N86" s="94"/>
      <c r="O86" s="94"/>
      <c r="P86" s="588"/>
    </row>
    <row r="87" spans="2:16" ht="15" customHeight="1" outlineLevel="3">
      <c r="B87" s="434">
        <f t="shared" si="12"/>
        <v>6.0103000899999985</v>
      </c>
      <c r="C87" s="271" t="s">
        <v>900</v>
      </c>
      <c r="D87" s="64" t="s">
        <v>46</v>
      </c>
      <c r="E87" s="87">
        <v>217.67000000000002</v>
      </c>
      <c r="F87" s="73">
        <v>44.43</v>
      </c>
      <c r="G87" s="81">
        <v>0.75</v>
      </c>
      <c r="H87" s="160">
        <v>47.24</v>
      </c>
      <c r="I87" s="160">
        <f t="shared" si="2"/>
        <v>9671.08</v>
      </c>
      <c r="J87" s="150">
        <f t="shared" si="3"/>
        <v>163.25</v>
      </c>
      <c r="K87" s="73">
        <v>10283.27</v>
      </c>
      <c r="L87" s="536"/>
      <c r="M87" s="550"/>
      <c r="N87" s="94"/>
      <c r="O87" s="94"/>
      <c r="P87" s="588"/>
    </row>
    <row r="88" spans="2:16" ht="14.1" customHeight="1" outlineLevel="3">
      <c r="B88" s="434">
        <f t="shared" si="12"/>
        <v>6.0103000999999985</v>
      </c>
      <c r="C88" s="271" t="s">
        <v>901</v>
      </c>
      <c r="D88" s="64" t="s">
        <v>46</v>
      </c>
      <c r="E88" s="87"/>
      <c r="F88" s="73">
        <v>44.43</v>
      </c>
      <c r="G88" s="81">
        <v>0.75</v>
      </c>
      <c r="H88" s="160">
        <v>47.24</v>
      </c>
      <c r="I88" s="160">
        <f t="shared" si="2"/>
        <v>0</v>
      </c>
      <c r="J88" s="150">
        <f t="shared" si="3"/>
        <v>0</v>
      </c>
      <c r="K88" s="73">
        <v>0</v>
      </c>
      <c r="L88" s="536"/>
      <c r="M88" s="550"/>
      <c r="N88" s="94"/>
      <c r="O88" s="94"/>
      <c r="P88" s="588"/>
    </row>
    <row r="89" spans="2:16" ht="14.1" customHeight="1" outlineLevel="3">
      <c r="B89" s="434">
        <f t="shared" si="12"/>
        <v>6.0103001099999984</v>
      </c>
      <c r="C89" s="271" t="s">
        <v>902</v>
      </c>
      <c r="D89" s="64" t="s">
        <v>46</v>
      </c>
      <c r="E89" s="87">
        <v>64.63</v>
      </c>
      <c r="F89" s="73">
        <v>45.93</v>
      </c>
      <c r="G89" s="81">
        <v>0.9</v>
      </c>
      <c r="H89" s="160">
        <v>49.31</v>
      </c>
      <c r="I89" s="160">
        <f t="shared" si="2"/>
        <v>2968.46</v>
      </c>
      <c r="J89" s="150">
        <f t="shared" si="3"/>
        <v>58.17</v>
      </c>
      <c r="K89" s="73">
        <v>3186.6</v>
      </c>
      <c r="L89" s="536"/>
      <c r="M89" s="550"/>
      <c r="N89" s="94"/>
      <c r="O89" s="94"/>
      <c r="P89" s="588"/>
    </row>
    <row r="90" spans="2:16" ht="14.1" customHeight="1" outlineLevel="3">
      <c r="B90" s="434">
        <f t="shared" si="12"/>
        <v>6.0103001199999984</v>
      </c>
      <c r="C90" s="271" t="s">
        <v>903</v>
      </c>
      <c r="D90" s="64" t="s">
        <v>46</v>
      </c>
      <c r="E90" s="87"/>
      <c r="F90" s="73">
        <v>57.63</v>
      </c>
      <c r="G90" s="81">
        <v>1.5</v>
      </c>
      <c r="H90" s="160">
        <v>63.26</v>
      </c>
      <c r="I90" s="160">
        <f t="shared" si="2"/>
        <v>0</v>
      </c>
      <c r="J90" s="150">
        <f t="shared" si="3"/>
        <v>0</v>
      </c>
      <c r="K90" s="73">
        <v>0</v>
      </c>
      <c r="L90" s="536"/>
      <c r="M90" s="550"/>
      <c r="N90" s="94"/>
      <c r="O90" s="94"/>
      <c r="P90" s="588"/>
    </row>
    <row r="91" spans="2:16" ht="14.1" customHeight="1" outlineLevel="3">
      <c r="B91" s="434">
        <f t="shared" si="12"/>
        <v>6.0103001299999983</v>
      </c>
      <c r="C91" s="271" t="s">
        <v>904</v>
      </c>
      <c r="D91" s="64" t="s">
        <v>46</v>
      </c>
      <c r="E91" s="87"/>
      <c r="F91" s="73">
        <v>64.22</v>
      </c>
      <c r="G91" s="81">
        <v>1.88</v>
      </c>
      <c r="H91" s="160">
        <v>71.27</v>
      </c>
      <c r="I91" s="160">
        <f t="shared" si="2"/>
        <v>0</v>
      </c>
      <c r="J91" s="150">
        <f t="shared" si="3"/>
        <v>0</v>
      </c>
      <c r="K91" s="73">
        <v>0</v>
      </c>
      <c r="L91" s="536"/>
      <c r="M91" s="550"/>
      <c r="N91" s="94"/>
      <c r="O91" s="94"/>
      <c r="P91" s="588"/>
    </row>
    <row r="92" spans="2:16" ht="14.1" customHeight="1" outlineLevel="3">
      <c r="B92" s="434">
        <f t="shared" si="12"/>
        <v>6.0103001399999982</v>
      </c>
      <c r="C92" s="297" t="s">
        <v>905</v>
      </c>
      <c r="D92" s="64" t="s">
        <v>46</v>
      </c>
      <c r="E92" s="87">
        <v>13.99</v>
      </c>
      <c r="F92" s="73">
        <v>70.8</v>
      </c>
      <c r="G92" s="81">
        <v>2.2599999999999998</v>
      </c>
      <c r="H92" s="160">
        <v>79.28</v>
      </c>
      <c r="I92" s="160">
        <f t="shared" si="2"/>
        <v>990.49</v>
      </c>
      <c r="J92" s="150">
        <f t="shared" si="3"/>
        <v>31.62</v>
      </c>
      <c r="K92" s="73">
        <v>1109.07</v>
      </c>
      <c r="L92" s="536"/>
      <c r="M92" s="550"/>
      <c r="N92" s="94"/>
      <c r="O92" s="94"/>
      <c r="P92" s="588"/>
    </row>
    <row r="93" spans="2:16" ht="14.1" customHeight="1" outlineLevel="3">
      <c r="B93" s="434">
        <f t="shared" si="12"/>
        <v>6.0103001499999982</v>
      </c>
      <c r="C93" s="271" t="s">
        <v>906</v>
      </c>
      <c r="D93" s="64" t="s">
        <v>46</v>
      </c>
      <c r="E93" s="87">
        <v>98.300000000000011</v>
      </c>
      <c r="F93" s="73">
        <v>77.41</v>
      </c>
      <c r="G93" s="81">
        <v>2.63</v>
      </c>
      <c r="H93" s="160">
        <v>87.27</v>
      </c>
      <c r="I93" s="160">
        <f t="shared" si="2"/>
        <v>7609.4</v>
      </c>
      <c r="J93" s="150">
        <f t="shared" si="3"/>
        <v>258.52999999999997</v>
      </c>
      <c r="K93" s="73">
        <v>8578.89</v>
      </c>
      <c r="L93" s="536"/>
      <c r="M93" s="550"/>
      <c r="N93" s="94"/>
      <c r="O93" s="94"/>
      <c r="P93" s="588"/>
    </row>
    <row r="94" spans="2:16" ht="20.45" customHeight="1" outlineLevel="3">
      <c r="B94" s="434">
        <f t="shared" si="12"/>
        <v>6.0103001599999981</v>
      </c>
      <c r="C94" s="44" t="s">
        <v>907</v>
      </c>
      <c r="D94" s="64" t="s">
        <v>46</v>
      </c>
      <c r="E94" s="87">
        <v>18.78</v>
      </c>
      <c r="F94" s="73">
        <v>81.22999999999999</v>
      </c>
      <c r="G94" s="81">
        <v>3.01</v>
      </c>
      <c r="H94" s="160">
        <v>92.52</v>
      </c>
      <c r="I94" s="160">
        <f t="shared" ref="I94:I100" si="13">+ROUND(E94*F94,2)</f>
        <v>1525.5</v>
      </c>
      <c r="J94" s="150">
        <f t="shared" ref="J94:J100" si="14">+ROUND(E94*G94,2)</f>
        <v>56.53</v>
      </c>
      <c r="K94" s="73">
        <v>1737.49</v>
      </c>
      <c r="L94" s="536"/>
      <c r="M94" s="550"/>
      <c r="N94" s="94"/>
      <c r="O94" s="94"/>
      <c r="P94" s="588"/>
    </row>
    <row r="95" spans="2:16" ht="14.1" customHeight="1" outlineLevel="3">
      <c r="B95" s="434">
        <f t="shared" si="12"/>
        <v>6.0103001699999981</v>
      </c>
      <c r="C95" s="44" t="s">
        <v>908</v>
      </c>
      <c r="D95" s="64" t="s">
        <v>46</v>
      </c>
      <c r="E95" s="87">
        <v>14.42</v>
      </c>
      <c r="F95" s="73">
        <v>86.62</v>
      </c>
      <c r="G95" s="81">
        <v>3.38</v>
      </c>
      <c r="H95" s="160">
        <v>99.3</v>
      </c>
      <c r="I95" s="160">
        <f t="shared" si="13"/>
        <v>1249.06</v>
      </c>
      <c r="J95" s="150">
        <f t="shared" si="14"/>
        <v>48.74</v>
      </c>
      <c r="K95" s="73">
        <v>1431.84</v>
      </c>
      <c r="L95" s="536"/>
      <c r="M95" s="550"/>
      <c r="N95" s="94"/>
      <c r="O95" s="94"/>
      <c r="P95" s="588"/>
    </row>
    <row r="96" spans="2:16" ht="14.1" customHeight="1" outlineLevel="3">
      <c r="B96" s="434">
        <f t="shared" si="12"/>
        <v>6.010300179999998</v>
      </c>
      <c r="C96" s="44" t="s">
        <v>909</v>
      </c>
      <c r="D96" s="64" t="s">
        <v>46</v>
      </c>
      <c r="E96" s="87">
        <v>5.3000000000000007</v>
      </c>
      <c r="F96" s="73">
        <v>103.07</v>
      </c>
      <c r="G96" s="81">
        <v>4.51</v>
      </c>
      <c r="H96" s="160">
        <v>119.98</v>
      </c>
      <c r="I96" s="160">
        <f t="shared" si="13"/>
        <v>546.27</v>
      </c>
      <c r="J96" s="150">
        <f t="shared" si="14"/>
        <v>23.9</v>
      </c>
      <c r="K96" s="73">
        <v>635.9</v>
      </c>
      <c r="L96" s="536"/>
      <c r="M96" s="550"/>
      <c r="N96" s="94"/>
      <c r="O96" s="94"/>
      <c r="P96" s="588"/>
    </row>
    <row r="97" spans="1:16" ht="14.1" customHeight="1" outlineLevel="3">
      <c r="B97" s="434">
        <f t="shared" si="12"/>
        <v>6.0103001899999979</v>
      </c>
      <c r="C97" s="44" t="s">
        <v>910</v>
      </c>
      <c r="D97" s="64" t="s">
        <v>46</v>
      </c>
      <c r="E97" s="87">
        <v>25.909999999999997</v>
      </c>
      <c r="F97" s="73">
        <v>111.92</v>
      </c>
      <c r="G97" s="81">
        <v>5.41</v>
      </c>
      <c r="H97" s="160">
        <v>132.21</v>
      </c>
      <c r="I97" s="160">
        <f t="shared" si="13"/>
        <v>2899.85</v>
      </c>
      <c r="J97" s="150">
        <f t="shared" si="14"/>
        <v>140.16999999999999</v>
      </c>
      <c r="K97" s="73">
        <v>3425.49</v>
      </c>
      <c r="L97" s="536"/>
      <c r="M97" s="550"/>
      <c r="N97" s="94"/>
      <c r="O97" s="94"/>
      <c r="P97" s="588"/>
    </row>
    <row r="98" spans="1:16" ht="14.1" customHeight="1" outlineLevel="3">
      <c r="B98" s="434">
        <f t="shared" si="12"/>
        <v>6.0103001999999979</v>
      </c>
      <c r="C98" s="44" t="s">
        <v>911</v>
      </c>
      <c r="D98" s="64" t="s">
        <v>46</v>
      </c>
      <c r="E98" s="87">
        <v>48.02</v>
      </c>
      <c r="F98" s="73">
        <v>45.93</v>
      </c>
      <c r="G98" s="81">
        <v>0.9</v>
      </c>
      <c r="H98" s="160">
        <v>49.31</v>
      </c>
      <c r="I98" s="160">
        <f t="shared" si="13"/>
        <v>2205.56</v>
      </c>
      <c r="J98" s="150">
        <f t="shared" si="14"/>
        <v>43.22</v>
      </c>
      <c r="K98" s="73">
        <v>2367.64</v>
      </c>
      <c r="L98" s="536"/>
      <c r="M98" s="550"/>
      <c r="N98" s="94"/>
      <c r="O98" s="94"/>
      <c r="P98" s="588"/>
    </row>
    <row r="99" spans="1:16" ht="14.1" customHeight="1" outlineLevel="3">
      <c r="B99" s="434">
        <f t="shared" si="12"/>
        <v>6.0103002099999978</v>
      </c>
      <c r="C99" s="44" t="s">
        <v>912</v>
      </c>
      <c r="D99" s="64" t="s">
        <v>46</v>
      </c>
      <c r="E99" s="87">
        <v>39.569999999999993</v>
      </c>
      <c r="F99" s="73">
        <v>70.8</v>
      </c>
      <c r="G99" s="81">
        <v>2.2599999999999998</v>
      </c>
      <c r="H99" s="160">
        <v>79.28</v>
      </c>
      <c r="I99" s="160">
        <f t="shared" si="13"/>
        <v>2801.56</v>
      </c>
      <c r="J99" s="150">
        <f t="shared" si="14"/>
        <v>89.43</v>
      </c>
      <c r="K99" s="73">
        <v>3136.92</v>
      </c>
      <c r="L99" s="536"/>
      <c r="M99" s="550"/>
      <c r="N99" s="94"/>
      <c r="O99" s="94"/>
      <c r="P99" s="588"/>
    </row>
    <row r="100" spans="1:16" ht="14.1" customHeight="1" outlineLevel="3">
      <c r="B100" s="434">
        <f t="shared" si="12"/>
        <v>6.0103002199999978</v>
      </c>
      <c r="C100" s="44" t="s">
        <v>913</v>
      </c>
      <c r="D100" s="64" t="s">
        <v>46</v>
      </c>
      <c r="E100" s="87">
        <v>35.980000000000004</v>
      </c>
      <c r="F100" s="73">
        <v>81.22999999999999</v>
      </c>
      <c r="G100" s="81">
        <v>3.01</v>
      </c>
      <c r="H100" s="160">
        <v>92.52</v>
      </c>
      <c r="I100" s="160">
        <f t="shared" si="13"/>
        <v>2922.66</v>
      </c>
      <c r="J100" s="150">
        <f t="shared" si="14"/>
        <v>108.3</v>
      </c>
      <c r="K100" s="73">
        <v>3328.79</v>
      </c>
      <c r="L100" s="536"/>
      <c r="M100" s="550"/>
      <c r="N100" s="94"/>
      <c r="O100" s="94"/>
      <c r="P100" s="588"/>
    </row>
    <row r="101" spans="1:16" s="277" customFormat="1" ht="14.1" customHeight="1" outlineLevel="1">
      <c r="A101" s="391"/>
      <c r="B101" s="101">
        <f>B78+0.0001</f>
        <v>6.0103999999999989</v>
      </c>
      <c r="C101" s="288" t="s">
        <v>914</v>
      </c>
      <c r="D101" s="274"/>
      <c r="E101" s="275"/>
      <c r="F101" s="73"/>
      <c r="G101" s="276"/>
      <c r="H101" s="160"/>
      <c r="I101" s="160"/>
      <c r="J101" s="150"/>
      <c r="K101" s="73">
        <v>0</v>
      </c>
      <c r="L101" s="595"/>
      <c r="M101" s="600"/>
      <c r="N101" s="593"/>
      <c r="O101" s="593"/>
      <c r="P101" s="601"/>
    </row>
    <row r="102" spans="1:16" s="277" customFormat="1" ht="14.1" customHeight="1" outlineLevel="1">
      <c r="A102" s="391"/>
      <c r="B102" s="434">
        <f t="shared" si="12"/>
        <v>6.0104000099999988</v>
      </c>
      <c r="C102" s="443" t="s">
        <v>915</v>
      </c>
      <c r="D102" s="437" t="s">
        <v>46</v>
      </c>
      <c r="E102" s="442">
        <v>2.63</v>
      </c>
      <c r="F102" s="73">
        <v>509.56</v>
      </c>
      <c r="G102" s="276">
        <v>11.28</v>
      </c>
      <c r="H102" s="160">
        <v>551.86</v>
      </c>
      <c r="I102" s="160">
        <f t="shared" ref="I102:I115" si="15">+ROUND(E102*F102,2)</f>
        <v>1340.14</v>
      </c>
      <c r="J102" s="150">
        <f t="shared" ref="J102:J115" si="16">+ROUND(E102*G102,2)</f>
        <v>29.67</v>
      </c>
      <c r="K102" s="73">
        <v>1451.4</v>
      </c>
      <c r="L102" s="595"/>
      <c r="M102" s="600"/>
      <c r="N102" s="593"/>
      <c r="O102" s="593"/>
      <c r="P102" s="601"/>
    </row>
    <row r="103" spans="1:16" s="277" customFormat="1" ht="14.1" customHeight="1" outlineLevel="1">
      <c r="A103" s="391"/>
      <c r="B103" s="434">
        <f t="shared" si="12"/>
        <v>6.0104000199999987</v>
      </c>
      <c r="C103" s="443" t="s">
        <v>916</v>
      </c>
      <c r="D103" s="437" t="s">
        <v>36</v>
      </c>
      <c r="E103" s="442">
        <v>1</v>
      </c>
      <c r="F103" s="73">
        <v>1350</v>
      </c>
      <c r="G103" s="276"/>
      <c r="H103" s="160">
        <v>1350</v>
      </c>
      <c r="I103" s="160">
        <f t="shared" si="15"/>
        <v>1350</v>
      </c>
      <c r="J103" s="150">
        <f t="shared" si="16"/>
        <v>0</v>
      </c>
      <c r="K103" s="73">
        <v>1350</v>
      </c>
      <c r="L103" s="595"/>
      <c r="M103" s="600"/>
      <c r="N103" s="593"/>
      <c r="O103" s="593"/>
      <c r="P103" s="601"/>
    </row>
    <row r="104" spans="1:16" s="277" customFormat="1" ht="14.1" customHeight="1" outlineLevel="1">
      <c r="A104" s="391"/>
      <c r="B104" s="434">
        <f t="shared" si="12"/>
        <v>6.0104000299999987</v>
      </c>
      <c r="C104" s="443" t="s">
        <v>917</v>
      </c>
      <c r="D104" s="437" t="s">
        <v>46</v>
      </c>
      <c r="E104" s="442">
        <v>2.5099999999999998</v>
      </c>
      <c r="F104" s="476">
        <v>560.52</v>
      </c>
      <c r="G104" s="276">
        <v>11.28</v>
      </c>
      <c r="H104" s="160">
        <v>602.82000000000005</v>
      </c>
      <c r="I104" s="160">
        <f t="shared" si="15"/>
        <v>1406.91</v>
      </c>
      <c r="J104" s="150">
        <f t="shared" si="16"/>
        <v>28.31</v>
      </c>
      <c r="K104" s="73">
        <v>1513.07</v>
      </c>
      <c r="L104" s="595"/>
      <c r="M104" s="600"/>
      <c r="N104" s="593"/>
      <c r="O104" s="593"/>
      <c r="P104" s="601"/>
    </row>
    <row r="105" spans="1:16" s="277" customFormat="1" ht="14.1" customHeight="1" outlineLevel="1">
      <c r="A105" s="391"/>
      <c r="B105" s="434">
        <f t="shared" si="12"/>
        <v>6.0104000399999986</v>
      </c>
      <c r="C105" s="443" t="s">
        <v>918</v>
      </c>
      <c r="D105" s="437" t="s">
        <v>46</v>
      </c>
      <c r="E105" s="442">
        <v>6.9</v>
      </c>
      <c r="F105" s="73">
        <v>421.51</v>
      </c>
      <c r="G105" s="276">
        <v>9.02</v>
      </c>
      <c r="H105" s="160">
        <v>455.34</v>
      </c>
      <c r="I105" s="160">
        <f t="shared" si="15"/>
        <v>2908.42</v>
      </c>
      <c r="J105" s="150">
        <f t="shared" si="16"/>
        <v>62.24</v>
      </c>
      <c r="K105" s="73">
        <v>3141.82</v>
      </c>
      <c r="L105" s="595"/>
      <c r="M105" s="600"/>
      <c r="N105" s="593"/>
      <c r="O105" s="593"/>
      <c r="P105" s="601"/>
    </row>
    <row r="106" spans="1:16" s="277" customFormat="1" ht="14.1" customHeight="1" outlineLevel="1">
      <c r="A106" s="391"/>
      <c r="B106" s="434">
        <f t="shared" si="12"/>
        <v>6.0104000499999986</v>
      </c>
      <c r="C106" s="443" t="s">
        <v>919</v>
      </c>
      <c r="D106" s="437" t="s">
        <v>46</v>
      </c>
      <c r="E106" s="442">
        <v>8</v>
      </c>
      <c r="F106" s="73">
        <v>462.04</v>
      </c>
      <c r="G106" s="276">
        <v>9.02</v>
      </c>
      <c r="H106" s="160">
        <v>495.87</v>
      </c>
      <c r="I106" s="160">
        <f t="shared" si="15"/>
        <v>3696.32</v>
      </c>
      <c r="J106" s="150">
        <f t="shared" si="16"/>
        <v>72.16</v>
      </c>
      <c r="K106" s="73">
        <v>3966.92</v>
      </c>
      <c r="L106" s="595"/>
      <c r="M106" s="600"/>
      <c r="N106" s="593"/>
      <c r="O106" s="593"/>
      <c r="P106" s="601"/>
    </row>
    <row r="107" spans="1:16" s="277" customFormat="1" ht="14.1" customHeight="1" outlineLevel="1">
      <c r="A107" s="391"/>
      <c r="B107" s="434">
        <f t="shared" si="12"/>
        <v>6.0104000599999985</v>
      </c>
      <c r="C107" s="443" t="s">
        <v>920</v>
      </c>
      <c r="D107" s="437" t="s">
        <v>46</v>
      </c>
      <c r="E107" s="442">
        <v>9.5500000000000007</v>
      </c>
      <c r="F107" s="73">
        <v>560.52</v>
      </c>
      <c r="G107" s="276">
        <v>11.28</v>
      </c>
      <c r="H107" s="160">
        <v>602.82000000000005</v>
      </c>
      <c r="I107" s="160">
        <f t="shared" si="15"/>
        <v>5352.97</v>
      </c>
      <c r="J107" s="150">
        <f t="shared" si="16"/>
        <v>107.72</v>
      </c>
      <c r="K107" s="73">
        <v>5756.92</v>
      </c>
      <c r="L107" s="595"/>
      <c r="M107" s="600"/>
      <c r="N107" s="593"/>
      <c r="O107" s="593"/>
      <c r="P107" s="601"/>
    </row>
    <row r="108" spans="1:16" s="277" customFormat="1" ht="14.1" customHeight="1" outlineLevel="1">
      <c r="A108" s="391"/>
      <c r="B108" s="434">
        <f t="shared" si="12"/>
        <v>6.0104000699999984</v>
      </c>
      <c r="C108" s="443" t="s">
        <v>921</v>
      </c>
      <c r="D108" s="437" t="s">
        <v>46</v>
      </c>
      <c r="E108" s="442">
        <v>18.100000000000001</v>
      </c>
      <c r="F108" s="73">
        <v>509.56</v>
      </c>
      <c r="G108" s="276">
        <v>11.28</v>
      </c>
      <c r="H108" s="160">
        <v>551.86</v>
      </c>
      <c r="I108" s="160">
        <f t="shared" si="15"/>
        <v>9223.0400000000009</v>
      </c>
      <c r="J108" s="150">
        <f t="shared" si="16"/>
        <v>204.17</v>
      </c>
      <c r="K108" s="73">
        <v>9988.68</v>
      </c>
      <c r="L108" s="595"/>
      <c r="M108" s="600"/>
      <c r="N108" s="593"/>
      <c r="O108" s="593"/>
      <c r="P108" s="601"/>
    </row>
    <row r="109" spans="1:16" s="277" customFormat="1" ht="14.1" customHeight="1" outlineLevel="1">
      <c r="A109" s="391"/>
      <c r="B109" s="434">
        <f t="shared" si="12"/>
        <v>6.0104000799999984</v>
      </c>
      <c r="C109" s="443" t="s">
        <v>922</v>
      </c>
      <c r="D109" s="437" t="s">
        <v>46</v>
      </c>
      <c r="E109" s="442">
        <v>25.9</v>
      </c>
      <c r="F109" s="73">
        <v>1350</v>
      </c>
      <c r="G109" s="276"/>
      <c r="H109" s="160">
        <v>1350</v>
      </c>
      <c r="I109" s="160">
        <f t="shared" si="15"/>
        <v>34965</v>
      </c>
      <c r="J109" s="150">
        <f t="shared" si="16"/>
        <v>0</v>
      </c>
      <c r="K109" s="73">
        <v>34965</v>
      </c>
      <c r="L109" s="595"/>
      <c r="M109" s="600"/>
      <c r="N109" s="593"/>
      <c r="O109" s="593"/>
      <c r="P109" s="601"/>
    </row>
    <row r="110" spans="1:16" s="277" customFormat="1" ht="14.1" customHeight="1" outlineLevel="1">
      <c r="A110" s="391"/>
      <c r="B110" s="434">
        <f t="shared" si="12"/>
        <v>6.0104000899999983</v>
      </c>
      <c r="C110" s="443" t="s">
        <v>923</v>
      </c>
      <c r="D110" s="437" t="s">
        <v>46</v>
      </c>
      <c r="E110" s="442">
        <v>16.899999999999999</v>
      </c>
      <c r="F110" s="73">
        <v>509.56</v>
      </c>
      <c r="G110" s="276">
        <v>11.28</v>
      </c>
      <c r="H110" s="160">
        <v>551.86</v>
      </c>
      <c r="I110" s="160">
        <f t="shared" si="15"/>
        <v>8611.56</v>
      </c>
      <c r="J110" s="150">
        <f t="shared" si="16"/>
        <v>190.63</v>
      </c>
      <c r="K110" s="73">
        <v>9326.42</v>
      </c>
      <c r="L110" s="595"/>
      <c r="M110" s="600"/>
      <c r="N110" s="593"/>
      <c r="O110" s="593"/>
      <c r="P110" s="601"/>
    </row>
    <row r="111" spans="1:16" s="277" customFormat="1" ht="14.1" customHeight="1" outlineLevel="1">
      <c r="A111" s="391"/>
      <c r="B111" s="434">
        <f t="shared" si="12"/>
        <v>6.0104000999999982</v>
      </c>
      <c r="C111" s="443" t="s">
        <v>924</v>
      </c>
      <c r="D111" s="437" t="s">
        <v>46</v>
      </c>
      <c r="E111" s="442">
        <v>5.3000000000000007</v>
      </c>
      <c r="F111" s="73">
        <v>509.56</v>
      </c>
      <c r="G111" s="276">
        <v>11.28</v>
      </c>
      <c r="H111" s="160">
        <v>551.86</v>
      </c>
      <c r="I111" s="160">
        <f t="shared" si="15"/>
        <v>2700.67</v>
      </c>
      <c r="J111" s="150">
        <f t="shared" si="16"/>
        <v>59.78</v>
      </c>
      <c r="K111" s="73">
        <v>2924.85</v>
      </c>
      <c r="L111" s="595"/>
      <c r="M111" s="600"/>
      <c r="N111" s="593"/>
      <c r="O111" s="593"/>
      <c r="P111" s="601"/>
    </row>
    <row r="112" spans="1:16" s="277" customFormat="1" ht="14.1" customHeight="1" outlineLevel="1">
      <c r="A112" s="391"/>
      <c r="B112" s="434">
        <f t="shared" si="12"/>
        <v>6.0104001099999982</v>
      </c>
      <c r="C112" s="443" t="s">
        <v>925</v>
      </c>
      <c r="D112" s="437" t="s">
        <v>46</v>
      </c>
      <c r="E112" s="442">
        <v>16.899999999999999</v>
      </c>
      <c r="F112" s="73">
        <v>509.56</v>
      </c>
      <c r="G112" s="276">
        <v>11.28</v>
      </c>
      <c r="H112" s="160">
        <v>551.86</v>
      </c>
      <c r="I112" s="160">
        <f t="shared" si="15"/>
        <v>8611.56</v>
      </c>
      <c r="J112" s="150">
        <f t="shared" si="16"/>
        <v>190.63</v>
      </c>
      <c r="K112" s="73">
        <v>9326.42</v>
      </c>
      <c r="L112" s="595"/>
      <c r="M112" s="600"/>
      <c r="N112" s="593"/>
      <c r="O112" s="593"/>
      <c r="P112" s="601"/>
    </row>
    <row r="113" spans="1:16" s="277" customFormat="1" ht="14.1" customHeight="1" outlineLevel="1">
      <c r="A113" s="391"/>
      <c r="B113" s="434">
        <f t="shared" si="12"/>
        <v>6.0104001199999981</v>
      </c>
      <c r="C113" s="443" t="s">
        <v>926</v>
      </c>
      <c r="D113" s="437" t="s">
        <v>46</v>
      </c>
      <c r="E113" s="442">
        <v>15.89</v>
      </c>
      <c r="F113" s="73">
        <v>582.94000000000005</v>
      </c>
      <c r="G113" s="276">
        <v>11.28</v>
      </c>
      <c r="H113" s="160">
        <v>625.24</v>
      </c>
      <c r="I113" s="160">
        <f t="shared" si="15"/>
        <v>9262.92</v>
      </c>
      <c r="J113" s="150">
        <f t="shared" si="16"/>
        <v>179.24</v>
      </c>
      <c r="K113" s="73">
        <v>9935.07</v>
      </c>
      <c r="L113" s="595"/>
      <c r="M113" s="600"/>
      <c r="N113" s="593"/>
      <c r="O113" s="593"/>
      <c r="P113" s="601"/>
    </row>
    <row r="114" spans="1:16" s="277" customFormat="1" ht="14.1" customHeight="1" outlineLevel="1">
      <c r="A114" s="391"/>
      <c r="B114" s="434">
        <f t="shared" si="12"/>
        <v>6.0104001299999981</v>
      </c>
      <c r="C114" s="443" t="s">
        <v>927</v>
      </c>
      <c r="D114" s="437" t="s">
        <v>36</v>
      </c>
      <c r="E114" s="442">
        <v>1</v>
      </c>
      <c r="F114" s="73">
        <v>125.5</v>
      </c>
      <c r="G114" s="276"/>
      <c r="H114" s="160">
        <v>125.5</v>
      </c>
      <c r="I114" s="160">
        <f t="shared" si="15"/>
        <v>125.5</v>
      </c>
      <c r="J114" s="150">
        <f t="shared" si="16"/>
        <v>0</v>
      </c>
      <c r="K114" s="73">
        <v>125.5</v>
      </c>
      <c r="L114" s="595"/>
      <c r="M114" s="600"/>
      <c r="N114" s="593"/>
      <c r="O114" s="593"/>
      <c r="P114" s="601"/>
    </row>
    <row r="115" spans="1:16" s="277" customFormat="1" ht="14.1" customHeight="1" outlineLevel="1">
      <c r="A115" s="391"/>
      <c r="B115" s="434">
        <f t="shared" si="12"/>
        <v>6.010400139999998</v>
      </c>
      <c r="C115" s="443" t="s">
        <v>928</v>
      </c>
      <c r="D115" s="437" t="s">
        <v>36</v>
      </c>
      <c r="E115" s="442">
        <v>2</v>
      </c>
      <c r="F115" s="73">
        <v>4250</v>
      </c>
      <c r="G115" s="276"/>
      <c r="H115" s="160">
        <v>4250</v>
      </c>
      <c r="I115" s="160">
        <f t="shared" si="15"/>
        <v>8500</v>
      </c>
      <c r="J115" s="150">
        <f t="shared" si="16"/>
        <v>0</v>
      </c>
      <c r="K115" s="73">
        <v>8500</v>
      </c>
      <c r="L115" s="595"/>
      <c r="M115" s="600"/>
      <c r="N115" s="593"/>
      <c r="O115" s="593"/>
      <c r="P115" s="601"/>
    </row>
    <row r="116" spans="1:16" ht="13.5" customHeight="1">
      <c r="B116" s="164">
        <f>B12+0.01</f>
        <v>6.02</v>
      </c>
      <c r="C116" s="279" t="s">
        <v>929</v>
      </c>
      <c r="D116" s="280"/>
      <c r="E116" s="93"/>
      <c r="F116" s="93" t="s">
        <v>7</v>
      </c>
      <c r="G116" s="69"/>
      <c r="H116" s="160"/>
      <c r="I116" s="160"/>
      <c r="J116" s="150"/>
      <c r="K116" s="73">
        <v>0</v>
      </c>
      <c r="L116" s="537">
        <v>568242.29</v>
      </c>
      <c r="M116" s="591"/>
      <c r="N116" s="571"/>
      <c r="O116" s="571"/>
      <c r="P116" s="592"/>
    </row>
    <row r="117" spans="1:16" ht="14.1" customHeight="1" outlineLevel="1">
      <c r="B117" s="101">
        <f>B116+0.0001</f>
        <v>6.0200999999999993</v>
      </c>
      <c r="C117" s="281" t="s">
        <v>930</v>
      </c>
      <c r="D117" s="64"/>
      <c r="E117" s="87"/>
      <c r="F117" s="73" t="s">
        <v>7</v>
      </c>
      <c r="G117" s="65"/>
      <c r="H117" s="160"/>
      <c r="I117" s="160"/>
      <c r="J117" s="150"/>
      <c r="K117" s="73">
        <v>0</v>
      </c>
      <c r="L117" s="536"/>
      <c r="M117" s="550"/>
      <c r="N117" s="94"/>
      <c r="O117" s="94"/>
      <c r="P117" s="588"/>
    </row>
    <row r="118" spans="1:16" outlineLevel="2">
      <c r="B118" s="103">
        <f t="shared" ref="B118:B127" si="17">B117+0.000001</f>
        <v>6.0201009999999995</v>
      </c>
      <c r="C118" s="297" t="s">
        <v>931</v>
      </c>
      <c r="D118" s="64" t="s">
        <v>161</v>
      </c>
      <c r="E118" s="87"/>
      <c r="F118" s="73">
        <v>1.77</v>
      </c>
      <c r="G118" s="65"/>
      <c r="H118" s="160">
        <v>1.77</v>
      </c>
      <c r="I118" s="160">
        <f t="shared" ref="I118:I191" si="18">+ROUND(E118*F118,2)</f>
        <v>0</v>
      </c>
      <c r="J118" s="150">
        <f t="shared" ref="J118:J191" si="19">+ROUND(E118*G118,2)</f>
        <v>0</v>
      </c>
      <c r="K118" s="73">
        <v>0</v>
      </c>
      <c r="L118" s="536"/>
      <c r="M118" s="550"/>
      <c r="N118" s="94"/>
      <c r="O118" s="94"/>
      <c r="P118" s="588"/>
    </row>
    <row r="119" spans="1:16" ht="56.25" outlineLevel="2">
      <c r="B119" s="103">
        <f t="shared" si="17"/>
        <v>6.0201019999999996</v>
      </c>
      <c r="C119" s="297" t="s">
        <v>932</v>
      </c>
      <c r="D119" s="64" t="s">
        <v>161</v>
      </c>
      <c r="E119" s="87">
        <v>16550</v>
      </c>
      <c r="F119" s="73">
        <v>1.77</v>
      </c>
      <c r="G119" s="65"/>
      <c r="H119" s="160">
        <v>1.77</v>
      </c>
      <c r="I119" s="160">
        <f t="shared" si="18"/>
        <v>29293.5</v>
      </c>
      <c r="J119" s="150">
        <f t="shared" si="19"/>
        <v>0</v>
      </c>
      <c r="K119" s="73">
        <v>29293.5</v>
      </c>
      <c r="L119" s="536"/>
      <c r="M119" s="550">
        <v>1.77</v>
      </c>
      <c r="N119" s="94">
        <f>+M119*E119</f>
        <v>29293.5</v>
      </c>
      <c r="O119" s="94"/>
      <c r="P119" s="588"/>
    </row>
    <row r="120" spans="1:16" ht="56.25" outlineLevel="2">
      <c r="B120" s="103">
        <f t="shared" si="17"/>
        <v>6.0201029999999998</v>
      </c>
      <c r="C120" s="297" t="s">
        <v>933</v>
      </c>
      <c r="D120" s="64" t="s">
        <v>161</v>
      </c>
      <c r="E120" s="87">
        <v>36919.830429999995</v>
      </c>
      <c r="F120" s="73">
        <v>1.77</v>
      </c>
      <c r="G120" s="65"/>
      <c r="H120" s="160">
        <v>1.77</v>
      </c>
      <c r="I120" s="160">
        <f t="shared" si="18"/>
        <v>65348.1</v>
      </c>
      <c r="J120" s="150">
        <f t="shared" si="19"/>
        <v>0</v>
      </c>
      <c r="K120" s="73">
        <v>65348.1</v>
      </c>
      <c r="L120" s="536"/>
      <c r="M120" s="550">
        <v>1.77</v>
      </c>
      <c r="N120" s="94">
        <f>+M120*E120</f>
        <v>65348.099861099989</v>
      </c>
      <c r="O120" s="94"/>
      <c r="P120" s="588"/>
    </row>
    <row r="121" spans="1:16" ht="14.1" customHeight="1" outlineLevel="2">
      <c r="B121" s="103">
        <f t="shared" si="17"/>
        <v>6.0201039999999999</v>
      </c>
      <c r="C121" s="272" t="s">
        <v>669</v>
      </c>
      <c r="D121" s="64" t="s">
        <v>161</v>
      </c>
      <c r="E121" s="87">
        <v>986.63</v>
      </c>
      <c r="F121" s="73">
        <v>24.61</v>
      </c>
      <c r="G121" s="65"/>
      <c r="H121" s="160">
        <v>24.61</v>
      </c>
      <c r="I121" s="160">
        <f t="shared" si="18"/>
        <v>24280.959999999999</v>
      </c>
      <c r="J121" s="150">
        <f t="shared" si="19"/>
        <v>0</v>
      </c>
      <c r="K121" s="73">
        <v>24280.959999999999</v>
      </c>
      <c r="L121" s="536"/>
      <c r="M121" s="550"/>
      <c r="N121" s="94">
        <f t="shared" ref="N121:N125" si="20">+M121*E121</f>
        <v>0</v>
      </c>
      <c r="O121" s="94"/>
      <c r="P121" s="588"/>
    </row>
    <row r="122" spans="1:16" ht="14.1" customHeight="1" outlineLevel="2">
      <c r="B122" s="103">
        <f t="shared" si="17"/>
        <v>6.020105</v>
      </c>
      <c r="C122" s="272" t="s">
        <v>671</v>
      </c>
      <c r="D122" s="64" t="s">
        <v>161</v>
      </c>
      <c r="E122" s="87"/>
      <c r="F122" s="73">
        <v>16.71</v>
      </c>
      <c r="G122" s="65"/>
      <c r="H122" s="160">
        <v>16.71</v>
      </c>
      <c r="I122" s="160">
        <f t="shared" si="18"/>
        <v>0</v>
      </c>
      <c r="J122" s="150">
        <f t="shared" si="19"/>
        <v>0</v>
      </c>
      <c r="K122" s="73">
        <v>0</v>
      </c>
      <c r="L122" s="536"/>
      <c r="M122" s="550"/>
      <c r="N122" s="94">
        <f t="shared" si="20"/>
        <v>0</v>
      </c>
      <c r="O122" s="94"/>
      <c r="P122" s="588"/>
    </row>
    <row r="123" spans="1:16" ht="14.1" customHeight="1" outlineLevel="2">
      <c r="B123" s="103">
        <f t="shared" si="17"/>
        <v>6.0201060000000002</v>
      </c>
      <c r="C123" s="272" t="s">
        <v>934</v>
      </c>
      <c r="D123" s="64" t="s">
        <v>161</v>
      </c>
      <c r="E123" s="87"/>
      <c r="F123" s="73">
        <v>35.479999999999997</v>
      </c>
      <c r="G123" s="65"/>
      <c r="H123" s="160">
        <v>35.479999999999997</v>
      </c>
      <c r="I123" s="160">
        <f t="shared" si="18"/>
        <v>0</v>
      </c>
      <c r="J123" s="150">
        <f t="shared" si="19"/>
        <v>0</v>
      </c>
      <c r="K123" s="73">
        <v>0</v>
      </c>
      <c r="L123" s="536"/>
      <c r="M123" s="550"/>
      <c r="N123" s="94">
        <f t="shared" si="20"/>
        <v>0</v>
      </c>
      <c r="O123" s="94"/>
      <c r="P123" s="588"/>
    </row>
    <row r="124" spans="1:16" ht="14.1" customHeight="1" outlineLevel="2">
      <c r="B124" s="103">
        <f t="shared" si="17"/>
        <v>6.0201070000000003</v>
      </c>
      <c r="C124" s="272" t="s">
        <v>935</v>
      </c>
      <c r="D124" s="64" t="s">
        <v>161</v>
      </c>
      <c r="E124" s="87">
        <v>7798.91</v>
      </c>
      <c r="F124" s="73">
        <v>28.4</v>
      </c>
      <c r="G124" s="65"/>
      <c r="H124" s="160">
        <v>28.4</v>
      </c>
      <c r="I124" s="160">
        <f t="shared" si="18"/>
        <v>221489.04</v>
      </c>
      <c r="J124" s="150">
        <f t="shared" si="19"/>
        <v>0</v>
      </c>
      <c r="K124" s="73">
        <v>221489.04</v>
      </c>
      <c r="L124" s="536"/>
      <c r="M124" s="550">
        <v>28.4</v>
      </c>
      <c r="N124" s="94">
        <f t="shared" si="20"/>
        <v>221489.04399999999</v>
      </c>
      <c r="O124" s="94"/>
      <c r="P124" s="588"/>
    </row>
    <row r="125" spans="1:16" ht="14.1" customHeight="1" outlineLevel="2">
      <c r="B125" s="419">
        <f>B124+0.000001</f>
        <v>6.0201080000000005</v>
      </c>
      <c r="C125" s="272" t="s">
        <v>936</v>
      </c>
      <c r="D125" s="64" t="s">
        <v>161</v>
      </c>
      <c r="E125" s="87">
        <v>225.1</v>
      </c>
      <c r="F125" s="73">
        <v>28.4</v>
      </c>
      <c r="G125" s="65"/>
      <c r="H125" s="160">
        <v>28.4</v>
      </c>
      <c r="I125" s="160">
        <f>+ROUND(E125*F125,2)</f>
        <v>6392.84</v>
      </c>
      <c r="J125" s="150">
        <f>+ROUND(E125*G125,2)</f>
        <v>0</v>
      </c>
      <c r="K125" s="73">
        <v>6392.84</v>
      </c>
      <c r="L125" s="536"/>
      <c r="M125" s="550">
        <v>28.4</v>
      </c>
      <c r="N125" s="94">
        <f t="shared" si="20"/>
        <v>6392.8399999999992</v>
      </c>
      <c r="O125" s="94"/>
      <c r="P125" s="588"/>
    </row>
    <row r="126" spans="1:16" ht="14.1" customHeight="1" outlineLevel="2">
      <c r="B126" s="103">
        <f>B124+0.000001</f>
        <v>6.0201080000000005</v>
      </c>
      <c r="C126" s="272" t="s">
        <v>670</v>
      </c>
      <c r="D126" s="64" t="s">
        <v>161</v>
      </c>
      <c r="E126" s="87">
        <v>1134.17</v>
      </c>
      <c r="F126" s="73">
        <v>8.6999999999999993</v>
      </c>
      <c r="G126" s="65"/>
      <c r="H126" s="160">
        <v>8.6999999999999993</v>
      </c>
      <c r="I126" s="160">
        <f t="shared" si="18"/>
        <v>9867.2800000000007</v>
      </c>
      <c r="J126" s="150">
        <f t="shared" si="19"/>
        <v>0</v>
      </c>
      <c r="K126" s="73">
        <v>9867.2800000000007</v>
      </c>
      <c r="L126" s="536"/>
      <c r="M126" s="550"/>
      <c r="N126" s="94"/>
      <c r="O126" s="94"/>
      <c r="P126" s="588"/>
    </row>
    <row r="127" spans="1:16" ht="14.1" customHeight="1" outlineLevel="2">
      <c r="B127" s="103">
        <f t="shared" si="17"/>
        <v>6.0201090000000006</v>
      </c>
      <c r="C127" s="272" t="s">
        <v>937</v>
      </c>
      <c r="D127" s="64" t="s">
        <v>46</v>
      </c>
      <c r="E127" s="87">
        <v>5882.93</v>
      </c>
      <c r="F127" s="517">
        <v>18.86</v>
      </c>
      <c r="G127" s="65"/>
      <c r="H127" s="160">
        <v>18.86</v>
      </c>
      <c r="I127" s="160">
        <f t="shared" si="18"/>
        <v>110952.06</v>
      </c>
      <c r="J127" s="150">
        <f t="shared" si="19"/>
        <v>0</v>
      </c>
      <c r="K127" s="73">
        <v>110952.06</v>
      </c>
      <c r="L127" s="536"/>
      <c r="M127" s="550"/>
      <c r="N127" s="94"/>
      <c r="O127" s="94"/>
      <c r="P127" s="588"/>
    </row>
    <row r="128" spans="1:16" ht="14.1" customHeight="1" outlineLevel="1">
      <c r="B128" s="101">
        <f>B117+0.0001</f>
        <v>6.0201999999999991</v>
      </c>
      <c r="C128" s="282" t="s">
        <v>938</v>
      </c>
      <c r="D128" s="64"/>
      <c r="E128" s="87"/>
      <c r="F128" s="73" t="s">
        <v>7</v>
      </c>
      <c r="G128" s="65"/>
      <c r="H128" s="160"/>
      <c r="I128" s="160"/>
      <c r="J128" s="150"/>
      <c r="K128" s="73">
        <v>0</v>
      </c>
      <c r="L128" s="536"/>
      <c r="M128" s="550"/>
      <c r="N128" s="94"/>
      <c r="O128" s="94"/>
      <c r="P128" s="588"/>
    </row>
    <row r="129" spans="2:16" ht="14.1" customHeight="1" outlineLevel="2">
      <c r="B129" s="104">
        <f t="shared" ref="B129:B137" si="21">B128+0.000001</f>
        <v>6.0202009999999992</v>
      </c>
      <c r="C129" s="272" t="s">
        <v>939</v>
      </c>
      <c r="D129" s="64" t="s">
        <v>161</v>
      </c>
      <c r="E129" s="87">
        <v>470.22</v>
      </c>
      <c r="F129" s="83">
        <v>20.16</v>
      </c>
      <c r="G129" s="65"/>
      <c r="H129" s="160">
        <v>20.16</v>
      </c>
      <c r="I129" s="160">
        <f t="shared" si="18"/>
        <v>9479.64</v>
      </c>
      <c r="J129" s="150">
        <f t="shared" si="19"/>
        <v>0</v>
      </c>
      <c r="K129" s="73">
        <v>9479.64</v>
      </c>
      <c r="L129" s="536"/>
      <c r="M129" s="550"/>
      <c r="N129" s="94"/>
      <c r="O129" s="94"/>
      <c r="P129" s="588"/>
    </row>
    <row r="130" spans="2:16" ht="14.1" customHeight="1" outlineLevel="2">
      <c r="B130" s="104">
        <f t="shared" si="21"/>
        <v>6.0202019999999994</v>
      </c>
      <c r="C130" s="272" t="s">
        <v>940</v>
      </c>
      <c r="D130" s="64" t="s">
        <v>161</v>
      </c>
      <c r="E130" s="87">
        <v>570.77</v>
      </c>
      <c r="F130" s="83">
        <v>20.16</v>
      </c>
      <c r="G130" s="65"/>
      <c r="H130" s="160">
        <v>20.16</v>
      </c>
      <c r="I130" s="160">
        <f t="shared" si="18"/>
        <v>11506.72</v>
      </c>
      <c r="J130" s="150">
        <f t="shared" si="19"/>
        <v>0</v>
      </c>
      <c r="K130" s="73">
        <v>11506.72</v>
      </c>
      <c r="L130" s="536"/>
      <c r="M130" s="550"/>
      <c r="N130" s="94"/>
      <c r="O130" s="94"/>
      <c r="P130" s="588"/>
    </row>
    <row r="131" spans="2:16" ht="13.5" customHeight="1" outlineLevel="2">
      <c r="B131" s="478">
        <f t="shared" si="21"/>
        <v>6.0202029999999995</v>
      </c>
      <c r="C131" s="568" t="s">
        <v>941</v>
      </c>
      <c r="D131" s="509" t="s">
        <v>161</v>
      </c>
      <c r="E131" s="283">
        <v>0</v>
      </c>
      <c r="F131" s="231">
        <v>44.75</v>
      </c>
      <c r="G131" s="460"/>
      <c r="H131" s="186">
        <v>44.75</v>
      </c>
      <c r="I131" s="186">
        <f t="shared" si="18"/>
        <v>0</v>
      </c>
      <c r="J131" s="415">
        <f t="shared" si="19"/>
        <v>0</v>
      </c>
      <c r="K131" s="231">
        <v>0</v>
      </c>
      <c r="L131" s="596"/>
      <c r="M131" s="602"/>
      <c r="N131" s="528"/>
      <c r="O131" s="528"/>
      <c r="P131" s="603"/>
    </row>
    <row r="132" spans="2:16" ht="14.1" customHeight="1" outlineLevel="2">
      <c r="B132" s="104">
        <f t="shared" si="21"/>
        <v>6.0202039999999997</v>
      </c>
      <c r="C132" s="272" t="s">
        <v>942</v>
      </c>
      <c r="D132" s="64" t="s">
        <v>161</v>
      </c>
      <c r="E132" s="87">
        <v>188.54</v>
      </c>
      <c r="F132" s="73">
        <v>44.75</v>
      </c>
      <c r="G132" s="65"/>
      <c r="H132" s="160">
        <v>44.75</v>
      </c>
      <c r="I132" s="160">
        <f t="shared" si="18"/>
        <v>8437.17</v>
      </c>
      <c r="J132" s="150">
        <f t="shared" si="19"/>
        <v>0</v>
      </c>
      <c r="K132" s="73">
        <v>8437.17</v>
      </c>
      <c r="L132" s="536"/>
      <c r="M132" s="550"/>
      <c r="N132" s="94"/>
      <c r="O132" s="94"/>
      <c r="P132" s="588"/>
    </row>
    <row r="133" spans="2:16" ht="14.1" customHeight="1" outlineLevel="2">
      <c r="B133" s="104">
        <f t="shared" si="21"/>
        <v>6.0202049999999998</v>
      </c>
      <c r="C133" s="272" t="s">
        <v>943</v>
      </c>
      <c r="D133" s="64" t="s">
        <v>46</v>
      </c>
      <c r="E133" s="87">
        <v>977.60000000000014</v>
      </c>
      <c r="F133" s="73">
        <v>14</v>
      </c>
      <c r="G133" s="65"/>
      <c r="H133" s="160">
        <v>14</v>
      </c>
      <c r="I133" s="160">
        <f t="shared" si="18"/>
        <v>13686.4</v>
      </c>
      <c r="J133" s="150">
        <f t="shared" si="19"/>
        <v>0</v>
      </c>
      <c r="K133" s="73">
        <v>13686.4</v>
      </c>
      <c r="L133" s="536"/>
      <c r="M133" s="550"/>
      <c r="N133" s="94"/>
      <c r="O133" s="94"/>
      <c r="P133" s="588"/>
    </row>
    <row r="134" spans="2:16" ht="14.1" customHeight="1" outlineLevel="2">
      <c r="B134" s="104">
        <f t="shared" si="21"/>
        <v>6.0202059999999999</v>
      </c>
      <c r="C134" s="272" t="s">
        <v>944</v>
      </c>
      <c r="D134" s="64" t="s">
        <v>161</v>
      </c>
      <c r="E134" s="87">
        <v>293.28000000000003</v>
      </c>
      <c r="F134" s="73">
        <v>43.36</v>
      </c>
      <c r="G134" s="65"/>
      <c r="H134" s="160">
        <v>43.36</v>
      </c>
      <c r="I134" s="160">
        <f t="shared" si="18"/>
        <v>12716.62</v>
      </c>
      <c r="J134" s="150">
        <f t="shared" si="19"/>
        <v>0</v>
      </c>
      <c r="K134" s="73">
        <v>12716.62</v>
      </c>
      <c r="L134" s="536"/>
      <c r="M134" s="550"/>
      <c r="N134" s="94"/>
      <c r="O134" s="94"/>
      <c r="P134" s="588"/>
    </row>
    <row r="135" spans="2:16" ht="14.1" customHeight="1" outlineLevel="2">
      <c r="B135" s="104">
        <f t="shared" si="21"/>
        <v>6.0202070000000001</v>
      </c>
      <c r="C135" s="272" t="s">
        <v>945</v>
      </c>
      <c r="D135" s="64" t="s">
        <v>161</v>
      </c>
      <c r="E135" s="87">
        <v>83.31</v>
      </c>
      <c r="F135" s="83">
        <v>46.06</v>
      </c>
      <c r="G135" s="65"/>
      <c r="H135" s="160">
        <v>46.06</v>
      </c>
      <c r="I135" s="160">
        <f t="shared" si="18"/>
        <v>3837.26</v>
      </c>
      <c r="J135" s="150">
        <f t="shared" si="19"/>
        <v>0</v>
      </c>
      <c r="K135" s="73">
        <v>3837.26</v>
      </c>
      <c r="L135" s="536"/>
      <c r="M135" s="550"/>
      <c r="N135" s="94"/>
      <c r="O135" s="94"/>
      <c r="P135" s="588"/>
    </row>
    <row r="136" spans="2:16" ht="14.1" customHeight="1" outlineLevel="2">
      <c r="B136" s="104">
        <f t="shared" si="21"/>
        <v>6.0202080000000002</v>
      </c>
      <c r="C136" s="272" t="s">
        <v>946</v>
      </c>
      <c r="D136" s="64" t="s">
        <v>161</v>
      </c>
      <c r="E136" s="87">
        <v>293.28000000000003</v>
      </c>
      <c r="F136" s="83">
        <v>85</v>
      </c>
      <c r="G136" s="65"/>
      <c r="H136" s="160">
        <v>85</v>
      </c>
      <c r="I136" s="160">
        <f t="shared" si="18"/>
        <v>24928.799999999999</v>
      </c>
      <c r="J136" s="150">
        <f t="shared" si="19"/>
        <v>0</v>
      </c>
      <c r="K136" s="73">
        <v>24928.799999999999</v>
      </c>
      <c r="L136" s="536"/>
      <c r="M136" s="550"/>
      <c r="N136" s="94"/>
      <c r="O136" s="94"/>
      <c r="P136" s="588"/>
    </row>
    <row r="137" spans="2:16" ht="14.1" customHeight="1" outlineLevel="2">
      <c r="B137" s="104">
        <f t="shared" si="21"/>
        <v>6.0202090000000004</v>
      </c>
      <c r="C137" s="272" t="s">
        <v>947</v>
      </c>
      <c r="D137" s="64" t="s">
        <v>161</v>
      </c>
      <c r="E137" s="87">
        <v>188.54</v>
      </c>
      <c r="F137" s="83">
        <v>85</v>
      </c>
      <c r="G137" s="65"/>
      <c r="H137" s="160">
        <v>85</v>
      </c>
      <c r="I137" s="160">
        <f t="shared" si="18"/>
        <v>16025.9</v>
      </c>
      <c r="J137" s="150">
        <f t="shared" si="19"/>
        <v>0</v>
      </c>
      <c r="K137" s="73">
        <v>16025.9</v>
      </c>
      <c r="L137" s="536"/>
      <c r="M137" s="550"/>
      <c r="N137" s="94"/>
      <c r="O137" s="94"/>
      <c r="P137" s="588"/>
    </row>
    <row r="138" spans="2:16" ht="13.5" customHeight="1">
      <c r="B138" s="164">
        <f>B116+0.01</f>
        <v>6.0299999999999994</v>
      </c>
      <c r="C138" s="279" t="s">
        <v>948</v>
      </c>
      <c r="D138" s="280"/>
      <c r="E138" s="93"/>
      <c r="F138" s="93" t="s">
        <v>7</v>
      </c>
      <c r="G138" s="69"/>
      <c r="H138" s="160"/>
      <c r="I138" s="160"/>
      <c r="J138" s="150"/>
      <c r="K138" s="73">
        <v>0</v>
      </c>
      <c r="L138" s="537">
        <v>932093.06000000017</v>
      </c>
      <c r="M138" s="591"/>
      <c r="N138" s="571"/>
      <c r="O138" s="571"/>
      <c r="P138" s="592"/>
    </row>
    <row r="139" spans="2:16" ht="14.1" customHeight="1" outlineLevel="1">
      <c r="B139" s="101">
        <f>B138+0.0001</f>
        <v>6.0300999999999991</v>
      </c>
      <c r="C139" s="281" t="s">
        <v>949</v>
      </c>
      <c r="D139" s="64"/>
      <c r="E139" s="87"/>
      <c r="F139" s="73" t="s">
        <v>7</v>
      </c>
      <c r="G139" s="65"/>
      <c r="H139" s="160"/>
      <c r="I139" s="160"/>
      <c r="J139" s="150"/>
      <c r="K139" s="73">
        <v>0</v>
      </c>
      <c r="L139" s="536"/>
      <c r="M139" s="550"/>
      <c r="N139" s="94"/>
      <c r="O139" s="94"/>
      <c r="P139" s="588"/>
    </row>
    <row r="140" spans="2:16" ht="14.1" customHeight="1" outlineLevel="2">
      <c r="B140" s="103">
        <f>B139+0.000001</f>
        <v>6.0301009999999993</v>
      </c>
      <c r="C140" s="271" t="s">
        <v>950</v>
      </c>
      <c r="D140" s="64" t="s">
        <v>161</v>
      </c>
      <c r="E140" s="87">
        <v>4423.32</v>
      </c>
      <c r="F140" s="73">
        <v>42.97</v>
      </c>
      <c r="G140" s="65"/>
      <c r="H140" s="160">
        <v>42.97</v>
      </c>
      <c r="I140" s="160">
        <f t="shared" si="18"/>
        <v>190070.06</v>
      </c>
      <c r="J140" s="150">
        <f t="shared" si="19"/>
        <v>0</v>
      </c>
      <c r="K140" s="73">
        <v>190070.06</v>
      </c>
      <c r="L140" s="536"/>
      <c r="M140" s="550">
        <v>42.97</v>
      </c>
      <c r="N140" s="94">
        <f>+M140*E140</f>
        <v>190070.06039999999</v>
      </c>
      <c r="O140" s="94"/>
      <c r="P140" s="588"/>
    </row>
    <row r="141" spans="2:16" ht="14.1" customHeight="1" outlineLevel="2">
      <c r="B141" s="419">
        <f>B140+0.000001</f>
        <v>6.0301019999999994</v>
      </c>
      <c r="C141" s="271" t="s">
        <v>951</v>
      </c>
      <c r="D141" s="64" t="s">
        <v>161</v>
      </c>
      <c r="E141" s="87">
        <v>1798.27</v>
      </c>
      <c r="F141" s="73">
        <v>36.870000000000005</v>
      </c>
      <c r="G141" s="65"/>
      <c r="H141" s="160">
        <v>36.869999999999997</v>
      </c>
      <c r="I141" s="160">
        <f t="shared" si="18"/>
        <v>66302.210000000006</v>
      </c>
      <c r="J141" s="150">
        <f t="shared" si="19"/>
        <v>0</v>
      </c>
      <c r="K141" s="73">
        <v>66302.210000000006</v>
      </c>
      <c r="L141" s="536"/>
      <c r="M141" s="550">
        <v>36.869999999999997</v>
      </c>
      <c r="N141" s="94">
        <f t="shared" ref="N141:N142" si="22">+M141*E141</f>
        <v>66302.214899999992</v>
      </c>
      <c r="O141" s="94"/>
      <c r="P141" s="588"/>
    </row>
    <row r="142" spans="2:16" ht="14.1" customHeight="1" outlineLevel="2">
      <c r="B142" s="419">
        <f>B141+0.000001</f>
        <v>6.0301029999999995</v>
      </c>
      <c r="C142" s="271" t="s">
        <v>952</v>
      </c>
      <c r="D142" s="64" t="s">
        <v>161</v>
      </c>
      <c r="E142" s="87">
        <v>2625.04</v>
      </c>
      <c r="F142" s="73">
        <v>36.870000000000005</v>
      </c>
      <c r="G142" s="65"/>
      <c r="H142" s="160">
        <v>36.869999999999997</v>
      </c>
      <c r="I142" s="160">
        <f t="shared" si="18"/>
        <v>96785.22</v>
      </c>
      <c r="J142" s="150">
        <f t="shared" si="19"/>
        <v>0</v>
      </c>
      <c r="K142" s="73">
        <v>96785.22</v>
      </c>
      <c r="L142" s="536"/>
      <c r="M142" s="550">
        <v>36.869999999999997</v>
      </c>
      <c r="N142" s="94">
        <f t="shared" si="22"/>
        <v>96785.224799999996</v>
      </c>
      <c r="O142" s="94"/>
      <c r="P142" s="588"/>
    </row>
    <row r="143" spans="2:16" ht="14.1" customHeight="1" outlineLevel="2">
      <c r="B143" s="419">
        <f>B142+0.000001</f>
        <v>6.0301039999999997</v>
      </c>
      <c r="C143" s="271" t="s">
        <v>953</v>
      </c>
      <c r="D143" s="64" t="s">
        <v>46</v>
      </c>
      <c r="E143" s="87">
        <v>1740.38</v>
      </c>
      <c r="F143" s="73">
        <v>28.5</v>
      </c>
      <c r="G143" s="65"/>
      <c r="H143" s="160">
        <v>28.5</v>
      </c>
      <c r="I143" s="160">
        <f>+ROUND(E143*F143,2)</f>
        <v>49600.83</v>
      </c>
      <c r="J143" s="150">
        <f>+ROUND(E143*G143,2)</f>
        <v>0</v>
      </c>
      <c r="K143" s="73">
        <v>49600.83</v>
      </c>
      <c r="L143" s="536"/>
      <c r="M143" s="550"/>
      <c r="N143" s="94"/>
      <c r="O143" s="94"/>
      <c r="P143" s="588"/>
    </row>
    <row r="144" spans="2:16" ht="14.1" customHeight="1" outlineLevel="2">
      <c r="B144" s="419">
        <f>B143+0.000001</f>
        <v>6.0301049999999998</v>
      </c>
      <c r="C144" s="271" t="s">
        <v>954</v>
      </c>
      <c r="D144" s="64" t="s">
        <v>46</v>
      </c>
      <c r="E144" s="87">
        <v>1740.3799999999999</v>
      </c>
      <c r="F144" s="73">
        <v>28.11</v>
      </c>
      <c r="G144" s="65"/>
      <c r="H144" s="160">
        <v>28.11</v>
      </c>
      <c r="I144" s="160">
        <f>+ROUND(E144*F144,2)</f>
        <v>48922.080000000002</v>
      </c>
      <c r="J144" s="150">
        <f>+ROUND(E144*G144,2)</f>
        <v>0</v>
      </c>
      <c r="K144" s="73">
        <v>48922.080000000002</v>
      </c>
      <c r="L144" s="536"/>
      <c r="M144" s="550"/>
      <c r="N144" s="94"/>
      <c r="O144" s="94"/>
      <c r="P144" s="588"/>
    </row>
    <row r="145" spans="2:16" ht="14.1" customHeight="1" outlineLevel="1">
      <c r="B145" s="101">
        <f>B139+0.0001</f>
        <v>6.0301999999999989</v>
      </c>
      <c r="C145" s="281" t="s">
        <v>955</v>
      </c>
      <c r="D145" s="64"/>
      <c r="E145" s="87"/>
      <c r="F145" s="73" t="s">
        <v>7</v>
      </c>
      <c r="G145" s="65"/>
      <c r="H145" s="160"/>
      <c r="I145" s="160"/>
      <c r="J145" s="150"/>
      <c r="K145" s="73">
        <v>0</v>
      </c>
      <c r="L145" s="536"/>
      <c r="M145" s="550"/>
      <c r="N145" s="94"/>
      <c r="O145" s="94"/>
      <c r="P145" s="588"/>
    </row>
    <row r="146" spans="2:16" ht="14.1" customHeight="1" outlineLevel="2">
      <c r="B146" s="103">
        <f t="shared" ref="B146:B155" si="23">B145+0.000001</f>
        <v>6.030200999999999</v>
      </c>
      <c r="C146" s="271" t="s">
        <v>956</v>
      </c>
      <c r="D146" s="64" t="s">
        <v>161</v>
      </c>
      <c r="E146" s="87">
        <v>2619.7600000000002</v>
      </c>
      <c r="F146" s="73">
        <v>42.97</v>
      </c>
      <c r="G146" s="65"/>
      <c r="H146" s="160">
        <v>42.97</v>
      </c>
      <c r="I146" s="160">
        <f t="shared" si="18"/>
        <v>112571.09</v>
      </c>
      <c r="J146" s="150">
        <f t="shared" si="19"/>
        <v>0</v>
      </c>
      <c r="K146" s="73">
        <v>112571.09</v>
      </c>
      <c r="L146" s="536"/>
      <c r="M146" s="550">
        <v>42.97</v>
      </c>
      <c r="N146" s="94">
        <f>+M146*E146</f>
        <v>112571.08720000001</v>
      </c>
      <c r="O146" s="94"/>
      <c r="P146" s="588"/>
    </row>
    <row r="147" spans="2:16" ht="14.1" customHeight="1" outlineLevel="2">
      <c r="B147" s="419">
        <f t="shared" si="23"/>
        <v>6.0302019999999992</v>
      </c>
      <c r="C147" s="271" t="s">
        <v>957</v>
      </c>
      <c r="D147" s="64" t="s">
        <v>161</v>
      </c>
      <c r="E147" s="87">
        <v>394.34</v>
      </c>
      <c r="F147" s="73">
        <v>42.97</v>
      </c>
      <c r="G147" s="65"/>
      <c r="H147" s="160">
        <v>42.97</v>
      </c>
      <c r="I147" s="160">
        <f>+ROUND(E147*F147,2)</f>
        <v>16944.79</v>
      </c>
      <c r="J147" s="150">
        <f>+ROUND(E147*G147,2)</f>
        <v>0</v>
      </c>
      <c r="K147" s="73">
        <v>16944.79</v>
      </c>
      <c r="L147" s="536"/>
      <c r="M147" s="550">
        <v>42.97</v>
      </c>
      <c r="N147" s="94">
        <f t="shared" ref="N147:N148" si="24">+M147*E147</f>
        <v>16944.789799999999</v>
      </c>
      <c r="O147" s="94"/>
      <c r="P147" s="588"/>
    </row>
    <row r="148" spans="2:16" ht="14.1" customHeight="1" outlineLevel="2">
      <c r="B148" s="419">
        <f t="shared" si="23"/>
        <v>6.0302029999999993</v>
      </c>
      <c r="C148" s="271" t="s">
        <v>958</v>
      </c>
      <c r="D148" s="64" t="s">
        <v>161</v>
      </c>
      <c r="E148" s="87">
        <v>199.5</v>
      </c>
      <c r="F148" s="73">
        <v>42.97</v>
      </c>
      <c r="G148" s="65"/>
      <c r="H148" s="160">
        <v>42.97</v>
      </c>
      <c r="I148" s="160">
        <f>+ROUND(E148*F148,2)</f>
        <v>8572.52</v>
      </c>
      <c r="J148" s="150">
        <f>+ROUND(E148*G148,2)</f>
        <v>0</v>
      </c>
      <c r="K148" s="73">
        <v>8572.52</v>
      </c>
      <c r="L148" s="536"/>
      <c r="M148" s="550">
        <v>42.97</v>
      </c>
      <c r="N148" s="94">
        <f t="shared" si="24"/>
        <v>8572.5149999999994</v>
      </c>
      <c r="O148" s="94"/>
      <c r="P148" s="588"/>
    </row>
    <row r="149" spans="2:16" ht="14.1" customHeight="1" outlineLevel="2">
      <c r="B149" s="419">
        <f t="shared" si="23"/>
        <v>6.0302039999999995</v>
      </c>
      <c r="C149" s="289" t="s">
        <v>959</v>
      </c>
      <c r="D149" s="64" t="s">
        <v>161</v>
      </c>
      <c r="E149" s="87"/>
      <c r="F149" s="73">
        <v>34.5</v>
      </c>
      <c r="G149" s="65"/>
      <c r="H149" s="160">
        <v>34.5</v>
      </c>
      <c r="I149" s="160">
        <f t="shared" si="18"/>
        <v>0</v>
      </c>
      <c r="J149" s="150">
        <f t="shared" si="19"/>
        <v>0</v>
      </c>
      <c r="K149" s="73">
        <v>0</v>
      </c>
      <c r="L149" s="536"/>
      <c r="M149" s="550"/>
      <c r="N149" s="94">
        <f t="shared" ref="N149:N155" si="25">+M149*E149</f>
        <v>0</v>
      </c>
      <c r="O149" s="94"/>
      <c r="P149" s="588"/>
    </row>
    <row r="150" spans="2:16" ht="14.1" customHeight="1" outlineLevel="2">
      <c r="B150" s="419">
        <f t="shared" si="23"/>
        <v>6.0302049999999996</v>
      </c>
      <c r="C150" s="289" t="s">
        <v>960</v>
      </c>
      <c r="D150" s="64" t="s">
        <v>161</v>
      </c>
      <c r="E150" s="87"/>
      <c r="F150" s="73">
        <v>34.5</v>
      </c>
      <c r="G150" s="65"/>
      <c r="H150" s="160">
        <v>34.5</v>
      </c>
      <c r="I150" s="160">
        <f t="shared" si="18"/>
        <v>0</v>
      </c>
      <c r="J150" s="150">
        <f t="shared" si="19"/>
        <v>0</v>
      </c>
      <c r="K150" s="73">
        <v>0</v>
      </c>
      <c r="L150" s="536"/>
      <c r="M150" s="550"/>
      <c r="N150" s="94">
        <f t="shared" si="25"/>
        <v>0</v>
      </c>
      <c r="O150" s="94"/>
      <c r="P150" s="588"/>
    </row>
    <row r="151" spans="2:16" ht="14.1" customHeight="1" outlineLevel="2">
      <c r="B151" s="419">
        <f t="shared" si="23"/>
        <v>6.0302059999999997</v>
      </c>
      <c r="C151" s="289" t="s">
        <v>961</v>
      </c>
      <c r="D151" s="64" t="s">
        <v>161</v>
      </c>
      <c r="E151" s="87">
        <v>2619.7600000000002</v>
      </c>
      <c r="F151" s="73">
        <v>37.5</v>
      </c>
      <c r="G151" s="65"/>
      <c r="H151" s="160">
        <v>37.5</v>
      </c>
      <c r="I151" s="160">
        <f>+ROUND(E151*F151,2)</f>
        <v>98241</v>
      </c>
      <c r="J151" s="150">
        <f>+ROUND(E151*G151,2)</f>
        <v>0</v>
      </c>
      <c r="K151" s="73">
        <v>98241</v>
      </c>
      <c r="L151" s="536"/>
      <c r="M151" s="550">
        <v>0</v>
      </c>
      <c r="N151" s="94">
        <f t="shared" si="25"/>
        <v>0</v>
      </c>
      <c r="O151" s="94"/>
      <c r="P151" s="588"/>
    </row>
    <row r="152" spans="2:16" ht="14.1" customHeight="1" outlineLevel="2">
      <c r="B152" s="419">
        <f t="shared" si="23"/>
        <v>6.0302069999999999</v>
      </c>
      <c r="C152" s="289" t="s">
        <v>962</v>
      </c>
      <c r="D152" s="64" t="s">
        <v>161</v>
      </c>
      <c r="E152" s="87">
        <v>27.12</v>
      </c>
      <c r="F152" s="73">
        <v>36.870000000000005</v>
      </c>
      <c r="G152" s="65"/>
      <c r="H152" s="160">
        <v>36.869999999999997</v>
      </c>
      <c r="I152" s="160">
        <f>+ROUND(E152*F152,2)</f>
        <v>999.91</v>
      </c>
      <c r="J152" s="150">
        <f>+ROUND(E152*G152,2)</f>
        <v>0</v>
      </c>
      <c r="K152" s="73">
        <v>999.91</v>
      </c>
      <c r="L152" s="536"/>
      <c r="M152" s="550">
        <v>36.870000000000005</v>
      </c>
      <c r="N152" s="94">
        <f t="shared" si="25"/>
        <v>999.91440000000011</v>
      </c>
      <c r="O152" s="94"/>
      <c r="P152" s="588"/>
    </row>
    <row r="153" spans="2:16" ht="14.1" customHeight="1" outlineLevel="2">
      <c r="B153" s="419">
        <f t="shared" si="23"/>
        <v>6.030208</v>
      </c>
      <c r="C153" s="289" t="s">
        <v>963</v>
      </c>
      <c r="D153" s="64" t="s">
        <v>161</v>
      </c>
      <c r="E153" s="87">
        <v>329.59</v>
      </c>
      <c r="F153" s="73">
        <v>70</v>
      </c>
      <c r="G153" s="65"/>
      <c r="H153" s="160">
        <v>70</v>
      </c>
      <c r="I153" s="160">
        <f>+ROUND(E153*F153,2)</f>
        <v>23071.3</v>
      </c>
      <c r="J153" s="150">
        <f>+ROUND(E153*G153,2)</f>
        <v>0</v>
      </c>
      <c r="K153" s="73">
        <v>23071.3</v>
      </c>
      <c r="L153" s="536"/>
      <c r="M153" s="550"/>
      <c r="N153" s="94">
        <f t="shared" si="25"/>
        <v>0</v>
      </c>
      <c r="O153" s="94"/>
      <c r="P153" s="588"/>
    </row>
    <row r="154" spans="2:16" ht="14.1" customHeight="1" outlineLevel="2">
      <c r="B154" s="419">
        <f t="shared" si="23"/>
        <v>6.0302090000000002</v>
      </c>
      <c r="C154" s="289" t="s">
        <v>964</v>
      </c>
      <c r="D154" s="64" t="s">
        <v>161</v>
      </c>
      <c r="E154" s="87">
        <v>37.630000000000003</v>
      </c>
      <c r="F154" s="73">
        <v>70</v>
      </c>
      <c r="G154" s="65"/>
      <c r="H154" s="160">
        <v>70</v>
      </c>
      <c r="I154" s="160">
        <f>+ROUND(E154*F154,2)</f>
        <v>2634.1</v>
      </c>
      <c r="J154" s="150">
        <f>+ROUND(E154*G154,2)</f>
        <v>0</v>
      </c>
      <c r="K154" s="73">
        <v>2634.1</v>
      </c>
      <c r="L154" s="536"/>
      <c r="M154" s="550"/>
      <c r="N154" s="94">
        <f t="shared" si="25"/>
        <v>0</v>
      </c>
      <c r="O154" s="94"/>
      <c r="P154" s="588"/>
    </row>
    <row r="155" spans="2:16" ht="14.1" customHeight="1" outlineLevel="2">
      <c r="B155" s="419">
        <f t="shared" si="23"/>
        <v>6.0302100000000003</v>
      </c>
      <c r="C155" s="289" t="s">
        <v>965</v>
      </c>
      <c r="D155" s="64" t="s">
        <v>161</v>
      </c>
      <c r="E155" s="87">
        <v>355.71</v>
      </c>
      <c r="F155" s="73">
        <v>85</v>
      </c>
      <c r="G155" s="65"/>
      <c r="H155" s="160">
        <v>85</v>
      </c>
      <c r="I155" s="160">
        <f>+ROUND(E155*F155,2)</f>
        <v>30235.35</v>
      </c>
      <c r="J155" s="150">
        <f>+ROUND(E155*G155,2)</f>
        <v>0</v>
      </c>
      <c r="K155" s="73">
        <v>30235.35</v>
      </c>
      <c r="L155" s="536"/>
      <c r="M155" s="550"/>
      <c r="N155" s="94">
        <f t="shared" si="25"/>
        <v>0</v>
      </c>
      <c r="O155" s="94"/>
      <c r="P155" s="588"/>
    </row>
    <row r="156" spans="2:16" ht="14.1" customHeight="1" outlineLevel="1">
      <c r="B156" s="101">
        <f>B145+0.0001</f>
        <v>6.0302999999999987</v>
      </c>
      <c r="C156" s="281" t="s">
        <v>966</v>
      </c>
      <c r="D156" s="64"/>
      <c r="E156" s="87"/>
      <c r="F156" s="73" t="s">
        <v>7</v>
      </c>
      <c r="G156" s="65"/>
      <c r="H156" s="160"/>
      <c r="I156" s="160"/>
      <c r="J156" s="150"/>
      <c r="K156" s="73">
        <v>0</v>
      </c>
      <c r="L156" s="536"/>
      <c r="M156" s="550"/>
      <c r="N156" s="94"/>
      <c r="O156" s="94"/>
      <c r="P156" s="588"/>
    </row>
    <row r="157" spans="2:16" ht="14.1" customHeight="1" outlineLevel="2">
      <c r="B157" s="103">
        <f>B156+0.000001</f>
        <v>6.0303009999999988</v>
      </c>
      <c r="C157" s="271" t="s">
        <v>967</v>
      </c>
      <c r="D157" s="64" t="s">
        <v>161</v>
      </c>
      <c r="E157" s="87">
        <v>1280.29</v>
      </c>
      <c r="F157" s="73">
        <v>15.77</v>
      </c>
      <c r="G157" s="65"/>
      <c r="H157" s="160">
        <v>15.77</v>
      </c>
      <c r="I157" s="160">
        <f t="shared" si="18"/>
        <v>20190.169999999998</v>
      </c>
      <c r="J157" s="150">
        <f t="shared" si="19"/>
        <v>0</v>
      </c>
      <c r="K157" s="73">
        <v>20190.169999999998</v>
      </c>
      <c r="L157" s="536"/>
      <c r="M157" s="550">
        <v>15.77</v>
      </c>
      <c r="N157" s="94">
        <f t="shared" ref="N157:N158" si="26">+M157*E157</f>
        <v>20190.173299999999</v>
      </c>
      <c r="O157" s="94"/>
      <c r="P157" s="588"/>
    </row>
    <row r="158" spans="2:16" ht="14.1" customHeight="1" outlineLevel="2">
      <c r="B158" s="103">
        <f t="shared" ref="B158:B161" si="27">B157+0.000001</f>
        <v>6.0303019999999989</v>
      </c>
      <c r="C158" s="271" t="s">
        <v>968</v>
      </c>
      <c r="D158" s="64" t="s">
        <v>161</v>
      </c>
      <c r="E158" s="87">
        <v>1436.5</v>
      </c>
      <c r="F158" s="73">
        <v>14.35</v>
      </c>
      <c r="G158" s="65"/>
      <c r="H158" s="160">
        <v>14.35</v>
      </c>
      <c r="I158" s="160">
        <f t="shared" si="18"/>
        <v>20613.78</v>
      </c>
      <c r="J158" s="150">
        <f t="shared" si="19"/>
        <v>0</v>
      </c>
      <c r="K158" s="73">
        <v>20613.78</v>
      </c>
      <c r="L158" s="536"/>
      <c r="M158" s="550">
        <v>14.35</v>
      </c>
      <c r="N158" s="94">
        <f t="shared" si="26"/>
        <v>20613.774999999998</v>
      </c>
      <c r="O158" s="94"/>
      <c r="P158" s="588"/>
    </row>
    <row r="159" spans="2:16" ht="14.1" customHeight="1" outlineLevel="2">
      <c r="B159" s="101">
        <f>B156+0.0001</f>
        <v>6.0303999999999984</v>
      </c>
      <c r="C159" s="281" t="s">
        <v>969</v>
      </c>
      <c r="D159" s="64"/>
      <c r="E159" s="87"/>
      <c r="F159" s="73"/>
      <c r="G159" s="65"/>
      <c r="H159" s="160"/>
      <c r="I159" s="160"/>
      <c r="J159" s="150"/>
      <c r="K159" s="73"/>
      <c r="L159" s="536"/>
      <c r="M159" s="550">
        <v>0</v>
      </c>
      <c r="N159" s="94">
        <f t="shared" ref="N159:N160" si="28">+M159*E159</f>
        <v>0</v>
      </c>
      <c r="O159" s="94"/>
      <c r="P159" s="588"/>
    </row>
    <row r="160" spans="2:16" ht="14.1" customHeight="1" outlineLevel="2">
      <c r="B160" s="103">
        <f>B159+0.000001</f>
        <v>6.0304009999999986</v>
      </c>
      <c r="C160" s="272" t="s">
        <v>970</v>
      </c>
      <c r="D160" s="64" t="s">
        <v>39</v>
      </c>
      <c r="E160" s="87">
        <v>5</v>
      </c>
      <c r="F160" s="73">
        <v>28917.82</v>
      </c>
      <c r="G160" s="65"/>
      <c r="H160" s="160">
        <v>28917.82</v>
      </c>
      <c r="I160" s="160">
        <f t="shared" ref="I160" si="29">+ROUND(E160*F160,2)</f>
        <v>144589.1</v>
      </c>
      <c r="J160" s="150">
        <f t="shared" ref="J160" si="30">+ROUND(E160*G160,2)</f>
        <v>0</v>
      </c>
      <c r="K160" s="73">
        <v>144589.1</v>
      </c>
      <c r="L160" s="536"/>
      <c r="M160" s="550">
        <v>28917.82</v>
      </c>
      <c r="N160" s="94">
        <f t="shared" si="28"/>
        <v>144589.1</v>
      </c>
      <c r="O160" s="94"/>
      <c r="P160" s="588"/>
    </row>
    <row r="161" spans="2:16" ht="14.1" customHeight="1" outlineLevel="2">
      <c r="B161" s="103">
        <f t="shared" si="27"/>
        <v>6.0304019999999987</v>
      </c>
      <c r="C161" s="272" t="s">
        <v>971</v>
      </c>
      <c r="D161" s="64" t="s">
        <v>39</v>
      </c>
      <c r="E161" s="87">
        <v>1</v>
      </c>
      <c r="F161" s="73">
        <v>3400</v>
      </c>
      <c r="G161" s="65"/>
      <c r="H161" s="160">
        <v>3400</v>
      </c>
      <c r="I161" s="160">
        <f t="shared" ref="I161" si="31">+ROUND(E161*F161,2)</f>
        <v>3400</v>
      </c>
      <c r="J161" s="150">
        <f t="shared" ref="J161" si="32">+ROUND(E161*G161,2)</f>
        <v>0</v>
      </c>
      <c r="K161" s="73">
        <v>3400</v>
      </c>
      <c r="L161" s="536"/>
      <c r="M161" s="550"/>
      <c r="N161" s="94"/>
      <c r="O161" s="94"/>
      <c r="P161" s="588"/>
    </row>
    <row r="162" spans="2:16" ht="13.5" customHeight="1">
      <c r="B162" s="164">
        <f>B138+0.01</f>
        <v>6.0399999999999991</v>
      </c>
      <c r="C162" s="279" t="s">
        <v>972</v>
      </c>
      <c r="D162" s="280"/>
      <c r="E162" s="73"/>
      <c r="F162" s="93"/>
      <c r="G162" s="69"/>
      <c r="H162" s="160"/>
      <c r="I162" s="160"/>
      <c r="J162" s="150"/>
      <c r="K162" s="73">
        <v>0</v>
      </c>
      <c r="L162" s="537">
        <v>286796.62000000005</v>
      </c>
      <c r="M162" s="591"/>
      <c r="N162" s="571"/>
      <c r="O162" s="571"/>
      <c r="P162" s="592"/>
    </row>
    <row r="163" spans="2:16" ht="14.1" customHeight="1" outlineLevel="1">
      <c r="B163" s="284">
        <f>B162+0.0001</f>
        <v>6.0400999999999989</v>
      </c>
      <c r="C163" s="272" t="s">
        <v>973</v>
      </c>
      <c r="D163" s="64" t="s">
        <v>161</v>
      </c>
      <c r="E163" s="87">
        <v>17019.169999999998</v>
      </c>
      <c r="F163" s="73">
        <v>7.09</v>
      </c>
      <c r="G163" s="65"/>
      <c r="H163" s="160">
        <v>7.09</v>
      </c>
      <c r="I163" s="160">
        <f t="shared" si="18"/>
        <v>120665.92</v>
      </c>
      <c r="J163" s="150">
        <f t="shared" si="19"/>
        <v>0</v>
      </c>
      <c r="K163" s="73">
        <v>120665.92</v>
      </c>
      <c r="L163" s="536"/>
      <c r="M163" s="550">
        <v>7.09</v>
      </c>
      <c r="N163" s="94">
        <f>+M163*E163</f>
        <v>120665.91529999998</v>
      </c>
      <c r="O163" s="94"/>
      <c r="P163" s="588"/>
    </row>
    <row r="164" spans="2:16" ht="14.1" customHeight="1" outlineLevel="1">
      <c r="B164" s="448">
        <f>B163+0.0001</f>
        <v>6.0401999999999987</v>
      </c>
      <c r="C164" s="272" t="s">
        <v>974</v>
      </c>
      <c r="D164" s="64" t="s">
        <v>161</v>
      </c>
      <c r="E164" s="87">
        <v>5279.7</v>
      </c>
      <c r="F164" s="73">
        <v>28.89</v>
      </c>
      <c r="G164" s="65"/>
      <c r="H164" s="160">
        <v>28.89</v>
      </c>
      <c r="I164" s="160">
        <f t="shared" si="18"/>
        <v>152530.53</v>
      </c>
      <c r="J164" s="150">
        <f t="shared" si="19"/>
        <v>0</v>
      </c>
      <c r="K164" s="73">
        <v>152530.53</v>
      </c>
      <c r="L164" s="536"/>
      <c r="M164" s="550">
        <v>28.89</v>
      </c>
      <c r="N164" s="94">
        <f>+M164*E164</f>
        <v>152530.533</v>
      </c>
      <c r="O164" s="94"/>
      <c r="P164" s="588"/>
    </row>
    <row r="165" spans="2:16" ht="14.1" customHeight="1" outlineLevel="1">
      <c r="B165" s="448">
        <f>B164+0.0001</f>
        <v>6.0402999999999984</v>
      </c>
      <c r="C165" s="40" t="s">
        <v>975</v>
      </c>
      <c r="D165" s="64" t="s">
        <v>161</v>
      </c>
      <c r="E165" s="87">
        <v>258.55</v>
      </c>
      <c r="F165" s="73">
        <v>35.28</v>
      </c>
      <c r="G165" s="65"/>
      <c r="H165" s="160">
        <v>35.28</v>
      </c>
      <c r="I165" s="160">
        <f>+ROUND(E165*F165,2)</f>
        <v>9121.64</v>
      </c>
      <c r="J165" s="150">
        <f>+ROUND(E165*G165,2)</f>
        <v>0</v>
      </c>
      <c r="K165" s="73">
        <v>9121.64</v>
      </c>
      <c r="L165" s="536"/>
      <c r="M165" s="550">
        <v>35.28</v>
      </c>
      <c r="N165" s="94">
        <f t="shared" ref="N165:N166" si="33">+M165*E165</f>
        <v>9121.6440000000002</v>
      </c>
      <c r="O165" s="94"/>
      <c r="P165" s="588"/>
    </row>
    <row r="166" spans="2:16" ht="14.1" customHeight="1" outlineLevel="1">
      <c r="B166" s="448">
        <f>B165+0.0001</f>
        <v>6.0403999999999982</v>
      </c>
      <c r="C166" s="524" t="s">
        <v>976</v>
      </c>
      <c r="D166" s="64" t="s">
        <v>161</v>
      </c>
      <c r="E166" s="87">
        <v>155.02000000000001</v>
      </c>
      <c r="F166" s="73">
        <v>28.89</v>
      </c>
      <c r="G166" s="65"/>
      <c r="H166" s="160">
        <v>28.89</v>
      </c>
      <c r="I166" s="160">
        <f>+ROUND(E166*F166,2)</f>
        <v>4478.53</v>
      </c>
      <c r="J166" s="150">
        <f>+ROUND(E166*G166,2)</f>
        <v>0</v>
      </c>
      <c r="K166" s="73">
        <v>4478.53</v>
      </c>
      <c r="L166" s="536"/>
      <c r="M166" s="550">
        <v>28.89</v>
      </c>
      <c r="N166" s="94">
        <f t="shared" si="33"/>
        <v>4478.5278000000008</v>
      </c>
      <c r="O166" s="94"/>
      <c r="P166" s="588"/>
    </row>
    <row r="167" spans="2:16" ht="13.5" customHeight="1">
      <c r="B167" s="164">
        <f>B162+0.01</f>
        <v>6.0499999999999989</v>
      </c>
      <c r="C167" s="279" t="s">
        <v>977</v>
      </c>
      <c r="D167" s="280"/>
      <c r="E167" s="93"/>
      <c r="F167" s="93"/>
      <c r="G167" s="69"/>
      <c r="H167" s="160"/>
      <c r="I167" s="160"/>
      <c r="J167" s="150"/>
      <c r="K167" s="73">
        <v>0</v>
      </c>
      <c r="L167" s="537">
        <v>349000.51</v>
      </c>
      <c r="M167" s="591"/>
      <c r="N167" s="571"/>
      <c r="O167" s="571"/>
      <c r="P167" s="592"/>
    </row>
    <row r="168" spans="2:16" ht="13.5" customHeight="1">
      <c r="B168" s="448">
        <f t="shared" ref="B168:B176" si="34">B167+0.0001</f>
        <v>6.0500999999999987</v>
      </c>
      <c r="C168" s="449" t="s">
        <v>978</v>
      </c>
      <c r="D168" s="437" t="s">
        <v>161</v>
      </c>
      <c r="E168" s="87">
        <v>46.08</v>
      </c>
      <c r="F168" s="73">
        <v>125</v>
      </c>
      <c r="G168" s="65"/>
      <c r="H168" s="160">
        <v>125</v>
      </c>
      <c r="I168" s="160">
        <f>+ROUND(E168*F168,2)</f>
        <v>5760</v>
      </c>
      <c r="J168" s="150">
        <f>+ROUND(E168*G168,2)</f>
        <v>0</v>
      </c>
      <c r="K168" s="73">
        <v>5760</v>
      </c>
      <c r="L168" s="575"/>
      <c r="M168" s="586"/>
      <c r="N168" s="570"/>
      <c r="O168" s="570"/>
      <c r="P168" s="587"/>
    </row>
    <row r="169" spans="2:16" ht="13.5" customHeight="1">
      <c r="B169" s="448">
        <f t="shared" si="34"/>
        <v>6.0501999999999985</v>
      </c>
      <c r="C169" s="449" t="s">
        <v>979</v>
      </c>
      <c r="D169" s="437" t="s">
        <v>161</v>
      </c>
      <c r="E169" s="87">
        <v>466</v>
      </c>
      <c r="F169" s="73">
        <v>125</v>
      </c>
      <c r="G169" s="65"/>
      <c r="H169" s="160">
        <v>125</v>
      </c>
      <c r="I169" s="160">
        <f>+ROUND(E169*F169,2)</f>
        <v>58250</v>
      </c>
      <c r="J169" s="150">
        <f>+ROUND(E169*G169,2)</f>
        <v>0</v>
      </c>
      <c r="K169" s="73">
        <v>58250</v>
      </c>
      <c r="L169" s="575"/>
      <c r="M169" s="586"/>
      <c r="N169" s="570"/>
      <c r="O169" s="570"/>
      <c r="P169" s="587"/>
    </row>
    <row r="170" spans="2:16" ht="13.5" customHeight="1">
      <c r="B170" s="448">
        <f t="shared" si="34"/>
        <v>6.0502999999999982</v>
      </c>
      <c r="C170" s="449" t="s">
        <v>980</v>
      </c>
      <c r="D170" s="437" t="s">
        <v>161</v>
      </c>
      <c r="E170" s="87">
        <v>71.77</v>
      </c>
      <c r="F170" s="73">
        <v>135</v>
      </c>
      <c r="G170" s="65"/>
      <c r="H170" s="160">
        <v>135</v>
      </c>
      <c r="I170" s="160">
        <f>+ROUND(E170*F170,2)</f>
        <v>9688.9500000000007</v>
      </c>
      <c r="J170" s="150">
        <f>+ROUND(E170*G170,2)</f>
        <v>0</v>
      </c>
      <c r="K170" s="73">
        <v>9688.9500000000007</v>
      </c>
      <c r="L170" s="575"/>
      <c r="M170" s="586"/>
      <c r="N170" s="570"/>
      <c r="O170" s="570"/>
      <c r="P170" s="587"/>
    </row>
    <row r="171" spans="2:16" ht="13.5" customHeight="1">
      <c r="B171" s="448">
        <f t="shared" si="34"/>
        <v>6.050399999999998</v>
      </c>
      <c r="C171" s="449" t="s">
        <v>981</v>
      </c>
      <c r="D171" s="437" t="s">
        <v>46</v>
      </c>
      <c r="E171" s="87">
        <v>823.62999999999988</v>
      </c>
      <c r="F171" s="73">
        <v>145</v>
      </c>
      <c r="G171" s="65"/>
      <c r="H171" s="160">
        <v>145</v>
      </c>
      <c r="I171" s="160">
        <f>+ROUND(E171*F171,2)</f>
        <v>119426.35</v>
      </c>
      <c r="J171" s="150">
        <f>+ROUND(E171*G171,2)</f>
        <v>0</v>
      </c>
      <c r="K171" s="73">
        <v>119426.35</v>
      </c>
      <c r="L171" s="575"/>
      <c r="M171" s="586"/>
      <c r="N171" s="570"/>
      <c r="O171" s="570"/>
      <c r="P171" s="587"/>
    </row>
    <row r="172" spans="2:16" ht="13.5" customHeight="1">
      <c r="B172" s="448">
        <f t="shared" si="34"/>
        <v>6.0504999999999978</v>
      </c>
      <c r="C172" s="449" t="s">
        <v>982</v>
      </c>
      <c r="D172" s="437" t="s">
        <v>161</v>
      </c>
      <c r="E172" s="87"/>
      <c r="F172" s="73"/>
      <c r="G172" s="65"/>
      <c r="H172" s="251"/>
      <c r="I172" s="251"/>
      <c r="J172" s="252"/>
      <c r="K172" s="73">
        <v>0</v>
      </c>
      <c r="L172" s="575"/>
      <c r="M172" s="586"/>
      <c r="N172" s="570"/>
      <c r="O172" s="570"/>
      <c r="P172" s="587"/>
    </row>
    <row r="173" spans="2:16" ht="13.5" customHeight="1">
      <c r="B173" s="448">
        <f t="shared" si="34"/>
        <v>6.0505999999999975</v>
      </c>
      <c r="C173" s="449" t="s">
        <v>983</v>
      </c>
      <c r="D173" s="437" t="s">
        <v>161</v>
      </c>
      <c r="E173" s="87"/>
      <c r="F173" s="73"/>
      <c r="G173" s="65"/>
      <c r="H173" s="251"/>
      <c r="I173" s="251"/>
      <c r="J173" s="252"/>
      <c r="K173" s="73">
        <v>0</v>
      </c>
      <c r="L173" s="575"/>
      <c r="M173" s="586"/>
      <c r="N173" s="570"/>
      <c r="O173" s="570"/>
      <c r="P173" s="587"/>
    </row>
    <row r="174" spans="2:16" ht="13.5" customHeight="1">
      <c r="B174" s="448">
        <f t="shared" si="34"/>
        <v>6.0506999999999973</v>
      </c>
      <c r="C174" s="44" t="s">
        <v>984</v>
      </c>
      <c r="D174" s="437" t="s">
        <v>161</v>
      </c>
      <c r="E174" s="87">
        <v>264.34999999999997</v>
      </c>
      <c r="F174" s="73">
        <v>80.760000000000005</v>
      </c>
      <c r="G174" s="65"/>
      <c r="H174" s="160">
        <v>80.760000000000005</v>
      </c>
      <c r="I174" s="160">
        <f>+ROUND(E174*F174,2)</f>
        <v>21348.91</v>
      </c>
      <c r="J174" s="150">
        <f>+ROUND(E174*G174,2)</f>
        <v>0</v>
      </c>
      <c r="K174" s="73">
        <v>21348.91</v>
      </c>
      <c r="L174" s="575"/>
      <c r="M174" s="586"/>
      <c r="N174" s="570"/>
      <c r="O174" s="570"/>
      <c r="P174" s="587"/>
    </row>
    <row r="175" spans="2:16" ht="13.5" customHeight="1">
      <c r="B175" s="448">
        <f t="shared" si="34"/>
        <v>6.0507999999999971</v>
      </c>
      <c r="C175" s="449" t="s">
        <v>985</v>
      </c>
      <c r="D175" s="437" t="s">
        <v>161</v>
      </c>
      <c r="E175" s="87">
        <v>1595.4600000000003</v>
      </c>
      <c r="F175" s="73">
        <v>74.66</v>
      </c>
      <c r="G175" s="65"/>
      <c r="H175" s="160">
        <v>74.66</v>
      </c>
      <c r="I175" s="160">
        <f>+ROUND(E175*F175,2)</f>
        <v>119117.04</v>
      </c>
      <c r="J175" s="150">
        <f>+ROUND(E175*G175,2)</f>
        <v>0</v>
      </c>
      <c r="K175" s="73">
        <v>119117.04</v>
      </c>
      <c r="L175" s="575"/>
      <c r="M175" s="586"/>
      <c r="N175" s="570"/>
      <c r="O175" s="570"/>
      <c r="P175" s="587"/>
    </row>
    <row r="176" spans="2:16" ht="13.5" customHeight="1">
      <c r="B176" s="448">
        <f t="shared" si="34"/>
        <v>6.0508999999999968</v>
      </c>
      <c r="C176" s="44" t="s">
        <v>986</v>
      </c>
      <c r="D176" s="437" t="s">
        <v>46</v>
      </c>
      <c r="E176" s="87">
        <v>355.79</v>
      </c>
      <c r="F176" s="73">
        <v>43.309999999999995</v>
      </c>
      <c r="G176" s="65"/>
      <c r="H176" s="160">
        <v>43.31</v>
      </c>
      <c r="I176" s="160">
        <f>+ROUND(E176*F176,2)</f>
        <v>15409.26</v>
      </c>
      <c r="J176" s="150">
        <f>+ROUND(E176*G176,2)</f>
        <v>0</v>
      </c>
      <c r="K176" s="73">
        <v>15409.26</v>
      </c>
      <c r="L176" s="575"/>
      <c r="M176" s="586"/>
      <c r="N176" s="570"/>
      <c r="O176" s="570"/>
      <c r="P176" s="587"/>
    </row>
    <row r="177" spans="1:16" ht="13.5" customHeight="1">
      <c r="B177" s="164">
        <f>B167+0.01</f>
        <v>6.0599999999999987</v>
      </c>
      <c r="C177" s="279" t="s">
        <v>987</v>
      </c>
      <c r="D177" s="280"/>
      <c r="E177" s="93"/>
      <c r="F177" s="93"/>
      <c r="G177" s="93"/>
      <c r="H177" s="93"/>
      <c r="I177" s="93"/>
      <c r="J177" s="93"/>
      <c r="K177" s="73">
        <v>0</v>
      </c>
      <c r="L177" s="537">
        <v>52452.05</v>
      </c>
      <c r="M177" s="591"/>
      <c r="N177" s="571"/>
      <c r="O177" s="571"/>
      <c r="P177" s="592"/>
    </row>
    <row r="178" spans="1:16" ht="14.1" customHeight="1" outlineLevel="1">
      <c r="B178" s="102">
        <f>B177+0.0001</f>
        <v>6.0600999999999985</v>
      </c>
      <c r="C178" s="271" t="s">
        <v>988</v>
      </c>
      <c r="D178" s="64" t="s">
        <v>161</v>
      </c>
      <c r="E178" s="87">
        <v>20.97</v>
      </c>
      <c r="F178" s="73">
        <v>1355</v>
      </c>
      <c r="G178" s="65"/>
      <c r="H178" s="160">
        <v>1355</v>
      </c>
      <c r="I178" s="160">
        <f t="shared" si="18"/>
        <v>28414.35</v>
      </c>
      <c r="J178" s="150">
        <f t="shared" si="19"/>
        <v>0</v>
      </c>
      <c r="K178" s="73">
        <v>28414.35</v>
      </c>
      <c r="L178" s="536"/>
      <c r="M178" s="550"/>
      <c r="N178" s="94"/>
      <c r="O178" s="94"/>
      <c r="P178" s="588"/>
    </row>
    <row r="179" spans="1:16" ht="14.1" customHeight="1" outlineLevel="1">
      <c r="B179" s="102">
        <f>B178+0.0001</f>
        <v>6.0601999999999983</v>
      </c>
      <c r="C179" s="271" t="s">
        <v>989</v>
      </c>
      <c r="D179" s="64" t="s">
        <v>161</v>
      </c>
      <c r="E179" s="87">
        <v>17.739999999999998</v>
      </c>
      <c r="F179" s="73">
        <v>1355</v>
      </c>
      <c r="G179" s="65"/>
      <c r="H179" s="160">
        <v>1355</v>
      </c>
      <c r="I179" s="160">
        <f t="shared" si="18"/>
        <v>24037.7</v>
      </c>
      <c r="J179" s="150">
        <f t="shared" si="19"/>
        <v>0</v>
      </c>
      <c r="K179" s="73">
        <v>24037.7</v>
      </c>
      <c r="L179" s="536"/>
      <c r="M179" s="550"/>
      <c r="N179" s="94"/>
      <c r="O179" s="94"/>
      <c r="P179" s="588"/>
    </row>
    <row r="180" spans="1:16" ht="13.5" customHeight="1">
      <c r="B180" s="164">
        <f>B177+0.01</f>
        <v>6.0699999999999985</v>
      </c>
      <c r="C180" s="279" t="s">
        <v>678</v>
      </c>
      <c r="D180" s="280"/>
      <c r="E180" s="93"/>
      <c r="F180" s="93" t="s">
        <v>7</v>
      </c>
      <c r="G180" s="69"/>
      <c r="H180" s="160"/>
      <c r="I180" s="160"/>
      <c r="J180" s="150"/>
      <c r="K180" s="73">
        <v>0</v>
      </c>
      <c r="L180" s="537">
        <v>1444103.01</v>
      </c>
      <c r="M180" s="591"/>
      <c r="N180" s="571"/>
      <c r="O180" s="571"/>
      <c r="P180" s="592"/>
    </row>
    <row r="181" spans="1:16" ht="14.1" customHeight="1" outlineLevel="1">
      <c r="B181" s="285">
        <f>B180+0.0001</f>
        <v>6.0700999999999983</v>
      </c>
      <c r="C181" s="282" t="s">
        <v>679</v>
      </c>
      <c r="D181" s="64"/>
      <c r="E181" s="87"/>
      <c r="F181" s="73" t="s">
        <v>7</v>
      </c>
      <c r="G181" s="65"/>
      <c r="H181" s="160"/>
      <c r="I181" s="160"/>
      <c r="J181" s="150"/>
      <c r="K181" s="73">
        <v>0</v>
      </c>
      <c r="L181" s="575"/>
      <c r="M181" s="586"/>
      <c r="N181" s="570"/>
      <c r="O181" s="570"/>
      <c r="P181" s="587"/>
    </row>
    <row r="182" spans="1:16" ht="14.1" customHeight="1" outlineLevel="2">
      <c r="B182" s="104">
        <f>B181+0.000001</f>
        <v>6.0701009999999984</v>
      </c>
      <c r="C182" s="271" t="s">
        <v>680</v>
      </c>
      <c r="D182" s="64" t="s">
        <v>161</v>
      </c>
      <c r="E182" s="87">
        <v>16565.57</v>
      </c>
      <c r="F182" s="73">
        <v>21.54</v>
      </c>
      <c r="G182" s="65"/>
      <c r="H182" s="160">
        <v>21.54</v>
      </c>
      <c r="I182" s="160">
        <f t="shared" si="18"/>
        <v>356822.38</v>
      </c>
      <c r="J182" s="150">
        <f t="shared" si="19"/>
        <v>0</v>
      </c>
      <c r="K182" s="73">
        <v>356822.38</v>
      </c>
      <c r="L182" s="575"/>
      <c r="M182" s="586"/>
      <c r="N182" s="570"/>
      <c r="O182" s="570"/>
      <c r="P182" s="587"/>
    </row>
    <row r="183" spans="1:16" ht="14.1" customHeight="1" outlineLevel="1">
      <c r="B183" s="285">
        <f>B181+0.0001</f>
        <v>6.070199999999998</v>
      </c>
      <c r="C183" s="282" t="s">
        <v>990</v>
      </c>
      <c r="D183" s="64"/>
      <c r="E183" s="87"/>
      <c r="F183" s="73" t="s">
        <v>7</v>
      </c>
      <c r="G183" s="65"/>
      <c r="H183" s="160"/>
      <c r="I183" s="160"/>
      <c r="J183" s="150"/>
      <c r="K183" s="73">
        <v>0</v>
      </c>
      <c r="L183" s="538"/>
      <c r="M183" s="51"/>
      <c r="P183" s="545"/>
    </row>
    <row r="184" spans="1:16" ht="14.1" customHeight="1" outlineLevel="2">
      <c r="B184" s="268">
        <f>B183+0.000001</f>
        <v>6.0702009999999982</v>
      </c>
      <c r="C184" s="278" t="s">
        <v>991</v>
      </c>
      <c r="D184" s="64"/>
      <c r="E184" s="87"/>
      <c r="F184" s="73" t="s">
        <v>7</v>
      </c>
      <c r="G184" s="65"/>
      <c r="H184" s="160"/>
      <c r="I184" s="160"/>
      <c r="J184" s="150"/>
      <c r="K184" s="73">
        <v>0</v>
      </c>
      <c r="L184" s="538"/>
      <c r="M184" s="51"/>
      <c r="P184" s="545"/>
    </row>
    <row r="185" spans="1:16" ht="14.1" customHeight="1" outlineLevel="3">
      <c r="A185" s="9" t="s">
        <v>992</v>
      </c>
      <c r="B185" s="270">
        <f>B184+0.00000001</f>
        <v>6.0702010099999981</v>
      </c>
      <c r="C185" s="52" t="s">
        <v>993</v>
      </c>
      <c r="D185" s="64" t="s">
        <v>161</v>
      </c>
      <c r="E185" s="87">
        <v>10170.64</v>
      </c>
      <c r="F185" s="73">
        <v>5.8</v>
      </c>
      <c r="G185" s="480">
        <v>11.21</v>
      </c>
      <c r="H185" s="160">
        <v>47.84</v>
      </c>
      <c r="I185" s="160">
        <f t="shared" si="18"/>
        <v>58989.71</v>
      </c>
      <c r="J185" s="150">
        <f>+ROUND(E185*G185,2)</f>
        <v>114012.87</v>
      </c>
      <c r="K185" s="73">
        <v>486537.97</v>
      </c>
      <c r="L185" s="575"/>
      <c r="M185" s="586"/>
      <c r="N185" s="570"/>
      <c r="O185" s="570"/>
      <c r="P185" s="587"/>
    </row>
    <row r="186" spans="1:16" ht="14.1" customHeight="1" outlineLevel="2">
      <c r="B186" s="268">
        <f>B184+0.000001</f>
        <v>6.0702019999999983</v>
      </c>
      <c r="C186" s="525" t="s">
        <v>994</v>
      </c>
      <c r="D186" s="64"/>
      <c r="E186" s="87"/>
      <c r="F186" s="73" t="s">
        <v>7</v>
      </c>
      <c r="G186" s="81" t="s">
        <v>7</v>
      </c>
      <c r="H186" s="160"/>
      <c r="I186" s="160"/>
      <c r="J186" s="150"/>
      <c r="K186" s="73">
        <v>0</v>
      </c>
      <c r="L186" s="538"/>
      <c r="M186" s="51"/>
      <c r="P186" s="545"/>
    </row>
    <row r="187" spans="1:16" ht="14.1" customHeight="1" outlineLevel="3">
      <c r="A187" s="9" t="s">
        <v>992</v>
      </c>
      <c r="B187" s="270">
        <f>B186+0.00000001</f>
        <v>6.0702020099999983</v>
      </c>
      <c r="C187" s="297" t="s">
        <v>995</v>
      </c>
      <c r="D187" s="64" t="s">
        <v>161</v>
      </c>
      <c r="E187" s="87">
        <v>1491.75</v>
      </c>
      <c r="F187" s="73">
        <v>68.73</v>
      </c>
      <c r="G187" s="81">
        <v>0</v>
      </c>
      <c r="H187" s="160">
        <v>68.73</v>
      </c>
      <c r="I187" s="160">
        <f t="shared" si="18"/>
        <v>102527.98</v>
      </c>
      <c r="J187" s="150">
        <f t="shared" si="19"/>
        <v>0</v>
      </c>
      <c r="K187" s="73">
        <v>102527.98</v>
      </c>
      <c r="L187" s="575"/>
      <c r="M187" s="586"/>
      <c r="N187" s="570"/>
      <c r="O187" s="570"/>
      <c r="P187" s="587"/>
    </row>
    <row r="188" spans="1:16" ht="14.1" customHeight="1" outlineLevel="2">
      <c r="B188" s="268">
        <f>B186+0.000001</f>
        <v>6.0702029999999985</v>
      </c>
      <c r="C188" s="278" t="s">
        <v>996</v>
      </c>
      <c r="D188" s="64"/>
      <c r="E188" s="87"/>
      <c r="F188" s="73" t="s">
        <v>7</v>
      </c>
      <c r="G188" s="81" t="s">
        <v>7</v>
      </c>
      <c r="H188" s="160"/>
      <c r="I188" s="160"/>
      <c r="J188" s="150"/>
      <c r="K188" s="73">
        <v>0</v>
      </c>
      <c r="L188" s="538"/>
      <c r="M188" s="51"/>
      <c r="P188" s="545"/>
    </row>
    <row r="189" spans="1:16" ht="14.1" customHeight="1" outlineLevel="3">
      <c r="A189" s="9" t="s">
        <v>992</v>
      </c>
      <c r="B189" s="270">
        <f>B188+0.00000001</f>
        <v>6.0702030099999984</v>
      </c>
      <c r="C189" s="52" t="s">
        <v>993</v>
      </c>
      <c r="D189" s="64" t="s">
        <v>161</v>
      </c>
      <c r="E189" s="87">
        <v>1214.5999999999999</v>
      </c>
      <c r="F189" s="73">
        <v>5.8</v>
      </c>
      <c r="G189" s="81">
        <v>11.21</v>
      </c>
      <c r="H189" s="160">
        <v>47.84</v>
      </c>
      <c r="I189" s="160">
        <f t="shared" si="18"/>
        <v>7044.68</v>
      </c>
      <c r="J189" s="150">
        <f t="shared" si="19"/>
        <v>13615.67</v>
      </c>
      <c r="K189" s="73">
        <v>58103.44</v>
      </c>
      <c r="L189" s="575"/>
      <c r="M189" s="586"/>
      <c r="N189" s="570"/>
      <c r="O189" s="570"/>
      <c r="P189" s="587"/>
    </row>
    <row r="190" spans="1:16" ht="14.1" customHeight="1" outlineLevel="2">
      <c r="B190" s="268">
        <f>B188+0.000001</f>
        <v>6.0702039999999986</v>
      </c>
      <c r="C190" s="278" t="s">
        <v>997</v>
      </c>
      <c r="D190" s="64"/>
      <c r="E190" s="87"/>
      <c r="F190" s="73" t="s">
        <v>7</v>
      </c>
      <c r="G190" s="81" t="s">
        <v>7</v>
      </c>
      <c r="H190" s="160"/>
      <c r="I190" s="160"/>
      <c r="J190" s="150"/>
      <c r="K190" s="73">
        <v>0</v>
      </c>
      <c r="L190" s="538"/>
      <c r="M190" s="51"/>
      <c r="P190" s="545"/>
    </row>
    <row r="191" spans="1:16" ht="14.1" customHeight="1" outlineLevel="3">
      <c r="A191" s="9" t="s">
        <v>992</v>
      </c>
      <c r="B191" s="270">
        <f>B190+0.00000001</f>
        <v>6.0702040099999985</v>
      </c>
      <c r="C191" s="297" t="s">
        <v>995</v>
      </c>
      <c r="D191" s="64" t="s">
        <v>161</v>
      </c>
      <c r="E191" s="87">
        <v>480.71</v>
      </c>
      <c r="F191" s="73">
        <v>68.73</v>
      </c>
      <c r="G191" s="65"/>
      <c r="H191" s="160">
        <v>68.73</v>
      </c>
      <c r="I191" s="160">
        <f t="shared" si="18"/>
        <v>33039.199999999997</v>
      </c>
      <c r="J191" s="150">
        <f t="shared" si="19"/>
        <v>0</v>
      </c>
      <c r="K191" s="73">
        <v>33039.199999999997</v>
      </c>
      <c r="L191" s="536"/>
      <c r="M191" s="550"/>
      <c r="N191" s="94"/>
      <c r="O191" s="94"/>
      <c r="P191" s="588"/>
    </row>
    <row r="192" spans="1:16" ht="14.1" customHeight="1" outlineLevel="2">
      <c r="B192" s="268">
        <f>B190+0.000001</f>
        <v>6.0702049999999987</v>
      </c>
      <c r="C192" s="278" t="s">
        <v>998</v>
      </c>
      <c r="D192" s="64"/>
      <c r="E192" s="87"/>
      <c r="F192" s="73" t="s">
        <v>7</v>
      </c>
      <c r="G192" s="65"/>
      <c r="H192" s="160"/>
      <c r="I192" s="160"/>
      <c r="J192" s="150"/>
      <c r="K192" s="73">
        <v>0</v>
      </c>
      <c r="L192" s="536"/>
      <c r="M192" s="550"/>
      <c r="N192" s="94"/>
      <c r="O192" s="94"/>
      <c r="P192" s="588"/>
    </row>
    <row r="193" spans="1:16" ht="14.1" customHeight="1" outlineLevel="3">
      <c r="A193" s="9" t="s">
        <v>992</v>
      </c>
      <c r="B193" s="270">
        <f>B192+0.00000001</f>
        <v>6.0702050099999987</v>
      </c>
      <c r="C193" s="43" t="s">
        <v>999</v>
      </c>
      <c r="D193" s="64" t="s">
        <v>161</v>
      </c>
      <c r="E193" s="87">
        <v>351.77</v>
      </c>
      <c r="F193" s="73">
        <v>74.66</v>
      </c>
      <c r="G193" s="65"/>
      <c r="H193" s="160">
        <v>74.66</v>
      </c>
      <c r="I193" s="160">
        <f t="shared" ref="I193" si="35">+ROUND(E193*F193,2)</f>
        <v>26263.15</v>
      </c>
      <c r="J193" s="150">
        <f t="shared" ref="J193" si="36">+ROUND(E193*G193,2)</f>
        <v>0</v>
      </c>
      <c r="K193" s="73">
        <v>26263.15</v>
      </c>
      <c r="L193" s="536"/>
      <c r="M193" s="550"/>
      <c r="N193" s="94"/>
      <c r="O193" s="94"/>
      <c r="P193" s="588"/>
    </row>
    <row r="194" spans="1:16" ht="14.1" customHeight="1" outlineLevel="3">
      <c r="B194" s="532">
        <f>B183+0.0001</f>
        <v>6.0702999999999978</v>
      </c>
      <c r="C194" s="282" t="s">
        <v>1000</v>
      </c>
      <c r="D194" s="64"/>
      <c r="E194" s="87"/>
      <c r="F194" s="73"/>
      <c r="G194" s="65"/>
      <c r="H194" s="160"/>
      <c r="I194" s="160"/>
      <c r="J194" s="150"/>
      <c r="K194" s="73">
        <v>0</v>
      </c>
      <c r="L194" s="536"/>
      <c r="M194" s="550"/>
      <c r="N194" s="94"/>
      <c r="O194" s="94"/>
      <c r="P194" s="588"/>
    </row>
    <row r="195" spans="1:16" ht="14.1" customHeight="1" outlineLevel="3">
      <c r="B195" s="450">
        <f>B194+0.000001</f>
        <v>6.0703009999999979</v>
      </c>
      <c r="C195" s="278" t="s">
        <v>1001</v>
      </c>
      <c r="D195" s="64"/>
      <c r="E195" s="87"/>
      <c r="F195" s="73"/>
      <c r="G195" s="65"/>
      <c r="H195" s="160"/>
      <c r="I195" s="160"/>
      <c r="J195" s="150"/>
      <c r="K195" s="73">
        <v>0</v>
      </c>
      <c r="L195" s="536"/>
      <c r="M195" s="550"/>
      <c r="N195" s="94"/>
      <c r="O195" s="94"/>
      <c r="P195" s="588"/>
    </row>
    <row r="196" spans="1:16" ht="14.1" customHeight="1" outlineLevel="3">
      <c r="B196" s="434">
        <f>B195+0.00000001</f>
        <v>6.0703010099999979</v>
      </c>
      <c r="C196" s="44" t="s">
        <v>685</v>
      </c>
      <c r="D196" s="64" t="s">
        <v>161</v>
      </c>
      <c r="E196" s="87">
        <v>18.03</v>
      </c>
      <c r="F196" s="73">
        <v>45.33</v>
      </c>
      <c r="G196" s="65"/>
      <c r="H196" s="160">
        <v>45.33</v>
      </c>
      <c r="I196" s="160">
        <f>+ROUND(E196*F196,2)</f>
        <v>817.3</v>
      </c>
      <c r="J196" s="150">
        <f>+ROUND(E196*G196,2)</f>
        <v>0</v>
      </c>
      <c r="K196" s="73">
        <v>817.3</v>
      </c>
      <c r="L196" s="536"/>
      <c r="M196" s="550"/>
      <c r="N196" s="94"/>
      <c r="O196" s="94"/>
      <c r="P196" s="588"/>
    </row>
    <row r="197" spans="1:16" ht="14.1" customHeight="1" outlineLevel="3">
      <c r="B197" s="533">
        <f>B196+0.000001</f>
        <v>6.070302009999998</v>
      </c>
      <c r="C197" s="278" t="s">
        <v>1002</v>
      </c>
      <c r="D197" s="509"/>
      <c r="E197" s="283"/>
      <c r="F197" s="231"/>
      <c r="G197" s="460"/>
      <c r="H197" s="186">
        <v>0</v>
      </c>
      <c r="I197" s="186">
        <f>+ROUND(E197*F197,2)</f>
        <v>0</v>
      </c>
      <c r="J197" s="415">
        <f>+ROUND(E197*G197,2)</f>
        <v>0</v>
      </c>
      <c r="K197" s="231">
        <v>0</v>
      </c>
      <c r="L197" s="596"/>
      <c r="M197" s="602"/>
      <c r="N197" s="528"/>
      <c r="O197" s="528"/>
      <c r="P197" s="603"/>
    </row>
    <row r="198" spans="1:16" ht="14.1" customHeight="1" outlineLevel="3">
      <c r="B198" s="510">
        <f>B197+0.00000001</f>
        <v>6.070302019999998</v>
      </c>
      <c r="C198" s="230" t="s">
        <v>1003</v>
      </c>
      <c r="D198" s="509" t="s">
        <v>161</v>
      </c>
      <c r="E198" s="283">
        <v>0</v>
      </c>
      <c r="F198" s="231">
        <v>43.36</v>
      </c>
      <c r="G198" s="460"/>
      <c r="H198" s="186">
        <v>43.36</v>
      </c>
      <c r="I198" s="186">
        <f>+ROUND(E198*F198,2)</f>
        <v>0</v>
      </c>
      <c r="J198" s="415">
        <f>+ROUND(E198*G198,2)</f>
        <v>0</v>
      </c>
      <c r="K198" s="231">
        <v>0</v>
      </c>
      <c r="L198" s="596"/>
      <c r="M198" s="602"/>
      <c r="N198" s="528"/>
      <c r="O198" s="528"/>
      <c r="P198" s="603"/>
    </row>
    <row r="199" spans="1:16" ht="14.1" customHeight="1" outlineLevel="3">
      <c r="B199" s="450">
        <f>B198+0.000001</f>
        <v>6.0703030199999981</v>
      </c>
      <c r="C199" s="278" t="s">
        <v>1004</v>
      </c>
      <c r="D199" s="64"/>
      <c r="E199" s="87"/>
      <c r="F199" s="73"/>
      <c r="G199" s="65"/>
      <c r="H199" s="160">
        <v>0</v>
      </c>
      <c r="I199" s="160">
        <f>+ROUND(E199*F199,2)</f>
        <v>0</v>
      </c>
      <c r="J199" s="150">
        <f>+ROUND(E199*G199,2)</f>
        <v>0</v>
      </c>
      <c r="K199" s="73">
        <v>0</v>
      </c>
      <c r="L199" s="536"/>
      <c r="M199" s="550"/>
      <c r="N199" s="94"/>
      <c r="O199" s="94"/>
      <c r="P199" s="588"/>
    </row>
    <row r="200" spans="1:16" ht="14.1" customHeight="1" outlineLevel="3">
      <c r="B200" s="434">
        <f>B199+0.00000001</f>
        <v>6.070303029999998</v>
      </c>
      <c r="C200" s="43" t="s">
        <v>1005</v>
      </c>
      <c r="D200" s="64" t="s">
        <v>161</v>
      </c>
      <c r="E200" s="87">
        <v>29.75</v>
      </c>
      <c r="F200" s="73">
        <v>86.38</v>
      </c>
      <c r="G200" s="65"/>
      <c r="H200" s="160">
        <v>86.38</v>
      </c>
      <c r="I200" s="160">
        <f>+ROUND(E200*F200,2)</f>
        <v>2569.81</v>
      </c>
      <c r="J200" s="150">
        <f>+ROUND(E200*G200,2)</f>
        <v>0</v>
      </c>
      <c r="K200" s="73">
        <v>2569.81</v>
      </c>
      <c r="L200" s="536"/>
      <c r="M200" s="550"/>
      <c r="N200" s="94"/>
      <c r="O200" s="94"/>
      <c r="P200" s="588"/>
    </row>
    <row r="201" spans="1:16" ht="14.1" customHeight="1" outlineLevel="1">
      <c r="B201" s="285">
        <f>B183+0.0001</f>
        <v>6.0702999999999978</v>
      </c>
      <c r="C201" s="282" t="s">
        <v>1006</v>
      </c>
      <c r="D201" s="64"/>
      <c r="E201" s="87"/>
      <c r="F201" s="73" t="s">
        <v>7</v>
      </c>
      <c r="G201" s="65"/>
      <c r="H201" s="160"/>
      <c r="I201" s="160"/>
      <c r="J201" s="150"/>
      <c r="K201" s="73">
        <v>0</v>
      </c>
      <c r="L201" s="536"/>
      <c r="M201" s="550"/>
      <c r="N201" s="94"/>
      <c r="O201" s="94"/>
      <c r="P201" s="588"/>
    </row>
    <row r="202" spans="1:16" ht="14.1" customHeight="1" outlineLevel="2">
      <c r="B202" s="450">
        <f>B201+0.000001</f>
        <v>6.0703009999999979</v>
      </c>
      <c r="C202" s="278" t="s">
        <v>1007</v>
      </c>
      <c r="D202" s="64"/>
      <c r="E202" s="87"/>
      <c r="F202" s="73"/>
      <c r="G202" s="65"/>
      <c r="H202" s="160"/>
      <c r="I202" s="160"/>
      <c r="J202" s="150"/>
      <c r="K202" s="73">
        <v>0</v>
      </c>
      <c r="L202" s="575"/>
      <c r="M202" s="586"/>
      <c r="N202" s="570"/>
      <c r="O202" s="570"/>
      <c r="P202" s="587"/>
    </row>
    <row r="203" spans="1:16" ht="14.1" customHeight="1" outlineLevel="3">
      <c r="B203" s="434">
        <f t="shared" ref="B203:B236" si="37">B202+0.00000001</f>
        <v>6.0703010099999979</v>
      </c>
      <c r="C203" s="451" t="s">
        <v>1008</v>
      </c>
      <c r="D203" s="64"/>
      <c r="E203" s="87"/>
      <c r="F203" s="73"/>
      <c r="G203" s="65"/>
      <c r="H203" s="160"/>
      <c r="I203" s="160"/>
      <c r="J203" s="150"/>
      <c r="K203" s="73">
        <v>0</v>
      </c>
      <c r="L203" s="575"/>
      <c r="M203" s="586"/>
      <c r="N203" s="570"/>
      <c r="O203" s="570"/>
      <c r="P203" s="587"/>
    </row>
    <row r="204" spans="1:16" ht="14.1" customHeight="1" outlineLevel="2">
      <c r="B204" s="434">
        <f t="shared" si="37"/>
        <v>6.0703010199999978</v>
      </c>
      <c r="C204" s="454" t="s">
        <v>1009</v>
      </c>
      <c r="D204" s="64" t="s">
        <v>161</v>
      </c>
      <c r="E204" s="87">
        <v>70.66</v>
      </c>
      <c r="F204" s="73">
        <v>20.67</v>
      </c>
      <c r="G204" s="65"/>
      <c r="H204" s="160">
        <v>20.67</v>
      </c>
      <c r="I204" s="160">
        <f>+ROUND(E204*F204,2)</f>
        <v>1460.54</v>
      </c>
      <c r="J204" s="150">
        <f>+ROUND(E204*G204,2)</f>
        <v>0</v>
      </c>
      <c r="K204" s="73">
        <v>1460.54</v>
      </c>
      <c r="L204" s="575"/>
      <c r="M204" s="586"/>
      <c r="N204" s="570"/>
      <c r="O204" s="570"/>
      <c r="P204" s="587"/>
    </row>
    <row r="205" spans="1:16" ht="14.1" customHeight="1" outlineLevel="3">
      <c r="B205" s="434">
        <f t="shared" si="37"/>
        <v>6.0703010299999978</v>
      </c>
      <c r="C205" s="453" t="s">
        <v>1010</v>
      </c>
      <c r="D205" s="64" t="s">
        <v>161</v>
      </c>
      <c r="E205" s="87">
        <v>57.2</v>
      </c>
      <c r="F205" s="73">
        <v>45.33</v>
      </c>
      <c r="G205" s="65"/>
      <c r="H205" s="160">
        <v>45.33</v>
      </c>
      <c r="I205" s="160">
        <f>+ROUND(E205*F205,2)</f>
        <v>2592.88</v>
      </c>
      <c r="J205" s="150">
        <f>+ROUND(E205*G205,2)</f>
        <v>0</v>
      </c>
      <c r="K205" s="73">
        <v>2592.88</v>
      </c>
      <c r="L205" s="575"/>
      <c r="M205" s="586"/>
      <c r="N205" s="570"/>
      <c r="O205" s="570"/>
      <c r="P205" s="587"/>
    </row>
    <row r="206" spans="1:16" ht="14.1" customHeight="1" outlineLevel="2">
      <c r="B206" s="434">
        <f t="shared" si="37"/>
        <v>6.0703010399999977</v>
      </c>
      <c r="C206" s="454" t="s">
        <v>1011</v>
      </c>
      <c r="D206" s="64" t="s">
        <v>161</v>
      </c>
      <c r="E206" s="87">
        <v>21.46</v>
      </c>
      <c r="F206" s="73">
        <v>45.33</v>
      </c>
      <c r="G206" s="65"/>
      <c r="H206" s="160">
        <v>45.33</v>
      </c>
      <c r="I206" s="160">
        <f>+ROUND(E206*F206,2)</f>
        <v>972.78</v>
      </c>
      <c r="J206" s="150">
        <f>+ROUND(E206*G206,2)</f>
        <v>0</v>
      </c>
      <c r="K206" s="73">
        <v>972.78</v>
      </c>
      <c r="L206" s="575"/>
      <c r="M206" s="586"/>
      <c r="N206" s="570"/>
      <c r="O206" s="570"/>
      <c r="P206" s="587"/>
    </row>
    <row r="207" spans="1:16" ht="14.1" customHeight="1" outlineLevel="3">
      <c r="B207" s="434">
        <f t="shared" si="37"/>
        <v>6.0703010499999976</v>
      </c>
      <c r="C207" s="453" t="s">
        <v>1012</v>
      </c>
      <c r="D207" s="64" t="s">
        <v>161</v>
      </c>
      <c r="E207" s="87">
        <v>413.24</v>
      </c>
      <c r="F207" s="73">
        <v>45.33</v>
      </c>
      <c r="G207" s="65"/>
      <c r="H207" s="160">
        <v>45.33</v>
      </c>
      <c r="I207" s="160">
        <f>+ROUND(E207*F207,2)</f>
        <v>18732.169999999998</v>
      </c>
      <c r="J207" s="150">
        <f>+ROUND(E207*G207,2)</f>
        <v>0</v>
      </c>
      <c r="K207" s="73">
        <v>18732.169999999998</v>
      </c>
      <c r="L207" s="575"/>
      <c r="M207" s="586"/>
      <c r="N207" s="570"/>
      <c r="O207" s="570"/>
      <c r="P207" s="587"/>
    </row>
    <row r="208" spans="1:16" ht="14.1" customHeight="1" outlineLevel="2">
      <c r="B208" s="434">
        <f t="shared" si="37"/>
        <v>6.0703010599999976</v>
      </c>
      <c r="C208" s="278" t="s">
        <v>1013</v>
      </c>
      <c r="D208" s="64"/>
      <c r="E208" s="87"/>
      <c r="F208" s="73" t="s">
        <v>7</v>
      </c>
      <c r="G208" s="65"/>
      <c r="H208" s="160"/>
      <c r="I208" s="160"/>
      <c r="J208" s="150"/>
      <c r="K208" s="73">
        <v>0</v>
      </c>
      <c r="L208" s="575"/>
      <c r="M208" s="586"/>
      <c r="N208" s="570"/>
      <c r="O208" s="570"/>
      <c r="P208" s="587"/>
    </row>
    <row r="209" spans="1:16" ht="14.1" customHeight="1" outlineLevel="3">
      <c r="B209" s="434">
        <f t="shared" si="37"/>
        <v>6.0703010699999975</v>
      </c>
      <c r="C209" s="453" t="s">
        <v>1014</v>
      </c>
      <c r="D209" s="64" t="s">
        <v>161</v>
      </c>
      <c r="E209" s="87">
        <v>241.93</v>
      </c>
      <c r="F209" s="73">
        <v>318.98</v>
      </c>
      <c r="G209" s="65"/>
      <c r="H209" s="160">
        <v>318.98</v>
      </c>
      <c r="I209" s="160">
        <f t="shared" ref="I209:I222" si="38">+ROUND(E209*F209,2)</f>
        <v>77170.83</v>
      </c>
      <c r="J209" s="150">
        <f t="shared" ref="J209:J222" si="39">+ROUND(E209*G209,2)</f>
        <v>0</v>
      </c>
      <c r="K209" s="73">
        <v>77170.83</v>
      </c>
      <c r="L209" s="575"/>
      <c r="M209" s="586"/>
      <c r="N209" s="570"/>
      <c r="O209" s="570"/>
      <c r="P209" s="587"/>
    </row>
    <row r="210" spans="1:16" ht="14.1" customHeight="1" outlineLevel="2">
      <c r="B210" s="434">
        <f t="shared" si="37"/>
        <v>6.0703010799999975</v>
      </c>
      <c r="C210" s="454" t="s">
        <v>1015</v>
      </c>
      <c r="D210" s="64" t="s">
        <v>161</v>
      </c>
      <c r="E210" s="87">
        <v>1573.7800000000002</v>
      </c>
      <c r="F210" s="73">
        <v>91.47</v>
      </c>
      <c r="G210" s="65"/>
      <c r="H210" s="160">
        <v>91.47</v>
      </c>
      <c r="I210" s="160">
        <f t="shared" si="38"/>
        <v>143953.66</v>
      </c>
      <c r="J210" s="150">
        <f t="shared" si="39"/>
        <v>0</v>
      </c>
      <c r="K210" s="73">
        <v>143953.66</v>
      </c>
      <c r="L210" s="575"/>
      <c r="M210" s="586"/>
      <c r="N210" s="570"/>
      <c r="O210" s="570"/>
      <c r="P210" s="587"/>
    </row>
    <row r="211" spans="1:16" ht="14.1" customHeight="1" outlineLevel="3">
      <c r="B211" s="434">
        <f t="shared" si="37"/>
        <v>6.0703010899999974</v>
      </c>
      <c r="C211" s="453" t="s">
        <v>1016</v>
      </c>
      <c r="D211" s="64" t="s">
        <v>161</v>
      </c>
      <c r="E211" s="87">
        <v>102.37</v>
      </c>
      <c r="F211" s="73">
        <v>86.38</v>
      </c>
      <c r="G211" s="65"/>
      <c r="H211" s="160">
        <v>86.38</v>
      </c>
      <c r="I211" s="160">
        <f t="shared" si="38"/>
        <v>8842.7199999999993</v>
      </c>
      <c r="J211" s="150">
        <f t="shared" si="39"/>
        <v>0</v>
      </c>
      <c r="K211" s="73">
        <v>8842.7199999999993</v>
      </c>
      <c r="L211" s="575"/>
      <c r="M211" s="586"/>
      <c r="N211" s="570"/>
      <c r="O211" s="570"/>
      <c r="P211" s="587"/>
    </row>
    <row r="212" spans="1:16" ht="14.1" customHeight="1" outlineLevel="2">
      <c r="B212" s="434">
        <f t="shared" si="37"/>
        <v>6.0703010999999973</v>
      </c>
      <c r="C212" s="454" t="s">
        <v>1017</v>
      </c>
      <c r="D212" s="64" t="s">
        <v>161</v>
      </c>
      <c r="E212" s="87">
        <v>12.93</v>
      </c>
      <c r="F212" s="73">
        <v>86.38</v>
      </c>
      <c r="G212" s="65"/>
      <c r="H212" s="160">
        <v>86.38</v>
      </c>
      <c r="I212" s="160">
        <f t="shared" si="38"/>
        <v>1116.8900000000001</v>
      </c>
      <c r="J212" s="150">
        <f t="shared" si="39"/>
        <v>0</v>
      </c>
      <c r="K212" s="73">
        <v>1116.8900000000001</v>
      </c>
      <c r="L212" s="575"/>
      <c r="M212" s="586"/>
      <c r="N212" s="570"/>
      <c r="O212" s="570"/>
      <c r="P212" s="587"/>
    </row>
    <row r="213" spans="1:16" ht="14.1" customHeight="1" outlineLevel="3">
      <c r="B213" s="434">
        <f t="shared" si="37"/>
        <v>6.0703011099999973</v>
      </c>
      <c r="C213" s="453" t="s">
        <v>1018</v>
      </c>
      <c r="D213" s="64" t="s">
        <v>161</v>
      </c>
      <c r="E213" s="87">
        <v>5.13</v>
      </c>
      <c r="F213" s="73">
        <v>318.98</v>
      </c>
      <c r="G213" s="65"/>
      <c r="H213" s="160">
        <v>318.98</v>
      </c>
      <c r="I213" s="160">
        <f t="shared" si="38"/>
        <v>1636.37</v>
      </c>
      <c r="J213" s="150">
        <f t="shared" si="39"/>
        <v>0</v>
      </c>
      <c r="K213" s="73">
        <v>1636.37</v>
      </c>
      <c r="L213" s="575"/>
      <c r="M213" s="586"/>
      <c r="N213" s="570"/>
      <c r="O213" s="570"/>
      <c r="P213" s="587"/>
    </row>
    <row r="214" spans="1:16" ht="14.1" customHeight="1" outlineLevel="2">
      <c r="B214" s="434">
        <f t="shared" si="37"/>
        <v>6.0703011199999972</v>
      </c>
      <c r="C214" s="454" t="s">
        <v>1019</v>
      </c>
      <c r="D214" s="64" t="s">
        <v>161</v>
      </c>
      <c r="E214" s="87">
        <v>31.93</v>
      </c>
      <c r="F214" s="73">
        <v>86.38</v>
      </c>
      <c r="G214" s="65"/>
      <c r="H214" s="160">
        <v>86.38</v>
      </c>
      <c r="I214" s="160">
        <f t="shared" si="38"/>
        <v>2758.11</v>
      </c>
      <c r="J214" s="150">
        <f t="shared" si="39"/>
        <v>0</v>
      </c>
      <c r="K214" s="73">
        <v>2758.11</v>
      </c>
      <c r="L214" s="575"/>
      <c r="M214" s="586"/>
      <c r="N214" s="570"/>
      <c r="O214" s="570"/>
      <c r="P214" s="587"/>
    </row>
    <row r="215" spans="1:16" ht="14.1" customHeight="1" outlineLevel="3">
      <c r="B215" s="434">
        <f t="shared" si="37"/>
        <v>6.0703011299999972</v>
      </c>
      <c r="C215" s="453" t="s">
        <v>1020</v>
      </c>
      <c r="D215" s="64" t="s">
        <v>161</v>
      </c>
      <c r="E215" s="87">
        <v>12.05</v>
      </c>
      <c r="F215" s="73">
        <v>260.97000000000003</v>
      </c>
      <c r="G215" s="65"/>
      <c r="H215" s="160">
        <v>260.97000000000003</v>
      </c>
      <c r="I215" s="160">
        <f t="shared" si="38"/>
        <v>3144.69</v>
      </c>
      <c r="J215" s="150">
        <f t="shared" si="39"/>
        <v>0</v>
      </c>
      <c r="K215" s="73">
        <v>3144.69</v>
      </c>
      <c r="L215" s="575"/>
      <c r="M215" s="586"/>
      <c r="N215" s="570"/>
      <c r="O215" s="570"/>
      <c r="P215" s="587"/>
    </row>
    <row r="216" spans="1:16" ht="14.1" customHeight="1" outlineLevel="2">
      <c r="B216" s="434">
        <f t="shared" si="37"/>
        <v>6.0703011399999971</v>
      </c>
      <c r="C216" s="454" t="s">
        <v>1021</v>
      </c>
      <c r="D216" s="64" t="s">
        <v>161</v>
      </c>
      <c r="E216" s="87">
        <v>13.55</v>
      </c>
      <c r="F216" s="73">
        <v>260.97000000000003</v>
      </c>
      <c r="G216" s="65"/>
      <c r="H216" s="160">
        <v>260.97000000000003</v>
      </c>
      <c r="I216" s="160">
        <f t="shared" si="38"/>
        <v>3536.14</v>
      </c>
      <c r="J216" s="150">
        <f t="shared" si="39"/>
        <v>0</v>
      </c>
      <c r="K216" s="73">
        <v>3536.14</v>
      </c>
      <c r="L216" s="575"/>
      <c r="M216" s="586"/>
      <c r="N216" s="570"/>
      <c r="O216" s="570"/>
      <c r="P216" s="587"/>
    </row>
    <row r="217" spans="1:16" ht="14.1" customHeight="1" outlineLevel="3">
      <c r="B217" s="434">
        <f t="shared" si="37"/>
        <v>6.070301149999997</v>
      </c>
      <c r="C217" s="43" t="s">
        <v>1022</v>
      </c>
      <c r="D217" s="64" t="s">
        <v>161</v>
      </c>
      <c r="E217" s="87">
        <v>24.73</v>
      </c>
      <c r="F217" s="73">
        <v>126</v>
      </c>
      <c r="G217" s="65"/>
      <c r="H217" s="160">
        <v>126</v>
      </c>
      <c r="I217" s="160">
        <f t="shared" si="38"/>
        <v>3115.98</v>
      </c>
      <c r="J217" s="150">
        <f t="shared" si="39"/>
        <v>0</v>
      </c>
      <c r="K217" s="73">
        <v>3115.98</v>
      </c>
      <c r="L217" s="575"/>
      <c r="M217" s="586"/>
      <c r="N217" s="570"/>
      <c r="O217" s="570"/>
      <c r="P217" s="587"/>
    </row>
    <row r="218" spans="1:16" s="278" customFormat="1" ht="14.1" customHeight="1" outlineLevel="2">
      <c r="A218" s="9"/>
      <c r="B218" s="434">
        <f t="shared" si="37"/>
        <v>6.070301159999997</v>
      </c>
      <c r="C218" s="454" t="s">
        <v>1023</v>
      </c>
      <c r="D218" s="64" t="s">
        <v>161</v>
      </c>
      <c r="E218" s="87">
        <v>11.18</v>
      </c>
      <c r="F218" s="73">
        <v>162.62</v>
      </c>
      <c r="G218" s="65"/>
      <c r="H218" s="160">
        <v>162.62</v>
      </c>
      <c r="I218" s="160">
        <f t="shared" si="38"/>
        <v>1818.09</v>
      </c>
      <c r="J218" s="150">
        <f t="shared" si="39"/>
        <v>0</v>
      </c>
      <c r="K218" s="73">
        <v>1818.09</v>
      </c>
      <c r="L218" s="597"/>
      <c r="M218" s="604"/>
      <c r="P218" s="605"/>
    </row>
    <row r="219" spans="1:16" ht="14.1" customHeight="1" outlineLevel="3">
      <c r="B219" s="434">
        <f t="shared" si="37"/>
        <v>6.0703011699999969</v>
      </c>
      <c r="C219" s="455" t="s">
        <v>1024</v>
      </c>
      <c r="D219" s="64" t="s">
        <v>161</v>
      </c>
      <c r="E219" s="87">
        <v>178.96999999999997</v>
      </c>
      <c r="F219" s="73">
        <v>162.62</v>
      </c>
      <c r="G219" s="65"/>
      <c r="H219" s="160">
        <v>162.62</v>
      </c>
      <c r="I219" s="160">
        <f t="shared" si="38"/>
        <v>29104.1</v>
      </c>
      <c r="J219" s="150">
        <f t="shared" si="39"/>
        <v>0</v>
      </c>
      <c r="K219" s="73">
        <v>29104.1</v>
      </c>
      <c r="L219" s="575"/>
      <c r="M219" s="586"/>
      <c r="N219" s="570"/>
      <c r="O219" s="570"/>
      <c r="P219" s="587"/>
    </row>
    <row r="220" spans="1:16" ht="14.1" customHeight="1" outlineLevel="2">
      <c r="B220" s="434">
        <f t="shared" si="37"/>
        <v>6.0703011799999969</v>
      </c>
      <c r="C220" s="454" t="s">
        <v>1025</v>
      </c>
      <c r="D220" s="64" t="s">
        <v>161</v>
      </c>
      <c r="E220" s="87">
        <v>8.8699999999999992</v>
      </c>
      <c r="F220" s="73">
        <v>227.34</v>
      </c>
      <c r="G220" s="65"/>
      <c r="H220" s="160">
        <v>227.34</v>
      </c>
      <c r="I220" s="160">
        <f t="shared" si="38"/>
        <v>2016.51</v>
      </c>
      <c r="J220" s="150">
        <f t="shared" si="39"/>
        <v>0</v>
      </c>
      <c r="K220" s="73">
        <v>2016.51</v>
      </c>
      <c r="L220" s="575"/>
      <c r="M220" s="586"/>
      <c r="N220" s="570"/>
      <c r="O220" s="570"/>
      <c r="P220" s="587"/>
    </row>
    <row r="221" spans="1:16" ht="14.1" customHeight="1" outlineLevel="3">
      <c r="B221" s="434">
        <f t="shared" si="37"/>
        <v>6.0703011899999968</v>
      </c>
      <c r="C221" s="453" t="s">
        <v>1026</v>
      </c>
      <c r="D221" s="64" t="s">
        <v>161</v>
      </c>
      <c r="E221" s="87">
        <v>34.19</v>
      </c>
      <c r="F221" s="73">
        <v>137.68</v>
      </c>
      <c r="G221" s="65"/>
      <c r="H221" s="160">
        <v>137.68</v>
      </c>
      <c r="I221" s="160">
        <f t="shared" si="38"/>
        <v>4707.28</v>
      </c>
      <c r="J221" s="150">
        <f t="shared" si="39"/>
        <v>0</v>
      </c>
      <c r="K221" s="73">
        <v>4707.28</v>
      </c>
      <c r="L221" s="575"/>
      <c r="M221" s="586"/>
      <c r="N221" s="570"/>
      <c r="O221" s="570"/>
      <c r="P221" s="587"/>
    </row>
    <row r="222" spans="1:16" ht="30" customHeight="1" outlineLevel="2">
      <c r="B222" s="434">
        <f t="shared" si="37"/>
        <v>6.0703011999999967</v>
      </c>
      <c r="C222" s="466" t="s">
        <v>1027</v>
      </c>
      <c r="D222" s="64" t="s">
        <v>161</v>
      </c>
      <c r="E222" s="87">
        <v>48.62</v>
      </c>
      <c r="F222" s="73">
        <v>190.68</v>
      </c>
      <c r="G222" s="65"/>
      <c r="H222" s="160">
        <v>190.68</v>
      </c>
      <c r="I222" s="160">
        <f t="shared" si="38"/>
        <v>9270.86</v>
      </c>
      <c r="J222" s="150">
        <f t="shared" si="39"/>
        <v>0</v>
      </c>
      <c r="K222" s="73">
        <v>9270.86</v>
      </c>
      <c r="L222" s="575"/>
      <c r="M222" s="586"/>
      <c r="N222" s="570"/>
      <c r="O222" s="570"/>
      <c r="P222" s="587"/>
    </row>
    <row r="223" spans="1:16" ht="14.1" customHeight="1" outlineLevel="3">
      <c r="B223" s="434">
        <f t="shared" si="37"/>
        <v>6.0703012099999967</v>
      </c>
      <c r="C223" s="451" t="s">
        <v>187</v>
      </c>
      <c r="D223" s="64"/>
      <c r="E223" s="87"/>
      <c r="F223" s="73" t="s">
        <v>7</v>
      </c>
      <c r="G223" s="65"/>
      <c r="H223" s="160"/>
      <c r="I223" s="160"/>
      <c r="J223" s="150"/>
      <c r="K223" s="73">
        <v>0</v>
      </c>
      <c r="L223" s="575"/>
      <c r="M223" s="586"/>
      <c r="N223" s="570"/>
      <c r="O223" s="570"/>
      <c r="P223" s="587"/>
    </row>
    <row r="224" spans="1:16" ht="14.1" customHeight="1" outlineLevel="2">
      <c r="B224" s="434">
        <f t="shared" si="37"/>
        <v>6.0703012199999966</v>
      </c>
      <c r="C224" s="454" t="s">
        <v>1028</v>
      </c>
      <c r="D224" s="64" t="s">
        <v>161</v>
      </c>
      <c r="E224" s="87">
        <v>67.75</v>
      </c>
      <c r="F224" s="73">
        <v>5.8</v>
      </c>
      <c r="G224" s="81">
        <v>11.21</v>
      </c>
      <c r="H224" s="160">
        <v>47.84</v>
      </c>
      <c r="I224" s="160">
        <f t="shared" ref="I224:I231" si="40">+ROUND(E224*F224,2)</f>
        <v>392.95</v>
      </c>
      <c r="J224" s="150">
        <f t="shared" ref="J224:J231" si="41">+ROUND(E224*G224,2)</f>
        <v>759.48</v>
      </c>
      <c r="K224" s="73">
        <v>3241</v>
      </c>
      <c r="L224" s="575"/>
      <c r="M224" s="586"/>
      <c r="N224" s="570"/>
      <c r="O224" s="570"/>
      <c r="P224" s="587"/>
    </row>
    <row r="225" spans="2:16" ht="19.899999999999999" customHeight="1" outlineLevel="3">
      <c r="B225" s="434">
        <f t="shared" si="37"/>
        <v>6.0703012299999966</v>
      </c>
      <c r="C225" s="453" t="s">
        <v>1029</v>
      </c>
      <c r="D225" s="64" t="s">
        <v>161</v>
      </c>
      <c r="E225" s="87">
        <v>65.83</v>
      </c>
      <c r="F225" s="73">
        <v>5.8</v>
      </c>
      <c r="G225" s="81">
        <v>11.21</v>
      </c>
      <c r="H225" s="160">
        <v>47.84</v>
      </c>
      <c r="I225" s="160">
        <f t="shared" si="40"/>
        <v>381.81</v>
      </c>
      <c r="J225" s="150">
        <f t="shared" si="41"/>
        <v>737.95</v>
      </c>
      <c r="K225" s="73">
        <v>3149.12</v>
      </c>
      <c r="L225" s="575"/>
      <c r="M225" s="586"/>
      <c r="N225" s="570"/>
      <c r="O225" s="570"/>
      <c r="P225" s="587"/>
    </row>
    <row r="226" spans="2:16" ht="14.1" customHeight="1" outlineLevel="2">
      <c r="B226" s="434">
        <f t="shared" si="37"/>
        <v>6.0703012399999965</v>
      </c>
      <c r="C226" s="454" t="s">
        <v>1030</v>
      </c>
      <c r="D226" s="64" t="s">
        <v>161</v>
      </c>
      <c r="E226" s="87">
        <v>16.630000000000003</v>
      </c>
      <c r="F226" s="73">
        <v>5.8</v>
      </c>
      <c r="G226" s="81">
        <v>11.21</v>
      </c>
      <c r="H226" s="160">
        <v>47.84</v>
      </c>
      <c r="I226" s="160">
        <f t="shared" si="40"/>
        <v>96.45</v>
      </c>
      <c r="J226" s="150">
        <f t="shared" si="41"/>
        <v>186.42</v>
      </c>
      <c r="K226" s="73">
        <v>795.53</v>
      </c>
      <c r="L226" s="575"/>
      <c r="M226" s="586"/>
      <c r="N226" s="570"/>
      <c r="O226" s="570"/>
      <c r="P226" s="587"/>
    </row>
    <row r="227" spans="2:16" ht="20.45" customHeight="1" outlineLevel="3">
      <c r="B227" s="434">
        <f t="shared" si="37"/>
        <v>6.0703012499999964</v>
      </c>
      <c r="C227" s="456" t="s">
        <v>1031</v>
      </c>
      <c r="D227" s="64" t="s">
        <v>161</v>
      </c>
      <c r="E227" s="87">
        <v>52.57</v>
      </c>
      <c r="F227" s="73">
        <v>5.8</v>
      </c>
      <c r="G227" s="81">
        <v>11.21</v>
      </c>
      <c r="H227" s="160">
        <v>47.84</v>
      </c>
      <c r="I227" s="160">
        <f t="shared" si="40"/>
        <v>304.91000000000003</v>
      </c>
      <c r="J227" s="150">
        <f t="shared" si="41"/>
        <v>589.30999999999995</v>
      </c>
      <c r="K227" s="73">
        <v>2514.8200000000002</v>
      </c>
      <c r="L227" s="575"/>
      <c r="M227" s="586"/>
      <c r="N227" s="570"/>
      <c r="O227" s="570"/>
      <c r="P227" s="587"/>
    </row>
    <row r="228" spans="2:16" ht="14.1" customHeight="1" outlineLevel="3">
      <c r="B228" s="434">
        <f t="shared" si="37"/>
        <v>6.0703012599999964</v>
      </c>
      <c r="C228" s="453" t="s">
        <v>1032</v>
      </c>
      <c r="D228" s="64" t="s">
        <v>161</v>
      </c>
      <c r="E228" s="87">
        <v>28.28</v>
      </c>
      <c r="F228" s="73">
        <v>5.8</v>
      </c>
      <c r="G228" s="81">
        <v>11.21</v>
      </c>
      <c r="H228" s="160">
        <v>47.84</v>
      </c>
      <c r="I228" s="160">
        <f t="shared" si="40"/>
        <v>164.02</v>
      </c>
      <c r="J228" s="150">
        <f t="shared" si="41"/>
        <v>317.02</v>
      </c>
      <c r="K228" s="73">
        <v>1352.85</v>
      </c>
      <c r="L228" s="575"/>
      <c r="M228" s="586"/>
      <c r="N228" s="570"/>
      <c r="O228" s="570"/>
      <c r="P228" s="587"/>
    </row>
    <row r="229" spans="2:16" ht="14.1" customHeight="1" outlineLevel="1">
      <c r="B229" s="434">
        <f t="shared" si="37"/>
        <v>6.0703012699999963</v>
      </c>
      <c r="C229" s="454" t="s">
        <v>1033</v>
      </c>
      <c r="D229" s="64" t="s">
        <v>161</v>
      </c>
      <c r="E229" s="87">
        <v>34.700000000000003</v>
      </c>
      <c r="F229" s="73">
        <v>78</v>
      </c>
      <c r="G229" s="81"/>
      <c r="H229" s="160">
        <v>78</v>
      </c>
      <c r="I229" s="160">
        <f t="shared" si="40"/>
        <v>2706.6</v>
      </c>
      <c r="J229" s="150">
        <f t="shared" si="41"/>
        <v>0</v>
      </c>
      <c r="K229" s="73">
        <v>2706.6</v>
      </c>
      <c r="L229" s="536"/>
      <c r="M229" s="550"/>
      <c r="N229" s="94"/>
      <c r="O229" s="94"/>
      <c r="P229" s="588"/>
    </row>
    <row r="230" spans="2:16" ht="14.1" customHeight="1" outlineLevel="2">
      <c r="B230" s="434">
        <f t="shared" si="37"/>
        <v>6.0703012799999962</v>
      </c>
      <c r="C230" s="454" t="s">
        <v>1034</v>
      </c>
      <c r="D230" s="64" t="s">
        <v>161</v>
      </c>
      <c r="E230" s="87">
        <v>226.36999999999998</v>
      </c>
      <c r="F230" s="73">
        <v>198</v>
      </c>
      <c r="G230" s="81"/>
      <c r="H230" s="160">
        <v>198</v>
      </c>
      <c r="I230" s="160">
        <f t="shared" si="40"/>
        <v>44821.26</v>
      </c>
      <c r="J230" s="150">
        <f t="shared" si="41"/>
        <v>0</v>
      </c>
      <c r="K230" s="73">
        <v>44821.26</v>
      </c>
      <c r="L230" s="575"/>
      <c r="M230" s="586"/>
      <c r="N230" s="570"/>
      <c r="O230" s="570"/>
      <c r="P230" s="587"/>
    </row>
    <row r="231" spans="2:16" ht="14.1" customHeight="1" outlineLevel="3">
      <c r="B231" s="434">
        <f t="shared" si="37"/>
        <v>6.0703012899999962</v>
      </c>
      <c r="C231" s="453" t="s">
        <v>1035</v>
      </c>
      <c r="D231" s="64" t="s">
        <v>161</v>
      </c>
      <c r="E231" s="87">
        <v>34</v>
      </c>
      <c r="F231" s="73">
        <v>85</v>
      </c>
      <c r="G231" s="81"/>
      <c r="H231" s="160">
        <v>85</v>
      </c>
      <c r="I231" s="160">
        <f t="shared" si="40"/>
        <v>2890</v>
      </c>
      <c r="J231" s="150">
        <f t="shared" si="41"/>
        <v>0</v>
      </c>
      <c r="K231" s="73">
        <v>2890</v>
      </c>
      <c r="L231" s="575"/>
      <c r="M231" s="586"/>
      <c r="N231" s="570"/>
      <c r="O231" s="570"/>
      <c r="P231" s="587"/>
    </row>
    <row r="232" spans="2:16" ht="14.1" customHeight="1" outlineLevel="3">
      <c r="B232" s="164">
        <f>B180+0.01</f>
        <v>6.0799999999999983</v>
      </c>
      <c r="C232" s="473" t="s">
        <v>1036</v>
      </c>
      <c r="D232" s="64"/>
      <c r="E232" s="87"/>
      <c r="F232" s="73"/>
      <c r="G232" s="81"/>
      <c r="H232" s="160">
        <v>0</v>
      </c>
      <c r="I232" s="160">
        <f>+ROUND(E232*F232,2)</f>
        <v>0</v>
      </c>
      <c r="J232" s="150">
        <f>+ROUND(E232*G232,2)</f>
        <v>0</v>
      </c>
      <c r="K232" s="73">
        <v>0</v>
      </c>
      <c r="L232" s="537">
        <v>26975.804999999993</v>
      </c>
      <c r="M232" s="591"/>
      <c r="N232" s="571"/>
      <c r="O232" s="571"/>
      <c r="P232" s="592"/>
    </row>
    <row r="233" spans="2:16" ht="14.1" customHeight="1" outlineLevel="3">
      <c r="B233" s="434">
        <f t="shared" si="37"/>
        <v>6.0800000099999982</v>
      </c>
      <c r="C233" s="289" t="s">
        <v>1037</v>
      </c>
      <c r="D233" s="64" t="s">
        <v>46</v>
      </c>
      <c r="E233" s="87">
        <v>913.9</v>
      </c>
      <c r="F233" s="73">
        <v>5.5000000000000018</v>
      </c>
      <c r="G233" s="81">
        <v>3.43</v>
      </c>
      <c r="H233" s="160">
        <v>18.36</v>
      </c>
      <c r="I233" s="160">
        <f t="shared" ref="I233:I236" si="42">+ROUND(E233*F233,2)</f>
        <v>5026.45</v>
      </c>
      <c r="J233" s="150">
        <f t="shared" ref="J233:J236" si="43">+ROUND(E233*G233,2)</f>
        <v>3134.68</v>
      </c>
      <c r="K233" s="73">
        <v>16781.5</v>
      </c>
      <c r="L233" s="575"/>
      <c r="M233" s="586"/>
      <c r="N233" s="570"/>
      <c r="O233" s="570"/>
      <c r="P233" s="587"/>
    </row>
    <row r="234" spans="2:16" ht="14.1" customHeight="1" outlineLevel="3">
      <c r="B234" s="434">
        <f t="shared" si="37"/>
        <v>6.0800000199999982</v>
      </c>
      <c r="C234" s="289" t="s">
        <v>1038</v>
      </c>
      <c r="D234" s="64" t="s">
        <v>46</v>
      </c>
      <c r="E234" s="87">
        <v>449.02</v>
      </c>
      <c r="F234" s="73">
        <v>5.4999999999999991</v>
      </c>
      <c r="G234" s="81">
        <v>1.9</v>
      </c>
      <c r="H234" s="160">
        <v>12.63</v>
      </c>
      <c r="I234" s="160">
        <f t="shared" si="42"/>
        <v>2469.61</v>
      </c>
      <c r="J234" s="150">
        <f t="shared" si="43"/>
        <v>853.14</v>
      </c>
      <c r="K234" s="73">
        <v>5668.89</v>
      </c>
      <c r="L234" s="575"/>
      <c r="M234" s="586"/>
      <c r="N234" s="570"/>
      <c r="O234" s="570"/>
      <c r="P234" s="587"/>
    </row>
    <row r="235" spans="2:16" ht="14.1" customHeight="1" outlineLevel="3">
      <c r="B235" s="434">
        <f t="shared" si="37"/>
        <v>6.0800000299999981</v>
      </c>
      <c r="C235" s="289" t="s">
        <v>1039</v>
      </c>
      <c r="D235" s="64" t="s">
        <v>46</v>
      </c>
      <c r="E235" s="87">
        <v>345.03</v>
      </c>
      <c r="F235" s="73">
        <v>5.4999999999999991</v>
      </c>
      <c r="G235" s="81">
        <v>1.9</v>
      </c>
      <c r="H235" s="160">
        <v>12.63</v>
      </c>
      <c r="I235" s="160">
        <f t="shared" si="42"/>
        <v>1897.67</v>
      </c>
      <c r="J235" s="150">
        <f t="shared" si="43"/>
        <v>655.56</v>
      </c>
      <c r="K235" s="73">
        <v>4356.0200000000004</v>
      </c>
      <c r="L235" s="575"/>
      <c r="M235" s="586"/>
      <c r="N235" s="570"/>
      <c r="O235" s="570"/>
      <c r="P235" s="587"/>
    </row>
    <row r="236" spans="2:16" ht="14.1" customHeight="1" outlineLevel="3">
      <c r="B236" s="434">
        <f t="shared" si="37"/>
        <v>6.0800000399999981</v>
      </c>
      <c r="C236" s="287" t="s">
        <v>1040</v>
      </c>
      <c r="D236" s="64" t="s">
        <v>46</v>
      </c>
      <c r="E236" s="87">
        <v>8.8000000000000007</v>
      </c>
      <c r="F236" s="73">
        <v>19.25</v>
      </c>
      <c r="G236" s="81"/>
      <c r="H236" s="160">
        <v>19.25</v>
      </c>
      <c r="I236" s="160">
        <f t="shared" si="42"/>
        <v>169.4</v>
      </c>
      <c r="J236" s="150">
        <f t="shared" si="43"/>
        <v>0</v>
      </c>
      <c r="K236" s="73">
        <v>169.4</v>
      </c>
      <c r="L236" s="575"/>
      <c r="M236" s="586"/>
      <c r="N236" s="570"/>
      <c r="O236" s="570"/>
      <c r="P236" s="587"/>
    </row>
    <row r="237" spans="2:16" ht="13.5" customHeight="1">
      <c r="B237" s="164">
        <f>B232+0.01</f>
        <v>6.0899999999999981</v>
      </c>
      <c r="C237" s="279" t="s">
        <v>696</v>
      </c>
      <c r="D237" s="280"/>
      <c r="E237" s="93"/>
      <c r="F237" s="93" t="s">
        <v>7</v>
      </c>
      <c r="G237" s="69"/>
      <c r="H237" s="160"/>
      <c r="I237" s="160"/>
      <c r="J237" s="150"/>
      <c r="K237" s="73">
        <v>0</v>
      </c>
      <c r="L237" s="537">
        <v>412334.21999999986</v>
      </c>
      <c r="M237" s="591"/>
      <c r="N237" s="571"/>
      <c r="O237" s="571"/>
      <c r="P237" s="592"/>
    </row>
    <row r="238" spans="2:16" ht="14.1" customHeight="1" outlineLevel="1">
      <c r="B238" s="285">
        <f>B237+0.0001</f>
        <v>6.0900999999999978</v>
      </c>
      <c r="C238" s="282" t="s">
        <v>990</v>
      </c>
      <c r="D238" s="64"/>
      <c r="E238" s="87"/>
      <c r="F238" s="73" t="s">
        <v>7</v>
      </c>
      <c r="G238" s="65"/>
      <c r="H238" s="160"/>
      <c r="I238" s="160"/>
      <c r="J238" s="150"/>
      <c r="K238" s="73">
        <v>0</v>
      </c>
      <c r="L238" s="575"/>
      <c r="M238" s="586"/>
      <c r="N238" s="570"/>
      <c r="O238" s="570"/>
      <c r="P238" s="587"/>
    </row>
    <row r="239" spans="2:16" ht="14.1" customHeight="1" outlineLevel="1">
      <c r="B239" s="434">
        <f t="shared" ref="B239:B272" si="44">B238+0.00000001</f>
        <v>6.0901000099999978</v>
      </c>
      <c r="C239" s="452" t="s">
        <v>1004</v>
      </c>
      <c r="D239" s="437"/>
      <c r="E239" s="442"/>
      <c r="F239" s="73"/>
      <c r="G239" s="65"/>
      <c r="H239" s="160"/>
      <c r="I239" s="160"/>
      <c r="J239" s="150"/>
      <c r="K239" s="73">
        <v>0</v>
      </c>
      <c r="L239" s="575"/>
      <c r="M239" s="586"/>
      <c r="N239" s="570"/>
      <c r="O239" s="570"/>
      <c r="P239" s="587"/>
    </row>
    <row r="240" spans="2:16" ht="14.1" customHeight="1" outlineLevel="1">
      <c r="B240" s="434">
        <f t="shared" si="44"/>
        <v>6.0901000199999977</v>
      </c>
      <c r="C240" s="454" t="s">
        <v>1041</v>
      </c>
      <c r="D240" s="437" t="s">
        <v>161</v>
      </c>
      <c r="E240" s="442">
        <v>2993.15</v>
      </c>
      <c r="F240" s="73">
        <v>80.800000000000011</v>
      </c>
      <c r="G240" s="65"/>
      <c r="H240" s="160">
        <v>80.8</v>
      </c>
      <c r="I240" s="160">
        <f>+ROUND(E240*F240,2)</f>
        <v>241846.52</v>
      </c>
      <c r="J240" s="150">
        <f>+ROUND(E240*G240,2)</f>
        <v>0</v>
      </c>
      <c r="K240" s="73">
        <v>241846.52</v>
      </c>
      <c r="L240" s="575"/>
      <c r="M240" s="586"/>
      <c r="N240" s="570"/>
      <c r="O240" s="570"/>
      <c r="P240" s="587"/>
    </row>
    <row r="241" spans="2:16" ht="14.1" customHeight="1" outlineLevel="1">
      <c r="B241" s="434">
        <f t="shared" si="44"/>
        <v>6.0901000299999977</v>
      </c>
      <c r="C241" s="452" t="s">
        <v>1042</v>
      </c>
      <c r="D241" s="437"/>
      <c r="E241" s="442"/>
      <c r="F241" s="73" t="s">
        <v>7</v>
      </c>
      <c r="G241" s="65"/>
      <c r="H241" s="160"/>
      <c r="I241" s="160"/>
      <c r="J241" s="150"/>
      <c r="K241" s="73">
        <v>0</v>
      </c>
      <c r="L241" s="575"/>
      <c r="M241" s="586"/>
      <c r="N241" s="570"/>
      <c r="O241" s="570"/>
      <c r="P241" s="587"/>
    </row>
    <row r="242" spans="2:16" ht="14.1" customHeight="1" outlineLevel="1">
      <c r="B242" s="434">
        <f t="shared" si="44"/>
        <v>6.0901000399999976</v>
      </c>
      <c r="C242" s="454" t="s">
        <v>1043</v>
      </c>
      <c r="D242" s="437" t="s">
        <v>161</v>
      </c>
      <c r="E242" s="442">
        <v>473.45</v>
      </c>
      <c r="F242" s="73">
        <v>100.62999999999998</v>
      </c>
      <c r="G242" s="65"/>
      <c r="H242" s="160">
        <v>100.63</v>
      </c>
      <c r="I242" s="160">
        <f t="shared" ref="I242:I274" si="45">+ROUND(E242*F242,2)</f>
        <v>47643.27</v>
      </c>
      <c r="J242" s="150">
        <f t="shared" ref="J242:J274" si="46">+ROUND(E242*G242,2)</f>
        <v>0</v>
      </c>
      <c r="K242" s="73">
        <v>47643.27</v>
      </c>
      <c r="L242" s="575"/>
      <c r="M242" s="586"/>
      <c r="N242" s="570"/>
      <c r="O242" s="570"/>
      <c r="P242" s="587"/>
    </row>
    <row r="243" spans="2:16" ht="14.1" customHeight="1" outlineLevel="1">
      <c r="B243" s="434">
        <f t="shared" si="44"/>
        <v>6.0901000499999975</v>
      </c>
      <c r="C243" s="452" t="s">
        <v>1044</v>
      </c>
      <c r="D243" s="437"/>
      <c r="E243" s="442"/>
      <c r="F243" s="73"/>
      <c r="G243" s="65"/>
      <c r="H243" s="160">
        <v>0</v>
      </c>
      <c r="I243" s="160">
        <f t="shared" si="45"/>
        <v>0</v>
      </c>
      <c r="J243" s="150">
        <f t="shared" si="46"/>
        <v>0</v>
      </c>
      <c r="K243" s="73">
        <v>0</v>
      </c>
      <c r="L243" s="575"/>
      <c r="M243" s="586"/>
      <c r="N243" s="570"/>
      <c r="O243" s="570"/>
      <c r="P243" s="587"/>
    </row>
    <row r="244" spans="2:16" ht="14.1" customHeight="1" outlineLevel="1">
      <c r="B244" s="434">
        <f t="shared" si="44"/>
        <v>6.0901000599999975</v>
      </c>
      <c r="C244" s="43" t="s">
        <v>1045</v>
      </c>
      <c r="D244" s="437" t="s">
        <v>161</v>
      </c>
      <c r="E244" s="442">
        <v>884.93</v>
      </c>
      <c r="F244" s="73">
        <v>69.22</v>
      </c>
      <c r="G244" s="65"/>
      <c r="H244" s="160">
        <v>69.22</v>
      </c>
      <c r="I244" s="160">
        <f t="shared" si="45"/>
        <v>61254.85</v>
      </c>
      <c r="J244" s="150">
        <f t="shared" si="46"/>
        <v>0</v>
      </c>
      <c r="K244" s="73">
        <v>61254.85</v>
      </c>
      <c r="L244" s="575"/>
      <c r="M244" s="586"/>
      <c r="N244" s="570"/>
      <c r="O244" s="570"/>
      <c r="P244" s="587"/>
    </row>
    <row r="245" spans="2:16" ht="14.1" customHeight="1" outlineLevel="1">
      <c r="B245" s="434">
        <f t="shared" si="44"/>
        <v>6.0901000699999974</v>
      </c>
      <c r="C245" s="452" t="s">
        <v>1002</v>
      </c>
      <c r="D245" s="437"/>
      <c r="E245" s="442"/>
      <c r="F245" s="73"/>
      <c r="G245" s="65"/>
      <c r="H245" s="160">
        <v>0</v>
      </c>
      <c r="I245" s="160">
        <f t="shared" si="45"/>
        <v>0</v>
      </c>
      <c r="J245" s="150">
        <f t="shared" si="46"/>
        <v>0</v>
      </c>
      <c r="K245" s="73">
        <v>0</v>
      </c>
      <c r="L245" s="575"/>
      <c r="M245" s="586"/>
      <c r="N245" s="570"/>
      <c r="O245" s="570"/>
      <c r="P245" s="587"/>
    </row>
    <row r="246" spans="2:16" ht="14.1" customHeight="1" outlineLevel="1">
      <c r="B246" s="434">
        <f t="shared" si="44"/>
        <v>6.0901000799999974</v>
      </c>
      <c r="C246" s="452" t="s">
        <v>1004</v>
      </c>
      <c r="D246" s="437"/>
      <c r="E246" s="442"/>
      <c r="F246" s="73"/>
      <c r="G246" s="65"/>
      <c r="H246" s="160">
        <v>0</v>
      </c>
      <c r="I246" s="160">
        <f t="shared" si="45"/>
        <v>0</v>
      </c>
      <c r="J246" s="150">
        <f t="shared" si="46"/>
        <v>0</v>
      </c>
      <c r="K246" s="73">
        <v>0</v>
      </c>
      <c r="L246" s="575"/>
      <c r="M246" s="586"/>
      <c r="N246" s="570"/>
      <c r="O246" s="570"/>
      <c r="P246" s="587"/>
    </row>
    <row r="247" spans="2:16" ht="14.1" customHeight="1" outlineLevel="1">
      <c r="B247" s="434">
        <f t="shared" si="44"/>
        <v>6.0901000899999973</v>
      </c>
      <c r="C247" s="43" t="s">
        <v>1046</v>
      </c>
      <c r="D247" s="437" t="s">
        <v>161</v>
      </c>
      <c r="E247" s="442">
        <v>38.72</v>
      </c>
      <c r="F247" s="73">
        <v>74.100000000000009</v>
      </c>
      <c r="G247" s="65"/>
      <c r="H247" s="160">
        <v>74.099999999999994</v>
      </c>
      <c r="I247" s="160">
        <f t="shared" si="45"/>
        <v>2869.15</v>
      </c>
      <c r="J247" s="150">
        <f t="shared" si="46"/>
        <v>0</v>
      </c>
      <c r="K247" s="73">
        <v>2869.15</v>
      </c>
      <c r="L247" s="575"/>
      <c r="M247" s="586"/>
      <c r="N247" s="570"/>
      <c r="O247" s="570"/>
      <c r="P247" s="587"/>
    </row>
    <row r="248" spans="2:16" ht="14.1" customHeight="1" outlineLevel="1">
      <c r="B248" s="434">
        <f t="shared" si="44"/>
        <v>6.0901000999999972</v>
      </c>
      <c r="C248" s="282" t="s">
        <v>1006</v>
      </c>
      <c r="D248" s="437"/>
      <c r="E248" s="442"/>
      <c r="F248" s="73"/>
      <c r="G248" s="65"/>
      <c r="H248" s="160">
        <v>0</v>
      </c>
      <c r="I248" s="160">
        <f t="shared" si="45"/>
        <v>0</v>
      </c>
      <c r="J248" s="150">
        <f t="shared" si="46"/>
        <v>0</v>
      </c>
      <c r="K248" s="73">
        <v>0</v>
      </c>
      <c r="L248" s="575"/>
      <c r="M248" s="586"/>
      <c r="N248" s="570"/>
      <c r="O248" s="570"/>
      <c r="P248" s="587"/>
    </row>
    <row r="249" spans="2:16" ht="14.1" customHeight="1" outlineLevel="1">
      <c r="B249" s="434">
        <f t="shared" si="44"/>
        <v>6.0901001099999972</v>
      </c>
      <c r="C249" s="452" t="s">
        <v>1047</v>
      </c>
      <c r="D249" s="437"/>
      <c r="E249" s="442"/>
      <c r="F249" s="73"/>
      <c r="G249" s="65"/>
      <c r="H249" s="160">
        <v>0</v>
      </c>
      <c r="I249" s="160">
        <f t="shared" si="45"/>
        <v>0</v>
      </c>
      <c r="J249" s="150">
        <f t="shared" si="46"/>
        <v>0</v>
      </c>
      <c r="K249" s="73">
        <v>0</v>
      </c>
      <c r="L249" s="575"/>
      <c r="M249" s="586"/>
      <c r="N249" s="570"/>
      <c r="O249" s="570"/>
      <c r="P249" s="587"/>
    </row>
    <row r="250" spans="2:16" ht="14.1" customHeight="1" outlineLevel="1">
      <c r="B250" s="434">
        <f t="shared" si="44"/>
        <v>6.0901001199999971</v>
      </c>
      <c r="C250" s="454" t="s">
        <v>1048</v>
      </c>
      <c r="D250" s="437" t="s">
        <v>161</v>
      </c>
      <c r="E250" s="442">
        <v>0.99</v>
      </c>
      <c r="F250" s="73">
        <v>69.64</v>
      </c>
      <c r="G250" s="65"/>
      <c r="H250" s="160">
        <v>69.64</v>
      </c>
      <c r="I250" s="160">
        <f t="shared" si="45"/>
        <v>68.94</v>
      </c>
      <c r="J250" s="150">
        <f t="shared" si="46"/>
        <v>0</v>
      </c>
      <c r="K250" s="73">
        <v>68.94</v>
      </c>
      <c r="L250" s="575"/>
      <c r="M250" s="586"/>
      <c r="N250" s="570"/>
      <c r="O250" s="570"/>
      <c r="P250" s="587"/>
    </row>
    <row r="251" spans="2:16" ht="14.1" customHeight="1" outlineLevel="1">
      <c r="B251" s="434">
        <f t="shared" si="44"/>
        <v>6.0901001299999971</v>
      </c>
      <c r="C251" s="454" t="s">
        <v>1049</v>
      </c>
      <c r="D251" s="437" t="s">
        <v>161</v>
      </c>
      <c r="E251" s="442">
        <v>7.58</v>
      </c>
      <c r="F251" s="73">
        <v>74.100000000000009</v>
      </c>
      <c r="G251" s="65"/>
      <c r="H251" s="160">
        <v>74.099999999999994</v>
      </c>
      <c r="I251" s="160">
        <f t="shared" si="45"/>
        <v>561.67999999999995</v>
      </c>
      <c r="J251" s="150">
        <f t="shared" si="46"/>
        <v>0</v>
      </c>
      <c r="K251" s="73">
        <v>561.67999999999995</v>
      </c>
      <c r="L251" s="575"/>
      <c r="M251" s="586"/>
      <c r="N251" s="570"/>
      <c r="O251" s="570"/>
      <c r="P251" s="587"/>
    </row>
    <row r="252" spans="2:16" ht="14.1" customHeight="1" outlineLevel="1">
      <c r="B252" s="434">
        <f t="shared" si="44"/>
        <v>6.090100139999997</v>
      </c>
      <c r="C252" s="454" t="s">
        <v>1050</v>
      </c>
      <c r="D252" s="437" t="s">
        <v>161</v>
      </c>
      <c r="E252" s="442">
        <v>41.28</v>
      </c>
      <c r="F252" s="73">
        <v>74.100000000000009</v>
      </c>
      <c r="G252" s="65"/>
      <c r="H252" s="160">
        <v>74.099999999999994</v>
      </c>
      <c r="I252" s="160">
        <f t="shared" si="45"/>
        <v>3058.85</v>
      </c>
      <c r="J252" s="150">
        <f t="shared" si="46"/>
        <v>0</v>
      </c>
      <c r="K252" s="73">
        <v>3058.85</v>
      </c>
      <c r="L252" s="575"/>
      <c r="M252" s="586"/>
      <c r="N252" s="570"/>
      <c r="O252" s="570"/>
      <c r="P252" s="587"/>
    </row>
    <row r="253" spans="2:16" ht="14.1" customHeight="1" outlineLevel="1">
      <c r="B253" s="434">
        <f t="shared" si="44"/>
        <v>6.0901001499999969</v>
      </c>
      <c r="C253" s="454" t="s">
        <v>1051</v>
      </c>
      <c r="D253" s="437" t="s">
        <v>161</v>
      </c>
      <c r="E253" s="442">
        <v>10.43</v>
      </c>
      <c r="F253" s="73">
        <v>187.54</v>
      </c>
      <c r="G253" s="65"/>
      <c r="H253" s="160">
        <v>187.54</v>
      </c>
      <c r="I253" s="160">
        <f t="shared" si="45"/>
        <v>1956.04</v>
      </c>
      <c r="J253" s="150">
        <f t="shared" si="46"/>
        <v>0</v>
      </c>
      <c r="K253" s="73">
        <v>1956.04</v>
      </c>
      <c r="L253" s="575"/>
      <c r="M253" s="586"/>
      <c r="N253" s="570"/>
      <c r="O253" s="570"/>
      <c r="P253" s="587"/>
    </row>
    <row r="254" spans="2:16" ht="14.1" customHeight="1" outlineLevel="1">
      <c r="B254" s="434">
        <f t="shared" si="44"/>
        <v>6.0901001599999969</v>
      </c>
      <c r="C254" s="452" t="s">
        <v>187</v>
      </c>
      <c r="D254" s="437"/>
      <c r="E254" s="442"/>
      <c r="F254" s="73"/>
      <c r="G254" s="65"/>
      <c r="H254" s="160">
        <v>0</v>
      </c>
      <c r="I254" s="160">
        <f t="shared" si="45"/>
        <v>0</v>
      </c>
      <c r="J254" s="150">
        <f t="shared" si="46"/>
        <v>0</v>
      </c>
      <c r="K254" s="73">
        <v>0</v>
      </c>
      <c r="L254" s="575"/>
      <c r="M254" s="586"/>
      <c r="N254" s="570"/>
      <c r="O254" s="570"/>
      <c r="P254" s="587"/>
    </row>
    <row r="255" spans="2:16" ht="14.1" customHeight="1" outlineLevel="1">
      <c r="B255" s="434">
        <f t="shared" si="44"/>
        <v>6.0901001699999968</v>
      </c>
      <c r="C255" s="454" t="s">
        <v>1052</v>
      </c>
      <c r="D255" s="437" t="s">
        <v>161</v>
      </c>
      <c r="E255" s="442">
        <v>90.74</v>
      </c>
      <c r="F255" s="73">
        <v>85</v>
      </c>
      <c r="G255" s="65"/>
      <c r="H255" s="160">
        <v>85</v>
      </c>
      <c r="I255" s="160">
        <f t="shared" si="45"/>
        <v>7712.9</v>
      </c>
      <c r="J255" s="150">
        <f t="shared" si="46"/>
        <v>0</v>
      </c>
      <c r="K255" s="73">
        <v>7712.9</v>
      </c>
      <c r="L255" s="575"/>
      <c r="M255" s="586"/>
      <c r="N255" s="570"/>
      <c r="O255" s="570"/>
      <c r="P255" s="587"/>
    </row>
    <row r="256" spans="2:16" ht="14.1" customHeight="1" outlineLevel="1">
      <c r="B256" s="434">
        <f t="shared" si="44"/>
        <v>6.0901001799999968</v>
      </c>
      <c r="C256" s="454" t="s">
        <v>1053</v>
      </c>
      <c r="D256" s="437" t="s">
        <v>161</v>
      </c>
      <c r="E256" s="442">
        <v>16.5</v>
      </c>
      <c r="F256" s="73">
        <v>85</v>
      </c>
      <c r="G256" s="65"/>
      <c r="H256" s="160">
        <v>85</v>
      </c>
      <c r="I256" s="160">
        <f t="shared" si="45"/>
        <v>1402.5</v>
      </c>
      <c r="J256" s="150">
        <f t="shared" si="46"/>
        <v>0</v>
      </c>
      <c r="K256" s="73">
        <v>1402.5</v>
      </c>
      <c r="L256" s="575"/>
      <c r="M256" s="586"/>
      <c r="N256" s="570"/>
      <c r="O256" s="570"/>
      <c r="P256" s="587"/>
    </row>
    <row r="257" spans="2:16" ht="14.1" customHeight="1" outlineLevel="1">
      <c r="B257" s="434">
        <f t="shared" si="44"/>
        <v>6.0901001899999967</v>
      </c>
      <c r="C257" s="454" t="s">
        <v>1054</v>
      </c>
      <c r="D257" s="437" t="s">
        <v>161</v>
      </c>
      <c r="E257" s="442">
        <v>6.58</v>
      </c>
      <c r="F257" s="73">
        <v>85</v>
      </c>
      <c r="G257" s="65"/>
      <c r="H257" s="160">
        <v>85</v>
      </c>
      <c r="I257" s="160">
        <f t="shared" si="45"/>
        <v>559.29999999999995</v>
      </c>
      <c r="J257" s="150">
        <f t="shared" si="46"/>
        <v>0</v>
      </c>
      <c r="K257" s="73">
        <v>559.29999999999995</v>
      </c>
      <c r="L257" s="575"/>
      <c r="M257" s="586"/>
      <c r="N257" s="570"/>
      <c r="O257" s="570"/>
      <c r="P257" s="587"/>
    </row>
    <row r="258" spans="2:16" ht="14.1" customHeight="1" outlineLevel="1">
      <c r="B258" s="434">
        <f t="shared" si="44"/>
        <v>6.0901001999999966</v>
      </c>
      <c r="C258" s="454" t="s">
        <v>1055</v>
      </c>
      <c r="D258" s="437" t="s">
        <v>161</v>
      </c>
      <c r="E258" s="442">
        <v>24.2</v>
      </c>
      <c r="F258" s="73">
        <v>85</v>
      </c>
      <c r="G258" s="65"/>
      <c r="H258" s="160">
        <v>85</v>
      </c>
      <c r="I258" s="160">
        <f t="shared" si="45"/>
        <v>2057</v>
      </c>
      <c r="J258" s="150">
        <f t="shared" si="46"/>
        <v>0</v>
      </c>
      <c r="K258" s="73">
        <v>2057</v>
      </c>
      <c r="L258" s="575"/>
      <c r="M258" s="586"/>
      <c r="N258" s="570"/>
      <c r="O258" s="570"/>
      <c r="P258" s="587"/>
    </row>
    <row r="259" spans="2:16" ht="14.1" customHeight="1" outlineLevel="1">
      <c r="B259" s="434">
        <f t="shared" si="44"/>
        <v>6.0901002099999966</v>
      </c>
      <c r="C259" s="454" t="s">
        <v>1056</v>
      </c>
      <c r="D259" s="437" t="s">
        <v>161</v>
      </c>
      <c r="E259" s="442">
        <v>18.510000000000002</v>
      </c>
      <c r="F259" s="73">
        <v>85</v>
      </c>
      <c r="G259" s="65"/>
      <c r="H259" s="160">
        <v>85</v>
      </c>
      <c r="I259" s="160">
        <f t="shared" si="45"/>
        <v>1573.35</v>
      </c>
      <c r="J259" s="150">
        <f t="shared" si="46"/>
        <v>0</v>
      </c>
      <c r="K259" s="73">
        <v>1573.35</v>
      </c>
      <c r="L259" s="575"/>
      <c r="M259" s="586"/>
      <c r="N259" s="570"/>
      <c r="O259" s="570"/>
      <c r="P259" s="587"/>
    </row>
    <row r="260" spans="2:16" ht="14.1" customHeight="1" outlineLevel="1">
      <c r="B260" s="434">
        <f t="shared" si="44"/>
        <v>6.0901002199999965</v>
      </c>
      <c r="C260" s="454" t="s">
        <v>1057</v>
      </c>
      <c r="D260" s="437" t="s">
        <v>161</v>
      </c>
      <c r="E260" s="442">
        <v>25.299999999999997</v>
      </c>
      <c r="F260" s="73">
        <v>85</v>
      </c>
      <c r="G260" s="65"/>
      <c r="H260" s="160">
        <v>85</v>
      </c>
      <c r="I260" s="160">
        <f t="shared" si="45"/>
        <v>2150.5</v>
      </c>
      <c r="J260" s="150">
        <f t="shared" si="46"/>
        <v>0</v>
      </c>
      <c r="K260" s="73">
        <v>2150.5</v>
      </c>
      <c r="L260" s="575"/>
      <c r="M260" s="586"/>
      <c r="N260" s="570"/>
      <c r="O260" s="570"/>
      <c r="P260" s="587"/>
    </row>
    <row r="261" spans="2:16" ht="14.1" customHeight="1" outlineLevel="1">
      <c r="B261" s="434">
        <f t="shared" si="44"/>
        <v>6.0901002299999965</v>
      </c>
      <c r="C261" s="454" t="s">
        <v>704</v>
      </c>
      <c r="D261" s="437"/>
      <c r="E261" s="442"/>
      <c r="F261" s="73"/>
      <c r="G261" s="65"/>
      <c r="H261" s="160">
        <v>0</v>
      </c>
      <c r="I261" s="160">
        <f t="shared" si="45"/>
        <v>0</v>
      </c>
      <c r="J261" s="150">
        <f t="shared" si="46"/>
        <v>0</v>
      </c>
      <c r="K261" s="73">
        <v>0</v>
      </c>
      <c r="L261" s="575"/>
      <c r="M261" s="586"/>
      <c r="N261" s="570"/>
      <c r="O261" s="570"/>
      <c r="P261" s="587"/>
    </row>
    <row r="262" spans="2:16" ht="14.1" customHeight="1" outlineLevel="1">
      <c r="B262" s="434">
        <f t="shared" si="44"/>
        <v>6.0901002399999964</v>
      </c>
      <c r="C262" s="452" t="s">
        <v>1058</v>
      </c>
      <c r="D262" s="437"/>
      <c r="E262" s="442"/>
      <c r="F262" s="73"/>
      <c r="G262" s="65"/>
      <c r="H262" s="160">
        <v>0</v>
      </c>
      <c r="I262" s="160">
        <f t="shared" si="45"/>
        <v>0</v>
      </c>
      <c r="J262" s="150">
        <f t="shared" si="46"/>
        <v>0</v>
      </c>
      <c r="K262" s="73">
        <v>0</v>
      </c>
      <c r="L262" s="575"/>
      <c r="M262" s="586"/>
      <c r="N262" s="570"/>
      <c r="O262" s="570"/>
      <c r="P262" s="587"/>
    </row>
    <row r="263" spans="2:16" ht="14.1" customHeight="1" outlineLevel="1">
      <c r="B263" s="434">
        <f t="shared" si="44"/>
        <v>6.0901002499999963</v>
      </c>
      <c r="C263" s="43" t="s">
        <v>1059</v>
      </c>
      <c r="D263" s="437" t="s">
        <v>46</v>
      </c>
      <c r="E263" s="442">
        <v>2.63</v>
      </c>
      <c r="F263" s="73">
        <v>58.57</v>
      </c>
      <c r="G263" s="65"/>
      <c r="H263" s="160">
        <v>58.57</v>
      </c>
      <c r="I263" s="160">
        <f t="shared" si="45"/>
        <v>154.04</v>
      </c>
      <c r="J263" s="150">
        <f t="shared" si="46"/>
        <v>0</v>
      </c>
      <c r="K263" s="73">
        <v>154.04</v>
      </c>
      <c r="L263" s="575"/>
      <c r="M263" s="586"/>
      <c r="N263" s="570"/>
      <c r="O263" s="570"/>
      <c r="P263" s="587"/>
    </row>
    <row r="264" spans="2:16" ht="14.1" customHeight="1" outlineLevel="1">
      <c r="B264" s="434">
        <f t="shared" si="44"/>
        <v>6.0901002599999963</v>
      </c>
      <c r="C264" s="454" t="s">
        <v>1060</v>
      </c>
      <c r="D264" s="437" t="s">
        <v>46</v>
      </c>
      <c r="E264" s="442">
        <v>2.63</v>
      </c>
      <c r="F264" s="73">
        <v>59.71</v>
      </c>
      <c r="G264" s="65"/>
      <c r="H264" s="160">
        <v>59.71</v>
      </c>
      <c r="I264" s="160">
        <f t="shared" si="45"/>
        <v>157.04</v>
      </c>
      <c r="J264" s="150">
        <f t="shared" si="46"/>
        <v>0</v>
      </c>
      <c r="K264" s="73">
        <v>157.04</v>
      </c>
      <c r="L264" s="575"/>
      <c r="M264" s="586"/>
      <c r="N264" s="570"/>
      <c r="O264" s="570"/>
      <c r="P264" s="587"/>
    </row>
    <row r="265" spans="2:16" ht="14.1" customHeight="1" outlineLevel="1">
      <c r="B265" s="434">
        <f t="shared" si="44"/>
        <v>6.0901002699999962</v>
      </c>
      <c r="C265" s="454" t="s">
        <v>1061</v>
      </c>
      <c r="D265" s="437" t="s">
        <v>161</v>
      </c>
      <c r="E265" s="442">
        <v>4.41</v>
      </c>
      <c r="F265" s="73">
        <v>187.54</v>
      </c>
      <c r="G265" s="65"/>
      <c r="H265" s="160">
        <v>187.54</v>
      </c>
      <c r="I265" s="160">
        <f t="shared" si="45"/>
        <v>827.05</v>
      </c>
      <c r="J265" s="150">
        <f t="shared" si="46"/>
        <v>0</v>
      </c>
      <c r="K265" s="73">
        <v>827.05</v>
      </c>
      <c r="L265" s="575"/>
      <c r="M265" s="586"/>
      <c r="N265" s="570"/>
      <c r="O265" s="570"/>
      <c r="P265" s="587"/>
    </row>
    <row r="266" spans="2:16" ht="14.1" customHeight="1" outlineLevel="1">
      <c r="B266" s="434">
        <f t="shared" si="44"/>
        <v>6.0901002799999961</v>
      </c>
      <c r="C266" s="454" t="s">
        <v>1062</v>
      </c>
      <c r="D266" s="437" t="s">
        <v>46</v>
      </c>
      <c r="E266" s="442">
        <v>3.0700000000000003</v>
      </c>
      <c r="F266" s="73">
        <v>58.57</v>
      </c>
      <c r="G266" s="65"/>
      <c r="H266" s="160">
        <v>58.57</v>
      </c>
      <c r="I266" s="160">
        <f t="shared" si="45"/>
        <v>179.81</v>
      </c>
      <c r="J266" s="150">
        <f t="shared" si="46"/>
        <v>0</v>
      </c>
      <c r="K266" s="73">
        <v>179.81</v>
      </c>
      <c r="L266" s="575"/>
      <c r="M266" s="586"/>
      <c r="N266" s="570"/>
      <c r="O266" s="570"/>
      <c r="P266" s="587"/>
    </row>
    <row r="267" spans="2:16" ht="14.1" customHeight="1" outlineLevel="1">
      <c r="B267" s="434">
        <f t="shared" si="44"/>
        <v>6.0901002899999961</v>
      </c>
      <c r="C267" s="454" t="s">
        <v>1063</v>
      </c>
      <c r="D267" s="437" t="s">
        <v>46</v>
      </c>
      <c r="E267" s="442">
        <v>0.9</v>
      </c>
      <c r="F267" s="73">
        <v>59.71</v>
      </c>
      <c r="G267" s="65"/>
      <c r="H267" s="160">
        <v>59.71</v>
      </c>
      <c r="I267" s="160">
        <f t="shared" si="45"/>
        <v>53.74</v>
      </c>
      <c r="J267" s="150">
        <f t="shared" si="46"/>
        <v>0</v>
      </c>
      <c r="K267" s="73">
        <v>53.74</v>
      </c>
      <c r="L267" s="575"/>
      <c r="M267" s="586"/>
      <c r="N267" s="570"/>
      <c r="O267" s="570"/>
      <c r="P267" s="587"/>
    </row>
    <row r="268" spans="2:16" ht="14.1" customHeight="1" outlineLevel="1">
      <c r="B268" s="434">
        <f t="shared" si="44"/>
        <v>6.090100299999996</v>
      </c>
      <c r="C268" s="454" t="s">
        <v>1064</v>
      </c>
      <c r="D268" s="437" t="s">
        <v>46</v>
      </c>
      <c r="E268" s="442">
        <v>0.66</v>
      </c>
      <c r="F268" s="73">
        <v>58.57</v>
      </c>
      <c r="G268" s="65"/>
      <c r="H268" s="160">
        <v>58.57</v>
      </c>
      <c r="I268" s="160">
        <f t="shared" si="45"/>
        <v>38.659999999999997</v>
      </c>
      <c r="J268" s="150">
        <f t="shared" si="46"/>
        <v>0</v>
      </c>
      <c r="K268" s="73">
        <v>38.659999999999997</v>
      </c>
      <c r="L268" s="575"/>
      <c r="M268" s="586"/>
      <c r="N268" s="570"/>
      <c r="O268" s="570"/>
      <c r="P268" s="587"/>
    </row>
    <row r="269" spans="2:16" ht="14.1" customHeight="1" outlineLevel="1">
      <c r="B269" s="434">
        <f t="shared" si="44"/>
        <v>6.090100309999996</v>
      </c>
      <c r="C269" s="454" t="s">
        <v>1065</v>
      </c>
      <c r="D269" s="437" t="s">
        <v>46</v>
      </c>
      <c r="E269" s="442">
        <v>9.5500000000000007</v>
      </c>
      <c r="F269" s="73">
        <v>53.84</v>
      </c>
      <c r="G269" s="65"/>
      <c r="H269" s="160">
        <v>53.84</v>
      </c>
      <c r="I269" s="160">
        <f t="shared" si="45"/>
        <v>514.16999999999996</v>
      </c>
      <c r="J269" s="150">
        <f t="shared" si="46"/>
        <v>0</v>
      </c>
      <c r="K269" s="73">
        <v>514.16999999999996</v>
      </c>
      <c r="L269" s="575"/>
      <c r="M269" s="586"/>
      <c r="N269" s="570"/>
      <c r="O269" s="570"/>
      <c r="P269" s="587"/>
    </row>
    <row r="270" spans="2:16" ht="14.1" customHeight="1" outlineLevel="1">
      <c r="B270" s="434">
        <f t="shared" si="44"/>
        <v>6.0901003199999959</v>
      </c>
      <c r="C270" s="454" t="s">
        <v>1066</v>
      </c>
      <c r="D270" s="437" t="s">
        <v>161</v>
      </c>
      <c r="E270" s="442">
        <v>16.899999999999999</v>
      </c>
      <c r="F270" s="73">
        <v>162.62</v>
      </c>
      <c r="G270" s="65"/>
      <c r="H270" s="160">
        <v>162.62</v>
      </c>
      <c r="I270" s="160">
        <f t="shared" si="45"/>
        <v>2748.28</v>
      </c>
      <c r="J270" s="150">
        <f t="shared" si="46"/>
        <v>0</v>
      </c>
      <c r="K270" s="73">
        <v>2748.28</v>
      </c>
      <c r="L270" s="575"/>
      <c r="M270" s="586"/>
      <c r="N270" s="570"/>
      <c r="O270" s="570"/>
      <c r="P270" s="587"/>
    </row>
    <row r="271" spans="2:16" ht="14.1" customHeight="1" outlineLevel="1">
      <c r="B271" s="434">
        <f t="shared" si="44"/>
        <v>6.0901003299999958</v>
      </c>
      <c r="C271" s="457" t="s">
        <v>1067</v>
      </c>
      <c r="D271" s="458" t="s">
        <v>161</v>
      </c>
      <c r="E271" s="459">
        <v>83.31</v>
      </c>
      <c r="F271" s="231"/>
      <c r="G271" s="460"/>
      <c r="H271" s="186">
        <v>0</v>
      </c>
      <c r="I271" s="186">
        <f t="shared" si="45"/>
        <v>0</v>
      </c>
      <c r="J271" s="415">
        <f t="shared" si="46"/>
        <v>0</v>
      </c>
      <c r="K271" s="73">
        <v>0</v>
      </c>
      <c r="L271" s="575"/>
      <c r="M271" s="586"/>
      <c r="N271" s="570"/>
      <c r="O271" s="570"/>
      <c r="P271" s="587"/>
    </row>
    <row r="272" spans="2:16" ht="14.1" customHeight="1" outlineLevel="1">
      <c r="B272" s="434">
        <f t="shared" si="44"/>
        <v>6.0901003399999958</v>
      </c>
      <c r="C272" s="454" t="s">
        <v>1068</v>
      </c>
      <c r="D272" s="437" t="s">
        <v>161</v>
      </c>
      <c r="E272" s="442">
        <v>9.68</v>
      </c>
      <c r="F272" s="73">
        <v>1050.1400000000001</v>
      </c>
      <c r="G272" s="65"/>
      <c r="H272" s="160">
        <v>1050.1400000000001</v>
      </c>
      <c r="I272" s="160">
        <f t="shared" si="45"/>
        <v>10165.36</v>
      </c>
      <c r="J272" s="150">
        <f t="shared" si="46"/>
        <v>0</v>
      </c>
      <c r="K272" s="73">
        <v>10165.36</v>
      </c>
      <c r="L272" s="575"/>
      <c r="M272" s="586"/>
      <c r="N272" s="570"/>
      <c r="O272" s="570"/>
      <c r="P272" s="587"/>
    </row>
    <row r="273" spans="2:16" ht="14.1" customHeight="1" outlineLevel="1">
      <c r="B273" s="434">
        <f>B277+0.00000001</f>
        <v>6.1001010099999977</v>
      </c>
      <c r="C273" s="454" t="s">
        <v>1069</v>
      </c>
      <c r="D273" s="437" t="s">
        <v>1070</v>
      </c>
      <c r="E273" s="442">
        <v>538.02000000000032</v>
      </c>
      <c r="F273" s="73">
        <v>28.06</v>
      </c>
      <c r="G273" s="65"/>
      <c r="H273" s="160">
        <v>28.06</v>
      </c>
      <c r="I273" s="160">
        <f t="shared" si="45"/>
        <v>15096.84</v>
      </c>
      <c r="J273" s="150">
        <f t="shared" si="46"/>
        <v>0</v>
      </c>
      <c r="K273" s="73">
        <v>15096.84</v>
      </c>
      <c r="L273" s="575"/>
      <c r="M273" s="586"/>
      <c r="N273" s="570"/>
      <c r="O273" s="570"/>
      <c r="P273" s="587"/>
    </row>
    <row r="274" spans="2:16" ht="14.1" customHeight="1" outlineLevel="2">
      <c r="B274" s="434">
        <f>B272+0.00000001</f>
        <v>6.0901003499999957</v>
      </c>
      <c r="C274" s="454" t="s">
        <v>1071</v>
      </c>
      <c r="D274" s="437" t="s">
        <v>161</v>
      </c>
      <c r="E274" s="442">
        <v>38.81</v>
      </c>
      <c r="F274" s="73">
        <v>198</v>
      </c>
      <c r="G274" s="65"/>
      <c r="H274" s="160">
        <v>198</v>
      </c>
      <c r="I274" s="160">
        <f t="shared" si="45"/>
        <v>7684.38</v>
      </c>
      <c r="J274" s="150">
        <f t="shared" si="46"/>
        <v>0</v>
      </c>
      <c r="K274" s="73">
        <v>7684.38</v>
      </c>
      <c r="L274" s="575"/>
      <c r="M274" s="586"/>
      <c r="N274" s="570"/>
      <c r="O274" s="570"/>
      <c r="P274" s="587"/>
    </row>
    <row r="275" spans="2:16" ht="13.5" customHeight="1">
      <c r="B275" s="164">
        <f>B237+0.01</f>
        <v>6.0999999999999979</v>
      </c>
      <c r="C275" s="279" t="s">
        <v>704</v>
      </c>
      <c r="D275" s="280"/>
      <c r="E275" s="92"/>
      <c r="F275" s="93" t="s">
        <v>7</v>
      </c>
      <c r="G275" s="69"/>
      <c r="H275" s="160"/>
      <c r="I275" s="160"/>
      <c r="J275" s="150"/>
      <c r="K275" s="73">
        <v>0</v>
      </c>
      <c r="L275" s="537">
        <v>39429.980000000003</v>
      </c>
      <c r="M275" s="591"/>
      <c r="N275" s="571"/>
      <c r="O275" s="571"/>
      <c r="P275" s="592"/>
    </row>
    <row r="276" spans="2:16" ht="14.1" customHeight="1" outlineLevel="1">
      <c r="B276" s="285">
        <f>B275+0.0001</f>
        <v>6.1000999999999976</v>
      </c>
      <c r="C276" s="282" t="s">
        <v>990</v>
      </c>
      <c r="D276" s="64"/>
      <c r="E276" s="87"/>
      <c r="F276" s="73" t="s">
        <v>7</v>
      </c>
      <c r="G276" s="65"/>
      <c r="H276" s="160"/>
      <c r="I276" s="160"/>
      <c r="J276" s="150"/>
      <c r="K276" s="73">
        <v>0</v>
      </c>
      <c r="L276" s="575"/>
      <c r="M276" s="586"/>
      <c r="N276" s="570"/>
      <c r="O276" s="570"/>
      <c r="P276" s="587"/>
    </row>
    <row r="277" spans="2:16" ht="14.1" customHeight="1" outlineLevel="2">
      <c r="B277" s="104">
        <f>B276+0.000001</f>
        <v>6.1001009999999978</v>
      </c>
      <c r="C277" s="272" t="s">
        <v>1072</v>
      </c>
      <c r="D277" s="64" t="s">
        <v>46</v>
      </c>
      <c r="E277" s="87">
        <v>566.92999999999984</v>
      </c>
      <c r="F277" s="73">
        <v>69.55</v>
      </c>
      <c r="G277" s="65"/>
      <c r="H277" s="160">
        <v>69.55</v>
      </c>
      <c r="I277" s="160">
        <f t="shared" ref="I277" si="47">+ROUND(E277*F277,2)</f>
        <v>39429.980000000003</v>
      </c>
      <c r="J277" s="150">
        <f t="shared" ref="J277" si="48">+ROUND(E277*G277,2)</f>
        <v>0</v>
      </c>
      <c r="K277" s="73">
        <v>39429.980000000003</v>
      </c>
      <c r="L277" s="575"/>
      <c r="M277" s="586"/>
      <c r="N277" s="570"/>
      <c r="O277" s="570"/>
      <c r="P277" s="587"/>
    </row>
    <row r="278" spans="2:16" ht="13.5" customHeight="1">
      <c r="B278" s="164">
        <f>B275+0.01</f>
        <v>6.1099999999999977</v>
      </c>
      <c r="C278" s="279" t="s">
        <v>697</v>
      </c>
      <c r="D278" s="280"/>
      <c r="E278" s="92"/>
      <c r="F278" s="93" t="s">
        <v>7</v>
      </c>
      <c r="G278" s="69"/>
      <c r="H278" s="160"/>
      <c r="I278" s="160"/>
      <c r="J278" s="150"/>
      <c r="K278" s="73">
        <v>0</v>
      </c>
      <c r="L278" s="537">
        <v>414721.20500000002</v>
      </c>
      <c r="M278" s="591"/>
      <c r="N278" s="571"/>
      <c r="O278" s="571"/>
      <c r="P278" s="592"/>
    </row>
    <row r="279" spans="2:16" ht="14.1" customHeight="1" outlineLevel="1">
      <c r="B279" s="434">
        <f t="shared" ref="B279" si="49">B277+0.00000001</f>
        <v>6.1001010099999977</v>
      </c>
      <c r="C279" s="452" t="s">
        <v>990</v>
      </c>
      <c r="D279" s="437"/>
      <c r="E279" s="442"/>
      <c r="F279" s="73"/>
      <c r="G279" s="81"/>
      <c r="H279" s="251"/>
      <c r="I279" s="251"/>
      <c r="J279" s="252"/>
      <c r="K279" s="73">
        <v>0</v>
      </c>
      <c r="L279" s="538"/>
      <c r="M279" s="51"/>
      <c r="P279" s="545"/>
    </row>
    <row r="280" spans="2:16" ht="14.1" customHeight="1" outlineLevel="2">
      <c r="B280" s="434">
        <f t="shared" ref="B280:B301" si="50">B279+0.00000001</f>
        <v>6.1001010199999977</v>
      </c>
      <c r="C280" s="452" t="s">
        <v>1073</v>
      </c>
      <c r="D280" s="437"/>
      <c r="E280" s="442"/>
      <c r="F280" s="73"/>
      <c r="G280" s="81"/>
      <c r="H280" s="251"/>
      <c r="I280" s="251"/>
      <c r="J280" s="252"/>
      <c r="K280" s="73">
        <v>0</v>
      </c>
      <c r="L280" s="538"/>
      <c r="M280" s="51"/>
      <c r="P280" s="545"/>
    </row>
    <row r="281" spans="2:16" ht="14.1" customHeight="1" outlineLevel="3">
      <c r="B281" s="434">
        <f t="shared" si="50"/>
        <v>6.1001010299999976</v>
      </c>
      <c r="C281" s="52" t="s">
        <v>1074</v>
      </c>
      <c r="D281" s="437" t="s">
        <v>46</v>
      </c>
      <c r="E281" s="442">
        <v>11446.27</v>
      </c>
      <c r="F281" s="73">
        <v>5</v>
      </c>
      <c r="G281" s="81">
        <v>2.5299999999999998</v>
      </c>
      <c r="H281" s="160">
        <v>14.49</v>
      </c>
      <c r="I281" s="160">
        <f t="shared" ref="I281" si="51">+ROUND(E281*F281,2)</f>
        <v>57231.35</v>
      </c>
      <c r="J281" s="150">
        <f t="shared" ref="J281" si="52">+ROUND(E281*G281,2)</f>
        <v>28959.06</v>
      </c>
      <c r="K281" s="73">
        <v>165827.82999999999</v>
      </c>
      <c r="L281" s="538"/>
      <c r="M281" s="51"/>
      <c r="P281" s="545"/>
    </row>
    <row r="282" spans="2:16" ht="14.1" customHeight="1" outlineLevel="2">
      <c r="B282" s="434">
        <f t="shared" si="50"/>
        <v>6.1001010399999975</v>
      </c>
      <c r="C282" s="452" t="s">
        <v>994</v>
      </c>
      <c r="D282" s="437"/>
      <c r="E282" s="442"/>
      <c r="F282" s="73"/>
      <c r="G282" s="81"/>
      <c r="H282" s="251"/>
      <c r="I282" s="251"/>
      <c r="J282" s="252"/>
      <c r="K282" s="73">
        <v>0</v>
      </c>
      <c r="L282" s="538"/>
      <c r="M282" s="51"/>
      <c r="P282" s="545"/>
    </row>
    <row r="283" spans="2:16" ht="14.1" customHeight="1" outlineLevel="3">
      <c r="B283" s="434">
        <f t="shared" si="50"/>
        <v>6.1001010499999975</v>
      </c>
      <c r="C283" s="41" t="s">
        <v>1075</v>
      </c>
      <c r="D283" s="437" t="s">
        <v>46</v>
      </c>
      <c r="E283" s="442">
        <v>1810.26</v>
      </c>
      <c r="F283" s="73">
        <v>21.62</v>
      </c>
      <c r="G283" s="81"/>
      <c r="H283" s="160">
        <v>21.62</v>
      </c>
      <c r="I283" s="160">
        <f t="shared" ref="I283:I322" si="53">+ROUND(E283*F283,2)</f>
        <v>39137.82</v>
      </c>
      <c r="J283" s="150">
        <f t="shared" ref="J283:J322" si="54">+ROUND(E283*G283,2)</f>
        <v>0</v>
      </c>
      <c r="K283" s="73">
        <v>39137.82</v>
      </c>
      <c r="L283" s="538"/>
      <c r="M283" s="51"/>
      <c r="P283" s="545"/>
    </row>
    <row r="284" spans="2:16" ht="14.1" customHeight="1" outlineLevel="2">
      <c r="B284" s="434">
        <f t="shared" si="50"/>
        <v>6.1001010599999974</v>
      </c>
      <c r="C284" s="452" t="s">
        <v>1076</v>
      </c>
      <c r="D284" s="437"/>
      <c r="E284" s="442"/>
      <c r="F284" s="73"/>
      <c r="G284" s="81"/>
      <c r="H284" s="160">
        <v>0</v>
      </c>
      <c r="I284" s="160">
        <f t="shared" si="53"/>
        <v>0</v>
      </c>
      <c r="J284" s="150">
        <f t="shared" si="54"/>
        <v>0</v>
      </c>
      <c r="K284" s="73">
        <v>0</v>
      </c>
      <c r="L284" s="538"/>
      <c r="M284" s="51"/>
      <c r="P284" s="545"/>
    </row>
    <row r="285" spans="2:16" ht="14.1" customHeight="1" outlineLevel="3">
      <c r="B285" s="434">
        <f t="shared" si="50"/>
        <v>6.1001010699999973</v>
      </c>
      <c r="C285" s="43" t="s">
        <v>1077</v>
      </c>
      <c r="D285" s="437" t="s">
        <v>46</v>
      </c>
      <c r="E285" s="442">
        <v>1871.4299999999996</v>
      </c>
      <c r="F285" s="73">
        <v>33.46</v>
      </c>
      <c r="G285" s="81"/>
      <c r="H285" s="160">
        <v>33.46</v>
      </c>
      <c r="I285" s="160">
        <f t="shared" si="53"/>
        <v>62618.05</v>
      </c>
      <c r="J285" s="150">
        <f t="shared" si="54"/>
        <v>0</v>
      </c>
      <c r="K285" s="73">
        <v>62618.05</v>
      </c>
      <c r="L285" s="538"/>
      <c r="M285" s="51"/>
      <c r="P285" s="545"/>
    </row>
    <row r="286" spans="2:16" ht="14.1" customHeight="1" outlineLevel="2">
      <c r="B286" s="434">
        <f t="shared" si="50"/>
        <v>6.1001010799999973</v>
      </c>
      <c r="C286" s="452" t="s">
        <v>1078</v>
      </c>
      <c r="D286" s="437"/>
      <c r="E286" s="442"/>
      <c r="F286" s="73"/>
      <c r="G286" s="65"/>
      <c r="H286" s="160">
        <v>0</v>
      </c>
      <c r="I286" s="160">
        <f t="shared" si="53"/>
        <v>0</v>
      </c>
      <c r="J286" s="150">
        <f t="shared" si="54"/>
        <v>0</v>
      </c>
      <c r="K286" s="73">
        <v>0</v>
      </c>
      <c r="L286" s="575"/>
      <c r="M286" s="586"/>
      <c r="N286" s="570"/>
      <c r="O286" s="570"/>
      <c r="P286" s="587"/>
    </row>
    <row r="287" spans="2:16" ht="14.1" customHeight="1" outlineLevel="3">
      <c r="B287" s="434">
        <f t="shared" si="50"/>
        <v>6.1001010899999972</v>
      </c>
      <c r="C287" s="43" t="s">
        <v>1077</v>
      </c>
      <c r="D287" s="437" t="s">
        <v>46</v>
      </c>
      <c r="E287" s="442">
        <v>575.16</v>
      </c>
      <c r="F287" s="73">
        <v>33.46</v>
      </c>
      <c r="G287" s="81"/>
      <c r="H287" s="160">
        <v>33.46</v>
      </c>
      <c r="I287" s="160">
        <f t="shared" si="53"/>
        <v>19244.849999999999</v>
      </c>
      <c r="J287" s="150">
        <f t="shared" si="54"/>
        <v>0</v>
      </c>
      <c r="K287" s="73">
        <v>19244.849999999999</v>
      </c>
      <c r="L287" s="538"/>
      <c r="M287" s="51"/>
      <c r="P287" s="545"/>
    </row>
    <row r="288" spans="2:16" ht="14.1" customHeight="1" outlineLevel="1">
      <c r="B288" s="434">
        <f t="shared" si="50"/>
        <v>6.1001010999999972</v>
      </c>
      <c r="C288" s="452" t="s">
        <v>1079</v>
      </c>
      <c r="D288" s="437"/>
      <c r="E288" s="442"/>
      <c r="F288" s="73"/>
      <c r="G288" s="81"/>
      <c r="H288" s="160">
        <v>0</v>
      </c>
      <c r="I288" s="160">
        <f t="shared" si="53"/>
        <v>0</v>
      </c>
      <c r="J288" s="150">
        <f t="shared" si="54"/>
        <v>0</v>
      </c>
      <c r="K288" s="73">
        <v>0</v>
      </c>
      <c r="L288" s="538"/>
      <c r="M288" s="51"/>
      <c r="P288" s="545"/>
    </row>
    <row r="289" spans="2:16" ht="14.1" customHeight="1" outlineLevel="2">
      <c r="B289" s="434">
        <f t="shared" si="50"/>
        <v>6.1001011099999971</v>
      </c>
      <c r="C289" s="41" t="s">
        <v>1080</v>
      </c>
      <c r="D289" s="437" t="s">
        <v>46</v>
      </c>
      <c r="E289" s="442">
        <v>175.21</v>
      </c>
      <c r="F289" s="73">
        <v>22.36</v>
      </c>
      <c r="G289" s="65"/>
      <c r="H289" s="160">
        <v>22.36</v>
      </c>
      <c r="I289" s="160">
        <f t="shared" si="53"/>
        <v>3917.7</v>
      </c>
      <c r="J289" s="150">
        <f t="shared" si="54"/>
        <v>0</v>
      </c>
      <c r="K289" s="73">
        <v>3917.7</v>
      </c>
      <c r="L289" s="575"/>
      <c r="M289" s="586"/>
      <c r="N289" s="570"/>
      <c r="O289" s="570"/>
      <c r="P289" s="587"/>
    </row>
    <row r="290" spans="2:16" ht="14.1" customHeight="1" outlineLevel="3">
      <c r="B290" s="434">
        <f t="shared" si="50"/>
        <v>6.100101119999997</v>
      </c>
      <c r="C290" s="452" t="s">
        <v>1002</v>
      </c>
      <c r="D290" s="437"/>
      <c r="E290" s="442"/>
      <c r="F290" s="73"/>
      <c r="G290" s="65"/>
      <c r="H290" s="160">
        <v>0</v>
      </c>
      <c r="I290" s="160">
        <f t="shared" si="53"/>
        <v>0</v>
      </c>
      <c r="J290" s="150">
        <f t="shared" si="54"/>
        <v>0</v>
      </c>
      <c r="K290" s="73">
        <v>0</v>
      </c>
      <c r="L290" s="575"/>
      <c r="M290" s="586"/>
      <c r="N290" s="570"/>
      <c r="O290" s="570"/>
      <c r="P290" s="587"/>
    </row>
    <row r="291" spans="2:16" ht="14.1" customHeight="1" outlineLevel="2">
      <c r="B291" s="434">
        <f t="shared" si="50"/>
        <v>6.100101129999997</v>
      </c>
      <c r="C291" s="452" t="s">
        <v>1001</v>
      </c>
      <c r="D291" s="437"/>
      <c r="E291" s="442"/>
      <c r="F291" s="73"/>
      <c r="G291" s="65"/>
      <c r="H291" s="160">
        <v>0</v>
      </c>
      <c r="I291" s="160">
        <f t="shared" si="53"/>
        <v>0</v>
      </c>
      <c r="J291" s="150">
        <f t="shared" si="54"/>
        <v>0</v>
      </c>
      <c r="K291" s="73">
        <v>0</v>
      </c>
      <c r="L291" s="575"/>
      <c r="M291" s="586"/>
      <c r="N291" s="570"/>
      <c r="O291" s="570"/>
      <c r="P291" s="587"/>
    </row>
    <row r="292" spans="2:16" ht="14.1" customHeight="1" outlineLevel="3">
      <c r="B292" s="434">
        <f t="shared" si="50"/>
        <v>6.1001011399999969</v>
      </c>
      <c r="C292" s="453" t="s">
        <v>1081</v>
      </c>
      <c r="D292" s="437" t="s">
        <v>46</v>
      </c>
      <c r="E292" s="442">
        <v>25.759999999999998</v>
      </c>
      <c r="F292" s="73">
        <v>10.5</v>
      </c>
      <c r="G292" s="65"/>
      <c r="H292" s="160">
        <v>10.5</v>
      </c>
      <c r="I292" s="160">
        <f t="shared" si="53"/>
        <v>270.48</v>
      </c>
      <c r="J292" s="150">
        <f t="shared" si="54"/>
        <v>0</v>
      </c>
      <c r="K292" s="73">
        <v>270.48</v>
      </c>
      <c r="L292" s="575"/>
      <c r="M292" s="586"/>
      <c r="N292" s="570"/>
      <c r="O292" s="570"/>
      <c r="P292" s="587"/>
    </row>
    <row r="293" spans="2:16" ht="14.1" customHeight="1" outlineLevel="2">
      <c r="B293" s="434">
        <f t="shared" si="50"/>
        <v>6.1001011499999969</v>
      </c>
      <c r="C293" s="534" t="s">
        <v>1002</v>
      </c>
      <c r="D293" s="458"/>
      <c r="E293" s="459"/>
      <c r="F293" s="231"/>
      <c r="G293" s="460"/>
      <c r="H293" s="186">
        <v>0</v>
      </c>
      <c r="I293" s="186">
        <f t="shared" si="53"/>
        <v>0</v>
      </c>
      <c r="J293" s="415">
        <f t="shared" si="54"/>
        <v>0</v>
      </c>
      <c r="K293" s="73">
        <v>0</v>
      </c>
      <c r="L293" s="598"/>
      <c r="M293" s="606"/>
      <c r="N293" s="594"/>
      <c r="O293" s="594"/>
      <c r="P293" s="607"/>
    </row>
    <row r="294" spans="2:16" ht="14.1" customHeight="1" outlineLevel="3">
      <c r="B294" s="434">
        <f t="shared" si="50"/>
        <v>6.1001011599999968</v>
      </c>
      <c r="C294" s="455" t="s">
        <v>1082</v>
      </c>
      <c r="D294" s="458" t="s">
        <v>46</v>
      </c>
      <c r="E294" s="459">
        <v>124.23500000000001</v>
      </c>
      <c r="F294" s="231"/>
      <c r="G294" s="460"/>
      <c r="H294" s="186">
        <v>0</v>
      </c>
      <c r="I294" s="186">
        <f t="shared" si="53"/>
        <v>0</v>
      </c>
      <c r="J294" s="415">
        <f t="shared" si="54"/>
        <v>0</v>
      </c>
      <c r="K294" s="73">
        <v>0</v>
      </c>
      <c r="L294" s="598"/>
      <c r="M294" s="606"/>
      <c r="N294" s="594"/>
      <c r="O294" s="594"/>
      <c r="P294" s="607"/>
    </row>
    <row r="295" spans="2:16" ht="14.1" customHeight="1" outlineLevel="2">
      <c r="B295" s="434">
        <f t="shared" si="50"/>
        <v>6.1001011699999967</v>
      </c>
      <c r="C295" s="452" t="s">
        <v>1004</v>
      </c>
      <c r="D295" s="437"/>
      <c r="E295" s="442"/>
      <c r="F295" s="73"/>
      <c r="G295" s="65"/>
      <c r="H295" s="160">
        <v>0</v>
      </c>
      <c r="I295" s="160">
        <f t="shared" si="53"/>
        <v>0</v>
      </c>
      <c r="J295" s="150">
        <f t="shared" si="54"/>
        <v>0</v>
      </c>
      <c r="K295" s="73">
        <v>0</v>
      </c>
      <c r="L295" s="575"/>
      <c r="M295" s="586"/>
      <c r="N295" s="570"/>
      <c r="O295" s="570"/>
      <c r="P295" s="587"/>
    </row>
    <row r="296" spans="2:16" ht="14.1" customHeight="1" outlineLevel="3">
      <c r="B296" s="434">
        <f t="shared" si="50"/>
        <v>6.1001011799999967</v>
      </c>
      <c r="C296" s="41" t="s">
        <v>1083</v>
      </c>
      <c r="D296" s="437" t="s">
        <v>46</v>
      </c>
      <c r="E296" s="442">
        <v>36</v>
      </c>
      <c r="F296" s="73">
        <v>25.09</v>
      </c>
      <c r="G296" s="81"/>
      <c r="H296" s="160">
        <v>25.09</v>
      </c>
      <c r="I296" s="160">
        <f t="shared" si="53"/>
        <v>903.24</v>
      </c>
      <c r="J296" s="150">
        <f t="shared" si="54"/>
        <v>0</v>
      </c>
      <c r="K296" s="73">
        <v>903.24</v>
      </c>
      <c r="L296" s="575"/>
      <c r="M296" s="586"/>
      <c r="N296" s="570"/>
      <c r="O296" s="570"/>
      <c r="P296" s="587"/>
    </row>
    <row r="297" spans="2:16" ht="14.1" customHeight="1" outlineLevel="2">
      <c r="B297" s="434">
        <f t="shared" si="50"/>
        <v>6.1001011899999966</v>
      </c>
      <c r="C297" s="452" t="s">
        <v>1084</v>
      </c>
      <c r="D297" s="437"/>
      <c r="E297" s="442"/>
      <c r="F297" s="73"/>
      <c r="G297" s="65"/>
      <c r="H297" s="160">
        <v>0</v>
      </c>
      <c r="I297" s="160">
        <f t="shared" si="53"/>
        <v>0</v>
      </c>
      <c r="J297" s="150">
        <f t="shared" si="54"/>
        <v>0</v>
      </c>
      <c r="K297" s="73">
        <v>0</v>
      </c>
      <c r="L297" s="575"/>
      <c r="M297" s="586"/>
      <c r="N297" s="570"/>
      <c r="O297" s="570"/>
      <c r="P297" s="587"/>
    </row>
    <row r="298" spans="2:16" ht="14.1" customHeight="1" outlineLevel="3">
      <c r="B298" s="434">
        <f t="shared" si="50"/>
        <v>6.1001011999999966</v>
      </c>
      <c r="C298" s="452" t="s">
        <v>1085</v>
      </c>
      <c r="D298" s="437"/>
      <c r="E298" s="442"/>
      <c r="F298" s="73"/>
      <c r="G298" s="81"/>
      <c r="H298" s="160">
        <v>0</v>
      </c>
      <c r="I298" s="160">
        <f t="shared" si="53"/>
        <v>0</v>
      </c>
      <c r="J298" s="150">
        <f t="shared" si="54"/>
        <v>0</v>
      </c>
      <c r="K298" s="73">
        <v>0</v>
      </c>
      <c r="L298" s="575"/>
      <c r="M298" s="586"/>
      <c r="N298" s="570"/>
      <c r="O298" s="570"/>
      <c r="P298" s="587"/>
    </row>
    <row r="299" spans="2:16" ht="14.1" customHeight="1" outlineLevel="2">
      <c r="B299" s="434">
        <f t="shared" si="50"/>
        <v>6.1001012099999965</v>
      </c>
      <c r="C299" s="454" t="s">
        <v>1086</v>
      </c>
      <c r="D299" s="437" t="s">
        <v>46</v>
      </c>
      <c r="E299" s="442">
        <v>62.209999999999994</v>
      </c>
      <c r="F299" s="73">
        <v>100.91</v>
      </c>
      <c r="G299" s="65"/>
      <c r="H299" s="160">
        <v>100.91</v>
      </c>
      <c r="I299" s="160">
        <f t="shared" si="53"/>
        <v>6277.61</v>
      </c>
      <c r="J299" s="150">
        <f t="shared" si="54"/>
        <v>0</v>
      </c>
      <c r="K299" s="73">
        <v>6277.61</v>
      </c>
      <c r="L299" s="575"/>
      <c r="M299" s="586"/>
      <c r="N299" s="570"/>
      <c r="O299" s="570"/>
      <c r="P299" s="587"/>
    </row>
    <row r="300" spans="2:16" ht="14.1" customHeight="1" outlineLevel="2">
      <c r="B300" s="434">
        <f t="shared" si="50"/>
        <v>6.1001012199999964</v>
      </c>
      <c r="C300" s="452" t="s">
        <v>1087</v>
      </c>
      <c r="D300" s="437"/>
      <c r="E300" s="442"/>
      <c r="F300" s="73"/>
      <c r="G300" s="65"/>
      <c r="H300" s="160"/>
      <c r="I300" s="160"/>
      <c r="J300" s="150"/>
      <c r="K300" s="73">
        <v>0</v>
      </c>
      <c r="L300" s="575"/>
      <c r="M300" s="586"/>
      <c r="N300" s="570"/>
      <c r="O300" s="570"/>
      <c r="P300" s="587"/>
    </row>
    <row r="301" spans="2:16" ht="14.1" customHeight="1" outlineLevel="3">
      <c r="B301" s="434">
        <f t="shared" si="50"/>
        <v>6.1001012299999964</v>
      </c>
      <c r="C301" s="41" t="s">
        <v>1083</v>
      </c>
      <c r="D301" s="437" t="s">
        <v>46</v>
      </c>
      <c r="E301" s="442">
        <v>130.62</v>
      </c>
      <c r="F301" s="73">
        <v>25.09</v>
      </c>
      <c r="G301" s="81"/>
      <c r="H301" s="160">
        <v>25.09</v>
      </c>
      <c r="I301" s="160">
        <f t="shared" si="53"/>
        <v>3277.26</v>
      </c>
      <c r="J301" s="150">
        <f t="shared" si="54"/>
        <v>0</v>
      </c>
      <c r="K301" s="73">
        <v>3277.26</v>
      </c>
      <c r="L301" s="575"/>
      <c r="M301" s="586"/>
      <c r="N301" s="570"/>
      <c r="O301" s="570"/>
      <c r="P301" s="587"/>
    </row>
    <row r="302" spans="2:16" ht="14.1" customHeight="1" outlineLevel="3">
      <c r="B302" s="434">
        <f t="shared" ref="B302:B322" si="55">B301+0.00000001</f>
        <v>6.1001012399999963</v>
      </c>
      <c r="C302" s="452" t="s">
        <v>1088</v>
      </c>
      <c r="D302" s="437"/>
      <c r="E302" s="442"/>
      <c r="F302" s="73"/>
      <c r="G302" s="81"/>
      <c r="H302" s="160"/>
      <c r="I302" s="160"/>
      <c r="J302" s="150"/>
      <c r="K302" s="73">
        <v>0</v>
      </c>
      <c r="L302" s="575"/>
      <c r="M302" s="586"/>
      <c r="N302" s="570"/>
      <c r="O302" s="570"/>
      <c r="P302" s="587"/>
    </row>
    <row r="303" spans="2:16" ht="14.1" customHeight="1" outlineLevel="2">
      <c r="B303" s="434">
        <f t="shared" si="55"/>
        <v>6.1001012499999963</v>
      </c>
      <c r="C303" s="454" t="s">
        <v>1089</v>
      </c>
      <c r="D303" s="437" t="s">
        <v>46</v>
      </c>
      <c r="E303" s="442">
        <v>8.0300000000000011</v>
      </c>
      <c r="F303" s="73">
        <v>100.91</v>
      </c>
      <c r="G303" s="65"/>
      <c r="H303" s="160">
        <v>100.91</v>
      </c>
      <c r="I303" s="160">
        <f t="shared" si="53"/>
        <v>810.31</v>
      </c>
      <c r="J303" s="150">
        <f t="shared" si="54"/>
        <v>0</v>
      </c>
      <c r="K303" s="73">
        <v>810.31</v>
      </c>
      <c r="L303" s="575"/>
      <c r="M303" s="586"/>
      <c r="N303" s="570"/>
      <c r="O303" s="570"/>
      <c r="P303" s="587"/>
    </row>
    <row r="304" spans="2:16" ht="14.1" customHeight="1" outlineLevel="2">
      <c r="B304" s="434">
        <f t="shared" si="55"/>
        <v>6.1001012599999962</v>
      </c>
      <c r="C304" s="452" t="s">
        <v>1090</v>
      </c>
      <c r="D304" s="437"/>
      <c r="E304" s="442"/>
      <c r="F304" s="73"/>
      <c r="G304" s="65"/>
      <c r="H304" s="160"/>
      <c r="I304" s="160"/>
      <c r="J304" s="150"/>
      <c r="K304" s="73">
        <v>0</v>
      </c>
      <c r="L304" s="575"/>
      <c r="M304" s="586"/>
      <c r="N304" s="570"/>
      <c r="O304" s="570"/>
      <c r="P304" s="587"/>
    </row>
    <row r="305" spans="2:16" ht="14.1" customHeight="1" outlineLevel="3">
      <c r="B305" s="434">
        <f t="shared" si="55"/>
        <v>6.1001012699999961</v>
      </c>
      <c r="C305" s="41" t="s">
        <v>1083</v>
      </c>
      <c r="D305" s="437" t="s">
        <v>46</v>
      </c>
      <c r="E305" s="442">
        <v>39.909999999999997</v>
      </c>
      <c r="F305" s="73">
        <v>25.09</v>
      </c>
      <c r="G305" s="81"/>
      <c r="H305" s="160">
        <v>25.09</v>
      </c>
      <c r="I305" s="160">
        <f t="shared" si="53"/>
        <v>1001.34</v>
      </c>
      <c r="J305" s="150">
        <f t="shared" si="54"/>
        <v>0</v>
      </c>
      <c r="K305" s="73">
        <v>1001.34</v>
      </c>
      <c r="L305" s="575"/>
      <c r="M305" s="586"/>
      <c r="N305" s="570"/>
      <c r="O305" s="570"/>
      <c r="P305" s="587"/>
    </row>
    <row r="306" spans="2:16" ht="14.1" customHeight="1" outlineLevel="3">
      <c r="B306" s="434">
        <f t="shared" si="55"/>
        <v>6.1001012799999961</v>
      </c>
      <c r="C306" s="452" t="s">
        <v>1044</v>
      </c>
      <c r="D306" s="437"/>
      <c r="E306" s="442"/>
      <c r="F306" s="73"/>
      <c r="G306" s="81"/>
      <c r="H306" s="160"/>
      <c r="I306" s="160"/>
      <c r="J306" s="150"/>
      <c r="K306" s="73">
        <v>0</v>
      </c>
      <c r="L306" s="575"/>
      <c r="M306" s="586"/>
      <c r="N306" s="570"/>
      <c r="O306" s="570"/>
      <c r="P306" s="587"/>
    </row>
    <row r="307" spans="2:16" ht="14.1" customHeight="1" outlineLevel="2">
      <c r="B307" s="434">
        <f t="shared" si="55"/>
        <v>6.100101289999996</v>
      </c>
      <c r="C307" s="454" t="s">
        <v>1091</v>
      </c>
      <c r="D307" s="437" t="s">
        <v>46</v>
      </c>
      <c r="E307" s="442">
        <v>17.12</v>
      </c>
      <c r="F307" s="73">
        <v>39.049999999999997</v>
      </c>
      <c r="G307" s="65"/>
      <c r="H307" s="160">
        <v>39.049999999999997</v>
      </c>
      <c r="I307" s="160">
        <f t="shared" si="53"/>
        <v>668.54</v>
      </c>
      <c r="J307" s="150">
        <f t="shared" si="54"/>
        <v>0</v>
      </c>
      <c r="K307" s="73">
        <v>668.54</v>
      </c>
      <c r="L307" s="575"/>
      <c r="M307" s="586"/>
      <c r="N307" s="570"/>
      <c r="O307" s="570"/>
      <c r="P307" s="587"/>
    </row>
    <row r="308" spans="2:16" ht="14.1" customHeight="1" outlineLevel="2">
      <c r="B308" s="434">
        <f t="shared" si="55"/>
        <v>6.100101299999996</v>
      </c>
      <c r="C308" s="452" t="s">
        <v>1092</v>
      </c>
      <c r="D308" s="437"/>
      <c r="E308" s="442"/>
      <c r="F308" s="73"/>
      <c r="G308" s="65"/>
      <c r="H308" s="160"/>
      <c r="I308" s="160"/>
      <c r="J308" s="150"/>
      <c r="K308" s="73">
        <v>0</v>
      </c>
      <c r="L308" s="575"/>
      <c r="M308" s="586"/>
      <c r="N308" s="570"/>
      <c r="O308" s="570"/>
      <c r="P308" s="587"/>
    </row>
    <row r="309" spans="2:16" ht="14.1" customHeight="1" outlineLevel="3">
      <c r="B309" s="434">
        <f t="shared" si="55"/>
        <v>6.1001013099999959</v>
      </c>
      <c r="C309" s="454" t="s">
        <v>1091</v>
      </c>
      <c r="D309" s="437" t="s">
        <v>46</v>
      </c>
      <c r="E309" s="442">
        <v>124.75</v>
      </c>
      <c r="F309" s="73">
        <v>39.049999999999997</v>
      </c>
      <c r="G309" s="65"/>
      <c r="H309" s="160">
        <v>39.049999999999997</v>
      </c>
      <c r="I309" s="160">
        <f>+ROUND(E309*F309,2)</f>
        <v>4871.49</v>
      </c>
      <c r="J309" s="150">
        <f t="shared" si="54"/>
        <v>0</v>
      </c>
      <c r="K309" s="73">
        <v>4871.49</v>
      </c>
      <c r="L309" s="575"/>
      <c r="M309" s="586"/>
      <c r="N309" s="570"/>
      <c r="O309" s="570"/>
      <c r="P309" s="587"/>
    </row>
    <row r="310" spans="2:16" ht="14.1" customHeight="1" outlineLevel="2">
      <c r="B310" s="434">
        <f t="shared" si="55"/>
        <v>6.1001013199999958</v>
      </c>
      <c r="C310" s="454" t="s">
        <v>1093</v>
      </c>
      <c r="D310" s="437" t="s">
        <v>46</v>
      </c>
      <c r="E310" s="442">
        <v>10.399999999999999</v>
      </c>
      <c r="F310" s="73">
        <v>39.049999999999997</v>
      </c>
      <c r="G310" s="65"/>
      <c r="H310" s="160">
        <v>39.049999999999997</v>
      </c>
      <c r="I310" s="160">
        <f>+ROUND(E310*F310,2)</f>
        <v>406.12</v>
      </c>
      <c r="J310" s="150">
        <f t="shared" si="54"/>
        <v>0</v>
      </c>
      <c r="K310" s="73">
        <v>406.12</v>
      </c>
      <c r="L310" s="575"/>
      <c r="M310" s="586"/>
      <c r="N310" s="570"/>
      <c r="O310" s="570"/>
      <c r="P310" s="587"/>
    </row>
    <row r="311" spans="2:16" ht="14.1" customHeight="1" outlineLevel="3">
      <c r="B311" s="434">
        <f t="shared" si="55"/>
        <v>6.1001013299999958</v>
      </c>
      <c r="C311" s="453" t="s">
        <v>1094</v>
      </c>
      <c r="D311" s="437" t="s">
        <v>46</v>
      </c>
      <c r="E311" s="442">
        <v>20.96</v>
      </c>
      <c r="F311" s="73">
        <v>39.049999999999997</v>
      </c>
      <c r="G311" s="65"/>
      <c r="H311" s="160">
        <v>39.049999999999997</v>
      </c>
      <c r="I311" s="160">
        <f>+ROUND(E311*F311,2)</f>
        <v>818.49</v>
      </c>
      <c r="J311" s="150">
        <f t="shared" si="54"/>
        <v>0</v>
      </c>
      <c r="K311" s="73">
        <v>818.49</v>
      </c>
      <c r="L311" s="575"/>
      <c r="M311" s="586"/>
      <c r="N311" s="570"/>
      <c r="O311" s="570"/>
      <c r="P311" s="587"/>
    </row>
    <row r="312" spans="2:16" ht="14.1" customHeight="1" outlineLevel="1">
      <c r="B312" s="434">
        <f t="shared" si="55"/>
        <v>6.1001013399999957</v>
      </c>
      <c r="C312" s="452" t="s">
        <v>187</v>
      </c>
      <c r="D312" s="437"/>
      <c r="E312" s="442"/>
      <c r="F312" s="73"/>
      <c r="G312" s="65"/>
      <c r="H312" s="160">
        <v>0</v>
      </c>
      <c r="I312" s="160">
        <f t="shared" si="53"/>
        <v>0</v>
      </c>
      <c r="J312" s="150">
        <f t="shared" si="54"/>
        <v>0</v>
      </c>
      <c r="K312" s="73">
        <v>0</v>
      </c>
      <c r="L312" s="536"/>
      <c r="M312" s="550"/>
      <c r="N312" s="94"/>
      <c r="O312" s="94"/>
      <c r="P312" s="588"/>
    </row>
    <row r="313" spans="2:16" ht="14.1" customHeight="1" outlineLevel="2">
      <c r="B313" s="434">
        <f t="shared" si="55"/>
        <v>6.1001013499999956</v>
      </c>
      <c r="C313" s="454" t="s">
        <v>1095</v>
      </c>
      <c r="D313" s="437" t="s">
        <v>46</v>
      </c>
      <c r="E313" s="442">
        <v>184.79</v>
      </c>
      <c r="F313" s="73">
        <v>25.09</v>
      </c>
      <c r="G313" s="65"/>
      <c r="H313" s="160">
        <v>25.09</v>
      </c>
      <c r="I313" s="160">
        <f t="shared" si="53"/>
        <v>4636.38</v>
      </c>
      <c r="J313" s="150">
        <f t="shared" si="54"/>
        <v>0</v>
      </c>
      <c r="K313" s="73">
        <v>4636.38</v>
      </c>
      <c r="L313" s="575"/>
      <c r="M313" s="586"/>
      <c r="N313" s="570"/>
      <c r="O313" s="570"/>
      <c r="P313" s="587"/>
    </row>
    <row r="314" spans="2:16" ht="14.1" customHeight="1" outlineLevel="3">
      <c r="B314" s="434">
        <f t="shared" si="55"/>
        <v>6.1001013599999956</v>
      </c>
      <c r="C314" s="453" t="s">
        <v>1096</v>
      </c>
      <c r="D314" s="437" t="s">
        <v>46</v>
      </c>
      <c r="E314" s="442">
        <v>32.57</v>
      </c>
      <c r="F314" s="73">
        <v>10.5</v>
      </c>
      <c r="G314" s="65"/>
      <c r="H314" s="160">
        <v>10.5</v>
      </c>
      <c r="I314" s="160">
        <f t="shared" si="53"/>
        <v>341.99</v>
      </c>
      <c r="J314" s="150">
        <f t="shared" si="54"/>
        <v>0</v>
      </c>
      <c r="K314" s="73">
        <v>341.99</v>
      </c>
      <c r="L314" s="575"/>
      <c r="M314" s="586"/>
      <c r="N314" s="570"/>
      <c r="O314" s="570"/>
      <c r="P314" s="587"/>
    </row>
    <row r="315" spans="2:16" ht="14.1" customHeight="1" outlineLevel="2">
      <c r="B315" s="434">
        <f t="shared" si="55"/>
        <v>6.1001013699999955</v>
      </c>
      <c r="C315" s="454" t="s">
        <v>1097</v>
      </c>
      <c r="D315" s="437" t="s">
        <v>46</v>
      </c>
      <c r="E315" s="442">
        <v>1087.78</v>
      </c>
      <c r="F315" s="73">
        <v>10.5</v>
      </c>
      <c r="G315" s="65"/>
      <c r="H315" s="160">
        <v>10.5</v>
      </c>
      <c r="I315" s="160">
        <f t="shared" si="53"/>
        <v>11421.69</v>
      </c>
      <c r="J315" s="150">
        <f t="shared" si="54"/>
        <v>0</v>
      </c>
      <c r="K315" s="73">
        <v>11421.69</v>
      </c>
      <c r="L315" s="575"/>
      <c r="M315" s="586"/>
      <c r="N315" s="570"/>
      <c r="O315" s="570"/>
      <c r="P315" s="587"/>
    </row>
    <row r="316" spans="2:16" ht="14.1" customHeight="1" outlineLevel="3">
      <c r="B316" s="434">
        <f t="shared" si="55"/>
        <v>6.1001013799999955</v>
      </c>
      <c r="C316" s="453" t="s">
        <v>1098</v>
      </c>
      <c r="D316" s="437" t="s">
        <v>46</v>
      </c>
      <c r="E316" s="442">
        <v>2096.1800000000003</v>
      </c>
      <c r="F316" s="73">
        <v>33.46</v>
      </c>
      <c r="G316" s="65"/>
      <c r="H316" s="160">
        <v>33.46</v>
      </c>
      <c r="I316" s="160">
        <f t="shared" si="53"/>
        <v>70138.179999999993</v>
      </c>
      <c r="J316" s="150">
        <f t="shared" si="54"/>
        <v>0</v>
      </c>
      <c r="K316" s="73">
        <v>70138.179999999993</v>
      </c>
      <c r="L316" s="575"/>
      <c r="M316" s="586"/>
      <c r="N316" s="570"/>
      <c r="O316" s="570"/>
      <c r="P316" s="587"/>
    </row>
    <row r="317" spans="2:16" ht="14.1" customHeight="1" outlineLevel="2">
      <c r="B317" s="434">
        <f>B316+0.00000001</f>
        <v>6.1001013899999954</v>
      </c>
      <c r="C317" s="454" t="s">
        <v>1099</v>
      </c>
      <c r="D317" s="437" t="s">
        <v>46</v>
      </c>
      <c r="E317" s="442">
        <v>19.68</v>
      </c>
      <c r="F317" s="73">
        <v>33.46</v>
      </c>
      <c r="G317" s="65"/>
      <c r="H317" s="160">
        <v>33.46</v>
      </c>
      <c r="I317" s="160">
        <f t="shared" si="53"/>
        <v>658.49</v>
      </c>
      <c r="J317" s="150">
        <f t="shared" si="54"/>
        <v>0</v>
      </c>
      <c r="K317" s="73">
        <v>658.49</v>
      </c>
      <c r="L317" s="575"/>
      <c r="M317" s="586"/>
      <c r="N317" s="570"/>
      <c r="O317" s="570"/>
      <c r="P317" s="587"/>
    </row>
    <row r="318" spans="2:16" ht="14.1" customHeight="1" outlineLevel="3">
      <c r="B318" s="434">
        <f t="shared" si="55"/>
        <v>6.1001013999999953</v>
      </c>
      <c r="C318" s="453" t="s">
        <v>1100</v>
      </c>
      <c r="D318" s="437" t="s">
        <v>46</v>
      </c>
      <c r="E318" s="442">
        <v>54.109999999999992</v>
      </c>
      <c r="F318" s="461">
        <v>55</v>
      </c>
      <c r="G318" s="65"/>
      <c r="H318" s="160">
        <v>55</v>
      </c>
      <c r="I318" s="160">
        <f t="shared" si="53"/>
        <v>2976.05</v>
      </c>
      <c r="J318" s="150">
        <f t="shared" si="54"/>
        <v>0</v>
      </c>
      <c r="K318" s="73">
        <v>2976.05</v>
      </c>
      <c r="L318" s="575"/>
      <c r="M318" s="586"/>
      <c r="N318" s="570"/>
      <c r="O318" s="570"/>
      <c r="P318" s="587"/>
    </row>
    <row r="319" spans="2:16" ht="14.1" customHeight="1" outlineLevel="2">
      <c r="B319" s="434">
        <f t="shared" si="55"/>
        <v>6.1001014099999953</v>
      </c>
      <c r="C319" s="454" t="s">
        <v>1101</v>
      </c>
      <c r="D319" s="437" t="s">
        <v>46</v>
      </c>
      <c r="E319" s="442">
        <v>52.06</v>
      </c>
      <c r="F319" s="407">
        <v>55</v>
      </c>
      <c r="G319" s="65"/>
      <c r="H319" s="160">
        <v>55</v>
      </c>
      <c r="I319" s="160">
        <f t="shared" si="53"/>
        <v>2863.3</v>
      </c>
      <c r="J319" s="150">
        <f t="shared" si="54"/>
        <v>0</v>
      </c>
      <c r="K319" s="73">
        <v>2863.3</v>
      </c>
      <c r="L319" s="575"/>
      <c r="M319" s="586"/>
      <c r="N319" s="570"/>
      <c r="O319" s="570"/>
      <c r="P319" s="587"/>
    </row>
    <row r="320" spans="2:16" ht="14.1" customHeight="1" outlineLevel="3">
      <c r="B320" s="434">
        <f t="shared" si="55"/>
        <v>6.1001014199999952</v>
      </c>
      <c r="C320" s="453" t="s">
        <v>1102</v>
      </c>
      <c r="D320" s="437" t="s">
        <v>46</v>
      </c>
      <c r="E320" s="442">
        <v>40.380000000000003</v>
      </c>
      <c r="F320" s="461">
        <v>55</v>
      </c>
      <c r="G320" s="65"/>
      <c r="H320" s="160">
        <v>55</v>
      </c>
      <c r="I320" s="160">
        <f t="shared" si="53"/>
        <v>2220.9</v>
      </c>
      <c r="J320" s="150">
        <f t="shared" si="54"/>
        <v>0</v>
      </c>
      <c r="K320" s="73">
        <v>2220.9</v>
      </c>
      <c r="L320" s="575"/>
      <c r="M320" s="586"/>
      <c r="N320" s="570"/>
      <c r="O320" s="570"/>
      <c r="P320" s="587"/>
    </row>
    <row r="321" spans="1:16" ht="14.1" customHeight="1" outlineLevel="1">
      <c r="B321" s="434">
        <f t="shared" si="55"/>
        <v>6.1001014299999952</v>
      </c>
      <c r="C321" s="52" t="s">
        <v>1103</v>
      </c>
      <c r="D321" s="437" t="s">
        <v>46</v>
      </c>
      <c r="E321" s="442">
        <v>21.25</v>
      </c>
      <c r="F321" s="73">
        <v>5</v>
      </c>
      <c r="G321" s="65">
        <v>2.5299999999999998</v>
      </c>
      <c r="H321" s="160">
        <v>14.49</v>
      </c>
      <c r="I321" s="160">
        <f t="shared" si="53"/>
        <v>106.25</v>
      </c>
      <c r="J321" s="150">
        <f t="shared" si="54"/>
        <v>53.76</v>
      </c>
      <c r="K321" s="73">
        <v>307.85000000000002</v>
      </c>
      <c r="L321" s="536"/>
      <c r="M321" s="550"/>
      <c r="N321" s="94"/>
      <c r="O321" s="94"/>
      <c r="P321" s="588"/>
    </row>
    <row r="322" spans="1:16" ht="14.1" customHeight="1" outlineLevel="2">
      <c r="B322" s="434">
        <f t="shared" si="55"/>
        <v>6.1001014399999951</v>
      </c>
      <c r="C322" s="454" t="s">
        <v>1104</v>
      </c>
      <c r="D322" s="437" t="s">
        <v>46</v>
      </c>
      <c r="E322" s="442">
        <v>52.03</v>
      </c>
      <c r="F322" s="73">
        <v>175</v>
      </c>
      <c r="G322" s="65"/>
      <c r="H322" s="160">
        <v>175</v>
      </c>
      <c r="I322" s="160">
        <f t="shared" si="53"/>
        <v>9105.25</v>
      </c>
      <c r="J322" s="150">
        <f t="shared" si="54"/>
        <v>0</v>
      </c>
      <c r="K322" s="73">
        <v>9105.25</v>
      </c>
      <c r="L322" s="575"/>
      <c r="M322" s="586"/>
      <c r="N322" s="570"/>
      <c r="O322" s="570"/>
      <c r="P322" s="587"/>
    </row>
    <row r="323" spans="1:16" ht="14.1" customHeight="1">
      <c r="A323" s="4"/>
      <c r="B323" s="164">
        <f>'ARQ SOT'!B89+0.01</f>
        <v>5.0403999999999982</v>
      </c>
      <c r="C323" s="304" t="s">
        <v>1105</v>
      </c>
      <c r="D323" s="280"/>
      <c r="E323" s="424"/>
      <c r="F323" s="93"/>
      <c r="G323" s="69"/>
      <c r="H323" s="160">
        <v>0</v>
      </c>
      <c r="I323" s="160">
        <f>+ROUND(E323*F323,2)</f>
        <v>0</v>
      </c>
      <c r="J323" s="150">
        <f>+ROUND(E323*G323,2)</f>
        <v>0</v>
      </c>
      <c r="K323" s="73">
        <v>0</v>
      </c>
      <c r="L323" s="537">
        <v>47309.195000000007</v>
      </c>
      <c r="M323" s="591"/>
      <c r="N323" s="571"/>
      <c r="O323" s="571"/>
      <c r="P323" s="592"/>
    </row>
    <row r="324" spans="1:16" ht="14.1" customHeight="1">
      <c r="A324" s="4"/>
      <c r="B324" s="104">
        <f t="shared" ref="B324:B328" si="56">B323+0.000001</f>
        <v>5.0404009999999984</v>
      </c>
      <c r="C324" s="271" t="s">
        <v>1106</v>
      </c>
      <c r="D324" s="64" t="s">
        <v>161</v>
      </c>
      <c r="E324" s="87">
        <v>438.85</v>
      </c>
      <c r="F324" s="73">
        <v>43.36</v>
      </c>
      <c r="G324" s="65"/>
      <c r="H324" s="160">
        <v>43.36</v>
      </c>
      <c r="I324" s="160">
        <f t="shared" ref="I324:I328" si="57">+ROUND(E324*F324,2)</f>
        <v>19028.54</v>
      </c>
      <c r="J324" s="150">
        <f t="shared" ref="J324:J328" si="58">+ROUND(E324*G324,2)</f>
        <v>0</v>
      </c>
      <c r="K324" s="73">
        <v>19028.54</v>
      </c>
      <c r="L324" s="575"/>
      <c r="M324" s="586"/>
      <c r="N324" s="570"/>
      <c r="O324" s="570"/>
      <c r="P324" s="587"/>
    </row>
    <row r="325" spans="1:16" ht="14.1" customHeight="1">
      <c r="A325" s="4"/>
      <c r="B325" s="104">
        <f t="shared" si="56"/>
        <v>5.0404019999999985</v>
      </c>
      <c r="C325" s="271" t="s">
        <v>1107</v>
      </c>
      <c r="D325" s="64" t="s">
        <v>161</v>
      </c>
      <c r="E325" s="87">
        <v>438.85</v>
      </c>
      <c r="F325" s="73"/>
      <c r="G325" s="65">
        <v>8.5</v>
      </c>
      <c r="H325" s="160">
        <v>31.88</v>
      </c>
      <c r="I325" s="160">
        <f t="shared" si="57"/>
        <v>0</v>
      </c>
      <c r="J325" s="150">
        <f t="shared" si="58"/>
        <v>3730.23</v>
      </c>
      <c r="K325" s="73">
        <v>13988.36</v>
      </c>
      <c r="L325" s="575"/>
      <c r="M325" s="586"/>
      <c r="N325" s="570"/>
      <c r="O325" s="570"/>
      <c r="P325" s="587"/>
    </row>
    <row r="326" spans="1:16" ht="14.1" customHeight="1">
      <c r="A326" s="4"/>
      <c r="B326" s="104">
        <f t="shared" si="56"/>
        <v>5.0404029999999986</v>
      </c>
      <c r="C326" s="271" t="s">
        <v>1108</v>
      </c>
      <c r="D326" s="64" t="s">
        <v>46</v>
      </c>
      <c r="E326" s="87">
        <v>877.7</v>
      </c>
      <c r="F326" s="73"/>
      <c r="G326" s="65">
        <v>1.25</v>
      </c>
      <c r="H326" s="160">
        <v>4.6900000000000004</v>
      </c>
      <c r="I326" s="160">
        <f t="shared" si="57"/>
        <v>0</v>
      </c>
      <c r="J326" s="150">
        <f t="shared" si="58"/>
        <v>1097.1300000000001</v>
      </c>
      <c r="K326" s="73">
        <v>4114.24</v>
      </c>
      <c r="L326" s="575"/>
      <c r="M326" s="586"/>
      <c r="N326" s="570"/>
      <c r="O326" s="570"/>
      <c r="P326" s="587"/>
    </row>
    <row r="327" spans="1:16" ht="14.1" customHeight="1">
      <c r="A327" s="4"/>
      <c r="B327" s="104">
        <f t="shared" si="56"/>
        <v>5.0404039999999988</v>
      </c>
      <c r="C327" s="271" t="s">
        <v>1109</v>
      </c>
      <c r="D327" s="64" t="s">
        <v>161</v>
      </c>
      <c r="E327" s="87">
        <v>438.85</v>
      </c>
      <c r="F327" s="73">
        <v>6.83</v>
      </c>
      <c r="G327" s="65"/>
      <c r="H327" s="160">
        <v>6.83</v>
      </c>
      <c r="I327" s="160">
        <f>+ROUND(E327*F327,2)</f>
        <v>2997.35</v>
      </c>
      <c r="J327" s="150">
        <f t="shared" si="58"/>
        <v>0</v>
      </c>
      <c r="K327" s="73">
        <v>2997.35</v>
      </c>
      <c r="L327" s="575"/>
      <c r="M327" s="586"/>
      <c r="N327" s="570"/>
      <c r="O327" s="570"/>
      <c r="P327" s="587"/>
    </row>
    <row r="328" spans="1:16" ht="14.1" customHeight="1">
      <c r="A328" s="4"/>
      <c r="B328" s="104">
        <f t="shared" si="56"/>
        <v>5.0404049999999989</v>
      </c>
      <c r="C328" s="84" t="s">
        <v>496</v>
      </c>
      <c r="D328" s="64" t="s">
        <v>177</v>
      </c>
      <c r="E328" s="87">
        <v>1535.98</v>
      </c>
      <c r="F328" s="73">
        <v>1.1499999999999999</v>
      </c>
      <c r="G328" s="65">
        <v>0.94</v>
      </c>
      <c r="H328" s="160">
        <v>4.68</v>
      </c>
      <c r="I328" s="160">
        <f t="shared" si="57"/>
        <v>1766.38</v>
      </c>
      <c r="J328" s="150">
        <f t="shared" si="58"/>
        <v>1443.82</v>
      </c>
      <c r="K328" s="73">
        <v>7180.71</v>
      </c>
      <c r="L328" s="575"/>
      <c r="M328" s="586"/>
      <c r="N328" s="570"/>
      <c r="O328" s="570"/>
      <c r="P328" s="587"/>
    </row>
    <row r="329" spans="1:16" ht="13.5" customHeight="1">
      <c r="B329" s="164">
        <f>B278+0.01</f>
        <v>6.1199999999999974</v>
      </c>
      <c r="C329" s="279" t="s">
        <v>707</v>
      </c>
      <c r="D329" s="280"/>
      <c r="E329" s="92"/>
      <c r="F329" s="93" t="s">
        <v>7</v>
      </c>
      <c r="G329" s="69"/>
      <c r="H329" s="160"/>
      <c r="I329" s="160"/>
      <c r="J329" s="150"/>
      <c r="K329" s="73">
        <v>0</v>
      </c>
      <c r="L329" s="537">
        <v>113303.89</v>
      </c>
      <c r="M329" s="591"/>
      <c r="N329" s="571"/>
      <c r="O329" s="571"/>
      <c r="P329" s="592"/>
    </row>
    <row r="330" spans="1:16" ht="14.1" customHeight="1" outlineLevel="1">
      <c r="B330" s="285">
        <f>B329+0.0001</f>
        <v>6.1200999999999972</v>
      </c>
      <c r="C330" s="288" t="s">
        <v>1110</v>
      </c>
      <c r="D330" s="64"/>
      <c r="E330" s="87"/>
      <c r="F330" s="73" t="s">
        <v>7</v>
      </c>
      <c r="G330" s="65"/>
      <c r="H330" s="160"/>
      <c r="I330" s="160"/>
      <c r="J330" s="150"/>
      <c r="K330" s="73">
        <v>0</v>
      </c>
      <c r="L330" s="538"/>
      <c r="M330" s="51"/>
      <c r="P330" s="545"/>
    </row>
    <row r="331" spans="1:16" ht="13.5" customHeight="1" outlineLevel="3">
      <c r="B331" s="104">
        <f t="shared" ref="B331:B341" si="59">B330+0.000001</f>
        <v>6.1201009999999973</v>
      </c>
      <c r="C331" s="287" t="s">
        <v>710</v>
      </c>
      <c r="D331" s="64" t="s">
        <v>46</v>
      </c>
      <c r="E331" s="87">
        <v>1135.25</v>
      </c>
      <c r="F331" s="73">
        <v>43.77</v>
      </c>
      <c r="G331" s="81"/>
      <c r="H331" s="160">
        <v>43.77</v>
      </c>
      <c r="I331" s="160">
        <f t="shared" ref="I331:I378" si="60">+ROUND(E331*F331,2)</f>
        <v>49689.89</v>
      </c>
      <c r="J331" s="150">
        <f t="shared" ref="J331:J378" si="61">+ROUND(E331*G331,2)</f>
        <v>0</v>
      </c>
      <c r="K331" s="73">
        <v>49689.89</v>
      </c>
      <c r="L331" s="575"/>
      <c r="M331" s="586"/>
      <c r="N331" s="570"/>
      <c r="O331" s="570"/>
      <c r="P331" s="587"/>
    </row>
    <row r="332" spans="1:16" ht="13.5" customHeight="1" outlineLevel="3">
      <c r="B332" s="104">
        <f t="shared" si="59"/>
        <v>6.1201019999999975</v>
      </c>
      <c r="C332" s="287" t="s">
        <v>709</v>
      </c>
      <c r="D332" s="64" t="s">
        <v>161</v>
      </c>
      <c r="E332" s="87">
        <v>147.4</v>
      </c>
      <c r="F332" s="73">
        <v>74.25</v>
      </c>
      <c r="G332" s="81"/>
      <c r="H332" s="160">
        <v>74.25</v>
      </c>
      <c r="I332" s="160">
        <f t="shared" si="60"/>
        <v>10944.45</v>
      </c>
      <c r="J332" s="150">
        <f t="shared" si="61"/>
        <v>0</v>
      </c>
      <c r="K332" s="73">
        <v>10944.45</v>
      </c>
      <c r="L332" s="575"/>
      <c r="M332" s="586"/>
      <c r="N332" s="570"/>
      <c r="O332" s="570"/>
      <c r="P332" s="587"/>
    </row>
    <row r="333" spans="1:16" ht="13.5" customHeight="1" outlineLevel="3">
      <c r="B333" s="104">
        <f t="shared" si="59"/>
        <v>6.1201029999999976</v>
      </c>
      <c r="C333" s="287" t="s">
        <v>711</v>
      </c>
      <c r="D333" s="64" t="s">
        <v>161</v>
      </c>
      <c r="E333" s="87">
        <v>147.4</v>
      </c>
      <c r="F333" s="73">
        <v>20.68</v>
      </c>
      <c r="G333" s="81"/>
      <c r="H333" s="160">
        <v>20.68</v>
      </c>
      <c r="I333" s="160">
        <f t="shared" si="60"/>
        <v>3048.23</v>
      </c>
      <c r="J333" s="150">
        <f t="shared" si="61"/>
        <v>0</v>
      </c>
      <c r="K333" s="73">
        <v>3048.23</v>
      </c>
      <c r="L333" s="575"/>
      <c r="M333" s="586"/>
      <c r="N333" s="570"/>
      <c r="O333" s="570"/>
      <c r="P333" s="587"/>
    </row>
    <row r="334" spans="1:16" ht="13.5" customHeight="1" outlineLevel="3">
      <c r="B334" s="104">
        <f t="shared" si="59"/>
        <v>6.1201039999999978</v>
      </c>
      <c r="C334" s="287" t="s">
        <v>712</v>
      </c>
      <c r="D334" s="64" t="s">
        <v>46</v>
      </c>
      <c r="E334" s="87">
        <v>1135.25</v>
      </c>
      <c r="F334" s="73">
        <v>15.7</v>
      </c>
      <c r="G334" s="81"/>
      <c r="H334" s="160">
        <v>15.7</v>
      </c>
      <c r="I334" s="160">
        <f t="shared" si="60"/>
        <v>17823.43</v>
      </c>
      <c r="J334" s="150">
        <f t="shared" si="61"/>
        <v>0</v>
      </c>
      <c r="K334" s="73">
        <v>17823.43</v>
      </c>
      <c r="L334" s="575"/>
      <c r="M334" s="586"/>
      <c r="N334" s="570"/>
      <c r="O334" s="570"/>
      <c r="P334" s="587"/>
    </row>
    <row r="335" spans="1:16" ht="13.5" customHeight="1" outlineLevel="3">
      <c r="B335" s="104">
        <f t="shared" si="59"/>
        <v>6.1201049999999979</v>
      </c>
      <c r="C335" s="287" t="s">
        <v>713</v>
      </c>
      <c r="D335" s="64" t="s">
        <v>46</v>
      </c>
      <c r="E335" s="87">
        <v>921.6</v>
      </c>
      <c r="F335" s="73">
        <v>12.44</v>
      </c>
      <c r="G335" s="81"/>
      <c r="H335" s="160">
        <v>12.44</v>
      </c>
      <c r="I335" s="160">
        <f t="shared" si="60"/>
        <v>11464.7</v>
      </c>
      <c r="J335" s="150">
        <f t="shared" si="61"/>
        <v>0</v>
      </c>
      <c r="K335" s="73">
        <v>11464.7</v>
      </c>
      <c r="L335" s="575"/>
      <c r="M335" s="586"/>
      <c r="N335" s="570"/>
      <c r="O335" s="570"/>
      <c r="P335" s="587"/>
    </row>
    <row r="336" spans="1:16" ht="13.5" customHeight="1" outlineLevel="3">
      <c r="B336" s="104">
        <f t="shared" si="59"/>
        <v>6.120105999999998</v>
      </c>
      <c r="C336" s="287" t="s">
        <v>714</v>
      </c>
      <c r="D336" s="64" t="s">
        <v>161</v>
      </c>
      <c r="E336" s="87">
        <v>346.40000000000003</v>
      </c>
      <c r="F336" s="73">
        <v>17.45</v>
      </c>
      <c r="G336" s="81"/>
      <c r="H336" s="160">
        <v>17.45</v>
      </c>
      <c r="I336" s="160">
        <f t="shared" si="60"/>
        <v>6044.68</v>
      </c>
      <c r="J336" s="150">
        <f t="shared" si="61"/>
        <v>0</v>
      </c>
      <c r="K336" s="73">
        <v>6044.68</v>
      </c>
      <c r="L336" s="575"/>
      <c r="M336" s="586"/>
      <c r="N336" s="570"/>
      <c r="O336" s="570"/>
      <c r="P336" s="587"/>
    </row>
    <row r="337" spans="2:16" ht="13.5" customHeight="1" outlineLevel="3">
      <c r="B337" s="104">
        <f t="shared" si="59"/>
        <v>6.1201069999999982</v>
      </c>
      <c r="C337" s="287" t="s">
        <v>715</v>
      </c>
      <c r="D337" s="64" t="s">
        <v>46</v>
      </c>
      <c r="E337" s="87">
        <v>263.29999999999995</v>
      </c>
      <c r="F337" s="73">
        <v>19.600000000000001</v>
      </c>
      <c r="G337" s="81"/>
      <c r="H337" s="160">
        <v>19.600000000000001</v>
      </c>
      <c r="I337" s="160">
        <f t="shared" si="60"/>
        <v>5160.68</v>
      </c>
      <c r="J337" s="150">
        <f t="shared" si="61"/>
        <v>0</v>
      </c>
      <c r="K337" s="73">
        <v>5160.68</v>
      </c>
      <c r="L337" s="575"/>
      <c r="M337" s="586"/>
      <c r="N337" s="570"/>
      <c r="O337" s="570"/>
      <c r="P337" s="587"/>
    </row>
    <row r="338" spans="2:16" ht="14.1" customHeight="1" outlineLevel="1">
      <c r="B338" s="285">
        <f>B330+0.0001</f>
        <v>6.120199999999997</v>
      </c>
      <c r="C338" s="462" t="s">
        <v>1111</v>
      </c>
      <c r="D338" s="64"/>
      <c r="E338" s="87"/>
      <c r="F338" s="73" t="s">
        <v>7</v>
      </c>
      <c r="G338" s="65"/>
      <c r="H338" s="160"/>
      <c r="I338" s="160"/>
      <c r="J338" s="150"/>
      <c r="K338" s="73">
        <v>0</v>
      </c>
      <c r="L338" s="575"/>
      <c r="M338" s="586"/>
      <c r="N338" s="570"/>
      <c r="O338" s="570"/>
      <c r="P338" s="587"/>
    </row>
    <row r="339" spans="2:16" ht="14.25" customHeight="1" outlineLevel="2">
      <c r="B339" s="104">
        <f t="shared" si="59"/>
        <v>6.1202009999999971</v>
      </c>
      <c r="C339" s="287" t="s">
        <v>1112</v>
      </c>
      <c r="D339" s="64" t="s">
        <v>46</v>
      </c>
      <c r="E339" s="87">
        <v>15.6</v>
      </c>
      <c r="F339" s="73">
        <v>43.77</v>
      </c>
      <c r="G339" s="81"/>
      <c r="H339" s="160">
        <v>43.77</v>
      </c>
      <c r="I339" s="160">
        <f t="shared" si="60"/>
        <v>682.81</v>
      </c>
      <c r="J339" s="150">
        <f t="shared" si="61"/>
        <v>0</v>
      </c>
      <c r="K339" s="73">
        <v>682.81</v>
      </c>
      <c r="L339" s="575"/>
      <c r="M339" s="586"/>
      <c r="N339" s="570"/>
      <c r="O339" s="570"/>
      <c r="P339" s="587"/>
    </row>
    <row r="340" spans="2:16" ht="13.5" customHeight="1" outlineLevel="2">
      <c r="B340" s="104">
        <f t="shared" si="59"/>
        <v>6.1202019999999973</v>
      </c>
      <c r="C340" s="287" t="s">
        <v>1113</v>
      </c>
      <c r="D340" s="64" t="s">
        <v>161</v>
      </c>
      <c r="E340" s="87">
        <v>15.6</v>
      </c>
      <c r="F340" s="73">
        <v>17.45</v>
      </c>
      <c r="G340" s="81"/>
      <c r="H340" s="160">
        <v>17.45</v>
      </c>
      <c r="I340" s="160">
        <f t="shared" si="60"/>
        <v>272.22000000000003</v>
      </c>
      <c r="J340" s="150">
        <f t="shared" si="61"/>
        <v>0</v>
      </c>
      <c r="K340" s="73">
        <v>272.22000000000003</v>
      </c>
      <c r="L340" s="575"/>
      <c r="M340" s="586"/>
      <c r="N340" s="570"/>
      <c r="O340" s="570"/>
      <c r="P340" s="587"/>
    </row>
    <row r="341" spans="2:16" ht="13.5" customHeight="1" outlineLevel="2">
      <c r="B341" s="104">
        <f t="shared" si="59"/>
        <v>6.1202029999999974</v>
      </c>
      <c r="C341" s="287" t="s">
        <v>1114</v>
      </c>
      <c r="D341" s="64" t="s">
        <v>46</v>
      </c>
      <c r="E341" s="87">
        <v>8.4</v>
      </c>
      <c r="F341" s="73">
        <v>19.600000000000001</v>
      </c>
      <c r="G341" s="81"/>
      <c r="H341" s="160">
        <v>19.600000000000001</v>
      </c>
      <c r="I341" s="160">
        <f t="shared" si="60"/>
        <v>164.64</v>
      </c>
      <c r="J341" s="150">
        <f t="shared" si="61"/>
        <v>0</v>
      </c>
      <c r="K341" s="73">
        <v>164.64</v>
      </c>
      <c r="L341" s="575"/>
      <c r="M341" s="586"/>
      <c r="N341" s="570"/>
      <c r="O341" s="570"/>
      <c r="P341" s="587"/>
    </row>
    <row r="342" spans="2:16" ht="14.1" customHeight="1" outlineLevel="1">
      <c r="B342" s="285">
        <f>B338+0.0001</f>
        <v>6.1202999999999967</v>
      </c>
      <c r="C342" s="462" t="s">
        <v>1115</v>
      </c>
      <c r="D342" s="64"/>
      <c r="E342" s="87"/>
      <c r="F342" s="73"/>
      <c r="G342" s="65"/>
      <c r="H342" s="160"/>
      <c r="I342" s="160"/>
      <c r="J342" s="150"/>
      <c r="K342" s="73">
        <v>0</v>
      </c>
      <c r="L342" s="538"/>
      <c r="M342" s="51"/>
      <c r="P342" s="545"/>
    </row>
    <row r="343" spans="2:16" ht="14.25" customHeight="1" outlineLevel="2">
      <c r="B343" s="104">
        <f>B338+0.000001</f>
        <v>6.1202009999999971</v>
      </c>
      <c r="C343" s="287" t="s">
        <v>1112</v>
      </c>
      <c r="D343" s="64" t="s">
        <v>46</v>
      </c>
      <c r="E343" s="87">
        <v>39.300000000000004</v>
      </c>
      <c r="F343" s="73">
        <v>43.77</v>
      </c>
      <c r="G343" s="81"/>
      <c r="H343" s="160">
        <v>43.77</v>
      </c>
      <c r="I343" s="160">
        <f t="shared" si="60"/>
        <v>1720.16</v>
      </c>
      <c r="J343" s="150">
        <f t="shared" si="61"/>
        <v>0</v>
      </c>
      <c r="K343" s="73">
        <v>1720.16</v>
      </c>
      <c r="L343" s="538"/>
      <c r="M343" s="51"/>
      <c r="P343" s="545"/>
    </row>
    <row r="344" spans="2:16" ht="13.5" customHeight="1" outlineLevel="2">
      <c r="B344" s="104">
        <f>B339+0.000001</f>
        <v>6.1202019999999973</v>
      </c>
      <c r="C344" s="287" t="s">
        <v>1113</v>
      </c>
      <c r="D344" s="64" t="s">
        <v>161</v>
      </c>
      <c r="E344" s="87"/>
      <c r="F344" s="73">
        <v>17.45</v>
      </c>
      <c r="G344" s="81"/>
      <c r="H344" s="160">
        <v>17.45</v>
      </c>
      <c r="I344" s="160">
        <f t="shared" si="60"/>
        <v>0</v>
      </c>
      <c r="J344" s="150">
        <f t="shared" si="61"/>
        <v>0</v>
      </c>
      <c r="K344" s="73">
        <v>0</v>
      </c>
      <c r="L344" s="538"/>
      <c r="M344" s="51"/>
      <c r="P344" s="545"/>
    </row>
    <row r="345" spans="2:16" ht="13.5" customHeight="1" outlineLevel="2">
      <c r="B345" s="104">
        <f>B340+0.000001</f>
        <v>6.1202029999999974</v>
      </c>
      <c r="C345" s="297" t="s">
        <v>1116</v>
      </c>
      <c r="D345" s="64" t="s">
        <v>46</v>
      </c>
      <c r="E345" s="87">
        <v>39.300000000000004</v>
      </c>
      <c r="F345" s="73">
        <v>160</v>
      </c>
      <c r="G345" s="81"/>
      <c r="H345" s="160">
        <v>160</v>
      </c>
      <c r="I345" s="160">
        <f t="shared" si="60"/>
        <v>6288</v>
      </c>
      <c r="J345" s="150">
        <f t="shared" si="61"/>
        <v>0</v>
      </c>
      <c r="K345" s="73">
        <v>6288</v>
      </c>
      <c r="L345" s="538"/>
      <c r="M345" s="51"/>
      <c r="P345" s="545"/>
    </row>
    <row r="346" spans="2:16" ht="13.5" customHeight="1">
      <c r="B346" s="164">
        <f>B329+0.01</f>
        <v>6.1299999999999972</v>
      </c>
      <c r="C346" s="279" t="s">
        <v>717</v>
      </c>
      <c r="D346" s="280"/>
      <c r="E346" s="92"/>
      <c r="F346" s="93" t="s">
        <v>7</v>
      </c>
      <c r="G346" s="69"/>
      <c r="H346" s="160"/>
      <c r="I346" s="160"/>
      <c r="J346" s="150"/>
      <c r="K346" s="73">
        <v>0</v>
      </c>
      <c r="L346" s="537">
        <v>189372.33749999999</v>
      </c>
      <c r="M346" s="591"/>
      <c r="N346" s="571"/>
      <c r="O346" s="571"/>
      <c r="P346" s="592"/>
    </row>
    <row r="347" spans="2:16" ht="14.1" customHeight="1" outlineLevel="1">
      <c r="B347" s="285">
        <f>B346+0.0001</f>
        <v>6.130099999999997</v>
      </c>
      <c r="C347" s="288" t="s">
        <v>718</v>
      </c>
      <c r="D347" s="64"/>
      <c r="E347" s="87"/>
      <c r="F347" s="73" t="s">
        <v>7</v>
      </c>
      <c r="G347" s="65"/>
      <c r="H347" s="160"/>
      <c r="I347" s="160"/>
      <c r="J347" s="150"/>
      <c r="K347" s="73">
        <v>0</v>
      </c>
      <c r="L347" s="538"/>
      <c r="M347" s="51"/>
      <c r="P347" s="545"/>
    </row>
    <row r="348" spans="2:16" ht="14.1" customHeight="1" outlineLevel="1">
      <c r="B348" s="104">
        <f>B347+0.000001</f>
        <v>6.1301009999999971</v>
      </c>
      <c r="C348" s="443" t="s">
        <v>1117</v>
      </c>
      <c r="D348" s="64" t="s">
        <v>36</v>
      </c>
      <c r="E348" s="87">
        <v>50</v>
      </c>
      <c r="F348" s="73"/>
      <c r="G348" s="480">
        <v>292.43</v>
      </c>
      <c r="H348" s="160">
        <v>1096.6099999999999</v>
      </c>
      <c r="I348" s="160">
        <f t="shared" ref="I348" si="62">+ROUND(E348*F348,2)</f>
        <v>0</v>
      </c>
      <c r="J348" s="150">
        <f t="shared" ref="J348" si="63">+ROUND(E348*G348,2)</f>
        <v>14621.5</v>
      </c>
      <c r="K348" s="73">
        <v>54830.63</v>
      </c>
      <c r="L348" s="538"/>
      <c r="M348" s="51"/>
      <c r="O348" s="614">
        <v>292.43</v>
      </c>
      <c r="P348" s="549">
        <f>+O348*E348</f>
        <v>14621.5</v>
      </c>
    </row>
    <row r="349" spans="2:16" ht="14.1" customHeight="1" outlineLevel="1">
      <c r="B349" s="104">
        <f t="shared" ref="B349:B355" si="64">B348+0.000001</f>
        <v>6.1301019999999973</v>
      </c>
      <c r="C349" s="443" t="s">
        <v>1118</v>
      </c>
      <c r="D349" s="64" t="s">
        <v>36</v>
      </c>
      <c r="E349" s="87">
        <v>50</v>
      </c>
      <c r="F349" s="73"/>
      <c r="G349" s="480">
        <v>292.43</v>
      </c>
      <c r="H349" s="160">
        <v>1096.6099999999999</v>
      </c>
      <c r="I349" s="160">
        <f t="shared" ref="I349:I355" si="65">+ROUND(E349*F349,2)</f>
        <v>0</v>
      </c>
      <c r="J349" s="150">
        <f t="shared" ref="J349:J355" si="66">+ROUND(E349*G349,2)</f>
        <v>14621.5</v>
      </c>
      <c r="K349" s="73">
        <v>54830.63</v>
      </c>
      <c r="L349" s="538"/>
      <c r="M349" s="51"/>
      <c r="O349" s="614">
        <v>292.43</v>
      </c>
      <c r="P349" s="549">
        <f t="shared" ref="P349:P355" si="67">+O349*E349</f>
        <v>14621.5</v>
      </c>
    </row>
    <row r="350" spans="2:16" ht="14.1" customHeight="1" outlineLevel="1">
      <c r="B350" s="104">
        <f t="shared" si="64"/>
        <v>6.1301029999999974</v>
      </c>
      <c r="C350" s="443" t="s">
        <v>1119</v>
      </c>
      <c r="D350" s="64" t="s">
        <v>36</v>
      </c>
      <c r="E350" s="87">
        <v>2</v>
      </c>
      <c r="F350" s="73"/>
      <c r="G350" s="480">
        <v>355.09</v>
      </c>
      <c r="H350" s="160">
        <v>1331.59</v>
      </c>
      <c r="I350" s="160">
        <f t="shared" si="65"/>
        <v>0</v>
      </c>
      <c r="J350" s="150">
        <f t="shared" si="66"/>
        <v>710.18</v>
      </c>
      <c r="K350" s="73">
        <v>2663.18</v>
      </c>
      <c r="L350" s="538"/>
      <c r="M350" s="51"/>
      <c r="O350" s="614">
        <v>355.09</v>
      </c>
      <c r="P350" s="549">
        <f t="shared" si="67"/>
        <v>710.18</v>
      </c>
    </row>
    <row r="351" spans="2:16" ht="14.1" customHeight="1" outlineLevel="1">
      <c r="B351" s="104">
        <f t="shared" si="64"/>
        <v>6.1301039999999976</v>
      </c>
      <c r="C351" s="443" t="s">
        <v>1120</v>
      </c>
      <c r="D351" s="64" t="s">
        <v>36</v>
      </c>
      <c r="E351" s="87">
        <v>2</v>
      </c>
      <c r="F351" s="73"/>
      <c r="G351" s="480">
        <v>319.58</v>
      </c>
      <c r="H351" s="160">
        <v>1198.43</v>
      </c>
      <c r="I351" s="160">
        <f t="shared" si="65"/>
        <v>0</v>
      </c>
      <c r="J351" s="150">
        <f t="shared" si="66"/>
        <v>639.16</v>
      </c>
      <c r="K351" s="73">
        <v>2396.85</v>
      </c>
      <c r="L351" s="538"/>
      <c r="M351" s="51"/>
      <c r="O351" s="614">
        <v>319.58</v>
      </c>
      <c r="P351" s="549">
        <f t="shared" si="67"/>
        <v>639.16</v>
      </c>
    </row>
    <row r="352" spans="2:16" ht="14.1" customHeight="1" outlineLevel="1">
      <c r="B352" s="104">
        <f t="shared" si="64"/>
        <v>6.1301049999999977</v>
      </c>
      <c r="C352" s="443" t="s">
        <v>1121</v>
      </c>
      <c r="D352" s="64" t="s">
        <v>36</v>
      </c>
      <c r="E352" s="87">
        <v>54</v>
      </c>
      <c r="F352" s="73"/>
      <c r="G352" s="480">
        <v>319.58</v>
      </c>
      <c r="H352" s="160">
        <v>1198.43</v>
      </c>
      <c r="I352" s="160">
        <f t="shared" si="65"/>
        <v>0</v>
      </c>
      <c r="J352" s="150">
        <f t="shared" si="66"/>
        <v>17257.32</v>
      </c>
      <c r="K352" s="73">
        <v>64714.95</v>
      </c>
      <c r="L352" s="538"/>
      <c r="M352" s="51"/>
      <c r="O352" s="614">
        <v>319.58</v>
      </c>
      <c r="P352" s="549">
        <f t="shared" si="67"/>
        <v>17257.32</v>
      </c>
    </row>
    <row r="353" spans="2:16" ht="14.1" customHeight="1" outlineLevel="1">
      <c r="B353" s="104">
        <f t="shared" si="64"/>
        <v>6.1301059999999978</v>
      </c>
      <c r="C353" s="443" t="s">
        <v>1122</v>
      </c>
      <c r="D353" s="64" t="s">
        <v>36</v>
      </c>
      <c r="E353" s="87">
        <v>1</v>
      </c>
      <c r="F353" s="73"/>
      <c r="G353" s="480">
        <v>708.1</v>
      </c>
      <c r="H353" s="160">
        <v>2655.38</v>
      </c>
      <c r="I353" s="160">
        <f t="shared" si="65"/>
        <v>0</v>
      </c>
      <c r="J353" s="150">
        <f t="shared" si="66"/>
        <v>708.1</v>
      </c>
      <c r="K353" s="73">
        <v>2655.38</v>
      </c>
      <c r="L353" s="538"/>
      <c r="M353" s="51"/>
      <c r="O353" s="614">
        <v>708.1</v>
      </c>
      <c r="P353" s="549">
        <f t="shared" si="67"/>
        <v>708.1</v>
      </c>
    </row>
    <row r="354" spans="2:16" ht="14.1" customHeight="1" outlineLevel="1">
      <c r="B354" s="104">
        <f t="shared" si="64"/>
        <v>6.130106999999998</v>
      </c>
      <c r="C354" s="443" t="s">
        <v>1123</v>
      </c>
      <c r="D354" s="64" t="s">
        <v>36</v>
      </c>
      <c r="E354" s="87">
        <v>1</v>
      </c>
      <c r="F354" s="73"/>
      <c r="G354" s="480">
        <v>319.58</v>
      </c>
      <c r="H354" s="160">
        <v>1198.43</v>
      </c>
      <c r="I354" s="160">
        <f t="shared" si="65"/>
        <v>0</v>
      </c>
      <c r="J354" s="150">
        <f t="shared" si="66"/>
        <v>319.58</v>
      </c>
      <c r="K354" s="73">
        <v>1198.43</v>
      </c>
      <c r="L354" s="538"/>
      <c r="M354" s="51"/>
      <c r="O354" s="614">
        <v>319.58</v>
      </c>
      <c r="P354" s="549">
        <f t="shared" si="67"/>
        <v>319.58</v>
      </c>
    </row>
    <row r="355" spans="2:16" ht="13.5" customHeight="1" outlineLevel="3">
      <c r="B355" s="104">
        <f t="shared" si="64"/>
        <v>6.1301079999999981</v>
      </c>
      <c r="C355" s="440" t="s">
        <v>1124</v>
      </c>
      <c r="D355" s="64" t="s">
        <v>36</v>
      </c>
      <c r="E355" s="87">
        <v>1</v>
      </c>
      <c r="F355" s="73"/>
      <c r="G355" s="480">
        <v>1621.95</v>
      </c>
      <c r="H355" s="160">
        <v>6082.31</v>
      </c>
      <c r="I355" s="160">
        <f t="shared" si="65"/>
        <v>0</v>
      </c>
      <c r="J355" s="150">
        <f t="shared" si="66"/>
        <v>1621.95</v>
      </c>
      <c r="K355" s="73">
        <v>6082.31</v>
      </c>
      <c r="L355" s="575"/>
      <c r="M355" s="586"/>
      <c r="N355" s="570"/>
      <c r="O355" s="614">
        <v>1621.95</v>
      </c>
      <c r="P355" s="549">
        <f t="shared" si="67"/>
        <v>1621.95</v>
      </c>
    </row>
    <row r="356" spans="2:16" ht="14.1" customHeight="1" outlineLevel="1">
      <c r="B356" s="285">
        <f>B347+0.0001</f>
        <v>6.1301999999999968</v>
      </c>
      <c r="C356" s="288" t="s">
        <v>722</v>
      </c>
      <c r="D356" s="64"/>
      <c r="E356" s="87"/>
      <c r="F356" s="73" t="s">
        <v>7</v>
      </c>
      <c r="G356" s="81" t="s">
        <v>7</v>
      </c>
      <c r="H356" s="160"/>
      <c r="I356" s="160"/>
      <c r="J356" s="150"/>
      <c r="K356" s="73">
        <v>0</v>
      </c>
      <c r="L356" s="537">
        <v>682582</v>
      </c>
      <c r="M356" s="591"/>
      <c r="N356" s="571"/>
      <c r="O356" s="571"/>
      <c r="P356" s="592"/>
    </row>
    <row r="357" spans="2:16" ht="14.1" customHeight="1" outlineLevel="2">
      <c r="B357" s="268">
        <f>B356+0.000001</f>
        <v>6.1302009999999969</v>
      </c>
      <c r="C357" s="286" t="s">
        <v>990</v>
      </c>
      <c r="D357" s="64"/>
      <c r="E357" s="87"/>
      <c r="F357" s="73"/>
      <c r="G357" s="81" t="s">
        <v>7</v>
      </c>
      <c r="H357" s="160"/>
      <c r="I357" s="160"/>
      <c r="J357" s="150"/>
      <c r="K357" s="73">
        <v>0</v>
      </c>
      <c r="L357" s="575"/>
      <c r="M357" s="586"/>
      <c r="N357" s="570"/>
      <c r="O357" s="570"/>
      <c r="P357" s="587"/>
    </row>
    <row r="358" spans="2:16" ht="14.1" customHeight="1" outlineLevel="2">
      <c r="B358" s="104">
        <f>B357+0.000001</f>
        <v>6.130201999999997</v>
      </c>
      <c r="C358" s="463" t="s">
        <v>1125</v>
      </c>
      <c r="D358" s="64" t="s">
        <v>36</v>
      </c>
      <c r="E358" s="87">
        <v>74</v>
      </c>
      <c r="F358" s="73">
        <v>128</v>
      </c>
      <c r="G358" s="81">
        <v>108</v>
      </c>
      <c r="H358" s="160">
        <v>533</v>
      </c>
      <c r="I358" s="160">
        <f>+ROUND(E358*F358,2)</f>
        <v>9472</v>
      </c>
      <c r="J358" s="150">
        <f t="shared" ref="J358" si="68">+ROUND(E358*G358,2)</f>
        <v>7992</v>
      </c>
      <c r="K358" s="73">
        <v>39442</v>
      </c>
      <c r="L358" s="575"/>
      <c r="M358" s="608">
        <v>128</v>
      </c>
      <c r="N358" s="609">
        <f>+M358*E358</f>
        <v>9472</v>
      </c>
      <c r="O358" s="615">
        <v>108</v>
      </c>
      <c r="P358" s="616">
        <f>+O358*E358</f>
        <v>7992</v>
      </c>
    </row>
    <row r="359" spans="2:16" ht="14.1" customHeight="1" outlineLevel="2">
      <c r="B359" s="104">
        <f t="shared" ref="B359:B366" si="69">B358+0.000001</f>
        <v>6.1302029999999972</v>
      </c>
      <c r="C359" s="463" t="s">
        <v>1126</v>
      </c>
      <c r="D359" s="64" t="s">
        <v>36</v>
      </c>
      <c r="E359" s="87">
        <v>140</v>
      </c>
      <c r="F359" s="73">
        <v>128</v>
      </c>
      <c r="G359" s="81">
        <v>108</v>
      </c>
      <c r="H359" s="160">
        <v>533</v>
      </c>
      <c r="I359" s="160">
        <f>+ROUND(E359*F359,2)</f>
        <v>17920</v>
      </c>
      <c r="J359" s="150">
        <f t="shared" ref="J359:J366" si="70">+ROUND(E359*G359,2)</f>
        <v>15120</v>
      </c>
      <c r="K359" s="73">
        <v>74620</v>
      </c>
      <c r="L359" s="575"/>
      <c r="M359" s="608">
        <v>128</v>
      </c>
      <c r="N359" s="609">
        <f t="shared" ref="N359:N380" si="71">+M359*E359</f>
        <v>17920</v>
      </c>
      <c r="O359" s="615">
        <v>108</v>
      </c>
      <c r="P359" s="616">
        <f t="shared" ref="P359:P380" si="72">+O359*E359</f>
        <v>15120</v>
      </c>
    </row>
    <row r="360" spans="2:16" ht="14.1" customHeight="1" outlineLevel="2">
      <c r="B360" s="104">
        <f t="shared" si="69"/>
        <v>6.1302039999999973</v>
      </c>
      <c r="C360" s="463" t="s">
        <v>1127</v>
      </c>
      <c r="D360" s="64" t="s">
        <v>36</v>
      </c>
      <c r="E360" s="87">
        <v>23</v>
      </c>
      <c r="F360" s="73">
        <v>128</v>
      </c>
      <c r="G360" s="81">
        <v>108</v>
      </c>
      <c r="H360" s="160">
        <v>533</v>
      </c>
      <c r="I360" s="160">
        <f t="shared" ref="I360:I366" si="73">+ROUND(E360*F360,2)</f>
        <v>2944</v>
      </c>
      <c r="J360" s="150">
        <f t="shared" si="70"/>
        <v>2484</v>
      </c>
      <c r="K360" s="73">
        <v>12259</v>
      </c>
      <c r="L360" s="575"/>
      <c r="M360" s="608">
        <v>128</v>
      </c>
      <c r="N360" s="609">
        <f t="shared" si="71"/>
        <v>2944</v>
      </c>
      <c r="O360" s="615">
        <v>108</v>
      </c>
      <c r="P360" s="616">
        <f t="shared" si="72"/>
        <v>2484</v>
      </c>
    </row>
    <row r="361" spans="2:16" ht="14.1" customHeight="1" outlineLevel="2">
      <c r="B361" s="104">
        <f t="shared" si="69"/>
        <v>6.1302049999999975</v>
      </c>
      <c r="C361" s="463" t="s">
        <v>1128</v>
      </c>
      <c r="D361" s="64" t="s">
        <v>36</v>
      </c>
      <c r="E361" s="87">
        <v>23</v>
      </c>
      <c r="F361" s="73">
        <v>115</v>
      </c>
      <c r="G361" s="81">
        <v>99</v>
      </c>
      <c r="H361" s="160">
        <v>486.25</v>
      </c>
      <c r="I361" s="160">
        <f t="shared" si="73"/>
        <v>2645</v>
      </c>
      <c r="J361" s="150">
        <f t="shared" si="70"/>
        <v>2277</v>
      </c>
      <c r="K361" s="73">
        <v>11183.75</v>
      </c>
      <c r="L361" s="575"/>
      <c r="M361" s="608">
        <v>115</v>
      </c>
      <c r="N361" s="609">
        <f t="shared" si="71"/>
        <v>2645</v>
      </c>
      <c r="O361" s="615">
        <v>99</v>
      </c>
      <c r="P361" s="616">
        <f t="shared" si="72"/>
        <v>2277</v>
      </c>
    </row>
    <row r="362" spans="2:16" ht="14.1" customHeight="1" outlineLevel="2">
      <c r="B362" s="104">
        <f t="shared" si="69"/>
        <v>6.1302059999999976</v>
      </c>
      <c r="C362" s="463" t="s">
        <v>1129</v>
      </c>
      <c r="D362" s="64" t="s">
        <v>36</v>
      </c>
      <c r="E362" s="87">
        <v>423</v>
      </c>
      <c r="F362" s="73">
        <v>115</v>
      </c>
      <c r="G362" s="81">
        <v>99</v>
      </c>
      <c r="H362" s="160">
        <v>486.25</v>
      </c>
      <c r="I362" s="160">
        <f t="shared" si="73"/>
        <v>48645</v>
      </c>
      <c r="J362" s="150">
        <f t="shared" si="70"/>
        <v>41877</v>
      </c>
      <c r="K362" s="73">
        <v>205683.75</v>
      </c>
      <c r="L362" s="575"/>
      <c r="M362" s="608">
        <v>115</v>
      </c>
      <c r="N362" s="609">
        <f t="shared" si="71"/>
        <v>48645</v>
      </c>
      <c r="O362" s="615">
        <v>99</v>
      </c>
      <c r="P362" s="616">
        <f t="shared" si="72"/>
        <v>41877</v>
      </c>
    </row>
    <row r="363" spans="2:16" ht="14.1" customHeight="1" outlineLevel="2">
      <c r="B363" s="104">
        <f t="shared" si="69"/>
        <v>6.1302069999999977</v>
      </c>
      <c r="C363" s="463" t="s">
        <v>1130</v>
      </c>
      <c r="D363" s="64" t="s">
        <v>36</v>
      </c>
      <c r="E363" s="87">
        <v>93</v>
      </c>
      <c r="F363" s="73">
        <v>115</v>
      </c>
      <c r="G363" s="81">
        <v>99</v>
      </c>
      <c r="H363" s="160">
        <v>486.25</v>
      </c>
      <c r="I363" s="160">
        <f t="shared" si="73"/>
        <v>10695</v>
      </c>
      <c r="J363" s="150">
        <f t="shared" si="70"/>
        <v>9207</v>
      </c>
      <c r="K363" s="73">
        <v>45221.25</v>
      </c>
      <c r="L363" s="575"/>
      <c r="M363" s="608">
        <v>115</v>
      </c>
      <c r="N363" s="609">
        <f t="shared" si="71"/>
        <v>10695</v>
      </c>
      <c r="O363" s="615">
        <v>99</v>
      </c>
      <c r="P363" s="616">
        <f t="shared" si="72"/>
        <v>9207</v>
      </c>
    </row>
    <row r="364" spans="2:16" ht="14.1" customHeight="1" outlineLevel="2">
      <c r="B364" s="104">
        <f t="shared" si="69"/>
        <v>6.1302079999999979</v>
      </c>
      <c r="C364" s="463" t="s">
        <v>1131</v>
      </c>
      <c r="D364" s="64" t="s">
        <v>36</v>
      </c>
      <c r="E364" s="87">
        <v>23</v>
      </c>
      <c r="F364" s="73">
        <v>115</v>
      </c>
      <c r="G364" s="81">
        <v>99</v>
      </c>
      <c r="H364" s="160">
        <v>486.25</v>
      </c>
      <c r="I364" s="160">
        <f t="shared" si="73"/>
        <v>2645</v>
      </c>
      <c r="J364" s="150">
        <f t="shared" si="70"/>
        <v>2277</v>
      </c>
      <c r="K364" s="73">
        <v>11183.75</v>
      </c>
      <c r="L364" s="575"/>
      <c r="M364" s="608">
        <v>115</v>
      </c>
      <c r="N364" s="609">
        <f t="shared" si="71"/>
        <v>2645</v>
      </c>
      <c r="O364" s="615">
        <v>99</v>
      </c>
      <c r="P364" s="616">
        <f t="shared" si="72"/>
        <v>2277</v>
      </c>
    </row>
    <row r="365" spans="2:16" ht="14.1" customHeight="1" outlineLevel="2">
      <c r="B365" s="104">
        <f t="shared" si="69"/>
        <v>6.130208999999998</v>
      </c>
      <c r="C365" s="463" t="s">
        <v>1132</v>
      </c>
      <c r="D365" s="64" t="s">
        <v>36</v>
      </c>
      <c r="E365" s="87">
        <v>215</v>
      </c>
      <c r="F365" s="73">
        <v>115</v>
      </c>
      <c r="G365" s="81">
        <v>99</v>
      </c>
      <c r="H365" s="160">
        <v>486.25</v>
      </c>
      <c r="I365" s="160">
        <f t="shared" si="73"/>
        <v>24725</v>
      </c>
      <c r="J365" s="150">
        <f t="shared" si="70"/>
        <v>21285</v>
      </c>
      <c r="K365" s="73">
        <v>104543.75</v>
      </c>
      <c r="L365" s="575"/>
      <c r="M365" s="608">
        <v>115</v>
      </c>
      <c r="N365" s="609">
        <f t="shared" si="71"/>
        <v>24725</v>
      </c>
      <c r="O365" s="615">
        <v>99</v>
      </c>
      <c r="P365" s="616">
        <f t="shared" si="72"/>
        <v>21285</v>
      </c>
    </row>
    <row r="366" spans="2:16" ht="14.1" customHeight="1" outlineLevel="2">
      <c r="B366" s="104">
        <f t="shared" si="69"/>
        <v>6.1302099999999982</v>
      </c>
      <c r="C366" s="463" t="s">
        <v>1133</v>
      </c>
      <c r="D366" s="64" t="s">
        <v>36</v>
      </c>
      <c r="E366" s="87">
        <v>208</v>
      </c>
      <c r="F366" s="73">
        <v>115</v>
      </c>
      <c r="G366" s="81">
        <v>99</v>
      </c>
      <c r="H366" s="160">
        <v>486.25</v>
      </c>
      <c r="I366" s="160">
        <f t="shared" si="73"/>
        <v>23920</v>
      </c>
      <c r="J366" s="150">
        <f t="shared" si="70"/>
        <v>20592</v>
      </c>
      <c r="K366" s="73">
        <v>101140</v>
      </c>
      <c r="L366" s="575"/>
      <c r="M366" s="608">
        <v>115</v>
      </c>
      <c r="N366" s="609">
        <f t="shared" si="71"/>
        <v>23920</v>
      </c>
      <c r="O366" s="615">
        <v>99</v>
      </c>
      <c r="P366" s="616">
        <f t="shared" si="72"/>
        <v>20592</v>
      </c>
    </row>
    <row r="367" spans="2:16" ht="14.1" customHeight="1" outlineLevel="2">
      <c r="B367" s="268">
        <f>B357+0.000001</f>
        <v>6.130201999999997</v>
      </c>
      <c r="C367" s="286" t="s">
        <v>1084</v>
      </c>
      <c r="D367" s="64"/>
      <c r="E367" s="87"/>
      <c r="F367" s="73">
        <v>0</v>
      </c>
      <c r="G367" s="81">
        <v>0</v>
      </c>
      <c r="H367" s="160">
        <v>0</v>
      </c>
      <c r="I367" s="160">
        <f t="shared" ref="I367:I375" si="74">+ROUND(E367*F367,2)</f>
        <v>0</v>
      </c>
      <c r="J367" s="150">
        <f t="shared" ref="J367:J375" si="75">+ROUND(E367*G367,2)</f>
        <v>0</v>
      </c>
      <c r="K367" s="73">
        <v>0</v>
      </c>
      <c r="L367" s="575"/>
      <c r="M367" s="608">
        <v>0</v>
      </c>
      <c r="N367" s="609">
        <f t="shared" si="71"/>
        <v>0</v>
      </c>
      <c r="O367" s="615">
        <v>0</v>
      </c>
      <c r="P367" s="616">
        <f t="shared" si="72"/>
        <v>0</v>
      </c>
    </row>
    <row r="368" spans="2:16" ht="14.1" customHeight="1" outlineLevel="2">
      <c r="B368" s="104">
        <f>B367+0.000001</f>
        <v>6.1302029999999972</v>
      </c>
      <c r="C368" s="463" t="s">
        <v>1134</v>
      </c>
      <c r="D368" s="64" t="s">
        <v>36</v>
      </c>
      <c r="E368" s="87">
        <v>6</v>
      </c>
      <c r="F368" s="73">
        <v>115</v>
      </c>
      <c r="G368" s="81">
        <v>99</v>
      </c>
      <c r="H368" s="160">
        <v>486.25</v>
      </c>
      <c r="I368" s="160">
        <f t="shared" si="74"/>
        <v>690</v>
      </c>
      <c r="J368" s="150">
        <f t="shared" si="75"/>
        <v>594</v>
      </c>
      <c r="K368" s="73">
        <v>2917.5</v>
      </c>
      <c r="L368" s="575"/>
      <c r="M368" s="608">
        <v>115</v>
      </c>
      <c r="N368" s="609">
        <f t="shared" si="71"/>
        <v>690</v>
      </c>
      <c r="O368" s="615">
        <v>99</v>
      </c>
      <c r="P368" s="616">
        <f t="shared" si="72"/>
        <v>594</v>
      </c>
    </row>
    <row r="369" spans="2:16" ht="14.1" customHeight="1" outlineLevel="2">
      <c r="B369" s="104">
        <f t="shared" ref="B369:B375" si="76">B368+0.000001</f>
        <v>6.1302039999999973</v>
      </c>
      <c r="C369" s="463" t="s">
        <v>1135</v>
      </c>
      <c r="D369" s="64" t="s">
        <v>36</v>
      </c>
      <c r="E369" s="87">
        <v>2</v>
      </c>
      <c r="F369" s="73">
        <v>115</v>
      </c>
      <c r="G369" s="81">
        <v>99</v>
      </c>
      <c r="H369" s="160">
        <v>486.25</v>
      </c>
      <c r="I369" s="160">
        <f t="shared" si="74"/>
        <v>230</v>
      </c>
      <c r="J369" s="150">
        <f t="shared" si="75"/>
        <v>198</v>
      </c>
      <c r="K369" s="73">
        <v>972.5</v>
      </c>
      <c r="L369" s="575"/>
      <c r="M369" s="608">
        <v>115</v>
      </c>
      <c r="N369" s="609">
        <f t="shared" si="71"/>
        <v>230</v>
      </c>
      <c r="O369" s="615">
        <v>99</v>
      </c>
      <c r="P369" s="616">
        <f t="shared" si="72"/>
        <v>198</v>
      </c>
    </row>
    <row r="370" spans="2:16" ht="14.1" customHeight="1" outlineLevel="2">
      <c r="B370" s="104">
        <f t="shared" si="76"/>
        <v>6.1302049999999975</v>
      </c>
      <c r="C370" s="463" t="s">
        <v>1136</v>
      </c>
      <c r="D370" s="64" t="s">
        <v>36</v>
      </c>
      <c r="E370" s="87">
        <v>7</v>
      </c>
      <c r="F370" s="73">
        <v>115</v>
      </c>
      <c r="G370" s="81">
        <v>99</v>
      </c>
      <c r="H370" s="160">
        <v>486.25</v>
      </c>
      <c r="I370" s="160">
        <f t="shared" si="74"/>
        <v>805</v>
      </c>
      <c r="J370" s="150">
        <f t="shared" si="75"/>
        <v>693</v>
      </c>
      <c r="K370" s="73">
        <v>3403.75</v>
      </c>
      <c r="L370" s="575"/>
      <c r="M370" s="608">
        <v>115</v>
      </c>
      <c r="N370" s="609">
        <f t="shared" si="71"/>
        <v>805</v>
      </c>
      <c r="O370" s="615">
        <v>99</v>
      </c>
      <c r="P370" s="616">
        <f t="shared" si="72"/>
        <v>693</v>
      </c>
    </row>
    <row r="371" spans="2:16" ht="14.1" customHeight="1" outlineLevel="2">
      <c r="B371" s="104">
        <f t="shared" si="76"/>
        <v>6.1302059999999976</v>
      </c>
      <c r="C371" s="463" t="s">
        <v>1137</v>
      </c>
      <c r="D371" s="64" t="s">
        <v>36</v>
      </c>
      <c r="E371" s="87">
        <v>4</v>
      </c>
      <c r="F371" s="73">
        <v>115</v>
      </c>
      <c r="G371" s="81">
        <v>99</v>
      </c>
      <c r="H371" s="160">
        <v>486.25</v>
      </c>
      <c r="I371" s="160">
        <f t="shared" si="74"/>
        <v>460</v>
      </c>
      <c r="J371" s="150">
        <f t="shared" si="75"/>
        <v>396</v>
      </c>
      <c r="K371" s="73">
        <v>1945</v>
      </c>
      <c r="L371" s="575"/>
      <c r="M371" s="608">
        <v>115</v>
      </c>
      <c r="N371" s="609">
        <f t="shared" si="71"/>
        <v>460</v>
      </c>
      <c r="O371" s="615">
        <v>99</v>
      </c>
      <c r="P371" s="616">
        <f t="shared" si="72"/>
        <v>396</v>
      </c>
    </row>
    <row r="372" spans="2:16" ht="14.1" customHeight="1" outlineLevel="2">
      <c r="B372" s="104">
        <f t="shared" si="76"/>
        <v>6.1302069999999977</v>
      </c>
      <c r="C372" s="463" t="s">
        <v>1138</v>
      </c>
      <c r="D372" s="64" t="s">
        <v>36</v>
      </c>
      <c r="E372" s="87">
        <v>1</v>
      </c>
      <c r="F372" s="73">
        <v>115</v>
      </c>
      <c r="G372" s="81">
        <v>119</v>
      </c>
      <c r="H372" s="160">
        <v>561.25</v>
      </c>
      <c r="I372" s="160">
        <f t="shared" si="74"/>
        <v>115</v>
      </c>
      <c r="J372" s="150">
        <f t="shared" si="75"/>
        <v>119</v>
      </c>
      <c r="K372" s="73">
        <v>561.25</v>
      </c>
      <c r="L372" s="575"/>
      <c r="M372" s="608">
        <v>115</v>
      </c>
      <c r="N372" s="609">
        <f t="shared" si="71"/>
        <v>115</v>
      </c>
      <c r="O372" s="615">
        <v>119</v>
      </c>
      <c r="P372" s="616">
        <f t="shared" si="72"/>
        <v>119</v>
      </c>
    </row>
    <row r="373" spans="2:16" ht="14.1" customHeight="1" outlineLevel="2">
      <c r="B373" s="104">
        <f>B372+0.000001</f>
        <v>6.1302079999999979</v>
      </c>
      <c r="C373" s="463" t="s">
        <v>1139</v>
      </c>
      <c r="D373" s="64" t="s">
        <v>36</v>
      </c>
      <c r="E373" s="87">
        <v>1</v>
      </c>
      <c r="F373" s="73">
        <v>115</v>
      </c>
      <c r="G373" s="81">
        <v>99</v>
      </c>
      <c r="H373" s="160">
        <v>486.25</v>
      </c>
      <c r="I373" s="160">
        <f t="shared" si="74"/>
        <v>115</v>
      </c>
      <c r="J373" s="150">
        <f t="shared" si="75"/>
        <v>99</v>
      </c>
      <c r="K373" s="73">
        <v>486.25</v>
      </c>
      <c r="L373" s="575"/>
      <c r="M373" s="608">
        <v>115</v>
      </c>
      <c r="N373" s="609">
        <f t="shared" si="71"/>
        <v>115</v>
      </c>
      <c r="O373" s="615">
        <v>99</v>
      </c>
      <c r="P373" s="616">
        <f t="shared" si="72"/>
        <v>99</v>
      </c>
    </row>
    <row r="374" spans="2:16" ht="14.1" customHeight="1" outlineLevel="2">
      <c r="B374" s="104">
        <f t="shared" si="76"/>
        <v>6.130208999999998</v>
      </c>
      <c r="C374" s="463" t="s">
        <v>1140</v>
      </c>
      <c r="D374" s="64" t="s">
        <v>36</v>
      </c>
      <c r="E374" s="87">
        <v>1</v>
      </c>
      <c r="F374" s="73">
        <v>115</v>
      </c>
      <c r="G374" s="81">
        <v>99</v>
      </c>
      <c r="H374" s="160">
        <v>486.25</v>
      </c>
      <c r="I374" s="160">
        <f t="shared" si="74"/>
        <v>115</v>
      </c>
      <c r="J374" s="150">
        <f t="shared" si="75"/>
        <v>99</v>
      </c>
      <c r="K374" s="73">
        <v>486.25</v>
      </c>
      <c r="L374" s="575"/>
      <c r="M374" s="608">
        <v>115</v>
      </c>
      <c r="N374" s="609">
        <f t="shared" si="71"/>
        <v>115</v>
      </c>
      <c r="O374" s="615">
        <v>99</v>
      </c>
      <c r="P374" s="616">
        <f t="shared" si="72"/>
        <v>99</v>
      </c>
    </row>
    <row r="375" spans="2:16" ht="14.1" customHeight="1" outlineLevel="2">
      <c r="B375" s="104">
        <f t="shared" si="76"/>
        <v>6.1302099999999982</v>
      </c>
      <c r="C375" s="463" t="s">
        <v>1141</v>
      </c>
      <c r="D375" s="64" t="s">
        <v>36</v>
      </c>
      <c r="E375" s="87">
        <v>1</v>
      </c>
      <c r="F375" s="73">
        <v>115</v>
      </c>
      <c r="G375" s="81">
        <v>119</v>
      </c>
      <c r="H375" s="160">
        <v>561.25</v>
      </c>
      <c r="I375" s="160">
        <f t="shared" si="74"/>
        <v>115</v>
      </c>
      <c r="J375" s="150">
        <f t="shared" si="75"/>
        <v>119</v>
      </c>
      <c r="K375" s="73">
        <v>561.25</v>
      </c>
      <c r="L375" s="575"/>
      <c r="M375" s="608">
        <v>115</v>
      </c>
      <c r="N375" s="609">
        <f t="shared" si="71"/>
        <v>115</v>
      </c>
      <c r="O375" s="615">
        <v>119</v>
      </c>
      <c r="P375" s="616">
        <f t="shared" si="72"/>
        <v>119</v>
      </c>
    </row>
    <row r="376" spans="2:16" ht="14.1" customHeight="1" outlineLevel="1">
      <c r="B376" s="285">
        <f>B356+0.0001</f>
        <v>6.1302999999999965</v>
      </c>
      <c r="C376" s="288" t="s">
        <v>727</v>
      </c>
      <c r="D376" s="64"/>
      <c r="E376" s="87"/>
      <c r="F376" s="73" t="s">
        <v>7</v>
      </c>
      <c r="G376" s="81" t="s">
        <v>7</v>
      </c>
      <c r="H376" s="160"/>
      <c r="I376" s="160"/>
      <c r="J376" s="150"/>
      <c r="K376" s="73">
        <v>0</v>
      </c>
      <c r="L376" s="575"/>
      <c r="M376" s="608" t="s">
        <v>7</v>
      </c>
      <c r="N376" s="609"/>
      <c r="O376" s="615"/>
      <c r="P376" s="616"/>
    </row>
    <row r="377" spans="2:16" ht="14.1" customHeight="1" outlineLevel="4">
      <c r="B377" s="104">
        <f>B376+0.000001</f>
        <v>6.1303009999999967</v>
      </c>
      <c r="C377" s="273" t="s">
        <v>728</v>
      </c>
      <c r="D377" s="64" t="s">
        <v>36</v>
      </c>
      <c r="E377" s="87"/>
      <c r="F377" s="73">
        <v>20</v>
      </c>
      <c r="G377" s="81"/>
      <c r="H377" s="160">
        <v>20</v>
      </c>
      <c r="I377" s="160">
        <f t="shared" si="60"/>
        <v>0</v>
      </c>
      <c r="J377" s="150">
        <f t="shared" si="61"/>
        <v>0</v>
      </c>
      <c r="K377" s="73">
        <v>0</v>
      </c>
      <c r="L377" s="575"/>
      <c r="M377" s="608">
        <v>20</v>
      </c>
      <c r="N377" s="609">
        <f t="shared" si="71"/>
        <v>0</v>
      </c>
      <c r="O377" s="615">
        <v>0</v>
      </c>
      <c r="P377" s="616">
        <f t="shared" si="72"/>
        <v>0</v>
      </c>
    </row>
    <row r="378" spans="2:16" ht="14.1" customHeight="1" outlineLevel="4">
      <c r="B378" s="104">
        <f t="shared" ref="B378:B380" si="77">B377+0.000001</f>
        <v>6.1303019999999968</v>
      </c>
      <c r="C378" s="273" t="s">
        <v>1142</v>
      </c>
      <c r="D378" s="64" t="s">
        <v>36</v>
      </c>
      <c r="E378" s="87"/>
      <c r="F378" s="73">
        <v>35</v>
      </c>
      <c r="G378" s="81"/>
      <c r="H378" s="160">
        <v>35</v>
      </c>
      <c r="I378" s="160">
        <f t="shared" si="60"/>
        <v>0</v>
      </c>
      <c r="J378" s="150">
        <f t="shared" si="61"/>
        <v>0</v>
      </c>
      <c r="K378" s="73">
        <v>0</v>
      </c>
      <c r="L378" s="575"/>
      <c r="M378" s="608">
        <v>35</v>
      </c>
      <c r="N378" s="609">
        <f t="shared" si="71"/>
        <v>0</v>
      </c>
      <c r="O378" s="615">
        <v>0</v>
      </c>
      <c r="P378" s="616">
        <f t="shared" si="72"/>
        <v>0</v>
      </c>
    </row>
    <row r="379" spans="2:16" ht="14.1" customHeight="1" outlineLevel="4">
      <c r="B379" s="104">
        <f t="shared" si="77"/>
        <v>6.1303029999999969</v>
      </c>
      <c r="C379" s="273" t="s">
        <v>1143</v>
      </c>
      <c r="D379" s="64" t="s">
        <v>36</v>
      </c>
      <c r="E379" s="87">
        <v>1245</v>
      </c>
      <c r="F379" s="73">
        <v>35</v>
      </c>
      <c r="G379" s="81"/>
      <c r="H379" s="160">
        <v>35</v>
      </c>
      <c r="I379" s="160">
        <f t="shared" ref="I379:I398" si="78">+ROUND(E379*F379,2)</f>
        <v>43575</v>
      </c>
      <c r="J379" s="150">
        <f t="shared" ref="J379:J398" si="79">+ROUND(E379*G379,2)</f>
        <v>0</v>
      </c>
      <c r="K379" s="73">
        <v>43575</v>
      </c>
      <c r="L379" s="575"/>
      <c r="M379" s="608">
        <v>35</v>
      </c>
      <c r="N379" s="609">
        <f t="shared" si="71"/>
        <v>43575</v>
      </c>
      <c r="O379" s="615">
        <v>0</v>
      </c>
      <c r="P379" s="616">
        <f t="shared" si="72"/>
        <v>0</v>
      </c>
    </row>
    <row r="380" spans="2:16" ht="14.1" customHeight="1" outlineLevel="4">
      <c r="B380" s="104">
        <f t="shared" si="77"/>
        <v>6.1303039999999971</v>
      </c>
      <c r="C380" s="273" t="s">
        <v>1144</v>
      </c>
      <c r="D380" s="64" t="s">
        <v>36</v>
      </c>
      <c r="E380" s="87">
        <v>1018</v>
      </c>
      <c r="F380" s="73">
        <v>22</v>
      </c>
      <c r="G380" s="81"/>
      <c r="H380" s="160">
        <v>22</v>
      </c>
      <c r="I380" s="160">
        <f t="shared" si="78"/>
        <v>22396</v>
      </c>
      <c r="J380" s="150">
        <f t="shared" si="79"/>
        <v>0</v>
      </c>
      <c r="K380" s="73">
        <v>22396</v>
      </c>
      <c r="L380" s="575"/>
      <c r="M380" s="608">
        <v>22</v>
      </c>
      <c r="N380" s="609">
        <f t="shared" si="71"/>
        <v>22396</v>
      </c>
      <c r="O380" s="615">
        <v>0</v>
      </c>
      <c r="P380" s="616">
        <f t="shared" si="72"/>
        <v>0</v>
      </c>
    </row>
    <row r="381" spans="2:16" ht="14.1" customHeight="1" outlineLevel="1">
      <c r="B381" s="101">
        <f>B376+0.0001</f>
        <v>6.1303999999999963</v>
      </c>
      <c r="C381" s="282" t="s">
        <v>1145</v>
      </c>
      <c r="D381" s="64"/>
      <c r="E381" s="87"/>
      <c r="F381" s="73" t="s">
        <v>7</v>
      </c>
      <c r="G381" s="81"/>
      <c r="H381" s="160"/>
      <c r="I381" s="160"/>
      <c r="J381" s="150"/>
      <c r="K381" s="73">
        <v>0</v>
      </c>
      <c r="L381" s="537">
        <v>290455.5</v>
      </c>
      <c r="M381" s="591"/>
      <c r="N381" s="571"/>
      <c r="O381" s="571"/>
      <c r="P381" s="592"/>
    </row>
    <row r="382" spans="2:16" ht="14.1" customHeight="1" outlineLevel="1">
      <c r="B382" s="102">
        <v>6.1103009999999971</v>
      </c>
      <c r="C382" s="452" t="s">
        <v>990</v>
      </c>
      <c r="D382" s="437"/>
      <c r="E382" s="442"/>
      <c r="F382" s="73"/>
      <c r="G382" s="81"/>
      <c r="H382" s="160"/>
      <c r="I382" s="160"/>
      <c r="J382" s="150"/>
      <c r="K382" s="73">
        <v>0</v>
      </c>
      <c r="L382" s="575"/>
      <c r="M382" s="586"/>
      <c r="N382" s="570"/>
      <c r="O382" s="570"/>
      <c r="P382" s="587"/>
    </row>
    <row r="383" spans="2:16" ht="14.1" customHeight="1" outlineLevel="1">
      <c r="B383" s="102">
        <v>6.110301009999997</v>
      </c>
      <c r="C383" s="293" t="s">
        <v>1146</v>
      </c>
      <c r="D383" s="437"/>
      <c r="E383" s="442"/>
      <c r="F383" s="73"/>
      <c r="G383" s="81"/>
      <c r="H383" s="160"/>
      <c r="I383" s="160"/>
      <c r="J383" s="150"/>
      <c r="K383" s="73">
        <v>0</v>
      </c>
      <c r="L383" s="575"/>
      <c r="M383" s="586"/>
      <c r="N383" s="570"/>
      <c r="O383" s="570"/>
      <c r="P383" s="587"/>
    </row>
    <row r="384" spans="2:16" ht="14.1" customHeight="1" outlineLevel="1">
      <c r="B384" s="102">
        <v>6.110301010099997</v>
      </c>
      <c r="C384" s="454" t="s">
        <v>1147</v>
      </c>
      <c r="D384" s="437" t="s">
        <v>36</v>
      </c>
      <c r="E384" s="442">
        <v>92</v>
      </c>
      <c r="F384" s="73"/>
      <c r="G384" s="81">
        <v>177</v>
      </c>
      <c r="H384" s="160">
        <v>663.75</v>
      </c>
      <c r="I384" s="160">
        <f t="shared" ref="I384:I394" si="80">+ROUND(E384*F384,2)</f>
        <v>0</v>
      </c>
      <c r="J384" s="150">
        <f t="shared" ref="J384:J394" si="81">+ROUND(E384*G384,2)</f>
        <v>16284</v>
      </c>
      <c r="K384" s="73">
        <v>61065</v>
      </c>
      <c r="L384" s="575"/>
      <c r="M384" s="586"/>
      <c r="N384" s="570"/>
      <c r="O384" s="570"/>
      <c r="P384" s="587"/>
    </row>
    <row r="385" spans="2:16" ht="14.1" customHeight="1" outlineLevel="1">
      <c r="B385" s="102">
        <v>6.1103010101999971</v>
      </c>
      <c r="C385" s="454" t="s">
        <v>1148</v>
      </c>
      <c r="D385" s="437" t="s">
        <v>36</v>
      </c>
      <c r="E385" s="442">
        <v>28</v>
      </c>
      <c r="F385" s="73"/>
      <c r="G385" s="81">
        <v>334</v>
      </c>
      <c r="H385" s="160">
        <v>1252.5</v>
      </c>
      <c r="I385" s="160">
        <f t="shared" si="80"/>
        <v>0</v>
      </c>
      <c r="J385" s="150">
        <f t="shared" si="81"/>
        <v>9352</v>
      </c>
      <c r="K385" s="73">
        <v>35070</v>
      </c>
      <c r="L385" s="575"/>
      <c r="M385" s="586"/>
      <c r="N385" s="570"/>
      <c r="O385" s="570"/>
      <c r="P385" s="587"/>
    </row>
    <row r="386" spans="2:16" ht="14.1" customHeight="1" outlineLevel="1">
      <c r="B386" s="102">
        <v>6.1103010102999971</v>
      </c>
      <c r="C386" s="454" t="s">
        <v>1149</v>
      </c>
      <c r="D386" s="437" t="s">
        <v>36</v>
      </c>
      <c r="E386" s="442">
        <v>116</v>
      </c>
      <c r="F386" s="73"/>
      <c r="G386" s="81">
        <v>362</v>
      </c>
      <c r="H386" s="160">
        <v>1357.5</v>
      </c>
      <c r="I386" s="160">
        <f t="shared" si="80"/>
        <v>0</v>
      </c>
      <c r="J386" s="150">
        <f t="shared" si="81"/>
        <v>41992</v>
      </c>
      <c r="K386" s="73">
        <v>157470</v>
      </c>
      <c r="L386" s="575"/>
      <c r="M386" s="586"/>
      <c r="N386" s="570"/>
      <c r="O386" s="570"/>
      <c r="P386" s="587"/>
    </row>
    <row r="387" spans="2:16" ht="14.1" customHeight="1" outlineLevel="1">
      <c r="B387" s="102">
        <v>6.1103010103999971</v>
      </c>
      <c r="C387" s="454" t="s">
        <v>1150</v>
      </c>
      <c r="D387" s="437" t="s">
        <v>36</v>
      </c>
      <c r="E387" s="442">
        <v>1</v>
      </c>
      <c r="F387" s="73"/>
      <c r="G387" s="81">
        <v>368</v>
      </c>
      <c r="H387" s="160">
        <v>1380</v>
      </c>
      <c r="I387" s="160">
        <f t="shared" si="80"/>
        <v>0</v>
      </c>
      <c r="J387" s="150">
        <f t="shared" si="81"/>
        <v>368</v>
      </c>
      <c r="K387" s="73">
        <v>1380</v>
      </c>
      <c r="L387" s="575"/>
      <c r="M387" s="586"/>
      <c r="N387" s="570"/>
      <c r="O387" s="570"/>
      <c r="P387" s="587"/>
    </row>
    <row r="388" spans="2:16" ht="14.1" customHeight="1" outlineLevel="1">
      <c r="B388" s="102">
        <v>6.1103019999999972</v>
      </c>
      <c r="C388" s="452" t="s">
        <v>1084</v>
      </c>
      <c r="D388" s="437"/>
      <c r="E388" s="442"/>
      <c r="F388" s="73"/>
      <c r="G388" s="81"/>
      <c r="H388" s="160">
        <v>0</v>
      </c>
      <c r="I388" s="160">
        <f t="shared" si="80"/>
        <v>0</v>
      </c>
      <c r="J388" s="150">
        <f t="shared" si="81"/>
        <v>0</v>
      </c>
      <c r="K388" s="73">
        <v>0</v>
      </c>
      <c r="L388" s="575"/>
      <c r="M388" s="586"/>
      <c r="N388" s="570"/>
      <c r="O388" s="570"/>
      <c r="P388" s="587"/>
    </row>
    <row r="389" spans="2:16" ht="14.1" customHeight="1" outlineLevel="1">
      <c r="B389" s="102">
        <v>6.1103020099999972</v>
      </c>
      <c r="C389" s="293" t="s">
        <v>1151</v>
      </c>
      <c r="D389" s="437"/>
      <c r="E389" s="442"/>
      <c r="F389" s="73"/>
      <c r="G389" s="81"/>
      <c r="H389" s="160">
        <v>0</v>
      </c>
      <c r="I389" s="160">
        <f t="shared" si="80"/>
        <v>0</v>
      </c>
      <c r="J389" s="150">
        <f t="shared" si="81"/>
        <v>0</v>
      </c>
      <c r="K389" s="73">
        <v>0</v>
      </c>
      <c r="L389" s="575"/>
      <c r="M389" s="586"/>
      <c r="N389" s="570"/>
      <c r="O389" s="570"/>
      <c r="P389" s="587"/>
    </row>
    <row r="390" spans="2:16" ht="14.1" customHeight="1" outlineLevel="1">
      <c r="B390" s="102">
        <v>6.1103020100999972</v>
      </c>
      <c r="C390" s="454" t="s">
        <v>1152</v>
      </c>
      <c r="D390" s="437" t="s">
        <v>36</v>
      </c>
      <c r="E390" s="442">
        <v>24</v>
      </c>
      <c r="F390" s="73"/>
      <c r="G390" s="81">
        <v>185.4</v>
      </c>
      <c r="H390" s="160">
        <v>695.25</v>
      </c>
      <c r="I390" s="160">
        <f t="shared" si="80"/>
        <v>0</v>
      </c>
      <c r="J390" s="150">
        <f t="shared" si="81"/>
        <v>4449.6000000000004</v>
      </c>
      <c r="K390" s="73">
        <v>16686</v>
      </c>
      <c r="L390" s="575"/>
      <c r="M390" s="586"/>
      <c r="N390" s="570"/>
      <c r="O390" s="570"/>
      <c r="P390" s="587"/>
    </row>
    <row r="391" spans="2:16" ht="14.1" customHeight="1" outlineLevel="1">
      <c r="B391" s="102">
        <v>6.1103020101999972</v>
      </c>
      <c r="C391" s="454" t="s">
        <v>1153</v>
      </c>
      <c r="D391" s="437" t="s">
        <v>36</v>
      </c>
      <c r="E391" s="442">
        <v>1</v>
      </c>
      <c r="F391" s="73"/>
      <c r="G391" s="81">
        <v>177</v>
      </c>
      <c r="H391" s="160">
        <v>663.75</v>
      </c>
      <c r="I391" s="160">
        <f t="shared" si="80"/>
        <v>0</v>
      </c>
      <c r="J391" s="150">
        <f t="shared" si="81"/>
        <v>177</v>
      </c>
      <c r="K391" s="73">
        <v>663.75</v>
      </c>
      <c r="L391" s="575"/>
      <c r="M391" s="586"/>
      <c r="N391" s="570"/>
      <c r="O391" s="570"/>
      <c r="P391" s="587"/>
    </row>
    <row r="392" spans="2:16" ht="14.1" customHeight="1" outlineLevel="1">
      <c r="B392" s="102">
        <v>6.1103020102999972</v>
      </c>
      <c r="C392" s="454" t="s">
        <v>1154</v>
      </c>
      <c r="D392" s="437" t="s">
        <v>36</v>
      </c>
      <c r="E392" s="442">
        <v>25</v>
      </c>
      <c r="F392" s="73"/>
      <c r="G392" s="81">
        <v>179.2</v>
      </c>
      <c r="H392" s="160">
        <v>672</v>
      </c>
      <c r="I392" s="160">
        <f t="shared" si="80"/>
        <v>0</v>
      </c>
      <c r="J392" s="150">
        <f t="shared" si="81"/>
        <v>4480</v>
      </c>
      <c r="K392" s="73">
        <v>16800</v>
      </c>
      <c r="L392" s="575"/>
      <c r="M392" s="586"/>
      <c r="N392" s="570"/>
      <c r="O392" s="570"/>
      <c r="P392" s="587"/>
    </row>
    <row r="393" spans="2:16" ht="14.1" customHeight="1" outlineLevel="1">
      <c r="B393" s="102">
        <v>6.1103020103999972</v>
      </c>
      <c r="C393" s="454" t="s">
        <v>1155</v>
      </c>
      <c r="D393" s="437" t="s">
        <v>36</v>
      </c>
      <c r="E393" s="442">
        <v>1</v>
      </c>
      <c r="F393" s="73"/>
      <c r="G393" s="81">
        <v>222</v>
      </c>
      <c r="H393" s="160">
        <v>832.5</v>
      </c>
      <c r="I393" s="160">
        <f t="shared" si="80"/>
        <v>0</v>
      </c>
      <c r="J393" s="150">
        <f t="shared" si="81"/>
        <v>222</v>
      </c>
      <c r="K393" s="73">
        <v>832.5</v>
      </c>
      <c r="L393" s="575"/>
      <c r="M393" s="586"/>
      <c r="N393" s="570"/>
      <c r="O393" s="570"/>
      <c r="P393" s="587"/>
    </row>
    <row r="394" spans="2:16" ht="14.1" customHeight="1" outlineLevel="1">
      <c r="B394" s="102">
        <v>6.1103020104999972</v>
      </c>
      <c r="C394" s="454" t="s">
        <v>1156</v>
      </c>
      <c r="D394" s="437" t="s">
        <v>36</v>
      </c>
      <c r="E394" s="442">
        <v>1</v>
      </c>
      <c r="F394" s="73"/>
      <c r="G394" s="81">
        <v>130.19999999999999</v>
      </c>
      <c r="H394" s="160">
        <v>488.25</v>
      </c>
      <c r="I394" s="160">
        <f t="shared" si="80"/>
        <v>0</v>
      </c>
      <c r="J394" s="150">
        <f t="shared" si="81"/>
        <v>130.19999999999999</v>
      </c>
      <c r="K394" s="73">
        <v>488.25</v>
      </c>
      <c r="L394" s="575"/>
      <c r="M394" s="586"/>
      <c r="N394" s="570"/>
      <c r="O394" s="570"/>
      <c r="P394" s="587"/>
    </row>
    <row r="395" spans="2:16" ht="13.5" customHeight="1">
      <c r="B395" s="164">
        <f>B346+0.01</f>
        <v>6.139999999999997</v>
      </c>
      <c r="C395" s="279" t="s">
        <v>775</v>
      </c>
      <c r="D395" s="280"/>
      <c r="E395" s="87"/>
      <c r="F395" s="93" t="s">
        <v>7</v>
      </c>
      <c r="G395" s="95"/>
      <c r="H395" s="160"/>
      <c r="I395" s="160"/>
      <c r="J395" s="150"/>
      <c r="K395" s="73">
        <v>0</v>
      </c>
      <c r="L395" s="537">
        <v>54996.240000000005</v>
      </c>
      <c r="M395" s="591"/>
      <c r="N395" s="571"/>
      <c r="O395" s="571"/>
      <c r="P395" s="592"/>
    </row>
    <row r="396" spans="2:16" ht="14.1" customHeight="1" outlineLevel="1">
      <c r="B396" s="294">
        <f>B395+0.0001</f>
        <v>6.1400999999999968</v>
      </c>
      <c r="C396" s="273" t="s">
        <v>1157</v>
      </c>
      <c r="D396" s="64" t="s">
        <v>36</v>
      </c>
      <c r="E396" s="87">
        <v>237</v>
      </c>
      <c r="F396" s="73">
        <v>118.12</v>
      </c>
      <c r="G396" s="81"/>
      <c r="H396" s="160">
        <v>118.12</v>
      </c>
      <c r="I396" s="160">
        <f t="shared" si="78"/>
        <v>27994.44</v>
      </c>
      <c r="J396" s="150">
        <f t="shared" si="79"/>
        <v>0</v>
      </c>
      <c r="K396" s="73">
        <v>27994.44</v>
      </c>
      <c r="L396" s="575"/>
      <c r="M396" s="586"/>
      <c r="N396" s="570"/>
      <c r="O396" s="570"/>
      <c r="P396" s="587"/>
    </row>
    <row r="397" spans="2:16" ht="14.1" customHeight="1" outlineLevel="1">
      <c r="B397" s="294">
        <f>B396+0.0001</f>
        <v>6.1401999999999965</v>
      </c>
      <c r="C397" s="273" t="s">
        <v>1158</v>
      </c>
      <c r="D397" s="64" t="s">
        <v>36</v>
      </c>
      <c r="E397" s="87">
        <v>559</v>
      </c>
      <c r="F397" s="73">
        <v>27.4</v>
      </c>
      <c r="G397" s="81"/>
      <c r="H397" s="160">
        <v>27.4</v>
      </c>
      <c r="I397" s="160">
        <f t="shared" si="78"/>
        <v>15316.6</v>
      </c>
      <c r="J397" s="150">
        <f t="shared" si="79"/>
        <v>0</v>
      </c>
      <c r="K397" s="73">
        <v>15316.6</v>
      </c>
      <c r="L397" s="575"/>
      <c r="M397" s="586"/>
      <c r="N397" s="570"/>
      <c r="O397" s="570"/>
      <c r="P397" s="587"/>
    </row>
    <row r="398" spans="2:16" ht="14.1" customHeight="1" outlineLevel="1">
      <c r="B398" s="294">
        <f>B397+0.0001</f>
        <v>6.1402999999999963</v>
      </c>
      <c r="C398" s="273" t="s">
        <v>1159</v>
      </c>
      <c r="D398" s="64" t="s">
        <v>36</v>
      </c>
      <c r="E398" s="87">
        <v>446</v>
      </c>
      <c r="F398" s="73">
        <v>26.2</v>
      </c>
      <c r="G398" s="81"/>
      <c r="H398" s="160">
        <v>26.2</v>
      </c>
      <c r="I398" s="160">
        <f t="shared" si="78"/>
        <v>11685.2</v>
      </c>
      <c r="J398" s="150">
        <f t="shared" si="79"/>
        <v>0</v>
      </c>
      <c r="K398" s="73">
        <v>11685.2</v>
      </c>
      <c r="L398" s="575"/>
      <c r="M398" s="586"/>
      <c r="N398" s="570"/>
      <c r="O398" s="570"/>
      <c r="P398" s="587"/>
    </row>
    <row r="399" spans="2:16" ht="13.5" customHeight="1">
      <c r="B399" s="164">
        <f>B395+0.01</f>
        <v>6.1499999999999968</v>
      </c>
      <c r="C399" s="279" t="s">
        <v>1160</v>
      </c>
      <c r="D399" s="280"/>
      <c r="E399" s="87"/>
      <c r="F399" s="93" t="s">
        <v>7</v>
      </c>
      <c r="G399" s="95"/>
      <c r="H399" s="160"/>
      <c r="I399" s="160"/>
      <c r="J399" s="150"/>
      <c r="K399" s="73">
        <v>0</v>
      </c>
      <c r="L399" s="537">
        <v>1042945.0499999999</v>
      </c>
      <c r="M399" s="591"/>
      <c r="N399" s="571"/>
      <c r="O399" s="571"/>
      <c r="P399" s="592"/>
    </row>
    <row r="400" spans="2:16" ht="13.5" customHeight="1">
      <c r="B400" s="294">
        <f>B399+0.0001</f>
        <v>6.1500999999999966</v>
      </c>
      <c r="C400" s="273" t="s">
        <v>1161</v>
      </c>
      <c r="D400" s="64" t="s">
        <v>36</v>
      </c>
      <c r="E400" s="87">
        <v>1</v>
      </c>
      <c r="F400" s="73"/>
      <c r="G400" s="81">
        <v>1053.05</v>
      </c>
      <c r="H400" s="160">
        <v>3948.94</v>
      </c>
      <c r="I400" s="160">
        <f t="shared" ref="I400" si="82">+ROUND(E400*F400,2)</f>
        <v>0</v>
      </c>
      <c r="J400" s="150">
        <f t="shared" ref="J400" si="83">+ROUND(E400*G400,2)</f>
        <v>1053.05</v>
      </c>
      <c r="K400" s="73">
        <v>3948.94</v>
      </c>
      <c r="L400" s="575"/>
      <c r="M400" s="586"/>
      <c r="N400" s="570"/>
      <c r="O400" s="610">
        <v>1053.05</v>
      </c>
      <c r="P400" s="611">
        <f>+O400*E400</f>
        <v>1053.05</v>
      </c>
    </row>
    <row r="401" spans="2:16" ht="13.5" customHeight="1">
      <c r="B401" s="294">
        <f t="shared" ref="B401:B464" si="84">B400+0.0001</f>
        <v>6.1501999999999963</v>
      </c>
      <c r="C401" s="273" t="s">
        <v>1162</v>
      </c>
      <c r="D401" s="64" t="s">
        <v>36</v>
      </c>
      <c r="E401" s="87">
        <v>1</v>
      </c>
      <c r="F401" s="73"/>
      <c r="G401" s="81">
        <v>1113.5999999999999</v>
      </c>
      <c r="H401" s="160">
        <v>4176</v>
      </c>
      <c r="I401" s="160">
        <f t="shared" ref="I401:I416" si="85">+ROUND(E401*F401,2)</f>
        <v>0</v>
      </c>
      <c r="J401" s="150">
        <f t="shared" ref="J401:J416" si="86">+ROUND(E401*G401,2)</f>
        <v>1113.5999999999999</v>
      </c>
      <c r="K401" s="73">
        <v>4176</v>
      </c>
      <c r="L401" s="575"/>
      <c r="M401" s="586"/>
      <c r="N401" s="570"/>
      <c r="O401" s="610">
        <v>1113.5999999999999</v>
      </c>
      <c r="P401" s="611">
        <f t="shared" ref="P401:P417" si="87">+O401*E401</f>
        <v>1113.5999999999999</v>
      </c>
    </row>
    <row r="402" spans="2:16" ht="13.5" customHeight="1">
      <c r="B402" s="294">
        <f t="shared" si="84"/>
        <v>6.1502999999999961</v>
      </c>
      <c r="C402" s="273" t="s">
        <v>1163</v>
      </c>
      <c r="D402" s="64" t="s">
        <v>36</v>
      </c>
      <c r="E402" s="87">
        <v>1</v>
      </c>
      <c r="F402" s="73"/>
      <c r="G402" s="81">
        <v>1113.5999999999999</v>
      </c>
      <c r="H402" s="160">
        <v>4176</v>
      </c>
      <c r="I402" s="160">
        <f t="shared" si="85"/>
        <v>0</v>
      </c>
      <c r="J402" s="150">
        <f t="shared" si="86"/>
        <v>1113.5999999999999</v>
      </c>
      <c r="K402" s="73">
        <v>4176</v>
      </c>
      <c r="L402" s="575"/>
      <c r="M402" s="586"/>
      <c r="N402" s="570"/>
      <c r="O402" s="610">
        <v>1113.5999999999999</v>
      </c>
      <c r="P402" s="611">
        <f t="shared" si="87"/>
        <v>1113.5999999999999</v>
      </c>
    </row>
    <row r="403" spans="2:16" ht="13.5" customHeight="1">
      <c r="B403" s="294">
        <f t="shared" si="84"/>
        <v>6.1503999999999959</v>
      </c>
      <c r="C403" s="273" t="s">
        <v>1164</v>
      </c>
      <c r="D403" s="64" t="s">
        <v>36</v>
      </c>
      <c r="E403" s="87">
        <v>1</v>
      </c>
      <c r="F403" s="73"/>
      <c r="G403" s="81">
        <v>1120.44</v>
      </c>
      <c r="H403" s="160">
        <v>4201.6499999999996</v>
      </c>
      <c r="I403" s="160">
        <f t="shared" si="85"/>
        <v>0</v>
      </c>
      <c r="J403" s="150">
        <f t="shared" si="86"/>
        <v>1120.44</v>
      </c>
      <c r="K403" s="73">
        <v>4201.6499999999996</v>
      </c>
      <c r="L403" s="575"/>
      <c r="M403" s="586"/>
      <c r="N403" s="570"/>
      <c r="O403" s="610">
        <v>1120.44</v>
      </c>
      <c r="P403" s="611">
        <f t="shared" si="87"/>
        <v>1120.44</v>
      </c>
    </row>
    <row r="404" spans="2:16" ht="13.5" customHeight="1">
      <c r="B404" s="294">
        <f t="shared" si="84"/>
        <v>6.1504999999999956</v>
      </c>
      <c r="C404" s="273" t="s">
        <v>1165</v>
      </c>
      <c r="D404" s="64" t="s">
        <v>36</v>
      </c>
      <c r="E404" s="87">
        <v>1</v>
      </c>
      <c r="F404" s="73"/>
      <c r="G404" s="81">
        <v>1102.1099999999999</v>
      </c>
      <c r="H404" s="160">
        <v>4132.91</v>
      </c>
      <c r="I404" s="160">
        <f t="shared" si="85"/>
        <v>0</v>
      </c>
      <c r="J404" s="150">
        <f t="shared" si="86"/>
        <v>1102.1099999999999</v>
      </c>
      <c r="K404" s="73">
        <v>4132.91</v>
      </c>
      <c r="L404" s="575"/>
      <c r="M404" s="586"/>
      <c r="N404" s="570"/>
      <c r="O404" s="610">
        <v>1102.1099999999999</v>
      </c>
      <c r="P404" s="611">
        <f t="shared" si="87"/>
        <v>1102.1099999999999</v>
      </c>
    </row>
    <row r="405" spans="2:16" ht="13.5" customHeight="1">
      <c r="B405" s="294">
        <f t="shared" si="84"/>
        <v>6.1505999999999954</v>
      </c>
      <c r="C405" s="273" t="s">
        <v>1166</v>
      </c>
      <c r="D405" s="64" t="s">
        <v>36</v>
      </c>
      <c r="E405" s="87">
        <v>1</v>
      </c>
      <c r="F405" s="73"/>
      <c r="G405" s="81">
        <v>1118.8699999999999</v>
      </c>
      <c r="H405" s="160">
        <v>4195.76</v>
      </c>
      <c r="I405" s="160">
        <f t="shared" si="85"/>
        <v>0</v>
      </c>
      <c r="J405" s="150">
        <f t="shared" si="86"/>
        <v>1118.8699999999999</v>
      </c>
      <c r="K405" s="73">
        <v>4195.76</v>
      </c>
      <c r="L405" s="575"/>
      <c r="M405" s="586"/>
      <c r="N405" s="570"/>
      <c r="O405" s="610">
        <v>1118.8699999999999</v>
      </c>
      <c r="P405" s="611">
        <f t="shared" si="87"/>
        <v>1118.8699999999999</v>
      </c>
    </row>
    <row r="406" spans="2:16" ht="13.5" customHeight="1">
      <c r="B406" s="294">
        <f t="shared" si="84"/>
        <v>6.1506999999999952</v>
      </c>
      <c r="C406" s="273" t="s">
        <v>1167</v>
      </c>
      <c r="D406" s="64" t="s">
        <v>36</v>
      </c>
      <c r="E406" s="87">
        <v>1</v>
      </c>
      <c r="F406" s="73"/>
      <c r="G406" s="81">
        <v>1422.96</v>
      </c>
      <c r="H406" s="160">
        <v>5336.1</v>
      </c>
      <c r="I406" s="160">
        <f t="shared" si="85"/>
        <v>0</v>
      </c>
      <c r="J406" s="150">
        <f t="shared" si="86"/>
        <v>1422.96</v>
      </c>
      <c r="K406" s="73">
        <v>5336.1</v>
      </c>
      <c r="L406" s="575"/>
      <c r="M406" s="586"/>
      <c r="N406" s="570"/>
      <c r="O406" s="610">
        <v>1422.96</v>
      </c>
      <c r="P406" s="611">
        <f t="shared" si="87"/>
        <v>1422.96</v>
      </c>
    </row>
    <row r="407" spans="2:16" ht="13.5" customHeight="1">
      <c r="B407" s="294">
        <f t="shared" si="84"/>
        <v>6.1507999999999949</v>
      </c>
      <c r="C407" s="273" t="s">
        <v>1168</v>
      </c>
      <c r="D407" s="64" t="s">
        <v>36</v>
      </c>
      <c r="E407" s="87">
        <v>23</v>
      </c>
      <c r="F407" s="73"/>
      <c r="G407" s="81">
        <v>1327.36</v>
      </c>
      <c r="H407" s="160">
        <v>4977.6000000000004</v>
      </c>
      <c r="I407" s="160">
        <f t="shared" si="85"/>
        <v>0</v>
      </c>
      <c r="J407" s="150">
        <f t="shared" si="86"/>
        <v>30529.279999999999</v>
      </c>
      <c r="K407" s="73">
        <v>114484.8</v>
      </c>
      <c r="L407" s="575"/>
      <c r="M407" s="586"/>
      <c r="N407" s="570"/>
      <c r="O407" s="610">
        <v>1327.36</v>
      </c>
      <c r="P407" s="611">
        <f t="shared" si="87"/>
        <v>30529.279999999999</v>
      </c>
    </row>
    <row r="408" spans="2:16" ht="13.5" customHeight="1">
      <c r="B408" s="294">
        <f t="shared" si="84"/>
        <v>6.1508999999999947</v>
      </c>
      <c r="C408" s="273" t="s">
        <v>1169</v>
      </c>
      <c r="D408" s="64" t="s">
        <v>36</v>
      </c>
      <c r="E408" s="87">
        <v>23</v>
      </c>
      <c r="F408" s="73"/>
      <c r="G408" s="81">
        <v>1271.67</v>
      </c>
      <c r="H408" s="160">
        <v>4768.76</v>
      </c>
      <c r="I408" s="160">
        <f t="shared" si="85"/>
        <v>0</v>
      </c>
      <c r="J408" s="150">
        <f t="shared" si="86"/>
        <v>29248.41</v>
      </c>
      <c r="K408" s="73">
        <v>109681.54</v>
      </c>
      <c r="L408" s="575"/>
      <c r="M408" s="586"/>
      <c r="N408" s="570"/>
      <c r="O408" s="610">
        <v>1271.67</v>
      </c>
      <c r="P408" s="611">
        <f t="shared" si="87"/>
        <v>29248.410000000003</v>
      </c>
    </row>
    <row r="409" spans="2:16" ht="13.5" customHeight="1">
      <c r="B409" s="294">
        <f t="shared" si="84"/>
        <v>6.1509999999999945</v>
      </c>
      <c r="C409" s="273" t="s">
        <v>1170</v>
      </c>
      <c r="D409" s="64" t="s">
        <v>36</v>
      </c>
      <c r="E409" s="87">
        <v>23</v>
      </c>
      <c r="F409" s="73"/>
      <c r="G409" s="81">
        <v>1300.52</v>
      </c>
      <c r="H409" s="160">
        <v>4876.95</v>
      </c>
      <c r="I409" s="160">
        <f t="shared" si="85"/>
        <v>0</v>
      </c>
      <c r="J409" s="150">
        <f t="shared" si="86"/>
        <v>29911.96</v>
      </c>
      <c r="K409" s="73">
        <v>112169.85</v>
      </c>
      <c r="L409" s="575"/>
      <c r="M409" s="586"/>
      <c r="N409" s="570"/>
      <c r="O409" s="610">
        <v>1300.52</v>
      </c>
      <c r="P409" s="611">
        <f t="shared" si="87"/>
        <v>29911.96</v>
      </c>
    </row>
    <row r="410" spans="2:16" ht="13.5" customHeight="1">
      <c r="B410" s="294">
        <f t="shared" si="84"/>
        <v>6.1510999999999942</v>
      </c>
      <c r="C410" s="273" t="s">
        <v>1171</v>
      </c>
      <c r="D410" s="64" t="s">
        <v>36</v>
      </c>
      <c r="E410" s="87">
        <v>23</v>
      </c>
      <c r="F410" s="73"/>
      <c r="G410" s="81">
        <v>1300.6099999999999</v>
      </c>
      <c r="H410" s="160">
        <v>4877.29</v>
      </c>
      <c r="I410" s="160">
        <f t="shared" si="85"/>
        <v>0</v>
      </c>
      <c r="J410" s="150">
        <f t="shared" si="86"/>
        <v>29914.03</v>
      </c>
      <c r="K410" s="73">
        <v>112177.61</v>
      </c>
      <c r="L410" s="575"/>
      <c r="M410" s="586"/>
      <c r="N410" s="570"/>
      <c r="O410" s="610">
        <v>1300.6099999999999</v>
      </c>
      <c r="P410" s="611">
        <f t="shared" si="87"/>
        <v>29914.03</v>
      </c>
    </row>
    <row r="411" spans="2:16" ht="13.5" customHeight="1">
      <c r="B411" s="294">
        <f t="shared" si="84"/>
        <v>6.151199999999994</v>
      </c>
      <c r="C411" s="273" t="s">
        <v>1172</v>
      </c>
      <c r="D411" s="64" t="s">
        <v>36</v>
      </c>
      <c r="E411" s="87">
        <v>23</v>
      </c>
      <c r="F411" s="73"/>
      <c r="G411" s="81">
        <v>1067.74</v>
      </c>
      <c r="H411" s="160">
        <v>4004.03</v>
      </c>
      <c r="I411" s="160">
        <f t="shared" si="85"/>
        <v>0</v>
      </c>
      <c r="J411" s="150">
        <f t="shared" si="86"/>
        <v>24558.02</v>
      </c>
      <c r="K411" s="73">
        <v>92092.58</v>
      </c>
      <c r="L411" s="575"/>
      <c r="M411" s="586"/>
      <c r="N411" s="570"/>
      <c r="O411" s="610">
        <v>1067.74</v>
      </c>
      <c r="P411" s="611">
        <f t="shared" si="87"/>
        <v>24558.02</v>
      </c>
    </row>
    <row r="412" spans="2:16" ht="13.5" customHeight="1">
      <c r="B412" s="294">
        <f t="shared" si="84"/>
        <v>6.1512999999999938</v>
      </c>
      <c r="C412" s="273" t="s">
        <v>1173</v>
      </c>
      <c r="D412" s="64" t="s">
        <v>36</v>
      </c>
      <c r="E412" s="87">
        <v>23</v>
      </c>
      <c r="F412" s="73"/>
      <c r="G412" s="81">
        <v>1089.75</v>
      </c>
      <c r="H412" s="160">
        <v>4086.56</v>
      </c>
      <c r="I412" s="160">
        <f t="shared" si="85"/>
        <v>0</v>
      </c>
      <c r="J412" s="150">
        <f t="shared" si="86"/>
        <v>25064.25</v>
      </c>
      <c r="K412" s="73">
        <v>93990.94</v>
      </c>
      <c r="L412" s="575"/>
      <c r="M412" s="586"/>
      <c r="N412" s="570"/>
      <c r="O412" s="610">
        <v>1089.75</v>
      </c>
      <c r="P412" s="611">
        <f t="shared" si="87"/>
        <v>25064.25</v>
      </c>
    </row>
    <row r="413" spans="2:16" ht="13.5" customHeight="1">
      <c r="B413" s="294">
        <f t="shared" si="84"/>
        <v>6.1513999999999935</v>
      </c>
      <c r="C413" s="273" t="s">
        <v>1174</v>
      </c>
      <c r="D413" s="64" t="s">
        <v>36</v>
      </c>
      <c r="E413" s="87">
        <v>23</v>
      </c>
      <c r="F413" s="73"/>
      <c r="G413" s="81">
        <v>959.53</v>
      </c>
      <c r="H413" s="160">
        <v>3598.24</v>
      </c>
      <c r="I413" s="160">
        <f t="shared" si="85"/>
        <v>0</v>
      </c>
      <c r="J413" s="150">
        <f t="shared" si="86"/>
        <v>22069.19</v>
      </c>
      <c r="K413" s="73">
        <v>82759.460000000006</v>
      </c>
      <c r="L413" s="575"/>
      <c r="M413" s="586"/>
      <c r="N413" s="570"/>
      <c r="O413" s="610">
        <v>959.53</v>
      </c>
      <c r="P413" s="611">
        <f t="shared" si="87"/>
        <v>22069.19</v>
      </c>
    </row>
    <row r="414" spans="2:16" ht="13.5" customHeight="1">
      <c r="B414" s="294">
        <f t="shared" si="84"/>
        <v>6.1514999999999933</v>
      </c>
      <c r="C414" s="273" t="s">
        <v>1175</v>
      </c>
      <c r="D414" s="64" t="s">
        <v>36</v>
      </c>
      <c r="E414" s="87">
        <v>23</v>
      </c>
      <c r="F414" s="73"/>
      <c r="G414" s="81">
        <v>1164.58</v>
      </c>
      <c r="H414" s="160">
        <v>4367.18</v>
      </c>
      <c r="I414" s="160">
        <f t="shared" si="85"/>
        <v>0</v>
      </c>
      <c r="J414" s="150">
        <f t="shared" si="86"/>
        <v>26785.34</v>
      </c>
      <c r="K414" s="73">
        <v>100445.03</v>
      </c>
      <c r="L414" s="575"/>
      <c r="M414" s="586"/>
      <c r="N414" s="570"/>
      <c r="O414" s="610">
        <v>1164.58</v>
      </c>
      <c r="P414" s="611">
        <f t="shared" si="87"/>
        <v>26785.339999999997</v>
      </c>
    </row>
    <row r="415" spans="2:16" ht="13.5" customHeight="1">
      <c r="B415" s="294">
        <f t="shared" si="84"/>
        <v>6.1515999999999931</v>
      </c>
      <c r="C415" s="273" t="s">
        <v>1176</v>
      </c>
      <c r="D415" s="64" t="s">
        <v>36</v>
      </c>
      <c r="E415" s="87">
        <v>23</v>
      </c>
      <c r="F415" s="73"/>
      <c r="G415" s="81">
        <v>1357.78</v>
      </c>
      <c r="H415" s="160">
        <v>5091.68</v>
      </c>
      <c r="I415" s="160">
        <f t="shared" si="85"/>
        <v>0</v>
      </c>
      <c r="J415" s="150">
        <f t="shared" si="86"/>
        <v>31228.94</v>
      </c>
      <c r="K415" s="73">
        <v>117108.53</v>
      </c>
      <c r="L415" s="575"/>
      <c r="M415" s="586"/>
      <c r="N415" s="570"/>
      <c r="O415" s="610">
        <v>1357.78</v>
      </c>
      <c r="P415" s="611">
        <f t="shared" si="87"/>
        <v>31228.94</v>
      </c>
    </row>
    <row r="416" spans="2:16" ht="13.5" customHeight="1">
      <c r="B416" s="294">
        <f t="shared" si="84"/>
        <v>6.1516999999999928</v>
      </c>
      <c r="C416" s="273" t="s">
        <v>1177</v>
      </c>
      <c r="D416" s="64" t="s">
        <v>36</v>
      </c>
      <c r="E416" s="87">
        <v>23</v>
      </c>
      <c r="F416" s="73"/>
      <c r="G416" s="81">
        <v>902.81</v>
      </c>
      <c r="H416" s="160">
        <v>3385.54</v>
      </c>
      <c r="I416" s="160">
        <f t="shared" si="85"/>
        <v>0</v>
      </c>
      <c r="J416" s="150">
        <f t="shared" si="86"/>
        <v>20764.63</v>
      </c>
      <c r="K416" s="73">
        <v>77867.360000000001</v>
      </c>
      <c r="L416" s="575"/>
      <c r="M416" s="586"/>
      <c r="N416" s="570"/>
      <c r="O416" s="610">
        <v>902.81</v>
      </c>
      <c r="P416" s="611">
        <f t="shared" si="87"/>
        <v>20764.629999999997</v>
      </c>
    </row>
    <row r="417" spans="2:16" ht="13.5" customHeight="1">
      <c r="B417" s="164">
        <f>B399+0.01</f>
        <v>6.1599999999999966</v>
      </c>
      <c r="C417" s="279" t="s">
        <v>1178</v>
      </c>
      <c r="D417" s="280"/>
      <c r="E417" s="87"/>
      <c r="F417" s="93" t="s">
        <v>7</v>
      </c>
      <c r="G417" s="95"/>
      <c r="H417" s="160"/>
      <c r="I417" s="160"/>
      <c r="J417" s="150"/>
      <c r="K417" s="73">
        <v>0</v>
      </c>
      <c r="L417" s="537">
        <v>695417.32500000019</v>
      </c>
      <c r="M417" s="591"/>
      <c r="N417" s="571"/>
      <c r="O417" s="610">
        <v>0</v>
      </c>
      <c r="P417" s="611">
        <f t="shared" si="87"/>
        <v>0</v>
      </c>
    </row>
    <row r="418" spans="2:16" ht="14.1" customHeight="1" outlineLevel="1">
      <c r="B418" s="294">
        <f t="shared" si="84"/>
        <v>6.1600999999999964</v>
      </c>
      <c r="C418" s="449" t="s">
        <v>1179</v>
      </c>
      <c r="D418" s="437" t="s">
        <v>36</v>
      </c>
      <c r="E418" s="442">
        <v>0</v>
      </c>
      <c r="F418" s="73"/>
      <c r="G418" s="65"/>
      <c r="H418" s="251"/>
      <c r="I418" s="251"/>
      <c r="J418" s="252"/>
      <c r="K418" s="73">
        <v>0</v>
      </c>
      <c r="L418" s="538"/>
      <c r="M418" s="51"/>
      <c r="O418" s="610">
        <v>0</v>
      </c>
      <c r="P418" s="611">
        <f t="shared" ref="P418:P458" si="88">+O418*E418</f>
        <v>0</v>
      </c>
    </row>
    <row r="419" spans="2:16" ht="14.25" customHeight="1" outlineLevel="1">
      <c r="B419" s="294">
        <f t="shared" si="84"/>
        <v>6.1601999999999961</v>
      </c>
      <c r="C419" s="454" t="s">
        <v>1180</v>
      </c>
      <c r="D419" s="437" t="s">
        <v>36</v>
      </c>
      <c r="E419" s="442">
        <v>0</v>
      </c>
      <c r="F419" s="464"/>
      <c r="G419" s="465"/>
      <c r="H419" s="251"/>
      <c r="I419" s="251"/>
      <c r="J419" s="252"/>
      <c r="K419" s="73">
        <v>0</v>
      </c>
      <c r="L419" s="538"/>
      <c r="M419" s="51"/>
      <c r="O419" s="610">
        <v>0</v>
      </c>
      <c r="P419" s="611">
        <f t="shared" si="88"/>
        <v>0</v>
      </c>
    </row>
    <row r="420" spans="2:16" ht="14.1" customHeight="1" outlineLevel="2">
      <c r="B420" s="294">
        <f t="shared" si="84"/>
        <v>6.1602999999999959</v>
      </c>
      <c r="C420" s="454" t="s">
        <v>1181</v>
      </c>
      <c r="D420" s="437" t="s">
        <v>36</v>
      </c>
      <c r="E420" s="442">
        <v>1</v>
      </c>
      <c r="F420" s="73"/>
      <c r="G420" s="81">
        <v>301.08</v>
      </c>
      <c r="H420" s="160">
        <v>1129.05</v>
      </c>
      <c r="I420" s="160">
        <f t="shared" ref="I420:I458" si="89">+ROUND(E420*F420,2)</f>
        <v>0</v>
      </c>
      <c r="J420" s="150">
        <f t="shared" ref="J420:J458" si="90">+ROUND(E420*G420,2)</f>
        <v>301.08</v>
      </c>
      <c r="K420" s="73">
        <v>1129.05</v>
      </c>
      <c r="L420" s="538"/>
      <c r="M420" s="51"/>
      <c r="O420" s="610">
        <v>301.08</v>
      </c>
      <c r="P420" s="611">
        <f t="shared" si="88"/>
        <v>301.08</v>
      </c>
    </row>
    <row r="421" spans="2:16" ht="15" customHeight="1" outlineLevel="1">
      <c r="B421" s="294">
        <f t="shared" si="84"/>
        <v>6.1603999999999957</v>
      </c>
      <c r="C421" s="454" t="s">
        <v>1182</v>
      </c>
      <c r="D421" s="437" t="s">
        <v>36</v>
      </c>
      <c r="E421" s="442">
        <v>1</v>
      </c>
      <c r="F421" s="464"/>
      <c r="G421" s="81">
        <v>340.71</v>
      </c>
      <c r="H421" s="160">
        <v>1277.6600000000001</v>
      </c>
      <c r="I421" s="160">
        <f t="shared" si="89"/>
        <v>0</v>
      </c>
      <c r="J421" s="150">
        <f t="shared" si="90"/>
        <v>340.71</v>
      </c>
      <c r="K421" s="73">
        <v>1277.6600000000001</v>
      </c>
      <c r="L421" s="538"/>
      <c r="M421" s="51"/>
      <c r="O421" s="610">
        <v>340.71</v>
      </c>
      <c r="P421" s="611">
        <f t="shared" si="88"/>
        <v>340.71</v>
      </c>
    </row>
    <row r="422" spans="2:16" ht="14.1" customHeight="1" outlineLevel="2">
      <c r="B422" s="294">
        <f t="shared" si="84"/>
        <v>6.1604999999999954</v>
      </c>
      <c r="C422" s="454" t="s">
        <v>1183</v>
      </c>
      <c r="D422" s="437" t="s">
        <v>36</v>
      </c>
      <c r="E422" s="442">
        <v>1</v>
      </c>
      <c r="F422" s="73"/>
      <c r="G422" s="81">
        <v>254.19</v>
      </c>
      <c r="H422" s="160">
        <v>953.21</v>
      </c>
      <c r="I422" s="160">
        <f t="shared" si="89"/>
        <v>0</v>
      </c>
      <c r="J422" s="150">
        <f t="shared" si="90"/>
        <v>254.19</v>
      </c>
      <c r="K422" s="73">
        <v>953.21</v>
      </c>
      <c r="L422" s="538"/>
      <c r="M422" s="51"/>
      <c r="O422" s="610">
        <v>254.19</v>
      </c>
      <c r="P422" s="611">
        <f t="shared" si="88"/>
        <v>254.19</v>
      </c>
    </row>
    <row r="423" spans="2:16" ht="15" customHeight="1" outlineLevel="1">
      <c r="B423" s="294">
        <f t="shared" si="84"/>
        <v>6.1605999999999952</v>
      </c>
      <c r="C423" s="454" t="s">
        <v>1184</v>
      </c>
      <c r="D423" s="437" t="s">
        <v>36</v>
      </c>
      <c r="E423" s="442">
        <v>1</v>
      </c>
      <c r="F423" s="464"/>
      <c r="G423" s="81">
        <v>244.48</v>
      </c>
      <c r="H423" s="160">
        <v>916.8</v>
      </c>
      <c r="I423" s="160">
        <f t="shared" si="89"/>
        <v>0</v>
      </c>
      <c r="J423" s="150">
        <f t="shared" si="90"/>
        <v>244.48</v>
      </c>
      <c r="K423" s="73">
        <v>916.8</v>
      </c>
      <c r="L423" s="538"/>
      <c r="M423" s="51"/>
      <c r="O423" s="610">
        <v>244.48</v>
      </c>
      <c r="P423" s="611">
        <f t="shared" si="88"/>
        <v>244.48</v>
      </c>
    </row>
    <row r="424" spans="2:16" ht="14.1" customHeight="1" outlineLevel="2">
      <c r="B424" s="294">
        <f t="shared" si="84"/>
        <v>6.160699999999995</v>
      </c>
      <c r="C424" s="454" t="s">
        <v>1185</v>
      </c>
      <c r="D424" s="437" t="s">
        <v>36</v>
      </c>
      <c r="E424" s="442">
        <v>1</v>
      </c>
      <c r="F424" s="73"/>
      <c r="G424" s="81">
        <v>250.2</v>
      </c>
      <c r="H424" s="160">
        <v>938.25</v>
      </c>
      <c r="I424" s="160">
        <f t="shared" si="89"/>
        <v>0</v>
      </c>
      <c r="J424" s="150">
        <f t="shared" si="90"/>
        <v>250.2</v>
      </c>
      <c r="K424" s="73">
        <v>938.25</v>
      </c>
      <c r="L424" s="538"/>
      <c r="M424" s="51"/>
      <c r="O424" s="610">
        <v>250.2</v>
      </c>
      <c r="P424" s="611">
        <f t="shared" si="88"/>
        <v>250.2</v>
      </c>
    </row>
    <row r="425" spans="2:16" ht="14.1" customHeight="1" outlineLevel="2">
      <c r="B425" s="294">
        <f t="shared" si="84"/>
        <v>6.1607999999999947</v>
      </c>
      <c r="C425" s="454" t="s">
        <v>1186</v>
      </c>
      <c r="D425" s="437" t="s">
        <v>36</v>
      </c>
      <c r="E425" s="442">
        <v>1</v>
      </c>
      <c r="F425" s="73"/>
      <c r="G425" s="81">
        <v>358</v>
      </c>
      <c r="H425" s="160">
        <v>1342.5</v>
      </c>
      <c r="I425" s="160">
        <f t="shared" si="89"/>
        <v>0</v>
      </c>
      <c r="J425" s="150">
        <f t="shared" si="90"/>
        <v>358</v>
      </c>
      <c r="K425" s="73">
        <v>1342.5</v>
      </c>
      <c r="L425" s="538"/>
      <c r="M425" s="51"/>
      <c r="O425" s="610">
        <v>358</v>
      </c>
      <c r="P425" s="611">
        <f t="shared" si="88"/>
        <v>358</v>
      </c>
    </row>
    <row r="426" spans="2:16" ht="14.1" customHeight="1" outlineLevel="2">
      <c r="B426" s="294">
        <f t="shared" si="84"/>
        <v>6.1608999999999945</v>
      </c>
      <c r="C426" s="454" t="s">
        <v>1187</v>
      </c>
      <c r="D426" s="437" t="s">
        <v>36</v>
      </c>
      <c r="E426" s="442">
        <v>23</v>
      </c>
      <c r="F426" s="73"/>
      <c r="G426" s="81">
        <v>355.34</v>
      </c>
      <c r="H426" s="160">
        <v>1332.53</v>
      </c>
      <c r="I426" s="160">
        <f t="shared" si="89"/>
        <v>0</v>
      </c>
      <c r="J426" s="150">
        <f t="shared" si="90"/>
        <v>8172.82</v>
      </c>
      <c r="K426" s="73">
        <v>30648.080000000002</v>
      </c>
      <c r="L426" s="538"/>
      <c r="M426" s="51"/>
      <c r="O426" s="610">
        <v>355.34</v>
      </c>
      <c r="P426" s="611">
        <f t="shared" si="88"/>
        <v>8172.82</v>
      </c>
    </row>
    <row r="427" spans="2:16" ht="14.1" customHeight="1" outlineLevel="2">
      <c r="B427" s="294">
        <f t="shared" si="84"/>
        <v>6.1609999999999943</v>
      </c>
      <c r="C427" s="454" t="s">
        <v>1188</v>
      </c>
      <c r="D427" s="437" t="s">
        <v>36</v>
      </c>
      <c r="E427" s="442">
        <v>23</v>
      </c>
      <c r="F427" s="73"/>
      <c r="G427" s="81">
        <v>106.5</v>
      </c>
      <c r="H427" s="160">
        <v>399.38</v>
      </c>
      <c r="I427" s="160">
        <f t="shared" si="89"/>
        <v>0</v>
      </c>
      <c r="J427" s="150">
        <f t="shared" si="90"/>
        <v>2449.5</v>
      </c>
      <c r="K427" s="73">
        <v>9185.6299999999992</v>
      </c>
      <c r="L427" s="538"/>
      <c r="M427" s="51"/>
      <c r="O427" s="610">
        <v>106.5</v>
      </c>
      <c r="P427" s="611">
        <f t="shared" si="88"/>
        <v>2449.5</v>
      </c>
    </row>
    <row r="428" spans="2:16" ht="14.25" customHeight="1" outlineLevel="1">
      <c r="B428" s="294">
        <f t="shared" si="84"/>
        <v>6.161099999999994</v>
      </c>
      <c r="C428" s="454" t="s">
        <v>1189</v>
      </c>
      <c r="D428" s="437" t="s">
        <v>36</v>
      </c>
      <c r="E428" s="442">
        <v>23</v>
      </c>
      <c r="F428" s="464"/>
      <c r="G428" s="81">
        <v>297.08999999999997</v>
      </c>
      <c r="H428" s="160">
        <v>1114.0899999999999</v>
      </c>
      <c r="I428" s="160">
        <f t="shared" si="89"/>
        <v>0</v>
      </c>
      <c r="J428" s="150">
        <f t="shared" si="90"/>
        <v>6833.07</v>
      </c>
      <c r="K428" s="73">
        <v>25624.01</v>
      </c>
      <c r="L428" s="538"/>
      <c r="M428" s="51"/>
      <c r="O428" s="610">
        <v>297.08999999999997</v>
      </c>
      <c r="P428" s="611">
        <f t="shared" si="88"/>
        <v>6833.07</v>
      </c>
    </row>
    <row r="429" spans="2:16" ht="14.1" customHeight="1" outlineLevel="2">
      <c r="B429" s="294">
        <f t="shared" si="84"/>
        <v>6.1611999999999938</v>
      </c>
      <c r="C429" s="454" t="s">
        <v>1190</v>
      </c>
      <c r="D429" s="437" t="s">
        <v>36</v>
      </c>
      <c r="E429" s="442">
        <v>23</v>
      </c>
      <c r="F429" s="73"/>
      <c r="G429" s="81">
        <v>328.74</v>
      </c>
      <c r="H429" s="160">
        <v>1232.78</v>
      </c>
      <c r="I429" s="160">
        <f t="shared" si="89"/>
        <v>0</v>
      </c>
      <c r="J429" s="150">
        <f t="shared" si="90"/>
        <v>7561.02</v>
      </c>
      <c r="K429" s="73">
        <v>28353.83</v>
      </c>
      <c r="L429" s="538"/>
      <c r="M429" s="51"/>
      <c r="O429" s="610">
        <v>328.74</v>
      </c>
      <c r="P429" s="611">
        <f t="shared" si="88"/>
        <v>7561.02</v>
      </c>
    </row>
    <row r="430" spans="2:16" ht="14.1" customHeight="1" outlineLevel="2">
      <c r="B430" s="294">
        <f t="shared" si="84"/>
        <v>6.1612999999999936</v>
      </c>
      <c r="C430" s="454" t="s">
        <v>1191</v>
      </c>
      <c r="D430" s="437" t="s">
        <v>36</v>
      </c>
      <c r="E430" s="442">
        <v>23</v>
      </c>
      <c r="F430" s="73"/>
      <c r="G430" s="81">
        <v>254.19</v>
      </c>
      <c r="H430" s="160">
        <v>953.21</v>
      </c>
      <c r="I430" s="160">
        <f t="shared" si="89"/>
        <v>0</v>
      </c>
      <c r="J430" s="150">
        <f t="shared" si="90"/>
        <v>5846.37</v>
      </c>
      <c r="K430" s="73">
        <v>21923.89</v>
      </c>
      <c r="L430" s="538"/>
      <c r="M430" s="51"/>
      <c r="O430" s="610">
        <v>254.19</v>
      </c>
      <c r="P430" s="611">
        <f t="shared" si="88"/>
        <v>5846.37</v>
      </c>
    </row>
    <row r="431" spans="2:16" ht="15" customHeight="1" outlineLevel="1">
      <c r="B431" s="294">
        <f t="shared" si="84"/>
        <v>6.1613999999999933</v>
      </c>
      <c r="C431" s="454" t="s">
        <v>1192</v>
      </c>
      <c r="D431" s="437" t="s">
        <v>36</v>
      </c>
      <c r="E431" s="442">
        <v>23</v>
      </c>
      <c r="F431" s="464"/>
      <c r="G431" s="81">
        <v>338.05</v>
      </c>
      <c r="H431" s="160">
        <v>1267.69</v>
      </c>
      <c r="I431" s="160">
        <f t="shared" si="89"/>
        <v>0</v>
      </c>
      <c r="J431" s="150">
        <f t="shared" si="90"/>
        <v>7775.15</v>
      </c>
      <c r="K431" s="73">
        <v>29156.81</v>
      </c>
      <c r="L431" s="538"/>
      <c r="M431" s="51"/>
      <c r="O431" s="610">
        <v>338.05</v>
      </c>
      <c r="P431" s="611">
        <f t="shared" si="88"/>
        <v>7775.1500000000005</v>
      </c>
    </row>
    <row r="432" spans="2:16" ht="14.1" customHeight="1" outlineLevel="2">
      <c r="B432" s="294">
        <f t="shared" si="84"/>
        <v>6.1614999999999931</v>
      </c>
      <c r="C432" s="454" t="s">
        <v>1193</v>
      </c>
      <c r="D432" s="437" t="s">
        <v>36</v>
      </c>
      <c r="E432" s="442">
        <v>23</v>
      </c>
      <c r="F432" s="73"/>
      <c r="G432" s="81">
        <v>232.19</v>
      </c>
      <c r="H432" s="160">
        <v>870.71</v>
      </c>
      <c r="I432" s="160">
        <f t="shared" si="89"/>
        <v>0</v>
      </c>
      <c r="J432" s="150">
        <f t="shared" si="90"/>
        <v>5340.37</v>
      </c>
      <c r="K432" s="73">
        <v>20026.39</v>
      </c>
      <c r="L432" s="538"/>
      <c r="M432" s="51"/>
      <c r="O432" s="610">
        <v>232.19</v>
      </c>
      <c r="P432" s="611">
        <f t="shared" si="88"/>
        <v>5340.37</v>
      </c>
    </row>
    <row r="433" spans="2:16" ht="14.1" customHeight="1" outlineLevel="2">
      <c r="B433" s="294">
        <f t="shared" si="84"/>
        <v>6.1615999999999929</v>
      </c>
      <c r="C433" s="454" t="s">
        <v>1194</v>
      </c>
      <c r="D433" s="437" t="s">
        <v>36</v>
      </c>
      <c r="E433" s="442">
        <v>23</v>
      </c>
      <c r="F433" s="73"/>
      <c r="G433" s="81">
        <v>198.6</v>
      </c>
      <c r="H433" s="160">
        <v>744.75</v>
      </c>
      <c r="I433" s="160">
        <f t="shared" si="89"/>
        <v>0</v>
      </c>
      <c r="J433" s="150">
        <f t="shared" si="90"/>
        <v>4567.8</v>
      </c>
      <c r="K433" s="73">
        <v>17129.25</v>
      </c>
      <c r="L433" s="538"/>
      <c r="M433" s="51"/>
      <c r="O433" s="610">
        <v>198.6</v>
      </c>
      <c r="P433" s="611">
        <f t="shared" si="88"/>
        <v>4567.8</v>
      </c>
    </row>
    <row r="434" spans="2:16" ht="14.1" customHeight="1" outlineLevel="2">
      <c r="B434" s="294">
        <f t="shared" si="84"/>
        <v>6.1616999999999926</v>
      </c>
      <c r="C434" s="454" t="s">
        <v>1195</v>
      </c>
      <c r="D434" s="437" t="s">
        <v>36</v>
      </c>
      <c r="E434" s="442">
        <v>23</v>
      </c>
      <c r="F434" s="73"/>
      <c r="G434" s="81">
        <v>381.05</v>
      </c>
      <c r="H434" s="160">
        <v>1428.94</v>
      </c>
      <c r="I434" s="160">
        <f t="shared" si="89"/>
        <v>0</v>
      </c>
      <c r="J434" s="150">
        <f t="shared" si="90"/>
        <v>8764.15</v>
      </c>
      <c r="K434" s="73">
        <v>32865.56</v>
      </c>
      <c r="L434" s="538"/>
      <c r="M434" s="51"/>
      <c r="O434" s="610">
        <v>381.05</v>
      </c>
      <c r="P434" s="611">
        <f t="shared" si="88"/>
        <v>8764.15</v>
      </c>
    </row>
    <row r="435" spans="2:16" ht="17.25" customHeight="1" outlineLevel="1">
      <c r="B435" s="294">
        <f t="shared" si="84"/>
        <v>6.1617999999999924</v>
      </c>
      <c r="C435" s="454" t="s">
        <v>1196</v>
      </c>
      <c r="D435" s="437" t="s">
        <v>36</v>
      </c>
      <c r="E435" s="442">
        <v>23</v>
      </c>
      <c r="F435" s="464"/>
      <c r="G435" s="81">
        <v>254.19</v>
      </c>
      <c r="H435" s="160">
        <v>953.21</v>
      </c>
      <c r="I435" s="160">
        <f t="shared" si="89"/>
        <v>0</v>
      </c>
      <c r="J435" s="150">
        <f t="shared" si="90"/>
        <v>5846.37</v>
      </c>
      <c r="K435" s="73">
        <v>21923.89</v>
      </c>
      <c r="L435" s="538"/>
      <c r="M435" s="51"/>
      <c r="O435" s="610">
        <v>254.19</v>
      </c>
      <c r="P435" s="611">
        <f t="shared" si="88"/>
        <v>5846.37</v>
      </c>
    </row>
    <row r="436" spans="2:16" ht="14.1" customHeight="1" outlineLevel="2">
      <c r="B436" s="294">
        <f t="shared" si="84"/>
        <v>6.1618999999999922</v>
      </c>
      <c r="C436" s="454" t="s">
        <v>1197</v>
      </c>
      <c r="D436" s="437" t="s">
        <v>36</v>
      </c>
      <c r="E436" s="442">
        <v>23</v>
      </c>
      <c r="F436" s="73"/>
      <c r="G436" s="81">
        <v>134</v>
      </c>
      <c r="H436" s="160">
        <v>502.5</v>
      </c>
      <c r="I436" s="160">
        <f t="shared" si="89"/>
        <v>0</v>
      </c>
      <c r="J436" s="150">
        <f t="shared" si="90"/>
        <v>3082</v>
      </c>
      <c r="K436" s="73">
        <v>11557.5</v>
      </c>
      <c r="L436" s="538"/>
      <c r="M436" s="51"/>
      <c r="O436" s="610">
        <v>134</v>
      </c>
      <c r="P436" s="611">
        <f t="shared" si="88"/>
        <v>3082</v>
      </c>
    </row>
    <row r="437" spans="2:16" ht="25.5" customHeight="1" outlineLevel="1">
      <c r="B437" s="294">
        <f t="shared" si="84"/>
        <v>6.1619999999999919</v>
      </c>
      <c r="C437" s="466" t="s">
        <v>1198</v>
      </c>
      <c r="D437" s="437" t="s">
        <v>36</v>
      </c>
      <c r="E437" s="442">
        <v>23</v>
      </c>
      <c r="F437" s="73"/>
      <c r="G437" s="81">
        <v>282.12</v>
      </c>
      <c r="H437" s="160">
        <v>1057.95</v>
      </c>
      <c r="I437" s="160">
        <f t="shared" si="89"/>
        <v>0</v>
      </c>
      <c r="J437" s="150">
        <f t="shared" si="90"/>
        <v>6488.76</v>
      </c>
      <c r="K437" s="73">
        <v>24332.85</v>
      </c>
      <c r="L437" s="538"/>
      <c r="M437" s="51"/>
      <c r="O437" s="610">
        <v>282.12</v>
      </c>
      <c r="P437" s="611">
        <f t="shared" si="88"/>
        <v>6488.76</v>
      </c>
    </row>
    <row r="438" spans="2:16" ht="14.1" customHeight="1" outlineLevel="2">
      <c r="B438" s="294">
        <f t="shared" si="84"/>
        <v>6.1620999999999917</v>
      </c>
      <c r="C438" s="454" t="s">
        <v>1199</v>
      </c>
      <c r="D438" s="437" t="s">
        <v>36</v>
      </c>
      <c r="E438" s="442">
        <v>23</v>
      </c>
      <c r="F438" s="73"/>
      <c r="G438" s="81">
        <v>327.58999999999997</v>
      </c>
      <c r="H438" s="160">
        <v>1228.46</v>
      </c>
      <c r="I438" s="160">
        <f t="shared" si="89"/>
        <v>0</v>
      </c>
      <c r="J438" s="150">
        <f t="shared" si="90"/>
        <v>7534.57</v>
      </c>
      <c r="K438" s="73">
        <v>28254.639999999999</v>
      </c>
      <c r="L438" s="538"/>
      <c r="M438" s="51"/>
      <c r="O438" s="610">
        <v>327.58999999999997</v>
      </c>
      <c r="P438" s="611">
        <f t="shared" si="88"/>
        <v>7534.57</v>
      </c>
    </row>
    <row r="439" spans="2:16" ht="14.1" customHeight="1" outlineLevel="2">
      <c r="B439" s="294">
        <f t="shared" si="84"/>
        <v>6.1621999999999915</v>
      </c>
      <c r="C439" s="454" t="s">
        <v>1200</v>
      </c>
      <c r="D439" s="437" t="s">
        <v>36</v>
      </c>
      <c r="E439" s="442">
        <v>23</v>
      </c>
      <c r="F439" s="73"/>
      <c r="G439" s="81">
        <v>276.89</v>
      </c>
      <c r="H439" s="160">
        <v>1038.3399999999999</v>
      </c>
      <c r="I439" s="160">
        <f t="shared" si="89"/>
        <v>0</v>
      </c>
      <c r="J439" s="150">
        <f t="shared" si="90"/>
        <v>6368.47</v>
      </c>
      <c r="K439" s="73">
        <v>23881.759999999998</v>
      </c>
      <c r="L439" s="538"/>
      <c r="M439" s="51"/>
      <c r="O439" s="610">
        <v>276.89</v>
      </c>
      <c r="P439" s="611">
        <f t="shared" si="88"/>
        <v>6368.4699999999993</v>
      </c>
    </row>
    <row r="440" spans="2:16" ht="14.1" customHeight="1" outlineLevel="2">
      <c r="B440" s="294">
        <f t="shared" si="84"/>
        <v>6.1622999999999912</v>
      </c>
      <c r="C440" s="454" t="s">
        <v>1201</v>
      </c>
      <c r="D440" s="437" t="s">
        <v>36</v>
      </c>
      <c r="E440" s="442">
        <v>23</v>
      </c>
      <c r="F440" s="73"/>
      <c r="G440" s="81">
        <v>294.08999999999997</v>
      </c>
      <c r="H440" s="160">
        <v>1102.8399999999999</v>
      </c>
      <c r="I440" s="160">
        <f t="shared" si="89"/>
        <v>0</v>
      </c>
      <c r="J440" s="150">
        <f t="shared" si="90"/>
        <v>6764.07</v>
      </c>
      <c r="K440" s="73">
        <v>25365.26</v>
      </c>
      <c r="L440" s="538"/>
      <c r="M440" s="51"/>
      <c r="O440" s="610">
        <v>294.08999999999997</v>
      </c>
      <c r="P440" s="611">
        <f t="shared" si="88"/>
        <v>6764.07</v>
      </c>
    </row>
    <row r="441" spans="2:16" ht="25.5" customHeight="1" outlineLevel="1">
      <c r="B441" s="294">
        <f t="shared" si="84"/>
        <v>6.162399999999991</v>
      </c>
      <c r="C441" s="466" t="s">
        <v>1202</v>
      </c>
      <c r="D441" s="437" t="s">
        <v>36</v>
      </c>
      <c r="E441" s="442">
        <v>23</v>
      </c>
      <c r="F441" s="73"/>
      <c r="G441" s="81">
        <v>130.19999999999999</v>
      </c>
      <c r="H441" s="160">
        <v>488.25</v>
      </c>
      <c r="I441" s="160">
        <f t="shared" si="89"/>
        <v>0</v>
      </c>
      <c r="J441" s="150">
        <f t="shared" si="90"/>
        <v>2994.6</v>
      </c>
      <c r="K441" s="73">
        <v>11229.75</v>
      </c>
      <c r="L441" s="538"/>
      <c r="M441" s="51"/>
      <c r="O441" s="610">
        <v>130.19999999999999</v>
      </c>
      <c r="P441" s="611">
        <f t="shared" si="88"/>
        <v>2994.6</v>
      </c>
    </row>
    <row r="442" spans="2:16" ht="14.1" customHeight="1" outlineLevel="2">
      <c r="B442" s="294">
        <f t="shared" si="84"/>
        <v>6.1624999999999908</v>
      </c>
      <c r="C442" s="454" t="s">
        <v>1203</v>
      </c>
      <c r="D442" s="437" t="s">
        <v>36</v>
      </c>
      <c r="E442" s="442">
        <v>23</v>
      </c>
      <c r="F442" s="73"/>
      <c r="G442" s="81">
        <v>294.08999999999997</v>
      </c>
      <c r="H442" s="160">
        <v>1102.8399999999999</v>
      </c>
      <c r="I442" s="160">
        <f t="shared" si="89"/>
        <v>0</v>
      </c>
      <c r="J442" s="150">
        <f t="shared" si="90"/>
        <v>6764.07</v>
      </c>
      <c r="K442" s="73">
        <v>25365.26</v>
      </c>
      <c r="L442" s="538"/>
      <c r="M442" s="51"/>
      <c r="O442" s="610">
        <v>294.08999999999997</v>
      </c>
      <c r="P442" s="611">
        <f t="shared" si="88"/>
        <v>6764.07</v>
      </c>
    </row>
    <row r="443" spans="2:16" ht="14.1" customHeight="1" outlineLevel="2">
      <c r="B443" s="294">
        <f t="shared" si="84"/>
        <v>6.1625999999999905</v>
      </c>
      <c r="C443" s="454" t="s">
        <v>1204</v>
      </c>
      <c r="D443" s="437" t="s">
        <v>36</v>
      </c>
      <c r="E443" s="442">
        <v>23</v>
      </c>
      <c r="F443" s="73"/>
      <c r="G443" s="81">
        <v>148.66</v>
      </c>
      <c r="H443" s="160">
        <v>557.48</v>
      </c>
      <c r="I443" s="160">
        <f t="shared" si="89"/>
        <v>0</v>
      </c>
      <c r="J443" s="150">
        <f t="shared" si="90"/>
        <v>3419.18</v>
      </c>
      <c r="K443" s="73">
        <v>12821.93</v>
      </c>
      <c r="L443" s="538"/>
      <c r="M443" s="51"/>
      <c r="O443" s="610">
        <v>148.66</v>
      </c>
      <c r="P443" s="611">
        <f t="shared" si="88"/>
        <v>3419.18</v>
      </c>
    </row>
    <row r="444" spans="2:16" ht="14.1" customHeight="1" outlineLevel="2">
      <c r="B444" s="294">
        <f t="shared" si="84"/>
        <v>6.1626999999999903</v>
      </c>
      <c r="C444" s="454" t="s">
        <v>1205</v>
      </c>
      <c r="D444" s="437" t="s">
        <v>36</v>
      </c>
      <c r="E444" s="442">
        <v>23</v>
      </c>
      <c r="F444" s="73"/>
      <c r="G444" s="81">
        <v>228</v>
      </c>
      <c r="H444" s="160">
        <v>855</v>
      </c>
      <c r="I444" s="160">
        <f t="shared" si="89"/>
        <v>0</v>
      </c>
      <c r="J444" s="150">
        <f t="shared" si="90"/>
        <v>5244</v>
      </c>
      <c r="K444" s="73">
        <v>19665</v>
      </c>
      <c r="L444" s="538"/>
      <c r="M444" s="51"/>
      <c r="O444" s="610">
        <v>228</v>
      </c>
      <c r="P444" s="611">
        <f t="shared" si="88"/>
        <v>5244</v>
      </c>
    </row>
    <row r="445" spans="2:16" ht="25.5" customHeight="1" outlineLevel="1">
      <c r="B445" s="294">
        <f t="shared" si="84"/>
        <v>6.1627999999999901</v>
      </c>
      <c r="C445" s="466" t="s">
        <v>1206</v>
      </c>
      <c r="D445" s="437" t="s">
        <v>36</v>
      </c>
      <c r="E445" s="442">
        <v>0</v>
      </c>
      <c r="F445" s="73"/>
      <c r="G445" s="81"/>
      <c r="H445" s="160">
        <v>0</v>
      </c>
      <c r="I445" s="160">
        <f t="shared" si="89"/>
        <v>0</v>
      </c>
      <c r="J445" s="150">
        <f t="shared" si="90"/>
        <v>0</v>
      </c>
      <c r="K445" s="73">
        <v>0</v>
      </c>
      <c r="L445" s="538"/>
      <c r="M445" s="51"/>
      <c r="O445" s="610">
        <v>0</v>
      </c>
      <c r="P445" s="611">
        <f t="shared" si="88"/>
        <v>0</v>
      </c>
    </row>
    <row r="446" spans="2:16" ht="14.1" customHeight="1" outlineLevel="2">
      <c r="B446" s="294">
        <f t="shared" si="84"/>
        <v>6.1628999999999898</v>
      </c>
      <c r="C446" s="454" t="s">
        <v>1207</v>
      </c>
      <c r="D446" s="437" t="s">
        <v>36</v>
      </c>
      <c r="E446" s="442">
        <v>1</v>
      </c>
      <c r="F446" s="73"/>
      <c r="G446" s="81">
        <v>426.78</v>
      </c>
      <c r="H446" s="160">
        <v>1600.43</v>
      </c>
      <c r="I446" s="160">
        <f t="shared" si="89"/>
        <v>0</v>
      </c>
      <c r="J446" s="150">
        <f t="shared" si="90"/>
        <v>426.78</v>
      </c>
      <c r="K446" s="73">
        <v>1600.43</v>
      </c>
      <c r="L446" s="538"/>
      <c r="M446" s="51"/>
      <c r="O446" s="610">
        <v>426.78</v>
      </c>
      <c r="P446" s="611">
        <f t="shared" si="88"/>
        <v>426.78</v>
      </c>
    </row>
    <row r="447" spans="2:16" ht="14.1" customHeight="1" outlineLevel="2">
      <c r="B447" s="294">
        <f t="shared" si="84"/>
        <v>6.1629999999999896</v>
      </c>
      <c r="C447" s="454" t="s">
        <v>1208</v>
      </c>
      <c r="D447" s="437" t="s">
        <v>36</v>
      </c>
      <c r="E447" s="442">
        <v>1</v>
      </c>
      <c r="F447" s="73"/>
      <c r="G447" s="81">
        <v>425.24</v>
      </c>
      <c r="H447" s="160">
        <v>1594.65</v>
      </c>
      <c r="I447" s="160">
        <f t="shared" si="89"/>
        <v>0</v>
      </c>
      <c r="J447" s="150">
        <f t="shared" si="90"/>
        <v>425.24</v>
      </c>
      <c r="K447" s="73">
        <v>1594.65</v>
      </c>
      <c r="L447" s="538"/>
      <c r="M447" s="51"/>
      <c r="O447" s="610">
        <v>425.24</v>
      </c>
      <c r="P447" s="611">
        <f t="shared" si="88"/>
        <v>425.24</v>
      </c>
    </row>
    <row r="448" spans="2:16" ht="14.1" customHeight="1" outlineLevel="2">
      <c r="B448" s="294">
        <f t="shared" si="84"/>
        <v>6.1630999999999894</v>
      </c>
      <c r="C448" s="454" t="s">
        <v>1209</v>
      </c>
      <c r="D448" s="437" t="s">
        <v>36</v>
      </c>
      <c r="E448" s="442">
        <v>1</v>
      </c>
      <c r="F448" s="73"/>
      <c r="G448" s="81">
        <v>425.24</v>
      </c>
      <c r="H448" s="160">
        <v>1594.65</v>
      </c>
      <c r="I448" s="160">
        <f t="shared" si="89"/>
        <v>0</v>
      </c>
      <c r="J448" s="150">
        <f t="shared" si="90"/>
        <v>425.24</v>
      </c>
      <c r="K448" s="73">
        <v>1594.65</v>
      </c>
      <c r="L448" s="538"/>
      <c r="M448" s="51"/>
      <c r="O448" s="610">
        <v>425.24</v>
      </c>
      <c r="P448" s="611">
        <f t="shared" si="88"/>
        <v>425.24</v>
      </c>
    </row>
    <row r="449" spans="2:16" ht="14.1" customHeight="1" outlineLevel="2">
      <c r="B449" s="294">
        <f t="shared" si="84"/>
        <v>6.1631999999999891</v>
      </c>
      <c r="C449" s="454" t="s">
        <v>1210</v>
      </c>
      <c r="D449" s="437" t="s">
        <v>36</v>
      </c>
      <c r="E449" s="442">
        <v>1</v>
      </c>
      <c r="F449" s="73"/>
      <c r="G449" s="81">
        <v>454.92</v>
      </c>
      <c r="H449" s="160">
        <v>1705.95</v>
      </c>
      <c r="I449" s="160">
        <f t="shared" si="89"/>
        <v>0</v>
      </c>
      <c r="J449" s="150">
        <f t="shared" si="90"/>
        <v>454.92</v>
      </c>
      <c r="K449" s="73">
        <v>1705.95</v>
      </c>
      <c r="L449" s="538"/>
      <c r="M449" s="51"/>
      <c r="O449" s="610">
        <v>454.92</v>
      </c>
      <c r="P449" s="611">
        <f t="shared" si="88"/>
        <v>454.92</v>
      </c>
    </row>
    <row r="450" spans="2:16" ht="15" customHeight="1" outlineLevel="1">
      <c r="B450" s="294">
        <f t="shared" si="84"/>
        <v>6.1632999999999889</v>
      </c>
      <c r="C450" s="454" t="s">
        <v>1211</v>
      </c>
      <c r="D450" s="437" t="s">
        <v>36</v>
      </c>
      <c r="E450" s="442">
        <v>1</v>
      </c>
      <c r="F450" s="73"/>
      <c r="G450" s="81">
        <v>380.16</v>
      </c>
      <c r="H450" s="160">
        <v>1425.6</v>
      </c>
      <c r="I450" s="160">
        <f t="shared" si="89"/>
        <v>0</v>
      </c>
      <c r="J450" s="150">
        <f t="shared" si="90"/>
        <v>380.16</v>
      </c>
      <c r="K450" s="73">
        <v>1425.6</v>
      </c>
      <c r="L450" s="538"/>
      <c r="M450" s="51"/>
      <c r="O450" s="610">
        <v>380.16</v>
      </c>
      <c r="P450" s="611">
        <f t="shared" si="88"/>
        <v>380.16</v>
      </c>
    </row>
    <row r="451" spans="2:16" ht="14.1" customHeight="1" outlineLevel="2">
      <c r="B451" s="294">
        <f t="shared" si="84"/>
        <v>6.1633999999999887</v>
      </c>
      <c r="C451" s="454" t="s">
        <v>1212</v>
      </c>
      <c r="D451" s="437" t="s">
        <v>36</v>
      </c>
      <c r="E451" s="442">
        <v>23</v>
      </c>
      <c r="F451" s="73"/>
      <c r="G451" s="81">
        <v>418</v>
      </c>
      <c r="H451" s="160">
        <v>1567.5</v>
      </c>
      <c r="I451" s="160">
        <f t="shared" si="89"/>
        <v>0</v>
      </c>
      <c r="J451" s="150">
        <f t="shared" si="90"/>
        <v>9614</v>
      </c>
      <c r="K451" s="73">
        <v>36052.5</v>
      </c>
      <c r="L451" s="538"/>
      <c r="M451" s="51"/>
      <c r="O451" s="610">
        <v>418</v>
      </c>
      <c r="P451" s="611">
        <f t="shared" si="88"/>
        <v>9614</v>
      </c>
    </row>
    <row r="452" spans="2:16" ht="14.1" customHeight="1" outlineLevel="2">
      <c r="B452" s="294">
        <f t="shared" si="84"/>
        <v>6.1634999999999884</v>
      </c>
      <c r="C452" s="454" t="s">
        <v>1213</v>
      </c>
      <c r="D452" s="437" t="s">
        <v>36</v>
      </c>
      <c r="E452" s="442">
        <v>23</v>
      </c>
      <c r="F452" s="73"/>
      <c r="G452" s="81">
        <v>418</v>
      </c>
      <c r="H452" s="160">
        <v>1567.5</v>
      </c>
      <c r="I452" s="160">
        <f t="shared" si="89"/>
        <v>0</v>
      </c>
      <c r="J452" s="150">
        <f t="shared" si="90"/>
        <v>9614</v>
      </c>
      <c r="K452" s="73">
        <v>36052.5</v>
      </c>
      <c r="L452" s="538"/>
      <c r="M452" s="51"/>
      <c r="O452" s="610">
        <v>418</v>
      </c>
      <c r="P452" s="611">
        <f t="shared" si="88"/>
        <v>9614</v>
      </c>
    </row>
    <row r="453" spans="2:16" ht="15" customHeight="1" outlineLevel="1">
      <c r="B453" s="294">
        <f t="shared" si="84"/>
        <v>6.1635999999999882</v>
      </c>
      <c r="C453" s="454" t="s">
        <v>1214</v>
      </c>
      <c r="D453" s="437" t="s">
        <v>36</v>
      </c>
      <c r="E453" s="442">
        <v>23</v>
      </c>
      <c r="F453" s="73"/>
      <c r="G453" s="81">
        <v>418</v>
      </c>
      <c r="H453" s="160">
        <v>1567.5</v>
      </c>
      <c r="I453" s="160">
        <f t="shared" si="89"/>
        <v>0</v>
      </c>
      <c r="J453" s="150">
        <f t="shared" si="90"/>
        <v>9614</v>
      </c>
      <c r="K453" s="73">
        <v>36052.5</v>
      </c>
      <c r="L453" s="538"/>
      <c r="M453" s="51"/>
      <c r="O453" s="610">
        <v>418</v>
      </c>
      <c r="P453" s="611">
        <f t="shared" si="88"/>
        <v>9614</v>
      </c>
    </row>
    <row r="454" spans="2:16" ht="14.1" customHeight="1" outlineLevel="2">
      <c r="B454" s="294">
        <f t="shared" si="84"/>
        <v>6.163699999999988</v>
      </c>
      <c r="C454" s="454" t="s">
        <v>1215</v>
      </c>
      <c r="D454" s="437" t="s">
        <v>36</v>
      </c>
      <c r="E454" s="442">
        <v>23</v>
      </c>
      <c r="F454" s="73"/>
      <c r="G454" s="81">
        <v>500.76</v>
      </c>
      <c r="H454" s="160">
        <v>1877.85</v>
      </c>
      <c r="I454" s="160">
        <f t="shared" si="89"/>
        <v>0</v>
      </c>
      <c r="J454" s="150">
        <f t="shared" si="90"/>
        <v>11517.48</v>
      </c>
      <c r="K454" s="73">
        <v>43190.55</v>
      </c>
      <c r="L454" s="538"/>
      <c r="M454" s="51"/>
      <c r="O454" s="610">
        <v>500.76</v>
      </c>
      <c r="P454" s="611">
        <f t="shared" si="88"/>
        <v>11517.48</v>
      </c>
    </row>
    <row r="455" spans="2:16" ht="14.1" customHeight="1" outlineLevel="2">
      <c r="B455" s="294">
        <f t="shared" si="84"/>
        <v>6.1637999999999877</v>
      </c>
      <c r="C455" s="454" t="s">
        <v>1216</v>
      </c>
      <c r="D455" s="437" t="s">
        <v>36</v>
      </c>
      <c r="E455" s="442">
        <v>23</v>
      </c>
      <c r="F455" s="73"/>
      <c r="G455" s="81">
        <v>335.68</v>
      </c>
      <c r="H455" s="160">
        <v>1258.8</v>
      </c>
      <c r="I455" s="160">
        <f t="shared" si="89"/>
        <v>0</v>
      </c>
      <c r="J455" s="150">
        <f t="shared" si="90"/>
        <v>7720.64</v>
      </c>
      <c r="K455" s="73">
        <v>28952.400000000001</v>
      </c>
      <c r="L455" s="538"/>
      <c r="M455" s="51"/>
      <c r="O455" s="610">
        <v>335.68</v>
      </c>
      <c r="P455" s="611">
        <f t="shared" si="88"/>
        <v>7720.64</v>
      </c>
    </row>
    <row r="456" spans="2:16" ht="14.1" customHeight="1" outlineLevel="2">
      <c r="B456" s="294">
        <f t="shared" si="84"/>
        <v>6.1638999999999875</v>
      </c>
      <c r="C456" s="454" t="s">
        <v>1217</v>
      </c>
      <c r="D456" s="437" t="s">
        <v>36</v>
      </c>
      <c r="E456" s="442">
        <v>23</v>
      </c>
      <c r="F456" s="73"/>
      <c r="G456" s="81">
        <v>294.36</v>
      </c>
      <c r="H456" s="160">
        <v>1103.8499999999999</v>
      </c>
      <c r="I456" s="160">
        <f t="shared" si="89"/>
        <v>0</v>
      </c>
      <c r="J456" s="150">
        <f t="shared" si="90"/>
        <v>6770.28</v>
      </c>
      <c r="K456" s="73">
        <v>25388.55</v>
      </c>
      <c r="L456" s="538"/>
      <c r="M456" s="51"/>
      <c r="O456" s="610">
        <v>294.36</v>
      </c>
      <c r="P456" s="611">
        <f t="shared" si="88"/>
        <v>6770.2800000000007</v>
      </c>
    </row>
    <row r="457" spans="2:16" ht="25.5" customHeight="1" outlineLevel="1">
      <c r="B457" s="294">
        <f t="shared" si="84"/>
        <v>6.1639999999999873</v>
      </c>
      <c r="C457" s="466" t="s">
        <v>1218</v>
      </c>
      <c r="D457" s="437" t="s">
        <v>36</v>
      </c>
      <c r="E457" s="442">
        <v>23</v>
      </c>
      <c r="F457" s="73"/>
      <c r="G457" s="81">
        <v>421.36</v>
      </c>
      <c r="H457" s="160">
        <v>1580.1</v>
      </c>
      <c r="I457" s="160">
        <f t="shared" si="89"/>
        <v>0</v>
      </c>
      <c r="J457" s="150">
        <f t="shared" si="90"/>
        <v>9691.2800000000007</v>
      </c>
      <c r="K457" s="73">
        <v>36342.300000000003</v>
      </c>
      <c r="L457" s="538"/>
      <c r="M457" s="51"/>
      <c r="O457" s="610">
        <v>421.36</v>
      </c>
      <c r="P457" s="611">
        <f t="shared" si="88"/>
        <v>9691.2800000000007</v>
      </c>
    </row>
    <row r="458" spans="2:16" ht="14.1" customHeight="1" outlineLevel="2">
      <c r="B458" s="294">
        <f t="shared" si="84"/>
        <v>6.164099999999987</v>
      </c>
      <c r="C458" s="454" t="s">
        <v>1219</v>
      </c>
      <c r="D458" s="437" t="s">
        <v>36</v>
      </c>
      <c r="E458" s="442">
        <v>23</v>
      </c>
      <c r="F458" s="73"/>
      <c r="G458" s="81">
        <v>227.2</v>
      </c>
      <c r="H458" s="160">
        <v>852</v>
      </c>
      <c r="I458" s="160">
        <f t="shared" si="89"/>
        <v>0</v>
      </c>
      <c r="J458" s="150">
        <f t="shared" si="90"/>
        <v>5225.6000000000004</v>
      </c>
      <c r="K458" s="73">
        <v>19596</v>
      </c>
      <c r="L458" s="538"/>
      <c r="M458" s="51"/>
      <c r="O458" s="610">
        <v>227.2</v>
      </c>
      <c r="P458" s="611">
        <f t="shared" si="88"/>
        <v>5225.5999999999995</v>
      </c>
    </row>
    <row r="459" spans="2:16" ht="13.5" customHeight="1">
      <c r="B459" s="164">
        <f>B417+0.01</f>
        <v>6.1699999999999964</v>
      </c>
      <c r="C459" s="279" t="s">
        <v>1220</v>
      </c>
      <c r="D459" s="280"/>
      <c r="E459" s="93"/>
      <c r="F459" s="93"/>
      <c r="G459" s="93"/>
      <c r="H459" s="93"/>
      <c r="I459" s="93"/>
      <c r="J459" s="93"/>
      <c r="K459" s="73">
        <v>0</v>
      </c>
      <c r="L459" s="537">
        <v>146537.14000000001</v>
      </c>
      <c r="M459" s="591"/>
      <c r="N459" s="571"/>
      <c r="O459" s="610">
        <v>0</v>
      </c>
      <c r="P459" s="611">
        <f>+O459*E459</f>
        <v>0</v>
      </c>
    </row>
    <row r="460" spans="2:16" ht="13.5" customHeight="1">
      <c r="B460" s="294">
        <f t="shared" si="84"/>
        <v>6.1700999999999961</v>
      </c>
      <c r="C460" s="449" t="s">
        <v>1221</v>
      </c>
      <c r="D460" s="437" t="s">
        <v>46</v>
      </c>
      <c r="E460" s="442">
        <v>1.97</v>
      </c>
      <c r="F460" s="439"/>
      <c r="G460" s="395">
        <v>260</v>
      </c>
      <c r="H460" s="160">
        <v>975</v>
      </c>
      <c r="I460" s="160">
        <f t="shared" ref="I460:I523" si="91">+ROUND(E460*F460,2)</f>
        <v>0</v>
      </c>
      <c r="J460" s="150">
        <f t="shared" ref="J460:J523" si="92">+ROUND(E460*G460,2)</f>
        <v>512.20000000000005</v>
      </c>
      <c r="K460" s="73">
        <v>1920.75</v>
      </c>
      <c r="L460" s="575"/>
      <c r="M460" s="586"/>
      <c r="N460" s="570"/>
      <c r="O460" s="610">
        <v>260</v>
      </c>
      <c r="P460" s="611">
        <f t="shared" ref="P460:P502" si="93">+O460*E460</f>
        <v>512.20000000000005</v>
      </c>
    </row>
    <row r="461" spans="2:16" ht="13.5" customHeight="1">
      <c r="B461" s="294">
        <f t="shared" si="84"/>
        <v>6.1701999999999959</v>
      </c>
      <c r="C461" s="449" t="s">
        <v>1222</v>
      </c>
      <c r="D461" s="437" t="s">
        <v>46</v>
      </c>
      <c r="E461" s="442">
        <v>1.97</v>
      </c>
      <c r="F461" s="439"/>
      <c r="G461" s="395">
        <v>180</v>
      </c>
      <c r="H461" s="160">
        <v>675</v>
      </c>
      <c r="I461" s="160">
        <f t="shared" si="91"/>
        <v>0</v>
      </c>
      <c r="J461" s="150">
        <f t="shared" si="92"/>
        <v>354.6</v>
      </c>
      <c r="K461" s="73">
        <v>1329.75</v>
      </c>
      <c r="L461" s="575"/>
      <c r="M461" s="586"/>
      <c r="N461" s="570"/>
      <c r="O461" s="610">
        <v>180</v>
      </c>
      <c r="P461" s="611">
        <f t="shared" si="93"/>
        <v>354.6</v>
      </c>
    </row>
    <row r="462" spans="2:16" ht="13.5" customHeight="1">
      <c r="B462" s="294">
        <f t="shared" si="84"/>
        <v>6.1702999999999957</v>
      </c>
      <c r="C462" s="449" t="s">
        <v>1223</v>
      </c>
      <c r="D462" s="437" t="s">
        <v>36</v>
      </c>
      <c r="E462" s="442">
        <v>1</v>
      </c>
      <c r="F462" s="439">
        <v>13000</v>
      </c>
      <c r="G462" s="395"/>
      <c r="H462" s="160">
        <v>13000</v>
      </c>
      <c r="I462" s="160">
        <f t="shared" si="91"/>
        <v>13000</v>
      </c>
      <c r="J462" s="150">
        <f t="shared" si="92"/>
        <v>0</v>
      </c>
      <c r="K462" s="73">
        <v>13000</v>
      </c>
      <c r="L462" s="575"/>
      <c r="M462" s="608">
        <v>13000</v>
      </c>
      <c r="N462" s="609">
        <f>+M462*E462</f>
        <v>13000</v>
      </c>
      <c r="O462" s="610">
        <v>0</v>
      </c>
      <c r="P462" s="611">
        <f t="shared" si="93"/>
        <v>0</v>
      </c>
    </row>
    <row r="463" spans="2:16" ht="13.5" customHeight="1">
      <c r="B463" s="294">
        <f t="shared" si="84"/>
        <v>6.1703999999999954</v>
      </c>
      <c r="C463" s="449" t="s">
        <v>1224</v>
      </c>
      <c r="D463" s="437" t="s">
        <v>36</v>
      </c>
      <c r="E463" s="442">
        <v>1</v>
      </c>
      <c r="F463" s="439">
        <v>18150</v>
      </c>
      <c r="G463" s="395"/>
      <c r="H463" s="160">
        <v>18150</v>
      </c>
      <c r="I463" s="160">
        <f t="shared" si="91"/>
        <v>18150</v>
      </c>
      <c r="J463" s="150">
        <f t="shared" si="92"/>
        <v>0</v>
      </c>
      <c r="K463" s="73">
        <v>18150</v>
      </c>
      <c r="L463" s="575"/>
      <c r="M463" s="608">
        <v>18150</v>
      </c>
      <c r="N463" s="609">
        <f t="shared" ref="N463:N475" si="94">+M463*E463</f>
        <v>18150</v>
      </c>
      <c r="O463" s="610">
        <v>0</v>
      </c>
      <c r="P463" s="611">
        <f t="shared" si="93"/>
        <v>0</v>
      </c>
    </row>
    <row r="464" spans="2:16" ht="13.5" customHeight="1">
      <c r="B464" s="294">
        <f t="shared" si="84"/>
        <v>6.1704999999999952</v>
      </c>
      <c r="C464" s="449" t="s">
        <v>1225</v>
      </c>
      <c r="D464" s="437" t="s">
        <v>46</v>
      </c>
      <c r="E464" s="442">
        <v>5.6</v>
      </c>
      <c r="F464" s="439">
        <v>562.5</v>
      </c>
      <c r="G464" s="395"/>
      <c r="H464" s="160">
        <v>562.5</v>
      </c>
      <c r="I464" s="160">
        <f t="shared" si="91"/>
        <v>3150</v>
      </c>
      <c r="J464" s="150">
        <f t="shared" si="92"/>
        <v>0</v>
      </c>
      <c r="K464" s="73">
        <v>3150</v>
      </c>
      <c r="L464" s="575"/>
      <c r="M464" s="608">
        <v>562.5</v>
      </c>
      <c r="N464" s="609">
        <f t="shared" si="94"/>
        <v>3150</v>
      </c>
      <c r="O464" s="610">
        <v>0</v>
      </c>
      <c r="P464" s="611">
        <f t="shared" si="93"/>
        <v>0</v>
      </c>
    </row>
    <row r="465" spans="2:16" ht="13.5" customHeight="1">
      <c r="B465" s="294">
        <f t="shared" ref="B465:B528" si="95">B464+0.0001</f>
        <v>6.170599999999995</v>
      </c>
      <c r="C465" s="449" t="s">
        <v>1226</v>
      </c>
      <c r="D465" s="437" t="s">
        <v>46</v>
      </c>
      <c r="E465" s="442">
        <v>2.8</v>
      </c>
      <c r="F465" s="439">
        <v>450</v>
      </c>
      <c r="G465" s="395"/>
      <c r="H465" s="160">
        <v>450</v>
      </c>
      <c r="I465" s="160">
        <f t="shared" si="91"/>
        <v>1260</v>
      </c>
      <c r="J465" s="150">
        <f t="shared" si="92"/>
        <v>0</v>
      </c>
      <c r="K465" s="73">
        <v>1260</v>
      </c>
      <c r="L465" s="575"/>
      <c r="M465" s="608">
        <v>450</v>
      </c>
      <c r="N465" s="609">
        <f t="shared" si="94"/>
        <v>1260</v>
      </c>
      <c r="O465" s="610">
        <v>0</v>
      </c>
      <c r="P465" s="611">
        <f t="shared" si="93"/>
        <v>0</v>
      </c>
    </row>
    <row r="466" spans="2:16" ht="13.5" customHeight="1">
      <c r="B466" s="294">
        <f t="shared" si="95"/>
        <v>6.1706999999999947</v>
      </c>
      <c r="C466" s="449" t="s">
        <v>1227</v>
      </c>
      <c r="D466" s="437" t="s">
        <v>36</v>
      </c>
      <c r="E466" s="442">
        <v>1</v>
      </c>
      <c r="F466" s="439">
        <v>1050</v>
      </c>
      <c r="G466" s="395"/>
      <c r="H466" s="160">
        <v>1050</v>
      </c>
      <c r="I466" s="160">
        <f t="shared" si="91"/>
        <v>1050</v>
      </c>
      <c r="J466" s="150">
        <f t="shared" si="92"/>
        <v>0</v>
      </c>
      <c r="K466" s="73">
        <v>1050</v>
      </c>
      <c r="L466" s="575"/>
      <c r="M466" s="608">
        <v>1050</v>
      </c>
      <c r="N466" s="609">
        <f t="shared" si="94"/>
        <v>1050</v>
      </c>
      <c r="O466" s="610">
        <v>0</v>
      </c>
      <c r="P466" s="611">
        <f t="shared" si="93"/>
        <v>0</v>
      </c>
    </row>
    <row r="467" spans="2:16" ht="13.5" customHeight="1">
      <c r="B467" s="294">
        <f t="shared" si="95"/>
        <v>6.1707999999999945</v>
      </c>
      <c r="C467" s="449" t="s">
        <v>1228</v>
      </c>
      <c r="D467" s="437" t="s">
        <v>161</v>
      </c>
      <c r="E467" s="442">
        <v>9.4499999999999993</v>
      </c>
      <c r="F467" s="439"/>
      <c r="G467" s="395">
        <v>150</v>
      </c>
      <c r="H467" s="160">
        <v>562.5</v>
      </c>
      <c r="I467" s="160">
        <f t="shared" si="91"/>
        <v>0</v>
      </c>
      <c r="J467" s="150">
        <f t="shared" si="92"/>
        <v>1417.5</v>
      </c>
      <c r="K467" s="73">
        <v>5315.63</v>
      </c>
      <c r="L467" s="575"/>
      <c r="M467" s="608">
        <v>0</v>
      </c>
      <c r="N467" s="609">
        <f t="shared" si="94"/>
        <v>0</v>
      </c>
      <c r="O467" s="610">
        <v>150</v>
      </c>
      <c r="P467" s="611">
        <f t="shared" si="93"/>
        <v>1417.5</v>
      </c>
    </row>
    <row r="468" spans="2:16" ht="13.5" customHeight="1">
      <c r="B468" s="294">
        <f t="shared" si="95"/>
        <v>6.1708999999999943</v>
      </c>
      <c r="C468" s="449" t="s">
        <v>1229</v>
      </c>
      <c r="D468" s="437" t="s">
        <v>46</v>
      </c>
      <c r="E468" s="442">
        <v>1.8</v>
      </c>
      <c r="F468" s="439">
        <v>975</v>
      </c>
      <c r="G468" s="395"/>
      <c r="H468" s="160">
        <v>975</v>
      </c>
      <c r="I468" s="160">
        <f t="shared" si="91"/>
        <v>1755</v>
      </c>
      <c r="J468" s="150">
        <f t="shared" si="92"/>
        <v>0</v>
      </c>
      <c r="K468" s="73">
        <v>1755</v>
      </c>
      <c r="L468" s="575"/>
      <c r="M468" s="608">
        <v>975</v>
      </c>
      <c r="N468" s="609">
        <f t="shared" si="94"/>
        <v>1755</v>
      </c>
      <c r="O468" s="610">
        <v>0</v>
      </c>
      <c r="P468" s="611">
        <f t="shared" si="93"/>
        <v>0</v>
      </c>
    </row>
    <row r="469" spans="2:16" ht="13.5" customHeight="1">
      <c r="B469" s="294">
        <f t="shared" si="95"/>
        <v>6.170999999999994</v>
      </c>
      <c r="C469" s="449" t="s">
        <v>1230</v>
      </c>
      <c r="D469" s="437" t="s">
        <v>46</v>
      </c>
      <c r="E469" s="442">
        <v>1.8</v>
      </c>
      <c r="F469" s="439">
        <v>562.5</v>
      </c>
      <c r="G469" s="395"/>
      <c r="H469" s="160">
        <v>562.5</v>
      </c>
      <c r="I469" s="160">
        <f t="shared" si="91"/>
        <v>1012.5</v>
      </c>
      <c r="J469" s="150">
        <f t="shared" si="92"/>
        <v>0</v>
      </c>
      <c r="K469" s="73">
        <v>1012.5</v>
      </c>
      <c r="L469" s="575"/>
      <c r="M469" s="608">
        <v>562.5</v>
      </c>
      <c r="N469" s="609">
        <f t="shared" si="94"/>
        <v>1012.5</v>
      </c>
      <c r="O469" s="610">
        <v>0</v>
      </c>
      <c r="P469" s="611">
        <f t="shared" si="93"/>
        <v>0</v>
      </c>
    </row>
    <row r="470" spans="2:16" ht="13.5" customHeight="1">
      <c r="B470" s="294">
        <f t="shared" si="95"/>
        <v>6.1710999999999938</v>
      </c>
      <c r="C470" s="449" t="s">
        <v>1231</v>
      </c>
      <c r="D470" s="437" t="s">
        <v>46</v>
      </c>
      <c r="E470" s="442">
        <v>8.4</v>
      </c>
      <c r="F470" s="439">
        <v>562.5</v>
      </c>
      <c r="G470" s="395"/>
      <c r="H470" s="160">
        <v>562.5</v>
      </c>
      <c r="I470" s="160">
        <f t="shared" si="91"/>
        <v>4725</v>
      </c>
      <c r="J470" s="150">
        <f t="shared" si="92"/>
        <v>0</v>
      </c>
      <c r="K470" s="73">
        <v>4725</v>
      </c>
      <c r="L470" s="575"/>
      <c r="M470" s="608">
        <v>562.5</v>
      </c>
      <c r="N470" s="609">
        <f t="shared" si="94"/>
        <v>4725</v>
      </c>
      <c r="O470" s="610">
        <v>0</v>
      </c>
      <c r="P470" s="611">
        <f t="shared" si="93"/>
        <v>0</v>
      </c>
    </row>
    <row r="471" spans="2:16" ht="13.5" customHeight="1">
      <c r="B471" s="294">
        <f t="shared" si="95"/>
        <v>6.1711999999999936</v>
      </c>
      <c r="C471" s="449" t="s">
        <v>1232</v>
      </c>
      <c r="D471" s="437" t="s">
        <v>46</v>
      </c>
      <c r="E471" s="442">
        <v>8.4</v>
      </c>
      <c r="F471" s="439">
        <v>350</v>
      </c>
      <c r="G471" s="395"/>
      <c r="H471" s="160">
        <v>350</v>
      </c>
      <c r="I471" s="160">
        <f t="shared" si="91"/>
        <v>2940</v>
      </c>
      <c r="J471" s="150">
        <f t="shared" si="92"/>
        <v>0</v>
      </c>
      <c r="K471" s="73">
        <v>2940</v>
      </c>
      <c r="L471" s="575"/>
      <c r="M471" s="608">
        <v>350</v>
      </c>
      <c r="N471" s="609">
        <f t="shared" si="94"/>
        <v>2940</v>
      </c>
      <c r="O471" s="610">
        <v>0</v>
      </c>
      <c r="P471" s="611">
        <f t="shared" si="93"/>
        <v>0</v>
      </c>
    </row>
    <row r="472" spans="2:16" ht="13.5" customHeight="1">
      <c r="B472" s="294">
        <f t="shared" si="95"/>
        <v>6.1712999999999933</v>
      </c>
      <c r="C472" s="449" t="s">
        <v>1233</v>
      </c>
      <c r="D472" s="437" t="s">
        <v>46</v>
      </c>
      <c r="E472" s="442">
        <v>5.0500000000000007</v>
      </c>
      <c r="F472" s="439">
        <v>85</v>
      </c>
      <c r="G472" s="395"/>
      <c r="H472" s="160">
        <v>85</v>
      </c>
      <c r="I472" s="160">
        <f t="shared" si="91"/>
        <v>429.25</v>
      </c>
      <c r="J472" s="150">
        <f t="shared" si="92"/>
        <v>0</v>
      </c>
      <c r="K472" s="73">
        <v>429.25</v>
      </c>
      <c r="L472" s="575"/>
      <c r="M472" s="608">
        <v>85</v>
      </c>
      <c r="N472" s="609">
        <f t="shared" si="94"/>
        <v>429.25000000000006</v>
      </c>
      <c r="O472" s="610">
        <v>0</v>
      </c>
      <c r="P472" s="611">
        <f t="shared" si="93"/>
        <v>0</v>
      </c>
    </row>
    <row r="473" spans="2:16" ht="13.5" customHeight="1">
      <c r="B473" s="294">
        <f t="shared" si="95"/>
        <v>6.1713999999999931</v>
      </c>
      <c r="C473" s="449" t="s">
        <v>1234</v>
      </c>
      <c r="D473" s="437" t="s">
        <v>46</v>
      </c>
      <c r="E473" s="442">
        <v>3.35</v>
      </c>
      <c r="F473" s="439">
        <v>95</v>
      </c>
      <c r="G473" s="395"/>
      <c r="H473" s="160">
        <v>95</v>
      </c>
      <c r="I473" s="160">
        <f t="shared" si="91"/>
        <v>318.25</v>
      </c>
      <c r="J473" s="150">
        <f t="shared" si="92"/>
        <v>0</v>
      </c>
      <c r="K473" s="73">
        <v>318.25</v>
      </c>
      <c r="L473" s="575"/>
      <c r="M473" s="608">
        <v>95</v>
      </c>
      <c r="N473" s="609">
        <f t="shared" si="94"/>
        <v>318.25</v>
      </c>
      <c r="O473" s="610">
        <v>0</v>
      </c>
      <c r="P473" s="611">
        <f t="shared" si="93"/>
        <v>0</v>
      </c>
    </row>
    <row r="474" spans="2:16" ht="13.5" customHeight="1">
      <c r="B474" s="294">
        <f t="shared" si="95"/>
        <v>6.1714999999999929</v>
      </c>
      <c r="C474" s="449" t="s">
        <v>1235</v>
      </c>
      <c r="D474" s="437" t="s">
        <v>36</v>
      </c>
      <c r="E474" s="442">
        <v>1</v>
      </c>
      <c r="F474" s="439"/>
      <c r="G474" s="395">
        <v>761.88</v>
      </c>
      <c r="H474" s="160">
        <v>2857.05</v>
      </c>
      <c r="I474" s="160">
        <f t="shared" si="91"/>
        <v>0</v>
      </c>
      <c r="J474" s="150">
        <f t="shared" si="92"/>
        <v>761.88</v>
      </c>
      <c r="K474" s="73">
        <v>2857.05</v>
      </c>
      <c r="L474" s="575"/>
      <c r="M474" s="608">
        <v>0</v>
      </c>
      <c r="N474" s="609">
        <f t="shared" si="94"/>
        <v>0</v>
      </c>
      <c r="O474" s="610">
        <v>761.88</v>
      </c>
      <c r="P474" s="611">
        <f t="shared" si="93"/>
        <v>761.88</v>
      </c>
    </row>
    <row r="475" spans="2:16" ht="13.5" customHeight="1">
      <c r="B475" s="468">
        <f t="shared" si="95"/>
        <v>6.1715999999999926</v>
      </c>
      <c r="C475" s="472" t="s">
        <v>1236</v>
      </c>
      <c r="D475" s="458" t="s">
        <v>46</v>
      </c>
      <c r="E475" s="459">
        <v>0.56999999999999995</v>
      </c>
      <c r="F475" s="470"/>
      <c r="G475" s="511"/>
      <c r="H475" s="186">
        <v>0</v>
      </c>
      <c r="I475" s="186">
        <f t="shared" si="91"/>
        <v>0</v>
      </c>
      <c r="J475" s="415">
        <f t="shared" si="92"/>
        <v>0</v>
      </c>
      <c r="K475" s="231">
        <v>0</v>
      </c>
      <c r="L475" s="575"/>
      <c r="M475" s="608">
        <v>0</v>
      </c>
      <c r="N475" s="609">
        <f t="shared" si="94"/>
        <v>0</v>
      </c>
      <c r="O475" s="610">
        <v>0</v>
      </c>
      <c r="P475" s="611">
        <f t="shared" si="93"/>
        <v>0</v>
      </c>
    </row>
    <row r="476" spans="2:16" ht="13.5" customHeight="1">
      <c r="B476" s="294">
        <f t="shared" si="95"/>
        <v>6.1716999999999924</v>
      </c>
      <c r="C476" s="449" t="s">
        <v>1237</v>
      </c>
      <c r="D476" s="437" t="s">
        <v>36</v>
      </c>
      <c r="E476" s="442">
        <v>2</v>
      </c>
      <c r="F476" s="439"/>
      <c r="G476" s="395">
        <v>525</v>
      </c>
      <c r="H476" s="160">
        <v>1968.75</v>
      </c>
      <c r="I476" s="160">
        <f t="shared" si="91"/>
        <v>0</v>
      </c>
      <c r="J476" s="150">
        <f t="shared" si="92"/>
        <v>1050</v>
      </c>
      <c r="K476" s="73">
        <v>3937.5</v>
      </c>
      <c r="L476" s="575"/>
      <c r="M476" s="608">
        <v>0</v>
      </c>
      <c r="N476" s="609">
        <f t="shared" ref="N476:N502" si="96">+M476*E476</f>
        <v>0</v>
      </c>
      <c r="O476" s="610">
        <v>525</v>
      </c>
      <c r="P476" s="611">
        <f t="shared" si="93"/>
        <v>1050</v>
      </c>
    </row>
    <row r="477" spans="2:16" ht="13.5" customHeight="1">
      <c r="B477" s="294">
        <f t="shared" si="95"/>
        <v>6.1717999999999922</v>
      </c>
      <c r="C477" s="449" t="s">
        <v>1237</v>
      </c>
      <c r="D477" s="437" t="s">
        <v>36</v>
      </c>
      <c r="E477" s="442">
        <v>6</v>
      </c>
      <c r="F477" s="439"/>
      <c r="G477" s="395">
        <v>315</v>
      </c>
      <c r="H477" s="160">
        <v>1181.25</v>
      </c>
      <c r="I477" s="160">
        <f t="shared" si="91"/>
        <v>0</v>
      </c>
      <c r="J477" s="150">
        <f t="shared" si="92"/>
        <v>1890</v>
      </c>
      <c r="K477" s="73">
        <v>7087.5</v>
      </c>
      <c r="L477" s="575"/>
      <c r="M477" s="608">
        <v>0</v>
      </c>
      <c r="N477" s="609">
        <f t="shared" si="96"/>
        <v>0</v>
      </c>
      <c r="O477" s="610">
        <v>315</v>
      </c>
      <c r="P477" s="611">
        <f t="shared" si="93"/>
        <v>1890</v>
      </c>
    </row>
    <row r="478" spans="2:16" ht="13.5" customHeight="1">
      <c r="B478" s="294">
        <f t="shared" si="95"/>
        <v>6.1718999999999919</v>
      </c>
      <c r="C478" s="449" t="s">
        <v>1238</v>
      </c>
      <c r="D478" s="437" t="s">
        <v>36</v>
      </c>
      <c r="E478" s="442">
        <v>2</v>
      </c>
      <c r="F478" s="439"/>
      <c r="G478" s="395">
        <v>225</v>
      </c>
      <c r="H478" s="160">
        <v>843.75</v>
      </c>
      <c r="I478" s="160">
        <f t="shared" si="91"/>
        <v>0</v>
      </c>
      <c r="J478" s="150">
        <f t="shared" si="92"/>
        <v>450</v>
      </c>
      <c r="K478" s="73">
        <v>1687.5</v>
      </c>
      <c r="L478" s="575"/>
      <c r="M478" s="608">
        <v>0</v>
      </c>
      <c r="N478" s="609">
        <f t="shared" si="96"/>
        <v>0</v>
      </c>
      <c r="O478" s="610">
        <v>225</v>
      </c>
      <c r="P478" s="611">
        <f t="shared" si="93"/>
        <v>450</v>
      </c>
    </row>
    <row r="479" spans="2:16" ht="13.5" customHeight="1">
      <c r="B479" s="468">
        <f t="shared" si="95"/>
        <v>6.1719999999999917</v>
      </c>
      <c r="C479" s="472" t="s">
        <v>1239</v>
      </c>
      <c r="D479" s="458" t="s">
        <v>36</v>
      </c>
      <c r="E479" s="459">
        <v>1</v>
      </c>
      <c r="F479" s="470"/>
      <c r="G479" s="511"/>
      <c r="H479" s="186">
        <v>0</v>
      </c>
      <c r="I479" s="186">
        <f t="shared" si="91"/>
        <v>0</v>
      </c>
      <c r="J479" s="415">
        <f t="shared" si="92"/>
        <v>0</v>
      </c>
      <c r="K479" s="231">
        <v>0</v>
      </c>
      <c r="L479" s="575"/>
      <c r="M479" s="608">
        <v>0</v>
      </c>
      <c r="N479" s="609">
        <f t="shared" si="96"/>
        <v>0</v>
      </c>
      <c r="O479" s="610">
        <v>0</v>
      </c>
      <c r="P479" s="611">
        <f t="shared" si="93"/>
        <v>0</v>
      </c>
    </row>
    <row r="480" spans="2:16" ht="13.5" customHeight="1">
      <c r="B480" s="294">
        <f t="shared" si="95"/>
        <v>6.1720999999999915</v>
      </c>
      <c r="C480" s="449" t="s">
        <v>1240</v>
      </c>
      <c r="D480" s="437" t="s">
        <v>161</v>
      </c>
      <c r="E480" s="442">
        <v>10.01</v>
      </c>
      <c r="F480" s="439"/>
      <c r="G480" s="395">
        <v>150</v>
      </c>
      <c r="H480" s="160">
        <v>562.5</v>
      </c>
      <c r="I480" s="160">
        <f t="shared" si="91"/>
        <v>0</v>
      </c>
      <c r="J480" s="150">
        <f t="shared" si="92"/>
        <v>1501.5</v>
      </c>
      <c r="K480" s="73">
        <v>5630.63</v>
      </c>
      <c r="L480" s="575"/>
      <c r="M480" s="608">
        <v>0</v>
      </c>
      <c r="N480" s="609">
        <f t="shared" si="96"/>
        <v>0</v>
      </c>
      <c r="O480" s="610">
        <v>150</v>
      </c>
      <c r="P480" s="611">
        <f t="shared" si="93"/>
        <v>1501.5</v>
      </c>
    </row>
    <row r="481" spans="2:16" ht="13.5" customHeight="1">
      <c r="B481" s="294">
        <f t="shared" si="95"/>
        <v>6.1721999999999912</v>
      </c>
      <c r="C481" s="449" t="s">
        <v>1241</v>
      </c>
      <c r="D481" s="437" t="s">
        <v>161</v>
      </c>
      <c r="E481" s="442">
        <v>7.43</v>
      </c>
      <c r="F481" s="439"/>
      <c r="G481" s="395">
        <v>150</v>
      </c>
      <c r="H481" s="160">
        <v>562.5</v>
      </c>
      <c r="I481" s="160">
        <f t="shared" si="91"/>
        <v>0</v>
      </c>
      <c r="J481" s="150">
        <f t="shared" si="92"/>
        <v>1114.5</v>
      </c>
      <c r="K481" s="73">
        <v>4179.38</v>
      </c>
      <c r="L481" s="575"/>
      <c r="M481" s="608">
        <v>0</v>
      </c>
      <c r="N481" s="609">
        <f t="shared" si="96"/>
        <v>0</v>
      </c>
      <c r="O481" s="610">
        <v>150</v>
      </c>
      <c r="P481" s="611">
        <f t="shared" si="93"/>
        <v>1114.5</v>
      </c>
    </row>
    <row r="482" spans="2:16" ht="13.5" customHeight="1">
      <c r="B482" s="294">
        <f t="shared" si="95"/>
        <v>6.172299999999991</v>
      </c>
      <c r="C482" s="449" t="s">
        <v>1242</v>
      </c>
      <c r="D482" s="437" t="s">
        <v>161</v>
      </c>
      <c r="E482" s="442">
        <v>4.9000000000000004</v>
      </c>
      <c r="F482" s="439"/>
      <c r="G482" s="395">
        <v>150</v>
      </c>
      <c r="H482" s="160">
        <v>562.5</v>
      </c>
      <c r="I482" s="160">
        <f t="shared" si="91"/>
        <v>0</v>
      </c>
      <c r="J482" s="150">
        <f t="shared" si="92"/>
        <v>735</v>
      </c>
      <c r="K482" s="73">
        <v>2756.25</v>
      </c>
      <c r="L482" s="575"/>
      <c r="M482" s="608">
        <v>0</v>
      </c>
      <c r="N482" s="609">
        <f t="shared" si="96"/>
        <v>0</v>
      </c>
      <c r="O482" s="610">
        <v>150</v>
      </c>
      <c r="P482" s="611">
        <f t="shared" si="93"/>
        <v>735</v>
      </c>
    </row>
    <row r="483" spans="2:16" ht="13.5" customHeight="1">
      <c r="B483" s="294">
        <f t="shared" si="95"/>
        <v>6.1723999999999908</v>
      </c>
      <c r="C483" s="449" t="s">
        <v>1243</v>
      </c>
      <c r="D483" s="437" t="s">
        <v>36</v>
      </c>
      <c r="E483" s="442">
        <v>4</v>
      </c>
      <c r="F483" s="439"/>
      <c r="G483" s="395">
        <v>990</v>
      </c>
      <c r="H483" s="160">
        <v>3712.5</v>
      </c>
      <c r="I483" s="160">
        <f t="shared" si="91"/>
        <v>0</v>
      </c>
      <c r="J483" s="150">
        <f t="shared" si="92"/>
        <v>3960</v>
      </c>
      <c r="K483" s="73">
        <v>14850</v>
      </c>
      <c r="L483" s="575"/>
      <c r="M483" s="608">
        <v>0</v>
      </c>
      <c r="N483" s="609">
        <f t="shared" si="96"/>
        <v>0</v>
      </c>
      <c r="O483" s="610">
        <v>990</v>
      </c>
      <c r="P483" s="611">
        <f t="shared" si="93"/>
        <v>3960</v>
      </c>
    </row>
    <row r="484" spans="2:16" ht="13.5" customHeight="1">
      <c r="B484" s="294">
        <f t="shared" si="95"/>
        <v>6.1724999999999905</v>
      </c>
      <c r="C484" s="449" t="s">
        <v>1244</v>
      </c>
      <c r="D484" s="437" t="s">
        <v>46</v>
      </c>
      <c r="E484" s="442">
        <v>3.35</v>
      </c>
      <c r="F484" s="439">
        <v>125</v>
      </c>
      <c r="G484" s="395"/>
      <c r="H484" s="160">
        <v>125</v>
      </c>
      <c r="I484" s="160">
        <f t="shared" si="91"/>
        <v>418.75</v>
      </c>
      <c r="J484" s="150">
        <f t="shared" si="92"/>
        <v>0</v>
      </c>
      <c r="K484" s="73">
        <v>418.75</v>
      </c>
      <c r="L484" s="575"/>
      <c r="M484" s="608">
        <v>125</v>
      </c>
      <c r="N484" s="609">
        <f t="shared" si="96"/>
        <v>418.75</v>
      </c>
      <c r="O484" s="610">
        <v>0</v>
      </c>
      <c r="P484" s="611">
        <f t="shared" si="93"/>
        <v>0</v>
      </c>
    </row>
    <row r="485" spans="2:16" ht="13.5" customHeight="1">
      <c r="B485" s="294">
        <f t="shared" si="95"/>
        <v>6.1725999999999903</v>
      </c>
      <c r="C485" s="449" t="s">
        <v>1245</v>
      </c>
      <c r="D485" s="437" t="s">
        <v>46</v>
      </c>
      <c r="E485" s="442">
        <v>5</v>
      </c>
      <c r="F485" s="439">
        <v>125</v>
      </c>
      <c r="G485" s="395"/>
      <c r="H485" s="160">
        <v>125</v>
      </c>
      <c r="I485" s="160">
        <f t="shared" si="91"/>
        <v>625</v>
      </c>
      <c r="J485" s="150">
        <f t="shared" si="92"/>
        <v>0</v>
      </c>
      <c r="K485" s="73">
        <v>625</v>
      </c>
      <c r="L485" s="575"/>
      <c r="M485" s="608">
        <v>125</v>
      </c>
      <c r="N485" s="609">
        <f t="shared" si="96"/>
        <v>625</v>
      </c>
      <c r="O485" s="610">
        <v>0</v>
      </c>
      <c r="P485" s="611">
        <f t="shared" si="93"/>
        <v>0</v>
      </c>
    </row>
    <row r="486" spans="2:16" ht="13.5" customHeight="1">
      <c r="B486" s="468">
        <f t="shared" si="95"/>
        <v>6.1726999999999901</v>
      </c>
      <c r="C486" s="472" t="s">
        <v>1246</v>
      </c>
      <c r="D486" s="458" t="s">
        <v>36</v>
      </c>
      <c r="E486" s="459">
        <v>1</v>
      </c>
      <c r="F486" s="470"/>
      <c r="G486" s="511"/>
      <c r="H486" s="186">
        <v>0</v>
      </c>
      <c r="I486" s="186">
        <f t="shared" si="91"/>
        <v>0</v>
      </c>
      <c r="J486" s="415">
        <f t="shared" si="92"/>
        <v>0</v>
      </c>
      <c r="K486" s="231">
        <v>0</v>
      </c>
      <c r="L486" s="575"/>
      <c r="M486" s="608">
        <v>0</v>
      </c>
      <c r="N486" s="609">
        <f t="shared" si="96"/>
        <v>0</v>
      </c>
      <c r="O486" s="610">
        <v>0</v>
      </c>
      <c r="P486" s="611">
        <f t="shared" si="93"/>
        <v>0</v>
      </c>
    </row>
    <row r="487" spans="2:16" ht="13.5" customHeight="1">
      <c r="B487" s="468">
        <f t="shared" si="95"/>
        <v>6.1727999999999899</v>
      </c>
      <c r="C487" s="472" t="s">
        <v>1247</v>
      </c>
      <c r="D487" s="458" t="s">
        <v>36</v>
      </c>
      <c r="E487" s="459">
        <v>2</v>
      </c>
      <c r="F487" s="470"/>
      <c r="G487" s="511"/>
      <c r="H487" s="186">
        <v>0</v>
      </c>
      <c r="I487" s="186">
        <f t="shared" si="91"/>
        <v>0</v>
      </c>
      <c r="J487" s="415">
        <f t="shared" si="92"/>
        <v>0</v>
      </c>
      <c r="K487" s="231">
        <v>0</v>
      </c>
      <c r="L487" s="575"/>
      <c r="M487" s="608">
        <v>0</v>
      </c>
      <c r="N487" s="609">
        <f t="shared" si="96"/>
        <v>0</v>
      </c>
      <c r="O487" s="610">
        <v>0</v>
      </c>
      <c r="P487" s="611">
        <f t="shared" si="93"/>
        <v>0</v>
      </c>
    </row>
    <row r="488" spans="2:16" ht="13.5" customHeight="1">
      <c r="B488" s="468">
        <f t="shared" si="95"/>
        <v>6.1728999999999896</v>
      </c>
      <c r="C488" s="472" t="s">
        <v>1248</v>
      </c>
      <c r="D488" s="458" t="s">
        <v>36</v>
      </c>
      <c r="E488" s="459">
        <v>3</v>
      </c>
      <c r="F488" s="470"/>
      <c r="G488" s="511"/>
      <c r="H488" s="186">
        <v>0</v>
      </c>
      <c r="I488" s="186">
        <f t="shared" si="91"/>
        <v>0</v>
      </c>
      <c r="J488" s="415">
        <f t="shared" si="92"/>
        <v>0</v>
      </c>
      <c r="K488" s="231">
        <v>0</v>
      </c>
      <c r="L488" s="575"/>
      <c r="M488" s="608">
        <v>0</v>
      </c>
      <c r="N488" s="609">
        <f t="shared" si="96"/>
        <v>0</v>
      </c>
      <c r="O488" s="610">
        <v>0</v>
      </c>
      <c r="P488" s="611">
        <f t="shared" si="93"/>
        <v>0</v>
      </c>
    </row>
    <row r="489" spans="2:16" ht="13.5" customHeight="1">
      <c r="B489" s="468">
        <f t="shared" si="95"/>
        <v>6.1729999999999894</v>
      </c>
      <c r="C489" s="472" t="s">
        <v>1249</v>
      </c>
      <c r="D489" s="458" t="s">
        <v>36</v>
      </c>
      <c r="E489" s="459">
        <v>1</v>
      </c>
      <c r="F489" s="470"/>
      <c r="G489" s="511"/>
      <c r="H489" s="186">
        <v>0</v>
      </c>
      <c r="I489" s="186">
        <f t="shared" si="91"/>
        <v>0</v>
      </c>
      <c r="J489" s="415">
        <f t="shared" si="92"/>
        <v>0</v>
      </c>
      <c r="K489" s="231">
        <v>0</v>
      </c>
      <c r="L489" s="575"/>
      <c r="M489" s="608">
        <v>0</v>
      </c>
      <c r="N489" s="609">
        <f t="shared" si="96"/>
        <v>0</v>
      </c>
      <c r="O489" s="610">
        <v>0</v>
      </c>
      <c r="P489" s="611">
        <f t="shared" si="93"/>
        <v>0</v>
      </c>
    </row>
    <row r="490" spans="2:16" ht="13.5" customHeight="1">
      <c r="B490" s="468">
        <f t="shared" si="95"/>
        <v>6.1730999999999892</v>
      </c>
      <c r="C490" s="472" t="s">
        <v>1250</v>
      </c>
      <c r="D490" s="458" t="s">
        <v>36</v>
      </c>
      <c r="E490" s="459">
        <v>5</v>
      </c>
      <c r="F490" s="470"/>
      <c r="G490" s="511"/>
      <c r="H490" s="186">
        <v>0</v>
      </c>
      <c r="I490" s="186">
        <f t="shared" si="91"/>
        <v>0</v>
      </c>
      <c r="J490" s="415">
        <f t="shared" si="92"/>
        <v>0</v>
      </c>
      <c r="K490" s="231">
        <v>0</v>
      </c>
      <c r="L490" s="575"/>
      <c r="M490" s="608">
        <v>0</v>
      </c>
      <c r="N490" s="609">
        <f t="shared" si="96"/>
        <v>0</v>
      </c>
      <c r="O490" s="610">
        <v>0</v>
      </c>
      <c r="P490" s="611">
        <f t="shared" si="93"/>
        <v>0</v>
      </c>
    </row>
    <row r="491" spans="2:16" ht="13.5" customHeight="1">
      <c r="B491" s="294">
        <f t="shared" si="95"/>
        <v>6.1731999999999889</v>
      </c>
      <c r="C491" s="449" t="s">
        <v>1251</v>
      </c>
      <c r="D491" s="437" t="s">
        <v>36</v>
      </c>
      <c r="E491" s="442">
        <v>4</v>
      </c>
      <c r="F491" s="439"/>
      <c r="G491" s="395">
        <v>450</v>
      </c>
      <c r="H491" s="160">
        <v>1687.5</v>
      </c>
      <c r="I491" s="160">
        <f t="shared" si="91"/>
        <v>0</v>
      </c>
      <c r="J491" s="150">
        <f t="shared" si="92"/>
        <v>1800</v>
      </c>
      <c r="K491" s="73">
        <v>6750</v>
      </c>
      <c r="L491" s="575"/>
      <c r="M491" s="608">
        <v>0</v>
      </c>
      <c r="N491" s="609">
        <f t="shared" si="96"/>
        <v>0</v>
      </c>
      <c r="O491" s="610">
        <v>450</v>
      </c>
      <c r="P491" s="611">
        <f t="shared" si="93"/>
        <v>1800</v>
      </c>
    </row>
    <row r="492" spans="2:16" ht="13.5" customHeight="1">
      <c r="B492" s="294">
        <f t="shared" si="95"/>
        <v>6.1732999999999887</v>
      </c>
      <c r="C492" s="449" t="s">
        <v>1252</v>
      </c>
      <c r="D492" s="437" t="s">
        <v>36</v>
      </c>
      <c r="E492" s="442">
        <v>1</v>
      </c>
      <c r="F492" s="439"/>
      <c r="G492" s="395"/>
      <c r="H492" s="160">
        <v>0</v>
      </c>
      <c r="I492" s="160">
        <f t="shared" si="91"/>
        <v>0</v>
      </c>
      <c r="J492" s="150">
        <f t="shared" si="92"/>
        <v>0</v>
      </c>
      <c r="K492" s="73">
        <v>0</v>
      </c>
      <c r="L492" s="575"/>
      <c r="M492" s="608">
        <v>0</v>
      </c>
      <c r="N492" s="609">
        <f t="shared" si="96"/>
        <v>0</v>
      </c>
      <c r="O492" s="610">
        <v>0</v>
      </c>
      <c r="P492" s="611">
        <f t="shared" si="93"/>
        <v>0</v>
      </c>
    </row>
    <row r="493" spans="2:16" ht="13.5" customHeight="1">
      <c r="B493" s="294">
        <f t="shared" si="95"/>
        <v>6.1733999999999885</v>
      </c>
      <c r="C493" s="449" t="s">
        <v>1253</v>
      </c>
      <c r="D493" s="437" t="s">
        <v>36</v>
      </c>
      <c r="E493" s="442">
        <v>4</v>
      </c>
      <c r="F493" s="439">
        <v>1250</v>
      </c>
      <c r="G493" s="395"/>
      <c r="H493" s="160">
        <v>1250</v>
      </c>
      <c r="I493" s="160">
        <f t="shared" si="91"/>
        <v>5000</v>
      </c>
      <c r="J493" s="150">
        <f t="shared" si="92"/>
        <v>0</v>
      </c>
      <c r="K493" s="73">
        <v>5000</v>
      </c>
      <c r="L493" s="575"/>
      <c r="M493" s="608">
        <v>1250</v>
      </c>
      <c r="N493" s="609">
        <f t="shared" si="96"/>
        <v>5000</v>
      </c>
      <c r="O493" s="610">
        <v>0</v>
      </c>
      <c r="P493" s="611">
        <f t="shared" si="93"/>
        <v>0</v>
      </c>
    </row>
    <row r="494" spans="2:16" ht="13.5" customHeight="1">
      <c r="B494" s="294">
        <f t="shared" si="95"/>
        <v>6.1734999999999882</v>
      </c>
      <c r="C494" s="449" t="s">
        <v>1254</v>
      </c>
      <c r="D494" s="437" t="s">
        <v>36</v>
      </c>
      <c r="E494" s="442">
        <v>2</v>
      </c>
      <c r="F494" s="439"/>
      <c r="G494" s="395"/>
      <c r="H494" s="160">
        <v>0</v>
      </c>
      <c r="I494" s="160">
        <f t="shared" si="91"/>
        <v>0</v>
      </c>
      <c r="J494" s="150">
        <f t="shared" si="92"/>
        <v>0</v>
      </c>
      <c r="K494" s="73">
        <v>0</v>
      </c>
      <c r="L494" s="575"/>
      <c r="M494" s="608">
        <v>0</v>
      </c>
      <c r="N494" s="609">
        <f t="shared" si="96"/>
        <v>0</v>
      </c>
      <c r="O494" s="610">
        <v>0</v>
      </c>
      <c r="P494" s="611">
        <f t="shared" si="93"/>
        <v>0</v>
      </c>
    </row>
    <row r="495" spans="2:16" ht="13.5" customHeight="1">
      <c r="B495" s="294">
        <f t="shared" si="95"/>
        <v>6.173599999999988</v>
      </c>
      <c r="C495" s="449" t="s">
        <v>1255</v>
      </c>
      <c r="D495" s="437" t="s">
        <v>46</v>
      </c>
      <c r="E495" s="442">
        <v>2.0499999999999998</v>
      </c>
      <c r="F495" s="439">
        <v>675</v>
      </c>
      <c r="G495" s="395"/>
      <c r="H495" s="160">
        <v>675</v>
      </c>
      <c r="I495" s="160">
        <f t="shared" si="91"/>
        <v>1383.75</v>
      </c>
      <c r="J495" s="150">
        <f t="shared" si="92"/>
        <v>0</v>
      </c>
      <c r="K495" s="73">
        <v>1383.75</v>
      </c>
      <c r="L495" s="575"/>
      <c r="M495" s="608">
        <v>675</v>
      </c>
      <c r="N495" s="609">
        <f t="shared" si="96"/>
        <v>1383.7499999999998</v>
      </c>
      <c r="O495" s="610">
        <v>0</v>
      </c>
      <c r="P495" s="611">
        <f t="shared" si="93"/>
        <v>0</v>
      </c>
    </row>
    <row r="496" spans="2:16" ht="13.5" customHeight="1">
      <c r="B496" s="294">
        <f t="shared" si="95"/>
        <v>6.1736999999999878</v>
      </c>
      <c r="C496" s="449" t="s">
        <v>1256</v>
      </c>
      <c r="D496" s="437" t="s">
        <v>36</v>
      </c>
      <c r="E496" s="442">
        <v>1</v>
      </c>
      <c r="F496" s="439"/>
      <c r="G496" s="395"/>
      <c r="H496" s="160">
        <v>0</v>
      </c>
      <c r="I496" s="160">
        <f t="shared" si="91"/>
        <v>0</v>
      </c>
      <c r="J496" s="150">
        <f t="shared" si="92"/>
        <v>0</v>
      </c>
      <c r="K496" s="73">
        <v>0</v>
      </c>
      <c r="L496" s="575"/>
      <c r="M496" s="608">
        <v>0</v>
      </c>
      <c r="N496" s="609">
        <f t="shared" si="96"/>
        <v>0</v>
      </c>
      <c r="O496" s="610">
        <v>0</v>
      </c>
      <c r="P496" s="611">
        <f t="shared" si="93"/>
        <v>0</v>
      </c>
    </row>
    <row r="497" spans="2:16" ht="13.5" customHeight="1">
      <c r="B497" s="294">
        <f t="shared" si="95"/>
        <v>6.1737999999999875</v>
      </c>
      <c r="C497" s="449" t="s">
        <v>1257</v>
      </c>
      <c r="D497" s="437" t="s">
        <v>46</v>
      </c>
      <c r="E497" s="442">
        <v>1.25</v>
      </c>
      <c r="F497" s="439">
        <v>675</v>
      </c>
      <c r="G497" s="395"/>
      <c r="H497" s="160">
        <v>675</v>
      </c>
      <c r="I497" s="160">
        <f t="shared" si="91"/>
        <v>843.75</v>
      </c>
      <c r="J497" s="150">
        <f t="shared" si="92"/>
        <v>0</v>
      </c>
      <c r="K497" s="73">
        <v>843.75</v>
      </c>
      <c r="L497" s="575"/>
      <c r="M497" s="608">
        <v>675</v>
      </c>
      <c r="N497" s="609">
        <f t="shared" si="96"/>
        <v>843.75</v>
      </c>
      <c r="O497" s="610">
        <v>0</v>
      </c>
      <c r="P497" s="611">
        <f t="shared" si="93"/>
        <v>0</v>
      </c>
    </row>
    <row r="498" spans="2:16" ht="13.5" customHeight="1">
      <c r="B498" s="468">
        <f t="shared" si="95"/>
        <v>6.1738999999999873</v>
      </c>
      <c r="C498" s="472" t="s">
        <v>1258</v>
      </c>
      <c r="D498" s="458" t="s">
        <v>36</v>
      </c>
      <c r="E498" s="459">
        <v>1</v>
      </c>
      <c r="F498" s="470"/>
      <c r="G498" s="511"/>
      <c r="H498" s="186">
        <v>0</v>
      </c>
      <c r="I498" s="186">
        <f t="shared" si="91"/>
        <v>0</v>
      </c>
      <c r="J498" s="415">
        <f t="shared" si="92"/>
        <v>0</v>
      </c>
      <c r="K498" s="231">
        <v>0</v>
      </c>
      <c r="L498" s="575"/>
      <c r="M498" s="608">
        <v>0</v>
      </c>
      <c r="N498" s="609">
        <f t="shared" si="96"/>
        <v>0</v>
      </c>
      <c r="O498" s="610">
        <v>0</v>
      </c>
      <c r="P498" s="611">
        <f t="shared" si="93"/>
        <v>0</v>
      </c>
    </row>
    <row r="499" spans="2:16" ht="13.5" customHeight="1">
      <c r="B499" s="468">
        <f t="shared" si="95"/>
        <v>6.1739999999999871</v>
      </c>
      <c r="C499" s="472" t="s">
        <v>1259</v>
      </c>
      <c r="D499" s="458" t="s">
        <v>36</v>
      </c>
      <c r="E499" s="459">
        <v>1</v>
      </c>
      <c r="F499" s="470"/>
      <c r="G499" s="511"/>
      <c r="H499" s="186">
        <v>0</v>
      </c>
      <c r="I499" s="186">
        <f t="shared" si="91"/>
        <v>0</v>
      </c>
      <c r="J499" s="415">
        <f t="shared" si="92"/>
        <v>0</v>
      </c>
      <c r="K499" s="231">
        <v>0</v>
      </c>
      <c r="L499" s="575"/>
      <c r="M499" s="608">
        <v>0</v>
      </c>
      <c r="N499" s="609">
        <f t="shared" si="96"/>
        <v>0</v>
      </c>
      <c r="O499" s="610">
        <v>0</v>
      </c>
      <c r="P499" s="611">
        <f t="shared" si="93"/>
        <v>0</v>
      </c>
    </row>
    <row r="500" spans="2:16" ht="13.5" customHeight="1">
      <c r="B500" s="468">
        <f t="shared" si="95"/>
        <v>6.1740999999999868</v>
      </c>
      <c r="C500" s="472" t="s">
        <v>1260</v>
      </c>
      <c r="D500" s="458" t="s">
        <v>36</v>
      </c>
      <c r="E500" s="459">
        <v>1</v>
      </c>
      <c r="F500" s="470"/>
      <c r="G500" s="511"/>
      <c r="H500" s="186">
        <v>0</v>
      </c>
      <c r="I500" s="186">
        <f t="shared" si="91"/>
        <v>0</v>
      </c>
      <c r="J500" s="415">
        <f t="shared" si="92"/>
        <v>0</v>
      </c>
      <c r="K500" s="231">
        <v>0</v>
      </c>
      <c r="L500" s="575"/>
      <c r="M500" s="608">
        <v>0</v>
      </c>
      <c r="N500" s="609">
        <f t="shared" si="96"/>
        <v>0</v>
      </c>
      <c r="O500" s="610">
        <v>0</v>
      </c>
      <c r="P500" s="611">
        <f t="shared" si="93"/>
        <v>0</v>
      </c>
    </row>
    <row r="501" spans="2:16" ht="13.5" customHeight="1">
      <c r="B501" s="294">
        <f t="shared" si="95"/>
        <v>6.1741999999999866</v>
      </c>
      <c r="C501" s="449" t="s">
        <v>1261</v>
      </c>
      <c r="D501" s="437" t="s">
        <v>46</v>
      </c>
      <c r="E501" s="442">
        <v>3.5</v>
      </c>
      <c r="F501" s="439">
        <v>675</v>
      </c>
      <c r="G501" s="395"/>
      <c r="H501" s="160">
        <v>675</v>
      </c>
      <c r="I501" s="160">
        <f t="shared" si="91"/>
        <v>2362.5</v>
      </c>
      <c r="J501" s="150">
        <f t="shared" si="92"/>
        <v>0</v>
      </c>
      <c r="K501" s="73">
        <v>2362.5</v>
      </c>
      <c r="L501" s="575"/>
      <c r="M501" s="608">
        <v>675</v>
      </c>
      <c r="N501" s="609">
        <f t="shared" si="96"/>
        <v>2362.5</v>
      </c>
      <c r="O501" s="610">
        <v>0</v>
      </c>
      <c r="P501" s="611">
        <f t="shared" si="93"/>
        <v>0</v>
      </c>
    </row>
    <row r="502" spans="2:16" ht="13.5" customHeight="1">
      <c r="B502" s="294">
        <f t="shared" si="95"/>
        <v>6.1742999999999864</v>
      </c>
      <c r="C502" s="279" t="s">
        <v>1262</v>
      </c>
      <c r="D502" s="93"/>
      <c r="E502" s="93"/>
      <c r="F502" s="93"/>
      <c r="G502" s="93"/>
      <c r="H502" s="93">
        <v>0</v>
      </c>
      <c r="I502" s="93">
        <f t="shared" si="91"/>
        <v>0</v>
      </c>
      <c r="J502" s="93">
        <f t="shared" si="92"/>
        <v>0</v>
      </c>
      <c r="K502" s="73">
        <v>0</v>
      </c>
      <c r="L502" s="575"/>
      <c r="M502" s="608">
        <v>0</v>
      </c>
      <c r="N502" s="609">
        <f t="shared" si="96"/>
        <v>0</v>
      </c>
      <c r="O502" s="610">
        <v>0</v>
      </c>
      <c r="P502" s="611">
        <f t="shared" si="93"/>
        <v>0</v>
      </c>
    </row>
    <row r="503" spans="2:16" ht="13.5" customHeight="1">
      <c r="B503" s="294">
        <f t="shared" si="95"/>
        <v>6.1743999999999861</v>
      </c>
      <c r="C503" s="449" t="s">
        <v>1263</v>
      </c>
      <c r="D503" s="437" t="s">
        <v>161</v>
      </c>
      <c r="E503" s="442">
        <v>18.399999999999999</v>
      </c>
      <c r="F503" s="439"/>
      <c r="G503" s="395">
        <v>200</v>
      </c>
      <c r="H503" s="160">
        <v>750</v>
      </c>
      <c r="I503" s="160">
        <f t="shared" si="91"/>
        <v>0</v>
      </c>
      <c r="J503" s="150">
        <f t="shared" si="92"/>
        <v>3680</v>
      </c>
      <c r="K503" s="73">
        <v>13800</v>
      </c>
      <c r="L503" s="575"/>
      <c r="M503" s="608"/>
      <c r="N503" s="609"/>
      <c r="O503" s="610"/>
      <c r="P503" s="611"/>
    </row>
    <row r="504" spans="2:16" ht="13.5" customHeight="1">
      <c r="B504" s="294">
        <f t="shared" si="95"/>
        <v>6.1744999999999859</v>
      </c>
      <c r="C504" s="449" t="s">
        <v>1264</v>
      </c>
      <c r="D504" s="437" t="s">
        <v>161</v>
      </c>
      <c r="E504" s="442">
        <v>14.05</v>
      </c>
      <c r="F504" s="73">
        <v>390.53999999999996</v>
      </c>
      <c r="G504" s="395"/>
      <c r="H504" s="160">
        <v>390.54</v>
      </c>
      <c r="I504" s="160">
        <f t="shared" si="91"/>
        <v>5487.09</v>
      </c>
      <c r="J504" s="150">
        <f t="shared" si="92"/>
        <v>0</v>
      </c>
      <c r="K504" s="73">
        <v>5487.09</v>
      </c>
      <c r="L504" s="575"/>
      <c r="M504" s="608"/>
      <c r="N504" s="609"/>
      <c r="O504" s="610"/>
      <c r="P504" s="611"/>
    </row>
    <row r="505" spans="2:16" ht="13.5" customHeight="1">
      <c r="B505" s="294">
        <f t="shared" si="95"/>
        <v>6.1745999999999857</v>
      </c>
      <c r="C505" s="449" t="s">
        <v>1265</v>
      </c>
      <c r="D505" s="437" t="s">
        <v>161</v>
      </c>
      <c r="E505" s="442">
        <v>3.57</v>
      </c>
      <c r="F505" s="439"/>
      <c r="G505" s="395">
        <v>350</v>
      </c>
      <c r="H505" s="160">
        <v>1312.5</v>
      </c>
      <c r="I505" s="160">
        <f t="shared" si="91"/>
        <v>0</v>
      </c>
      <c r="J505" s="150">
        <f t="shared" si="92"/>
        <v>1249.5</v>
      </c>
      <c r="K505" s="73">
        <v>4685.63</v>
      </c>
      <c r="L505" s="575"/>
      <c r="M505" s="608"/>
      <c r="N505" s="609"/>
      <c r="O505" s="610"/>
      <c r="P505" s="611"/>
    </row>
    <row r="506" spans="2:16" ht="13.5" customHeight="1">
      <c r="B506" s="294">
        <f t="shared" si="95"/>
        <v>6.1746999999999854</v>
      </c>
      <c r="C506" s="449" t="s">
        <v>1266</v>
      </c>
      <c r="D506" s="437" t="s">
        <v>161</v>
      </c>
      <c r="E506" s="442">
        <v>0.63</v>
      </c>
      <c r="F506" s="439"/>
      <c r="G506" s="395">
        <v>250</v>
      </c>
      <c r="H506" s="160">
        <v>937.5</v>
      </c>
      <c r="I506" s="160">
        <f t="shared" si="91"/>
        <v>0</v>
      </c>
      <c r="J506" s="150">
        <f t="shared" si="92"/>
        <v>157.5</v>
      </c>
      <c r="K506" s="73">
        <v>590.63</v>
      </c>
      <c r="L506" s="575"/>
      <c r="M506" s="608"/>
      <c r="N506" s="609"/>
      <c r="O506" s="610"/>
      <c r="P506" s="611"/>
    </row>
    <row r="507" spans="2:16" ht="13.5" customHeight="1">
      <c r="B507" s="294">
        <f t="shared" si="95"/>
        <v>6.1747999999999852</v>
      </c>
      <c r="C507" s="449" t="s">
        <v>1267</v>
      </c>
      <c r="D507" s="437" t="s">
        <v>161</v>
      </c>
      <c r="E507" s="442">
        <v>2.21</v>
      </c>
      <c r="F507" s="439"/>
      <c r="G507" s="395">
        <v>250</v>
      </c>
      <c r="H507" s="160">
        <v>937.5</v>
      </c>
      <c r="I507" s="160">
        <f t="shared" si="91"/>
        <v>0</v>
      </c>
      <c r="J507" s="150">
        <f t="shared" si="92"/>
        <v>552.5</v>
      </c>
      <c r="K507" s="73">
        <v>2071.88</v>
      </c>
      <c r="L507" s="575"/>
      <c r="M507" s="608"/>
      <c r="N507" s="609"/>
      <c r="O507" s="610"/>
      <c r="P507" s="611"/>
    </row>
    <row r="508" spans="2:16" ht="13.5" customHeight="1">
      <c r="B508" s="294">
        <f t="shared" si="95"/>
        <v>6.174899999999985</v>
      </c>
      <c r="C508" s="449" t="s">
        <v>1268</v>
      </c>
      <c r="D508" s="437" t="s">
        <v>161</v>
      </c>
      <c r="E508" s="442">
        <v>2.42</v>
      </c>
      <c r="F508" s="439"/>
      <c r="G508" s="395">
        <v>350</v>
      </c>
      <c r="H508" s="160">
        <v>1312.5</v>
      </c>
      <c r="I508" s="160">
        <f t="shared" si="91"/>
        <v>0</v>
      </c>
      <c r="J508" s="150">
        <f t="shared" si="92"/>
        <v>847</v>
      </c>
      <c r="K508" s="73">
        <v>3176.25</v>
      </c>
      <c r="L508" s="575"/>
      <c r="M508" s="608"/>
      <c r="N508" s="609"/>
      <c r="O508" s="610"/>
      <c r="P508" s="611"/>
    </row>
    <row r="509" spans="2:16" ht="13.5" customHeight="1">
      <c r="B509" s="164">
        <f>B459+0.01</f>
        <v>6.1799999999999962</v>
      </c>
      <c r="C509" s="279" t="s">
        <v>1269</v>
      </c>
      <c r="D509" s="280"/>
      <c r="E509" s="93"/>
      <c r="F509" s="93"/>
      <c r="G509" s="93"/>
      <c r="H509" s="93">
        <v>0</v>
      </c>
      <c r="I509" s="93">
        <f t="shared" si="91"/>
        <v>0</v>
      </c>
      <c r="J509" s="93">
        <f t="shared" si="92"/>
        <v>0</v>
      </c>
      <c r="K509" s="73">
        <v>0</v>
      </c>
      <c r="L509" s="537">
        <v>1953014.2500000002</v>
      </c>
      <c r="M509" s="591"/>
      <c r="N509" s="571"/>
      <c r="O509" s="571"/>
      <c r="P509" s="592"/>
    </row>
    <row r="510" spans="2:16" ht="13.5" customHeight="1">
      <c r="B510" s="294">
        <f t="shared" si="95"/>
        <v>6.1800999999999959</v>
      </c>
      <c r="C510" s="467" t="s">
        <v>1270</v>
      </c>
      <c r="D510" s="437"/>
      <c r="E510" s="442"/>
      <c r="F510" s="439"/>
      <c r="G510" s="65"/>
      <c r="H510" s="160">
        <v>0</v>
      </c>
      <c r="I510" s="160">
        <f t="shared" si="91"/>
        <v>0</v>
      </c>
      <c r="J510" s="150">
        <f t="shared" si="92"/>
        <v>0</v>
      </c>
      <c r="K510" s="73">
        <v>0</v>
      </c>
      <c r="L510" s="575"/>
      <c r="M510" s="586"/>
      <c r="N510" s="570"/>
      <c r="O510" s="570"/>
      <c r="P510" s="587"/>
    </row>
    <row r="511" spans="2:16" ht="13.5" customHeight="1">
      <c r="B511" s="294">
        <f t="shared" si="95"/>
        <v>6.1801999999999957</v>
      </c>
      <c r="C511" s="449" t="s">
        <v>1271</v>
      </c>
      <c r="D511" s="437" t="s">
        <v>36</v>
      </c>
      <c r="E511" s="442">
        <v>1</v>
      </c>
      <c r="F511" s="530">
        <v>4089.96</v>
      </c>
      <c r="G511" s="65"/>
      <c r="H511" s="160">
        <v>4089.96</v>
      </c>
      <c r="I511" s="160">
        <f t="shared" si="91"/>
        <v>4089.96</v>
      </c>
      <c r="J511" s="150">
        <f t="shared" si="92"/>
        <v>0</v>
      </c>
      <c r="K511" s="73">
        <v>4089.96</v>
      </c>
      <c r="L511" s="575"/>
      <c r="M511" s="608">
        <v>4089.96</v>
      </c>
      <c r="N511" s="609">
        <f>+M511*E511</f>
        <v>4089.96</v>
      </c>
      <c r="O511" s="570"/>
      <c r="P511" s="587"/>
    </row>
    <row r="512" spans="2:16" ht="13.5" customHeight="1">
      <c r="B512" s="294">
        <f t="shared" si="95"/>
        <v>6.1802999999999955</v>
      </c>
      <c r="C512" s="449" t="s">
        <v>1272</v>
      </c>
      <c r="D512" s="437" t="s">
        <v>36</v>
      </c>
      <c r="E512" s="442">
        <v>1</v>
      </c>
      <c r="F512" s="530">
        <v>4218.5200000000004</v>
      </c>
      <c r="G512" s="65"/>
      <c r="H512" s="160">
        <v>4218.5200000000004</v>
      </c>
      <c r="I512" s="160">
        <f t="shared" si="91"/>
        <v>4218.5200000000004</v>
      </c>
      <c r="J512" s="150">
        <f t="shared" si="92"/>
        <v>0</v>
      </c>
      <c r="K512" s="73">
        <v>4218.5200000000004</v>
      </c>
      <c r="L512" s="575"/>
      <c r="M512" s="608">
        <v>4218.5200000000004</v>
      </c>
      <c r="N512" s="609">
        <f t="shared" ref="N512:N575" si="97">+M512*E512</f>
        <v>4218.5200000000004</v>
      </c>
      <c r="O512" s="570"/>
      <c r="P512" s="587"/>
    </row>
    <row r="513" spans="2:16" ht="13.5" customHeight="1">
      <c r="B513" s="294">
        <f t="shared" si="95"/>
        <v>6.1803999999999952</v>
      </c>
      <c r="C513" s="449" t="s">
        <v>1273</v>
      </c>
      <c r="D513" s="437" t="s">
        <v>36</v>
      </c>
      <c r="E513" s="442">
        <v>1</v>
      </c>
      <c r="F513" s="530">
        <v>4170.3100000000004</v>
      </c>
      <c r="G513" s="65"/>
      <c r="H513" s="160">
        <v>4170.3100000000004</v>
      </c>
      <c r="I513" s="160">
        <f t="shared" si="91"/>
        <v>4170.3100000000004</v>
      </c>
      <c r="J513" s="150">
        <f t="shared" si="92"/>
        <v>0</v>
      </c>
      <c r="K513" s="73">
        <v>4170.3100000000004</v>
      </c>
      <c r="L513" s="575"/>
      <c r="M513" s="608">
        <v>4170.3100000000004</v>
      </c>
      <c r="N513" s="609">
        <f t="shared" si="97"/>
        <v>4170.3100000000004</v>
      </c>
      <c r="O513" s="570"/>
      <c r="P513" s="587"/>
    </row>
    <row r="514" spans="2:16" ht="13.5" customHeight="1">
      <c r="B514" s="294">
        <f t="shared" si="95"/>
        <v>6.180499999999995</v>
      </c>
      <c r="C514" s="449" t="s">
        <v>1274</v>
      </c>
      <c r="D514" s="437" t="s">
        <v>36</v>
      </c>
      <c r="E514" s="442">
        <v>1</v>
      </c>
      <c r="F514" s="530">
        <v>4089.96</v>
      </c>
      <c r="G514" s="65"/>
      <c r="H514" s="160">
        <v>4089.96</v>
      </c>
      <c r="I514" s="160">
        <f t="shared" si="91"/>
        <v>4089.96</v>
      </c>
      <c r="J514" s="150">
        <f t="shared" si="92"/>
        <v>0</v>
      </c>
      <c r="K514" s="73">
        <v>4089.96</v>
      </c>
      <c r="L514" s="575"/>
      <c r="M514" s="608">
        <v>4089.96</v>
      </c>
      <c r="N514" s="609">
        <f t="shared" si="97"/>
        <v>4089.96</v>
      </c>
      <c r="O514" s="570"/>
      <c r="P514" s="587"/>
    </row>
    <row r="515" spans="2:16" ht="13.5" customHeight="1">
      <c r="B515" s="294">
        <f t="shared" si="95"/>
        <v>6.1805999999999948</v>
      </c>
      <c r="C515" s="449" t="s">
        <v>1275</v>
      </c>
      <c r="D515" s="437" t="s">
        <v>36</v>
      </c>
      <c r="E515" s="442">
        <v>1</v>
      </c>
      <c r="F515" s="530">
        <v>4652.43</v>
      </c>
      <c r="G515" s="65"/>
      <c r="H515" s="160">
        <v>4652.43</v>
      </c>
      <c r="I515" s="160">
        <f t="shared" si="91"/>
        <v>4652.43</v>
      </c>
      <c r="J515" s="150">
        <f t="shared" si="92"/>
        <v>0</v>
      </c>
      <c r="K515" s="73">
        <v>4652.43</v>
      </c>
      <c r="L515" s="575"/>
      <c r="M515" s="608">
        <v>4652.43</v>
      </c>
      <c r="N515" s="609">
        <f t="shared" si="97"/>
        <v>4652.43</v>
      </c>
      <c r="O515" s="570"/>
      <c r="P515" s="587"/>
    </row>
    <row r="516" spans="2:16" ht="13.5" customHeight="1">
      <c r="B516" s="294">
        <f t="shared" si="95"/>
        <v>6.1806999999999945</v>
      </c>
      <c r="C516" s="449" t="s">
        <v>1276</v>
      </c>
      <c r="D516" s="437" t="s">
        <v>36</v>
      </c>
      <c r="E516" s="442">
        <v>1</v>
      </c>
      <c r="F516" s="530">
        <v>4616.3599999999997</v>
      </c>
      <c r="G516" s="65"/>
      <c r="H516" s="160">
        <v>4616.3599999999997</v>
      </c>
      <c r="I516" s="160">
        <f t="shared" si="91"/>
        <v>4616.3599999999997</v>
      </c>
      <c r="J516" s="150">
        <f t="shared" si="92"/>
        <v>0</v>
      </c>
      <c r="K516" s="73">
        <v>4616.3599999999997</v>
      </c>
      <c r="L516" s="575"/>
      <c r="M516" s="608">
        <v>4616.3599999999997</v>
      </c>
      <c r="N516" s="609">
        <f t="shared" si="97"/>
        <v>4616.3599999999997</v>
      </c>
      <c r="O516" s="570"/>
      <c r="P516" s="587"/>
    </row>
    <row r="517" spans="2:16" ht="13.5" customHeight="1">
      <c r="B517" s="294">
        <f t="shared" si="95"/>
        <v>6.1807999999999943</v>
      </c>
      <c r="C517" s="449" t="s">
        <v>1277</v>
      </c>
      <c r="D517" s="437" t="s">
        <v>36</v>
      </c>
      <c r="E517" s="442">
        <v>2</v>
      </c>
      <c r="F517" s="530">
        <v>612.21</v>
      </c>
      <c r="G517" s="65"/>
      <c r="H517" s="160">
        <v>612.21</v>
      </c>
      <c r="I517" s="160">
        <f t="shared" si="91"/>
        <v>1224.42</v>
      </c>
      <c r="J517" s="150">
        <f t="shared" si="92"/>
        <v>0</v>
      </c>
      <c r="K517" s="73">
        <v>1224.42</v>
      </c>
      <c r="L517" s="575"/>
      <c r="M517" s="608">
        <v>612.21</v>
      </c>
      <c r="N517" s="609">
        <f t="shared" si="97"/>
        <v>1224.42</v>
      </c>
      <c r="O517" s="570"/>
      <c r="P517" s="587"/>
    </row>
    <row r="518" spans="2:16" ht="13.5" customHeight="1">
      <c r="B518" s="294">
        <f t="shared" si="95"/>
        <v>6.1808999999999941</v>
      </c>
      <c r="C518" s="449" t="s">
        <v>1278</v>
      </c>
      <c r="D518" s="437" t="s">
        <v>36</v>
      </c>
      <c r="E518" s="442">
        <v>1</v>
      </c>
      <c r="F518" s="530">
        <v>1550.42</v>
      </c>
      <c r="G518" s="65"/>
      <c r="H518" s="160">
        <v>1550.42</v>
      </c>
      <c r="I518" s="160">
        <f t="shared" si="91"/>
        <v>1550.42</v>
      </c>
      <c r="J518" s="150">
        <f t="shared" si="92"/>
        <v>0</v>
      </c>
      <c r="K518" s="73">
        <v>1550.42</v>
      </c>
      <c r="L518" s="575"/>
      <c r="M518" s="608">
        <v>1550.42</v>
      </c>
      <c r="N518" s="609">
        <f t="shared" si="97"/>
        <v>1550.42</v>
      </c>
      <c r="O518" s="570"/>
      <c r="P518" s="587"/>
    </row>
    <row r="519" spans="2:16" ht="13.5" customHeight="1">
      <c r="B519" s="294">
        <f t="shared" si="95"/>
        <v>6.1809999999999938</v>
      </c>
      <c r="C519" s="449" t="s">
        <v>1279</v>
      </c>
      <c r="D519" s="437" t="s">
        <v>36</v>
      </c>
      <c r="E519" s="442">
        <v>2</v>
      </c>
      <c r="F519" s="530">
        <v>4491.72</v>
      </c>
      <c r="G519" s="65"/>
      <c r="H519" s="160">
        <v>4491.72</v>
      </c>
      <c r="I519" s="160">
        <f t="shared" si="91"/>
        <v>8983.44</v>
      </c>
      <c r="J519" s="150">
        <f t="shared" si="92"/>
        <v>0</v>
      </c>
      <c r="K519" s="73">
        <v>8983.44</v>
      </c>
      <c r="L519" s="575"/>
      <c r="M519" s="608">
        <v>4491.72</v>
      </c>
      <c r="N519" s="609">
        <f t="shared" si="97"/>
        <v>8983.44</v>
      </c>
      <c r="O519" s="570"/>
      <c r="P519" s="587"/>
    </row>
    <row r="520" spans="2:16" ht="13.5" customHeight="1">
      <c r="B520" s="294">
        <f t="shared" si="95"/>
        <v>6.1810999999999936</v>
      </c>
      <c r="C520" s="449" t="s">
        <v>1280</v>
      </c>
      <c r="D520" s="437" t="s">
        <v>36</v>
      </c>
      <c r="E520" s="442">
        <v>1</v>
      </c>
      <c r="F520" s="530">
        <v>744.68</v>
      </c>
      <c r="G520" s="65"/>
      <c r="H520" s="160">
        <v>744.68</v>
      </c>
      <c r="I520" s="160">
        <f t="shared" si="91"/>
        <v>744.68</v>
      </c>
      <c r="J520" s="150">
        <f t="shared" si="92"/>
        <v>0</v>
      </c>
      <c r="K520" s="73">
        <v>744.68</v>
      </c>
      <c r="L520" s="575"/>
      <c r="M520" s="608">
        <v>744.68</v>
      </c>
      <c r="N520" s="609">
        <f t="shared" si="97"/>
        <v>744.68</v>
      </c>
      <c r="O520" s="570"/>
      <c r="P520" s="587"/>
    </row>
    <row r="521" spans="2:16" ht="13.5" customHeight="1">
      <c r="B521" s="294">
        <f t="shared" si="95"/>
        <v>6.1811999999999934</v>
      </c>
      <c r="C521" s="449" t="s">
        <v>1281</v>
      </c>
      <c r="D521" s="437" t="s">
        <v>36</v>
      </c>
      <c r="E521" s="442">
        <v>46</v>
      </c>
      <c r="F521" s="530">
        <v>1252.8599999999999</v>
      </c>
      <c r="G521" s="65"/>
      <c r="H521" s="160">
        <v>1252.8599999999999</v>
      </c>
      <c r="I521" s="160">
        <f t="shared" si="91"/>
        <v>57631.56</v>
      </c>
      <c r="J521" s="150">
        <f t="shared" si="92"/>
        <v>0</v>
      </c>
      <c r="K521" s="73">
        <v>57631.56</v>
      </c>
      <c r="L521" s="575"/>
      <c r="M521" s="608">
        <v>1252.8599999999999</v>
      </c>
      <c r="N521" s="609">
        <f t="shared" si="97"/>
        <v>57631.56</v>
      </c>
      <c r="O521" s="570"/>
      <c r="P521" s="587"/>
    </row>
    <row r="522" spans="2:16" ht="13.5" customHeight="1">
      <c r="B522" s="294">
        <f t="shared" si="95"/>
        <v>6.1812999999999931</v>
      </c>
      <c r="C522" s="449" t="s">
        <v>1282</v>
      </c>
      <c r="D522" s="437" t="s">
        <v>36</v>
      </c>
      <c r="E522" s="442">
        <v>23</v>
      </c>
      <c r="F522" s="530">
        <v>1761.83</v>
      </c>
      <c r="G522" s="65"/>
      <c r="H522" s="160">
        <v>1761.83</v>
      </c>
      <c r="I522" s="160">
        <f t="shared" si="91"/>
        <v>40522.089999999997</v>
      </c>
      <c r="J522" s="150">
        <f t="shared" si="92"/>
        <v>0</v>
      </c>
      <c r="K522" s="73">
        <v>40522.089999999997</v>
      </c>
      <c r="L522" s="575"/>
      <c r="M522" s="608">
        <v>1761.83</v>
      </c>
      <c r="N522" s="609">
        <f t="shared" si="97"/>
        <v>40522.089999999997</v>
      </c>
      <c r="O522" s="570"/>
      <c r="P522" s="587"/>
    </row>
    <row r="523" spans="2:16" ht="13.5" customHeight="1">
      <c r="B523" s="294">
        <f t="shared" si="95"/>
        <v>6.1813999999999929</v>
      </c>
      <c r="C523" s="449" t="s">
        <v>1283</v>
      </c>
      <c r="D523" s="437" t="s">
        <v>36</v>
      </c>
      <c r="E523" s="442">
        <v>46</v>
      </c>
      <c r="F523" s="530">
        <v>1644.38</v>
      </c>
      <c r="G523" s="65"/>
      <c r="H523" s="160">
        <v>1644.38</v>
      </c>
      <c r="I523" s="160">
        <f t="shared" si="91"/>
        <v>75641.48</v>
      </c>
      <c r="J523" s="150">
        <f t="shared" si="92"/>
        <v>0</v>
      </c>
      <c r="K523" s="73">
        <v>75641.48</v>
      </c>
      <c r="L523" s="575"/>
      <c r="M523" s="608">
        <v>1644.38</v>
      </c>
      <c r="N523" s="609">
        <f t="shared" si="97"/>
        <v>75641.48000000001</v>
      </c>
      <c r="O523" s="570"/>
      <c r="P523" s="587"/>
    </row>
    <row r="524" spans="2:16" ht="13.5" customHeight="1">
      <c r="B524" s="294">
        <f t="shared" si="95"/>
        <v>6.1814999999999927</v>
      </c>
      <c r="C524" s="449" t="s">
        <v>1284</v>
      </c>
      <c r="D524" s="437" t="s">
        <v>36</v>
      </c>
      <c r="E524" s="442">
        <v>161</v>
      </c>
      <c r="F524" s="530">
        <v>939.64</v>
      </c>
      <c r="G524" s="65"/>
      <c r="H524" s="160">
        <v>939.64</v>
      </c>
      <c r="I524" s="160">
        <f t="shared" ref="I524:I587" si="98">+ROUND(E524*F524,2)</f>
        <v>151282.04</v>
      </c>
      <c r="J524" s="150">
        <f t="shared" ref="J524:J587" si="99">+ROUND(E524*G524,2)</f>
        <v>0</v>
      </c>
      <c r="K524" s="73">
        <v>151282.04</v>
      </c>
      <c r="L524" s="575"/>
      <c r="M524" s="608">
        <v>939.64</v>
      </c>
      <c r="N524" s="609">
        <f t="shared" si="97"/>
        <v>151282.04</v>
      </c>
      <c r="O524" s="570"/>
      <c r="P524" s="587"/>
    </row>
    <row r="525" spans="2:16" ht="13.5" customHeight="1">
      <c r="B525" s="294">
        <f t="shared" si="95"/>
        <v>6.1815999999999924</v>
      </c>
      <c r="C525" s="449" t="s">
        <v>1285</v>
      </c>
      <c r="D525" s="437" t="s">
        <v>36</v>
      </c>
      <c r="E525" s="442">
        <v>23</v>
      </c>
      <c r="F525" s="530">
        <v>553.80999999999995</v>
      </c>
      <c r="G525" s="65"/>
      <c r="H525" s="160">
        <v>553.80999999999995</v>
      </c>
      <c r="I525" s="160">
        <f t="shared" si="98"/>
        <v>12737.63</v>
      </c>
      <c r="J525" s="150">
        <f t="shared" si="99"/>
        <v>0</v>
      </c>
      <c r="K525" s="73">
        <v>12737.63</v>
      </c>
      <c r="L525" s="575"/>
      <c r="M525" s="608">
        <v>553.80999999999995</v>
      </c>
      <c r="N525" s="609">
        <f t="shared" si="97"/>
        <v>12737.63</v>
      </c>
      <c r="O525" s="570"/>
      <c r="P525" s="587"/>
    </row>
    <row r="526" spans="2:16" ht="13.5" customHeight="1">
      <c r="B526" s="294">
        <f t="shared" si="95"/>
        <v>6.1816999999999922</v>
      </c>
      <c r="C526" s="449" t="s">
        <v>1286</v>
      </c>
      <c r="D526" s="437" t="s">
        <v>36</v>
      </c>
      <c r="E526" s="442">
        <v>23</v>
      </c>
      <c r="F526" s="530">
        <v>861.35</v>
      </c>
      <c r="G526" s="65"/>
      <c r="H526" s="160">
        <v>861.35</v>
      </c>
      <c r="I526" s="160">
        <f t="shared" si="98"/>
        <v>19811.05</v>
      </c>
      <c r="J526" s="150">
        <f t="shared" si="99"/>
        <v>0</v>
      </c>
      <c r="K526" s="73">
        <v>19811.05</v>
      </c>
      <c r="L526" s="575"/>
      <c r="M526" s="608">
        <v>861.35</v>
      </c>
      <c r="N526" s="609">
        <f t="shared" si="97"/>
        <v>19811.05</v>
      </c>
      <c r="O526" s="570"/>
      <c r="P526" s="587"/>
    </row>
    <row r="527" spans="2:16" ht="13.5" customHeight="1">
      <c r="B527" s="294">
        <f t="shared" si="95"/>
        <v>6.181799999999992</v>
      </c>
      <c r="C527" s="449" t="s">
        <v>1287</v>
      </c>
      <c r="D527" s="437" t="s">
        <v>36</v>
      </c>
      <c r="E527" s="442">
        <v>23</v>
      </c>
      <c r="F527" s="530">
        <v>856.39</v>
      </c>
      <c r="G527" s="65"/>
      <c r="H527" s="160">
        <v>856.39</v>
      </c>
      <c r="I527" s="160">
        <f t="shared" si="98"/>
        <v>19696.97</v>
      </c>
      <c r="J527" s="150">
        <f t="shared" si="99"/>
        <v>0</v>
      </c>
      <c r="K527" s="73">
        <v>19696.97</v>
      </c>
      <c r="L527" s="575"/>
      <c r="M527" s="608">
        <v>856.39</v>
      </c>
      <c r="N527" s="609">
        <f t="shared" si="97"/>
        <v>19696.97</v>
      </c>
      <c r="O527" s="570"/>
      <c r="P527" s="587"/>
    </row>
    <row r="528" spans="2:16" ht="13.5" customHeight="1">
      <c r="B528" s="294">
        <f t="shared" si="95"/>
        <v>6.1818999999999917</v>
      </c>
      <c r="C528" s="449" t="s">
        <v>1288</v>
      </c>
      <c r="D528" s="437" t="s">
        <v>36</v>
      </c>
      <c r="E528" s="442">
        <v>23</v>
      </c>
      <c r="F528" s="530">
        <v>407.34</v>
      </c>
      <c r="G528" s="65"/>
      <c r="H528" s="160">
        <v>407.34</v>
      </c>
      <c r="I528" s="160">
        <f t="shared" si="98"/>
        <v>9368.82</v>
      </c>
      <c r="J528" s="150">
        <f t="shared" si="99"/>
        <v>0</v>
      </c>
      <c r="K528" s="73">
        <v>9368.82</v>
      </c>
      <c r="L528" s="575"/>
      <c r="M528" s="608">
        <v>407.34</v>
      </c>
      <c r="N528" s="609">
        <f t="shared" si="97"/>
        <v>9368.82</v>
      </c>
      <c r="O528" s="570"/>
      <c r="P528" s="587"/>
    </row>
    <row r="529" spans="2:16" ht="13.5" customHeight="1">
      <c r="B529" s="294">
        <f t="shared" ref="B529:B592" si="100">B528+0.0001</f>
        <v>6.1819999999999915</v>
      </c>
      <c r="C529" s="449" t="s">
        <v>1289</v>
      </c>
      <c r="D529" s="437" t="s">
        <v>36</v>
      </c>
      <c r="E529" s="442">
        <v>23</v>
      </c>
      <c r="F529" s="530">
        <v>526.16</v>
      </c>
      <c r="G529" s="65"/>
      <c r="H529" s="160">
        <v>526.16</v>
      </c>
      <c r="I529" s="160">
        <f t="shared" si="98"/>
        <v>12101.68</v>
      </c>
      <c r="J529" s="150">
        <f t="shared" si="99"/>
        <v>0</v>
      </c>
      <c r="K529" s="73">
        <v>12101.68</v>
      </c>
      <c r="L529" s="575"/>
      <c r="M529" s="608">
        <v>526.16</v>
      </c>
      <c r="N529" s="609">
        <f t="shared" si="97"/>
        <v>12101.679999999998</v>
      </c>
      <c r="O529" s="570"/>
      <c r="P529" s="587"/>
    </row>
    <row r="530" spans="2:16" ht="13.5" customHeight="1">
      <c r="B530" s="294">
        <f t="shared" si="100"/>
        <v>6.1820999999999913</v>
      </c>
      <c r="C530" s="449" t="s">
        <v>1290</v>
      </c>
      <c r="D530" s="437" t="s">
        <v>36</v>
      </c>
      <c r="E530" s="442">
        <v>23</v>
      </c>
      <c r="F530" s="530">
        <v>2249.88</v>
      </c>
      <c r="G530" s="65"/>
      <c r="H530" s="160">
        <v>2249.88</v>
      </c>
      <c r="I530" s="160">
        <f t="shared" si="98"/>
        <v>51747.24</v>
      </c>
      <c r="J530" s="150">
        <f t="shared" si="99"/>
        <v>0</v>
      </c>
      <c r="K530" s="73">
        <v>51747.24</v>
      </c>
      <c r="L530" s="575"/>
      <c r="M530" s="608">
        <v>2249.88</v>
      </c>
      <c r="N530" s="609">
        <f t="shared" si="97"/>
        <v>51747.240000000005</v>
      </c>
      <c r="O530" s="570"/>
      <c r="P530" s="587"/>
    </row>
    <row r="531" spans="2:16" ht="13.5" customHeight="1">
      <c r="B531" s="294">
        <f t="shared" si="100"/>
        <v>6.182199999999991</v>
      </c>
      <c r="C531" s="449" t="s">
        <v>1291</v>
      </c>
      <c r="D531" s="437" t="s">
        <v>36</v>
      </c>
      <c r="E531" s="442">
        <v>23</v>
      </c>
      <c r="F531" s="530">
        <v>781.63</v>
      </c>
      <c r="G531" s="65"/>
      <c r="H531" s="160">
        <v>781.63</v>
      </c>
      <c r="I531" s="160">
        <f t="shared" si="98"/>
        <v>17977.490000000002</v>
      </c>
      <c r="J531" s="150">
        <f t="shared" si="99"/>
        <v>0</v>
      </c>
      <c r="K531" s="73">
        <v>17977.490000000002</v>
      </c>
      <c r="L531" s="575"/>
      <c r="M531" s="608">
        <v>781.63</v>
      </c>
      <c r="N531" s="609">
        <f t="shared" si="97"/>
        <v>17977.490000000002</v>
      </c>
      <c r="O531" s="570"/>
      <c r="P531" s="587"/>
    </row>
    <row r="532" spans="2:16" ht="13.5" customHeight="1">
      <c r="B532" s="294">
        <f t="shared" si="100"/>
        <v>6.1822999999999908</v>
      </c>
      <c r="C532" s="449" t="s">
        <v>1292</v>
      </c>
      <c r="D532" s="437" t="s">
        <v>36</v>
      </c>
      <c r="E532" s="442">
        <v>46</v>
      </c>
      <c r="F532" s="530">
        <v>781.63</v>
      </c>
      <c r="G532" s="65"/>
      <c r="H532" s="160">
        <v>781.63</v>
      </c>
      <c r="I532" s="160">
        <f t="shared" si="98"/>
        <v>35954.980000000003</v>
      </c>
      <c r="J532" s="150">
        <f t="shared" si="99"/>
        <v>0</v>
      </c>
      <c r="K532" s="73">
        <v>35954.980000000003</v>
      </c>
      <c r="L532" s="575"/>
      <c r="M532" s="608">
        <v>781.63</v>
      </c>
      <c r="N532" s="609">
        <f t="shared" si="97"/>
        <v>35954.980000000003</v>
      </c>
      <c r="O532" s="570"/>
      <c r="P532" s="587"/>
    </row>
    <row r="533" spans="2:16" ht="13.5" customHeight="1">
      <c r="B533" s="294">
        <f t="shared" si="100"/>
        <v>6.1823999999999906</v>
      </c>
      <c r="C533" s="449" t="s">
        <v>1293</v>
      </c>
      <c r="D533" s="437" t="s">
        <v>36</v>
      </c>
      <c r="E533" s="442">
        <v>23</v>
      </c>
      <c r="F533" s="530">
        <v>2740.64</v>
      </c>
      <c r="G533" s="65"/>
      <c r="H533" s="160">
        <v>2740.64</v>
      </c>
      <c r="I533" s="160">
        <f t="shared" si="98"/>
        <v>63034.720000000001</v>
      </c>
      <c r="J533" s="150">
        <f t="shared" si="99"/>
        <v>0</v>
      </c>
      <c r="K533" s="73">
        <v>63034.720000000001</v>
      </c>
      <c r="L533" s="575"/>
      <c r="M533" s="608">
        <v>2740.64</v>
      </c>
      <c r="N533" s="609">
        <f t="shared" si="97"/>
        <v>63034.719999999994</v>
      </c>
      <c r="O533" s="570"/>
      <c r="P533" s="587"/>
    </row>
    <row r="534" spans="2:16" ht="13.5" customHeight="1">
      <c r="B534" s="294">
        <f t="shared" si="100"/>
        <v>6.1824999999999903</v>
      </c>
      <c r="C534" s="449" t="s">
        <v>1294</v>
      </c>
      <c r="D534" s="437" t="s">
        <v>36</v>
      </c>
      <c r="E534" s="442">
        <v>23</v>
      </c>
      <c r="F534" s="530">
        <v>645.69000000000005</v>
      </c>
      <c r="G534" s="65"/>
      <c r="H534" s="160">
        <v>645.69000000000005</v>
      </c>
      <c r="I534" s="160">
        <f t="shared" si="98"/>
        <v>14850.87</v>
      </c>
      <c r="J534" s="150">
        <f t="shared" si="99"/>
        <v>0</v>
      </c>
      <c r="K534" s="73">
        <v>14850.87</v>
      </c>
      <c r="L534" s="575"/>
      <c r="M534" s="608">
        <v>645.69000000000005</v>
      </c>
      <c r="N534" s="609">
        <f t="shared" si="97"/>
        <v>14850.87</v>
      </c>
      <c r="O534" s="570"/>
      <c r="P534" s="587"/>
    </row>
    <row r="535" spans="2:16" ht="13.5" customHeight="1">
      <c r="B535" s="294">
        <f t="shared" si="100"/>
        <v>6.1825999999999901</v>
      </c>
      <c r="C535" s="449" t="s">
        <v>1295</v>
      </c>
      <c r="D535" s="437" t="s">
        <v>36</v>
      </c>
      <c r="E535" s="442">
        <v>23</v>
      </c>
      <c r="F535" s="530">
        <v>1784.16</v>
      </c>
      <c r="G535" s="65"/>
      <c r="H535" s="160">
        <v>1784.16</v>
      </c>
      <c r="I535" s="160">
        <f t="shared" si="98"/>
        <v>41035.68</v>
      </c>
      <c r="J535" s="150">
        <f t="shared" si="99"/>
        <v>0</v>
      </c>
      <c r="K535" s="73">
        <v>41035.68</v>
      </c>
      <c r="L535" s="575"/>
      <c r="M535" s="608">
        <v>1784.16</v>
      </c>
      <c r="N535" s="609">
        <f t="shared" si="97"/>
        <v>41035.68</v>
      </c>
      <c r="O535" s="570"/>
      <c r="P535" s="587"/>
    </row>
    <row r="536" spans="2:16" ht="13.5" customHeight="1">
      <c r="B536" s="294">
        <f t="shared" si="100"/>
        <v>6.1826999999999899</v>
      </c>
      <c r="C536" s="449" t="s">
        <v>1296</v>
      </c>
      <c r="D536" s="437" t="s">
        <v>36</v>
      </c>
      <c r="E536" s="442">
        <v>23</v>
      </c>
      <c r="F536" s="530">
        <v>509.76</v>
      </c>
      <c r="G536" s="65"/>
      <c r="H536" s="160">
        <v>509.76</v>
      </c>
      <c r="I536" s="160">
        <f t="shared" si="98"/>
        <v>11724.48</v>
      </c>
      <c r="J536" s="150">
        <f t="shared" si="99"/>
        <v>0</v>
      </c>
      <c r="K536" s="73">
        <v>11724.48</v>
      </c>
      <c r="L536" s="575"/>
      <c r="M536" s="608">
        <v>509.76</v>
      </c>
      <c r="N536" s="609">
        <f t="shared" si="97"/>
        <v>11724.48</v>
      </c>
      <c r="O536" s="570"/>
      <c r="P536" s="587"/>
    </row>
    <row r="537" spans="2:16" ht="13.5" customHeight="1">
      <c r="B537" s="294">
        <f t="shared" si="100"/>
        <v>6.1827999999999896</v>
      </c>
      <c r="C537" s="449" t="s">
        <v>1297</v>
      </c>
      <c r="D537" s="437" t="s">
        <v>36</v>
      </c>
      <c r="E537" s="442">
        <v>23</v>
      </c>
      <c r="F537" s="530">
        <v>332.29</v>
      </c>
      <c r="G537" s="65"/>
      <c r="H537" s="160">
        <v>332.29</v>
      </c>
      <c r="I537" s="160">
        <f t="shared" si="98"/>
        <v>7642.67</v>
      </c>
      <c r="J537" s="150">
        <f t="shared" si="99"/>
        <v>0</v>
      </c>
      <c r="K537" s="73">
        <v>7642.67</v>
      </c>
      <c r="L537" s="575"/>
      <c r="M537" s="608">
        <v>332.29</v>
      </c>
      <c r="N537" s="609">
        <f t="shared" si="97"/>
        <v>7642.67</v>
      </c>
      <c r="O537" s="570"/>
      <c r="P537" s="587"/>
    </row>
    <row r="538" spans="2:16" ht="13.5" customHeight="1">
      <c r="B538" s="294">
        <f t="shared" si="100"/>
        <v>6.1828999999999894</v>
      </c>
      <c r="C538" s="449" t="s">
        <v>1298</v>
      </c>
      <c r="D538" s="437" t="s">
        <v>36</v>
      </c>
      <c r="E538" s="442">
        <v>23</v>
      </c>
      <c r="F538" s="530">
        <v>1749.43</v>
      </c>
      <c r="G538" s="65"/>
      <c r="H538" s="160">
        <v>1749.43</v>
      </c>
      <c r="I538" s="160">
        <f t="shared" si="98"/>
        <v>40236.89</v>
      </c>
      <c r="J538" s="150">
        <f t="shared" si="99"/>
        <v>0</v>
      </c>
      <c r="K538" s="73">
        <v>40236.89</v>
      </c>
      <c r="L538" s="575"/>
      <c r="M538" s="608">
        <v>1749.43</v>
      </c>
      <c r="N538" s="609">
        <f t="shared" si="97"/>
        <v>40236.89</v>
      </c>
      <c r="O538" s="570"/>
      <c r="P538" s="587"/>
    </row>
    <row r="539" spans="2:16" ht="13.5" customHeight="1">
      <c r="B539" s="294">
        <f t="shared" si="100"/>
        <v>6.1829999999999892</v>
      </c>
      <c r="C539" s="449" t="s">
        <v>1299</v>
      </c>
      <c r="D539" s="437" t="s">
        <v>36</v>
      </c>
      <c r="E539" s="442">
        <v>23</v>
      </c>
      <c r="F539" s="530">
        <v>526.75</v>
      </c>
      <c r="G539" s="65"/>
      <c r="H539" s="160">
        <v>526.75</v>
      </c>
      <c r="I539" s="160">
        <f t="shared" si="98"/>
        <v>12115.25</v>
      </c>
      <c r="J539" s="150">
        <f t="shared" si="99"/>
        <v>0</v>
      </c>
      <c r="K539" s="73">
        <v>12115.25</v>
      </c>
      <c r="L539" s="575"/>
      <c r="M539" s="608">
        <v>526.75</v>
      </c>
      <c r="N539" s="609">
        <f t="shared" si="97"/>
        <v>12115.25</v>
      </c>
      <c r="O539" s="570"/>
      <c r="P539" s="587"/>
    </row>
    <row r="540" spans="2:16" ht="13.5" customHeight="1">
      <c r="B540" s="294">
        <f t="shared" si="100"/>
        <v>6.1830999999999889</v>
      </c>
      <c r="C540" s="449" t="s">
        <v>1300</v>
      </c>
      <c r="D540" s="437" t="s">
        <v>36</v>
      </c>
      <c r="E540" s="442">
        <v>23</v>
      </c>
      <c r="F540" s="530">
        <v>526.75</v>
      </c>
      <c r="G540" s="65"/>
      <c r="H540" s="160">
        <v>526.75</v>
      </c>
      <c r="I540" s="160">
        <f t="shared" si="98"/>
        <v>12115.25</v>
      </c>
      <c r="J540" s="150">
        <f t="shared" si="99"/>
        <v>0</v>
      </c>
      <c r="K540" s="73">
        <v>12115.25</v>
      </c>
      <c r="L540" s="575"/>
      <c r="M540" s="608">
        <v>526.75</v>
      </c>
      <c r="N540" s="609">
        <f t="shared" si="97"/>
        <v>12115.25</v>
      </c>
      <c r="O540" s="570"/>
      <c r="P540" s="587"/>
    </row>
    <row r="541" spans="2:16" ht="13.5" customHeight="1">
      <c r="B541" s="294">
        <f t="shared" si="100"/>
        <v>6.1831999999999887</v>
      </c>
      <c r="C541" s="449" t="s">
        <v>1301</v>
      </c>
      <c r="D541" s="437" t="s">
        <v>36</v>
      </c>
      <c r="E541" s="442">
        <v>2</v>
      </c>
      <c r="F541" s="530">
        <v>407.81</v>
      </c>
      <c r="G541" s="65"/>
      <c r="H541" s="160">
        <v>407.81</v>
      </c>
      <c r="I541" s="160">
        <f t="shared" si="98"/>
        <v>815.62</v>
      </c>
      <c r="J541" s="150">
        <f t="shared" si="99"/>
        <v>0</v>
      </c>
      <c r="K541" s="73">
        <v>815.62</v>
      </c>
      <c r="L541" s="575"/>
      <c r="M541" s="608">
        <v>407.81</v>
      </c>
      <c r="N541" s="609">
        <f t="shared" si="97"/>
        <v>815.62</v>
      </c>
      <c r="O541" s="570"/>
      <c r="P541" s="587"/>
    </row>
    <row r="542" spans="2:16" ht="13.5" customHeight="1">
      <c r="B542" s="294">
        <f t="shared" si="100"/>
        <v>6.1832999999999885</v>
      </c>
      <c r="C542" s="449" t="s">
        <v>1302</v>
      </c>
      <c r="D542" s="437" t="s">
        <v>36</v>
      </c>
      <c r="E542" s="442">
        <v>1</v>
      </c>
      <c r="F542" s="530">
        <v>3174.77</v>
      </c>
      <c r="G542" s="65"/>
      <c r="H542" s="160">
        <v>3174.77</v>
      </c>
      <c r="I542" s="160">
        <f t="shared" si="98"/>
        <v>3174.77</v>
      </c>
      <c r="J542" s="150">
        <f t="shared" si="99"/>
        <v>0</v>
      </c>
      <c r="K542" s="73">
        <v>3174.77</v>
      </c>
      <c r="L542" s="575"/>
      <c r="M542" s="608">
        <v>3174.77</v>
      </c>
      <c r="N542" s="609">
        <f t="shared" si="97"/>
        <v>3174.77</v>
      </c>
      <c r="O542" s="570"/>
      <c r="P542" s="587"/>
    </row>
    <row r="543" spans="2:16" ht="13.5" customHeight="1">
      <c r="B543" s="294">
        <f t="shared" si="100"/>
        <v>6.1833999999999882</v>
      </c>
      <c r="C543" s="449" t="s">
        <v>1303</v>
      </c>
      <c r="D543" s="437" t="s">
        <v>36</v>
      </c>
      <c r="E543" s="442">
        <v>1</v>
      </c>
      <c r="F543" s="530">
        <v>3394.99</v>
      </c>
      <c r="G543" s="65"/>
      <c r="H543" s="160">
        <v>3394.99</v>
      </c>
      <c r="I543" s="160">
        <f t="shared" si="98"/>
        <v>3394.99</v>
      </c>
      <c r="J543" s="150">
        <f t="shared" si="99"/>
        <v>0</v>
      </c>
      <c r="K543" s="73">
        <v>3394.99</v>
      </c>
      <c r="L543" s="575"/>
      <c r="M543" s="608">
        <v>3394.99</v>
      </c>
      <c r="N543" s="609">
        <f t="shared" si="97"/>
        <v>3394.99</v>
      </c>
      <c r="O543" s="570"/>
      <c r="P543" s="587"/>
    </row>
    <row r="544" spans="2:16" ht="13.5" customHeight="1">
      <c r="B544" s="294">
        <f t="shared" si="100"/>
        <v>6.183499999999988</v>
      </c>
      <c r="C544" s="449" t="s">
        <v>1304</v>
      </c>
      <c r="D544" s="437" t="s">
        <v>36</v>
      </c>
      <c r="E544" s="442">
        <v>1</v>
      </c>
      <c r="F544" s="530">
        <v>744.25</v>
      </c>
      <c r="G544" s="65"/>
      <c r="H544" s="160">
        <v>744.25</v>
      </c>
      <c r="I544" s="160">
        <f t="shared" si="98"/>
        <v>744.25</v>
      </c>
      <c r="J544" s="150">
        <f t="shared" si="99"/>
        <v>0</v>
      </c>
      <c r="K544" s="73">
        <v>744.25</v>
      </c>
      <c r="L544" s="575"/>
      <c r="M544" s="608">
        <v>744.25</v>
      </c>
      <c r="N544" s="609">
        <f t="shared" si="97"/>
        <v>744.25</v>
      </c>
      <c r="O544" s="570"/>
      <c r="P544" s="587"/>
    </row>
    <row r="545" spans="2:16" ht="13.5" customHeight="1">
      <c r="B545" s="294">
        <f t="shared" si="100"/>
        <v>6.1835999999999878</v>
      </c>
      <c r="C545" s="449" t="s">
        <v>1305</v>
      </c>
      <c r="D545" s="437" t="s">
        <v>36</v>
      </c>
      <c r="E545" s="442">
        <v>1</v>
      </c>
      <c r="F545" s="530">
        <v>332.29</v>
      </c>
      <c r="G545" s="65"/>
      <c r="H545" s="160">
        <v>332.29</v>
      </c>
      <c r="I545" s="160">
        <f t="shared" si="98"/>
        <v>332.29</v>
      </c>
      <c r="J545" s="150">
        <f t="shared" si="99"/>
        <v>0</v>
      </c>
      <c r="K545" s="73">
        <v>332.29</v>
      </c>
      <c r="L545" s="575"/>
      <c r="M545" s="608">
        <v>332.29</v>
      </c>
      <c r="N545" s="609">
        <f t="shared" si="97"/>
        <v>332.29</v>
      </c>
      <c r="O545" s="570"/>
      <c r="P545" s="587"/>
    </row>
    <row r="546" spans="2:16" ht="13.5" customHeight="1">
      <c r="B546" s="294">
        <f t="shared" si="100"/>
        <v>6.1836999999999875</v>
      </c>
      <c r="C546" s="449" t="s">
        <v>1306</v>
      </c>
      <c r="D546" s="437" t="s">
        <v>36</v>
      </c>
      <c r="E546" s="442">
        <v>1</v>
      </c>
      <c r="F546" s="530">
        <v>576.97</v>
      </c>
      <c r="G546" s="65"/>
      <c r="H546" s="160">
        <v>576.97</v>
      </c>
      <c r="I546" s="160">
        <f t="shared" si="98"/>
        <v>576.97</v>
      </c>
      <c r="J546" s="150">
        <f t="shared" si="99"/>
        <v>0</v>
      </c>
      <c r="K546" s="73">
        <v>576.97</v>
      </c>
      <c r="L546" s="575"/>
      <c r="M546" s="608">
        <v>576.97</v>
      </c>
      <c r="N546" s="609">
        <f t="shared" si="97"/>
        <v>576.97</v>
      </c>
      <c r="O546" s="570"/>
      <c r="P546" s="587"/>
    </row>
    <row r="547" spans="2:16" ht="13.5" customHeight="1">
      <c r="B547" s="294">
        <f t="shared" si="100"/>
        <v>6.1837999999999873</v>
      </c>
      <c r="C547" s="449" t="s">
        <v>1307</v>
      </c>
      <c r="D547" s="437" t="s">
        <v>36</v>
      </c>
      <c r="E547" s="442">
        <v>1</v>
      </c>
      <c r="F547" s="530">
        <v>492.99</v>
      </c>
      <c r="G547" s="65"/>
      <c r="H547" s="160">
        <v>492.99</v>
      </c>
      <c r="I547" s="160">
        <f t="shared" si="98"/>
        <v>492.99</v>
      </c>
      <c r="J547" s="150">
        <f t="shared" si="99"/>
        <v>0</v>
      </c>
      <c r="K547" s="73">
        <v>492.99</v>
      </c>
      <c r="L547" s="575"/>
      <c r="M547" s="608">
        <v>492.99</v>
      </c>
      <c r="N547" s="609">
        <f t="shared" si="97"/>
        <v>492.99</v>
      </c>
      <c r="O547" s="570"/>
      <c r="P547" s="587"/>
    </row>
    <row r="548" spans="2:16" ht="13.5" customHeight="1">
      <c r="B548" s="294">
        <f t="shared" si="100"/>
        <v>6.1838999999999871</v>
      </c>
      <c r="C548" s="449" t="s">
        <v>1308</v>
      </c>
      <c r="D548" s="437" t="s">
        <v>36</v>
      </c>
      <c r="E548" s="442">
        <v>3</v>
      </c>
      <c r="F548" s="530">
        <v>1123.73</v>
      </c>
      <c r="G548" s="65"/>
      <c r="H548" s="160">
        <v>1123.73</v>
      </c>
      <c r="I548" s="160">
        <f t="shared" si="98"/>
        <v>3371.19</v>
      </c>
      <c r="J548" s="150">
        <f t="shared" si="99"/>
        <v>0</v>
      </c>
      <c r="K548" s="73">
        <v>3371.19</v>
      </c>
      <c r="L548" s="575"/>
      <c r="M548" s="608">
        <v>1123.73</v>
      </c>
      <c r="N548" s="609">
        <f t="shared" si="97"/>
        <v>3371.19</v>
      </c>
      <c r="O548" s="570"/>
      <c r="P548" s="587"/>
    </row>
    <row r="549" spans="2:16" ht="13.5" customHeight="1">
      <c r="B549" s="294">
        <f t="shared" si="100"/>
        <v>6.1839999999999868</v>
      </c>
      <c r="C549" s="449" t="s">
        <v>1309</v>
      </c>
      <c r="D549" s="437" t="s">
        <v>36</v>
      </c>
      <c r="E549" s="442">
        <v>1</v>
      </c>
      <c r="F549" s="530">
        <v>352.42</v>
      </c>
      <c r="G549" s="65"/>
      <c r="H549" s="160">
        <v>352.42</v>
      </c>
      <c r="I549" s="160">
        <f t="shared" si="98"/>
        <v>352.42</v>
      </c>
      <c r="J549" s="150">
        <f t="shared" si="99"/>
        <v>0</v>
      </c>
      <c r="K549" s="73">
        <v>352.42</v>
      </c>
      <c r="L549" s="575"/>
      <c r="M549" s="608">
        <v>352.42</v>
      </c>
      <c r="N549" s="609">
        <f t="shared" si="97"/>
        <v>352.42</v>
      </c>
      <c r="O549" s="570"/>
      <c r="P549" s="587"/>
    </row>
    <row r="550" spans="2:16" ht="13.5" customHeight="1">
      <c r="B550" s="294">
        <f t="shared" si="100"/>
        <v>6.1840999999999866</v>
      </c>
      <c r="C550" s="449" t="s">
        <v>1310</v>
      </c>
      <c r="D550" s="437" t="s">
        <v>36</v>
      </c>
      <c r="E550" s="442">
        <v>1</v>
      </c>
      <c r="F550" s="530">
        <v>2114.9</v>
      </c>
      <c r="G550" s="65"/>
      <c r="H550" s="160">
        <v>2114.9</v>
      </c>
      <c r="I550" s="160">
        <f t="shared" si="98"/>
        <v>2114.9</v>
      </c>
      <c r="J550" s="150">
        <f t="shared" si="99"/>
        <v>0</v>
      </c>
      <c r="K550" s="73">
        <v>2114.9</v>
      </c>
      <c r="L550" s="575"/>
      <c r="M550" s="608">
        <v>2114.9</v>
      </c>
      <c r="N550" s="609">
        <f t="shared" si="97"/>
        <v>2114.9</v>
      </c>
      <c r="O550" s="570"/>
      <c r="P550" s="587"/>
    </row>
    <row r="551" spans="2:16" ht="13.5" customHeight="1">
      <c r="B551" s="294">
        <f t="shared" si="100"/>
        <v>6.1841999999999864</v>
      </c>
      <c r="C551" s="449" t="s">
        <v>1311</v>
      </c>
      <c r="D551" s="437" t="s">
        <v>36</v>
      </c>
      <c r="E551" s="442">
        <v>1</v>
      </c>
      <c r="F551" s="530">
        <v>4356.46</v>
      </c>
      <c r="G551" s="65"/>
      <c r="H551" s="160">
        <v>4356.46</v>
      </c>
      <c r="I551" s="160">
        <f t="shared" si="98"/>
        <v>4356.46</v>
      </c>
      <c r="J551" s="150">
        <f t="shared" si="99"/>
        <v>0</v>
      </c>
      <c r="K551" s="73">
        <v>4356.46</v>
      </c>
      <c r="L551" s="575"/>
      <c r="M551" s="608">
        <v>4356.46</v>
      </c>
      <c r="N551" s="609">
        <f t="shared" si="97"/>
        <v>4356.46</v>
      </c>
      <c r="O551" s="570"/>
      <c r="P551" s="587"/>
    </row>
    <row r="552" spans="2:16" ht="13.5" customHeight="1">
      <c r="B552" s="294">
        <f t="shared" si="100"/>
        <v>6.1842999999999861</v>
      </c>
      <c r="C552" s="467" t="s">
        <v>1312</v>
      </c>
      <c r="D552" s="437"/>
      <c r="E552" s="442"/>
      <c r="F552" s="530">
        <v>0</v>
      </c>
      <c r="G552" s="65"/>
      <c r="H552" s="160">
        <v>0</v>
      </c>
      <c r="I552" s="160">
        <f t="shared" si="98"/>
        <v>0</v>
      </c>
      <c r="J552" s="150">
        <f t="shared" si="99"/>
        <v>0</v>
      </c>
      <c r="K552" s="73">
        <v>0</v>
      </c>
      <c r="L552" s="575"/>
      <c r="M552" s="608">
        <v>0</v>
      </c>
      <c r="N552" s="609">
        <f t="shared" si="97"/>
        <v>0</v>
      </c>
      <c r="O552" s="570"/>
      <c r="P552" s="587"/>
    </row>
    <row r="553" spans="2:16" ht="13.5" customHeight="1">
      <c r="B553" s="294">
        <f t="shared" si="100"/>
        <v>6.1843999999999859</v>
      </c>
      <c r="C553" s="449" t="s">
        <v>1313</v>
      </c>
      <c r="D553" s="437" t="s">
        <v>36</v>
      </c>
      <c r="E553" s="442">
        <v>46</v>
      </c>
      <c r="F553" s="530">
        <v>2352.0100000000002</v>
      </c>
      <c r="G553" s="65"/>
      <c r="H553" s="160">
        <v>2352.0100000000002</v>
      </c>
      <c r="I553" s="160">
        <f t="shared" si="98"/>
        <v>108192.46</v>
      </c>
      <c r="J553" s="150">
        <f t="shared" si="99"/>
        <v>0</v>
      </c>
      <c r="K553" s="73">
        <v>108192.46</v>
      </c>
      <c r="L553" s="575"/>
      <c r="M553" s="608">
        <v>2352.0100000000002</v>
      </c>
      <c r="N553" s="609">
        <f t="shared" si="97"/>
        <v>108192.46</v>
      </c>
      <c r="O553" s="570"/>
      <c r="P553" s="587"/>
    </row>
    <row r="554" spans="2:16" ht="13.5" customHeight="1">
      <c r="B554" s="294">
        <f t="shared" si="100"/>
        <v>6.1844999999999857</v>
      </c>
      <c r="C554" s="449" t="s">
        <v>1314</v>
      </c>
      <c r="D554" s="437" t="s">
        <v>36</v>
      </c>
      <c r="E554" s="442">
        <v>23</v>
      </c>
      <c r="F554" s="530">
        <v>2259.62</v>
      </c>
      <c r="G554" s="65"/>
      <c r="H554" s="160">
        <v>2259.62</v>
      </c>
      <c r="I554" s="160">
        <f t="shared" si="98"/>
        <v>51971.26</v>
      </c>
      <c r="J554" s="150">
        <f t="shared" si="99"/>
        <v>0</v>
      </c>
      <c r="K554" s="73">
        <v>51971.26</v>
      </c>
      <c r="L554" s="575"/>
      <c r="M554" s="608">
        <v>2259.62</v>
      </c>
      <c r="N554" s="609">
        <f t="shared" si="97"/>
        <v>51971.259999999995</v>
      </c>
      <c r="O554" s="570"/>
      <c r="P554" s="587"/>
    </row>
    <row r="555" spans="2:16" ht="13.5" customHeight="1">
      <c r="B555" s="294">
        <f t="shared" si="100"/>
        <v>6.1845999999999854</v>
      </c>
      <c r="C555" s="449" t="s">
        <v>1315</v>
      </c>
      <c r="D555" s="437" t="s">
        <v>36</v>
      </c>
      <c r="E555" s="442">
        <v>23</v>
      </c>
      <c r="F555" s="530">
        <v>2410.8200000000002</v>
      </c>
      <c r="G555" s="65"/>
      <c r="H555" s="160">
        <v>2410.8200000000002</v>
      </c>
      <c r="I555" s="160">
        <f t="shared" si="98"/>
        <v>55448.86</v>
      </c>
      <c r="J555" s="150">
        <f t="shared" si="99"/>
        <v>0</v>
      </c>
      <c r="K555" s="73">
        <v>55448.86</v>
      </c>
      <c r="L555" s="575"/>
      <c r="M555" s="608">
        <v>2410.8200000000002</v>
      </c>
      <c r="N555" s="609">
        <f t="shared" si="97"/>
        <v>55448.86</v>
      </c>
      <c r="O555" s="570"/>
      <c r="P555" s="587"/>
    </row>
    <row r="556" spans="2:16" ht="13.5" customHeight="1">
      <c r="B556" s="294">
        <f t="shared" si="100"/>
        <v>6.1846999999999852</v>
      </c>
      <c r="C556" s="449" t="s">
        <v>1316</v>
      </c>
      <c r="D556" s="437" t="s">
        <v>36</v>
      </c>
      <c r="E556" s="442">
        <v>23</v>
      </c>
      <c r="F556" s="530">
        <v>1764.01</v>
      </c>
      <c r="G556" s="65"/>
      <c r="H556" s="160">
        <v>1764.01</v>
      </c>
      <c r="I556" s="160">
        <f t="shared" si="98"/>
        <v>40572.230000000003</v>
      </c>
      <c r="J556" s="150">
        <f t="shared" si="99"/>
        <v>0</v>
      </c>
      <c r="K556" s="73">
        <v>40572.230000000003</v>
      </c>
      <c r="L556" s="575"/>
      <c r="M556" s="608">
        <v>1764.01</v>
      </c>
      <c r="N556" s="609">
        <f t="shared" si="97"/>
        <v>40572.230000000003</v>
      </c>
      <c r="O556" s="570"/>
      <c r="P556" s="587"/>
    </row>
    <row r="557" spans="2:16" ht="13.5" customHeight="1">
      <c r="B557" s="294">
        <f t="shared" si="100"/>
        <v>6.184799999999985</v>
      </c>
      <c r="C557" s="449" t="s">
        <v>1317</v>
      </c>
      <c r="D557" s="437" t="s">
        <v>36</v>
      </c>
      <c r="E557" s="442">
        <v>23</v>
      </c>
      <c r="F557" s="530">
        <v>1638.01</v>
      </c>
      <c r="G557" s="65"/>
      <c r="H557" s="160">
        <v>1638.01</v>
      </c>
      <c r="I557" s="160">
        <f t="shared" si="98"/>
        <v>37674.230000000003</v>
      </c>
      <c r="J557" s="150">
        <f t="shared" si="99"/>
        <v>0</v>
      </c>
      <c r="K557" s="73">
        <v>37674.230000000003</v>
      </c>
      <c r="L557" s="575"/>
      <c r="M557" s="608">
        <v>1638.01</v>
      </c>
      <c r="N557" s="609">
        <f t="shared" si="97"/>
        <v>37674.230000000003</v>
      </c>
      <c r="O557" s="570"/>
      <c r="P557" s="587"/>
    </row>
    <row r="558" spans="2:16" ht="13.5" customHeight="1">
      <c r="B558" s="294">
        <f t="shared" si="100"/>
        <v>6.1848999999999847</v>
      </c>
      <c r="C558" s="449" t="s">
        <v>1318</v>
      </c>
      <c r="D558" s="437" t="s">
        <v>36</v>
      </c>
      <c r="E558" s="442">
        <v>1</v>
      </c>
      <c r="F558" s="530">
        <v>10329.07</v>
      </c>
      <c r="G558" s="65"/>
      <c r="H558" s="160">
        <v>10329.07</v>
      </c>
      <c r="I558" s="160">
        <f t="shared" si="98"/>
        <v>10329.07</v>
      </c>
      <c r="J558" s="150">
        <f t="shared" si="99"/>
        <v>0</v>
      </c>
      <c r="K558" s="73">
        <v>10329.07</v>
      </c>
      <c r="L558" s="575"/>
      <c r="M558" s="608">
        <v>10329.07</v>
      </c>
      <c r="N558" s="609">
        <f t="shared" si="97"/>
        <v>10329.07</v>
      </c>
      <c r="O558" s="570"/>
      <c r="P558" s="587"/>
    </row>
    <row r="559" spans="2:16" ht="13.5" customHeight="1">
      <c r="B559" s="294">
        <f t="shared" si="100"/>
        <v>6.1849999999999845</v>
      </c>
      <c r="C559" s="449" t="s">
        <v>1319</v>
      </c>
      <c r="D559" s="437" t="s">
        <v>36</v>
      </c>
      <c r="E559" s="442">
        <v>1</v>
      </c>
      <c r="F559" s="530">
        <v>2189.87</v>
      </c>
      <c r="G559" s="65"/>
      <c r="H559" s="160">
        <v>2189.87</v>
      </c>
      <c r="I559" s="160">
        <f t="shared" si="98"/>
        <v>2189.87</v>
      </c>
      <c r="J559" s="150">
        <f t="shared" si="99"/>
        <v>0</v>
      </c>
      <c r="K559" s="73">
        <v>2189.87</v>
      </c>
      <c r="L559" s="575"/>
      <c r="M559" s="608">
        <v>2189.87</v>
      </c>
      <c r="N559" s="609">
        <f t="shared" si="97"/>
        <v>2189.87</v>
      </c>
      <c r="O559" s="570"/>
      <c r="P559" s="587"/>
    </row>
    <row r="560" spans="2:16" ht="13.5" customHeight="1">
      <c r="B560" s="294">
        <f t="shared" si="100"/>
        <v>6.1850999999999843</v>
      </c>
      <c r="C560" s="449" t="s">
        <v>1320</v>
      </c>
      <c r="D560" s="437" t="s">
        <v>36</v>
      </c>
      <c r="E560" s="442">
        <v>2</v>
      </c>
      <c r="F560" s="530">
        <v>1948.54</v>
      </c>
      <c r="G560" s="65"/>
      <c r="H560" s="160">
        <v>1948.54</v>
      </c>
      <c r="I560" s="160">
        <f t="shared" si="98"/>
        <v>3897.08</v>
      </c>
      <c r="J560" s="150">
        <f t="shared" si="99"/>
        <v>0</v>
      </c>
      <c r="K560" s="73">
        <v>3897.08</v>
      </c>
      <c r="L560" s="575"/>
      <c r="M560" s="608">
        <v>1948.54</v>
      </c>
      <c r="N560" s="609">
        <f t="shared" si="97"/>
        <v>3897.08</v>
      </c>
      <c r="O560" s="570"/>
      <c r="P560" s="587"/>
    </row>
    <row r="561" spans="2:16" ht="13.5" customHeight="1">
      <c r="B561" s="294">
        <f t="shared" si="100"/>
        <v>6.185199999999984</v>
      </c>
      <c r="C561" s="449" t="s">
        <v>1321</v>
      </c>
      <c r="D561" s="437" t="s">
        <v>36</v>
      </c>
      <c r="E561" s="442">
        <v>1</v>
      </c>
      <c r="F561" s="530">
        <v>10410.85</v>
      </c>
      <c r="G561" s="65"/>
      <c r="H561" s="160">
        <v>10410.85</v>
      </c>
      <c r="I561" s="160">
        <f t="shared" si="98"/>
        <v>10410.85</v>
      </c>
      <c r="J561" s="150">
        <f t="shared" si="99"/>
        <v>0</v>
      </c>
      <c r="K561" s="73">
        <v>10410.85</v>
      </c>
      <c r="L561" s="575"/>
      <c r="M561" s="608">
        <v>10410.85</v>
      </c>
      <c r="N561" s="609">
        <f t="shared" si="97"/>
        <v>10410.85</v>
      </c>
      <c r="O561" s="570"/>
      <c r="P561" s="587"/>
    </row>
    <row r="562" spans="2:16" ht="13.5" customHeight="1">
      <c r="B562" s="294">
        <f t="shared" si="100"/>
        <v>6.1852999999999838</v>
      </c>
      <c r="C562" s="449" t="s">
        <v>1322</v>
      </c>
      <c r="D562" s="437" t="s">
        <v>36</v>
      </c>
      <c r="E562" s="442">
        <v>1</v>
      </c>
      <c r="F562" s="530">
        <v>10291.870000000001</v>
      </c>
      <c r="G562" s="65"/>
      <c r="H562" s="160">
        <v>10291.870000000001</v>
      </c>
      <c r="I562" s="160">
        <f t="shared" si="98"/>
        <v>10291.870000000001</v>
      </c>
      <c r="J562" s="150">
        <f t="shared" si="99"/>
        <v>0</v>
      </c>
      <c r="K562" s="73">
        <v>10291.870000000001</v>
      </c>
      <c r="L562" s="575"/>
      <c r="M562" s="608">
        <v>10291.870000000001</v>
      </c>
      <c r="N562" s="609">
        <f t="shared" si="97"/>
        <v>10291.870000000001</v>
      </c>
      <c r="O562" s="570"/>
      <c r="P562" s="587"/>
    </row>
    <row r="563" spans="2:16" ht="13.5" customHeight="1">
      <c r="B563" s="294">
        <f t="shared" si="100"/>
        <v>6.1853999999999836</v>
      </c>
      <c r="C563" s="449" t="s">
        <v>1323</v>
      </c>
      <c r="D563" s="437" t="s">
        <v>36</v>
      </c>
      <c r="E563" s="442">
        <v>1</v>
      </c>
      <c r="F563" s="530">
        <v>10093.57</v>
      </c>
      <c r="G563" s="65"/>
      <c r="H563" s="160">
        <v>10093.57</v>
      </c>
      <c r="I563" s="160">
        <f t="shared" si="98"/>
        <v>10093.57</v>
      </c>
      <c r="J563" s="150">
        <f t="shared" si="99"/>
        <v>0</v>
      </c>
      <c r="K563" s="73">
        <v>10093.57</v>
      </c>
      <c r="L563" s="575"/>
      <c r="M563" s="608">
        <v>10093.57</v>
      </c>
      <c r="N563" s="609">
        <f t="shared" si="97"/>
        <v>10093.57</v>
      </c>
      <c r="O563" s="570"/>
      <c r="P563" s="587"/>
    </row>
    <row r="564" spans="2:16" ht="13.5" customHeight="1">
      <c r="B564" s="294">
        <f t="shared" si="100"/>
        <v>6.1854999999999833</v>
      </c>
      <c r="C564" s="449" t="s">
        <v>1324</v>
      </c>
      <c r="D564" s="437" t="s">
        <v>36</v>
      </c>
      <c r="E564" s="442">
        <v>1</v>
      </c>
      <c r="F564" s="530">
        <v>11481.68</v>
      </c>
      <c r="G564" s="65"/>
      <c r="H564" s="160">
        <v>11481.68</v>
      </c>
      <c r="I564" s="160">
        <f t="shared" si="98"/>
        <v>11481.68</v>
      </c>
      <c r="J564" s="150">
        <f t="shared" si="99"/>
        <v>0</v>
      </c>
      <c r="K564" s="73">
        <v>11481.68</v>
      </c>
      <c r="L564" s="575"/>
      <c r="M564" s="608">
        <v>11481.68</v>
      </c>
      <c r="N564" s="609">
        <f t="shared" si="97"/>
        <v>11481.68</v>
      </c>
      <c r="O564" s="570"/>
      <c r="P564" s="587"/>
    </row>
    <row r="565" spans="2:16" ht="13.5" customHeight="1">
      <c r="B565" s="294">
        <f t="shared" si="100"/>
        <v>6.1855999999999831</v>
      </c>
      <c r="C565" s="449" t="s">
        <v>1325</v>
      </c>
      <c r="D565" s="437" t="s">
        <v>36</v>
      </c>
      <c r="E565" s="442">
        <v>1</v>
      </c>
      <c r="F565" s="530">
        <v>11303.21</v>
      </c>
      <c r="G565" s="65"/>
      <c r="H565" s="160">
        <v>11303.21</v>
      </c>
      <c r="I565" s="160">
        <f t="shared" si="98"/>
        <v>11303.21</v>
      </c>
      <c r="J565" s="150">
        <f t="shared" si="99"/>
        <v>0</v>
      </c>
      <c r="K565" s="73">
        <v>11303.21</v>
      </c>
      <c r="L565" s="575"/>
      <c r="M565" s="608">
        <v>11303.21</v>
      </c>
      <c r="N565" s="609">
        <f t="shared" si="97"/>
        <v>11303.21</v>
      </c>
      <c r="O565" s="570"/>
      <c r="P565" s="587"/>
    </row>
    <row r="566" spans="2:16" ht="13.5" customHeight="1">
      <c r="B566" s="294">
        <f t="shared" si="100"/>
        <v>6.1856999999999829</v>
      </c>
      <c r="C566" s="449" t="s">
        <v>1326</v>
      </c>
      <c r="D566" s="437" t="s">
        <v>36</v>
      </c>
      <c r="E566" s="442">
        <v>1</v>
      </c>
      <c r="F566" s="530">
        <v>4897.1899999999996</v>
      </c>
      <c r="G566" s="65"/>
      <c r="H566" s="160">
        <v>4897.1899999999996</v>
      </c>
      <c r="I566" s="160">
        <f t="shared" si="98"/>
        <v>4897.1899999999996</v>
      </c>
      <c r="J566" s="150">
        <f t="shared" si="99"/>
        <v>0</v>
      </c>
      <c r="K566" s="73">
        <v>4897.1899999999996</v>
      </c>
      <c r="L566" s="575"/>
      <c r="M566" s="608">
        <v>4897.1899999999996</v>
      </c>
      <c r="N566" s="609">
        <f t="shared" si="97"/>
        <v>4897.1899999999996</v>
      </c>
      <c r="O566" s="570"/>
      <c r="P566" s="587"/>
    </row>
    <row r="567" spans="2:16" ht="13.5" customHeight="1">
      <c r="B567" s="294">
        <f t="shared" si="100"/>
        <v>6.1857999999999826</v>
      </c>
      <c r="C567" s="449" t="s">
        <v>1327</v>
      </c>
      <c r="D567" s="437" t="s">
        <v>36</v>
      </c>
      <c r="E567" s="442">
        <v>1</v>
      </c>
      <c r="F567" s="530">
        <v>6500.86</v>
      </c>
      <c r="G567" s="65"/>
      <c r="H567" s="160">
        <v>6500.86</v>
      </c>
      <c r="I567" s="160">
        <f t="shared" si="98"/>
        <v>6500.86</v>
      </c>
      <c r="J567" s="150">
        <f t="shared" si="99"/>
        <v>0</v>
      </c>
      <c r="K567" s="73">
        <v>6500.86</v>
      </c>
      <c r="L567" s="575"/>
      <c r="M567" s="608">
        <v>6500.86</v>
      </c>
      <c r="N567" s="609">
        <f t="shared" si="97"/>
        <v>6500.86</v>
      </c>
      <c r="O567" s="570"/>
      <c r="P567" s="587"/>
    </row>
    <row r="568" spans="2:16" ht="13.5" customHeight="1">
      <c r="B568" s="294">
        <f t="shared" si="100"/>
        <v>6.1858999999999824</v>
      </c>
      <c r="C568" s="449" t="s">
        <v>1328</v>
      </c>
      <c r="D568" s="437" t="s">
        <v>36</v>
      </c>
      <c r="E568" s="442">
        <v>1</v>
      </c>
      <c r="F568" s="530">
        <v>11081.45</v>
      </c>
      <c r="G568" s="65"/>
      <c r="H568" s="160">
        <v>11081.45</v>
      </c>
      <c r="I568" s="160">
        <f t="shared" si="98"/>
        <v>11081.45</v>
      </c>
      <c r="J568" s="150">
        <f t="shared" si="99"/>
        <v>0</v>
      </c>
      <c r="K568" s="73">
        <v>11081.45</v>
      </c>
      <c r="L568" s="575"/>
      <c r="M568" s="608">
        <v>11081.45</v>
      </c>
      <c r="N568" s="609">
        <f t="shared" si="97"/>
        <v>11081.45</v>
      </c>
      <c r="O568" s="570"/>
      <c r="P568" s="587"/>
    </row>
    <row r="569" spans="2:16" ht="13.5" customHeight="1">
      <c r="B569" s="294">
        <f t="shared" si="100"/>
        <v>6.1859999999999822</v>
      </c>
      <c r="C569" s="449" t="s">
        <v>1329</v>
      </c>
      <c r="D569" s="437" t="s">
        <v>36</v>
      </c>
      <c r="E569" s="442">
        <v>1</v>
      </c>
      <c r="F569" s="530">
        <v>7130.93</v>
      </c>
      <c r="G569" s="65"/>
      <c r="H569" s="160">
        <v>7130.93</v>
      </c>
      <c r="I569" s="160">
        <f t="shared" si="98"/>
        <v>7130.93</v>
      </c>
      <c r="J569" s="150">
        <f t="shared" si="99"/>
        <v>0</v>
      </c>
      <c r="K569" s="73">
        <v>7130.93</v>
      </c>
      <c r="L569" s="575"/>
      <c r="M569" s="608">
        <v>7130.93</v>
      </c>
      <c r="N569" s="609">
        <f t="shared" si="97"/>
        <v>7130.93</v>
      </c>
      <c r="O569" s="570"/>
      <c r="P569" s="587"/>
    </row>
    <row r="570" spans="2:16" ht="13.5" customHeight="1">
      <c r="B570" s="294">
        <f t="shared" si="100"/>
        <v>6.1860999999999819</v>
      </c>
      <c r="C570" s="449" t="s">
        <v>1330</v>
      </c>
      <c r="D570" s="437" t="s">
        <v>36</v>
      </c>
      <c r="E570" s="442">
        <v>1</v>
      </c>
      <c r="F570" s="530">
        <v>8381.1</v>
      </c>
      <c r="G570" s="65"/>
      <c r="H570" s="160">
        <v>8381.1</v>
      </c>
      <c r="I570" s="160">
        <f t="shared" si="98"/>
        <v>8381.1</v>
      </c>
      <c r="J570" s="150">
        <f t="shared" si="99"/>
        <v>0</v>
      </c>
      <c r="K570" s="73">
        <v>8381.1</v>
      </c>
      <c r="L570" s="575"/>
      <c r="M570" s="608">
        <v>8381.1</v>
      </c>
      <c r="N570" s="609">
        <f t="shared" si="97"/>
        <v>8381.1</v>
      </c>
      <c r="O570" s="570"/>
      <c r="P570" s="587"/>
    </row>
    <row r="571" spans="2:16" ht="13.5" customHeight="1">
      <c r="B571" s="294">
        <f t="shared" si="100"/>
        <v>6.1861999999999817</v>
      </c>
      <c r="C571" s="449" t="s">
        <v>1331</v>
      </c>
      <c r="D571" s="437" t="s">
        <v>36</v>
      </c>
      <c r="E571" s="442">
        <v>1</v>
      </c>
      <c r="F571" s="530">
        <v>11981.57</v>
      </c>
      <c r="G571" s="65"/>
      <c r="H571" s="160">
        <v>11981.57</v>
      </c>
      <c r="I571" s="160">
        <f t="shared" si="98"/>
        <v>11981.57</v>
      </c>
      <c r="J571" s="150">
        <f t="shared" si="99"/>
        <v>0</v>
      </c>
      <c r="K571" s="73">
        <v>11981.57</v>
      </c>
      <c r="L571" s="575"/>
      <c r="M571" s="608">
        <v>11981.57</v>
      </c>
      <c r="N571" s="609">
        <f t="shared" si="97"/>
        <v>11981.57</v>
      </c>
      <c r="O571" s="570"/>
      <c r="P571" s="587"/>
    </row>
    <row r="572" spans="2:16" ht="13.5" customHeight="1">
      <c r="B572" s="294">
        <f t="shared" si="100"/>
        <v>6.1862999999999815</v>
      </c>
      <c r="C572" s="449" t="s">
        <v>1332</v>
      </c>
      <c r="D572" s="437" t="s">
        <v>36</v>
      </c>
      <c r="E572" s="442">
        <v>1</v>
      </c>
      <c r="F572" s="530">
        <v>3338.37</v>
      </c>
      <c r="G572" s="65"/>
      <c r="H572" s="160">
        <v>3338.37</v>
      </c>
      <c r="I572" s="160">
        <f t="shared" si="98"/>
        <v>3338.37</v>
      </c>
      <c r="J572" s="150">
        <f t="shared" si="99"/>
        <v>0</v>
      </c>
      <c r="K572" s="73">
        <v>3338.37</v>
      </c>
      <c r="L572" s="575"/>
      <c r="M572" s="608">
        <v>3338.37</v>
      </c>
      <c r="N572" s="609">
        <f t="shared" si="97"/>
        <v>3338.37</v>
      </c>
      <c r="O572" s="570"/>
      <c r="P572" s="587"/>
    </row>
    <row r="573" spans="2:16" ht="13.5" customHeight="1">
      <c r="B573" s="294">
        <f t="shared" si="100"/>
        <v>6.1863999999999812</v>
      </c>
      <c r="C573" s="449" t="s">
        <v>1333</v>
      </c>
      <c r="D573" s="437" t="s">
        <v>36</v>
      </c>
      <c r="E573" s="442">
        <v>1</v>
      </c>
      <c r="F573" s="530">
        <v>9141.2000000000007</v>
      </c>
      <c r="G573" s="65"/>
      <c r="H573" s="160">
        <v>9141.2000000000007</v>
      </c>
      <c r="I573" s="160">
        <f t="shared" si="98"/>
        <v>9141.2000000000007</v>
      </c>
      <c r="J573" s="150">
        <f t="shared" si="99"/>
        <v>0</v>
      </c>
      <c r="K573" s="73">
        <v>9141.2000000000007</v>
      </c>
      <c r="L573" s="575"/>
      <c r="M573" s="608">
        <v>9141.2000000000007</v>
      </c>
      <c r="N573" s="609">
        <f t="shared" si="97"/>
        <v>9141.2000000000007</v>
      </c>
      <c r="O573" s="570"/>
      <c r="P573" s="587"/>
    </row>
    <row r="574" spans="2:16" ht="13.5" customHeight="1">
      <c r="B574" s="294">
        <f t="shared" si="100"/>
        <v>6.186499999999981</v>
      </c>
      <c r="C574" s="449" t="s">
        <v>1334</v>
      </c>
      <c r="D574" s="437" t="s">
        <v>36</v>
      </c>
      <c r="E574" s="442">
        <v>1</v>
      </c>
      <c r="F574" s="530">
        <v>1715.26</v>
      </c>
      <c r="G574" s="65"/>
      <c r="H574" s="160">
        <v>1715.26</v>
      </c>
      <c r="I574" s="160">
        <f t="shared" si="98"/>
        <v>1715.26</v>
      </c>
      <c r="J574" s="150">
        <f t="shared" si="99"/>
        <v>0</v>
      </c>
      <c r="K574" s="73">
        <v>1715.26</v>
      </c>
      <c r="L574" s="575"/>
      <c r="M574" s="608">
        <v>1715.26</v>
      </c>
      <c r="N574" s="609">
        <f t="shared" si="97"/>
        <v>1715.26</v>
      </c>
      <c r="O574" s="570"/>
      <c r="P574" s="587"/>
    </row>
    <row r="575" spans="2:16" ht="13.5" customHeight="1">
      <c r="B575" s="294">
        <f t="shared" si="100"/>
        <v>6.1865999999999808</v>
      </c>
      <c r="C575" s="449" t="s">
        <v>1335</v>
      </c>
      <c r="D575" s="437" t="s">
        <v>36</v>
      </c>
      <c r="E575" s="442">
        <v>2</v>
      </c>
      <c r="F575" s="530">
        <v>1792.33</v>
      </c>
      <c r="G575" s="65"/>
      <c r="H575" s="160">
        <v>1792.33</v>
      </c>
      <c r="I575" s="160">
        <f t="shared" si="98"/>
        <v>3584.66</v>
      </c>
      <c r="J575" s="150">
        <f t="shared" si="99"/>
        <v>0</v>
      </c>
      <c r="K575" s="73">
        <v>3584.66</v>
      </c>
      <c r="L575" s="575"/>
      <c r="M575" s="608">
        <v>1792.33</v>
      </c>
      <c r="N575" s="609">
        <f t="shared" si="97"/>
        <v>3584.66</v>
      </c>
      <c r="O575" s="570"/>
      <c r="P575" s="587"/>
    </row>
    <row r="576" spans="2:16" ht="13.5" customHeight="1">
      <c r="B576" s="294">
        <f t="shared" si="100"/>
        <v>6.1866999999999805</v>
      </c>
      <c r="C576" s="449" t="s">
        <v>1336</v>
      </c>
      <c r="D576" s="437" t="s">
        <v>36</v>
      </c>
      <c r="E576" s="442">
        <v>1</v>
      </c>
      <c r="F576" s="530">
        <v>3196.62</v>
      </c>
      <c r="G576" s="65"/>
      <c r="H576" s="160">
        <v>3196.62</v>
      </c>
      <c r="I576" s="160">
        <f t="shared" si="98"/>
        <v>3196.62</v>
      </c>
      <c r="J576" s="150">
        <f t="shared" si="99"/>
        <v>0</v>
      </c>
      <c r="K576" s="73">
        <v>3196.62</v>
      </c>
      <c r="L576" s="575"/>
      <c r="M576" s="608">
        <v>3196.62</v>
      </c>
      <c r="N576" s="609">
        <f t="shared" ref="N576:N599" si="101">+M576*E576</f>
        <v>3196.62</v>
      </c>
      <c r="O576" s="570"/>
      <c r="P576" s="587"/>
    </row>
    <row r="577" spans="2:16" ht="13.5" customHeight="1">
      <c r="B577" s="294">
        <f t="shared" si="100"/>
        <v>6.1867999999999803</v>
      </c>
      <c r="C577" s="449" t="s">
        <v>1337</v>
      </c>
      <c r="D577" s="437" t="s">
        <v>36</v>
      </c>
      <c r="E577" s="442">
        <v>1</v>
      </c>
      <c r="F577" s="530">
        <v>2715.38</v>
      </c>
      <c r="G577" s="65"/>
      <c r="H577" s="160">
        <v>2715.38</v>
      </c>
      <c r="I577" s="160">
        <f t="shared" si="98"/>
        <v>2715.38</v>
      </c>
      <c r="J577" s="150">
        <f t="shared" si="99"/>
        <v>0</v>
      </c>
      <c r="K577" s="73">
        <v>2715.38</v>
      </c>
      <c r="L577" s="575"/>
      <c r="M577" s="608">
        <v>2715.38</v>
      </c>
      <c r="N577" s="609">
        <f t="shared" si="101"/>
        <v>2715.38</v>
      </c>
      <c r="O577" s="570"/>
      <c r="P577" s="587"/>
    </row>
    <row r="578" spans="2:16" ht="13.5" customHeight="1">
      <c r="B578" s="294">
        <f t="shared" si="100"/>
        <v>6.1868999999999801</v>
      </c>
      <c r="C578" s="449" t="s">
        <v>1338</v>
      </c>
      <c r="D578" s="437" t="s">
        <v>36</v>
      </c>
      <c r="E578" s="442">
        <v>1</v>
      </c>
      <c r="F578" s="530">
        <v>4470.07</v>
      </c>
      <c r="G578" s="65"/>
      <c r="H578" s="160">
        <v>4470.07</v>
      </c>
      <c r="I578" s="160">
        <f t="shared" si="98"/>
        <v>4470.07</v>
      </c>
      <c r="J578" s="150">
        <f t="shared" si="99"/>
        <v>0</v>
      </c>
      <c r="K578" s="73">
        <v>4470.07</v>
      </c>
      <c r="L578" s="575"/>
      <c r="M578" s="608">
        <v>4470.07</v>
      </c>
      <c r="N578" s="609">
        <f t="shared" si="101"/>
        <v>4470.07</v>
      </c>
      <c r="O578" s="570"/>
      <c r="P578" s="587"/>
    </row>
    <row r="579" spans="2:16" ht="13.5" customHeight="1">
      <c r="B579" s="294">
        <f t="shared" si="100"/>
        <v>6.1869999999999798</v>
      </c>
      <c r="C579" s="449" t="s">
        <v>1339</v>
      </c>
      <c r="D579" s="437" t="s">
        <v>36</v>
      </c>
      <c r="E579" s="442">
        <v>1</v>
      </c>
      <c r="F579" s="530">
        <v>2079.1</v>
      </c>
      <c r="G579" s="65"/>
      <c r="H579" s="160">
        <v>2079.1</v>
      </c>
      <c r="I579" s="160">
        <f t="shared" si="98"/>
        <v>2079.1</v>
      </c>
      <c r="J579" s="150">
        <f t="shared" si="99"/>
        <v>0</v>
      </c>
      <c r="K579" s="73">
        <v>2079.1</v>
      </c>
      <c r="L579" s="575"/>
      <c r="M579" s="608">
        <v>2079.1</v>
      </c>
      <c r="N579" s="609">
        <f t="shared" si="101"/>
        <v>2079.1</v>
      </c>
      <c r="O579" s="570"/>
      <c r="P579" s="587"/>
    </row>
    <row r="580" spans="2:16" ht="13.5" customHeight="1">
      <c r="B580" s="294">
        <f t="shared" si="100"/>
        <v>6.1870999999999796</v>
      </c>
      <c r="C580" s="449" t="s">
        <v>1340</v>
      </c>
      <c r="D580" s="437" t="s">
        <v>36</v>
      </c>
      <c r="E580" s="442">
        <v>1</v>
      </c>
      <c r="F580" s="530">
        <v>2179.14</v>
      </c>
      <c r="G580" s="65"/>
      <c r="H580" s="160">
        <v>2179.14</v>
      </c>
      <c r="I580" s="160">
        <f t="shared" si="98"/>
        <v>2179.14</v>
      </c>
      <c r="J580" s="150">
        <f t="shared" si="99"/>
        <v>0</v>
      </c>
      <c r="K580" s="73">
        <v>2179.14</v>
      </c>
      <c r="L580" s="575"/>
      <c r="M580" s="608">
        <v>2179.14</v>
      </c>
      <c r="N580" s="609">
        <f t="shared" si="101"/>
        <v>2179.14</v>
      </c>
      <c r="O580" s="570"/>
      <c r="P580" s="587"/>
    </row>
    <row r="581" spans="2:16" ht="13.5" customHeight="1">
      <c r="B581" s="294">
        <f t="shared" si="100"/>
        <v>6.1871999999999794</v>
      </c>
      <c r="C581" s="449" t="s">
        <v>1341</v>
      </c>
      <c r="D581" s="437" t="s">
        <v>36</v>
      </c>
      <c r="E581" s="442">
        <v>2</v>
      </c>
      <c r="F581" s="530">
        <v>3524.25</v>
      </c>
      <c r="G581" s="65"/>
      <c r="H581" s="160">
        <v>3524.25</v>
      </c>
      <c r="I581" s="160">
        <f t="shared" si="98"/>
        <v>7048.5</v>
      </c>
      <c r="J581" s="150">
        <f t="shared" si="99"/>
        <v>0</v>
      </c>
      <c r="K581" s="73">
        <v>7048.5</v>
      </c>
      <c r="L581" s="575"/>
      <c r="M581" s="608">
        <v>3524.25</v>
      </c>
      <c r="N581" s="609">
        <f t="shared" si="101"/>
        <v>7048.5</v>
      </c>
      <c r="O581" s="570"/>
      <c r="P581" s="587"/>
    </row>
    <row r="582" spans="2:16" ht="13.5" customHeight="1">
      <c r="B582" s="294">
        <f t="shared" si="100"/>
        <v>6.1872999999999791</v>
      </c>
      <c r="C582" s="449" t="s">
        <v>1342</v>
      </c>
      <c r="D582" s="437" t="s">
        <v>36</v>
      </c>
      <c r="E582" s="442">
        <v>4</v>
      </c>
      <c r="F582" s="530">
        <v>1877.92</v>
      </c>
      <c r="G582" s="65"/>
      <c r="H582" s="160">
        <v>1877.92</v>
      </c>
      <c r="I582" s="160">
        <f t="shared" si="98"/>
        <v>7511.68</v>
      </c>
      <c r="J582" s="150">
        <f t="shared" si="99"/>
        <v>0</v>
      </c>
      <c r="K582" s="73">
        <v>7511.68</v>
      </c>
      <c r="L582" s="575"/>
      <c r="M582" s="608">
        <v>1877.92</v>
      </c>
      <c r="N582" s="609">
        <f t="shared" si="101"/>
        <v>7511.68</v>
      </c>
      <c r="O582" s="570"/>
      <c r="P582" s="587"/>
    </row>
    <row r="583" spans="2:16" ht="13.5" customHeight="1">
      <c r="B583" s="294">
        <f t="shared" si="100"/>
        <v>6.1873999999999789</v>
      </c>
      <c r="C583" s="449" t="s">
        <v>1343</v>
      </c>
      <c r="D583" s="437" t="s">
        <v>36</v>
      </c>
      <c r="E583" s="442">
        <v>2</v>
      </c>
      <c r="F583" s="530">
        <v>2064.1999999999998</v>
      </c>
      <c r="G583" s="65"/>
      <c r="H583" s="160">
        <v>2064.1999999999998</v>
      </c>
      <c r="I583" s="160">
        <f t="shared" si="98"/>
        <v>4128.3999999999996</v>
      </c>
      <c r="J583" s="150">
        <f t="shared" si="99"/>
        <v>0</v>
      </c>
      <c r="K583" s="73">
        <v>4128.3999999999996</v>
      </c>
      <c r="L583" s="575"/>
      <c r="M583" s="608">
        <v>2064.1999999999998</v>
      </c>
      <c r="N583" s="609">
        <f t="shared" si="101"/>
        <v>4128.3999999999996</v>
      </c>
      <c r="O583" s="570"/>
      <c r="P583" s="587"/>
    </row>
    <row r="584" spans="2:16" ht="13.5" customHeight="1">
      <c r="B584" s="294">
        <f t="shared" si="100"/>
        <v>6.1874999999999787</v>
      </c>
      <c r="C584" s="449" t="s">
        <v>1344</v>
      </c>
      <c r="D584" s="437" t="s">
        <v>36</v>
      </c>
      <c r="E584" s="442">
        <v>1</v>
      </c>
      <c r="F584" s="530">
        <v>2064.1999999999998</v>
      </c>
      <c r="G584" s="65"/>
      <c r="H584" s="160">
        <v>2064.1999999999998</v>
      </c>
      <c r="I584" s="160">
        <f t="shared" si="98"/>
        <v>2064.1999999999998</v>
      </c>
      <c r="J584" s="150">
        <f t="shared" si="99"/>
        <v>0</v>
      </c>
      <c r="K584" s="73">
        <v>2064.1999999999998</v>
      </c>
      <c r="L584" s="575"/>
      <c r="M584" s="608">
        <v>2064.1999999999998</v>
      </c>
      <c r="N584" s="609">
        <f t="shared" si="101"/>
        <v>2064.1999999999998</v>
      </c>
      <c r="O584" s="570"/>
      <c r="P584" s="587"/>
    </row>
    <row r="585" spans="2:16" ht="13.5" customHeight="1">
      <c r="B585" s="294">
        <f t="shared" si="100"/>
        <v>6.1875999999999785</v>
      </c>
      <c r="C585" s="449" t="s">
        <v>1345</v>
      </c>
      <c r="D585" s="437" t="s">
        <v>36</v>
      </c>
      <c r="E585" s="442">
        <v>1</v>
      </c>
      <c r="F585" s="530">
        <v>2366.2800000000002</v>
      </c>
      <c r="G585" s="65"/>
      <c r="H585" s="160">
        <v>2366.2800000000002</v>
      </c>
      <c r="I585" s="160">
        <f t="shared" si="98"/>
        <v>2366.2800000000002</v>
      </c>
      <c r="J585" s="150">
        <f t="shared" si="99"/>
        <v>0</v>
      </c>
      <c r="K585" s="73">
        <v>2366.2800000000002</v>
      </c>
      <c r="L585" s="575"/>
      <c r="M585" s="608">
        <v>2366.2800000000002</v>
      </c>
      <c r="N585" s="609">
        <f t="shared" si="101"/>
        <v>2366.2800000000002</v>
      </c>
      <c r="O585" s="570"/>
      <c r="P585" s="587"/>
    </row>
    <row r="586" spans="2:16" ht="13.5" customHeight="1">
      <c r="B586" s="294">
        <f t="shared" si="100"/>
        <v>6.1876999999999782</v>
      </c>
      <c r="C586" s="449" t="s">
        <v>1346</v>
      </c>
      <c r="D586" s="437" t="s">
        <v>36</v>
      </c>
      <c r="E586" s="442">
        <v>1</v>
      </c>
      <c r="F586" s="530">
        <v>3059.2</v>
      </c>
      <c r="G586" s="65"/>
      <c r="H586" s="160">
        <v>3059.2</v>
      </c>
      <c r="I586" s="160">
        <f t="shared" si="98"/>
        <v>3059.2</v>
      </c>
      <c r="J586" s="150">
        <f t="shared" si="99"/>
        <v>0</v>
      </c>
      <c r="K586" s="73">
        <v>3059.2</v>
      </c>
      <c r="L586" s="575"/>
      <c r="M586" s="608">
        <v>3059.2</v>
      </c>
      <c r="N586" s="609">
        <f t="shared" si="101"/>
        <v>3059.2</v>
      </c>
      <c r="O586" s="570"/>
      <c r="P586" s="587"/>
    </row>
    <row r="587" spans="2:16" ht="13.5" customHeight="1">
      <c r="B587" s="294">
        <f t="shared" si="100"/>
        <v>6.187799999999978</v>
      </c>
      <c r="C587" s="449" t="s">
        <v>1347</v>
      </c>
      <c r="D587" s="437" t="s">
        <v>36</v>
      </c>
      <c r="E587" s="442">
        <v>1</v>
      </c>
      <c r="F587" s="530">
        <v>3206.85</v>
      </c>
      <c r="G587" s="65"/>
      <c r="H587" s="160">
        <v>3206.85</v>
      </c>
      <c r="I587" s="160">
        <f t="shared" si="98"/>
        <v>3206.85</v>
      </c>
      <c r="J587" s="150">
        <f t="shared" si="99"/>
        <v>0</v>
      </c>
      <c r="K587" s="73">
        <v>3206.85</v>
      </c>
      <c r="L587" s="575"/>
      <c r="M587" s="608">
        <v>3206.85</v>
      </c>
      <c r="N587" s="609">
        <f t="shared" si="101"/>
        <v>3206.85</v>
      </c>
      <c r="O587" s="570"/>
      <c r="P587" s="587"/>
    </row>
    <row r="588" spans="2:16" ht="13.5" customHeight="1">
      <c r="B588" s="294">
        <f t="shared" si="100"/>
        <v>6.1878999999999778</v>
      </c>
      <c r="C588" s="449" t="s">
        <v>1348</v>
      </c>
      <c r="D588" s="437" t="s">
        <v>36</v>
      </c>
      <c r="E588" s="442">
        <v>1</v>
      </c>
      <c r="F588" s="530">
        <v>4613.72</v>
      </c>
      <c r="G588" s="65"/>
      <c r="H588" s="160">
        <v>4613.72</v>
      </c>
      <c r="I588" s="160">
        <f t="shared" ref="I588:I624" si="102">+ROUND(E588*F588,2)</f>
        <v>4613.72</v>
      </c>
      <c r="J588" s="150">
        <f t="shared" ref="J588:J624" si="103">+ROUND(E588*G588,2)</f>
        <v>0</v>
      </c>
      <c r="K588" s="73">
        <v>4613.72</v>
      </c>
      <c r="L588" s="575"/>
      <c r="M588" s="608">
        <v>4613.72</v>
      </c>
      <c r="N588" s="609">
        <f t="shared" si="101"/>
        <v>4613.72</v>
      </c>
      <c r="O588" s="570"/>
      <c r="P588" s="587"/>
    </row>
    <row r="589" spans="2:16" ht="13.5" customHeight="1">
      <c r="B589" s="294">
        <f t="shared" si="100"/>
        <v>6.1879999999999775</v>
      </c>
      <c r="C589" s="449" t="s">
        <v>1349</v>
      </c>
      <c r="D589" s="437" t="s">
        <v>36</v>
      </c>
      <c r="E589" s="442">
        <v>1</v>
      </c>
      <c r="F589" s="530">
        <v>5730.95</v>
      </c>
      <c r="G589" s="65"/>
      <c r="H589" s="160">
        <v>5730.95</v>
      </c>
      <c r="I589" s="160">
        <f t="shared" si="102"/>
        <v>5730.95</v>
      </c>
      <c r="J589" s="150">
        <f t="shared" si="103"/>
        <v>0</v>
      </c>
      <c r="K589" s="73">
        <v>5730.95</v>
      </c>
      <c r="L589" s="575"/>
      <c r="M589" s="608">
        <v>5730.95</v>
      </c>
      <c r="N589" s="609">
        <f t="shared" si="101"/>
        <v>5730.95</v>
      </c>
      <c r="O589" s="570"/>
      <c r="P589" s="587"/>
    </row>
    <row r="590" spans="2:16" ht="13.5" customHeight="1">
      <c r="B590" s="294">
        <f t="shared" si="100"/>
        <v>6.1880999999999773</v>
      </c>
      <c r="C590" s="449" t="s">
        <v>1350</v>
      </c>
      <c r="D590" s="437" t="s">
        <v>36</v>
      </c>
      <c r="E590" s="442">
        <v>1</v>
      </c>
      <c r="F590" s="530">
        <v>6517.14</v>
      </c>
      <c r="G590" s="65"/>
      <c r="H590" s="160">
        <v>6517.14</v>
      </c>
      <c r="I590" s="160">
        <f t="shared" si="102"/>
        <v>6517.14</v>
      </c>
      <c r="J590" s="150">
        <f t="shared" si="103"/>
        <v>0</v>
      </c>
      <c r="K590" s="73">
        <v>6517.14</v>
      </c>
      <c r="L590" s="575"/>
      <c r="M590" s="608">
        <v>6517.14</v>
      </c>
      <c r="N590" s="609">
        <f t="shared" si="101"/>
        <v>6517.14</v>
      </c>
      <c r="O590" s="570"/>
      <c r="P590" s="587"/>
    </row>
    <row r="591" spans="2:16" ht="13.5" customHeight="1">
      <c r="B591" s="294">
        <f t="shared" si="100"/>
        <v>6.1881999999999771</v>
      </c>
      <c r="C591" s="449" t="s">
        <v>1351</v>
      </c>
      <c r="D591" s="437" t="s">
        <v>36</v>
      </c>
      <c r="E591" s="442">
        <v>1</v>
      </c>
      <c r="F591" s="530">
        <v>4158.5600000000004</v>
      </c>
      <c r="G591" s="65"/>
      <c r="H591" s="160">
        <v>4158.5600000000004</v>
      </c>
      <c r="I591" s="160">
        <f t="shared" si="102"/>
        <v>4158.5600000000004</v>
      </c>
      <c r="J591" s="150">
        <f t="shared" si="103"/>
        <v>0</v>
      </c>
      <c r="K591" s="73">
        <v>4158.5600000000004</v>
      </c>
      <c r="L591" s="575"/>
      <c r="M591" s="608">
        <v>4158.5600000000004</v>
      </c>
      <c r="N591" s="609">
        <f t="shared" si="101"/>
        <v>4158.5600000000004</v>
      </c>
      <c r="O591" s="570"/>
      <c r="P591" s="587"/>
    </row>
    <row r="592" spans="2:16" ht="14.1" customHeight="1" outlineLevel="1">
      <c r="B592" s="294">
        <f t="shared" si="100"/>
        <v>6.1882999999999768</v>
      </c>
      <c r="C592" s="443" t="s">
        <v>1352</v>
      </c>
      <c r="D592" s="437" t="s">
        <v>36</v>
      </c>
      <c r="E592" s="442">
        <v>1</v>
      </c>
      <c r="F592" s="530">
        <v>5793.02</v>
      </c>
      <c r="G592" s="65"/>
      <c r="H592" s="160">
        <v>5793.02</v>
      </c>
      <c r="I592" s="160">
        <f t="shared" si="102"/>
        <v>5793.02</v>
      </c>
      <c r="J592" s="150">
        <f t="shared" si="103"/>
        <v>0</v>
      </c>
      <c r="K592" s="73">
        <v>5793.02</v>
      </c>
      <c r="L592" s="538"/>
      <c r="M592" s="608">
        <v>5793.02</v>
      </c>
      <c r="N592" s="609">
        <f t="shared" si="101"/>
        <v>5793.02</v>
      </c>
      <c r="P592" s="545"/>
    </row>
    <row r="593" spans="2:16" ht="14.1" customHeight="1" outlineLevel="2">
      <c r="B593" s="294">
        <f t="shared" ref="B593:B624" si="104">B592+0.0001</f>
        <v>6.1883999999999766</v>
      </c>
      <c r="C593" s="443" t="s">
        <v>1353</v>
      </c>
      <c r="D593" s="437" t="s">
        <v>36</v>
      </c>
      <c r="E593" s="442">
        <v>1</v>
      </c>
      <c r="F593" s="530">
        <v>3218.34</v>
      </c>
      <c r="G593" s="81"/>
      <c r="H593" s="160">
        <v>3218.34</v>
      </c>
      <c r="I593" s="160">
        <f t="shared" si="102"/>
        <v>3218.34</v>
      </c>
      <c r="J593" s="150">
        <f t="shared" si="103"/>
        <v>0</v>
      </c>
      <c r="K593" s="73">
        <v>3218.34</v>
      </c>
      <c r="L593" s="575"/>
      <c r="M593" s="608">
        <v>3218.34</v>
      </c>
      <c r="N593" s="609">
        <f t="shared" si="101"/>
        <v>3218.34</v>
      </c>
      <c r="O593" s="570"/>
      <c r="P593" s="587"/>
    </row>
    <row r="594" spans="2:16" ht="14.1" customHeight="1" outlineLevel="2">
      <c r="B594" s="294">
        <f t="shared" si="104"/>
        <v>6.1884999999999764</v>
      </c>
      <c r="C594" s="443" t="s">
        <v>1354</v>
      </c>
      <c r="D594" s="437" t="s">
        <v>36</v>
      </c>
      <c r="E594" s="442">
        <v>1</v>
      </c>
      <c r="F594" s="530">
        <v>1367.8</v>
      </c>
      <c r="G594" s="81"/>
      <c r="H594" s="160">
        <v>1367.8</v>
      </c>
      <c r="I594" s="160">
        <f t="shared" si="102"/>
        <v>1367.8</v>
      </c>
      <c r="J594" s="150">
        <f t="shared" si="103"/>
        <v>0</v>
      </c>
      <c r="K594" s="73">
        <v>1367.8</v>
      </c>
      <c r="L594" s="575"/>
      <c r="M594" s="608">
        <v>1367.8</v>
      </c>
      <c r="N594" s="609">
        <f t="shared" si="101"/>
        <v>1367.8</v>
      </c>
      <c r="O594" s="570"/>
      <c r="P594" s="587"/>
    </row>
    <row r="595" spans="2:16" ht="14.1" customHeight="1" outlineLevel="2">
      <c r="B595" s="294">
        <f t="shared" si="104"/>
        <v>6.1885999999999761</v>
      </c>
      <c r="C595" s="443" t="s">
        <v>1355</v>
      </c>
      <c r="D595" s="437" t="s">
        <v>36</v>
      </c>
      <c r="E595" s="442">
        <v>1</v>
      </c>
      <c r="F595" s="530">
        <v>2574.67</v>
      </c>
      <c r="G595" s="81"/>
      <c r="H595" s="160">
        <v>2574.67</v>
      </c>
      <c r="I595" s="160">
        <f t="shared" si="102"/>
        <v>2574.67</v>
      </c>
      <c r="J595" s="150">
        <f t="shared" si="103"/>
        <v>0</v>
      </c>
      <c r="K595" s="73">
        <v>2574.67</v>
      </c>
      <c r="L595" s="575"/>
      <c r="M595" s="608">
        <v>2574.67</v>
      </c>
      <c r="N595" s="609">
        <f t="shared" si="101"/>
        <v>2574.67</v>
      </c>
      <c r="O595" s="570"/>
      <c r="P595" s="587"/>
    </row>
    <row r="596" spans="2:16" ht="14.1" customHeight="1" outlineLevel="2">
      <c r="B596" s="294">
        <f t="shared" si="104"/>
        <v>6.1886999999999759</v>
      </c>
      <c r="C596" s="467" t="s">
        <v>1356</v>
      </c>
      <c r="D596" s="437"/>
      <c r="E596" s="442"/>
      <c r="F596" s="439"/>
      <c r="G596" s="81"/>
      <c r="H596" s="160">
        <v>0</v>
      </c>
      <c r="I596" s="160">
        <f t="shared" si="102"/>
        <v>0</v>
      </c>
      <c r="J596" s="150">
        <f t="shared" si="103"/>
        <v>0</v>
      </c>
      <c r="K596" s="73">
        <v>0</v>
      </c>
      <c r="L596" s="575"/>
      <c r="M596" s="608">
        <v>0</v>
      </c>
      <c r="N596" s="609">
        <f t="shared" si="101"/>
        <v>0</v>
      </c>
      <c r="O596" s="570"/>
      <c r="P596" s="587"/>
    </row>
    <row r="597" spans="2:16" ht="14.1" customHeight="1" outlineLevel="2">
      <c r="B597" s="294">
        <f t="shared" si="104"/>
        <v>6.1887999999999757</v>
      </c>
      <c r="C597" s="443" t="s">
        <v>1357</v>
      </c>
      <c r="D597" s="437" t="s">
        <v>36</v>
      </c>
      <c r="E597" s="442">
        <v>1</v>
      </c>
      <c r="F597" s="439">
        <v>3563.7629999999999</v>
      </c>
      <c r="G597" s="81"/>
      <c r="H597" s="160">
        <v>3563.76</v>
      </c>
      <c r="I597" s="160">
        <f t="shared" si="102"/>
        <v>3563.76</v>
      </c>
      <c r="J597" s="150">
        <f t="shared" si="103"/>
        <v>0</v>
      </c>
      <c r="K597" s="73">
        <v>3563.76</v>
      </c>
      <c r="L597" s="575"/>
      <c r="M597" s="608">
        <v>3563.76</v>
      </c>
      <c r="N597" s="609">
        <f t="shared" si="101"/>
        <v>3563.76</v>
      </c>
      <c r="O597" s="570"/>
      <c r="P597" s="587"/>
    </row>
    <row r="598" spans="2:16" ht="14.1" customHeight="1" outlineLevel="1">
      <c r="B598" s="285">
        <f>B596+0.0001</f>
        <v>6.1887999999999757</v>
      </c>
      <c r="C598" s="288" t="s">
        <v>1358</v>
      </c>
      <c r="D598" s="64"/>
      <c r="E598" s="87"/>
      <c r="F598" s="73"/>
      <c r="G598" s="81"/>
      <c r="H598" s="160"/>
      <c r="I598" s="160"/>
      <c r="J598" s="150"/>
      <c r="K598" s="73">
        <v>0</v>
      </c>
      <c r="L598" s="538"/>
      <c r="M598" s="608">
        <v>0</v>
      </c>
      <c r="N598" s="609">
        <f t="shared" si="101"/>
        <v>0</v>
      </c>
      <c r="P598" s="545"/>
    </row>
    <row r="599" spans="2:16" ht="14.1" customHeight="1" outlineLevel="3">
      <c r="B599" s="296">
        <f t="shared" ref="B599" si="105">B598+0.000001</f>
        <v>6.1888009999999758</v>
      </c>
      <c r="C599" s="289" t="s">
        <v>1359</v>
      </c>
      <c r="D599" s="64" t="s">
        <v>29</v>
      </c>
      <c r="E599" s="87">
        <v>1</v>
      </c>
      <c r="F599" s="73">
        <v>24000</v>
      </c>
      <c r="G599" s="81"/>
      <c r="H599" s="160">
        <v>24000</v>
      </c>
      <c r="I599" s="160">
        <f t="shared" ref="I599" si="106">+ROUND(E599*F599,2)</f>
        <v>24000</v>
      </c>
      <c r="J599" s="150">
        <f t="shared" ref="J599" si="107">+ROUND(E599*G599,2)</f>
        <v>0</v>
      </c>
      <c r="K599" s="73">
        <v>24000</v>
      </c>
      <c r="L599" s="575"/>
      <c r="M599" s="608">
        <v>24000</v>
      </c>
      <c r="N599" s="609">
        <f t="shared" si="101"/>
        <v>24000</v>
      </c>
      <c r="O599" s="570"/>
      <c r="P599" s="587"/>
    </row>
    <row r="600" spans="2:16" ht="14.1" customHeight="1" outlineLevel="2">
      <c r="B600" s="468">
        <f>B597+0.0001</f>
        <v>6.1888999999999754</v>
      </c>
      <c r="C600" s="469" t="s">
        <v>1360</v>
      </c>
      <c r="D600" s="458"/>
      <c r="E600" s="459"/>
      <c r="F600" s="470"/>
      <c r="G600" s="471"/>
      <c r="H600" s="186">
        <v>0</v>
      </c>
      <c r="I600" s="186">
        <f t="shared" si="102"/>
        <v>0</v>
      </c>
      <c r="J600" s="415">
        <f t="shared" si="103"/>
        <v>0</v>
      </c>
      <c r="K600" s="73">
        <v>0</v>
      </c>
      <c r="L600" s="598"/>
      <c r="M600" s="606"/>
      <c r="N600" s="594"/>
      <c r="O600" s="594"/>
      <c r="P600" s="607"/>
    </row>
    <row r="601" spans="2:16" ht="14.1" customHeight="1" outlineLevel="2">
      <c r="B601" s="468">
        <f t="shared" si="104"/>
        <v>6.1889999999999752</v>
      </c>
      <c r="C601" s="472" t="s">
        <v>1361</v>
      </c>
      <c r="D601" s="458" t="s">
        <v>161</v>
      </c>
      <c r="E601" s="459">
        <v>27.369999999999997</v>
      </c>
      <c r="F601" s="470"/>
      <c r="G601" s="471"/>
      <c r="H601" s="186">
        <v>0</v>
      </c>
      <c r="I601" s="186">
        <f t="shared" si="102"/>
        <v>0</v>
      </c>
      <c r="J601" s="415">
        <f t="shared" si="103"/>
        <v>0</v>
      </c>
      <c r="K601" s="73">
        <v>0</v>
      </c>
      <c r="L601" s="598"/>
      <c r="M601" s="606"/>
      <c r="N601" s="594"/>
      <c r="O601" s="594"/>
      <c r="P601" s="607"/>
    </row>
    <row r="602" spans="2:16" ht="14.1" customHeight="1" outlineLevel="2">
      <c r="B602" s="468">
        <f t="shared" si="104"/>
        <v>6.189099999999975</v>
      </c>
      <c r="C602" s="472" t="s">
        <v>1362</v>
      </c>
      <c r="D602" s="458" t="s">
        <v>161</v>
      </c>
      <c r="E602" s="459">
        <v>23.321999999999999</v>
      </c>
      <c r="F602" s="470"/>
      <c r="G602" s="471"/>
      <c r="H602" s="186">
        <v>0</v>
      </c>
      <c r="I602" s="186">
        <f t="shared" si="102"/>
        <v>0</v>
      </c>
      <c r="J602" s="415">
        <f t="shared" si="103"/>
        <v>0</v>
      </c>
      <c r="K602" s="73">
        <v>0</v>
      </c>
      <c r="L602" s="598"/>
      <c r="M602" s="606"/>
      <c r="N602" s="594"/>
      <c r="O602" s="594"/>
      <c r="P602" s="607"/>
    </row>
    <row r="603" spans="2:16" ht="14.1" customHeight="1" outlineLevel="2">
      <c r="B603" s="294">
        <f t="shared" si="104"/>
        <v>6.1891999999999747</v>
      </c>
      <c r="C603" s="467" t="s">
        <v>1363</v>
      </c>
      <c r="D603" s="437"/>
      <c r="E603" s="442"/>
      <c r="F603" s="439"/>
      <c r="G603" s="81"/>
      <c r="H603" s="160">
        <v>0</v>
      </c>
      <c r="I603" s="160">
        <f t="shared" si="102"/>
        <v>0</v>
      </c>
      <c r="J603" s="150">
        <f t="shared" si="103"/>
        <v>0</v>
      </c>
      <c r="K603" s="73">
        <v>0</v>
      </c>
      <c r="L603" s="575"/>
      <c r="M603" s="586"/>
      <c r="N603" s="570"/>
      <c r="O603" s="570"/>
      <c r="P603" s="587"/>
    </row>
    <row r="604" spans="2:16" ht="13.5" customHeight="1" outlineLevel="2">
      <c r="B604" s="294">
        <f t="shared" si="104"/>
        <v>6.1892999999999745</v>
      </c>
      <c r="C604" s="443" t="s">
        <v>1364</v>
      </c>
      <c r="D604" s="437" t="s">
        <v>46</v>
      </c>
      <c r="E604" s="442">
        <v>8.73</v>
      </c>
      <c r="F604" s="439">
        <v>75</v>
      </c>
      <c r="G604" s="81"/>
      <c r="H604" s="160">
        <v>75</v>
      </c>
      <c r="I604" s="160">
        <f t="shared" si="102"/>
        <v>654.75</v>
      </c>
      <c r="J604" s="150">
        <f t="shared" si="103"/>
        <v>0</v>
      </c>
      <c r="K604" s="73">
        <v>654.75</v>
      </c>
      <c r="L604" s="575"/>
      <c r="M604" s="586"/>
      <c r="N604" s="570"/>
      <c r="O604" s="570"/>
      <c r="P604" s="587"/>
    </row>
    <row r="605" spans="2:16" ht="14.1" customHeight="1" outlineLevel="2">
      <c r="B605" s="294">
        <f t="shared" si="104"/>
        <v>6.1893999999999743</v>
      </c>
      <c r="C605" s="443" t="s">
        <v>1365</v>
      </c>
      <c r="D605" s="437" t="s">
        <v>46</v>
      </c>
      <c r="E605" s="442">
        <v>110.5</v>
      </c>
      <c r="F605" s="439">
        <v>75</v>
      </c>
      <c r="G605" s="81"/>
      <c r="H605" s="160">
        <v>75</v>
      </c>
      <c r="I605" s="160">
        <f t="shared" si="102"/>
        <v>8287.5</v>
      </c>
      <c r="J605" s="150">
        <f t="shared" si="103"/>
        <v>0</v>
      </c>
      <c r="K605" s="73">
        <v>8287.5</v>
      </c>
      <c r="L605" s="575"/>
      <c r="M605" s="586"/>
      <c r="N605" s="570"/>
      <c r="O605" s="570"/>
      <c r="P605" s="587"/>
    </row>
    <row r="606" spans="2:16" ht="14.1" customHeight="1" outlineLevel="2">
      <c r="B606" s="294">
        <f t="shared" si="104"/>
        <v>6.189499999999974</v>
      </c>
      <c r="C606" s="443" t="s">
        <v>1366</v>
      </c>
      <c r="D606" s="437" t="s">
        <v>46</v>
      </c>
      <c r="E606" s="442">
        <v>188.5</v>
      </c>
      <c r="F606" s="439">
        <v>75</v>
      </c>
      <c r="G606" s="81"/>
      <c r="H606" s="160">
        <v>75</v>
      </c>
      <c r="I606" s="160">
        <f t="shared" si="102"/>
        <v>14137.5</v>
      </c>
      <c r="J606" s="150">
        <f t="shared" si="103"/>
        <v>0</v>
      </c>
      <c r="K606" s="73">
        <v>14137.5</v>
      </c>
      <c r="L606" s="575"/>
      <c r="M606" s="586"/>
      <c r="N606" s="570"/>
      <c r="O606" s="570"/>
      <c r="P606" s="587"/>
    </row>
    <row r="607" spans="2:16" ht="14.1" customHeight="1" outlineLevel="2">
      <c r="B607" s="294">
        <f t="shared" si="104"/>
        <v>6.1895999999999738</v>
      </c>
      <c r="C607" s="443" t="s">
        <v>1367</v>
      </c>
      <c r="D607" s="437" t="s">
        <v>46</v>
      </c>
      <c r="E607" s="442">
        <v>67.81</v>
      </c>
      <c r="F607" s="439">
        <v>75</v>
      </c>
      <c r="G607" s="81"/>
      <c r="H607" s="160">
        <v>75</v>
      </c>
      <c r="I607" s="160">
        <f t="shared" si="102"/>
        <v>5085.75</v>
      </c>
      <c r="J607" s="150">
        <f t="shared" si="103"/>
        <v>0</v>
      </c>
      <c r="K607" s="73">
        <v>5085.75</v>
      </c>
      <c r="L607" s="575"/>
      <c r="M607" s="586"/>
      <c r="N607" s="570"/>
      <c r="O607" s="570"/>
      <c r="P607" s="587"/>
    </row>
    <row r="608" spans="2:16" ht="14.1" customHeight="1" outlineLevel="2">
      <c r="B608" s="294">
        <f t="shared" si="104"/>
        <v>6.1896999999999736</v>
      </c>
      <c r="C608" s="443" t="s">
        <v>1368</v>
      </c>
      <c r="D608" s="437" t="s">
        <v>46</v>
      </c>
      <c r="E608" s="442">
        <v>8.5</v>
      </c>
      <c r="F608" s="439">
        <v>45</v>
      </c>
      <c r="G608" s="81"/>
      <c r="H608" s="160">
        <v>45</v>
      </c>
      <c r="I608" s="160">
        <f t="shared" si="102"/>
        <v>382.5</v>
      </c>
      <c r="J608" s="150">
        <f t="shared" si="103"/>
        <v>0</v>
      </c>
      <c r="K608" s="73">
        <v>382.5</v>
      </c>
      <c r="L608" s="575"/>
      <c r="M608" s="586"/>
      <c r="N608" s="570"/>
      <c r="O608" s="570"/>
      <c r="P608" s="587"/>
    </row>
    <row r="609" spans="2:16" ht="14.1" customHeight="1" outlineLevel="2">
      <c r="B609" s="468">
        <f t="shared" si="104"/>
        <v>6.1897999999999733</v>
      </c>
      <c r="C609" s="472" t="s">
        <v>1369</v>
      </c>
      <c r="D609" s="458" t="s">
        <v>36</v>
      </c>
      <c r="E609" s="459">
        <v>1</v>
      </c>
      <c r="F609" s="470"/>
      <c r="G609" s="471"/>
      <c r="H609" s="186">
        <v>0</v>
      </c>
      <c r="I609" s="186">
        <f t="shared" si="102"/>
        <v>0</v>
      </c>
      <c r="J609" s="415">
        <f t="shared" si="103"/>
        <v>0</v>
      </c>
      <c r="K609" s="73">
        <v>0</v>
      </c>
      <c r="L609" s="598"/>
      <c r="M609" s="606"/>
      <c r="N609" s="594"/>
      <c r="O609" s="594"/>
      <c r="P609" s="607"/>
    </row>
    <row r="610" spans="2:16" ht="14.1" customHeight="1" outlineLevel="2">
      <c r="B610" s="294">
        <f t="shared" si="104"/>
        <v>6.1898999999999731</v>
      </c>
      <c r="C610" s="443" t="s">
        <v>1370</v>
      </c>
      <c r="D610" s="437" t="s">
        <v>36</v>
      </c>
      <c r="E610" s="442">
        <v>3</v>
      </c>
      <c r="F610" s="439">
        <v>2625</v>
      </c>
      <c r="G610" s="81"/>
      <c r="H610" s="160">
        <v>2625</v>
      </c>
      <c r="I610" s="160">
        <f t="shared" si="102"/>
        <v>7875</v>
      </c>
      <c r="J610" s="150">
        <f t="shared" si="103"/>
        <v>0</v>
      </c>
      <c r="K610" s="73">
        <v>7875</v>
      </c>
      <c r="L610" s="575"/>
      <c r="M610" s="586"/>
      <c r="N610" s="570"/>
      <c r="O610" s="570"/>
      <c r="P610" s="587"/>
    </row>
    <row r="611" spans="2:16" ht="14.1" customHeight="1" outlineLevel="2">
      <c r="B611" s="294">
        <f t="shared" si="104"/>
        <v>6.1899999999999729</v>
      </c>
      <c r="C611" s="443" t="s">
        <v>1371</v>
      </c>
      <c r="D611" s="437" t="s">
        <v>36</v>
      </c>
      <c r="E611" s="442">
        <v>4</v>
      </c>
      <c r="F611" s="439">
        <v>45</v>
      </c>
      <c r="G611" s="81"/>
      <c r="H611" s="160">
        <v>45</v>
      </c>
      <c r="I611" s="160">
        <f t="shared" si="102"/>
        <v>180</v>
      </c>
      <c r="J611" s="150">
        <f t="shared" si="103"/>
        <v>0</v>
      </c>
      <c r="K611" s="73">
        <v>180</v>
      </c>
      <c r="L611" s="575"/>
      <c r="M611" s="586"/>
      <c r="N611" s="570"/>
      <c r="O611" s="570"/>
      <c r="P611" s="587"/>
    </row>
    <row r="612" spans="2:16" ht="14.1" customHeight="1" outlineLevel="2">
      <c r="B612" s="468">
        <f t="shared" si="104"/>
        <v>6.1900999999999726</v>
      </c>
      <c r="C612" s="472" t="s">
        <v>1372</v>
      </c>
      <c r="D612" s="458" t="s">
        <v>46</v>
      </c>
      <c r="E612" s="459">
        <v>14.100000000000001</v>
      </c>
      <c r="F612" s="470">
        <v>0</v>
      </c>
      <c r="G612" s="471"/>
      <c r="H612" s="186">
        <v>0</v>
      </c>
      <c r="I612" s="186">
        <f t="shared" si="102"/>
        <v>0</v>
      </c>
      <c r="J612" s="415">
        <f t="shared" si="103"/>
        <v>0</v>
      </c>
      <c r="K612" s="73">
        <v>0</v>
      </c>
      <c r="L612" s="598"/>
      <c r="M612" s="606"/>
      <c r="N612" s="594"/>
      <c r="O612" s="594"/>
      <c r="P612" s="607"/>
    </row>
    <row r="613" spans="2:16" ht="14.1" customHeight="1" outlineLevel="2">
      <c r="B613" s="468">
        <f t="shared" si="104"/>
        <v>6.1901999999999724</v>
      </c>
      <c r="C613" s="472" t="s">
        <v>1373</v>
      </c>
      <c r="D613" s="458" t="s">
        <v>46</v>
      </c>
      <c r="E613" s="459">
        <v>7.0500000000000007</v>
      </c>
      <c r="F613" s="470">
        <v>0</v>
      </c>
      <c r="G613" s="471"/>
      <c r="H613" s="186">
        <v>0</v>
      </c>
      <c r="I613" s="186">
        <f t="shared" si="102"/>
        <v>0</v>
      </c>
      <c r="J613" s="415">
        <f t="shared" si="103"/>
        <v>0</v>
      </c>
      <c r="K613" s="73">
        <v>0</v>
      </c>
      <c r="L613" s="598"/>
      <c r="M613" s="606"/>
      <c r="N613" s="594"/>
      <c r="O613" s="594"/>
      <c r="P613" s="607"/>
    </row>
    <row r="614" spans="2:16" ht="14.1" customHeight="1" outlineLevel="2">
      <c r="B614" s="468">
        <f t="shared" si="104"/>
        <v>6.1902999999999722</v>
      </c>
      <c r="C614" s="472" t="s">
        <v>1374</v>
      </c>
      <c r="D614" s="458" t="s">
        <v>46</v>
      </c>
      <c r="E614" s="459">
        <v>18</v>
      </c>
      <c r="F614" s="470">
        <v>0</v>
      </c>
      <c r="G614" s="471"/>
      <c r="H614" s="186">
        <v>0</v>
      </c>
      <c r="I614" s="186">
        <f t="shared" si="102"/>
        <v>0</v>
      </c>
      <c r="J614" s="415">
        <f t="shared" si="103"/>
        <v>0</v>
      </c>
      <c r="K614" s="73">
        <v>0</v>
      </c>
      <c r="L614" s="598"/>
      <c r="M614" s="606"/>
      <c r="N614" s="594"/>
      <c r="O614" s="594"/>
      <c r="P614" s="607"/>
    </row>
    <row r="615" spans="2:16" ht="14.1" customHeight="1" outlineLevel="2">
      <c r="B615" s="468">
        <f t="shared" si="104"/>
        <v>6.1903999999999719</v>
      </c>
      <c r="C615" s="472" t="s">
        <v>1375</v>
      </c>
      <c r="D615" s="458" t="s">
        <v>46</v>
      </c>
      <c r="E615" s="459">
        <v>82.050000000000011</v>
      </c>
      <c r="F615" s="470"/>
      <c r="G615" s="471"/>
      <c r="H615" s="186">
        <v>0</v>
      </c>
      <c r="I615" s="186">
        <f t="shared" si="102"/>
        <v>0</v>
      </c>
      <c r="J615" s="415">
        <f t="shared" si="103"/>
        <v>0</v>
      </c>
      <c r="K615" s="73">
        <v>0</v>
      </c>
      <c r="L615" s="598"/>
      <c r="M615" s="606"/>
      <c r="N615" s="594"/>
      <c r="O615" s="594"/>
      <c r="P615" s="607"/>
    </row>
    <row r="616" spans="2:16" ht="14.1" customHeight="1" outlineLevel="2">
      <c r="B616" s="294">
        <f t="shared" si="104"/>
        <v>6.1904999999999717</v>
      </c>
      <c r="C616" s="443" t="s">
        <v>1376</v>
      </c>
      <c r="D616" s="437" t="s">
        <v>46</v>
      </c>
      <c r="E616" s="442">
        <v>83.35</v>
      </c>
      <c r="F616" s="439">
        <v>85</v>
      </c>
      <c r="G616" s="81"/>
      <c r="H616" s="160">
        <v>85</v>
      </c>
      <c r="I616" s="160">
        <f t="shared" si="102"/>
        <v>7084.75</v>
      </c>
      <c r="J616" s="150">
        <f t="shared" si="103"/>
        <v>0</v>
      </c>
      <c r="K616" s="73">
        <v>7084.75</v>
      </c>
      <c r="L616" s="575"/>
      <c r="M616" s="586"/>
      <c r="N616" s="570"/>
      <c r="O616" s="570"/>
      <c r="P616" s="587"/>
    </row>
    <row r="617" spans="2:16" ht="14.1" customHeight="1" outlineLevel="2">
      <c r="B617" s="294">
        <f t="shared" si="104"/>
        <v>6.1905999999999715</v>
      </c>
      <c r="C617" s="443" t="s">
        <v>1377</v>
      </c>
      <c r="D617" s="437" t="s">
        <v>46</v>
      </c>
      <c r="E617" s="442">
        <v>29.5</v>
      </c>
      <c r="F617" s="439">
        <v>755</v>
      </c>
      <c r="G617" s="81"/>
      <c r="H617" s="160">
        <v>755</v>
      </c>
      <c r="I617" s="160">
        <f t="shared" si="102"/>
        <v>22272.5</v>
      </c>
      <c r="J617" s="150">
        <f t="shared" si="103"/>
        <v>0</v>
      </c>
      <c r="K617" s="73">
        <v>22272.5</v>
      </c>
      <c r="L617" s="575"/>
      <c r="M617" s="586"/>
      <c r="N617" s="570"/>
      <c r="O617" s="570"/>
      <c r="P617" s="587"/>
    </row>
    <row r="618" spans="2:16" ht="14.1" customHeight="1" outlineLevel="2">
      <c r="B618" s="294">
        <f t="shared" si="104"/>
        <v>6.1906999999999712</v>
      </c>
      <c r="C618" s="443" t="s">
        <v>1378</v>
      </c>
      <c r="D618" s="437" t="s">
        <v>46</v>
      </c>
      <c r="E618" s="442">
        <v>77.930000000000007</v>
      </c>
      <c r="F618" s="439">
        <v>755</v>
      </c>
      <c r="G618" s="81"/>
      <c r="H618" s="160">
        <v>755</v>
      </c>
      <c r="I618" s="160">
        <f t="shared" si="102"/>
        <v>58837.15</v>
      </c>
      <c r="J618" s="150">
        <f t="shared" si="103"/>
        <v>0</v>
      </c>
      <c r="K618" s="73">
        <v>58837.15</v>
      </c>
      <c r="L618" s="575"/>
      <c r="M618" s="586"/>
      <c r="N618" s="570"/>
      <c r="O618" s="570"/>
      <c r="P618" s="587"/>
    </row>
    <row r="619" spans="2:16" ht="14.1" customHeight="1" outlineLevel="2">
      <c r="B619" s="294">
        <f t="shared" si="104"/>
        <v>6.190799999999971</v>
      </c>
      <c r="C619" s="443" t="s">
        <v>1379</v>
      </c>
      <c r="D619" s="437" t="s">
        <v>46</v>
      </c>
      <c r="E619" s="442">
        <v>41.75</v>
      </c>
      <c r="F619" s="439">
        <v>755</v>
      </c>
      <c r="G619" s="81"/>
      <c r="H619" s="160">
        <v>755</v>
      </c>
      <c r="I619" s="160">
        <f t="shared" si="102"/>
        <v>31521.25</v>
      </c>
      <c r="J619" s="150">
        <f t="shared" si="103"/>
        <v>0</v>
      </c>
      <c r="K619" s="73">
        <v>31521.25</v>
      </c>
      <c r="L619" s="575"/>
      <c r="M619" s="586"/>
      <c r="N619" s="570"/>
      <c r="O619" s="570"/>
      <c r="P619" s="587"/>
    </row>
    <row r="620" spans="2:16" ht="14.1" customHeight="1" outlineLevel="2">
      <c r="B620" s="294">
        <f t="shared" si="104"/>
        <v>6.1908999999999708</v>
      </c>
      <c r="C620" s="443" t="s">
        <v>1380</v>
      </c>
      <c r="D620" s="437" t="s">
        <v>161</v>
      </c>
      <c r="E620" s="442">
        <v>508.28</v>
      </c>
      <c r="F620" s="439">
        <v>858.66</v>
      </c>
      <c r="G620" s="81"/>
      <c r="H620" s="160">
        <v>858.66</v>
      </c>
      <c r="I620" s="160">
        <f t="shared" si="102"/>
        <v>436439.7</v>
      </c>
      <c r="J620" s="150">
        <f t="shared" si="103"/>
        <v>0</v>
      </c>
      <c r="K620" s="73">
        <v>436439.7</v>
      </c>
      <c r="L620" s="575"/>
      <c r="M620" s="586"/>
      <c r="N620" s="570"/>
      <c r="O620" s="570"/>
      <c r="P620" s="587"/>
    </row>
    <row r="621" spans="2:16" ht="14.1" customHeight="1" outlineLevel="2">
      <c r="B621" s="294">
        <f t="shared" si="104"/>
        <v>6.1909999999999705</v>
      </c>
      <c r="C621" s="443" t="s">
        <v>1381</v>
      </c>
      <c r="D621" s="437" t="s">
        <v>36</v>
      </c>
      <c r="E621" s="442">
        <v>46</v>
      </c>
      <c r="F621" s="439">
        <v>550</v>
      </c>
      <c r="G621" s="81"/>
      <c r="H621" s="160">
        <v>550</v>
      </c>
      <c r="I621" s="160">
        <f t="shared" si="102"/>
        <v>25300</v>
      </c>
      <c r="J621" s="150">
        <f t="shared" si="103"/>
        <v>0</v>
      </c>
      <c r="K621" s="73">
        <v>25300</v>
      </c>
      <c r="L621" s="575"/>
      <c r="M621" s="586"/>
      <c r="N621" s="570"/>
      <c r="O621" s="570"/>
      <c r="P621" s="587"/>
    </row>
    <row r="622" spans="2:16" ht="14.1" customHeight="1" outlineLevel="2">
      <c r="B622" s="294">
        <f t="shared" si="104"/>
        <v>6.1910999999999703</v>
      </c>
      <c r="C622" s="443" t="s">
        <v>1382</v>
      </c>
      <c r="D622" s="437" t="s">
        <v>36</v>
      </c>
      <c r="E622" s="442">
        <v>92</v>
      </c>
      <c r="F622" s="439">
        <v>250</v>
      </c>
      <c r="G622" s="81"/>
      <c r="H622" s="160">
        <v>250</v>
      </c>
      <c r="I622" s="160">
        <f t="shared" si="102"/>
        <v>23000</v>
      </c>
      <c r="J622" s="150">
        <f t="shared" si="103"/>
        <v>0</v>
      </c>
      <c r="K622" s="73">
        <v>23000</v>
      </c>
      <c r="L622" s="575"/>
      <c r="M622" s="586"/>
      <c r="N622" s="570"/>
      <c r="O622" s="570"/>
      <c r="P622" s="587"/>
    </row>
    <row r="623" spans="2:16" ht="14.1" customHeight="1" outlineLevel="2">
      <c r="B623" s="294">
        <f t="shared" si="104"/>
        <v>6.1911999999999701</v>
      </c>
      <c r="C623" s="443" t="s">
        <v>1383</v>
      </c>
      <c r="D623" s="437" t="s">
        <v>36</v>
      </c>
      <c r="E623" s="442">
        <v>28</v>
      </c>
      <c r="F623" s="439">
        <v>325</v>
      </c>
      <c r="G623" s="81"/>
      <c r="H623" s="160">
        <v>325</v>
      </c>
      <c r="I623" s="160">
        <f t="shared" si="102"/>
        <v>9100</v>
      </c>
      <c r="J623" s="150">
        <f t="shared" si="103"/>
        <v>0</v>
      </c>
      <c r="K623" s="73">
        <v>9100</v>
      </c>
      <c r="L623" s="575"/>
      <c r="M623" s="586"/>
      <c r="N623" s="570"/>
      <c r="O623" s="570"/>
      <c r="P623" s="587"/>
    </row>
    <row r="624" spans="2:16" ht="14.1" customHeight="1" outlineLevel="2">
      <c r="B624" s="294">
        <f t="shared" si="104"/>
        <v>6.1912999999999698</v>
      </c>
      <c r="C624" s="443" t="s">
        <v>1384</v>
      </c>
      <c r="D624" s="437" t="s">
        <v>36</v>
      </c>
      <c r="E624" s="442">
        <v>1</v>
      </c>
      <c r="F624" s="439">
        <v>387.5</v>
      </c>
      <c r="G624" s="81"/>
      <c r="H624" s="160">
        <v>387.5</v>
      </c>
      <c r="I624" s="160">
        <f t="shared" si="102"/>
        <v>387.5</v>
      </c>
      <c r="J624" s="150">
        <f t="shared" si="103"/>
        <v>0</v>
      </c>
      <c r="K624" s="73">
        <v>387.5</v>
      </c>
      <c r="L624" s="575"/>
      <c r="M624" s="586"/>
      <c r="N624" s="570"/>
      <c r="O624" s="570"/>
      <c r="P624" s="587"/>
    </row>
    <row r="625" spans="1:16" ht="14.1" customHeight="1" outlineLevel="3">
      <c r="B625" s="164">
        <f>B509+0.01</f>
        <v>6.1899999999999959</v>
      </c>
      <c r="C625" s="473" t="s">
        <v>1385</v>
      </c>
      <c r="D625" s="64"/>
      <c r="E625" s="87"/>
      <c r="F625" s="73"/>
      <c r="G625" s="81"/>
      <c r="H625" s="251"/>
      <c r="I625" s="251"/>
      <c r="J625" s="252"/>
      <c r="K625" s="73">
        <v>0</v>
      </c>
      <c r="L625" s="537">
        <v>39175.237499999996</v>
      </c>
      <c r="M625" s="591"/>
      <c r="N625" s="571"/>
      <c r="O625" s="571"/>
      <c r="P625" s="592"/>
    </row>
    <row r="626" spans="1:16" ht="14.1" customHeight="1" outlineLevel="3">
      <c r="B626" s="294">
        <f t="shared" ref="B626:B645" si="108">B625+0.0001</f>
        <v>6.1900999999999957</v>
      </c>
      <c r="C626" s="289" t="s">
        <v>1386</v>
      </c>
      <c r="D626" s="64" t="s">
        <v>36</v>
      </c>
      <c r="E626" s="87">
        <v>1</v>
      </c>
      <c r="F626" s="73"/>
      <c r="G626" s="81">
        <v>6125.333333333333</v>
      </c>
      <c r="H626" s="160">
        <v>22970</v>
      </c>
      <c r="I626" s="160">
        <f t="shared" ref="I626:I627" si="109">+ROUND(E626*F626,2)</f>
        <v>0</v>
      </c>
      <c r="J626" s="150">
        <f t="shared" ref="J626:J627" si="110">+ROUND(E626*G626,2)</f>
        <v>6125.33</v>
      </c>
      <c r="K626" s="73">
        <v>22969.99</v>
      </c>
      <c r="L626" s="575"/>
      <c r="M626" s="586"/>
      <c r="N626" s="570"/>
      <c r="O626" s="570"/>
      <c r="P626" s="587"/>
    </row>
    <row r="627" spans="1:16" ht="14.1" customHeight="1" outlineLevel="3">
      <c r="B627" s="294">
        <f t="shared" si="108"/>
        <v>6.1901999999999955</v>
      </c>
      <c r="C627" s="289" t="s">
        <v>1387</v>
      </c>
      <c r="D627" s="64" t="s">
        <v>36</v>
      </c>
      <c r="E627" s="87">
        <v>170</v>
      </c>
      <c r="F627" s="73"/>
      <c r="G627" s="81">
        <v>25.42</v>
      </c>
      <c r="H627" s="160">
        <v>95.33</v>
      </c>
      <c r="I627" s="160">
        <f t="shared" si="109"/>
        <v>0</v>
      </c>
      <c r="J627" s="150">
        <f t="shared" si="110"/>
        <v>4321.3999999999996</v>
      </c>
      <c r="K627" s="73">
        <v>16205.25</v>
      </c>
      <c r="L627" s="575"/>
      <c r="M627" s="586"/>
      <c r="N627" s="570"/>
      <c r="O627" s="570"/>
      <c r="P627" s="587"/>
    </row>
    <row r="628" spans="1:16" ht="14.1" customHeight="1" outlineLevel="3">
      <c r="B628" s="164">
        <f>B625+0.01</f>
        <v>6.1999999999999957</v>
      </c>
      <c r="C628" s="473" t="s">
        <v>1388</v>
      </c>
      <c r="D628" s="64"/>
      <c r="E628" s="87"/>
      <c r="F628" s="73"/>
      <c r="G628" s="81"/>
      <c r="H628" s="251"/>
      <c r="I628" s="251"/>
      <c r="J628" s="252"/>
      <c r="K628" s="73">
        <v>0</v>
      </c>
      <c r="L628" s="537">
        <v>258750.85</v>
      </c>
      <c r="M628" s="591"/>
      <c r="N628" s="571"/>
      <c r="O628" s="571"/>
      <c r="P628" s="592"/>
    </row>
    <row r="629" spans="1:16" ht="14.1" customHeight="1" outlineLevel="3">
      <c r="B629" s="294">
        <f t="shared" si="108"/>
        <v>6.2000999999999955</v>
      </c>
      <c r="C629" s="289" t="s">
        <v>786</v>
      </c>
      <c r="D629" s="64" t="s">
        <v>46</v>
      </c>
      <c r="E629" s="87">
        <v>216</v>
      </c>
      <c r="F629" s="73">
        <v>190</v>
      </c>
      <c r="G629" s="81"/>
      <c r="H629" s="160">
        <v>190</v>
      </c>
      <c r="I629" s="160">
        <f t="shared" ref="I629:I645" si="111">+ROUND(E629*F629,2)</f>
        <v>41040</v>
      </c>
      <c r="J629" s="150">
        <f t="shared" ref="J629:J645" si="112">+ROUND(E629*G629,2)</f>
        <v>0</v>
      </c>
      <c r="K629" s="73">
        <v>41040</v>
      </c>
      <c r="L629" s="575"/>
      <c r="M629" s="608">
        <v>216</v>
      </c>
      <c r="N629" s="609">
        <f>+M629*E629</f>
        <v>46656</v>
      </c>
      <c r="O629" s="570"/>
      <c r="P629" s="587"/>
    </row>
    <row r="630" spans="1:16" ht="14.1" customHeight="1" outlineLevel="3">
      <c r="B630" s="294">
        <f t="shared" si="108"/>
        <v>6.2001999999999953</v>
      </c>
      <c r="C630" s="289" t="s">
        <v>787</v>
      </c>
      <c r="D630" s="64" t="s">
        <v>46</v>
      </c>
      <c r="E630" s="87">
        <v>127.45</v>
      </c>
      <c r="F630" s="73">
        <v>295</v>
      </c>
      <c r="G630" s="81"/>
      <c r="H630" s="160">
        <v>295</v>
      </c>
      <c r="I630" s="160">
        <f t="shared" si="111"/>
        <v>37597.75</v>
      </c>
      <c r="J630" s="150">
        <f t="shared" si="112"/>
        <v>0</v>
      </c>
      <c r="K630" s="73">
        <v>37597.75</v>
      </c>
      <c r="L630" s="575"/>
      <c r="M630" s="608">
        <v>127.45</v>
      </c>
      <c r="N630" s="609">
        <f t="shared" ref="N630:N645" si="113">+M630*E630</f>
        <v>16243.502500000001</v>
      </c>
      <c r="O630" s="570"/>
      <c r="P630" s="587"/>
    </row>
    <row r="631" spans="1:16" ht="14.1" customHeight="1" outlineLevel="3">
      <c r="B631" s="294">
        <f t="shared" si="108"/>
        <v>6.200299999999995</v>
      </c>
      <c r="C631" s="289" t="s">
        <v>788</v>
      </c>
      <c r="D631" s="64" t="s">
        <v>46</v>
      </c>
      <c r="E631" s="87">
        <v>219</v>
      </c>
      <c r="F631" s="73">
        <v>190</v>
      </c>
      <c r="G631" s="81"/>
      <c r="H631" s="160">
        <v>190</v>
      </c>
      <c r="I631" s="160">
        <f t="shared" si="111"/>
        <v>41610</v>
      </c>
      <c r="J631" s="150">
        <f t="shared" si="112"/>
        <v>0</v>
      </c>
      <c r="K631" s="73">
        <v>41610</v>
      </c>
      <c r="L631" s="575"/>
      <c r="M631" s="608">
        <v>219</v>
      </c>
      <c r="N631" s="609">
        <f t="shared" si="113"/>
        <v>47961</v>
      </c>
      <c r="O631" s="570"/>
      <c r="P631" s="587"/>
    </row>
    <row r="632" spans="1:16" s="529" customFormat="1" ht="14.1" customHeight="1" outlineLevel="3">
      <c r="A632" s="526"/>
      <c r="B632" s="468">
        <f t="shared" si="108"/>
        <v>6.2003999999999948</v>
      </c>
      <c r="C632" s="527" t="s">
        <v>789</v>
      </c>
      <c r="D632" s="509" t="s">
        <v>46</v>
      </c>
      <c r="E632" s="283">
        <v>130.89999999999998</v>
      </c>
      <c r="F632" s="231">
        <v>295</v>
      </c>
      <c r="G632" s="471"/>
      <c r="H632" s="186">
        <v>295</v>
      </c>
      <c r="I632" s="186">
        <f t="shared" si="111"/>
        <v>38615.5</v>
      </c>
      <c r="J632" s="415">
        <f t="shared" si="112"/>
        <v>0</v>
      </c>
      <c r="K632" s="231">
        <v>38615.5</v>
      </c>
      <c r="L632" s="598"/>
      <c r="M632" s="608">
        <v>130.89999999999998</v>
      </c>
      <c r="N632" s="609">
        <f t="shared" si="113"/>
        <v>17134.809999999994</v>
      </c>
      <c r="O632" s="594"/>
      <c r="P632" s="607"/>
    </row>
    <row r="633" spans="1:16" s="529" customFormat="1" ht="14.1" customHeight="1" outlineLevel="3">
      <c r="A633" s="526"/>
      <c r="B633" s="468">
        <f t="shared" si="108"/>
        <v>6.2004999999999946</v>
      </c>
      <c r="C633" s="527" t="s">
        <v>1389</v>
      </c>
      <c r="D633" s="509" t="s">
        <v>46</v>
      </c>
      <c r="E633" s="283">
        <v>161.78</v>
      </c>
      <c r="F633" s="231">
        <v>295</v>
      </c>
      <c r="G633" s="471"/>
      <c r="H633" s="186">
        <v>295</v>
      </c>
      <c r="I633" s="186">
        <f t="shared" si="111"/>
        <v>47725.1</v>
      </c>
      <c r="J633" s="415">
        <f t="shared" si="112"/>
        <v>0</v>
      </c>
      <c r="K633" s="231">
        <v>47725.1</v>
      </c>
      <c r="L633" s="598"/>
      <c r="M633" s="608">
        <v>161.78</v>
      </c>
      <c r="N633" s="609">
        <f t="shared" si="113"/>
        <v>26172.768400000001</v>
      </c>
      <c r="O633" s="594"/>
      <c r="P633" s="607"/>
    </row>
    <row r="634" spans="1:16" ht="14.1" customHeight="1" outlineLevel="3">
      <c r="B634" s="294">
        <f t="shared" si="108"/>
        <v>6.2005999999999943</v>
      </c>
      <c r="C634" s="289" t="s">
        <v>1390</v>
      </c>
      <c r="D634" s="64" t="s">
        <v>36</v>
      </c>
      <c r="E634" s="87">
        <v>0</v>
      </c>
      <c r="F634" s="73"/>
      <c r="G634" s="81"/>
      <c r="H634" s="160">
        <v>0</v>
      </c>
      <c r="I634" s="160">
        <f t="shared" si="111"/>
        <v>0</v>
      </c>
      <c r="J634" s="150">
        <f t="shared" si="112"/>
        <v>0</v>
      </c>
      <c r="K634" s="73">
        <v>0</v>
      </c>
      <c r="L634" s="575"/>
      <c r="M634" s="608">
        <v>0</v>
      </c>
      <c r="N634" s="609">
        <f t="shared" si="113"/>
        <v>0</v>
      </c>
      <c r="O634" s="570"/>
      <c r="P634" s="587"/>
    </row>
    <row r="635" spans="1:16" ht="14.1" customHeight="1" outlineLevel="3">
      <c r="B635" s="294">
        <f t="shared" si="108"/>
        <v>6.2006999999999941</v>
      </c>
      <c r="C635" s="289" t="s">
        <v>1391</v>
      </c>
      <c r="D635" s="64" t="s">
        <v>36</v>
      </c>
      <c r="E635" s="87">
        <v>2</v>
      </c>
      <c r="F635" s="73">
        <v>1500</v>
      </c>
      <c r="G635" s="81"/>
      <c r="H635" s="160">
        <v>1500</v>
      </c>
      <c r="I635" s="160">
        <f t="shared" si="111"/>
        <v>3000</v>
      </c>
      <c r="J635" s="150">
        <f t="shared" si="112"/>
        <v>0</v>
      </c>
      <c r="K635" s="73">
        <v>3000</v>
      </c>
      <c r="L635" s="575"/>
      <c r="M635" s="608">
        <v>2</v>
      </c>
      <c r="N635" s="609">
        <f t="shared" si="113"/>
        <v>4</v>
      </c>
      <c r="O635" s="570"/>
      <c r="P635" s="587"/>
    </row>
    <row r="636" spans="1:16" ht="14.1" customHeight="1" outlineLevel="3">
      <c r="B636" s="294">
        <f t="shared" si="108"/>
        <v>6.2007999999999939</v>
      </c>
      <c r="C636" s="289" t="s">
        <v>1392</v>
      </c>
      <c r="D636" s="64" t="s">
        <v>36</v>
      </c>
      <c r="E636" s="87">
        <v>7</v>
      </c>
      <c r="F636" s="73">
        <v>550</v>
      </c>
      <c r="G636" s="81"/>
      <c r="H636" s="160">
        <v>550</v>
      </c>
      <c r="I636" s="160">
        <f t="shared" si="111"/>
        <v>3850</v>
      </c>
      <c r="J636" s="150">
        <f t="shared" si="112"/>
        <v>0</v>
      </c>
      <c r="K636" s="73">
        <v>3850</v>
      </c>
      <c r="L636" s="575"/>
      <c r="M636" s="608">
        <v>7</v>
      </c>
      <c r="N636" s="609">
        <f t="shared" si="113"/>
        <v>49</v>
      </c>
      <c r="O636" s="570"/>
      <c r="P636" s="587"/>
    </row>
    <row r="637" spans="1:16" ht="14.1" customHeight="1" outlineLevel="3">
      <c r="B637" s="294">
        <f t="shared" si="108"/>
        <v>6.2008999999999936</v>
      </c>
      <c r="C637" s="289" t="s">
        <v>1393</v>
      </c>
      <c r="D637" s="64" t="s">
        <v>36</v>
      </c>
      <c r="E637" s="87">
        <v>5</v>
      </c>
      <c r="F637" s="73"/>
      <c r="G637" s="81">
        <v>850</v>
      </c>
      <c r="H637" s="160">
        <v>3187.5</v>
      </c>
      <c r="I637" s="160">
        <f t="shared" si="111"/>
        <v>0</v>
      </c>
      <c r="J637" s="150">
        <f t="shared" si="112"/>
        <v>4250</v>
      </c>
      <c r="K637" s="73">
        <v>15937.5</v>
      </c>
      <c r="L637" s="575"/>
      <c r="M637" s="608">
        <v>5</v>
      </c>
      <c r="N637" s="609">
        <f t="shared" si="113"/>
        <v>25</v>
      </c>
      <c r="O637" s="612">
        <v>850</v>
      </c>
      <c r="P637" s="613">
        <f>+O637*E637</f>
        <v>4250</v>
      </c>
    </row>
    <row r="638" spans="1:16" ht="14.1" customHeight="1" outlineLevel="3">
      <c r="B638" s="294">
        <f t="shared" si="108"/>
        <v>6.2009999999999934</v>
      </c>
      <c r="C638" s="289" t="s">
        <v>1394</v>
      </c>
      <c r="D638" s="64" t="s">
        <v>46</v>
      </c>
      <c r="E638" s="87">
        <v>8.6</v>
      </c>
      <c r="F638" s="73">
        <v>250</v>
      </c>
      <c r="G638" s="81"/>
      <c r="H638" s="160">
        <v>250</v>
      </c>
      <c r="I638" s="160">
        <f t="shared" si="111"/>
        <v>2150</v>
      </c>
      <c r="J638" s="150">
        <f t="shared" si="112"/>
        <v>0</v>
      </c>
      <c r="K638" s="73">
        <v>2150</v>
      </c>
      <c r="L638" s="575"/>
      <c r="M638" s="608">
        <v>8.6</v>
      </c>
      <c r="N638" s="609">
        <f t="shared" si="113"/>
        <v>73.959999999999994</v>
      </c>
      <c r="O638" s="570"/>
      <c r="P638" s="587"/>
    </row>
    <row r="639" spans="1:16" ht="14.1" customHeight="1" outlineLevel="3">
      <c r="B639" s="294">
        <f t="shared" si="108"/>
        <v>6.2010999999999932</v>
      </c>
      <c r="C639" s="289" t="s">
        <v>1395</v>
      </c>
      <c r="D639" s="64" t="s">
        <v>36</v>
      </c>
      <c r="E639" s="87">
        <v>1</v>
      </c>
      <c r="F639" s="73">
        <v>5100</v>
      </c>
      <c r="G639" s="81"/>
      <c r="H639" s="160">
        <v>5100</v>
      </c>
      <c r="I639" s="160">
        <f t="shared" si="111"/>
        <v>5100</v>
      </c>
      <c r="J639" s="150">
        <f t="shared" si="112"/>
        <v>0</v>
      </c>
      <c r="K639" s="73">
        <v>5100</v>
      </c>
      <c r="L639" s="575"/>
      <c r="M639" s="608">
        <v>1</v>
      </c>
      <c r="N639" s="609">
        <f t="shared" si="113"/>
        <v>1</v>
      </c>
      <c r="O639" s="570"/>
      <c r="P639" s="587"/>
    </row>
    <row r="640" spans="1:16" ht="14.1" customHeight="1" outlineLevel="3">
      <c r="B640" s="294">
        <f t="shared" si="108"/>
        <v>6.2011999999999929</v>
      </c>
      <c r="C640" s="289" t="s">
        <v>1396</v>
      </c>
      <c r="D640" s="64" t="s">
        <v>46</v>
      </c>
      <c r="E640" s="87">
        <v>3.5</v>
      </c>
      <c r="F640" s="73">
        <v>1250</v>
      </c>
      <c r="G640" s="81"/>
      <c r="H640" s="160">
        <v>1250</v>
      </c>
      <c r="I640" s="160">
        <f t="shared" si="111"/>
        <v>4375</v>
      </c>
      <c r="J640" s="150">
        <f t="shared" si="112"/>
        <v>0</v>
      </c>
      <c r="K640" s="73">
        <v>4375</v>
      </c>
      <c r="L640" s="575"/>
      <c r="M640" s="608">
        <v>3.5</v>
      </c>
      <c r="N640" s="609">
        <f t="shared" si="113"/>
        <v>12.25</v>
      </c>
      <c r="O640" s="570"/>
      <c r="P640" s="587"/>
    </row>
    <row r="641" spans="2:16" ht="14.1" customHeight="1" outlineLevel="3">
      <c r="B641" s="294">
        <f t="shared" si="108"/>
        <v>6.2012999999999927</v>
      </c>
      <c r="C641" s="289" t="s">
        <v>1397</v>
      </c>
      <c r="D641" s="64" t="s">
        <v>36</v>
      </c>
      <c r="E641" s="87">
        <v>1</v>
      </c>
      <c r="F641" s="73">
        <v>1500</v>
      </c>
      <c r="G641" s="81"/>
      <c r="H641" s="160">
        <v>1500</v>
      </c>
      <c r="I641" s="160">
        <f t="shared" si="111"/>
        <v>1500</v>
      </c>
      <c r="J641" s="150">
        <f t="shared" si="112"/>
        <v>0</v>
      </c>
      <c r="K641" s="73">
        <v>1500</v>
      </c>
      <c r="L641" s="575"/>
      <c r="M641" s="608">
        <v>1</v>
      </c>
      <c r="N641" s="609">
        <f t="shared" si="113"/>
        <v>1</v>
      </c>
      <c r="O641" s="570"/>
      <c r="P641" s="587"/>
    </row>
    <row r="642" spans="2:16" ht="14.1" customHeight="1" outlineLevel="3">
      <c r="B642" s="294">
        <f t="shared" si="108"/>
        <v>6.2013999999999925</v>
      </c>
      <c r="C642" s="289" t="s">
        <v>1398</v>
      </c>
      <c r="D642" s="64" t="s">
        <v>36</v>
      </c>
      <c r="E642" s="87">
        <v>1</v>
      </c>
      <c r="F642" s="73">
        <v>1000</v>
      </c>
      <c r="G642" s="81"/>
      <c r="H642" s="160">
        <v>1000</v>
      </c>
      <c r="I642" s="160">
        <f t="shared" si="111"/>
        <v>1000</v>
      </c>
      <c r="J642" s="150">
        <f t="shared" si="112"/>
        <v>0</v>
      </c>
      <c r="K642" s="73">
        <v>1000</v>
      </c>
      <c r="L642" s="575"/>
      <c r="M642" s="608">
        <v>1</v>
      </c>
      <c r="N642" s="609">
        <f t="shared" si="113"/>
        <v>1</v>
      </c>
      <c r="O642" s="570"/>
      <c r="P642" s="587"/>
    </row>
    <row r="643" spans="2:16" ht="14.1" customHeight="1" outlineLevel="3">
      <c r="B643" s="294">
        <f t="shared" si="108"/>
        <v>6.2014999999999922</v>
      </c>
      <c r="C643" s="289" t="s">
        <v>1399</v>
      </c>
      <c r="D643" s="64" t="s">
        <v>36</v>
      </c>
      <c r="E643" s="87">
        <v>1</v>
      </c>
      <c r="F643" s="73">
        <v>2500</v>
      </c>
      <c r="G643" s="81"/>
      <c r="H643" s="160">
        <v>2500</v>
      </c>
      <c r="I643" s="160">
        <f t="shared" si="111"/>
        <v>2500</v>
      </c>
      <c r="J643" s="150">
        <f t="shared" si="112"/>
        <v>0</v>
      </c>
      <c r="K643" s="73">
        <v>2500</v>
      </c>
      <c r="L643" s="575"/>
      <c r="M643" s="608">
        <v>1</v>
      </c>
      <c r="N643" s="609">
        <f t="shared" si="113"/>
        <v>1</v>
      </c>
      <c r="O643" s="570"/>
      <c r="P643" s="587"/>
    </row>
    <row r="644" spans="2:16" ht="14.1" customHeight="1" outlineLevel="3">
      <c r="B644" s="294">
        <f t="shared" si="108"/>
        <v>6.201599999999992</v>
      </c>
      <c r="C644" s="289" t="s">
        <v>1400</v>
      </c>
      <c r="D644" s="64" t="s">
        <v>36</v>
      </c>
      <c r="E644" s="87">
        <v>25</v>
      </c>
      <c r="F644" s="73">
        <v>450</v>
      </c>
      <c r="G644" s="81"/>
      <c r="H644" s="160">
        <v>450</v>
      </c>
      <c r="I644" s="160">
        <f t="shared" si="111"/>
        <v>11250</v>
      </c>
      <c r="J644" s="150">
        <f t="shared" si="112"/>
        <v>0</v>
      </c>
      <c r="K644" s="73">
        <v>11250</v>
      </c>
      <c r="L644" s="575"/>
      <c r="M644" s="608">
        <v>25</v>
      </c>
      <c r="N644" s="609">
        <f t="shared" si="113"/>
        <v>625</v>
      </c>
      <c r="O644" s="570"/>
      <c r="P644" s="587"/>
    </row>
    <row r="645" spans="2:16" ht="14.1" customHeight="1" outlineLevel="3">
      <c r="B645" s="294">
        <f t="shared" si="108"/>
        <v>6.2016999999999918</v>
      </c>
      <c r="C645" s="289" t="s">
        <v>1401</v>
      </c>
      <c r="D645" s="64" t="s">
        <v>36</v>
      </c>
      <c r="E645" s="87">
        <v>1</v>
      </c>
      <c r="F645" s="73">
        <v>1500</v>
      </c>
      <c r="G645" s="81"/>
      <c r="H645" s="160">
        <v>1500</v>
      </c>
      <c r="I645" s="160">
        <f t="shared" si="111"/>
        <v>1500</v>
      </c>
      <c r="J645" s="150">
        <f t="shared" si="112"/>
        <v>0</v>
      </c>
      <c r="K645" s="73">
        <v>1500</v>
      </c>
      <c r="L645" s="575"/>
      <c r="M645" s="608">
        <v>1</v>
      </c>
      <c r="N645" s="609">
        <f t="shared" si="113"/>
        <v>1</v>
      </c>
      <c r="O645" s="570"/>
      <c r="P645" s="587"/>
    </row>
    <row r="646" spans="2:16" ht="13.5" customHeight="1">
      <c r="B646" s="164">
        <f>B628+0.01</f>
        <v>6.2099999999999955</v>
      </c>
      <c r="C646" s="279" t="s">
        <v>1402</v>
      </c>
      <c r="D646" s="280"/>
      <c r="E646" s="280"/>
      <c r="F646" s="280"/>
      <c r="G646" s="280"/>
      <c r="H646" s="280"/>
      <c r="I646" s="280"/>
      <c r="J646" s="280"/>
      <c r="K646" s="280"/>
      <c r="L646" s="537">
        <v>837454.45</v>
      </c>
      <c r="M646" s="591"/>
      <c r="N646" s="571"/>
      <c r="O646" s="571"/>
      <c r="P646" s="592"/>
    </row>
    <row r="647" spans="2:16" ht="14.1" customHeight="1" outlineLevel="1">
      <c r="B647" s="285">
        <f>B646+0.0001</f>
        <v>6.2100999999999953</v>
      </c>
      <c r="C647" s="288" t="s">
        <v>990</v>
      </c>
      <c r="D647" s="64"/>
      <c r="E647" s="87"/>
      <c r="F647" s="73"/>
      <c r="G647" s="65"/>
      <c r="H647" s="160"/>
      <c r="I647" s="160"/>
      <c r="J647" s="150"/>
      <c r="K647" s="73">
        <v>0</v>
      </c>
      <c r="L647" s="538"/>
      <c r="M647" s="51"/>
      <c r="P647" s="545"/>
    </row>
    <row r="648" spans="2:16" ht="14.1" customHeight="1" outlineLevel="2">
      <c r="B648" s="268">
        <f>B647+0.000001</f>
        <v>6.2101009999999954</v>
      </c>
      <c r="C648" s="286" t="s">
        <v>792</v>
      </c>
      <c r="D648" s="64"/>
      <c r="E648" s="87"/>
      <c r="F648" s="73"/>
      <c r="G648" s="65"/>
      <c r="H648" s="160"/>
      <c r="I648" s="160"/>
      <c r="J648" s="150"/>
      <c r="K648" s="73">
        <v>0</v>
      </c>
      <c r="L648" s="575"/>
      <c r="M648" s="586"/>
      <c r="N648" s="570"/>
      <c r="O648" s="570"/>
      <c r="P648" s="587"/>
    </row>
    <row r="649" spans="2:16" ht="14.1" customHeight="1" outlineLevel="3">
      <c r="B649" s="290">
        <f>B648+0.00000001</f>
        <v>6.2101010099999954</v>
      </c>
      <c r="C649" s="291" t="s">
        <v>1403</v>
      </c>
      <c r="D649" s="64"/>
      <c r="E649" s="87"/>
      <c r="F649" s="73"/>
      <c r="G649" s="65"/>
      <c r="H649" s="160"/>
      <c r="I649" s="160"/>
      <c r="J649" s="150"/>
      <c r="K649" s="73">
        <v>0</v>
      </c>
      <c r="L649" s="575"/>
      <c r="M649" s="586"/>
      <c r="N649" s="570"/>
      <c r="O649" s="570"/>
      <c r="P649" s="587"/>
    </row>
    <row r="650" spans="2:16" ht="15.75" customHeight="1" outlineLevel="4">
      <c r="B650" s="292">
        <f>B649+0.0000000001</f>
        <v>6.2101010100999954</v>
      </c>
      <c r="C650" s="289" t="s">
        <v>1404</v>
      </c>
      <c r="D650" s="64" t="s">
        <v>161</v>
      </c>
      <c r="E650" s="87">
        <v>32287.48</v>
      </c>
      <c r="F650" s="73">
        <v>10.5</v>
      </c>
      <c r="G650" s="81"/>
      <c r="H650" s="160">
        <v>10.5</v>
      </c>
      <c r="I650" s="160">
        <f t="shared" ref="I650" si="114">+ROUND(E650*F650,2)</f>
        <v>339018.54</v>
      </c>
      <c r="J650" s="150">
        <f t="shared" ref="J650" si="115">+ROUND(E650*G650,2)</f>
        <v>0</v>
      </c>
      <c r="K650" s="73">
        <v>339018.54</v>
      </c>
      <c r="L650" s="538"/>
      <c r="M650" s="51"/>
      <c r="P650" s="545"/>
    </row>
    <row r="651" spans="2:16" ht="15.75" customHeight="1" outlineLevel="4">
      <c r="B651" s="292">
        <f t="shared" ref="B651:B652" si="116">B650+0.0000000001</f>
        <v>6.2101010101999954</v>
      </c>
      <c r="C651" s="42" t="s">
        <v>1405</v>
      </c>
      <c r="D651" s="64" t="s">
        <v>161</v>
      </c>
      <c r="E651" s="87">
        <v>32287.48</v>
      </c>
      <c r="F651" s="73">
        <v>5.6</v>
      </c>
      <c r="G651" s="81">
        <v>1.59</v>
      </c>
      <c r="H651" s="160">
        <v>11.56</v>
      </c>
      <c r="I651" s="160">
        <f t="shared" ref="I651:I652" si="117">+ROUND(E651*F651,2)</f>
        <v>180809.89</v>
      </c>
      <c r="J651" s="150">
        <f t="shared" ref="J651:J652" si="118">+ROUND(E651*G651,2)</f>
        <v>51337.09</v>
      </c>
      <c r="K651" s="73">
        <v>373323.98</v>
      </c>
      <c r="L651" s="538"/>
      <c r="M651" s="51"/>
      <c r="P651" s="545"/>
    </row>
    <row r="652" spans="2:16" ht="16.899999999999999" customHeight="1" outlineLevel="4">
      <c r="B652" s="292">
        <f t="shared" si="116"/>
        <v>6.2101010102999954</v>
      </c>
      <c r="C652" s="289" t="s">
        <v>1406</v>
      </c>
      <c r="D652" s="64" t="s">
        <v>46</v>
      </c>
      <c r="E652" s="87">
        <v>15028.460000000001</v>
      </c>
      <c r="F652" s="73">
        <v>4.5</v>
      </c>
      <c r="G652" s="81">
        <v>1.02</v>
      </c>
      <c r="H652" s="160">
        <v>8.33</v>
      </c>
      <c r="I652" s="160">
        <f t="shared" si="117"/>
        <v>67628.070000000007</v>
      </c>
      <c r="J652" s="150">
        <f t="shared" si="118"/>
        <v>15329.03</v>
      </c>
      <c r="K652" s="73">
        <v>125111.93</v>
      </c>
      <c r="L652" s="538"/>
      <c r="M652" s="51"/>
      <c r="P652" s="545"/>
    </row>
    <row r="653" spans="2:16" ht="13.5" customHeight="1">
      <c r="B653" s="164">
        <f>B646+0.01</f>
        <v>6.2199999999999953</v>
      </c>
      <c r="C653" s="279" t="s">
        <v>791</v>
      </c>
      <c r="D653" s="280"/>
      <c r="E653" s="280"/>
      <c r="F653" s="280"/>
      <c r="G653" s="280"/>
      <c r="H653" s="280"/>
      <c r="I653" s="280"/>
      <c r="J653" s="280"/>
      <c r="K653" s="280"/>
      <c r="L653" s="537">
        <v>850910.55999999982</v>
      </c>
      <c r="M653" s="591"/>
      <c r="N653" s="571"/>
      <c r="O653" s="571"/>
      <c r="P653" s="592"/>
    </row>
    <row r="654" spans="2:16" ht="13.5" customHeight="1">
      <c r="B654" s="104">
        <f>B653+0.000001</f>
        <v>6.2200009999999955</v>
      </c>
      <c r="C654" s="291" t="s">
        <v>1004</v>
      </c>
      <c r="D654" s="437"/>
      <c r="E654" s="442"/>
      <c r="F654" s="439"/>
      <c r="G654" s="65"/>
      <c r="H654" s="251"/>
      <c r="I654" s="251"/>
      <c r="J654" s="252"/>
      <c r="K654" s="73">
        <v>0</v>
      </c>
      <c r="L654" s="575"/>
      <c r="M654" s="586"/>
      <c r="N654" s="570"/>
      <c r="O654" s="570"/>
      <c r="P654" s="587"/>
    </row>
    <row r="655" spans="2:16" ht="13.5" customHeight="1">
      <c r="B655" s="104">
        <f t="shared" ref="B655:B718" si="119">B654+0.000001</f>
        <v>6.2200019999999956</v>
      </c>
      <c r="C655" s="449" t="s">
        <v>1407</v>
      </c>
      <c r="D655" s="437" t="s">
        <v>161</v>
      </c>
      <c r="E655" s="442">
        <v>4973.08</v>
      </c>
      <c r="F655" s="439">
        <v>26.78</v>
      </c>
      <c r="G655" s="65"/>
      <c r="H655" s="160">
        <v>26.78</v>
      </c>
      <c r="I655" s="160">
        <f t="shared" ref="I655" si="120">+ROUND(E655*F655,2)</f>
        <v>133179.07999999999</v>
      </c>
      <c r="J655" s="150">
        <f t="shared" ref="J655" si="121">+ROUND(E655*G655,2)</f>
        <v>0</v>
      </c>
      <c r="K655" s="73">
        <v>133179.07999999999</v>
      </c>
      <c r="L655" s="575"/>
      <c r="M655" s="608">
        <v>26.78</v>
      </c>
      <c r="N655" s="609">
        <f>+M655*E655</f>
        <v>133179.08240000001</v>
      </c>
      <c r="O655" s="570"/>
      <c r="P655" s="587"/>
    </row>
    <row r="656" spans="2:16" ht="13.5" customHeight="1">
      <c r="B656" s="104">
        <f t="shared" si="119"/>
        <v>6.2200029999999957</v>
      </c>
      <c r="C656" s="291" t="s">
        <v>1044</v>
      </c>
      <c r="D656" s="437"/>
      <c r="E656" s="442"/>
      <c r="F656" s="439"/>
      <c r="G656" s="65"/>
      <c r="H656" s="160">
        <v>0</v>
      </c>
      <c r="I656" s="160">
        <f t="shared" ref="I656:I719" si="122">+ROUND(E656*F656,2)</f>
        <v>0</v>
      </c>
      <c r="J656" s="150">
        <f t="shared" ref="J656:J719" si="123">+ROUND(E656*G656,2)</f>
        <v>0</v>
      </c>
      <c r="K656" s="73">
        <v>0</v>
      </c>
      <c r="L656" s="575"/>
      <c r="M656" s="608">
        <v>0</v>
      </c>
      <c r="N656" s="609">
        <f t="shared" ref="N656:N719" si="124">+M656*E656</f>
        <v>0</v>
      </c>
      <c r="O656" s="570"/>
      <c r="P656" s="587"/>
    </row>
    <row r="657" spans="2:16" ht="13.5" customHeight="1">
      <c r="B657" s="104">
        <f t="shared" si="119"/>
        <v>6.2200039999999959</v>
      </c>
      <c r="C657" s="449" t="s">
        <v>1408</v>
      </c>
      <c r="D657" s="437" t="s">
        <v>161</v>
      </c>
      <c r="E657" s="442">
        <v>1955.87</v>
      </c>
      <c r="F657" s="439">
        <v>26.78</v>
      </c>
      <c r="G657" s="65"/>
      <c r="H657" s="160">
        <v>26.78</v>
      </c>
      <c r="I657" s="160">
        <f t="shared" si="122"/>
        <v>52378.2</v>
      </c>
      <c r="J657" s="150">
        <f t="shared" si="123"/>
        <v>0</v>
      </c>
      <c r="K657" s="73">
        <v>52378.2</v>
      </c>
      <c r="L657" s="575"/>
      <c r="M657" s="608">
        <v>26.78</v>
      </c>
      <c r="N657" s="609">
        <f t="shared" si="124"/>
        <v>52378.198599999996</v>
      </c>
      <c r="O657" s="570"/>
      <c r="P657" s="587"/>
    </row>
    <row r="658" spans="2:16" ht="13.5" customHeight="1">
      <c r="B658" s="104">
        <f t="shared" si="119"/>
        <v>6.220004999999996</v>
      </c>
      <c r="C658" s="291" t="s">
        <v>1079</v>
      </c>
      <c r="D658" s="437"/>
      <c r="E658" s="442"/>
      <c r="F658" s="439"/>
      <c r="G658" s="65"/>
      <c r="H658" s="160">
        <v>0</v>
      </c>
      <c r="I658" s="160">
        <f t="shared" si="122"/>
        <v>0</v>
      </c>
      <c r="J658" s="150">
        <f t="shared" si="123"/>
        <v>0</v>
      </c>
      <c r="K658" s="73">
        <v>0</v>
      </c>
      <c r="L658" s="575"/>
      <c r="M658" s="608">
        <v>0</v>
      </c>
      <c r="N658" s="609">
        <f t="shared" si="124"/>
        <v>0</v>
      </c>
      <c r="O658" s="570"/>
      <c r="P658" s="587"/>
    </row>
    <row r="659" spans="2:16" ht="13.5" customHeight="1">
      <c r="B659" s="104">
        <f t="shared" si="119"/>
        <v>6.2200059999999961</v>
      </c>
      <c r="C659" s="449" t="s">
        <v>1409</v>
      </c>
      <c r="D659" s="437" t="s">
        <v>161</v>
      </c>
      <c r="E659" s="442">
        <v>225.1</v>
      </c>
      <c r="F659" s="439">
        <v>24.87</v>
      </c>
      <c r="G659" s="65"/>
      <c r="H659" s="160">
        <v>24.87</v>
      </c>
      <c r="I659" s="160">
        <f t="shared" si="122"/>
        <v>5598.24</v>
      </c>
      <c r="J659" s="150">
        <f t="shared" si="123"/>
        <v>0</v>
      </c>
      <c r="K659" s="73">
        <v>5598.24</v>
      </c>
      <c r="L659" s="575"/>
      <c r="M659" s="608">
        <v>24.87</v>
      </c>
      <c r="N659" s="609">
        <f t="shared" si="124"/>
        <v>5598.2370000000001</v>
      </c>
      <c r="O659" s="570"/>
      <c r="P659" s="587"/>
    </row>
    <row r="660" spans="2:16" ht="13.5" customHeight="1">
      <c r="B660" s="104">
        <f t="shared" si="119"/>
        <v>6.2200069999999963</v>
      </c>
      <c r="C660" s="467" t="s">
        <v>800</v>
      </c>
      <c r="D660" s="437"/>
      <c r="E660" s="442"/>
      <c r="F660" s="439"/>
      <c r="G660" s="65"/>
      <c r="H660" s="160">
        <v>0</v>
      </c>
      <c r="I660" s="160">
        <f t="shared" si="122"/>
        <v>0</v>
      </c>
      <c r="J660" s="150">
        <f t="shared" si="123"/>
        <v>0</v>
      </c>
      <c r="K660" s="73">
        <v>0</v>
      </c>
      <c r="L660" s="575"/>
      <c r="M660" s="608">
        <v>0</v>
      </c>
      <c r="N660" s="609">
        <f t="shared" si="124"/>
        <v>0</v>
      </c>
      <c r="O660" s="570"/>
      <c r="P660" s="587"/>
    </row>
    <row r="661" spans="2:16" ht="13.5" customHeight="1">
      <c r="B661" s="104">
        <f t="shared" si="119"/>
        <v>6.2200079999999964</v>
      </c>
      <c r="C661" s="291" t="s">
        <v>1410</v>
      </c>
      <c r="D661" s="437"/>
      <c r="E661" s="442"/>
      <c r="F661" s="439"/>
      <c r="G661" s="65"/>
      <c r="H661" s="160">
        <v>0</v>
      </c>
      <c r="I661" s="160">
        <f t="shared" si="122"/>
        <v>0</v>
      </c>
      <c r="J661" s="150">
        <f t="shared" si="123"/>
        <v>0</v>
      </c>
      <c r="K661" s="73">
        <v>0</v>
      </c>
      <c r="L661" s="575"/>
      <c r="M661" s="608">
        <v>0</v>
      </c>
      <c r="N661" s="609">
        <f t="shared" si="124"/>
        <v>0</v>
      </c>
      <c r="O661" s="570"/>
      <c r="P661" s="587"/>
    </row>
    <row r="662" spans="2:16" ht="13.5" customHeight="1">
      <c r="B662" s="104">
        <f t="shared" si="119"/>
        <v>6.2200089999999966</v>
      </c>
      <c r="C662" s="449" t="s">
        <v>1411</v>
      </c>
      <c r="D662" s="437" t="s">
        <v>161</v>
      </c>
      <c r="E662" s="442">
        <v>9979.3200000000015</v>
      </c>
      <c r="F662" s="439">
        <v>24.87</v>
      </c>
      <c r="G662" s="65"/>
      <c r="H662" s="160">
        <v>24.87</v>
      </c>
      <c r="I662" s="160">
        <f t="shared" si="122"/>
        <v>248185.69</v>
      </c>
      <c r="J662" s="150">
        <f t="shared" si="123"/>
        <v>0</v>
      </c>
      <c r="K662" s="73">
        <v>248185.69</v>
      </c>
      <c r="L662" s="575"/>
      <c r="M662" s="608">
        <v>24.87</v>
      </c>
      <c r="N662" s="609">
        <f t="shared" si="124"/>
        <v>248185.68840000004</v>
      </c>
      <c r="O662" s="570"/>
      <c r="P662" s="587"/>
    </row>
    <row r="663" spans="2:16" ht="13.5" customHeight="1">
      <c r="B663" s="104">
        <f t="shared" si="119"/>
        <v>6.2200099999999967</v>
      </c>
      <c r="C663" s="291" t="s">
        <v>1004</v>
      </c>
      <c r="D663" s="437"/>
      <c r="E663" s="442"/>
      <c r="F663" s="439"/>
      <c r="G663" s="65"/>
      <c r="H663" s="160">
        <v>0</v>
      </c>
      <c r="I663" s="160">
        <f t="shared" si="122"/>
        <v>0</v>
      </c>
      <c r="J663" s="150">
        <f t="shared" si="123"/>
        <v>0</v>
      </c>
      <c r="K663" s="73">
        <v>0</v>
      </c>
      <c r="L663" s="575"/>
      <c r="M663" s="608">
        <v>0</v>
      </c>
      <c r="N663" s="609">
        <f t="shared" si="124"/>
        <v>0</v>
      </c>
      <c r="O663" s="570"/>
      <c r="P663" s="587"/>
    </row>
    <row r="664" spans="2:16" ht="13.5" customHeight="1">
      <c r="B664" s="104">
        <f t="shared" si="119"/>
        <v>6.2200109999999968</v>
      </c>
      <c r="C664" s="449" t="s">
        <v>1412</v>
      </c>
      <c r="D664" s="437" t="s">
        <v>161</v>
      </c>
      <c r="E664" s="442">
        <v>1509.51</v>
      </c>
      <c r="F664" s="439">
        <v>26.78</v>
      </c>
      <c r="G664" s="65"/>
      <c r="H664" s="160">
        <v>26.78</v>
      </c>
      <c r="I664" s="160">
        <f t="shared" si="122"/>
        <v>40424.68</v>
      </c>
      <c r="J664" s="150">
        <f t="shared" si="123"/>
        <v>0</v>
      </c>
      <c r="K664" s="73">
        <v>40424.68</v>
      </c>
      <c r="L664" s="575"/>
      <c r="M664" s="608">
        <v>26.78</v>
      </c>
      <c r="N664" s="609">
        <f t="shared" si="124"/>
        <v>40424.677800000005</v>
      </c>
      <c r="O664" s="570"/>
      <c r="P664" s="587"/>
    </row>
    <row r="665" spans="2:16" ht="13.5" customHeight="1">
      <c r="B665" s="104">
        <f t="shared" si="119"/>
        <v>6.220011999999997</v>
      </c>
      <c r="C665" s="291" t="s">
        <v>1413</v>
      </c>
      <c r="D665" s="437"/>
      <c r="E665" s="442"/>
      <c r="F665" s="439"/>
      <c r="G665" s="65"/>
      <c r="H665" s="160">
        <v>0</v>
      </c>
      <c r="I665" s="160">
        <f t="shared" si="122"/>
        <v>0</v>
      </c>
      <c r="J665" s="150">
        <f t="shared" si="123"/>
        <v>0</v>
      </c>
      <c r="K665" s="73">
        <v>0</v>
      </c>
      <c r="L665" s="575"/>
      <c r="M665" s="608">
        <v>0</v>
      </c>
      <c r="N665" s="609">
        <f t="shared" si="124"/>
        <v>0</v>
      </c>
      <c r="O665" s="570"/>
      <c r="P665" s="587"/>
    </row>
    <row r="666" spans="2:16" ht="13.5" customHeight="1">
      <c r="B666" s="104">
        <f t="shared" si="119"/>
        <v>6.2200129999999971</v>
      </c>
      <c r="C666" s="449" t="s">
        <v>1412</v>
      </c>
      <c r="D666" s="437" t="s">
        <v>161</v>
      </c>
      <c r="E666" s="442">
        <v>480.71</v>
      </c>
      <c r="F666" s="439">
        <v>26.78</v>
      </c>
      <c r="G666" s="65"/>
      <c r="H666" s="160">
        <v>26.78</v>
      </c>
      <c r="I666" s="160">
        <f t="shared" si="122"/>
        <v>12873.41</v>
      </c>
      <c r="J666" s="150">
        <f t="shared" si="123"/>
        <v>0</v>
      </c>
      <c r="K666" s="73">
        <v>12873.41</v>
      </c>
      <c r="L666" s="575"/>
      <c r="M666" s="608">
        <v>26.78</v>
      </c>
      <c r="N666" s="609">
        <f t="shared" si="124"/>
        <v>12873.4138</v>
      </c>
      <c r="O666" s="570"/>
      <c r="P666" s="587"/>
    </row>
    <row r="667" spans="2:16" ht="13.5" customHeight="1">
      <c r="B667" s="104">
        <f t="shared" si="119"/>
        <v>6.2200139999999973</v>
      </c>
      <c r="C667" s="291" t="s">
        <v>1414</v>
      </c>
      <c r="D667" s="437"/>
      <c r="E667" s="442"/>
      <c r="F667" s="439"/>
      <c r="G667" s="65"/>
      <c r="H667" s="160">
        <v>0</v>
      </c>
      <c r="I667" s="160">
        <f t="shared" si="122"/>
        <v>0</v>
      </c>
      <c r="J667" s="150">
        <f t="shared" si="123"/>
        <v>0</v>
      </c>
      <c r="K667" s="73">
        <v>0</v>
      </c>
      <c r="L667" s="575"/>
      <c r="M667" s="608">
        <v>0</v>
      </c>
      <c r="N667" s="609">
        <f t="shared" si="124"/>
        <v>0</v>
      </c>
      <c r="O667" s="570"/>
      <c r="P667" s="587"/>
    </row>
    <row r="668" spans="2:16" ht="13.5" customHeight="1">
      <c r="B668" s="104">
        <f t="shared" si="119"/>
        <v>6.2200149999999974</v>
      </c>
      <c r="C668" s="449" t="s">
        <v>1409</v>
      </c>
      <c r="D668" s="437" t="s">
        <v>161</v>
      </c>
      <c r="E668" s="442">
        <v>155.02000000000001</v>
      </c>
      <c r="F668" s="439">
        <v>24.87</v>
      </c>
      <c r="G668" s="65"/>
      <c r="H668" s="160">
        <v>24.87</v>
      </c>
      <c r="I668" s="160">
        <f t="shared" si="122"/>
        <v>3855.35</v>
      </c>
      <c r="J668" s="150">
        <f t="shared" si="123"/>
        <v>0</v>
      </c>
      <c r="K668" s="73">
        <v>3855.35</v>
      </c>
      <c r="L668" s="575"/>
      <c r="M668" s="608">
        <v>24.87</v>
      </c>
      <c r="N668" s="609">
        <f t="shared" si="124"/>
        <v>3855.3474000000006</v>
      </c>
      <c r="O668" s="570"/>
      <c r="P668" s="587"/>
    </row>
    <row r="669" spans="2:16" ht="13.5" customHeight="1">
      <c r="B669" s="104">
        <f t="shared" si="119"/>
        <v>6.2200159999999975</v>
      </c>
      <c r="C669" s="462" t="s">
        <v>1002</v>
      </c>
      <c r="D669" s="437"/>
      <c r="E669" s="442"/>
      <c r="F669" s="439"/>
      <c r="G669" s="65"/>
      <c r="H669" s="160">
        <v>0</v>
      </c>
      <c r="I669" s="160">
        <f t="shared" si="122"/>
        <v>0</v>
      </c>
      <c r="J669" s="150">
        <f t="shared" si="123"/>
        <v>0</v>
      </c>
      <c r="K669" s="73">
        <v>0</v>
      </c>
      <c r="L669" s="575"/>
      <c r="M669" s="608">
        <v>0</v>
      </c>
      <c r="N669" s="609">
        <f t="shared" si="124"/>
        <v>0</v>
      </c>
      <c r="O669" s="570"/>
      <c r="P669" s="587"/>
    </row>
    <row r="670" spans="2:16" ht="13.5" customHeight="1">
      <c r="B670" s="104">
        <f t="shared" si="119"/>
        <v>6.2200169999999977</v>
      </c>
      <c r="C670" s="485" t="s">
        <v>792</v>
      </c>
      <c r="D670" s="437"/>
      <c r="E670" s="442"/>
      <c r="F670" s="439"/>
      <c r="G670" s="65"/>
      <c r="H670" s="160">
        <v>0</v>
      </c>
      <c r="I670" s="160">
        <f t="shared" si="122"/>
        <v>0</v>
      </c>
      <c r="J670" s="150">
        <f t="shared" si="123"/>
        <v>0</v>
      </c>
      <c r="K670" s="73">
        <v>0</v>
      </c>
      <c r="L670" s="575"/>
      <c r="M670" s="608">
        <v>0</v>
      </c>
      <c r="N670" s="609">
        <f t="shared" si="124"/>
        <v>0</v>
      </c>
      <c r="O670" s="570"/>
      <c r="P670" s="587"/>
    </row>
    <row r="671" spans="2:16" ht="13.5" customHeight="1">
      <c r="B671" s="104">
        <f t="shared" si="119"/>
        <v>6.2200179999999978</v>
      </c>
      <c r="C671" s="449" t="s">
        <v>1001</v>
      </c>
      <c r="D671" s="437"/>
      <c r="E671" s="442"/>
      <c r="F671" s="439"/>
      <c r="G671" s="65"/>
      <c r="H671" s="160">
        <v>0</v>
      </c>
      <c r="I671" s="160">
        <f t="shared" si="122"/>
        <v>0</v>
      </c>
      <c r="J671" s="150">
        <f t="shared" si="123"/>
        <v>0</v>
      </c>
      <c r="K671" s="73">
        <v>0</v>
      </c>
      <c r="L671" s="575"/>
      <c r="M671" s="608">
        <v>0</v>
      </c>
      <c r="N671" s="609">
        <f t="shared" si="124"/>
        <v>0</v>
      </c>
      <c r="O671" s="570"/>
      <c r="P671" s="587"/>
    </row>
    <row r="672" spans="2:16" ht="13.5" customHeight="1">
      <c r="B672" s="104">
        <f t="shared" si="119"/>
        <v>6.220018999999998</v>
      </c>
      <c r="C672" s="449" t="s">
        <v>1415</v>
      </c>
      <c r="D672" s="437" t="s">
        <v>161</v>
      </c>
      <c r="E672" s="442">
        <v>97.58</v>
      </c>
      <c r="F672" s="439">
        <v>24.87</v>
      </c>
      <c r="G672" s="65"/>
      <c r="H672" s="160">
        <v>24.87</v>
      </c>
      <c r="I672" s="160">
        <f t="shared" si="122"/>
        <v>2426.81</v>
      </c>
      <c r="J672" s="150">
        <f t="shared" si="123"/>
        <v>0</v>
      </c>
      <c r="K672" s="73">
        <v>2426.81</v>
      </c>
      <c r="L672" s="575"/>
      <c r="M672" s="608">
        <v>24.87</v>
      </c>
      <c r="N672" s="609">
        <f t="shared" si="124"/>
        <v>2426.8146000000002</v>
      </c>
      <c r="O672" s="570"/>
      <c r="P672" s="587"/>
    </row>
    <row r="673" spans="2:16" ht="13.5" customHeight="1">
      <c r="B673" s="478">
        <f t="shared" si="119"/>
        <v>6.2200199999999981</v>
      </c>
      <c r="C673" s="479" t="s">
        <v>1002</v>
      </c>
      <c r="D673" s="458"/>
      <c r="E673" s="459"/>
      <c r="F673" s="470"/>
      <c r="G673" s="460"/>
      <c r="H673" s="186">
        <v>0</v>
      </c>
      <c r="I673" s="186">
        <f t="shared" si="122"/>
        <v>0</v>
      </c>
      <c r="J673" s="415">
        <f t="shared" si="123"/>
        <v>0</v>
      </c>
      <c r="K673" s="73">
        <v>0</v>
      </c>
      <c r="L673" s="598"/>
      <c r="M673" s="608">
        <v>0</v>
      </c>
      <c r="N673" s="609">
        <f t="shared" si="124"/>
        <v>0</v>
      </c>
      <c r="O673" s="594"/>
      <c r="P673" s="607"/>
    </row>
    <row r="674" spans="2:16" ht="13.5" customHeight="1">
      <c r="B674" s="478">
        <f t="shared" si="119"/>
        <v>6.2200209999999982</v>
      </c>
      <c r="C674" s="472" t="s">
        <v>1416</v>
      </c>
      <c r="D674" s="458" t="s">
        <v>161</v>
      </c>
      <c r="E674" s="459">
        <v>486.096</v>
      </c>
      <c r="F674" s="470"/>
      <c r="G674" s="460"/>
      <c r="H674" s="186">
        <v>0</v>
      </c>
      <c r="I674" s="186">
        <f t="shared" si="122"/>
        <v>0</v>
      </c>
      <c r="J674" s="415">
        <f t="shared" si="123"/>
        <v>0</v>
      </c>
      <c r="K674" s="73">
        <v>0</v>
      </c>
      <c r="L674" s="598"/>
      <c r="M674" s="608">
        <v>0</v>
      </c>
      <c r="N674" s="609">
        <f t="shared" si="124"/>
        <v>0</v>
      </c>
      <c r="O674" s="594"/>
      <c r="P674" s="607"/>
    </row>
    <row r="675" spans="2:16" ht="13.5" customHeight="1">
      <c r="B675" s="104">
        <f t="shared" si="119"/>
        <v>6.2200219999999984</v>
      </c>
      <c r="C675" s="291" t="s">
        <v>1004</v>
      </c>
      <c r="D675" s="437"/>
      <c r="E675" s="442"/>
      <c r="F675" s="439"/>
      <c r="G675" s="65"/>
      <c r="H675" s="160">
        <v>0</v>
      </c>
      <c r="I675" s="160">
        <f t="shared" si="122"/>
        <v>0</v>
      </c>
      <c r="J675" s="150">
        <f t="shared" si="123"/>
        <v>0</v>
      </c>
      <c r="K675" s="73">
        <v>0</v>
      </c>
      <c r="L675" s="575"/>
      <c r="M675" s="608">
        <v>0</v>
      </c>
      <c r="N675" s="609">
        <f t="shared" si="124"/>
        <v>0</v>
      </c>
      <c r="O675" s="570"/>
      <c r="P675" s="587"/>
    </row>
    <row r="676" spans="2:16" ht="13.5" customHeight="1">
      <c r="B676" s="104">
        <f t="shared" si="119"/>
        <v>6.2200229999999985</v>
      </c>
      <c r="C676" s="449" t="s">
        <v>1417</v>
      </c>
      <c r="D676" s="437" t="s">
        <v>161</v>
      </c>
      <c r="E676" s="442">
        <v>175.69</v>
      </c>
      <c r="F676" s="439">
        <v>26.78</v>
      </c>
      <c r="G676" s="65"/>
      <c r="H676" s="160">
        <v>26.78</v>
      </c>
      <c r="I676" s="160">
        <f t="shared" si="122"/>
        <v>4704.9799999999996</v>
      </c>
      <c r="J676" s="150">
        <f t="shared" si="123"/>
        <v>0</v>
      </c>
      <c r="K676" s="73">
        <v>4704.9799999999996</v>
      </c>
      <c r="L676" s="575"/>
      <c r="M676" s="608">
        <v>26.78</v>
      </c>
      <c r="N676" s="609">
        <f t="shared" si="124"/>
        <v>4704.9782000000005</v>
      </c>
      <c r="O676" s="570"/>
      <c r="P676" s="587"/>
    </row>
    <row r="677" spans="2:16" ht="13.5" customHeight="1">
      <c r="B677" s="104">
        <f t="shared" si="119"/>
        <v>6.2200239999999987</v>
      </c>
      <c r="C677" s="485" t="s">
        <v>800</v>
      </c>
      <c r="D677" s="437"/>
      <c r="E677" s="442"/>
      <c r="F677" s="439"/>
      <c r="G677" s="65"/>
      <c r="H677" s="160">
        <v>0</v>
      </c>
      <c r="I677" s="160">
        <f t="shared" si="122"/>
        <v>0</v>
      </c>
      <c r="J677" s="150">
        <f t="shared" si="123"/>
        <v>0</v>
      </c>
      <c r="K677" s="73">
        <v>0</v>
      </c>
      <c r="L677" s="575"/>
      <c r="M677" s="608">
        <v>0</v>
      </c>
      <c r="N677" s="609">
        <f t="shared" si="124"/>
        <v>0</v>
      </c>
      <c r="O677" s="570"/>
      <c r="P677" s="587"/>
    </row>
    <row r="678" spans="2:16" ht="13.5" customHeight="1">
      <c r="B678" s="104">
        <f t="shared" si="119"/>
        <v>6.2200249999999988</v>
      </c>
      <c r="C678" s="291" t="s">
        <v>1001</v>
      </c>
      <c r="D678" s="437"/>
      <c r="E678" s="442"/>
      <c r="F678" s="439"/>
      <c r="G678" s="65"/>
      <c r="H678" s="160">
        <v>0</v>
      </c>
      <c r="I678" s="160">
        <f t="shared" si="122"/>
        <v>0</v>
      </c>
      <c r="J678" s="150">
        <f t="shared" si="123"/>
        <v>0</v>
      </c>
      <c r="K678" s="73">
        <v>0</v>
      </c>
      <c r="L678" s="575"/>
      <c r="M678" s="608">
        <v>0</v>
      </c>
      <c r="N678" s="609">
        <f t="shared" si="124"/>
        <v>0</v>
      </c>
      <c r="O678" s="570"/>
      <c r="P678" s="587"/>
    </row>
    <row r="679" spans="2:16" ht="13.5" customHeight="1">
      <c r="B679" s="104">
        <f t="shared" si="119"/>
        <v>6.2200259999999989</v>
      </c>
      <c r="C679" s="449" t="s">
        <v>1418</v>
      </c>
      <c r="D679" s="437" t="s">
        <v>161</v>
      </c>
      <c r="E679" s="442">
        <v>18.39</v>
      </c>
      <c r="F679" s="439">
        <v>24.87</v>
      </c>
      <c r="G679" s="65"/>
      <c r="H679" s="160">
        <v>24.87</v>
      </c>
      <c r="I679" s="160">
        <f t="shared" si="122"/>
        <v>457.36</v>
      </c>
      <c r="J679" s="150">
        <f t="shared" si="123"/>
        <v>0</v>
      </c>
      <c r="K679" s="73">
        <v>457.36</v>
      </c>
      <c r="L679" s="575"/>
      <c r="M679" s="608">
        <v>24.87</v>
      </c>
      <c r="N679" s="609">
        <f t="shared" si="124"/>
        <v>457.35930000000002</v>
      </c>
      <c r="O679" s="570"/>
      <c r="P679" s="587"/>
    </row>
    <row r="680" spans="2:16" ht="13.5" customHeight="1">
      <c r="B680" s="478">
        <f t="shared" si="119"/>
        <v>6.2200269999999991</v>
      </c>
      <c r="C680" s="479" t="s">
        <v>1002</v>
      </c>
      <c r="D680" s="458"/>
      <c r="E680" s="459"/>
      <c r="F680" s="470"/>
      <c r="G680" s="460"/>
      <c r="H680" s="186">
        <v>0</v>
      </c>
      <c r="I680" s="186">
        <f t="shared" si="122"/>
        <v>0</v>
      </c>
      <c r="J680" s="415">
        <f t="shared" si="123"/>
        <v>0</v>
      </c>
      <c r="K680" s="73">
        <v>0</v>
      </c>
      <c r="L680" s="575"/>
      <c r="M680" s="608">
        <v>0</v>
      </c>
      <c r="N680" s="609">
        <f t="shared" si="124"/>
        <v>0</v>
      </c>
      <c r="O680" s="570"/>
      <c r="P680" s="587"/>
    </row>
    <row r="681" spans="2:16" ht="13.5" customHeight="1">
      <c r="B681" s="478">
        <f t="shared" si="119"/>
        <v>6.2200279999999992</v>
      </c>
      <c r="C681" s="472" t="s">
        <v>1419</v>
      </c>
      <c r="D681" s="458" t="s">
        <v>161</v>
      </c>
      <c r="E681" s="459">
        <v>241.42000000000002</v>
      </c>
      <c r="F681" s="470"/>
      <c r="G681" s="460"/>
      <c r="H681" s="186">
        <v>0</v>
      </c>
      <c r="I681" s="186">
        <f t="shared" si="122"/>
        <v>0</v>
      </c>
      <c r="J681" s="415">
        <f t="shared" si="123"/>
        <v>0</v>
      </c>
      <c r="K681" s="73">
        <v>0</v>
      </c>
      <c r="L681" s="575"/>
      <c r="M681" s="608">
        <v>0</v>
      </c>
      <c r="N681" s="609">
        <f t="shared" si="124"/>
        <v>0</v>
      </c>
      <c r="O681" s="570"/>
      <c r="P681" s="587"/>
    </row>
    <row r="682" spans="2:16" ht="13.5" customHeight="1">
      <c r="B682" s="104">
        <f t="shared" si="119"/>
        <v>6.2200289999999994</v>
      </c>
      <c r="C682" s="291" t="s">
        <v>1004</v>
      </c>
      <c r="D682" s="437"/>
      <c r="E682" s="442"/>
      <c r="F682" s="439"/>
      <c r="G682" s="65"/>
      <c r="H682" s="160">
        <v>0</v>
      </c>
      <c r="I682" s="160">
        <f t="shared" si="122"/>
        <v>0</v>
      </c>
      <c r="J682" s="150">
        <f t="shared" si="123"/>
        <v>0</v>
      </c>
      <c r="K682" s="73">
        <v>0</v>
      </c>
      <c r="L682" s="575"/>
      <c r="M682" s="608">
        <v>0</v>
      </c>
      <c r="N682" s="609">
        <f t="shared" si="124"/>
        <v>0</v>
      </c>
      <c r="O682" s="570"/>
      <c r="P682" s="587"/>
    </row>
    <row r="683" spans="2:16" ht="13.5" customHeight="1">
      <c r="B683" s="104">
        <f t="shared" si="119"/>
        <v>6.2200299999999995</v>
      </c>
      <c r="C683" s="449" t="s">
        <v>1417</v>
      </c>
      <c r="D683" s="437" t="s">
        <v>161</v>
      </c>
      <c r="E683" s="442">
        <v>30.82</v>
      </c>
      <c r="F683" s="439">
        <v>26.78</v>
      </c>
      <c r="G683" s="65"/>
      <c r="H683" s="160">
        <v>26.78</v>
      </c>
      <c r="I683" s="160">
        <f t="shared" si="122"/>
        <v>825.36</v>
      </c>
      <c r="J683" s="150">
        <f t="shared" si="123"/>
        <v>0</v>
      </c>
      <c r="K683" s="73">
        <v>825.36</v>
      </c>
      <c r="L683" s="575"/>
      <c r="M683" s="608">
        <v>26.78</v>
      </c>
      <c r="N683" s="609">
        <f t="shared" si="124"/>
        <v>825.3596</v>
      </c>
      <c r="O683" s="570"/>
      <c r="P683" s="587"/>
    </row>
    <row r="684" spans="2:16" ht="13.5" customHeight="1">
      <c r="B684" s="104">
        <f t="shared" si="119"/>
        <v>6.2200309999999996</v>
      </c>
      <c r="C684" s="462" t="s">
        <v>1058</v>
      </c>
      <c r="D684" s="437"/>
      <c r="E684" s="442"/>
      <c r="F684" s="439"/>
      <c r="G684" s="65"/>
      <c r="H684" s="160">
        <v>0</v>
      </c>
      <c r="I684" s="160">
        <f t="shared" si="122"/>
        <v>0</v>
      </c>
      <c r="J684" s="150">
        <f t="shared" si="123"/>
        <v>0</v>
      </c>
      <c r="K684" s="73">
        <v>0</v>
      </c>
      <c r="L684" s="575"/>
      <c r="M684" s="608">
        <v>0</v>
      </c>
      <c r="N684" s="609">
        <f t="shared" si="124"/>
        <v>0</v>
      </c>
      <c r="O684" s="570"/>
      <c r="P684" s="587"/>
    </row>
    <row r="685" spans="2:16" ht="13.5" customHeight="1">
      <c r="B685" s="104">
        <f t="shared" si="119"/>
        <v>6.2200319999999998</v>
      </c>
      <c r="C685" s="291" t="s">
        <v>792</v>
      </c>
      <c r="D685" s="437"/>
      <c r="E685" s="442"/>
      <c r="F685" s="439"/>
      <c r="G685" s="65"/>
      <c r="H685" s="160">
        <v>0</v>
      </c>
      <c r="I685" s="160">
        <f t="shared" si="122"/>
        <v>0</v>
      </c>
      <c r="J685" s="150">
        <f t="shared" si="123"/>
        <v>0</v>
      </c>
      <c r="K685" s="73">
        <v>0</v>
      </c>
      <c r="L685" s="575"/>
      <c r="M685" s="608">
        <v>0</v>
      </c>
      <c r="N685" s="609">
        <f t="shared" si="124"/>
        <v>0</v>
      </c>
      <c r="O685" s="570"/>
      <c r="P685" s="587"/>
    </row>
    <row r="686" spans="2:16" ht="13.5" customHeight="1">
      <c r="B686" s="104">
        <f t="shared" si="119"/>
        <v>6.2200329999999999</v>
      </c>
      <c r="C686" s="449" t="s">
        <v>1420</v>
      </c>
      <c r="D686" s="437" t="s">
        <v>161</v>
      </c>
      <c r="E686" s="442">
        <v>104.57</v>
      </c>
      <c r="F686" s="439">
        <v>24.87</v>
      </c>
      <c r="G686" s="65"/>
      <c r="H686" s="160">
        <v>24.87</v>
      </c>
      <c r="I686" s="160">
        <f t="shared" si="122"/>
        <v>2600.66</v>
      </c>
      <c r="J686" s="150">
        <f t="shared" si="123"/>
        <v>0</v>
      </c>
      <c r="K686" s="73">
        <v>2600.66</v>
      </c>
      <c r="L686" s="575"/>
      <c r="M686" s="608">
        <v>24.87</v>
      </c>
      <c r="N686" s="609">
        <f t="shared" si="124"/>
        <v>2600.6558999999997</v>
      </c>
      <c r="O686" s="570"/>
      <c r="P686" s="587"/>
    </row>
    <row r="687" spans="2:16" ht="13.5" customHeight="1">
      <c r="B687" s="104">
        <f t="shared" si="119"/>
        <v>6.2200340000000001</v>
      </c>
      <c r="C687" s="449" t="s">
        <v>1421</v>
      </c>
      <c r="D687" s="437" t="s">
        <v>161</v>
      </c>
      <c r="E687" s="442">
        <v>112.2</v>
      </c>
      <c r="F687" s="439">
        <v>12.96</v>
      </c>
      <c r="G687" s="65"/>
      <c r="H687" s="160">
        <v>12.96</v>
      </c>
      <c r="I687" s="160">
        <f t="shared" si="122"/>
        <v>1454.11</v>
      </c>
      <c r="J687" s="150">
        <f t="shared" si="123"/>
        <v>0</v>
      </c>
      <c r="K687" s="73">
        <v>1454.11</v>
      </c>
      <c r="L687" s="575"/>
      <c r="M687" s="608"/>
      <c r="N687" s="609">
        <f t="shared" si="124"/>
        <v>0</v>
      </c>
      <c r="O687" s="570"/>
      <c r="P687" s="587"/>
    </row>
    <row r="688" spans="2:16" ht="13.5" customHeight="1">
      <c r="B688" s="104">
        <f t="shared" si="119"/>
        <v>6.2200350000000002</v>
      </c>
      <c r="C688" s="449" t="s">
        <v>1422</v>
      </c>
      <c r="D688" s="437" t="s">
        <v>161</v>
      </c>
      <c r="E688" s="442">
        <v>0</v>
      </c>
      <c r="F688" s="439"/>
      <c r="G688" s="65"/>
      <c r="H688" s="160">
        <v>0</v>
      </c>
      <c r="I688" s="160">
        <f t="shared" si="122"/>
        <v>0</v>
      </c>
      <c r="J688" s="150">
        <f t="shared" si="123"/>
        <v>0</v>
      </c>
      <c r="K688" s="73">
        <v>0</v>
      </c>
      <c r="L688" s="575"/>
      <c r="M688" s="608">
        <v>0</v>
      </c>
      <c r="N688" s="609">
        <f t="shared" si="124"/>
        <v>0</v>
      </c>
      <c r="O688" s="570"/>
      <c r="P688" s="587"/>
    </row>
    <row r="689" spans="2:16" ht="13.5" customHeight="1">
      <c r="B689" s="104">
        <f t="shared" si="119"/>
        <v>6.2200360000000003</v>
      </c>
      <c r="C689" s="449" t="s">
        <v>1423</v>
      </c>
      <c r="D689" s="437" t="s">
        <v>161</v>
      </c>
      <c r="E689" s="442">
        <v>5304.44</v>
      </c>
      <c r="F689" s="439">
        <v>24.87</v>
      </c>
      <c r="G689" s="65"/>
      <c r="H689" s="160">
        <v>24.87</v>
      </c>
      <c r="I689" s="160">
        <f t="shared" si="122"/>
        <v>131921.42000000001</v>
      </c>
      <c r="J689" s="150">
        <f t="shared" si="123"/>
        <v>0</v>
      </c>
      <c r="K689" s="73">
        <v>131921.42000000001</v>
      </c>
      <c r="L689" s="575"/>
      <c r="M689" s="608">
        <v>24.87</v>
      </c>
      <c r="N689" s="609">
        <f t="shared" si="124"/>
        <v>131921.4228</v>
      </c>
      <c r="O689" s="570"/>
      <c r="P689" s="587"/>
    </row>
    <row r="690" spans="2:16" ht="13.5" customHeight="1">
      <c r="B690" s="104">
        <f t="shared" si="119"/>
        <v>6.2200370000000005</v>
      </c>
      <c r="C690" s="449" t="s">
        <v>1424</v>
      </c>
      <c r="D690" s="437" t="s">
        <v>161</v>
      </c>
      <c r="E690" s="442">
        <v>73.099999999999994</v>
      </c>
      <c r="F690" s="439">
        <v>24.87</v>
      </c>
      <c r="G690" s="65"/>
      <c r="H690" s="160">
        <v>24.87</v>
      </c>
      <c r="I690" s="160">
        <f t="shared" si="122"/>
        <v>1818</v>
      </c>
      <c r="J690" s="150">
        <f t="shared" si="123"/>
        <v>0</v>
      </c>
      <c r="K690" s="73">
        <v>1818</v>
      </c>
      <c r="L690" s="575"/>
      <c r="M690" s="608">
        <v>24.87</v>
      </c>
      <c r="N690" s="609">
        <f t="shared" si="124"/>
        <v>1817.9969999999998</v>
      </c>
      <c r="O690" s="570"/>
      <c r="P690" s="587"/>
    </row>
    <row r="691" spans="2:16" ht="13.5" customHeight="1">
      <c r="B691" s="104">
        <f t="shared" si="119"/>
        <v>6.2200380000000006</v>
      </c>
      <c r="C691" s="449" t="s">
        <v>1425</v>
      </c>
      <c r="D691" s="437" t="s">
        <v>161</v>
      </c>
      <c r="E691" s="442">
        <v>129.47999999999999</v>
      </c>
      <c r="F691" s="439">
        <v>24.87</v>
      </c>
      <c r="G691" s="65"/>
      <c r="H691" s="160">
        <v>24.87</v>
      </c>
      <c r="I691" s="160">
        <f t="shared" si="122"/>
        <v>3220.17</v>
      </c>
      <c r="J691" s="150">
        <f t="shared" si="123"/>
        <v>0</v>
      </c>
      <c r="K691" s="73">
        <v>3220.17</v>
      </c>
      <c r="L691" s="575"/>
      <c r="M691" s="608">
        <v>24.87</v>
      </c>
      <c r="N691" s="609">
        <f t="shared" si="124"/>
        <v>3220.1675999999998</v>
      </c>
      <c r="O691" s="570"/>
      <c r="P691" s="587"/>
    </row>
    <row r="692" spans="2:16" ht="13.5" customHeight="1">
      <c r="B692" s="104">
        <f t="shared" si="119"/>
        <v>6.2200390000000008</v>
      </c>
      <c r="C692" s="449" t="s">
        <v>1426</v>
      </c>
      <c r="D692" s="437" t="s">
        <v>161</v>
      </c>
      <c r="E692" s="442">
        <v>538.70000000000005</v>
      </c>
      <c r="F692" s="439">
        <v>24.87</v>
      </c>
      <c r="G692" s="65"/>
      <c r="H692" s="160">
        <v>24.87</v>
      </c>
      <c r="I692" s="160">
        <f t="shared" si="122"/>
        <v>13397.47</v>
      </c>
      <c r="J692" s="150">
        <f t="shared" si="123"/>
        <v>0</v>
      </c>
      <c r="K692" s="73">
        <v>13397.47</v>
      </c>
      <c r="L692" s="575"/>
      <c r="M692" s="608">
        <v>24.87</v>
      </c>
      <c r="N692" s="609">
        <f t="shared" si="124"/>
        <v>13397.469000000001</v>
      </c>
      <c r="O692" s="570"/>
      <c r="P692" s="587"/>
    </row>
    <row r="693" spans="2:16" ht="13.5" customHeight="1">
      <c r="B693" s="104">
        <f t="shared" si="119"/>
        <v>6.2200400000000009</v>
      </c>
      <c r="C693" s="449" t="s">
        <v>1427</v>
      </c>
      <c r="D693" s="437" t="s">
        <v>161</v>
      </c>
      <c r="E693" s="442">
        <v>313.39999999999998</v>
      </c>
      <c r="F693" s="439">
        <v>24.87</v>
      </c>
      <c r="G693" s="65"/>
      <c r="H693" s="160">
        <v>24.87</v>
      </c>
      <c r="I693" s="160">
        <f t="shared" si="122"/>
        <v>7794.26</v>
      </c>
      <c r="J693" s="150">
        <f t="shared" si="123"/>
        <v>0</v>
      </c>
      <c r="K693" s="73">
        <v>7794.26</v>
      </c>
      <c r="L693" s="575"/>
      <c r="M693" s="608">
        <v>24.87</v>
      </c>
      <c r="N693" s="609">
        <f t="shared" si="124"/>
        <v>7794.2579999999998</v>
      </c>
      <c r="O693" s="570"/>
      <c r="P693" s="587"/>
    </row>
    <row r="694" spans="2:16" ht="13.5" customHeight="1">
      <c r="B694" s="104">
        <f t="shared" si="119"/>
        <v>6.220041000000001</v>
      </c>
      <c r="C694" s="449" t="s">
        <v>1428</v>
      </c>
      <c r="D694" s="437" t="s">
        <v>161</v>
      </c>
      <c r="E694" s="442">
        <v>11.16</v>
      </c>
      <c r="F694" s="439">
        <v>24.87</v>
      </c>
      <c r="G694" s="65"/>
      <c r="H694" s="160">
        <v>24.87</v>
      </c>
      <c r="I694" s="160">
        <f t="shared" si="122"/>
        <v>277.55</v>
      </c>
      <c r="J694" s="150">
        <f t="shared" si="123"/>
        <v>0</v>
      </c>
      <c r="K694" s="73">
        <v>277.55</v>
      </c>
      <c r="L694" s="575"/>
      <c r="M694" s="608">
        <v>24.87</v>
      </c>
      <c r="N694" s="609">
        <f t="shared" si="124"/>
        <v>277.54920000000004</v>
      </c>
      <c r="O694" s="570"/>
      <c r="P694" s="587"/>
    </row>
    <row r="695" spans="2:16" ht="13.5" customHeight="1">
      <c r="B695" s="104">
        <f t="shared" si="119"/>
        <v>6.2200420000000012</v>
      </c>
      <c r="C695" s="449" t="s">
        <v>1429</v>
      </c>
      <c r="D695" s="437" t="s">
        <v>161</v>
      </c>
      <c r="E695" s="442">
        <v>45.45</v>
      </c>
      <c r="F695" s="439">
        <v>26.78</v>
      </c>
      <c r="G695" s="65"/>
      <c r="H695" s="160">
        <v>26.78</v>
      </c>
      <c r="I695" s="160">
        <f t="shared" si="122"/>
        <v>1217.1500000000001</v>
      </c>
      <c r="J695" s="150">
        <f t="shared" si="123"/>
        <v>0</v>
      </c>
      <c r="K695" s="73">
        <v>1217.1500000000001</v>
      </c>
      <c r="L695" s="575"/>
      <c r="M695" s="608">
        <v>26.78</v>
      </c>
      <c r="N695" s="609">
        <f t="shared" si="124"/>
        <v>1217.1510000000001</v>
      </c>
      <c r="O695" s="570"/>
      <c r="P695" s="587"/>
    </row>
    <row r="696" spans="2:16" ht="13.5" customHeight="1">
      <c r="B696" s="104">
        <f t="shared" si="119"/>
        <v>6.2200430000000013</v>
      </c>
      <c r="C696" s="449" t="s">
        <v>1430</v>
      </c>
      <c r="D696" s="437" t="s">
        <v>161</v>
      </c>
      <c r="E696" s="442">
        <v>34.119999999999997</v>
      </c>
      <c r="F696" s="439">
        <v>26.78</v>
      </c>
      <c r="G696" s="65"/>
      <c r="H696" s="160">
        <v>26.78</v>
      </c>
      <c r="I696" s="160">
        <f t="shared" si="122"/>
        <v>913.73</v>
      </c>
      <c r="J696" s="150">
        <f t="shared" si="123"/>
        <v>0</v>
      </c>
      <c r="K696" s="73">
        <v>913.73</v>
      </c>
      <c r="L696" s="575"/>
      <c r="M696" s="608">
        <v>26.78</v>
      </c>
      <c r="N696" s="609">
        <f t="shared" si="124"/>
        <v>913.73360000000002</v>
      </c>
      <c r="O696" s="570"/>
      <c r="P696" s="587"/>
    </row>
    <row r="697" spans="2:16" ht="13.5" customHeight="1">
      <c r="B697" s="104">
        <f t="shared" si="119"/>
        <v>6.2200440000000015</v>
      </c>
      <c r="C697" s="449" t="s">
        <v>1431</v>
      </c>
      <c r="D697" s="437" t="s">
        <v>161</v>
      </c>
      <c r="E697" s="442">
        <v>19.309999999999999</v>
      </c>
      <c r="F697" s="439">
        <v>26.78</v>
      </c>
      <c r="G697" s="65"/>
      <c r="H697" s="160">
        <v>26.78</v>
      </c>
      <c r="I697" s="160">
        <f t="shared" si="122"/>
        <v>517.12</v>
      </c>
      <c r="J697" s="150">
        <f t="shared" si="123"/>
        <v>0</v>
      </c>
      <c r="K697" s="73">
        <v>517.12</v>
      </c>
      <c r="L697" s="575"/>
      <c r="M697" s="608">
        <v>26.78</v>
      </c>
      <c r="N697" s="609">
        <f t="shared" si="124"/>
        <v>517.12180000000001</v>
      </c>
      <c r="O697" s="570"/>
      <c r="P697" s="587"/>
    </row>
    <row r="698" spans="2:16" ht="13.5" customHeight="1">
      <c r="B698" s="104">
        <f t="shared" si="119"/>
        <v>6.2200450000000016</v>
      </c>
      <c r="C698" s="449" t="s">
        <v>1432</v>
      </c>
      <c r="D698" s="437" t="s">
        <v>161</v>
      </c>
      <c r="E698" s="442">
        <v>9.61</v>
      </c>
      <c r="F698" s="439">
        <v>32.5</v>
      </c>
      <c r="G698" s="65"/>
      <c r="H698" s="160">
        <v>32.5</v>
      </c>
      <c r="I698" s="160">
        <f t="shared" si="122"/>
        <v>312.33</v>
      </c>
      <c r="J698" s="150">
        <f t="shared" si="123"/>
        <v>0</v>
      </c>
      <c r="K698" s="73">
        <v>312.33</v>
      </c>
      <c r="L698" s="575"/>
      <c r="M698" s="608">
        <v>32.5</v>
      </c>
      <c r="N698" s="609">
        <f t="shared" si="124"/>
        <v>312.32499999999999</v>
      </c>
      <c r="O698" s="570"/>
      <c r="P698" s="587"/>
    </row>
    <row r="699" spans="2:16" ht="13.5" customHeight="1">
      <c r="B699" s="104">
        <f t="shared" si="119"/>
        <v>6.2200460000000017</v>
      </c>
      <c r="C699" s="449" t="s">
        <v>1433</v>
      </c>
      <c r="D699" s="437" t="s">
        <v>161</v>
      </c>
      <c r="E699" s="442">
        <v>8.93</v>
      </c>
      <c r="F699" s="439">
        <v>26.78</v>
      </c>
      <c r="G699" s="65"/>
      <c r="H699" s="160">
        <v>26.78</v>
      </c>
      <c r="I699" s="160">
        <f t="shared" si="122"/>
        <v>239.15</v>
      </c>
      <c r="J699" s="150">
        <f t="shared" si="123"/>
        <v>0</v>
      </c>
      <c r="K699" s="73">
        <v>239.15</v>
      </c>
      <c r="L699" s="575"/>
      <c r="M699" s="608">
        <v>26.78</v>
      </c>
      <c r="N699" s="609">
        <f t="shared" si="124"/>
        <v>239.1454</v>
      </c>
      <c r="O699" s="570"/>
      <c r="P699" s="587"/>
    </row>
    <row r="700" spans="2:16" ht="13.5" customHeight="1">
      <c r="B700" s="104">
        <f t="shared" si="119"/>
        <v>6.2200470000000019</v>
      </c>
      <c r="C700" s="449" t="s">
        <v>1434</v>
      </c>
      <c r="D700" s="437" t="s">
        <v>161</v>
      </c>
      <c r="E700" s="442">
        <v>43.35</v>
      </c>
      <c r="F700" s="439">
        <v>65</v>
      </c>
      <c r="G700" s="65"/>
      <c r="H700" s="160">
        <v>65</v>
      </c>
      <c r="I700" s="160">
        <f t="shared" si="122"/>
        <v>2817.75</v>
      </c>
      <c r="J700" s="150">
        <f t="shared" si="123"/>
        <v>0</v>
      </c>
      <c r="K700" s="73">
        <v>2817.75</v>
      </c>
      <c r="L700" s="575"/>
      <c r="M700" s="608"/>
      <c r="N700" s="609">
        <f t="shared" si="124"/>
        <v>0</v>
      </c>
      <c r="O700" s="570"/>
      <c r="P700" s="587"/>
    </row>
    <row r="701" spans="2:16" ht="13.5" customHeight="1">
      <c r="B701" s="104">
        <f t="shared" si="119"/>
        <v>6.220048000000002</v>
      </c>
      <c r="C701" s="449" t="s">
        <v>1435</v>
      </c>
      <c r="D701" s="437" t="s">
        <v>161</v>
      </c>
      <c r="E701" s="442">
        <v>23.28</v>
      </c>
      <c r="F701" s="439">
        <v>75</v>
      </c>
      <c r="G701" s="65"/>
      <c r="H701" s="160">
        <v>75</v>
      </c>
      <c r="I701" s="160">
        <f t="shared" si="122"/>
        <v>1746</v>
      </c>
      <c r="J701" s="150">
        <f t="shared" si="123"/>
        <v>0</v>
      </c>
      <c r="K701" s="73">
        <v>1746</v>
      </c>
      <c r="L701" s="575"/>
      <c r="M701" s="608"/>
      <c r="N701" s="609">
        <f t="shared" si="124"/>
        <v>0</v>
      </c>
      <c r="O701" s="570"/>
      <c r="P701" s="587"/>
    </row>
    <row r="702" spans="2:16" ht="13.5" customHeight="1">
      <c r="B702" s="104">
        <f t="shared" si="119"/>
        <v>6.2200490000000022</v>
      </c>
      <c r="C702" s="449" t="s">
        <v>1436</v>
      </c>
      <c r="D702" s="437" t="s">
        <v>161</v>
      </c>
      <c r="E702" s="442">
        <v>242.85</v>
      </c>
      <c r="F702" s="439">
        <v>26.78</v>
      </c>
      <c r="G702" s="65"/>
      <c r="H702" s="160">
        <v>26.78</v>
      </c>
      <c r="I702" s="160">
        <f t="shared" si="122"/>
        <v>6503.52</v>
      </c>
      <c r="J702" s="150">
        <f t="shared" si="123"/>
        <v>0</v>
      </c>
      <c r="K702" s="73">
        <v>6503.52</v>
      </c>
      <c r="L702" s="575"/>
      <c r="M702" s="608">
        <v>26.78</v>
      </c>
      <c r="N702" s="609">
        <f t="shared" si="124"/>
        <v>6503.5230000000001</v>
      </c>
      <c r="O702" s="570"/>
      <c r="P702" s="587"/>
    </row>
    <row r="703" spans="2:16" ht="13.5" customHeight="1">
      <c r="B703" s="104">
        <f t="shared" si="119"/>
        <v>6.2200500000000023</v>
      </c>
      <c r="C703" s="291" t="s">
        <v>800</v>
      </c>
      <c r="D703" s="437"/>
      <c r="E703" s="442"/>
      <c r="F703" s="439"/>
      <c r="G703" s="65"/>
      <c r="H703" s="160">
        <v>0</v>
      </c>
      <c r="I703" s="160">
        <f t="shared" si="122"/>
        <v>0</v>
      </c>
      <c r="J703" s="150">
        <f t="shared" si="123"/>
        <v>0</v>
      </c>
      <c r="K703" s="73">
        <v>0</v>
      </c>
      <c r="L703" s="575"/>
      <c r="M703" s="608">
        <v>0</v>
      </c>
      <c r="N703" s="609">
        <f t="shared" si="124"/>
        <v>0</v>
      </c>
      <c r="O703" s="570"/>
      <c r="P703" s="587"/>
    </row>
    <row r="704" spans="2:16" ht="13.5" customHeight="1">
      <c r="B704" s="104">
        <f t="shared" si="119"/>
        <v>6.2200510000000024</v>
      </c>
      <c r="C704" s="449" t="s">
        <v>1420</v>
      </c>
      <c r="D704" s="437" t="s">
        <v>161</v>
      </c>
      <c r="E704" s="442">
        <v>57.2</v>
      </c>
      <c r="F704" s="439">
        <v>26.78</v>
      </c>
      <c r="G704" s="65"/>
      <c r="H704" s="160">
        <v>26.78</v>
      </c>
      <c r="I704" s="160">
        <f t="shared" si="122"/>
        <v>1531.82</v>
      </c>
      <c r="J704" s="150">
        <f t="shared" si="123"/>
        <v>0</v>
      </c>
      <c r="K704" s="73">
        <v>1531.82</v>
      </c>
      <c r="L704" s="575"/>
      <c r="M704" s="608">
        <v>26.78</v>
      </c>
      <c r="N704" s="609">
        <f t="shared" si="124"/>
        <v>1531.816</v>
      </c>
      <c r="O704" s="570"/>
      <c r="P704" s="587"/>
    </row>
    <row r="705" spans="2:16" ht="13.5" customHeight="1">
      <c r="B705" s="104">
        <f t="shared" si="119"/>
        <v>6.2200520000000026</v>
      </c>
      <c r="C705" s="449" t="s">
        <v>1437</v>
      </c>
      <c r="D705" s="437" t="s">
        <v>161</v>
      </c>
      <c r="E705" s="442">
        <v>21.46</v>
      </c>
      <c r="F705" s="439">
        <v>26.78</v>
      </c>
      <c r="G705" s="65"/>
      <c r="H705" s="160">
        <v>26.78</v>
      </c>
      <c r="I705" s="160">
        <f t="shared" si="122"/>
        <v>574.70000000000005</v>
      </c>
      <c r="J705" s="150">
        <f t="shared" si="123"/>
        <v>0</v>
      </c>
      <c r="K705" s="73">
        <v>574.70000000000005</v>
      </c>
      <c r="L705" s="575"/>
      <c r="M705" s="608">
        <v>26.78</v>
      </c>
      <c r="N705" s="609">
        <f t="shared" si="124"/>
        <v>574.69880000000001</v>
      </c>
      <c r="O705" s="570"/>
      <c r="P705" s="587"/>
    </row>
    <row r="706" spans="2:16" ht="13.5" customHeight="1">
      <c r="B706" s="104">
        <f t="shared" si="119"/>
        <v>6.2200530000000027</v>
      </c>
      <c r="C706" s="449" t="s">
        <v>1423</v>
      </c>
      <c r="D706" s="437" t="s">
        <v>161</v>
      </c>
      <c r="E706" s="442">
        <v>1915.82</v>
      </c>
      <c r="F706" s="439">
        <v>26.78</v>
      </c>
      <c r="G706" s="65"/>
      <c r="H706" s="160">
        <v>26.78</v>
      </c>
      <c r="I706" s="160">
        <f t="shared" si="122"/>
        <v>51305.66</v>
      </c>
      <c r="J706" s="150">
        <f t="shared" si="123"/>
        <v>0</v>
      </c>
      <c r="K706" s="73">
        <v>51305.66</v>
      </c>
      <c r="L706" s="575"/>
      <c r="M706" s="608">
        <v>26.78</v>
      </c>
      <c r="N706" s="609">
        <f t="shared" si="124"/>
        <v>51305.659599999999</v>
      </c>
      <c r="O706" s="570"/>
      <c r="P706" s="587"/>
    </row>
    <row r="707" spans="2:16" ht="14.1" customHeight="1" outlineLevel="1">
      <c r="B707" s="104">
        <f t="shared" si="119"/>
        <v>6.2200540000000029</v>
      </c>
      <c r="C707" s="449" t="s">
        <v>1438</v>
      </c>
      <c r="D707" s="437" t="s">
        <v>161</v>
      </c>
      <c r="E707" s="442">
        <v>12.93</v>
      </c>
      <c r="F707" s="439">
        <v>26.78</v>
      </c>
      <c r="G707" s="65"/>
      <c r="H707" s="160">
        <v>26.78</v>
      </c>
      <c r="I707" s="160">
        <f t="shared" si="122"/>
        <v>346.27</v>
      </c>
      <c r="J707" s="150">
        <f t="shared" si="123"/>
        <v>0</v>
      </c>
      <c r="K707" s="73">
        <v>346.27</v>
      </c>
      <c r="L707" s="538"/>
      <c r="M707" s="608">
        <v>26.78</v>
      </c>
      <c r="N707" s="609">
        <f t="shared" si="124"/>
        <v>346.2654</v>
      </c>
      <c r="P707" s="545"/>
    </row>
    <row r="708" spans="2:16" ht="14.1" customHeight="1" outlineLevel="2">
      <c r="B708" s="104">
        <f t="shared" si="119"/>
        <v>6.220055000000003</v>
      </c>
      <c r="C708" s="449" t="s">
        <v>1425</v>
      </c>
      <c r="D708" s="437" t="s">
        <v>161</v>
      </c>
      <c r="E708" s="442">
        <v>37.07</v>
      </c>
      <c r="F708" s="439">
        <v>26.78</v>
      </c>
      <c r="G708" s="65"/>
      <c r="H708" s="160">
        <v>26.78</v>
      </c>
      <c r="I708" s="160">
        <f t="shared" si="122"/>
        <v>992.73</v>
      </c>
      <c r="J708" s="150">
        <f t="shared" si="123"/>
        <v>0</v>
      </c>
      <c r="K708" s="73">
        <v>992.73</v>
      </c>
      <c r="L708" s="575"/>
      <c r="M708" s="608">
        <v>26.78</v>
      </c>
      <c r="N708" s="609">
        <f t="shared" si="124"/>
        <v>992.7346</v>
      </c>
      <c r="O708" s="570"/>
      <c r="P708" s="587"/>
    </row>
    <row r="709" spans="2:16" ht="14.1" customHeight="1" outlineLevel="3">
      <c r="B709" s="104">
        <f t="shared" si="119"/>
        <v>6.2200560000000031</v>
      </c>
      <c r="C709" s="449" t="s">
        <v>1439</v>
      </c>
      <c r="D709" s="437" t="s">
        <v>161</v>
      </c>
      <c r="E709" s="442">
        <v>428.21</v>
      </c>
      <c r="F709" s="439">
        <v>26.78</v>
      </c>
      <c r="G709" s="65"/>
      <c r="H709" s="160">
        <v>26.78</v>
      </c>
      <c r="I709" s="160">
        <f t="shared" si="122"/>
        <v>11467.46</v>
      </c>
      <c r="J709" s="150">
        <f t="shared" si="123"/>
        <v>0</v>
      </c>
      <c r="K709" s="73">
        <v>11467.46</v>
      </c>
      <c r="L709" s="575"/>
      <c r="M709" s="608">
        <v>26.78</v>
      </c>
      <c r="N709" s="609">
        <f t="shared" si="124"/>
        <v>11467.4638</v>
      </c>
      <c r="O709" s="570"/>
      <c r="P709" s="587"/>
    </row>
    <row r="710" spans="2:16" ht="15.75" customHeight="1" outlineLevel="4">
      <c r="B710" s="104">
        <f t="shared" si="119"/>
        <v>6.2200570000000033</v>
      </c>
      <c r="C710" s="449" t="s">
        <v>1440</v>
      </c>
      <c r="D710" s="437" t="s">
        <v>161</v>
      </c>
      <c r="E710" s="442">
        <v>56.98</v>
      </c>
      <c r="F710" s="439">
        <v>26.78</v>
      </c>
      <c r="G710" s="81"/>
      <c r="H710" s="160">
        <v>26.78</v>
      </c>
      <c r="I710" s="160">
        <f t="shared" si="122"/>
        <v>1525.92</v>
      </c>
      <c r="J710" s="150">
        <f t="shared" si="123"/>
        <v>0</v>
      </c>
      <c r="K710" s="73">
        <v>1525.92</v>
      </c>
      <c r="L710" s="538"/>
      <c r="M710" s="608">
        <v>26.78</v>
      </c>
      <c r="N710" s="609">
        <f t="shared" si="124"/>
        <v>1525.9243999999999</v>
      </c>
      <c r="P710" s="545"/>
    </row>
    <row r="711" spans="2:16" ht="14.1" customHeight="1" outlineLevel="2">
      <c r="B711" s="104">
        <f t="shared" si="119"/>
        <v>6.2200580000000034</v>
      </c>
      <c r="C711" s="449" t="s">
        <v>1441</v>
      </c>
      <c r="D711" s="437" t="s">
        <v>161</v>
      </c>
      <c r="E711" s="442">
        <v>6.57</v>
      </c>
      <c r="F711" s="439">
        <v>26.78</v>
      </c>
      <c r="G711" s="65"/>
      <c r="H711" s="160">
        <v>26.78</v>
      </c>
      <c r="I711" s="160">
        <f t="shared" si="122"/>
        <v>175.94</v>
      </c>
      <c r="J711" s="150">
        <f t="shared" si="123"/>
        <v>0</v>
      </c>
      <c r="K711" s="73">
        <v>175.94</v>
      </c>
      <c r="L711" s="575"/>
      <c r="M711" s="608">
        <v>26.78</v>
      </c>
      <c r="N711" s="609">
        <f t="shared" si="124"/>
        <v>175.94460000000001</v>
      </c>
      <c r="O711" s="570"/>
      <c r="P711" s="587"/>
    </row>
    <row r="712" spans="2:16" outlineLevel="3">
      <c r="B712" s="104">
        <f t="shared" si="119"/>
        <v>6.2200590000000036</v>
      </c>
      <c r="C712" s="449" t="s">
        <v>1442</v>
      </c>
      <c r="D712" s="437" t="s">
        <v>161</v>
      </c>
      <c r="E712" s="442">
        <v>63.4</v>
      </c>
      <c r="F712" s="439">
        <v>26.78</v>
      </c>
      <c r="G712" s="65"/>
      <c r="H712" s="160">
        <v>26.78</v>
      </c>
      <c r="I712" s="160">
        <f t="shared" si="122"/>
        <v>1697.85</v>
      </c>
      <c r="J712" s="150">
        <f t="shared" si="123"/>
        <v>0</v>
      </c>
      <c r="K712" s="73">
        <v>1697.85</v>
      </c>
      <c r="L712" s="575"/>
      <c r="M712" s="608">
        <v>26.78</v>
      </c>
      <c r="N712" s="609">
        <f t="shared" si="124"/>
        <v>1697.8520000000001</v>
      </c>
      <c r="O712" s="570"/>
      <c r="P712" s="587"/>
    </row>
    <row r="713" spans="2:16" outlineLevel="3">
      <c r="B713" s="104">
        <f t="shared" si="119"/>
        <v>6.2200600000000037</v>
      </c>
      <c r="C713" s="462" t="s">
        <v>1443</v>
      </c>
      <c r="D713" s="437"/>
      <c r="E713" s="442"/>
      <c r="F713" s="439"/>
      <c r="G713" s="65"/>
      <c r="H713" s="160">
        <v>0</v>
      </c>
      <c r="I713" s="160">
        <f t="shared" si="122"/>
        <v>0</v>
      </c>
      <c r="J713" s="150">
        <f t="shared" si="123"/>
        <v>0</v>
      </c>
      <c r="K713" s="73">
        <v>0</v>
      </c>
      <c r="L713" s="575"/>
      <c r="M713" s="608">
        <v>0</v>
      </c>
      <c r="N713" s="609">
        <f t="shared" si="124"/>
        <v>0</v>
      </c>
      <c r="O713" s="570"/>
      <c r="P713" s="587"/>
    </row>
    <row r="714" spans="2:16" outlineLevel="3">
      <c r="B714" s="104">
        <f t="shared" si="119"/>
        <v>6.2200610000000038</v>
      </c>
      <c r="C714" s="467" t="s">
        <v>1444</v>
      </c>
      <c r="D714" s="437"/>
      <c r="E714" s="442"/>
      <c r="F714" s="439"/>
      <c r="G714" s="65"/>
      <c r="H714" s="160">
        <v>0</v>
      </c>
      <c r="I714" s="160">
        <f t="shared" si="122"/>
        <v>0</v>
      </c>
      <c r="J714" s="150">
        <f t="shared" si="123"/>
        <v>0</v>
      </c>
      <c r="K714" s="73">
        <v>0</v>
      </c>
      <c r="L714" s="575"/>
      <c r="M714" s="608">
        <v>0</v>
      </c>
      <c r="N714" s="609">
        <f t="shared" si="124"/>
        <v>0</v>
      </c>
      <c r="O714" s="570"/>
      <c r="P714" s="587"/>
    </row>
    <row r="715" spans="2:16" outlineLevel="3">
      <c r="B715" s="104">
        <f t="shared" si="119"/>
        <v>6.220062000000004</v>
      </c>
      <c r="C715" s="449" t="s">
        <v>1445</v>
      </c>
      <c r="D715" s="437" t="s">
        <v>161</v>
      </c>
      <c r="E715" s="442">
        <v>2758.08</v>
      </c>
      <c r="F715" s="439">
        <v>12.96</v>
      </c>
      <c r="G715" s="65"/>
      <c r="H715" s="160">
        <v>12.96</v>
      </c>
      <c r="I715" s="160">
        <f t="shared" si="122"/>
        <v>35744.720000000001</v>
      </c>
      <c r="J715" s="150">
        <f t="shared" si="123"/>
        <v>0</v>
      </c>
      <c r="K715" s="73">
        <v>35744.720000000001</v>
      </c>
      <c r="L715" s="575"/>
      <c r="M715" s="608"/>
      <c r="N715" s="609">
        <f t="shared" si="124"/>
        <v>0</v>
      </c>
      <c r="O715" s="570"/>
      <c r="P715" s="587"/>
    </row>
    <row r="716" spans="2:16" outlineLevel="3">
      <c r="B716" s="104">
        <f t="shared" si="119"/>
        <v>6.2200630000000041</v>
      </c>
      <c r="C716" s="449" t="s">
        <v>1446</v>
      </c>
      <c r="D716" s="437" t="s">
        <v>161</v>
      </c>
      <c r="E716" s="442">
        <v>834.05</v>
      </c>
      <c r="F716" s="439">
        <v>12.96</v>
      </c>
      <c r="G716" s="65"/>
      <c r="H716" s="160">
        <v>12.96</v>
      </c>
      <c r="I716" s="160">
        <f t="shared" si="122"/>
        <v>10809.29</v>
      </c>
      <c r="J716" s="150">
        <f t="shared" si="123"/>
        <v>0</v>
      </c>
      <c r="K716" s="73">
        <v>10809.29</v>
      </c>
      <c r="L716" s="575"/>
      <c r="M716" s="608"/>
      <c r="N716" s="609">
        <f t="shared" si="124"/>
        <v>0</v>
      </c>
      <c r="O716" s="570"/>
      <c r="P716" s="587"/>
    </row>
    <row r="717" spans="2:16" outlineLevel="3">
      <c r="B717" s="104">
        <f t="shared" si="119"/>
        <v>6.2200640000000043</v>
      </c>
      <c r="C717" s="462" t="s">
        <v>1447</v>
      </c>
      <c r="D717" s="437"/>
      <c r="E717" s="442"/>
      <c r="F717" s="439"/>
      <c r="G717" s="65"/>
      <c r="H717" s="160">
        <v>0</v>
      </c>
      <c r="I717" s="160">
        <f t="shared" si="122"/>
        <v>0</v>
      </c>
      <c r="J717" s="150">
        <f t="shared" si="123"/>
        <v>0</v>
      </c>
      <c r="K717" s="73">
        <v>0</v>
      </c>
      <c r="L717" s="575"/>
      <c r="M717" s="608"/>
      <c r="N717" s="609">
        <f t="shared" si="124"/>
        <v>0</v>
      </c>
      <c r="O717" s="570"/>
      <c r="P717" s="587"/>
    </row>
    <row r="718" spans="2:16" outlineLevel="3">
      <c r="B718" s="104">
        <f t="shared" si="119"/>
        <v>6.2200650000000044</v>
      </c>
      <c r="C718" s="449" t="s">
        <v>1448</v>
      </c>
      <c r="D718" s="437" t="s">
        <v>161</v>
      </c>
      <c r="E718" s="442">
        <v>140.38999999999999</v>
      </c>
      <c r="F718" s="439">
        <v>75</v>
      </c>
      <c r="G718" s="65"/>
      <c r="H718" s="160">
        <v>75</v>
      </c>
      <c r="I718" s="160">
        <f t="shared" si="122"/>
        <v>10529.25</v>
      </c>
      <c r="J718" s="150">
        <f t="shared" si="123"/>
        <v>0</v>
      </c>
      <c r="K718" s="73">
        <v>10529.25</v>
      </c>
      <c r="L718" s="575"/>
      <c r="M718" s="608"/>
      <c r="N718" s="609">
        <f t="shared" si="124"/>
        <v>0</v>
      </c>
      <c r="O718" s="570"/>
      <c r="P718" s="587"/>
    </row>
    <row r="719" spans="2:16" outlineLevel="3">
      <c r="B719" s="104">
        <f t="shared" ref="B719:B726" si="125">B718+0.000001</f>
        <v>6.2200660000000045</v>
      </c>
      <c r="C719" s="449" t="s">
        <v>1449</v>
      </c>
      <c r="D719" s="437" t="s">
        <v>161</v>
      </c>
      <c r="E719" s="442">
        <v>173.07</v>
      </c>
      <c r="F719" s="439">
        <v>75</v>
      </c>
      <c r="G719" s="65"/>
      <c r="H719" s="160">
        <v>75</v>
      </c>
      <c r="I719" s="160">
        <f t="shared" si="122"/>
        <v>12980.25</v>
      </c>
      <c r="J719" s="150">
        <f t="shared" si="123"/>
        <v>0</v>
      </c>
      <c r="K719" s="73">
        <v>12980.25</v>
      </c>
      <c r="L719" s="575"/>
      <c r="M719" s="608"/>
      <c r="N719" s="609">
        <f t="shared" si="124"/>
        <v>0</v>
      </c>
      <c r="O719" s="570"/>
      <c r="P719" s="587"/>
    </row>
    <row r="720" spans="2:16" outlineLevel="3">
      <c r="B720" s="104">
        <f t="shared" si="125"/>
        <v>6.2200670000000047</v>
      </c>
      <c r="C720" s="449" t="s">
        <v>1450</v>
      </c>
      <c r="D720" s="437" t="s">
        <v>46</v>
      </c>
      <c r="E720" s="442">
        <v>47.19</v>
      </c>
      <c r="F720" s="439">
        <v>75</v>
      </c>
      <c r="G720" s="65"/>
      <c r="H720" s="160">
        <v>75</v>
      </c>
      <c r="I720" s="160">
        <f t="shared" ref="I720:I726" si="126">+ROUND(E720*F720,2)</f>
        <v>3539.25</v>
      </c>
      <c r="J720" s="150">
        <f t="shared" ref="J720:J726" si="127">+ROUND(E720*G720,2)</f>
        <v>0</v>
      </c>
      <c r="K720" s="73">
        <v>3539.25</v>
      </c>
      <c r="L720" s="575"/>
      <c r="M720" s="608"/>
      <c r="N720" s="609">
        <f t="shared" ref="N720:N726" si="128">+M720*E720</f>
        <v>0</v>
      </c>
      <c r="O720" s="570"/>
      <c r="P720" s="587"/>
    </row>
    <row r="721" spans="2:16" outlineLevel="3">
      <c r="B721" s="104">
        <f t="shared" si="125"/>
        <v>6.2200680000000048</v>
      </c>
      <c r="C721" s="449" t="s">
        <v>1451</v>
      </c>
      <c r="D721" s="437" t="s">
        <v>161</v>
      </c>
      <c r="E721" s="442">
        <v>12.3</v>
      </c>
      <c r="F721" s="439">
        <v>140</v>
      </c>
      <c r="G721" s="65"/>
      <c r="H721" s="160">
        <v>140</v>
      </c>
      <c r="I721" s="160">
        <f t="shared" si="126"/>
        <v>1722</v>
      </c>
      <c r="J721" s="150">
        <f t="shared" si="127"/>
        <v>0</v>
      </c>
      <c r="K721" s="73">
        <v>1722</v>
      </c>
      <c r="L721" s="575"/>
      <c r="M721" s="608"/>
      <c r="N721" s="609">
        <f t="shared" si="128"/>
        <v>0</v>
      </c>
      <c r="O721" s="570"/>
      <c r="P721" s="587"/>
    </row>
    <row r="722" spans="2:16" outlineLevel="3">
      <c r="B722" s="104">
        <f t="shared" si="125"/>
        <v>6.220069000000005</v>
      </c>
      <c r="C722" s="449" t="s">
        <v>1452</v>
      </c>
      <c r="D722" s="437" t="s">
        <v>46</v>
      </c>
      <c r="E722" s="442">
        <v>47.06</v>
      </c>
      <c r="F722" s="439">
        <v>140</v>
      </c>
      <c r="G722" s="65"/>
      <c r="H722" s="160">
        <v>140</v>
      </c>
      <c r="I722" s="160">
        <f t="shared" si="126"/>
        <v>6588.4</v>
      </c>
      <c r="J722" s="150">
        <f t="shared" si="127"/>
        <v>0</v>
      </c>
      <c r="K722" s="73">
        <v>6588.4</v>
      </c>
      <c r="L722" s="575"/>
      <c r="M722" s="608"/>
      <c r="N722" s="609">
        <f t="shared" si="128"/>
        <v>0</v>
      </c>
      <c r="O722" s="570"/>
      <c r="P722" s="587"/>
    </row>
    <row r="723" spans="2:16" outlineLevel="3">
      <c r="B723" s="104">
        <f t="shared" si="125"/>
        <v>6.2200700000000051</v>
      </c>
      <c r="C723" s="449" t="s">
        <v>1453</v>
      </c>
      <c r="D723" s="437" t="s">
        <v>46</v>
      </c>
      <c r="E723" s="442">
        <v>5.3000000000000007</v>
      </c>
      <c r="F723" s="439">
        <v>140</v>
      </c>
      <c r="G723" s="65"/>
      <c r="H723" s="160">
        <v>140</v>
      </c>
      <c r="I723" s="160">
        <f t="shared" si="126"/>
        <v>742</v>
      </c>
      <c r="J723" s="150">
        <f t="shared" si="127"/>
        <v>0</v>
      </c>
      <c r="K723" s="73">
        <v>742</v>
      </c>
      <c r="L723" s="575"/>
      <c r="M723" s="608"/>
      <c r="N723" s="609">
        <f t="shared" si="128"/>
        <v>0</v>
      </c>
      <c r="O723" s="570"/>
      <c r="P723" s="587"/>
    </row>
    <row r="724" spans="2:16" outlineLevel="3">
      <c r="B724" s="104">
        <f t="shared" si="125"/>
        <v>6.2200710000000052</v>
      </c>
      <c r="C724" s="449" t="s">
        <v>1454</v>
      </c>
      <c r="D724" s="437" t="s">
        <v>46</v>
      </c>
      <c r="E724" s="442">
        <v>22.95</v>
      </c>
      <c r="F724" s="439">
        <v>140</v>
      </c>
      <c r="G724" s="65"/>
      <c r="H724" s="160">
        <v>140</v>
      </c>
      <c r="I724" s="160">
        <f t="shared" si="126"/>
        <v>3213</v>
      </c>
      <c r="J724" s="150">
        <f t="shared" si="127"/>
        <v>0</v>
      </c>
      <c r="K724" s="73">
        <v>3213</v>
      </c>
      <c r="L724" s="575"/>
      <c r="M724" s="608"/>
      <c r="N724" s="609">
        <f t="shared" si="128"/>
        <v>0</v>
      </c>
      <c r="O724" s="570"/>
      <c r="P724" s="587"/>
    </row>
    <row r="725" spans="2:16" outlineLevel="3">
      <c r="B725" s="104">
        <f t="shared" si="125"/>
        <v>6.2200720000000054</v>
      </c>
      <c r="C725" s="449" t="s">
        <v>1455</v>
      </c>
      <c r="D725" s="437" t="s">
        <v>46</v>
      </c>
      <c r="E725" s="442">
        <v>43.9</v>
      </c>
      <c r="F725" s="439">
        <v>140</v>
      </c>
      <c r="G725" s="65"/>
      <c r="H725" s="160">
        <v>140</v>
      </c>
      <c r="I725" s="160">
        <f t="shared" si="126"/>
        <v>6146</v>
      </c>
      <c r="J725" s="150">
        <f t="shared" si="127"/>
        <v>0</v>
      </c>
      <c r="K725" s="73">
        <v>6146</v>
      </c>
      <c r="L725" s="575"/>
      <c r="M725" s="608"/>
      <c r="N725" s="609">
        <f t="shared" si="128"/>
        <v>0</v>
      </c>
      <c r="O725" s="570"/>
      <c r="P725" s="587"/>
    </row>
    <row r="726" spans="2:16" outlineLevel="3">
      <c r="B726" s="104">
        <f t="shared" si="125"/>
        <v>6.2200730000000055</v>
      </c>
      <c r="C726" s="449" t="s">
        <v>1456</v>
      </c>
      <c r="D726" s="437" t="s">
        <v>46</v>
      </c>
      <c r="E726" s="442">
        <v>101.58</v>
      </c>
      <c r="F726" s="439">
        <v>75</v>
      </c>
      <c r="G726" s="65"/>
      <c r="H726" s="160">
        <v>75</v>
      </c>
      <c r="I726" s="160">
        <f t="shared" si="126"/>
        <v>7618.5</v>
      </c>
      <c r="J726" s="150">
        <f t="shared" si="127"/>
        <v>0</v>
      </c>
      <c r="K726" s="73">
        <v>7618.5</v>
      </c>
      <c r="L726" s="575"/>
      <c r="M726" s="608"/>
      <c r="N726" s="609">
        <f t="shared" si="128"/>
        <v>0</v>
      </c>
      <c r="O726" s="570"/>
      <c r="P726" s="587"/>
    </row>
    <row r="727" spans="2:16" ht="13.5" customHeight="1">
      <c r="B727" s="164">
        <f>B653+0.01</f>
        <v>6.2299999999999951</v>
      </c>
      <c r="C727" s="279" t="s">
        <v>826</v>
      </c>
      <c r="D727" s="280"/>
      <c r="E727" s="280"/>
      <c r="F727" s="280"/>
      <c r="G727" s="280"/>
      <c r="H727" s="280"/>
      <c r="I727" s="280"/>
      <c r="J727" s="280"/>
      <c r="K727" s="280"/>
      <c r="L727" s="537">
        <v>744274.91999999993</v>
      </c>
      <c r="M727" s="591"/>
      <c r="N727" s="571"/>
      <c r="O727" s="571"/>
      <c r="P727" s="592"/>
    </row>
    <row r="728" spans="2:16" ht="13.5" customHeight="1">
      <c r="B728" s="104">
        <f t="shared" ref="B728:B809" si="129">B727+0.000001</f>
        <v>6.2300009999999952</v>
      </c>
      <c r="C728" s="467" t="s">
        <v>1457</v>
      </c>
      <c r="D728" s="437"/>
      <c r="E728" s="442"/>
      <c r="F728" s="73"/>
      <c r="G728" s="65"/>
      <c r="H728" s="251"/>
      <c r="I728" s="251"/>
      <c r="J728" s="252"/>
      <c r="K728" s="73">
        <v>0</v>
      </c>
      <c r="L728" s="575"/>
      <c r="M728" s="586"/>
      <c r="N728" s="570"/>
      <c r="O728" s="570"/>
      <c r="P728" s="587"/>
    </row>
    <row r="729" spans="2:16" ht="13.5" customHeight="1">
      <c r="B729" s="104">
        <f t="shared" si="129"/>
        <v>6.2300019999999954</v>
      </c>
      <c r="C729" s="474" t="s">
        <v>1004</v>
      </c>
      <c r="D729" s="437"/>
      <c r="E729" s="442"/>
      <c r="F729" s="73"/>
      <c r="G729" s="65"/>
      <c r="H729" s="251"/>
      <c r="I729" s="251"/>
      <c r="J729" s="252"/>
      <c r="K729" s="73">
        <v>0</v>
      </c>
      <c r="L729" s="575"/>
      <c r="M729" s="586"/>
      <c r="N729" s="570"/>
      <c r="O729" s="570"/>
      <c r="P729" s="587"/>
    </row>
    <row r="730" spans="2:16" ht="33" customHeight="1">
      <c r="B730" s="104">
        <f t="shared" si="129"/>
        <v>6.2300029999999955</v>
      </c>
      <c r="C730" s="57" t="s">
        <v>1458</v>
      </c>
      <c r="D730" s="437" t="s">
        <v>36</v>
      </c>
      <c r="E730" s="442">
        <v>446</v>
      </c>
      <c r="F730" s="73">
        <v>41.55</v>
      </c>
      <c r="G730" s="81">
        <v>72</v>
      </c>
      <c r="H730" s="160">
        <v>311.55</v>
      </c>
      <c r="I730" s="160">
        <f t="shared" ref="I730" si="130">+ROUND(E730*F730,2)</f>
        <v>18531.3</v>
      </c>
      <c r="J730" s="150">
        <f t="shared" ref="J730" si="131">+ROUND(E730*G730,2)</f>
        <v>32112</v>
      </c>
      <c r="K730" s="73">
        <v>138951.29999999999</v>
      </c>
      <c r="L730" s="575"/>
      <c r="M730" s="608">
        <v>41.55</v>
      </c>
      <c r="N730" s="609">
        <f>+M730*E730</f>
        <v>18531.3</v>
      </c>
      <c r="O730" s="612">
        <v>72</v>
      </c>
      <c r="P730" s="613">
        <f>+O730*E730</f>
        <v>32112</v>
      </c>
    </row>
    <row r="731" spans="2:16" ht="28.9" customHeight="1">
      <c r="B731" s="104">
        <f t="shared" si="129"/>
        <v>6.2300039999999957</v>
      </c>
      <c r="C731" s="196" t="s">
        <v>1459</v>
      </c>
      <c r="D731" s="437" t="s">
        <v>36</v>
      </c>
      <c r="E731" s="442">
        <v>446</v>
      </c>
      <c r="F731" s="73">
        <v>140.01</v>
      </c>
      <c r="G731" s="81">
        <v>154</v>
      </c>
      <c r="H731" s="160">
        <v>717.51</v>
      </c>
      <c r="I731" s="160">
        <f t="shared" ref="I731" si="132">+ROUND(E731*F731,2)</f>
        <v>62444.46</v>
      </c>
      <c r="J731" s="150">
        <f t="shared" ref="J731" si="133">+ROUND(E731*G731,2)</f>
        <v>68684</v>
      </c>
      <c r="K731" s="73">
        <v>320009.46000000002</v>
      </c>
      <c r="L731" s="575"/>
      <c r="M731" s="608">
        <v>140.01</v>
      </c>
      <c r="N731" s="609">
        <f t="shared" ref="N731:N794" si="134">+M731*E731</f>
        <v>62444.46</v>
      </c>
      <c r="O731" s="612">
        <v>154</v>
      </c>
      <c r="P731" s="613">
        <f t="shared" ref="P731:P794" si="135">+O731*E731</f>
        <v>68684</v>
      </c>
    </row>
    <row r="732" spans="2:16" ht="13.5" customHeight="1">
      <c r="B732" s="104">
        <f t="shared" si="129"/>
        <v>6.2300049999999958</v>
      </c>
      <c r="C732" s="474" t="s">
        <v>1460</v>
      </c>
      <c r="D732" s="437"/>
      <c r="E732" s="442"/>
      <c r="F732" s="73"/>
      <c r="G732" s="65"/>
      <c r="H732" s="251"/>
      <c r="I732" s="251"/>
      <c r="J732" s="252"/>
      <c r="K732" s="73">
        <v>0</v>
      </c>
      <c r="L732" s="575"/>
      <c r="M732" s="608">
        <v>0</v>
      </c>
      <c r="N732" s="609">
        <f t="shared" si="134"/>
        <v>0</v>
      </c>
      <c r="O732" s="612">
        <v>0</v>
      </c>
      <c r="P732" s="613">
        <f t="shared" si="135"/>
        <v>0</v>
      </c>
    </row>
    <row r="733" spans="2:16" ht="13.5" customHeight="1">
      <c r="B733" s="104">
        <f t="shared" si="129"/>
        <v>6.2300059999999959</v>
      </c>
      <c r="C733" s="57" t="s">
        <v>1461</v>
      </c>
      <c r="D733" s="437" t="s">
        <v>36</v>
      </c>
      <c r="E733" s="442">
        <v>237</v>
      </c>
      <c r="F733" s="73">
        <v>58.66</v>
      </c>
      <c r="G733" s="81">
        <v>35.950000000000003</v>
      </c>
      <c r="H733" s="160">
        <v>193.47</v>
      </c>
      <c r="I733" s="160">
        <f t="shared" ref="I733" si="136">+ROUND(E733*F733,2)</f>
        <v>13902.42</v>
      </c>
      <c r="J733" s="150">
        <f t="shared" ref="J733" si="137">+ROUND(E733*G733,2)</f>
        <v>8520.15</v>
      </c>
      <c r="K733" s="73">
        <v>45852.98</v>
      </c>
      <c r="L733" s="575"/>
      <c r="M733" s="608">
        <v>58.66</v>
      </c>
      <c r="N733" s="609">
        <f t="shared" si="134"/>
        <v>13902.42</v>
      </c>
      <c r="O733" s="612">
        <v>35.950000000000003</v>
      </c>
      <c r="P733" s="613">
        <f t="shared" si="135"/>
        <v>8520.1500000000015</v>
      </c>
    </row>
    <row r="734" spans="2:16" ht="13.5" customHeight="1">
      <c r="B734" s="104">
        <f t="shared" si="129"/>
        <v>6.2300069999999961</v>
      </c>
      <c r="C734" s="474" t="s">
        <v>1044</v>
      </c>
      <c r="D734" s="437"/>
      <c r="E734" s="442"/>
      <c r="F734" s="73"/>
      <c r="G734" s="65"/>
      <c r="H734" s="251"/>
      <c r="I734" s="251"/>
      <c r="J734" s="252"/>
      <c r="K734" s="73">
        <v>0</v>
      </c>
      <c r="L734" s="575"/>
      <c r="M734" s="608">
        <v>0</v>
      </c>
      <c r="N734" s="609">
        <f t="shared" si="134"/>
        <v>0</v>
      </c>
      <c r="O734" s="612">
        <v>0</v>
      </c>
      <c r="P734" s="613">
        <f t="shared" si="135"/>
        <v>0</v>
      </c>
    </row>
    <row r="735" spans="2:16" ht="13.5" customHeight="1">
      <c r="B735" s="104">
        <f t="shared" si="129"/>
        <v>6.2300079999999962</v>
      </c>
      <c r="C735" s="449" t="s">
        <v>1462</v>
      </c>
      <c r="D735" s="437" t="s">
        <v>36</v>
      </c>
      <c r="E735" s="442">
        <v>237</v>
      </c>
      <c r="F735" s="73">
        <v>234.43</v>
      </c>
      <c r="G735" s="81">
        <v>0</v>
      </c>
      <c r="H735" s="160">
        <v>234.43</v>
      </c>
      <c r="I735" s="160">
        <f t="shared" ref="I735" si="138">+ROUND(E735*F735,2)</f>
        <v>55559.91</v>
      </c>
      <c r="J735" s="150">
        <f t="shared" ref="J735" si="139">+ROUND(E735*G735,2)</f>
        <v>0</v>
      </c>
      <c r="K735" s="73">
        <v>55559.91</v>
      </c>
      <c r="L735" s="575"/>
      <c r="M735" s="608">
        <v>234.43</v>
      </c>
      <c r="N735" s="609">
        <f t="shared" si="134"/>
        <v>55559.91</v>
      </c>
      <c r="O735" s="612">
        <v>0</v>
      </c>
      <c r="P735" s="613">
        <f t="shared" si="135"/>
        <v>0</v>
      </c>
    </row>
    <row r="736" spans="2:16" ht="13.5" customHeight="1">
      <c r="B736" s="104">
        <f t="shared" si="129"/>
        <v>6.2300089999999964</v>
      </c>
      <c r="C736" s="449" t="s">
        <v>1463</v>
      </c>
      <c r="D736" s="437"/>
      <c r="E736" s="442"/>
      <c r="F736" s="73"/>
      <c r="G736" s="65"/>
      <c r="H736" s="251"/>
      <c r="I736" s="251"/>
      <c r="J736" s="252"/>
      <c r="K736" s="73">
        <v>0</v>
      </c>
      <c r="L736" s="575"/>
      <c r="M736" s="608">
        <v>0</v>
      </c>
      <c r="N736" s="609">
        <f t="shared" si="134"/>
        <v>0</v>
      </c>
      <c r="O736" s="612">
        <v>0</v>
      </c>
      <c r="P736" s="613">
        <f t="shared" si="135"/>
        <v>0</v>
      </c>
    </row>
    <row r="737" spans="2:16" ht="13.5" customHeight="1">
      <c r="B737" s="104">
        <f t="shared" si="129"/>
        <v>6.2300099999999965</v>
      </c>
      <c r="C737" s="474" t="s">
        <v>1004</v>
      </c>
      <c r="D737" s="437"/>
      <c r="E737" s="442"/>
      <c r="F737" s="73"/>
      <c r="G737" s="65"/>
      <c r="H737" s="251"/>
      <c r="I737" s="251"/>
      <c r="J737" s="252"/>
      <c r="K737" s="73">
        <v>0</v>
      </c>
      <c r="L737" s="575"/>
      <c r="M737" s="608">
        <v>0</v>
      </c>
      <c r="N737" s="609">
        <f t="shared" si="134"/>
        <v>0</v>
      </c>
      <c r="O737" s="612">
        <v>0</v>
      </c>
      <c r="P737" s="613">
        <f t="shared" si="135"/>
        <v>0</v>
      </c>
    </row>
    <row r="738" spans="2:16" ht="13.5" customHeight="1">
      <c r="B738" s="104">
        <f t="shared" si="129"/>
        <v>6.2300109999999966</v>
      </c>
      <c r="C738" s="449" t="s">
        <v>1464</v>
      </c>
      <c r="D738" s="437" t="s">
        <v>36</v>
      </c>
      <c r="E738" s="442">
        <v>446</v>
      </c>
      <c r="F738" s="73">
        <v>31.060000000000002</v>
      </c>
      <c r="G738" s="81">
        <v>31.91</v>
      </c>
      <c r="H738" s="160">
        <v>150.72</v>
      </c>
      <c r="I738" s="160">
        <f t="shared" ref="I738" si="140">+ROUND(E738*F738,2)</f>
        <v>13852.76</v>
      </c>
      <c r="J738" s="150">
        <f t="shared" ref="J738" si="141">+ROUND(E738*G738,2)</f>
        <v>14231.86</v>
      </c>
      <c r="K738" s="73">
        <v>67222.240000000005</v>
      </c>
      <c r="L738" s="575"/>
      <c r="M738" s="608">
        <v>31.060000000000002</v>
      </c>
      <c r="N738" s="609">
        <f t="shared" si="134"/>
        <v>13852.76</v>
      </c>
      <c r="O738" s="612">
        <v>31.91</v>
      </c>
      <c r="P738" s="613">
        <f t="shared" si="135"/>
        <v>14231.86</v>
      </c>
    </row>
    <row r="739" spans="2:16" ht="13.5" customHeight="1">
      <c r="B739" s="104">
        <f t="shared" si="129"/>
        <v>6.2300119999999968</v>
      </c>
      <c r="C739" s="44" t="s">
        <v>1465</v>
      </c>
      <c r="D739" s="437" t="s">
        <v>36</v>
      </c>
      <c r="E739" s="442">
        <v>446</v>
      </c>
      <c r="F739" s="73">
        <v>0</v>
      </c>
      <c r="G739" s="81">
        <v>29.81</v>
      </c>
      <c r="H739" s="160">
        <v>111.79</v>
      </c>
      <c r="I739" s="160">
        <f t="shared" ref="I739" si="142">+ROUND(E739*F739,2)</f>
        <v>0</v>
      </c>
      <c r="J739" s="150">
        <f t="shared" ref="J739" si="143">+ROUND(E739*G739,2)</f>
        <v>13295.26</v>
      </c>
      <c r="K739" s="73">
        <v>49857.23</v>
      </c>
      <c r="L739" s="575"/>
      <c r="M739" s="608">
        <v>0</v>
      </c>
      <c r="N739" s="609">
        <f t="shared" si="134"/>
        <v>0</v>
      </c>
      <c r="O739" s="612">
        <v>29.81</v>
      </c>
      <c r="P739" s="613">
        <f t="shared" si="135"/>
        <v>13295.26</v>
      </c>
    </row>
    <row r="740" spans="2:16" ht="13.5" customHeight="1">
      <c r="B740" s="104">
        <f t="shared" si="129"/>
        <v>6.2300129999999969</v>
      </c>
      <c r="C740" s="474" t="s">
        <v>1460</v>
      </c>
      <c r="D740" s="437"/>
      <c r="E740" s="442"/>
      <c r="F740" s="73"/>
      <c r="G740" s="65"/>
      <c r="H740" s="251"/>
      <c r="I740" s="251"/>
      <c r="J740" s="252"/>
      <c r="K740" s="73">
        <v>0</v>
      </c>
      <c r="L740" s="575"/>
      <c r="M740" s="608">
        <v>0</v>
      </c>
      <c r="N740" s="609">
        <f t="shared" si="134"/>
        <v>0</v>
      </c>
      <c r="O740" s="612">
        <v>0</v>
      </c>
      <c r="P740" s="613">
        <f t="shared" si="135"/>
        <v>0</v>
      </c>
    </row>
    <row r="741" spans="2:16" ht="25.15" customHeight="1">
      <c r="B741" s="104">
        <f t="shared" si="129"/>
        <v>6.2300139999999971</v>
      </c>
      <c r="C741" s="196" t="s">
        <v>1466</v>
      </c>
      <c r="D741" s="437" t="s">
        <v>36</v>
      </c>
      <c r="E741" s="442">
        <v>237</v>
      </c>
      <c r="F741" s="73">
        <v>31.060000000000002</v>
      </c>
      <c r="G741" s="81">
        <v>22.33</v>
      </c>
      <c r="H741" s="160">
        <v>114.8</v>
      </c>
      <c r="I741" s="160">
        <f t="shared" ref="I741" si="144">+ROUND(E741*F741,2)</f>
        <v>7361.22</v>
      </c>
      <c r="J741" s="150">
        <f t="shared" ref="J741" si="145">+ROUND(E741*G741,2)</f>
        <v>5292.21</v>
      </c>
      <c r="K741" s="73">
        <v>27207.01</v>
      </c>
      <c r="L741" s="575"/>
      <c r="M741" s="608">
        <v>31.060000000000002</v>
      </c>
      <c r="N741" s="609">
        <f t="shared" si="134"/>
        <v>7361.22</v>
      </c>
      <c r="O741" s="612">
        <v>22.33</v>
      </c>
      <c r="P741" s="613">
        <f t="shared" si="135"/>
        <v>5292.21</v>
      </c>
    </row>
    <row r="742" spans="2:16" ht="13.5" customHeight="1">
      <c r="B742" s="104">
        <f t="shared" si="129"/>
        <v>6.2300149999999972</v>
      </c>
      <c r="C742" s="474" t="s">
        <v>1044</v>
      </c>
      <c r="D742" s="437"/>
      <c r="E742" s="442"/>
      <c r="F742" s="73"/>
      <c r="G742" s="65"/>
      <c r="H742" s="251"/>
      <c r="I742" s="251"/>
      <c r="J742" s="252"/>
      <c r="K742" s="73">
        <v>0</v>
      </c>
      <c r="L742" s="575"/>
      <c r="M742" s="608">
        <v>0</v>
      </c>
      <c r="N742" s="609">
        <f t="shared" si="134"/>
        <v>0</v>
      </c>
      <c r="O742" s="612">
        <v>0</v>
      </c>
      <c r="P742" s="613">
        <f t="shared" si="135"/>
        <v>0</v>
      </c>
    </row>
    <row r="743" spans="2:16" ht="13.5" customHeight="1">
      <c r="B743" s="104">
        <f t="shared" si="129"/>
        <v>6.2300159999999973</v>
      </c>
      <c r="C743" s="258" t="s">
        <v>827</v>
      </c>
      <c r="D743" s="437" t="s">
        <v>36</v>
      </c>
      <c r="E743" s="442">
        <v>237</v>
      </c>
      <c r="F743" s="73">
        <v>24.2</v>
      </c>
      <c r="G743" s="81">
        <v>0</v>
      </c>
      <c r="H743" s="160">
        <v>24.2</v>
      </c>
      <c r="I743" s="160">
        <f t="shared" ref="I743" si="146">+ROUND(E743*F743,2)</f>
        <v>5735.4</v>
      </c>
      <c r="J743" s="150">
        <f t="shared" ref="J743" si="147">+ROUND(E743*G743,2)</f>
        <v>0</v>
      </c>
      <c r="K743" s="73">
        <v>5735.4</v>
      </c>
      <c r="L743" s="575"/>
      <c r="M743" s="608">
        <v>24.2</v>
      </c>
      <c r="N743" s="609">
        <f t="shared" si="134"/>
        <v>5735.4</v>
      </c>
      <c r="O743" s="612">
        <v>0</v>
      </c>
      <c r="P743" s="613">
        <f t="shared" si="135"/>
        <v>0</v>
      </c>
    </row>
    <row r="744" spans="2:16" ht="13.5" customHeight="1">
      <c r="B744" s="104">
        <f t="shared" si="129"/>
        <v>6.2300169999999975</v>
      </c>
      <c r="C744" s="467" t="s">
        <v>1002</v>
      </c>
      <c r="D744" s="437"/>
      <c r="E744" s="442"/>
      <c r="F744" s="73"/>
      <c r="G744" s="65"/>
      <c r="H744" s="251"/>
      <c r="I744" s="251"/>
      <c r="J744" s="252"/>
      <c r="K744" s="73">
        <v>0</v>
      </c>
      <c r="L744" s="575"/>
      <c r="M744" s="608">
        <v>0</v>
      </c>
      <c r="N744" s="609">
        <f t="shared" si="134"/>
        <v>0</v>
      </c>
      <c r="O744" s="612">
        <v>0</v>
      </c>
      <c r="P744" s="613">
        <f t="shared" si="135"/>
        <v>0</v>
      </c>
    </row>
    <row r="745" spans="2:16" ht="13.5" customHeight="1">
      <c r="B745" s="104">
        <f t="shared" si="129"/>
        <v>6.2300179999999976</v>
      </c>
      <c r="C745" s="467" t="s">
        <v>1457</v>
      </c>
      <c r="D745" s="437"/>
      <c r="E745" s="442"/>
      <c r="F745" s="73"/>
      <c r="G745" s="65"/>
      <c r="H745" s="251"/>
      <c r="I745" s="251"/>
      <c r="J745" s="252"/>
      <c r="K745" s="73">
        <v>0</v>
      </c>
      <c r="L745" s="575"/>
      <c r="M745" s="608">
        <v>0</v>
      </c>
      <c r="N745" s="609">
        <f t="shared" si="134"/>
        <v>0</v>
      </c>
      <c r="O745" s="612">
        <v>0</v>
      </c>
      <c r="P745" s="613">
        <f t="shared" si="135"/>
        <v>0</v>
      </c>
    </row>
    <row r="746" spans="2:16" ht="13.5" customHeight="1">
      <c r="B746" s="104">
        <f t="shared" si="129"/>
        <v>6.2300189999999978</v>
      </c>
      <c r="C746" s="474" t="s">
        <v>1004</v>
      </c>
      <c r="D746" s="437"/>
      <c r="E746" s="442"/>
      <c r="F746" s="73"/>
      <c r="G746" s="65"/>
      <c r="H746" s="251"/>
      <c r="I746" s="251"/>
      <c r="J746" s="252"/>
      <c r="K746" s="73">
        <v>0</v>
      </c>
      <c r="L746" s="575"/>
      <c r="M746" s="608">
        <v>0</v>
      </c>
      <c r="N746" s="609">
        <f t="shared" si="134"/>
        <v>0</v>
      </c>
      <c r="O746" s="612">
        <v>0</v>
      </c>
      <c r="P746" s="613">
        <f t="shared" si="135"/>
        <v>0</v>
      </c>
    </row>
    <row r="747" spans="2:16" ht="13.5" customHeight="1">
      <c r="B747" s="104">
        <f t="shared" si="129"/>
        <v>6.2300199999999979</v>
      </c>
      <c r="C747" s="57" t="s">
        <v>1467</v>
      </c>
      <c r="D747" s="437" t="s">
        <v>36</v>
      </c>
      <c r="E747" s="442">
        <v>7</v>
      </c>
      <c r="F747" s="73">
        <v>355.10999999999996</v>
      </c>
      <c r="G747" s="81">
        <v>0</v>
      </c>
      <c r="H747" s="160">
        <v>355.11</v>
      </c>
      <c r="I747" s="160">
        <f t="shared" ref="I747" si="148">+ROUND(E747*F747,2)</f>
        <v>2485.77</v>
      </c>
      <c r="J747" s="150">
        <f t="shared" ref="J747" si="149">+ROUND(E747*G747,2)</f>
        <v>0</v>
      </c>
      <c r="K747" s="73">
        <v>2485.77</v>
      </c>
      <c r="L747" s="575"/>
      <c r="M747" s="608">
        <v>355.10999999999996</v>
      </c>
      <c r="N747" s="609">
        <f t="shared" si="134"/>
        <v>2485.7699999999995</v>
      </c>
      <c r="O747" s="612">
        <v>0</v>
      </c>
      <c r="P747" s="613">
        <f t="shared" si="135"/>
        <v>0</v>
      </c>
    </row>
    <row r="748" spans="2:16" ht="13.5" customHeight="1">
      <c r="B748" s="104">
        <f t="shared" si="129"/>
        <v>6.230020999999998</v>
      </c>
      <c r="C748" s="474" t="s">
        <v>1468</v>
      </c>
      <c r="D748" s="437"/>
      <c r="E748" s="442"/>
      <c r="F748" s="73"/>
      <c r="G748" s="81"/>
      <c r="H748" s="160"/>
      <c r="I748" s="160"/>
      <c r="J748" s="150"/>
      <c r="K748" s="73">
        <v>0</v>
      </c>
      <c r="L748" s="575"/>
      <c r="M748" s="608">
        <v>0</v>
      </c>
      <c r="N748" s="609">
        <f t="shared" si="134"/>
        <v>0</v>
      </c>
      <c r="O748" s="612">
        <v>0</v>
      </c>
      <c r="P748" s="613">
        <f t="shared" si="135"/>
        <v>0</v>
      </c>
    </row>
    <row r="749" spans="2:16" ht="13.5" customHeight="1">
      <c r="B749" s="104">
        <f t="shared" si="129"/>
        <v>6.2300219999999982</v>
      </c>
      <c r="C749" s="43" t="s">
        <v>1469</v>
      </c>
      <c r="D749" s="437" t="s">
        <v>36</v>
      </c>
      <c r="E749" s="442">
        <v>3</v>
      </c>
      <c r="F749" s="73">
        <v>196.63</v>
      </c>
      <c r="G749" s="81">
        <v>0</v>
      </c>
      <c r="H749" s="160">
        <v>196.63</v>
      </c>
      <c r="I749" s="160">
        <f t="shared" ref="I749" si="150">+ROUND(E749*F749,2)</f>
        <v>589.89</v>
      </c>
      <c r="J749" s="150">
        <f t="shared" ref="J749" si="151">+ROUND(E749*G749,2)</f>
        <v>0</v>
      </c>
      <c r="K749" s="73">
        <v>589.89</v>
      </c>
      <c r="L749" s="575"/>
      <c r="M749" s="608">
        <v>196.63</v>
      </c>
      <c r="N749" s="609">
        <f t="shared" si="134"/>
        <v>589.89</v>
      </c>
      <c r="O749" s="612">
        <v>0</v>
      </c>
      <c r="P749" s="613">
        <f t="shared" si="135"/>
        <v>0</v>
      </c>
    </row>
    <row r="750" spans="2:16" ht="13.5" customHeight="1">
      <c r="B750" s="104">
        <f t="shared" si="129"/>
        <v>6.2300229999999983</v>
      </c>
      <c r="C750" s="474" t="s">
        <v>1470</v>
      </c>
      <c r="D750" s="437"/>
      <c r="E750" s="442"/>
      <c r="F750" s="73" t="s">
        <v>7</v>
      </c>
      <c r="G750" s="81" t="s">
        <v>7</v>
      </c>
      <c r="H750" s="160"/>
      <c r="I750" s="160"/>
      <c r="J750" s="150"/>
      <c r="K750" s="73">
        <v>0</v>
      </c>
      <c r="L750" s="575"/>
      <c r="M750" s="608" t="s">
        <v>7</v>
      </c>
      <c r="N750" s="609"/>
      <c r="O750" s="612" t="s">
        <v>7</v>
      </c>
      <c r="P750" s="613"/>
    </row>
    <row r="751" spans="2:16" ht="13.5" customHeight="1">
      <c r="B751" s="104">
        <f t="shared" si="129"/>
        <v>6.2300239999999985</v>
      </c>
      <c r="C751" s="43" t="s">
        <v>1471</v>
      </c>
      <c r="D751" s="437" t="s">
        <v>36</v>
      </c>
      <c r="E751" s="442">
        <v>4</v>
      </c>
      <c r="F751" s="73">
        <v>329.76</v>
      </c>
      <c r="G751" s="81">
        <v>0</v>
      </c>
      <c r="H751" s="160">
        <v>329.76</v>
      </c>
      <c r="I751" s="160">
        <f t="shared" ref="I751" si="152">+ROUND(E751*F751,2)</f>
        <v>1319.04</v>
      </c>
      <c r="J751" s="150">
        <f t="shared" ref="J751" si="153">+ROUND(E751*G751,2)</f>
        <v>0</v>
      </c>
      <c r="K751" s="73">
        <v>1319.04</v>
      </c>
      <c r="L751" s="575"/>
      <c r="M751" s="608">
        <v>329.76</v>
      </c>
      <c r="N751" s="609">
        <f t="shared" si="134"/>
        <v>1319.04</v>
      </c>
      <c r="O751" s="612">
        <v>0</v>
      </c>
      <c r="P751" s="613">
        <f t="shared" si="135"/>
        <v>0</v>
      </c>
    </row>
    <row r="752" spans="2:16" ht="13.5" customHeight="1">
      <c r="B752" s="104">
        <f t="shared" si="129"/>
        <v>6.2300249999999986</v>
      </c>
      <c r="C752" s="474" t="s">
        <v>1472</v>
      </c>
      <c r="D752" s="437"/>
      <c r="E752" s="442"/>
      <c r="F752" s="73" t="s">
        <v>7</v>
      </c>
      <c r="G752" s="81" t="s">
        <v>7</v>
      </c>
      <c r="H752" s="160"/>
      <c r="I752" s="160"/>
      <c r="J752" s="150"/>
      <c r="K752" s="73">
        <v>0</v>
      </c>
      <c r="L752" s="575"/>
      <c r="M752" s="608" t="s">
        <v>7</v>
      </c>
      <c r="N752" s="609"/>
      <c r="O752" s="612" t="s">
        <v>7</v>
      </c>
      <c r="P752" s="613"/>
    </row>
    <row r="753" spans="2:16" ht="13.5" customHeight="1">
      <c r="B753" s="104">
        <f t="shared" si="129"/>
        <v>6.2300259999999987</v>
      </c>
      <c r="C753" s="43" t="s">
        <v>1473</v>
      </c>
      <c r="D753" s="437" t="s">
        <v>36</v>
      </c>
      <c r="E753" s="442">
        <v>6</v>
      </c>
      <c r="F753" s="73">
        <v>211.76</v>
      </c>
      <c r="G753" s="81">
        <v>0</v>
      </c>
      <c r="H753" s="160">
        <v>211.76</v>
      </c>
      <c r="I753" s="160">
        <f t="shared" ref="I753:I760" si="154">+ROUND(E753*F753,2)</f>
        <v>1270.56</v>
      </c>
      <c r="J753" s="150">
        <f t="shared" ref="J753:J760" si="155">+ROUND(E753*G753,2)</f>
        <v>0</v>
      </c>
      <c r="K753" s="73">
        <v>1270.56</v>
      </c>
      <c r="L753" s="575"/>
      <c r="M753" s="608">
        <v>211.76</v>
      </c>
      <c r="N753" s="609">
        <f t="shared" si="134"/>
        <v>1270.56</v>
      </c>
      <c r="O753" s="612">
        <v>0</v>
      </c>
      <c r="P753" s="613">
        <f t="shared" si="135"/>
        <v>0</v>
      </c>
    </row>
    <row r="754" spans="2:16" ht="13.5" customHeight="1">
      <c r="B754" s="104">
        <f t="shared" si="129"/>
        <v>6.2300269999999989</v>
      </c>
      <c r="C754" s="467" t="s">
        <v>1463</v>
      </c>
      <c r="D754" s="437"/>
      <c r="E754" s="442"/>
      <c r="F754" s="73" t="s">
        <v>7</v>
      </c>
      <c r="G754" s="81" t="s">
        <v>7</v>
      </c>
      <c r="H754" s="160"/>
      <c r="I754" s="160"/>
      <c r="J754" s="150"/>
      <c r="K754" s="73">
        <v>0</v>
      </c>
      <c r="L754" s="575"/>
      <c r="M754" s="608" t="s">
        <v>7</v>
      </c>
      <c r="N754" s="609"/>
      <c r="O754" s="612" t="s">
        <v>7</v>
      </c>
      <c r="P754" s="613"/>
    </row>
    <row r="755" spans="2:16" ht="13.5" customHeight="1">
      <c r="B755" s="104">
        <f t="shared" si="129"/>
        <v>6.230027999999999</v>
      </c>
      <c r="C755" s="474" t="s">
        <v>1474</v>
      </c>
      <c r="D755" s="437"/>
      <c r="E755" s="442"/>
      <c r="F755" s="73" t="s">
        <v>7</v>
      </c>
      <c r="G755" s="81" t="s">
        <v>7</v>
      </c>
      <c r="H755" s="160"/>
      <c r="I755" s="160"/>
      <c r="J755" s="150"/>
      <c r="K755" s="73">
        <v>0</v>
      </c>
      <c r="L755" s="575"/>
      <c r="M755" s="608" t="s">
        <v>7</v>
      </c>
      <c r="N755" s="609"/>
      <c r="O755" s="612" t="s">
        <v>7</v>
      </c>
      <c r="P755" s="613"/>
    </row>
    <row r="756" spans="2:16" ht="13.5" customHeight="1">
      <c r="B756" s="104">
        <f t="shared" si="129"/>
        <v>6.2300289999999992</v>
      </c>
      <c r="C756" s="449" t="s">
        <v>1475</v>
      </c>
      <c r="D756" s="437" t="s">
        <v>36</v>
      </c>
      <c r="E756" s="442">
        <v>7</v>
      </c>
      <c r="F756" s="73">
        <v>189.46</v>
      </c>
      <c r="G756" s="81">
        <v>0</v>
      </c>
      <c r="H756" s="160">
        <v>189.46</v>
      </c>
      <c r="I756" s="160">
        <f t="shared" si="154"/>
        <v>1326.22</v>
      </c>
      <c r="J756" s="150">
        <f t="shared" si="155"/>
        <v>0</v>
      </c>
      <c r="K756" s="73">
        <v>1326.22</v>
      </c>
      <c r="L756" s="575"/>
      <c r="M756" s="608">
        <v>189.46</v>
      </c>
      <c r="N756" s="609">
        <f t="shared" si="134"/>
        <v>1326.22</v>
      </c>
      <c r="O756" s="612">
        <v>0</v>
      </c>
      <c r="P756" s="613">
        <f t="shared" si="135"/>
        <v>0</v>
      </c>
    </row>
    <row r="757" spans="2:16" ht="13.5" customHeight="1">
      <c r="B757" s="104">
        <f t="shared" si="129"/>
        <v>6.2300299999999993</v>
      </c>
      <c r="C757" s="449" t="s">
        <v>1476</v>
      </c>
      <c r="D757" s="437" t="s">
        <v>36</v>
      </c>
      <c r="E757" s="442">
        <v>6</v>
      </c>
      <c r="F757" s="73">
        <v>372.81</v>
      </c>
      <c r="G757" s="81">
        <v>0</v>
      </c>
      <c r="H757" s="160">
        <v>372.81</v>
      </c>
      <c r="I757" s="160">
        <f t="shared" si="154"/>
        <v>2236.86</v>
      </c>
      <c r="J757" s="150">
        <f t="shared" si="155"/>
        <v>0</v>
      </c>
      <c r="K757" s="73">
        <v>2236.86</v>
      </c>
      <c r="L757" s="575"/>
      <c r="M757" s="608">
        <v>372.81</v>
      </c>
      <c r="N757" s="609">
        <f t="shared" si="134"/>
        <v>2236.86</v>
      </c>
      <c r="O757" s="612">
        <v>0</v>
      </c>
      <c r="P757" s="613">
        <f t="shared" si="135"/>
        <v>0</v>
      </c>
    </row>
    <row r="758" spans="2:16" ht="13.5" customHeight="1">
      <c r="B758" s="104">
        <f t="shared" si="129"/>
        <v>6.2300309999999994</v>
      </c>
      <c r="C758" s="474" t="s">
        <v>1477</v>
      </c>
      <c r="D758" s="437"/>
      <c r="E758" s="442"/>
      <c r="F758" s="73" t="s">
        <v>7</v>
      </c>
      <c r="G758" s="81" t="s">
        <v>7</v>
      </c>
      <c r="H758" s="160"/>
      <c r="I758" s="160"/>
      <c r="J758" s="150"/>
      <c r="K758" s="73">
        <v>0</v>
      </c>
      <c r="L758" s="575"/>
      <c r="M758" s="608" t="s">
        <v>7</v>
      </c>
      <c r="N758" s="609"/>
      <c r="O758" s="612" t="s">
        <v>7</v>
      </c>
      <c r="P758" s="613"/>
    </row>
    <row r="759" spans="2:16" ht="13.5" customHeight="1">
      <c r="B759" s="104">
        <f t="shared" si="129"/>
        <v>6.2300319999999996</v>
      </c>
      <c r="C759" s="449" t="s">
        <v>1478</v>
      </c>
      <c r="D759" s="437" t="s">
        <v>36</v>
      </c>
      <c r="E759" s="442">
        <v>8</v>
      </c>
      <c r="F759" s="73">
        <v>250</v>
      </c>
      <c r="G759" s="81">
        <v>0</v>
      </c>
      <c r="H759" s="160">
        <v>250</v>
      </c>
      <c r="I759" s="160">
        <f t="shared" si="154"/>
        <v>2000</v>
      </c>
      <c r="J759" s="150">
        <f t="shared" si="155"/>
        <v>0</v>
      </c>
      <c r="K759" s="73">
        <v>2000</v>
      </c>
      <c r="L759" s="575"/>
      <c r="M759" s="608">
        <v>250</v>
      </c>
      <c r="N759" s="609">
        <f t="shared" si="134"/>
        <v>2000</v>
      </c>
      <c r="O759" s="612">
        <v>0</v>
      </c>
      <c r="P759" s="613">
        <f t="shared" si="135"/>
        <v>0</v>
      </c>
    </row>
    <row r="760" spans="2:16" ht="13.5" customHeight="1">
      <c r="B760" s="104">
        <f t="shared" si="129"/>
        <v>6.2300329999999997</v>
      </c>
      <c r="C760" s="44" t="s">
        <v>1479</v>
      </c>
      <c r="D760" s="437" t="s">
        <v>36</v>
      </c>
      <c r="E760" s="442">
        <v>8</v>
      </c>
      <c r="F760" s="73">
        <v>250</v>
      </c>
      <c r="G760" s="81">
        <v>0</v>
      </c>
      <c r="H760" s="160">
        <v>250</v>
      </c>
      <c r="I760" s="160">
        <f t="shared" si="154"/>
        <v>2000</v>
      </c>
      <c r="J760" s="150">
        <f t="shared" si="155"/>
        <v>0</v>
      </c>
      <c r="K760" s="73">
        <v>2000</v>
      </c>
      <c r="L760" s="575"/>
      <c r="M760" s="608">
        <v>250</v>
      </c>
      <c r="N760" s="609">
        <f t="shared" si="134"/>
        <v>2000</v>
      </c>
      <c r="O760" s="612">
        <v>0</v>
      </c>
      <c r="P760" s="613">
        <f t="shared" si="135"/>
        <v>0</v>
      </c>
    </row>
    <row r="761" spans="2:16" ht="13.5" customHeight="1">
      <c r="B761" s="104">
        <f t="shared" si="129"/>
        <v>6.2300339999999998</v>
      </c>
      <c r="C761" s="467" t="s">
        <v>1084</v>
      </c>
      <c r="D761" s="437"/>
      <c r="E761" s="442"/>
      <c r="F761" s="73"/>
      <c r="G761" s="65"/>
      <c r="H761" s="251"/>
      <c r="I761" s="251"/>
      <c r="J761" s="252"/>
      <c r="K761" s="73">
        <v>0</v>
      </c>
      <c r="L761" s="575"/>
      <c r="M761" s="608">
        <v>0</v>
      </c>
      <c r="N761" s="609">
        <f t="shared" si="134"/>
        <v>0</v>
      </c>
      <c r="O761" s="612">
        <v>0</v>
      </c>
      <c r="P761" s="613">
        <f t="shared" si="135"/>
        <v>0</v>
      </c>
    </row>
    <row r="762" spans="2:16" ht="13.5" customHeight="1">
      <c r="B762" s="104">
        <f t="shared" si="129"/>
        <v>6.230035</v>
      </c>
      <c r="C762" s="467" t="s">
        <v>1480</v>
      </c>
      <c r="D762" s="437"/>
      <c r="E762" s="442"/>
      <c r="F762" s="73"/>
      <c r="G762" s="65"/>
      <c r="H762" s="251"/>
      <c r="I762" s="251"/>
      <c r="J762" s="252"/>
      <c r="K762" s="73">
        <v>0</v>
      </c>
      <c r="L762" s="575"/>
      <c r="M762" s="608">
        <v>0</v>
      </c>
      <c r="N762" s="609">
        <f t="shared" si="134"/>
        <v>0</v>
      </c>
      <c r="O762" s="612">
        <v>0</v>
      </c>
      <c r="P762" s="613">
        <f t="shared" si="135"/>
        <v>0</v>
      </c>
    </row>
    <row r="763" spans="2:16" ht="13.5" customHeight="1">
      <c r="B763" s="104">
        <f t="shared" si="129"/>
        <v>6.2300360000000001</v>
      </c>
      <c r="C763" s="467" t="s">
        <v>1457</v>
      </c>
      <c r="D763" s="437"/>
      <c r="E763" s="442"/>
      <c r="F763" s="73"/>
      <c r="G763" s="65"/>
      <c r="H763" s="251"/>
      <c r="I763" s="251"/>
      <c r="J763" s="252"/>
      <c r="K763" s="73">
        <v>0</v>
      </c>
      <c r="L763" s="575"/>
      <c r="M763" s="608">
        <v>0</v>
      </c>
      <c r="N763" s="609">
        <f t="shared" si="134"/>
        <v>0</v>
      </c>
      <c r="O763" s="612">
        <v>0</v>
      </c>
      <c r="P763" s="613">
        <f t="shared" si="135"/>
        <v>0</v>
      </c>
    </row>
    <row r="764" spans="2:16" ht="13.5" customHeight="1">
      <c r="B764" s="104">
        <f t="shared" si="129"/>
        <v>6.2300370000000003</v>
      </c>
      <c r="C764" s="474" t="s">
        <v>1481</v>
      </c>
      <c r="D764" s="437"/>
      <c r="E764" s="442"/>
      <c r="F764" s="73"/>
      <c r="G764" s="65"/>
      <c r="H764" s="251"/>
      <c r="I764" s="251"/>
      <c r="J764" s="252"/>
      <c r="K764" s="73">
        <v>0</v>
      </c>
      <c r="L764" s="575"/>
      <c r="M764" s="608">
        <v>0</v>
      </c>
      <c r="N764" s="609">
        <f t="shared" si="134"/>
        <v>0</v>
      </c>
      <c r="O764" s="612">
        <v>0</v>
      </c>
      <c r="P764" s="613">
        <f t="shared" si="135"/>
        <v>0</v>
      </c>
    </row>
    <row r="765" spans="2:16" ht="13.5" customHeight="1">
      <c r="B765" s="104">
        <f t="shared" si="129"/>
        <v>6.2300380000000004</v>
      </c>
      <c r="C765" s="57" t="s">
        <v>1467</v>
      </c>
      <c r="D765" s="437" t="s">
        <v>36</v>
      </c>
      <c r="E765" s="442">
        <v>10</v>
      </c>
      <c r="F765" s="73">
        <v>355.10999999999996</v>
      </c>
      <c r="G765" s="81">
        <v>0</v>
      </c>
      <c r="H765" s="160">
        <v>355.11</v>
      </c>
      <c r="I765" s="160">
        <f t="shared" ref="I765" si="156">+ROUND(E765*F765,2)</f>
        <v>3551.1</v>
      </c>
      <c r="J765" s="150">
        <f t="shared" ref="J765" si="157">+ROUND(E765*G765,2)</f>
        <v>0</v>
      </c>
      <c r="K765" s="73">
        <v>3551.1</v>
      </c>
      <c r="L765" s="575"/>
      <c r="M765" s="608">
        <v>355.10999999999996</v>
      </c>
      <c r="N765" s="609">
        <f t="shared" si="134"/>
        <v>3551.0999999999995</v>
      </c>
      <c r="O765" s="612">
        <v>0</v>
      </c>
      <c r="P765" s="613">
        <f t="shared" si="135"/>
        <v>0</v>
      </c>
    </row>
    <row r="766" spans="2:16" ht="13.5" customHeight="1">
      <c r="B766" s="104">
        <f t="shared" si="129"/>
        <v>6.2300390000000005</v>
      </c>
      <c r="C766" s="474" t="s">
        <v>1482</v>
      </c>
      <c r="D766" s="437"/>
      <c r="E766" s="442"/>
      <c r="F766" s="73"/>
      <c r="G766" s="81"/>
      <c r="H766" s="160"/>
      <c r="I766" s="160"/>
      <c r="J766" s="150"/>
      <c r="K766" s="73">
        <v>0</v>
      </c>
      <c r="L766" s="575"/>
      <c r="M766" s="608">
        <v>0</v>
      </c>
      <c r="N766" s="609">
        <f t="shared" si="134"/>
        <v>0</v>
      </c>
      <c r="O766" s="612">
        <v>0</v>
      </c>
      <c r="P766" s="613">
        <f t="shared" si="135"/>
        <v>0</v>
      </c>
    </row>
    <row r="767" spans="2:16" ht="13.5" customHeight="1">
      <c r="B767" s="104">
        <f t="shared" si="129"/>
        <v>6.2300400000000007</v>
      </c>
      <c r="C767" s="43" t="s">
        <v>1469</v>
      </c>
      <c r="D767" s="437" t="s">
        <v>36</v>
      </c>
      <c r="E767" s="442">
        <v>7</v>
      </c>
      <c r="F767" s="73">
        <v>196.63</v>
      </c>
      <c r="G767" s="81">
        <v>0</v>
      </c>
      <c r="H767" s="160">
        <v>196.63</v>
      </c>
      <c r="I767" s="160">
        <f t="shared" ref="I767:I769" si="158">+ROUND(E767*F767,2)</f>
        <v>1376.41</v>
      </c>
      <c r="J767" s="150">
        <f t="shared" ref="J767:J769" si="159">+ROUND(E767*G767,2)</f>
        <v>0</v>
      </c>
      <c r="K767" s="73">
        <v>1376.41</v>
      </c>
      <c r="L767" s="575"/>
      <c r="M767" s="608">
        <v>196.63</v>
      </c>
      <c r="N767" s="609">
        <f t="shared" si="134"/>
        <v>1376.4099999999999</v>
      </c>
      <c r="O767" s="612">
        <v>0</v>
      </c>
      <c r="P767" s="613">
        <f t="shared" si="135"/>
        <v>0</v>
      </c>
    </row>
    <row r="768" spans="2:16" ht="13.5" customHeight="1">
      <c r="B768" s="104">
        <f t="shared" si="129"/>
        <v>6.2300410000000008</v>
      </c>
      <c r="C768" s="474" t="s">
        <v>1470</v>
      </c>
      <c r="D768" s="437"/>
      <c r="E768" s="442"/>
      <c r="F768" s="73"/>
      <c r="G768" s="81"/>
      <c r="H768" s="160"/>
      <c r="I768" s="160"/>
      <c r="J768" s="150"/>
      <c r="K768" s="73">
        <v>0</v>
      </c>
      <c r="L768" s="575"/>
      <c r="M768" s="608">
        <v>0</v>
      </c>
      <c r="N768" s="609">
        <f t="shared" si="134"/>
        <v>0</v>
      </c>
      <c r="O768" s="612">
        <v>0</v>
      </c>
      <c r="P768" s="613">
        <f t="shared" si="135"/>
        <v>0</v>
      </c>
    </row>
    <row r="769" spans="2:16" ht="13.5" customHeight="1">
      <c r="B769" s="104">
        <f t="shared" si="129"/>
        <v>6.230042000000001</v>
      </c>
      <c r="C769" s="43" t="s">
        <v>1471</v>
      </c>
      <c r="D769" s="437" t="s">
        <v>36</v>
      </c>
      <c r="E769" s="442">
        <v>3</v>
      </c>
      <c r="F769" s="73">
        <v>329.76</v>
      </c>
      <c r="G769" s="81">
        <v>0</v>
      </c>
      <c r="H769" s="160">
        <v>329.76</v>
      </c>
      <c r="I769" s="160">
        <f t="shared" si="158"/>
        <v>989.28</v>
      </c>
      <c r="J769" s="150">
        <f t="shared" si="159"/>
        <v>0</v>
      </c>
      <c r="K769" s="73">
        <v>989.28</v>
      </c>
      <c r="L769" s="575"/>
      <c r="M769" s="608">
        <v>329.76</v>
      </c>
      <c r="N769" s="609">
        <f t="shared" si="134"/>
        <v>989.28</v>
      </c>
      <c r="O769" s="612">
        <v>0</v>
      </c>
      <c r="P769" s="613">
        <f t="shared" si="135"/>
        <v>0</v>
      </c>
    </row>
    <row r="770" spans="2:16" ht="13.5" customHeight="1">
      <c r="B770" s="104">
        <f t="shared" si="129"/>
        <v>6.2300430000000011</v>
      </c>
      <c r="C770" s="474" t="s">
        <v>1483</v>
      </c>
      <c r="D770" s="437"/>
      <c r="E770" s="442"/>
      <c r="F770" s="73"/>
      <c r="G770" s="81"/>
      <c r="H770" s="160"/>
      <c r="I770" s="160"/>
      <c r="J770" s="150"/>
      <c r="K770" s="73">
        <v>0</v>
      </c>
      <c r="L770" s="575"/>
      <c r="M770" s="608">
        <v>0</v>
      </c>
      <c r="N770" s="609">
        <f t="shared" si="134"/>
        <v>0</v>
      </c>
      <c r="O770" s="612">
        <v>0</v>
      </c>
      <c r="P770" s="613">
        <f t="shared" si="135"/>
        <v>0</v>
      </c>
    </row>
    <row r="771" spans="2:16" ht="13.5" customHeight="1">
      <c r="B771" s="104">
        <f t="shared" si="129"/>
        <v>6.2300440000000012</v>
      </c>
      <c r="C771" s="43" t="s">
        <v>1473</v>
      </c>
      <c r="D771" s="437" t="s">
        <v>36</v>
      </c>
      <c r="E771" s="442">
        <v>5</v>
      </c>
      <c r="F771" s="73">
        <v>211.76</v>
      </c>
      <c r="G771" s="81">
        <v>0</v>
      </c>
      <c r="H771" s="160">
        <v>211.76</v>
      </c>
      <c r="I771" s="160">
        <f t="shared" ref="I771" si="160">+ROUND(E771*F771,2)</f>
        <v>1058.8</v>
      </c>
      <c r="J771" s="150">
        <f t="shared" ref="J771" si="161">+ROUND(E771*G771,2)</f>
        <v>0</v>
      </c>
      <c r="K771" s="73">
        <v>1058.8</v>
      </c>
      <c r="L771" s="575"/>
      <c r="M771" s="608">
        <v>211.76</v>
      </c>
      <c r="N771" s="609">
        <f t="shared" si="134"/>
        <v>1058.8</v>
      </c>
      <c r="O771" s="612">
        <v>0</v>
      </c>
      <c r="P771" s="613">
        <f t="shared" si="135"/>
        <v>0</v>
      </c>
    </row>
    <row r="772" spans="2:16" ht="13.5" customHeight="1">
      <c r="B772" s="104">
        <f t="shared" si="129"/>
        <v>6.2300450000000014</v>
      </c>
      <c r="C772" s="467" t="s">
        <v>1463</v>
      </c>
      <c r="D772" s="437"/>
      <c r="E772" s="442"/>
      <c r="F772" s="73"/>
      <c r="G772" s="65"/>
      <c r="H772" s="251"/>
      <c r="I772" s="251"/>
      <c r="J772" s="252"/>
      <c r="K772" s="73">
        <v>0</v>
      </c>
      <c r="L772" s="575"/>
      <c r="M772" s="608">
        <v>0</v>
      </c>
      <c r="N772" s="609">
        <f t="shared" si="134"/>
        <v>0</v>
      </c>
      <c r="O772" s="612">
        <v>0</v>
      </c>
      <c r="P772" s="613">
        <f t="shared" si="135"/>
        <v>0</v>
      </c>
    </row>
    <row r="773" spans="2:16" ht="13.5" customHeight="1">
      <c r="B773" s="104">
        <f t="shared" si="129"/>
        <v>6.2300460000000015</v>
      </c>
      <c r="C773" s="474" t="s">
        <v>1481</v>
      </c>
      <c r="D773" s="437"/>
      <c r="E773" s="442"/>
      <c r="F773" s="73"/>
      <c r="G773" s="65"/>
      <c r="H773" s="251"/>
      <c r="I773" s="251"/>
      <c r="J773" s="252"/>
      <c r="K773" s="73">
        <v>0</v>
      </c>
      <c r="L773" s="575"/>
      <c r="M773" s="608">
        <v>0</v>
      </c>
      <c r="N773" s="609">
        <f t="shared" si="134"/>
        <v>0</v>
      </c>
      <c r="O773" s="612">
        <v>0</v>
      </c>
      <c r="P773" s="613">
        <f t="shared" si="135"/>
        <v>0</v>
      </c>
    </row>
    <row r="774" spans="2:16" ht="13.5" customHeight="1">
      <c r="B774" s="104">
        <f t="shared" si="129"/>
        <v>6.2300470000000017</v>
      </c>
      <c r="C774" s="449" t="s">
        <v>1475</v>
      </c>
      <c r="D774" s="437" t="s">
        <v>36</v>
      </c>
      <c r="E774" s="442">
        <v>10</v>
      </c>
      <c r="F774" s="73">
        <v>189.46</v>
      </c>
      <c r="G774" s="81">
        <v>0</v>
      </c>
      <c r="H774" s="160">
        <v>189.46</v>
      </c>
      <c r="I774" s="160">
        <f t="shared" ref="I774" si="162">+ROUND(E774*F774,2)</f>
        <v>1894.6</v>
      </c>
      <c r="J774" s="150">
        <f t="shared" ref="J774" si="163">+ROUND(E774*G774,2)</f>
        <v>0</v>
      </c>
      <c r="K774" s="73">
        <v>1894.6</v>
      </c>
      <c r="L774" s="575"/>
      <c r="M774" s="608">
        <v>189.46</v>
      </c>
      <c r="N774" s="609">
        <f t="shared" si="134"/>
        <v>1894.6000000000001</v>
      </c>
      <c r="O774" s="612">
        <v>0</v>
      </c>
      <c r="P774" s="613">
        <f t="shared" si="135"/>
        <v>0</v>
      </c>
    </row>
    <row r="775" spans="2:16" ht="13.5" customHeight="1">
      <c r="B775" s="104">
        <f t="shared" si="129"/>
        <v>6.2300480000000018</v>
      </c>
      <c r="C775" s="449" t="s">
        <v>1476</v>
      </c>
      <c r="D775" s="437" t="s">
        <v>36</v>
      </c>
      <c r="E775" s="442">
        <v>5</v>
      </c>
      <c r="F775" s="73">
        <v>372.81</v>
      </c>
      <c r="G775" s="81">
        <v>0</v>
      </c>
      <c r="H775" s="160">
        <v>372.81</v>
      </c>
      <c r="I775" s="160">
        <f t="shared" ref="I775" si="164">+ROUND(E775*F775,2)</f>
        <v>1864.05</v>
      </c>
      <c r="J775" s="150">
        <f t="shared" ref="J775" si="165">+ROUND(E775*G775,2)</f>
        <v>0</v>
      </c>
      <c r="K775" s="73">
        <v>1864.05</v>
      </c>
      <c r="L775" s="575"/>
      <c r="M775" s="608">
        <v>372.81</v>
      </c>
      <c r="N775" s="609">
        <f t="shared" si="134"/>
        <v>1864.05</v>
      </c>
      <c r="O775" s="612">
        <v>0</v>
      </c>
      <c r="P775" s="613">
        <f t="shared" si="135"/>
        <v>0</v>
      </c>
    </row>
    <row r="776" spans="2:16" ht="13.5" customHeight="1">
      <c r="B776" s="104">
        <f t="shared" si="129"/>
        <v>6.2300490000000019</v>
      </c>
      <c r="C776" s="474" t="s">
        <v>1477</v>
      </c>
      <c r="D776" s="437"/>
      <c r="E776" s="442"/>
      <c r="F776" s="73"/>
      <c r="G776" s="65"/>
      <c r="H776" s="251"/>
      <c r="I776" s="251"/>
      <c r="J776" s="252"/>
      <c r="K776" s="73">
        <v>0</v>
      </c>
      <c r="L776" s="575"/>
      <c r="M776" s="608">
        <v>0</v>
      </c>
      <c r="N776" s="609">
        <f t="shared" si="134"/>
        <v>0</v>
      </c>
      <c r="O776" s="612">
        <v>0</v>
      </c>
      <c r="P776" s="613">
        <f t="shared" si="135"/>
        <v>0</v>
      </c>
    </row>
    <row r="777" spans="2:16" ht="13.5" customHeight="1">
      <c r="B777" s="104">
        <f t="shared" si="129"/>
        <v>6.2300500000000021</v>
      </c>
      <c r="C777" s="449" t="s">
        <v>1478</v>
      </c>
      <c r="D777" s="437" t="s">
        <v>36</v>
      </c>
      <c r="E777" s="442">
        <v>6</v>
      </c>
      <c r="F777" s="73">
        <v>250</v>
      </c>
      <c r="G777" s="81">
        <v>0</v>
      </c>
      <c r="H777" s="160">
        <v>250</v>
      </c>
      <c r="I777" s="160">
        <f t="shared" ref="I777" si="166">+ROUND(E777*F777,2)</f>
        <v>1500</v>
      </c>
      <c r="J777" s="150">
        <f t="shared" ref="J777" si="167">+ROUND(E777*G777,2)</f>
        <v>0</v>
      </c>
      <c r="K777" s="73">
        <v>1500</v>
      </c>
      <c r="L777" s="575"/>
      <c r="M777" s="608">
        <v>250</v>
      </c>
      <c r="N777" s="609">
        <f t="shared" si="134"/>
        <v>1500</v>
      </c>
      <c r="O777" s="612">
        <v>0</v>
      </c>
      <c r="P777" s="613">
        <f t="shared" si="135"/>
        <v>0</v>
      </c>
    </row>
    <row r="778" spans="2:16" ht="13.5" customHeight="1">
      <c r="B778" s="104">
        <f t="shared" si="129"/>
        <v>6.2300510000000022</v>
      </c>
      <c r="C778" s="44" t="s">
        <v>1479</v>
      </c>
      <c r="D778" s="437" t="s">
        <v>36</v>
      </c>
      <c r="E778" s="442">
        <v>6</v>
      </c>
      <c r="F778" s="73">
        <v>250</v>
      </c>
      <c r="G778" s="81">
        <v>0</v>
      </c>
      <c r="H778" s="160">
        <v>250</v>
      </c>
      <c r="I778" s="160">
        <f t="shared" ref="I778" si="168">+ROUND(E778*F778,2)</f>
        <v>1500</v>
      </c>
      <c r="J778" s="150">
        <f t="shared" ref="J778" si="169">+ROUND(E778*G778,2)</f>
        <v>0</v>
      </c>
      <c r="K778" s="73">
        <v>1500</v>
      </c>
      <c r="L778" s="575"/>
      <c r="M778" s="608">
        <v>250</v>
      </c>
      <c r="N778" s="609">
        <f t="shared" si="134"/>
        <v>1500</v>
      </c>
      <c r="O778" s="612">
        <v>0</v>
      </c>
      <c r="P778" s="613">
        <f t="shared" si="135"/>
        <v>0</v>
      </c>
    </row>
    <row r="779" spans="2:16" ht="13.5" customHeight="1">
      <c r="B779" s="104">
        <f t="shared" si="129"/>
        <v>6.2300520000000024</v>
      </c>
      <c r="C779" s="474" t="s">
        <v>1484</v>
      </c>
      <c r="D779" s="437"/>
      <c r="E779" s="442"/>
      <c r="F779" s="73"/>
      <c r="G779" s="65"/>
      <c r="H779" s="251"/>
      <c r="I779" s="251"/>
      <c r="J779" s="252"/>
      <c r="K779" s="73">
        <v>0</v>
      </c>
      <c r="L779" s="575"/>
      <c r="M779" s="608">
        <v>0</v>
      </c>
      <c r="N779" s="609">
        <f t="shared" si="134"/>
        <v>0</v>
      </c>
      <c r="O779" s="612">
        <v>0</v>
      </c>
      <c r="P779" s="613">
        <f t="shared" si="135"/>
        <v>0</v>
      </c>
    </row>
    <row r="780" spans="2:16" ht="13.5" customHeight="1">
      <c r="B780" s="104">
        <f t="shared" si="129"/>
        <v>6.2300530000000025</v>
      </c>
      <c r="C780" s="467" t="s">
        <v>1457</v>
      </c>
      <c r="D780" s="437"/>
      <c r="E780" s="442"/>
      <c r="F780" s="73"/>
      <c r="G780" s="65"/>
      <c r="H780" s="251"/>
      <c r="I780" s="251"/>
      <c r="J780" s="252"/>
      <c r="K780" s="73">
        <v>0</v>
      </c>
      <c r="L780" s="575"/>
      <c r="M780" s="608">
        <v>0</v>
      </c>
      <c r="N780" s="609">
        <f t="shared" si="134"/>
        <v>0</v>
      </c>
      <c r="O780" s="612">
        <v>0</v>
      </c>
      <c r="P780" s="613">
        <f t="shared" si="135"/>
        <v>0</v>
      </c>
    </row>
    <row r="781" spans="2:16" ht="13.5" customHeight="1">
      <c r="B781" s="104">
        <f t="shared" si="129"/>
        <v>6.2300540000000026</v>
      </c>
      <c r="C781" s="474" t="s">
        <v>1485</v>
      </c>
      <c r="D781" s="437"/>
      <c r="E781" s="442"/>
      <c r="F781" s="73"/>
      <c r="G781" s="65"/>
      <c r="H781" s="251"/>
      <c r="I781" s="251"/>
      <c r="J781" s="252"/>
      <c r="K781" s="73">
        <v>0</v>
      </c>
      <c r="L781" s="575"/>
      <c r="M781" s="608">
        <v>0</v>
      </c>
      <c r="N781" s="609">
        <f t="shared" si="134"/>
        <v>0</v>
      </c>
      <c r="O781" s="612">
        <v>0</v>
      </c>
      <c r="P781" s="613">
        <f t="shared" si="135"/>
        <v>0</v>
      </c>
    </row>
    <row r="782" spans="2:16" ht="13.5" customHeight="1">
      <c r="B782" s="104">
        <f t="shared" si="129"/>
        <v>6.2300550000000028</v>
      </c>
      <c r="C782" s="57" t="s">
        <v>1461</v>
      </c>
      <c r="D782" s="437" t="s">
        <v>36</v>
      </c>
      <c r="E782" s="442">
        <v>1</v>
      </c>
      <c r="F782" s="73">
        <v>58.66</v>
      </c>
      <c r="G782" s="81">
        <v>35.950000000000003</v>
      </c>
      <c r="H782" s="160">
        <v>193.47</v>
      </c>
      <c r="I782" s="160">
        <f t="shared" ref="I782:I802" si="170">+ROUND(E782*F782,2)</f>
        <v>58.66</v>
      </c>
      <c r="J782" s="150">
        <f t="shared" ref="J782:J802" si="171">+ROUND(E782*G782,2)</f>
        <v>35.950000000000003</v>
      </c>
      <c r="K782" s="73">
        <v>193.47</v>
      </c>
      <c r="L782" s="575"/>
      <c r="M782" s="608">
        <v>58.66</v>
      </c>
      <c r="N782" s="609">
        <f t="shared" si="134"/>
        <v>58.66</v>
      </c>
      <c r="O782" s="612">
        <v>35.950000000000003</v>
      </c>
      <c r="P782" s="613">
        <f t="shared" si="135"/>
        <v>35.950000000000003</v>
      </c>
    </row>
    <row r="783" spans="2:16" ht="13.5" customHeight="1">
      <c r="B783" s="104">
        <f t="shared" si="129"/>
        <v>6.2300560000000029</v>
      </c>
      <c r="C783" s="474" t="s">
        <v>1486</v>
      </c>
      <c r="D783" s="437"/>
      <c r="E783" s="442"/>
      <c r="F783" s="73"/>
      <c r="G783" s="81"/>
      <c r="H783" s="160"/>
      <c r="I783" s="160"/>
      <c r="J783" s="150"/>
      <c r="K783" s="73">
        <v>0</v>
      </c>
      <c r="L783" s="575"/>
      <c r="M783" s="608">
        <v>0</v>
      </c>
      <c r="N783" s="609">
        <f t="shared" si="134"/>
        <v>0</v>
      </c>
      <c r="O783" s="612">
        <v>0</v>
      </c>
      <c r="P783" s="613">
        <f t="shared" si="135"/>
        <v>0</v>
      </c>
    </row>
    <row r="784" spans="2:16" ht="13.5" customHeight="1">
      <c r="B784" s="104">
        <f t="shared" si="129"/>
        <v>6.2300570000000031</v>
      </c>
      <c r="C784" s="449" t="s">
        <v>1487</v>
      </c>
      <c r="D784" s="437" t="s">
        <v>36</v>
      </c>
      <c r="E784" s="442">
        <v>1</v>
      </c>
      <c r="F784" s="73">
        <v>252.73</v>
      </c>
      <c r="G784" s="81">
        <v>0</v>
      </c>
      <c r="H784" s="160">
        <v>252.73</v>
      </c>
      <c r="I784" s="160">
        <f t="shared" si="170"/>
        <v>252.73</v>
      </c>
      <c r="J784" s="150">
        <f t="shared" si="171"/>
        <v>0</v>
      </c>
      <c r="K784" s="73">
        <v>252.73</v>
      </c>
      <c r="L784" s="575"/>
      <c r="M784" s="608">
        <v>252.73</v>
      </c>
      <c r="N784" s="609">
        <f t="shared" si="134"/>
        <v>252.73</v>
      </c>
      <c r="O784" s="612">
        <v>0</v>
      </c>
      <c r="P784" s="613">
        <f t="shared" si="135"/>
        <v>0</v>
      </c>
    </row>
    <row r="785" spans="2:16" ht="13.5" customHeight="1">
      <c r="B785" s="104">
        <f t="shared" si="129"/>
        <v>6.2300580000000032</v>
      </c>
      <c r="C785" s="449" t="s">
        <v>1462</v>
      </c>
      <c r="D785" s="437" t="s">
        <v>36</v>
      </c>
      <c r="E785" s="442">
        <v>3</v>
      </c>
      <c r="F785" s="73">
        <v>234.43</v>
      </c>
      <c r="G785" s="81">
        <v>0</v>
      </c>
      <c r="H785" s="160">
        <v>234.43</v>
      </c>
      <c r="I785" s="160">
        <f t="shared" si="170"/>
        <v>703.29</v>
      </c>
      <c r="J785" s="150">
        <f t="shared" si="171"/>
        <v>0</v>
      </c>
      <c r="K785" s="73">
        <v>703.29</v>
      </c>
      <c r="L785" s="575"/>
      <c r="M785" s="608">
        <v>234.43</v>
      </c>
      <c r="N785" s="609">
        <f t="shared" si="134"/>
        <v>703.29</v>
      </c>
      <c r="O785" s="612">
        <v>0</v>
      </c>
      <c r="P785" s="613">
        <f t="shared" si="135"/>
        <v>0</v>
      </c>
    </row>
    <row r="786" spans="2:16" ht="13.5" customHeight="1">
      <c r="B786" s="104">
        <f t="shared" si="129"/>
        <v>6.2300590000000033</v>
      </c>
      <c r="C786" s="474" t="s">
        <v>1488</v>
      </c>
      <c r="D786" s="437"/>
      <c r="E786" s="442"/>
      <c r="F786" s="73"/>
      <c r="G786" s="81"/>
      <c r="H786" s="160"/>
      <c r="I786" s="160"/>
      <c r="J786" s="150"/>
      <c r="K786" s="73">
        <v>0</v>
      </c>
      <c r="L786" s="575"/>
      <c r="M786" s="608">
        <v>0</v>
      </c>
      <c r="N786" s="609">
        <f t="shared" si="134"/>
        <v>0</v>
      </c>
      <c r="O786" s="612">
        <v>0</v>
      </c>
      <c r="P786" s="613">
        <f t="shared" si="135"/>
        <v>0</v>
      </c>
    </row>
    <row r="787" spans="2:16" ht="25.15" customHeight="1">
      <c r="B787" s="104">
        <f t="shared" si="129"/>
        <v>6.2300600000000035</v>
      </c>
      <c r="C787" s="43" t="s">
        <v>1489</v>
      </c>
      <c r="D787" s="437" t="s">
        <v>36</v>
      </c>
      <c r="E787" s="442">
        <v>1</v>
      </c>
      <c r="F787" s="73">
        <v>1838.32</v>
      </c>
      <c r="G787" s="81">
        <v>0</v>
      </c>
      <c r="H787" s="160">
        <v>1838.32</v>
      </c>
      <c r="I787" s="160">
        <f t="shared" si="170"/>
        <v>1838.32</v>
      </c>
      <c r="J787" s="150">
        <f t="shared" si="171"/>
        <v>0</v>
      </c>
      <c r="K787" s="73">
        <v>1838.32</v>
      </c>
      <c r="L787" s="575"/>
      <c r="M787" s="608">
        <v>1838.32</v>
      </c>
      <c r="N787" s="609">
        <f t="shared" si="134"/>
        <v>1838.32</v>
      </c>
      <c r="O787" s="612">
        <v>0</v>
      </c>
      <c r="P787" s="613">
        <f t="shared" si="135"/>
        <v>0</v>
      </c>
    </row>
    <row r="788" spans="2:16" ht="25.15" customHeight="1">
      <c r="B788" s="104">
        <f t="shared" si="129"/>
        <v>6.2300610000000036</v>
      </c>
      <c r="C788" s="474" t="s">
        <v>1490</v>
      </c>
      <c r="D788" s="437"/>
      <c r="E788" s="442"/>
      <c r="F788" s="73"/>
      <c r="G788" s="81"/>
      <c r="H788" s="160"/>
      <c r="I788" s="160"/>
      <c r="J788" s="150"/>
      <c r="K788" s="73">
        <v>0</v>
      </c>
      <c r="L788" s="575"/>
      <c r="M788" s="608">
        <v>0</v>
      </c>
      <c r="N788" s="609">
        <f t="shared" si="134"/>
        <v>0</v>
      </c>
      <c r="O788" s="612">
        <v>0</v>
      </c>
      <c r="P788" s="613">
        <f t="shared" si="135"/>
        <v>0</v>
      </c>
    </row>
    <row r="789" spans="2:16" ht="13.5" customHeight="1">
      <c r="B789" s="104">
        <f t="shared" si="129"/>
        <v>6.2300620000000038</v>
      </c>
      <c r="C789" s="449" t="s">
        <v>1487</v>
      </c>
      <c r="D789" s="437" t="s">
        <v>36</v>
      </c>
      <c r="E789" s="442">
        <v>5</v>
      </c>
      <c r="F789" s="73">
        <v>252.73</v>
      </c>
      <c r="G789" s="81">
        <v>0</v>
      </c>
      <c r="H789" s="160">
        <v>252.73</v>
      </c>
      <c r="I789" s="160">
        <f t="shared" si="170"/>
        <v>1263.6500000000001</v>
      </c>
      <c r="J789" s="150">
        <f t="shared" si="171"/>
        <v>0</v>
      </c>
      <c r="K789" s="73">
        <v>1263.6500000000001</v>
      </c>
      <c r="L789" s="575"/>
      <c r="M789" s="608">
        <v>252.73</v>
      </c>
      <c r="N789" s="609">
        <f t="shared" si="134"/>
        <v>1263.6499999999999</v>
      </c>
      <c r="O789" s="612">
        <v>0</v>
      </c>
      <c r="P789" s="613">
        <f t="shared" si="135"/>
        <v>0</v>
      </c>
    </row>
    <row r="790" spans="2:16" ht="13.5" customHeight="1">
      <c r="B790" s="104">
        <f t="shared" si="129"/>
        <v>6.2300630000000039</v>
      </c>
      <c r="C790" s="467" t="s">
        <v>1463</v>
      </c>
      <c r="D790" s="437"/>
      <c r="E790" s="442"/>
      <c r="F790" s="73" t="s">
        <v>7</v>
      </c>
      <c r="G790" s="81" t="s">
        <v>7</v>
      </c>
      <c r="H790" s="160"/>
      <c r="I790" s="160"/>
      <c r="J790" s="150"/>
      <c r="K790" s="73">
        <v>0</v>
      </c>
      <c r="L790" s="575"/>
      <c r="M790" s="608" t="s">
        <v>7</v>
      </c>
      <c r="N790" s="609"/>
      <c r="O790" s="612" t="s">
        <v>7</v>
      </c>
      <c r="P790" s="613"/>
    </row>
    <row r="791" spans="2:16" ht="13.5" customHeight="1">
      <c r="B791" s="104">
        <f t="shared" si="129"/>
        <v>6.230064000000004</v>
      </c>
      <c r="C791" s="474" t="s">
        <v>1485</v>
      </c>
      <c r="D791" s="437"/>
      <c r="E791" s="442"/>
      <c r="F791" s="73"/>
      <c r="G791" s="81"/>
      <c r="H791" s="160"/>
      <c r="I791" s="160"/>
      <c r="J791" s="150"/>
      <c r="K791" s="73">
        <v>0</v>
      </c>
      <c r="L791" s="575"/>
      <c r="M791" s="608">
        <v>0</v>
      </c>
      <c r="N791" s="609">
        <f t="shared" si="134"/>
        <v>0</v>
      </c>
      <c r="O791" s="612">
        <v>0</v>
      </c>
      <c r="P791" s="613">
        <f t="shared" si="135"/>
        <v>0</v>
      </c>
    </row>
    <row r="792" spans="2:16" ht="27.6" customHeight="1">
      <c r="B792" s="104">
        <f t="shared" si="129"/>
        <v>6.2300650000000042</v>
      </c>
      <c r="C792" s="196" t="s">
        <v>1466</v>
      </c>
      <c r="D792" s="437" t="s">
        <v>36</v>
      </c>
      <c r="E792" s="442">
        <v>1</v>
      </c>
      <c r="F792" s="73">
        <v>31.060000000000002</v>
      </c>
      <c r="G792" s="81">
        <v>22.33</v>
      </c>
      <c r="H792" s="160">
        <v>114.8</v>
      </c>
      <c r="I792" s="160">
        <f t="shared" si="170"/>
        <v>31.06</v>
      </c>
      <c r="J792" s="150">
        <f t="shared" si="171"/>
        <v>22.33</v>
      </c>
      <c r="K792" s="73">
        <v>114.8</v>
      </c>
      <c r="L792" s="575"/>
      <c r="M792" s="608">
        <v>31.060000000000002</v>
      </c>
      <c r="N792" s="609">
        <f t="shared" si="134"/>
        <v>31.060000000000002</v>
      </c>
      <c r="O792" s="612">
        <v>22.33</v>
      </c>
      <c r="P792" s="613">
        <f t="shared" si="135"/>
        <v>22.33</v>
      </c>
    </row>
    <row r="793" spans="2:16" ht="27.6" customHeight="1">
      <c r="B793" s="104">
        <f t="shared" si="129"/>
        <v>6.2300660000000043</v>
      </c>
      <c r="C793" s="474" t="s">
        <v>1491</v>
      </c>
      <c r="D793" s="437"/>
      <c r="E793" s="442"/>
      <c r="F793" s="73"/>
      <c r="G793" s="81"/>
      <c r="H793" s="160"/>
      <c r="I793" s="160"/>
      <c r="J793" s="150"/>
      <c r="K793" s="73">
        <v>0</v>
      </c>
      <c r="L793" s="575"/>
      <c r="M793" s="608">
        <v>0</v>
      </c>
      <c r="N793" s="609">
        <f t="shared" si="134"/>
        <v>0</v>
      </c>
      <c r="O793" s="612">
        <v>0</v>
      </c>
      <c r="P793" s="613">
        <f t="shared" si="135"/>
        <v>0</v>
      </c>
    </row>
    <row r="794" spans="2:16" ht="16.149999999999999" customHeight="1">
      <c r="B794" s="104">
        <f t="shared" si="129"/>
        <v>6.2300670000000045</v>
      </c>
      <c r="C794" s="449" t="s">
        <v>1492</v>
      </c>
      <c r="D794" s="437" t="s">
        <v>36</v>
      </c>
      <c r="E794" s="442">
        <v>2</v>
      </c>
      <c r="F794" s="73">
        <v>92.679999999999993</v>
      </c>
      <c r="G794" s="81">
        <v>0</v>
      </c>
      <c r="H794" s="160">
        <v>92.68</v>
      </c>
      <c r="I794" s="160">
        <f t="shared" si="170"/>
        <v>185.36</v>
      </c>
      <c r="J794" s="150">
        <f t="shared" si="171"/>
        <v>0</v>
      </c>
      <c r="K794" s="73">
        <v>185.36</v>
      </c>
      <c r="L794" s="575"/>
      <c r="M794" s="608">
        <v>92.679999999999993</v>
      </c>
      <c r="N794" s="609">
        <f t="shared" si="134"/>
        <v>185.35999999999999</v>
      </c>
      <c r="O794" s="612">
        <v>0</v>
      </c>
      <c r="P794" s="613">
        <f t="shared" si="135"/>
        <v>0</v>
      </c>
    </row>
    <row r="795" spans="2:16" ht="16.149999999999999" customHeight="1">
      <c r="B795" s="104">
        <f t="shared" si="129"/>
        <v>6.2300680000000046</v>
      </c>
      <c r="C795" s="474" t="s">
        <v>1486</v>
      </c>
      <c r="D795" s="437"/>
      <c r="E795" s="442"/>
      <c r="F795" s="73"/>
      <c r="G795" s="81"/>
      <c r="H795" s="160"/>
      <c r="I795" s="160"/>
      <c r="J795" s="150"/>
      <c r="K795" s="73">
        <v>0</v>
      </c>
      <c r="L795" s="575"/>
      <c r="M795" s="608">
        <v>0</v>
      </c>
      <c r="N795" s="609">
        <f t="shared" ref="N795:N802" si="172">+M795*E795</f>
        <v>0</v>
      </c>
      <c r="O795" s="612">
        <v>0</v>
      </c>
      <c r="P795" s="613">
        <f t="shared" ref="P795:P802" si="173">+O795*E795</f>
        <v>0</v>
      </c>
    </row>
    <row r="796" spans="2:16" ht="13.5" customHeight="1">
      <c r="B796" s="104">
        <f t="shared" si="129"/>
        <v>6.2300690000000047</v>
      </c>
      <c r="C796" s="449" t="s">
        <v>1493</v>
      </c>
      <c r="D796" s="437" t="s">
        <v>36</v>
      </c>
      <c r="E796" s="442">
        <v>1</v>
      </c>
      <c r="F796" s="73">
        <v>498.03</v>
      </c>
      <c r="G796" s="81">
        <v>0</v>
      </c>
      <c r="H796" s="160">
        <v>498.03</v>
      </c>
      <c r="I796" s="160">
        <f t="shared" si="170"/>
        <v>498.03</v>
      </c>
      <c r="J796" s="150">
        <f t="shared" si="171"/>
        <v>0</v>
      </c>
      <c r="K796" s="73">
        <v>498.03</v>
      </c>
      <c r="L796" s="575"/>
      <c r="M796" s="608">
        <v>498.03</v>
      </c>
      <c r="N796" s="609">
        <f t="shared" si="172"/>
        <v>498.03</v>
      </c>
      <c r="O796" s="612">
        <v>0</v>
      </c>
      <c r="P796" s="613">
        <f t="shared" si="173"/>
        <v>0</v>
      </c>
    </row>
    <row r="797" spans="2:16" ht="13.5" customHeight="1">
      <c r="B797" s="104">
        <f t="shared" si="129"/>
        <v>6.2300700000000049</v>
      </c>
      <c r="C797" s="474" t="s">
        <v>1044</v>
      </c>
      <c r="D797" s="437"/>
      <c r="E797" s="442"/>
      <c r="F797" s="73"/>
      <c r="G797" s="81"/>
      <c r="H797" s="160"/>
      <c r="I797" s="160"/>
      <c r="J797" s="150"/>
      <c r="K797" s="73">
        <v>0</v>
      </c>
      <c r="L797" s="575"/>
      <c r="M797" s="608">
        <v>0</v>
      </c>
      <c r="N797" s="609">
        <f t="shared" si="172"/>
        <v>0</v>
      </c>
      <c r="O797" s="612">
        <v>0</v>
      </c>
      <c r="P797" s="613">
        <f t="shared" si="173"/>
        <v>0</v>
      </c>
    </row>
    <row r="798" spans="2:16" ht="13.5" customHeight="1">
      <c r="B798" s="104">
        <f t="shared" si="129"/>
        <v>6.230071000000005</v>
      </c>
      <c r="C798" s="449" t="s">
        <v>1494</v>
      </c>
      <c r="D798" s="437" t="s">
        <v>36</v>
      </c>
      <c r="E798" s="442">
        <v>3</v>
      </c>
      <c r="F798" s="73">
        <v>130.39000000000001</v>
      </c>
      <c r="G798" s="81">
        <v>0</v>
      </c>
      <c r="H798" s="160">
        <v>130.38999999999999</v>
      </c>
      <c r="I798" s="160">
        <f t="shared" si="170"/>
        <v>391.17</v>
      </c>
      <c r="J798" s="150">
        <f t="shared" si="171"/>
        <v>0</v>
      </c>
      <c r="K798" s="73">
        <v>391.17</v>
      </c>
      <c r="L798" s="575"/>
      <c r="M798" s="608">
        <v>130.39000000000001</v>
      </c>
      <c r="N798" s="609">
        <f t="shared" si="172"/>
        <v>391.17000000000007</v>
      </c>
      <c r="O798" s="612">
        <v>0</v>
      </c>
      <c r="P798" s="613">
        <f t="shared" si="173"/>
        <v>0</v>
      </c>
    </row>
    <row r="799" spans="2:16" ht="13.5" customHeight="1">
      <c r="B799" s="104">
        <f t="shared" si="129"/>
        <v>6.2300720000000052</v>
      </c>
      <c r="C799" s="474" t="s">
        <v>1488</v>
      </c>
      <c r="D799" s="437"/>
      <c r="E799" s="442"/>
      <c r="F799" s="73"/>
      <c r="G799" s="81"/>
      <c r="H799" s="160"/>
      <c r="I799" s="160"/>
      <c r="J799" s="150"/>
      <c r="K799" s="73">
        <v>0</v>
      </c>
      <c r="L799" s="575"/>
      <c r="M799" s="608">
        <v>0</v>
      </c>
      <c r="N799" s="609">
        <f t="shared" si="172"/>
        <v>0</v>
      </c>
      <c r="O799" s="612">
        <v>0</v>
      </c>
      <c r="P799" s="613">
        <f t="shared" si="173"/>
        <v>0</v>
      </c>
    </row>
    <row r="800" spans="2:16" ht="13.5" customHeight="1">
      <c r="B800" s="104">
        <f t="shared" si="129"/>
        <v>6.2300730000000053</v>
      </c>
      <c r="C800" s="449" t="s">
        <v>1495</v>
      </c>
      <c r="D800" s="437" t="s">
        <v>36</v>
      </c>
      <c r="E800" s="442">
        <v>1</v>
      </c>
      <c r="F800" s="73">
        <v>443.09999999999997</v>
      </c>
      <c r="G800" s="81">
        <v>0</v>
      </c>
      <c r="H800" s="160">
        <v>443.1</v>
      </c>
      <c r="I800" s="160">
        <f t="shared" si="170"/>
        <v>443.1</v>
      </c>
      <c r="J800" s="150">
        <f t="shared" si="171"/>
        <v>0</v>
      </c>
      <c r="K800" s="73">
        <v>443.1</v>
      </c>
      <c r="L800" s="575"/>
      <c r="M800" s="608">
        <v>443.09999999999997</v>
      </c>
      <c r="N800" s="609">
        <f t="shared" si="172"/>
        <v>443.09999999999997</v>
      </c>
      <c r="O800" s="612">
        <v>0</v>
      </c>
      <c r="P800" s="613">
        <f t="shared" si="173"/>
        <v>0</v>
      </c>
    </row>
    <row r="801" spans="2:16" ht="13.5" customHeight="1">
      <c r="B801" s="104">
        <f t="shared" si="129"/>
        <v>6.2300740000000054</v>
      </c>
      <c r="C801" s="474" t="s">
        <v>1490</v>
      </c>
      <c r="D801" s="437"/>
      <c r="E801" s="442"/>
      <c r="F801" s="73"/>
      <c r="G801" s="81"/>
      <c r="H801" s="160"/>
      <c r="I801" s="160"/>
      <c r="J801" s="150"/>
      <c r="K801" s="73">
        <v>0</v>
      </c>
      <c r="L801" s="575"/>
      <c r="M801" s="608">
        <v>0</v>
      </c>
      <c r="N801" s="609">
        <f t="shared" si="172"/>
        <v>0</v>
      </c>
      <c r="O801" s="612">
        <v>0</v>
      </c>
      <c r="P801" s="613">
        <f t="shared" si="173"/>
        <v>0</v>
      </c>
    </row>
    <row r="802" spans="2:16" ht="22.9" customHeight="1">
      <c r="B802" s="104">
        <f t="shared" si="129"/>
        <v>6.2300750000000056</v>
      </c>
      <c r="C802" s="449" t="s">
        <v>1496</v>
      </c>
      <c r="D802" s="437" t="s">
        <v>36</v>
      </c>
      <c r="E802" s="442">
        <v>5</v>
      </c>
      <c r="F802" s="73">
        <v>206.58</v>
      </c>
      <c r="G802" s="81">
        <v>0</v>
      </c>
      <c r="H802" s="160">
        <v>206.58</v>
      </c>
      <c r="I802" s="160">
        <f t="shared" si="170"/>
        <v>1032.9000000000001</v>
      </c>
      <c r="J802" s="150">
        <f t="shared" si="171"/>
        <v>0</v>
      </c>
      <c r="K802" s="73">
        <v>1032.9000000000001</v>
      </c>
      <c r="L802" s="575"/>
      <c r="M802" s="608">
        <v>206.58</v>
      </c>
      <c r="N802" s="609">
        <f t="shared" si="172"/>
        <v>1032.9000000000001</v>
      </c>
      <c r="O802" s="612">
        <v>0</v>
      </c>
      <c r="P802" s="613">
        <f t="shared" si="173"/>
        <v>0</v>
      </c>
    </row>
    <row r="803" spans="2:16" ht="13.5" customHeight="1">
      <c r="B803" s="164">
        <f>B727+0.01</f>
        <v>6.2399999999999949</v>
      </c>
      <c r="C803" s="279" t="s">
        <v>1497</v>
      </c>
      <c r="D803" s="280"/>
      <c r="E803" s="87"/>
      <c r="F803" s="93"/>
      <c r="G803" s="69"/>
      <c r="H803" s="160"/>
      <c r="I803" s="160"/>
      <c r="J803" s="150"/>
      <c r="K803" s="73">
        <v>0</v>
      </c>
      <c r="L803" s="537">
        <v>373283.85</v>
      </c>
      <c r="M803" s="591"/>
      <c r="N803" s="571"/>
      <c r="O803" s="612">
        <v>0</v>
      </c>
      <c r="P803" s="613">
        <f t="shared" ref="P803:P824" si="174">+O803*E803</f>
        <v>0</v>
      </c>
    </row>
    <row r="804" spans="2:16" ht="13.15" customHeight="1" outlineLevel="1">
      <c r="B804" s="104">
        <f t="shared" si="129"/>
        <v>6.240000999999995</v>
      </c>
      <c r="C804" s="288" t="s">
        <v>1460</v>
      </c>
      <c r="D804" s="64"/>
      <c r="E804" s="87"/>
      <c r="F804" s="73"/>
      <c r="G804" s="81"/>
      <c r="H804" s="160"/>
      <c r="I804" s="160"/>
      <c r="J804" s="150"/>
      <c r="K804" s="73">
        <v>0</v>
      </c>
      <c r="L804" s="538"/>
      <c r="M804" s="51"/>
      <c r="O804" s="612">
        <v>0</v>
      </c>
      <c r="P804" s="613">
        <f t="shared" si="174"/>
        <v>0</v>
      </c>
    </row>
    <row r="805" spans="2:16" ht="15.75" customHeight="1" outlineLevel="2">
      <c r="B805" s="104">
        <f t="shared" si="129"/>
        <v>6.2400019999999952</v>
      </c>
      <c r="C805" s="443" t="s">
        <v>1498</v>
      </c>
      <c r="D805" s="64" t="s">
        <v>46</v>
      </c>
      <c r="E805" s="87">
        <v>630.90999999999974</v>
      </c>
      <c r="F805" s="73"/>
      <c r="G805" s="81">
        <v>69</v>
      </c>
      <c r="H805" s="160">
        <v>258.75</v>
      </c>
      <c r="I805" s="160">
        <f t="shared" ref="I805:I822" si="175">+ROUND(E805*F805,2)</f>
        <v>0</v>
      </c>
      <c r="J805" s="150">
        <f t="shared" ref="J805:J822" si="176">+ROUND(E805*G805,2)</f>
        <v>43532.79</v>
      </c>
      <c r="K805" s="73">
        <v>163247.96</v>
      </c>
      <c r="L805" s="538"/>
      <c r="M805" s="51"/>
      <c r="O805" s="612">
        <v>69</v>
      </c>
      <c r="P805" s="613">
        <f t="shared" si="174"/>
        <v>43532.789999999979</v>
      </c>
    </row>
    <row r="806" spans="2:16" ht="15.75" customHeight="1" outlineLevel="3">
      <c r="B806" s="104">
        <f t="shared" si="129"/>
        <v>6.2400029999999953</v>
      </c>
      <c r="C806" s="443" t="s">
        <v>1499</v>
      </c>
      <c r="D806" s="64" t="s">
        <v>46</v>
      </c>
      <c r="E806" s="87">
        <v>175.72000000000003</v>
      </c>
      <c r="F806" s="73"/>
      <c r="G806" s="81">
        <v>79</v>
      </c>
      <c r="H806" s="160">
        <v>296.25</v>
      </c>
      <c r="I806" s="160">
        <f t="shared" si="175"/>
        <v>0</v>
      </c>
      <c r="J806" s="150">
        <f t="shared" si="176"/>
        <v>13881.88</v>
      </c>
      <c r="K806" s="73">
        <v>52057.05</v>
      </c>
      <c r="L806" s="538"/>
      <c r="M806" s="51"/>
      <c r="O806" s="612">
        <v>79</v>
      </c>
      <c r="P806" s="613">
        <f t="shared" si="174"/>
        <v>13881.880000000003</v>
      </c>
    </row>
    <row r="807" spans="2:16" ht="15.75" customHeight="1" outlineLevel="3">
      <c r="B807" s="104">
        <f t="shared" si="129"/>
        <v>6.2400039999999954</v>
      </c>
      <c r="C807" s="443" t="s">
        <v>1500</v>
      </c>
      <c r="D807" s="64" t="s">
        <v>46</v>
      </c>
      <c r="E807" s="87">
        <v>55.199999999999996</v>
      </c>
      <c r="F807" s="73"/>
      <c r="G807" s="81">
        <v>89</v>
      </c>
      <c r="H807" s="160">
        <v>333.75</v>
      </c>
      <c r="I807" s="160">
        <f t="shared" si="175"/>
        <v>0</v>
      </c>
      <c r="J807" s="150">
        <f t="shared" si="176"/>
        <v>4912.8</v>
      </c>
      <c r="K807" s="73">
        <v>18423</v>
      </c>
      <c r="L807" s="538"/>
      <c r="M807" s="51"/>
      <c r="O807" s="612">
        <v>89</v>
      </c>
      <c r="P807" s="613">
        <f t="shared" si="174"/>
        <v>4912.7999999999993</v>
      </c>
    </row>
    <row r="808" spans="2:16" ht="15.75" customHeight="1" outlineLevel="2">
      <c r="B808" s="104">
        <f t="shared" si="129"/>
        <v>6.2400049999999956</v>
      </c>
      <c r="C808" s="443" t="s">
        <v>1501</v>
      </c>
      <c r="D808" s="64" t="s">
        <v>46</v>
      </c>
      <c r="E808" s="87">
        <v>176.11</v>
      </c>
      <c r="F808" s="73"/>
      <c r="G808" s="81">
        <v>99</v>
      </c>
      <c r="H808" s="160">
        <v>371.25</v>
      </c>
      <c r="I808" s="160">
        <f t="shared" si="175"/>
        <v>0</v>
      </c>
      <c r="J808" s="150">
        <f t="shared" si="176"/>
        <v>17434.89</v>
      </c>
      <c r="K808" s="73">
        <v>65380.84</v>
      </c>
      <c r="L808" s="538"/>
      <c r="M808" s="51"/>
      <c r="O808" s="612">
        <v>99</v>
      </c>
      <c r="P808" s="613">
        <f t="shared" si="174"/>
        <v>17434.890000000003</v>
      </c>
    </row>
    <row r="809" spans="2:16" ht="15.75" customHeight="1" outlineLevel="3">
      <c r="B809" s="104">
        <f t="shared" si="129"/>
        <v>6.2400059999999957</v>
      </c>
      <c r="C809" s="288" t="s">
        <v>1084</v>
      </c>
      <c r="D809" s="64"/>
      <c r="E809" s="87"/>
      <c r="F809" s="73"/>
      <c r="G809" s="81"/>
      <c r="H809" s="160">
        <v>0</v>
      </c>
      <c r="I809" s="160">
        <f t="shared" si="175"/>
        <v>0</v>
      </c>
      <c r="J809" s="150">
        <f t="shared" si="176"/>
        <v>0</v>
      </c>
      <c r="K809" s="73">
        <v>0</v>
      </c>
      <c r="L809" s="538"/>
      <c r="M809" s="51"/>
      <c r="O809" s="612">
        <v>0</v>
      </c>
      <c r="P809" s="613">
        <f t="shared" si="174"/>
        <v>0</v>
      </c>
    </row>
    <row r="810" spans="2:16" ht="15.75" customHeight="1" outlineLevel="3">
      <c r="B810" s="104">
        <f t="shared" ref="B810:B872" si="177">B809+0.000001</f>
        <v>6.2400069999999959</v>
      </c>
      <c r="C810" s="443" t="s">
        <v>1502</v>
      </c>
      <c r="D810" s="64" t="s">
        <v>46</v>
      </c>
      <c r="E810" s="87">
        <v>1.97</v>
      </c>
      <c r="F810" s="73"/>
      <c r="G810" s="81">
        <v>99</v>
      </c>
      <c r="H810" s="160">
        <v>371.25</v>
      </c>
      <c r="I810" s="160">
        <f t="shared" si="175"/>
        <v>0</v>
      </c>
      <c r="J810" s="150">
        <f t="shared" si="176"/>
        <v>195.03</v>
      </c>
      <c r="K810" s="73">
        <v>731.36</v>
      </c>
      <c r="L810" s="538"/>
      <c r="M810" s="51"/>
      <c r="O810" s="612">
        <v>99</v>
      </c>
      <c r="P810" s="613">
        <f t="shared" si="174"/>
        <v>195.03</v>
      </c>
    </row>
    <row r="811" spans="2:16" ht="13.15" customHeight="1" outlineLevel="1">
      <c r="B811" s="104">
        <f t="shared" si="177"/>
        <v>6.240007999999996</v>
      </c>
      <c r="C811" s="443" t="s">
        <v>1503</v>
      </c>
      <c r="D811" s="64" t="s">
        <v>46</v>
      </c>
      <c r="E811" s="87">
        <v>7</v>
      </c>
      <c r="F811" s="73"/>
      <c r="G811" s="81">
        <v>150</v>
      </c>
      <c r="H811" s="160">
        <v>562.5</v>
      </c>
      <c r="I811" s="160">
        <f t="shared" si="175"/>
        <v>0</v>
      </c>
      <c r="J811" s="150">
        <f t="shared" si="176"/>
        <v>1050</v>
      </c>
      <c r="K811" s="73">
        <v>3937.5</v>
      </c>
      <c r="L811" s="538"/>
      <c r="M811" s="51"/>
      <c r="O811" s="612">
        <v>150</v>
      </c>
      <c r="P811" s="613">
        <f t="shared" si="174"/>
        <v>1050</v>
      </c>
    </row>
    <row r="812" spans="2:16" ht="15.75" customHeight="1" outlineLevel="2">
      <c r="B812" s="104">
        <f t="shared" si="177"/>
        <v>6.2400089999999961</v>
      </c>
      <c r="C812" s="443" t="s">
        <v>1504</v>
      </c>
      <c r="D812" s="64" t="s">
        <v>46</v>
      </c>
      <c r="E812" s="87">
        <v>8</v>
      </c>
      <c r="F812" s="73"/>
      <c r="G812" s="81">
        <v>150</v>
      </c>
      <c r="H812" s="160">
        <v>562.5</v>
      </c>
      <c r="I812" s="160">
        <f t="shared" si="175"/>
        <v>0</v>
      </c>
      <c r="J812" s="150">
        <f t="shared" si="176"/>
        <v>1200</v>
      </c>
      <c r="K812" s="73">
        <v>4500</v>
      </c>
      <c r="L812" s="538"/>
      <c r="M812" s="51"/>
      <c r="O812" s="612">
        <v>150</v>
      </c>
      <c r="P812" s="613">
        <f t="shared" si="174"/>
        <v>1200</v>
      </c>
    </row>
    <row r="813" spans="2:16" ht="15.75" customHeight="1" outlineLevel="3">
      <c r="B813" s="104">
        <f t="shared" si="177"/>
        <v>6.2400099999999963</v>
      </c>
      <c r="C813" s="443" t="s">
        <v>1505</v>
      </c>
      <c r="D813" s="64" t="s">
        <v>161</v>
      </c>
      <c r="E813" s="87">
        <v>90.74</v>
      </c>
      <c r="F813" s="73"/>
      <c r="G813" s="81">
        <v>150</v>
      </c>
      <c r="H813" s="160">
        <v>562.5</v>
      </c>
      <c r="I813" s="160">
        <f t="shared" si="175"/>
        <v>0</v>
      </c>
      <c r="J813" s="150">
        <f t="shared" si="176"/>
        <v>13611</v>
      </c>
      <c r="K813" s="73">
        <v>51041.25</v>
      </c>
      <c r="L813" s="538"/>
      <c r="M813" s="51"/>
      <c r="O813" s="612">
        <v>150</v>
      </c>
      <c r="P813" s="613">
        <f t="shared" si="174"/>
        <v>13611</v>
      </c>
    </row>
    <row r="814" spans="2:16" ht="15.75" customHeight="1" outlineLevel="3">
      <c r="B814" s="104">
        <f t="shared" si="177"/>
        <v>6.2400109999999964</v>
      </c>
      <c r="C814" s="443" t="s">
        <v>1506</v>
      </c>
      <c r="D814" s="64" t="s">
        <v>46</v>
      </c>
      <c r="E814" s="87">
        <v>2.8</v>
      </c>
      <c r="F814" s="73"/>
      <c r="G814" s="81">
        <v>150</v>
      </c>
      <c r="H814" s="160">
        <v>562.5</v>
      </c>
      <c r="I814" s="160">
        <f t="shared" si="175"/>
        <v>0</v>
      </c>
      <c r="J814" s="150">
        <f t="shared" si="176"/>
        <v>420</v>
      </c>
      <c r="K814" s="73">
        <v>1575</v>
      </c>
      <c r="L814" s="538"/>
      <c r="M814" s="51"/>
      <c r="O814" s="612">
        <v>150</v>
      </c>
      <c r="P814" s="613">
        <f t="shared" si="174"/>
        <v>420</v>
      </c>
    </row>
    <row r="815" spans="2:16" ht="15.75" customHeight="1" outlineLevel="2">
      <c r="B815" s="104">
        <f t="shared" si="177"/>
        <v>6.2400119999999966</v>
      </c>
      <c r="C815" s="443" t="s">
        <v>1507</v>
      </c>
      <c r="D815" s="64" t="s">
        <v>46</v>
      </c>
      <c r="E815" s="87">
        <v>2.14</v>
      </c>
      <c r="F815" s="73"/>
      <c r="G815" s="81">
        <v>150</v>
      </c>
      <c r="H815" s="160">
        <v>562.5</v>
      </c>
      <c r="I815" s="160">
        <f t="shared" si="175"/>
        <v>0</v>
      </c>
      <c r="J815" s="150">
        <f t="shared" si="176"/>
        <v>321</v>
      </c>
      <c r="K815" s="73">
        <v>1203.75</v>
      </c>
      <c r="L815" s="538"/>
      <c r="M815" s="51"/>
      <c r="O815" s="612">
        <v>150</v>
      </c>
      <c r="P815" s="613">
        <f t="shared" si="174"/>
        <v>321</v>
      </c>
    </row>
    <row r="816" spans="2:16" ht="15.75" customHeight="1" outlineLevel="3">
      <c r="B816" s="104">
        <f t="shared" si="177"/>
        <v>6.2400129999999967</v>
      </c>
      <c r="C816" s="443" t="s">
        <v>1508</v>
      </c>
      <c r="D816" s="64" t="s">
        <v>46</v>
      </c>
      <c r="E816" s="87">
        <v>2</v>
      </c>
      <c r="F816" s="73"/>
      <c r="G816" s="81">
        <v>150</v>
      </c>
      <c r="H816" s="160">
        <v>562.5</v>
      </c>
      <c r="I816" s="160">
        <f t="shared" si="175"/>
        <v>0</v>
      </c>
      <c r="J816" s="150">
        <f t="shared" si="176"/>
        <v>300</v>
      </c>
      <c r="K816" s="73">
        <v>1125</v>
      </c>
      <c r="L816" s="538"/>
      <c r="M816" s="51"/>
      <c r="O816" s="612">
        <v>150</v>
      </c>
      <c r="P816" s="613">
        <f t="shared" si="174"/>
        <v>300</v>
      </c>
    </row>
    <row r="817" spans="2:16" ht="15.75" customHeight="1" outlineLevel="3">
      <c r="B817" s="104">
        <f t="shared" si="177"/>
        <v>6.2400139999999968</v>
      </c>
      <c r="C817" s="443" t="s">
        <v>1509</v>
      </c>
      <c r="D817" s="64" t="s">
        <v>161</v>
      </c>
      <c r="E817" s="87">
        <v>3.23</v>
      </c>
      <c r="F817" s="73"/>
      <c r="G817" s="81">
        <v>150</v>
      </c>
      <c r="H817" s="160">
        <v>562.5</v>
      </c>
      <c r="I817" s="160">
        <f t="shared" si="175"/>
        <v>0</v>
      </c>
      <c r="J817" s="150">
        <f t="shared" si="176"/>
        <v>484.5</v>
      </c>
      <c r="K817" s="73">
        <v>1816.88</v>
      </c>
      <c r="L817" s="538"/>
      <c r="M817" s="51"/>
      <c r="O817" s="612">
        <v>150</v>
      </c>
      <c r="P817" s="613">
        <f t="shared" si="174"/>
        <v>484.5</v>
      </c>
    </row>
    <row r="818" spans="2:16" ht="15.75" customHeight="1" outlineLevel="2">
      <c r="B818" s="104">
        <f t="shared" si="177"/>
        <v>6.240014999999997</v>
      </c>
      <c r="C818" s="443" t="s">
        <v>1510</v>
      </c>
      <c r="D818" s="64" t="s">
        <v>36</v>
      </c>
      <c r="E818" s="87">
        <v>1</v>
      </c>
      <c r="F818" s="73"/>
      <c r="G818" s="81">
        <v>666.66666666666663</v>
      </c>
      <c r="H818" s="160">
        <v>2500</v>
      </c>
      <c r="I818" s="160">
        <f t="shared" si="175"/>
        <v>0</v>
      </c>
      <c r="J818" s="150">
        <f t="shared" si="176"/>
        <v>666.67</v>
      </c>
      <c r="K818" s="73">
        <v>2500.0100000000002</v>
      </c>
      <c r="L818" s="538"/>
      <c r="M818" s="51"/>
      <c r="O818" s="612">
        <v>666.66666666666663</v>
      </c>
      <c r="P818" s="613">
        <f t="shared" si="174"/>
        <v>666.66666666666663</v>
      </c>
    </row>
    <row r="819" spans="2:16" ht="15.75" customHeight="1" outlineLevel="3">
      <c r="B819" s="104">
        <f t="shared" si="177"/>
        <v>6.2400159999999971</v>
      </c>
      <c r="C819" s="443" t="s">
        <v>1511</v>
      </c>
      <c r="D819" s="64" t="s">
        <v>46</v>
      </c>
      <c r="E819" s="87">
        <v>16.899999999999999</v>
      </c>
      <c r="F819" s="73"/>
      <c r="G819" s="81">
        <v>69</v>
      </c>
      <c r="H819" s="160">
        <v>258.75</v>
      </c>
      <c r="I819" s="160">
        <f t="shared" si="175"/>
        <v>0</v>
      </c>
      <c r="J819" s="150">
        <f t="shared" si="176"/>
        <v>1166.0999999999999</v>
      </c>
      <c r="K819" s="73">
        <v>4372.88</v>
      </c>
      <c r="L819" s="538"/>
      <c r="M819" s="51"/>
      <c r="O819" s="612">
        <v>69</v>
      </c>
      <c r="P819" s="613">
        <f t="shared" si="174"/>
        <v>1166.0999999999999</v>
      </c>
    </row>
    <row r="820" spans="2:16" ht="15.75" customHeight="1" outlineLevel="3">
      <c r="B820" s="104">
        <f t="shared" si="177"/>
        <v>6.2400169999999973</v>
      </c>
      <c r="C820" s="443" t="s">
        <v>1512</v>
      </c>
      <c r="D820" s="64" t="s">
        <v>46</v>
      </c>
      <c r="E820" s="87">
        <v>5.3</v>
      </c>
      <c r="F820" s="73"/>
      <c r="G820" s="81">
        <v>69</v>
      </c>
      <c r="H820" s="160">
        <v>258.75</v>
      </c>
      <c r="I820" s="160">
        <f t="shared" si="175"/>
        <v>0</v>
      </c>
      <c r="J820" s="150">
        <f t="shared" si="176"/>
        <v>365.7</v>
      </c>
      <c r="K820" s="73">
        <v>1371.38</v>
      </c>
      <c r="L820" s="538"/>
      <c r="M820" s="51"/>
      <c r="O820" s="612">
        <v>69</v>
      </c>
      <c r="P820" s="613">
        <f t="shared" si="174"/>
        <v>365.7</v>
      </c>
    </row>
    <row r="821" spans="2:16" ht="15.75" customHeight="1" outlineLevel="3">
      <c r="B821" s="104">
        <f t="shared" si="177"/>
        <v>6.2400179999999974</v>
      </c>
      <c r="C821" s="443" t="s">
        <v>1513</v>
      </c>
      <c r="D821" s="64" t="s">
        <v>46</v>
      </c>
      <c r="E821" s="87">
        <v>0</v>
      </c>
      <c r="F821" s="73"/>
      <c r="G821" s="81">
        <v>110</v>
      </c>
      <c r="H821" s="160">
        <v>412.5</v>
      </c>
      <c r="I821" s="160">
        <f t="shared" si="175"/>
        <v>0</v>
      </c>
      <c r="J821" s="150">
        <f t="shared" si="176"/>
        <v>0</v>
      </c>
      <c r="K821" s="73">
        <v>0</v>
      </c>
      <c r="L821" s="538"/>
      <c r="M821" s="51"/>
      <c r="O821" s="612">
        <v>110</v>
      </c>
      <c r="P821" s="613">
        <f t="shared" si="174"/>
        <v>0</v>
      </c>
    </row>
    <row r="822" spans="2:16" ht="13.15" customHeight="1" outlineLevel="1">
      <c r="B822" s="101">
        <f>B809+0.0001</f>
        <v>6.2401059999999955</v>
      </c>
      <c r="C822" s="288" t="s">
        <v>1514</v>
      </c>
      <c r="D822" s="64"/>
      <c r="E822" s="87"/>
      <c r="F822" s="73"/>
      <c r="G822" s="81"/>
      <c r="H822" s="160">
        <v>0</v>
      </c>
      <c r="I822" s="160">
        <f t="shared" si="175"/>
        <v>0</v>
      </c>
      <c r="J822" s="150">
        <f t="shared" si="176"/>
        <v>0</v>
      </c>
      <c r="K822" s="73">
        <v>0</v>
      </c>
      <c r="L822" s="538"/>
      <c r="M822" s="51"/>
      <c r="O822" s="612">
        <v>0</v>
      </c>
      <c r="P822" s="613">
        <f t="shared" si="174"/>
        <v>0</v>
      </c>
    </row>
    <row r="823" spans="2:16" ht="15.75" customHeight="1" outlineLevel="2">
      <c r="B823" s="104">
        <f t="shared" si="177"/>
        <v>6.2401069999999956</v>
      </c>
      <c r="C823" s="273" t="s">
        <v>1515</v>
      </c>
      <c r="D823" s="64" t="s">
        <v>29</v>
      </c>
      <c r="E823" s="87"/>
      <c r="F823" s="73"/>
      <c r="G823" s="81"/>
      <c r="H823" s="160">
        <v>0</v>
      </c>
      <c r="I823" s="160">
        <f>+ROUND(E823*F823,2)</f>
        <v>0</v>
      </c>
      <c r="J823" s="150">
        <f t="shared" ref="J823:J875" si="178">+ROUND(E823*G823,2)</f>
        <v>0</v>
      </c>
      <c r="K823" s="73">
        <v>0</v>
      </c>
      <c r="L823" s="538"/>
      <c r="M823" s="51"/>
      <c r="O823" s="612">
        <v>0</v>
      </c>
      <c r="P823" s="613">
        <f t="shared" si="174"/>
        <v>0</v>
      </c>
    </row>
    <row r="824" spans="2:16" ht="15" customHeight="1" outlineLevel="2">
      <c r="B824" s="104">
        <f t="shared" si="177"/>
        <v>6.2401079999999958</v>
      </c>
      <c r="C824" s="289" t="s">
        <v>1516</v>
      </c>
      <c r="D824" s="64" t="s">
        <v>29</v>
      </c>
      <c r="E824" s="87"/>
      <c r="F824" s="73"/>
      <c r="G824" s="81"/>
      <c r="H824" s="160">
        <v>0</v>
      </c>
      <c r="I824" s="160">
        <f>+ROUND(E824*F824,2)</f>
        <v>0</v>
      </c>
      <c r="J824" s="150">
        <f t="shared" si="178"/>
        <v>0</v>
      </c>
      <c r="K824" s="73">
        <v>0</v>
      </c>
      <c r="L824" s="538"/>
      <c r="M824" s="51"/>
      <c r="O824" s="612">
        <v>0</v>
      </c>
      <c r="P824" s="613">
        <f t="shared" si="174"/>
        <v>0</v>
      </c>
    </row>
    <row r="825" spans="2:16" ht="13.5" customHeight="1">
      <c r="B825" s="164">
        <f>B803+0.01</f>
        <v>6.2499999999999947</v>
      </c>
      <c r="C825" s="279" t="s">
        <v>828</v>
      </c>
      <c r="D825" s="280"/>
      <c r="E825" s="87"/>
      <c r="F825" s="93"/>
      <c r="G825" s="69"/>
      <c r="H825" s="160"/>
      <c r="I825" s="160"/>
      <c r="J825" s="150"/>
      <c r="K825" s="73">
        <v>0</v>
      </c>
      <c r="L825" s="537">
        <v>84105.45</v>
      </c>
      <c r="M825" s="591"/>
      <c r="N825" s="571"/>
      <c r="O825" s="571"/>
      <c r="P825" s="592"/>
    </row>
    <row r="826" spans="2:16" ht="13.5" customHeight="1">
      <c r="B826" s="104">
        <f t="shared" si="177"/>
        <v>6.2500009999999948</v>
      </c>
      <c r="C826" s="449" t="s">
        <v>829</v>
      </c>
      <c r="D826" s="437" t="s">
        <v>36</v>
      </c>
      <c r="E826" s="442">
        <v>3</v>
      </c>
      <c r="F826" s="73"/>
      <c r="G826" s="298">
        <v>23.92</v>
      </c>
      <c r="H826" s="160">
        <v>89.7</v>
      </c>
      <c r="I826" s="160">
        <f t="shared" ref="I826:I858" si="179">+ROUND(E826*F826,2)</f>
        <v>0</v>
      </c>
      <c r="J826" s="150">
        <f t="shared" ref="J826:J858" si="180">+ROUND(E826*G826,2)</f>
        <v>71.760000000000005</v>
      </c>
      <c r="K826" s="73">
        <v>269.10000000000002</v>
      </c>
      <c r="L826" s="575"/>
      <c r="M826" s="586"/>
      <c r="N826" s="570"/>
      <c r="O826" s="570"/>
      <c r="P826" s="587"/>
    </row>
    <row r="827" spans="2:16" ht="13.5" customHeight="1">
      <c r="B827" s="104">
        <f t="shared" si="177"/>
        <v>6.250001999999995</v>
      </c>
      <c r="C827" s="449" t="s">
        <v>830</v>
      </c>
      <c r="D827" s="437" t="s">
        <v>36</v>
      </c>
      <c r="E827" s="442">
        <v>3</v>
      </c>
      <c r="F827" s="73"/>
      <c r="G827" s="298">
        <v>35.119999999999997</v>
      </c>
      <c r="H827" s="160">
        <v>131.69999999999999</v>
      </c>
      <c r="I827" s="160">
        <f t="shared" si="179"/>
        <v>0</v>
      </c>
      <c r="J827" s="150">
        <f t="shared" si="180"/>
        <v>105.36</v>
      </c>
      <c r="K827" s="73">
        <v>395.1</v>
      </c>
      <c r="L827" s="575"/>
      <c r="M827" s="586"/>
      <c r="N827" s="570"/>
      <c r="O827" s="570"/>
      <c r="P827" s="587"/>
    </row>
    <row r="828" spans="2:16" ht="13.5" customHeight="1">
      <c r="B828" s="104">
        <f t="shared" si="177"/>
        <v>6.2500029999999951</v>
      </c>
      <c r="C828" s="449" t="s">
        <v>831</v>
      </c>
      <c r="D828" s="437" t="s">
        <v>36</v>
      </c>
      <c r="E828" s="442">
        <v>105</v>
      </c>
      <c r="F828" s="73"/>
      <c r="G828" s="298">
        <v>8.1999999999999993</v>
      </c>
      <c r="H828" s="160">
        <v>30.75</v>
      </c>
      <c r="I828" s="160">
        <f t="shared" si="179"/>
        <v>0</v>
      </c>
      <c r="J828" s="150">
        <f t="shared" si="180"/>
        <v>861</v>
      </c>
      <c r="K828" s="73">
        <v>3228.75</v>
      </c>
      <c r="L828" s="575"/>
      <c r="M828" s="586"/>
      <c r="N828" s="570"/>
      <c r="O828" s="570"/>
      <c r="P828" s="587"/>
    </row>
    <row r="829" spans="2:16" ht="13.5" customHeight="1">
      <c r="B829" s="104">
        <f t="shared" si="177"/>
        <v>6.2500039999999952</v>
      </c>
      <c r="C829" s="449" t="s">
        <v>832</v>
      </c>
      <c r="D829" s="437" t="s">
        <v>36</v>
      </c>
      <c r="E829" s="442">
        <v>215</v>
      </c>
      <c r="F829" s="73"/>
      <c r="G829" s="298">
        <v>6.72</v>
      </c>
      <c r="H829" s="160">
        <v>25.2</v>
      </c>
      <c r="I829" s="160">
        <f t="shared" si="179"/>
        <v>0</v>
      </c>
      <c r="J829" s="150">
        <f t="shared" si="180"/>
        <v>1444.8</v>
      </c>
      <c r="K829" s="73">
        <v>5418</v>
      </c>
      <c r="L829" s="575"/>
      <c r="M829" s="586"/>
      <c r="N829" s="570"/>
      <c r="O829" s="570"/>
      <c r="P829" s="587"/>
    </row>
    <row r="830" spans="2:16" ht="13.5" customHeight="1">
      <c r="B830" s="104">
        <f t="shared" si="177"/>
        <v>6.2500049999999954</v>
      </c>
      <c r="C830" s="449" t="s">
        <v>1517</v>
      </c>
      <c r="D830" s="437" t="s">
        <v>36</v>
      </c>
      <c r="E830" s="442">
        <v>7</v>
      </c>
      <c r="F830" s="73"/>
      <c r="G830" s="298">
        <v>3.92</v>
      </c>
      <c r="H830" s="160">
        <v>14.7</v>
      </c>
      <c r="I830" s="160">
        <f t="shared" si="179"/>
        <v>0</v>
      </c>
      <c r="J830" s="150">
        <f t="shared" si="180"/>
        <v>27.44</v>
      </c>
      <c r="K830" s="73">
        <v>102.9</v>
      </c>
      <c r="L830" s="575"/>
      <c r="M830" s="586"/>
      <c r="N830" s="570"/>
      <c r="O830" s="570"/>
      <c r="P830" s="587"/>
    </row>
    <row r="831" spans="2:16" ht="13.5" customHeight="1">
      <c r="B831" s="104">
        <f t="shared" si="177"/>
        <v>6.2500059999999955</v>
      </c>
      <c r="C831" s="449" t="s">
        <v>1518</v>
      </c>
      <c r="D831" s="437" t="s">
        <v>36</v>
      </c>
      <c r="E831" s="442">
        <v>382</v>
      </c>
      <c r="F831" s="73"/>
      <c r="G831" s="298">
        <v>9.52</v>
      </c>
      <c r="H831" s="160">
        <v>35.700000000000003</v>
      </c>
      <c r="I831" s="160">
        <f t="shared" si="179"/>
        <v>0</v>
      </c>
      <c r="J831" s="150">
        <f t="shared" si="180"/>
        <v>3636.64</v>
      </c>
      <c r="K831" s="73">
        <v>13637.4</v>
      </c>
      <c r="L831" s="575"/>
      <c r="M831" s="586"/>
      <c r="N831" s="570"/>
      <c r="O831" s="570"/>
      <c r="P831" s="587"/>
    </row>
    <row r="832" spans="2:16" ht="13.5" customHeight="1">
      <c r="B832" s="104">
        <f t="shared" si="177"/>
        <v>6.2500069999999956</v>
      </c>
      <c r="C832" s="449" t="s">
        <v>1519</v>
      </c>
      <c r="D832" s="437" t="s">
        <v>36</v>
      </c>
      <c r="E832" s="442">
        <v>49</v>
      </c>
      <c r="F832" s="73"/>
      <c r="G832" s="298">
        <v>11.92</v>
      </c>
      <c r="H832" s="160">
        <v>44.7</v>
      </c>
      <c r="I832" s="160">
        <f t="shared" si="179"/>
        <v>0</v>
      </c>
      <c r="J832" s="150">
        <f t="shared" si="180"/>
        <v>584.08000000000004</v>
      </c>
      <c r="K832" s="73">
        <v>2190.3000000000002</v>
      </c>
      <c r="L832" s="575"/>
      <c r="M832" s="586"/>
      <c r="N832" s="570"/>
      <c r="O832" s="570"/>
      <c r="P832" s="587"/>
    </row>
    <row r="833" spans="2:16" ht="13.5" customHeight="1">
      <c r="B833" s="104">
        <f t="shared" si="177"/>
        <v>6.2500079999999958</v>
      </c>
      <c r="C833" s="449" t="s">
        <v>1520</v>
      </c>
      <c r="D833" s="437" t="s">
        <v>36</v>
      </c>
      <c r="E833" s="442">
        <v>17</v>
      </c>
      <c r="F833" s="73"/>
      <c r="G833" s="298">
        <v>16.72</v>
      </c>
      <c r="H833" s="160">
        <v>62.7</v>
      </c>
      <c r="I833" s="160">
        <f t="shared" si="179"/>
        <v>0</v>
      </c>
      <c r="J833" s="150">
        <f t="shared" si="180"/>
        <v>284.24</v>
      </c>
      <c r="K833" s="73">
        <v>1065.9000000000001</v>
      </c>
      <c r="L833" s="575"/>
      <c r="M833" s="586"/>
      <c r="N833" s="570"/>
      <c r="O833" s="570"/>
      <c r="P833" s="587"/>
    </row>
    <row r="834" spans="2:16" ht="13.5" customHeight="1">
      <c r="B834" s="104">
        <f t="shared" si="177"/>
        <v>6.2500089999999959</v>
      </c>
      <c r="C834" s="449" t="s">
        <v>1521</v>
      </c>
      <c r="D834" s="437" t="s">
        <v>36</v>
      </c>
      <c r="E834" s="442">
        <v>15</v>
      </c>
      <c r="F834" s="73"/>
      <c r="G834" s="298">
        <v>16.72</v>
      </c>
      <c r="H834" s="160">
        <v>62.7</v>
      </c>
      <c r="I834" s="160">
        <f t="shared" si="179"/>
        <v>0</v>
      </c>
      <c r="J834" s="150">
        <f t="shared" si="180"/>
        <v>250.8</v>
      </c>
      <c r="K834" s="73">
        <v>940.5</v>
      </c>
      <c r="L834" s="575"/>
      <c r="M834" s="586"/>
      <c r="N834" s="570"/>
      <c r="O834" s="570"/>
      <c r="P834" s="587"/>
    </row>
    <row r="835" spans="2:16" ht="13.5" customHeight="1">
      <c r="B835" s="104">
        <f t="shared" si="177"/>
        <v>6.2500099999999961</v>
      </c>
      <c r="C835" s="449" t="s">
        <v>1522</v>
      </c>
      <c r="D835" s="437" t="s">
        <v>36</v>
      </c>
      <c r="E835" s="442">
        <v>12</v>
      </c>
      <c r="F835" s="73"/>
      <c r="G835" s="298">
        <v>14</v>
      </c>
      <c r="H835" s="160">
        <v>52.5</v>
      </c>
      <c r="I835" s="160">
        <f t="shared" si="179"/>
        <v>0</v>
      </c>
      <c r="J835" s="150">
        <f t="shared" si="180"/>
        <v>168</v>
      </c>
      <c r="K835" s="73">
        <v>630</v>
      </c>
      <c r="L835" s="575"/>
      <c r="M835" s="586"/>
      <c r="N835" s="570"/>
      <c r="O835" s="570"/>
      <c r="P835" s="587"/>
    </row>
    <row r="836" spans="2:16" ht="13.5" customHeight="1">
      <c r="B836" s="104">
        <f t="shared" si="177"/>
        <v>6.2500109999999962</v>
      </c>
      <c r="C836" s="449" t="s">
        <v>1523</v>
      </c>
      <c r="D836" s="437" t="s">
        <v>36</v>
      </c>
      <c r="E836" s="442">
        <v>26</v>
      </c>
      <c r="F836" s="73"/>
      <c r="G836" s="298">
        <v>79.2</v>
      </c>
      <c r="H836" s="160">
        <v>297</v>
      </c>
      <c r="I836" s="160">
        <f t="shared" si="179"/>
        <v>0</v>
      </c>
      <c r="J836" s="150">
        <f t="shared" si="180"/>
        <v>2059.1999999999998</v>
      </c>
      <c r="K836" s="73">
        <v>7722</v>
      </c>
      <c r="L836" s="575"/>
      <c r="M836" s="586"/>
      <c r="N836" s="570"/>
      <c r="O836" s="570"/>
      <c r="P836" s="587"/>
    </row>
    <row r="837" spans="2:16" ht="13.5" customHeight="1">
      <c r="B837" s="104">
        <f t="shared" si="177"/>
        <v>6.2500119999999963</v>
      </c>
      <c r="C837" s="449" t="s">
        <v>1524</v>
      </c>
      <c r="D837" s="437" t="s">
        <v>36</v>
      </c>
      <c r="E837" s="442">
        <v>30</v>
      </c>
      <c r="F837" s="73"/>
      <c r="G837" s="298">
        <v>47.92</v>
      </c>
      <c r="H837" s="160">
        <v>179.7</v>
      </c>
      <c r="I837" s="160">
        <f t="shared" si="179"/>
        <v>0</v>
      </c>
      <c r="J837" s="150">
        <f t="shared" si="180"/>
        <v>1437.6</v>
      </c>
      <c r="K837" s="73">
        <v>5391</v>
      </c>
      <c r="L837" s="575"/>
      <c r="M837" s="586"/>
      <c r="N837" s="570"/>
      <c r="O837" s="570"/>
      <c r="P837" s="587"/>
    </row>
    <row r="838" spans="2:16" ht="13.5" customHeight="1">
      <c r="B838" s="104">
        <f t="shared" si="177"/>
        <v>6.2500129999999965</v>
      </c>
      <c r="C838" s="449"/>
      <c r="D838" s="437" t="s">
        <v>36</v>
      </c>
      <c r="E838" s="442">
        <v>10</v>
      </c>
      <c r="F838" s="73"/>
      <c r="G838" s="298">
        <v>15.84</v>
      </c>
      <c r="H838" s="160">
        <v>59.4</v>
      </c>
      <c r="I838" s="160">
        <f t="shared" si="179"/>
        <v>0</v>
      </c>
      <c r="J838" s="150">
        <f t="shared" si="180"/>
        <v>158.4</v>
      </c>
      <c r="K838" s="73">
        <v>594</v>
      </c>
      <c r="L838" s="575"/>
      <c r="M838" s="586"/>
      <c r="N838" s="570"/>
      <c r="O838" s="570"/>
      <c r="P838" s="587"/>
    </row>
    <row r="839" spans="2:16" ht="13.5" customHeight="1">
      <c r="B839" s="104">
        <f t="shared" si="177"/>
        <v>6.2500139999999966</v>
      </c>
      <c r="C839" s="449"/>
      <c r="D839" s="437" t="s">
        <v>36</v>
      </c>
      <c r="E839" s="442">
        <v>13</v>
      </c>
      <c r="F839" s="73"/>
      <c r="G839" s="298">
        <v>22.4</v>
      </c>
      <c r="H839" s="160">
        <v>84</v>
      </c>
      <c r="I839" s="160">
        <f t="shared" si="179"/>
        <v>0</v>
      </c>
      <c r="J839" s="150">
        <f t="shared" si="180"/>
        <v>291.2</v>
      </c>
      <c r="K839" s="73">
        <v>1092</v>
      </c>
      <c r="L839" s="575"/>
      <c r="M839" s="586"/>
      <c r="N839" s="570"/>
      <c r="O839" s="570"/>
      <c r="P839" s="587"/>
    </row>
    <row r="840" spans="2:16" ht="13.5" customHeight="1">
      <c r="B840" s="104">
        <f t="shared" si="177"/>
        <v>6.2500149999999968</v>
      </c>
      <c r="C840" s="449"/>
      <c r="D840" s="437" t="s">
        <v>36</v>
      </c>
      <c r="E840" s="442">
        <v>54</v>
      </c>
      <c r="F840" s="73"/>
      <c r="G840" s="298">
        <v>16.399999999999999</v>
      </c>
      <c r="H840" s="160">
        <v>61.5</v>
      </c>
      <c r="I840" s="160">
        <f t="shared" si="179"/>
        <v>0</v>
      </c>
      <c r="J840" s="150">
        <f t="shared" si="180"/>
        <v>885.6</v>
      </c>
      <c r="K840" s="73">
        <v>3321</v>
      </c>
      <c r="L840" s="575"/>
      <c r="M840" s="586"/>
      <c r="N840" s="570"/>
      <c r="O840" s="570"/>
      <c r="P840" s="587"/>
    </row>
    <row r="841" spans="2:16" ht="13.5" customHeight="1">
      <c r="B841" s="104">
        <f t="shared" si="177"/>
        <v>6.2500159999999969</v>
      </c>
      <c r="C841" s="449" t="s">
        <v>1525</v>
      </c>
      <c r="D841" s="437" t="s">
        <v>36</v>
      </c>
      <c r="E841" s="442">
        <v>4</v>
      </c>
      <c r="F841" s="73"/>
      <c r="G841" s="298">
        <v>55.92</v>
      </c>
      <c r="H841" s="160">
        <v>209.7</v>
      </c>
      <c r="I841" s="160">
        <f t="shared" si="179"/>
        <v>0</v>
      </c>
      <c r="J841" s="150">
        <f t="shared" si="180"/>
        <v>223.68</v>
      </c>
      <c r="K841" s="73">
        <v>838.8</v>
      </c>
      <c r="L841" s="575"/>
      <c r="M841" s="586"/>
      <c r="N841" s="570"/>
      <c r="O841" s="570"/>
      <c r="P841" s="587"/>
    </row>
    <row r="842" spans="2:16" ht="13.5" customHeight="1">
      <c r="B842" s="104">
        <f t="shared" si="177"/>
        <v>6.250016999999997</v>
      </c>
      <c r="C842" s="449"/>
      <c r="D842" s="437" t="s">
        <v>36</v>
      </c>
      <c r="E842" s="442">
        <v>7</v>
      </c>
      <c r="F842" s="73"/>
      <c r="G842" s="298">
        <v>15.84</v>
      </c>
      <c r="H842" s="160">
        <v>59.4</v>
      </c>
      <c r="I842" s="160">
        <f t="shared" si="179"/>
        <v>0</v>
      </c>
      <c r="J842" s="150">
        <f t="shared" si="180"/>
        <v>110.88</v>
      </c>
      <c r="K842" s="73">
        <v>415.8</v>
      </c>
      <c r="L842" s="575"/>
      <c r="M842" s="586"/>
      <c r="N842" s="570"/>
      <c r="O842" s="570"/>
      <c r="P842" s="587"/>
    </row>
    <row r="843" spans="2:16" ht="13.5" customHeight="1">
      <c r="B843" s="104">
        <f t="shared" si="177"/>
        <v>6.2500179999999972</v>
      </c>
      <c r="C843" s="449"/>
      <c r="D843" s="437" t="s">
        <v>36</v>
      </c>
      <c r="E843" s="442">
        <v>8</v>
      </c>
      <c r="F843" s="73"/>
      <c r="G843" s="298">
        <v>16.399999999999999</v>
      </c>
      <c r="H843" s="160">
        <v>61.5</v>
      </c>
      <c r="I843" s="160">
        <f t="shared" si="179"/>
        <v>0</v>
      </c>
      <c r="J843" s="150">
        <f t="shared" si="180"/>
        <v>131.19999999999999</v>
      </c>
      <c r="K843" s="73">
        <v>492</v>
      </c>
      <c r="L843" s="575"/>
      <c r="M843" s="586"/>
      <c r="N843" s="570"/>
      <c r="O843" s="570"/>
      <c r="P843" s="587"/>
    </row>
    <row r="844" spans="2:16" ht="13.5" customHeight="1">
      <c r="B844" s="104">
        <f t="shared" si="177"/>
        <v>6.2500189999999973</v>
      </c>
      <c r="C844" s="449" t="s">
        <v>1526</v>
      </c>
      <c r="D844" s="437" t="s">
        <v>36</v>
      </c>
      <c r="E844" s="442">
        <v>2</v>
      </c>
      <c r="F844" s="73"/>
      <c r="G844" s="298">
        <v>158.65</v>
      </c>
      <c r="H844" s="160">
        <v>594.94000000000005</v>
      </c>
      <c r="I844" s="160">
        <f t="shared" si="179"/>
        <v>0</v>
      </c>
      <c r="J844" s="150">
        <f t="shared" si="180"/>
        <v>317.3</v>
      </c>
      <c r="K844" s="73">
        <v>1189.8800000000001</v>
      </c>
      <c r="L844" s="575"/>
      <c r="M844" s="586"/>
      <c r="N844" s="570"/>
      <c r="O844" s="570"/>
      <c r="P844" s="587"/>
    </row>
    <row r="845" spans="2:16" ht="13.5" customHeight="1">
      <c r="B845" s="104">
        <f t="shared" si="177"/>
        <v>6.2500199999999975</v>
      </c>
      <c r="C845" s="449"/>
      <c r="D845" s="437" t="s">
        <v>36</v>
      </c>
      <c r="E845" s="442">
        <v>12</v>
      </c>
      <c r="F845" s="73"/>
      <c r="G845" s="298">
        <v>3.57</v>
      </c>
      <c r="H845" s="160">
        <v>13.39</v>
      </c>
      <c r="I845" s="160">
        <f t="shared" si="179"/>
        <v>0</v>
      </c>
      <c r="J845" s="150">
        <f t="shared" si="180"/>
        <v>42.84</v>
      </c>
      <c r="K845" s="73">
        <v>160.65</v>
      </c>
      <c r="L845" s="575"/>
      <c r="M845" s="586"/>
      <c r="N845" s="570"/>
      <c r="O845" s="570"/>
      <c r="P845" s="587"/>
    </row>
    <row r="846" spans="2:16" ht="13.5" customHeight="1">
      <c r="B846" s="104">
        <f t="shared" si="177"/>
        <v>6.2500209999999976</v>
      </c>
      <c r="C846" s="449" t="s">
        <v>1527</v>
      </c>
      <c r="D846" s="437" t="s">
        <v>36</v>
      </c>
      <c r="E846" s="442">
        <v>26</v>
      </c>
      <c r="F846" s="73"/>
      <c r="G846" s="298">
        <v>86.49</v>
      </c>
      <c r="H846" s="160">
        <v>324.33999999999997</v>
      </c>
      <c r="I846" s="160">
        <f t="shared" si="179"/>
        <v>0</v>
      </c>
      <c r="J846" s="150">
        <f t="shared" si="180"/>
        <v>2248.7399999999998</v>
      </c>
      <c r="K846" s="73">
        <v>8432.7800000000007</v>
      </c>
      <c r="L846" s="575"/>
      <c r="M846" s="586"/>
      <c r="N846" s="570"/>
      <c r="O846" s="570"/>
      <c r="P846" s="587"/>
    </row>
    <row r="847" spans="2:16" ht="13.5" customHeight="1">
      <c r="B847" s="104">
        <f t="shared" si="177"/>
        <v>6.2500219999999977</v>
      </c>
      <c r="C847" s="449"/>
      <c r="D847" s="437" t="s">
        <v>36</v>
      </c>
      <c r="E847" s="442">
        <v>14</v>
      </c>
      <c r="F847" s="73"/>
      <c r="G847" s="298">
        <v>3.12</v>
      </c>
      <c r="H847" s="160">
        <v>11.7</v>
      </c>
      <c r="I847" s="160">
        <f t="shared" si="179"/>
        <v>0</v>
      </c>
      <c r="J847" s="150">
        <f t="shared" si="180"/>
        <v>43.68</v>
      </c>
      <c r="K847" s="73">
        <v>163.80000000000001</v>
      </c>
      <c r="L847" s="575"/>
      <c r="M847" s="586"/>
      <c r="N847" s="570"/>
      <c r="O847" s="570"/>
      <c r="P847" s="587"/>
    </row>
    <row r="848" spans="2:16" ht="13.5" customHeight="1">
      <c r="B848" s="104">
        <f t="shared" si="177"/>
        <v>6.2500229999999979</v>
      </c>
      <c r="C848" s="449" t="s">
        <v>1528</v>
      </c>
      <c r="D848" s="437" t="s">
        <v>36</v>
      </c>
      <c r="E848" s="442">
        <v>2</v>
      </c>
      <c r="F848" s="73"/>
      <c r="G848" s="298">
        <v>101.61999999999999</v>
      </c>
      <c r="H848" s="160">
        <v>381.08</v>
      </c>
      <c r="I848" s="160">
        <f t="shared" si="179"/>
        <v>0</v>
      </c>
      <c r="J848" s="150">
        <f t="shared" si="180"/>
        <v>203.24</v>
      </c>
      <c r="K848" s="73">
        <v>762.15</v>
      </c>
      <c r="L848" s="575"/>
      <c r="M848" s="586"/>
      <c r="N848" s="570"/>
      <c r="O848" s="570"/>
      <c r="P848" s="587"/>
    </row>
    <row r="849" spans="2:16" ht="13.5" customHeight="1">
      <c r="B849" s="104">
        <f t="shared" si="177"/>
        <v>6.250023999999998</v>
      </c>
      <c r="C849" s="449" t="s">
        <v>1529</v>
      </c>
      <c r="D849" s="437" t="s">
        <v>36</v>
      </c>
      <c r="E849" s="442">
        <v>16</v>
      </c>
      <c r="F849" s="73"/>
      <c r="G849" s="298">
        <v>10.889999999999999</v>
      </c>
      <c r="H849" s="160">
        <v>40.840000000000003</v>
      </c>
      <c r="I849" s="160">
        <f t="shared" si="179"/>
        <v>0</v>
      </c>
      <c r="J849" s="150">
        <f t="shared" si="180"/>
        <v>174.24</v>
      </c>
      <c r="K849" s="73">
        <v>653.4</v>
      </c>
      <c r="L849" s="575"/>
      <c r="M849" s="586"/>
      <c r="N849" s="570"/>
      <c r="O849" s="570"/>
      <c r="P849" s="587"/>
    </row>
    <row r="850" spans="2:16" ht="13.5" customHeight="1">
      <c r="B850" s="104">
        <f t="shared" si="177"/>
        <v>6.2500249999999982</v>
      </c>
      <c r="C850" s="449" t="s">
        <v>1530</v>
      </c>
      <c r="D850" s="437" t="s">
        <v>36</v>
      </c>
      <c r="E850" s="442">
        <v>138</v>
      </c>
      <c r="F850" s="73"/>
      <c r="G850" s="298">
        <v>4.79</v>
      </c>
      <c r="H850" s="160">
        <v>17.96</v>
      </c>
      <c r="I850" s="160">
        <f t="shared" si="179"/>
        <v>0</v>
      </c>
      <c r="J850" s="150">
        <f t="shared" si="180"/>
        <v>661.02</v>
      </c>
      <c r="K850" s="73">
        <v>2478.83</v>
      </c>
      <c r="L850" s="575"/>
      <c r="M850" s="586"/>
      <c r="N850" s="570"/>
      <c r="O850" s="570"/>
      <c r="P850" s="587"/>
    </row>
    <row r="851" spans="2:16" ht="13.5" customHeight="1">
      <c r="B851" s="104">
        <f t="shared" si="177"/>
        <v>6.2500259999999983</v>
      </c>
      <c r="C851" s="449" t="s">
        <v>1531</v>
      </c>
      <c r="D851" s="437" t="s">
        <v>36</v>
      </c>
      <c r="E851" s="442">
        <v>98</v>
      </c>
      <c r="F851" s="73"/>
      <c r="G851" s="298">
        <v>7.4299999999999988</v>
      </c>
      <c r="H851" s="160">
        <v>27.86</v>
      </c>
      <c r="I851" s="160">
        <f t="shared" si="179"/>
        <v>0</v>
      </c>
      <c r="J851" s="150">
        <f t="shared" si="180"/>
        <v>728.14</v>
      </c>
      <c r="K851" s="73">
        <v>2730.53</v>
      </c>
      <c r="L851" s="575"/>
      <c r="M851" s="586"/>
      <c r="N851" s="570"/>
      <c r="O851" s="570"/>
      <c r="P851" s="587"/>
    </row>
    <row r="852" spans="2:16" ht="13.5" customHeight="1">
      <c r="B852" s="104">
        <f t="shared" si="177"/>
        <v>6.2500269999999984</v>
      </c>
      <c r="C852" s="449" t="s">
        <v>1532</v>
      </c>
      <c r="D852" s="437" t="s">
        <v>36</v>
      </c>
      <c r="E852" s="442">
        <v>45</v>
      </c>
      <c r="F852" s="73"/>
      <c r="G852" s="298">
        <v>9.52</v>
      </c>
      <c r="H852" s="160">
        <v>35.700000000000003</v>
      </c>
      <c r="I852" s="160">
        <f t="shared" si="179"/>
        <v>0</v>
      </c>
      <c r="J852" s="150">
        <f t="shared" si="180"/>
        <v>428.4</v>
      </c>
      <c r="K852" s="73">
        <v>1606.5</v>
      </c>
      <c r="L852" s="575"/>
      <c r="M852" s="586"/>
      <c r="N852" s="570"/>
      <c r="O852" s="570"/>
      <c r="P852" s="587"/>
    </row>
    <row r="853" spans="2:16" ht="13.5" customHeight="1">
      <c r="B853" s="104">
        <f t="shared" si="177"/>
        <v>6.2500279999999986</v>
      </c>
      <c r="C853" s="449" t="s">
        <v>1533</v>
      </c>
      <c r="D853" s="437" t="s">
        <v>36</v>
      </c>
      <c r="E853" s="442">
        <v>15</v>
      </c>
      <c r="F853" s="73"/>
      <c r="G853" s="298">
        <v>7.14</v>
      </c>
      <c r="H853" s="160">
        <v>26.78</v>
      </c>
      <c r="I853" s="160">
        <f t="shared" si="179"/>
        <v>0</v>
      </c>
      <c r="J853" s="150">
        <f t="shared" si="180"/>
        <v>107.1</v>
      </c>
      <c r="K853" s="73">
        <v>401.63</v>
      </c>
      <c r="L853" s="575"/>
      <c r="M853" s="586"/>
      <c r="N853" s="570"/>
      <c r="O853" s="570"/>
      <c r="P853" s="587"/>
    </row>
    <row r="854" spans="2:16" ht="13.5" customHeight="1">
      <c r="B854" s="104">
        <f t="shared" si="177"/>
        <v>6.2500289999999987</v>
      </c>
      <c r="C854" s="449" t="s">
        <v>1534</v>
      </c>
      <c r="D854" s="437" t="s">
        <v>36</v>
      </c>
      <c r="E854" s="442">
        <v>5</v>
      </c>
      <c r="F854" s="73"/>
      <c r="G854" s="298">
        <v>70.38000000000001</v>
      </c>
      <c r="H854" s="160">
        <v>263.93</v>
      </c>
      <c r="I854" s="160">
        <f t="shared" si="179"/>
        <v>0</v>
      </c>
      <c r="J854" s="150">
        <f t="shared" si="180"/>
        <v>351.9</v>
      </c>
      <c r="K854" s="73">
        <v>1319.63</v>
      </c>
      <c r="L854" s="575"/>
      <c r="M854" s="586"/>
      <c r="N854" s="570"/>
      <c r="O854" s="570"/>
      <c r="P854" s="587"/>
    </row>
    <row r="855" spans="2:16" ht="13.5" customHeight="1">
      <c r="B855" s="104">
        <f t="shared" si="177"/>
        <v>6.2500299999999989</v>
      </c>
      <c r="C855" s="449" t="s">
        <v>1535</v>
      </c>
      <c r="D855" s="437" t="s">
        <v>36</v>
      </c>
      <c r="E855" s="442">
        <v>3</v>
      </c>
      <c r="F855" s="73"/>
      <c r="G855" s="298">
        <v>7.92</v>
      </c>
      <c r="H855" s="160">
        <v>29.7</v>
      </c>
      <c r="I855" s="160">
        <f t="shared" si="179"/>
        <v>0</v>
      </c>
      <c r="J855" s="150">
        <f t="shared" si="180"/>
        <v>23.76</v>
      </c>
      <c r="K855" s="73">
        <v>89.1</v>
      </c>
      <c r="L855" s="575"/>
      <c r="M855" s="586"/>
      <c r="N855" s="570"/>
      <c r="O855" s="570"/>
      <c r="P855" s="587"/>
    </row>
    <row r="856" spans="2:16" ht="13.5" customHeight="1">
      <c r="B856" s="104">
        <f t="shared" si="177"/>
        <v>6.250030999999999</v>
      </c>
      <c r="C856" s="449" t="s">
        <v>1536</v>
      </c>
      <c r="D856" s="437" t="s">
        <v>36</v>
      </c>
      <c r="E856" s="442">
        <v>6</v>
      </c>
      <c r="F856" s="73"/>
      <c r="G856" s="298">
        <v>13.9</v>
      </c>
      <c r="H856" s="160">
        <v>52.13</v>
      </c>
      <c r="I856" s="160">
        <f t="shared" si="179"/>
        <v>0</v>
      </c>
      <c r="J856" s="150">
        <f t="shared" si="180"/>
        <v>83.4</v>
      </c>
      <c r="K856" s="73">
        <v>312.75</v>
      </c>
      <c r="L856" s="575"/>
      <c r="M856" s="586"/>
      <c r="N856" s="570"/>
      <c r="O856" s="570"/>
      <c r="P856" s="587"/>
    </row>
    <row r="857" spans="2:16" ht="13.5" customHeight="1">
      <c r="B857" s="104">
        <f t="shared" si="177"/>
        <v>6.2500319999999991</v>
      </c>
      <c r="C857" s="449" t="s">
        <v>1537</v>
      </c>
      <c r="D857" s="437" t="s">
        <v>36</v>
      </c>
      <c r="E857" s="442">
        <v>274</v>
      </c>
      <c r="F857" s="73"/>
      <c r="G857" s="298">
        <v>14.32</v>
      </c>
      <c r="H857" s="160">
        <v>53.7</v>
      </c>
      <c r="I857" s="160">
        <f t="shared" si="179"/>
        <v>0</v>
      </c>
      <c r="J857" s="150">
        <f t="shared" si="180"/>
        <v>3923.68</v>
      </c>
      <c r="K857" s="73">
        <v>14713.8</v>
      </c>
      <c r="L857" s="575"/>
      <c r="M857" s="586"/>
      <c r="N857" s="570"/>
      <c r="O857" s="570"/>
      <c r="P857" s="587"/>
    </row>
    <row r="858" spans="2:16" ht="13.5" customHeight="1">
      <c r="B858" s="104">
        <f t="shared" si="177"/>
        <v>6.2500329999999993</v>
      </c>
      <c r="C858" s="449" t="s">
        <v>1538</v>
      </c>
      <c r="D858" s="437" t="s">
        <v>36</v>
      </c>
      <c r="E858" s="442">
        <v>15</v>
      </c>
      <c r="F858" s="73"/>
      <c r="G858" s="298">
        <v>23.92</v>
      </c>
      <c r="H858" s="160">
        <v>89.7</v>
      </c>
      <c r="I858" s="160">
        <f t="shared" si="179"/>
        <v>0</v>
      </c>
      <c r="J858" s="150">
        <f t="shared" si="180"/>
        <v>358.8</v>
      </c>
      <c r="K858" s="73">
        <v>1345.5</v>
      </c>
      <c r="L858" s="575"/>
      <c r="M858" s="586"/>
      <c r="N858" s="570"/>
      <c r="O858" s="570"/>
      <c r="P858" s="587"/>
    </row>
    <row r="859" spans="2:16" ht="13.5" customHeight="1">
      <c r="B859" s="164">
        <f>B825+0.01</f>
        <v>6.2599999999999945</v>
      </c>
      <c r="C859" s="279" t="s">
        <v>1539</v>
      </c>
      <c r="D859" s="280"/>
      <c r="E859" s="87"/>
      <c r="F859" s="93"/>
      <c r="G859" s="69"/>
      <c r="H859" s="160"/>
      <c r="I859" s="160"/>
      <c r="J859" s="150"/>
      <c r="K859" s="73">
        <v>0</v>
      </c>
      <c r="L859" s="537">
        <v>16929</v>
      </c>
      <c r="M859" s="591"/>
      <c r="N859" s="571"/>
      <c r="O859" s="571"/>
      <c r="P859" s="592"/>
    </row>
    <row r="860" spans="2:16" ht="13.5" customHeight="1">
      <c r="B860" s="104">
        <f t="shared" si="177"/>
        <v>6.2600009999999946</v>
      </c>
      <c r="C860" s="449" t="s">
        <v>835</v>
      </c>
      <c r="D860" s="64" t="s">
        <v>36</v>
      </c>
      <c r="E860" s="87">
        <v>51</v>
      </c>
      <c r="F860" s="73">
        <v>85</v>
      </c>
      <c r="G860" s="65"/>
      <c r="H860" s="160">
        <v>85</v>
      </c>
      <c r="I860" s="160">
        <f t="shared" ref="I860:I872" si="181">+ROUND(E860*F860,2)</f>
        <v>4335</v>
      </c>
      <c r="J860" s="150">
        <f t="shared" ref="J860:J872" si="182">+ROUND(E860*G860,2)</f>
        <v>0</v>
      </c>
      <c r="K860" s="73">
        <v>4335</v>
      </c>
      <c r="L860" s="575"/>
      <c r="M860" s="586"/>
      <c r="N860" s="570"/>
      <c r="O860" s="570"/>
      <c r="P860" s="587"/>
    </row>
    <row r="861" spans="2:16" ht="13.5" customHeight="1">
      <c r="B861" s="104">
        <f t="shared" si="177"/>
        <v>6.2600019999999947</v>
      </c>
      <c r="C861" s="449" t="s">
        <v>836</v>
      </c>
      <c r="D861" s="64" t="s">
        <v>36</v>
      </c>
      <c r="E861" s="87">
        <v>30</v>
      </c>
      <c r="F861" s="73">
        <v>85</v>
      </c>
      <c r="G861" s="65"/>
      <c r="H861" s="160">
        <v>85</v>
      </c>
      <c r="I861" s="160">
        <f t="shared" si="181"/>
        <v>2550</v>
      </c>
      <c r="J861" s="150">
        <f t="shared" si="182"/>
        <v>0</v>
      </c>
      <c r="K861" s="73">
        <v>2550</v>
      </c>
      <c r="L861" s="575"/>
      <c r="M861" s="586"/>
      <c r="N861" s="570"/>
      <c r="O861" s="570"/>
      <c r="P861" s="587"/>
    </row>
    <row r="862" spans="2:16" ht="13.5" customHeight="1">
      <c r="B862" s="104">
        <f t="shared" si="177"/>
        <v>6.2600029999999949</v>
      </c>
      <c r="C862" s="449" t="s">
        <v>837</v>
      </c>
      <c r="D862" s="64" t="s">
        <v>36</v>
      </c>
      <c r="E862" s="87">
        <v>0</v>
      </c>
      <c r="F862" s="73"/>
      <c r="G862" s="65"/>
      <c r="H862" s="160">
        <v>0</v>
      </c>
      <c r="I862" s="160">
        <f t="shared" si="181"/>
        <v>0</v>
      </c>
      <c r="J862" s="150">
        <f t="shared" si="182"/>
        <v>0</v>
      </c>
      <c r="K862" s="73">
        <v>0</v>
      </c>
      <c r="L862" s="575"/>
      <c r="M862" s="586"/>
      <c r="N862" s="570"/>
      <c r="O862" s="570"/>
      <c r="P862" s="587"/>
    </row>
    <row r="863" spans="2:16" ht="13.5" customHeight="1">
      <c r="B863" s="104">
        <f t="shared" si="177"/>
        <v>6.260003999999995</v>
      </c>
      <c r="C863" s="449" t="s">
        <v>838</v>
      </c>
      <c r="D863" s="64" t="s">
        <v>36</v>
      </c>
      <c r="E863" s="87">
        <v>56</v>
      </c>
      <c r="F863" s="73">
        <v>13.5</v>
      </c>
      <c r="G863" s="65"/>
      <c r="H863" s="160">
        <v>13.5</v>
      </c>
      <c r="I863" s="160">
        <f t="shared" si="181"/>
        <v>756</v>
      </c>
      <c r="J863" s="150">
        <f t="shared" si="182"/>
        <v>0</v>
      </c>
      <c r="K863" s="73">
        <v>756</v>
      </c>
      <c r="L863" s="575"/>
      <c r="M863" s="586"/>
      <c r="N863" s="570"/>
      <c r="O863" s="570"/>
      <c r="P863" s="587"/>
    </row>
    <row r="864" spans="2:16" ht="13.5" customHeight="1">
      <c r="B864" s="104">
        <f t="shared" si="177"/>
        <v>6.2600049999999952</v>
      </c>
      <c r="C864" s="449" t="s">
        <v>839</v>
      </c>
      <c r="D864" s="64" t="s">
        <v>36</v>
      </c>
      <c r="E864" s="87">
        <v>60</v>
      </c>
      <c r="F864" s="73">
        <v>13.5</v>
      </c>
      <c r="G864" s="65"/>
      <c r="H864" s="160">
        <v>13.5</v>
      </c>
      <c r="I864" s="160">
        <f t="shared" si="181"/>
        <v>810</v>
      </c>
      <c r="J864" s="150">
        <f t="shared" si="182"/>
        <v>0</v>
      </c>
      <c r="K864" s="73">
        <v>810</v>
      </c>
      <c r="L864" s="575"/>
      <c r="M864" s="586"/>
      <c r="N864" s="570"/>
      <c r="O864" s="570"/>
      <c r="P864" s="587"/>
    </row>
    <row r="865" spans="2:16" ht="13.5" customHeight="1">
      <c r="B865" s="104">
        <f t="shared" si="177"/>
        <v>6.2600059999999953</v>
      </c>
      <c r="C865" s="449" t="s">
        <v>840</v>
      </c>
      <c r="D865" s="64" t="s">
        <v>36</v>
      </c>
      <c r="E865" s="87">
        <v>1</v>
      </c>
      <c r="F865" s="73">
        <v>13.5</v>
      </c>
      <c r="G865" s="65"/>
      <c r="H865" s="160">
        <v>13.5</v>
      </c>
      <c r="I865" s="160">
        <f t="shared" si="181"/>
        <v>13.5</v>
      </c>
      <c r="J865" s="150">
        <f t="shared" si="182"/>
        <v>0</v>
      </c>
      <c r="K865" s="73">
        <v>13.5</v>
      </c>
      <c r="L865" s="575"/>
      <c r="M865" s="586"/>
      <c r="N865" s="570"/>
      <c r="O865" s="570"/>
      <c r="P865" s="587"/>
    </row>
    <row r="866" spans="2:16" ht="13.5" customHeight="1">
      <c r="B866" s="104">
        <f t="shared" si="177"/>
        <v>6.2600069999999954</v>
      </c>
      <c r="C866" s="449" t="s">
        <v>841</v>
      </c>
      <c r="D866" s="64" t="s">
        <v>36</v>
      </c>
      <c r="E866" s="87">
        <v>1</v>
      </c>
      <c r="F866" s="73">
        <v>13.5</v>
      </c>
      <c r="G866" s="65"/>
      <c r="H866" s="160">
        <v>13.5</v>
      </c>
      <c r="I866" s="160">
        <f t="shared" si="181"/>
        <v>13.5</v>
      </c>
      <c r="J866" s="150">
        <f t="shared" si="182"/>
        <v>0</v>
      </c>
      <c r="K866" s="73">
        <v>13.5</v>
      </c>
      <c r="L866" s="575"/>
      <c r="M866" s="586"/>
      <c r="N866" s="570"/>
      <c r="O866" s="570"/>
      <c r="P866" s="587"/>
    </row>
    <row r="867" spans="2:16" ht="13.5" customHeight="1">
      <c r="B867" s="104">
        <f t="shared" si="177"/>
        <v>6.2600079999999956</v>
      </c>
      <c r="C867" s="449" t="s">
        <v>842</v>
      </c>
      <c r="D867" s="64" t="s">
        <v>36</v>
      </c>
      <c r="E867" s="87">
        <v>0</v>
      </c>
      <c r="F867" s="73">
        <v>13.5</v>
      </c>
      <c r="G867" s="65"/>
      <c r="H867" s="160">
        <v>13.5</v>
      </c>
      <c r="I867" s="160">
        <f t="shared" si="181"/>
        <v>0</v>
      </c>
      <c r="J867" s="150">
        <f t="shared" si="182"/>
        <v>0</v>
      </c>
      <c r="K867" s="73">
        <v>0</v>
      </c>
      <c r="L867" s="575"/>
      <c r="M867" s="586"/>
      <c r="N867" s="570"/>
      <c r="O867" s="570"/>
      <c r="P867" s="587"/>
    </row>
    <row r="868" spans="2:16" ht="13.5" customHeight="1">
      <c r="B868" s="104">
        <f t="shared" si="177"/>
        <v>6.2600089999999957</v>
      </c>
      <c r="C868" s="449" t="s">
        <v>843</v>
      </c>
      <c r="D868" s="64" t="s">
        <v>36</v>
      </c>
      <c r="E868" s="87">
        <v>259</v>
      </c>
      <c r="F868" s="73">
        <v>13.5</v>
      </c>
      <c r="G868" s="65"/>
      <c r="H868" s="160">
        <v>13.5</v>
      </c>
      <c r="I868" s="160">
        <f t="shared" si="181"/>
        <v>3496.5</v>
      </c>
      <c r="J868" s="150">
        <f t="shared" si="182"/>
        <v>0</v>
      </c>
      <c r="K868" s="73">
        <v>3496.5</v>
      </c>
      <c r="L868" s="575"/>
      <c r="M868" s="586"/>
      <c r="N868" s="570"/>
      <c r="O868" s="570"/>
      <c r="P868" s="587"/>
    </row>
    <row r="869" spans="2:16" ht="13.15" customHeight="1" outlineLevel="1">
      <c r="B869" s="104">
        <f t="shared" si="177"/>
        <v>6.2600099999999959</v>
      </c>
      <c r="C869" s="449" t="s">
        <v>844</v>
      </c>
      <c r="D869" s="64" t="s">
        <v>36</v>
      </c>
      <c r="E869" s="87">
        <v>51</v>
      </c>
      <c r="F869" s="83">
        <v>13.5</v>
      </c>
      <c r="G869" s="81"/>
      <c r="H869" s="160">
        <v>13.5</v>
      </c>
      <c r="I869" s="160">
        <f t="shared" si="181"/>
        <v>688.5</v>
      </c>
      <c r="J869" s="150">
        <f t="shared" si="182"/>
        <v>0</v>
      </c>
      <c r="K869" s="73">
        <v>688.5</v>
      </c>
      <c r="L869" s="538"/>
      <c r="M869" s="51"/>
      <c r="P869" s="545"/>
    </row>
    <row r="870" spans="2:16" ht="13.15" customHeight="1" outlineLevel="1">
      <c r="B870" s="104">
        <f t="shared" si="177"/>
        <v>6.260010999999996</v>
      </c>
      <c r="C870" s="449" t="s">
        <v>845</v>
      </c>
      <c r="D870" s="64" t="s">
        <v>36</v>
      </c>
      <c r="E870" s="87">
        <v>0</v>
      </c>
      <c r="F870" s="83">
        <v>13.5</v>
      </c>
      <c r="G870" s="81"/>
      <c r="H870" s="160">
        <v>13.5</v>
      </c>
      <c r="I870" s="160">
        <f t="shared" si="181"/>
        <v>0</v>
      </c>
      <c r="J870" s="150">
        <f t="shared" si="182"/>
        <v>0</v>
      </c>
      <c r="K870" s="73">
        <v>0</v>
      </c>
      <c r="L870" s="538"/>
      <c r="M870" s="51"/>
      <c r="P870" s="545"/>
    </row>
    <row r="871" spans="2:16" ht="13.15" customHeight="1" outlineLevel="1">
      <c r="B871" s="104">
        <f t="shared" si="177"/>
        <v>6.2600119999999961</v>
      </c>
      <c r="C871" s="449" t="s">
        <v>846</v>
      </c>
      <c r="D871" s="64" t="s">
        <v>36</v>
      </c>
      <c r="E871" s="87">
        <v>49</v>
      </c>
      <c r="F871" s="83">
        <v>13.5</v>
      </c>
      <c r="G871" s="81"/>
      <c r="H871" s="160">
        <v>13.5</v>
      </c>
      <c r="I871" s="160">
        <f t="shared" si="181"/>
        <v>661.5</v>
      </c>
      <c r="J871" s="150">
        <f t="shared" si="182"/>
        <v>0</v>
      </c>
      <c r="K871" s="73">
        <v>661.5</v>
      </c>
      <c r="L871" s="538"/>
      <c r="M871" s="51"/>
      <c r="P871" s="545"/>
    </row>
    <row r="872" spans="2:16" ht="13.15" customHeight="1" outlineLevel="1">
      <c r="B872" s="104">
        <f t="shared" si="177"/>
        <v>6.2600129999999963</v>
      </c>
      <c r="C872" s="440" t="s">
        <v>847</v>
      </c>
      <c r="D872" s="64" t="s">
        <v>36</v>
      </c>
      <c r="E872" s="87">
        <v>267</v>
      </c>
      <c r="F872" s="83">
        <v>13.5</v>
      </c>
      <c r="G872" s="81"/>
      <c r="H872" s="160">
        <v>13.5</v>
      </c>
      <c r="I872" s="160">
        <f t="shared" si="181"/>
        <v>3604.5</v>
      </c>
      <c r="J872" s="150">
        <f t="shared" si="182"/>
        <v>0</v>
      </c>
      <c r="K872" s="73">
        <v>3604.5</v>
      </c>
      <c r="L872" s="538"/>
      <c r="M872" s="51"/>
      <c r="P872" s="545"/>
    </row>
    <row r="873" spans="2:16" ht="13.5" customHeight="1">
      <c r="B873" s="164">
        <f>B859+0.01</f>
        <v>6.2699999999999942</v>
      </c>
      <c r="C873" s="279" t="s">
        <v>1540</v>
      </c>
      <c r="D873" s="280"/>
      <c r="E873" s="87"/>
      <c r="F873" s="93"/>
      <c r="G873" s="69"/>
      <c r="H873" s="160"/>
      <c r="I873" s="160"/>
      <c r="J873" s="150"/>
      <c r="K873" s="73">
        <v>0</v>
      </c>
      <c r="L873" s="537">
        <v>541210.89749999996</v>
      </c>
      <c r="M873" s="591"/>
      <c r="N873" s="571"/>
      <c r="O873" s="571"/>
      <c r="P873" s="592"/>
    </row>
    <row r="874" spans="2:16" ht="13.15" customHeight="1" outlineLevel="1">
      <c r="B874" s="294">
        <f>B873+0.0001</f>
        <v>6.270099999999994</v>
      </c>
      <c r="C874" s="273" t="s">
        <v>1540</v>
      </c>
      <c r="D874" s="64" t="s">
        <v>29</v>
      </c>
      <c r="E874" s="87">
        <v>1</v>
      </c>
      <c r="F874" s="73"/>
      <c r="G874" s="298">
        <v>143497.03</v>
      </c>
      <c r="H874" s="160">
        <v>538113.86</v>
      </c>
      <c r="I874" s="160">
        <f t="shared" ref="I874:I875" si="183">+ROUND(E874*F874,2)</f>
        <v>0</v>
      </c>
      <c r="J874" s="150">
        <f t="shared" si="178"/>
        <v>143497.03</v>
      </c>
      <c r="K874" s="73">
        <v>538113.86</v>
      </c>
      <c r="L874" s="538"/>
      <c r="M874" s="51"/>
      <c r="P874" s="545"/>
    </row>
    <row r="875" spans="2:16" ht="13.15" customHeight="1" outlineLevel="1">
      <c r="B875" s="294">
        <f t="shared" ref="B875:B880" si="184">B874+0.0001</f>
        <v>6.2701999999999938</v>
      </c>
      <c r="C875" s="475" t="s">
        <v>1541</v>
      </c>
      <c r="D875" s="64"/>
      <c r="E875" s="87"/>
      <c r="F875" s="73"/>
      <c r="G875" s="81"/>
      <c r="H875" s="160">
        <v>0</v>
      </c>
      <c r="I875" s="160">
        <f t="shared" si="183"/>
        <v>0</v>
      </c>
      <c r="J875" s="150">
        <f t="shared" si="178"/>
        <v>0</v>
      </c>
      <c r="K875" s="73">
        <v>0</v>
      </c>
      <c r="L875" s="538"/>
      <c r="M875" s="51"/>
      <c r="P875" s="545"/>
    </row>
    <row r="876" spans="2:16" ht="13.15" customHeight="1" outlineLevel="1">
      <c r="B876" s="294">
        <f t="shared" si="184"/>
        <v>6.2702999999999935</v>
      </c>
      <c r="C876" s="287" t="s">
        <v>1152</v>
      </c>
      <c r="D876" s="64" t="s">
        <v>36</v>
      </c>
      <c r="E876" s="87">
        <v>24</v>
      </c>
      <c r="F876" s="73">
        <v>102.63</v>
      </c>
      <c r="G876" s="81">
        <v>3.22</v>
      </c>
      <c r="H876" s="160">
        <v>114.71</v>
      </c>
      <c r="I876" s="160">
        <f t="shared" ref="I876" si="185">+ROUND(E876*F876,2)</f>
        <v>2463.12</v>
      </c>
      <c r="J876" s="150">
        <f t="shared" ref="J876" si="186">+ROUND(E876*G876,2)</f>
        <v>77.28</v>
      </c>
      <c r="K876" s="73">
        <v>2752.92</v>
      </c>
      <c r="L876" s="538"/>
      <c r="M876" s="51"/>
      <c r="P876" s="545"/>
    </row>
    <row r="877" spans="2:16" ht="13.15" customHeight="1" outlineLevel="1">
      <c r="B877" s="294">
        <f t="shared" si="184"/>
        <v>6.2703999999999933</v>
      </c>
      <c r="C877" s="287" t="s">
        <v>1153</v>
      </c>
      <c r="D877" s="64" t="s">
        <v>36</v>
      </c>
      <c r="E877" s="87">
        <v>1</v>
      </c>
      <c r="F877" s="73">
        <v>102.63</v>
      </c>
      <c r="G877" s="81">
        <v>3.22</v>
      </c>
      <c r="H877" s="160">
        <v>114.71</v>
      </c>
      <c r="I877" s="160">
        <f t="shared" ref="I877" si="187">+ROUND(E877*F877,2)</f>
        <v>102.63</v>
      </c>
      <c r="J877" s="150">
        <f t="shared" ref="J877" si="188">+ROUND(E877*G877,2)</f>
        <v>3.22</v>
      </c>
      <c r="K877" s="73">
        <v>114.71</v>
      </c>
      <c r="L877" s="538"/>
      <c r="M877" s="51"/>
      <c r="P877" s="545"/>
    </row>
    <row r="878" spans="2:16" ht="13.15" customHeight="1" outlineLevel="1">
      <c r="B878" s="294">
        <f t="shared" si="184"/>
        <v>6.2704999999999931</v>
      </c>
      <c r="C878" s="287" t="s">
        <v>1542</v>
      </c>
      <c r="D878" s="64" t="s">
        <v>36</v>
      </c>
      <c r="E878" s="87">
        <v>0</v>
      </c>
      <c r="F878" s="73">
        <v>102.63</v>
      </c>
      <c r="G878" s="81">
        <v>3.22</v>
      </c>
      <c r="H878" s="160"/>
      <c r="I878" s="160"/>
      <c r="J878" s="150"/>
      <c r="K878" s="73">
        <v>0</v>
      </c>
      <c r="L878" s="538"/>
      <c r="M878" s="51"/>
      <c r="P878" s="545"/>
    </row>
    <row r="879" spans="2:16" ht="13.15" customHeight="1" outlineLevel="1">
      <c r="B879" s="294">
        <f t="shared" si="184"/>
        <v>6.2705999999999928</v>
      </c>
      <c r="C879" s="287" t="s">
        <v>1155</v>
      </c>
      <c r="D879" s="64" t="s">
        <v>36</v>
      </c>
      <c r="E879" s="87">
        <v>1</v>
      </c>
      <c r="F879" s="73">
        <v>102.63</v>
      </c>
      <c r="G879" s="81">
        <v>3.22</v>
      </c>
      <c r="H879" s="160">
        <v>114.71</v>
      </c>
      <c r="I879" s="160">
        <f t="shared" ref="I879" si="189">+ROUND(E879*F879,2)</f>
        <v>102.63</v>
      </c>
      <c r="J879" s="150">
        <f t="shared" ref="J879" si="190">+ROUND(E879*G879,2)</f>
        <v>3.22</v>
      </c>
      <c r="K879" s="73">
        <v>114.71</v>
      </c>
      <c r="L879" s="538"/>
      <c r="M879" s="51"/>
      <c r="P879" s="545"/>
    </row>
    <row r="880" spans="2:16" ht="13.15" customHeight="1" outlineLevel="1">
      <c r="B880" s="294">
        <f t="shared" si="184"/>
        <v>6.2706999999999926</v>
      </c>
      <c r="C880" s="287" t="s">
        <v>1156</v>
      </c>
      <c r="D880" s="64" t="s">
        <v>36</v>
      </c>
      <c r="E880" s="87">
        <v>1</v>
      </c>
      <c r="F880" s="73">
        <v>102.63</v>
      </c>
      <c r="G880" s="81">
        <v>3.22</v>
      </c>
      <c r="H880" s="160">
        <v>114.71</v>
      </c>
      <c r="I880" s="160">
        <f t="shared" ref="I880" si="191">+ROUND(E880*F880,2)</f>
        <v>102.63</v>
      </c>
      <c r="J880" s="150">
        <f t="shared" ref="J880" si="192">+ROUND(E880*G880,2)</f>
        <v>3.22</v>
      </c>
      <c r="K880" s="73">
        <v>114.71</v>
      </c>
      <c r="L880" s="538"/>
      <c r="M880" s="51"/>
      <c r="P880" s="545"/>
    </row>
    <row r="881" spans="2:16" ht="13.5" customHeight="1">
      <c r="B881" s="164">
        <f>B873+0.01</f>
        <v>6.279999999999994</v>
      </c>
      <c r="C881" s="279" t="s">
        <v>1543</v>
      </c>
      <c r="D881" s="280"/>
      <c r="E881" s="87"/>
      <c r="F881" s="93"/>
      <c r="G881" s="69"/>
      <c r="H881" s="160"/>
      <c r="I881" s="160"/>
      <c r="J881" s="150"/>
      <c r="K881" s="73">
        <v>0</v>
      </c>
      <c r="L881" s="537">
        <v>27923.9</v>
      </c>
      <c r="M881" s="591"/>
      <c r="N881" s="571"/>
      <c r="O881" s="571"/>
      <c r="P881" s="592"/>
    </row>
    <row r="882" spans="2:16" ht="13.5" customHeight="1">
      <c r="B882" s="294">
        <f>B881+0.0001</f>
        <v>6.2800999999999938</v>
      </c>
      <c r="C882" s="449" t="s">
        <v>1544</v>
      </c>
      <c r="D882" s="437" t="s">
        <v>36</v>
      </c>
      <c r="E882" s="442">
        <v>237</v>
      </c>
      <c r="F882" s="439">
        <v>85</v>
      </c>
      <c r="G882" s="65"/>
      <c r="H882" s="160">
        <v>85</v>
      </c>
      <c r="I882" s="160">
        <f t="shared" ref="I882:I897" si="193">+ROUND(E882*F882,2)</f>
        <v>20145</v>
      </c>
      <c r="J882" s="150">
        <f t="shared" ref="J882:J897" si="194">+ROUND(E882*G882,2)</f>
        <v>0</v>
      </c>
      <c r="K882" s="73">
        <v>20145</v>
      </c>
      <c r="L882" s="575"/>
      <c r="M882" s="586"/>
      <c r="N882" s="570"/>
      <c r="O882" s="570"/>
      <c r="P882" s="587"/>
    </row>
    <row r="883" spans="2:16" ht="13.5" customHeight="1">
      <c r="B883" s="294">
        <f t="shared" ref="B883:B892" si="195">B882+0.0001</f>
        <v>6.2801999999999936</v>
      </c>
      <c r="C883" s="449" t="s">
        <v>1545</v>
      </c>
      <c r="D883" s="437" t="s">
        <v>36</v>
      </c>
      <c r="E883" s="442">
        <v>2</v>
      </c>
      <c r="F883" s="439">
        <v>2750</v>
      </c>
      <c r="G883" s="65"/>
      <c r="H883" s="160">
        <v>2750</v>
      </c>
      <c r="I883" s="160">
        <f t="shared" si="193"/>
        <v>5500</v>
      </c>
      <c r="J883" s="150">
        <f t="shared" si="194"/>
        <v>0</v>
      </c>
      <c r="K883" s="73">
        <v>5500</v>
      </c>
      <c r="L883" s="575"/>
      <c r="M883" s="586"/>
      <c r="N883" s="570"/>
      <c r="O883" s="570"/>
      <c r="P883" s="587"/>
    </row>
    <row r="884" spans="2:16" ht="13.5" customHeight="1">
      <c r="B884" s="294">
        <f t="shared" si="195"/>
        <v>6.2802999999999933</v>
      </c>
      <c r="C884" s="449" t="s">
        <v>1546</v>
      </c>
      <c r="D884" s="437" t="s">
        <v>161</v>
      </c>
      <c r="E884" s="442">
        <v>31.880000000000003</v>
      </c>
      <c r="F884" s="439">
        <v>65</v>
      </c>
      <c r="G884" s="65"/>
      <c r="H884" s="160">
        <v>65</v>
      </c>
      <c r="I884" s="160">
        <f t="shared" si="193"/>
        <v>2072.1999999999998</v>
      </c>
      <c r="J884" s="150">
        <f t="shared" si="194"/>
        <v>0</v>
      </c>
      <c r="K884" s="73">
        <v>2072.1999999999998</v>
      </c>
      <c r="L884" s="575"/>
      <c r="M884" s="586"/>
      <c r="N884" s="570"/>
      <c r="O884" s="570"/>
      <c r="P884" s="587"/>
    </row>
    <row r="885" spans="2:16" ht="13.5" customHeight="1">
      <c r="B885" s="294">
        <f t="shared" si="195"/>
        <v>6.2803999999999931</v>
      </c>
      <c r="C885" s="449" t="s">
        <v>1547</v>
      </c>
      <c r="D885" s="437" t="s">
        <v>161</v>
      </c>
      <c r="E885" s="442">
        <v>3.1799999999999997</v>
      </c>
      <c r="F885" s="439">
        <v>65</v>
      </c>
      <c r="G885" s="65"/>
      <c r="H885" s="160">
        <v>65</v>
      </c>
      <c r="I885" s="160">
        <f t="shared" si="193"/>
        <v>206.7</v>
      </c>
      <c r="J885" s="150">
        <f t="shared" si="194"/>
        <v>0</v>
      </c>
      <c r="K885" s="73">
        <v>206.7</v>
      </c>
      <c r="L885" s="575"/>
      <c r="M885" s="586"/>
      <c r="N885" s="570"/>
      <c r="O885" s="570"/>
      <c r="P885" s="587"/>
    </row>
    <row r="886" spans="2:16" ht="13.5" customHeight="1">
      <c r="B886" s="468">
        <f t="shared" si="195"/>
        <v>6.2804999999999929</v>
      </c>
      <c r="C886" s="472" t="s">
        <v>1548</v>
      </c>
      <c r="D886" s="458" t="s">
        <v>36</v>
      </c>
      <c r="E886" s="459">
        <v>1</v>
      </c>
      <c r="F886" s="470"/>
      <c r="G886" s="460"/>
      <c r="H886" s="186">
        <v>0</v>
      </c>
      <c r="I886" s="186">
        <f t="shared" si="193"/>
        <v>0</v>
      </c>
      <c r="J886" s="415">
        <f t="shared" si="194"/>
        <v>0</v>
      </c>
      <c r="K886" s="231">
        <v>0</v>
      </c>
      <c r="L886" s="598"/>
      <c r="M886" s="606"/>
      <c r="N886" s="594"/>
      <c r="O886" s="594"/>
      <c r="P886" s="607"/>
    </row>
    <row r="887" spans="2:16" ht="13.5" customHeight="1">
      <c r="B887" s="468">
        <f t="shared" si="195"/>
        <v>6.2805999999999926</v>
      </c>
      <c r="C887" s="472" t="s">
        <v>1549</v>
      </c>
      <c r="D887" s="458" t="s">
        <v>36</v>
      </c>
      <c r="E887" s="459">
        <v>1</v>
      </c>
      <c r="F887" s="470"/>
      <c r="G887" s="460"/>
      <c r="H887" s="186">
        <v>0</v>
      </c>
      <c r="I887" s="186">
        <f t="shared" si="193"/>
        <v>0</v>
      </c>
      <c r="J887" s="415">
        <f t="shared" si="194"/>
        <v>0</v>
      </c>
      <c r="K887" s="231">
        <v>0</v>
      </c>
      <c r="L887" s="598"/>
      <c r="M887" s="606"/>
      <c r="N887" s="594"/>
      <c r="O887" s="594"/>
      <c r="P887" s="607"/>
    </row>
    <row r="888" spans="2:16" ht="13.5" customHeight="1">
      <c r="B888" s="468">
        <f t="shared" si="195"/>
        <v>6.2806999999999924</v>
      </c>
      <c r="C888" s="472" t="s">
        <v>1550</v>
      </c>
      <c r="D888" s="458" t="s">
        <v>36</v>
      </c>
      <c r="E888" s="459">
        <v>1</v>
      </c>
      <c r="F888" s="470"/>
      <c r="G888" s="460"/>
      <c r="H888" s="186">
        <v>0</v>
      </c>
      <c r="I888" s="186">
        <f>+ROUND(E888*F888,2)</f>
        <v>0</v>
      </c>
      <c r="J888" s="415">
        <f t="shared" si="194"/>
        <v>0</v>
      </c>
      <c r="K888" s="231">
        <v>0</v>
      </c>
      <c r="L888" s="598"/>
      <c r="M888" s="606"/>
      <c r="N888" s="594"/>
      <c r="O888" s="594"/>
      <c r="P888" s="607"/>
    </row>
    <row r="889" spans="2:16" ht="13.5" customHeight="1">
      <c r="B889" s="468">
        <f t="shared" si="195"/>
        <v>6.2807999999999922</v>
      </c>
      <c r="C889" s="472" t="s">
        <v>1551</v>
      </c>
      <c r="D889" s="458" t="s">
        <v>36</v>
      </c>
      <c r="E889" s="459">
        <v>1</v>
      </c>
      <c r="F889" s="470"/>
      <c r="G889" s="460"/>
      <c r="H889" s="186">
        <v>0</v>
      </c>
      <c r="I889" s="186">
        <f t="shared" si="193"/>
        <v>0</v>
      </c>
      <c r="J889" s="415">
        <f t="shared" si="194"/>
        <v>0</v>
      </c>
      <c r="K889" s="231">
        <v>0</v>
      </c>
      <c r="L889" s="598"/>
      <c r="M889" s="606"/>
      <c r="N889" s="594"/>
      <c r="O889" s="594"/>
      <c r="P889" s="607"/>
    </row>
    <row r="890" spans="2:16" ht="13.5" customHeight="1">
      <c r="B890" s="468">
        <f t="shared" si="195"/>
        <v>6.2808999999999919</v>
      </c>
      <c r="C890" s="472" t="s">
        <v>1552</v>
      </c>
      <c r="D890" s="458" t="s">
        <v>36</v>
      </c>
      <c r="E890" s="459">
        <v>1</v>
      </c>
      <c r="F890" s="470"/>
      <c r="G890" s="460"/>
      <c r="H890" s="186">
        <v>0</v>
      </c>
      <c r="I890" s="186">
        <f t="shared" si="193"/>
        <v>0</v>
      </c>
      <c r="J890" s="415">
        <f t="shared" si="194"/>
        <v>0</v>
      </c>
      <c r="K890" s="231">
        <v>0</v>
      </c>
      <c r="L890" s="598"/>
      <c r="M890" s="606"/>
      <c r="N890" s="594"/>
      <c r="O890" s="594"/>
      <c r="P890" s="607"/>
    </row>
    <row r="891" spans="2:16" ht="13.5" customHeight="1">
      <c r="B891" s="468">
        <f t="shared" si="195"/>
        <v>6.2809999999999917</v>
      </c>
      <c r="C891" s="472" t="s">
        <v>1553</v>
      </c>
      <c r="D891" s="458" t="s">
        <v>36</v>
      </c>
      <c r="E891" s="459">
        <v>1</v>
      </c>
      <c r="F891" s="470"/>
      <c r="G891" s="460"/>
      <c r="H891" s="186">
        <v>0</v>
      </c>
      <c r="I891" s="186">
        <f t="shared" si="193"/>
        <v>0</v>
      </c>
      <c r="J891" s="415">
        <f t="shared" si="194"/>
        <v>0</v>
      </c>
      <c r="K891" s="231">
        <v>0</v>
      </c>
      <c r="L891" s="598"/>
      <c r="M891" s="606"/>
      <c r="N891" s="594"/>
      <c r="O891" s="594"/>
      <c r="P891" s="607"/>
    </row>
    <row r="892" spans="2:16" ht="14.45" customHeight="1">
      <c r="B892" s="468">
        <f t="shared" si="195"/>
        <v>6.2810999999999915</v>
      </c>
      <c r="C892" s="472" t="s">
        <v>1554</v>
      </c>
      <c r="D892" s="458" t="s">
        <v>36</v>
      </c>
      <c r="E892" s="459">
        <v>1</v>
      </c>
      <c r="F892" s="470"/>
      <c r="G892" s="460"/>
      <c r="H892" s="186">
        <v>0</v>
      </c>
      <c r="I892" s="186">
        <f t="shared" si="193"/>
        <v>0</v>
      </c>
      <c r="J892" s="415">
        <f t="shared" si="194"/>
        <v>0</v>
      </c>
      <c r="K892" s="231">
        <v>0</v>
      </c>
      <c r="L892" s="598"/>
      <c r="M892" s="606"/>
      <c r="N892" s="594"/>
      <c r="O892" s="594"/>
      <c r="P892" s="607"/>
    </row>
    <row r="893" spans="2:16">
      <c r="B893" s="164">
        <f>B881+0.01</f>
        <v>6.2899999999999938</v>
      </c>
      <c r="C893" s="279" t="s">
        <v>848</v>
      </c>
      <c r="D893" s="280"/>
      <c r="E893" s="87"/>
      <c r="F893" s="93"/>
      <c r="G893" s="69"/>
      <c r="H893" s="160">
        <v>0</v>
      </c>
      <c r="I893" s="160">
        <f t="shared" si="193"/>
        <v>0</v>
      </c>
      <c r="J893" s="150">
        <f t="shared" si="194"/>
        <v>0</v>
      </c>
      <c r="K893" s="73">
        <v>0</v>
      </c>
      <c r="L893" s="537">
        <v>18700</v>
      </c>
      <c r="M893" s="591"/>
      <c r="N893" s="571"/>
      <c r="O893" s="571"/>
      <c r="P893" s="592"/>
    </row>
    <row r="894" spans="2:16" ht="13.5" customHeight="1" outlineLevel="1">
      <c r="B894" s="294">
        <f t="shared" ref="B894:B897" si="196">B893+0.0001</f>
        <v>6.2900999999999936</v>
      </c>
      <c r="C894" s="273" t="s">
        <v>1555</v>
      </c>
      <c r="D894" s="64" t="s">
        <v>36</v>
      </c>
      <c r="E894" s="87">
        <v>85</v>
      </c>
      <c r="F894" s="73">
        <v>75</v>
      </c>
      <c r="G894" s="81"/>
      <c r="H894" s="160">
        <v>75</v>
      </c>
      <c r="I894" s="160">
        <f t="shared" si="193"/>
        <v>6375</v>
      </c>
      <c r="J894" s="150">
        <f t="shared" si="194"/>
        <v>0</v>
      </c>
      <c r="K894" s="73">
        <v>6375</v>
      </c>
      <c r="L894" s="538"/>
      <c r="M894" s="51"/>
      <c r="P894" s="545"/>
    </row>
    <row r="895" spans="2:16" ht="13.5" customHeight="1" outlineLevel="1">
      <c r="B895" s="294">
        <f t="shared" si="196"/>
        <v>6.2901999999999934</v>
      </c>
      <c r="C895" s="273" t="s">
        <v>1556</v>
      </c>
      <c r="D895" s="64" t="s">
        <v>36</v>
      </c>
      <c r="E895" s="87">
        <v>3</v>
      </c>
      <c r="F895" s="73">
        <v>295</v>
      </c>
      <c r="G895" s="81"/>
      <c r="H895" s="160">
        <v>295</v>
      </c>
      <c r="I895" s="160">
        <f t="shared" si="193"/>
        <v>885</v>
      </c>
      <c r="J895" s="150">
        <f t="shared" si="194"/>
        <v>0</v>
      </c>
      <c r="K895" s="73">
        <v>885</v>
      </c>
      <c r="L895" s="538"/>
      <c r="M895" s="51"/>
      <c r="P895" s="545"/>
    </row>
    <row r="896" spans="2:16" ht="13.5" customHeight="1" outlineLevel="1">
      <c r="B896" s="294">
        <f t="shared" si="196"/>
        <v>6.2902999999999931</v>
      </c>
      <c r="C896" s="273" t="s">
        <v>1557</v>
      </c>
      <c r="D896" s="64" t="s">
        <v>36</v>
      </c>
      <c r="E896" s="87">
        <v>0</v>
      </c>
      <c r="F896" s="73"/>
      <c r="G896" s="81"/>
      <c r="H896" s="160">
        <v>0</v>
      </c>
      <c r="I896" s="160">
        <f t="shared" si="193"/>
        <v>0</v>
      </c>
      <c r="J896" s="150">
        <f t="shared" si="194"/>
        <v>0</v>
      </c>
      <c r="K896" s="73">
        <v>0</v>
      </c>
      <c r="L896" s="538"/>
      <c r="M896" s="51"/>
      <c r="P896" s="545"/>
    </row>
    <row r="897" spans="1:16" ht="13.5" customHeight="1" outlineLevel="1">
      <c r="B897" s="294">
        <f t="shared" si="196"/>
        <v>6.2903999999999929</v>
      </c>
      <c r="C897" s="273" t="s">
        <v>851</v>
      </c>
      <c r="D897" s="64" t="s">
        <v>36</v>
      </c>
      <c r="E897" s="87">
        <v>88</v>
      </c>
      <c r="F897" s="73">
        <v>130</v>
      </c>
      <c r="G897" s="81"/>
      <c r="H897" s="160">
        <v>130</v>
      </c>
      <c r="I897" s="160">
        <f t="shared" si="193"/>
        <v>11440</v>
      </c>
      <c r="J897" s="150">
        <f t="shared" si="194"/>
        <v>0</v>
      </c>
      <c r="K897" s="73">
        <v>11440</v>
      </c>
      <c r="L897" s="538"/>
      <c r="M897" s="51"/>
      <c r="P897" s="545"/>
    </row>
    <row r="898" spans="1:16" ht="13.5" customHeight="1">
      <c r="B898" s="164">
        <f>B893+0.01</f>
        <v>6.2999999999999936</v>
      </c>
      <c r="C898" s="279" t="s">
        <v>315</v>
      </c>
      <c r="D898" s="280"/>
      <c r="E898" s="87"/>
      <c r="F898" s="93"/>
      <c r="G898" s="69"/>
      <c r="H898" s="160"/>
      <c r="I898" s="160"/>
      <c r="J898" s="150"/>
      <c r="K898" s="73">
        <v>0</v>
      </c>
      <c r="L898" s="537">
        <v>166621.69</v>
      </c>
      <c r="M898" s="591"/>
      <c r="N898" s="571"/>
      <c r="O898" s="571"/>
      <c r="P898" s="592"/>
    </row>
    <row r="899" spans="1:16" ht="13.5" customHeight="1">
      <c r="B899" s="294">
        <f>B58+0.0001</f>
        <v>6.3001999999999931</v>
      </c>
      <c r="C899" s="273" t="s">
        <v>1558</v>
      </c>
      <c r="D899" s="64" t="s">
        <v>46</v>
      </c>
      <c r="E899" s="87">
        <v>234.95</v>
      </c>
      <c r="F899" s="73">
        <v>10.94</v>
      </c>
      <c r="G899" s="65"/>
      <c r="H899" s="160">
        <v>10.94</v>
      </c>
      <c r="I899" s="160">
        <f t="shared" ref="I899" si="197">+ROUND(E899*F899,2)</f>
        <v>2570.35</v>
      </c>
      <c r="J899" s="150">
        <f t="shared" ref="J899" si="198">+ROUND(E899*G899,2)</f>
        <v>0</v>
      </c>
      <c r="K899" s="73">
        <v>2570.35</v>
      </c>
      <c r="L899" s="575"/>
      <c r="M899" s="586"/>
      <c r="N899" s="570"/>
      <c r="O899" s="570"/>
      <c r="P899" s="587"/>
    </row>
    <row r="900" spans="1:16" ht="13.5" customHeight="1">
      <c r="B900" s="294">
        <f t="shared" ref="B900:B902" si="199">B899+0.0001</f>
        <v>6.3002999999999929</v>
      </c>
      <c r="C900" s="273" t="s">
        <v>1559</v>
      </c>
      <c r="D900" s="64" t="s">
        <v>161</v>
      </c>
      <c r="E900" s="87">
        <v>5.03</v>
      </c>
      <c r="F900" s="73">
        <v>105</v>
      </c>
      <c r="G900" s="65"/>
      <c r="H900" s="160">
        <v>105</v>
      </c>
      <c r="I900" s="160">
        <f t="shared" ref="I900:I901" si="200">+ROUND(E900*F900,2)</f>
        <v>528.15</v>
      </c>
      <c r="J900" s="150">
        <f t="shared" ref="J900:J901" si="201">+ROUND(E900*G900,2)</f>
        <v>0</v>
      </c>
      <c r="K900" s="73">
        <v>528.15</v>
      </c>
      <c r="L900" s="575"/>
      <c r="M900" s="586"/>
      <c r="N900" s="570"/>
      <c r="O900" s="570"/>
      <c r="P900" s="587"/>
    </row>
    <row r="901" spans="1:16" ht="13.5" customHeight="1">
      <c r="B901" s="294">
        <f t="shared" si="199"/>
        <v>6.3003999999999927</v>
      </c>
      <c r="C901" s="273" t="s">
        <v>1560</v>
      </c>
      <c r="D901" s="64" t="s">
        <v>161</v>
      </c>
      <c r="E901" s="87">
        <v>1.7</v>
      </c>
      <c r="F901" s="73">
        <v>175</v>
      </c>
      <c r="G901" s="65"/>
      <c r="H901" s="160">
        <v>175</v>
      </c>
      <c r="I901" s="160">
        <f t="shared" si="200"/>
        <v>297.5</v>
      </c>
      <c r="J901" s="150">
        <f t="shared" si="201"/>
        <v>0</v>
      </c>
      <c r="K901" s="73">
        <v>297.5</v>
      </c>
      <c r="L901" s="575"/>
      <c r="M901" s="586"/>
      <c r="N901" s="570"/>
      <c r="O901" s="570"/>
      <c r="P901" s="587"/>
    </row>
    <row r="902" spans="1:16" ht="13.5" customHeight="1" outlineLevel="1" thickBot="1">
      <c r="B902" s="294">
        <f t="shared" si="199"/>
        <v>6.3004999999999924</v>
      </c>
      <c r="C902" s="273" t="s">
        <v>1561</v>
      </c>
      <c r="D902" s="64" t="s">
        <v>29</v>
      </c>
      <c r="E902" s="87">
        <v>1</v>
      </c>
      <c r="F902" s="83">
        <v>163225.69</v>
      </c>
      <c r="G902" s="81"/>
      <c r="H902" s="160">
        <v>163225.69</v>
      </c>
      <c r="I902" s="160">
        <f>+ROUND(E902*F902,2)</f>
        <v>163225.69</v>
      </c>
      <c r="J902" s="477">
        <f>+ROUND(E902*G902,2)</f>
        <v>0</v>
      </c>
      <c r="K902" s="73">
        <v>163225.69</v>
      </c>
      <c r="L902" s="538"/>
      <c r="M902" s="96"/>
      <c r="N902" s="546"/>
      <c r="O902" s="546"/>
      <c r="P902" s="547"/>
    </row>
    <row r="903" spans="1:16" s="50" customFormat="1" ht="14.1" customHeight="1" collapsed="1" thickTop="1" thickBot="1">
      <c r="A903" s="392"/>
      <c r="B903" s="89"/>
      <c r="C903" s="128"/>
      <c r="D903" s="90"/>
      <c r="E903" s="90"/>
      <c r="F903" s="76" t="s">
        <v>1562</v>
      </c>
      <c r="G903" s="174"/>
      <c r="H903" s="174"/>
      <c r="I903" s="77">
        <f>SUM(I12:I902)</f>
        <v>12739682.079999994</v>
      </c>
      <c r="J903" s="78">
        <f>SUM(J13:J902)</f>
        <v>1443298.399999999</v>
      </c>
      <c r="K903" s="77">
        <v>18150400.820000008</v>
      </c>
      <c r="L903" s="82">
        <v>18150400.63000001</v>
      </c>
      <c r="M903" s="572"/>
      <c r="N903" s="572">
        <f>SUM(N12:N902)</f>
        <v>7779048.1970610972</v>
      </c>
      <c r="O903" s="572"/>
      <c r="P903" s="572">
        <f>SUM(P14:P902)</f>
        <v>943299.01426666672</v>
      </c>
    </row>
    <row r="904" spans="1:16" ht="12" thickTop="1"/>
  </sheetData>
  <mergeCells count="2">
    <mergeCell ref="B2:L2"/>
    <mergeCell ref="M9:P9"/>
  </mergeCells>
  <phoneticPr fontId="13" type="noConversion"/>
  <conditionalFormatting sqref="C174">
    <cfRule type="containsText" dxfId="4" priority="1" operator="containsText" text="POR DEFINIR">
      <formula>NOT(ISERROR(SEARCH("POR DEFINIR",C174)))</formula>
    </cfRule>
  </conditionalFormatting>
  <conditionalFormatting sqref="C176:C179">
    <cfRule type="containsText" dxfId="3" priority="2" operator="containsText" text="POR DEFINIR">
      <formula>NOT(ISERROR(SEARCH("POR DEFINIR",C176)))</formula>
    </cfRule>
  </conditionalFormatting>
  <conditionalFormatting sqref="C188 C190 C192:C193 C195:C200 C419:C458">
    <cfRule type="containsText" dxfId="2" priority="14" operator="containsText" text="POR DEFINIR">
      <formula>NOT(ISERROR(SEARCH("POR DEFINIR",C188)))</formula>
    </cfRule>
  </conditionalFormatting>
  <conditionalFormatting sqref="C357:C375">
    <cfRule type="containsText" dxfId="1" priority="12" operator="containsText" text="POR DEFINIR">
      <formula>NOT(ISERROR(SEARCH("POR DEFINIR",C357)))</formula>
    </cfRule>
  </conditionalFormatting>
  <conditionalFormatting sqref="I12:J14 I903:J903">
    <cfRule type="cellIs" dxfId="0" priority="21" stopIfTrue="1" operator="equal">
      <formula>0</formula>
    </cfRule>
  </conditionalFormatting>
  <dataValidations count="1">
    <dataValidation type="list" allowBlank="1" showInputMessage="1" showErrorMessage="1" sqref="C35 C193:C195 C197:C200 C244 C741 C792:C793 C733 C782:C783 C730:C731 C247 C217" xr:uid="{07BC56BE-7492-4E67-977D-8430627B4FB7}">
      <formula1>#REF!</formula1>
    </dataValidation>
  </dataValidations>
  <pageMargins left="0.7" right="0.7" top="0.75" bottom="0.75" header="0.3" footer="0.3"/>
  <ignoredErrors>
    <ignoredError sqref="C11 B181:C181 C180 B185 C167 B201 I12:J12 B193 B182 I13:J14" unlockedFormula="1"/>
    <ignoredError sqref="B145:B146 B128 B881 B727 B343 B417 B399 B346:B347 B356 B381 B395:B396 B329:B338 B873:B874 B156 B653 B859 B803 B177:B178 B509 B23 B78 B101 B53:B56 B25:B27 B59:B62 B48:B50 B898 B180 B459 B30 B41 B647:B650 B43:B46 B825 B376:B377" formula="1"/>
    <ignoredError sqref="B186:B192 B183:B184 B167" formula="1" unlocked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4CA54-9C1C-4854-8472-F09F3EEFFC66}">
  <dimension ref="A1:I119"/>
  <sheetViews>
    <sheetView workbookViewId="0">
      <selection activeCell="I4" sqref="H3:I4"/>
    </sheetView>
  </sheetViews>
  <sheetFormatPr defaultColWidth="11.42578125" defaultRowHeight="15"/>
  <cols>
    <col min="2" max="2" width="53.140625" bestFit="1" customWidth="1"/>
    <col min="3" max="3" width="5.7109375" style="228" customWidth="1"/>
    <col min="4" max="4" width="9.5703125" customWidth="1"/>
    <col min="5" max="5" width="13.7109375" bestFit="1" customWidth="1"/>
    <col min="6" max="8" width="11.7109375" bestFit="1" customWidth="1"/>
    <col min="9" max="9" width="17" bestFit="1" customWidth="1"/>
  </cols>
  <sheetData>
    <row r="1" spans="1:9">
      <c r="A1" s="25"/>
      <c r="B1" s="309"/>
      <c r="C1" s="3"/>
      <c r="D1" s="2"/>
      <c r="E1" s="310"/>
      <c r="F1" s="311"/>
      <c r="G1" s="310"/>
      <c r="H1" s="311"/>
      <c r="I1" s="312"/>
    </row>
    <row r="2" spans="1:9">
      <c r="A2" s="698" t="s">
        <v>1563</v>
      </c>
      <c r="B2" s="698"/>
      <c r="C2" s="698"/>
      <c r="D2" s="698"/>
      <c r="E2" s="698"/>
      <c r="F2" s="698"/>
      <c r="G2" s="698"/>
      <c r="H2" s="698"/>
      <c r="I2" s="312"/>
    </row>
    <row r="3" spans="1:9">
      <c r="A3" s="25"/>
      <c r="B3" s="309"/>
      <c r="C3" s="3"/>
      <c r="D3" s="2"/>
      <c r="E3" s="310"/>
      <c r="F3" s="311"/>
      <c r="G3" s="310"/>
      <c r="H3" s="313" t="s">
        <v>1564</v>
      </c>
      <c r="I3" s="314">
        <v>3.75</v>
      </c>
    </row>
    <row r="4" spans="1:9">
      <c r="A4" s="108" t="s">
        <v>0</v>
      </c>
      <c r="B4" s="315" t="s">
        <v>1565</v>
      </c>
      <c r="C4" s="3"/>
      <c r="D4" s="2"/>
      <c r="E4" s="310"/>
      <c r="F4" s="311"/>
      <c r="G4" s="310"/>
      <c r="H4" s="311"/>
      <c r="I4" s="312"/>
    </row>
    <row r="5" spans="1:9">
      <c r="A5" s="108" t="s">
        <v>13</v>
      </c>
      <c r="B5" s="315" t="s">
        <v>1566</v>
      </c>
      <c r="C5" s="3"/>
      <c r="D5" s="2"/>
      <c r="E5" s="310"/>
      <c r="F5" s="311"/>
      <c r="G5" s="310"/>
      <c r="H5" s="311"/>
      <c r="I5" s="312"/>
    </row>
    <row r="6" spans="1:9">
      <c r="A6" s="108" t="s">
        <v>1</v>
      </c>
      <c r="B6" s="315" t="s">
        <v>1567</v>
      </c>
      <c r="C6" s="3"/>
      <c r="D6" s="2"/>
      <c r="E6" s="310"/>
      <c r="F6" s="340"/>
      <c r="G6" s="316"/>
      <c r="H6" s="317"/>
      <c r="I6" s="312"/>
    </row>
    <row r="7" spans="1:9" ht="15.75" thickBot="1">
      <c r="A7" s="108" t="s">
        <v>2</v>
      </c>
      <c r="B7" s="315"/>
      <c r="C7" s="3"/>
      <c r="D7" s="2"/>
      <c r="E7" s="310"/>
      <c r="F7" s="311"/>
      <c r="G7" s="310"/>
      <c r="H7" s="311"/>
      <c r="I7" s="312"/>
    </row>
    <row r="8" spans="1:9" ht="24" customHeight="1" thickTop="1">
      <c r="A8" s="319" t="s">
        <v>4</v>
      </c>
      <c r="B8" s="320" t="s">
        <v>15</v>
      </c>
      <c r="C8" s="321" t="s">
        <v>16</v>
      </c>
      <c r="D8" s="322" t="s">
        <v>17</v>
      </c>
      <c r="E8" s="323" t="s">
        <v>1568</v>
      </c>
      <c r="F8" s="324" t="s">
        <v>1569</v>
      </c>
      <c r="G8" s="323" t="s">
        <v>1570</v>
      </c>
      <c r="H8" s="324" t="s">
        <v>1571</v>
      </c>
      <c r="I8" s="325" t="s">
        <v>12</v>
      </c>
    </row>
    <row r="9" spans="1:9">
      <c r="A9" s="326" t="s">
        <v>1572</v>
      </c>
      <c r="B9" s="327" t="s">
        <v>1573</v>
      </c>
      <c r="C9" s="328"/>
      <c r="D9" s="329"/>
      <c r="E9" s="329"/>
      <c r="F9" s="330"/>
      <c r="G9" s="329"/>
      <c r="H9" s="330"/>
      <c r="I9" s="330">
        <v>15833.974800000002</v>
      </c>
    </row>
    <row r="10" spans="1:9" ht="15.75" customHeight="1">
      <c r="A10" s="334" t="s">
        <v>1574</v>
      </c>
      <c r="B10" s="492" t="s">
        <v>1575</v>
      </c>
      <c r="C10" s="348"/>
      <c r="D10" s="335"/>
      <c r="E10" s="357"/>
      <c r="F10" s="358"/>
      <c r="G10" s="336">
        <f t="shared" ref="G10:G33" si="0">+E10*D10</f>
        <v>0</v>
      </c>
      <c r="H10" s="337">
        <f t="shared" ref="H10:H33" si="1">+F10*D10</f>
        <v>0</v>
      </c>
      <c r="I10" s="336">
        <v>0</v>
      </c>
    </row>
    <row r="11" spans="1:9" ht="15.75" customHeight="1">
      <c r="A11" s="334" t="s">
        <v>1576</v>
      </c>
      <c r="B11" s="334" t="s">
        <v>1577</v>
      </c>
      <c r="C11" s="348" t="s">
        <v>1578</v>
      </c>
      <c r="D11" s="335">
        <v>1</v>
      </c>
      <c r="E11" s="357"/>
      <c r="F11" s="358">
        <v>891.33619999999996</v>
      </c>
      <c r="G11" s="336">
        <f t="shared" si="0"/>
        <v>0</v>
      </c>
      <c r="H11" s="337">
        <f t="shared" si="1"/>
        <v>891.33619999999996</v>
      </c>
      <c r="I11" s="336">
        <v>3342.5107499999999</v>
      </c>
    </row>
    <row r="12" spans="1:9" ht="15.75" customHeight="1">
      <c r="A12" s="334" t="s">
        <v>1579</v>
      </c>
      <c r="B12" s="334" t="s">
        <v>1580</v>
      </c>
      <c r="C12" s="348" t="s">
        <v>1578</v>
      </c>
      <c r="D12" s="335">
        <v>1</v>
      </c>
      <c r="E12" s="357"/>
      <c r="F12" s="358">
        <v>318.34039999999999</v>
      </c>
      <c r="G12" s="336">
        <f t="shared" si="0"/>
        <v>0</v>
      </c>
      <c r="H12" s="337">
        <f t="shared" si="1"/>
        <v>318.34039999999999</v>
      </c>
      <c r="I12" s="336">
        <v>1193.7764999999999</v>
      </c>
    </row>
    <row r="13" spans="1:9" ht="15.75" customHeight="1">
      <c r="A13" s="334" t="s">
        <v>1581</v>
      </c>
      <c r="B13" s="334" t="s">
        <v>1582</v>
      </c>
      <c r="C13" s="348" t="s">
        <v>1578</v>
      </c>
      <c r="D13" s="335">
        <v>251</v>
      </c>
      <c r="E13" s="357"/>
      <c r="F13" s="358">
        <v>35.945599999999999</v>
      </c>
      <c r="G13" s="336">
        <f t="shared" si="0"/>
        <v>0</v>
      </c>
      <c r="H13" s="337">
        <f t="shared" si="1"/>
        <v>9022.3456000000006</v>
      </c>
      <c r="I13" s="336">
        <v>33833.796000000002</v>
      </c>
    </row>
    <row r="14" spans="1:9" ht="15.75" customHeight="1">
      <c r="A14" s="334" t="s">
        <v>1583</v>
      </c>
      <c r="B14" s="364" t="s">
        <v>1584</v>
      </c>
      <c r="C14" s="348"/>
      <c r="D14" s="335"/>
      <c r="E14" s="357"/>
      <c r="F14" s="358"/>
      <c r="G14" s="336">
        <f t="shared" si="0"/>
        <v>0</v>
      </c>
      <c r="H14" s="337">
        <f t="shared" si="1"/>
        <v>0</v>
      </c>
      <c r="I14" s="336">
        <v>0</v>
      </c>
    </row>
    <row r="15" spans="1:9" ht="15.75" customHeight="1">
      <c r="A15" s="334" t="s">
        <v>1585</v>
      </c>
      <c r="B15" s="334" t="s">
        <v>1586</v>
      </c>
      <c r="C15" s="348" t="s">
        <v>1578</v>
      </c>
      <c r="D15" s="335">
        <v>3</v>
      </c>
      <c r="E15" s="357"/>
      <c r="F15" s="358">
        <v>287.52719999999999</v>
      </c>
      <c r="G15" s="336">
        <f t="shared" si="0"/>
        <v>0</v>
      </c>
      <c r="H15" s="337">
        <f t="shared" si="1"/>
        <v>862.58159999999998</v>
      </c>
      <c r="I15" s="336">
        <v>3234.681</v>
      </c>
    </row>
    <row r="16" spans="1:9" ht="15.75" customHeight="1">
      <c r="A16" s="334" t="s">
        <v>1587</v>
      </c>
      <c r="B16" s="334" t="s">
        <v>1588</v>
      </c>
      <c r="C16" s="348" t="s">
        <v>1578</v>
      </c>
      <c r="D16" s="335">
        <v>4</v>
      </c>
      <c r="E16" s="357"/>
      <c r="F16" s="358">
        <v>112.1326</v>
      </c>
      <c r="G16" s="336">
        <f t="shared" si="0"/>
        <v>0</v>
      </c>
      <c r="H16" s="337">
        <f t="shared" si="1"/>
        <v>448.53039999999999</v>
      </c>
      <c r="I16" s="336">
        <v>1681.989</v>
      </c>
    </row>
    <row r="17" spans="1:9" ht="15.75" customHeight="1">
      <c r="A17" s="334" t="s">
        <v>1589</v>
      </c>
      <c r="B17" s="334" t="s">
        <v>1590</v>
      </c>
      <c r="C17" s="348" t="s">
        <v>1578</v>
      </c>
      <c r="D17" s="335">
        <v>75</v>
      </c>
      <c r="E17" s="357"/>
      <c r="F17" s="358">
        <v>8.6668000000000003</v>
      </c>
      <c r="G17" s="336">
        <f t="shared" si="0"/>
        <v>0</v>
      </c>
      <c r="H17" s="337">
        <f t="shared" si="1"/>
        <v>650.01</v>
      </c>
      <c r="I17" s="336">
        <v>2437.5374999999999</v>
      </c>
    </row>
    <row r="18" spans="1:9">
      <c r="A18" s="334" t="s">
        <v>1591</v>
      </c>
      <c r="B18" s="355" t="s">
        <v>1592</v>
      </c>
      <c r="C18" s="348" t="s">
        <v>1593</v>
      </c>
      <c r="D18" s="335">
        <v>1</v>
      </c>
      <c r="E18" s="344"/>
      <c r="F18" s="358">
        <v>2451.4353999999998</v>
      </c>
      <c r="G18" s="336">
        <f t="shared" si="0"/>
        <v>0</v>
      </c>
      <c r="H18" s="337">
        <f t="shared" si="1"/>
        <v>2451.4353999999998</v>
      </c>
      <c r="I18" s="336">
        <v>9192.8827499999989</v>
      </c>
    </row>
    <row r="19" spans="1:9">
      <c r="A19" s="334" t="s">
        <v>1594</v>
      </c>
      <c r="B19" s="354" t="s">
        <v>1595</v>
      </c>
      <c r="C19" s="348"/>
      <c r="D19" s="335"/>
      <c r="E19" s="344"/>
      <c r="F19" s="358"/>
      <c r="G19" s="336">
        <f t="shared" si="0"/>
        <v>0</v>
      </c>
      <c r="H19" s="337">
        <f t="shared" si="1"/>
        <v>0</v>
      </c>
      <c r="I19" s="336">
        <v>0</v>
      </c>
    </row>
    <row r="20" spans="1:9">
      <c r="A20" s="334" t="s">
        <v>1596</v>
      </c>
      <c r="B20" s="354" t="s">
        <v>1597</v>
      </c>
      <c r="C20" s="348"/>
      <c r="D20" s="335"/>
      <c r="E20" s="344"/>
      <c r="F20" s="358"/>
      <c r="G20" s="336">
        <f t="shared" si="0"/>
        <v>0</v>
      </c>
      <c r="H20" s="337">
        <f t="shared" si="1"/>
        <v>0</v>
      </c>
      <c r="I20" s="336">
        <v>0</v>
      </c>
    </row>
    <row r="21" spans="1:9" ht="23.25">
      <c r="A21" s="334" t="s">
        <v>1598</v>
      </c>
      <c r="B21" s="354" t="s">
        <v>1599</v>
      </c>
      <c r="C21" s="348"/>
      <c r="D21" s="335"/>
      <c r="E21" s="344"/>
      <c r="F21" s="358"/>
      <c r="G21" s="336">
        <f t="shared" si="0"/>
        <v>0</v>
      </c>
      <c r="H21" s="337">
        <f t="shared" si="1"/>
        <v>0</v>
      </c>
      <c r="I21" s="336">
        <v>0</v>
      </c>
    </row>
    <row r="22" spans="1:9">
      <c r="A22" s="334" t="s">
        <v>1600</v>
      </c>
      <c r="B22" s="355" t="s">
        <v>1601</v>
      </c>
      <c r="C22" s="348" t="s">
        <v>1593</v>
      </c>
      <c r="D22" s="335">
        <v>1</v>
      </c>
      <c r="E22" s="344"/>
      <c r="F22" s="358">
        <v>920.21680000000003</v>
      </c>
      <c r="G22" s="336">
        <f t="shared" si="0"/>
        <v>0</v>
      </c>
      <c r="H22" s="337">
        <f t="shared" si="1"/>
        <v>920.21680000000003</v>
      </c>
      <c r="I22" s="336">
        <v>3450.8130000000001</v>
      </c>
    </row>
    <row r="23" spans="1:9">
      <c r="A23" s="334" t="s">
        <v>1602</v>
      </c>
      <c r="B23" s="354" t="s">
        <v>1603</v>
      </c>
      <c r="C23" s="348"/>
      <c r="D23" s="335"/>
      <c r="E23" s="344"/>
      <c r="F23" s="358"/>
      <c r="G23" s="336">
        <f t="shared" si="0"/>
        <v>0</v>
      </c>
      <c r="H23" s="337">
        <f t="shared" si="1"/>
        <v>0</v>
      </c>
      <c r="I23" s="336">
        <v>0</v>
      </c>
    </row>
    <row r="24" spans="1:9">
      <c r="A24" s="334" t="s">
        <v>1604</v>
      </c>
      <c r="B24" s="354" t="s">
        <v>1605</v>
      </c>
      <c r="C24" s="348"/>
      <c r="D24" s="335"/>
      <c r="E24" s="344"/>
      <c r="F24" s="358"/>
      <c r="G24" s="336">
        <f t="shared" si="0"/>
        <v>0</v>
      </c>
      <c r="H24" s="337">
        <f t="shared" si="1"/>
        <v>0</v>
      </c>
      <c r="I24" s="336">
        <v>0</v>
      </c>
    </row>
    <row r="25" spans="1:9">
      <c r="A25" s="334" t="s">
        <v>1606</v>
      </c>
      <c r="B25" s="354" t="s">
        <v>1607</v>
      </c>
      <c r="C25" s="348"/>
      <c r="D25" s="335"/>
      <c r="E25" s="344"/>
      <c r="F25" s="358"/>
      <c r="G25" s="336">
        <f t="shared" si="0"/>
        <v>0</v>
      </c>
      <c r="H25" s="337">
        <f t="shared" si="1"/>
        <v>0</v>
      </c>
      <c r="I25" s="336">
        <v>0</v>
      </c>
    </row>
    <row r="26" spans="1:9">
      <c r="A26" s="334" t="s">
        <v>1608</v>
      </c>
      <c r="B26" s="354" t="s">
        <v>1609</v>
      </c>
      <c r="C26" s="348"/>
      <c r="D26" s="335"/>
      <c r="E26" s="344"/>
      <c r="F26" s="358"/>
      <c r="G26" s="336">
        <f t="shared" si="0"/>
        <v>0</v>
      </c>
      <c r="H26" s="337">
        <f t="shared" si="1"/>
        <v>0</v>
      </c>
      <c r="I26" s="336">
        <v>0</v>
      </c>
    </row>
    <row r="27" spans="1:9">
      <c r="A27" s="334" t="s">
        <v>1610</v>
      </c>
      <c r="B27" s="354" t="s">
        <v>1611</v>
      </c>
      <c r="C27" s="348"/>
      <c r="D27" s="335"/>
      <c r="E27" s="344"/>
      <c r="F27" s="358"/>
      <c r="G27" s="336">
        <f t="shared" si="0"/>
        <v>0</v>
      </c>
      <c r="H27" s="337">
        <f t="shared" si="1"/>
        <v>0</v>
      </c>
      <c r="I27" s="336">
        <v>0</v>
      </c>
    </row>
    <row r="28" spans="1:9">
      <c r="A28" s="334" t="s">
        <v>1612</v>
      </c>
      <c r="B28" s="354" t="s">
        <v>1613</v>
      </c>
      <c r="C28" s="348"/>
      <c r="D28" s="335"/>
      <c r="E28" s="344"/>
      <c r="F28" s="358"/>
      <c r="G28" s="336">
        <f t="shared" si="0"/>
        <v>0</v>
      </c>
      <c r="H28" s="337">
        <f t="shared" si="1"/>
        <v>0</v>
      </c>
      <c r="I28" s="336">
        <v>0</v>
      </c>
    </row>
    <row r="29" spans="1:9">
      <c r="A29" s="334" t="s">
        <v>1614</v>
      </c>
      <c r="B29" s="354" t="s">
        <v>1615</v>
      </c>
      <c r="C29" s="348"/>
      <c r="D29" s="335"/>
      <c r="E29" s="344"/>
      <c r="F29" s="358"/>
      <c r="G29" s="336">
        <f t="shared" si="0"/>
        <v>0</v>
      </c>
      <c r="H29" s="337">
        <f t="shared" si="1"/>
        <v>0</v>
      </c>
      <c r="I29" s="336">
        <v>0</v>
      </c>
    </row>
    <row r="30" spans="1:9">
      <c r="A30" s="334" t="s">
        <v>1616</v>
      </c>
      <c r="B30" s="354" t="s">
        <v>1617</v>
      </c>
      <c r="C30" s="348"/>
      <c r="D30" s="335"/>
      <c r="E30" s="344"/>
      <c r="F30" s="358"/>
      <c r="G30" s="336">
        <f t="shared" si="0"/>
        <v>0</v>
      </c>
      <c r="H30" s="337">
        <f t="shared" si="1"/>
        <v>0</v>
      </c>
      <c r="I30" s="336">
        <v>0</v>
      </c>
    </row>
    <row r="31" spans="1:9">
      <c r="A31" s="334" t="s">
        <v>1618</v>
      </c>
      <c r="B31" s="355" t="s">
        <v>1619</v>
      </c>
      <c r="C31" s="348" t="s">
        <v>1593</v>
      </c>
      <c r="D31" s="335">
        <v>1</v>
      </c>
      <c r="E31" s="344"/>
      <c r="F31" s="358">
        <v>269.17840000000001</v>
      </c>
      <c r="G31" s="336">
        <f t="shared" si="0"/>
        <v>0</v>
      </c>
      <c r="H31" s="337">
        <f t="shared" si="1"/>
        <v>269.17840000000001</v>
      </c>
      <c r="I31" s="336">
        <v>1009.4190000000001</v>
      </c>
    </row>
    <row r="32" spans="1:9">
      <c r="A32" s="334" t="s">
        <v>1620</v>
      </c>
      <c r="B32" s="354" t="s">
        <v>1621</v>
      </c>
      <c r="C32" s="348"/>
      <c r="D32" s="335"/>
      <c r="E32" s="344"/>
      <c r="F32" s="358"/>
      <c r="G32" s="336">
        <f t="shared" si="0"/>
        <v>0</v>
      </c>
      <c r="H32" s="337">
        <f t="shared" si="1"/>
        <v>0</v>
      </c>
      <c r="I32" s="336">
        <v>0</v>
      </c>
    </row>
    <row r="33" spans="1:9">
      <c r="A33" s="334" t="s">
        <v>1622</v>
      </c>
      <c r="B33" s="354" t="s">
        <v>1623</v>
      </c>
      <c r="C33" s="348"/>
      <c r="D33" s="335"/>
      <c r="E33" s="344"/>
      <c r="F33" s="358"/>
      <c r="G33" s="336">
        <f t="shared" si="0"/>
        <v>0</v>
      </c>
      <c r="H33" s="337">
        <f t="shared" si="1"/>
        <v>0</v>
      </c>
      <c r="I33" s="336">
        <v>0</v>
      </c>
    </row>
    <row r="34" spans="1:9">
      <c r="A34" s="326" t="s">
        <v>1624</v>
      </c>
      <c r="B34" s="327" t="s">
        <v>1625</v>
      </c>
      <c r="C34" s="328"/>
      <c r="D34" s="329"/>
      <c r="E34" s="329"/>
      <c r="F34" s="330"/>
      <c r="G34" s="329"/>
      <c r="H34" s="330"/>
      <c r="I34" s="330">
        <v>47250.56519999999</v>
      </c>
    </row>
    <row r="35" spans="1:9">
      <c r="A35" s="332" t="s">
        <v>1626</v>
      </c>
      <c r="B35" s="355" t="s">
        <v>1627</v>
      </c>
      <c r="C35" s="343"/>
      <c r="D35" s="333"/>
      <c r="E35" s="344"/>
      <c r="F35" s="345"/>
      <c r="G35" s="344"/>
      <c r="H35" s="345"/>
      <c r="I35" s="346"/>
    </row>
    <row r="36" spans="1:9" ht="23.25">
      <c r="A36" s="332" t="s">
        <v>1628</v>
      </c>
      <c r="B36" s="354" t="s">
        <v>1629</v>
      </c>
      <c r="C36" s="348" t="s">
        <v>1578</v>
      </c>
      <c r="D36" s="335">
        <v>1</v>
      </c>
      <c r="E36" s="344"/>
      <c r="F36" s="358">
        <v>739.73519999999996</v>
      </c>
      <c r="G36" s="336">
        <f t="shared" ref="G36:G77" si="2">+E36*D36</f>
        <v>0</v>
      </c>
      <c r="H36" s="337">
        <f t="shared" ref="H36:H63" si="3">+F36*D36</f>
        <v>739.73519999999996</v>
      </c>
      <c r="I36" s="336">
        <v>2774.0070000000001</v>
      </c>
    </row>
    <row r="37" spans="1:9">
      <c r="A37" s="332" t="s">
        <v>1630</v>
      </c>
      <c r="B37" s="354" t="s">
        <v>1631</v>
      </c>
      <c r="C37" s="348" t="s">
        <v>1578</v>
      </c>
      <c r="D37" s="335">
        <v>2</v>
      </c>
      <c r="E37" s="344"/>
      <c r="F37" s="358">
        <v>904.74639999999999</v>
      </c>
      <c r="G37" s="336">
        <f t="shared" si="2"/>
        <v>0</v>
      </c>
      <c r="H37" s="337">
        <f t="shared" si="3"/>
        <v>1809.4928</v>
      </c>
      <c r="I37" s="336">
        <v>6785.598</v>
      </c>
    </row>
    <row r="38" spans="1:9">
      <c r="A38" s="332" t="s">
        <v>1632</v>
      </c>
      <c r="B38" s="354" t="s">
        <v>1633</v>
      </c>
      <c r="C38" s="348" t="s">
        <v>1578</v>
      </c>
      <c r="D38" s="335">
        <v>2</v>
      </c>
      <c r="E38" s="344"/>
      <c r="F38" s="358">
        <v>389.39920000000001</v>
      </c>
      <c r="G38" s="336">
        <f t="shared" si="2"/>
        <v>0</v>
      </c>
      <c r="H38" s="337">
        <f t="shared" si="3"/>
        <v>778.79840000000002</v>
      </c>
      <c r="I38" s="336">
        <v>2920.4940000000001</v>
      </c>
    </row>
    <row r="39" spans="1:9">
      <c r="A39" s="332" t="s">
        <v>1634</v>
      </c>
      <c r="B39" s="354" t="s">
        <v>1635</v>
      </c>
      <c r="C39" s="348" t="s">
        <v>1578</v>
      </c>
      <c r="D39" s="335">
        <v>2</v>
      </c>
      <c r="E39" s="344"/>
      <c r="F39" s="358">
        <v>45.659600000000005</v>
      </c>
      <c r="G39" s="336">
        <f t="shared" si="2"/>
        <v>0</v>
      </c>
      <c r="H39" s="337">
        <f t="shared" si="3"/>
        <v>91.319200000000009</v>
      </c>
      <c r="I39" s="336">
        <v>342.44700000000006</v>
      </c>
    </row>
    <row r="40" spans="1:9">
      <c r="A40" s="332" t="s">
        <v>1636</v>
      </c>
      <c r="B40" s="354"/>
      <c r="C40" s="348"/>
      <c r="D40" s="335"/>
      <c r="E40" s="344"/>
      <c r="F40" s="358"/>
      <c r="G40" s="336"/>
      <c r="H40" s="337"/>
      <c r="I40" s="336"/>
    </row>
    <row r="41" spans="1:9">
      <c r="A41" s="332" t="s">
        <v>1637</v>
      </c>
      <c r="B41" s="355" t="s">
        <v>1638</v>
      </c>
      <c r="C41" s="348"/>
      <c r="D41" s="335"/>
      <c r="E41" s="344"/>
      <c r="F41" s="358"/>
      <c r="G41" s="336"/>
      <c r="H41" s="337"/>
      <c r="I41" s="336"/>
    </row>
    <row r="42" spans="1:9">
      <c r="A42" s="332" t="s">
        <v>1639</v>
      </c>
      <c r="B42" s="354" t="s">
        <v>1640</v>
      </c>
      <c r="C42" s="348" t="s">
        <v>1578</v>
      </c>
      <c r="D42" s="335">
        <v>237</v>
      </c>
      <c r="E42" s="344"/>
      <c r="F42" s="358">
        <v>34.96</v>
      </c>
      <c r="G42" s="336">
        <f t="shared" si="2"/>
        <v>0</v>
      </c>
      <c r="H42" s="337">
        <f t="shared" si="3"/>
        <v>8285.52</v>
      </c>
      <c r="I42" s="336">
        <v>31070.7</v>
      </c>
    </row>
    <row r="43" spans="1:9">
      <c r="A43" s="332" t="s">
        <v>1641</v>
      </c>
      <c r="B43" s="354" t="s">
        <v>1642</v>
      </c>
      <c r="C43" s="348" t="s">
        <v>1578</v>
      </c>
      <c r="D43" s="335">
        <v>237</v>
      </c>
      <c r="E43" s="344"/>
      <c r="F43" s="358">
        <v>25.8428</v>
      </c>
      <c r="G43" s="336">
        <f t="shared" si="2"/>
        <v>0</v>
      </c>
      <c r="H43" s="337">
        <f t="shared" si="3"/>
        <v>6124.7435999999998</v>
      </c>
      <c r="I43" s="336">
        <v>22967.788499999999</v>
      </c>
    </row>
    <row r="44" spans="1:9">
      <c r="A44" s="332" t="s">
        <v>1643</v>
      </c>
      <c r="B44" s="354" t="s">
        <v>1644</v>
      </c>
      <c r="C44" s="348" t="s">
        <v>1578</v>
      </c>
      <c r="D44" s="335">
        <v>474</v>
      </c>
      <c r="E44" s="344"/>
      <c r="F44" s="358">
        <v>4.1032000000000002</v>
      </c>
      <c r="G44" s="336">
        <f t="shared" si="2"/>
        <v>0</v>
      </c>
      <c r="H44" s="337">
        <f t="shared" si="3"/>
        <v>1944.9168000000002</v>
      </c>
      <c r="I44" s="336">
        <v>7293.438000000001</v>
      </c>
    </row>
    <row r="45" spans="1:9">
      <c r="A45" s="332" t="s">
        <v>1645</v>
      </c>
      <c r="B45" s="354" t="s">
        <v>1646</v>
      </c>
      <c r="C45" s="348" t="s">
        <v>1578</v>
      </c>
      <c r="D45" s="335">
        <v>68</v>
      </c>
      <c r="E45" s="344"/>
      <c r="F45" s="358">
        <v>23.046000000000003</v>
      </c>
      <c r="G45" s="336">
        <f t="shared" si="2"/>
        <v>0</v>
      </c>
      <c r="H45" s="337">
        <f t="shared" si="3"/>
        <v>1567.1280000000002</v>
      </c>
      <c r="I45" s="336">
        <v>5876.7300000000005</v>
      </c>
    </row>
    <row r="46" spans="1:9">
      <c r="A46" s="332" t="s">
        <v>1647</v>
      </c>
      <c r="B46" s="354" t="s">
        <v>1648</v>
      </c>
      <c r="C46" s="348" t="s">
        <v>1578</v>
      </c>
      <c r="D46" s="335">
        <v>272</v>
      </c>
      <c r="E46" s="344"/>
      <c r="F46" s="358">
        <v>13.100800000000001</v>
      </c>
      <c r="G46" s="336">
        <f t="shared" si="2"/>
        <v>0</v>
      </c>
      <c r="H46" s="337">
        <f t="shared" si="3"/>
        <v>3563.4176000000002</v>
      </c>
      <c r="I46" s="336">
        <v>13362.816000000001</v>
      </c>
    </row>
    <row r="47" spans="1:9">
      <c r="A47" s="332" t="s">
        <v>1649</v>
      </c>
      <c r="B47" s="354" t="s">
        <v>1650</v>
      </c>
      <c r="C47" s="348" t="s">
        <v>1578</v>
      </c>
      <c r="D47" s="335">
        <v>1</v>
      </c>
      <c r="E47" s="344"/>
      <c r="F47" s="358">
        <v>151.49639999999999</v>
      </c>
      <c r="G47" s="336">
        <f t="shared" si="2"/>
        <v>0</v>
      </c>
      <c r="H47" s="337">
        <f t="shared" si="3"/>
        <v>151.49639999999999</v>
      </c>
      <c r="I47" s="336">
        <v>568.11149999999998</v>
      </c>
    </row>
    <row r="48" spans="1:9">
      <c r="A48" s="332" t="s">
        <v>1651</v>
      </c>
      <c r="B48" s="354"/>
      <c r="C48" s="348" t="s">
        <v>1578</v>
      </c>
      <c r="D48" s="335"/>
      <c r="E48" s="344"/>
      <c r="F48" s="358"/>
      <c r="G48" s="336"/>
      <c r="H48" s="337"/>
      <c r="I48" s="336"/>
    </row>
    <row r="49" spans="1:9">
      <c r="A49" s="332" t="s">
        <v>1652</v>
      </c>
      <c r="B49" s="355" t="s">
        <v>1653</v>
      </c>
      <c r="C49" s="348" t="s">
        <v>1578</v>
      </c>
      <c r="D49" s="335"/>
      <c r="E49" s="344"/>
      <c r="F49" s="358"/>
      <c r="G49" s="336"/>
      <c r="H49" s="337"/>
      <c r="I49" s="336"/>
    </row>
    <row r="50" spans="1:9">
      <c r="A50" s="332" t="s">
        <v>1654</v>
      </c>
      <c r="B50" s="354" t="s">
        <v>1655</v>
      </c>
      <c r="C50" s="348" t="s">
        <v>1578</v>
      </c>
      <c r="D50" s="335">
        <v>132</v>
      </c>
      <c r="E50" s="344"/>
      <c r="F50" s="358">
        <v>33.690399999999997</v>
      </c>
      <c r="G50" s="336">
        <f t="shared" si="2"/>
        <v>0</v>
      </c>
      <c r="H50" s="337">
        <f t="shared" si="3"/>
        <v>4447.1327999999994</v>
      </c>
      <c r="I50" s="336">
        <v>16676.748</v>
      </c>
    </row>
    <row r="51" spans="1:9">
      <c r="A51" s="332" t="s">
        <v>1656</v>
      </c>
      <c r="B51" s="354" t="s">
        <v>1657</v>
      </c>
      <c r="C51" s="348" t="s">
        <v>1578</v>
      </c>
      <c r="D51" s="335">
        <v>1</v>
      </c>
      <c r="E51" s="344"/>
      <c r="F51" s="358">
        <v>492.89920000000001</v>
      </c>
      <c r="G51" s="336">
        <f t="shared" si="2"/>
        <v>0</v>
      </c>
      <c r="H51" s="337">
        <f t="shared" si="3"/>
        <v>492.89920000000001</v>
      </c>
      <c r="I51" s="336">
        <v>1848.3720000000001</v>
      </c>
    </row>
    <row r="52" spans="1:9">
      <c r="A52" s="332" t="s">
        <v>1658</v>
      </c>
      <c r="B52" s="354" t="s">
        <v>1659</v>
      </c>
      <c r="C52" s="348" t="s">
        <v>1578</v>
      </c>
      <c r="D52" s="335">
        <v>2</v>
      </c>
      <c r="E52" s="344"/>
      <c r="F52" s="358">
        <v>29.660800000000002</v>
      </c>
      <c r="G52" s="336">
        <f t="shared" si="2"/>
        <v>0</v>
      </c>
      <c r="H52" s="337">
        <f t="shared" si="3"/>
        <v>59.321600000000004</v>
      </c>
      <c r="I52" s="336">
        <v>222.45600000000002</v>
      </c>
    </row>
    <row r="53" spans="1:9">
      <c r="A53" s="332" t="s">
        <v>1660</v>
      </c>
      <c r="B53" s="354"/>
      <c r="C53" s="348"/>
      <c r="D53" s="335"/>
      <c r="E53" s="344"/>
      <c r="F53" s="358"/>
      <c r="G53" s="336"/>
      <c r="H53" s="337"/>
      <c r="I53" s="336"/>
    </row>
    <row r="54" spans="1:9">
      <c r="A54" s="332" t="s">
        <v>1661</v>
      </c>
      <c r="B54" s="355" t="s">
        <v>1662</v>
      </c>
      <c r="C54" s="348"/>
      <c r="D54" s="335"/>
      <c r="E54" s="344"/>
      <c r="F54" s="358"/>
      <c r="G54" s="336"/>
      <c r="H54" s="337"/>
      <c r="I54" s="336"/>
    </row>
    <row r="55" spans="1:9">
      <c r="A55" s="332" t="s">
        <v>1663</v>
      </c>
      <c r="B55" s="354" t="s">
        <v>1664</v>
      </c>
      <c r="C55" s="348" t="s">
        <v>1578</v>
      </c>
      <c r="D55" s="335">
        <v>53</v>
      </c>
      <c r="E55" s="344"/>
      <c r="F55" s="358">
        <v>46.929200000000002</v>
      </c>
      <c r="G55" s="336">
        <f t="shared" si="2"/>
        <v>0</v>
      </c>
      <c r="H55" s="337">
        <f t="shared" si="3"/>
        <v>2487.2476000000001</v>
      </c>
      <c r="I55" s="336">
        <v>9327.1785</v>
      </c>
    </row>
    <row r="56" spans="1:9" ht="23.25">
      <c r="A56" s="332" t="s">
        <v>1665</v>
      </c>
      <c r="B56" s="354" t="s">
        <v>1666</v>
      </c>
      <c r="C56" s="348" t="s">
        <v>1578</v>
      </c>
      <c r="D56" s="335">
        <v>33</v>
      </c>
      <c r="E56" s="344"/>
      <c r="F56" s="358">
        <v>26.808800000000002</v>
      </c>
      <c r="G56" s="336">
        <f t="shared" si="2"/>
        <v>0</v>
      </c>
      <c r="H56" s="337">
        <f t="shared" si="3"/>
        <v>884.69040000000007</v>
      </c>
      <c r="I56" s="336">
        <v>3317.5890000000004</v>
      </c>
    </row>
    <row r="57" spans="1:9" ht="23.25">
      <c r="A57" s="332" t="s">
        <v>1667</v>
      </c>
      <c r="B57" s="354" t="s">
        <v>1668</v>
      </c>
      <c r="C57" s="348" t="s">
        <v>1578</v>
      </c>
      <c r="D57" s="335">
        <v>3</v>
      </c>
      <c r="E57" s="344"/>
      <c r="F57" s="358">
        <v>26.808800000000002</v>
      </c>
      <c r="G57" s="336">
        <f t="shared" si="2"/>
        <v>0</v>
      </c>
      <c r="H57" s="337">
        <f t="shared" si="3"/>
        <v>80.426400000000001</v>
      </c>
      <c r="I57" s="336">
        <v>301.59899999999999</v>
      </c>
    </row>
    <row r="58" spans="1:9" ht="34.5">
      <c r="A58" s="332" t="s">
        <v>1669</v>
      </c>
      <c r="B58" s="354" t="s">
        <v>1670</v>
      </c>
      <c r="C58" s="348" t="s">
        <v>1578</v>
      </c>
      <c r="D58" s="335">
        <v>3</v>
      </c>
      <c r="E58" s="344"/>
      <c r="F58" s="358">
        <v>26.808800000000002</v>
      </c>
      <c r="G58" s="336">
        <f t="shared" si="2"/>
        <v>0</v>
      </c>
      <c r="H58" s="337">
        <f t="shared" si="3"/>
        <v>80.426400000000001</v>
      </c>
      <c r="I58" s="336">
        <v>301.59899999999999</v>
      </c>
    </row>
    <row r="59" spans="1:9" ht="23.25">
      <c r="A59" s="332" t="s">
        <v>1671</v>
      </c>
      <c r="B59" s="354" t="s">
        <v>1672</v>
      </c>
      <c r="C59" s="348" t="s">
        <v>1578</v>
      </c>
      <c r="D59" s="335">
        <v>2</v>
      </c>
      <c r="E59" s="344"/>
      <c r="F59" s="358">
        <v>36.947199999999995</v>
      </c>
      <c r="G59" s="336">
        <f t="shared" si="2"/>
        <v>0</v>
      </c>
      <c r="H59" s="337">
        <f t="shared" si="3"/>
        <v>73.89439999999999</v>
      </c>
      <c r="I59" s="336">
        <v>277.10399999999998</v>
      </c>
    </row>
    <row r="60" spans="1:9" ht="23.25">
      <c r="A60" s="332" t="s">
        <v>1673</v>
      </c>
      <c r="B60" s="354" t="s">
        <v>1674</v>
      </c>
      <c r="C60" s="348" t="s">
        <v>1578</v>
      </c>
      <c r="D60" s="335">
        <v>6</v>
      </c>
      <c r="E60" s="344"/>
      <c r="F60" s="358">
        <v>36.947199999999995</v>
      </c>
      <c r="G60" s="336">
        <f t="shared" si="2"/>
        <v>0</v>
      </c>
      <c r="H60" s="337">
        <f t="shared" si="3"/>
        <v>221.68319999999997</v>
      </c>
      <c r="I60" s="336">
        <v>831.3119999999999</v>
      </c>
    </row>
    <row r="61" spans="1:9" ht="57">
      <c r="A61" s="332" t="s">
        <v>1675</v>
      </c>
      <c r="B61" s="354" t="s">
        <v>1676</v>
      </c>
      <c r="C61" s="348" t="s">
        <v>1578</v>
      </c>
      <c r="D61" s="335">
        <v>6</v>
      </c>
      <c r="E61" s="344"/>
      <c r="F61" s="358">
        <v>36.947199999999995</v>
      </c>
      <c r="G61" s="336">
        <f t="shared" si="2"/>
        <v>0</v>
      </c>
      <c r="H61" s="337">
        <f t="shared" si="3"/>
        <v>221.68319999999997</v>
      </c>
      <c r="I61" s="336">
        <v>831.3119999999999</v>
      </c>
    </row>
    <row r="62" spans="1:9" ht="34.5">
      <c r="A62" s="332" t="s">
        <v>1677</v>
      </c>
      <c r="B62" s="354" t="s">
        <v>1678</v>
      </c>
      <c r="C62" s="348" t="s">
        <v>1578</v>
      </c>
      <c r="D62" s="335">
        <v>4</v>
      </c>
      <c r="E62" s="344"/>
      <c r="F62" s="358">
        <v>36.947199999999995</v>
      </c>
      <c r="G62" s="336">
        <f t="shared" si="2"/>
        <v>0</v>
      </c>
      <c r="H62" s="337">
        <f t="shared" si="3"/>
        <v>147.78879999999998</v>
      </c>
      <c r="I62" s="336">
        <v>554.20799999999997</v>
      </c>
    </row>
    <row r="63" spans="1:9">
      <c r="A63" s="332" t="s">
        <v>1679</v>
      </c>
      <c r="B63" s="354" t="s">
        <v>1680</v>
      </c>
      <c r="C63" s="348" t="s">
        <v>1578</v>
      </c>
      <c r="D63" s="335">
        <v>32</v>
      </c>
      <c r="E63" s="344"/>
      <c r="F63" s="358">
        <v>39.587600000000002</v>
      </c>
      <c r="G63" s="336">
        <f t="shared" si="2"/>
        <v>0</v>
      </c>
      <c r="H63" s="337">
        <f t="shared" si="3"/>
        <v>1266.8032000000001</v>
      </c>
      <c r="I63" s="336">
        <v>4750.5120000000006</v>
      </c>
    </row>
    <row r="64" spans="1:9">
      <c r="A64" s="332" t="s">
        <v>1681</v>
      </c>
      <c r="B64" s="354"/>
      <c r="C64" s="348"/>
      <c r="D64" s="335"/>
      <c r="E64" s="344"/>
      <c r="F64" s="358"/>
      <c r="G64" s="336"/>
      <c r="H64" s="337"/>
      <c r="I64" s="336"/>
    </row>
    <row r="65" spans="1:9">
      <c r="A65" s="332" t="s">
        <v>1682</v>
      </c>
      <c r="B65" s="355" t="s">
        <v>1592</v>
      </c>
      <c r="C65" s="348" t="s">
        <v>1593</v>
      </c>
      <c r="D65" s="335">
        <v>1</v>
      </c>
      <c r="E65" s="344"/>
      <c r="F65" s="358">
        <v>9184.5623999999989</v>
      </c>
      <c r="G65" s="336">
        <f t="shared" si="2"/>
        <v>0</v>
      </c>
      <c r="H65" s="337">
        <f t="shared" ref="H65:H77" si="4">+F65*D65</f>
        <v>9184.5623999999989</v>
      </c>
      <c r="I65" s="336">
        <v>34442.108999999997</v>
      </c>
    </row>
    <row r="66" spans="1:9" ht="23.25">
      <c r="A66" s="332" t="s">
        <v>1683</v>
      </c>
      <c r="B66" s="354" t="s">
        <v>1684</v>
      </c>
      <c r="C66" s="348"/>
      <c r="D66" s="335"/>
      <c r="E66" s="344"/>
      <c r="F66" s="358"/>
      <c r="G66" s="336"/>
      <c r="H66" s="337"/>
      <c r="I66" s="336"/>
    </row>
    <row r="67" spans="1:9" ht="23.25">
      <c r="A67" s="332" t="s">
        <v>1685</v>
      </c>
      <c r="B67" s="354" t="s">
        <v>1686</v>
      </c>
      <c r="C67" s="348"/>
      <c r="D67" s="335"/>
      <c r="E67" s="344"/>
      <c r="F67" s="358"/>
      <c r="G67" s="336"/>
      <c r="H67" s="337"/>
      <c r="I67" s="336"/>
    </row>
    <row r="68" spans="1:9">
      <c r="A68" s="332" t="s">
        <v>1687</v>
      </c>
      <c r="B68" s="355" t="s">
        <v>1601</v>
      </c>
      <c r="C68" s="348" t="s">
        <v>1593</v>
      </c>
      <c r="D68" s="335">
        <v>1</v>
      </c>
      <c r="E68" s="344"/>
      <c r="F68" s="358">
        <v>2032.5744000000002</v>
      </c>
      <c r="G68" s="336">
        <f t="shared" si="2"/>
        <v>0</v>
      </c>
      <c r="H68" s="337">
        <f t="shared" si="4"/>
        <v>2032.5744000000002</v>
      </c>
      <c r="I68" s="336">
        <v>7622.1540000000005</v>
      </c>
    </row>
    <row r="69" spans="1:9">
      <c r="A69" s="332" t="s">
        <v>1688</v>
      </c>
      <c r="B69" s="354" t="s">
        <v>1603</v>
      </c>
      <c r="C69" s="348"/>
      <c r="D69" s="335"/>
      <c r="E69" s="344"/>
      <c r="F69" s="358"/>
      <c r="G69" s="336"/>
      <c r="H69" s="337"/>
      <c r="I69" s="336"/>
    </row>
    <row r="70" spans="1:9">
      <c r="A70" s="332" t="s">
        <v>1689</v>
      </c>
      <c r="B70" s="354" t="s">
        <v>1690</v>
      </c>
      <c r="C70" s="348"/>
      <c r="D70" s="335"/>
      <c r="E70" s="344"/>
      <c r="F70" s="358"/>
      <c r="G70" s="336"/>
      <c r="H70" s="337"/>
      <c r="I70" s="336"/>
    </row>
    <row r="71" spans="1:9" ht="23.25">
      <c r="A71" s="332" t="s">
        <v>1691</v>
      </c>
      <c r="B71" s="354" t="s">
        <v>1692</v>
      </c>
      <c r="C71" s="348"/>
      <c r="D71" s="335"/>
      <c r="E71" s="344"/>
      <c r="F71" s="358"/>
      <c r="G71" s="336"/>
      <c r="H71" s="337"/>
      <c r="I71" s="336"/>
    </row>
    <row r="72" spans="1:9">
      <c r="A72" s="332" t="s">
        <v>1693</v>
      </c>
      <c r="B72" s="354" t="s">
        <v>1694</v>
      </c>
      <c r="C72" s="348"/>
      <c r="D72" s="335"/>
      <c r="E72" s="344"/>
      <c r="F72" s="358"/>
      <c r="G72" s="336"/>
      <c r="H72" s="337"/>
      <c r="I72" s="336"/>
    </row>
    <row r="73" spans="1:9">
      <c r="A73" s="332" t="s">
        <v>1695</v>
      </c>
      <c r="B73" s="354" t="s">
        <v>1696</v>
      </c>
      <c r="C73" s="348"/>
      <c r="D73" s="335"/>
      <c r="E73" s="344"/>
      <c r="F73" s="358"/>
      <c r="G73" s="336"/>
      <c r="H73" s="337"/>
      <c r="I73" s="336"/>
    </row>
    <row r="74" spans="1:9">
      <c r="A74" s="332" t="s">
        <v>1697</v>
      </c>
      <c r="B74" s="354" t="s">
        <v>1698</v>
      </c>
      <c r="C74" s="348"/>
      <c r="D74" s="335"/>
      <c r="E74" s="344"/>
      <c r="F74" s="358"/>
      <c r="G74" s="336"/>
      <c r="H74" s="337"/>
      <c r="I74" s="336"/>
    </row>
    <row r="75" spans="1:9">
      <c r="A75" s="332" t="s">
        <v>1699</v>
      </c>
      <c r="B75" s="354" t="s">
        <v>1700</v>
      </c>
      <c r="C75" s="348"/>
      <c r="D75" s="335"/>
      <c r="E75" s="344"/>
      <c r="F75" s="358"/>
      <c r="G75" s="336"/>
      <c r="H75" s="337"/>
      <c r="I75" s="336"/>
    </row>
    <row r="76" spans="1:9">
      <c r="A76" s="332" t="s">
        <v>1701</v>
      </c>
      <c r="B76" s="354" t="s">
        <v>1702</v>
      </c>
      <c r="C76" s="348"/>
      <c r="D76" s="335"/>
      <c r="E76" s="344"/>
      <c r="F76" s="358"/>
      <c r="G76" s="336"/>
      <c r="H76" s="337"/>
      <c r="I76" s="336"/>
    </row>
    <row r="77" spans="1:9">
      <c r="A77" s="332" t="s">
        <v>1703</v>
      </c>
      <c r="B77" s="355" t="s">
        <v>1619</v>
      </c>
      <c r="C77" s="348" t="s">
        <v>1593</v>
      </c>
      <c r="D77" s="335">
        <v>1</v>
      </c>
      <c r="E77" s="344"/>
      <c r="F77" s="358">
        <v>512.86320000000001</v>
      </c>
      <c r="G77" s="336">
        <f t="shared" si="2"/>
        <v>0</v>
      </c>
      <c r="H77" s="337">
        <f t="shared" si="4"/>
        <v>512.86320000000001</v>
      </c>
      <c r="I77" s="336">
        <v>1923.2370000000001</v>
      </c>
    </row>
    <row r="78" spans="1:9">
      <c r="A78" s="332" t="s">
        <v>1704</v>
      </c>
      <c r="B78" s="354" t="s">
        <v>1621</v>
      </c>
      <c r="C78" s="348"/>
      <c r="D78" s="335"/>
      <c r="E78" s="344"/>
      <c r="F78" s="358"/>
      <c r="G78" s="336"/>
      <c r="H78" s="337"/>
      <c r="I78" s="336"/>
    </row>
    <row r="79" spans="1:9">
      <c r="A79" s="332" t="s">
        <v>1705</v>
      </c>
      <c r="B79" s="354" t="s">
        <v>1623</v>
      </c>
      <c r="C79" s="348"/>
      <c r="D79" s="335"/>
      <c r="E79" s="344"/>
      <c r="F79" s="358"/>
      <c r="G79" s="336"/>
      <c r="H79" s="337"/>
      <c r="I79" s="336"/>
    </row>
    <row r="80" spans="1:9">
      <c r="A80" s="326" t="s">
        <v>1706</v>
      </c>
      <c r="B80" s="327" t="s">
        <v>1707</v>
      </c>
      <c r="C80" s="328"/>
      <c r="D80" s="329"/>
      <c r="E80" s="329"/>
      <c r="F80" s="330"/>
      <c r="G80" s="329"/>
      <c r="H80" s="330"/>
      <c r="I80" s="329">
        <v>60348.12</v>
      </c>
    </row>
    <row r="81" spans="1:9">
      <c r="A81" s="332" t="s">
        <v>1708</v>
      </c>
      <c r="B81" s="355" t="s">
        <v>1709</v>
      </c>
      <c r="C81" s="368"/>
      <c r="D81" s="255"/>
      <c r="E81" s="565"/>
      <c r="F81" s="499"/>
      <c r="G81" s="565"/>
      <c r="H81" s="499"/>
      <c r="I81" s="346"/>
    </row>
    <row r="82" spans="1:9" ht="25.15" customHeight="1">
      <c r="A82" s="332" t="s">
        <v>1710</v>
      </c>
      <c r="B82" s="354" t="s">
        <v>1711</v>
      </c>
      <c r="C82" s="348" t="s">
        <v>1578</v>
      </c>
      <c r="D82" s="335">
        <v>2</v>
      </c>
      <c r="E82" s="565">
        <v>1316.95</v>
      </c>
      <c r="F82" s="358">
        <v>0</v>
      </c>
      <c r="G82" s="336">
        <f t="shared" ref="G82:G100" si="5">+E82*D82</f>
        <v>2633.9</v>
      </c>
      <c r="H82" s="337">
        <f t="shared" ref="H82:H100" si="6">+F82*D82</f>
        <v>0</v>
      </c>
      <c r="I82" s="336">
        <v>2633.9</v>
      </c>
    </row>
    <row r="83" spans="1:9">
      <c r="A83" s="332" t="s">
        <v>1712</v>
      </c>
      <c r="B83" s="354" t="s">
        <v>1713</v>
      </c>
      <c r="C83" s="348" t="s">
        <v>1578</v>
      </c>
      <c r="D83" s="335">
        <v>1</v>
      </c>
      <c r="E83" s="565">
        <v>1135.1300000000001</v>
      </c>
      <c r="F83" s="358">
        <v>0</v>
      </c>
      <c r="G83" s="336">
        <f t="shared" si="5"/>
        <v>1135.1300000000001</v>
      </c>
      <c r="H83" s="337">
        <f t="shared" si="6"/>
        <v>0</v>
      </c>
      <c r="I83" s="336">
        <v>1135.1300000000001</v>
      </c>
    </row>
    <row r="84" spans="1:9">
      <c r="A84" s="332" t="s">
        <v>1714</v>
      </c>
      <c r="B84" s="354" t="s">
        <v>1715</v>
      </c>
      <c r="C84" s="348" t="s">
        <v>1578</v>
      </c>
      <c r="D84" s="335">
        <v>3</v>
      </c>
      <c r="E84" s="565">
        <v>1031.94</v>
      </c>
      <c r="F84" s="358">
        <v>0</v>
      </c>
      <c r="G84" s="336">
        <f t="shared" si="5"/>
        <v>3095.82</v>
      </c>
      <c r="H84" s="337">
        <f t="shared" si="6"/>
        <v>0</v>
      </c>
      <c r="I84" s="336">
        <v>3095.82</v>
      </c>
    </row>
    <row r="85" spans="1:9">
      <c r="A85" s="332" t="s">
        <v>1716</v>
      </c>
      <c r="B85" s="355" t="s">
        <v>1717</v>
      </c>
      <c r="C85" s="348"/>
      <c r="D85" s="335"/>
      <c r="E85" s="565"/>
      <c r="F85" s="358"/>
      <c r="G85" s="336"/>
      <c r="H85" s="337"/>
      <c r="I85" s="336"/>
    </row>
    <row r="86" spans="1:9">
      <c r="A86" s="332" t="s">
        <v>1718</v>
      </c>
      <c r="B86" s="354" t="s">
        <v>1719</v>
      </c>
      <c r="C86" s="348" t="s">
        <v>1578</v>
      </c>
      <c r="D86" s="335">
        <v>11</v>
      </c>
      <c r="E86" s="565">
        <v>186.73</v>
      </c>
      <c r="F86" s="358"/>
      <c r="G86" s="336">
        <f t="shared" si="5"/>
        <v>2054.0299999999997</v>
      </c>
      <c r="H86" s="337">
        <f t="shared" si="6"/>
        <v>0</v>
      </c>
      <c r="I86" s="336">
        <v>2054.0299999999997</v>
      </c>
    </row>
    <row r="87" spans="1:9" ht="25.15" customHeight="1">
      <c r="A87" s="332" t="s">
        <v>1720</v>
      </c>
      <c r="B87" s="354" t="s">
        <v>1721</v>
      </c>
      <c r="C87" s="348" t="s">
        <v>1578</v>
      </c>
      <c r="D87" s="335">
        <v>64</v>
      </c>
      <c r="E87" s="565">
        <v>186.73</v>
      </c>
      <c r="F87" s="358"/>
      <c r="G87" s="336">
        <f t="shared" si="5"/>
        <v>11950.72</v>
      </c>
      <c r="H87" s="337">
        <f t="shared" si="6"/>
        <v>0</v>
      </c>
      <c r="I87" s="336">
        <v>11950.72</v>
      </c>
    </row>
    <row r="88" spans="1:9">
      <c r="A88" s="332" t="s">
        <v>1722</v>
      </c>
      <c r="B88" s="354" t="s">
        <v>1723</v>
      </c>
      <c r="C88" s="348" t="s">
        <v>1578</v>
      </c>
      <c r="D88" s="335">
        <v>3</v>
      </c>
      <c r="E88" s="565">
        <v>1371.01</v>
      </c>
      <c r="F88" s="358"/>
      <c r="G88" s="336">
        <f t="shared" si="5"/>
        <v>4113.03</v>
      </c>
      <c r="H88" s="337">
        <f t="shared" si="6"/>
        <v>0</v>
      </c>
      <c r="I88" s="336">
        <v>4113.03</v>
      </c>
    </row>
    <row r="89" spans="1:9">
      <c r="A89" s="332" t="s">
        <v>1724</v>
      </c>
      <c r="B89" s="354" t="s">
        <v>1725</v>
      </c>
      <c r="C89" s="348" t="s">
        <v>1578</v>
      </c>
      <c r="D89" s="335">
        <v>1</v>
      </c>
      <c r="E89" s="565">
        <v>712.53</v>
      </c>
      <c r="F89" s="358"/>
      <c r="G89" s="336">
        <f t="shared" si="5"/>
        <v>712.53</v>
      </c>
      <c r="H89" s="337">
        <f t="shared" si="6"/>
        <v>0</v>
      </c>
      <c r="I89" s="336">
        <v>712.53</v>
      </c>
    </row>
    <row r="90" spans="1:9">
      <c r="A90" s="332" t="s">
        <v>1726</v>
      </c>
      <c r="B90" s="354" t="s">
        <v>1727</v>
      </c>
      <c r="C90" s="348" t="s">
        <v>1578</v>
      </c>
      <c r="D90" s="335">
        <v>5</v>
      </c>
      <c r="E90" s="565">
        <v>127.76</v>
      </c>
      <c r="F90" s="358"/>
      <c r="G90" s="336">
        <f t="shared" si="5"/>
        <v>638.80000000000007</v>
      </c>
      <c r="H90" s="337">
        <f t="shared" si="6"/>
        <v>0</v>
      </c>
      <c r="I90" s="336">
        <v>638.80000000000007</v>
      </c>
    </row>
    <row r="91" spans="1:9">
      <c r="A91" s="332" t="s">
        <v>1728</v>
      </c>
      <c r="B91" s="354" t="s">
        <v>1729</v>
      </c>
      <c r="C91" s="348" t="s">
        <v>1578</v>
      </c>
      <c r="D91" s="335">
        <v>1</v>
      </c>
      <c r="E91" s="565">
        <v>768</v>
      </c>
      <c r="F91" s="358"/>
      <c r="G91" s="336">
        <f t="shared" si="5"/>
        <v>768</v>
      </c>
      <c r="H91" s="337">
        <f t="shared" si="6"/>
        <v>0</v>
      </c>
      <c r="I91" s="336">
        <v>768</v>
      </c>
    </row>
    <row r="92" spans="1:9">
      <c r="A92" s="332" t="s">
        <v>1730</v>
      </c>
      <c r="B92" s="354" t="s">
        <v>1731</v>
      </c>
      <c r="C92" s="348" t="s">
        <v>1578</v>
      </c>
      <c r="D92" s="335">
        <v>6</v>
      </c>
      <c r="E92" s="565">
        <v>958.23</v>
      </c>
      <c r="F92" s="358"/>
      <c r="G92" s="336">
        <f t="shared" si="5"/>
        <v>5749.38</v>
      </c>
      <c r="H92" s="337">
        <f t="shared" si="6"/>
        <v>0</v>
      </c>
      <c r="I92" s="336">
        <v>5749.38</v>
      </c>
    </row>
    <row r="93" spans="1:9" ht="23.45" customHeight="1">
      <c r="A93" s="332" t="s">
        <v>1730</v>
      </c>
      <c r="B93" s="354" t="s">
        <v>1732</v>
      </c>
      <c r="C93" s="348" t="s">
        <v>1578</v>
      </c>
      <c r="D93" s="335">
        <v>1</v>
      </c>
      <c r="E93" s="565">
        <v>221.13</v>
      </c>
      <c r="F93" s="358"/>
      <c r="G93" s="566">
        <f t="shared" si="5"/>
        <v>221.13</v>
      </c>
      <c r="H93" s="567">
        <f t="shared" si="6"/>
        <v>0</v>
      </c>
      <c r="I93" s="566">
        <v>221.13</v>
      </c>
    </row>
    <row r="94" spans="1:9">
      <c r="A94" s="332" t="s">
        <v>1730</v>
      </c>
      <c r="B94" s="354" t="s">
        <v>1733</v>
      </c>
      <c r="C94" s="348" t="s">
        <v>1578</v>
      </c>
      <c r="D94" s="335">
        <v>3</v>
      </c>
      <c r="E94" s="565">
        <v>171.99</v>
      </c>
      <c r="F94" s="358"/>
      <c r="G94" s="566">
        <f t="shared" si="5"/>
        <v>515.97</v>
      </c>
      <c r="H94" s="567">
        <f t="shared" si="6"/>
        <v>0</v>
      </c>
      <c r="I94" s="566">
        <v>515.97</v>
      </c>
    </row>
    <row r="95" spans="1:9">
      <c r="A95" s="332" t="s">
        <v>1730</v>
      </c>
      <c r="B95" s="354" t="s">
        <v>1734</v>
      </c>
      <c r="C95" s="348" t="s">
        <v>1578</v>
      </c>
      <c r="D95" s="335">
        <v>6</v>
      </c>
      <c r="E95" s="565">
        <v>171.99</v>
      </c>
      <c r="F95" s="358"/>
      <c r="G95" s="566">
        <f t="shared" si="5"/>
        <v>1031.94</v>
      </c>
      <c r="H95" s="567">
        <f t="shared" si="6"/>
        <v>0</v>
      </c>
      <c r="I95" s="566">
        <v>1031.94</v>
      </c>
    </row>
    <row r="96" spans="1:9" ht="24" customHeight="1">
      <c r="A96" s="332" t="s">
        <v>1730</v>
      </c>
      <c r="B96" s="354" t="s">
        <v>1735</v>
      </c>
      <c r="C96" s="348" t="s">
        <v>1578</v>
      </c>
      <c r="D96" s="335">
        <v>2</v>
      </c>
      <c r="E96" s="565">
        <v>221.13</v>
      </c>
      <c r="F96" s="358"/>
      <c r="G96" s="566">
        <f t="shared" si="5"/>
        <v>442.26</v>
      </c>
      <c r="H96" s="567">
        <f t="shared" si="6"/>
        <v>0</v>
      </c>
      <c r="I96" s="566">
        <v>442.26</v>
      </c>
    </row>
    <row r="97" spans="1:9" ht="23.25">
      <c r="A97" s="332" t="s">
        <v>1736</v>
      </c>
      <c r="B97" s="354" t="s">
        <v>1737</v>
      </c>
      <c r="C97" s="348" t="s">
        <v>29</v>
      </c>
      <c r="D97" s="335">
        <v>1</v>
      </c>
      <c r="E97" s="565">
        <v>1228.5</v>
      </c>
      <c r="F97" s="358"/>
      <c r="G97" s="336">
        <f t="shared" si="5"/>
        <v>1228.5</v>
      </c>
      <c r="H97" s="337">
        <f t="shared" si="6"/>
        <v>0</v>
      </c>
      <c r="I97" s="336">
        <v>1228.5</v>
      </c>
    </row>
    <row r="98" spans="1:9">
      <c r="A98" s="332" t="s">
        <v>1738</v>
      </c>
      <c r="B98" s="354" t="s">
        <v>1739</v>
      </c>
      <c r="C98" s="348" t="s">
        <v>29</v>
      </c>
      <c r="D98" s="335">
        <v>1</v>
      </c>
      <c r="E98" s="565">
        <v>6683.04</v>
      </c>
      <c r="F98" s="358"/>
      <c r="G98" s="336">
        <f t="shared" si="5"/>
        <v>6683.04</v>
      </c>
      <c r="H98" s="337">
        <f t="shared" si="6"/>
        <v>0</v>
      </c>
      <c r="I98" s="336">
        <v>6683.04</v>
      </c>
    </row>
    <row r="99" spans="1:9">
      <c r="A99" s="332" t="s">
        <v>1740</v>
      </c>
      <c r="B99" s="355" t="s">
        <v>1601</v>
      </c>
      <c r="C99" s="348" t="s">
        <v>1593</v>
      </c>
      <c r="D99" s="335">
        <v>1</v>
      </c>
      <c r="E99" s="565">
        <v>15773.94</v>
      </c>
      <c r="F99" s="358"/>
      <c r="G99" s="336">
        <f t="shared" si="5"/>
        <v>15773.94</v>
      </c>
      <c r="H99" s="337">
        <f t="shared" si="6"/>
        <v>0</v>
      </c>
      <c r="I99" s="336">
        <v>15773.94</v>
      </c>
    </row>
    <row r="100" spans="1:9">
      <c r="A100" s="332" t="s">
        <v>1741</v>
      </c>
      <c r="B100" s="355" t="s">
        <v>1619</v>
      </c>
      <c r="C100" s="348" t="s">
        <v>1593</v>
      </c>
      <c r="D100" s="335">
        <v>1</v>
      </c>
      <c r="E100" s="565">
        <v>1600</v>
      </c>
      <c r="F100" s="358"/>
      <c r="G100" s="336">
        <f t="shared" si="5"/>
        <v>1600</v>
      </c>
      <c r="H100" s="337">
        <f t="shared" si="6"/>
        <v>0</v>
      </c>
      <c r="I100" s="336">
        <v>1600</v>
      </c>
    </row>
    <row r="101" spans="1:9">
      <c r="A101" s="326" t="s">
        <v>1742</v>
      </c>
      <c r="B101" s="327" t="s">
        <v>1743</v>
      </c>
      <c r="C101" s="328"/>
      <c r="D101" s="329"/>
      <c r="E101" s="329"/>
      <c r="F101" s="330"/>
      <c r="G101" s="329"/>
      <c r="H101" s="330"/>
      <c r="I101" s="329">
        <v>293406</v>
      </c>
    </row>
    <row r="102" spans="1:9" ht="45">
      <c r="A102" s="334" t="s">
        <v>1744</v>
      </c>
      <c r="B102" s="363" t="s">
        <v>1745</v>
      </c>
      <c r="C102" s="348" t="s">
        <v>29</v>
      </c>
      <c r="D102" s="361">
        <v>1</v>
      </c>
      <c r="E102" s="359">
        <v>293406</v>
      </c>
      <c r="F102" s="360"/>
      <c r="G102" s="351">
        <f>+E102*D102</f>
        <v>293406</v>
      </c>
      <c r="H102" s="352">
        <f>+F102*D102</f>
        <v>0</v>
      </c>
      <c r="I102" s="351">
        <v>293406</v>
      </c>
    </row>
    <row r="103" spans="1:9">
      <c r="A103" s="326" t="s">
        <v>1746</v>
      </c>
      <c r="B103" s="327" t="s">
        <v>10</v>
      </c>
      <c r="C103" s="328"/>
      <c r="D103" s="329"/>
      <c r="E103" s="329"/>
      <c r="F103" s="330"/>
      <c r="G103" s="329"/>
      <c r="H103" s="330"/>
      <c r="I103" s="330">
        <v>9140</v>
      </c>
    </row>
    <row r="104" spans="1:9" ht="22.5">
      <c r="A104" s="334" t="s">
        <v>1747</v>
      </c>
      <c r="B104" s="362" t="s">
        <v>1748</v>
      </c>
      <c r="C104" s="348" t="s">
        <v>36</v>
      </c>
      <c r="D104" s="361">
        <v>1</v>
      </c>
      <c r="E104" s="359"/>
      <c r="F104" s="360">
        <v>1864</v>
      </c>
      <c r="G104" s="351">
        <f>+E104*D104</f>
        <v>0</v>
      </c>
      <c r="H104" s="352">
        <f t="shared" ref="H104:H111" si="7">+F104*D104</f>
        <v>1864</v>
      </c>
      <c r="I104" s="351">
        <v>6990</v>
      </c>
    </row>
    <row r="105" spans="1:9" ht="22.5">
      <c r="A105" s="334" t="s">
        <v>1749</v>
      </c>
      <c r="B105" s="362" t="s">
        <v>1750</v>
      </c>
      <c r="C105" s="348" t="s">
        <v>36</v>
      </c>
      <c r="D105" s="361">
        <v>11</v>
      </c>
      <c r="E105" s="359"/>
      <c r="F105" s="360">
        <v>263</v>
      </c>
      <c r="G105" s="351">
        <f>+E105*D105</f>
        <v>0</v>
      </c>
      <c r="H105" s="352">
        <f t="shared" si="7"/>
        <v>2893</v>
      </c>
      <c r="I105" s="351">
        <v>10848.75</v>
      </c>
    </row>
    <row r="106" spans="1:9" ht="22.5">
      <c r="A106" s="334" t="s">
        <v>1751</v>
      </c>
      <c r="B106" s="362" t="s">
        <v>1750</v>
      </c>
      <c r="C106" s="348" t="s">
        <v>36</v>
      </c>
      <c r="D106" s="361">
        <v>11</v>
      </c>
      <c r="E106" s="359"/>
      <c r="F106" s="360">
        <v>111</v>
      </c>
      <c r="G106" s="351">
        <f>+E106*D106</f>
        <v>0</v>
      </c>
      <c r="H106" s="352">
        <f t="shared" si="7"/>
        <v>1221</v>
      </c>
      <c r="I106" s="351">
        <v>4578.75</v>
      </c>
    </row>
    <row r="107" spans="1:9" ht="22.5">
      <c r="A107" s="334" t="s">
        <v>1752</v>
      </c>
      <c r="B107" s="362" t="s">
        <v>1753</v>
      </c>
      <c r="C107" s="348" t="s">
        <v>36</v>
      </c>
      <c r="D107" s="361">
        <v>1</v>
      </c>
      <c r="E107" s="359"/>
      <c r="F107" s="360">
        <v>93</v>
      </c>
      <c r="G107" s="351">
        <f>+E107*D107</f>
        <v>0</v>
      </c>
      <c r="H107" s="352">
        <f t="shared" si="7"/>
        <v>93</v>
      </c>
      <c r="I107" s="351">
        <v>348.75</v>
      </c>
    </row>
    <row r="108" spans="1:9">
      <c r="A108" s="334" t="s">
        <v>1754</v>
      </c>
      <c r="B108" s="362" t="s">
        <v>1755</v>
      </c>
      <c r="C108" s="348" t="s">
        <v>36</v>
      </c>
      <c r="D108" s="361">
        <v>1</v>
      </c>
      <c r="E108" s="359"/>
      <c r="F108" s="360">
        <v>136</v>
      </c>
      <c r="G108" s="351">
        <f t="shared" ref="G108:G111" si="8">+E108*D108</f>
        <v>0</v>
      </c>
      <c r="H108" s="352">
        <f t="shared" si="7"/>
        <v>136</v>
      </c>
      <c r="I108" s="351">
        <v>510</v>
      </c>
    </row>
    <row r="109" spans="1:9">
      <c r="A109" s="334" t="s">
        <v>1756</v>
      </c>
      <c r="B109" s="362" t="s">
        <v>1757</v>
      </c>
      <c r="C109" s="348" t="s">
        <v>36</v>
      </c>
      <c r="D109" s="361">
        <v>1</v>
      </c>
      <c r="E109" s="359"/>
      <c r="F109" s="360">
        <v>850</v>
      </c>
      <c r="G109" s="351">
        <f t="shared" si="8"/>
        <v>0</v>
      </c>
      <c r="H109" s="352">
        <f t="shared" si="7"/>
        <v>850</v>
      </c>
      <c r="I109" s="351">
        <v>3187.5</v>
      </c>
    </row>
    <row r="110" spans="1:9">
      <c r="A110" s="334" t="s">
        <v>1758</v>
      </c>
      <c r="B110" s="362" t="s">
        <v>1759</v>
      </c>
      <c r="C110" s="348" t="s">
        <v>36</v>
      </c>
      <c r="D110" s="361">
        <v>1</v>
      </c>
      <c r="E110" s="359"/>
      <c r="F110" s="360">
        <v>60</v>
      </c>
      <c r="G110" s="351">
        <f t="shared" si="8"/>
        <v>0</v>
      </c>
      <c r="H110" s="352">
        <f t="shared" si="7"/>
        <v>60</v>
      </c>
      <c r="I110" s="351">
        <v>225</v>
      </c>
    </row>
    <row r="111" spans="1:9" ht="33.75">
      <c r="A111" s="334" t="s">
        <v>1760</v>
      </c>
      <c r="B111" s="362" t="s">
        <v>1761</v>
      </c>
      <c r="C111" s="348" t="s">
        <v>36</v>
      </c>
      <c r="D111" s="361">
        <v>7</v>
      </c>
      <c r="E111" s="359"/>
      <c r="F111" s="360">
        <v>289</v>
      </c>
      <c r="G111" s="351">
        <f t="shared" si="8"/>
        <v>0</v>
      </c>
      <c r="H111" s="352">
        <f t="shared" si="7"/>
        <v>2023</v>
      </c>
      <c r="I111" s="351">
        <v>7586.25</v>
      </c>
    </row>
    <row r="112" spans="1:9">
      <c r="A112" s="326" t="s">
        <v>1762</v>
      </c>
      <c r="B112" s="327" t="s">
        <v>1763</v>
      </c>
      <c r="C112" s="328"/>
      <c r="D112" s="329"/>
      <c r="E112" s="329"/>
      <c r="F112" s="330"/>
      <c r="G112" s="329"/>
      <c r="H112" s="330"/>
      <c r="I112" s="329">
        <v>91700.760000000009</v>
      </c>
    </row>
    <row r="113" spans="1:9">
      <c r="A113" s="334" t="s">
        <v>1764</v>
      </c>
      <c r="B113" s="362" t="s">
        <v>1765</v>
      </c>
      <c r="C113" s="348" t="s">
        <v>1593</v>
      </c>
      <c r="D113" s="361">
        <v>1</v>
      </c>
      <c r="E113" s="359">
        <v>4821.91</v>
      </c>
      <c r="F113" s="360"/>
      <c r="G113" s="351">
        <f>+E113*D113</f>
        <v>4821.91</v>
      </c>
      <c r="H113" s="352">
        <f t="shared" ref="H113:H119" si="9">+F113*D113</f>
        <v>0</v>
      </c>
      <c r="I113" s="351">
        <v>4821.91</v>
      </c>
    </row>
    <row r="114" spans="1:9">
      <c r="A114" s="334" t="s">
        <v>1766</v>
      </c>
      <c r="B114" s="362" t="s">
        <v>1767</v>
      </c>
      <c r="C114" s="348" t="s">
        <v>1593</v>
      </c>
      <c r="D114" s="361">
        <v>1</v>
      </c>
      <c r="E114" s="359">
        <v>3181.25</v>
      </c>
      <c r="F114" s="360"/>
      <c r="G114" s="351">
        <f>+E114*D114</f>
        <v>3181.25</v>
      </c>
      <c r="H114" s="352">
        <f t="shared" si="9"/>
        <v>0</v>
      </c>
      <c r="I114" s="351">
        <v>3181.25</v>
      </c>
    </row>
    <row r="115" spans="1:9">
      <c r="A115" s="334" t="s">
        <v>1768</v>
      </c>
      <c r="B115" s="362" t="s">
        <v>1769</v>
      </c>
      <c r="C115" s="348" t="s">
        <v>1593</v>
      </c>
      <c r="D115" s="361">
        <v>1</v>
      </c>
      <c r="E115" s="359">
        <v>2410.4699999999998</v>
      </c>
      <c r="F115" s="360"/>
      <c r="G115" s="351">
        <f>+E115*D115</f>
        <v>2410.4699999999998</v>
      </c>
      <c r="H115" s="352">
        <f t="shared" si="9"/>
        <v>0</v>
      </c>
      <c r="I115" s="351">
        <v>2410.4699999999998</v>
      </c>
    </row>
    <row r="116" spans="1:9">
      <c r="A116" s="334" t="s">
        <v>1770</v>
      </c>
      <c r="B116" s="362" t="s">
        <v>1771</v>
      </c>
      <c r="C116" s="348" t="s">
        <v>1593</v>
      </c>
      <c r="D116" s="361">
        <v>1</v>
      </c>
      <c r="E116" s="359">
        <v>5150.1000000000004</v>
      </c>
      <c r="F116" s="360"/>
      <c r="G116" s="351">
        <f>+E116*D116</f>
        <v>5150.1000000000004</v>
      </c>
      <c r="H116" s="352">
        <f t="shared" si="9"/>
        <v>0</v>
      </c>
      <c r="I116" s="351">
        <v>5150.1000000000004</v>
      </c>
    </row>
    <row r="117" spans="1:9">
      <c r="A117" s="334" t="s">
        <v>1772</v>
      </c>
      <c r="B117" s="362" t="s">
        <v>1773</v>
      </c>
      <c r="C117" s="348" t="s">
        <v>1593</v>
      </c>
      <c r="D117" s="361">
        <v>1</v>
      </c>
      <c r="E117" s="359">
        <v>56844.18</v>
      </c>
      <c r="F117" s="360"/>
      <c r="G117" s="351">
        <f t="shared" ref="G117:G119" si="10">+E117*D117</f>
        <v>56844.18</v>
      </c>
      <c r="H117" s="352">
        <f t="shared" si="9"/>
        <v>0</v>
      </c>
      <c r="I117" s="351">
        <v>56844.18</v>
      </c>
    </row>
    <row r="118" spans="1:9">
      <c r="A118" s="334" t="s">
        <v>1774</v>
      </c>
      <c r="B118" s="362" t="s">
        <v>1563</v>
      </c>
      <c r="C118" s="348" t="s">
        <v>1593</v>
      </c>
      <c r="D118" s="361">
        <v>1</v>
      </c>
      <c r="E118" s="359">
        <v>17806.36</v>
      </c>
      <c r="F118" s="360"/>
      <c r="G118" s="351">
        <f t="shared" si="10"/>
        <v>17806.36</v>
      </c>
      <c r="H118" s="352">
        <f t="shared" si="9"/>
        <v>0</v>
      </c>
      <c r="I118" s="351">
        <v>17806.36</v>
      </c>
    </row>
    <row r="119" spans="1:9">
      <c r="A119" s="334" t="s">
        <v>1775</v>
      </c>
      <c r="B119" s="362" t="s">
        <v>1776</v>
      </c>
      <c r="C119" s="348" t="s">
        <v>1593</v>
      </c>
      <c r="D119" s="361">
        <v>1</v>
      </c>
      <c r="E119" s="359">
        <v>1486.49</v>
      </c>
      <c r="F119" s="360"/>
      <c r="G119" s="351">
        <f t="shared" si="10"/>
        <v>1486.49</v>
      </c>
      <c r="H119" s="352">
        <f t="shared" si="9"/>
        <v>0</v>
      </c>
      <c r="I119" s="351">
        <v>1486.49</v>
      </c>
    </row>
  </sheetData>
  <mergeCells count="1">
    <mergeCell ref="A2:H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03701-B9ED-4428-9B30-99627FBB15B1}">
  <dimension ref="A1:K35"/>
  <sheetViews>
    <sheetView workbookViewId="0">
      <selection activeCell="G6" sqref="G6"/>
    </sheetView>
  </sheetViews>
  <sheetFormatPr defaultColWidth="11.42578125" defaultRowHeight="15"/>
  <cols>
    <col min="2" max="2" width="61.7109375" bestFit="1" customWidth="1"/>
    <col min="3" max="3" width="11.5703125" style="228"/>
    <col min="4" max="4" width="11.5703125" style="339"/>
    <col min="6" max="6" width="12.5703125" bestFit="1" customWidth="1"/>
    <col min="9" max="9" width="16.85546875" bestFit="1" customWidth="1"/>
  </cols>
  <sheetData>
    <row r="1" spans="1:11">
      <c r="A1" s="25"/>
      <c r="B1" s="309"/>
      <c r="C1" s="3"/>
      <c r="D1" s="3"/>
      <c r="E1" s="310"/>
      <c r="F1" s="311"/>
      <c r="G1" s="310"/>
      <c r="H1" s="311"/>
      <c r="I1" s="312"/>
    </row>
    <row r="2" spans="1:11">
      <c r="A2" s="698" t="s">
        <v>1777</v>
      </c>
      <c r="B2" s="698"/>
      <c r="C2" s="698"/>
      <c r="D2" s="698"/>
      <c r="E2" s="698"/>
      <c r="F2" s="698"/>
      <c r="G2" s="698"/>
      <c r="H2" s="698"/>
      <c r="I2" s="312"/>
    </row>
    <row r="3" spans="1:11">
      <c r="A3" s="25"/>
      <c r="B3" s="309"/>
      <c r="C3" s="3"/>
      <c r="D3" s="3"/>
      <c r="E3" s="310"/>
      <c r="F3" s="311"/>
      <c r="G3" s="310"/>
      <c r="H3" s="313" t="s">
        <v>1564</v>
      </c>
      <c r="I3" s="314">
        <v>3.75</v>
      </c>
    </row>
    <row r="4" spans="1:11">
      <c r="A4" s="108" t="s">
        <v>0</v>
      </c>
      <c r="B4" s="315" t="s">
        <v>1565</v>
      </c>
      <c r="C4" s="3"/>
      <c r="D4" s="3"/>
      <c r="E4" s="310"/>
      <c r="F4" s="311"/>
      <c r="G4" s="310"/>
      <c r="H4" s="311"/>
      <c r="I4" s="312"/>
    </row>
    <row r="5" spans="1:11">
      <c r="A5" s="108" t="s">
        <v>13</v>
      </c>
      <c r="B5" s="315" t="s">
        <v>1778</v>
      </c>
      <c r="C5" s="3"/>
      <c r="D5" s="3"/>
      <c r="E5" s="310"/>
      <c r="F5" s="311"/>
      <c r="G5" s="310"/>
      <c r="H5" s="311"/>
      <c r="I5" s="312"/>
    </row>
    <row r="6" spans="1:11">
      <c r="A6" s="108" t="s">
        <v>1</v>
      </c>
      <c r="B6" s="315" t="s">
        <v>1567</v>
      </c>
      <c r="C6" s="3"/>
      <c r="D6" s="3"/>
      <c r="E6" s="310"/>
      <c r="F6" s="340" t="s">
        <v>1779</v>
      </c>
      <c r="G6" s="316">
        <v>45538</v>
      </c>
      <c r="H6" s="317"/>
      <c r="I6" s="312"/>
    </row>
    <row r="7" spans="1:11" ht="15.75" thickBot="1">
      <c r="A7" s="108" t="s">
        <v>2</v>
      </c>
      <c r="B7" s="315"/>
      <c r="C7" s="3"/>
      <c r="D7" s="3"/>
      <c r="E7" s="310"/>
      <c r="F7" s="311"/>
      <c r="G7" s="310"/>
      <c r="H7" s="311"/>
      <c r="I7" s="312"/>
    </row>
    <row r="8" spans="1:11" ht="23.25" thickTop="1">
      <c r="A8" s="319" t="s">
        <v>4</v>
      </c>
      <c r="B8" s="320" t="s">
        <v>15</v>
      </c>
      <c r="C8" s="321" t="s">
        <v>16</v>
      </c>
      <c r="D8" s="322" t="s">
        <v>17</v>
      </c>
      <c r="E8" s="323" t="s">
        <v>1568</v>
      </c>
      <c r="F8" s="324" t="s">
        <v>1569</v>
      </c>
      <c r="G8" s="323" t="s">
        <v>1570</v>
      </c>
      <c r="H8" s="324" t="s">
        <v>1571</v>
      </c>
      <c r="I8" s="325" t="s">
        <v>12</v>
      </c>
    </row>
    <row r="9" spans="1:11">
      <c r="A9" s="326" t="s">
        <v>1780</v>
      </c>
      <c r="B9" s="327" t="s">
        <v>1781</v>
      </c>
      <c r="C9" s="328"/>
      <c r="D9" s="341"/>
      <c r="E9" s="329"/>
      <c r="F9" s="330"/>
      <c r="G9" s="329"/>
      <c r="H9" s="330"/>
      <c r="I9" s="330">
        <f>SUM(H11:H19)</f>
        <v>66276.880799999999</v>
      </c>
      <c r="J9" s="331"/>
      <c r="K9" s="342"/>
    </row>
    <row r="10" spans="1:11" ht="24.6" customHeight="1">
      <c r="A10" s="495" t="s">
        <v>1782</v>
      </c>
      <c r="B10" s="496" t="s">
        <v>1783</v>
      </c>
      <c r="C10" s="343"/>
      <c r="D10" s="338"/>
      <c r="E10" s="344"/>
      <c r="F10" s="345"/>
      <c r="G10" s="344"/>
      <c r="H10" s="345"/>
      <c r="I10" s="346"/>
    </row>
    <row r="11" spans="1:11" s="194" customFormat="1" ht="133.9" customHeight="1">
      <c r="A11" s="347" t="s">
        <v>1784</v>
      </c>
      <c r="B11" s="347" t="s">
        <v>1785</v>
      </c>
      <c r="C11" s="497" t="s">
        <v>1786</v>
      </c>
      <c r="D11" s="498">
        <v>1</v>
      </c>
      <c r="E11" s="349"/>
      <c r="F11" s="350">
        <v>14357.304</v>
      </c>
      <c r="G11" s="351">
        <f t="shared" ref="G11" si="0">+E11*D11</f>
        <v>0</v>
      </c>
      <c r="H11" s="352">
        <f t="shared" ref="H11" si="1">+F11*D11</f>
        <v>14357.304</v>
      </c>
      <c r="I11" s="351">
        <f t="shared" ref="I11" si="2">+G11+(H11*$I$3)</f>
        <v>53839.89</v>
      </c>
      <c r="J11" s="353"/>
      <c r="K11" s="353"/>
    </row>
    <row r="12" spans="1:11" ht="24" customHeight="1">
      <c r="A12" s="495" t="s">
        <v>1787</v>
      </c>
      <c r="B12" s="496" t="s">
        <v>1788</v>
      </c>
      <c r="C12" s="497"/>
      <c r="D12" s="498"/>
      <c r="E12" s="349"/>
      <c r="F12" s="350"/>
      <c r="G12" s="351"/>
      <c r="H12" s="352"/>
      <c r="I12" s="351"/>
      <c r="J12" s="353"/>
      <c r="K12" s="353"/>
    </row>
    <row r="13" spans="1:11" ht="116.45" customHeight="1">
      <c r="A13" s="347" t="s">
        <v>1789</v>
      </c>
      <c r="B13" s="347" t="s">
        <v>1790</v>
      </c>
      <c r="C13" s="497" t="s">
        <v>1786</v>
      </c>
      <c r="D13" s="498">
        <v>1</v>
      </c>
      <c r="E13" s="349"/>
      <c r="F13" s="350">
        <v>13549.400800000001</v>
      </c>
      <c r="G13" s="351">
        <f t="shared" ref="G13:G19" si="3">+E13*D13</f>
        <v>0</v>
      </c>
      <c r="H13" s="352">
        <f t="shared" ref="H13:H19" si="4">+F13*D13</f>
        <v>13549.400800000001</v>
      </c>
      <c r="I13" s="351">
        <f t="shared" ref="I13:I19" si="5">+G13+(H13*$I$3)</f>
        <v>50810.253000000004</v>
      </c>
      <c r="J13" s="353"/>
      <c r="K13" s="353"/>
    </row>
    <row r="14" spans="1:11" s="405" customFormat="1" ht="24.6" customHeight="1">
      <c r="A14" s="496" t="s">
        <v>1791</v>
      </c>
      <c r="B14" s="496" t="s">
        <v>1792</v>
      </c>
      <c r="C14" s="552"/>
      <c r="D14" s="553"/>
      <c r="E14" s="554"/>
      <c r="F14" s="555"/>
      <c r="G14" s="554"/>
      <c r="H14" s="555"/>
      <c r="I14" s="556"/>
    </row>
    <row r="15" spans="1:11" ht="117.6" customHeight="1">
      <c r="A15" s="347" t="s">
        <v>1793</v>
      </c>
      <c r="B15" s="347" t="s">
        <v>1794</v>
      </c>
      <c r="C15" s="497" t="s">
        <v>1786</v>
      </c>
      <c r="D15" s="498">
        <v>1</v>
      </c>
      <c r="E15" s="349"/>
      <c r="F15" s="350">
        <v>14619.467200000001</v>
      </c>
      <c r="G15" s="351">
        <f t="shared" si="3"/>
        <v>0</v>
      </c>
      <c r="H15" s="352">
        <f t="shared" si="4"/>
        <v>14619.467200000001</v>
      </c>
      <c r="I15" s="351">
        <f t="shared" si="5"/>
        <v>54823.002</v>
      </c>
      <c r="J15" s="353"/>
      <c r="K15" s="353"/>
    </row>
    <row r="16" spans="1:11" s="405" customFormat="1">
      <c r="A16" s="496" t="s">
        <v>1795</v>
      </c>
      <c r="B16" s="557" t="s">
        <v>1796</v>
      </c>
      <c r="C16" s="558"/>
      <c r="D16" s="559"/>
      <c r="E16" s="560"/>
      <c r="F16" s="561"/>
      <c r="G16" s="562"/>
      <c r="H16" s="563"/>
      <c r="I16" s="562"/>
      <c r="J16" s="564"/>
      <c r="K16" s="564"/>
    </row>
    <row r="17" spans="1:11" ht="91.15" customHeight="1">
      <c r="A17" s="347" t="s">
        <v>1797</v>
      </c>
      <c r="B17" s="347" t="s">
        <v>1798</v>
      </c>
      <c r="C17" s="497" t="s">
        <v>1786</v>
      </c>
      <c r="D17" s="498">
        <v>1</v>
      </c>
      <c r="E17" s="349"/>
      <c r="F17" s="350">
        <v>3455.4312000000004</v>
      </c>
      <c r="G17" s="351">
        <f t="shared" si="3"/>
        <v>0</v>
      </c>
      <c r="H17" s="352">
        <f t="shared" si="4"/>
        <v>3455.4312000000004</v>
      </c>
      <c r="I17" s="351">
        <f t="shared" si="5"/>
        <v>12957.867000000002</v>
      </c>
      <c r="J17" s="353"/>
      <c r="K17" s="353"/>
    </row>
    <row r="18" spans="1:11" s="405" customFormat="1" ht="45">
      <c r="A18" s="496" t="s">
        <v>1799</v>
      </c>
      <c r="B18" s="557" t="s">
        <v>1800</v>
      </c>
      <c r="C18" s="497" t="s">
        <v>1786</v>
      </c>
      <c r="D18" s="498">
        <v>1</v>
      </c>
      <c r="E18" s="349"/>
      <c r="F18" s="350">
        <v>17568.366399999999</v>
      </c>
      <c r="G18" s="351">
        <f t="shared" si="3"/>
        <v>0</v>
      </c>
      <c r="H18" s="352">
        <f t="shared" si="4"/>
        <v>17568.366399999999</v>
      </c>
      <c r="I18" s="351">
        <f t="shared" si="5"/>
        <v>65881.373999999996</v>
      </c>
      <c r="J18" s="564"/>
      <c r="K18" s="353"/>
    </row>
    <row r="19" spans="1:11" s="405" customFormat="1">
      <c r="A19" s="496" t="s">
        <v>1801</v>
      </c>
      <c r="B19" s="557" t="s">
        <v>1802</v>
      </c>
      <c r="C19" s="497" t="s">
        <v>1786</v>
      </c>
      <c r="D19" s="498">
        <v>1</v>
      </c>
      <c r="E19" s="349"/>
      <c r="F19" s="350">
        <v>2726.9112000000005</v>
      </c>
      <c r="G19" s="351">
        <f t="shared" si="3"/>
        <v>0</v>
      </c>
      <c r="H19" s="352">
        <f t="shared" si="4"/>
        <v>2726.9112000000005</v>
      </c>
      <c r="I19" s="351">
        <f t="shared" si="5"/>
        <v>10225.917000000001</v>
      </c>
      <c r="J19" s="564"/>
      <c r="K19" s="353"/>
    </row>
    <row r="20" spans="1:11">
      <c r="A20" s="326" t="s">
        <v>1803</v>
      </c>
      <c r="B20" s="327" t="s">
        <v>1804</v>
      </c>
      <c r="C20" s="328"/>
      <c r="D20" s="341"/>
      <c r="E20" s="329"/>
      <c r="F20" s="330"/>
      <c r="G20" s="329"/>
      <c r="H20" s="330"/>
      <c r="I20" s="330">
        <f>SUM(H22:H30)</f>
        <v>55414.939999999995</v>
      </c>
      <c r="J20" s="331"/>
      <c r="K20" s="342"/>
    </row>
    <row r="21" spans="1:11" ht="30" customHeight="1">
      <c r="A21" s="334" t="s">
        <v>1805</v>
      </c>
      <c r="B21" s="496" t="s">
        <v>1806</v>
      </c>
      <c r="C21" s="500"/>
      <c r="D21" s="501"/>
      <c r="E21" s="500"/>
      <c r="F21" s="502"/>
      <c r="G21" s="502"/>
      <c r="H21" s="502"/>
      <c r="I21" s="503"/>
    </row>
    <row r="22" spans="1:11" ht="24.6" customHeight="1">
      <c r="A22" s="334" t="s">
        <v>1807</v>
      </c>
      <c r="B22" s="354" t="s">
        <v>1808</v>
      </c>
      <c r="C22" s="500" t="s">
        <v>1786</v>
      </c>
      <c r="D22" s="501">
        <v>1</v>
      </c>
      <c r="E22" s="500"/>
      <c r="F22" s="502">
        <v>35945.5</v>
      </c>
      <c r="G22" s="351">
        <f t="shared" ref="G22:G26" si="6">+E22*D22</f>
        <v>0</v>
      </c>
      <c r="H22" s="352">
        <f t="shared" ref="H22:H26" si="7">+F22*D22</f>
        <v>35945.5</v>
      </c>
      <c r="I22" s="351">
        <f t="shared" ref="I22:I26" si="8">+G22+(H22*$I$3)</f>
        <v>134795.625</v>
      </c>
    </row>
    <row r="23" spans="1:11" ht="24" customHeight="1">
      <c r="A23" s="334" t="s">
        <v>1809</v>
      </c>
      <c r="B23" s="354" t="s">
        <v>1810</v>
      </c>
      <c r="C23" s="500" t="s">
        <v>1786</v>
      </c>
      <c r="D23" s="501">
        <v>1</v>
      </c>
      <c r="E23" s="500"/>
      <c r="F23" s="502">
        <v>8750</v>
      </c>
      <c r="G23" s="351">
        <f t="shared" si="6"/>
        <v>0</v>
      </c>
      <c r="H23" s="352">
        <f t="shared" si="7"/>
        <v>8750</v>
      </c>
      <c r="I23" s="351">
        <f t="shared" si="8"/>
        <v>32812.5</v>
      </c>
    </row>
    <row r="24" spans="1:11" ht="24" customHeight="1">
      <c r="A24" s="334" t="s">
        <v>1811</v>
      </c>
      <c r="B24" s="354" t="s">
        <v>1812</v>
      </c>
      <c r="C24" s="500" t="s">
        <v>1786</v>
      </c>
      <c r="D24" s="501">
        <v>1</v>
      </c>
      <c r="E24" s="500"/>
      <c r="F24" s="502">
        <v>1585.24</v>
      </c>
      <c r="G24" s="351">
        <f t="shared" si="6"/>
        <v>0</v>
      </c>
      <c r="H24" s="352">
        <f t="shared" si="7"/>
        <v>1585.24</v>
      </c>
      <c r="I24" s="351">
        <f t="shared" si="8"/>
        <v>5944.65</v>
      </c>
    </row>
    <row r="25" spans="1:11">
      <c r="A25" s="334" t="s">
        <v>1813</v>
      </c>
      <c r="B25" s="354" t="s">
        <v>1814</v>
      </c>
      <c r="C25" s="500" t="s">
        <v>1786</v>
      </c>
      <c r="D25" s="501">
        <v>1</v>
      </c>
      <c r="E25" s="500"/>
      <c r="F25" s="502">
        <v>988.13</v>
      </c>
      <c r="G25" s="351">
        <f t="shared" si="6"/>
        <v>0</v>
      </c>
      <c r="H25" s="352">
        <f t="shared" si="7"/>
        <v>988.13</v>
      </c>
      <c r="I25" s="351">
        <f t="shared" si="8"/>
        <v>3705.4875000000002</v>
      </c>
    </row>
    <row r="26" spans="1:11">
      <c r="A26" s="334" t="s">
        <v>1815</v>
      </c>
      <c r="B26" s="354" t="s">
        <v>1816</v>
      </c>
      <c r="C26" s="500" t="s">
        <v>1786</v>
      </c>
      <c r="D26" s="501">
        <v>1</v>
      </c>
      <c r="E26" s="500"/>
      <c r="F26" s="502">
        <v>1191.3800000000001</v>
      </c>
      <c r="G26" s="351">
        <f t="shared" si="6"/>
        <v>0</v>
      </c>
      <c r="H26" s="352">
        <f t="shared" si="7"/>
        <v>1191.3800000000001</v>
      </c>
      <c r="I26" s="351">
        <f t="shared" si="8"/>
        <v>4467.6750000000002</v>
      </c>
    </row>
    <row r="27" spans="1:11">
      <c r="A27" s="334" t="s">
        <v>1817</v>
      </c>
      <c r="B27" s="354"/>
      <c r="C27" s="500"/>
      <c r="D27" s="501"/>
      <c r="E27" s="500"/>
      <c r="F27" s="502"/>
      <c r="G27" s="351"/>
      <c r="H27" s="352"/>
      <c r="I27" s="351"/>
    </row>
    <row r="28" spans="1:11" ht="23.25">
      <c r="A28" s="334" t="s">
        <v>1818</v>
      </c>
      <c r="B28" s="355" t="s">
        <v>1819</v>
      </c>
      <c r="C28" s="500"/>
      <c r="D28" s="501"/>
      <c r="E28" s="500"/>
      <c r="F28" s="502"/>
      <c r="G28" s="351"/>
      <c r="H28" s="352"/>
      <c r="I28" s="351"/>
    </row>
    <row r="29" spans="1:11">
      <c r="A29" s="334" t="s">
        <v>1820</v>
      </c>
      <c r="B29" s="495" t="s">
        <v>1821</v>
      </c>
      <c r="C29" s="500" t="s">
        <v>1786</v>
      </c>
      <c r="D29" s="501">
        <v>1</v>
      </c>
      <c r="E29" s="500"/>
      <c r="F29" s="502">
        <v>4454.6899999999996</v>
      </c>
      <c r="G29" s="351">
        <f t="shared" ref="G29:G30" si="9">+E29*D29</f>
        <v>0</v>
      </c>
      <c r="H29" s="352">
        <f t="shared" ref="H29:H30" si="10">+F29*D29</f>
        <v>4454.6899999999996</v>
      </c>
      <c r="I29" s="351">
        <f t="shared" ref="I29:I30" si="11">+G29+(H29*$I$3)</f>
        <v>16705.087499999998</v>
      </c>
    </row>
    <row r="30" spans="1:11">
      <c r="A30" s="334" t="s">
        <v>1822</v>
      </c>
      <c r="B30" s="354" t="s">
        <v>1823</v>
      </c>
      <c r="C30" s="500" t="s">
        <v>1786</v>
      </c>
      <c r="D30" s="501">
        <v>1</v>
      </c>
      <c r="E30" s="500"/>
      <c r="F30" s="502">
        <v>2500</v>
      </c>
      <c r="G30" s="351">
        <f t="shared" si="9"/>
        <v>0</v>
      </c>
      <c r="H30" s="352">
        <f t="shared" si="10"/>
        <v>2500</v>
      </c>
      <c r="I30" s="351">
        <f t="shared" si="11"/>
        <v>9375</v>
      </c>
    </row>
    <row r="31" spans="1:11">
      <c r="A31" s="326" t="s">
        <v>1824</v>
      </c>
      <c r="B31" s="327" t="s">
        <v>1825</v>
      </c>
      <c r="C31" s="328"/>
      <c r="D31" s="341"/>
      <c r="E31" s="329"/>
      <c r="F31" s="330"/>
      <c r="G31" s="329"/>
      <c r="H31" s="330"/>
      <c r="I31" s="330">
        <f>SUM(H32:H35)</f>
        <v>363487.31000000006</v>
      </c>
      <c r="J31" s="331"/>
      <c r="K31" s="342"/>
    </row>
    <row r="32" spans="1:11">
      <c r="A32" s="334" t="s">
        <v>1826</v>
      </c>
      <c r="B32" s="355" t="s">
        <v>1827</v>
      </c>
      <c r="C32" s="348"/>
      <c r="D32" s="356"/>
      <c r="E32" s="357"/>
      <c r="F32" s="358"/>
      <c r="G32" s="336"/>
      <c r="H32" s="337"/>
      <c r="I32" s="336"/>
    </row>
    <row r="33" spans="1:9">
      <c r="A33" s="334" t="s">
        <v>1828</v>
      </c>
      <c r="B33" s="354" t="s">
        <v>1829</v>
      </c>
      <c r="C33" s="348" t="s">
        <v>1786</v>
      </c>
      <c r="D33" s="356">
        <v>1</v>
      </c>
      <c r="E33" s="357"/>
      <c r="F33" s="358">
        <v>249987.01</v>
      </c>
      <c r="G33" s="351">
        <f t="shared" ref="G33:G35" si="12">+E33*D33</f>
        <v>0</v>
      </c>
      <c r="H33" s="352">
        <f t="shared" ref="H33:H35" si="13">+F33*D33</f>
        <v>249987.01</v>
      </c>
      <c r="I33" s="351">
        <f t="shared" ref="I33:I35" si="14">+G33+(H33*$I$3)</f>
        <v>937451.28750000009</v>
      </c>
    </row>
    <row r="34" spans="1:9">
      <c r="A34" s="334" t="s">
        <v>1830</v>
      </c>
      <c r="B34" s="354" t="s">
        <v>1831</v>
      </c>
      <c r="C34" s="348" t="s">
        <v>1786</v>
      </c>
      <c r="D34" s="356">
        <v>1</v>
      </c>
      <c r="E34" s="357"/>
      <c r="F34" s="358">
        <v>98449.279999999999</v>
      </c>
      <c r="G34" s="351">
        <f t="shared" si="12"/>
        <v>0</v>
      </c>
      <c r="H34" s="352">
        <f t="shared" si="13"/>
        <v>98449.279999999999</v>
      </c>
      <c r="I34" s="351">
        <f t="shared" si="14"/>
        <v>369184.8</v>
      </c>
    </row>
    <row r="35" spans="1:9">
      <c r="A35" s="334" t="s">
        <v>1832</v>
      </c>
      <c r="B35" s="354" t="s">
        <v>1833</v>
      </c>
      <c r="C35" s="348" t="s">
        <v>1786</v>
      </c>
      <c r="D35" s="356">
        <v>1</v>
      </c>
      <c r="E35" s="357"/>
      <c r="F35" s="358">
        <v>15051.02</v>
      </c>
      <c r="G35" s="351">
        <f t="shared" si="12"/>
        <v>0</v>
      </c>
      <c r="H35" s="352">
        <f t="shared" si="13"/>
        <v>15051.02</v>
      </c>
      <c r="I35" s="351">
        <f t="shared" si="14"/>
        <v>56441.325000000004</v>
      </c>
    </row>
  </sheetData>
  <mergeCells count="1">
    <mergeCell ref="A2:H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G7"/>
  <sheetViews>
    <sheetView workbookViewId="0">
      <selection activeCell="H1" sqref="H1:BM1048576"/>
    </sheetView>
  </sheetViews>
  <sheetFormatPr defaultColWidth="11.42578125" defaultRowHeight="15"/>
  <cols>
    <col min="1" max="1" width="7.85546875" customWidth="1"/>
    <col min="2" max="2" width="37" customWidth="1"/>
    <col min="7" max="7" width="11.7109375" bestFit="1" customWidth="1"/>
  </cols>
  <sheetData>
    <row r="1" spans="2:7" ht="15.75" thickBot="1"/>
    <row r="2" spans="2:7" ht="16.5" thickTop="1" thickBot="1">
      <c r="B2" s="198" t="s">
        <v>5</v>
      </c>
      <c r="C2" s="11" t="s">
        <v>16</v>
      </c>
      <c r="D2" s="12" t="s">
        <v>17</v>
      </c>
      <c r="E2" s="12" t="s">
        <v>1834</v>
      </c>
      <c r="F2" s="111" t="s">
        <v>192</v>
      </c>
      <c r="G2" s="197" t="s">
        <v>12</v>
      </c>
    </row>
    <row r="3" spans="2:7" ht="15.75" thickTop="1">
      <c r="B3" s="203" t="s">
        <v>1835</v>
      </c>
      <c r="C3" s="199"/>
      <c r="D3" s="200"/>
      <c r="E3" s="201"/>
      <c r="F3" s="208"/>
      <c r="G3" s="204">
        <f>SUM(F5:F6)</f>
        <v>103726</v>
      </c>
    </row>
    <row r="4" spans="2:7">
      <c r="B4" s="202" t="s">
        <v>1836</v>
      </c>
      <c r="C4" s="205"/>
      <c r="D4" s="206"/>
      <c r="E4" s="207"/>
      <c r="F4" s="209"/>
      <c r="G4" s="210"/>
    </row>
    <row r="5" spans="2:7">
      <c r="B5" s="213" t="s">
        <v>1837</v>
      </c>
      <c r="C5" s="214" t="s">
        <v>36</v>
      </c>
      <c r="D5" s="215">
        <v>1</v>
      </c>
      <c r="E5" s="216">
        <v>21700</v>
      </c>
      <c r="F5" s="217">
        <f>+E5*D5</f>
        <v>21700</v>
      </c>
      <c r="G5" s="210"/>
    </row>
    <row r="6" spans="2:7" ht="23.25" thickBot="1">
      <c r="B6" s="218" t="s">
        <v>1838</v>
      </c>
      <c r="C6" s="219" t="s">
        <v>29</v>
      </c>
      <c r="D6" s="220">
        <v>1</v>
      </c>
      <c r="E6" s="221">
        <v>82026</v>
      </c>
      <c r="F6" s="222">
        <f>+E6*D6</f>
        <v>82026</v>
      </c>
      <c r="G6" s="211"/>
    </row>
    <row r="7" spans="2:7" ht="15.75" thickTop="1"/>
  </sheetData>
  <pageMargins left="0.7" right="0.7" top="0.75" bottom="0.75" header="0.3" footer="0.3"/>
  <pageSetup orientation="portrait" r:id="rId1"/>
  <ignoredErrors>
    <ignoredError sqref="G3" unlocked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10067-81DA-4DD6-8F11-E704C13F5FCA}">
  <dimension ref="A1:I149"/>
  <sheetViews>
    <sheetView workbookViewId="0">
      <selection activeCell="J1" sqref="J1:BB1048576"/>
    </sheetView>
  </sheetViews>
  <sheetFormatPr defaultColWidth="11.42578125" defaultRowHeight="11.25"/>
  <cols>
    <col min="1" max="1" width="12.42578125" style="40" bestFit="1" customWidth="1"/>
    <col min="2" max="2" width="65.5703125" style="40" customWidth="1"/>
    <col min="3" max="3" width="7.140625" style="40" bestFit="1" customWidth="1"/>
    <col min="4" max="4" width="9.28515625" style="40" bestFit="1" customWidth="1"/>
    <col min="5" max="8" width="11.42578125" style="40"/>
    <col min="9" max="9" width="13" style="40" bestFit="1" customWidth="1"/>
    <col min="10" max="16384" width="11.42578125" style="40"/>
  </cols>
  <sheetData>
    <row r="1" spans="1:9">
      <c r="A1" s="25"/>
      <c r="B1" s="309"/>
      <c r="C1" s="3"/>
      <c r="D1" s="388"/>
      <c r="E1" s="388"/>
      <c r="F1" s="388"/>
      <c r="G1" s="388"/>
      <c r="H1" s="311"/>
      <c r="I1" s="312"/>
    </row>
    <row r="2" spans="1:9">
      <c r="A2" s="698" t="s">
        <v>1839</v>
      </c>
      <c r="B2" s="698"/>
      <c r="C2" s="698"/>
      <c r="D2" s="698"/>
      <c r="E2" s="698"/>
      <c r="F2" s="698"/>
      <c r="G2" s="698"/>
      <c r="H2" s="698"/>
      <c r="I2" s="312"/>
    </row>
    <row r="3" spans="1:9">
      <c r="A3" s="25"/>
      <c r="B3" s="309"/>
      <c r="C3" s="3"/>
      <c r="D3" s="388"/>
      <c r="E3" s="388"/>
      <c r="F3" s="388"/>
      <c r="G3" s="388"/>
      <c r="H3" s="313" t="s">
        <v>1564</v>
      </c>
      <c r="I3" s="314">
        <v>3.75</v>
      </c>
    </row>
    <row r="4" spans="1:9">
      <c r="A4" s="108" t="s">
        <v>0</v>
      </c>
      <c r="B4" s="315" t="s">
        <v>1565</v>
      </c>
      <c r="C4" s="3"/>
      <c r="D4" s="388"/>
      <c r="E4" s="388"/>
      <c r="F4" s="388"/>
      <c r="G4" s="388"/>
      <c r="H4" s="311"/>
      <c r="I4" s="312"/>
    </row>
    <row r="5" spans="1:9">
      <c r="A5" s="108" t="s">
        <v>13</v>
      </c>
      <c r="B5" s="315" t="s">
        <v>1840</v>
      </c>
      <c r="C5" s="3"/>
      <c r="D5" s="388"/>
      <c r="E5" s="388"/>
      <c r="F5" s="388"/>
      <c r="G5" s="388"/>
      <c r="H5" s="311"/>
      <c r="I5" s="312"/>
    </row>
    <row r="6" spans="1:9">
      <c r="A6" s="108" t="s">
        <v>1</v>
      </c>
      <c r="B6" s="315" t="s">
        <v>1567</v>
      </c>
      <c r="C6" s="3"/>
      <c r="D6" s="388"/>
      <c r="E6" s="388"/>
      <c r="F6" s="389" t="s">
        <v>1779</v>
      </c>
      <c r="G6" s="316">
        <v>45538</v>
      </c>
      <c r="H6" s="317"/>
      <c r="I6" s="312"/>
    </row>
    <row r="7" spans="1:9" ht="12" thickBot="1">
      <c r="A7" s="108" t="s">
        <v>2</v>
      </c>
      <c r="B7" s="315"/>
      <c r="C7" s="3"/>
      <c r="D7" s="388"/>
      <c r="E7" s="388"/>
      <c r="F7" s="388"/>
      <c r="G7" s="388"/>
      <c r="H7" s="311"/>
      <c r="I7" s="312"/>
    </row>
    <row r="8" spans="1:9" ht="23.25" thickTop="1">
      <c r="A8" s="319" t="s">
        <v>4</v>
      </c>
      <c r="B8" s="320" t="s">
        <v>15</v>
      </c>
      <c r="C8" s="321" t="s">
        <v>16</v>
      </c>
      <c r="D8" s="387" t="s">
        <v>17</v>
      </c>
      <c r="E8" s="387" t="s">
        <v>1568</v>
      </c>
      <c r="F8" s="387" t="s">
        <v>1569</v>
      </c>
      <c r="G8" s="387" t="s">
        <v>1570</v>
      </c>
      <c r="H8" s="324" t="s">
        <v>1571</v>
      </c>
      <c r="I8" s="325" t="s">
        <v>12</v>
      </c>
    </row>
    <row r="9" spans="1:9">
      <c r="A9" s="326" t="s">
        <v>1782</v>
      </c>
      <c r="B9" s="386" t="s">
        <v>1841</v>
      </c>
      <c r="C9" s="328"/>
      <c r="D9" s="385"/>
      <c r="E9" s="385"/>
      <c r="F9" s="385"/>
      <c r="G9" s="385"/>
      <c r="H9" s="330"/>
      <c r="I9" s="330">
        <f>SUM(H11:H136)</f>
        <v>233305.22999999995</v>
      </c>
    </row>
    <row r="10" spans="1:9">
      <c r="A10" s="504">
        <v>1</v>
      </c>
      <c r="B10" s="505" t="s">
        <v>1842</v>
      </c>
      <c r="C10" s="368"/>
      <c r="D10" s="255"/>
      <c r="E10" s="255"/>
      <c r="F10" s="255"/>
      <c r="G10" s="255"/>
      <c r="H10" s="255"/>
      <c r="I10" s="255"/>
    </row>
    <row r="11" spans="1:9">
      <c r="A11" s="551">
        <v>1.1000000000000001</v>
      </c>
      <c r="B11" s="506" t="s">
        <v>1843</v>
      </c>
      <c r="C11" s="368"/>
      <c r="D11" s="384"/>
      <c r="E11" s="507"/>
      <c r="F11" s="366"/>
      <c r="G11" s="351"/>
      <c r="H11" s="352"/>
      <c r="I11" s="351"/>
    </row>
    <row r="12" spans="1:9" ht="33.75">
      <c r="A12" s="551" t="s">
        <v>1844</v>
      </c>
      <c r="B12" s="506" t="s">
        <v>1845</v>
      </c>
      <c r="C12" s="368" t="s">
        <v>1846</v>
      </c>
      <c r="D12" s="384">
        <v>1</v>
      </c>
      <c r="E12" s="507"/>
      <c r="F12" s="366">
        <v>750</v>
      </c>
      <c r="G12" s="351">
        <f t="shared" ref="G12:G75" si="0">+E12*D12</f>
        <v>0</v>
      </c>
      <c r="H12" s="352">
        <f t="shared" ref="H12:H75" si="1">+F12*D12</f>
        <v>750</v>
      </c>
      <c r="I12" s="351">
        <f t="shared" ref="I12:I75" si="2">+G12+(H12*$I$3)</f>
        <v>2812.5</v>
      </c>
    </row>
    <row r="13" spans="1:9" ht="33.75">
      <c r="A13" s="551" t="s">
        <v>1847</v>
      </c>
      <c r="B13" s="506" t="s">
        <v>1848</v>
      </c>
      <c r="C13" s="368" t="s">
        <v>1846</v>
      </c>
      <c r="D13" s="384">
        <v>6</v>
      </c>
      <c r="E13" s="507"/>
      <c r="F13" s="366">
        <v>750</v>
      </c>
      <c r="G13" s="351">
        <f t="shared" si="0"/>
        <v>0</v>
      </c>
      <c r="H13" s="352">
        <f t="shared" si="1"/>
        <v>4500</v>
      </c>
      <c r="I13" s="351">
        <f t="shared" si="2"/>
        <v>16875</v>
      </c>
    </row>
    <row r="14" spans="1:9" ht="33.75">
      <c r="A14" s="551" t="s">
        <v>1849</v>
      </c>
      <c r="B14" s="506" t="s">
        <v>1850</v>
      </c>
      <c r="C14" s="368" t="s">
        <v>1846</v>
      </c>
      <c r="D14" s="384">
        <v>2</v>
      </c>
      <c r="E14" s="507"/>
      <c r="F14" s="366">
        <v>750</v>
      </c>
      <c r="G14" s="351">
        <f t="shared" si="0"/>
        <v>0</v>
      </c>
      <c r="H14" s="352">
        <f t="shared" si="1"/>
        <v>1500</v>
      </c>
      <c r="I14" s="351">
        <f t="shared" si="2"/>
        <v>5625</v>
      </c>
    </row>
    <row r="15" spans="1:9" ht="33.75">
      <c r="A15" s="551" t="s">
        <v>1851</v>
      </c>
      <c r="B15" s="506" t="s">
        <v>1852</v>
      </c>
      <c r="C15" s="368" t="s">
        <v>1846</v>
      </c>
      <c r="D15" s="384">
        <v>2</v>
      </c>
      <c r="E15" s="507"/>
      <c r="F15" s="366">
        <v>750</v>
      </c>
      <c r="G15" s="351">
        <f t="shared" si="0"/>
        <v>0</v>
      </c>
      <c r="H15" s="352">
        <f t="shared" si="1"/>
        <v>1500</v>
      </c>
      <c r="I15" s="351">
        <f t="shared" si="2"/>
        <v>5625</v>
      </c>
    </row>
    <row r="16" spans="1:9" ht="45">
      <c r="A16" s="551" t="s">
        <v>1853</v>
      </c>
      <c r="B16" s="506" t="s">
        <v>1854</v>
      </c>
      <c r="C16" s="368" t="s">
        <v>1846</v>
      </c>
      <c r="D16" s="384">
        <v>1</v>
      </c>
      <c r="E16" s="507"/>
      <c r="F16" s="366">
        <v>722.22</v>
      </c>
      <c r="G16" s="351">
        <f t="shared" si="0"/>
        <v>0</v>
      </c>
      <c r="H16" s="352">
        <f t="shared" si="1"/>
        <v>722.22</v>
      </c>
      <c r="I16" s="351">
        <f t="shared" si="2"/>
        <v>2708.3250000000003</v>
      </c>
    </row>
    <row r="17" spans="1:9" ht="33.75">
      <c r="A17" s="551" t="s">
        <v>1855</v>
      </c>
      <c r="B17" s="506" t="s">
        <v>1856</v>
      </c>
      <c r="C17" s="368" t="s">
        <v>1846</v>
      </c>
      <c r="D17" s="384">
        <v>6</v>
      </c>
      <c r="E17" s="507"/>
      <c r="F17" s="366">
        <v>722.22</v>
      </c>
      <c r="G17" s="351">
        <f t="shared" si="0"/>
        <v>0</v>
      </c>
      <c r="H17" s="352">
        <f t="shared" si="1"/>
        <v>4333.32</v>
      </c>
      <c r="I17" s="351">
        <f t="shared" si="2"/>
        <v>16249.949999999999</v>
      </c>
    </row>
    <row r="18" spans="1:9" ht="33.75">
      <c r="A18" s="551" t="s">
        <v>1857</v>
      </c>
      <c r="B18" s="506" t="s">
        <v>1858</v>
      </c>
      <c r="C18" s="368" t="s">
        <v>1846</v>
      </c>
      <c r="D18" s="384">
        <v>2</v>
      </c>
      <c r="E18" s="507"/>
      <c r="F18" s="366">
        <v>722.22</v>
      </c>
      <c r="G18" s="351">
        <f t="shared" si="0"/>
        <v>0</v>
      </c>
      <c r="H18" s="352">
        <f t="shared" si="1"/>
        <v>1444.44</v>
      </c>
      <c r="I18" s="351">
        <f t="shared" si="2"/>
        <v>5416.6500000000005</v>
      </c>
    </row>
    <row r="19" spans="1:9" ht="45">
      <c r="A19" s="551" t="s">
        <v>1859</v>
      </c>
      <c r="B19" s="506" t="s">
        <v>1860</v>
      </c>
      <c r="C19" s="368" t="s">
        <v>1846</v>
      </c>
      <c r="D19" s="384">
        <v>23</v>
      </c>
      <c r="E19" s="507"/>
      <c r="F19" s="366">
        <v>1500</v>
      </c>
      <c r="G19" s="351">
        <f t="shared" si="0"/>
        <v>0</v>
      </c>
      <c r="H19" s="352">
        <f t="shared" si="1"/>
        <v>34500</v>
      </c>
      <c r="I19" s="351">
        <f t="shared" si="2"/>
        <v>129375</v>
      </c>
    </row>
    <row r="20" spans="1:9" ht="33.75">
      <c r="A20" s="551" t="s">
        <v>1861</v>
      </c>
      <c r="B20" s="506" t="s">
        <v>1862</v>
      </c>
      <c r="C20" s="368" t="s">
        <v>1846</v>
      </c>
      <c r="D20" s="384">
        <v>23</v>
      </c>
      <c r="E20" s="507"/>
      <c r="F20" s="366">
        <v>227.78</v>
      </c>
      <c r="G20" s="351">
        <f t="shared" si="0"/>
        <v>0</v>
      </c>
      <c r="H20" s="352">
        <f t="shared" si="1"/>
        <v>5238.9399999999996</v>
      </c>
      <c r="I20" s="351">
        <f t="shared" si="2"/>
        <v>19646.024999999998</v>
      </c>
    </row>
    <row r="21" spans="1:9">
      <c r="A21" s="551">
        <v>1.2</v>
      </c>
      <c r="B21" s="506" t="s">
        <v>1863</v>
      </c>
      <c r="C21" s="368"/>
      <c r="D21" s="384"/>
      <c r="E21" s="507"/>
      <c r="F21" s="366"/>
      <c r="G21" s="351"/>
      <c r="H21" s="352"/>
      <c r="I21" s="351"/>
    </row>
    <row r="22" spans="1:9" ht="22.5">
      <c r="A22" s="551" t="s">
        <v>1864</v>
      </c>
      <c r="B22" s="506" t="s">
        <v>1865</v>
      </c>
      <c r="C22" s="368" t="s">
        <v>1866</v>
      </c>
      <c r="D22" s="384">
        <v>525</v>
      </c>
      <c r="E22" s="507"/>
      <c r="F22" s="366">
        <v>3</v>
      </c>
      <c r="G22" s="351">
        <f t="shared" si="0"/>
        <v>0</v>
      </c>
      <c r="H22" s="352">
        <f t="shared" si="1"/>
        <v>1575</v>
      </c>
      <c r="I22" s="351">
        <f t="shared" si="2"/>
        <v>5906.25</v>
      </c>
    </row>
    <row r="23" spans="1:9" ht="33.75">
      <c r="A23" s="551" t="s">
        <v>1867</v>
      </c>
      <c r="B23" s="506" t="s">
        <v>1868</v>
      </c>
      <c r="C23" s="368" t="s">
        <v>1869</v>
      </c>
      <c r="D23" s="384">
        <v>25140</v>
      </c>
      <c r="E23" s="507"/>
      <c r="F23" s="366">
        <v>0.16</v>
      </c>
      <c r="G23" s="351">
        <f t="shared" si="0"/>
        <v>0</v>
      </c>
      <c r="H23" s="352">
        <f t="shared" si="1"/>
        <v>4022.4</v>
      </c>
      <c r="I23" s="351">
        <f t="shared" si="2"/>
        <v>15084</v>
      </c>
    </row>
    <row r="24" spans="1:9" ht="22.5">
      <c r="A24" s="551" t="s">
        <v>1870</v>
      </c>
      <c r="B24" s="506" t="s">
        <v>1871</v>
      </c>
      <c r="C24" s="368" t="s">
        <v>1846</v>
      </c>
      <c r="D24" s="384">
        <v>20</v>
      </c>
      <c r="E24" s="507"/>
      <c r="F24" s="366">
        <v>166.67</v>
      </c>
      <c r="G24" s="351">
        <f t="shared" si="0"/>
        <v>0</v>
      </c>
      <c r="H24" s="352">
        <f t="shared" si="1"/>
        <v>3333.3999999999996</v>
      </c>
      <c r="I24" s="351">
        <f t="shared" si="2"/>
        <v>12500.249999999998</v>
      </c>
    </row>
    <row r="25" spans="1:9">
      <c r="A25" s="551" t="s">
        <v>1872</v>
      </c>
      <c r="B25" s="506" t="s">
        <v>1873</v>
      </c>
      <c r="C25" s="368" t="s">
        <v>1846</v>
      </c>
      <c r="D25" s="384">
        <v>23</v>
      </c>
      <c r="E25" s="507"/>
      <c r="F25" s="366">
        <v>42.22</v>
      </c>
      <c r="G25" s="351">
        <f t="shared" si="0"/>
        <v>0</v>
      </c>
      <c r="H25" s="352">
        <f t="shared" si="1"/>
        <v>971.06</v>
      </c>
      <c r="I25" s="351">
        <f t="shared" si="2"/>
        <v>3641.4749999999999</v>
      </c>
    </row>
    <row r="26" spans="1:9">
      <c r="A26" s="551">
        <v>1.3</v>
      </c>
      <c r="B26" s="506" t="s">
        <v>1874</v>
      </c>
      <c r="C26" s="368"/>
      <c r="D26" s="384"/>
      <c r="E26" s="507"/>
      <c r="F26" s="366"/>
      <c r="G26" s="351"/>
      <c r="H26" s="352"/>
      <c r="I26" s="351"/>
    </row>
    <row r="27" spans="1:9" ht="67.5">
      <c r="A27" s="551" t="s">
        <v>1875</v>
      </c>
      <c r="B27" s="506" t="s">
        <v>1876</v>
      </c>
      <c r="C27" s="368" t="s">
        <v>1877</v>
      </c>
      <c r="D27" s="384">
        <v>1</v>
      </c>
      <c r="E27" s="507"/>
      <c r="F27" s="366">
        <v>11422.22</v>
      </c>
      <c r="G27" s="351">
        <f t="shared" si="0"/>
        <v>0</v>
      </c>
      <c r="H27" s="352">
        <f t="shared" si="1"/>
        <v>11422.22</v>
      </c>
      <c r="I27" s="351">
        <f t="shared" si="2"/>
        <v>42833.324999999997</v>
      </c>
    </row>
    <row r="28" spans="1:9">
      <c r="A28" s="504">
        <v>2</v>
      </c>
      <c r="B28" s="505" t="s">
        <v>1878</v>
      </c>
      <c r="C28" s="368"/>
      <c r="D28" s="255"/>
      <c r="E28" s="255"/>
      <c r="F28" s="255"/>
      <c r="G28" s="255"/>
      <c r="H28" s="255"/>
      <c r="I28" s="255"/>
    </row>
    <row r="29" spans="1:9">
      <c r="A29" s="551">
        <v>2.1</v>
      </c>
      <c r="B29" s="506" t="s">
        <v>1843</v>
      </c>
      <c r="C29" s="368"/>
      <c r="D29" s="384"/>
      <c r="E29" s="507"/>
      <c r="F29" s="366"/>
      <c r="G29" s="351"/>
      <c r="H29" s="352"/>
      <c r="I29" s="351"/>
    </row>
    <row r="30" spans="1:9" ht="45">
      <c r="A30" s="551" t="s">
        <v>1879</v>
      </c>
      <c r="B30" s="506" t="s">
        <v>1880</v>
      </c>
      <c r="C30" s="368" t="s">
        <v>1846</v>
      </c>
      <c r="D30" s="384">
        <v>25</v>
      </c>
      <c r="E30" s="507"/>
      <c r="F30" s="366">
        <v>85</v>
      </c>
      <c r="G30" s="351">
        <f t="shared" si="0"/>
        <v>0</v>
      </c>
      <c r="H30" s="352">
        <f t="shared" si="1"/>
        <v>2125</v>
      </c>
      <c r="I30" s="351">
        <f t="shared" si="2"/>
        <v>7968.75</v>
      </c>
    </row>
    <row r="31" spans="1:9" ht="45">
      <c r="A31" s="551" t="s">
        <v>1881</v>
      </c>
      <c r="B31" s="506" t="s">
        <v>1882</v>
      </c>
      <c r="C31" s="368" t="s">
        <v>1846</v>
      </c>
      <c r="D31" s="384">
        <v>25</v>
      </c>
      <c r="E31" s="507"/>
      <c r="F31" s="366">
        <v>85</v>
      </c>
      <c r="G31" s="351">
        <f t="shared" si="0"/>
        <v>0</v>
      </c>
      <c r="H31" s="352">
        <f t="shared" si="1"/>
        <v>2125</v>
      </c>
      <c r="I31" s="351">
        <f t="shared" si="2"/>
        <v>7968.75</v>
      </c>
    </row>
    <row r="32" spans="1:9" ht="45">
      <c r="A32" s="551" t="s">
        <v>1883</v>
      </c>
      <c r="B32" s="506" t="s">
        <v>1884</v>
      </c>
      <c r="C32" s="368" t="s">
        <v>1846</v>
      </c>
      <c r="D32" s="384">
        <v>25</v>
      </c>
      <c r="E32" s="507"/>
      <c r="F32" s="366">
        <v>85</v>
      </c>
      <c r="G32" s="351">
        <f t="shared" si="0"/>
        <v>0</v>
      </c>
      <c r="H32" s="352">
        <f t="shared" si="1"/>
        <v>2125</v>
      </c>
      <c r="I32" s="351">
        <f t="shared" si="2"/>
        <v>7968.75</v>
      </c>
    </row>
    <row r="33" spans="1:9" ht="45">
      <c r="A33" s="551" t="s">
        <v>1885</v>
      </c>
      <c r="B33" s="506" t="s">
        <v>1886</v>
      </c>
      <c r="C33" s="368" t="s">
        <v>1846</v>
      </c>
      <c r="D33" s="384">
        <v>50</v>
      </c>
      <c r="E33" s="507"/>
      <c r="F33" s="366">
        <v>85</v>
      </c>
      <c r="G33" s="351">
        <f t="shared" si="0"/>
        <v>0</v>
      </c>
      <c r="H33" s="352">
        <f t="shared" si="1"/>
        <v>4250</v>
      </c>
      <c r="I33" s="351">
        <f t="shared" si="2"/>
        <v>15937.5</v>
      </c>
    </row>
    <row r="34" spans="1:9" ht="45">
      <c r="A34" s="551" t="s">
        <v>1887</v>
      </c>
      <c r="B34" s="506" t="s">
        <v>1888</v>
      </c>
      <c r="C34" s="368" t="s">
        <v>1846</v>
      </c>
      <c r="D34" s="384">
        <v>1</v>
      </c>
      <c r="E34" s="507"/>
      <c r="F34" s="366">
        <v>3277.78</v>
      </c>
      <c r="G34" s="351">
        <f t="shared" si="0"/>
        <v>0</v>
      </c>
      <c r="H34" s="352">
        <f t="shared" si="1"/>
        <v>3277.78</v>
      </c>
      <c r="I34" s="351">
        <f t="shared" si="2"/>
        <v>12291.675000000001</v>
      </c>
    </row>
    <row r="35" spans="1:9" ht="45">
      <c r="A35" s="551" t="s">
        <v>1889</v>
      </c>
      <c r="B35" s="506" t="s">
        <v>1890</v>
      </c>
      <c r="C35" s="368" t="s">
        <v>1846</v>
      </c>
      <c r="D35" s="384">
        <v>1</v>
      </c>
      <c r="E35" s="507"/>
      <c r="F35" s="366">
        <v>3277.78</v>
      </c>
      <c r="G35" s="351">
        <f t="shared" si="0"/>
        <v>0</v>
      </c>
      <c r="H35" s="352">
        <f t="shared" si="1"/>
        <v>3277.78</v>
      </c>
      <c r="I35" s="351">
        <f t="shared" si="2"/>
        <v>12291.675000000001</v>
      </c>
    </row>
    <row r="36" spans="1:9" ht="45">
      <c r="A36" s="551" t="s">
        <v>1891</v>
      </c>
      <c r="B36" s="506" t="s">
        <v>1892</v>
      </c>
      <c r="C36" s="368" t="s">
        <v>1846</v>
      </c>
      <c r="D36" s="384">
        <v>1</v>
      </c>
      <c r="E36" s="507"/>
      <c r="F36" s="366">
        <v>2944.44</v>
      </c>
      <c r="G36" s="351">
        <f t="shared" si="0"/>
        <v>0</v>
      </c>
      <c r="H36" s="352">
        <f t="shared" si="1"/>
        <v>2944.44</v>
      </c>
      <c r="I36" s="351">
        <f t="shared" si="2"/>
        <v>11041.65</v>
      </c>
    </row>
    <row r="37" spans="1:9" ht="45">
      <c r="A37" s="551" t="s">
        <v>1893</v>
      </c>
      <c r="B37" s="506" t="s">
        <v>1894</v>
      </c>
      <c r="C37" s="368" t="s">
        <v>1846</v>
      </c>
      <c r="D37" s="384">
        <v>1</v>
      </c>
      <c r="E37" s="507"/>
      <c r="F37" s="366">
        <v>2944.44</v>
      </c>
      <c r="G37" s="351">
        <f t="shared" si="0"/>
        <v>0</v>
      </c>
      <c r="H37" s="352">
        <f t="shared" si="1"/>
        <v>2944.44</v>
      </c>
      <c r="I37" s="351">
        <f t="shared" si="2"/>
        <v>11041.65</v>
      </c>
    </row>
    <row r="38" spans="1:9" ht="45">
      <c r="A38" s="551" t="s">
        <v>1895</v>
      </c>
      <c r="B38" s="506" t="s">
        <v>1896</v>
      </c>
      <c r="C38" s="368" t="s">
        <v>1846</v>
      </c>
      <c r="D38" s="384">
        <v>2</v>
      </c>
      <c r="E38" s="507"/>
      <c r="F38" s="366">
        <v>1666.67</v>
      </c>
      <c r="G38" s="351">
        <f t="shared" si="0"/>
        <v>0</v>
      </c>
      <c r="H38" s="352">
        <f t="shared" si="1"/>
        <v>3333.34</v>
      </c>
      <c r="I38" s="351">
        <f t="shared" si="2"/>
        <v>12500.025000000001</v>
      </c>
    </row>
    <row r="39" spans="1:9" ht="45">
      <c r="A39" s="551" t="s">
        <v>1897</v>
      </c>
      <c r="B39" s="506" t="s">
        <v>1898</v>
      </c>
      <c r="C39" s="368" t="s">
        <v>1846</v>
      </c>
      <c r="D39" s="384">
        <v>4</v>
      </c>
      <c r="E39" s="507"/>
      <c r="F39" s="366">
        <v>222.22</v>
      </c>
      <c r="G39" s="351">
        <f t="shared" si="0"/>
        <v>0</v>
      </c>
      <c r="H39" s="352">
        <f t="shared" si="1"/>
        <v>888.88</v>
      </c>
      <c r="I39" s="351">
        <f t="shared" si="2"/>
        <v>3333.3</v>
      </c>
    </row>
    <row r="40" spans="1:9">
      <c r="A40" s="551">
        <v>2.2000000000000002</v>
      </c>
      <c r="B40" s="506" t="s">
        <v>1863</v>
      </c>
      <c r="C40" s="368"/>
      <c r="D40" s="384"/>
      <c r="E40" s="507"/>
      <c r="F40" s="366"/>
      <c r="G40" s="351"/>
      <c r="H40" s="352"/>
      <c r="I40" s="351"/>
    </row>
    <row r="41" spans="1:9" ht="22.5">
      <c r="A41" s="551" t="s">
        <v>1899</v>
      </c>
      <c r="B41" s="506" t="s">
        <v>1900</v>
      </c>
      <c r="C41" s="368" t="s">
        <v>1866</v>
      </c>
      <c r="D41" s="384">
        <v>350</v>
      </c>
      <c r="E41" s="507"/>
      <c r="F41" s="366">
        <v>3</v>
      </c>
      <c r="G41" s="351">
        <f t="shared" si="0"/>
        <v>0</v>
      </c>
      <c r="H41" s="352">
        <f t="shared" si="1"/>
        <v>1050</v>
      </c>
      <c r="I41" s="351">
        <f t="shared" si="2"/>
        <v>3937.5</v>
      </c>
    </row>
    <row r="42" spans="1:9" ht="33.75">
      <c r="A42" s="551" t="s">
        <v>1901</v>
      </c>
      <c r="B42" s="506" t="s">
        <v>1868</v>
      </c>
      <c r="C42" s="368" t="s">
        <v>1869</v>
      </c>
      <c r="D42" s="384">
        <v>13434</v>
      </c>
      <c r="E42" s="507"/>
      <c r="F42" s="366">
        <v>0.16</v>
      </c>
      <c r="G42" s="351">
        <f t="shared" si="0"/>
        <v>0</v>
      </c>
      <c r="H42" s="352">
        <f t="shared" si="1"/>
        <v>2149.44</v>
      </c>
      <c r="I42" s="351">
        <f t="shared" si="2"/>
        <v>8060.4000000000005</v>
      </c>
    </row>
    <row r="43" spans="1:9" ht="45">
      <c r="A43" s="551" t="s">
        <v>1902</v>
      </c>
      <c r="B43" s="506" t="s">
        <v>1903</v>
      </c>
      <c r="C43" s="368" t="s">
        <v>1846</v>
      </c>
      <c r="D43" s="384">
        <v>2</v>
      </c>
      <c r="E43" s="507"/>
      <c r="F43" s="366">
        <v>250</v>
      </c>
      <c r="G43" s="351">
        <f t="shared" si="0"/>
        <v>0</v>
      </c>
      <c r="H43" s="352">
        <f t="shared" si="1"/>
        <v>500</v>
      </c>
      <c r="I43" s="351">
        <f t="shared" si="2"/>
        <v>1875</v>
      </c>
    </row>
    <row r="44" spans="1:9" ht="22.5">
      <c r="A44" s="551" t="s">
        <v>1904</v>
      </c>
      <c r="B44" s="506" t="s">
        <v>1905</v>
      </c>
      <c r="C44" s="368" t="s">
        <v>1877</v>
      </c>
      <c r="D44" s="384">
        <v>1</v>
      </c>
      <c r="E44" s="507"/>
      <c r="F44" s="366">
        <v>916.67</v>
      </c>
      <c r="G44" s="351">
        <f t="shared" si="0"/>
        <v>0</v>
      </c>
      <c r="H44" s="352">
        <f t="shared" si="1"/>
        <v>916.67</v>
      </c>
      <c r="I44" s="351">
        <f t="shared" si="2"/>
        <v>3437.5124999999998</v>
      </c>
    </row>
    <row r="45" spans="1:9">
      <c r="A45" s="551">
        <v>2.2999999999999998</v>
      </c>
      <c r="B45" s="506" t="s">
        <v>1874</v>
      </c>
      <c r="C45" s="368"/>
      <c r="D45" s="384"/>
      <c r="E45" s="507"/>
      <c r="F45" s="366"/>
      <c r="G45" s="351"/>
      <c r="H45" s="352"/>
      <c r="I45" s="351"/>
    </row>
    <row r="46" spans="1:9" ht="67.5">
      <c r="A46" s="551" t="s">
        <v>1906</v>
      </c>
      <c r="B46" s="506" t="s">
        <v>1876</v>
      </c>
      <c r="C46" s="368" t="s">
        <v>1877</v>
      </c>
      <c r="D46" s="384">
        <v>1</v>
      </c>
      <c r="E46" s="507"/>
      <c r="F46" s="366">
        <v>6583.33</v>
      </c>
      <c r="G46" s="351">
        <f t="shared" si="0"/>
        <v>0</v>
      </c>
      <c r="H46" s="352">
        <f t="shared" si="1"/>
        <v>6583.33</v>
      </c>
      <c r="I46" s="351">
        <f t="shared" si="2"/>
        <v>24687.487499999999</v>
      </c>
    </row>
    <row r="47" spans="1:9">
      <c r="A47" s="504">
        <v>3</v>
      </c>
      <c r="B47" s="505" t="s">
        <v>1907</v>
      </c>
      <c r="C47" s="368"/>
      <c r="D47" s="255"/>
      <c r="E47" s="255"/>
      <c r="F47" s="255"/>
      <c r="G47" s="255"/>
      <c r="H47" s="255"/>
      <c r="I47" s="255"/>
    </row>
    <row r="48" spans="1:9">
      <c r="A48" s="551">
        <v>3.1</v>
      </c>
      <c r="B48" s="506" t="s">
        <v>1908</v>
      </c>
      <c r="C48" s="368"/>
      <c r="D48" s="384"/>
      <c r="E48" s="507"/>
      <c r="F48" s="366"/>
      <c r="G48" s="351"/>
      <c r="H48" s="352"/>
      <c r="I48" s="351"/>
    </row>
    <row r="49" spans="1:9" ht="45">
      <c r="A49" s="551" t="s">
        <v>1909</v>
      </c>
      <c r="B49" s="506" t="s">
        <v>1910</v>
      </c>
      <c r="C49" s="368" t="s">
        <v>1846</v>
      </c>
      <c r="D49" s="384">
        <v>379</v>
      </c>
      <c r="E49" s="507"/>
      <c r="F49" s="366">
        <v>17.78</v>
      </c>
      <c r="G49" s="351">
        <f t="shared" si="0"/>
        <v>0</v>
      </c>
      <c r="H49" s="352">
        <f t="shared" si="1"/>
        <v>6738.6200000000008</v>
      </c>
      <c r="I49" s="351">
        <f t="shared" si="2"/>
        <v>25269.825000000004</v>
      </c>
    </row>
    <row r="50" spans="1:9" ht="45">
      <c r="A50" s="551" t="s">
        <v>1911</v>
      </c>
      <c r="B50" s="506" t="s">
        <v>1912</v>
      </c>
      <c r="C50" s="368" t="s">
        <v>1846</v>
      </c>
      <c r="D50" s="384">
        <v>47</v>
      </c>
      <c r="E50" s="507"/>
      <c r="F50" s="366">
        <v>17.78</v>
      </c>
      <c r="G50" s="351">
        <f t="shared" si="0"/>
        <v>0</v>
      </c>
      <c r="H50" s="352">
        <f t="shared" si="1"/>
        <v>835.66000000000008</v>
      </c>
      <c r="I50" s="351">
        <f t="shared" si="2"/>
        <v>3133.7250000000004</v>
      </c>
    </row>
    <row r="51" spans="1:9" ht="45">
      <c r="A51" s="551" t="s">
        <v>1913</v>
      </c>
      <c r="B51" s="506" t="s">
        <v>1914</v>
      </c>
      <c r="C51" s="368" t="s">
        <v>1846</v>
      </c>
      <c r="D51" s="384">
        <v>240</v>
      </c>
      <c r="E51" s="507"/>
      <c r="F51" s="366">
        <v>17.78</v>
      </c>
      <c r="G51" s="351">
        <f t="shared" si="0"/>
        <v>0</v>
      </c>
      <c r="H51" s="352">
        <f t="shared" si="1"/>
        <v>4267.2000000000007</v>
      </c>
      <c r="I51" s="351">
        <f t="shared" si="2"/>
        <v>16002.000000000004</v>
      </c>
    </row>
    <row r="52" spans="1:9" ht="45">
      <c r="A52" s="551" t="s">
        <v>1915</v>
      </c>
      <c r="B52" s="506" t="s">
        <v>1916</v>
      </c>
      <c r="C52" s="368" t="s">
        <v>1846</v>
      </c>
      <c r="D52" s="384">
        <v>4</v>
      </c>
      <c r="E52" s="507"/>
      <c r="F52" s="366">
        <v>125</v>
      </c>
      <c r="G52" s="351">
        <f t="shared" si="0"/>
        <v>0</v>
      </c>
      <c r="H52" s="352">
        <f t="shared" si="1"/>
        <v>500</v>
      </c>
      <c r="I52" s="351">
        <f t="shared" si="2"/>
        <v>1875</v>
      </c>
    </row>
    <row r="53" spans="1:9" ht="45">
      <c r="A53" s="551" t="s">
        <v>1917</v>
      </c>
      <c r="B53" s="506" t="s">
        <v>1918</v>
      </c>
      <c r="C53" s="368" t="s">
        <v>1846</v>
      </c>
      <c r="D53" s="384">
        <v>1</v>
      </c>
      <c r="E53" s="507"/>
      <c r="F53" s="366">
        <v>172.22</v>
      </c>
      <c r="G53" s="351">
        <f t="shared" si="0"/>
        <v>0</v>
      </c>
      <c r="H53" s="352">
        <f t="shared" si="1"/>
        <v>172.22</v>
      </c>
      <c r="I53" s="351">
        <f t="shared" si="2"/>
        <v>645.82500000000005</v>
      </c>
    </row>
    <row r="54" spans="1:9" ht="45">
      <c r="A54" s="551" t="s">
        <v>1919</v>
      </c>
      <c r="B54" s="506" t="s">
        <v>1920</v>
      </c>
      <c r="C54" s="368" t="s">
        <v>1846</v>
      </c>
      <c r="D54" s="384">
        <v>1</v>
      </c>
      <c r="E54" s="507"/>
      <c r="F54" s="366">
        <v>794.44</v>
      </c>
      <c r="G54" s="351">
        <f t="shared" si="0"/>
        <v>0</v>
      </c>
      <c r="H54" s="352">
        <f t="shared" si="1"/>
        <v>794.44</v>
      </c>
      <c r="I54" s="351">
        <f t="shared" si="2"/>
        <v>2979.15</v>
      </c>
    </row>
    <row r="55" spans="1:9" ht="45">
      <c r="A55" s="551" t="s">
        <v>1921</v>
      </c>
      <c r="B55" s="506" t="s">
        <v>1922</v>
      </c>
      <c r="C55" s="368" t="s">
        <v>1846</v>
      </c>
      <c r="D55" s="384">
        <v>1</v>
      </c>
      <c r="E55" s="507"/>
      <c r="F55" s="366">
        <v>611.11</v>
      </c>
      <c r="G55" s="351">
        <f t="shared" si="0"/>
        <v>0</v>
      </c>
      <c r="H55" s="352">
        <f t="shared" si="1"/>
        <v>611.11</v>
      </c>
      <c r="I55" s="351">
        <f t="shared" si="2"/>
        <v>2291.6624999999999</v>
      </c>
    </row>
    <row r="56" spans="1:9" ht="45">
      <c r="A56" s="551" t="s">
        <v>1923</v>
      </c>
      <c r="B56" s="506" t="s">
        <v>1924</v>
      </c>
      <c r="C56" s="368" t="s">
        <v>1846</v>
      </c>
      <c r="D56" s="384">
        <v>1</v>
      </c>
      <c r="E56" s="507"/>
      <c r="F56" s="366">
        <v>794.44</v>
      </c>
      <c r="G56" s="351">
        <f t="shared" si="0"/>
        <v>0</v>
      </c>
      <c r="H56" s="352">
        <f t="shared" si="1"/>
        <v>794.44</v>
      </c>
      <c r="I56" s="351">
        <f t="shared" si="2"/>
        <v>2979.15</v>
      </c>
    </row>
    <row r="57" spans="1:9" ht="45">
      <c r="A57" s="551" t="s">
        <v>1925</v>
      </c>
      <c r="B57" s="506" t="s">
        <v>1926</v>
      </c>
      <c r="C57" s="368" t="s">
        <v>1846</v>
      </c>
      <c r="D57" s="384">
        <v>1</v>
      </c>
      <c r="E57" s="507"/>
      <c r="F57" s="366">
        <v>794.44</v>
      </c>
      <c r="G57" s="351">
        <f t="shared" si="0"/>
        <v>0</v>
      </c>
      <c r="H57" s="352">
        <f t="shared" si="1"/>
        <v>794.44</v>
      </c>
      <c r="I57" s="351">
        <f t="shared" si="2"/>
        <v>2979.15</v>
      </c>
    </row>
    <row r="58" spans="1:9" ht="45">
      <c r="A58" s="551" t="s">
        <v>1927</v>
      </c>
      <c r="B58" s="506" t="s">
        <v>1928</v>
      </c>
      <c r="C58" s="368" t="s">
        <v>1846</v>
      </c>
      <c r="D58" s="384">
        <v>3</v>
      </c>
      <c r="E58" s="507"/>
      <c r="F58" s="366">
        <v>611.11</v>
      </c>
      <c r="G58" s="351">
        <f t="shared" si="0"/>
        <v>0</v>
      </c>
      <c r="H58" s="352">
        <f t="shared" si="1"/>
        <v>1833.33</v>
      </c>
      <c r="I58" s="351">
        <f t="shared" si="2"/>
        <v>6874.9874999999993</v>
      </c>
    </row>
    <row r="59" spans="1:9" ht="45">
      <c r="A59" s="551" t="s">
        <v>1929</v>
      </c>
      <c r="B59" s="506" t="s">
        <v>1930</v>
      </c>
      <c r="C59" s="368" t="s">
        <v>1846</v>
      </c>
      <c r="D59" s="384">
        <v>1</v>
      </c>
      <c r="E59" s="507"/>
      <c r="F59" s="366">
        <v>611.11</v>
      </c>
      <c r="G59" s="351">
        <f t="shared" si="0"/>
        <v>0</v>
      </c>
      <c r="H59" s="352">
        <f t="shared" si="1"/>
        <v>611.11</v>
      </c>
      <c r="I59" s="351">
        <f t="shared" si="2"/>
        <v>2291.6624999999999</v>
      </c>
    </row>
    <row r="60" spans="1:9" ht="45">
      <c r="A60" s="551" t="s">
        <v>1931</v>
      </c>
      <c r="B60" s="506" t="s">
        <v>1932</v>
      </c>
      <c r="C60" s="368" t="s">
        <v>1846</v>
      </c>
      <c r="D60" s="384">
        <v>1</v>
      </c>
      <c r="E60" s="507"/>
      <c r="F60" s="366">
        <v>611.11</v>
      </c>
      <c r="G60" s="351">
        <f t="shared" si="0"/>
        <v>0</v>
      </c>
      <c r="H60" s="352">
        <f t="shared" si="1"/>
        <v>611.11</v>
      </c>
      <c r="I60" s="351">
        <f t="shared" si="2"/>
        <v>2291.6624999999999</v>
      </c>
    </row>
    <row r="61" spans="1:9" ht="45">
      <c r="A61" s="551" t="s">
        <v>1933</v>
      </c>
      <c r="B61" s="506" t="s">
        <v>1934</v>
      </c>
      <c r="C61" s="368" t="s">
        <v>1846</v>
      </c>
      <c r="D61" s="384">
        <v>2</v>
      </c>
      <c r="E61" s="507"/>
      <c r="F61" s="366">
        <v>794.44</v>
      </c>
      <c r="G61" s="351">
        <f t="shared" si="0"/>
        <v>0</v>
      </c>
      <c r="H61" s="352">
        <f t="shared" si="1"/>
        <v>1588.88</v>
      </c>
      <c r="I61" s="351">
        <f t="shared" si="2"/>
        <v>5958.3</v>
      </c>
    </row>
    <row r="62" spans="1:9" ht="45">
      <c r="A62" s="551" t="s">
        <v>1935</v>
      </c>
      <c r="B62" s="506" t="s">
        <v>1936</v>
      </c>
      <c r="C62" s="368" t="s">
        <v>1846</v>
      </c>
      <c r="D62" s="384">
        <v>1</v>
      </c>
      <c r="E62" s="507"/>
      <c r="F62" s="366">
        <v>794.44</v>
      </c>
      <c r="G62" s="351">
        <f t="shared" si="0"/>
        <v>0</v>
      </c>
      <c r="H62" s="352">
        <f t="shared" si="1"/>
        <v>794.44</v>
      </c>
      <c r="I62" s="351">
        <f t="shared" si="2"/>
        <v>2979.15</v>
      </c>
    </row>
    <row r="63" spans="1:9" ht="45">
      <c r="A63" s="551" t="s">
        <v>1937</v>
      </c>
      <c r="B63" s="506" t="s">
        <v>1938</v>
      </c>
      <c r="C63" s="368" t="s">
        <v>1846</v>
      </c>
      <c r="D63" s="384">
        <v>1</v>
      </c>
      <c r="E63" s="507"/>
      <c r="F63" s="366">
        <v>722.22</v>
      </c>
      <c r="G63" s="351">
        <f t="shared" si="0"/>
        <v>0</v>
      </c>
      <c r="H63" s="352">
        <f t="shared" si="1"/>
        <v>722.22</v>
      </c>
      <c r="I63" s="351">
        <f t="shared" si="2"/>
        <v>2708.3250000000003</v>
      </c>
    </row>
    <row r="64" spans="1:9" ht="45">
      <c r="A64" s="551" t="s">
        <v>1939</v>
      </c>
      <c r="B64" s="506" t="s">
        <v>1940</v>
      </c>
      <c r="C64" s="368" t="s">
        <v>1846</v>
      </c>
      <c r="D64" s="384">
        <v>2</v>
      </c>
      <c r="E64" s="507"/>
      <c r="F64" s="366">
        <v>794.44</v>
      </c>
      <c r="G64" s="351">
        <f t="shared" si="0"/>
        <v>0</v>
      </c>
      <c r="H64" s="352">
        <f t="shared" si="1"/>
        <v>1588.88</v>
      </c>
      <c r="I64" s="351">
        <f t="shared" si="2"/>
        <v>5958.3</v>
      </c>
    </row>
    <row r="65" spans="1:9">
      <c r="A65" s="551">
        <v>3.2</v>
      </c>
      <c r="B65" s="506" t="s">
        <v>1863</v>
      </c>
      <c r="C65" s="368"/>
      <c r="D65" s="384"/>
      <c r="E65" s="507"/>
      <c r="F65" s="366"/>
      <c r="G65" s="351"/>
      <c r="H65" s="352"/>
      <c r="I65" s="351"/>
    </row>
    <row r="66" spans="1:9" ht="22.5">
      <c r="A66" s="551" t="s">
        <v>1941</v>
      </c>
      <c r="B66" s="506" t="s">
        <v>1900</v>
      </c>
      <c r="C66" s="368" t="s">
        <v>1866</v>
      </c>
      <c r="D66" s="384">
        <v>765</v>
      </c>
      <c r="E66" s="507"/>
      <c r="F66" s="366">
        <v>3</v>
      </c>
      <c r="G66" s="351">
        <f t="shared" si="0"/>
        <v>0</v>
      </c>
      <c r="H66" s="352">
        <f t="shared" si="1"/>
        <v>2295</v>
      </c>
      <c r="I66" s="351">
        <f t="shared" si="2"/>
        <v>8606.25</v>
      </c>
    </row>
    <row r="67" spans="1:9" ht="33.75">
      <c r="A67" s="551" t="s">
        <v>1942</v>
      </c>
      <c r="B67" s="506" t="s">
        <v>1868</v>
      </c>
      <c r="C67" s="368" t="s">
        <v>1869</v>
      </c>
      <c r="D67" s="384">
        <v>325</v>
      </c>
      <c r="E67" s="507"/>
      <c r="F67" s="366">
        <v>0.16</v>
      </c>
      <c r="G67" s="351">
        <f t="shared" si="0"/>
        <v>0</v>
      </c>
      <c r="H67" s="352">
        <f t="shared" si="1"/>
        <v>52</v>
      </c>
      <c r="I67" s="351">
        <f t="shared" si="2"/>
        <v>195</v>
      </c>
    </row>
    <row r="68" spans="1:9" ht="22.5">
      <c r="A68" s="551" t="s">
        <v>1943</v>
      </c>
      <c r="B68" s="506" t="s">
        <v>1944</v>
      </c>
      <c r="C68" s="368" t="s">
        <v>1846</v>
      </c>
      <c r="D68" s="384">
        <v>27</v>
      </c>
      <c r="E68" s="507"/>
      <c r="F68" s="366">
        <v>127.78</v>
      </c>
      <c r="G68" s="351">
        <f t="shared" si="0"/>
        <v>0</v>
      </c>
      <c r="H68" s="352">
        <f t="shared" si="1"/>
        <v>3450.06</v>
      </c>
      <c r="I68" s="351">
        <f t="shared" si="2"/>
        <v>12937.725</v>
      </c>
    </row>
    <row r="69" spans="1:9" ht="22.5">
      <c r="A69" s="551" t="s">
        <v>1945</v>
      </c>
      <c r="B69" s="506" t="s">
        <v>1946</v>
      </c>
      <c r="C69" s="368" t="s">
        <v>1846</v>
      </c>
      <c r="D69" s="384">
        <v>666</v>
      </c>
      <c r="E69" s="507"/>
      <c r="F69" s="366">
        <v>38.89</v>
      </c>
      <c r="G69" s="351">
        <f t="shared" si="0"/>
        <v>0</v>
      </c>
      <c r="H69" s="352">
        <f t="shared" si="1"/>
        <v>25900.74</v>
      </c>
      <c r="I69" s="351">
        <f t="shared" si="2"/>
        <v>97127.775000000009</v>
      </c>
    </row>
    <row r="70" spans="1:9">
      <c r="A70" s="551">
        <v>3.3</v>
      </c>
      <c r="B70" s="506" t="s">
        <v>1874</v>
      </c>
      <c r="C70" s="368"/>
      <c r="D70" s="384"/>
      <c r="E70" s="507"/>
      <c r="F70" s="366"/>
      <c r="G70" s="351">
        <f t="shared" si="0"/>
        <v>0</v>
      </c>
      <c r="H70" s="352">
        <f t="shared" si="1"/>
        <v>0</v>
      </c>
      <c r="I70" s="351">
        <f t="shared" si="2"/>
        <v>0</v>
      </c>
    </row>
    <row r="71" spans="1:9" ht="56.25">
      <c r="A71" s="551" t="s">
        <v>1947</v>
      </c>
      <c r="B71" s="506" t="s">
        <v>1948</v>
      </c>
      <c r="C71" s="368" t="s">
        <v>1877</v>
      </c>
      <c r="D71" s="384">
        <v>1</v>
      </c>
      <c r="E71" s="507"/>
      <c r="F71" s="366">
        <v>13694.44</v>
      </c>
      <c r="G71" s="351">
        <f t="shared" si="0"/>
        <v>0</v>
      </c>
      <c r="H71" s="352">
        <f t="shared" si="1"/>
        <v>13694.44</v>
      </c>
      <c r="I71" s="351">
        <f t="shared" si="2"/>
        <v>51354.15</v>
      </c>
    </row>
    <row r="72" spans="1:9">
      <c r="A72" s="504">
        <v>4</v>
      </c>
      <c r="B72" s="505" t="s">
        <v>1949</v>
      </c>
      <c r="C72" s="368"/>
      <c r="D72" s="255"/>
      <c r="E72" s="255"/>
      <c r="F72" s="255"/>
      <c r="G72" s="255"/>
      <c r="H72" s="255"/>
      <c r="I72" s="255"/>
    </row>
    <row r="73" spans="1:9">
      <c r="A73" s="551">
        <v>4.0999999999999996</v>
      </c>
      <c r="B73" s="506" t="s">
        <v>1950</v>
      </c>
      <c r="C73" s="368"/>
      <c r="D73" s="384"/>
      <c r="E73" s="507"/>
      <c r="F73" s="366"/>
      <c r="G73" s="351"/>
      <c r="H73" s="352"/>
      <c r="I73" s="351"/>
    </row>
    <row r="74" spans="1:9" ht="56.25">
      <c r="A74" s="551" t="s">
        <v>1951</v>
      </c>
      <c r="B74" s="506" t="s">
        <v>1952</v>
      </c>
      <c r="C74" s="368" t="s">
        <v>1846</v>
      </c>
      <c r="D74" s="384">
        <v>1</v>
      </c>
      <c r="E74" s="507"/>
      <c r="F74" s="366">
        <v>627.78</v>
      </c>
      <c r="G74" s="351">
        <f t="shared" si="0"/>
        <v>0</v>
      </c>
      <c r="H74" s="352">
        <f t="shared" si="1"/>
        <v>627.78</v>
      </c>
      <c r="I74" s="351">
        <f t="shared" si="2"/>
        <v>2354.1749999999997</v>
      </c>
    </row>
    <row r="75" spans="1:9" ht="45">
      <c r="A75" s="551" t="s">
        <v>1953</v>
      </c>
      <c r="B75" s="506" t="s">
        <v>1954</v>
      </c>
      <c r="C75" s="368" t="s">
        <v>1846</v>
      </c>
      <c r="D75" s="384">
        <v>1</v>
      </c>
      <c r="E75" s="507"/>
      <c r="F75" s="366">
        <v>166.67</v>
      </c>
      <c r="G75" s="351">
        <f t="shared" si="0"/>
        <v>0</v>
      </c>
      <c r="H75" s="352">
        <f t="shared" si="1"/>
        <v>166.67</v>
      </c>
      <c r="I75" s="351">
        <f t="shared" si="2"/>
        <v>625.01249999999993</v>
      </c>
    </row>
    <row r="76" spans="1:9">
      <c r="A76" s="551">
        <v>4.2</v>
      </c>
      <c r="B76" s="506" t="s">
        <v>1863</v>
      </c>
      <c r="C76" s="368"/>
      <c r="D76" s="384"/>
      <c r="E76" s="507"/>
      <c r="F76" s="366"/>
      <c r="G76" s="351">
        <f t="shared" ref="G76:G134" si="3">+E76*D76</f>
        <v>0</v>
      </c>
      <c r="H76" s="352">
        <f t="shared" ref="H76:H134" si="4">+F76*D76</f>
        <v>0</v>
      </c>
      <c r="I76" s="351">
        <f t="shared" ref="I76:I134" si="5">+G76+(H76*$I$3)</f>
        <v>0</v>
      </c>
    </row>
    <row r="77" spans="1:9" ht="22.5">
      <c r="A77" s="551" t="s">
        <v>1955</v>
      </c>
      <c r="B77" s="506" t="s">
        <v>1900</v>
      </c>
      <c r="C77" s="368" t="s">
        <v>1866</v>
      </c>
      <c r="D77" s="384">
        <v>215</v>
      </c>
      <c r="E77" s="507"/>
      <c r="F77" s="366">
        <v>3</v>
      </c>
      <c r="G77" s="351">
        <f t="shared" si="3"/>
        <v>0</v>
      </c>
      <c r="H77" s="352">
        <f t="shared" si="4"/>
        <v>645</v>
      </c>
      <c r="I77" s="351">
        <f t="shared" si="5"/>
        <v>2418.75</v>
      </c>
    </row>
    <row r="78" spans="1:9" ht="33.75">
      <c r="A78" s="551" t="s">
        <v>1956</v>
      </c>
      <c r="B78" s="506" t="s">
        <v>1868</v>
      </c>
      <c r="C78" s="368" t="s">
        <v>1869</v>
      </c>
      <c r="D78" s="384">
        <v>1286</v>
      </c>
      <c r="E78" s="507"/>
      <c r="F78" s="366">
        <v>0.16</v>
      </c>
      <c r="G78" s="351">
        <f t="shared" si="3"/>
        <v>0</v>
      </c>
      <c r="H78" s="352">
        <f t="shared" si="4"/>
        <v>205.76</v>
      </c>
      <c r="I78" s="351">
        <f t="shared" si="5"/>
        <v>771.59999999999991</v>
      </c>
    </row>
    <row r="79" spans="1:9" ht="22.5">
      <c r="A79" s="551" t="s">
        <v>1957</v>
      </c>
      <c r="B79" s="506" t="s">
        <v>1958</v>
      </c>
      <c r="C79" s="368" t="s">
        <v>1846</v>
      </c>
      <c r="D79" s="384">
        <v>1</v>
      </c>
      <c r="E79" s="507"/>
      <c r="F79" s="366">
        <v>622.22</v>
      </c>
      <c r="G79" s="351">
        <f t="shared" si="3"/>
        <v>0</v>
      </c>
      <c r="H79" s="352">
        <f t="shared" si="4"/>
        <v>622.22</v>
      </c>
      <c r="I79" s="351">
        <f t="shared" si="5"/>
        <v>2333.3250000000003</v>
      </c>
    </row>
    <row r="80" spans="1:9">
      <c r="A80" s="551">
        <v>4.3</v>
      </c>
      <c r="B80" s="506" t="s">
        <v>1874</v>
      </c>
      <c r="C80" s="368"/>
      <c r="D80" s="384"/>
      <c r="E80" s="507"/>
      <c r="F80" s="366"/>
      <c r="G80" s="351"/>
      <c r="H80" s="352"/>
      <c r="I80" s="351"/>
    </row>
    <row r="81" spans="1:9" ht="67.5">
      <c r="A81" s="551" t="s">
        <v>1959</v>
      </c>
      <c r="B81" s="506" t="s">
        <v>1876</v>
      </c>
      <c r="C81" s="368" t="s">
        <v>1877</v>
      </c>
      <c r="D81" s="384">
        <v>1</v>
      </c>
      <c r="E81" s="507"/>
      <c r="F81" s="366">
        <v>777.78</v>
      </c>
      <c r="G81" s="351">
        <f t="shared" si="3"/>
        <v>0</v>
      </c>
      <c r="H81" s="352">
        <f t="shared" si="4"/>
        <v>777.78</v>
      </c>
      <c r="I81" s="351">
        <f t="shared" si="5"/>
        <v>2916.6749999999997</v>
      </c>
    </row>
    <row r="82" spans="1:9">
      <c r="A82" s="504">
        <v>5</v>
      </c>
      <c r="B82" s="505" t="s">
        <v>1960</v>
      </c>
      <c r="C82" s="368"/>
      <c r="D82" s="255"/>
      <c r="E82" s="255"/>
      <c r="F82" s="255"/>
      <c r="G82" s="255"/>
      <c r="H82" s="255"/>
      <c r="I82" s="255"/>
    </row>
    <row r="83" spans="1:9">
      <c r="A83" s="551">
        <v>5.0999999999999996</v>
      </c>
      <c r="B83" s="506" t="s">
        <v>1961</v>
      </c>
      <c r="C83" s="368"/>
      <c r="D83" s="384"/>
      <c r="E83" s="507"/>
      <c r="F83" s="366"/>
      <c r="G83" s="351"/>
      <c r="H83" s="352"/>
      <c r="I83" s="351"/>
    </row>
    <row r="84" spans="1:9" ht="56.25">
      <c r="A84" s="551" t="s">
        <v>1962</v>
      </c>
      <c r="B84" s="506" t="s">
        <v>1963</v>
      </c>
      <c r="C84" s="368" t="s">
        <v>1846</v>
      </c>
      <c r="D84" s="384">
        <v>1</v>
      </c>
      <c r="E84" s="507"/>
      <c r="F84" s="366">
        <v>805.56</v>
      </c>
      <c r="G84" s="351">
        <f t="shared" si="3"/>
        <v>0</v>
      </c>
      <c r="H84" s="352">
        <f t="shared" si="4"/>
        <v>805.56</v>
      </c>
      <c r="I84" s="351">
        <f t="shared" si="5"/>
        <v>3020.85</v>
      </c>
    </row>
    <row r="85" spans="1:9" ht="56.25">
      <c r="A85" s="551" t="s">
        <v>1964</v>
      </c>
      <c r="B85" s="506" t="s">
        <v>1965</v>
      </c>
      <c r="C85" s="368" t="s">
        <v>1846</v>
      </c>
      <c r="D85" s="384">
        <v>1</v>
      </c>
      <c r="E85" s="507"/>
      <c r="F85" s="366">
        <v>805.56</v>
      </c>
      <c r="G85" s="351">
        <f t="shared" si="3"/>
        <v>0</v>
      </c>
      <c r="H85" s="352">
        <f t="shared" si="4"/>
        <v>805.56</v>
      </c>
      <c r="I85" s="351">
        <f t="shared" si="5"/>
        <v>3020.85</v>
      </c>
    </row>
    <row r="86" spans="1:9">
      <c r="A86" s="551">
        <v>5.2</v>
      </c>
      <c r="B86" s="506" t="s">
        <v>1863</v>
      </c>
      <c r="C86" s="368"/>
      <c r="D86" s="384"/>
      <c r="E86" s="507"/>
      <c r="F86" s="366"/>
      <c r="G86" s="351"/>
      <c r="H86" s="352"/>
      <c r="I86" s="351"/>
    </row>
    <row r="87" spans="1:9" ht="22.5">
      <c r="A87" s="551" t="s">
        <v>1966</v>
      </c>
      <c r="B87" s="506" t="s">
        <v>1900</v>
      </c>
      <c r="C87" s="368" t="s">
        <v>1866</v>
      </c>
      <c r="D87" s="384">
        <v>295</v>
      </c>
      <c r="E87" s="507"/>
      <c r="F87" s="366">
        <v>3</v>
      </c>
      <c r="G87" s="351">
        <f t="shared" si="3"/>
        <v>0</v>
      </c>
      <c r="H87" s="352">
        <f t="shared" si="4"/>
        <v>885</v>
      </c>
      <c r="I87" s="351">
        <f t="shared" si="5"/>
        <v>3318.75</v>
      </c>
    </row>
    <row r="88" spans="1:9" ht="33.75">
      <c r="A88" s="551" t="s">
        <v>1967</v>
      </c>
      <c r="B88" s="506" t="s">
        <v>1968</v>
      </c>
      <c r="C88" s="368" t="s">
        <v>1869</v>
      </c>
      <c r="D88" s="384">
        <v>2432</v>
      </c>
      <c r="E88" s="507"/>
      <c r="F88" s="366">
        <v>0.16</v>
      </c>
      <c r="G88" s="351">
        <f t="shared" si="3"/>
        <v>0</v>
      </c>
      <c r="H88" s="352">
        <f t="shared" si="4"/>
        <v>389.12</v>
      </c>
      <c r="I88" s="351">
        <f t="shared" si="5"/>
        <v>1459.2</v>
      </c>
    </row>
    <row r="89" spans="1:9" ht="22.5">
      <c r="A89" s="551" t="s">
        <v>1969</v>
      </c>
      <c r="B89" s="506" t="s">
        <v>1946</v>
      </c>
      <c r="C89" s="368" t="s">
        <v>1846</v>
      </c>
      <c r="D89" s="384">
        <v>1</v>
      </c>
      <c r="E89" s="507"/>
      <c r="F89" s="366">
        <v>866.67</v>
      </c>
      <c r="G89" s="351">
        <f t="shared" si="3"/>
        <v>0</v>
      </c>
      <c r="H89" s="352">
        <f t="shared" si="4"/>
        <v>866.67</v>
      </c>
      <c r="I89" s="351">
        <f t="shared" si="5"/>
        <v>3250.0124999999998</v>
      </c>
    </row>
    <row r="90" spans="1:9" ht="22.5">
      <c r="A90" s="551" t="s">
        <v>1970</v>
      </c>
      <c r="B90" s="506" t="s">
        <v>1905</v>
      </c>
      <c r="C90" s="368" t="s">
        <v>1846</v>
      </c>
      <c r="D90" s="384">
        <v>1</v>
      </c>
      <c r="E90" s="507"/>
      <c r="F90" s="366">
        <v>83.33</v>
      </c>
      <c r="G90" s="351">
        <f t="shared" si="3"/>
        <v>0</v>
      </c>
      <c r="H90" s="352">
        <f t="shared" si="4"/>
        <v>83.33</v>
      </c>
      <c r="I90" s="351">
        <f t="shared" si="5"/>
        <v>312.48750000000001</v>
      </c>
    </row>
    <row r="91" spans="1:9">
      <c r="A91" s="551">
        <v>5.3</v>
      </c>
      <c r="B91" s="506" t="s">
        <v>1874</v>
      </c>
      <c r="C91" s="368"/>
      <c r="D91" s="384"/>
      <c r="E91" s="507"/>
      <c r="F91" s="366"/>
      <c r="G91" s="351">
        <f t="shared" si="3"/>
        <v>0</v>
      </c>
      <c r="H91" s="352">
        <f t="shared" si="4"/>
        <v>0</v>
      </c>
      <c r="I91" s="351">
        <f t="shared" si="5"/>
        <v>0</v>
      </c>
    </row>
    <row r="92" spans="1:9" ht="67.5">
      <c r="A92" s="551" t="s">
        <v>1971</v>
      </c>
      <c r="B92" s="506" t="s">
        <v>1876</v>
      </c>
      <c r="C92" s="368" t="s">
        <v>1877</v>
      </c>
      <c r="D92" s="384">
        <v>1</v>
      </c>
      <c r="E92" s="507"/>
      <c r="F92" s="366">
        <v>777.78</v>
      </c>
      <c r="G92" s="351">
        <f t="shared" si="3"/>
        <v>0</v>
      </c>
      <c r="H92" s="352">
        <f t="shared" si="4"/>
        <v>777.78</v>
      </c>
      <c r="I92" s="351">
        <f t="shared" si="5"/>
        <v>2916.6749999999997</v>
      </c>
    </row>
    <row r="93" spans="1:9">
      <c r="A93" s="504">
        <v>6</v>
      </c>
      <c r="B93" s="505" t="s">
        <v>1972</v>
      </c>
      <c r="C93" s="368"/>
      <c r="D93" s="255"/>
      <c r="E93" s="255"/>
      <c r="F93" s="255"/>
      <c r="G93" s="255"/>
      <c r="H93" s="255"/>
      <c r="I93" s="255"/>
    </row>
    <row r="94" spans="1:9">
      <c r="A94" s="551">
        <v>6.1</v>
      </c>
      <c r="B94" s="506" t="s">
        <v>1863</v>
      </c>
      <c r="C94" s="368"/>
      <c r="D94" s="384"/>
      <c r="E94" s="507"/>
      <c r="F94" s="366"/>
      <c r="G94" s="351"/>
      <c r="H94" s="352"/>
      <c r="I94" s="351"/>
    </row>
    <row r="95" spans="1:9" ht="33.75">
      <c r="A95" s="551" t="s">
        <v>1973</v>
      </c>
      <c r="B95" s="506" t="s">
        <v>1974</v>
      </c>
      <c r="C95" s="368" t="s">
        <v>1866</v>
      </c>
      <c r="D95" s="384">
        <v>160</v>
      </c>
      <c r="E95" s="507"/>
      <c r="F95" s="366">
        <v>3</v>
      </c>
      <c r="G95" s="351">
        <f t="shared" si="3"/>
        <v>0</v>
      </c>
      <c r="H95" s="352">
        <f t="shared" si="4"/>
        <v>480</v>
      </c>
      <c r="I95" s="351">
        <f t="shared" si="5"/>
        <v>1800</v>
      </c>
    </row>
    <row r="96" spans="1:9" ht="33.75">
      <c r="A96" s="551" t="s">
        <v>1975</v>
      </c>
      <c r="B96" s="506" t="s">
        <v>1976</v>
      </c>
      <c r="C96" s="368" t="s">
        <v>1869</v>
      </c>
      <c r="D96" s="384">
        <v>6238</v>
      </c>
      <c r="E96" s="507"/>
      <c r="F96" s="366">
        <v>0.16</v>
      </c>
      <c r="G96" s="351">
        <f t="shared" si="3"/>
        <v>0</v>
      </c>
      <c r="H96" s="352">
        <f t="shared" si="4"/>
        <v>998.08</v>
      </c>
      <c r="I96" s="351">
        <f t="shared" si="5"/>
        <v>3742.8</v>
      </c>
    </row>
    <row r="97" spans="1:9">
      <c r="A97" s="504">
        <v>7</v>
      </c>
      <c r="B97" s="505" t="s">
        <v>1977</v>
      </c>
      <c r="C97" s="368"/>
      <c r="D97" s="255"/>
      <c r="E97" s="255"/>
      <c r="F97" s="255"/>
      <c r="G97" s="255"/>
      <c r="H97" s="255"/>
      <c r="I97" s="255"/>
    </row>
    <row r="98" spans="1:9">
      <c r="A98" s="551">
        <v>7.1</v>
      </c>
      <c r="B98" s="506" t="s">
        <v>1978</v>
      </c>
      <c r="C98" s="368"/>
      <c r="D98" s="384"/>
      <c r="E98" s="507"/>
      <c r="F98" s="366"/>
      <c r="G98" s="351"/>
      <c r="H98" s="352"/>
      <c r="I98" s="351"/>
    </row>
    <row r="99" spans="1:9" ht="45">
      <c r="A99" s="551" t="s">
        <v>1979</v>
      </c>
      <c r="B99" s="506" t="s">
        <v>1980</v>
      </c>
      <c r="C99" s="368" t="s">
        <v>1846</v>
      </c>
      <c r="D99" s="384">
        <v>1</v>
      </c>
      <c r="E99" s="507"/>
      <c r="F99" s="366">
        <v>1277.78</v>
      </c>
      <c r="G99" s="351">
        <f t="shared" si="3"/>
        <v>0</v>
      </c>
      <c r="H99" s="352">
        <f t="shared" si="4"/>
        <v>1277.78</v>
      </c>
      <c r="I99" s="351">
        <f t="shared" si="5"/>
        <v>4791.6750000000002</v>
      </c>
    </row>
    <row r="100" spans="1:9" ht="45">
      <c r="A100" s="551" t="s">
        <v>1981</v>
      </c>
      <c r="B100" s="506" t="s">
        <v>1982</v>
      </c>
      <c r="C100" s="368" t="s">
        <v>1846</v>
      </c>
      <c r="D100" s="384">
        <v>1</v>
      </c>
      <c r="E100" s="507"/>
      <c r="F100" s="366">
        <v>1277.78</v>
      </c>
      <c r="G100" s="351">
        <f t="shared" si="3"/>
        <v>0</v>
      </c>
      <c r="H100" s="352">
        <f t="shared" si="4"/>
        <v>1277.78</v>
      </c>
      <c r="I100" s="351">
        <f t="shared" si="5"/>
        <v>4791.6750000000002</v>
      </c>
    </row>
    <row r="101" spans="1:9">
      <c r="A101" s="551">
        <v>7.2</v>
      </c>
      <c r="B101" s="506" t="s">
        <v>1863</v>
      </c>
      <c r="C101" s="368"/>
      <c r="D101" s="384"/>
      <c r="E101" s="507"/>
      <c r="F101" s="366"/>
      <c r="G101" s="351"/>
      <c r="H101" s="352"/>
      <c r="I101" s="351"/>
    </row>
    <row r="102" spans="1:9" ht="33.75">
      <c r="A102" s="551" t="s">
        <v>1983</v>
      </c>
      <c r="B102" s="506" t="s">
        <v>1974</v>
      </c>
      <c r="C102" s="368" t="s">
        <v>1866</v>
      </c>
      <c r="D102" s="384">
        <v>85</v>
      </c>
      <c r="E102" s="507"/>
      <c r="F102" s="366">
        <v>3</v>
      </c>
      <c r="G102" s="351">
        <f t="shared" si="3"/>
        <v>0</v>
      </c>
      <c r="H102" s="352">
        <f t="shared" si="4"/>
        <v>255</v>
      </c>
      <c r="I102" s="351">
        <f t="shared" si="5"/>
        <v>956.25</v>
      </c>
    </row>
    <row r="103" spans="1:9" ht="33.75">
      <c r="A103" s="551" t="s">
        <v>1984</v>
      </c>
      <c r="B103" s="506" t="s">
        <v>1976</v>
      </c>
      <c r="C103" s="368" t="s">
        <v>1869</v>
      </c>
      <c r="D103" s="384">
        <v>4888</v>
      </c>
      <c r="E103" s="507"/>
      <c r="F103" s="366">
        <v>0.16</v>
      </c>
      <c r="G103" s="351">
        <f t="shared" si="3"/>
        <v>0</v>
      </c>
      <c r="H103" s="352">
        <f t="shared" si="4"/>
        <v>782.08</v>
      </c>
      <c r="I103" s="351">
        <f t="shared" si="5"/>
        <v>2932.8</v>
      </c>
    </row>
    <row r="104" spans="1:9" ht="22.5">
      <c r="A104" s="551" t="s">
        <v>1985</v>
      </c>
      <c r="B104" s="506" t="s">
        <v>1905</v>
      </c>
      <c r="C104" s="368" t="s">
        <v>1846</v>
      </c>
      <c r="D104" s="384">
        <v>1</v>
      </c>
      <c r="E104" s="507"/>
      <c r="F104" s="366">
        <v>138.88999999999999</v>
      </c>
      <c r="G104" s="351">
        <f t="shared" si="3"/>
        <v>0</v>
      </c>
      <c r="H104" s="352">
        <f t="shared" si="4"/>
        <v>138.88999999999999</v>
      </c>
      <c r="I104" s="351">
        <f t="shared" si="5"/>
        <v>520.83749999999998</v>
      </c>
    </row>
    <row r="105" spans="1:9">
      <c r="A105" s="551">
        <v>7.3</v>
      </c>
      <c r="B105" s="506" t="s">
        <v>1874</v>
      </c>
      <c r="C105" s="368"/>
      <c r="D105" s="384"/>
      <c r="E105" s="507"/>
      <c r="F105" s="366"/>
      <c r="G105" s="351"/>
      <c r="H105" s="352"/>
      <c r="I105" s="351"/>
    </row>
    <row r="106" spans="1:9" ht="67.5">
      <c r="A106" s="551" t="s">
        <v>1986</v>
      </c>
      <c r="B106" s="506" t="s">
        <v>1876</v>
      </c>
      <c r="C106" s="368" t="s">
        <v>1877</v>
      </c>
      <c r="D106" s="384">
        <v>1</v>
      </c>
      <c r="E106" s="507"/>
      <c r="F106" s="366">
        <v>777.78</v>
      </c>
      <c r="G106" s="351">
        <f t="shared" si="3"/>
        <v>0</v>
      </c>
      <c r="H106" s="352">
        <f t="shared" si="4"/>
        <v>777.78</v>
      </c>
      <c r="I106" s="351">
        <f t="shared" si="5"/>
        <v>2916.6749999999997</v>
      </c>
    </row>
    <row r="107" spans="1:9">
      <c r="A107" s="504">
        <v>8</v>
      </c>
      <c r="B107" s="505" t="s">
        <v>1987</v>
      </c>
      <c r="C107" s="368"/>
      <c r="D107" s="255"/>
      <c r="E107" s="255"/>
      <c r="F107" s="255"/>
      <c r="G107" s="255"/>
      <c r="H107" s="255"/>
      <c r="I107" s="255"/>
    </row>
    <row r="108" spans="1:9">
      <c r="A108" s="551">
        <v>8.1</v>
      </c>
      <c r="B108" s="506" t="s">
        <v>1863</v>
      </c>
      <c r="C108" s="368"/>
      <c r="D108" s="384"/>
      <c r="E108" s="507"/>
      <c r="F108" s="366"/>
      <c r="G108" s="351"/>
      <c r="H108" s="352"/>
      <c r="I108" s="351"/>
    </row>
    <row r="109" spans="1:9" ht="22.5">
      <c r="A109" s="551" t="s">
        <v>1988</v>
      </c>
      <c r="B109" s="506" t="s">
        <v>1989</v>
      </c>
      <c r="C109" s="368" t="s">
        <v>1866</v>
      </c>
      <c r="D109" s="384">
        <v>2150</v>
      </c>
      <c r="E109" s="507"/>
      <c r="F109" s="366">
        <v>7.22</v>
      </c>
      <c r="G109" s="351">
        <f t="shared" si="3"/>
        <v>0</v>
      </c>
      <c r="H109" s="352">
        <f t="shared" si="4"/>
        <v>15523</v>
      </c>
      <c r="I109" s="351">
        <f t="shared" si="5"/>
        <v>58211.25</v>
      </c>
    </row>
    <row r="110" spans="1:9">
      <c r="A110" s="504">
        <v>9</v>
      </c>
      <c r="B110" s="505" t="s">
        <v>1990</v>
      </c>
      <c r="C110" s="368"/>
      <c r="D110" s="255"/>
      <c r="E110" s="255"/>
      <c r="F110" s="255"/>
      <c r="G110" s="255"/>
      <c r="H110" s="255"/>
      <c r="I110" s="255"/>
    </row>
    <row r="111" spans="1:9">
      <c r="A111" s="551">
        <v>9.1</v>
      </c>
      <c r="B111" s="506" t="s">
        <v>1991</v>
      </c>
      <c r="C111" s="368"/>
      <c r="D111" s="384"/>
      <c r="E111" s="507"/>
      <c r="F111" s="366"/>
      <c r="G111" s="351"/>
      <c r="H111" s="352"/>
      <c r="I111" s="351"/>
    </row>
    <row r="112" spans="1:9" ht="45">
      <c r="A112" s="551" t="s">
        <v>1992</v>
      </c>
      <c r="B112" s="506" t="s">
        <v>1993</v>
      </c>
      <c r="C112" s="368" t="s">
        <v>1846</v>
      </c>
      <c r="D112" s="384">
        <v>1</v>
      </c>
      <c r="E112" s="507"/>
      <c r="F112" s="366">
        <v>166.67</v>
      </c>
      <c r="G112" s="351">
        <f t="shared" si="3"/>
        <v>0</v>
      </c>
      <c r="H112" s="352">
        <f t="shared" si="4"/>
        <v>166.67</v>
      </c>
      <c r="I112" s="351">
        <f t="shared" si="5"/>
        <v>625.01249999999993</v>
      </c>
    </row>
    <row r="113" spans="1:9">
      <c r="A113" s="551">
        <v>9.1999999999999993</v>
      </c>
      <c r="B113" s="506" t="s">
        <v>1863</v>
      </c>
      <c r="C113" s="368"/>
      <c r="D113" s="384"/>
      <c r="E113" s="507"/>
      <c r="F113" s="366"/>
      <c r="G113" s="351"/>
      <c r="H113" s="352"/>
      <c r="I113" s="351"/>
    </row>
    <row r="114" spans="1:9" ht="22.5">
      <c r="A114" s="551" t="s">
        <v>1994</v>
      </c>
      <c r="B114" s="506" t="s">
        <v>1900</v>
      </c>
      <c r="C114" s="368" t="s">
        <v>1866</v>
      </c>
      <c r="D114" s="384">
        <v>205</v>
      </c>
      <c r="E114" s="507"/>
      <c r="F114" s="366">
        <v>3</v>
      </c>
      <c r="G114" s="351">
        <f t="shared" si="3"/>
        <v>0</v>
      </c>
      <c r="H114" s="352">
        <f t="shared" si="4"/>
        <v>615</v>
      </c>
      <c r="I114" s="351">
        <f t="shared" si="5"/>
        <v>2306.25</v>
      </c>
    </row>
    <row r="115" spans="1:9" ht="33.75">
      <c r="A115" s="551" t="s">
        <v>1995</v>
      </c>
      <c r="B115" s="506" t="s">
        <v>1868</v>
      </c>
      <c r="C115" s="368" t="s">
        <v>1869</v>
      </c>
      <c r="D115" s="384">
        <v>690</v>
      </c>
      <c r="E115" s="507"/>
      <c r="F115" s="366">
        <v>0.16</v>
      </c>
      <c r="G115" s="351">
        <f t="shared" si="3"/>
        <v>0</v>
      </c>
      <c r="H115" s="352">
        <f t="shared" si="4"/>
        <v>110.4</v>
      </c>
      <c r="I115" s="351">
        <f t="shared" si="5"/>
        <v>414</v>
      </c>
    </row>
    <row r="116" spans="1:9">
      <c r="A116" s="551" t="s">
        <v>1996</v>
      </c>
      <c r="B116" s="506" t="s">
        <v>1997</v>
      </c>
      <c r="C116" s="368" t="s">
        <v>1846</v>
      </c>
      <c r="D116" s="384">
        <v>2</v>
      </c>
      <c r="E116" s="507"/>
      <c r="F116" s="366">
        <v>38.89</v>
      </c>
      <c r="G116" s="351">
        <f t="shared" si="3"/>
        <v>0</v>
      </c>
      <c r="H116" s="352">
        <f t="shared" si="4"/>
        <v>77.78</v>
      </c>
      <c r="I116" s="351">
        <f t="shared" si="5"/>
        <v>291.67500000000001</v>
      </c>
    </row>
    <row r="117" spans="1:9" ht="22.5">
      <c r="A117" s="551" t="s">
        <v>1998</v>
      </c>
      <c r="B117" s="506" t="s">
        <v>1946</v>
      </c>
      <c r="C117" s="368" t="s">
        <v>1846</v>
      </c>
      <c r="D117" s="384">
        <v>1</v>
      </c>
      <c r="E117" s="507"/>
      <c r="F117" s="366">
        <v>194.44</v>
      </c>
      <c r="G117" s="351">
        <f t="shared" si="3"/>
        <v>0</v>
      </c>
      <c r="H117" s="352">
        <f t="shared" si="4"/>
        <v>194.44</v>
      </c>
      <c r="I117" s="351">
        <f t="shared" si="5"/>
        <v>729.15</v>
      </c>
    </row>
    <row r="118" spans="1:9">
      <c r="A118" s="551">
        <v>9.3000000000000007</v>
      </c>
      <c r="B118" s="506" t="s">
        <v>1874</v>
      </c>
      <c r="C118" s="368"/>
      <c r="D118" s="384"/>
      <c r="E118" s="507"/>
      <c r="F118" s="366"/>
      <c r="G118" s="351"/>
      <c r="H118" s="352"/>
      <c r="I118" s="351"/>
    </row>
    <row r="119" spans="1:9" ht="56.25">
      <c r="A119" s="551" t="s">
        <v>1999</v>
      </c>
      <c r="B119" s="506" t="s">
        <v>1948</v>
      </c>
      <c r="C119" s="368" t="s">
        <v>1877</v>
      </c>
      <c r="D119" s="384">
        <v>1</v>
      </c>
      <c r="E119" s="507"/>
      <c r="F119" s="366">
        <v>561.11</v>
      </c>
      <c r="G119" s="351">
        <f t="shared" si="3"/>
        <v>0</v>
      </c>
      <c r="H119" s="352">
        <f t="shared" si="4"/>
        <v>561.11</v>
      </c>
      <c r="I119" s="351">
        <f t="shared" si="5"/>
        <v>2104.1624999999999</v>
      </c>
    </row>
    <row r="120" spans="1:9">
      <c r="A120" s="504">
        <v>10</v>
      </c>
      <c r="B120" s="505" t="s">
        <v>2000</v>
      </c>
      <c r="C120" s="368"/>
      <c r="D120" s="255"/>
      <c r="E120" s="255"/>
      <c r="F120" s="255"/>
      <c r="G120" s="255"/>
      <c r="H120" s="255"/>
      <c r="I120" s="255"/>
    </row>
    <row r="121" spans="1:9">
      <c r="A121" s="551">
        <v>10.1</v>
      </c>
      <c r="B121" s="506" t="s">
        <v>2001</v>
      </c>
      <c r="C121" s="368"/>
      <c r="D121" s="384"/>
      <c r="E121" s="507"/>
      <c r="F121" s="366"/>
      <c r="G121" s="351"/>
      <c r="H121" s="352"/>
      <c r="I121" s="351"/>
    </row>
    <row r="122" spans="1:9" ht="45">
      <c r="A122" s="551" t="s">
        <v>2002</v>
      </c>
      <c r="B122" s="506" t="s">
        <v>2003</v>
      </c>
      <c r="C122" s="368" t="s">
        <v>1846</v>
      </c>
      <c r="D122" s="384">
        <v>1</v>
      </c>
      <c r="E122" s="507"/>
      <c r="F122" s="366">
        <v>583.33000000000004</v>
      </c>
      <c r="G122" s="351">
        <f t="shared" si="3"/>
        <v>0</v>
      </c>
      <c r="H122" s="352">
        <f t="shared" si="4"/>
        <v>583.33000000000004</v>
      </c>
      <c r="I122" s="351">
        <f t="shared" si="5"/>
        <v>2187.4875000000002</v>
      </c>
    </row>
    <row r="123" spans="1:9" ht="45">
      <c r="A123" s="551" t="s">
        <v>2004</v>
      </c>
      <c r="B123" s="506" t="s">
        <v>2005</v>
      </c>
      <c r="C123" s="368" t="s">
        <v>1846</v>
      </c>
      <c r="D123" s="384">
        <v>1</v>
      </c>
      <c r="E123" s="507"/>
      <c r="F123" s="366">
        <v>583.33000000000004</v>
      </c>
      <c r="G123" s="351">
        <f t="shared" si="3"/>
        <v>0</v>
      </c>
      <c r="H123" s="352">
        <f t="shared" si="4"/>
        <v>583.33000000000004</v>
      </c>
      <c r="I123" s="351">
        <f t="shared" si="5"/>
        <v>2187.4875000000002</v>
      </c>
    </row>
    <row r="124" spans="1:9" ht="45">
      <c r="A124" s="551" t="s">
        <v>2006</v>
      </c>
      <c r="B124" s="506" t="s">
        <v>2007</v>
      </c>
      <c r="C124" s="368" t="s">
        <v>1846</v>
      </c>
      <c r="D124" s="384">
        <v>1</v>
      </c>
      <c r="E124" s="507"/>
      <c r="F124" s="366">
        <v>138.88999999999999</v>
      </c>
      <c r="G124" s="351">
        <f t="shared" si="3"/>
        <v>0</v>
      </c>
      <c r="H124" s="352">
        <f t="shared" si="4"/>
        <v>138.88999999999999</v>
      </c>
      <c r="I124" s="351">
        <f t="shared" si="5"/>
        <v>520.83749999999998</v>
      </c>
    </row>
    <row r="125" spans="1:9" ht="45">
      <c r="A125" s="551" t="s">
        <v>2008</v>
      </c>
      <c r="B125" s="506" t="s">
        <v>2009</v>
      </c>
      <c r="C125" s="368" t="s">
        <v>1846</v>
      </c>
      <c r="D125" s="384">
        <v>1</v>
      </c>
      <c r="E125" s="507"/>
      <c r="F125" s="366">
        <v>138.88999999999999</v>
      </c>
      <c r="G125" s="351">
        <f t="shared" si="3"/>
        <v>0</v>
      </c>
      <c r="H125" s="352">
        <f t="shared" si="4"/>
        <v>138.88999999999999</v>
      </c>
      <c r="I125" s="351">
        <f t="shared" si="5"/>
        <v>520.83749999999998</v>
      </c>
    </row>
    <row r="126" spans="1:9" ht="45">
      <c r="A126" s="551" t="s">
        <v>2010</v>
      </c>
      <c r="B126" s="506" t="s">
        <v>2011</v>
      </c>
      <c r="C126" s="368" t="s">
        <v>1846</v>
      </c>
      <c r="D126" s="384">
        <v>1</v>
      </c>
      <c r="E126" s="507"/>
      <c r="F126" s="366">
        <v>583.33000000000004</v>
      </c>
      <c r="G126" s="351">
        <f t="shared" si="3"/>
        <v>0</v>
      </c>
      <c r="H126" s="352">
        <f t="shared" si="4"/>
        <v>583.33000000000004</v>
      </c>
      <c r="I126" s="351">
        <f t="shared" si="5"/>
        <v>2187.4875000000002</v>
      </c>
    </row>
    <row r="127" spans="1:9">
      <c r="A127" s="551">
        <v>10.199999999999999</v>
      </c>
      <c r="B127" s="506" t="s">
        <v>1863</v>
      </c>
      <c r="C127" s="368"/>
      <c r="D127" s="384"/>
      <c r="E127" s="507"/>
      <c r="F127" s="366"/>
      <c r="G127" s="351"/>
      <c r="H127" s="352"/>
      <c r="I127" s="351"/>
    </row>
    <row r="128" spans="1:9" ht="22.5">
      <c r="A128" s="551" t="s">
        <v>2012</v>
      </c>
      <c r="B128" s="506" t="s">
        <v>1900</v>
      </c>
      <c r="C128" s="368" t="s">
        <v>1866</v>
      </c>
      <c r="D128" s="384">
        <v>375</v>
      </c>
      <c r="E128" s="507"/>
      <c r="F128" s="366">
        <v>3</v>
      </c>
      <c r="G128" s="351">
        <f t="shared" si="3"/>
        <v>0</v>
      </c>
      <c r="H128" s="352">
        <f t="shared" si="4"/>
        <v>1125</v>
      </c>
      <c r="I128" s="351">
        <f t="shared" si="5"/>
        <v>4218.75</v>
      </c>
    </row>
    <row r="129" spans="1:9" ht="33.75">
      <c r="A129" s="551" t="s">
        <v>2013</v>
      </c>
      <c r="B129" s="506" t="s">
        <v>1868</v>
      </c>
      <c r="C129" s="368" t="s">
        <v>1869</v>
      </c>
      <c r="D129" s="384">
        <v>2525</v>
      </c>
      <c r="E129" s="507"/>
      <c r="F129" s="366">
        <v>0.16</v>
      </c>
      <c r="G129" s="351">
        <f t="shared" si="3"/>
        <v>0</v>
      </c>
      <c r="H129" s="352">
        <f t="shared" si="4"/>
        <v>404</v>
      </c>
      <c r="I129" s="351">
        <f t="shared" si="5"/>
        <v>1515</v>
      </c>
    </row>
    <row r="130" spans="1:9">
      <c r="A130" s="551">
        <v>10.3</v>
      </c>
      <c r="B130" s="506" t="s">
        <v>1874</v>
      </c>
      <c r="C130" s="368"/>
      <c r="D130" s="384"/>
      <c r="E130" s="507"/>
      <c r="F130" s="366"/>
      <c r="G130" s="351"/>
      <c r="H130" s="352"/>
      <c r="I130" s="351"/>
    </row>
    <row r="131" spans="1:9" ht="56.25">
      <c r="A131" s="551" t="s">
        <v>2014</v>
      </c>
      <c r="B131" s="506" t="s">
        <v>1948</v>
      </c>
      <c r="C131" s="368" t="s">
        <v>1877</v>
      </c>
      <c r="D131" s="384">
        <v>1</v>
      </c>
      <c r="E131" s="507"/>
      <c r="F131" s="366">
        <v>1344.44</v>
      </c>
      <c r="G131" s="351">
        <f t="shared" si="3"/>
        <v>0</v>
      </c>
      <c r="H131" s="352">
        <f t="shared" si="4"/>
        <v>1344.44</v>
      </c>
      <c r="I131" s="351">
        <f t="shared" si="5"/>
        <v>5041.6500000000005</v>
      </c>
    </row>
    <row r="132" spans="1:9">
      <c r="A132" s="504">
        <v>11</v>
      </c>
      <c r="B132" s="505" t="s">
        <v>2015</v>
      </c>
      <c r="C132" s="368"/>
      <c r="D132" s="255"/>
      <c r="E132" s="255"/>
      <c r="F132" s="255"/>
      <c r="G132" s="255"/>
      <c r="H132" s="255"/>
      <c r="I132" s="255"/>
    </row>
    <row r="133" spans="1:9">
      <c r="A133" s="551">
        <v>11.1</v>
      </c>
      <c r="B133" s="506" t="s">
        <v>2016</v>
      </c>
      <c r="C133" s="368"/>
      <c r="D133" s="384"/>
      <c r="E133" s="507"/>
      <c r="F133" s="366"/>
      <c r="G133" s="351"/>
      <c r="H133" s="352"/>
      <c r="I133" s="351"/>
    </row>
    <row r="134" spans="1:9" ht="22.5">
      <c r="A134" s="551" t="s">
        <v>2017</v>
      </c>
      <c r="B134" s="506" t="s">
        <v>2018</v>
      </c>
      <c r="C134" s="368" t="s">
        <v>1877</v>
      </c>
      <c r="D134" s="384">
        <v>1</v>
      </c>
      <c r="E134" s="507"/>
      <c r="F134" s="366">
        <v>10555.56</v>
      </c>
      <c r="G134" s="351">
        <f t="shared" si="3"/>
        <v>0</v>
      </c>
      <c r="H134" s="352">
        <f t="shared" si="4"/>
        <v>10555.56</v>
      </c>
      <c r="I134" s="351">
        <f t="shared" si="5"/>
        <v>39583.35</v>
      </c>
    </row>
    <row r="135" spans="1:9">
      <c r="A135" s="551">
        <v>12</v>
      </c>
      <c r="B135" s="506" t="s">
        <v>187</v>
      </c>
      <c r="C135" s="368"/>
      <c r="D135" s="384"/>
      <c r="E135" s="507"/>
      <c r="F135" s="366"/>
      <c r="G135" s="351"/>
      <c r="H135" s="352"/>
      <c r="I135" s="351"/>
    </row>
    <row r="136" spans="1:9" ht="22.5">
      <c r="A136" s="551">
        <v>12.1</v>
      </c>
      <c r="B136" s="506" t="s">
        <v>2019</v>
      </c>
      <c r="C136" s="368" t="s">
        <v>1877</v>
      </c>
      <c r="D136" s="384">
        <v>1</v>
      </c>
      <c r="E136" s="507"/>
      <c r="F136" s="366">
        <v>4000</v>
      </c>
      <c r="G136" s="351">
        <f>+E136*D136</f>
        <v>0</v>
      </c>
      <c r="H136" s="352">
        <f>+F136*D136</f>
        <v>4000</v>
      </c>
      <c r="I136" s="351">
        <f>+G136+(H136*$I$3)</f>
        <v>15000</v>
      </c>
    </row>
    <row r="137" spans="1:9">
      <c r="A137" s="375">
        <v>1.02</v>
      </c>
      <c r="B137" s="382" t="s">
        <v>2020</v>
      </c>
      <c r="C137" s="381"/>
      <c r="D137" s="380"/>
      <c r="E137" s="380"/>
      <c r="F137" s="379"/>
      <c r="G137" s="380"/>
      <c r="H137" s="379"/>
      <c r="I137" s="379">
        <f>SUM(H138:H144)</f>
        <v>53010.84</v>
      </c>
    </row>
    <row r="138" spans="1:9" ht="135">
      <c r="A138" s="370" t="s">
        <v>1626</v>
      </c>
      <c r="B138" s="378" t="s">
        <v>2021</v>
      </c>
      <c r="C138" s="368" t="s">
        <v>1578</v>
      </c>
      <c r="D138" s="383">
        <v>1</v>
      </c>
      <c r="E138" s="377"/>
      <c r="F138" s="376">
        <v>33078</v>
      </c>
      <c r="G138" s="365">
        <f t="shared" ref="G138:G144" si="6">+E138*D138</f>
        <v>0</v>
      </c>
      <c r="H138" s="366">
        <f t="shared" ref="H138:H144" si="7">+F138*D138</f>
        <v>33078</v>
      </c>
      <c r="I138" s="365">
        <f t="shared" ref="I138:I144" si="8">+G138+(H138*$I$3)</f>
        <v>124042.5</v>
      </c>
    </row>
    <row r="139" spans="1:9" ht="22.5">
      <c r="A139" s="370" t="s">
        <v>1628</v>
      </c>
      <c r="B139" s="378" t="s">
        <v>2022</v>
      </c>
      <c r="C139" s="368" t="s">
        <v>29</v>
      </c>
      <c r="D139" s="383">
        <v>1</v>
      </c>
      <c r="E139" s="377"/>
      <c r="F139" s="376">
        <v>2000</v>
      </c>
      <c r="G139" s="365">
        <f t="shared" si="6"/>
        <v>0</v>
      </c>
      <c r="H139" s="366">
        <f t="shared" si="7"/>
        <v>2000</v>
      </c>
      <c r="I139" s="365">
        <f t="shared" si="8"/>
        <v>7500</v>
      </c>
    </row>
    <row r="140" spans="1:9" ht="33.75">
      <c r="A140" s="370" t="s">
        <v>1630</v>
      </c>
      <c r="B140" s="378" t="s">
        <v>2023</v>
      </c>
      <c r="C140" s="368" t="s">
        <v>29</v>
      </c>
      <c r="D140" s="383">
        <v>1</v>
      </c>
      <c r="E140" s="377"/>
      <c r="F140" s="376">
        <v>2082.85</v>
      </c>
      <c r="G140" s="365">
        <f t="shared" si="6"/>
        <v>0</v>
      </c>
      <c r="H140" s="366">
        <f t="shared" si="7"/>
        <v>2082.85</v>
      </c>
      <c r="I140" s="365">
        <f t="shared" si="8"/>
        <v>7810.6875</v>
      </c>
    </row>
    <row r="141" spans="1:9" ht="33.75">
      <c r="A141" s="370" t="s">
        <v>1632</v>
      </c>
      <c r="B141" s="378" t="s">
        <v>2024</v>
      </c>
      <c r="C141" s="368" t="s">
        <v>29</v>
      </c>
      <c r="D141" s="383">
        <v>1</v>
      </c>
      <c r="E141" s="377"/>
      <c r="F141" s="376">
        <v>14296.56</v>
      </c>
      <c r="G141" s="365">
        <f t="shared" si="6"/>
        <v>0</v>
      </c>
      <c r="H141" s="366">
        <f t="shared" si="7"/>
        <v>14296.56</v>
      </c>
      <c r="I141" s="365">
        <f t="shared" si="8"/>
        <v>53612.1</v>
      </c>
    </row>
    <row r="142" spans="1:9" ht="22.5">
      <c r="A142" s="370" t="s">
        <v>1634</v>
      </c>
      <c r="B142" s="378" t="s">
        <v>2025</v>
      </c>
      <c r="C142" s="368" t="s">
        <v>29</v>
      </c>
      <c r="D142" s="383">
        <v>1</v>
      </c>
      <c r="E142" s="377"/>
      <c r="F142" s="376">
        <v>80</v>
      </c>
      <c r="G142" s="365">
        <f t="shared" si="6"/>
        <v>0</v>
      </c>
      <c r="H142" s="366">
        <f t="shared" si="7"/>
        <v>80</v>
      </c>
      <c r="I142" s="365">
        <f t="shared" si="8"/>
        <v>300</v>
      </c>
    </row>
    <row r="143" spans="1:9" ht="22.5">
      <c r="A143" s="370" t="s">
        <v>1636</v>
      </c>
      <c r="B143" s="378" t="s">
        <v>2026</v>
      </c>
      <c r="C143" s="368" t="s">
        <v>29</v>
      </c>
      <c r="D143" s="383">
        <v>1</v>
      </c>
      <c r="E143" s="377"/>
      <c r="F143" s="376">
        <v>1023.43</v>
      </c>
      <c r="G143" s="365">
        <f t="shared" si="6"/>
        <v>0</v>
      </c>
      <c r="H143" s="366">
        <f t="shared" si="7"/>
        <v>1023.43</v>
      </c>
      <c r="I143" s="365">
        <f t="shared" si="8"/>
        <v>3837.8624999999997</v>
      </c>
    </row>
    <row r="144" spans="1:9" ht="22.5">
      <c r="A144" s="370" t="s">
        <v>1637</v>
      </c>
      <c r="B144" s="378" t="s">
        <v>2027</v>
      </c>
      <c r="C144" s="368" t="s">
        <v>29</v>
      </c>
      <c r="D144" s="383">
        <v>1</v>
      </c>
      <c r="E144" s="377"/>
      <c r="F144" s="376">
        <v>450</v>
      </c>
      <c r="G144" s="365">
        <f t="shared" si="6"/>
        <v>0</v>
      </c>
      <c r="H144" s="366">
        <f t="shared" si="7"/>
        <v>450</v>
      </c>
      <c r="I144" s="365">
        <f t="shared" si="8"/>
        <v>1687.5</v>
      </c>
    </row>
    <row r="145" spans="1:9">
      <c r="A145" s="375">
        <v>1.03</v>
      </c>
      <c r="B145" s="374" t="s">
        <v>1835</v>
      </c>
      <c r="C145" s="373"/>
      <c r="D145" s="372"/>
      <c r="E145" s="372"/>
      <c r="F145" s="371"/>
      <c r="G145" s="372"/>
      <c r="H145" s="371"/>
      <c r="I145" s="371">
        <f>SUM(H146:H149)</f>
        <v>272559.24</v>
      </c>
    </row>
    <row r="146" spans="1:9" ht="45">
      <c r="A146" s="370" t="s">
        <v>1708</v>
      </c>
      <c r="B146" s="369" t="s">
        <v>2028</v>
      </c>
      <c r="C146" s="368" t="s">
        <v>1578</v>
      </c>
      <c r="D146" s="508">
        <v>2</v>
      </c>
      <c r="E146" s="367"/>
      <c r="F146" s="350">
        <v>56391.32</v>
      </c>
      <c r="G146" s="365">
        <f t="shared" ref="G146:G149" si="9">+E146*D146</f>
        <v>0</v>
      </c>
      <c r="H146" s="366">
        <f t="shared" ref="H146:H149" si="10">+F146*D146</f>
        <v>112782.64</v>
      </c>
      <c r="I146" s="365">
        <f t="shared" ref="I146:I149" si="11">+G146+(H146*$I$3)</f>
        <v>422934.9</v>
      </c>
    </row>
    <row r="147" spans="1:9" ht="45">
      <c r="A147" s="370" t="s">
        <v>1710</v>
      </c>
      <c r="B147" s="369" t="s">
        <v>2029</v>
      </c>
      <c r="C147" s="368" t="s">
        <v>1578</v>
      </c>
      <c r="D147" s="508">
        <v>2</v>
      </c>
      <c r="E147" s="367"/>
      <c r="F147" s="350">
        <v>58586.2</v>
      </c>
      <c r="G147" s="365">
        <f t="shared" si="9"/>
        <v>0</v>
      </c>
      <c r="H147" s="366">
        <f t="shared" si="10"/>
        <v>117172.4</v>
      </c>
      <c r="I147" s="365">
        <f t="shared" si="11"/>
        <v>439396.5</v>
      </c>
    </row>
    <row r="148" spans="1:9" ht="45">
      <c r="A148" s="370" t="s">
        <v>1712</v>
      </c>
      <c r="B148" s="369" t="s">
        <v>2030</v>
      </c>
      <c r="C148" s="368" t="s">
        <v>1578</v>
      </c>
      <c r="D148" s="508">
        <v>1</v>
      </c>
      <c r="E148" s="367"/>
      <c r="F148" s="350">
        <v>29018.82</v>
      </c>
      <c r="G148" s="365">
        <f t="shared" si="9"/>
        <v>0</v>
      </c>
      <c r="H148" s="366">
        <f t="shared" si="10"/>
        <v>29018.82</v>
      </c>
      <c r="I148" s="365">
        <f t="shared" si="11"/>
        <v>108820.575</v>
      </c>
    </row>
    <row r="149" spans="1:9" ht="14.25">
      <c r="A149" s="370" t="s">
        <v>1714</v>
      </c>
      <c r="B149" s="369" t="s">
        <v>2031</v>
      </c>
      <c r="C149" s="368" t="s">
        <v>1593</v>
      </c>
      <c r="D149" s="508">
        <v>1</v>
      </c>
      <c r="E149" s="367"/>
      <c r="F149" s="350">
        <v>13585.38</v>
      </c>
      <c r="G149" s="365">
        <f t="shared" si="9"/>
        <v>0</v>
      </c>
      <c r="H149" s="366">
        <f t="shared" si="10"/>
        <v>13585.38</v>
      </c>
      <c r="I149" s="365">
        <f t="shared" si="11"/>
        <v>50945.174999999996</v>
      </c>
    </row>
  </sheetData>
  <mergeCells count="1">
    <mergeCell ref="A2:H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D24FD-34F9-42A5-8CC0-CA2C37889693}">
  <dimension ref="A1:K127"/>
  <sheetViews>
    <sheetView topLeftCell="A99" workbookViewId="0">
      <selection activeCell="D15" sqref="D15"/>
    </sheetView>
  </sheetViews>
  <sheetFormatPr defaultColWidth="11.42578125" defaultRowHeight="15"/>
  <cols>
    <col min="2" max="2" width="54.140625" bestFit="1" customWidth="1"/>
    <col min="4" max="4" width="9.28515625" bestFit="1" customWidth="1"/>
    <col min="9" max="9" width="13" bestFit="1" customWidth="1"/>
    <col min="11" max="11" width="12.42578125" bestFit="1" customWidth="1"/>
  </cols>
  <sheetData>
    <row r="1" spans="1:11">
      <c r="A1" s="25"/>
      <c r="B1" s="309"/>
      <c r="C1" s="3"/>
      <c r="D1" s="2"/>
      <c r="E1" s="310"/>
      <c r="F1" s="486"/>
      <c r="G1" s="310"/>
      <c r="H1" s="311"/>
      <c r="I1" s="312"/>
    </row>
    <row r="2" spans="1:11">
      <c r="A2" s="698" t="s">
        <v>2032</v>
      </c>
      <c r="B2" s="698"/>
      <c r="C2" s="698"/>
      <c r="D2" s="698"/>
      <c r="E2" s="698"/>
      <c r="F2" s="698"/>
      <c r="G2" s="698"/>
      <c r="H2" s="698"/>
      <c r="I2" s="312"/>
    </row>
    <row r="3" spans="1:11">
      <c r="A3" s="25"/>
      <c r="B3" s="309"/>
      <c r="C3" s="3"/>
      <c r="D3" s="2"/>
      <c r="E3" s="310"/>
      <c r="F3" s="486"/>
      <c r="G3" s="310"/>
      <c r="H3" s="313" t="s">
        <v>1564</v>
      </c>
      <c r="I3" s="314" t="e">
        <f>+tc</f>
        <v>#REF!</v>
      </c>
    </row>
    <row r="4" spans="1:11">
      <c r="A4" s="108" t="s">
        <v>0</v>
      </c>
      <c r="B4" s="315" t="s">
        <v>1565</v>
      </c>
      <c r="C4" s="3"/>
      <c r="D4" s="2"/>
      <c r="E4" s="310"/>
      <c r="F4" s="486"/>
      <c r="G4" s="310"/>
      <c r="H4" s="311"/>
      <c r="I4" s="312"/>
    </row>
    <row r="5" spans="1:11">
      <c r="A5" s="108" t="s">
        <v>13</v>
      </c>
      <c r="B5" s="315" t="s">
        <v>2032</v>
      </c>
      <c r="C5" s="3"/>
      <c r="D5" s="2"/>
      <c r="E5" s="310"/>
      <c r="F5" s="486"/>
      <c r="G5" s="310"/>
      <c r="H5" s="311"/>
      <c r="I5" s="312"/>
    </row>
    <row r="6" spans="1:11">
      <c r="A6" s="108" t="s">
        <v>1</v>
      </c>
      <c r="B6" s="315" t="s">
        <v>1567</v>
      </c>
      <c r="C6" s="3"/>
      <c r="D6" s="2"/>
      <c r="E6" s="310"/>
      <c r="F6" s="488" t="s">
        <v>1779</v>
      </c>
      <c r="G6" s="316">
        <v>45538</v>
      </c>
      <c r="H6" s="317"/>
      <c r="I6" s="312"/>
    </row>
    <row r="7" spans="1:11" ht="15.75" thickBot="1">
      <c r="A7" s="108" t="s">
        <v>2</v>
      </c>
      <c r="B7" s="315"/>
      <c r="C7" s="3"/>
      <c r="D7" s="2"/>
      <c r="E7" s="310"/>
      <c r="F7" s="486"/>
      <c r="G7" s="310"/>
      <c r="H7" s="311"/>
      <c r="I7" s="312"/>
    </row>
    <row r="8" spans="1:11" ht="23.25" thickTop="1">
      <c r="A8" s="319" t="s">
        <v>4</v>
      </c>
      <c r="B8" s="320" t="s">
        <v>15</v>
      </c>
      <c r="C8" s="321" t="s">
        <v>16</v>
      </c>
      <c r="D8" s="322" t="s">
        <v>17</v>
      </c>
      <c r="E8" s="323" t="s">
        <v>1568</v>
      </c>
      <c r="F8" s="489" t="s">
        <v>1569</v>
      </c>
      <c r="G8" s="323" t="s">
        <v>1570</v>
      </c>
      <c r="H8" s="324" t="s">
        <v>1571</v>
      </c>
      <c r="I8" s="325" t="s">
        <v>12</v>
      </c>
    </row>
    <row r="9" spans="1:11">
      <c r="A9" s="326" t="s">
        <v>24</v>
      </c>
      <c r="B9" s="327" t="s">
        <v>2032</v>
      </c>
      <c r="C9" s="328"/>
      <c r="D9" s="329"/>
      <c r="E9" s="329"/>
      <c r="F9" s="490"/>
      <c r="G9" s="329"/>
      <c r="H9" s="330"/>
      <c r="I9" s="329" t="e">
        <f>SUM(I10:I129)</f>
        <v>#REF!</v>
      </c>
      <c r="K9" s="318"/>
    </row>
    <row r="10" spans="1:11">
      <c r="A10" s="332" t="s">
        <v>1572</v>
      </c>
      <c r="B10" s="332" t="s">
        <v>2033</v>
      </c>
      <c r="C10" s="491"/>
      <c r="D10" s="491"/>
      <c r="E10" s="491"/>
      <c r="F10" s="333"/>
      <c r="G10" s="333"/>
      <c r="H10" s="333"/>
      <c r="I10" s="333"/>
    </row>
    <row r="11" spans="1:11">
      <c r="A11" s="492" t="s">
        <v>2034</v>
      </c>
      <c r="B11" s="492" t="s">
        <v>2035</v>
      </c>
      <c r="C11" s="491"/>
      <c r="D11" s="491"/>
      <c r="E11" s="491"/>
      <c r="F11" s="333"/>
      <c r="G11" s="333"/>
      <c r="H11" s="333"/>
      <c r="I11" s="333"/>
    </row>
    <row r="12" spans="1:11">
      <c r="A12" s="334" t="s">
        <v>2036</v>
      </c>
      <c r="B12" s="334" t="s">
        <v>2037</v>
      </c>
      <c r="C12" s="334" t="s">
        <v>2038</v>
      </c>
      <c r="D12" s="335">
        <v>2110</v>
      </c>
      <c r="E12" s="357">
        <v>55.79</v>
      </c>
      <c r="F12" s="333"/>
      <c r="G12" s="336">
        <f>ROUND(E12*D12,2)</f>
        <v>117716.9</v>
      </c>
      <c r="H12" s="337">
        <f>ROUND(F12*D12,2)</f>
        <v>0</v>
      </c>
      <c r="I12" s="336" t="e">
        <f>+G12+(H12*$I$3)</f>
        <v>#REF!</v>
      </c>
    </row>
    <row r="13" spans="1:11">
      <c r="A13" s="334" t="s">
        <v>2039</v>
      </c>
      <c r="B13" s="334" t="s">
        <v>2040</v>
      </c>
      <c r="C13" s="334" t="s">
        <v>2038</v>
      </c>
      <c r="D13" s="335">
        <v>266</v>
      </c>
      <c r="E13" s="357">
        <v>58.25</v>
      </c>
      <c r="F13" s="333"/>
      <c r="G13" s="336">
        <f t="shared" ref="G13:G76" si="0">ROUND(E13*D13,2)</f>
        <v>15494.5</v>
      </c>
      <c r="H13" s="337">
        <f t="shared" ref="H13:H76" si="1">ROUND(F13*D13,2)</f>
        <v>0</v>
      </c>
      <c r="I13" s="336" t="e">
        <f t="shared" ref="I13:I76" si="2">+G13+(H13*$I$3)</f>
        <v>#REF!</v>
      </c>
    </row>
    <row r="14" spans="1:11">
      <c r="A14" s="334" t="s">
        <v>2041</v>
      </c>
      <c r="B14" s="334" t="s">
        <v>2042</v>
      </c>
      <c r="C14" s="334" t="s">
        <v>2038</v>
      </c>
      <c r="D14" s="335">
        <v>12</v>
      </c>
      <c r="E14" s="357">
        <v>115.91</v>
      </c>
      <c r="F14" s="333"/>
      <c r="G14" s="336">
        <f t="shared" si="0"/>
        <v>1390.92</v>
      </c>
      <c r="H14" s="337">
        <f t="shared" si="1"/>
        <v>0</v>
      </c>
      <c r="I14" s="336" t="e">
        <f t="shared" si="2"/>
        <v>#REF!</v>
      </c>
    </row>
    <row r="15" spans="1:11">
      <c r="A15" s="492" t="s">
        <v>2043</v>
      </c>
      <c r="B15" s="492" t="s">
        <v>2044</v>
      </c>
      <c r="C15" s="491"/>
      <c r="D15" s="491"/>
      <c r="E15" s="493"/>
      <c r="F15" s="333"/>
      <c r="G15" s="336">
        <f t="shared" si="0"/>
        <v>0</v>
      </c>
      <c r="H15" s="337">
        <f t="shared" si="1"/>
        <v>0</v>
      </c>
      <c r="I15" s="336"/>
    </row>
    <row r="16" spans="1:11">
      <c r="A16" s="334" t="s">
        <v>2045</v>
      </c>
      <c r="B16" s="334" t="s">
        <v>2046</v>
      </c>
      <c r="C16" s="334" t="s">
        <v>1070</v>
      </c>
      <c r="D16" s="335">
        <v>4054.34</v>
      </c>
      <c r="E16" s="357">
        <v>13.23</v>
      </c>
      <c r="F16" s="333"/>
      <c r="G16" s="336">
        <f t="shared" si="0"/>
        <v>53638.92</v>
      </c>
      <c r="H16" s="337">
        <f t="shared" si="1"/>
        <v>0</v>
      </c>
      <c r="I16" s="336" t="e">
        <f t="shared" si="2"/>
        <v>#REF!</v>
      </c>
    </row>
    <row r="17" spans="1:9">
      <c r="A17" s="334" t="s">
        <v>2047</v>
      </c>
      <c r="B17" s="334" t="s">
        <v>2048</v>
      </c>
      <c r="C17" s="334" t="s">
        <v>1070</v>
      </c>
      <c r="D17" s="335">
        <v>1814.38</v>
      </c>
      <c r="E17" s="357">
        <v>16.329999999999998</v>
      </c>
      <c r="F17" s="333"/>
      <c r="G17" s="336">
        <f t="shared" si="0"/>
        <v>29628.83</v>
      </c>
      <c r="H17" s="337">
        <f t="shared" si="1"/>
        <v>0</v>
      </c>
      <c r="I17" s="336" t="e">
        <f t="shared" si="2"/>
        <v>#REF!</v>
      </c>
    </row>
    <row r="18" spans="1:9">
      <c r="A18" s="334" t="s">
        <v>2049</v>
      </c>
      <c r="B18" s="334" t="s">
        <v>2050</v>
      </c>
      <c r="C18" s="334" t="s">
        <v>1070</v>
      </c>
      <c r="D18" s="335">
        <v>4635</v>
      </c>
      <c r="E18" s="357">
        <v>19.79</v>
      </c>
      <c r="F18" s="333"/>
      <c r="G18" s="336">
        <f t="shared" si="0"/>
        <v>91726.65</v>
      </c>
      <c r="H18" s="337">
        <f t="shared" si="1"/>
        <v>0</v>
      </c>
      <c r="I18" s="336" t="e">
        <f t="shared" si="2"/>
        <v>#REF!</v>
      </c>
    </row>
    <row r="19" spans="1:9">
      <c r="A19" s="334" t="s">
        <v>2051</v>
      </c>
      <c r="B19" s="334" t="s">
        <v>2052</v>
      </c>
      <c r="C19" s="334" t="s">
        <v>1070</v>
      </c>
      <c r="D19" s="335">
        <v>40.33</v>
      </c>
      <c r="E19" s="357">
        <v>26.23</v>
      </c>
      <c r="F19" s="333"/>
      <c r="G19" s="336">
        <f t="shared" si="0"/>
        <v>1057.8599999999999</v>
      </c>
      <c r="H19" s="337">
        <f t="shared" si="1"/>
        <v>0</v>
      </c>
      <c r="I19" s="336" t="e">
        <f t="shared" si="2"/>
        <v>#REF!</v>
      </c>
    </row>
    <row r="20" spans="1:9">
      <c r="A20" s="334" t="s">
        <v>2053</v>
      </c>
      <c r="B20" s="334" t="s">
        <v>2054</v>
      </c>
      <c r="C20" s="334" t="s">
        <v>1070</v>
      </c>
      <c r="D20" s="335">
        <v>48.67</v>
      </c>
      <c r="E20" s="357">
        <v>37.53</v>
      </c>
      <c r="F20" s="333"/>
      <c r="G20" s="336">
        <f t="shared" si="0"/>
        <v>1826.59</v>
      </c>
      <c r="H20" s="337">
        <f t="shared" si="1"/>
        <v>0</v>
      </c>
      <c r="I20" s="336" t="e">
        <f t="shared" si="2"/>
        <v>#REF!</v>
      </c>
    </row>
    <row r="21" spans="1:9">
      <c r="A21" s="334" t="s">
        <v>2055</v>
      </c>
      <c r="B21" s="334" t="s">
        <v>2056</v>
      </c>
      <c r="C21" s="334" t="s">
        <v>1070</v>
      </c>
      <c r="D21" s="335">
        <v>60</v>
      </c>
      <c r="E21" s="357">
        <v>52.73</v>
      </c>
      <c r="F21" s="333"/>
      <c r="G21" s="336">
        <f t="shared" si="0"/>
        <v>3163.8</v>
      </c>
      <c r="H21" s="337">
        <f t="shared" si="1"/>
        <v>0</v>
      </c>
      <c r="I21" s="336" t="e">
        <f t="shared" si="2"/>
        <v>#REF!</v>
      </c>
    </row>
    <row r="22" spans="1:9">
      <c r="A22" s="334" t="s">
        <v>2057</v>
      </c>
      <c r="B22" s="334" t="s">
        <v>2058</v>
      </c>
      <c r="C22" s="334" t="s">
        <v>1070</v>
      </c>
      <c r="D22" s="335">
        <v>40.869999999999997</v>
      </c>
      <c r="E22" s="357">
        <v>19.600000000000001</v>
      </c>
      <c r="F22" s="333"/>
      <c r="G22" s="336">
        <f t="shared" si="0"/>
        <v>801.05</v>
      </c>
      <c r="H22" s="337">
        <f t="shared" si="1"/>
        <v>0</v>
      </c>
      <c r="I22" s="336" t="e">
        <f t="shared" si="2"/>
        <v>#REF!</v>
      </c>
    </row>
    <row r="23" spans="1:9">
      <c r="A23" s="334" t="s">
        <v>2059</v>
      </c>
      <c r="B23" s="334" t="s">
        <v>2060</v>
      </c>
      <c r="C23" s="334" t="s">
        <v>1070</v>
      </c>
      <c r="D23" s="335">
        <v>103.49</v>
      </c>
      <c r="E23" s="357">
        <v>20.91</v>
      </c>
      <c r="F23" s="333"/>
      <c r="G23" s="336">
        <f t="shared" si="0"/>
        <v>2163.98</v>
      </c>
      <c r="H23" s="337">
        <f t="shared" si="1"/>
        <v>0</v>
      </c>
      <c r="I23" s="336" t="e">
        <f t="shared" si="2"/>
        <v>#REF!</v>
      </c>
    </row>
    <row r="24" spans="1:9">
      <c r="A24" s="334" t="s">
        <v>2061</v>
      </c>
      <c r="B24" s="334" t="s">
        <v>2062</v>
      </c>
      <c r="C24" s="334" t="s">
        <v>1070</v>
      </c>
      <c r="D24" s="335">
        <v>85.95</v>
      </c>
      <c r="E24" s="357">
        <v>34.01</v>
      </c>
      <c r="F24" s="333"/>
      <c r="G24" s="336">
        <f t="shared" si="0"/>
        <v>2923.16</v>
      </c>
      <c r="H24" s="337">
        <f t="shared" si="1"/>
        <v>0</v>
      </c>
      <c r="I24" s="336" t="e">
        <f t="shared" si="2"/>
        <v>#REF!</v>
      </c>
    </row>
    <row r="25" spans="1:9">
      <c r="A25" s="334" t="s">
        <v>2063</v>
      </c>
      <c r="B25" s="334" t="s">
        <v>2064</v>
      </c>
      <c r="C25" s="334" t="s">
        <v>1070</v>
      </c>
      <c r="D25" s="335">
        <v>66.010000000000005</v>
      </c>
      <c r="E25" s="357">
        <v>45.36</v>
      </c>
      <c r="F25" s="333"/>
      <c r="G25" s="336">
        <f t="shared" si="0"/>
        <v>2994.21</v>
      </c>
      <c r="H25" s="337">
        <f t="shared" si="1"/>
        <v>0</v>
      </c>
      <c r="I25" s="336" t="e">
        <f t="shared" si="2"/>
        <v>#REF!</v>
      </c>
    </row>
    <row r="26" spans="1:9">
      <c r="A26" s="334" t="s">
        <v>2065</v>
      </c>
      <c r="B26" s="334" t="s">
        <v>2066</v>
      </c>
      <c r="C26" s="334" t="s">
        <v>1070</v>
      </c>
      <c r="D26" s="335">
        <v>136.35</v>
      </c>
      <c r="E26" s="357">
        <v>155.09</v>
      </c>
      <c r="F26" s="333"/>
      <c r="G26" s="336">
        <f t="shared" si="0"/>
        <v>21146.52</v>
      </c>
      <c r="H26" s="337">
        <f t="shared" si="1"/>
        <v>0</v>
      </c>
      <c r="I26" s="336" t="e">
        <f t="shared" si="2"/>
        <v>#REF!</v>
      </c>
    </row>
    <row r="27" spans="1:9">
      <c r="A27" s="492" t="s">
        <v>2067</v>
      </c>
      <c r="B27" s="492" t="s">
        <v>2068</v>
      </c>
      <c r="C27" s="491"/>
      <c r="D27" s="491"/>
      <c r="E27" s="493"/>
      <c r="F27" s="333"/>
      <c r="G27" s="336">
        <f t="shared" si="0"/>
        <v>0</v>
      </c>
      <c r="H27" s="337">
        <f t="shared" si="1"/>
        <v>0</v>
      </c>
      <c r="I27" s="336"/>
    </row>
    <row r="28" spans="1:9">
      <c r="A28" s="334" t="s">
        <v>2069</v>
      </c>
      <c r="B28" s="334" t="s">
        <v>2070</v>
      </c>
      <c r="C28" s="334" t="s">
        <v>1070</v>
      </c>
      <c r="D28" s="335">
        <v>116</v>
      </c>
      <c r="E28" s="357">
        <v>45.36</v>
      </c>
      <c r="F28" s="333"/>
      <c r="G28" s="336">
        <f t="shared" si="0"/>
        <v>5261.76</v>
      </c>
      <c r="H28" s="337">
        <f t="shared" si="1"/>
        <v>0</v>
      </c>
      <c r="I28" s="336" t="e">
        <f t="shared" si="2"/>
        <v>#REF!</v>
      </c>
    </row>
    <row r="29" spans="1:9">
      <c r="A29" s="334" t="s">
        <v>2071</v>
      </c>
      <c r="B29" s="334" t="s">
        <v>2072</v>
      </c>
      <c r="C29" s="334" t="s">
        <v>1070</v>
      </c>
      <c r="D29" s="335">
        <v>33</v>
      </c>
      <c r="E29" s="357">
        <v>88.33</v>
      </c>
      <c r="F29" s="333"/>
      <c r="G29" s="336">
        <f t="shared" si="0"/>
        <v>2914.89</v>
      </c>
      <c r="H29" s="337">
        <f t="shared" si="1"/>
        <v>0</v>
      </c>
      <c r="I29" s="336" t="e">
        <f t="shared" si="2"/>
        <v>#REF!</v>
      </c>
    </row>
    <row r="30" spans="1:9">
      <c r="A30" s="334" t="s">
        <v>2073</v>
      </c>
      <c r="B30" s="334" t="s">
        <v>2074</v>
      </c>
      <c r="C30" s="334" t="s">
        <v>1070</v>
      </c>
      <c r="D30" s="335">
        <v>18</v>
      </c>
      <c r="E30" s="357">
        <v>113.33</v>
      </c>
      <c r="F30" s="333"/>
      <c r="G30" s="336">
        <f t="shared" si="0"/>
        <v>2039.94</v>
      </c>
      <c r="H30" s="337">
        <f t="shared" si="1"/>
        <v>0</v>
      </c>
      <c r="I30" s="336" t="e">
        <f t="shared" si="2"/>
        <v>#REF!</v>
      </c>
    </row>
    <row r="31" spans="1:9">
      <c r="A31" s="334" t="s">
        <v>2075</v>
      </c>
      <c r="B31" s="334" t="s">
        <v>2076</v>
      </c>
      <c r="C31" s="334" t="s">
        <v>1070</v>
      </c>
      <c r="D31" s="335">
        <v>275.75</v>
      </c>
      <c r="E31" s="357">
        <v>169.21</v>
      </c>
      <c r="F31" s="333"/>
      <c r="G31" s="336">
        <f t="shared" si="0"/>
        <v>46659.66</v>
      </c>
      <c r="H31" s="337">
        <f t="shared" si="1"/>
        <v>0</v>
      </c>
      <c r="I31" s="336" t="e">
        <f t="shared" si="2"/>
        <v>#REF!</v>
      </c>
    </row>
    <row r="32" spans="1:9">
      <c r="A32" s="492" t="s">
        <v>2077</v>
      </c>
      <c r="B32" s="492" t="s">
        <v>2078</v>
      </c>
      <c r="C32" s="491"/>
      <c r="D32" s="491"/>
      <c r="E32" s="493"/>
      <c r="F32" s="333"/>
      <c r="G32" s="336">
        <f t="shared" si="0"/>
        <v>0</v>
      </c>
      <c r="H32" s="337">
        <f t="shared" si="1"/>
        <v>0</v>
      </c>
      <c r="I32" s="336"/>
    </row>
    <row r="33" spans="1:10">
      <c r="A33" s="334" t="s">
        <v>2079</v>
      </c>
      <c r="B33" s="334" t="s">
        <v>2080</v>
      </c>
      <c r="C33" s="334" t="s">
        <v>36</v>
      </c>
      <c r="D33" s="335">
        <v>754</v>
      </c>
      <c r="E33" s="357">
        <v>80.39</v>
      </c>
      <c r="F33" s="333"/>
      <c r="G33" s="336">
        <f t="shared" si="0"/>
        <v>60614.06</v>
      </c>
      <c r="H33" s="337">
        <f t="shared" si="1"/>
        <v>0</v>
      </c>
      <c r="I33" s="336" t="e">
        <f t="shared" si="2"/>
        <v>#REF!</v>
      </c>
      <c r="J33" s="494"/>
    </row>
    <row r="34" spans="1:10">
      <c r="A34" s="334" t="s">
        <v>2081</v>
      </c>
      <c r="B34" s="334" t="s">
        <v>2082</v>
      </c>
      <c r="C34" s="334" t="s">
        <v>36</v>
      </c>
      <c r="D34" s="335">
        <v>742</v>
      </c>
      <c r="E34" s="357">
        <v>95.3</v>
      </c>
      <c r="F34" s="333"/>
      <c r="G34" s="336">
        <f t="shared" si="0"/>
        <v>70712.600000000006</v>
      </c>
      <c r="H34" s="337">
        <f t="shared" si="1"/>
        <v>0</v>
      </c>
      <c r="I34" s="336" t="e">
        <f t="shared" si="2"/>
        <v>#REF!</v>
      </c>
    </row>
    <row r="35" spans="1:10">
      <c r="A35" s="334" t="s">
        <v>2083</v>
      </c>
      <c r="B35" s="334" t="s">
        <v>2084</v>
      </c>
      <c r="C35" s="334" t="s">
        <v>36</v>
      </c>
      <c r="D35" s="335">
        <v>215</v>
      </c>
      <c r="E35" s="357">
        <v>159.85</v>
      </c>
      <c r="F35" s="333"/>
      <c r="G35" s="336">
        <f t="shared" si="0"/>
        <v>34367.75</v>
      </c>
      <c r="H35" s="337">
        <f t="shared" si="1"/>
        <v>0</v>
      </c>
      <c r="I35" s="336" t="e">
        <f t="shared" si="2"/>
        <v>#REF!</v>
      </c>
    </row>
    <row r="36" spans="1:10">
      <c r="A36" s="334" t="s">
        <v>2085</v>
      </c>
      <c r="B36" s="334" t="s">
        <v>2086</v>
      </c>
      <c r="C36" s="334" t="s">
        <v>36</v>
      </c>
      <c r="D36" s="335">
        <v>50</v>
      </c>
      <c r="E36" s="357">
        <v>394.5</v>
      </c>
      <c r="F36" s="333"/>
      <c r="G36" s="336">
        <f t="shared" si="0"/>
        <v>19725</v>
      </c>
      <c r="H36" s="337">
        <f t="shared" si="1"/>
        <v>0</v>
      </c>
      <c r="I36" s="336" t="e">
        <f t="shared" si="2"/>
        <v>#REF!</v>
      </c>
    </row>
    <row r="37" spans="1:10">
      <c r="A37" s="492" t="s">
        <v>2087</v>
      </c>
      <c r="B37" s="492" t="s">
        <v>2088</v>
      </c>
      <c r="C37" s="491"/>
      <c r="D37" s="491"/>
      <c r="E37" s="493"/>
      <c r="F37" s="333"/>
      <c r="G37" s="336">
        <f t="shared" si="0"/>
        <v>0</v>
      </c>
      <c r="H37" s="337">
        <f t="shared" si="1"/>
        <v>0</v>
      </c>
      <c r="I37" s="336"/>
    </row>
    <row r="38" spans="1:10">
      <c r="A38" s="334" t="s">
        <v>2089</v>
      </c>
      <c r="B38" s="334" t="s">
        <v>2090</v>
      </c>
      <c r="C38" s="334" t="s">
        <v>29</v>
      </c>
      <c r="D38" s="335">
        <v>1</v>
      </c>
      <c r="E38" s="357">
        <v>25146</v>
      </c>
      <c r="F38" s="333"/>
      <c r="G38" s="336">
        <f t="shared" si="0"/>
        <v>25146</v>
      </c>
      <c r="H38" s="337">
        <f t="shared" si="1"/>
        <v>0</v>
      </c>
      <c r="I38" s="336" t="e">
        <f t="shared" si="2"/>
        <v>#REF!</v>
      </c>
    </row>
    <row r="39" spans="1:10">
      <c r="A39" s="334" t="s">
        <v>2091</v>
      </c>
      <c r="B39" s="334" t="s">
        <v>2092</v>
      </c>
      <c r="C39" s="334" t="s">
        <v>29</v>
      </c>
      <c r="D39" s="335">
        <v>1</v>
      </c>
      <c r="E39" s="357">
        <v>11430</v>
      </c>
      <c r="F39" s="333"/>
      <c r="G39" s="336">
        <f t="shared" si="0"/>
        <v>11430</v>
      </c>
      <c r="H39" s="337">
        <f t="shared" si="1"/>
        <v>0</v>
      </c>
      <c r="I39" s="336" t="e">
        <f t="shared" si="2"/>
        <v>#REF!</v>
      </c>
    </row>
    <row r="40" spans="1:10">
      <c r="A40" s="334" t="s">
        <v>2093</v>
      </c>
      <c r="B40" s="334" t="s">
        <v>2094</v>
      </c>
      <c r="C40" s="334" t="s">
        <v>29</v>
      </c>
      <c r="D40" s="335">
        <v>1</v>
      </c>
      <c r="E40" s="357">
        <v>2353.08</v>
      </c>
      <c r="F40" s="333"/>
      <c r="G40" s="336">
        <f t="shared" si="0"/>
        <v>2353.08</v>
      </c>
      <c r="H40" s="337">
        <f t="shared" si="1"/>
        <v>0</v>
      </c>
      <c r="I40" s="336" t="e">
        <f t="shared" si="2"/>
        <v>#REF!</v>
      </c>
    </row>
    <row r="41" spans="1:10">
      <c r="A41" s="492" t="s">
        <v>2095</v>
      </c>
      <c r="B41" s="492" t="s">
        <v>2096</v>
      </c>
      <c r="C41" s="491"/>
      <c r="D41" s="491"/>
      <c r="E41" s="493"/>
      <c r="F41" s="333"/>
      <c r="G41" s="336">
        <f t="shared" si="0"/>
        <v>0</v>
      </c>
      <c r="H41" s="337">
        <f t="shared" si="1"/>
        <v>0</v>
      </c>
      <c r="I41" s="336"/>
    </row>
    <row r="42" spans="1:10">
      <c r="A42" s="334" t="s">
        <v>2097</v>
      </c>
      <c r="B42" s="334" t="s">
        <v>2098</v>
      </c>
      <c r="C42" s="334" t="s">
        <v>36</v>
      </c>
      <c r="D42" s="335">
        <v>132</v>
      </c>
      <c r="E42" s="357">
        <v>385.57</v>
      </c>
      <c r="F42" s="333"/>
      <c r="G42" s="336">
        <f t="shared" si="0"/>
        <v>50895.24</v>
      </c>
      <c r="H42" s="337">
        <f t="shared" si="1"/>
        <v>0</v>
      </c>
      <c r="I42" s="336" t="e">
        <f t="shared" si="2"/>
        <v>#REF!</v>
      </c>
    </row>
    <row r="43" spans="1:10">
      <c r="A43" s="334" t="s">
        <v>2099</v>
      </c>
      <c r="B43" s="334" t="s">
        <v>2100</v>
      </c>
      <c r="C43" s="334" t="s">
        <v>36</v>
      </c>
      <c r="D43" s="335">
        <v>114</v>
      </c>
      <c r="E43" s="357">
        <v>461.15</v>
      </c>
      <c r="F43" s="333"/>
      <c r="G43" s="336">
        <f t="shared" si="0"/>
        <v>52571.1</v>
      </c>
      <c r="H43" s="337">
        <f t="shared" si="1"/>
        <v>0</v>
      </c>
      <c r="I43" s="336" t="e">
        <f t="shared" si="2"/>
        <v>#REF!</v>
      </c>
    </row>
    <row r="44" spans="1:10">
      <c r="A44" s="334" t="s">
        <v>2101</v>
      </c>
      <c r="B44" s="334" t="s">
        <v>2102</v>
      </c>
      <c r="C44" s="334" t="s">
        <v>36</v>
      </c>
      <c r="D44" s="335">
        <v>1</v>
      </c>
      <c r="E44" s="357">
        <v>79.83</v>
      </c>
      <c r="F44" s="333"/>
      <c r="G44" s="336">
        <f t="shared" si="0"/>
        <v>79.83</v>
      </c>
      <c r="H44" s="337">
        <f t="shared" si="1"/>
        <v>0</v>
      </c>
      <c r="I44" s="336" t="e">
        <f t="shared" si="2"/>
        <v>#REF!</v>
      </c>
    </row>
    <row r="45" spans="1:10">
      <c r="A45" s="492" t="s">
        <v>2103</v>
      </c>
      <c r="B45" s="492" t="s">
        <v>2104</v>
      </c>
      <c r="C45" s="491"/>
      <c r="D45" s="491"/>
      <c r="E45" s="493"/>
      <c r="F45" s="333"/>
      <c r="G45" s="336">
        <f t="shared" si="0"/>
        <v>0</v>
      </c>
      <c r="H45" s="337">
        <f t="shared" si="1"/>
        <v>0</v>
      </c>
      <c r="I45" s="336"/>
    </row>
    <row r="46" spans="1:10">
      <c r="A46" s="334" t="s">
        <v>2105</v>
      </c>
      <c r="B46" s="334" t="s">
        <v>2106</v>
      </c>
      <c r="C46" s="334" t="s">
        <v>36</v>
      </c>
      <c r="D46" s="335">
        <v>3</v>
      </c>
      <c r="E46" s="357">
        <v>733.17</v>
      </c>
      <c r="F46" s="333"/>
      <c r="G46" s="336">
        <f t="shared" si="0"/>
        <v>2199.5100000000002</v>
      </c>
      <c r="H46" s="337">
        <f t="shared" si="1"/>
        <v>0</v>
      </c>
      <c r="I46" s="336" t="e">
        <f t="shared" si="2"/>
        <v>#REF!</v>
      </c>
    </row>
    <row r="47" spans="1:10">
      <c r="A47" s="334" t="s">
        <v>2107</v>
      </c>
      <c r="B47" s="334" t="s">
        <v>2108</v>
      </c>
      <c r="C47" s="334" t="s">
        <v>36</v>
      </c>
      <c r="D47" s="335">
        <v>3</v>
      </c>
      <c r="E47" s="357">
        <v>1059.3699999999999</v>
      </c>
      <c r="F47" s="333"/>
      <c r="G47" s="336">
        <f t="shared" si="0"/>
        <v>3178.11</v>
      </c>
      <c r="H47" s="337">
        <f t="shared" si="1"/>
        <v>0</v>
      </c>
      <c r="I47" s="336" t="e">
        <f t="shared" si="2"/>
        <v>#REF!</v>
      </c>
    </row>
    <row r="48" spans="1:10">
      <c r="A48" s="334" t="s">
        <v>2109</v>
      </c>
      <c r="B48" s="334" t="s">
        <v>2110</v>
      </c>
      <c r="C48" s="334" t="s">
        <v>36</v>
      </c>
      <c r="D48" s="335">
        <v>4</v>
      </c>
      <c r="E48" s="357">
        <v>1762.09</v>
      </c>
      <c r="F48" s="333"/>
      <c r="G48" s="336">
        <f t="shared" si="0"/>
        <v>7048.36</v>
      </c>
      <c r="H48" s="337">
        <f t="shared" si="1"/>
        <v>0</v>
      </c>
      <c r="I48" s="336" t="e">
        <f t="shared" si="2"/>
        <v>#REF!</v>
      </c>
    </row>
    <row r="49" spans="1:9">
      <c r="A49" s="334" t="s">
        <v>2111</v>
      </c>
      <c r="B49" s="334" t="s">
        <v>2112</v>
      </c>
      <c r="C49" s="334" t="s">
        <v>36</v>
      </c>
      <c r="D49" s="335">
        <v>3</v>
      </c>
      <c r="E49" s="357">
        <v>789.45</v>
      </c>
      <c r="F49" s="333"/>
      <c r="G49" s="336">
        <f t="shared" si="0"/>
        <v>2368.35</v>
      </c>
      <c r="H49" s="337">
        <f t="shared" si="1"/>
        <v>0</v>
      </c>
      <c r="I49" s="336" t="e">
        <f t="shared" si="2"/>
        <v>#REF!</v>
      </c>
    </row>
    <row r="50" spans="1:9">
      <c r="A50" s="334" t="s">
        <v>2113</v>
      </c>
      <c r="B50" s="334" t="s">
        <v>2114</v>
      </c>
      <c r="C50" s="334" t="s">
        <v>36</v>
      </c>
      <c r="D50" s="335">
        <v>3</v>
      </c>
      <c r="E50" s="357">
        <v>378.1</v>
      </c>
      <c r="F50" s="333"/>
      <c r="G50" s="336">
        <f t="shared" si="0"/>
        <v>1134.3</v>
      </c>
      <c r="H50" s="337">
        <f t="shared" si="1"/>
        <v>0</v>
      </c>
      <c r="I50" s="336" t="e">
        <f t="shared" si="2"/>
        <v>#REF!</v>
      </c>
    </row>
    <row r="51" spans="1:9">
      <c r="A51" s="334" t="s">
        <v>2115</v>
      </c>
      <c r="B51" s="334" t="s">
        <v>2116</v>
      </c>
      <c r="C51" s="334" t="s">
        <v>36</v>
      </c>
      <c r="D51" s="335">
        <v>2</v>
      </c>
      <c r="E51" s="357">
        <v>577.66</v>
      </c>
      <c r="F51" s="333"/>
      <c r="G51" s="336">
        <f t="shared" si="0"/>
        <v>1155.32</v>
      </c>
      <c r="H51" s="337">
        <f t="shared" si="1"/>
        <v>0</v>
      </c>
      <c r="I51" s="336" t="e">
        <f t="shared" si="2"/>
        <v>#REF!</v>
      </c>
    </row>
    <row r="52" spans="1:9">
      <c r="A52" s="332" t="s">
        <v>1624</v>
      </c>
      <c r="B52" s="332" t="s">
        <v>2117</v>
      </c>
      <c r="C52" s="491"/>
      <c r="D52" s="491"/>
      <c r="E52" s="493"/>
      <c r="F52" s="333"/>
      <c r="G52" s="336">
        <f t="shared" si="0"/>
        <v>0</v>
      </c>
      <c r="H52" s="337">
        <f t="shared" si="1"/>
        <v>0</v>
      </c>
      <c r="I52" s="336"/>
    </row>
    <row r="53" spans="1:9">
      <c r="A53" s="492" t="s">
        <v>2118</v>
      </c>
      <c r="B53" s="492" t="s">
        <v>2119</v>
      </c>
      <c r="C53" s="491"/>
      <c r="D53" s="491"/>
      <c r="E53" s="493"/>
      <c r="F53" s="333"/>
      <c r="G53" s="336">
        <f t="shared" si="0"/>
        <v>0</v>
      </c>
      <c r="H53" s="337">
        <f t="shared" si="1"/>
        <v>0</v>
      </c>
      <c r="I53" s="336"/>
    </row>
    <row r="54" spans="1:9">
      <c r="A54" s="334" t="s">
        <v>2120</v>
      </c>
      <c r="B54" s="334" t="s">
        <v>2121</v>
      </c>
      <c r="C54" s="334" t="s">
        <v>2038</v>
      </c>
      <c r="D54" s="335">
        <f>1366-194*0</f>
        <v>1366</v>
      </c>
      <c r="E54" s="357">
        <v>57.12</v>
      </c>
      <c r="F54" s="333"/>
      <c r="G54" s="336">
        <f t="shared" si="0"/>
        <v>78025.919999999998</v>
      </c>
      <c r="H54" s="337">
        <f t="shared" si="1"/>
        <v>0</v>
      </c>
      <c r="I54" s="336" t="e">
        <f t="shared" si="2"/>
        <v>#REF!</v>
      </c>
    </row>
    <row r="55" spans="1:9">
      <c r="A55" s="334" t="s">
        <v>2122</v>
      </c>
      <c r="B55" s="334" t="s">
        <v>2123</v>
      </c>
      <c r="C55" s="334" t="s">
        <v>2038</v>
      </c>
      <c r="D55" s="335">
        <v>237</v>
      </c>
      <c r="E55" s="357">
        <v>61.63</v>
      </c>
      <c r="F55" s="333"/>
      <c r="G55" s="336">
        <f t="shared" si="0"/>
        <v>14606.31</v>
      </c>
      <c r="H55" s="337">
        <f t="shared" si="1"/>
        <v>0</v>
      </c>
      <c r="I55" s="336" t="e">
        <f t="shared" si="2"/>
        <v>#REF!</v>
      </c>
    </row>
    <row r="56" spans="1:9">
      <c r="A56" s="492" t="s">
        <v>2124</v>
      </c>
      <c r="B56" s="492" t="s">
        <v>2125</v>
      </c>
      <c r="C56" s="491"/>
      <c r="D56" s="491"/>
      <c r="E56" s="493"/>
      <c r="F56" s="333"/>
      <c r="G56" s="336">
        <f t="shared" si="0"/>
        <v>0</v>
      </c>
      <c r="H56" s="337">
        <f t="shared" si="1"/>
        <v>0</v>
      </c>
      <c r="I56" s="336"/>
    </row>
    <row r="57" spans="1:9">
      <c r="A57" s="334" t="s">
        <v>2126</v>
      </c>
      <c r="B57" s="334" t="s">
        <v>2127</v>
      </c>
      <c r="C57" s="334" t="s">
        <v>1070</v>
      </c>
      <c r="D57" s="335">
        <f>3770.05-1.5*194*0</f>
        <v>3770.05</v>
      </c>
      <c r="E57" s="357">
        <v>13.55</v>
      </c>
      <c r="F57" s="333"/>
      <c r="G57" s="336">
        <f t="shared" si="0"/>
        <v>51084.18</v>
      </c>
      <c r="H57" s="337">
        <f t="shared" si="1"/>
        <v>0</v>
      </c>
      <c r="I57" s="336" t="e">
        <f t="shared" si="2"/>
        <v>#REF!</v>
      </c>
    </row>
    <row r="58" spans="1:9">
      <c r="A58" s="334" t="s">
        <v>2128</v>
      </c>
      <c r="B58" s="334" t="s">
        <v>2129</v>
      </c>
      <c r="C58" s="334" t="s">
        <v>1070</v>
      </c>
      <c r="D58" s="335">
        <v>1003.82</v>
      </c>
      <c r="E58" s="357">
        <v>17.22</v>
      </c>
      <c r="F58" s="333"/>
      <c r="G58" s="336">
        <f t="shared" si="0"/>
        <v>17285.78</v>
      </c>
      <c r="H58" s="337">
        <f t="shared" si="1"/>
        <v>0</v>
      </c>
      <c r="I58" s="336" t="e">
        <f t="shared" si="2"/>
        <v>#REF!</v>
      </c>
    </row>
    <row r="59" spans="1:9">
      <c r="A59" s="492" t="s">
        <v>2130</v>
      </c>
      <c r="B59" s="492" t="s">
        <v>2078</v>
      </c>
      <c r="C59" s="491"/>
      <c r="D59" s="491"/>
      <c r="E59" s="493"/>
      <c r="F59" s="333"/>
      <c r="G59" s="336">
        <f t="shared" si="0"/>
        <v>0</v>
      </c>
      <c r="H59" s="337">
        <f t="shared" si="1"/>
        <v>0</v>
      </c>
      <c r="I59" s="336"/>
    </row>
    <row r="60" spans="1:9">
      <c r="A60" s="334" t="s">
        <v>2131</v>
      </c>
      <c r="B60" s="334" t="s">
        <v>2080</v>
      </c>
      <c r="C60" s="334" t="s">
        <v>36</v>
      </c>
      <c r="D60" s="335">
        <v>706</v>
      </c>
      <c r="E60" s="357">
        <v>92.63</v>
      </c>
      <c r="F60" s="333"/>
      <c r="G60" s="336">
        <f t="shared" si="0"/>
        <v>65396.78</v>
      </c>
      <c r="H60" s="337">
        <f t="shared" si="1"/>
        <v>0</v>
      </c>
      <c r="I60" s="336" t="e">
        <f t="shared" si="2"/>
        <v>#REF!</v>
      </c>
    </row>
    <row r="61" spans="1:9">
      <c r="A61" s="334" t="s">
        <v>2132</v>
      </c>
      <c r="B61" s="334" t="s">
        <v>2082</v>
      </c>
      <c r="C61" s="334" t="s">
        <v>36</v>
      </c>
      <c r="D61" s="335">
        <v>237</v>
      </c>
      <c r="E61" s="357">
        <v>89.76</v>
      </c>
      <c r="F61" s="333"/>
      <c r="G61" s="336">
        <f t="shared" si="0"/>
        <v>21273.119999999999</v>
      </c>
      <c r="H61" s="337">
        <f t="shared" si="1"/>
        <v>0</v>
      </c>
      <c r="I61" s="336" t="e">
        <f t="shared" si="2"/>
        <v>#REF!</v>
      </c>
    </row>
    <row r="62" spans="1:9">
      <c r="A62" s="492" t="s">
        <v>2133</v>
      </c>
      <c r="B62" s="492" t="s">
        <v>2088</v>
      </c>
      <c r="C62" s="491"/>
      <c r="D62" s="491"/>
      <c r="E62" s="493"/>
      <c r="F62" s="333"/>
      <c r="G62" s="336">
        <f t="shared" si="0"/>
        <v>0</v>
      </c>
      <c r="H62" s="337">
        <f t="shared" si="1"/>
        <v>0</v>
      </c>
      <c r="I62" s="336"/>
    </row>
    <row r="63" spans="1:9">
      <c r="A63" s="334" t="s">
        <v>2134</v>
      </c>
      <c r="B63" s="334" t="s">
        <v>2135</v>
      </c>
      <c r="C63" s="334" t="s">
        <v>29</v>
      </c>
      <c r="D63" s="335">
        <v>1</v>
      </c>
      <c r="E63" s="357">
        <v>15276.38</v>
      </c>
      <c r="F63" s="333"/>
      <c r="G63" s="336">
        <f t="shared" si="0"/>
        <v>15276.38</v>
      </c>
      <c r="H63" s="337">
        <f t="shared" si="1"/>
        <v>0</v>
      </c>
      <c r="I63" s="336" t="e">
        <f t="shared" si="2"/>
        <v>#REF!</v>
      </c>
    </row>
    <row r="64" spans="1:9">
      <c r="A64" s="332" t="s">
        <v>1706</v>
      </c>
      <c r="B64" s="332" t="s">
        <v>2136</v>
      </c>
      <c r="C64" s="491"/>
      <c r="D64" s="491"/>
      <c r="E64" s="493"/>
      <c r="F64" s="333"/>
      <c r="G64" s="336">
        <f t="shared" si="0"/>
        <v>0</v>
      </c>
      <c r="H64" s="337">
        <f t="shared" si="1"/>
        <v>0</v>
      </c>
      <c r="I64" s="336"/>
    </row>
    <row r="65" spans="1:9">
      <c r="A65" s="492" t="s">
        <v>2137</v>
      </c>
      <c r="B65" s="492" t="s">
        <v>2138</v>
      </c>
      <c r="C65" s="491"/>
      <c r="D65" s="491"/>
      <c r="E65" s="493"/>
      <c r="F65" s="333"/>
      <c r="G65" s="336">
        <f t="shared" si="0"/>
        <v>0</v>
      </c>
      <c r="H65" s="337">
        <f t="shared" si="1"/>
        <v>0</v>
      </c>
      <c r="I65" s="336"/>
    </row>
    <row r="66" spans="1:9">
      <c r="A66" s="334" t="s">
        <v>2139</v>
      </c>
      <c r="B66" s="334" t="s">
        <v>2140</v>
      </c>
      <c r="C66" s="334" t="s">
        <v>2038</v>
      </c>
      <c r="D66" s="335">
        <v>3149</v>
      </c>
      <c r="E66" s="357">
        <v>56.02</v>
      </c>
      <c r="F66" s="333"/>
      <c r="G66" s="336">
        <f t="shared" si="0"/>
        <v>176406.98</v>
      </c>
      <c r="H66" s="337">
        <f t="shared" si="1"/>
        <v>0</v>
      </c>
      <c r="I66" s="336" t="e">
        <f t="shared" si="2"/>
        <v>#REF!</v>
      </c>
    </row>
    <row r="67" spans="1:9">
      <c r="A67" s="334" t="s">
        <v>2141</v>
      </c>
      <c r="B67" s="334" t="s">
        <v>2142</v>
      </c>
      <c r="C67" s="334" t="s">
        <v>2038</v>
      </c>
      <c r="D67" s="335">
        <v>244</v>
      </c>
      <c r="E67" s="357">
        <v>106.79</v>
      </c>
      <c r="F67" s="333"/>
      <c r="G67" s="336">
        <f t="shared" si="0"/>
        <v>26056.76</v>
      </c>
      <c r="H67" s="337">
        <f t="shared" si="1"/>
        <v>0</v>
      </c>
      <c r="I67" s="336" t="e">
        <f t="shared" si="2"/>
        <v>#REF!</v>
      </c>
    </row>
    <row r="68" spans="1:9">
      <c r="A68" s="334" t="s">
        <v>2143</v>
      </c>
      <c r="B68" s="334" t="s">
        <v>2144</v>
      </c>
      <c r="C68" s="334" t="s">
        <v>2038</v>
      </c>
      <c r="D68" s="335">
        <v>105</v>
      </c>
      <c r="E68" s="357">
        <v>61.11</v>
      </c>
      <c r="F68" s="333"/>
      <c r="G68" s="336">
        <f t="shared" si="0"/>
        <v>6416.55</v>
      </c>
      <c r="H68" s="337">
        <f t="shared" si="1"/>
        <v>0</v>
      </c>
      <c r="I68" s="336" t="e">
        <f t="shared" si="2"/>
        <v>#REF!</v>
      </c>
    </row>
    <row r="69" spans="1:9">
      <c r="A69" s="334" t="s">
        <v>2145</v>
      </c>
      <c r="B69" s="334" t="s">
        <v>2146</v>
      </c>
      <c r="C69" s="334" t="s">
        <v>2038</v>
      </c>
      <c r="D69" s="335">
        <v>496</v>
      </c>
      <c r="E69" s="357">
        <v>74.38</v>
      </c>
      <c r="F69" s="333"/>
      <c r="G69" s="336">
        <f t="shared" si="0"/>
        <v>36892.480000000003</v>
      </c>
      <c r="H69" s="337">
        <f t="shared" si="1"/>
        <v>0</v>
      </c>
      <c r="I69" s="336" t="e">
        <f t="shared" si="2"/>
        <v>#REF!</v>
      </c>
    </row>
    <row r="70" spans="1:9">
      <c r="A70" s="334" t="s">
        <v>2147</v>
      </c>
      <c r="B70" s="334" t="s">
        <v>2148</v>
      </c>
      <c r="C70" s="334" t="s">
        <v>2038</v>
      </c>
      <c r="D70" s="335">
        <v>15</v>
      </c>
      <c r="E70" s="357">
        <v>115.07</v>
      </c>
      <c r="F70" s="333"/>
      <c r="G70" s="336">
        <f t="shared" si="0"/>
        <v>1726.05</v>
      </c>
      <c r="H70" s="337">
        <f t="shared" si="1"/>
        <v>0</v>
      </c>
      <c r="I70" s="336" t="e">
        <f t="shared" si="2"/>
        <v>#REF!</v>
      </c>
    </row>
    <row r="71" spans="1:9">
      <c r="A71" s="334" t="s">
        <v>2149</v>
      </c>
      <c r="B71" s="334" t="s">
        <v>2150</v>
      </c>
      <c r="C71" s="334" t="s">
        <v>2038</v>
      </c>
      <c r="D71" s="335">
        <v>1044</v>
      </c>
      <c r="E71" s="357">
        <v>39.229999999999997</v>
      </c>
      <c r="F71" s="333"/>
      <c r="G71" s="336">
        <f t="shared" si="0"/>
        <v>40956.120000000003</v>
      </c>
      <c r="H71" s="337">
        <f t="shared" si="1"/>
        <v>0</v>
      </c>
      <c r="I71" s="336" t="e">
        <f t="shared" si="2"/>
        <v>#REF!</v>
      </c>
    </row>
    <row r="72" spans="1:9">
      <c r="A72" s="492" t="s">
        <v>2151</v>
      </c>
      <c r="B72" s="492" t="s">
        <v>2152</v>
      </c>
      <c r="C72" s="491"/>
      <c r="D72" s="491"/>
      <c r="E72" s="493"/>
      <c r="F72" s="333"/>
      <c r="G72" s="336">
        <f t="shared" si="0"/>
        <v>0</v>
      </c>
      <c r="H72" s="337">
        <f t="shared" si="1"/>
        <v>0</v>
      </c>
      <c r="I72" s="336"/>
    </row>
    <row r="73" spans="1:9">
      <c r="A73" s="334" t="s">
        <v>2153</v>
      </c>
      <c r="B73" s="334" t="s">
        <v>2154</v>
      </c>
      <c r="C73" s="334" t="s">
        <v>1070</v>
      </c>
      <c r="D73" s="335">
        <v>3010.48</v>
      </c>
      <c r="E73" s="357">
        <v>19.8</v>
      </c>
      <c r="F73" s="333"/>
      <c r="G73" s="336">
        <f t="shared" si="0"/>
        <v>59607.5</v>
      </c>
      <c r="H73" s="337">
        <f t="shared" si="1"/>
        <v>0</v>
      </c>
      <c r="I73" s="336" t="e">
        <f t="shared" si="2"/>
        <v>#REF!</v>
      </c>
    </row>
    <row r="74" spans="1:9">
      <c r="A74" s="334" t="s">
        <v>2155</v>
      </c>
      <c r="B74" s="334" t="s">
        <v>2156</v>
      </c>
      <c r="C74" s="334" t="s">
        <v>1070</v>
      </c>
      <c r="D74" s="335">
        <v>15.72</v>
      </c>
      <c r="E74" s="357">
        <v>30.28</v>
      </c>
      <c r="F74" s="333"/>
      <c r="G74" s="336">
        <f t="shared" si="0"/>
        <v>476</v>
      </c>
      <c r="H74" s="337">
        <f t="shared" si="1"/>
        <v>0</v>
      </c>
      <c r="I74" s="336" t="e">
        <f t="shared" si="2"/>
        <v>#REF!</v>
      </c>
    </row>
    <row r="75" spans="1:9">
      <c r="A75" s="334" t="s">
        <v>2157</v>
      </c>
      <c r="B75" s="334" t="s">
        <v>2158</v>
      </c>
      <c r="C75" s="334" t="s">
        <v>1070</v>
      </c>
      <c r="D75" s="335">
        <v>877.54</v>
      </c>
      <c r="E75" s="357">
        <v>42.96</v>
      </c>
      <c r="F75" s="333"/>
      <c r="G75" s="336">
        <f t="shared" si="0"/>
        <v>37699.120000000003</v>
      </c>
      <c r="H75" s="337">
        <f t="shared" si="1"/>
        <v>0</v>
      </c>
      <c r="I75" s="336" t="e">
        <f t="shared" si="2"/>
        <v>#REF!</v>
      </c>
    </row>
    <row r="76" spans="1:9">
      <c r="A76" s="334" t="s">
        <v>2159</v>
      </c>
      <c r="B76" s="334" t="s">
        <v>2160</v>
      </c>
      <c r="C76" s="334" t="s">
        <v>1070</v>
      </c>
      <c r="D76" s="335">
        <v>1701.23</v>
      </c>
      <c r="E76" s="357">
        <v>19.3</v>
      </c>
      <c r="F76" s="333"/>
      <c r="G76" s="336">
        <f t="shared" si="0"/>
        <v>32833.74</v>
      </c>
      <c r="H76" s="337">
        <f t="shared" si="1"/>
        <v>0</v>
      </c>
      <c r="I76" s="336" t="e">
        <f t="shared" si="2"/>
        <v>#REF!</v>
      </c>
    </row>
    <row r="77" spans="1:9">
      <c r="A77" s="334" t="s">
        <v>2161</v>
      </c>
      <c r="B77" s="334" t="s">
        <v>2162</v>
      </c>
      <c r="C77" s="334" t="s">
        <v>1070</v>
      </c>
      <c r="D77" s="335">
        <v>32.58</v>
      </c>
      <c r="E77" s="357">
        <v>26.63</v>
      </c>
      <c r="F77" s="333"/>
      <c r="G77" s="336">
        <f t="shared" ref="G77:G127" si="3">ROUND(E77*D77,2)</f>
        <v>867.61</v>
      </c>
      <c r="H77" s="337">
        <f t="shared" ref="H77:H127" si="4">ROUND(F77*D77,2)</f>
        <v>0</v>
      </c>
      <c r="I77" s="336" t="e">
        <f t="shared" ref="I77:I127" si="5">+G77+(H77*$I$3)</f>
        <v>#REF!</v>
      </c>
    </row>
    <row r="78" spans="1:9">
      <c r="A78" s="334" t="s">
        <v>2163</v>
      </c>
      <c r="B78" s="334" t="s">
        <v>2164</v>
      </c>
      <c r="C78" s="334" t="s">
        <v>1070</v>
      </c>
      <c r="D78" s="335">
        <v>141.09</v>
      </c>
      <c r="E78" s="357">
        <v>44.5</v>
      </c>
      <c r="F78" s="333"/>
      <c r="G78" s="336">
        <f t="shared" si="3"/>
        <v>6278.51</v>
      </c>
      <c r="H78" s="337">
        <f t="shared" si="4"/>
        <v>0</v>
      </c>
      <c r="I78" s="336" t="e">
        <f t="shared" si="5"/>
        <v>#REF!</v>
      </c>
    </row>
    <row r="79" spans="1:9">
      <c r="A79" s="492" t="s">
        <v>2165</v>
      </c>
      <c r="B79" s="492" t="s">
        <v>2166</v>
      </c>
      <c r="C79" s="491"/>
      <c r="D79" s="491"/>
      <c r="E79" s="493"/>
      <c r="F79" s="333"/>
      <c r="G79" s="336">
        <f t="shared" si="3"/>
        <v>0</v>
      </c>
      <c r="H79" s="337">
        <f t="shared" si="4"/>
        <v>0</v>
      </c>
      <c r="I79" s="336"/>
    </row>
    <row r="80" spans="1:9">
      <c r="A80" s="334" t="s">
        <v>2167</v>
      </c>
      <c r="B80" s="334" t="s">
        <v>2168</v>
      </c>
      <c r="C80" s="334" t="s">
        <v>1070</v>
      </c>
      <c r="D80" s="335">
        <v>128.66</v>
      </c>
      <c r="E80" s="357">
        <v>26.63</v>
      </c>
      <c r="F80" s="333"/>
      <c r="G80" s="336">
        <f t="shared" si="3"/>
        <v>3426.22</v>
      </c>
      <c r="H80" s="337">
        <f t="shared" si="4"/>
        <v>0</v>
      </c>
      <c r="I80" s="336" t="e">
        <f t="shared" si="5"/>
        <v>#REF!</v>
      </c>
    </row>
    <row r="81" spans="1:9">
      <c r="A81" s="334" t="s">
        <v>2169</v>
      </c>
      <c r="B81" s="334" t="s">
        <v>2170</v>
      </c>
      <c r="C81" s="334" t="s">
        <v>1070</v>
      </c>
      <c r="D81" s="335">
        <v>31.22</v>
      </c>
      <c r="E81" s="357">
        <v>43.34</v>
      </c>
      <c r="F81" s="333"/>
      <c r="G81" s="336">
        <f t="shared" si="3"/>
        <v>1353.07</v>
      </c>
      <c r="H81" s="337">
        <f t="shared" si="4"/>
        <v>0</v>
      </c>
      <c r="I81" s="336" t="e">
        <f t="shared" si="5"/>
        <v>#REF!</v>
      </c>
    </row>
    <row r="82" spans="1:9">
      <c r="A82" s="334" t="s">
        <v>2171</v>
      </c>
      <c r="B82" s="334" t="s">
        <v>2172</v>
      </c>
      <c r="C82" s="334" t="s">
        <v>1070</v>
      </c>
      <c r="D82" s="335">
        <v>16.43</v>
      </c>
      <c r="E82" s="357">
        <v>119.47</v>
      </c>
      <c r="F82" s="333"/>
      <c r="G82" s="336">
        <f t="shared" si="3"/>
        <v>1962.89</v>
      </c>
      <c r="H82" s="337">
        <f t="shared" si="4"/>
        <v>0</v>
      </c>
      <c r="I82" s="336" t="e">
        <f t="shared" si="5"/>
        <v>#REF!</v>
      </c>
    </row>
    <row r="83" spans="1:9">
      <c r="A83" s="334" t="s">
        <v>2173</v>
      </c>
      <c r="B83" s="334" t="s">
        <v>2174</v>
      </c>
      <c r="C83" s="334" t="s">
        <v>1070</v>
      </c>
      <c r="D83" s="335">
        <v>156.31</v>
      </c>
      <c r="E83" s="357">
        <v>1.78</v>
      </c>
      <c r="F83" s="333"/>
      <c r="G83" s="336">
        <f t="shared" si="3"/>
        <v>278.23</v>
      </c>
      <c r="H83" s="337">
        <f t="shared" si="4"/>
        <v>0</v>
      </c>
      <c r="I83" s="336" t="e">
        <f t="shared" si="5"/>
        <v>#REF!</v>
      </c>
    </row>
    <row r="84" spans="1:9">
      <c r="A84" s="334" t="s">
        <v>2175</v>
      </c>
      <c r="B84" s="334" t="s">
        <v>2176</v>
      </c>
      <c r="C84" s="334" t="s">
        <v>155</v>
      </c>
      <c r="D84" s="335">
        <v>40.64</v>
      </c>
      <c r="E84" s="357">
        <v>54.54</v>
      </c>
      <c r="F84" s="333"/>
      <c r="G84" s="336">
        <f t="shared" si="3"/>
        <v>2216.5100000000002</v>
      </c>
      <c r="H84" s="337">
        <f t="shared" si="4"/>
        <v>0</v>
      </c>
      <c r="I84" s="336" t="e">
        <f t="shared" si="5"/>
        <v>#REF!</v>
      </c>
    </row>
    <row r="85" spans="1:9">
      <c r="A85" s="334" t="s">
        <v>2177</v>
      </c>
      <c r="B85" s="334" t="s">
        <v>2178</v>
      </c>
      <c r="C85" s="334" t="s">
        <v>155</v>
      </c>
      <c r="D85" s="335">
        <v>6.25</v>
      </c>
      <c r="E85" s="357">
        <v>76.36</v>
      </c>
      <c r="F85" s="333"/>
      <c r="G85" s="336">
        <f t="shared" si="3"/>
        <v>477.25</v>
      </c>
      <c r="H85" s="337">
        <f t="shared" si="4"/>
        <v>0</v>
      </c>
      <c r="I85" s="336" t="e">
        <f t="shared" si="5"/>
        <v>#REF!</v>
      </c>
    </row>
    <row r="86" spans="1:9">
      <c r="A86" s="334" t="s">
        <v>2179</v>
      </c>
      <c r="B86" s="334" t="s">
        <v>2180</v>
      </c>
      <c r="C86" s="334" t="s">
        <v>155</v>
      </c>
      <c r="D86" s="335">
        <v>34.39</v>
      </c>
      <c r="E86" s="357">
        <v>255.9</v>
      </c>
      <c r="F86" s="333"/>
      <c r="G86" s="336">
        <f t="shared" si="3"/>
        <v>8800.4</v>
      </c>
      <c r="H86" s="337">
        <f t="shared" si="4"/>
        <v>0</v>
      </c>
      <c r="I86" s="336" t="e">
        <f t="shared" si="5"/>
        <v>#REF!</v>
      </c>
    </row>
    <row r="87" spans="1:9">
      <c r="A87" s="334" t="s">
        <v>2181</v>
      </c>
      <c r="B87" s="334" t="s">
        <v>2182</v>
      </c>
      <c r="C87" s="334" t="s">
        <v>155</v>
      </c>
      <c r="D87" s="335">
        <v>24.44</v>
      </c>
      <c r="E87" s="357">
        <v>38.31</v>
      </c>
      <c r="F87" s="333"/>
      <c r="G87" s="336">
        <f t="shared" si="3"/>
        <v>936.3</v>
      </c>
      <c r="H87" s="337">
        <f t="shared" si="4"/>
        <v>0</v>
      </c>
      <c r="I87" s="336" t="e">
        <f t="shared" si="5"/>
        <v>#REF!</v>
      </c>
    </row>
    <row r="88" spans="1:9">
      <c r="A88" s="492" t="s">
        <v>2183</v>
      </c>
      <c r="B88" s="492" t="s">
        <v>2184</v>
      </c>
      <c r="C88" s="491"/>
      <c r="D88" s="491"/>
      <c r="E88" s="493"/>
      <c r="F88" s="333"/>
      <c r="G88" s="336">
        <f t="shared" si="3"/>
        <v>0</v>
      </c>
      <c r="H88" s="337">
        <f t="shared" si="4"/>
        <v>0</v>
      </c>
      <c r="I88" s="336"/>
    </row>
    <row r="89" spans="1:9">
      <c r="A89" s="334" t="s">
        <v>2185</v>
      </c>
      <c r="B89" s="334" t="s">
        <v>2186</v>
      </c>
      <c r="C89" s="334" t="s">
        <v>1070</v>
      </c>
      <c r="D89" s="335">
        <v>61.77</v>
      </c>
      <c r="E89" s="357">
        <v>22.46</v>
      </c>
      <c r="F89" s="333"/>
      <c r="G89" s="336">
        <f t="shared" si="3"/>
        <v>1387.35</v>
      </c>
      <c r="H89" s="337">
        <f t="shared" si="4"/>
        <v>0</v>
      </c>
      <c r="I89" s="336" t="e">
        <f t="shared" si="5"/>
        <v>#REF!</v>
      </c>
    </row>
    <row r="90" spans="1:9">
      <c r="A90" s="334" t="s">
        <v>2187</v>
      </c>
      <c r="B90" s="334" t="s">
        <v>2188</v>
      </c>
      <c r="C90" s="334" t="s">
        <v>1070</v>
      </c>
      <c r="D90" s="335">
        <v>387.21</v>
      </c>
      <c r="E90" s="357">
        <v>33.409999999999997</v>
      </c>
      <c r="F90" s="333"/>
      <c r="G90" s="336">
        <f t="shared" si="3"/>
        <v>12936.69</v>
      </c>
      <c r="H90" s="337">
        <f t="shared" si="4"/>
        <v>0</v>
      </c>
      <c r="I90" s="336" t="e">
        <f t="shared" si="5"/>
        <v>#REF!</v>
      </c>
    </row>
    <row r="91" spans="1:9">
      <c r="A91" s="334" t="s">
        <v>2189</v>
      </c>
      <c r="B91" s="334" t="s">
        <v>2190</v>
      </c>
      <c r="C91" s="334" t="s">
        <v>1070</v>
      </c>
      <c r="D91" s="335">
        <v>29</v>
      </c>
      <c r="E91" s="357">
        <v>40.299999999999997</v>
      </c>
      <c r="F91" s="333"/>
      <c r="G91" s="336">
        <f t="shared" si="3"/>
        <v>1168.7</v>
      </c>
      <c r="H91" s="337">
        <f t="shared" si="4"/>
        <v>0</v>
      </c>
      <c r="I91" s="336" t="e">
        <f t="shared" si="5"/>
        <v>#REF!</v>
      </c>
    </row>
    <row r="92" spans="1:9">
      <c r="A92" s="334" t="s">
        <v>2191</v>
      </c>
      <c r="B92" s="334" t="s">
        <v>2192</v>
      </c>
      <c r="C92" s="334" t="s">
        <v>1070</v>
      </c>
      <c r="D92" s="335">
        <v>291.98</v>
      </c>
      <c r="E92" s="357">
        <v>121.18</v>
      </c>
      <c r="F92" s="333"/>
      <c r="G92" s="336">
        <f t="shared" si="3"/>
        <v>35382.14</v>
      </c>
      <c r="H92" s="337">
        <f t="shared" si="4"/>
        <v>0</v>
      </c>
      <c r="I92" s="336" t="e">
        <f t="shared" si="5"/>
        <v>#REF!</v>
      </c>
    </row>
    <row r="93" spans="1:9">
      <c r="A93" s="334" t="s">
        <v>2193</v>
      </c>
      <c r="B93" s="334" t="s">
        <v>2194</v>
      </c>
      <c r="C93" s="334" t="s">
        <v>1070</v>
      </c>
      <c r="D93" s="335">
        <v>56.78</v>
      </c>
      <c r="E93" s="357">
        <v>124.1</v>
      </c>
      <c r="F93" s="333"/>
      <c r="G93" s="336">
        <f t="shared" si="3"/>
        <v>7046.4</v>
      </c>
      <c r="H93" s="337">
        <f t="shared" si="4"/>
        <v>0</v>
      </c>
      <c r="I93" s="336" t="e">
        <f t="shared" si="5"/>
        <v>#REF!</v>
      </c>
    </row>
    <row r="94" spans="1:9">
      <c r="A94" s="334" t="s">
        <v>2195</v>
      </c>
      <c r="B94" s="334" t="s">
        <v>2196</v>
      </c>
      <c r="C94" s="334" t="s">
        <v>36</v>
      </c>
      <c r="D94" s="335">
        <v>6</v>
      </c>
      <c r="E94" s="357">
        <v>40.92</v>
      </c>
      <c r="F94" s="333"/>
      <c r="G94" s="336">
        <f t="shared" si="3"/>
        <v>245.52</v>
      </c>
      <c r="H94" s="337">
        <f t="shared" si="4"/>
        <v>0</v>
      </c>
      <c r="I94" s="336" t="e">
        <f t="shared" si="5"/>
        <v>#REF!</v>
      </c>
    </row>
    <row r="95" spans="1:9">
      <c r="A95" s="334" t="s">
        <v>2197</v>
      </c>
      <c r="B95" s="334" t="s">
        <v>2198</v>
      </c>
      <c r="C95" s="334" t="s">
        <v>36</v>
      </c>
      <c r="D95" s="335">
        <v>30</v>
      </c>
      <c r="E95" s="357">
        <v>58.71</v>
      </c>
      <c r="F95" s="333"/>
      <c r="G95" s="336">
        <f t="shared" si="3"/>
        <v>1761.3</v>
      </c>
      <c r="H95" s="337">
        <f t="shared" si="4"/>
        <v>0</v>
      </c>
      <c r="I95" s="336" t="e">
        <f t="shared" si="5"/>
        <v>#REF!</v>
      </c>
    </row>
    <row r="96" spans="1:9">
      <c r="A96" s="334" t="s">
        <v>2199</v>
      </c>
      <c r="B96" s="334" t="s">
        <v>2200</v>
      </c>
      <c r="C96" s="334" t="s">
        <v>36</v>
      </c>
      <c r="D96" s="335">
        <v>55</v>
      </c>
      <c r="E96" s="357">
        <v>113.58</v>
      </c>
      <c r="F96" s="333"/>
      <c r="G96" s="336">
        <f t="shared" si="3"/>
        <v>6246.9</v>
      </c>
      <c r="H96" s="337">
        <f t="shared" si="4"/>
        <v>0</v>
      </c>
      <c r="I96" s="336" t="e">
        <f t="shared" si="5"/>
        <v>#REF!</v>
      </c>
    </row>
    <row r="97" spans="1:9">
      <c r="A97" s="334" t="s">
        <v>2201</v>
      </c>
      <c r="B97" s="334" t="s">
        <v>2202</v>
      </c>
      <c r="C97" s="334" t="s">
        <v>36</v>
      </c>
      <c r="D97" s="335">
        <v>15</v>
      </c>
      <c r="E97" s="357">
        <v>152.44</v>
      </c>
      <c r="F97" s="333"/>
      <c r="G97" s="336">
        <f t="shared" si="3"/>
        <v>2286.6</v>
      </c>
      <c r="H97" s="337">
        <f t="shared" si="4"/>
        <v>0</v>
      </c>
      <c r="I97" s="336" t="e">
        <f t="shared" si="5"/>
        <v>#REF!</v>
      </c>
    </row>
    <row r="98" spans="1:9">
      <c r="A98" s="334" t="s">
        <v>2203</v>
      </c>
      <c r="B98" s="334" t="s">
        <v>2204</v>
      </c>
      <c r="C98" s="334" t="s">
        <v>36</v>
      </c>
      <c r="D98" s="335">
        <v>36</v>
      </c>
      <c r="E98" s="357">
        <v>37.479999999999997</v>
      </c>
      <c r="F98" s="333"/>
      <c r="G98" s="336">
        <f t="shared" si="3"/>
        <v>1349.28</v>
      </c>
      <c r="H98" s="337">
        <f t="shared" si="4"/>
        <v>0</v>
      </c>
      <c r="I98" s="336" t="e">
        <f t="shared" si="5"/>
        <v>#REF!</v>
      </c>
    </row>
    <row r="99" spans="1:9">
      <c r="A99" s="334" t="s">
        <v>2205</v>
      </c>
      <c r="B99" s="334" t="s">
        <v>2206</v>
      </c>
      <c r="C99" s="334" t="s">
        <v>36</v>
      </c>
      <c r="D99" s="335">
        <v>21</v>
      </c>
      <c r="E99" s="357">
        <v>53.68</v>
      </c>
      <c r="F99" s="333"/>
      <c r="G99" s="336">
        <f t="shared" si="3"/>
        <v>1127.28</v>
      </c>
      <c r="H99" s="337">
        <f t="shared" si="4"/>
        <v>0</v>
      </c>
      <c r="I99" s="336" t="e">
        <f t="shared" si="5"/>
        <v>#REF!</v>
      </c>
    </row>
    <row r="100" spans="1:9">
      <c r="A100" s="334" t="s">
        <v>2207</v>
      </c>
      <c r="B100" s="334" t="s">
        <v>2208</v>
      </c>
      <c r="C100" s="334" t="s">
        <v>36</v>
      </c>
      <c r="D100" s="335">
        <v>18</v>
      </c>
      <c r="E100" s="357">
        <v>108.28</v>
      </c>
      <c r="F100" s="333"/>
      <c r="G100" s="336">
        <f t="shared" si="3"/>
        <v>1949.04</v>
      </c>
      <c r="H100" s="337">
        <f t="shared" si="4"/>
        <v>0</v>
      </c>
      <c r="I100" s="336" t="e">
        <f t="shared" si="5"/>
        <v>#REF!</v>
      </c>
    </row>
    <row r="101" spans="1:9">
      <c r="A101" s="492" t="s">
        <v>2209</v>
      </c>
      <c r="B101" s="492" t="s">
        <v>2210</v>
      </c>
      <c r="C101" s="491"/>
      <c r="D101" s="491"/>
      <c r="E101" s="493"/>
      <c r="F101" s="333"/>
      <c r="G101" s="336">
        <f t="shared" si="3"/>
        <v>0</v>
      </c>
      <c r="H101" s="337">
        <f t="shared" si="4"/>
        <v>0</v>
      </c>
      <c r="I101" s="336"/>
    </row>
    <row r="102" spans="1:9">
      <c r="A102" s="334" t="s">
        <v>2211</v>
      </c>
      <c r="B102" s="334" t="s">
        <v>2212</v>
      </c>
      <c r="C102" s="334" t="s">
        <v>1070</v>
      </c>
      <c r="D102" s="335">
        <v>670.38</v>
      </c>
      <c r="E102" s="357">
        <v>28.42</v>
      </c>
      <c r="F102" s="333"/>
      <c r="G102" s="336">
        <f t="shared" si="3"/>
        <v>19052.2</v>
      </c>
      <c r="H102" s="337">
        <f t="shared" si="4"/>
        <v>0</v>
      </c>
      <c r="I102" s="336" t="e">
        <f t="shared" si="5"/>
        <v>#REF!</v>
      </c>
    </row>
    <row r="103" spans="1:9">
      <c r="A103" s="334" t="s">
        <v>2213</v>
      </c>
      <c r="B103" s="334" t="s">
        <v>2214</v>
      </c>
      <c r="C103" s="334" t="s">
        <v>1070</v>
      </c>
      <c r="D103" s="335">
        <v>1702</v>
      </c>
      <c r="E103" s="357">
        <v>36.549999999999997</v>
      </c>
      <c r="F103" s="333"/>
      <c r="G103" s="336">
        <f t="shared" si="3"/>
        <v>62208.1</v>
      </c>
      <c r="H103" s="337">
        <f t="shared" si="4"/>
        <v>0</v>
      </c>
      <c r="I103" s="336" t="e">
        <f t="shared" si="5"/>
        <v>#REF!</v>
      </c>
    </row>
    <row r="104" spans="1:9">
      <c r="A104" s="334" t="s">
        <v>2215</v>
      </c>
      <c r="B104" s="334" t="s">
        <v>2216</v>
      </c>
      <c r="C104" s="334" t="s">
        <v>1070</v>
      </c>
      <c r="D104" s="335">
        <v>2208</v>
      </c>
      <c r="E104" s="357">
        <v>44.96</v>
      </c>
      <c r="F104" s="333"/>
      <c r="G104" s="336">
        <f t="shared" si="3"/>
        <v>99271.679999999993</v>
      </c>
      <c r="H104" s="337">
        <f t="shared" si="4"/>
        <v>0</v>
      </c>
      <c r="I104" s="336" t="e">
        <f t="shared" si="5"/>
        <v>#REF!</v>
      </c>
    </row>
    <row r="105" spans="1:9">
      <c r="A105" s="334" t="s">
        <v>2217</v>
      </c>
      <c r="B105" s="334" t="s">
        <v>2218</v>
      </c>
      <c r="C105" s="334" t="s">
        <v>1070</v>
      </c>
      <c r="D105" s="335">
        <v>109</v>
      </c>
      <c r="E105" s="357">
        <v>28.42</v>
      </c>
      <c r="F105" s="333"/>
      <c r="G105" s="336">
        <f t="shared" si="3"/>
        <v>3097.78</v>
      </c>
      <c r="H105" s="337">
        <f t="shared" si="4"/>
        <v>0</v>
      </c>
      <c r="I105" s="336" t="e">
        <f t="shared" si="5"/>
        <v>#REF!</v>
      </c>
    </row>
    <row r="106" spans="1:9">
      <c r="A106" s="334" t="s">
        <v>2219</v>
      </c>
      <c r="B106" s="334" t="s">
        <v>2220</v>
      </c>
      <c r="C106" s="334" t="s">
        <v>1070</v>
      </c>
      <c r="D106" s="335">
        <v>384</v>
      </c>
      <c r="E106" s="357">
        <v>36.549999999999997</v>
      </c>
      <c r="F106" s="333"/>
      <c r="G106" s="336">
        <f t="shared" si="3"/>
        <v>14035.2</v>
      </c>
      <c r="H106" s="337">
        <f t="shared" si="4"/>
        <v>0</v>
      </c>
      <c r="I106" s="336" t="e">
        <f t="shared" si="5"/>
        <v>#REF!</v>
      </c>
    </row>
    <row r="107" spans="1:9">
      <c r="A107" s="334" t="s">
        <v>2221</v>
      </c>
      <c r="B107" s="334" t="s">
        <v>2222</v>
      </c>
      <c r="C107" s="334" t="s">
        <v>1070</v>
      </c>
      <c r="D107" s="335">
        <v>2906</v>
      </c>
      <c r="E107" s="357">
        <v>44.96</v>
      </c>
      <c r="F107" s="333"/>
      <c r="G107" s="336">
        <f t="shared" si="3"/>
        <v>130653.75999999999</v>
      </c>
      <c r="H107" s="337">
        <f t="shared" si="4"/>
        <v>0</v>
      </c>
      <c r="I107" s="336" t="e">
        <f t="shared" si="5"/>
        <v>#REF!</v>
      </c>
    </row>
    <row r="108" spans="1:9">
      <c r="A108" s="334" t="s">
        <v>2223</v>
      </c>
      <c r="B108" s="334" t="s">
        <v>2224</v>
      </c>
      <c r="C108" s="334" t="s">
        <v>36</v>
      </c>
      <c r="D108" s="335">
        <v>12</v>
      </c>
      <c r="E108" s="357">
        <v>24.72</v>
      </c>
      <c r="F108" s="333"/>
      <c r="G108" s="336">
        <f t="shared" si="3"/>
        <v>296.64</v>
      </c>
      <c r="H108" s="337">
        <f t="shared" si="4"/>
        <v>0</v>
      </c>
      <c r="I108" s="336" t="e">
        <f t="shared" si="5"/>
        <v>#REF!</v>
      </c>
    </row>
    <row r="109" spans="1:9">
      <c r="A109" s="334" t="s">
        <v>2225</v>
      </c>
      <c r="B109" s="334" t="s">
        <v>2226</v>
      </c>
      <c r="C109" s="334" t="s">
        <v>36</v>
      </c>
      <c r="D109" s="335">
        <v>5</v>
      </c>
      <c r="E109" s="357">
        <v>28.34</v>
      </c>
      <c r="F109" s="333"/>
      <c r="G109" s="336">
        <f t="shared" si="3"/>
        <v>141.69999999999999</v>
      </c>
      <c r="H109" s="337">
        <f t="shared" si="4"/>
        <v>0</v>
      </c>
      <c r="I109" s="336" t="e">
        <f t="shared" si="5"/>
        <v>#REF!</v>
      </c>
    </row>
    <row r="110" spans="1:9">
      <c r="A110" s="334" t="s">
        <v>2227</v>
      </c>
      <c r="B110" s="334" t="s">
        <v>2228</v>
      </c>
      <c r="C110" s="334" t="s">
        <v>36</v>
      </c>
      <c r="D110" s="335">
        <v>52</v>
      </c>
      <c r="E110" s="357">
        <v>31.48</v>
      </c>
      <c r="F110" s="333"/>
      <c r="G110" s="336">
        <f t="shared" si="3"/>
        <v>1636.96</v>
      </c>
      <c r="H110" s="337">
        <f t="shared" si="4"/>
        <v>0</v>
      </c>
      <c r="I110" s="336" t="e">
        <f t="shared" si="5"/>
        <v>#REF!</v>
      </c>
    </row>
    <row r="111" spans="1:9">
      <c r="A111" s="492" t="s">
        <v>2229</v>
      </c>
      <c r="B111" s="492" t="s">
        <v>2230</v>
      </c>
      <c r="C111" s="491"/>
      <c r="D111" s="491"/>
      <c r="E111" s="493"/>
      <c r="F111" s="333"/>
      <c r="G111" s="336">
        <f t="shared" si="3"/>
        <v>0</v>
      </c>
      <c r="H111" s="337">
        <f t="shared" si="4"/>
        <v>0</v>
      </c>
      <c r="I111" s="336"/>
    </row>
    <row r="112" spans="1:9">
      <c r="A112" s="334" t="s">
        <v>2231</v>
      </c>
      <c r="B112" s="334" t="s">
        <v>2232</v>
      </c>
      <c r="C112" s="334" t="s">
        <v>36</v>
      </c>
      <c r="D112" s="335">
        <v>1041</v>
      </c>
      <c r="E112" s="357">
        <v>57.58</v>
      </c>
      <c r="F112" s="333"/>
      <c r="G112" s="336">
        <f t="shared" si="3"/>
        <v>59940.78</v>
      </c>
      <c r="H112" s="337">
        <f t="shared" si="4"/>
        <v>0</v>
      </c>
      <c r="I112" s="336" t="e">
        <f t="shared" si="5"/>
        <v>#REF!</v>
      </c>
    </row>
    <row r="113" spans="1:9">
      <c r="A113" s="334" t="s">
        <v>2233</v>
      </c>
      <c r="B113" s="334" t="s">
        <v>2234</v>
      </c>
      <c r="C113" s="334" t="s">
        <v>36</v>
      </c>
      <c r="D113" s="335">
        <v>5</v>
      </c>
      <c r="E113" s="357">
        <v>81.86</v>
      </c>
      <c r="F113" s="333"/>
      <c r="G113" s="336">
        <f t="shared" si="3"/>
        <v>409.3</v>
      </c>
      <c r="H113" s="337">
        <f t="shared" si="4"/>
        <v>0</v>
      </c>
      <c r="I113" s="336" t="e">
        <f t="shared" si="5"/>
        <v>#REF!</v>
      </c>
    </row>
    <row r="114" spans="1:9">
      <c r="A114" s="334" t="s">
        <v>2235</v>
      </c>
      <c r="B114" s="334" t="s">
        <v>2236</v>
      </c>
      <c r="C114" s="334" t="s">
        <v>36</v>
      </c>
      <c r="D114" s="335">
        <v>1</v>
      </c>
      <c r="E114" s="357">
        <v>92.14</v>
      </c>
      <c r="F114" s="333"/>
      <c r="G114" s="336">
        <f t="shared" si="3"/>
        <v>92.14</v>
      </c>
      <c r="H114" s="337">
        <f t="shared" si="4"/>
        <v>0</v>
      </c>
      <c r="I114" s="336" t="e">
        <f t="shared" si="5"/>
        <v>#REF!</v>
      </c>
    </row>
    <row r="115" spans="1:9">
      <c r="A115" s="334" t="s">
        <v>2237</v>
      </c>
      <c r="B115" s="334" t="s">
        <v>2238</v>
      </c>
      <c r="C115" s="334" t="s">
        <v>36</v>
      </c>
      <c r="D115" s="335">
        <v>1200</v>
      </c>
      <c r="E115" s="357">
        <v>45.49</v>
      </c>
      <c r="F115" s="333"/>
      <c r="G115" s="336">
        <f t="shared" si="3"/>
        <v>54588</v>
      </c>
      <c r="H115" s="337">
        <f t="shared" si="4"/>
        <v>0</v>
      </c>
      <c r="I115" s="336" t="e">
        <f t="shared" si="5"/>
        <v>#REF!</v>
      </c>
    </row>
    <row r="116" spans="1:9">
      <c r="A116" s="334" t="s">
        <v>2239</v>
      </c>
      <c r="B116" s="334" t="s">
        <v>2240</v>
      </c>
      <c r="C116" s="334" t="s">
        <v>36</v>
      </c>
      <c r="D116" s="335">
        <v>7</v>
      </c>
      <c r="E116" s="357">
        <v>61.19</v>
      </c>
      <c r="F116" s="333"/>
      <c r="G116" s="336">
        <f t="shared" si="3"/>
        <v>428.33</v>
      </c>
      <c r="H116" s="337">
        <f t="shared" si="4"/>
        <v>0</v>
      </c>
      <c r="I116" s="336" t="e">
        <f t="shared" si="5"/>
        <v>#REF!</v>
      </c>
    </row>
    <row r="117" spans="1:9">
      <c r="A117" s="492" t="s">
        <v>2241</v>
      </c>
      <c r="B117" s="492" t="s">
        <v>2096</v>
      </c>
      <c r="C117" s="491"/>
      <c r="D117" s="491"/>
      <c r="E117" s="493"/>
      <c r="F117" s="333"/>
      <c r="G117" s="336">
        <f t="shared" si="3"/>
        <v>0</v>
      </c>
      <c r="H117" s="337">
        <f t="shared" si="4"/>
        <v>0</v>
      </c>
      <c r="I117" s="336"/>
    </row>
    <row r="118" spans="1:9">
      <c r="A118" s="334" t="s">
        <v>2242</v>
      </c>
      <c r="B118" s="334" t="s">
        <v>2243</v>
      </c>
      <c r="C118" s="334" t="s">
        <v>29</v>
      </c>
      <c r="D118" s="335">
        <v>1</v>
      </c>
      <c r="E118" s="357">
        <v>5756.28</v>
      </c>
      <c r="F118" s="333"/>
      <c r="G118" s="336">
        <f t="shared" si="3"/>
        <v>5756.28</v>
      </c>
      <c r="H118" s="337">
        <f t="shared" si="4"/>
        <v>0</v>
      </c>
      <c r="I118" s="336" t="e">
        <f t="shared" si="5"/>
        <v>#REF!</v>
      </c>
    </row>
    <row r="119" spans="1:9">
      <c r="A119" s="334" t="s">
        <v>2244</v>
      </c>
      <c r="B119" s="334" t="s">
        <v>2245</v>
      </c>
      <c r="C119" s="334" t="s">
        <v>29</v>
      </c>
      <c r="D119" s="335">
        <v>1</v>
      </c>
      <c r="E119" s="357">
        <v>29210</v>
      </c>
      <c r="F119" s="333"/>
      <c r="G119" s="336">
        <f t="shared" si="3"/>
        <v>29210</v>
      </c>
      <c r="H119" s="337">
        <f t="shared" si="4"/>
        <v>0</v>
      </c>
      <c r="I119" s="336" t="e">
        <f t="shared" si="5"/>
        <v>#REF!</v>
      </c>
    </row>
    <row r="120" spans="1:9">
      <c r="A120" s="334" t="s">
        <v>2246</v>
      </c>
      <c r="B120" s="334" t="s">
        <v>2247</v>
      </c>
      <c r="C120" s="334" t="s">
        <v>29</v>
      </c>
      <c r="D120" s="335">
        <v>1</v>
      </c>
      <c r="E120" s="357">
        <v>1500</v>
      </c>
      <c r="F120" s="333"/>
      <c r="G120" s="336">
        <f t="shared" si="3"/>
        <v>1500</v>
      </c>
      <c r="H120" s="337">
        <f t="shared" si="4"/>
        <v>0</v>
      </c>
      <c r="I120" s="336" t="e">
        <f t="shared" si="5"/>
        <v>#REF!</v>
      </c>
    </row>
    <row r="121" spans="1:9">
      <c r="A121" s="334" t="s">
        <v>2248</v>
      </c>
      <c r="B121" s="334" t="s">
        <v>2249</v>
      </c>
      <c r="C121" s="334" t="s">
        <v>36</v>
      </c>
      <c r="D121" s="335">
        <v>4</v>
      </c>
      <c r="E121" s="357">
        <v>397.55</v>
      </c>
      <c r="F121" s="333"/>
      <c r="G121" s="336">
        <f t="shared" si="3"/>
        <v>1590.2</v>
      </c>
      <c r="H121" s="337">
        <f t="shared" si="4"/>
        <v>0</v>
      </c>
      <c r="I121" s="336" t="e">
        <f t="shared" si="5"/>
        <v>#REF!</v>
      </c>
    </row>
    <row r="122" spans="1:9">
      <c r="A122" s="334" t="s">
        <v>2250</v>
      </c>
      <c r="B122" s="334" t="s">
        <v>2251</v>
      </c>
      <c r="C122" s="334" t="s">
        <v>36</v>
      </c>
      <c r="D122" s="335">
        <v>10</v>
      </c>
      <c r="E122" s="357">
        <v>791.1</v>
      </c>
      <c r="F122" s="333"/>
      <c r="G122" s="336">
        <f t="shared" si="3"/>
        <v>7911</v>
      </c>
      <c r="H122" s="337">
        <f t="shared" si="4"/>
        <v>0</v>
      </c>
      <c r="I122" s="336" t="e">
        <f t="shared" si="5"/>
        <v>#REF!</v>
      </c>
    </row>
    <row r="123" spans="1:9">
      <c r="A123" s="332" t="s">
        <v>2252</v>
      </c>
      <c r="B123" s="332" t="s">
        <v>2253</v>
      </c>
      <c r="C123" s="491"/>
      <c r="D123" s="491"/>
      <c r="E123" s="493"/>
      <c r="F123" s="333"/>
      <c r="G123" s="336">
        <f t="shared" si="3"/>
        <v>0</v>
      </c>
      <c r="H123" s="337">
        <f t="shared" si="4"/>
        <v>0</v>
      </c>
      <c r="I123" s="336"/>
    </row>
    <row r="124" spans="1:9">
      <c r="A124" s="334" t="s">
        <v>2254</v>
      </c>
      <c r="B124" s="334" t="s">
        <v>2255</v>
      </c>
      <c r="C124" s="334" t="s">
        <v>36</v>
      </c>
      <c r="D124" s="335">
        <v>463</v>
      </c>
      <c r="E124" s="357">
        <v>82.86</v>
      </c>
      <c r="F124" s="333"/>
      <c r="G124" s="336">
        <f t="shared" si="3"/>
        <v>38364.18</v>
      </c>
      <c r="H124" s="337">
        <f t="shared" si="4"/>
        <v>0</v>
      </c>
      <c r="I124" s="336" t="e">
        <f t="shared" si="5"/>
        <v>#REF!</v>
      </c>
    </row>
    <row r="125" spans="1:9">
      <c r="A125" s="334" t="s">
        <v>2256</v>
      </c>
      <c r="B125" s="334" t="s">
        <v>2257</v>
      </c>
      <c r="C125" s="334" t="s">
        <v>36</v>
      </c>
      <c r="D125" s="335">
        <v>9</v>
      </c>
      <c r="E125" s="357">
        <v>82.86</v>
      </c>
      <c r="F125" s="333"/>
      <c r="G125" s="336">
        <f t="shared" si="3"/>
        <v>745.74</v>
      </c>
      <c r="H125" s="337">
        <f t="shared" si="4"/>
        <v>0</v>
      </c>
      <c r="I125" s="336" t="e">
        <f t="shared" si="5"/>
        <v>#REF!</v>
      </c>
    </row>
    <row r="126" spans="1:9">
      <c r="A126" s="334" t="s">
        <v>2258</v>
      </c>
      <c r="B126" s="334" t="s">
        <v>2259</v>
      </c>
      <c r="C126" s="334" t="s">
        <v>36</v>
      </c>
      <c r="D126" s="335">
        <v>446</v>
      </c>
      <c r="E126" s="357">
        <v>80.89</v>
      </c>
      <c r="F126" s="333"/>
      <c r="G126" s="336">
        <f t="shared" si="3"/>
        <v>36076.94</v>
      </c>
      <c r="H126" s="337">
        <f t="shared" si="4"/>
        <v>0</v>
      </c>
      <c r="I126" s="336" t="e">
        <f t="shared" si="5"/>
        <v>#REF!</v>
      </c>
    </row>
    <row r="127" spans="1:9">
      <c r="A127" s="334" t="s">
        <v>2260</v>
      </c>
      <c r="B127" s="334" t="s">
        <v>2261</v>
      </c>
      <c r="C127" s="334" t="s">
        <v>36</v>
      </c>
      <c r="D127" s="335">
        <v>945</v>
      </c>
      <c r="E127" s="357">
        <v>80.89</v>
      </c>
      <c r="F127" s="333"/>
      <c r="G127" s="336">
        <f t="shared" si="3"/>
        <v>76441.05</v>
      </c>
      <c r="H127" s="337">
        <f t="shared" si="4"/>
        <v>0</v>
      </c>
      <c r="I127" s="336" t="e">
        <f t="shared" si="5"/>
        <v>#REF!</v>
      </c>
    </row>
  </sheetData>
  <mergeCells count="1">
    <mergeCell ref="A2:H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F7F90-4DAE-42F8-A1B9-4E9F5BCB3D19}">
  <dimension ref="A1:K194"/>
  <sheetViews>
    <sheetView workbookViewId="0">
      <selection activeCell="G6" sqref="G6"/>
    </sheetView>
  </sheetViews>
  <sheetFormatPr defaultColWidth="11.42578125" defaultRowHeight="15"/>
  <cols>
    <col min="1" max="1" width="12.42578125" bestFit="1" customWidth="1"/>
    <col min="2" max="2" width="75.5703125" bestFit="1" customWidth="1"/>
    <col min="3" max="3" width="4" bestFit="1" customWidth="1"/>
    <col min="4" max="4" width="10.28515625" customWidth="1"/>
    <col min="7" max="7" width="13.7109375" customWidth="1"/>
    <col min="9" max="9" width="13" bestFit="1" customWidth="1"/>
    <col min="10" max="10" width="12.7109375" bestFit="1" customWidth="1"/>
    <col min="11" max="11" width="14.85546875" bestFit="1" customWidth="1"/>
  </cols>
  <sheetData>
    <row r="1" spans="1:11">
      <c r="A1" s="25"/>
      <c r="B1" s="309"/>
      <c r="C1" s="3"/>
      <c r="D1" s="2"/>
      <c r="E1" s="310"/>
      <c r="F1" s="486"/>
      <c r="G1" s="310"/>
      <c r="H1" s="311"/>
      <c r="I1" s="312"/>
    </row>
    <row r="2" spans="1:11">
      <c r="A2" s="698" t="s">
        <v>2262</v>
      </c>
      <c r="B2" s="698"/>
      <c r="C2" s="698"/>
      <c r="D2" s="698"/>
      <c r="E2" s="698"/>
      <c r="F2" s="698"/>
      <c r="G2" s="698"/>
      <c r="H2" s="698"/>
      <c r="I2" s="312"/>
    </row>
    <row r="3" spans="1:11">
      <c r="A3" s="25"/>
      <c r="B3" s="309"/>
      <c r="C3" s="3"/>
      <c r="D3" s="2"/>
      <c r="E3" s="310"/>
      <c r="F3" s="486"/>
      <c r="G3" s="310"/>
      <c r="H3" s="313" t="s">
        <v>1564</v>
      </c>
      <c r="I3" s="314">
        <v>3.75</v>
      </c>
    </row>
    <row r="4" spans="1:11">
      <c r="A4" s="108" t="s">
        <v>0</v>
      </c>
      <c r="B4" s="315" t="s">
        <v>1565</v>
      </c>
      <c r="C4" s="3"/>
      <c r="D4" s="2"/>
      <c r="E4" s="310"/>
      <c r="F4" s="486"/>
      <c r="G4" s="310"/>
      <c r="H4" s="311"/>
      <c r="I4" s="487"/>
    </row>
    <row r="5" spans="1:11">
      <c r="A5" s="108" t="s">
        <v>13</v>
      </c>
      <c r="B5" s="315" t="s">
        <v>2262</v>
      </c>
      <c r="C5" s="3"/>
      <c r="D5" s="2"/>
      <c r="E5" s="310"/>
      <c r="F5" s="486"/>
      <c r="G5" s="310"/>
      <c r="H5" s="311"/>
      <c r="I5" s="312"/>
    </row>
    <row r="6" spans="1:11">
      <c r="A6" s="108" t="s">
        <v>1</v>
      </c>
      <c r="B6" s="315" t="s">
        <v>1567</v>
      </c>
      <c r="C6" s="3"/>
      <c r="D6" s="2"/>
      <c r="E6" s="310"/>
      <c r="F6" s="488" t="s">
        <v>1779</v>
      </c>
      <c r="G6" s="316">
        <v>45538</v>
      </c>
      <c r="H6" s="317"/>
      <c r="I6" s="312"/>
      <c r="K6" s="318"/>
    </row>
    <row r="7" spans="1:11" ht="15.75" thickBot="1">
      <c r="A7" s="108" t="s">
        <v>2</v>
      </c>
      <c r="B7" s="315"/>
      <c r="C7" s="3"/>
      <c r="D7" s="2"/>
      <c r="E7" s="310"/>
      <c r="F7" s="486"/>
      <c r="G7" s="310"/>
      <c r="H7" s="311"/>
      <c r="I7" s="312"/>
    </row>
    <row r="8" spans="1:11" ht="15.75" thickTop="1">
      <c r="A8" s="319" t="s">
        <v>4</v>
      </c>
      <c r="B8" s="320" t="s">
        <v>15</v>
      </c>
      <c r="C8" s="321" t="s">
        <v>16</v>
      </c>
      <c r="D8" s="322" t="s">
        <v>17</v>
      </c>
      <c r="E8" s="323" t="s">
        <v>1568</v>
      </c>
      <c r="F8" s="489" t="s">
        <v>1569</v>
      </c>
      <c r="G8" s="323" t="s">
        <v>1570</v>
      </c>
      <c r="H8" s="324" t="s">
        <v>1571</v>
      </c>
      <c r="I8" s="325" t="s">
        <v>12</v>
      </c>
    </row>
    <row r="9" spans="1:11">
      <c r="A9" s="326" t="s">
        <v>24</v>
      </c>
      <c r="B9" s="327" t="s">
        <v>2262</v>
      </c>
      <c r="C9" s="328"/>
      <c r="D9" s="329"/>
      <c r="E9" s="329"/>
      <c r="F9" s="490"/>
      <c r="G9" s="329">
        <f>SUM(G10:G194)</f>
        <v>2529563.2299999986</v>
      </c>
      <c r="H9" s="330">
        <f>SUM(H12:H194)</f>
        <v>319707.26</v>
      </c>
      <c r="I9" s="329">
        <f>SUM(I10:I194)</f>
        <v>3728465.4550000005</v>
      </c>
      <c r="J9" s="331"/>
      <c r="K9" s="318"/>
    </row>
    <row r="10" spans="1:11">
      <c r="A10" s="332" t="s">
        <v>1572</v>
      </c>
      <c r="B10" s="332" t="s">
        <v>2263</v>
      </c>
      <c r="C10" s="491"/>
      <c r="D10" s="491"/>
      <c r="E10" s="491"/>
      <c r="F10" s="333"/>
      <c r="G10" s="333"/>
      <c r="H10" s="333"/>
      <c r="I10" s="333"/>
    </row>
    <row r="11" spans="1:11">
      <c r="A11" s="492" t="s">
        <v>2034</v>
      </c>
      <c r="B11" s="492" t="s">
        <v>2264</v>
      </c>
      <c r="C11" s="491"/>
      <c r="D11" s="491"/>
      <c r="E11" s="491"/>
      <c r="F11" s="333"/>
      <c r="G11" s="333"/>
      <c r="H11" s="333"/>
      <c r="I11" s="333"/>
    </row>
    <row r="12" spans="1:11">
      <c r="A12" s="334" t="s">
        <v>2036</v>
      </c>
      <c r="B12" s="334" t="s">
        <v>2265</v>
      </c>
      <c r="C12" s="334" t="s">
        <v>2038</v>
      </c>
      <c r="D12" s="335">
        <v>835</v>
      </c>
      <c r="E12" s="357">
        <v>57.87</v>
      </c>
      <c r="F12" s="358">
        <v>5.88</v>
      </c>
      <c r="G12" s="336">
        <f>ROUND(E12*D12,2)</f>
        <v>48321.45</v>
      </c>
      <c r="H12" s="337">
        <f>ROUND(F12*D12,2)</f>
        <v>4909.8</v>
      </c>
      <c r="I12" s="336">
        <f>+G12+(H12*$I$3)</f>
        <v>66733.2</v>
      </c>
      <c r="K12" s="318"/>
    </row>
    <row r="13" spans="1:11">
      <c r="A13" s="334" t="s">
        <v>2039</v>
      </c>
      <c r="B13" s="334" t="s">
        <v>2266</v>
      </c>
      <c r="C13" s="334" t="s">
        <v>2038</v>
      </c>
      <c r="D13" s="335">
        <v>2659</v>
      </c>
      <c r="E13" s="357">
        <v>61.550000000000004</v>
      </c>
      <c r="F13" s="358">
        <v>4.25</v>
      </c>
      <c r="G13" s="336">
        <f t="shared" ref="G13:G76" si="0">ROUND(E13*D13,2)</f>
        <v>163661.45000000001</v>
      </c>
      <c r="H13" s="337">
        <f t="shared" ref="H13:H76" si="1">ROUND(F13*D13,2)</f>
        <v>11300.75</v>
      </c>
      <c r="I13" s="336">
        <f t="shared" ref="I13:I78" si="2">+G13+(H13*$I$3)</f>
        <v>206039.26250000001</v>
      </c>
      <c r="K13" s="318"/>
    </row>
    <row r="14" spans="1:11">
      <c r="A14" s="334" t="s">
        <v>2267</v>
      </c>
      <c r="B14" s="334" t="s">
        <v>2268</v>
      </c>
      <c r="C14" s="334" t="s">
        <v>2038</v>
      </c>
      <c r="D14" s="335">
        <v>232</v>
      </c>
      <c r="E14" s="357">
        <v>61.550000000000004</v>
      </c>
      <c r="F14" s="358">
        <v>4.25</v>
      </c>
      <c r="G14" s="336">
        <f t="shared" si="0"/>
        <v>14279.6</v>
      </c>
      <c r="H14" s="337">
        <f t="shared" si="1"/>
        <v>986</v>
      </c>
      <c r="I14" s="336">
        <f t="shared" si="2"/>
        <v>17977.099999999999</v>
      </c>
      <c r="K14" s="318"/>
    </row>
    <row r="15" spans="1:11">
      <c r="A15" s="334" t="s">
        <v>2041</v>
      </c>
      <c r="B15" s="334" t="s">
        <v>2269</v>
      </c>
      <c r="C15" s="334" t="s">
        <v>2038</v>
      </c>
      <c r="D15" s="335">
        <v>370</v>
      </c>
      <c r="E15" s="357">
        <v>61.55</v>
      </c>
      <c r="F15" s="358">
        <v>5.88</v>
      </c>
      <c r="G15" s="336">
        <f t="shared" si="0"/>
        <v>22773.5</v>
      </c>
      <c r="H15" s="337">
        <f t="shared" si="1"/>
        <v>2175.6</v>
      </c>
      <c r="I15" s="336">
        <f t="shared" si="2"/>
        <v>30932</v>
      </c>
      <c r="K15" s="318"/>
    </row>
    <row r="16" spans="1:11">
      <c r="A16" s="334" t="s">
        <v>2041</v>
      </c>
      <c r="B16" s="334" t="s">
        <v>2270</v>
      </c>
      <c r="C16" s="334" t="s">
        <v>2038</v>
      </c>
      <c r="D16" s="335">
        <v>34</v>
      </c>
      <c r="E16" s="357">
        <v>61.55</v>
      </c>
      <c r="F16" s="358">
        <v>5.88</v>
      </c>
      <c r="G16" s="336">
        <f t="shared" si="0"/>
        <v>2092.6999999999998</v>
      </c>
      <c r="H16" s="337">
        <f t="shared" si="1"/>
        <v>199.92</v>
      </c>
      <c r="I16" s="336">
        <f t="shared" si="2"/>
        <v>2842.3999999999996</v>
      </c>
      <c r="K16" s="318"/>
    </row>
    <row r="17" spans="1:11">
      <c r="A17" s="334" t="s">
        <v>2041</v>
      </c>
      <c r="B17" s="334" t="s">
        <v>2271</v>
      </c>
      <c r="C17" s="334" t="s">
        <v>2038</v>
      </c>
      <c r="D17" s="335">
        <v>100</v>
      </c>
      <c r="E17" s="357">
        <v>61.55</v>
      </c>
      <c r="F17" s="358">
        <v>5.88</v>
      </c>
      <c r="G17" s="336">
        <f t="shared" si="0"/>
        <v>6155</v>
      </c>
      <c r="H17" s="337">
        <f t="shared" si="1"/>
        <v>588</v>
      </c>
      <c r="I17" s="336">
        <f t="shared" si="2"/>
        <v>8360</v>
      </c>
      <c r="K17" s="318"/>
    </row>
    <row r="18" spans="1:11">
      <c r="A18" s="334" t="s">
        <v>1744</v>
      </c>
      <c r="B18" s="334" t="s">
        <v>2272</v>
      </c>
      <c r="C18" s="334" t="s">
        <v>2038</v>
      </c>
      <c r="D18" s="335">
        <v>227</v>
      </c>
      <c r="E18" s="357">
        <v>61.55</v>
      </c>
      <c r="F18" s="358">
        <v>6.05</v>
      </c>
      <c r="G18" s="336">
        <f t="shared" si="0"/>
        <v>13971.85</v>
      </c>
      <c r="H18" s="337">
        <f t="shared" si="1"/>
        <v>1373.35</v>
      </c>
      <c r="I18" s="336">
        <f t="shared" si="2"/>
        <v>19121.912499999999</v>
      </c>
      <c r="K18" s="318"/>
    </row>
    <row r="19" spans="1:11">
      <c r="A19" s="334" t="s">
        <v>2273</v>
      </c>
      <c r="B19" s="334" t="s">
        <v>2274</v>
      </c>
      <c r="C19" s="334" t="s">
        <v>2038</v>
      </c>
      <c r="D19" s="335">
        <v>240</v>
      </c>
      <c r="E19" s="357">
        <v>61.55</v>
      </c>
      <c r="F19" s="358">
        <v>6.05</v>
      </c>
      <c r="G19" s="336">
        <f t="shared" si="0"/>
        <v>14772</v>
      </c>
      <c r="H19" s="337">
        <f t="shared" si="1"/>
        <v>1452</v>
      </c>
      <c r="I19" s="336">
        <f t="shared" si="2"/>
        <v>20217</v>
      </c>
      <c r="K19" s="318"/>
    </row>
    <row r="20" spans="1:11">
      <c r="A20" s="334" t="s">
        <v>2275</v>
      </c>
      <c r="B20" s="334" t="s">
        <v>2276</v>
      </c>
      <c r="C20" s="334" t="s">
        <v>2038</v>
      </c>
      <c r="D20" s="335">
        <v>670</v>
      </c>
      <c r="E20" s="357">
        <v>52.2</v>
      </c>
      <c r="F20" s="358">
        <v>6.05</v>
      </c>
      <c r="G20" s="336">
        <f t="shared" si="0"/>
        <v>34974</v>
      </c>
      <c r="H20" s="337">
        <f t="shared" si="1"/>
        <v>4053.5</v>
      </c>
      <c r="I20" s="336">
        <f t="shared" si="2"/>
        <v>50174.625</v>
      </c>
      <c r="K20" s="318"/>
    </row>
    <row r="21" spans="1:11">
      <c r="A21" s="492" t="s">
        <v>2043</v>
      </c>
      <c r="B21" s="492" t="s">
        <v>2277</v>
      </c>
      <c r="C21" s="491"/>
      <c r="D21" s="491"/>
      <c r="E21" s="493"/>
      <c r="F21" s="358"/>
      <c r="G21" s="336">
        <f t="shared" si="0"/>
        <v>0</v>
      </c>
      <c r="H21" s="337">
        <f t="shared" si="1"/>
        <v>0</v>
      </c>
      <c r="I21" s="336"/>
    </row>
    <row r="22" spans="1:11">
      <c r="A22" s="334" t="s">
        <v>2045</v>
      </c>
      <c r="B22" s="334" t="s">
        <v>2278</v>
      </c>
      <c r="C22" s="334" t="s">
        <v>2038</v>
      </c>
      <c r="D22" s="335">
        <v>1389</v>
      </c>
      <c r="E22" s="357">
        <v>55.43</v>
      </c>
      <c r="F22" s="358">
        <v>5.88</v>
      </c>
      <c r="G22" s="336">
        <f t="shared" si="0"/>
        <v>76992.27</v>
      </c>
      <c r="H22" s="337">
        <f t="shared" si="1"/>
        <v>8167.32</v>
      </c>
      <c r="I22" s="336">
        <f t="shared" si="2"/>
        <v>107619.72</v>
      </c>
      <c r="K22" s="318"/>
    </row>
    <row r="23" spans="1:11">
      <c r="A23" s="334" t="s">
        <v>2047</v>
      </c>
      <c r="B23" s="334" t="s">
        <v>2279</v>
      </c>
      <c r="C23" s="334" t="s">
        <v>2038</v>
      </c>
      <c r="D23" s="335">
        <v>798</v>
      </c>
      <c r="E23" s="357">
        <v>55.43</v>
      </c>
      <c r="F23" s="358">
        <v>5.88</v>
      </c>
      <c r="G23" s="336">
        <f t="shared" si="0"/>
        <v>44233.14</v>
      </c>
      <c r="H23" s="337">
        <f t="shared" si="1"/>
        <v>4692.24</v>
      </c>
      <c r="I23" s="336">
        <f t="shared" si="2"/>
        <v>61829.039999999994</v>
      </c>
      <c r="K23" s="318"/>
    </row>
    <row r="24" spans="1:11">
      <c r="A24" s="334" t="s">
        <v>2049</v>
      </c>
      <c r="B24" s="334" t="s">
        <v>2280</v>
      </c>
      <c r="C24" s="334" t="s">
        <v>2038</v>
      </c>
      <c r="D24" s="335">
        <v>199</v>
      </c>
      <c r="E24" s="357">
        <v>55.429999999999993</v>
      </c>
      <c r="F24" s="358">
        <v>14.29</v>
      </c>
      <c r="G24" s="336">
        <f t="shared" si="0"/>
        <v>11030.57</v>
      </c>
      <c r="H24" s="337">
        <f t="shared" si="1"/>
        <v>2843.71</v>
      </c>
      <c r="I24" s="336">
        <f t="shared" si="2"/>
        <v>21694.482499999998</v>
      </c>
      <c r="K24" s="318"/>
    </row>
    <row r="25" spans="1:11">
      <c r="A25" s="334" t="s">
        <v>2051</v>
      </c>
      <c r="B25" s="334" t="s">
        <v>2281</v>
      </c>
      <c r="C25" s="334" t="s">
        <v>2038</v>
      </c>
      <c r="D25" s="335">
        <v>24</v>
      </c>
      <c r="E25" s="357">
        <v>55.430000000000007</v>
      </c>
      <c r="F25" s="358">
        <v>6.05</v>
      </c>
      <c r="G25" s="336">
        <f t="shared" si="0"/>
        <v>1330.32</v>
      </c>
      <c r="H25" s="337">
        <f t="shared" si="1"/>
        <v>145.19999999999999</v>
      </c>
      <c r="I25" s="336">
        <f t="shared" si="2"/>
        <v>1874.82</v>
      </c>
      <c r="K25" s="318"/>
    </row>
    <row r="26" spans="1:11">
      <c r="A26" s="334" t="s">
        <v>2053</v>
      </c>
      <c r="B26" s="334" t="s">
        <v>2282</v>
      </c>
      <c r="C26" s="334" t="s">
        <v>2038</v>
      </c>
      <c r="D26" s="335">
        <v>0</v>
      </c>
      <c r="E26" s="357">
        <v>55.43</v>
      </c>
      <c r="F26" s="358">
        <v>14</v>
      </c>
      <c r="G26" s="336">
        <f t="shared" si="0"/>
        <v>0</v>
      </c>
      <c r="H26" s="337">
        <f t="shared" si="1"/>
        <v>0</v>
      </c>
      <c r="I26" s="336">
        <f t="shared" si="2"/>
        <v>0</v>
      </c>
      <c r="K26" s="318"/>
    </row>
    <row r="27" spans="1:11">
      <c r="A27" s="334" t="s">
        <v>2055</v>
      </c>
      <c r="B27" s="334" t="s">
        <v>2283</v>
      </c>
      <c r="C27" s="334" t="s">
        <v>2038</v>
      </c>
      <c r="D27" s="335">
        <v>0</v>
      </c>
      <c r="E27" s="357">
        <v>55.430000000000007</v>
      </c>
      <c r="F27" s="358">
        <v>19.350000000000001</v>
      </c>
      <c r="G27" s="336">
        <f t="shared" si="0"/>
        <v>0</v>
      </c>
      <c r="H27" s="337">
        <f t="shared" si="1"/>
        <v>0</v>
      </c>
      <c r="I27" s="336">
        <f t="shared" si="2"/>
        <v>0</v>
      </c>
      <c r="K27" s="318"/>
    </row>
    <row r="28" spans="1:11">
      <c r="A28" s="332" t="s">
        <v>1624</v>
      </c>
      <c r="B28" s="332" t="s">
        <v>2284</v>
      </c>
      <c r="C28" s="491"/>
      <c r="D28" s="491"/>
      <c r="E28" s="493"/>
      <c r="F28" s="358"/>
      <c r="G28" s="336">
        <f t="shared" si="0"/>
        <v>0</v>
      </c>
      <c r="H28" s="337">
        <f t="shared" si="1"/>
        <v>0</v>
      </c>
      <c r="I28" s="336"/>
    </row>
    <row r="29" spans="1:11">
      <c r="A29" s="492" t="s">
        <v>2118</v>
      </c>
      <c r="B29" s="492" t="s">
        <v>2285</v>
      </c>
      <c r="C29" s="491"/>
      <c r="D29" s="491"/>
      <c r="E29" s="493"/>
      <c r="F29" s="358"/>
      <c r="G29" s="336">
        <f t="shared" si="0"/>
        <v>0</v>
      </c>
      <c r="H29" s="337">
        <f t="shared" si="1"/>
        <v>0</v>
      </c>
      <c r="I29" s="336"/>
    </row>
    <row r="30" spans="1:11">
      <c r="A30" s="334" t="s">
        <v>2120</v>
      </c>
      <c r="B30" s="334" t="s">
        <v>2286</v>
      </c>
      <c r="C30" s="334" t="s">
        <v>36</v>
      </c>
      <c r="D30" s="335">
        <v>1</v>
      </c>
      <c r="E30" s="357">
        <v>34764.61</v>
      </c>
      <c r="F30" s="358"/>
      <c r="G30" s="336">
        <f t="shared" si="0"/>
        <v>34764.61</v>
      </c>
      <c r="H30" s="337">
        <f t="shared" si="1"/>
        <v>0</v>
      </c>
      <c r="I30" s="336">
        <f t="shared" si="2"/>
        <v>34764.61</v>
      </c>
    </row>
    <row r="31" spans="1:11">
      <c r="A31" s="334" t="s">
        <v>2122</v>
      </c>
      <c r="B31" s="334" t="s">
        <v>2287</v>
      </c>
      <c r="C31" s="334" t="s">
        <v>36</v>
      </c>
      <c r="D31" s="335">
        <v>1</v>
      </c>
      <c r="E31" s="357">
        <v>81230.039999999994</v>
      </c>
      <c r="F31" s="358"/>
      <c r="G31" s="336">
        <f t="shared" si="0"/>
        <v>81230.039999999994</v>
      </c>
      <c r="H31" s="337">
        <f t="shared" si="1"/>
        <v>0</v>
      </c>
      <c r="I31" s="336">
        <f t="shared" si="2"/>
        <v>81230.039999999994</v>
      </c>
    </row>
    <row r="32" spans="1:11">
      <c r="A32" s="334" t="s">
        <v>2288</v>
      </c>
      <c r="B32" s="334" t="s">
        <v>2289</v>
      </c>
      <c r="C32" s="334" t="s">
        <v>36</v>
      </c>
      <c r="D32" s="335">
        <v>1</v>
      </c>
      <c r="E32" s="357">
        <v>23004.37</v>
      </c>
      <c r="F32" s="358"/>
      <c r="G32" s="336">
        <f t="shared" si="0"/>
        <v>23004.37</v>
      </c>
      <c r="H32" s="337">
        <f t="shared" si="1"/>
        <v>0</v>
      </c>
      <c r="I32" s="336">
        <f t="shared" si="2"/>
        <v>23004.37</v>
      </c>
    </row>
    <row r="33" spans="1:9">
      <c r="A33" s="334" t="s">
        <v>2290</v>
      </c>
      <c r="B33" s="334" t="s">
        <v>2291</v>
      </c>
      <c r="C33" s="334" t="s">
        <v>36</v>
      </c>
      <c r="D33" s="335">
        <v>1</v>
      </c>
      <c r="E33" s="357">
        <v>21939.72</v>
      </c>
      <c r="F33" s="358"/>
      <c r="G33" s="336">
        <f t="shared" si="0"/>
        <v>21939.72</v>
      </c>
      <c r="H33" s="337">
        <f t="shared" si="1"/>
        <v>0</v>
      </c>
      <c r="I33" s="336">
        <f t="shared" si="2"/>
        <v>21939.72</v>
      </c>
    </row>
    <row r="34" spans="1:9">
      <c r="A34" s="334" t="s">
        <v>2292</v>
      </c>
      <c r="B34" s="334" t="s">
        <v>2293</v>
      </c>
      <c r="C34" s="334" t="s">
        <v>36</v>
      </c>
      <c r="D34" s="335">
        <v>1</v>
      </c>
      <c r="E34" s="357">
        <v>6225.23</v>
      </c>
      <c r="F34" s="358"/>
      <c r="G34" s="336">
        <f t="shared" si="0"/>
        <v>6225.23</v>
      </c>
      <c r="H34" s="337">
        <f t="shared" si="1"/>
        <v>0</v>
      </c>
      <c r="I34" s="336">
        <f t="shared" si="2"/>
        <v>6225.23</v>
      </c>
    </row>
    <row r="35" spans="1:9">
      <c r="A35" s="334" t="s">
        <v>2294</v>
      </c>
      <c r="B35" s="334" t="s">
        <v>2295</v>
      </c>
      <c r="C35" s="334" t="s">
        <v>36</v>
      </c>
      <c r="D35" s="335">
        <v>5</v>
      </c>
      <c r="E35" s="357">
        <v>3480.41</v>
      </c>
      <c r="F35" s="358"/>
      <c r="G35" s="336">
        <f t="shared" si="0"/>
        <v>17402.05</v>
      </c>
      <c r="H35" s="337">
        <f t="shared" si="1"/>
        <v>0</v>
      </c>
      <c r="I35" s="336">
        <f t="shared" si="2"/>
        <v>17402.05</v>
      </c>
    </row>
    <row r="36" spans="1:9">
      <c r="A36" s="334" t="s">
        <v>2296</v>
      </c>
      <c r="B36" s="334" t="s">
        <v>2297</v>
      </c>
      <c r="C36" s="334" t="s">
        <v>36</v>
      </c>
      <c r="D36" s="335">
        <v>1</v>
      </c>
      <c r="E36" s="357">
        <v>6283.53</v>
      </c>
      <c r="F36" s="358"/>
      <c r="G36" s="336">
        <f t="shared" si="0"/>
        <v>6283.53</v>
      </c>
      <c r="H36" s="337">
        <f t="shared" si="1"/>
        <v>0</v>
      </c>
      <c r="I36" s="336">
        <f t="shared" si="2"/>
        <v>6283.53</v>
      </c>
    </row>
    <row r="37" spans="1:9">
      <c r="A37" s="334" t="s">
        <v>2298</v>
      </c>
      <c r="B37" s="334" t="s">
        <v>2299</v>
      </c>
      <c r="C37" s="334" t="s">
        <v>36</v>
      </c>
      <c r="D37" s="335">
        <v>1</v>
      </c>
      <c r="E37" s="357">
        <v>2010.14</v>
      </c>
      <c r="F37" s="358"/>
      <c r="G37" s="336">
        <f t="shared" si="0"/>
        <v>2010.14</v>
      </c>
      <c r="H37" s="337">
        <f t="shared" si="1"/>
        <v>0</v>
      </c>
      <c r="I37" s="336">
        <f t="shared" si="2"/>
        <v>2010.14</v>
      </c>
    </row>
    <row r="38" spans="1:9">
      <c r="A38" s="334" t="s">
        <v>2300</v>
      </c>
      <c r="B38" s="334" t="s">
        <v>2301</v>
      </c>
      <c r="C38" s="334" t="s">
        <v>36</v>
      </c>
      <c r="D38" s="335">
        <v>1</v>
      </c>
      <c r="E38" s="357">
        <v>12238.4</v>
      </c>
      <c r="F38" s="358"/>
      <c r="G38" s="336">
        <f t="shared" si="0"/>
        <v>12238.4</v>
      </c>
      <c r="H38" s="337">
        <f t="shared" si="1"/>
        <v>0</v>
      </c>
      <c r="I38" s="336">
        <f t="shared" si="2"/>
        <v>12238.4</v>
      </c>
    </row>
    <row r="39" spans="1:9">
      <c r="A39" s="334" t="s">
        <v>2302</v>
      </c>
      <c r="B39" s="334" t="s">
        <v>2303</v>
      </c>
      <c r="C39" s="334" t="s">
        <v>36</v>
      </c>
      <c r="D39" s="335">
        <v>1</v>
      </c>
      <c r="E39" s="357">
        <v>4584.37</v>
      </c>
      <c r="F39" s="358"/>
      <c r="G39" s="336">
        <f t="shared" si="0"/>
        <v>4584.37</v>
      </c>
      <c r="H39" s="337">
        <f t="shared" si="1"/>
        <v>0</v>
      </c>
      <c r="I39" s="336">
        <f t="shared" si="2"/>
        <v>4584.37</v>
      </c>
    </row>
    <row r="40" spans="1:9">
      <c r="A40" s="334" t="s">
        <v>2304</v>
      </c>
      <c r="B40" s="334" t="s">
        <v>2305</v>
      </c>
      <c r="C40" s="334" t="s">
        <v>36</v>
      </c>
      <c r="D40" s="335">
        <v>1</v>
      </c>
      <c r="E40" s="357">
        <v>1901.14</v>
      </c>
      <c r="F40" s="358"/>
      <c r="G40" s="336">
        <f t="shared" si="0"/>
        <v>1901.14</v>
      </c>
      <c r="H40" s="337">
        <f t="shared" si="1"/>
        <v>0</v>
      </c>
      <c r="I40" s="336">
        <f t="shared" si="2"/>
        <v>1901.14</v>
      </c>
    </row>
    <row r="41" spans="1:9">
      <c r="A41" s="334" t="s">
        <v>2306</v>
      </c>
      <c r="B41" s="334" t="s">
        <v>2307</v>
      </c>
      <c r="C41" s="334" t="s">
        <v>36</v>
      </c>
      <c r="D41" s="335">
        <v>1</v>
      </c>
      <c r="E41" s="357">
        <v>13526.05</v>
      </c>
      <c r="F41" s="358"/>
      <c r="G41" s="336">
        <f t="shared" si="0"/>
        <v>13526.05</v>
      </c>
      <c r="H41" s="337">
        <f t="shared" si="1"/>
        <v>0</v>
      </c>
      <c r="I41" s="336">
        <f t="shared" si="2"/>
        <v>13526.05</v>
      </c>
    </row>
    <row r="42" spans="1:9">
      <c r="A42" s="334" t="s">
        <v>2308</v>
      </c>
      <c r="B42" s="334" t="s">
        <v>2309</v>
      </c>
      <c r="C42" s="334" t="s">
        <v>36</v>
      </c>
      <c r="D42" s="335">
        <v>1</v>
      </c>
      <c r="E42" s="357">
        <v>2031.28</v>
      </c>
      <c r="F42" s="358"/>
      <c r="G42" s="336">
        <f t="shared" si="0"/>
        <v>2031.28</v>
      </c>
      <c r="H42" s="337">
        <f t="shared" si="1"/>
        <v>0</v>
      </c>
      <c r="I42" s="336">
        <f t="shared" si="2"/>
        <v>2031.28</v>
      </c>
    </row>
    <row r="43" spans="1:9">
      <c r="A43" s="334" t="s">
        <v>2310</v>
      </c>
      <c r="B43" s="334" t="s">
        <v>2311</v>
      </c>
      <c r="C43" s="334" t="s">
        <v>36</v>
      </c>
      <c r="D43" s="335">
        <v>1</v>
      </c>
      <c r="E43" s="357">
        <v>2734.17</v>
      </c>
      <c r="F43" s="358"/>
      <c r="G43" s="336">
        <f t="shared" si="0"/>
        <v>2734.17</v>
      </c>
      <c r="H43" s="337">
        <f t="shared" si="1"/>
        <v>0</v>
      </c>
      <c r="I43" s="336">
        <f t="shared" si="2"/>
        <v>2734.17</v>
      </c>
    </row>
    <row r="44" spans="1:9">
      <c r="A44" s="334" t="s">
        <v>2312</v>
      </c>
      <c r="B44" s="334" t="s">
        <v>2303</v>
      </c>
      <c r="C44" s="334" t="s">
        <v>36</v>
      </c>
      <c r="D44" s="335">
        <v>1</v>
      </c>
      <c r="E44" s="357">
        <v>4671.4399999999996</v>
      </c>
      <c r="F44" s="358"/>
      <c r="G44" s="336">
        <f t="shared" si="0"/>
        <v>4671.4399999999996</v>
      </c>
      <c r="H44" s="337">
        <f t="shared" si="1"/>
        <v>0</v>
      </c>
      <c r="I44" s="336">
        <f t="shared" si="2"/>
        <v>4671.4399999999996</v>
      </c>
    </row>
    <row r="45" spans="1:9">
      <c r="A45" s="334" t="s">
        <v>2313</v>
      </c>
      <c r="B45" s="334" t="s">
        <v>2314</v>
      </c>
      <c r="C45" s="334" t="s">
        <v>36</v>
      </c>
      <c r="D45" s="335">
        <v>1</v>
      </c>
      <c r="E45" s="357">
        <v>2438.09</v>
      </c>
      <c r="F45" s="358"/>
      <c r="G45" s="336">
        <f t="shared" si="0"/>
        <v>2438.09</v>
      </c>
      <c r="H45" s="337">
        <f t="shared" si="1"/>
        <v>0</v>
      </c>
      <c r="I45" s="336">
        <f t="shared" si="2"/>
        <v>2438.09</v>
      </c>
    </row>
    <row r="46" spans="1:9">
      <c r="A46" s="334" t="s">
        <v>2315</v>
      </c>
      <c r="B46" s="334" t="s">
        <v>2316</v>
      </c>
      <c r="C46" s="334" t="s">
        <v>36</v>
      </c>
      <c r="D46" s="335">
        <v>5</v>
      </c>
      <c r="E46" s="357">
        <v>2026.42</v>
      </c>
      <c r="F46" s="358"/>
      <c r="G46" s="336">
        <f t="shared" si="0"/>
        <v>10132.1</v>
      </c>
      <c r="H46" s="337">
        <f t="shared" si="1"/>
        <v>0</v>
      </c>
      <c r="I46" s="336">
        <f t="shared" si="2"/>
        <v>10132.1</v>
      </c>
    </row>
    <row r="47" spans="1:9">
      <c r="A47" s="334" t="s">
        <v>2317</v>
      </c>
      <c r="B47" s="334" t="s">
        <v>2318</v>
      </c>
      <c r="C47" s="334" t="s">
        <v>36</v>
      </c>
      <c r="D47" s="335">
        <v>1</v>
      </c>
      <c r="E47" s="357">
        <v>7421.75</v>
      </c>
      <c r="F47" s="358"/>
      <c r="G47" s="336">
        <f t="shared" si="0"/>
        <v>7421.75</v>
      </c>
      <c r="H47" s="337">
        <f t="shared" si="1"/>
        <v>0</v>
      </c>
      <c r="I47" s="336">
        <f t="shared" si="2"/>
        <v>7421.75</v>
      </c>
    </row>
    <row r="48" spans="1:9">
      <c r="A48" s="334" t="s">
        <v>2319</v>
      </c>
      <c r="B48" s="334" t="s">
        <v>2320</v>
      </c>
      <c r="C48" s="334" t="s">
        <v>36</v>
      </c>
      <c r="D48" s="335">
        <v>1</v>
      </c>
      <c r="E48" s="357">
        <v>2750.29</v>
      </c>
      <c r="F48" s="358"/>
      <c r="G48" s="336">
        <f t="shared" si="0"/>
        <v>2750.29</v>
      </c>
      <c r="H48" s="337">
        <f t="shared" si="1"/>
        <v>0</v>
      </c>
      <c r="I48" s="336">
        <f t="shared" si="2"/>
        <v>2750.29</v>
      </c>
    </row>
    <row r="49" spans="1:11">
      <c r="A49" s="334" t="s">
        <v>2321</v>
      </c>
      <c r="B49" s="334" t="s">
        <v>2322</v>
      </c>
      <c r="C49" s="334" t="s">
        <v>36</v>
      </c>
      <c r="D49" s="335">
        <v>1</v>
      </c>
      <c r="E49" s="357">
        <v>2679.9</v>
      </c>
      <c r="F49" s="358"/>
      <c r="G49" s="336">
        <f t="shared" si="0"/>
        <v>2679.9</v>
      </c>
      <c r="H49" s="337">
        <f t="shared" si="1"/>
        <v>0</v>
      </c>
      <c r="I49" s="336">
        <f t="shared" si="2"/>
        <v>2679.9</v>
      </c>
    </row>
    <row r="50" spans="1:11">
      <c r="A50" s="334" t="s">
        <v>2323</v>
      </c>
      <c r="B50" s="334" t="s">
        <v>2324</v>
      </c>
      <c r="C50" s="334" t="s">
        <v>36</v>
      </c>
      <c r="D50" s="335">
        <v>1</v>
      </c>
      <c r="E50" s="357">
        <v>9078.26</v>
      </c>
      <c r="F50" s="358"/>
      <c r="G50" s="336">
        <f t="shared" si="0"/>
        <v>9078.26</v>
      </c>
      <c r="H50" s="337">
        <f t="shared" si="1"/>
        <v>0</v>
      </c>
      <c r="I50" s="336">
        <f t="shared" si="2"/>
        <v>9078.26</v>
      </c>
    </row>
    <row r="51" spans="1:11">
      <c r="A51" s="334" t="s">
        <v>2325</v>
      </c>
      <c r="B51" s="334" t="s">
        <v>2326</v>
      </c>
      <c r="C51" s="334" t="s">
        <v>36</v>
      </c>
      <c r="D51" s="335">
        <v>1</v>
      </c>
      <c r="E51" s="357">
        <v>4571.7299999999996</v>
      </c>
      <c r="F51" s="358"/>
      <c r="G51" s="336">
        <f t="shared" si="0"/>
        <v>4571.7299999999996</v>
      </c>
      <c r="H51" s="337">
        <f t="shared" si="1"/>
        <v>0</v>
      </c>
      <c r="I51" s="336">
        <f t="shared" si="2"/>
        <v>4571.7299999999996</v>
      </c>
    </row>
    <row r="52" spans="1:11">
      <c r="A52" s="334" t="s">
        <v>2327</v>
      </c>
      <c r="B52" s="334" t="s">
        <v>2328</v>
      </c>
      <c r="C52" s="334" t="s">
        <v>36</v>
      </c>
      <c r="D52" s="335">
        <v>4</v>
      </c>
      <c r="E52" s="357">
        <v>2576.42</v>
      </c>
      <c r="F52" s="358"/>
      <c r="G52" s="336">
        <f t="shared" si="0"/>
        <v>10305.68</v>
      </c>
      <c r="H52" s="337">
        <f t="shared" si="1"/>
        <v>0</v>
      </c>
      <c r="I52" s="336">
        <f t="shared" si="2"/>
        <v>10305.68</v>
      </c>
    </row>
    <row r="53" spans="1:11">
      <c r="A53" s="334" t="s">
        <v>2329</v>
      </c>
      <c r="B53" s="334" t="s">
        <v>2330</v>
      </c>
      <c r="C53" s="334" t="s">
        <v>36</v>
      </c>
      <c r="D53" s="335">
        <v>28</v>
      </c>
      <c r="E53" s="357">
        <v>1006.1</v>
      </c>
      <c r="F53" s="358"/>
      <c r="G53" s="336">
        <f t="shared" si="0"/>
        <v>28170.799999999999</v>
      </c>
      <c r="H53" s="337">
        <f t="shared" si="1"/>
        <v>0</v>
      </c>
      <c r="I53" s="336">
        <f t="shared" si="2"/>
        <v>28170.799999999999</v>
      </c>
    </row>
    <row r="54" spans="1:11">
      <c r="A54" s="334" t="s">
        <v>2331</v>
      </c>
      <c r="B54" s="334" t="s">
        <v>2332</v>
      </c>
      <c r="C54" s="334" t="s">
        <v>36</v>
      </c>
      <c r="D54" s="335">
        <v>209</v>
      </c>
      <c r="E54" s="357">
        <v>1014.58</v>
      </c>
      <c r="F54" s="358"/>
      <c r="G54" s="336">
        <f t="shared" si="0"/>
        <v>212047.22</v>
      </c>
      <c r="H54" s="337">
        <f t="shared" si="1"/>
        <v>0</v>
      </c>
      <c r="I54" s="336">
        <f t="shared" si="2"/>
        <v>212047.22</v>
      </c>
    </row>
    <row r="55" spans="1:11">
      <c r="A55" s="332" t="s">
        <v>1706</v>
      </c>
      <c r="B55" s="332" t="s">
        <v>2333</v>
      </c>
      <c r="C55" s="491"/>
      <c r="D55" s="491"/>
      <c r="E55" s="493"/>
      <c r="F55" s="358"/>
      <c r="G55" s="336">
        <f t="shared" si="0"/>
        <v>0</v>
      </c>
      <c r="H55" s="337">
        <f t="shared" si="1"/>
        <v>0</v>
      </c>
      <c r="I55" s="336">
        <f t="shared" si="2"/>
        <v>0</v>
      </c>
    </row>
    <row r="56" spans="1:11">
      <c r="A56" s="492" t="s">
        <v>2137</v>
      </c>
      <c r="B56" s="492" t="s">
        <v>2334</v>
      </c>
      <c r="C56" s="491"/>
      <c r="D56" s="491"/>
      <c r="E56" s="493"/>
      <c r="F56" s="358"/>
      <c r="G56" s="336">
        <f t="shared" si="0"/>
        <v>0</v>
      </c>
      <c r="H56" s="337">
        <f t="shared" si="1"/>
        <v>0</v>
      </c>
      <c r="I56" s="336">
        <f t="shared" si="2"/>
        <v>0</v>
      </c>
    </row>
    <row r="57" spans="1:11">
      <c r="A57" s="334" t="s">
        <v>2139</v>
      </c>
      <c r="B57" s="334" t="s">
        <v>2335</v>
      </c>
      <c r="C57" s="334" t="s">
        <v>2038</v>
      </c>
      <c r="D57" s="335">
        <v>4291</v>
      </c>
      <c r="E57" s="357">
        <v>51.69</v>
      </c>
      <c r="F57" s="358">
        <v>5.66</v>
      </c>
      <c r="G57" s="336">
        <f t="shared" si="0"/>
        <v>221801.79</v>
      </c>
      <c r="H57" s="337">
        <f t="shared" si="1"/>
        <v>24287.06</v>
      </c>
      <c r="I57" s="336">
        <f t="shared" si="2"/>
        <v>312878.26500000001</v>
      </c>
      <c r="K57" s="318"/>
    </row>
    <row r="58" spans="1:11">
      <c r="A58" s="334" t="s">
        <v>2141</v>
      </c>
      <c r="B58" s="334" t="s">
        <v>2336</v>
      </c>
      <c r="C58" s="334" t="s">
        <v>2038</v>
      </c>
      <c r="D58" s="335">
        <v>29</v>
      </c>
      <c r="E58" s="357">
        <v>52.28</v>
      </c>
      <c r="F58" s="358">
        <v>5.66</v>
      </c>
      <c r="G58" s="336">
        <f t="shared" si="0"/>
        <v>1516.12</v>
      </c>
      <c r="H58" s="337">
        <f t="shared" si="1"/>
        <v>164.14</v>
      </c>
      <c r="I58" s="336">
        <f t="shared" si="2"/>
        <v>2131.645</v>
      </c>
      <c r="K58" s="318"/>
    </row>
    <row r="59" spans="1:11">
      <c r="A59" s="334" t="s">
        <v>2145</v>
      </c>
      <c r="B59" s="334" t="s">
        <v>2337</v>
      </c>
      <c r="C59" s="334" t="s">
        <v>2038</v>
      </c>
      <c r="D59" s="335">
        <v>237</v>
      </c>
      <c r="E59" s="357">
        <v>54.519999999999996</v>
      </c>
      <c r="F59" s="358">
        <v>5.66</v>
      </c>
      <c r="G59" s="336">
        <f t="shared" si="0"/>
        <v>12921.24</v>
      </c>
      <c r="H59" s="337">
        <f t="shared" si="1"/>
        <v>1341.42</v>
      </c>
      <c r="I59" s="336">
        <f t="shared" si="2"/>
        <v>17951.565000000002</v>
      </c>
      <c r="K59" s="318"/>
    </row>
    <row r="60" spans="1:11">
      <c r="A60" s="334" t="s">
        <v>2147</v>
      </c>
      <c r="B60" s="334" t="s">
        <v>2338</v>
      </c>
      <c r="C60" s="334" t="s">
        <v>2038</v>
      </c>
      <c r="D60" s="335">
        <v>237</v>
      </c>
      <c r="E60" s="357">
        <v>54.519999999999996</v>
      </c>
      <c r="F60" s="358">
        <v>5.66</v>
      </c>
      <c r="G60" s="336">
        <f t="shared" si="0"/>
        <v>12921.24</v>
      </c>
      <c r="H60" s="337">
        <f t="shared" si="1"/>
        <v>1341.42</v>
      </c>
      <c r="I60" s="336">
        <f t="shared" si="2"/>
        <v>17951.565000000002</v>
      </c>
      <c r="K60" s="318"/>
    </row>
    <row r="61" spans="1:11">
      <c r="A61" s="334" t="s">
        <v>2149</v>
      </c>
      <c r="B61" s="334" t="s">
        <v>2339</v>
      </c>
      <c r="C61" s="334" t="s">
        <v>2038</v>
      </c>
      <c r="D61" s="335">
        <v>5</v>
      </c>
      <c r="E61" s="357">
        <v>103.09999999999997</v>
      </c>
      <c r="F61" s="358">
        <v>123.53</v>
      </c>
      <c r="G61" s="336">
        <f t="shared" si="0"/>
        <v>515.5</v>
      </c>
      <c r="H61" s="337">
        <f t="shared" si="1"/>
        <v>617.65</v>
      </c>
      <c r="I61" s="336">
        <f t="shared" si="2"/>
        <v>2831.6875</v>
      </c>
      <c r="K61" s="318"/>
    </row>
    <row r="62" spans="1:11">
      <c r="A62" s="334" t="s">
        <v>2340</v>
      </c>
      <c r="B62" s="334" t="s">
        <v>2341</v>
      </c>
      <c r="C62" s="334" t="s">
        <v>2038</v>
      </c>
      <c r="D62" s="335">
        <v>9</v>
      </c>
      <c r="E62" s="357">
        <v>103.1</v>
      </c>
      <c r="F62" s="358">
        <v>49.05</v>
      </c>
      <c r="G62" s="336">
        <f t="shared" si="0"/>
        <v>927.9</v>
      </c>
      <c r="H62" s="337">
        <f t="shared" si="1"/>
        <v>441.45</v>
      </c>
      <c r="I62" s="336">
        <f t="shared" si="2"/>
        <v>2583.3375000000001</v>
      </c>
      <c r="K62" s="318"/>
    </row>
    <row r="63" spans="1:11">
      <c r="A63" s="334" t="s">
        <v>2342</v>
      </c>
      <c r="B63" s="334" t="s">
        <v>2343</v>
      </c>
      <c r="C63" s="334" t="s">
        <v>2038</v>
      </c>
      <c r="D63" s="335">
        <v>1</v>
      </c>
      <c r="E63" s="357">
        <v>247.40000000000009</v>
      </c>
      <c r="F63" s="358">
        <v>915.36</v>
      </c>
      <c r="G63" s="336">
        <f t="shared" si="0"/>
        <v>247.4</v>
      </c>
      <c r="H63" s="337">
        <f t="shared" si="1"/>
        <v>915.36</v>
      </c>
      <c r="I63" s="336">
        <f t="shared" si="2"/>
        <v>3680</v>
      </c>
      <c r="K63" s="318"/>
    </row>
    <row r="64" spans="1:11">
      <c r="A64" s="334" t="s">
        <v>2344</v>
      </c>
      <c r="B64" s="334" t="s">
        <v>2345</v>
      </c>
      <c r="C64" s="334" t="s">
        <v>2038</v>
      </c>
      <c r="D64" s="335">
        <v>1</v>
      </c>
      <c r="E64" s="357">
        <v>111.1</v>
      </c>
      <c r="F64" s="358">
        <v>20.16</v>
      </c>
      <c r="G64" s="336">
        <f t="shared" si="0"/>
        <v>111.1</v>
      </c>
      <c r="H64" s="337">
        <f t="shared" si="1"/>
        <v>20.16</v>
      </c>
      <c r="I64" s="336">
        <f t="shared" si="2"/>
        <v>186.7</v>
      </c>
      <c r="K64" s="318"/>
    </row>
    <row r="65" spans="1:11">
      <c r="A65" s="334" t="s">
        <v>2346</v>
      </c>
      <c r="B65" s="334" t="s">
        <v>2347</v>
      </c>
      <c r="C65" s="334" t="s">
        <v>2038</v>
      </c>
      <c r="D65" s="335">
        <v>2</v>
      </c>
      <c r="E65" s="357">
        <v>102.35999999999999</v>
      </c>
      <c r="F65" s="358">
        <v>37.14</v>
      </c>
      <c r="G65" s="336">
        <f t="shared" si="0"/>
        <v>204.72</v>
      </c>
      <c r="H65" s="337">
        <f t="shared" si="1"/>
        <v>74.28</v>
      </c>
      <c r="I65" s="336">
        <f t="shared" si="2"/>
        <v>483.27</v>
      </c>
      <c r="K65" s="318"/>
    </row>
    <row r="66" spans="1:11">
      <c r="A66" s="334" t="s">
        <v>2348</v>
      </c>
      <c r="B66" s="334" t="s">
        <v>2349</v>
      </c>
      <c r="C66" s="334" t="s">
        <v>2038</v>
      </c>
      <c r="D66" s="335">
        <v>5</v>
      </c>
      <c r="E66" s="357">
        <v>45.55</v>
      </c>
      <c r="F66" s="358"/>
      <c r="G66" s="336">
        <f t="shared" si="0"/>
        <v>227.75</v>
      </c>
      <c r="H66" s="337">
        <f t="shared" si="1"/>
        <v>0</v>
      </c>
      <c r="I66" s="336">
        <f t="shared" si="2"/>
        <v>227.75</v>
      </c>
      <c r="K66" s="318"/>
    </row>
    <row r="67" spans="1:11">
      <c r="A67" s="334" t="s">
        <v>2350</v>
      </c>
      <c r="B67" s="334" t="s">
        <v>2351</v>
      </c>
      <c r="C67" s="334" t="s">
        <v>2038</v>
      </c>
      <c r="D67" s="335">
        <v>23</v>
      </c>
      <c r="E67" s="357">
        <v>167.22000000000003</v>
      </c>
      <c r="F67" s="358">
        <v>72.42</v>
      </c>
      <c r="G67" s="336">
        <f t="shared" si="0"/>
        <v>3846.06</v>
      </c>
      <c r="H67" s="337">
        <f t="shared" si="1"/>
        <v>1665.66</v>
      </c>
      <c r="I67" s="336">
        <f t="shared" si="2"/>
        <v>10092.285</v>
      </c>
      <c r="K67" s="318"/>
    </row>
    <row r="68" spans="1:11">
      <c r="A68" s="334" t="s">
        <v>2352</v>
      </c>
      <c r="B68" s="334" t="s">
        <v>2353</v>
      </c>
      <c r="C68" s="334" t="s">
        <v>2038</v>
      </c>
      <c r="D68" s="335">
        <v>125</v>
      </c>
      <c r="E68" s="357">
        <v>125</v>
      </c>
      <c r="F68" s="358">
        <v>12.21</v>
      </c>
      <c r="G68" s="336">
        <f t="shared" si="0"/>
        <v>15625</v>
      </c>
      <c r="H68" s="337">
        <f t="shared" si="1"/>
        <v>1526.25</v>
      </c>
      <c r="I68" s="336">
        <f t="shared" si="2"/>
        <v>21348.4375</v>
      </c>
      <c r="K68" s="318"/>
    </row>
    <row r="69" spans="1:11">
      <c r="A69" s="334" t="s">
        <v>2354</v>
      </c>
      <c r="B69" s="334" t="s">
        <v>2355</v>
      </c>
      <c r="C69" s="334" t="s">
        <v>2038</v>
      </c>
      <c r="D69" s="335">
        <v>24</v>
      </c>
      <c r="E69" s="357">
        <v>124.99999999999997</v>
      </c>
      <c r="F69" s="358">
        <v>48.02</v>
      </c>
      <c r="G69" s="336">
        <f t="shared" si="0"/>
        <v>3000</v>
      </c>
      <c r="H69" s="337">
        <f t="shared" si="1"/>
        <v>1152.48</v>
      </c>
      <c r="I69" s="336">
        <f t="shared" si="2"/>
        <v>7321.8</v>
      </c>
      <c r="K69" s="318"/>
    </row>
    <row r="70" spans="1:11">
      <c r="A70" s="334" t="s">
        <v>2356</v>
      </c>
      <c r="B70" s="334" t="s">
        <v>2357</v>
      </c>
      <c r="C70" s="334" t="s">
        <v>2038</v>
      </c>
      <c r="D70" s="335">
        <v>21</v>
      </c>
      <c r="E70" s="357">
        <v>125</v>
      </c>
      <c r="F70" s="358">
        <v>49.96</v>
      </c>
      <c r="G70" s="336">
        <f t="shared" si="0"/>
        <v>2625</v>
      </c>
      <c r="H70" s="337">
        <f t="shared" si="1"/>
        <v>1049.1600000000001</v>
      </c>
      <c r="I70" s="336">
        <f t="shared" si="2"/>
        <v>6559.35</v>
      </c>
      <c r="K70" s="318"/>
    </row>
    <row r="71" spans="1:11">
      <c r="A71" s="332" t="s">
        <v>2151</v>
      </c>
      <c r="B71" s="332" t="s">
        <v>2358</v>
      </c>
      <c r="C71" s="491"/>
      <c r="D71" s="491"/>
      <c r="E71" s="493"/>
      <c r="F71" s="358"/>
      <c r="G71" s="336">
        <f t="shared" si="0"/>
        <v>0</v>
      </c>
      <c r="H71" s="337">
        <f t="shared" si="1"/>
        <v>0</v>
      </c>
      <c r="I71" s="336">
        <f t="shared" si="2"/>
        <v>0</v>
      </c>
    </row>
    <row r="72" spans="1:11">
      <c r="A72" s="492" t="s">
        <v>2153</v>
      </c>
      <c r="B72" s="492" t="s">
        <v>2359</v>
      </c>
      <c r="C72" s="491"/>
      <c r="D72" s="491"/>
      <c r="E72" s="493"/>
      <c r="F72" s="358"/>
      <c r="G72" s="336">
        <f t="shared" si="0"/>
        <v>0</v>
      </c>
      <c r="H72" s="337">
        <f t="shared" si="1"/>
        <v>0</v>
      </c>
      <c r="I72" s="336">
        <f t="shared" si="2"/>
        <v>0</v>
      </c>
    </row>
    <row r="73" spans="1:11">
      <c r="A73" s="334" t="s">
        <v>2360</v>
      </c>
      <c r="B73" s="334" t="s">
        <v>2361</v>
      </c>
      <c r="C73" s="334" t="s">
        <v>1070</v>
      </c>
      <c r="D73" s="335">
        <v>49</v>
      </c>
      <c r="E73" s="357">
        <v>73.560000000000173</v>
      </c>
      <c r="F73" s="358">
        <v>320.8</v>
      </c>
      <c r="G73" s="336">
        <f t="shared" si="0"/>
        <v>3604.44</v>
      </c>
      <c r="H73" s="337">
        <f t="shared" si="1"/>
        <v>15719.2</v>
      </c>
      <c r="I73" s="336">
        <f t="shared" si="2"/>
        <v>62551.44</v>
      </c>
      <c r="K73" s="318"/>
    </row>
    <row r="74" spans="1:11">
      <c r="A74" s="334" t="s">
        <v>2362</v>
      </c>
      <c r="B74" s="334" t="s">
        <v>2363</v>
      </c>
      <c r="C74" s="334" t="s">
        <v>1070</v>
      </c>
      <c r="D74" s="335">
        <v>42</v>
      </c>
      <c r="E74" s="357">
        <v>73.559999999999945</v>
      </c>
      <c r="F74" s="358">
        <v>209.93</v>
      </c>
      <c r="G74" s="336">
        <f t="shared" si="0"/>
        <v>3089.52</v>
      </c>
      <c r="H74" s="337">
        <f t="shared" si="1"/>
        <v>8817.06</v>
      </c>
      <c r="I74" s="336">
        <f t="shared" si="2"/>
        <v>36153.494999999995</v>
      </c>
      <c r="K74" s="318"/>
    </row>
    <row r="75" spans="1:11">
      <c r="A75" s="334" t="s">
        <v>2364</v>
      </c>
      <c r="B75" s="334" t="s">
        <v>2365</v>
      </c>
      <c r="C75" s="334" t="s">
        <v>1070</v>
      </c>
      <c r="D75" s="335">
        <v>99.66</v>
      </c>
      <c r="E75" s="357">
        <v>73.559999999999945</v>
      </c>
      <c r="F75" s="358">
        <v>218.19</v>
      </c>
      <c r="G75" s="336">
        <f t="shared" si="0"/>
        <v>7330.99</v>
      </c>
      <c r="H75" s="337">
        <f t="shared" si="1"/>
        <v>21744.82</v>
      </c>
      <c r="I75" s="336">
        <f t="shared" si="2"/>
        <v>88874.065000000002</v>
      </c>
      <c r="K75" s="318"/>
    </row>
    <row r="76" spans="1:11">
      <c r="A76" s="334" t="s">
        <v>2366</v>
      </c>
      <c r="B76" s="334" t="s">
        <v>2367</v>
      </c>
      <c r="C76" s="334" t="s">
        <v>1070</v>
      </c>
      <c r="D76" s="335">
        <v>55.48</v>
      </c>
      <c r="E76" s="357">
        <v>73.56</v>
      </c>
      <c r="F76" s="358">
        <v>109.09</v>
      </c>
      <c r="G76" s="336">
        <f t="shared" si="0"/>
        <v>4081.11</v>
      </c>
      <c r="H76" s="337">
        <f t="shared" si="1"/>
        <v>6052.31</v>
      </c>
      <c r="I76" s="336">
        <f t="shared" si="2"/>
        <v>26777.272500000003</v>
      </c>
      <c r="K76" s="318"/>
    </row>
    <row r="77" spans="1:11">
      <c r="A77" s="334" t="s">
        <v>2368</v>
      </c>
      <c r="B77" s="334" t="s">
        <v>2369</v>
      </c>
      <c r="C77" s="334" t="s">
        <v>1070</v>
      </c>
      <c r="D77" s="335">
        <v>77.8</v>
      </c>
      <c r="E77" s="357">
        <v>73.559999999999945</v>
      </c>
      <c r="F77" s="358">
        <v>205.12</v>
      </c>
      <c r="G77" s="336">
        <f t="shared" ref="G77:G140" si="3">ROUND(E77*D77,2)</f>
        <v>5722.97</v>
      </c>
      <c r="H77" s="337">
        <f t="shared" ref="H77:H140" si="4">ROUND(F77*D77,2)</f>
        <v>15958.34</v>
      </c>
      <c r="I77" s="336">
        <f t="shared" si="2"/>
        <v>65566.744999999995</v>
      </c>
      <c r="K77" s="318"/>
    </row>
    <row r="78" spans="1:11">
      <c r="A78" s="334" t="s">
        <v>2370</v>
      </c>
      <c r="B78" s="334" t="s">
        <v>2371</v>
      </c>
      <c r="C78" s="334" t="s">
        <v>1070</v>
      </c>
      <c r="D78" s="335">
        <v>43.9</v>
      </c>
      <c r="E78" s="357">
        <v>57.379999999999995</v>
      </c>
      <c r="F78" s="358">
        <v>57.17</v>
      </c>
      <c r="G78" s="336">
        <f t="shared" si="3"/>
        <v>2518.98</v>
      </c>
      <c r="H78" s="337">
        <f t="shared" si="4"/>
        <v>2509.7600000000002</v>
      </c>
      <c r="I78" s="336">
        <f t="shared" si="2"/>
        <v>11930.58</v>
      </c>
      <c r="K78" s="318"/>
    </row>
    <row r="79" spans="1:11">
      <c r="A79" s="334" t="s">
        <v>2372</v>
      </c>
      <c r="B79" s="334" t="s">
        <v>2373</v>
      </c>
      <c r="C79" s="334" t="s">
        <v>1070</v>
      </c>
      <c r="D79" s="335">
        <v>27</v>
      </c>
      <c r="E79" s="357">
        <v>57.380000000000024</v>
      </c>
      <c r="F79" s="358">
        <v>52.61</v>
      </c>
      <c r="G79" s="336">
        <f t="shared" si="3"/>
        <v>1549.26</v>
      </c>
      <c r="H79" s="337">
        <f t="shared" si="4"/>
        <v>1420.47</v>
      </c>
      <c r="I79" s="336">
        <f t="shared" ref="I79:I142" si="5">+G79+(H79*$I$3)</f>
        <v>6876.0225</v>
      </c>
      <c r="K79" s="318"/>
    </row>
    <row r="80" spans="1:11">
      <c r="A80" s="334" t="s">
        <v>2374</v>
      </c>
      <c r="B80" s="334" t="s">
        <v>2375</v>
      </c>
      <c r="C80" s="334" t="s">
        <v>1070</v>
      </c>
      <c r="D80" s="335">
        <v>120.6</v>
      </c>
      <c r="E80" s="357">
        <v>72.44</v>
      </c>
      <c r="F80" s="358">
        <v>21.1</v>
      </c>
      <c r="G80" s="336">
        <f t="shared" si="3"/>
        <v>8736.26</v>
      </c>
      <c r="H80" s="337">
        <f t="shared" si="4"/>
        <v>2544.66</v>
      </c>
      <c r="I80" s="336">
        <f t="shared" si="5"/>
        <v>18278.735000000001</v>
      </c>
      <c r="K80" s="318"/>
    </row>
    <row r="81" spans="1:11">
      <c r="A81" s="334" t="s">
        <v>2376</v>
      </c>
      <c r="B81" s="334" t="s">
        <v>2377</v>
      </c>
      <c r="C81" s="334" t="s">
        <v>1070</v>
      </c>
      <c r="D81" s="335">
        <v>161.72</v>
      </c>
      <c r="E81" s="357">
        <v>57.379999999999995</v>
      </c>
      <c r="F81" s="358">
        <v>28.16</v>
      </c>
      <c r="G81" s="336">
        <f t="shared" si="3"/>
        <v>9279.49</v>
      </c>
      <c r="H81" s="337">
        <f t="shared" si="4"/>
        <v>4554.04</v>
      </c>
      <c r="I81" s="336">
        <f t="shared" si="5"/>
        <v>26357.14</v>
      </c>
      <c r="K81" s="318"/>
    </row>
    <row r="82" spans="1:11">
      <c r="A82" s="334" t="s">
        <v>2378</v>
      </c>
      <c r="B82" s="334" t="s">
        <v>2379</v>
      </c>
      <c r="C82" s="334" t="s">
        <v>1070</v>
      </c>
      <c r="D82" s="335">
        <v>405.44</v>
      </c>
      <c r="E82" s="357">
        <v>60.519999999999982</v>
      </c>
      <c r="F82" s="358">
        <v>41.36</v>
      </c>
      <c r="G82" s="336">
        <f t="shared" si="3"/>
        <v>24537.23</v>
      </c>
      <c r="H82" s="337">
        <f t="shared" si="4"/>
        <v>16769</v>
      </c>
      <c r="I82" s="336">
        <f t="shared" si="5"/>
        <v>87420.98</v>
      </c>
      <c r="K82" s="318"/>
    </row>
    <row r="83" spans="1:11">
      <c r="A83" s="334" t="s">
        <v>2380</v>
      </c>
      <c r="B83" s="334" t="s">
        <v>2381</v>
      </c>
      <c r="C83" s="334" t="s">
        <v>1070</v>
      </c>
      <c r="D83" s="335">
        <v>488.28</v>
      </c>
      <c r="E83" s="357">
        <v>30.790000000000006</v>
      </c>
      <c r="F83" s="358">
        <v>14.87</v>
      </c>
      <c r="G83" s="336">
        <f t="shared" si="3"/>
        <v>15034.14</v>
      </c>
      <c r="H83" s="337">
        <f t="shared" si="4"/>
        <v>7260.72</v>
      </c>
      <c r="I83" s="336">
        <f t="shared" si="5"/>
        <v>42261.84</v>
      </c>
      <c r="K83" s="318"/>
    </row>
    <row r="84" spans="1:11">
      <c r="A84" s="334" t="s">
        <v>2382</v>
      </c>
      <c r="B84" s="334" t="s">
        <v>2383</v>
      </c>
      <c r="C84" s="334" t="s">
        <v>1070</v>
      </c>
      <c r="D84" s="335">
        <v>241.32</v>
      </c>
      <c r="E84" s="357">
        <v>30.790000000000006</v>
      </c>
      <c r="F84" s="358">
        <v>16.329999999999998</v>
      </c>
      <c r="G84" s="336">
        <f t="shared" si="3"/>
        <v>7430.24</v>
      </c>
      <c r="H84" s="337">
        <f t="shared" si="4"/>
        <v>3940.76</v>
      </c>
      <c r="I84" s="336">
        <f t="shared" si="5"/>
        <v>22208.09</v>
      </c>
      <c r="K84" s="318"/>
    </row>
    <row r="85" spans="1:11">
      <c r="A85" s="334" t="s">
        <v>2384</v>
      </c>
      <c r="B85" s="334" t="s">
        <v>2385</v>
      </c>
      <c r="C85" s="334" t="s">
        <v>1070</v>
      </c>
      <c r="D85" s="335">
        <v>195.89</v>
      </c>
      <c r="E85" s="357">
        <v>30.790000000000006</v>
      </c>
      <c r="F85" s="358">
        <v>11.67</v>
      </c>
      <c r="G85" s="336">
        <f t="shared" si="3"/>
        <v>6031.45</v>
      </c>
      <c r="H85" s="337">
        <f t="shared" si="4"/>
        <v>2286.04</v>
      </c>
      <c r="I85" s="336">
        <f t="shared" si="5"/>
        <v>14604.099999999999</v>
      </c>
      <c r="K85" s="318"/>
    </row>
    <row r="86" spans="1:11">
      <c r="A86" s="334" t="s">
        <v>2386</v>
      </c>
      <c r="B86" s="334" t="s">
        <v>2387</v>
      </c>
      <c r="C86" s="334" t="s">
        <v>1070</v>
      </c>
      <c r="D86" s="335">
        <v>419.4</v>
      </c>
      <c r="E86" s="357">
        <v>24.279999999999998</v>
      </c>
      <c r="F86" s="358">
        <v>8.67</v>
      </c>
      <c r="G86" s="336">
        <f t="shared" si="3"/>
        <v>10183.030000000001</v>
      </c>
      <c r="H86" s="337">
        <f t="shared" si="4"/>
        <v>3636.2</v>
      </c>
      <c r="I86" s="336">
        <f t="shared" si="5"/>
        <v>23818.78</v>
      </c>
      <c r="K86" s="318"/>
    </row>
    <row r="87" spans="1:11">
      <c r="A87" s="334" t="s">
        <v>2388</v>
      </c>
      <c r="B87" s="334" t="s">
        <v>2389</v>
      </c>
      <c r="C87" s="334" t="s">
        <v>1070</v>
      </c>
      <c r="D87" s="335">
        <v>331.84</v>
      </c>
      <c r="E87" s="357">
        <v>13.91</v>
      </c>
      <c r="F87" s="358">
        <v>6.34</v>
      </c>
      <c r="G87" s="336">
        <f t="shared" si="3"/>
        <v>4615.8900000000003</v>
      </c>
      <c r="H87" s="337">
        <f t="shared" si="4"/>
        <v>2103.87</v>
      </c>
      <c r="I87" s="336">
        <f t="shared" si="5"/>
        <v>12505.4025</v>
      </c>
      <c r="K87" s="318"/>
    </row>
    <row r="88" spans="1:11">
      <c r="A88" s="334" t="s">
        <v>2390</v>
      </c>
      <c r="B88" s="334" t="s">
        <v>2391</v>
      </c>
      <c r="C88" s="334" t="s">
        <v>1070</v>
      </c>
      <c r="D88" s="335">
        <v>379.9</v>
      </c>
      <c r="E88" s="357">
        <v>13.91</v>
      </c>
      <c r="F88" s="358">
        <v>3.35</v>
      </c>
      <c r="G88" s="336">
        <f t="shared" si="3"/>
        <v>5284.41</v>
      </c>
      <c r="H88" s="337">
        <f t="shared" si="4"/>
        <v>1272.67</v>
      </c>
      <c r="I88" s="336">
        <f t="shared" si="5"/>
        <v>10056.922500000001</v>
      </c>
      <c r="K88" s="318"/>
    </row>
    <row r="89" spans="1:11">
      <c r="A89" s="334" t="s">
        <v>2392</v>
      </c>
      <c r="B89" s="334" t="s">
        <v>2393</v>
      </c>
      <c r="C89" s="334" t="s">
        <v>1070</v>
      </c>
      <c r="D89" s="335">
        <v>31</v>
      </c>
      <c r="E89" s="357">
        <v>13.91</v>
      </c>
      <c r="F89" s="358">
        <v>2.56</v>
      </c>
      <c r="G89" s="336">
        <f t="shared" si="3"/>
        <v>431.21</v>
      </c>
      <c r="H89" s="337">
        <f t="shared" si="4"/>
        <v>79.36</v>
      </c>
      <c r="I89" s="336">
        <f t="shared" si="5"/>
        <v>728.81</v>
      </c>
      <c r="K89" s="318"/>
    </row>
    <row r="90" spans="1:11">
      <c r="A90" s="492" t="s">
        <v>2155</v>
      </c>
      <c r="B90" s="492" t="s">
        <v>2394</v>
      </c>
      <c r="C90" s="491"/>
      <c r="D90" s="491"/>
      <c r="E90" s="493"/>
      <c r="F90" s="358"/>
      <c r="G90" s="336">
        <f t="shared" si="3"/>
        <v>0</v>
      </c>
      <c r="H90" s="337">
        <f t="shared" si="4"/>
        <v>0</v>
      </c>
      <c r="I90" s="336">
        <f t="shared" si="5"/>
        <v>0</v>
      </c>
    </row>
    <row r="91" spans="1:11">
      <c r="A91" s="334" t="s">
        <v>2395</v>
      </c>
      <c r="B91" s="334" t="s">
        <v>2396</v>
      </c>
      <c r="C91" s="334" t="s">
        <v>1070</v>
      </c>
      <c r="D91" s="335">
        <v>143.21</v>
      </c>
      <c r="E91" s="357">
        <v>8.86</v>
      </c>
      <c r="F91" s="358">
        <v>3.31</v>
      </c>
      <c r="G91" s="336">
        <f t="shared" si="3"/>
        <v>1268.8399999999999</v>
      </c>
      <c r="H91" s="337">
        <f t="shared" si="4"/>
        <v>474.03</v>
      </c>
      <c r="I91" s="336">
        <f t="shared" si="5"/>
        <v>3046.4524999999999</v>
      </c>
      <c r="K91" s="318"/>
    </row>
    <row r="92" spans="1:11">
      <c r="A92" s="334" t="s">
        <v>2397</v>
      </c>
      <c r="B92" s="334" t="s">
        <v>2398</v>
      </c>
      <c r="C92" s="334" t="s">
        <v>1070</v>
      </c>
      <c r="D92" s="335">
        <v>5031.17</v>
      </c>
      <c r="E92" s="357">
        <v>8.86</v>
      </c>
      <c r="F92" s="358">
        <v>4.72</v>
      </c>
      <c r="G92" s="336">
        <f t="shared" si="3"/>
        <v>44576.17</v>
      </c>
      <c r="H92" s="337">
        <f t="shared" si="4"/>
        <v>23747.119999999999</v>
      </c>
      <c r="I92" s="336">
        <f t="shared" si="5"/>
        <v>133627.87</v>
      </c>
      <c r="K92" s="318"/>
    </row>
    <row r="93" spans="1:11">
      <c r="A93" s="334" t="s">
        <v>2399</v>
      </c>
      <c r="B93" s="334" t="s">
        <v>2400</v>
      </c>
      <c r="C93" s="334" t="s">
        <v>1070</v>
      </c>
      <c r="D93" s="335">
        <v>11802</v>
      </c>
      <c r="E93" s="357">
        <v>8.86</v>
      </c>
      <c r="F93" s="358">
        <v>6.27</v>
      </c>
      <c r="G93" s="336">
        <f t="shared" si="3"/>
        <v>104565.72</v>
      </c>
      <c r="H93" s="337">
        <f t="shared" si="4"/>
        <v>73998.539999999994</v>
      </c>
      <c r="I93" s="336">
        <f t="shared" si="5"/>
        <v>382060.245</v>
      </c>
      <c r="K93" s="318"/>
    </row>
    <row r="94" spans="1:11">
      <c r="A94" s="334" t="s">
        <v>2401</v>
      </c>
      <c r="B94" s="334" t="s">
        <v>2402</v>
      </c>
      <c r="C94" s="334" t="s">
        <v>1070</v>
      </c>
      <c r="D94" s="335">
        <v>1878.33</v>
      </c>
      <c r="E94" s="357">
        <v>9.41</v>
      </c>
      <c r="F94" s="358">
        <v>8.26</v>
      </c>
      <c r="G94" s="336">
        <f t="shared" si="3"/>
        <v>17675.09</v>
      </c>
      <c r="H94" s="337">
        <f t="shared" si="4"/>
        <v>15515.01</v>
      </c>
      <c r="I94" s="336">
        <f t="shared" si="5"/>
        <v>75856.377500000002</v>
      </c>
      <c r="K94" s="318"/>
    </row>
    <row r="95" spans="1:11">
      <c r="A95" s="332" t="s">
        <v>2165</v>
      </c>
      <c r="B95" s="332" t="s">
        <v>2403</v>
      </c>
      <c r="C95" s="491"/>
      <c r="D95" s="491"/>
      <c r="E95" s="493"/>
      <c r="F95" s="358"/>
      <c r="G95" s="336">
        <f t="shared" si="3"/>
        <v>0</v>
      </c>
      <c r="H95" s="337">
        <f t="shared" si="4"/>
        <v>0</v>
      </c>
      <c r="I95" s="336">
        <f t="shared" si="5"/>
        <v>0</v>
      </c>
    </row>
    <row r="96" spans="1:11">
      <c r="A96" s="334" t="s">
        <v>2171</v>
      </c>
      <c r="B96" s="334" t="s">
        <v>2404</v>
      </c>
      <c r="C96" s="334" t="s">
        <v>1070</v>
      </c>
      <c r="D96" s="335">
        <v>160</v>
      </c>
      <c r="E96" s="357">
        <v>73.260000000000005</v>
      </c>
      <c r="F96" s="358"/>
      <c r="G96" s="336">
        <f t="shared" si="3"/>
        <v>11721.6</v>
      </c>
      <c r="H96" s="337">
        <f t="shared" si="4"/>
        <v>0</v>
      </c>
      <c r="I96" s="336">
        <f t="shared" si="5"/>
        <v>11721.6</v>
      </c>
    </row>
    <row r="97" spans="1:9">
      <c r="A97" s="334" t="s">
        <v>2175</v>
      </c>
      <c r="B97" s="334" t="s">
        <v>2405</v>
      </c>
      <c r="C97" s="334" t="s">
        <v>1070</v>
      </c>
      <c r="D97" s="335">
        <v>161</v>
      </c>
      <c r="E97" s="357">
        <v>146.72</v>
      </c>
      <c r="F97" s="358"/>
      <c r="G97" s="336">
        <f t="shared" si="3"/>
        <v>23621.919999999998</v>
      </c>
      <c r="H97" s="337">
        <f t="shared" si="4"/>
        <v>0</v>
      </c>
      <c r="I97" s="336">
        <f t="shared" si="5"/>
        <v>23621.919999999998</v>
      </c>
    </row>
    <row r="98" spans="1:9">
      <c r="A98" s="334" t="s">
        <v>2177</v>
      </c>
      <c r="B98" s="334" t="s">
        <v>2406</v>
      </c>
      <c r="C98" s="334" t="s">
        <v>1070</v>
      </c>
      <c r="D98" s="335">
        <v>3184</v>
      </c>
      <c r="E98" s="357">
        <v>12.33</v>
      </c>
      <c r="F98" s="358"/>
      <c r="G98" s="336">
        <f t="shared" si="3"/>
        <v>39258.720000000001</v>
      </c>
      <c r="H98" s="337">
        <f t="shared" si="4"/>
        <v>0</v>
      </c>
      <c r="I98" s="336">
        <f t="shared" si="5"/>
        <v>39258.720000000001</v>
      </c>
    </row>
    <row r="99" spans="1:9">
      <c r="A99" s="334" t="s">
        <v>2179</v>
      </c>
      <c r="B99" s="334" t="s">
        <v>2407</v>
      </c>
      <c r="C99" s="334" t="s">
        <v>1070</v>
      </c>
      <c r="D99" s="335">
        <v>9993</v>
      </c>
      <c r="E99" s="357">
        <v>14.91</v>
      </c>
      <c r="F99" s="358"/>
      <c r="G99" s="336">
        <f t="shared" si="3"/>
        <v>148995.63</v>
      </c>
      <c r="H99" s="337">
        <f t="shared" si="4"/>
        <v>0</v>
      </c>
      <c r="I99" s="336">
        <f t="shared" si="5"/>
        <v>148995.63</v>
      </c>
    </row>
    <row r="100" spans="1:9">
      <c r="A100" s="334" t="s">
        <v>2181</v>
      </c>
      <c r="B100" s="334" t="s">
        <v>2408</v>
      </c>
      <c r="C100" s="334" t="s">
        <v>1070</v>
      </c>
      <c r="D100" s="335">
        <v>495</v>
      </c>
      <c r="E100" s="357">
        <v>20.56</v>
      </c>
      <c r="F100" s="358"/>
      <c r="G100" s="336">
        <f t="shared" si="3"/>
        <v>10177.200000000001</v>
      </c>
      <c r="H100" s="337">
        <f t="shared" si="4"/>
        <v>0</v>
      </c>
      <c r="I100" s="336">
        <f t="shared" si="5"/>
        <v>10177.200000000001</v>
      </c>
    </row>
    <row r="101" spans="1:9">
      <c r="A101" s="334" t="s">
        <v>2409</v>
      </c>
      <c r="B101" s="334" t="s">
        <v>2410</v>
      </c>
      <c r="C101" s="334" t="s">
        <v>1070</v>
      </c>
      <c r="D101" s="335">
        <v>26</v>
      </c>
      <c r="E101" s="357">
        <v>26.89</v>
      </c>
      <c r="F101" s="358"/>
      <c r="G101" s="336">
        <f t="shared" si="3"/>
        <v>699.14</v>
      </c>
      <c r="H101" s="337">
        <f t="shared" si="4"/>
        <v>0</v>
      </c>
      <c r="I101" s="336">
        <f t="shared" si="5"/>
        <v>699.14</v>
      </c>
    </row>
    <row r="102" spans="1:9">
      <c r="A102" s="334" t="s">
        <v>2411</v>
      </c>
      <c r="B102" s="334" t="s">
        <v>2412</v>
      </c>
      <c r="C102" s="334" t="s">
        <v>1070</v>
      </c>
      <c r="D102" s="335">
        <v>185</v>
      </c>
      <c r="E102" s="357">
        <v>34.19</v>
      </c>
      <c r="F102" s="358"/>
      <c r="G102" s="336">
        <f t="shared" si="3"/>
        <v>6325.15</v>
      </c>
      <c r="H102" s="337">
        <f t="shared" si="4"/>
        <v>0</v>
      </c>
      <c r="I102" s="336">
        <f t="shared" si="5"/>
        <v>6325.15</v>
      </c>
    </row>
    <row r="103" spans="1:9">
      <c r="A103" s="334" t="s">
        <v>2413</v>
      </c>
      <c r="B103" s="334" t="s">
        <v>2414</v>
      </c>
      <c r="C103" s="334" t="s">
        <v>1070</v>
      </c>
      <c r="D103" s="335">
        <v>35</v>
      </c>
      <c r="E103" s="357">
        <v>45.48</v>
      </c>
      <c r="F103" s="358"/>
      <c r="G103" s="336">
        <f t="shared" si="3"/>
        <v>1591.8</v>
      </c>
      <c r="H103" s="337">
        <f t="shared" si="4"/>
        <v>0</v>
      </c>
      <c r="I103" s="336">
        <f t="shared" si="5"/>
        <v>1591.8</v>
      </c>
    </row>
    <row r="104" spans="1:9">
      <c r="A104" s="334" t="s">
        <v>2415</v>
      </c>
      <c r="B104" s="334" t="s">
        <v>2416</v>
      </c>
      <c r="C104" s="334" t="s">
        <v>1070</v>
      </c>
      <c r="D104" s="335">
        <v>174.78</v>
      </c>
      <c r="E104" s="357">
        <v>58.4</v>
      </c>
      <c r="F104" s="358"/>
      <c r="G104" s="336">
        <f t="shared" si="3"/>
        <v>10207.15</v>
      </c>
      <c r="H104" s="337">
        <f t="shared" si="4"/>
        <v>0</v>
      </c>
      <c r="I104" s="336">
        <f t="shared" si="5"/>
        <v>10207.15</v>
      </c>
    </row>
    <row r="105" spans="1:9">
      <c r="A105" s="492" t="s">
        <v>2183</v>
      </c>
      <c r="B105" s="492" t="s">
        <v>2417</v>
      </c>
      <c r="C105" s="491"/>
      <c r="D105" s="491"/>
      <c r="E105" s="493"/>
      <c r="F105" s="358"/>
      <c r="G105" s="336">
        <f t="shared" si="3"/>
        <v>0</v>
      </c>
      <c r="H105" s="337">
        <f t="shared" si="4"/>
        <v>0</v>
      </c>
      <c r="I105" s="336">
        <f t="shared" si="5"/>
        <v>0</v>
      </c>
    </row>
    <row r="106" spans="1:9">
      <c r="A106" s="334" t="s">
        <v>2185</v>
      </c>
      <c r="B106" s="334" t="s">
        <v>2418</v>
      </c>
      <c r="C106" s="334" t="s">
        <v>36</v>
      </c>
      <c r="D106" s="335">
        <v>111</v>
      </c>
      <c r="E106" s="357">
        <v>24.84</v>
      </c>
      <c r="F106" s="358"/>
      <c r="G106" s="336">
        <f t="shared" si="3"/>
        <v>2757.24</v>
      </c>
      <c r="H106" s="337">
        <f t="shared" si="4"/>
        <v>0</v>
      </c>
      <c r="I106" s="336">
        <f t="shared" si="5"/>
        <v>2757.24</v>
      </c>
    </row>
    <row r="107" spans="1:9">
      <c r="A107" s="334" t="s">
        <v>2187</v>
      </c>
      <c r="B107" s="334" t="s">
        <v>2419</v>
      </c>
      <c r="C107" s="334" t="s">
        <v>36</v>
      </c>
      <c r="D107" s="335">
        <v>58</v>
      </c>
      <c r="E107" s="357">
        <v>23.35</v>
      </c>
      <c r="F107" s="358"/>
      <c r="G107" s="336">
        <f t="shared" si="3"/>
        <v>1354.3</v>
      </c>
      <c r="H107" s="337">
        <f t="shared" si="4"/>
        <v>0</v>
      </c>
      <c r="I107" s="336">
        <f t="shared" si="5"/>
        <v>1354.3</v>
      </c>
    </row>
    <row r="108" spans="1:9">
      <c r="A108" s="334" t="s">
        <v>2189</v>
      </c>
      <c r="B108" s="334" t="s">
        <v>2420</v>
      </c>
      <c r="C108" s="334" t="s">
        <v>36</v>
      </c>
      <c r="D108" s="335">
        <v>12</v>
      </c>
      <c r="E108" s="357">
        <v>36.31</v>
      </c>
      <c r="F108" s="358"/>
      <c r="G108" s="336">
        <f t="shared" si="3"/>
        <v>435.72</v>
      </c>
      <c r="H108" s="337">
        <f t="shared" si="4"/>
        <v>0</v>
      </c>
      <c r="I108" s="336">
        <f t="shared" si="5"/>
        <v>435.72</v>
      </c>
    </row>
    <row r="109" spans="1:9">
      <c r="A109" s="334" t="s">
        <v>2191</v>
      </c>
      <c r="B109" s="334" t="s">
        <v>2421</v>
      </c>
      <c r="C109" s="334" t="s">
        <v>36</v>
      </c>
      <c r="D109" s="335">
        <v>16</v>
      </c>
      <c r="E109" s="357">
        <v>55.6</v>
      </c>
      <c r="F109" s="358"/>
      <c r="G109" s="336">
        <f t="shared" si="3"/>
        <v>889.6</v>
      </c>
      <c r="H109" s="337">
        <f t="shared" si="4"/>
        <v>0</v>
      </c>
      <c r="I109" s="336">
        <f t="shared" si="5"/>
        <v>889.6</v>
      </c>
    </row>
    <row r="110" spans="1:9">
      <c r="A110" s="334" t="s">
        <v>2193</v>
      </c>
      <c r="B110" s="334" t="s">
        <v>2422</v>
      </c>
      <c r="C110" s="334" t="s">
        <v>36</v>
      </c>
      <c r="D110" s="335">
        <v>16</v>
      </c>
      <c r="E110" s="357">
        <v>61.82</v>
      </c>
      <c r="F110" s="358"/>
      <c r="G110" s="336">
        <f t="shared" si="3"/>
        <v>989.12</v>
      </c>
      <c r="H110" s="337">
        <f t="shared" si="4"/>
        <v>0</v>
      </c>
      <c r="I110" s="336">
        <f t="shared" si="5"/>
        <v>989.12</v>
      </c>
    </row>
    <row r="111" spans="1:9">
      <c r="A111" s="334" t="s">
        <v>2195</v>
      </c>
      <c r="B111" s="334" t="s">
        <v>2423</v>
      </c>
      <c r="C111" s="334" t="s">
        <v>36</v>
      </c>
      <c r="D111" s="335">
        <v>5</v>
      </c>
      <c r="E111" s="357">
        <v>73.260000000000005</v>
      </c>
      <c r="F111" s="358"/>
      <c r="G111" s="336">
        <f t="shared" si="3"/>
        <v>366.3</v>
      </c>
      <c r="H111" s="337">
        <f t="shared" si="4"/>
        <v>0</v>
      </c>
      <c r="I111" s="336">
        <f t="shared" si="5"/>
        <v>366.3</v>
      </c>
    </row>
    <row r="112" spans="1:9">
      <c r="A112" s="334" t="s">
        <v>2197</v>
      </c>
      <c r="B112" s="334" t="s">
        <v>2424</v>
      </c>
      <c r="C112" s="334" t="s">
        <v>36</v>
      </c>
      <c r="D112" s="335">
        <v>22</v>
      </c>
      <c r="E112" s="357">
        <v>227.65</v>
      </c>
      <c r="F112" s="358"/>
      <c r="G112" s="336">
        <f t="shared" si="3"/>
        <v>5008.3</v>
      </c>
      <c r="H112" s="337">
        <f t="shared" si="4"/>
        <v>0</v>
      </c>
      <c r="I112" s="336">
        <f t="shared" si="5"/>
        <v>5008.3</v>
      </c>
    </row>
    <row r="113" spans="1:11">
      <c r="A113" s="334" t="s">
        <v>2199</v>
      </c>
      <c r="B113" s="334" t="s">
        <v>2425</v>
      </c>
      <c r="C113" s="334" t="s">
        <v>36</v>
      </c>
      <c r="D113" s="335">
        <v>3</v>
      </c>
      <c r="E113" s="357">
        <v>261.17</v>
      </c>
      <c r="F113" s="358"/>
      <c r="G113" s="336">
        <f t="shared" si="3"/>
        <v>783.51</v>
      </c>
      <c r="H113" s="337">
        <f t="shared" si="4"/>
        <v>0</v>
      </c>
      <c r="I113" s="336">
        <f t="shared" si="5"/>
        <v>783.51</v>
      </c>
    </row>
    <row r="114" spans="1:11">
      <c r="A114" s="334" t="s">
        <v>2201</v>
      </c>
      <c r="B114" s="334" t="s">
        <v>2426</v>
      </c>
      <c r="C114" s="334" t="s">
        <v>36</v>
      </c>
      <c r="D114" s="335">
        <v>8</v>
      </c>
      <c r="E114" s="357">
        <v>266.43</v>
      </c>
      <c r="F114" s="358"/>
      <c r="G114" s="336">
        <f t="shared" si="3"/>
        <v>2131.44</v>
      </c>
      <c r="H114" s="337">
        <f t="shared" si="4"/>
        <v>0</v>
      </c>
      <c r="I114" s="336">
        <f t="shared" si="5"/>
        <v>2131.44</v>
      </c>
    </row>
    <row r="115" spans="1:11">
      <c r="A115" s="334" t="s">
        <v>2203</v>
      </c>
      <c r="B115" s="334" t="s">
        <v>2427</v>
      </c>
      <c r="C115" s="334" t="s">
        <v>36</v>
      </c>
      <c r="D115" s="335">
        <v>2</v>
      </c>
      <c r="E115" s="357">
        <v>1092.28</v>
      </c>
      <c r="F115" s="358"/>
      <c r="G115" s="336">
        <f t="shared" si="3"/>
        <v>2184.56</v>
      </c>
      <c r="H115" s="337">
        <f t="shared" si="4"/>
        <v>0</v>
      </c>
      <c r="I115" s="336">
        <f t="shared" si="5"/>
        <v>2184.56</v>
      </c>
    </row>
    <row r="116" spans="1:11">
      <c r="A116" s="334" t="s">
        <v>2205</v>
      </c>
      <c r="B116" s="334" t="s">
        <v>2428</v>
      </c>
      <c r="C116" s="334" t="s">
        <v>36</v>
      </c>
      <c r="D116" s="335">
        <v>1</v>
      </c>
      <c r="E116" s="357">
        <v>186.29</v>
      </c>
      <c r="F116" s="358"/>
      <c r="G116" s="336">
        <f t="shared" si="3"/>
        <v>186.29</v>
      </c>
      <c r="H116" s="337">
        <f t="shared" si="4"/>
        <v>0</v>
      </c>
      <c r="I116" s="336">
        <f t="shared" si="5"/>
        <v>186.29</v>
      </c>
    </row>
    <row r="117" spans="1:11">
      <c r="A117" s="334" t="s">
        <v>2207</v>
      </c>
      <c r="B117" s="334" t="s">
        <v>2429</v>
      </c>
      <c r="C117" s="334" t="s">
        <v>36</v>
      </c>
      <c r="D117" s="335">
        <v>2</v>
      </c>
      <c r="E117" s="357">
        <v>127.57</v>
      </c>
      <c r="F117" s="358"/>
      <c r="G117" s="336">
        <f t="shared" si="3"/>
        <v>255.14</v>
      </c>
      <c r="H117" s="337">
        <f t="shared" si="4"/>
        <v>0</v>
      </c>
      <c r="I117" s="336">
        <f t="shared" si="5"/>
        <v>255.14</v>
      </c>
    </row>
    <row r="118" spans="1:11">
      <c r="A118" s="334" t="s">
        <v>2430</v>
      </c>
      <c r="B118" s="334" t="s">
        <v>2431</v>
      </c>
      <c r="C118" s="334" t="s">
        <v>36</v>
      </c>
      <c r="D118" s="335">
        <v>32</v>
      </c>
      <c r="E118" s="357">
        <v>121.67</v>
      </c>
      <c r="F118" s="358"/>
      <c r="G118" s="336">
        <f t="shared" si="3"/>
        <v>3893.44</v>
      </c>
      <c r="H118" s="337">
        <f t="shared" si="4"/>
        <v>0</v>
      </c>
      <c r="I118" s="336">
        <f t="shared" si="5"/>
        <v>3893.44</v>
      </c>
    </row>
    <row r="119" spans="1:11">
      <c r="A119" s="334" t="s">
        <v>2432</v>
      </c>
      <c r="B119" s="334" t="s">
        <v>2433</v>
      </c>
      <c r="C119" s="334" t="s">
        <v>36</v>
      </c>
      <c r="D119" s="335">
        <v>4</v>
      </c>
      <c r="E119" s="357">
        <v>162.11000000000001</v>
      </c>
      <c r="F119" s="358"/>
      <c r="G119" s="336">
        <f t="shared" si="3"/>
        <v>648.44000000000005</v>
      </c>
      <c r="H119" s="337">
        <f t="shared" si="4"/>
        <v>0</v>
      </c>
      <c r="I119" s="336">
        <f t="shared" si="5"/>
        <v>648.44000000000005</v>
      </c>
    </row>
    <row r="120" spans="1:11">
      <c r="A120" s="334" t="s">
        <v>2434</v>
      </c>
      <c r="B120" s="334" t="s">
        <v>2435</v>
      </c>
      <c r="C120" s="334" t="s">
        <v>36</v>
      </c>
      <c r="D120" s="335">
        <v>1</v>
      </c>
      <c r="E120" s="357">
        <v>427.65</v>
      </c>
      <c r="F120" s="358"/>
      <c r="G120" s="336">
        <f t="shared" si="3"/>
        <v>427.65</v>
      </c>
      <c r="H120" s="337">
        <f t="shared" si="4"/>
        <v>0</v>
      </c>
      <c r="I120" s="336">
        <f t="shared" si="5"/>
        <v>427.65</v>
      </c>
    </row>
    <row r="121" spans="1:11">
      <c r="A121" s="332" t="s">
        <v>2252</v>
      </c>
      <c r="B121" s="332" t="s">
        <v>2436</v>
      </c>
      <c r="C121" s="491"/>
      <c r="D121" s="491"/>
      <c r="E121" s="493"/>
      <c r="F121" s="358"/>
      <c r="G121" s="336">
        <f t="shared" si="3"/>
        <v>0</v>
      </c>
      <c r="H121" s="337">
        <f t="shared" si="4"/>
        <v>0</v>
      </c>
      <c r="I121" s="336">
        <f t="shared" si="5"/>
        <v>0</v>
      </c>
    </row>
    <row r="122" spans="1:11">
      <c r="A122" s="334" t="s">
        <v>2254</v>
      </c>
      <c r="B122" s="334" t="s">
        <v>2437</v>
      </c>
      <c r="C122" s="334" t="s">
        <v>1070</v>
      </c>
      <c r="D122" s="335">
        <v>50.46</v>
      </c>
      <c r="E122" s="357">
        <v>74.650000000000006</v>
      </c>
      <c r="F122" s="358">
        <v>18.95</v>
      </c>
      <c r="G122" s="336">
        <f t="shared" si="3"/>
        <v>3766.84</v>
      </c>
      <c r="H122" s="337">
        <f t="shared" si="4"/>
        <v>956.22</v>
      </c>
      <c r="I122" s="336">
        <f t="shared" si="5"/>
        <v>7352.6650000000009</v>
      </c>
      <c r="K122" s="318"/>
    </row>
    <row r="123" spans="1:11">
      <c r="A123" s="334" t="s">
        <v>2256</v>
      </c>
      <c r="B123" s="334" t="s">
        <v>2438</v>
      </c>
      <c r="C123" s="334" t="s">
        <v>1070</v>
      </c>
      <c r="D123" s="335">
        <v>72.67</v>
      </c>
      <c r="E123" s="357">
        <v>90.48</v>
      </c>
      <c r="F123" s="358">
        <v>25.77</v>
      </c>
      <c r="G123" s="336">
        <f t="shared" si="3"/>
        <v>6575.18</v>
      </c>
      <c r="H123" s="337">
        <f t="shared" si="4"/>
        <v>1872.71</v>
      </c>
      <c r="I123" s="336">
        <f t="shared" si="5"/>
        <v>13597.842500000001</v>
      </c>
      <c r="K123" s="318"/>
    </row>
    <row r="124" spans="1:11">
      <c r="A124" s="334" t="s">
        <v>2260</v>
      </c>
      <c r="B124" s="334" t="s">
        <v>2439</v>
      </c>
      <c r="C124" s="334" t="s">
        <v>1070</v>
      </c>
      <c r="D124" s="335">
        <v>40.46</v>
      </c>
      <c r="E124" s="357">
        <v>116.44000000000003</v>
      </c>
      <c r="F124" s="358">
        <v>34.369999999999997</v>
      </c>
      <c r="G124" s="336">
        <f t="shared" si="3"/>
        <v>4711.16</v>
      </c>
      <c r="H124" s="337">
        <f t="shared" si="4"/>
        <v>1390.61</v>
      </c>
      <c r="I124" s="336">
        <f t="shared" si="5"/>
        <v>9925.9474999999984</v>
      </c>
      <c r="K124" s="318"/>
    </row>
    <row r="125" spans="1:11">
      <c r="A125" s="334" t="s">
        <v>2440</v>
      </c>
      <c r="B125" s="334" t="s">
        <v>2441</v>
      </c>
      <c r="C125" s="334" t="s">
        <v>1070</v>
      </c>
      <c r="D125" s="335">
        <v>57.69</v>
      </c>
      <c r="E125" s="357">
        <v>116.44000000000003</v>
      </c>
      <c r="F125" s="358">
        <v>50.27</v>
      </c>
      <c r="G125" s="336">
        <f t="shared" si="3"/>
        <v>6717.42</v>
      </c>
      <c r="H125" s="337">
        <f t="shared" si="4"/>
        <v>2900.08</v>
      </c>
      <c r="I125" s="336">
        <f t="shared" si="5"/>
        <v>17592.72</v>
      </c>
      <c r="K125" s="318"/>
    </row>
    <row r="126" spans="1:11">
      <c r="A126" s="334" t="s">
        <v>2442</v>
      </c>
      <c r="B126" s="334" t="s">
        <v>2443</v>
      </c>
      <c r="C126" s="334" t="s">
        <v>1070</v>
      </c>
      <c r="D126" s="335">
        <v>222</v>
      </c>
      <c r="E126" s="357">
        <v>11.75</v>
      </c>
      <c r="F126" s="358">
        <v>3.39</v>
      </c>
      <c r="G126" s="336">
        <f t="shared" si="3"/>
        <v>2608.5</v>
      </c>
      <c r="H126" s="337">
        <f t="shared" si="4"/>
        <v>752.58</v>
      </c>
      <c r="I126" s="336">
        <f t="shared" si="5"/>
        <v>5430.6750000000002</v>
      </c>
      <c r="K126" s="318"/>
    </row>
    <row r="127" spans="1:11">
      <c r="A127" s="334" t="s">
        <v>2444</v>
      </c>
      <c r="B127" s="334" t="s">
        <v>2445</v>
      </c>
      <c r="C127" s="334" t="s">
        <v>36</v>
      </c>
      <c r="D127" s="335">
        <v>46</v>
      </c>
      <c r="E127" s="357">
        <v>48.53</v>
      </c>
      <c r="F127" s="358"/>
      <c r="G127" s="336">
        <f t="shared" si="3"/>
        <v>2232.38</v>
      </c>
      <c r="H127" s="337">
        <f t="shared" si="4"/>
        <v>0</v>
      </c>
      <c r="I127" s="336">
        <f t="shared" si="5"/>
        <v>2232.38</v>
      </c>
    </row>
    <row r="128" spans="1:11">
      <c r="A128" s="332" t="s">
        <v>2446</v>
      </c>
      <c r="B128" s="332" t="s">
        <v>2447</v>
      </c>
      <c r="C128" s="491"/>
      <c r="D128" s="491"/>
      <c r="E128" s="493"/>
      <c r="F128" s="358"/>
      <c r="G128" s="336">
        <f t="shared" si="3"/>
        <v>0</v>
      </c>
      <c r="H128" s="337">
        <f t="shared" si="4"/>
        <v>0</v>
      </c>
      <c r="I128" s="336">
        <f t="shared" si="5"/>
        <v>0</v>
      </c>
    </row>
    <row r="129" spans="1:9">
      <c r="A129" s="334" t="s">
        <v>2448</v>
      </c>
      <c r="B129" s="334" t="s">
        <v>2449</v>
      </c>
      <c r="C129" s="334" t="s">
        <v>36</v>
      </c>
      <c r="D129" s="335">
        <v>1389</v>
      </c>
      <c r="E129" s="357">
        <v>13.91</v>
      </c>
      <c r="F129" s="358"/>
      <c r="G129" s="336">
        <f t="shared" si="3"/>
        <v>19320.990000000002</v>
      </c>
      <c r="H129" s="337">
        <f t="shared" si="4"/>
        <v>0</v>
      </c>
      <c r="I129" s="336">
        <f t="shared" si="5"/>
        <v>19320.990000000002</v>
      </c>
    </row>
    <row r="130" spans="1:9">
      <c r="A130" s="334" t="s">
        <v>2450</v>
      </c>
      <c r="B130" s="334" t="s">
        <v>2451</v>
      </c>
      <c r="C130" s="334" t="s">
        <v>36</v>
      </c>
      <c r="D130" s="335">
        <v>798</v>
      </c>
      <c r="E130" s="357">
        <v>16.62</v>
      </c>
      <c r="F130" s="358"/>
      <c r="G130" s="336">
        <f t="shared" si="3"/>
        <v>13262.76</v>
      </c>
      <c r="H130" s="337">
        <f t="shared" si="4"/>
        <v>0</v>
      </c>
      <c r="I130" s="336">
        <f t="shared" si="5"/>
        <v>13262.76</v>
      </c>
    </row>
    <row r="131" spans="1:9">
      <c r="A131" s="334" t="s">
        <v>2452</v>
      </c>
      <c r="B131" s="334" t="s">
        <v>2453</v>
      </c>
      <c r="C131" s="334" t="s">
        <v>36</v>
      </c>
      <c r="D131" s="335">
        <v>199</v>
      </c>
      <c r="E131" s="357">
        <v>20.8</v>
      </c>
      <c r="F131" s="358"/>
      <c r="G131" s="336">
        <f t="shared" si="3"/>
        <v>4139.2</v>
      </c>
      <c r="H131" s="337">
        <f t="shared" si="4"/>
        <v>0</v>
      </c>
      <c r="I131" s="336">
        <f t="shared" si="5"/>
        <v>4139.2</v>
      </c>
    </row>
    <row r="132" spans="1:9">
      <c r="A132" s="334" t="s">
        <v>2454</v>
      </c>
      <c r="B132" s="334" t="s">
        <v>2455</v>
      </c>
      <c r="C132" s="334" t="s">
        <v>36</v>
      </c>
      <c r="D132" s="335">
        <v>24</v>
      </c>
      <c r="E132" s="357">
        <v>15.09</v>
      </c>
      <c r="F132" s="358"/>
      <c r="G132" s="336">
        <f t="shared" si="3"/>
        <v>362.16</v>
      </c>
      <c r="H132" s="337">
        <f t="shared" si="4"/>
        <v>0</v>
      </c>
      <c r="I132" s="336">
        <f t="shared" si="5"/>
        <v>362.16</v>
      </c>
    </row>
    <row r="133" spans="1:9">
      <c r="A133" s="334" t="s">
        <v>2456</v>
      </c>
      <c r="B133" s="334" t="s">
        <v>2457</v>
      </c>
      <c r="C133" s="334" t="s">
        <v>36</v>
      </c>
      <c r="D133" s="335">
        <v>0</v>
      </c>
      <c r="E133" s="357">
        <v>23.91</v>
      </c>
      <c r="F133" s="358"/>
      <c r="G133" s="336">
        <f t="shared" si="3"/>
        <v>0</v>
      </c>
      <c r="H133" s="337">
        <f t="shared" si="4"/>
        <v>0</v>
      </c>
      <c r="I133" s="336">
        <f t="shared" si="5"/>
        <v>0</v>
      </c>
    </row>
    <row r="134" spans="1:9">
      <c r="A134" s="334" t="s">
        <v>2458</v>
      </c>
      <c r="B134" s="334" t="s">
        <v>2459</v>
      </c>
      <c r="C134" s="334" t="s">
        <v>36</v>
      </c>
      <c r="D134" s="335">
        <v>0</v>
      </c>
      <c r="E134" s="357">
        <v>27.72</v>
      </c>
      <c r="F134" s="358"/>
      <c r="G134" s="336">
        <f t="shared" si="3"/>
        <v>0</v>
      </c>
      <c r="H134" s="337">
        <f t="shared" si="4"/>
        <v>0</v>
      </c>
      <c r="I134" s="336">
        <f t="shared" si="5"/>
        <v>0</v>
      </c>
    </row>
    <row r="135" spans="1:9">
      <c r="A135" s="334" t="s">
        <v>2460</v>
      </c>
      <c r="B135" s="334" t="s">
        <v>2461</v>
      </c>
      <c r="C135" s="334" t="s">
        <v>36</v>
      </c>
      <c r="D135" s="335">
        <v>4054</v>
      </c>
      <c r="E135" s="357">
        <v>21.56</v>
      </c>
      <c r="F135" s="358"/>
      <c r="G135" s="336">
        <f t="shared" si="3"/>
        <v>87404.24</v>
      </c>
      <c r="H135" s="337">
        <f t="shared" si="4"/>
        <v>0</v>
      </c>
      <c r="I135" s="336">
        <f t="shared" si="5"/>
        <v>87404.24</v>
      </c>
    </row>
    <row r="136" spans="1:9">
      <c r="A136" s="334" t="s">
        <v>2462</v>
      </c>
      <c r="B136" s="334" t="s">
        <v>2463</v>
      </c>
      <c r="C136" s="334" t="s">
        <v>36</v>
      </c>
      <c r="D136" s="335">
        <v>29</v>
      </c>
      <c r="E136" s="357">
        <v>55.49</v>
      </c>
      <c r="F136" s="358"/>
      <c r="G136" s="336">
        <f t="shared" si="3"/>
        <v>1609.21</v>
      </c>
      <c r="H136" s="337">
        <f t="shared" si="4"/>
        <v>0</v>
      </c>
      <c r="I136" s="336">
        <f t="shared" si="5"/>
        <v>1609.21</v>
      </c>
    </row>
    <row r="137" spans="1:9">
      <c r="A137" s="334" t="s">
        <v>2464</v>
      </c>
      <c r="B137" s="334" t="s">
        <v>2465</v>
      </c>
      <c r="C137" s="334" t="s">
        <v>36</v>
      </c>
      <c r="D137" s="335">
        <v>237</v>
      </c>
      <c r="E137" s="357">
        <v>26.04</v>
      </c>
      <c r="F137" s="358"/>
      <c r="G137" s="336">
        <f t="shared" si="3"/>
        <v>6171.48</v>
      </c>
      <c r="H137" s="337">
        <f t="shared" si="4"/>
        <v>0</v>
      </c>
      <c r="I137" s="336">
        <f t="shared" si="5"/>
        <v>6171.48</v>
      </c>
    </row>
    <row r="138" spans="1:9">
      <c r="A138" s="334" t="s">
        <v>2466</v>
      </c>
      <c r="B138" s="334" t="s">
        <v>2467</v>
      </c>
      <c r="C138" s="334" t="s">
        <v>36</v>
      </c>
      <c r="D138" s="335">
        <v>237</v>
      </c>
      <c r="E138" s="357">
        <v>27.51</v>
      </c>
      <c r="F138" s="358"/>
      <c r="G138" s="336">
        <f t="shared" si="3"/>
        <v>6519.87</v>
      </c>
      <c r="H138" s="337">
        <f t="shared" si="4"/>
        <v>0</v>
      </c>
      <c r="I138" s="336">
        <f t="shared" si="5"/>
        <v>6519.87</v>
      </c>
    </row>
    <row r="139" spans="1:9">
      <c r="A139" s="334" t="s">
        <v>2468</v>
      </c>
      <c r="B139" s="334" t="s">
        <v>2469</v>
      </c>
      <c r="C139" s="334" t="s">
        <v>36</v>
      </c>
      <c r="D139" s="335">
        <v>237</v>
      </c>
      <c r="E139" s="357">
        <v>14.97</v>
      </c>
      <c r="F139" s="358"/>
      <c r="G139" s="336">
        <f t="shared" si="3"/>
        <v>3547.89</v>
      </c>
      <c r="H139" s="337">
        <f t="shared" si="4"/>
        <v>0</v>
      </c>
      <c r="I139" s="336">
        <f t="shared" si="5"/>
        <v>3547.89</v>
      </c>
    </row>
    <row r="140" spans="1:9">
      <c r="A140" s="334" t="s">
        <v>2470</v>
      </c>
      <c r="B140" s="334" t="s">
        <v>2471</v>
      </c>
      <c r="C140" s="334" t="s">
        <v>36</v>
      </c>
      <c r="D140" s="335">
        <v>244</v>
      </c>
      <c r="E140" s="357">
        <v>18.97</v>
      </c>
      <c r="F140" s="358"/>
      <c r="G140" s="336">
        <f t="shared" si="3"/>
        <v>4628.68</v>
      </c>
      <c r="H140" s="337">
        <f t="shared" si="4"/>
        <v>0</v>
      </c>
      <c r="I140" s="336">
        <f t="shared" si="5"/>
        <v>4628.68</v>
      </c>
    </row>
    <row r="141" spans="1:9">
      <c r="A141" s="334" t="s">
        <v>2472</v>
      </c>
      <c r="B141" s="334" t="s">
        <v>2473</v>
      </c>
      <c r="C141" s="334" t="s">
        <v>36</v>
      </c>
      <c r="D141" s="335">
        <v>525</v>
      </c>
      <c r="E141" s="357">
        <v>9.5500000000000007</v>
      </c>
      <c r="F141" s="358"/>
      <c r="G141" s="336">
        <f t="shared" ref="G141:G194" si="6">ROUND(E141*D141,2)</f>
        <v>5013.75</v>
      </c>
      <c r="H141" s="337">
        <f t="shared" ref="H141:H194" si="7">ROUND(F141*D141,2)</f>
        <v>0</v>
      </c>
      <c r="I141" s="336">
        <f t="shared" si="5"/>
        <v>5013.75</v>
      </c>
    </row>
    <row r="142" spans="1:9">
      <c r="A142" s="334" t="s">
        <v>2474</v>
      </c>
      <c r="B142" s="334" t="s">
        <v>2475</v>
      </c>
      <c r="C142" s="334" t="s">
        <v>36</v>
      </c>
      <c r="D142" s="335">
        <v>1806</v>
      </c>
      <c r="E142" s="357">
        <v>21.11</v>
      </c>
      <c r="F142" s="358"/>
      <c r="G142" s="336">
        <f t="shared" si="6"/>
        <v>38124.660000000003</v>
      </c>
      <c r="H142" s="337">
        <f t="shared" si="7"/>
        <v>0</v>
      </c>
      <c r="I142" s="336">
        <f t="shared" si="5"/>
        <v>38124.660000000003</v>
      </c>
    </row>
    <row r="143" spans="1:9">
      <c r="A143" s="332" t="s">
        <v>1746</v>
      </c>
      <c r="B143" s="332" t="s">
        <v>2476</v>
      </c>
      <c r="C143" s="491"/>
      <c r="D143" s="491"/>
      <c r="E143" s="493"/>
      <c r="F143" s="358"/>
      <c r="G143" s="336">
        <f t="shared" si="6"/>
        <v>0</v>
      </c>
      <c r="H143" s="337">
        <f t="shared" si="7"/>
        <v>0</v>
      </c>
      <c r="I143" s="336"/>
    </row>
    <row r="144" spans="1:9">
      <c r="A144" s="492" t="s">
        <v>2477</v>
      </c>
      <c r="B144" s="492" t="s">
        <v>2478</v>
      </c>
      <c r="C144" s="491"/>
      <c r="D144" s="491"/>
      <c r="E144" s="493"/>
      <c r="F144" s="358"/>
      <c r="G144" s="336">
        <f t="shared" si="6"/>
        <v>0</v>
      </c>
      <c r="H144" s="337">
        <f t="shared" si="7"/>
        <v>0</v>
      </c>
      <c r="I144" s="336"/>
    </row>
    <row r="145" spans="1:11">
      <c r="A145" s="334" t="s">
        <v>2479</v>
      </c>
      <c r="B145" s="334" t="s">
        <v>2480</v>
      </c>
      <c r="C145" s="334" t="s">
        <v>36</v>
      </c>
      <c r="D145" s="335">
        <v>9</v>
      </c>
      <c r="E145" s="357">
        <v>2665.17</v>
      </c>
      <c r="F145" s="358"/>
      <c r="G145" s="336">
        <f t="shared" si="6"/>
        <v>23986.53</v>
      </c>
      <c r="H145" s="337">
        <f t="shared" si="7"/>
        <v>0</v>
      </c>
      <c r="I145" s="336">
        <f t="shared" ref="I145:I194" si="8">+G145+(H145*$I$3)</f>
        <v>23986.53</v>
      </c>
    </row>
    <row r="146" spans="1:11">
      <c r="A146" s="334" t="s">
        <v>2481</v>
      </c>
      <c r="B146" s="334" t="s">
        <v>2482</v>
      </c>
      <c r="C146" s="334" t="s">
        <v>36</v>
      </c>
      <c r="D146" s="335">
        <v>15</v>
      </c>
      <c r="E146" s="357">
        <v>88.68</v>
      </c>
      <c r="F146" s="358"/>
      <c r="G146" s="336">
        <f t="shared" si="6"/>
        <v>1330.2</v>
      </c>
      <c r="H146" s="337">
        <f t="shared" si="7"/>
        <v>0</v>
      </c>
      <c r="I146" s="336">
        <f t="shared" si="8"/>
        <v>1330.2</v>
      </c>
    </row>
    <row r="147" spans="1:11">
      <c r="A147" s="334" t="s">
        <v>2483</v>
      </c>
      <c r="B147" s="334" t="s">
        <v>2484</v>
      </c>
      <c r="C147" s="334" t="s">
        <v>1070</v>
      </c>
      <c r="D147" s="335">
        <v>52</v>
      </c>
      <c r="E147" s="357">
        <v>1.78</v>
      </c>
      <c r="F147" s="358"/>
      <c r="G147" s="336">
        <f t="shared" si="6"/>
        <v>92.56</v>
      </c>
      <c r="H147" s="337">
        <f t="shared" si="7"/>
        <v>0</v>
      </c>
      <c r="I147" s="336">
        <f t="shared" si="8"/>
        <v>92.56</v>
      </c>
    </row>
    <row r="148" spans="1:11">
      <c r="A148" s="334" t="s">
        <v>2485</v>
      </c>
      <c r="B148" s="334" t="s">
        <v>2486</v>
      </c>
      <c r="C148" s="334" t="s">
        <v>155</v>
      </c>
      <c r="D148" s="335">
        <v>16.64</v>
      </c>
      <c r="E148" s="357">
        <v>54.54</v>
      </c>
      <c r="F148" s="358"/>
      <c r="G148" s="336">
        <f t="shared" si="6"/>
        <v>907.55</v>
      </c>
      <c r="H148" s="337">
        <f t="shared" si="7"/>
        <v>0</v>
      </c>
      <c r="I148" s="336">
        <f t="shared" si="8"/>
        <v>907.55</v>
      </c>
    </row>
    <row r="149" spans="1:11">
      <c r="A149" s="334" t="s">
        <v>2487</v>
      </c>
      <c r="B149" s="334" t="s">
        <v>2488</v>
      </c>
      <c r="C149" s="334" t="s">
        <v>155</v>
      </c>
      <c r="D149" s="335">
        <v>14.22</v>
      </c>
      <c r="E149" s="357">
        <v>255.9</v>
      </c>
      <c r="F149" s="358"/>
      <c r="G149" s="336">
        <f t="shared" si="6"/>
        <v>3638.9</v>
      </c>
      <c r="H149" s="337">
        <f t="shared" si="7"/>
        <v>0</v>
      </c>
      <c r="I149" s="336">
        <f t="shared" si="8"/>
        <v>3638.9</v>
      </c>
    </row>
    <row r="150" spans="1:11">
      <c r="A150" s="334" t="s">
        <v>2489</v>
      </c>
      <c r="B150" s="334" t="s">
        <v>2182</v>
      </c>
      <c r="C150" s="334" t="s">
        <v>155</v>
      </c>
      <c r="D150" s="335">
        <v>7.41</v>
      </c>
      <c r="E150" s="357">
        <v>38.31</v>
      </c>
      <c r="F150" s="358"/>
      <c r="G150" s="336">
        <f t="shared" si="6"/>
        <v>283.88</v>
      </c>
      <c r="H150" s="337">
        <f t="shared" si="7"/>
        <v>0</v>
      </c>
      <c r="I150" s="336">
        <f t="shared" si="8"/>
        <v>283.88</v>
      </c>
    </row>
    <row r="151" spans="1:11">
      <c r="A151" s="492" t="s">
        <v>2490</v>
      </c>
      <c r="B151" s="492" t="s">
        <v>2491</v>
      </c>
      <c r="C151" s="491"/>
      <c r="D151" s="491"/>
      <c r="E151" s="493"/>
      <c r="F151" s="358"/>
      <c r="G151" s="336">
        <f t="shared" si="6"/>
        <v>0</v>
      </c>
      <c r="H151" s="337">
        <f t="shared" si="7"/>
        <v>0</v>
      </c>
      <c r="I151" s="336">
        <f t="shared" si="8"/>
        <v>0</v>
      </c>
    </row>
    <row r="152" spans="1:11">
      <c r="A152" s="334" t="s">
        <v>2492</v>
      </c>
      <c r="B152" s="334" t="s">
        <v>2493</v>
      </c>
      <c r="C152" s="334" t="s">
        <v>1070</v>
      </c>
      <c r="D152" s="335">
        <v>52</v>
      </c>
      <c r="E152" s="357">
        <v>8.3399999999999963</v>
      </c>
      <c r="F152" s="358">
        <v>8.8000000000000007</v>
      </c>
      <c r="G152" s="336">
        <f t="shared" si="6"/>
        <v>433.68</v>
      </c>
      <c r="H152" s="337">
        <f t="shared" si="7"/>
        <v>457.6</v>
      </c>
      <c r="I152" s="336">
        <f t="shared" si="8"/>
        <v>2149.6799999999998</v>
      </c>
      <c r="K152" s="318"/>
    </row>
    <row r="153" spans="1:11">
      <c r="A153" s="334" t="s">
        <v>2494</v>
      </c>
      <c r="B153" s="334" t="s">
        <v>2495</v>
      </c>
      <c r="C153" s="334" t="s">
        <v>1070</v>
      </c>
      <c r="D153" s="335">
        <v>172.51</v>
      </c>
      <c r="E153" s="357">
        <v>13.909999999999997</v>
      </c>
      <c r="F153" s="358">
        <v>12.6</v>
      </c>
      <c r="G153" s="336">
        <f t="shared" si="6"/>
        <v>2399.61</v>
      </c>
      <c r="H153" s="337">
        <f t="shared" si="7"/>
        <v>2173.63</v>
      </c>
      <c r="I153" s="336">
        <f t="shared" si="8"/>
        <v>10550.7225</v>
      </c>
      <c r="K153" s="318"/>
    </row>
    <row r="154" spans="1:11">
      <c r="A154" s="334" t="s">
        <v>2496</v>
      </c>
      <c r="B154" s="334" t="s">
        <v>2497</v>
      </c>
      <c r="C154" s="334" t="s">
        <v>1070</v>
      </c>
      <c r="D154" s="335">
        <v>39</v>
      </c>
      <c r="E154" s="357">
        <v>12.600000000000001</v>
      </c>
      <c r="F154" s="358">
        <v>8.91</v>
      </c>
      <c r="G154" s="336">
        <f t="shared" si="6"/>
        <v>491.4</v>
      </c>
      <c r="H154" s="337">
        <f t="shared" si="7"/>
        <v>347.49</v>
      </c>
      <c r="I154" s="336">
        <f t="shared" si="8"/>
        <v>1794.4875000000002</v>
      </c>
      <c r="K154" s="318"/>
    </row>
    <row r="155" spans="1:11">
      <c r="A155" s="334" t="s">
        <v>2498</v>
      </c>
      <c r="B155" s="334" t="s">
        <v>2499</v>
      </c>
      <c r="C155" s="334" t="s">
        <v>1070</v>
      </c>
      <c r="D155" s="335">
        <v>48</v>
      </c>
      <c r="E155" s="357">
        <v>12.599999999999998</v>
      </c>
      <c r="F155" s="358">
        <v>6.33</v>
      </c>
      <c r="G155" s="336">
        <f t="shared" si="6"/>
        <v>604.79999999999995</v>
      </c>
      <c r="H155" s="337">
        <f t="shared" si="7"/>
        <v>303.83999999999997</v>
      </c>
      <c r="I155" s="336">
        <f t="shared" si="8"/>
        <v>1744.1999999999998</v>
      </c>
      <c r="K155" s="318"/>
    </row>
    <row r="156" spans="1:11">
      <c r="A156" s="334" t="s">
        <v>2500</v>
      </c>
      <c r="B156" s="334" t="s">
        <v>2501</v>
      </c>
      <c r="C156" s="334" t="s">
        <v>1070</v>
      </c>
      <c r="D156" s="335">
        <v>89</v>
      </c>
      <c r="E156" s="357">
        <v>10.64</v>
      </c>
      <c r="F156" s="358">
        <v>4.42</v>
      </c>
      <c r="G156" s="336">
        <f t="shared" si="6"/>
        <v>946.96</v>
      </c>
      <c r="H156" s="337">
        <f t="shared" si="7"/>
        <v>393.38</v>
      </c>
      <c r="I156" s="336">
        <f t="shared" si="8"/>
        <v>2422.1350000000002</v>
      </c>
      <c r="K156" s="318"/>
    </row>
    <row r="157" spans="1:11">
      <c r="A157" s="334" t="s">
        <v>2502</v>
      </c>
      <c r="B157" s="334" t="s">
        <v>2503</v>
      </c>
      <c r="C157" s="334" t="s">
        <v>1070</v>
      </c>
      <c r="D157" s="335">
        <v>147.01</v>
      </c>
      <c r="E157" s="357">
        <v>10.64</v>
      </c>
      <c r="F157" s="358">
        <v>1.46</v>
      </c>
      <c r="G157" s="336">
        <f t="shared" si="6"/>
        <v>1564.19</v>
      </c>
      <c r="H157" s="337">
        <f t="shared" si="7"/>
        <v>214.63</v>
      </c>
      <c r="I157" s="336">
        <f t="shared" si="8"/>
        <v>2369.0524999999998</v>
      </c>
      <c r="K157" s="318"/>
    </row>
    <row r="158" spans="1:11">
      <c r="A158" s="334" t="s">
        <v>2504</v>
      </c>
      <c r="B158" s="334" t="s">
        <v>2505</v>
      </c>
      <c r="C158" s="334" t="s">
        <v>1070</v>
      </c>
      <c r="D158" s="335">
        <v>38.79</v>
      </c>
      <c r="E158" s="357">
        <v>10.64</v>
      </c>
      <c r="F158" s="358">
        <v>1.46</v>
      </c>
      <c r="G158" s="336">
        <f t="shared" si="6"/>
        <v>412.73</v>
      </c>
      <c r="H158" s="337">
        <f t="shared" si="7"/>
        <v>56.63</v>
      </c>
      <c r="I158" s="336">
        <f t="shared" si="8"/>
        <v>625.09249999999997</v>
      </c>
      <c r="K158" s="318"/>
    </row>
    <row r="159" spans="1:11">
      <c r="A159" s="492" t="s">
        <v>2506</v>
      </c>
      <c r="B159" s="492" t="s">
        <v>2507</v>
      </c>
      <c r="C159" s="491"/>
      <c r="D159" s="491"/>
      <c r="E159" s="493"/>
      <c r="F159" s="358"/>
      <c r="G159" s="336">
        <f t="shared" si="6"/>
        <v>0</v>
      </c>
      <c r="H159" s="337">
        <f t="shared" si="7"/>
        <v>0</v>
      </c>
      <c r="I159" s="336">
        <f t="shared" si="8"/>
        <v>0</v>
      </c>
    </row>
    <row r="160" spans="1:11">
      <c r="A160" s="334" t="s">
        <v>2508</v>
      </c>
      <c r="B160" s="334" t="s">
        <v>2408</v>
      </c>
      <c r="C160" s="334" t="s">
        <v>1070</v>
      </c>
      <c r="D160" s="335">
        <v>348.21</v>
      </c>
      <c r="E160" s="357">
        <v>20.25</v>
      </c>
      <c r="F160" s="358"/>
      <c r="G160" s="336">
        <f t="shared" si="6"/>
        <v>7051.25</v>
      </c>
      <c r="H160" s="337">
        <f t="shared" si="7"/>
        <v>0</v>
      </c>
      <c r="I160" s="336">
        <f t="shared" si="8"/>
        <v>7051.25</v>
      </c>
    </row>
    <row r="161" spans="1:9">
      <c r="A161" s="334" t="s">
        <v>2509</v>
      </c>
      <c r="B161" s="334" t="s">
        <v>2406</v>
      </c>
      <c r="C161" s="334" t="s">
        <v>1070</v>
      </c>
      <c r="D161" s="335">
        <v>185.8</v>
      </c>
      <c r="E161" s="357">
        <v>12.62</v>
      </c>
      <c r="F161" s="358"/>
      <c r="G161" s="336">
        <f t="shared" si="6"/>
        <v>2344.8000000000002</v>
      </c>
      <c r="H161" s="337">
        <f t="shared" si="7"/>
        <v>0</v>
      </c>
      <c r="I161" s="336">
        <f t="shared" si="8"/>
        <v>2344.8000000000002</v>
      </c>
    </row>
    <row r="162" spans="1:9">
      <c r="A162" s="332" t="s">
        <v>2510</v>
      </c>
      <c r="B162" s="332" t="s">
        <v>2511</v>
      </c>
      <c r="C162" s="491"/>
      <c r="D162" s="491"/>
      <c r="E162" s="493"/>
      <c r="F162" s="358"/>
      <c r="G162" s="336">
        <f t="shared" si="6"/>
        <v>0</v>
      </c>
      <c r="H162" s="337">
        <f t="shared" si="7"/>
        <v>0</v>
      </c>
      <c r="I162" s="336">
        <f t="shared" si="8"/>
        <v>0</v>
      </c>
    </row>
    <row r="163" spans="1:9">
      <c r="A163" s="334" t="s">
        <v>2512</v>
      </c>
      <c r="B163" s="334" t="s">
        <v>2513</v>
      </c>
      <c r="C163" s="334" t="s">
        <v>36</v>
      </c>
      <c r="D163" s="335">
        <v>9</v>
      </c>
      <c r="E163" s="357">
        <v>450.66</v>
      </c>
      <c r="F163" s="358"/>
      <c r="G163" s="336">
        <f t="shared" si="6"/>
        <v>4055.94</v>
      </c>
      <c r="H163" s="337">
        <f t="shared" si="7"/>
        <v>0</v>
      </c>
      <c r="I163" s="336">
        <f t="shared" si="8"/>
        <v>4055.94</v>
      </c>
    </row>
    <row r="164" spans="1:9">
      <c r="A164" s="334" t="s">
        <v>2514</v>
      </c>
      <c r="B164" s="334" t="s">
        <v>2515</v>
      </c>
      <c r="C164" s="334" t="s">
        <v>29</v>
      </c>
      <c r="D164" s="335">
        <v>1</v>
      </c>
      <c r="E164" s="357">
        <v>6811.42</v>
      </c>
      <c r="F164" s="358"/>
      <c r="G164" s="336">
        <f t="shared" si="6"/>
        <v>6811.42</v>
      </c>
      <c r="H164" s="337">
        <f t="shared" si="7"/>
        <v>0</v>
      </c>
      <c r="I164" s="336">
        <f t="shared" si="8"/>
        <v>6811.42</v>
      </c>
    </row>
    <row r="165" spans="1:9">
      <c r="A165" s="332" t="s">
        <v>2516</v>
      </c>
      <c r="B165" s="332" t="s">
        <v>2517</v>
      </c>
      <c r="C165" s="491"/>
      <c r="D165" s="491"/>
      <c r="E165" s="493"/>
      <c r="F165" s="358"/>
      <c r="G165" s="336">
        <f t="shared" si="6"/>
        <v>0</v>
      </c>
      <c r="H165" s="337">
        <f t="shared" si="7"/>
        <v>0</v>
      </c>
      <c r="I165" s="336">
        <f t="shared" si="8"/>
        <v>0</v>
      </c>
    </row>
    <row r="166" spans="1:9">
      <c r="A166" s="492" t="s">
        <v>2518</v>
      </c>
      <c r="B166" s="492" t="s">
        <v>2519</v>
      </c>
      <c r="C166" s="491"/>
      <c r="D166" s="491"/>
      <c r="E166" s="493"/>
      <c r="F166" s="358"/>
      <c r="G166" s="336">
        <f t="shared" si="6"/>
        <v>0</v>
      </c>
      <c r="H166" s="337">
        <f t="shared" si="7"/>
        <v>0</v>
      </c>
      <c r="I166" s="336">
        <f t="shared" si="8"/>
        <v>0</v>
      </c>
    </row>
    <row r="167" spans="1:9">
      <c r="A167" s="334" t="s">
        <v>2520</v>
      </c>
      <c r="B167" s="334" t="s">
        <v>2521</v>
      </c>
      <c r="C167" s="334" t="s">
        <v>2038</v>
      </c>
      <c r="D167" s="335">
        <v>244</v>
      </c>
      <c r="E167" s="357">
        <v>50.06</v>
      </c>
      <c r="F167" s="358"/>
      <c r="G167" s="336">
        <f t="shared" si="6"/>
        <v>12214.64</v>
      </c>
      <c r="H167" s="337">
        <f t="shared" si="7"/>
        <v>0</v>
      </c>
      <c r="I167" s="336">
        <f t="shared" si="8"/>
        <v>12214.64</v>
      </c>
    </row>
    <row r="168" spans="1:9">
      <c r="A168" s="334" t="s">
        <v>2522</v>
      </c>
      <c r="B168" s="334" t="s">
        <v>2523</v>
      </c>
      <c r="C168" s="334" t="s">
        <v>2038</v>
      </c>
      <c r="D168" s="335">
        <v>8</v>
      </c>
      <c r="E168" s="357">
        <v>50.06</v>
      </c>
      <c r="F168" s="358"/>
      <c r="G168" s="336">
        <f t="shared" si="6"/>
        <v>400.48</v>
      </c>
      <c r="H168" s="337">
        <f t="shared" si="7"/>
        <v>0</v>
      </c>
      <c r="I168" s="336">
        <f t="shared" si="8"/>
        <v>400.48</v>
      </c>
    </row>
    <row r="169" spans="1:9">
      <c r="A169" s="334" t="s">
        <v>2524</v>
      </c>
      <c r="B169" s="334" t="s">
        <v>2525</v>
      </c>
      <c r="C169" s="334" t="s">
        <v>2038</v>
      </c>
      <c r="D169" s="335">
        <v>525</v>
      </c>
      <c r="E169" s="357">
        <v>45.79</v>
      </c>
      <c r="F169" s="358"/>
      <c r="G169" s="336">
        <f t="shared" si="6"/>
        <v>24039.75</v>
      </c>
      <c r="H169" s="337">
        <f t="shared" si="7"/>
        <v>0</v>
      </c>
      <c r="I169" s="336">
        <f t="shared" si="8"/>
        <v>24039.75</v>
      </c>
    </row>
    <row r="170" spans="1:9">
      <c r="A170" s="334" t="s">
        <v>2526</v>
      </c>
      <c r="B170" s="334" t="s">
        <v>2527</v>
      </c>
      <c r="C170" s="334" t="s">
        <v>2038</v>
      </c>
      <c r="D170" s="335">
        <v>253</v>
      </c>
      <c r="E170" s="357">
        <v>45.59</v>
      </c>
      <c r="F170" s="358"/>
      <c r="G170" s="336">
        <f t="shared" si="6"/>
        <v>11534.27</v>
      </c>
      <c r="H170" s="337">
        <f t="shared" si="7"/>
        <v>0</v>
      </c>
      <c r="I170" s="336">
        <f t="shared" si="8"/>
        <v>11534.27</v>
      </c>
    </row>
    <row r="171" spans="1:9">
      <c r="A171" s="334" t="s">
        <v>2528</v>
      </c>
      <c r="B171" s="334" t="s">
        <v>2529</v>
      </c>
      <c r="C171" s="334" t="s">
        <v>2038</v>
      </c>
      <c r="D171" s="335">
        <v>1</v>
      </c>
      <c r="E171" s="357">
        <v>45.59</v>
      </c>
      <c r="F171" s="358"/>
      <c r="G171" s="336">
        <f t="shared" si="6"/>
        <v>45.59</v>
      </c>
      <c r="H171" s="337">
        <f t="shared" si="7"/>
        <v>0</v>
      </c>
      <c r="I171" s="336">
        <f t="shared" si="8"/>
        <v>45.59</v>
      </c>
    </row>
    <row r="172" spans="1:9">
      <c r="A172" s="334" t="s">
        <v>2530</v>
      </c>
      <c r="B172" s="334" t="s">
        <v>2531</v>
      </c>
      <c r="C172" s="334" t="s">
        <v>2038</v>
      </c>
      <c r="D172" s="335">
        <v>1</v>
      </c>
      <c r="E172" s="357">
        <v>61.12</v>
      </c>
      <c r="F172" s="358"/>
      <c r="G172" s="336">
        <f t="shared" si="6"/>
        <v>61.12</v>
      </c>
      <c r="H172" s="337">
        <f t="shared" si="7"/>
        <v>0</v>
      </c>
      <c r="I172" s="336">
        <f t="shared" si="8"/>
        <v>61.12</v>
      </c>
    </row>
    <row r="173" spans="1:9">
      <c r="A173" s="334" t="s">
        <v>2532</v>
      </c>
      <c r="B173" s="334" t="s">
        <v>2533</v>
      </c>
      <c r="C173" s="334" t="s">
        <v>2038</v>
      </c>
      <c r="D173" s="335">
        <v>14</v>
      </c>
      <c r="E173" s="357">
        <v>45.59</v>
      </c>
      <c r="F173" s="358"/>
      <c r="G173" s="336">
        <f t="shared" si="6"/>
        <v>638.26</v>
      </c>
      <c r="H173" s="337">
        <f t="shared" si="7"/>
        <v>0</v>
      </c>
      <c r="I173" s="336">
        <f t="shared" si="8"/>
        <v>638.26</v>
      </c>
    </row>
    <row r="174" spans="1:9">
      <c r="A174" s="334" t="s">
        <v>2534</v>
      </c>
      <c r="B174" s="334" t="s">
        <v>2535</v>
      </c>
      <c r="C174" s="334" t="s">
        <v>2038</v>
      </c>
      <c r="D174" s="335">
        <v>82</v>
      </c>
      <c r="E174" s="357">
        <v>45.59</v>
      </c>
      <c r="F174" s="358"/>
      <c r="G174" s="336">
        <f t="shared" si="6"/>
        <v>3738.38</v>
      </c>
      <c r="H174" s="337">
        <f t="shared" si="7"/>
        <v>0</v>
      </c>
      <c r="I174" s="336">
        <f t="shared" si="8"/>
        <v>3738.38</v>
      </c>
    </row>
    <row r="175" spans="1:9">
      <c r="A175" s="334" t="s">
        <v>2536</v>
      </c>
      <c r="B175" s="334" t="s">
        <v>2537</v>
      </c>
      <c r="C175" s="334" t="s">
        <v>2038</v>
      </c>
      <c r="D175" s="335">
        <v>486</v>
      </c>
      <c r="E175" s="357">
        <v>41.85</v>
      </c>
      <c r="F175" s="358"/>
      <c r="G175" s="336">
        <f t="shared" si="6"/>
        <v>20339.099999999999</v>
      </c>
      <c r="H175" s="337">
        <f t="shared" si="7"/>
        <v>0</v>
      </c>
      <c r="I175" s="336">
        <f t="shared" si="8"/>
        <v>20339.099999999999</v>
      </c>
    </row>
    <row r="176" spans="1:9">
      <c r="A176" s="334" t="s">
        <v>2538</v>
      </c>
      <c r="B176" s="334" t="s">
        <v>2539</v>
      </c>
      <c r="C176" s="334" t="s">
        <v>2038</v>
      </c>
      <c r="D176" s="335">
        <v>283</v>
      </c>
      <c r="E176" s="357">
        <v>41.85</v>
      </c>
      <c r="F176" s="358"/>
      <c r="G176" s="336">
        <f t="shared" si="6"/>
        <v>11843.55</v>
      </c>
      <c r="H176" s="337">
        <f t="shared" si="7"/>
        <v>0</v>
      </c>
      <c r="I176" s="336">
        <f t="shared" si="8"/>
        <v>11843.55</v>
      </c>
    </row>
    <row r="177" spans="1:9">
      <c r="A177" s="334" t="s">
        <v>2540</v>
      </c>
      <c r="B177" s="334" t="s">
        <v>2541</v>
      </c>
      <c r="C177" s="334" t="s">
        <v>2038</v>
      </c>
      <c r="D177" s="335">
        <v>73</v>
      </c>
      <c r="E177" s="357">
        <v>60.08</v>
      </c>
      <c r="F177" s="358"/>
      <c r="G177" s="336">
        <f t="shared" si="6"/>
        <v>4385.84</v>
      </c>
      <c r="H177" s="337">
        <f t="shared" si="7"/>
        <v>0</v>
      </c>
      <c r="I177" s="336">
        <f t="shared" si="8"/>
        <v>4385.84</v>
      </c>
    </row>
    <row r="178" spans="1:9">
      <c r="A178" s="334" t="s">
        <v>2542</v>
      </c>
      <c r="B178" s="334" t="s">
        <v>2543</v>
      </c>
      <c r="C178" s="334" t="s">
        <v>2038</v>
      </c>
      <c r="D178" s="335">
        <v>132</v>
      </c>
      <c r="E178" s="357">
        <v>49.5</v>
      </c>
      <c r="F178" s="358"/>
      <c r="G178" s="336">
        <f t="shared" si="6"/>
        <v>6534</v>
      </c>
      <c r="H178" s="337">
        <f t="shared" si="7"/>
        <v>0</v>
      </c>
      <c r="I178" s="336">
        <f t="shared" si="8"/>
        <v>6534</v>
      </c>
    </row>
    <row r="179" spans="1:9">
      <c r="A179" s="334" t="s">
        <v>2544</v>
      </c>
      <c r="B179" s="334" t="s">
        <v>2545</v>
      </c>
      <c r="C179" s="334" t="s">
        <v>2038</v>
      </c>
      <c r="D179" s="335">
        <v>23</v>
      </c>
      <c r="E179" s="357">
        <v>57.85</v>
      </c>
      <c r="F179" s="358"/>
      <c r="G179" s="336">
        <f t="shared" si="6"/>
        <v>1330.55</v>
      </c>
      <c r="H179" s="337">
        <f t="shared" si="7"/>
        <v>0</v>
      </c>
      <c r="I179" s="336">
        <f t="shared" si="8"/>
        <v>1330.55</v>
      </c>
    </row>
    <row r="180" spans="1:9">
      <c r="A180" s="334" t="s">
        <v>2546</v>
      </c>
      <c r="B180" s="334" t="s">
        <v>2547</v>
      </c>
      <c r="C180" s="334" t="s">
        <v>2038</v>
      </c>
      <c r="D180" s="335">
        <v>52</v>
      </c>
      <c r="E180" s="357">
        <v>57.85</v>
      </c>
      <c r="F180" s="358"/>
      <c r="G180" s="336">
        <f t="shared" si="6"/>
        <v>3008.2</v>
      </c>
      <c r="H180" s="337">
        <f t="shared" si="7"/>
        <v>0</v>
      </c>
      <c r="I180" s="336">
        <f t="shared" si="8"/>
        <v>3008.2</v>
      </c>
    </row>
    <row r="181" spans="1:9">
      <c r="A181" s="492" t="s">
        <v>2548</v>
      </c>
      <c r="B181" s="492" t="s">
        <v>2549</v>
      </c>
      <c r="C181" s="491"/>
      <c r="D181" s="491"/>
      <c r="E181" s="493"/>
      <c r="F181" s="358"/>
      <c r="G181" s="336">
        <f t="shared" si="6"/>
        <v>0</v>
      </c>
      <c r="H181" s="337">
        <f t="shared" si="7"/>
        <v>0</v>
      </c>
      <c r="I181" s="336">
        <f t="shared" si="8"/>
        <v>0</v>
      </c>
    </row>
    <row r="182" spans="1:9">
      <c r="A182" s="334" t="s">
        <v>2550</v>
      </c>
      <c r="B182" s="334" t="s">
        <v>2418</v>
      </c>
      <c r="C182" s="334" t="s">
        <v>36</v>
      </c>
      <c r="D182" s="335">
        <v>34</v>
      </c>
      <c r="E182" s="357">
        <v>24.84</v>
      </c>
      <c r="F182" s="358"/>
      <c r="G182" s="336">
        <f t="shared" si="6"/>
        <v>844.56</v>
      </c>
      <c r="H182" s="337">
        <f t="shared" si="7"/>
        <v>0</v>
      </c>
      <c r="I182" s="336">
        <f t="shared" si="8"/>
        <v>844.56</v>
      </c>
    </row>
    <row r="183" spans="1:9">
      <c r="A183" s="334" t="s">
        <v>2551</v>
      </c>
      <c r="B183" s="334" t="s">
        <v>2420</v>
      </c>
      <c r="C183" s="334" t="s">
        <v>36</v>
      </c>
      <c r="D183" s="335">
        <v>263</v>
      </c>
      <c r="E183" s="357">
        <v>36.31</v>
      </c>
      <c r="F183" s="358"/>
      <c r="G183" s="336">
        <f t="shared" si="6"/>
        <v>9549.5300000000007</v>
      </c>
      <c r="H183" s="337">
        <f t="shared" si="7"/>
        <v>0</v>
      </c>
      <c r="I183" s="336">
        <f t="shared" si="8"/>
        <v>9549.5300000000007</v>
      </c>
    </row>
    <row r="184" spans="1:9">
      <c r="A184" s="334" t="s">
        <v>2552</v>
      </c>
      <c r="B184" s="334" t="s">
        <v>2424</v>
      </c>
      <c r="C184" s="334" t="s">
        <v>36</v>
      </c>
      <c r="D184" s="335">
        <v>161</v>
      </c>
      <c r="E184" s="357">
        <v>227.65</v>
      </c>
      <c r="F184" s="358"/>
      <c r="G184" s="336">
        <f t="shared" si="6"/>
        <v>36651.65</v>
      </c>
      <c r="H184" s="337">
        <f t="shared" si="7"/>
        <v>0</v>
      </c>
      <c r="I184" s="336">
        <f t="shared" si="8"/>
        <v>36651.65</v>
      </c>
    </row>
    <row r="185" spans="1:9">
      <c r="A185" s="334" t="s">
        <v>2553</v>
      </c>
      <c r="B185" s="334" t="s">
        <v>2431</v>
      </c>
      <c r="C185" s="334" t="s">
        <v>36</v>
      </c>
      <c r="D185" s="335">
        <v>57</v>
      </c>
      <c r="E185" s="357">
        <v>121.67</v>
      </c>
      <c r="F185" s="358"/>
      <c r="G185" s="336">
        <f t="shared" si="6"/>
        <v>6935.19</v>
      </c>
      <c r="H185" s="337">
        <f t="shared" si="7"/>
        <v>0</v>
      </c>
      <c r="I185" s="336">
        <f t="shared" si="8"/>
        <v>6935.19</v>
      </c>
    </row>
    <row r="186" spans="1:9">
      <c r="A186" s="334" t="s">
        <v>2554</v>
      </c>
      <c r="B186" s="334" t="s">
        <v>2555</v>
      </c>
      <c r="C186" s="334" t="s">
        <v>36</v>
      </c>
      <c r="D186" s="335">
        <v>208</v>
      </c>
      <c r="E186" s="357">
        <v>318.56</v>
      </c>
      <c r="F186" s="358"/>
      <c r="G186" s="336">
        <f t="shared" si="6"/>
        <v>66260.479999999996</v>
      </c>
      <c r="H186" s="337">
        <f t="shared" si="7"/>
        <v>0</v>
      </c>
      <c r="I186" s="336">
        <f t="shared" si="8"/>
        <v>66260.479999999996</v>
      </c>
    </row>
    <row r="187" spans="1:9">
      <c r="A187" s="334" t="s">
        <v>2556</v>
      </c>
      <c r="B187" s="334" t="s">
        <v>2557</v>
      </c>
      <c r="C187" s="334" t="s">
        <v>36</v>
      </c>
      <c r="D187" s="335">
        <v>2</v>
      </c>
      <c r="E187" s="357">
        <v>1127.83</v>
      </c>
      <c r="F187" s="358"/>
      <c r="G187" s="336">
        <f t="shared" si="6"/>
        <v>2255.66</v>
      </c>
      <c r="H187" s="337">
        <f t="shared" si="7"/>
        <v>0</v>
      </c>
      <c r="I187" s="336">
        <f t="shared" si="8"/>
        <v>2255.66</v>
      </c>
    </row>
    <row r="188" spans="1:9">
      <c r="A188" s="492" t="s">
        <v>2558</v>
      </c>
      <c r="B188" s="492" t="s">
        <v>2559</v>
      </c>
      <c r="C188" s="491"/>
      <c r="D188" s="491"/>
      <c r="E188" s="493"/>
      <c r="F188" s="358"/>
      <c r="G188" s="336">
        <f t="shared" si="6"/>
        <v>0</v>
      </c>
      <c r="H188" s="337">
        <f t="shared" si="7"/>
        <v>0</v>
      </c>
      <c r="I188" s="336">
        <f t="shared" si="8"/>
        <v>0</v>
      </c>
    </row>
    <row r="189" spans="1:9">
      <c r="A189" s="334" t="s">
        <v>2560</v>
      </c>
      <c r="B189" s="334" t="s">
        <v>2407</v>
      </c>
      <c r="C189" s="334" t="s">
        <v>1070</v>
      </c>
      <c r="D189" s="335">
        <v>138</v>
      </c>
      <c r="E189" s="357">
        <v>14.91</v>
      </c>
      <c r="F189" s="358"/>
      <c r="G189" s="336">
        <f t="shared" si="6"/>
        <v>2057.58</v>
      </c>
      <c r="H189" s="337">
        <f t="shared" si="7"/>
        <v>0</v>
      </c>
      <c r="I189" s="336">
        <f t="shared" si="8"/>
        <v>2057.58</v>
      </c>
    </row>
    <row r="190" spans="1:9">
      <c r="A190" s="334" t="s">
        <v>2561</v>
      </c>
      <c r="B190" s="334" t="s">
        <v>2406</v>
      </c>
      <c r="C190" s="334" t="s">
        <v>1070</v>
      </c>
      <c r="D190" s="335">
        <v>2237</v>
      </c>
      <c r="E190" s="357">
        <v>12.62</v>
      </c>
      <c r="F190" s="358"/>
      <c r="G190" s="336">
        <f t="shared" si="6"/>
        <v>28230.94</v>
      </c>
      <c r="H190" s="337">
        <f t="shared" si="7"/>
        <v>0</v>
      </c>
      <c r="I190" s="336">
        <f t="shared" si="8"/>
        <v>28230.94</v>
      </c>
    </row>
    <row r="191" spans="1:9">
      <c r="A191" s="334" t="s">
        <v>2562</v>
      </c>
      <c r="B191" s="334" t="s">
        <v>2563</v>
      </c>
      <c r="C191" s="334" t="s">
        <v>1070</v>
      </c>
      <c r="D191" s="335">
        <v>12013.43</v>
      </c>
      <c r="E191" s="357">
        <v>12.06</v>
      </c>
      <c r="F191" s="358"/>
      <c r="G191" s="336">
        <f t="shared" si="6"/>
        <v>144881.97</v>
      </c>
      <c r="H191" s="337">
        <f t="shared" si="7"/>
        <v>0</v>
      </c>
      <c r="I191" s="336">
        <f t="shared" si="8"/>
        <v>144881.97</v>
      </c>
    </row>
    <row r="192" spans="1:9">
      <c r="A192" s="334" t="s">
        <v>2564</v>
      </c>
      <c r="B192" s="334" t="s">
        <v>2565</v>
      </c>
      <c r="C192" s="334" t="s">
        <v>1070</v>
      </c>
      <c r="D192" s="335">
        <v>114</v>
      </c>
      <c r="E192" s="357">
        <v>47.04</v>
      </c>
      <c r="F192" s="358"/>
      <c r="G192" s="336">
        <f t="shared" si="6"/>
        <v>5362.56</v>
      </c>
      <c r="H192" s="337">
        <f t="shared" si="7"/>
        <v>0</v>
      </c>
      <c r="I192" s="336">
        <f t="shared" si="8"/>
        <v>5362.56</v>
      </c>
    </row>
    <row r="193" spans="1:9">
      <c r="A193" s="334" t="s">
        <v>2566</v>
      </c>
      <c r="B193" s="334" t="s">
        <v>2567</v>
      </c>
      <c r="C193" s="334" t="s">
        <v>1070</v>
      </c>
      <c r="D193" s="335">
        <v>28</v>
      </c>
      <c r="E193" s="357">
        <v>118.43</v>
      </c>
      <c r="F193" s="358"/>
      <c r="G193" s="336">
        <f t="shared" si="6"/>
        <v>3316.04</v>
      </c>
      <c r="H193" s="337">
        <f t="shared" si="7"/>
        <v>0</v>
      </c>
      <c r="I193" s="336">
        <f t="shared" si="8"/>
        <v>3316.04</v>
      </c>
    </row>
    <row r="194" spans="1:9">
      <c r="A194" s="334" t="s">
        <v>2568</v>
      </c>
      <c r="B194" s="334" t="s">
        <v>2410</v>
      </c>
      <c r="C194" s="334" t="s">
        <v>1070</v>
      </c>
      <c r="D194" s="335">
        <v>1166</v>
      </c>
      <c r="E194" s="357">
        <v>26.89</v>
      </c>
      <c r="F194" s="358"/>
      <c r="G194" s="336">
        <f t="shared" si="6"/>
        <v>31353.74</v>
      </c>
      <c r="H194" s="337">
        <f t="shared" si="7"/>
        <v>0</v>
      </c>
      <c r="I194" s="336">
        <f t="shared" si="8"/>
        <v>31353.74</v>
      </c>
    </row>
  </sheetData>
  <mergeCells count="1">
    <mergeCell ref="A2:H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01797F2A45CAC48BC715C21AB77E472" ma:contentTypeVersion="15" ma:contentTypeDescription="Crear nuevo documento." ma:contentTypeScope="" ma:versionID="b09c4855bb0d4de1ed608b9aec7f8170">
  <xsd:schema xmlns:xsd="http://www.w3.org/2001/XMLSchema" xmlns:xs="http://www.w3.org/2001/XMLSchema" xmlns:p="http://schemas.microsoft.com/office/2006/metadata/properties" xmlns:ns2="aafbc94f-4f2c-4840-a226-3be54c1dbc6f" xmlns:ns3="5af39fbe-db52-4f75-8c78-5d5b0fbe969d" targetNamespace="http://schemas.microsoft.com/office/2006/metadata/properties" ma:root="true" ma:fieldsID="86114c541dcd92214278ad9d263086cd" ns2:_="" ns3:_="">
    <xsd:import namespace="aafbc94f-4f2c-4840-a226-3be54c1dbc6f"/>
    <xsd:import namespace="5af39fbe-db52-4f75-8c78-5d5b0fbe969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fbc94f-4f2c-4840-a226-3be54c1dbc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8d3bafeb-26fa-401c-ad88-3981bbe5e61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f39fbe-db52-4f75-8c78-5d5b0fbe969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9ae971c-aa08-4231-ba88-ffdb8f9fd2c7}" ma:internalName="TaxCatchAll" ma:showField="CatchAllData" ma:web="5af39fbe-db52-4f75-8c78-5d5b0fbe969d">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afbc94f-4f2c-4840-a226-3be54c1dbc6f">
      <Terms xmlns="http://schemas.microsoft.com/office/infopath/2007/PartnerControls"/>
    </lcf76f155ced4ddcb4097134ff3c332f>
    <TaxCatchAll xmlns="5af39fbe-db52-4f75-8c78-5d5b0fbe969d" xsi:nil="true"/>
  </documentManagement>
</p:properties>
</file>

<file path=customXml/item4.xml>��
</file>

<file path=customXml/itemProps1.xml><?xml version="1.0" encoding="utf-8"?>
<ds:datastoreItem xmlns:ds="http://schemas.openxmlformats.org/officeDocument/2006/customXml" ds:itemID="{8A3BB64F-E7CA-448E-92D4-1B24005DBF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fbc94f-4f2c-4840-a226-3be54c1dbc6f"/>
    <ds:schemaRef ds:uri="5af39fbe-db52-4f75-8c78-5d5b0fbe96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4F54228-C28D-420C-A240-B777F0714F72}">
  <ds:schemaRefs>
    <ds:schemaRef ds:uri="http://schemas.microsoft.com/sharepoint/v3/contenttype/forms"/>
  </ds:schemaRefs>
</ds:datastoreItem>
</file>

<file path=customXml/itemProps3.xml><?xml version="1.0" encoding="utf-8"?>
<ds:datastoreItem xmlns:ds="http://schemas.openxmlformats.org/officeDocument/2006/customXml" ds:itemID="{1A3ED69B-C9E1-4CE8-ABD4-7E0F0128B2F0}">
  <ds:schemaRefs>
    <ds:schemaRef ds:uri="http://schemas.microsoft.com/office/2006/metadata/properties"/>
    <ds:schemaRef ds:uri="http://schemas.microsoft.com/office/infopath/2007/PartnerControls"/>
    <ds:schemaRef ds:uri="aafbc94f-4f2c-4840-a226-3be54c1dbc6f"/>
    <ds:schemaRef ds:uri="5af39fbe-db52-4f75-8c78-5d5b0fbe969d"/>
  </ds:schemaRefs>
</ds:datastoreItem>
</file>

<file path=customXml/itemProps4.xml><?xml version="1.0" encoding="utf-8"?>
<ds:datastoreItem xmlns:ds="http://schemas.openxmlformats.org/officeDocument/2006/customXml" ds:itemID="{71538B52-FBA9-4A6E-AB39-EA733D57BB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OP</vt:lpstr>
      <vt:lpstr>SEG</vt:lpstr>
      <vt:lpstr>GG</vt:lpstr>
      <vt:lpstr>EST SOTANO</vt:lpstr>
      <vt:lpstr>EST TORRE</vt:lpstr>
      <vt:lpstr>ARQ SOT</vt:lpstr>
      <vt:lpstr>ARQ TORRE</vt:lpstr>
      <vt:lpstr>INSTALACIONES</vt:lpstr>
      <vt:lpstr>ACIySPC</vt:lpstr>
      <vt:lpstr>OBRA CIVIL ASCENSOR</vt:lpstr>
      <vt:lpstr>MECANICAS</vt:lpstr>
      <vt:lpstr>IISS</vt:lpstr>
      <vt:lpstr>IIEE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Edwid Pinto</cp:lastModifiedBy>
  <cp:revision/>
  <dcterms:created xsi:type="dcterms:W3CDTF">2023-01-23T15:46:33Z</dcterms:created>
  <dcterms:modified xsi:type="dcterms:W3CDTF">2026-10-04T22:42:42Z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0x010100B01797F2A45CAC48BC715C21AB77E472</vt:lpwstr>
  </property>
  <property fmtid="{D5CDD505-2E9C-101B-9397-08002B2CF9AE}" pid="3" name="MediaServiceImageTags">
    <vt:lpwstr/>
  </property>
</Properties>
</file>